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0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Dokumen\RPA\"/>
    </mc:Choice>
  </mc:AlternateContent>
  <xr:revisionPtr revIDLastSave="0" documentId="13_ncr:1_{B71AB045-66F1-4D77-AC05-72385B1E1E0F}" xr6:coauthVersionLast="47" xr6:coauthVersionMax="47" xr10:uidLastSave="{00000000-0000-0000-0000-000000000000}"/>
  <bookViews>
    <workbookView xWindow="-120" yWindow="-120" windowWidth="20730" windowHeight="11160" tabRatio="807" activeTab="4" xr2:uid="{00000000-000D-0000-FFFF-FFFF00000000}"/>
  </bookViews>
  <sheets>
    <sheet name="Database Supplier" sheetId="2" r:id="rId1"/>
    <sheet name="Input User" sheetId="5958" r:id="rId2"/>
    <sheet name="Input RPA" sheetId="5998" r:id="rId3"/>
    <sheet name="Hasil" sheetId="6002" r:id="rId4"/>
    <sheet name="Bantuan" sheetId="6000" r:id="rId5"/>
    <sheet name="SheetRun1" sheetId="5999" state="hidden" r:id="rId6"/>
    <sheet name="Status" sheetId="6005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2" i="5958" l="1"/>
  <c r="W3" i="5958"/>
  <c r="K9" i="6002"/>
  <c r="FZ1" i="2" l="1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<sst xmlns="http://schemas.openxmlformats.org/spreadsheetml/2006/main" count="181" uniqueCount="88">
  <si>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</si>
  <si>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</si>
  <si>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</si>
  <si>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</si>
  <si>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</si>
  <si>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</si>
  <si>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</si>
  <si>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</si>
  <si>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</si>
  <si>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</si>
  <si>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</si>
  <si>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</si>
  <si>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</si>
  <si>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</si>
  <si>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</si>
  <si>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</si>
  <si>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FILE BACKUP</t>
  </si>
  <si>
    <t>BackUp Macro RPA Create OW</t>
  </si>
  <si>
    <t>BACKUP</t>
  </si>
  <si>
    <t>\\10.8.0.35\Bersama\IT\RPA Dokumen</t>
  </si>
  <si>
    <t>\\10.8.0.35\Bersama\IT &amp; DT\1. File RPA\1. Create OW FARIDA\RPA</t>
  </si>
  <si>
    <t>cost 2023.xlsx</t>
  </si>
  <si>
    <t>\\10.8.0.35\Bersama\BEACUKAI\NUNUNG\cost 2023.xlsm</t>
  </si>
  <si>
    <t>IDR</t>
  </si>
  <si>
    <t>EA</t>
  </si>
  <si>
    <t>JE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</si>
  <si>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</si>
  <si>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</si>
  <si>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</si>
  <si>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</si>
  <si>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</si>
  <si>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</si>
  <si>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</si>
  <si>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</si>
  <si>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</si>
  <si>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</si>
  <si>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</si>
  <si>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</si>
  <si>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</si>
  <si>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</si>
  <si>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</si>
  <si>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</si>
  <si>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</si>
  <si>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No Faktur Pajak</t>
  </si>
  <si>
    <t>PATH RESUME :</t>
  </si>
  <si>
    <t>NAMA FILE :</t>
  </si>
  <si>
    <t>Resume OW &amp; PO 1201</t>
  </si>
  <si>
    <t>\\10.8.0.35\bersama\IT\RPA Dokumen\RPA</t>
  </si>
  <si>
    <t>V</t>
  </si>
  <si>
    <t>27-02-24</t>
  </si>
  <si>
    <t>PO Number</t>
  </si>
  <si>
    <t>QTY</t>
  </si>
  <si>
    <t>OK</t>
  </si>
  <si>
    <t>Nama Supplier</t>
  </si>
  <si>
    <t>PO Type</t>
  </si>
  <si>
    <t>Created By</t>
  </si>
  <si>
    <t>PIC Finance</t>
  </si>
  <si>
    <t>JURI HANDOKO</t>
  </si>
  <si>
    <t>H&amp;M</t>
  </si>
  <si>
    <t>006</t>
  </si>
  <si>
    <t>N</t>
  </si>
  <si>
    <t>OC</t>
  </si>
  <si>
    <t>HENY HANDAYANI</t>
  </si>
  <si>
    <t>FRIEDA</t>
  </si>
  <si>
    <t>005</t>
  </si>
  <si>
    <t>'1204.720400</t>
  </si>
  <si>
    <t>OW</t>
  </si>
  <si>
    <t>NO</t>
  </si>
  <si>
    <t>Nama Sheet</t>
  </si>
  <si>
    <t>Status</t>
  </si>
  <si>
    <t>SheetRun1</t>
  </si>
  <si>
    <t>RPA Code</t>
  </si>
  <si>
    <t>RECAP COST HANDLING COST 2023</t>
  </si>
  <si>
    <t>TGL</t>
  </si>
  <si>
    <t>INV GISTEX</t>
  </si>
  <si>
    <t>PCS</t>
  </si>
  <si>
    <t>VOLUME</t>
  </si>
  <si>
    <t>CBM</t>
  </si>
  <si>
    <t>ORDER</t>
  </si>
  <si>
    <t>SUPPLIER</t>
  </si>
  <si>
    <t>AMOUNT</t>
  </si>
  <si>
    <t>PPH 23</t>
  </si>
  <si>
    <t>TOTAL IDR</t>
  </si>
  <si>
    <t>INV</t>
  </si>
  <si>
    <t>NO FP</t>
  </si>
  <si>
    <t/>
  </si>
  <si>
    <t>OW NUMBER</t>
  </si>
  <si>
    <t>PO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</si>
</sst>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[$-409]d\-mmm;@"/>
    <numFmt numFmtId="166" formatCode="[$-13809]dd/mm/yyyy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omic Sans MS"/>
      <family val="4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8" xfId="2" applyBorder="1"/>
    <xf numFmtId="0" fontId="0" fillId="0" borderId="0" xfId="3" applyFont="1"/>
    <xf numFmtId="0" fontId="2" fillId="0" borderId="0" xfId="0" applyFont="1" applyAlignment="1">
      <alignment horizontal="right" vertical="center"/>
    </xf>
    <xf numFmtId="0" fontId="2" fillId="2" borderId="0" xfId="0" applyFont="1" applyFill="1"/>
    <xf numFmtId="14" fontId="0" fillId="0" borderId="0" xfId="0" applyNumberFormat="1"/>
    <xf numFmtId="0" fontId="5" fillId="0" borderId="0" xfId="0" applyFont="1"/>
    <xf numFmtId="164" fontId="5" fillId="0" borderId="0" xfId="0" applyNumberFormat="1" applyFont="1"/>
    <xf numFmtId="164" fontId="0" fillId="0" borderId="0" xfId="0" applyNumberFormat="1"/>
    <xf numFmtId="165" fontId="5" fillId="0" borderId="0" xfId="0" applyNumberFormat="1" applyFont="1"/>
    <xf numFmtId="165" fontId="0" fillId="0" borderId="0" xfId="0" applyNumberFormat="1"/>
    <xf numFmtId="0" fontId="5" fillId="0" borderId="9" xfId="0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6" fillId="0" borderId="9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3" borderId="9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166" fontId="0" fillId="0" borderId="0" xfId="0" applyNumberFormat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9" xfId="0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..\BEACUKAI\NUNUNG\cost%202023.xlsm" TargetMode="External"/><Relationship Id="rId2" Type="http://schemas.openxmlformats.org/officeDocument/2006/relationships/hyperlink" Target="..\..\..\RPA%20Dokumen" TargetMode="External"/><Relationship Id="rId1" Type="http://schemas.openxmlformats.org/officeDocument/2006/relationships/hyperlink" Target="../../../IT%20&amp;%20DT/1.%20File%20RPA/1.%20Create%20OW%20FARIDA/RPA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../RP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4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19</v>
      </c>
      <c r="FZ1">
        <f ca="1">TODAY()</f>
        <v>45349</v>
      </c>
      <c r="GA1" s="7" t="str">
        <f ca="1">$GA$2&amp;$GA$3&amp;RIGHT($GA$4,2)</f>
        <v>27Feb24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27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49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ht="15.75" thickBot="1" x14ac:dyDescent="0.3">
      <c r="A5" s="1"/>
      <c r="B5" s="1"/>
      <c r="GB5">
        <v>5</v>
      </c>
      <c r="GC5" t="s">
        <v>8</v>
      </c>
    </row>
    <row r="6" spans="1:185" ht="15.75" thickBot="1" x14ac:dyDescent="0.3">
      <c r="A6" s="1"/>
      <c r="B6" s="1"/>
      <c r="K6" s="28" t="s">
        <v>16</v>
      </c>
      <c r="L6" s="29"/>
      <c r="GB6">
        <v>6</v>
      </c>
      <c r="GC6" t="s">
        <v>9</v>
      </c>
    </row>
    <row r="7" spans="1:185" ht="14.45" customHeight="1" x14ac:dyDescent="0.25">
      <c r="A7" s="1"/>
      <c r="B7" s="1"/>
      <c r="K7" s="2" t="s">
        <v>3</v>
      </c>
      <c r="L7" s="9" t="s">
        <v>20</v>
      </c>
      <c r="GB7">
        <v>7</v>
      </c>
      <c r="GC7" t="s">
        <v>10</v>
      </c>
    </row>
    <row r="8" spans="1:185" x14ac:dyDescent="0.25">
      <c r="A8" s="1"/>
      <c r="B8" s="1"/>
      <c r="K8" s="4" t="s">
        <v>0</v>
      </c>
      <c r="L8" s="5" t="s">
        <v>17</v>
      </c>
      <c r="GB8">
        <v>8</v>
      </c>
      <c r="GC8" t="s">
        <v>11</v>
      </c>
    </row>
    <row r="9" spans="1:185" ht="15.75" thickBot="1" x14ac:dyDescent="0.3">
      <c r="A9" s="1"/>
      <c r="B9" s="1"/>
      <c r="K9" s="3" t="s">
        <v>1</v>
      </c>
      <c r="L9" s="6" t="s">
        <v>18</v>
      </c>
      <c r="GB9">
        <v>9</v>
      </c>
      <c r="GC9" t="s">
        <v>12</v>
      </c>
    </row>
    <row r="10" spans="1:185" x14ac:dyDescent="0.25">
      <c r="A10" s="1"/>
      <c r="B10" s="1"/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L12" s="8" t="s">
        <v>22</v>
      </c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  <c r="L13" t="s">
        <v>21</v>
      </c>
    </row>
    <row r="14" spans="1:185" x14ac:dyDescent="0.25">
      <c r="A14" s="1"/>
      <c r="B14" s="1"/>
    </row>
    <row r="15" spans="1:185" x14ac:dyDescent="0.25">
      <c r="A15" s="1"/>
      <c r="B15" s="1"/>
      <c r="K15" s="11" t="s">
        <v>44</v>
      </c>
      <c r="L15" s="8" t="s">
        <v>47</v>
      </c>
    </row>
    <row r="16" spans="1:185" x14ac:dyDescent="0.25">
      <c r="A16" s="1"/>
      <c r="B16" s="1"/>
      <c r="K16" s="11" t="s">
        <v>45</v>
      </c>
      <c r="L16" t="s">
        <v>46</v>
      </c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mergeCells count="1">
    <mergeCell ref="K6:L6"/>
  </mergeCells>
  <phoneticPr fontId="1" type="noConversion"/>
  <hyperlinks>
    <hyperlink ref="L7" r:id="rId1" xr:uid="{00000000-0004-0000-0000-000000000000}"/>
    <hyperlink ref="L1" r:id="rId2" xr:uid="{00000000-0004-0000-0000-000001000000}"/>
    <hyperlink ref="L12" r:id="rId3" xr:uid="{00000000-0004-0000-0000-000002000000}"/>
    <hyperlink ref="L15" r:id="rId4" xr:uid="{57606471-E754-42E4-BB30-7E4694783637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B0697-D985-4C94-84F1-621E1FF14FEB}">
  <sheetPr codeName="Sheet1"/>
  <dimension ref="A1:Z3"/>
  <sheetViews>
    <sheetView workbookViewId="0">
      <selection activeCell="F7" sqref="F7"/>
    </sheetView>
  </sheetViews>
  <sheetFormatPr defaultRowHeight="15" x14ac:dyDescent="0.25"/>
  <cols>
    <col min="1" max="1" width="14.57031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bestFit="1" customWidth="1"/>
    <col min="6" max="6" width="17.5703125" bestFit="1" customWidth="1"/>
    <col min="7" max="8" width="12.5703125" bestFit="1" customWidth="1"/>
    <col min="9" max="9" width="14.42578125" bestFit="1" customWidth="1"/>
    <col min="10" max="10" width="13.85546875" bestFit="1" customWidth="1"/>
    <col min="11" max="11" width="7.85546875" bestFit="1" customWidth="1"/>
    <col min="12" max="12" width="8.42578125" bestFit="1" customWidth="1"/>
    <col min="13" max="13" width="5.42578125" bestFit="1" customWidth="1"/>
    <col min="14" max="14" width="16" bestFit="1" customWidth="1"/>
    <col min="15" max="15" width="7.7109375" bestFit="1" customWidth="1"/>
    <col min="16" max="16" width="9.7109375" bestFit="1" customWidth="1"/>
    <col min="17" max="17" width="13.5703125" bestFit="1" customWidth="1"/>
    <col min="18" max="18" width="3.5703125" bestFit="1" customWidth="1"/>
    <col min="19" max="19" width="4.28515625" bestFit="1" customWidth="1"/>
    <col min="20" max="20" width="14.85546875" bestFit="1" customWidth="1"/>
    <col min="21" max="21" width="4.42578125" bestFit="1" customWidth="1"/>
    <col min="22" max="22" width="12.42578125" bestFit="1" customWidth="1"/>
    <col min="23" max="23" width="11.7109375" bestFit="1" customWidth="1"/>
    <col min="24" max="24" width="8.28515625" bestFit="1" customWidth="1"/>
    <col min="25" max="25" width="17.28515625" bestFit="1" customWidth="1"/>
    <col min="26" max="26" width="11.140625" bestFit="1" customWidth="1"/>
  </cols>
  <sheetData>
    <row r="1" spans="1:26" x14ac:dyDescent="0.25">
      <c r="A1" t="s">
        <v>53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52</v>
      </c>
      <c r="S1" t="s">
        <v>42</v>
      </c>
      <c r="T1" t="s">
        <v>43</v>
      </c>
      <c r="U1" t="s">
        <v>51</v>
      </c>
      <c r="V1" t="s">
        <v>86</v>
      </c>
      <c r="W1" t="s">
        <v>87</v>
      </c>
      <c r="X1" t="s">
        <v>54</v>
      </c>
      <c r="Y1" t="s">
        <v>55</v>
      </c>
      <c r="Z1" t="s">
        <v>56</v>
      </c>
    </row>
    <row r="2" spans="1:26" x14ac:dyDescent="0.25">
      <c r="A2" t="s">
        <v>57</v>
      </c>
      <c r="B2">
        <v>54000592</v>
      </c>
      <c r="C2">
        <v>1204</v>
      </c>
      <c r="D2" t="s">
        <v>23</v>
      </c>
      <c r="E2" s="13">
        <v>45349</v>
      </c>
      <c r="F2" s="13">
        <v>45352</v>
      </c>
      <c r="G2" t="s">
        <v>58</v>
      </c>
      <c r="H2" t="s">
        <v>59</v>
      </c>
      <c r="I2">
        <v>1</v>
      </c>
      <c r="J2">
        <v>1000000</v>
      </c>
      <c r="K2" t="s">
        <v>24</v>
      </c>
      <c r="L2" t="s">
        <v>24</v>
      </c>
      <c r="M2" t="s">
        <v>25</v>
      </c>
      <c r="N2" t="s">
        <v>65</v>
      </c>
      <c r="O2" t="s">
        <v>60</v>
      </c>
      <c r="P2" t="s">
        <v>48</v>
      </c>
      <c r="V2">
        <v>24001308</v>
      </c>
      <c r="W2">
        <f>IFERROR(IF(V2&lt;&gt;"",VLOOKUP(V2,Bantuan!C:I,7,0),""),"")</f>
        <v>24001186</v>
      </c>
      <c r="X2" t="s">
        <v>61</v>
      </c>
      <c r="Y2" t="s">
        <v>62</v>
      </c>
      <c r="Z2" t="s">
        <v>63</v>
      </c>
    </row>
    <row r="3" spans="1:26" x14ac:dyDescent="0.25">
      <c r="G3" t="s">
        <v>58</v>
      </c>
      <c r="H3" t="s">
        <v>64</v>
      </c>
      <c r="I3">
        <v>1</v>
      </c>
      <c r="J3">
        <v>1000000</v>
      </c>
      <c r="K3" t="s">
        <v>24</v>
      </c>
      <c r="L3" t="s">
        <v>24</v>
      </c>
      <c r="M3" t="s">
        <v>25</v>
      </c>
      <c r="N3" t="s">
        <v>65</v>
      </c>
      <c r="O3" t="s">
        <v>60</v>
      </c>
      <c r="P3" t="s">
        <v>48</v>
      </c>
      <c r="W3" t="str">
        <f>IFERROR(IF(V3&lt;&gt;"",VLOOKUP(V3,Bantuan!C:I,7,0),""),"")</f>
        <v/>
      </c>
      <c r="X3" t="s">
        <v>61</v>
      </c>
      <c r="Y3" t="s">
        <v>62</v>
      </c>
      <c r="Z3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E42B6-0CF8-4756-9661-D962BDE34847}">
  <sheetPr codeName="Sheet7"/>
  <dimension ref="A1:AF3"/>
  <sheetViews>
    <sheetView workbookViewId="0"/>
  </sheetViews>
  <sheetFormatPr defaultRowHeight="15" x14ac:dyDescent="0.25"/>
  <cols>
    <col min="1" max="1" width="9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style="27" bestFit="1" customWidth="1"/>
    <col min="6" max="6" width="17.5703125" style="27" bestFit="1" customWidth="1"/>
    <col min="7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8" max="18" width="2" bestFit="1" customWidth="1"/>
    <col min="19" max="19" width="4.28515625" bestFit="1" customWidth="1"/>
    <col min="20" max="20" width="14.85546875" bestFit="1" customWidth="1"/>
    <col min="21" max="21" width="29.42578125" bestFit="1" customWidth="1"/>
    <col min="22" max="22" width="14.85546875" bestFit="1" customWidth="1"/>
    <col min="27" max="27" width="9" bestFit="1" customWidth="1"/>
  </cols>
  <sheetData>
    <row r="1" spans="1:32" s="7" customFormat="1" x14ac:dyDescent="0.25">
      <c r="A1" s="12" t="s">
        <v>66</v>
      </c>
      <c r="B1" s="7" t="s">
        <v>26</v>
      </c>
      <c r="C1" s="7" t="s">
        <v>27</v>
      </c>
      <c r="D1" s="7" t="s">
        <v>28</v>
      </c>
      <c r="E1" s="26" t="s">
        <v>29</v>
      </c>
      <c r="F1" s="26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36</v>
      </c>
      <c r="M1" s="7" t="s">
        <v>37</v>
      </c>
      <c r="N1" s="7" t="s">
        <v>38</v>
      </c>
      <c r="O1" s="7" t="s">
        <v>39</v>
      </c>
      <c r="P1" s="7" t="s">
        <v>40</v>
      </c>
      <c r="Q1" s="7" t="s">
        <v>41</v>
      </c>
      <c r="S1" s="7" t="s">
        <v>42</v>
      </c>
      <c r="T1" s="7" t="s">
        <v>43</v>
      </c>
      <c r="AA1"/>
      <c r="AB1"/>
      <c r="AC1"/>
      <c r="AD1" s="13"/>
      <c r="AE1" s="13"/>
      <c r="AF1"/>
    </row>
    <row r="2" spans="1:32" x14ac:dyDescent="0.25">
      <c r="A2">
        <v>24001308</v>
      </c>
      <c r="B2">
        <v>54000592</v>
      </c>
      <c r="C2">
        <v>1204</v>
      </c>
      <c r="D2" t="s">
        <v>23</v>
      </c>
      <c r="E2" s="27">
        <v>45349</v>
      </c>
      <c r="F2" s="27">
        <v>45352</v>
      </c>
      <c r="G2" t="s">
        <v>58</v>
      </c>
      <c r="H2" t="s">
        <v>59</v>
      </c>
      <c r="I2">
        <v>1</v>
      </c>
      <c r="J2">
        <v>1000000</v>
      </c>
      <c r="K2" t="s">
        <v>24</v>
      </c>
      <c r="L2" t="s">
        <v>24</v>
      </c>
      <c r="M2" t="s">
        <v>25</v>
      </c>
      <c r="N2" t="s">
        <v>65</v>
      </c>
      <c r="O2" t="s">
        <v>60</v>
      </c>
    </row>
    <row r="3" spans="1:32" x14ac:dyDescent="0.25">
      <c r="G3" t="s">
        <v>58</v>
      </c>
      <c r="H3" t="s">
        <v>64</v>
      </c>
      <c r="I3">
        <v>1</v>
      </c>
      <c r="J3">
        <v>1000000</v>
      </c>
      <c r="K3" t="s">
        <v>24</v>
      </c>
      <c r="L3" t="s">
        <v>24</v>
      </c>
      <c r="M3" t="s">
        <v>25</v>
      </c>
      <c r="N3" t="s">
        <v>65</v>
      </c>
      <c r="O3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CD1F-EDE0-4D1B-8BE9-9C21EF4E9165}">
  <sheetPr codeName="Sheet3"/>
  <dimension ref="A2:O9"/>
  <sheetViews>
    <sheetView workbookViewId="0"/>
  </sheetViews>
  <sheetFormatPr defaultRowHeight="15" x14ac:dyDescent="0.25"/>
  <cols>
    <col min="1" max="1" width="6.7109375" style="18" bestFit="1" customWidth="1"/>
    <col min="2" max="2" width="9" bestFit="1" customWidth="1"/>
    <col min="3" max="3" width="13.140625" bestFit="1" customWidth="1"/>
    <col min="4" max="4" width="5" bestFit="1" customWidth="1"/>
    <col min="5" max="5" width="8.85546875" bestFit="1" customWidth="1"/>
    <col min="6" max="6" width="7.140625" bestFit="1" customWidth="1"/>
    <col min="7" max="7" width="14.85546875" bestFit="1" customWidth="1"/>
    <col min="9" max="9" width="9" style="16" bestFit="1" customWidth="1"/>
    <col min="10" max="10" width="10.28515625" style="16" bestFit="1" customWidth="1"/>
    <col min="11" max="11" width="13.28515625" style="16" bestFit="1" customWidth="1"/>
    <col min="12" max="12" width="4.85546875" bestFit="1" customWidth="1"/>
    <col min="13" max="13" width="4.42578125" bestFit="1" customWidth="1"/>
    <col min="14" max="14" width="7" bestFit="1" customWidth="1"/>
  </cols>
  <sheetData>
    <row r="2" spans="1:15" ht="16.5" x14ac:dyDescent="0.35">
      <c r="A2" s="17"/>
      <c r="B2" s="14"/>
      <c r="C2" s="32" t="s">
        <v>72</v>
      </c>
      <c r="D2" s="32"/>
      <c r="E2" s="32"/>
      <c r="F2" s="32"/>
      <c r="G2" s="32"/>
      <c r="H2" s="32"/>
      <c r="I2" s="32"/>
      <c r="J2" s="32"/>
      <c r="K2" s="15"/>
      <c r="L2" s="14"/>
      <c r="M2" s="14"/>
      <c r="N2" s="14"/>
    </row>
    <row r="3" spans="1:15" ht="16.5" x14ac:dyDescent="0.35">
      <c r="A3" s="17" t="s">
        <v>52</v>
      </c>
      <c r="B3" s="14"/>
      <c r="C3" s="14"/>
      <c r="D3" s="14"/>
      <c r="E3" s="14"/>
      <c r="F3" s="14"/>
      <c r="G3" s="14"/>
      <c r="H3" s="14"/>
      <c r="I3" s="15"/>
      <c r="J3" s="15"/>
      <c r="K3" s="15"/>
      <c r="L3" s="14"/>
      <c r="M3" s="14"/>
      <c r="N3" s="14"/>
    </row>
    <row r="4" spans="1:15" ht="16.5" x14ac:dyDescent="0.35">
      <c r="A4" s="17"/>
      <c r="B4" s="14"/>
      <c r="C4" s="14"/>
      <c r="D4" s="14"/>
      <c r="E4" s="14"/>
      <c r="F4" s="14"/>
      <c r="G4" s="14"/>
      <c r="H4" s="14"/>
      <c r="I4" s="15"/>
      <c r="J4" s="15"/>
      <c r="K4" s="15"/>
      <c r="L4" s="14"/>
      <c r="M4" s="14"/>
      <c r="N4" s="14"/>
    </row>
    <row r="5" spans="1:15" ht="16.5" x14ac:dyDescent="0.25">
      <c r="A5" s="33" t="s">
        <v>73</v>
      </c>
      <c r="B5" s="30" t="s">
        <v>66</v>
      </c>
      <c r="C5" s="30" t="s">
        <v>74</v>
      </c>
      <c r="D5" s="19" t="s">
        <v>51</v>
      </c>
      <c r="E5" s="19" t="s">
        <v>76</v>
      </c>
      <c r="F5" s="30" t="s">
        <v>78</v>
      </c>
      <c r="G5" s="30" t="s">
        <v>79</v>
      </c>
      <c r="H5" s="19"/>
      <c r="I5" s="31" t="s">
        <v>80</v>
      </c>
      <c r="J5" s="31"/>
      <c r="K5" s="31" t="s">
        <v>82</v>
      </c>
      <c r="L5" s="30" t="s">
        <v>83</v>
      </c>
      <c r="M5" s="30" t="s">
        <v>42</v>
      </c>
      <c r="N5" s="30" t="s">
        <v>84</v>
      </c>
      <c r="O5" s="21"/>
    </row>
    <row r="6" spans="1:15" ht="16.5" x14ac:dyDescent="0.25">
      <c r="A6" s="33"/>
      <c r="B6" s="30"/>
      <c r="C6" s="30"/>
      <c r="D6" s="19" t="s">
        <v>75</v>
      </c>
      <c r="E6" s="19" t="s">
        <v>77</v>
      </c>
      <c r="F6" s="30"/>
      <c r="G6" s="30"/>
      <c r="H6" s="19"/>
      <c r="I6" s="20" t="s">
        <v>81</v>
      </c>
      <c r="J6" s="20" t="s">
        <v>23</v>
      </c>
      <c r="K6" s="31"/>
      <c r="L6" s="30"/>
      <c r="M6" s="30"/>
      <c r="N6" s="30"/>
      <c r="O6" s="21"/>
    </row>
    <row r="7" spans="1:15" x14ac:dyDescent="0.25">
      <c r="A7" s="22">
        <v>45349</v>
      </c>
      <c r="B7" s="23">
        <v>24001308</v>
      </c>
      <c r="C7" s="23"/>
      <c r="D7" s="23"/>
      <c r="E7" s="23"/>
      <c r="F7" s="23" t="s">
        <v>58</v>
      </c>
      <c r="G7" s="23" t="s">
        <v>57</v>
      </c>
      <c r="H7" s="23"/>
      <c r="I7" s="24"/>
      <c r="J7" s="24">
        <v>1000000</v>
      </c>
      <c r="K7" s="24">
        <v>1000000</v>
      </c>
      <c r="L7" s="23" t="s">
        <v>59</v>
      </c>
      <c r="M7" s="23" t="s">
        <v>85</v>
      </c>
      <c r="N7" s="21" t="s">
        <v>85</v>
      </c>
      <c r="O7" s="21"/>
    </row>
    <row r="8" spans="1:15" x14ac:dyDescent="0.25">
      <c r="A8" s="22"/>
      <c r="B8" s="23"/>
      <c r="C8" s="23"/>
      <c r="D8" s="23"/>
      <c r="E8" s="23"/>
      <c r="F8" s="23"/>
      <c r="G8" s="23" t="s">
        <v>57</v>
      </c>
      <c r="H8" s="23"/>
      <c r="I8" s="24"/>
      <c r="J8" s="24">
        <v>1000000</v>
      </c>
      <c r="K8" s="24">
        <v>1000000</v>
      </c>
      <c r="L8" s="23" t="s">
        <v>64</v>
      </c>
      <c r="M8" s="23" t="s">
        <v>85</v>
      </c>
      <c r="N8" s="21" t="s">
        <v>85</v>
      </c>
      <c r="O8" s="21"/>
    </row>
    <row r="9" spans="1:15" x14ac:dyDescent="0.25">
      <c r="A9" s="22"/>
      <c r="B9" s="23"/>
      <c r="C9" s="23"/>
      <c r="D9" s="23"/>
      <c r="E9" s="23"/>
      <c r="F9" s="23"/>
      <c r="G9" s="23"/>
      <c r="H9" s="23"/>
      <c r="I9" s="24"/>
      <c r="J9" s="24"/>
      <c r="K9" s="25">
        <f>SUM(K7:K8)</f>
        <v>2000000</v>
      </c>
      <c r="L9" s="23"/>
      <c r="M9" s="23"/>
      <c r="N9" s="21"/>
      <c r="O9" s="21"/>
    </row>
  </sheetData>
  <mergeCells count="11">
    <mergeCell ref="A5:A6"/>
    <mergeCell ref="B5:B6"/>
    <mergeCell ref="C5:C6"/>
    <mergeCell ref="F5:F6"/>
    <mergeCell ref="G5:G6"/>
    <mergeCell ref="L5:L6"/>
    <mergeCell ref="I5:J5"/>
    <mergeCell ref="M5:M6"/>
    <mergeCell ref="N5:N6"/>
    <mergeCell ref="C2:J2"/>
    <mergeCell ref="K5:K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4425-EB8B-4660-ACE0-E6ACB23AB0D2}">
  <sheetPr codeName="Sheet9"/>
  <dimension ref="A1:J2"/>
  <sheetViews>
    <sheetView tabSelected="1" workbookViewId="0">
      <selection activeCell="G10" sqref="G10:G11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9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</cols>
  <sheetData>
    <row r="1" spans="1:10" x14ac:dyDescent="0.25">
      <c r="A1" t="s">
        <v>67</v>
      </c>
      <c r="B1" t="s">
        <v>68</v>
      </c>
      <c r="C1" t="s">
        <v>66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50</v>
      </c>
      <c r="J1" t="s">
        <v>69</v>
      </c>
    </row>
    <row r="2" spans="1:10" x14ac:dyDescent="0.25">
      <c r="A2">
        <v>1</v>
      </c>
      <c r="B2" t="s">
        <v>70</v>
      </c>
      <c r="C2">
        <v>24001308</v>
      </c>
      <c r="D2">
        <v>54000592</v>
      </c>
      <c r="E2">
        <v>1204</v>
      </c>
      <c r="F2" t="s">
        <v>23</v>
      </c>
      <c r="G2" s="13">
        <v>45349</v>
      </c>
      <c r="H2" s="13">
        <v>45352</v>
      </c>
      <c r="I2">
        <v>24001186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C2956-5FF6-4B09-812B-C6B63E36A60B}">
  <sheetPr codeName="Sheet8"/>
  <dimension ref="A1:Q3"/>
  <sheetViews>
    <sheetView workbookViewId="0">
      <selection activeCell="A2" sqref="A2:F2"/>
    </sheetView>
  </sheetViews>
  <sheetFormatPr defaultRowHeight="15" x14ac:dyDescent="0.25"/>
  <sheetData>
    <row r="1" spans="1:17" x14ac:dyDescent="0.25"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36</v>
      </c>
      <c r="M1" s="7" t="s">
        <v>37</v>
      </c>
      <c r="N1" s="7" t="s">
        <v>38</v>
      </c>
      <c r="O1" s="7" t="s">
        <v>39</v>
      </c>
      <c r="P1" s="7" t="s">
        <v>40</v>
      </c>
      <c r="Q1" s="7" t="s">
        <v>41</v>
      </c>
    </row>
    <row r="2" spans="1:17" x14ac:dyDescent="0.25">
      <c r="A2">
        <v>24001308</v>
      </c>
      <c r="B2">
        <v>54000592</v>
      </c>
      <c r="C2">
        <v>1204</v>
      </c>
      <c r="D2" t="s">
        <v>23</v>
      </c>
      <c r="E2">
        <v>45349</v>
      </c>
      <c r="F2">
        <v>45352</v>
      </c>
      <c r="G2" t="s">
        <v>58</v>
      </c>
      <c r="H2" t="s">
        <v>59</v>
      </c>
      <c r="I2">
        <v>1</v>
      </c>
      <c r="J2">
        <v>1000000</v>
      </c>
      <c r="K2" t="s">
        <v>24</v>
      </c>
      <c r="L2" t="s">
        <v>24</v>
      </c>
      <c r="M2" t="s">
        <v>25</v>
      </c>
      <c r="N2" t="s">
        <v>65</v>
      </c>
      <c r="O2" t="s">
        <v>60</v>
      </c>
    </row>
    <row r="3" spans="1:17" x14ac:dyDescent="0.25">
      <c r="G3" t="s">
        <v>58</v>
      </c>
      <c r="H3" t="s">
        <v>64</v>
      </c>
      <c r="I3">
        <v>1</v>
      </c>
      <c r="J3">
        <v>1000000</v>
      </c>
      <c r="K3" t="s">
        <v>24</v>
      </c>
      <c r="L3" t="s">
        <v>24</v>
      </c>
      <c r="M3" t="s">
        <v>25</v>
      </c>
      <c r="N3" t="s">
        <v>65</v>
      </c>
      <c r="O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F48A2-02FD-4394-8039-257B186C5BA9}">
  <sheetPr codeName="Sheet6"/>
  <dimension ref="A1:A2"/>
  <sheetViews>
    <sheetView workbookViewId="0"/>
  </sheetViews>
  <sheetFormatPr defaultRowHeight="15" x14ac:dyDescent="0.25"/>
  <sheetData>
    <row r="1" spans="1:1" x14ac:dyDescent="0.25">
      <c r="A1" t="s">
        <v>71</v>
      </c>
    </row>
    <row r="2" spans="1:1" x14ac:dyDescent="0.25">
      <c r="A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 Supplier</vt:lpstr>
      <vt:lpstr>Input User</vt:lpstr>
      <vt:lpstr>Input RPA</vt:lpstr>
      <vt:lpstr>Hasil</vt:lpstr>
      <vt:lpstr>Bantuan</vt:lpstr>
      <vt:lpstr>SheetRun1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Desktop</cp:lastModifiedBy>
  <dcterms:created xsi:type="dcterms:W3CDTF">2021-09-13T02:18:06Z</dcterms:created>
  <dcterms:modified xsi:type="dcterms:W3CDTF">2024-02-27T09:15:45Z</dcterms:modified>
</cp:coreProperties>
</file>