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DEVELOP\"/>
    </mc:Choice>
  </mc:AlternateContent>
  <xr:revisionPtr revIDLastSave="0" documentId="13_ncr:1_{E11873AF-AC82-4AF9-8938-F89A29518CFA}" xr6:coauthVersionLast="47" xr6:coauthVersionMax="47" xr10:uidLastSave="{00000000-0000-0000-0000-000000000000}"/>
  <bookViews>
    <workbookView xWindow="-120" yWindow="-120" windowWidth="20730" windowHeight="11160" tabRatio="698" xr2:uid="{00000000-000D-0000-FFFF-FFFF00000000}"/>
  </bookViews>
  <sheets>
    <sheet name="Database Supplier" sheetId="2" r:id="rId1"/>
    <sheet name="Input User" sheetId="5958" r:id="rId2"/>
    <sheet name="Input RPA" sheetId="5960" r:id="rId3"/>
    <sheet name="Hasil" sheetId="5965" r:id="rId4"/>
    <sheet name="Bantuan" sheetId="5963" r:id="rId5"/>
    <sheet name="SheetRun1" sheetId="5961" state="hidden" r:id="rId6"/>
    <sheet name="SheetRun2" sheetId="5962" state="hidden" r:id="rId7"/>
    <sheet name="Status" sheetId="5968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2" i="5958" l="1"/>
  <c r="W3" i="5958"/>
  <c r="K12" i="5965"/>
  <c r="K9" i="5965"/>
  <c r="B3" i="5958"/>
  <c r="B2" i="5958"/>
  <c r="FZ1" i="2" l="1"/>
  <c r="GA2" i="2" s="1"/>
  <c r="GA4" i="2" l="1"/>
  <c r="FZ3" i="2"/>
  <c r="GA3" i="2" s="1"/>
  <c r="GA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Darry Faliha Yudha</author>
  </authors>
  <commentList>
    <comment ref="E1" authorId="0" shapeId="0" xr:uid="{D7FE8040-225D-4E39-9618-A91D328B73A9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1" authorId="0" shapeId="0" xr:uid="{B42D6968-583D-4492-852C-220B421888DC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<sst xmlns="http://schemas.openxmlformats.org/spreadsheetml/2006/main" count="202" uniqueCount="89">
  <si>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</si>
  <si>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</si>
  <si>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</si>
  <si>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</si>
  <si>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</si>
  <si>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</si>
  <si>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</si>
  <si>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</si>
  <si>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</si>
  <si>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</si>
  <si>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</si>
  <si>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</si>
  <si>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</si>
  <si>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</si>
  <si>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</si>
  <si>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</si>
  <si>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FILE BACKUP</t>
  </si>
  <si>
    <t>BackUp Macro RPA Create OW</t>
  </si>
  <si>
    <t>BACKUP</t>
  </si>
  <si>
    <t>\\10.8.0.35\Bersama\IT\RPA Dokumen</t>
  </si>
  <si>
    <t>\\10.8.0.35\Bersama\IT &amp; DT\1. File RPA\1. Create OW FARIDA\RPA</t>
  </si>
  <si>
    <t>RPA Code</t>
  </si>
  <si>
    <t>cost 2023.xlsx</t>
  </si>
  <si>
    <t>\\10.8.0.35\Bersama\BEACUKAI\NUNUNG\cost 2023.xlsm</t>
  </si>
  <si>
    <t>IDR</t>
  </si>
  <si>
    <t>EA</t>
  </si>
  <si>
    <t>JE</t>
  </si>
  <si>
    <t>PT MULTISARANA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</si>
  <si>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</si>
  <si>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</si>
  <si>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</si>
  <si>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</si>
  <si>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</si>
  <si>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</si>
  <si>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</si>
  <si>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</si>
  <si>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</si>
  <si>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</si>
  <si>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</si>
  <si>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</si>
  <si>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</si>
  <si>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</si>
  <si>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</si>
  <si>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</si>
  <si>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</si>
  <si>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No Faktur Pajak</t>
  </si>
  <si>
    <t>PATH RESUME :</t>
  </si>
  <si>
    <t>NAMA FILE :</t>
  </si>
  <si>
    <t>Resume OW &amp; PO 1201</t>
  </si>
  <si>
    <t>\\10.8.0.35\bersama\IT\RPA Dokumen\RPA</t>
  </si>
  <si>
    <t>Y</t>
  </si>
  <si>
    <t>V</t>
  </si>
  <si>
    <t>PPNM11%</t>
  </si>
  <si>
    <t>PPNM1.1%</t>
  </si>
  <si>
    <t>27-02-24</t>
  </si>
  <si>
    <t>INTI DUTA DWITAMA TRASINDO,PT</t>
  </si>
  <si>
    <t>HEXAPOLE/BERGANS</t>
  </si>
  <si>
    <t>IV70000063</t>
  </si>
  <si>
    <t>1201.630530</t>
  </si>
  <si>
    <t>050.005-24.22680087</t>
  </si>
  <si>
    <t>PT. LOGISTIK KARYA BERMITRA</t>
  </si>
  <si>
    <t>NR70000042</t>
  </si>
  <si>
    <t>010.005-24.48364592</t>
  </si>
  <si>
    <t>OW</t>
  </si>
  <si>
    <t>NO</t>
  </si>
  <si>
    <t>Nama Sheet</t>
  </si>
  <si>
    <t>PO Number</t>
  </si>
  <si>
    <t>Status</t>
  </si>
  <si>
    <t>SheetRun1</t>
  </si>
  <si>
    <t>SheetRun2</t>
  </si>
  <si>
    <t>PO Approved</t>
  </si>
  <si>
    <t>RECAP COST HANDLING COST 2023</t>
  </si>
  <si>
    <t>TGL</t>
  </si>
  <si>
    <t>INV GISTEX</t>
  </si>
  <si>
    <t>QTY</t>
  </si>
  <si>
    <t>PCS</t>
  </si>
  <si>
    <t>VOLUME</t>
  </si>
  <si>
    <t>CBM</t>
  </si>
  <si>
    <t>ORDER</t>
  </si>
  <si>
    <t>SUPPLIER</t>
  </si>
  <si>
    <t>AMOUNT</t>
  </si>
  <si>
    <t>PPH 23</t>
  </si>
  <si>
    <t>TOTAL IDR</t>
  </si>
  <si>
    <t>INV</t>
  </si>
  <si>
    <t>NO FP</t>
  </si>
  <si>
    <t/>
  </si>
  <si>
    <t>OK</t>
  </si>
  <si>
    <t>OW NUMBER</t>
  </si>
  <si>
    <t>PO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</si>
</sst>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13809]dd/mm/yyyy;@"/>
    <numFmt numFmtId="165" formatCode="_(* #,##0_);_(* \(#,##0\);_(* &quot;-&quot;??_);_(@_)"/>
    <numFmt numFmtId="166" formatCode="[$-409]d\-mmm;@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omic Sans MS"/>
      <family val="4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8" xfId="2" applyBorder="1"/>
    <xf numFmtId="0" fontId="0" fillId="0" borderId="0" xfId="3" applyFont="1"/>
    <xf numFmtId="164" fontId="5" fillId="0" borderId="0" xfId="0" applyNumberFormat="1" applyFont="1"/>
    <xf numFmtId="165" fontId="5" fillId="0" borderId="0" xfId="1" applyNumberFormat="1" applyFont="1" applyFill="1" applyAlignment="1"/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14" fontId="0" fillId="0" borderId="0" xfId="0" applyNumberFormat="1"/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49" fontId="0" fillId="0" borderId="0" xfId="0" applyNumberFormat="1"/>
    <xf numFmtId="0" fontId="2" fillId="2" borderId="0" xfId="0" applyFont="1" applyFill="1"/>
    <xf numFmtId="0" fontId="8" fillId="0" borderId="0" xfId="0" applyFont="1"/>
    <xf numFmtId="0" fontId="0" fillId="0" borderId="0" xfId="0" applyFill="1"/>
    <xf numFmtId="165" fontId="8" fillId="0" borderId="0" xfId="0" applyNumberFormat="1" applyFont="1"/>
    <xf numFmtId="165" fontId="0" fillId="0" borderId="0" xfId="0" applyNumberFormat="1" applyFill="1"/>
    <xf numFmtId="165" fontId="0" fillId="0" borderId="0" xfId="0" applyNumberFormat="1"/>
    <xf numFmtId="166" fontId="8" fillId="0" borderId="0" xfId="0" applyNumberFormat="1" applyFont="1"/>
    <xf numFmtId="166" fontId="0" fillId="0" borderId="0" xfId="0" applyNumberFormat="1" applyFill="1"/>
    <xf numFmtId="166" fontId="0" fillId="0" borderId="0" xfId="0" applyNumberFormat="1"/>
    <xf numFmtId="0" fontId="8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8" fillId="0" borderId="9" xfId="0" applyNumberFormat="1" applyFont="1" applyBorder="1" applyAlignment="1">
      <alignment horizontal="center" vertical="center"/>
    </xf>
    <xf numFmtId="166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3" borderId="9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165" fontId="9" fillId="0" borderId="9" xfId="0" applyNumberFormat="1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6" fontId="9" fillId="0" borderId="9" xfId="0" applyNumberFormat="1" applyFont="1" applyFill="1" applyBorder="1" applyAlignment="1">
      <alignment horizontal="center" vertical="center"/>
    </xf>
    <xf numFmtId="164" fontId="2" fillId="0" borderId="0" xfId="0" applyNumberFormat="1" applyFont="1"/>
    <xf numFmtId="164" fontId="0" fillId="0" borderId="0" xfId="0" applyNumberForma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165" fontId="8" fillId="0" borderId="9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T\RPA%20Dokumen\Input%20User%20Create%20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Supplier"/>
      <sheetName val="TOMBOL"/>
      <sheetName val="Input User"/>
      <sheetName val="13-05-22"/>
      <sheetName val="17-05-22"/>
      <sheetName val="18-05-22"/>
      <sheetName val="19-05-22"/>
      <sheetName val="20-05-22"/>
      <sheetName val="24-05-22"/>
      <sheetName val="25-05-22"/>
      <sheetName val="30-05-22"/>
      <sheetName val="31-05-22"/>
      <sheetName val="02-06-22"/>
      <sheetName val="06-06-22"/>
      <sheetName val="03-06-22"/>
      <sheetName val="07-06-22"/>
      <sheetName val="09-06-22"/>
      <sheetName val="10-06-22"/>
      <sheetName val="14-06-22"/>
      <sheetName val="15-06-22"/>
      <sheetName val="17-06-22"/>
      <sheetName val="20-06-22"/>
      <sheetName val="21-06-22"/>
      <sheetName val="23-06-22"/>
      <sheetName val="24-06-22"/>
      <sheetName val="27-06-22"/>
      <sheetName val="28-06-22"/>
      <sheetName val="30-06-22"/>
      <sheetName val="05-07-22"/>
      <sheetName val="06-07-22"/>
      <sheetName val="07-07-22"/>
      <sheetName val="08-07-22"/>
      <sheetName val="11-07-22"/>
      <sheetName val="12-07-22"/>
      <sheetName val="13-07-22"/>
      <sheetName val="14-07-22"/>
      <sheetName val="15-07-22"/>
      <sheetName val="18-07-22"/>
      <sheetName val="19-07-22"/>
      <sheetName val="20-07-22"/>
      <sheetName val="21-07-22"/>
      <sheetName val="22-07-22"/>
      <sheetName val="25-07-22"/>
      <sheetName val="26-07-22"/>
      <sheetName val="29-07-22"/>
      <sheetName val="01-08-22"/>
      <sheetName val="02-08-22"/>
      <sheetName val="03-08-22"/>
      <sheetName val="05-08-22"/>
      <sheetName val="08-08-22"/>
      <sheetName val="09-08-22"/>
      <sheetName val="11-08-22"/>
      <sheetName val="12-08-22"/>
      <sheetName val="15-08-22"/>
      <sheetName val="16-08-22"/>
      <sheetName val="18-08-22"/>
      <sheetName val="19-08-22"/>
      <sheetName val="22-08-22"/>
      <sheetName val="23-08-22"/>
      <sheetName val="24-08-22"/>
      <sheetName val="25-08-22"/>
      <sheetName val="29-08-22"/>
      <sheetName val="30-08-22"/>
      <sheetName val="31-08-22"/>
      <sheetName val="07-09-22"/>
      <sheetName val="08-09-22"/>
      <sheetName val="09-09-22"/>
      <sheetName val="12-09-22"/>
      <sheetName val="13-09-22"/>
      <sheetName val="14-09-22"/>
      <sheetName val="15-09-22"/>
      <sheetName val="16-09-22"/>
      <sheetName val="19-09-22"/>
      <sheetName val="20-09-22"/>
      <sheetName val="23-09-22"/>
      <sheetName val="27-09-22"/>
      <sheetName val="28-09-22"/>
      <sheetName val="03-10-22"/>
      <sheetName val="04-10-22"/>
      <sheetName val="07-10-22"/>
      <sheetName val="10-10-22"/>
      <sheetName val="11-10-22"/>
      <sheetName val="12-10-22"/>
      <sheetName val="14-10-22"/>
      <sheetName val="17-10-22"/>
      <sheetName val="18-10-22"/>
      <sheetName val="19-10-22"/>
      <sheetName val="20-10-22"/>
      <sheetName val="24-10-22"/>
      <sheetName val="25-10-22"/>
      <sheetName val="26-10-22"/>
      <sheetName val="27-10-22"/>
      <sheetName val="31-10-22"/>
      <sheetName val="01-11-22"/>
      <sheetName val="04-11-22"/>
      <sheetName val="07-11-22"/>
      <sheetName val="08-11-22"/>
      <sheetName val="09-11-22"/>
      <sheetName val="11-11-22"/>
      <sheetName val="14-11-22"/>
      <sheetName val="15-11-22"/>
      <sheetName val="16-11-22"/>
      <sheetName val="17-11-22"/>
      <sheetName val="18-11-22"/>
      <sheetName val="21-11-22"/>
      <sheetName val="22-11-22"/>
      <sheetName val="24-11-22"/>
      <sheetName val="25-11-22"/>
      <sheetName val="28-11-22"/>
      <sheetName val="01-12-22"/>
      <sheetName val="02-12-22"/>
      <sheetName val="05-12-22"/>
      <sheetName val="06-12-22"/>
      <sheetName val="12-12-22"/>
      <sheetName val="13-12-22"/>
      <sheetName val="19-12-22"/>
      <sheetName val="20-12-22"/>
      <sheetName val="23-12-22"/>
      <sheetName val="27-12-22"/>
      <sheetName val="28-12-22"/>
      <sheetName val="02-01-23"/>
      <sheetName val="04-01-23"/>
      <sheetName val="10-01-23"/>
      <sheetName val="11-01-23"/>
      <sheetName val="12-01-23"/>
      <sheetName val="13-01-23"/>
      <sheetName val="16-01-23"/>
      <sheetName val="17-01-23"/>
      <sheetName val="18-01-23"/>
      <sheetName val="23-01-23"/>
      <sheetName val="24-01-23"/>
      <sheetName val="27-01-23"/>
      <sheetName val="30-01-23"/>
      <sheetName val="31-01-23"/>
      <sheetName val="01-02-23"/>
      <sheetName val="02-02-23"/>
      <sheetName val="06-02-23"/>
      <sheetName val="07-02-23"/>
      <sheetName val="10-02-23"/>
      <sheetName val="13-02-23"/>
      <sheetName val="14-02-23"/>
      <sheetName val="15-02-23"/>
      <sheetName val="17-02-23"/>
      <sheetName val="21-02-23"/>
      <sheetName val="22-02-23"/>
      <sheetName val="23-02-23"/>
      <sheetName val="24-02-23"/>
      <sheetName val="27-02-23"/>
      <sheetName val="02-03-23"/>
      <sheetName val="03-03-23"/>
      <sheetName val="07-03-23"/>
      <sheetName val="08-03-23"/>
      <sheetName val="13-03-23"/>
      <sheetName val="14-03-23"/>
      <sheetName val="15-03-23"/>
      <sheetName val="23-03-23"/>
      <sheetName val="27-03-23"/>
      <sheetName val="29-03-23"/>
      <sheetName val="03-04-23"/>
      <sheetName val="10-04-231"/>
      <sheetName val="10-04-23"/>
      <sheetName val="11-04-23"/>
      <sheetName val="13-04-23"/>
      <sheetName val="19-04-23"/>
      <sheetName val="08-05-23"/>
      <sheetName val="10-05-23"/>
      <sheetName val="12-05-23"/>
      <sheetName val="22-05-23"/>
      <sheetName val="23-05-233"/>
      <sheetName val="23-05-23"/>
      <sheetName val="25-05-23"/>
      <sheetName val="29-05-23"/>
      <sheetName val="31-05-23"/>
      <sheetName val="02-06-23"/>
      <sheetName val="05-06-23"/>
      <sheetName val="14-06-23"/>
      <sheetName val="21-06-23"/>
      <sheetName val="23-06-23"/>
      <sheetName val="05-07-23"/>
      <sheetName val="06-07-23"/>
      <sheetName val="13-07-23"/>
      <sheetName val="14-07-23"/>
      <sheetName val="18-07-23"/>
      <sheetName val="20-07-23"/>
      <sheetName val="24-07-23"/>
      <sheetName val="01-08-23"/>
      <sheetName val="02-08-23"/>
      <sheetName val="03-08-23"/>
      <sheetName val="10-08-23"/>
      <sheetName val="11-08-23"/>
      <sheetName val="14-08-23"/>
      <sheetName val="15-08-23"/>
      <sheetName val="18-08-23"/>
      <sheetName val="25-08-23"/>
      <sheetName val="05-09-23"/>
      <sheetName val="06-09-23"/>
      <sheetName val="08-09-23"/>
      <sheetName val="12-09-23"/>
      <sheetName val="14-09-23"/>
      <sheetName val="18-09-23"/>
      <sheetName val="19-09-23"/>
      <sheetName val="20-09-23"/>
      <sheetName val="21-09-23"/>
      <sheetName val="22-09-23"/>
      <sheetName val="27-09-23"/>
      <sheetName val="06-10-23"/>
      <sheetName val="11-10-23"/>
      <sheetName val="13-10-23"/>
      <sheetName val="16-10-23"/>
      <sheetName val="18-10-23"/>
      <sheetName val="24-10-23"/>
      <sheetName val="26-10-23"/>
      <sheetName val="06-11-23a"/>
      <sheetName val="06-11-23"/>
      <sheetName val="10-11-23"/>
      <sheetName val="13-11-23"/>
      <sheetName val="Sheet1"/>
      <sheetName val="14-11-23"/>
      <sheetName val="22-11-23"/>
      <sheetName val="24-11-23"/>
      <sheetName val="27-11-23"/>
      <sheetName val="30-11-23"/>
      <sheetName val="04-12-23"/>
      <sheetName val="08-12-23"/>
      <sheetName val="11-12-231"/>
      <sheetName val="11-12-23"/>
      <sheetName val="12-12-23"/>
      <sheetName val="13-12-23"/>
      <sheetName val="14-12-23"/>
      <sheetName val="15-12-23"/>
      <sheetName val="18-12-23"/>
      <sheetName val="20-12-23"/>
      <sheetName val="21-12-23"/>
      <sheetName val="27-12-23"/>
      <sheetName val="02-01-24"/>
      <sheetName val="04-01-24"/>
      <sheetName val="05-01-24"/>
      <sheetName val="09-01-24"/>
      <sheetName val="10-01-24"/>
      <sheetName val="11-01-24"/>
      <sheetName val="17-01-24"/>
      <sheetName val="18-01-24"/>
      <sheetName val="19-01-24"/>
      <sheetName val="23-01-24"/>
      <sheetName val="24-01-24"/>
      <sheetName val="25-01-24"/>
      <sheetName val="31-01-24"/>
      <sheetName val="05-02-24"/>
      <sheetName val="06-02-24"/>
      <sheetName val="07-02-24"/>
      <sheetName val="13-02-24"/>
      <sheetName val="19-02-24"/>
      <sheetName val="21-02-24"/>
      <sheetName val="22-02-24"/>
      <sheetName val="27-02-24"/>
    </sheetNames>
    <sheetDataSet>
      <sheetData sheetId="0">
        <row r="1">
          <cell r="A1" t="str">
            <v>Nama Supplier</v>
          </cell>
          <cell r="B1" t="str">
            <v>Address Number</v>
          </cell>
        </row>
        <row r="2">
          <cell r="A2" t="str">
            <v>PT. Damco Indonesia</v>
          </cell>
          <cell r="B2">
            <v>55718247</v>
          </cell>
        </row>
        <row r="3">
          <cell r="A3" t="str">
            <v>PT Damco Warehousing Indonesia</v>
          </cell>
          <cell r="B3">
            <v>55718271</v>
          </cell>
        </row>
        <row r="4">
          <cell r="A4" t="str">
            <v>EXPEDITORS INDONESIA,PT.</v>
          </cell>
          <cell r="B4">
            <v>54000358</v>
          </cell>
        </row>
        <row r="5">
          <cell r="A5" t="str">
            <v>PT KINTETSU WORLD EXPRESS INDONESIA</v>
          </cell>
          <cell r="B5">
            <v>55737819</v>
          </cell>
        </row>
        <row r="6">
          <cell r="A6" t="str">
            <v>PT.DSV TRANSPORT INDONESIA</v>
          </cell>
          <cell r="B6">
            <v>56799616</v>
          </cell>
        </row>
        <row r="7">
          <cell r="A7" t="str">
            <v>PT.MULTISARANA BAHTERAMANDIRI</v>
          </cell>
          <cell r="B7">
            <v>56039684</v>
          </cell>
        </row>
        <row r="8">
          <cell r="A8" t="str">
            <v>PT.KIDIA</v>
          </cell>
          <cell r="B8">
            <v>55423490</v>
          </cell>
        </row>
        <row r="9">
          <cell r="A9" t="str">
            <v>PT.KONOIKE TRANSPORT INDONESIA</v>
          </cell>
          <cell r="B9">
            <v>55396735</v>
          </cell>
        </row>
        <row r="10">
          <cell r="A10" t="str">
            <v>JURI HANDOKO</v>
          </cell>
          <cell r="B10">
            <v>54000592</v>
          </cell>
        </row>
        <row r="11">
          <cell r="A11" t="str">
            <v>PT.HONOUR LANE SHIPPING</v>
          </cell>
          <cell r="B11">
            <v>56579074</v>
          </cell>
        </row>
        <row r="12">
          <cell r="A12" t="str">
            <v>PT.NAKU FREIGHT INDONESIA</v>
          </cell>
          <cell r="B12">
            <v>54000635</v>
          </cell>
        </row>
        <row r="13">
          <cell r="A13" t="str">
            <v>PT.HANKYU HANSHIN EXPRESS INDONESIA</v>
          </cell>
          <cell r="B13">
            <v>57272381</v>
          </cell>
        </row>
        <row r="14">
          <cell r="A14" t="str">
            <v>APKB(ASOSIASI PENGUSAHA KAWASAN BERIKAT)</v>
          </cell>
          <cell r="B14">
            <v>55317902</v>
          </cell>
        </row>
        <row r="15">
          <cell r="A15" t="str">
            <v>PT.ASURANSI SINAR MAS</v>
          </cell>
          <cell r="B15">
            <v>55326825</v>
          </cell>
        </row>
        <row r="16">
          <cell r="A16" t="str">
            <v>PT TIKI JALUR NUGRAHA EKAKURIR</v>
          </cell>
          <cell r="B16">
            <v>57312021</v>
          </cell>
        </row>
        <row r="17">
          <cell r="A17" t="str">
            <v>PT.PALAPA INFOKOM TEKNOLOGI SOLUSINDO</v>
          </cell>
          <cell r="B17">
            <v>57323628</v>
          </cell>
        </row>
        <row r="18">
          <cell r="A18" t="str">
            <v>PT KLINE LOGISTICS INDONESIA</v>
          </cell>
          <cell r="B18">
            <v>57142915</v>
          </cell>
        </row>
        <row r="19">
          <cell r="A19" t="str">
            <v>PT HELLMANN WORLDWIDE LOGISTICS</v>
          </cell>
          <cell r="B19">
            <v>57322289</v>
          </cell>
        </row>
        <row r="20">
          <cell r="A20" t="str">
            <v>PT.KORMAN INDO EXPRESS</v>
          </cell>
          <cell r="B20">
            <v>55967121</v>
          </cell>
        </row>
        <row r="21">
          <cell r="A21" t="str">
            <v>PT.TIGA SEKAWAN SUKSES EXPRESS</v>
          </cell>
          <cell r="B21">
            <v>57122092</v>
          </cell>
        </row>
        <row r="22">
          <cell r="A22" t="str">
            <v>PT.PUNINAR YUSEN LOGISTICS INDONESIA</v>
          </cell>
          <cell r="B22">
            <v>56286757</v>
          </cell>
        </row>
        <row r="23">
          <cell r="A23" t="str">
            <v>JAKARTA INTERNATIONAL CONTAINER TERMINAL</v>
          </cell>
          <cell r="B23">
            <v>55113299</v>
          </cell>
        </row>
        <row r="24">
          <cell r="A24" t="str">
            <v>PT.NEW PRIOK CONTAINER TERMINAL ONE</v>
          </cell>
          <cell r="B24">
            <v>55734167</v>
          </cell>
        </row>
        <row r="25">
          <cell r="A25" t="str">
            <v>INTI DUTA DWITAMA TRASINDO,PT</v>
          </cell>
          <cell r="B25">
            <v>55229662</v>
          </cell>
        </row>
        <row r="26">
          <cell r="A26" t="str">
            <v>PT.GLOBAL TERMINAL MARUNDA</v>
          </cell>
          <cell r="B26">
            <v>56013767</v>
          </cell>
        </row>
        <row r="27">
          <cell r="A27" t="str">
            <v>PT.GFC INDONESIA TERMINAL</v>
          </cell>
          <cell r="B27">
            <v>57054270</v>
          </cell>
        </row>
        <row r="28">
          <cell r="A28" t="str">
            <v>*IPC TERMINAL PETI KEMAS</v>
          </cell>
          <cell r="B28">
            <v>56825036</v>
          </cell>
        </row>
        <row r="29">
          <cell r="A29" t="str">
            <v>TERMINAL PETIKEMAS KOJA TPK.</v>
          </cell>
          <cell r="B29">
            <v>55101941</v>
          </cell>
        </row>
        <row r="30">
          <cell r="A30" t="str">
            <v>PT INDOMARSAN UTAMA INTERNATIONAL</v>
          </cell>
          <cell r="B30">
            <v>55527766</v>
          </cell>
        </row>
        <row r="31">
          <cell r="A31" t="str">
            <v>PT.CAKRAWALA PERSADA LOGISTICS</v>
          </cell>
          <cell r="B31">
            <v>55426480</v>
          </cell>
        </row>
        <row r="32">
          <cell r="A32" t="str">
            <v>PT MERATUS LINE</v>
          </cell>
          <cell r="B32">
            <v>57326968</v>
          </cell>
        </row>
        <row r="33">
          <cell r="A33" t="str">
            <v>PT.QUAD KONTEN ALOGISTICS</v>
          </cell>
          <cell r="B33">
            <v>56013652</v>
          </cell>
        </row>
        <row r="34">
          <cell r="A34" t="str">
            <v>PT.GARUDA INDONESIA(PERSERO) TBK.</v>
          </cell>
          <cell r="B34">
            <v>57304179</v>
          </cell>
        </row>
        <row r="35">
          <cell r="A35" t="str">
            <v>DEP.KEUANGAN R.I DIT.JEND.BEA DAN CUKAI</v>
          </cell>
          <cell r="B35">
            <v>55143121</v>
          </cell>
        </row>
        <row r="36">
          <cell r="A36" t="str">
            <v>PT JASA ANGKASA SEMESTA</v>
          </cell>
          <cell r="B36">
            <v>55322891</v>
          </cell>
        </row>
        <row r="37">
          <cell r="A37" t="str">
            <v>PT.AVATAR EXPRESS INDONESIA</v>
          </cell>
          <cell r="B37">
            <v>55806917</v>
          </cell>
        </row>
        <row r="38">
          <cell r="A38" t="str">
            <v>PT.UNEX RAJAWALI INDONESIA</v>
          </cell>
          <cell r="B38">
            <v>55750706</v>
          </cell>
        </row>
        <row r="39">
          <cell r="A39" t="str">
            <v xml:space="preserve">PT.CCIS </v>
          </cell>
          <cell r="B39">
            <v>57327418</v>
          </cell>
        </row>
        <row r="40">
          <cell r="A40" t="str">
            <v>MASAJI TATANAN CONTAINER,PT</v>
          </cell>
          <cell r="B40">
            <v>55294173</v>
          </cell>
        </row>
        <row r="41">
          <cell r="A41" t="str">
            <v>PT.SAMUDERA PACIFIC MAJU</v>
          </cell>
          <cell r="B41">
            <v>54000977</v>
          </cell>
        </row>
        <row r="42">
          <cell r="A42" t="str">
            <v>PT.KLINE MOBARU DIAMOND INDONESIA</v>
          </cell>
          <cell r="B42">
            <v>55732461</v>
          </cell>
        </row>
        <row r="43">
          <cell r="A43" t="str">
            <v>PT.MULTI BINA PURA INTERNATIONAL</v>
          </cell>
          <cell r="B43">
            <v>55102080</v>
          </cell>
        </row>
        <row r="44">
          <cell r="A44" t="str">
            <v>OKTO VIYANTO TAKESAN</v>
          </cell>
          <cell r="B44">
            <v>57316268</v>
          </cell>
        </row>
        <row r="45">
          <cell r="A45" t="str">
            <v>PT. GIHON INTERNATIONAL</v>
          </cell>
          <cell r="B45">
            <v>55777757</v>
          </cell>
        </row>
        <row r="46">
          <cell r="A46" t="str">
            <v>SEGARA PACIFIC MAJU,PT</v>
          </cell>
          <cell r="B46">
            <v>55315481</v>
          </cell>
        </row>
        <row r="47">
          <cell r="A47" t="str">
            <v>PT SANGGRAHA PINTAR LOGISTIK INDONESIA</v>
          </cell>
          <cell r="B47">
            <v>57303934</v>
          </cell>
        </row>
        <row r="48">
          <cell r="A48" t="str">
            <v>PT.KGL INDONESIA</v>
          </cell>
          <cell r="B48">
            <v>57329430</v>
          </cell>
        </row>
        <row r="49">
          <cell r="A49" t="str">
            <v>PT.APS INTERNASIONAL INDONESIA</v>
          </cell>
          <cell r="B49">
            <v>57330465</v>
          </cell>
        </row>
        <row r="50">
          <cell r="A50" t="str">
            <v>PT.BINTANG SAMUDERA ANGKASA</v>
          </cell>
          <cell r="B50">
            <v>57330457</v>
          </cell>
        </row>
        <row r="51">
          <cell r="A51" t="str">
            <v>PT. SENTRA SINAR BARU</v>
          </cell>
          <cell r="B51">
            <v>55683996</v>
          </cell>
        </row>
        <row r="52">
          <cell r="A52" t="str">
            <v>PT. DHARMA YUDHA PRATAMA</v>
          </cell>
          <cell r="B52">
            <v>56940472</v>
          </cell>
        </row>
        <row r="53">
          <cell r="A53" t="str">
            <v>CARDINDO CITRA BUANA, PT.</v>
          </cell>
          <cell r="B53">
            <v>52000130</v>
          </cell>
        </row>
        <row r="54">
          <cell r="A54" t="str">
            <v>KING FREIGHT INDONESIA, PT</v>
          </cell>
          <cell r="B54">
            <v>55314306</v>
          </cell>
        </row>
        <row r="55">
          <cell r="A55" t="str">
            <v>PT. SINAR JATIMITRA</v>
          </cell>
          <cell r="B55">
            <v>57327346</v>
          </cell>
        </row>
        <row r="56">
          <cell r="A56" t="str">
            <v>PT. SARANA PUBLIC LOGISTICS</v>
          </cell>
          <cell r="B56">
            <v>55751311</v>
          </cell>
        </row>
        <row r="57">
          <cell r="A57" t="str">
            <v>PT. PELOPOR PRATAMA LANCAR ABADI</v>
          </cell>
          <cell r="B57">
            <v>55696463</v>
          </cell>
        </row>
        <row r="58">
          <cell r="A58" t="str">
            <v>PT.BIMARUNA JAYA</v>
          </cell>
          <cell r="B58">
            <v>57178723</v>
          </cell>
        </row>
        <row r="59">
          <cell r="A59" t="str">
            <v>PT. SEACON TERMINAL</v>
          </cell>
          <cell r="B59">
            <v>57331249</v>
          </cell>
        </row>
        <row r="60">
          <cell r="A60" t="str">
            <v>PT TIRTA MANDIRI JASATAMA</v>
          </cell>
          <cell r="B60">
            <v>57330828</v>
          </cell>
        </row>
        <row r="61">
          <cell r="A61" t="str">
            <v>PT.BUNGA PLUM LOGISTIK</v>
          </cell>
          <cell r="B61">
            <v>57331345</v>
          </cell>
        </row>
        <row r="62">
          <cell r="A62" t="str">
            <v>PT.PERUSAHAAN PELAYARAN NUSANTARA PANURJWAN</v>
          </cell>
          <cell r="B62">
            <v>57334263</v>
          </cell>
        </row>
        <row r="63">
          <cell r="A63" t="str">
            <v>PT. NTL NAIGAI TRANS LINE INDONESIA</v>
          </cell>
          <cell r="B63">
            <v>55778291</v>
          </cell>
        </row>
        <row r="64">
          <cell r="A64" t="str">
            <v>PT. DAYA ANUGERAH SEMESTA</v>
          </cell>
          <cell r="B64">
            <v>57334714</v>
          </cell>
        </row>
        <row r="65">
          <cell r="A65" t="str">
            <v>PT NANKAI AGL</v>
          </cell>
          <cell r="B65">
            <v>57337860</v>
          </cell>
        </row>
        <row r="66">
          <cell r="A66" t="str">
            <v>PT. TRIJAYA CARGO TRANS</v>
          </cell>
          <cell r="B66">
            <v>57259427</v>
          </cell>
        </row>
        <row r="67">
          <cell r="A67" t="str">
            <v>PT LINTAS NIAGA JAYA</v>
          </cell>
          <cell r="B67">
            <v>57337886</v>
          </cell>
        </row>
        <row r="68">
          <cell r="A68" t="str">
            <v>PT.MCL TRANS INDONESIA</v>
          </cell>
          <cell r="B68">
            <v>57337878</v>
          </cell>
        </row>
        <row r="69">
          <cell r="A69" t="str">
            <v>PT. OOCL LOGISTICS INDONESIA</v>
          </cell>
          <cell r="B69">
            <v>57338379</v>
          </cell>
        </row>
        <row r="70">
          <cell r="A70" t="str">
            <v>PT.SEACON BINTANG SEJAHTERA</v>
          </cell>
          <cell r="B70">
            <v>57338387</v>
          </cell>
        </row>
        <row r="71">
          <cell r="A71" t="str">
            <v>JALAN BARU JALAN, PT</v>
          </cell>
          <cell r="B71">
            <v>57334992</v>
          </cell>
        </row>
        <row r="72">
          <cell r="A72" t="str">
            <v>PT. TOPASIA INTERNASIONAL LOGISTIK</v>
          </cell>
          <cell r="B72">
            <v>57338651</v>
          </cell>
        </row>
        <row r="73">
          <cell r="A73" t="str">
            <v>LOGISTIC SOLUTION INDONESIA, PT</v>
          </cell>
          <cell r="B73">
            <v>55291829</v>
          </cell>
        </row>
        <row r="74">
          <cell r="A74" t="str">
            <v>PT.DUTA ANGKASA PRIMA KARGO</v>
          </cell>
          <cell r="B74">
            <v>55339458</v>
          </cell>
        </row>
        <row r="75">
          <cell r="A75" t="str">
            <v>GAPURA ANGKASA, PT</v>
          </cell>
          <cell r="B75">
            <v>55307860</v>
          </cell>
        </row>
        <row r="76">
          <cell r="A76" t="str">
            <v>PT MEGA TOTAL TRANSPORTATION</v>
          </cell>
          <cell r="B76">
            <v>57341682</v>
          </cell>
        </row>
        <row r="77">
          <cell r="A77" t="str">
            <v>PT DEPO LAUTAN NUSANTARA</v>
          </cell>
          <cell r="B77">
            <v>57314060</v>
          </cell>
        </row>
        <row r="78">
          <cell r="A78" t="str">
            <v>UPS CARDIG INTERNATIONAL,PT.</v>
          </cell>
          <cell r="B78">
            <v>54001252</v>
          </cell>
        </row>
        <row r="79">
          <cell r="A79" t="str">
            <v>PT PELANGI BARU ANTARBENUA</v>
          </cell>
          <cell r="B79">
            <v>57200901</v>
          </cell>
        </row>
        <row r="80">
          <cell r="A80" t="str">
            <v>PT. GLORIOUS INTERBUANA FREIGHT FORWADER</v>
          </cell>
          <cell r="B80">
            <v>56166747</v>
          </cell>
        </row>
        <row r="81">
          <cell r="A81" t="str">
            <v>PT. PELANGI BAHARI ANUGERAHTAMA</v>
          </cell>
          <cell r="B81">
            <v>57342255</v>
          </cell>
        </row>
        <row r="82">
          <cell r="A82" t="str">
            <v>DELTA KONTAINER DEPOT</v>
          </cell>
          <cell r="B82">
            <v>55364717</v>
          </cell>
        </row>
        <row r="83">
          <cell r="A83" t="str">
            <v>PT.EFL GLOBAL INDONESIA</v>
          </cell>
          <cell r="B83">
            <v>57327274</v>
          </cell>
        </row>
        <row r="84">
          <cell r="A84" t="str">
            <v>PT. WAHANA DIRGANTARA</v>
          </cell>
          <cell r="B84">
            <v>55322912</v>
          </cell>
        </row>
        <row r="85">
          <cell r="A85" t="str">
            <v>PT. INTEGRA LINE INDONESIA JAKARTA</v>
          </cell>
          <cell r="B85">
            <v>57309658</v>
          </cell>
        </row>
        <row r="86">
          <cell r="A86" t="str">
            <v>TNR Ekspres Indonesia</v>
          </cell>
          <cell r="B86">
            <v>57349473</v>
          </cell>
        </row>
        <row r="87">
          <cell r="A87" t="str">
            <v>APL LOGISTICS, PT</v>
          </cell>
          <cell r="B87">
            <v>54000073</v>
          </cell>
        </row>
        <row r="88">
          <cell r="A88" t="str">
            <v>PT. CAHAYA MAS UTAMA</v>
          </cell>
          <cell r="B88">
            <v>57349844</v>
          </cell>
        </row>
        <row r="89">
          <cell r="A89" t="str">
            <v>PT. DUNIA EXPRESS TRANSINDO</v>
          </cell>
          <cell r="B89">
            <v>56301013</v>
          </cell>
        </row>
        <row r="90">
          <cell r="A90" t="str">
            <v>PT. TIGA SEKAWAN SUKSES EXPRESS</v>
          </cell>
          <cell r="B90">
            <v>57122092</v>
          </cell>
        </row>
        <row r="91">
          <cell r="A91" t="str">
            <v>PT.CEVA FREIGHT INDONESIA</v>
          </cell>
          <cell r="B91">
            <v>57257691</v>
          </cell>
        </row>
        <row r="92">
          <cell r="A92" t="str">
            <v>PT. ITOCHU LOGISTICS INDONESIA</v>
          </cell>
          <cell r="B92">
            <v>56923808</v>
          </cell>
        </row>
        <row r="93">
          <cell r="A93" t="str">
            <v>PT.BERDIRI MATAHARI LOGISTIK</v>
          </cell>
          <cell r="B93">
            <v>55732364</v>
          </cell>
        </row>
        <row r="94">
          <cell r="A94" t="str">
            <v>PT.JAMESON FREIGHT SEMESTA</v>
          </cell>
          <cell r="B94">
            <v>57350482</v>
          </cell>
        </row>
        <row r="95">
          <cell r="A95" t="str">
            <v>PT.AWARDS SHIPPING AGENCY INDONESIA</v>
          </cell>
          <cell r="B95">
            <v>57350511</v>
          </cell>
        </row>
        <row r="96">
          <cell r="A96" t="str">
            <v>GATEWAY CONTAINER LINE, PT</v>
          </cell>
          <cell r="B96">
            <v>55328978</v>
          </cell>
        </row>
        <row r="97">
          <cell r="A97" t="str">
            <v>PT. NCS LINE WORLD WIDE</v>
          </cell>
          <cell r="B97">
            <v>57353149</v>
          </cell>
        </row>
        <row r="98">
          <cell r="A98" t="str">
            <v>PT KURHANZ TRANS</v>
          </cell>
          <cell r="B98">
            <v>57353317</v>
          </cell>
        </row>
        <row r="99">
          <cell r="A99" t="str">
            <v>PT HANDAL JAYA SERVICE</v>
          </cell>
          <cell r="B99">
            <v>57309391</v>
          </cell>
        </row>
        <row r="100">
          <cell r="A100" t="str">
            <v>PT DUNIA LOGISTIK</v>
          </cell>
          <cell r="B100">
            <v>57349553</v>
          </cell>
        </row>
        <row r="101">
          <cell r="A101" t="str">
            <v>PT.WIDI MEGA LOGISTIK INDONESIA</v>
          </cell>
          <cell r="B101">
            <v>57357545</v>
          </cell>
        </row>
        <row r="102">
          <cell r="A102" t="str">
            <v>AIRIN, PT</v>
          </cell>
          <cell r="B102">
            <v>55314293</v>
          </cell>
        </row>
        <row r="103">
          <cell r="A103" t="str">
            <v>PT.EVERGREEN SHIPPING AGENCY INDONESIA</v>
          </cell>
          <cell r="B103">
            <v>57314086</v>
          </cell>
        </row>
        <row r="104">
          <cell r="A104" t="str">
            <v>BINTANG LOGISTIK INDONUSA. PT</v>
          </cell>
          <cell r="B104">
            <v>57358222</v>
          </cell>
        </row>
        <row r="105">
          <cell r="A105" t="str">
            <v>PT PAM TRANSPOR INDONESIA</v>
          </cell>
          <cell r="B105">
            <v>57358214</v>
          </cell>
        </row>
        <row r="106">
          <cell r="A106" t="str">
            <v>OCEAN NETWORK EXPRESS Pte.Ltd</v>
          </cell>
          <cell r="B106">
            <v>57179646</v>
          </cell>
        </row>
        <row r="107">
          <cell r="A107" t="str">
            <v>PT.FAJAR BUANA INTERNUSA TRANS</v>
          </cell>
          <cell r="B107">
            <v>57358231</v>
          </cell>
        </row>
        <row r="108">
          <cell r="A108" t="str">
            <v>GPI LOGISTICS,PT</v>
          </cell>
          <cell r="B108">
            <v>54000435</v>
          </cell>
        </row>
        <row r="109">
          <cell r="A109" t="str">
            <v>PT.BSA LOGISTICS INDONESIA</v>
          </cell>
          <cell r="B109">
            <v>57361165</v>
          </cell>
        </row>
        <row r="110">
          <cell r="A110" t="str">
            <v>PT.YASUDA LOGISTICS INDONESIA</v>
          </cell>
          <cell r="B110">
            <v>57362088</v>
          </cell>
        </row>
        <row r="111">
          <cell r="A111" t="str">
            <v>PT.DHL GLOBAL FORWARDING INDONESIA</v>
          </cell>
          <cell r="B111">
            <v>55401143</v>
          </cell>
        </row>
        <row r="112">
          <cell r="A112" t="str">
            <v>NPH MUSTIKA ALAM LESTARI</v>
          </cell>
          <cell r="B112">
            <v>57369301</v>
          </cell>
        </row>
        <row r="113">
          <cell r="A113" t="str">
            <v>PT. YAMATO INDONESIA FORWARDING</v>
          </cell>
          <cell r="B113">
            <v>57369327</v>
          </cell>
        </row>
        <row r="114">
          <cell r="A114" t="str">
            <v>PT.FIRSTINDO EXPRESS</v>
          </cell>
          <cell r="B114">
            <v>57369458</v>
          </cell>
        </row>
        <row r="115">
          <cell r="A115" t="str">
            <v>PT.FREIGHT CARGO LOGISTICS</v>
          </cell>
          <cell r="B115">
            <v>57370096</v>
          </cell>
        </row>
        <row r="116">
          <cell r="A116" t="str">
            <v>PT.WELGROW INDOPERSADA</v>
          </cell>
          <cell r="B116">
            <v>57372358</v>
          </cell>
        </row>
        <row r="117">
          <cell r="A117" t="str">
            <v>PT. WINGS LOGISTICS</v>
          </cell>
          <cell r="B117">
            <v>57376068</v>
          </cell>
        </row>
        <row r="118">
          <cell r="A118" t="str">
            <v>PT. DGL EXPEDISI INDONESIA</v>
          </cell>
          <cell r="B118">
            <v>57388798</v>
          </cell>
        </row>
        <row r="119">
          <cell r="A119" t="str">
            <v>PT.NITTSU LEMO INDONESIA LOGISTIK</v>
          </cell>
          <cell r="B119">
            <v>54000816</v>
          </cell>
        </row>
        <row r="120">
          <cell r="A120" t="str">
            <v>PT. MAJU DEPO LOGISTIK</v>
          </cell>
          <cell r="B120">
            <v>57388966</v>
          </cell>
        </row>
        <row r="121">
          <cell r="A121" t="str">
            <v>PT. YUSEN LOGISTIC INDONESIA</v>
          </cell>
          <cell r="B121">
            <v>57350440</v>
          </cell>
        </row>
        <row r="122">
          <cell r="A122" t="str">
            <v>PT. TISCO SINDO LOGISTICS</v>
          </cell>
          <cell r="B122">
            <v>57403020</v>
          </cell>
        </row>
        <row r="123">
          <cell r="A123" t="str">
            <v>PT. TANJUNG PERAK SWADAYA</v>
          </cell>
          <cell r="B123">
            <v>57403185</v>
          </cell>
        </row>
        <row r="124">
          <cell r="A124" t="str">
            <v>PT. LOGISTIK KARYA BERMITRA</v>
          </cell>
          <cell r="B124">
            <v>57404874</v>
          </cell>
        </row>
        <row r="125">
          <cell r="A125" t="str">
            <v>PT. SOLID LOGISTICS</v>
          </cell>
          <cell r="B125">
            <v>57405551</v>
          </cell>
        </row>
        <row r="126">
          <cell r="A126" t="str">
            <v>PT.KMDI CONTAINER DEPOT</v>
          </cell>
          <cell r="B126">
            <v>57408832</v>
          </cell>
        </row>
        <row r="127">
          <cell r="A127" t="str">
            <v>PT. DWIPA KHARISMA MITRA</v>
          </cell>
          <cell r="B127">
            <v>55379020</v>
          </cell>
        </row>
        <row r="128">
          <cell r="A128" t="str">
            <v>PT. SINERGI BAHTERA MITRA</v>
          </cell>
          <cell r="B128">
            <v>57423549</v>
          </cell>
        </row>
        <row r="129">
          <cell r="A129" t="str">
            <v>PT. SIMA BINTANG NIAGA</v>
          </cell>
          <cell r="B129">
            <v>57423733</v>
          </cell>
        </row>
        <row r="130">
          <cell r="A130" t="str">
            <v>PT. FORECASTLE INDONESIA</v>
          </cell>
          <cell r="B130">
            <v>57423741</v>
          </cell>
        </row>
        <row r="131">
          <cell r="A131" t="str">
            <v>KRISTYAN ANDI BAYU</v>
          </cell>
          <cell r="B131">
            <v>57430589</v>
          </cell>
        </row>
        <row r="132">
          <cell r="A132" t="str">
            <v>PT NIPPON EXPRESS INDONESIA</v>
          </cell>
          <cell r="B132">
            <v>57430722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..\BEACUKAI\NUNUNG\cost%202023.xlsm" TargetMode="External"/><Relationship Id="rId2" Type="http://schemas.openxmlformats.org/officeDocument/2006/relationships/hyperlink" Target="..\..\..\RPA%20Dokumen" TargetMode="External"/><Relationship Id="rId1" Type="http://schemas.openxmlformats.org/officeDocument/2006/relationships/hyperlink" Target="../../../IT%20&amp;%20DT/1.%20File%20RPA/1.%20Create%20OW%20FARIDA/RPA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RP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4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19</v>
      </c>
      <c r="FZ1">
        <f ca="1">TODAY()</f>
        <v>45349</v>
      </c>
      <c r="GA1" s="7" t="str">
        <f ca="1">$GA$2&amp;$GA$3&amp;RIGHT($GA$4,2)</f>
        <v>27Feb24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27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54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ht="15.75" thickBot="1" x14ac:dyDescent="0.3">
      <c r="A5" s="1"/>
      <c r="B5" s="1"/>
      <c r="GB5">
        <v>5</v>
      </c>
      <c r="GC5" t="s">
        <v>8</v>
      </c>
    </row>
    <row r="6" spans="1:185" ht="15.75" thickBot="1" x14ac:dyDescent="0.3">
      <c r="A6" s="1"/>
      <c r="B6" s="1"/>
      <c r="K6" s="42" t="s">
        <v>16</v>
      </c>
      <c r="L6" s="43"/>
      <c r="GB6">
        <v>6</v>
      </c>
      <c r="GC6" t="s">
        <v>9</v>
      </c>
    </row>
    <row r="7" spans="1:185" ht="14.45" customHeight="1" x14ac:dyDescent="0.25">
      <c r="A7" s="1"/>
      <c r="B7" s="1"/>
      <c r="K7" s="2" t="s">
        <v>3</v>
      </c>
      <c r="L7" s="9" t="s">
        <v>20</v>
      </c>
      <c r="GB7">
        <v>7</v>
      </c>
      <c r="GC7" t="s">
        <v>10</v>
      </c>
    </row>
    <row r="8" spans="1:185" x14ac:dyDescent="0.25">
      <c r="A8" s="1"/>
      <c r="B8" s="1"/>
      <c r="K8" s="4" t="s">
        <v>0</v>
      </c>
      <c r="L8" s="5" t="s">
        <v>17</v>
      </c>
      <c r="GB8">
        <v>8</v>
      </c>
      <c r="GC8" t="s">
        <v>11</v>
      </c>
    </row>
    <row r="9" spans="1:185" ht="15.75" thickBot="1" x14ac:dyDescent="0.3">
      <c r="A9" s="1"/>
      <c r="B9" s="1"/>
      <c r="K9" s="3" t="s">
        <v>1</v>
      </c>
      <c r="L9" s="6" t="s">
        <v>18</v>
      </c>
      <c r="GB9">
        <v>9</v>
      </c>
      <c r="GC9" t="s">
        <v>12</v>
      </c>
    </row>
    <row r="10" spans="1:185" x14ac:dyDescent="0.25">
      <c r="A10" s="1"/>
      <c r="B10" s="1"/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L12" s="8" t="s">
        <v>23</v>
      </c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  <c r="L13" t="s">
        <v>22</v>
      </c>
    </row>
    <row r="14" spans="1:185" x14ac:dyDescent="0.25">
      <c r="A14" s="1"/>
      <c r="B14" s="1"/>
    </row>
    <row r="15" spans="1:185" x14ac:dyDescent="0.25">
      <c r="A15" s="1"/>
      <c r="B15" s="1"/>
      <c r="K15" s="16" t="s">
        <v>46</v>
      </c>
      <c r="L15" s="8" t="s">
        <v>49</v>
      </c>
    </row>
    <row r="16" spans="1:185" x14ac:dyDescent="0.25">
      <c r="A16" s="1"/>
      <c r="B16" s="1"/>
      <c r="K16" s="16" t="s">
        <v>47</v>
      </c>
      <c r="L16" t="s">
        <v>48</v>
      </c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mergeCells count="1">
    <mergeCell ref="K6:L6"/>
  </mergeCells>
  <phoneticPr fontId="1" type="noConversion"/>
  <hyperlinks>
    <hyperlink ref="L7" r:id="rId1" xr:uid="{00000000-0004-0000-0000-000000000000}"/>
    <hyperlink ref="L1" r:id="rId2" xr:uid="{00000000-0004-0000-0000-000001000000}"/>
    <hyperlink ref="L12" r:id="rId3" xr:uid="{00000000-0004-0000-0000-000002000000}"/>
    <hyperlink ref="L15" r:id="rId4" xr:uid="{57606471-E754-42E4-BB30-7E4694783637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B0697-D985-4C94-84F1-621E1FF14FEB}">
  <dimension ref="A1:W3"/>
  <sheetViews>
    <sheetView topLeftCell="H1" workbookViewId="0"/>
  </sheetViews>
  <sheetFormatPr defaultRowHeight="15" x14ac:dyDescent="0.25"/>
  <cols>
    <col min="1" max="1" width="32.28515625" bestFit="1" customWidth="1"/>
    <col min="2" max="2" width="16" bestFit="1" customWidth="1"/>
    <col min="3" max="3" width="8" bestFit="1" customWidth="1"/>
    <col min="5" max="5" width="10.7109375" bestFit="1" customWidth="1"/>
    <col min="6" max="6" width="17.85546875" bestFit="1" customWidth="1"/>
    <col min="7" max="7" width="19.5703125" bestFit="1" customWidth="1"/>
    <col min="8" max="8" width="12.7109375" bestFit="1" customWidth="1"/>
    <col min="9" max="9" width="15.5703125" bestFit="1" customWidth="1"/>
    <col min="10" max="10" width="15.28515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  <col min="16" max="16" width="10.28515625" bestFit="1" customWidth="1"/>
    <col min="17" max="17" width="14.140625" bestFit="1" customWidth="1"/>
    <col min="19" max="19" width="4.28515625" bestFit="1" customWidth="1"/>
    <col min="20" max="20" width="19.140625" bestFit="1" customWidth="1"/>
    <col min="22" max="22" width="12.42578125" bestFit="1" customWidth="1"/>
    <col min="23" max="23" width="11.7109375" bestFit="1" customWidth="1"/>
  </cols>
  <sheetData>
    <row r="1" spans="1:23" x14ac:dyDescent="0.25">
      <c r="A1" s="13" t="s">
        <v>27</v>
      </c>
      <c r="B1" s="14" t="s">
        <v>28</v>
      </c>
      <c r="C1" s="13" t="s">
        <v>29</v>
      </c>
      <c r="D1" s="13" t="s">
        <v>30</v>
      </c>
      <c r="E1" s="11" t="s">
        <v>31</v>
      </c>
      <c r="F1" s="11" t="s">
        <v>32</v>
      </c>
      <c r="G1" s="13" t="s">
        <v>33</v>
      </c>
      <c r="H1" s="13" t="s">
        <v>34</v>
      </c>
      <c r="I1" s="12" t="s">
        <v>35</v>
      </c>
      <c r="J1" s="12" t="s">
        <v>36</v>
      </c>
      <c r="K1" s="12" t="s">
        <v>37</v>
      </c>
      <c r="L1" s="13" t="s">
        <v>38</v>
      </c>
      <c r="M1" s="13" t="s">
        <v>39</v>
      </c>
      <c r="N1" s="13" t="s">
        <v>40</v>
      </c>
      <c r="O1" s="13" t="s">
        <v>41</v>
      </c>
      <c r="P1" s="13" t="s">
        <v>42</v>
      </c>
      <c r="Q1" s="13" t="s">
        <v>43</v>
      </c>
      <c r="S1" t="s">
        <v>44</v>
      </c>
      <c r="T1" t="s">
        <v>45</v>
      </c>
      <c r="V1" t="s">
        <v>87</v>
      </c>
      <c r="W1" t="s">
        <v>88</v>
      </c>
    </row>
    <row r="2" spans="1:23" x14ac:dyDescent="0.25">
      <c r="A2" t="s">
        <v>55</v>
      </c>
      <c r="B2" s="17">
        <f>IF(A2&lt;&gt;"",VLOOKUP(A2,'[1]Database Supplier'!A:B,2,0),"")</f>
        <v>55229662</v>
      </c>
      <c r="C2">
        <v>1201</v>
      </c>
      <c r="D2" t="s">
        <v>24</v>
      </c>
      <c r="E2" s="15">
        <v>45349</v>
      </c>
      <c r="F2" s="15">
        <v>45352</v>
      </c>
      <c r="G2" t="s">
        <v>56</v>
      </c>
      <c r="H2" t="s">
        <v>57</v>
      </c>
      <c r="I2">
        <v>1</v>
      </c>
      <c r="J2">
        <v>8254537</v>
      </c>
      <c r="K2" t="s">
        <v>25</v>
      </c>
      <c r="L2" t="s">
        <v>25</v>
      </c>
      <c r="M2" t="s">
        <v>26</v>
      </c>
      <c r="N2" s="19" t="s">
        <v>58</v>
      </c>
      <c r="O2" s="18" t="s">
        <v>50</v>
      </c>
      <c r="P2" s="18" t="s">
        <v>51</v>
      </c>
      <c r="Q2" s="18" t="s">
        <v>53</v>
      </c>
      <c r="T2" s="18" t="s">
        <v>59</v>
      </c>
      <c r="V2">
        <v>24001461</v>
      </c>
      <c r="W2">
        <f>IFERROR(IF(V2&lt;&gt;"",VLOOKUP(V2,Bantuan!C:I,7,0),""),"")</f>
        <v>24001275</v>
      </c>
    </row>
    <row r="3" spans="1:23" x14ac:dyDescent="0.25">
      <c r="A3" s="1" t="s">
        <v>60</v>
      </c>
      <c r="B3" s="17">
        <f>IF(A3&lt;&gt;"",VLOOKUP(A3,'[1]Database Supplier'!A:B,2,0),"")</f>
        <v>57404874</v>
      </c>
      <c r="C3">
        <v>1201</v>
      </c>
      <c r="D3" t="s">
        <v>24</v>
      </c>
      <c r="E3" s="15">
        <v>45349</v>
      </c>
      <c r="F3" s="15">
        <v>45352</v>
      </c>
      <c r="G3" t="s">
        <v>56</v>
      </c>
      <c r="H3" t="s">
        <v>61</v>
      </c>
      <c r="I3">
        <v>1</v>
      </c>
      <c r="J3">
        <v>528500</v>
      </c>
      <c r="K3" t="s">
        <v>25</v>
      </c>
      <c r="L3" t="s">
        <v>25</v>
      </c>
      <c r="M3" t="s">
        <v>26</v>
      </c>
      <c r="N3" s="19" t="s">
        <v>58</v>
      </c>
      <c r="O3" s="18" t="s">
        <v>50</v>
      </c>
      <c r="P3" s="18" t="s">
        <v>51</v>
      </c>
      <c r="Q3" s="18" t="s">
        <v>52</v>
      </c>
      <c r="T3" t="s">
        <v>62</v>
      </c>
      <c r="V3">
        <v>24001462</v>
      </c>
      <c r="W3">
        <f>IFERROR(IF(V3&lt;&gt;"",VLOOKUP(V3,Bantuan!C:I,7,0),""),"")</f>
        <v>24001276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FCDA-19F4-45C9-88F4-19ED45D41BFE}">
  <dimension ref="A1:AF3"/>
  <sheetViews>
    <sheetView workbookViewId="0"/>
  </sheetViews>
  <sheetFormatPr defaultRowHeight="15" x14ac:dyDescent="0.25"/>
  <cols>
    <col min="1" max="1" width="9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style="41" bestFit="1" customWidth="1"/>
    <col min="6" max="6" width="17.5703125" style="41" bestFit="1" customWidth="1"/>
    <col min="7" max="7" width="19.5703125" bestFit="1" customWidth="1"/>
    <col min="8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2" bestFit="1" customWidth="1"/>
    <col min="19" max="19" width="4.28515625" bestFit="1" customWidth="1"/>
    <col min="20" max="20" width="14.85546875" bestFit="1" customWidth="1"/>
    <col min="21" max="21" width="29.42578125" bestFit="1" customWidth="1"/>
    <col min="22" max="22" width="14.85546875" bestFit="1" customWidth="1"/>
    <col min="27" max="27" width="9" bestFit="1" customWidth="1"/>
  </cols>
  <sheetData>
    <row r="1" spans="1:32" s="7" customFormat="1" x14ac:dyDescent="0.25">
      <c r="A1" s="20" t="s">
        <v>63</v>
      </c>
      <c r="B1" s="7" t="s">
        <v>28</v>
      </c>
      <c r="C1" s="7" t="s">
        <v>29</v>
      </c>
      <c r="D1" s="7" t="s">
        <v>30</v>
      </c>
      <c r="E1" s="40" t="s">
        <v>31</v>
      </c>
      <c r="F1" s="40" t="s">
        <v>32</v>
      </c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  <c r="S1" s="7" t="s">
        <v>44</v>
      </c>
      <c r="T1" s="7" t="s">
        <v>45</v>
      </c>
      <c r="AA1"/>
      <c r="AB1"/>
      <c r="AC1"/>
      <c r="AD1" s="15"/>
      <c r="AE1" s="15"/>
      <c r="AF1"/>
    </row>
    <row r="2" spans="1:32" x14ac:dyDescent="0.25">
      <c r="A2">
        <v>24001461</v>
      </c>
      <c r="B2">
        <v>55229662</v>
      </c>
      <c r="C2">
        <v>1201</v>
      </c>
      <c r="D2" t="s">
        <v>24</v>
      </c>
      <c r="E2" s="41">
        <v>45349</v>
      </c>
      <c r="F2" s="41">
        <v>45352</v>
      </c>
      <c r="G2" t="s">
        <v>56</v>
      </c>
      <c r="H2" t="s">
        <v>57</v>
      </c>
      <c r="I2">
        <v>1</v>
      </c>
      <c r="J2">
        <v>8254537</v>
      </c>
      <c r="K2" t="s">
        <v>25</v>
      </c>
      <c r="L2" t="s">
        <v>25</v>
      </c>
      <c r="M2" t="s">
        <v>26</v>
      </c>
      <c r="N2" t="s">
        <v>58</v>
      </c>
      <c r="O2" t="s">
        <v>50</v>
      </c>
      <c r="P2" t="s">
        <v>51</v>
      </c>
      <c r="Q2" t="s">
        <v>53</v>
      </c>
      <c r="AD2" s="15"/>
      <c r="AE2" s="15"/>
    </row>
    <row r="3" spans="1:32" x14ac:dyDescent="0.25">
      <c r="A3">
        <v>24001462</v>
      </c>
      <c r="B3">
        <v>57404874</v>
      </c>
      <c r="C3">
        <v>1201</v>
      </c>
      <c r="D3" t="s">
        <v>24</v>
      </c>
      <c r="E3" s="41">
        <v>45349</v>
      </c>
      <c r="F3" s="41">
        <v>45352</v>
      </c>
      <c r="G3" t="s">
        <v>56</v>
      </c>
      <c r="H3" t="s">
        <v>61</v>
      </c>
      <c r="I3">
        <v>1</v>
      </c>
      <c r="J3">
        <v>528500</v>
      </c>
      <c r="K3" t="s">
        <v>25</v>
      </c>
      <c r="L3" t="s">
        <v>25</v>
      </c>
      <c r="M3" t="s">
        <v>26</v>
      </c>
      <c r="N3" t="s">
        <v>58</v>
      </c>
      <c r="O3" t="s">
        <v>50</v>
      </c>
      <c r="P3" t="s">
        <v>51</v>
      </c>
      <c r="Q3" t="s">
        <v>52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96D5-8504-4C2F-904C-D79F04AA8503}">
  <dimension ref="A2:O259"/>
  <sheetViews>
    <sheetView workbookViewId="0"/>
  </sheetViews>
  <sheetFormatPr defaultRowHeight="15" x14ac:dyDescent="0.25"/>
  <cols>
    <col min="1" max="1" width="6.7109375" style="28" bestFit="1" customWidth="1"/>
    <col min="2" max="2" width="9" bestFit="1" customWidth="1"/>
    <col min="3" max="3" width="13.140625" bestFit="1" customWidth="1"/>
    <col min="4" max="4" width="5" bestFit="1" customWidth="1"/>
    <col min="5" max="5" width="8.85546875" bestFit="1" customWidth="1"/>
    <col min="6" max="6" width="20.85546875" bestFit="1" customWidth="1"/>
    <col min="7" max="7" width="32.28515625" bestFit="1" customWidth="1"/>
    <col min="9" max="9" width="9" style="25" bestFit="1" customWidth="1"/>
    <col min="10" max="10" width="10.28515625" style="25" bestFit="1" customWidth="1"/>
    <col min="11" max="11" width="13.28515625" style="25" bestFit="1" customWidth="1"/>
    <col min="12" max="12" width="11.5703125" bestFit="1" customWidth="1"/>
    <col min="13" max="13" width="4.42578125" bestFit="1" customWidth="1"/>
    <col min="14" max="14" width="7" bestFit="1" customWidth="1"/>
  </cols>
  <sheetData>
    <row r="2" spans="1:15" ht="16.5" x14ac:dyDescent="0.35">
      <c r="A2" s="26"/>
      <c r="B2" s="21"/>
      <c r="C2" s="46" t="s">
        <v>71</v>
      </c>
      <c r="D2" s="46"/>
      <c r="E2" s="46"/>
      <c r="F2" s="46"/>
      <c r="G2" s="46"/>
      <c r="H2" s="46"/>
      <c r="I2" s="46"/>
      <c r="J2" s="46"/>
      <c r="K2" s="23"/>
      <c r="L2" s="21"/>
      <c r="M2" s="21"/>
      <c r="N2" s="21"/>
    </row>
    <row r="3" spans="1:15" ht="16.5" x14ac:dyDescent="0.35">
      <c r="A3" s="26" t="s">
        <v>86</v>
      </c>
      <c r="B3" s="21"/>
      <c r="C3" s="21"/>
      <c r="D3" s="21"/>
      <c r="E3" s="21"/>
      <c r="F3" s="21"/>
      <c r="G3" s="21"/>
      <c r="H3" s="21"/>
      <c r="I3" s="23"/>
      <c r="J3" s="23"/>
      <c r="K3" s="23"/>
      <c r="L3" s="21"/>
      <c r="M3" s="21"/>
      <c r="N3" s="21"/>
    </row>
    <row r="4" spans="1:15" ht="16.5" x14ac:dyDescent="0.35">
      <c r="A4" s="26"/>
      <c r="B4" s="21"/>
      <c r="C4" s="21"/>
      <c r="D4" s="21"/>
      <c r="E4" s="21"/>
      <c r="F4" s="21"/>
      <c r="G4" s="21"/>
      <c r="H4" s="21"/>
      <c r="I4" s="23"/>
      <c r="J4" s="23"/>
      <c r="K4" s="23"/>
      <c r="L4" s="21"/>
      <c r="M4" s="21"/>
      <c r="N4" s="21"/>
    </row>
    <row r="5" spans="1:15" ht="16.5" x14ac:dyDescent="0.25">
      <c r="A5" s="47" t="s">
        <v>72</v>
      </c>
      <c r="B5" s="44" t="s">
        <v>63</v>
      </c>
      <c r="C5" s="44" t="s">
        <v>73</v>
      </c>
      <c r="D5" s="29" t="s">
        <v>74</v>
      </c>
      <c r="E5" s="29" t="s">
        <v>76</v>
      </c>
      <c r="F5" s="44" t="s">
        <v>78</v>
      </c>
      <c r="G5" s="44" t="s">
        <v>79</v>
      </c>
      <c r="H5" s="29"/>
      <c r="I5" s="45" t="s">
        <v>80</v>
      </c>
      <c r="J5" s="45"/>
      <c r="K5" s="45" t="s">
        <v>82</v>
      </c>
      <c r="L5" s="44" t="s">
        <v>83</v>
      </c>
      <c r="M5" s="44" t="s">
        <v>44</v>
      </c>
      <c r="N5" s="44" t="s">
        <v>84</v>
      </c>
      <c r="O5" s="30"/>
    </row>
    <row r="6" spans="1:15" ht="16.5" x14ac:dyDescent="0.25">
      <c r="A6" s="47"/>
      <c r="B6" s="44"/>
      <c r="C6" s="44"/>
      <c r="D6" s="29" t="s">
        <v>75</v>
      </c>
      <c r="E6" s="29" t="s">
        <v>77</v>
      </c>
      <c r="F6" s="44"/>
      <c r="G6" s="44"/>
      <c r="H6" s="29"/>
      <c r="I6" s="31" t="s">
        <v>81</v>
      </c>
      <c r="J6" s="31" t="s">
        <v>24</v>
      </c>
      <c r="K6" s="45"/>
      <c r="L6" s="44"/>
      <c r="M6" s="44"/>
      <c r="N6" s="44"/>
      <c r="O6" s="30"/>
    </row>
    <row r="7" spans="1:15" x14ac:dyDescent="0.25">
      <c r="A7" s="32">
        <v>45349</v>
      </c>
      <c r="B7" s="33">
        <v>24001461</v>
      </c>
      <c r="C7" s="33"/>
      <c r="D7" s="33"/>
      <c r="E7" s="33"/>
      <c r="F7" s="33" t="s">
        <v>56</v>
      </c>
      <c r="G7" s="33" t="s">
        <v>55</v>
      </c>
      <c r="H7" s="33"/>
      <c r="I7" s="34">
        <v>165090.74</v>
      </c>
      <c r="J7" s="34">
        <v>8254537</v>
      </c>
      <c r="K7" s="34">
        <v>8089446.2599999998</v>
      </c>
      <c r="L7" s="33" t="s">
        <v>57</v>
      </c>
      <c r="M7" s="33" t="s">
        <v>85</v>
      </c>
      <c r="N7" s="30" t="s">
        <v>85</v>
      </c>
      <c r="O7" s="30"/>
    </row>
    <row r="8" spans="1:15" x14ac:dyDescent="0.25">
      <c r="A8" s="32"/>
      <c r="B8" s="33"/>
      <c r="C8" s="33"/>
      <c r="D8" s="33"/>
      <c r="E8" s="33"/>
      <c r="F8" s="33"/>
      <c r="G8" s="33"/>
      <c r="H8" s="33"/>
      <c r="I8" s="34"/>
      <c r="J8" s="34"/>
      <c r="K8" s="34">
        <v>90800</v>
      </c>
      <c r="L8" s="33"/>
      <c r="M8" s="33"/>
      <c r="N8" s="30"/>
      <c r="O8" s="30"/>
    </row>
    <row r="9" spans="1:15" x14ac:dyDescent="0.25">
      <c r="A9" s="32"/>
      <c r="B9" s="33"/>
      <c r="C9" s="33"/>
      <c r="D9" s="33"/>
      <c r="E9" s="33"/>
      <c r="F9" s="33"/>
      <c r="G9" s="33"/>
      <c r="H9" s="33"/>
      <c r="I9" s="34"/>
      <c r="J9" s="34"/>
      <c r="K9" s="35">
        <f>SUM(K7:K8)</f>
        <v>8180246.2599999998</v>
      </c>
      <c r="L9" s="33"/>
      <c r="M9" s="33"/>
      <c r="N9" s="30"/>
      <c r="O9" s="30"/>
    </row>
    <row r="10" spans="1:15" x14ac:dyDescent="0.25">
      <c r="A10" s="32">
        <v>45349</v>
      </c>
      <c r="B10" s="33">
        <v>24001462</v>
      </c>
      <c r="C10" s="36"/>
      <c r="D10" s="36"/>
      <c r="E10" s="36"/>
      <c r="F10" s="33" t="s">
        <v>56</v>
      </c>
      <c r="G10" s="36" t="s">
        <v>60</v>
      </c>
      <c r="H10" s="36"/>
      <c r="I10" s="37">
        <v>10570</v>
      </c>
      <c r="J10" s="34">
        <v>528500</v>
      </c>
      <c r="K10" s="37">
        <v>517930</v>
      </c>
      <c r="L10" s="33" t="s">
        <v>61</v>
      </c>
      <c r="M10" s="36" t="s">
        <v>85</v>
      </c>
      <c r="N10" s="38" t="s">
        <v>85</v>
      </c>
      <c r="O10" s="30"/>
    </row>
    <row r="11" spans="1:15" x14ac:dyDescent="0.25">
      <c r="A11" s="39"/>
      <c r="B11" s="36"/>
      <c r="C11" s="36"/>
      <c r="D11" s="36"/>
      <c r="E11" s="36"/>
      <c r="F11" s="36"/>
      <c r="G11" s="36"/>
      <c r="H11" s="36"/>
      <c r="I11" s="37"/>
      <c r="J11" s="37"/>
      <c r="K11" s="37">
        <v>58135</v>
      </c>
      <c r="L11" s="36"/>
      <c r="M11" s="36"/>
      <c r="N11" s="38"/>
      <c r="O11" s="30"/>
    </row>
    <row r="12" spans="1:15" x14ac:dyDescent="0.25">
      <c r="A12" s="39"/>
      <c r="B12" s="36"/>
      <c r="C12" s="36"/>
      <c r="D12" s="36"/>
      <c r="E12" s="36"/>
      <c r="F12" s="36"/>
      <c r="G12" s="36"/>
      <c r="H12" s="36"/>
      <c r="I12" s="37"/>
      <c r="J12" s="37"/>
      <c r="K12" s="35">
        <f>SUM(K10:K11)</f>
        <v>576065</v>
      </c>
      <c r="L12" s="36"/>
      <c r="M12" s="36"/>
      <c r="N12" s="38"/>
      <c r="O12" s="30"/>
    </row>
    <row r="13" spans="1:15" x14ac:dyDescent="0.25">
      <c r="A13" s="27"/>
      <c r="B13" s="22"/>
      <c r="C13" s="22"/>
      <c r="D13" s="22"/>
      <c r="E13" s="22"/>
      <c r="F13" s="22"/>
      <c r="G13" s="22"/>
      <c r="H13" s="22"/>
      <c r="I13" s="24"/>
      <c r="J13" s="24"/>
      <c r="K13" s="24"/>
      <c r="L13" s="22"/>
      <c r="M13" s="22"/>
      <c r="N13" s="22"/>
    </row>
    <row r="14" spans="1:15" x14ac:dyDescent="0.25">
      <c r="A14" s="27"/>
      <c r="B14" s="22"/>
      <c r="C14" s="22"/>
      <c r="D14" s="22"/>
      <c r="E14" s="22"/>
      <c r="F14" s="22"/>
      <c r="G14" s="22"/>
      <c r="H14" s="22"/>
      <c r="I14" s="24"/>
      <c r="J14" s="24"/>
      <c r="K14" s="24"/>
      <c r="L14" s="22"/>
      <c r="M14" s="22"/>
      <c r="N14" s="22"/>
    </row>
    <row r="15" spans="1:15" x14ac:dyDescent="0.25">
      <c r="A15" s="27"/>
      <c r="B15" s="22"/>
      <c r="C15" s="22"/>
      <c r="D15" s="22"/>
      <c r="E15" s="22"/>
      <c r="F15" s="22"/>
      <c r="G15" s="22"/>
      <c r="H15" s="22"/>
      <c r="I15" s="24"/>
      <c r="J15" s="24"/>
      <c r="K15" s="24"/>
      <c r="L15" s="22"/>
      <c r="M15" s="22"/>
      <c r="N15" s="22"/>
    </row>
    <row r="16" spans="1:15" x14ac:dyDescent="0.25">
      <c r="A16" s="27"/>
      <c r="B16" s="22"/>
      <c r="C16" s="22"/>
      <c r="D16" s="22"/>
      <c r="E16" s="22"/>
      <c r="F16" s="22"/>
      <c r="G16" s="22"/>
      <c r="H16" s="22"/>
      <c r="I16" s="24"/>
      <c r="J16" s="24"/>
      <c r="K16" s="24"/>
      <c r="L16" s="22"/>
      <c r="M16" s="22"/>
      <c r="N16" s="22"/>
    </row>
    <row r="17" spans="1:14" x14ac:dyDescent="0.25">
      <c r="A17" s="27"/>
      <c r="B17" s="22"/>
      <c r="C17" s="22"/>
      <c r="D17" s="22"/>
      <c r="E17" s="22"/>
      <c r="F17" s="22"/>
      <c r="G17" s="22"/>
      <c r="H17" s="22"/>
      <c r="I17" s="24"/>
      <c r="J17" s="24"/>
      <c r="K17" s="24"/>
      <c r="L17" s="22"/>
      <c r="M17" s="22"/>
      <c r="N17" s="22"/>
    </row>
    <row r="18" spans="1:14" x14ac:dyDescent="0.25">
      <c r="A18" s="27"/>
      <c r="B18" s="22"/>
      <c r="C18" s="22"/>
      <c r="D18" s="22"/>
      <c r="E18" s="22"/>
      <c r="F18" s="22"/>
      <c r="G18" s="22"/>
      <c r="H18" s="22"/>
      <c r="I18" s="24"/>
      <c r="J18" s="24"/>
      <c r="K18" s="24"/>
      <c r="L18" s="22"/>
      <c r="M18" s="22"/>
      <c r="N18" s="22"/>
    </row>
    <row r="19" spans="1:14" x14ac:dyDescent="0.25">
      <c r="A19" s="27"/>
      <c r="B19" s="22"/>
      <c r="C19" s="22"/>
      <c r="D19" s="22"/>
      <c r="E19" s="22"/>
      <c r="F19" s="22"/>
      <c r="G19" s="22"/>
      <c r="H19" s="22"/>
      <c r="I19" s="24"/>
      <c r="J19" s="24"/>
      <c r="K19" s="24"/>
      <c r="L19" s="22"/>
      <c r="M19" s="22"/>
      <c r="N19" s="22"/>
    </row>
    <row r="20" spans="1:14" x14ac:dyDescent="0.25">
      <c r="A20" s="27"/>
      <c r="B20" s="22"/>
      <c r="C20" s="22"/>
      <c r="D20" s="22"/>
      <c r="E20" s="22"/>
      <c r="F20" s="22"/>
      <c r="G20" s="22"/>
      <c r="H20" s="22"/>
      <c r="I20" s="24"/>
      <c r="J20" s="24"/>
      <c r="K20" s="24"/>
      <c r="L20" s="22"/>
      <c r="M20" s="22"/>
      <c r="N20" s="22"/>
    </row>
    <row r="21" spans="1:14" x14ac:dyDescent="0.25">
      <c r="A21" s="27"/>
      <c r="B21" s="22"/>
      <c r="C21" s="22"/>
      <c r="D21" s="22"/>
      <c r="E21" s="22"/>
      <c r="F21" s="22"/>
      <c r="G21" s="22"/>
      <c r="H21" s="22"/>
      <c r="I21" s="24"/>
      <c r="J21" s="24"/>
      <c r="K21" s="24"/>
      <c r="L21" s="22"/>
      <c r="M21" s="22"/>
      <c r="N21" s="22"/>
    </row>
    <row r="22" spans="1:14" x14ac:dyDescent="0.25">
      <c r="A22" s="27"/>
      <c r="B22" s="22"/>
      <c r="C22" s="22"/>
      <c r="D22" s="22"/>
      <c r="E22" s="22"/>
      <c r="F22" s="22"/>
      <c r="G22" s="22"/>
      <c r="H22" s="22"/>
      <c r="I22" s="24"/>
      <c r="J22" s="24"/>
      <c r="K22" s="24"/>
      <c r="L22" s="22"/>
      <c r="M22" s="22"/>
      <c r="N22" s="22"/>
    </row>
    <row r="23" spans="1:14" x14ac:dyDescent="0.25">
      <c r="A23" s="27"/>
      <c r="B23" s="22"/>
      <c r="C23" s="22"/>
      <c r="D23" s="22"/>
      <c r="E23" s="22"/>
      <c r="F23" s="22"/>
      <c r="G23" s="22"/>
      <c r="H23" s="22"/>
      <c r="I23" s="24"/>
      <c r="J23" s="24"/>
      <c r="K23" s="24"/>
      <c r="L23" s="22"/>
      <c r="M23" s="22"/>
      <c r="N23" s="22"/>
    </row>
    <row r="24" spans="1:14" x14ac:dyDescent="0.25">
      <c r="A24" s="27"/>
      <c r="B24" s="22"/>
      <c r="C24" s="22"/>
      <c r="D24" s="22"/>
      <c r="E24" s="22"/>
      <c r="F24" s="22"/>
      <c r="G24" s="22"/>
      <c r="H24" s="22"/>
      <c r="I24" s="24"/>
      <c r="J24" s="24"/>
      <c r="K24" s="24"/>
      <c r="L24" s="22"/>
      <c r="M24" s="22"/>
      <c r="N24" s="22"/>
    </row>
    <row r="25" spans="1:14" x14ac:dyDescent="0.25">
      <c r="A25" s="27"/>
      <c r="B25" s="22"/>
      <c r="C25" s="22"/>
      <c r="D25" s="22"/>
      <c r="E25" s="22"/>
      <c r="F25" s="22"/>
      <c r="G25" s="22"/>
      <c r="H25" s="22"/>
      <c r="I25" s="24"/>
      <c r="J25" s="24"/>
      <c r="K25" s="24"/>
      <c r="L25" s="22"/>
      <c r="M25" s="22"/>
      <c r="N25" s="22"/>
    </row>
    <row r="26" spans="1:14" x14ac:dyDescent="0.25">
      <c r="A26" s="27"/>
      <c r="B26" s="22"/>
      <c r="C26" s="22"/>
      <c r="D26" s="22"/>
      <c r="E26" s="22"/>
      <c r="F26" s="22"/>
      <c r="G26" s="22"/>
      <c r="H26" s="22"/>
      <c r="I26" s="24"/>
      <c r="J26" s="24"/>
      <c r="K26" s="24"/>
      <c r="L26" s="22"/>
      <c r="M26" s="22"/>
      <c r="N26" s="22"/>
    </row>
    <row r="27" spans="1:14" x14ac:dyDescent="0.25">
      <c r="A27" s="27"/>
      <c r="B27" s="22"/>
      <c r="C27" s="22"/>
      <c r="D27" s="22"/>
      <c r="E27" s="22"/>
      <c r="F27" s="22"/>
      <c r="G27" s="22"/>
      <c r="H27" s="22"/>
      <c r="I27" s="24"/>
      <c r="J27" s="24"/>
      <c r="K27" s="24"/>
      <c r="L27" s="22"/>
      <c r="M27" s="22"/>
      <c r="N27" s="22"/>
    </row>
    <row r="28" spans="1:14" x14ac:dyDescent="0.25">
      <c r="A28" s="27"/>
      <c r="B28" s="22"/>
      <c r="C28" s="22"/>
      <c r="D28" s="22"/>
      <c r="E28" s="22"/>
      <c r="F28" s="22"/>
      <c r="G28" s="22"/>
      <c r="H28" s="22"/>
      <c r="I28" s="24"/>
      <c r="J28" s="24"/>
      <c r="K28" s="24"/>
      <c r="L28" s="22"/>
      <c r="M28" s="22"/>
      <c r="N28" s="22"/>
    </row>
    <row r="29" spans="1:14" x14ac:dyDescent="0.25">
      <c r="A29" s="27"/>
      <c r="B29" s="22"/>
      <c r="C29" s="22"/>
      <c r="D29" s="22"/>
      <c r="E29" s="22"/>
      <c r="F29" s="22"/>
      <c r="G29" s="22"/>
      <c r="H29" s="22"/>
      <c r="I29" s="24"/>
      <c r="J29" s="24"/>
      <c r="K29" s="24"/>
      <c r="L29" s="22"/>
      <c r="M29" s="22"/>
      <c r="N29" s="22"/>
    </row>
    <row r="30" spans="1:14" x14ac:dyDescent="0.25">
      <c r="A30" s="27"/>
      <c r="B30" s="22"/>
      <c r="C30" s="22"/>
      <c r="D30" s="22"/>
      <c r="E30" s="22"/>
      <c r="F30" s="22"/>
      <c r="G30" s="22"/>
      <c r="H30" s="22"/>
      <c r="I30" s="24"/>
      <c r="J30" s="24"/>
      <c r="K30" s="24"/>
      <c r="L30" s="22"/>
      <c r="M30" s="22"/>
      <c r="N30" s="22"/>
    </row>
    <row r="31" spans="1:14" x14ac:dyDescent="0.25">
      <c r="A31" s="27"/>
      <c r="B31" s="22"/>
      <c r="C31" s="22"/>
      <c r="D31" s="22"/>
      <c r="E31" s="22"/>
      <c r="F31" s="22"/>
      <c r="G31" s="22"/>
      <c r="H31" s="22"/>
      <c r="I31" s="24"/>
      <c r="J31" s="24"/>
      <c r="K31" s="24"/>
      <c r="L31" s="22"/>
      <c r="M31" s="22"/>
      <c r="N31" s="22"/>
    </row>
    <row r="32" spans="1:14" x14ac:dyDescent="0.25">
      <c r="A32" s="27"/>
      <c r="B32" s="22"/>
      <c r="C32" s="22"/>
      <c r="D32" s="22"/>
      <c r="E32" s="22"/>
      <c r="F32" s="22"/>
      <c r="G32" s="22"/>
      <c r="H32" s="22"/>
      <c r="I32" s="24"/>
      <c r="J32" s="24"/>
      <c r="K32" s="24"/>
      <c r="L32" s="22"/>
      <c r="M32" s="22"/>
      <c r="N32" s="22"/>
    </row>
    <row r="33" spans="1:14" x14ac:dyDescent="0.25">
      <c r="A33" s="27"/>
      <c r="B33" s="22"/>
      <c r="C33" s="22"/>
      <c r="D33" s="22"/>
      <c r="E33" s="22"/>
      <c r="F33" s="22"/>
      <c r="G33" s="22"/>
      <c r="H33" s="22"/>
      <c r="I33" s="24"/>
      <c r="J33" s="24"/>
      <c r="K33" s="24"/>
      <c r="L33" s="22"/>
      <c r="M33" s="22"/>
      <c r="N33" s="22"/>
    </row>
    <row r="34" spans="1:14" x14ac:dyDescent="0.25">
      <c r="A34" s="27"/>
      <c r="B34" s="22"/>
      <c r="C34" s="22"/>
      <c r="D34" s="22"/>
      <c r="E34" s="22"/>
      <c r="F34" s="22"/>
      <c r="G34" s="22"/>
      <c r="H34" s="22"/>
      <c r="I34" s="24"/>
      <c r="J34" s="24"/>
      <c r="K34" s="24"/>
      <c r="L34" s="22"/>
      <c r="M34" s="22"/>
      <c r="N34" s="22"/>
    </row>
    <row r="35" spans="1:14" x14ac:dyDescent="0.25">
      <c r="A35" s="27"/>
      <c r="B35" s="22"/>
      <c r="C35" s="22"/>
      <c r="D35" s="22"/>
      <c r="E35" s="22"/>
      <c r="F35" s="22"/>
      <c r="G35" s="22"/>
      <c r="H35" s="22"/>
      <c r="I35" s="24"/>
      <c r="J35" s="24"/>
      <c r="K35" s="24"/>
      <c r="L35" s="22"/>
      <c r="M35" s="22"/>
      <c r="N35" s="22"/>
    </row>
    <row r="36" spans="1:14" x14ac:dyDescent="0.25">
      <c r="A36" s="27"/>
      <c r="B36" s="22"/>
      <c r="C36" s="22"/>
      <c r="D36" s="22"/>
      <c r="E36" s="22"/>
      <c r="F36" s="22"/>
      <c r="G36" s="22"/>
      <c r="H36" s="22"/>
      <c r="I36" s="24"/>
      <c r="J36" s="24"/>
      <c r="K36" s="24"/>
      <c r="L36" s="22"/>
      <c r="M36" s="22"/>
      <c r="N36" s="22"/>
    </row>
    <row r="37" spans="1:14" x14ac:dyDescent="0.25">
      <c r="A37" s="27"/>
      <c r="B37" s="22"/>
      <c r="C37" s="22"/>
      <c r="D37" s="22"/>
      <c r="E37" s="22"/>
      <c r="F37" s="22"/>
      <c r="G37" s="22"/>
      <c r="H37" s="22"/>
      <c r="I37" s="24"/>
      <c r="J37" s="24"/>
      <c r="K37" s="24"/>
      <c r="L37" s="22"/>
      <c r="M37" s="22"/>
      <c r="N37" s="22"/>
    </row>
    <row r="38" spans="1:14" x14ac:dyDescent="0.25">
      <c r="A38" s="27"/>
      <c r="B38" s="22"/>
      <c r="C38" s="22"/>
      <c r="D38" s="22"/>
      <c r="E38" s="22"/>
      <c r="F38" s="22"/>
      <c r="G38" s="22"/>
      <c r="H38" s="22"/>
      <c r="I38" s="24"/>
      <c r="J38" s="24"/>
      <c r="K38" s="24"/>
      <c r="L38" s="22"/>
      <c r="M38" s="22"/>
      <c r="N38" s="22"/>
    </row>
    <row r="39" spans="1:14" x14ac:dyDescent="0.25">
      <c r="A39" s="27"/>
      <c r="B39" s="22"/>
      <c r="C39" s="22"/>
      <c r="D39" s="22"/>
      <c r="E39" s="22"/>
      <c r="F39" s="22"/>
      <c r="G39" s="22"/>
      <c r="H39" s="22"/>
      <c r="I39" s="24"/>
      <c r="J39" s="24"/>
      <c r="K39" s="24"/>
      <c r="L39" s="22"/>
      <c r="M39" s="22"/>
      <c r="N39" s="22"/>
    </row>
    <row r="40" spans="1:14" x14ac:dyDescent="0.25">
      <c r="A40" s="27"/>
      <c r="B40" s="22"/>
      <c r="C40" s="22"/>
      <c r="D40" s="22"/>
      <c r="E40" s="22"/>
      <c r="F40" s="22"/>
      <c r="G40" s="22"/>
      <c r="H40" s="22"/>
      <c r="I40" s="24"/>
      <c r="J40" s="24"/>
      <c r="K40" s="24"/>
      <c r="L40" s="22"/>
      <c r="M40" s="22"/>
      <c r="N40" s="22"/>
    </row>
    <row r="41" spans="1:14" x14ac:dyDescent="0.25">
      <c r="A41" s="27"/>
      <c r="B41" s="22"/>
      <c r="C41" s="22"/>
      <c r="D41" s="22"/>
      <c r="E41" s="22"/>
      <c r="F41" s="22"/>
      <c r="G41" s="22"/>
      <c r="H41" s="22"/>
      <c r="I41" s="24"/>
      <c r="J41" s="24"/>
      <c r="K41" s="24"/>
      <c r="L41" s="22"/>
      <c r="M41" s="22"/>
      <c r="N41" s="22"/>
    </row>
    <row r="42" spans="1:14" x14ac:dyDescent="0.25">
      <c r="A42" s="27"/>
      <c r="B42" s="22"/>
      <c r="C42" s="22"/>
      <c r="D42" s="22"/>
      <c r="E42" s="22"/>
      <c r="F42" s="22"/>
      <c r="G42" s="22"/>
      <c r="H42" s="22"/>
      <c r="I42" s="24"/>
      <c r="J42" s="24"/>
      <c r="K42" s="24"/>
      <c r="L42" s="22"/>
      <c r="M42" s="22"/>
      <c r="N42" s="22"/>
    </row>
    <row r="43" spans="1:14" x14ac:dyDescent="0.25">
      <c r="A43" s="27"/>
      <c r="B43" s="22"/>
      <c r="C43" s="22"/>
      <c r="D43" s="22"/>
      <c r="E43" s="22"/>
      <c r="F43" s="22"/>
      <c r="G43" s="22"/>
      <c r="H43" s="22"/>
      <c r="I43" s="24"/>
      <c r="J43" s="24"/>
      <c r="K43" s="24"/>
      <c r="L43" s="22"/>
      <c r="M43" s="22"/>
      <c r="N43" s="22"/>
    </row>
    <row r="44" spans="1:14" x14ac:dyDescent="0.25">
      <c r="A44" s="27"/>
      <c r="B44" s="22"/>
      <c r="C44" s="22"/>
      <c r="D44" s="22"/>
      <c r="E44" s="22"/>
      <c r="F44" s="22"/>
      <c r="G44" s="22"/>
      <c r="H44" s="22"/>
      <c r="I44" s="24"/>
      <c r="J44" s="24"/>
      <c r="K44" s="24"/>
      <c r="L44" s="22"/>
      <c r="M44" s="22"/>
      <c r="N44" s="22"/>
    </row>
    <row r="45" spans="1:14" x14ac:dyDescent="0.25">
      <c r="A45" s="27"/>
      <c r="B45" s="22"/>
      <c r="C45" s="22"/>
      <c r="D45" s="22"/>
      <c r="E45" s="22"/>
      <c r="F45" s="22"/>
      <c r="G45" s="22"/>
      <c r="H45" s="22"/>
      <c r="I45" s="24"/>
      <c r="J45" s="24"/>
      <c r="K45" s="24"/>
      <c r="L45" s="22"/>
      <c r="M45" s="22"/>
      <c r="N45" s="22"/>
    </row>
    <row r="46" spans="1:14" x14ac:dyDescent="0.25">
      <c r="A46" s="27"/>
      <c r="B46" s="22"/>
      <c r="C46" s="22"/>
      <c r="D46" s="22"/>
      <c r="E46" s="22"/>
      <c r="F46" s="22"/>
      <c r="G46" s="22"/>
      <c r="H46" s="22"/>
      <c r="I46" s="24"/>
      <c r="J46" s="24"/>
      <c r="K46" s="24"/>
      <c r="L46" s="22"/>
      <c r="M46" s="22"/>
      <c r="N46" s="22"/>
    </row>
    <row r="47" spans="1:14" x14ac:dyDescent="0.25">
      <c r="A47" s="27"/>
      <c r="B47" s="22"/>
      <c r="C47" s="22"/>
      <c r="D47" s="22"/>
      <c r="E47" s="22"/>
      <c r="F47" s="22"/>
      <c r="G47" s="22"/>
      <c r="H47" s="22"/>
      <c r="I47" s="24"/>
      <c r="J47" s="24"/>
      <c r="K47" s="24"/>
      <c r="L47" s="22"/>
      <c r="M47" s="22"/>
      <c r="N47" s="22"/>
    </row>
    <row r="48" spans="1:14" x14ac:dyDescent="0.25">
      <c r="A48" s="27"/>
      <c r="B48" s="22"/>
      <c r="C48" s="22"/>
      <c r="D48" s="22"/>
      <c r="E48" s="22"/>
      <c r="F48" s="22"/>
      <c r="G48" s="22"/>
      <c r="H48" s="22"/>
      <c r="I48" s="24"/>
      <c r="J48" s="24"/>
      <c r="K48" s="24"/>
      <c r="L48" s="22"/>
      <c r="M48" s="22"/>
      <c r="N48" s="22"/>
    </row>
    <row r="49" spans="1:14" x14ac:dyDescent="0.25">
      <c r="A49" s="27"/>
      <c r="B49" s="22"/>
      <c r="C49" s="22"/>
      <c r="D49" s="22"/>
      <c r="E49" s="22"/>
      <c r="F49" s="22"/>
      <c r="G49" s="22"/>
      <c r="H49" s="22"/>
      <c r="I49" s="24"/>
      <c r="J49" s="24"/>
      <c r="K49" s="24"/>
      <c r="L49" s="22"/>
      <c r="M49" s="22"/>
      <c r="N49" s="22"/>
    </row>
    <row r="50" spans="1:14" x14ac:dyDescent="0.25">
      <c r="A50" s="27"/>
      <c r="B50" s="22"/>
      <c r="C50" s="22"/>
      <c r="D50" s="22"/>
      <c r="E50" s="22"/>
      <c r="F50" s="22"/>
      <c r="G50" s="22"/>
      <c r="H50" s="22"/>
      <c r="I50" s="24"/>
      <c r="J50" s="24"/>
      <c r="K50" s="24"/>
      <c r="L50" s="22"/>
      <c r="M50" s="22"/>
      <c r="N50" s="22"/>
    </row>
    <row r="51" spans="1:14" x14ac:dyDescent="0.25">
      <c r="A51" s="27"/>
      <c r="B51" s="22"/>
      <c r="C51" s="22"/>
      <c r="D51" s="22"/>
      <c r="E51" s="22"/>
      <c r="F51" s="22"/>
      <c r="G51" s="22"/>
      <c r="H51" s="22"/>
      <c r="I51" s="24"/>
      <c r="J51" s="24"/>
      <c r="K51" s="24"/>
      <c r="L51" s="22"/>
      <c r="M51" s="22"/>
      <c r="N51" s="22"/>
    </row>
    <row r="52" spans="1:14" x14ac:dyDescent="0.25">
      <c r="A52" s="27"/>
      <c r="B52" s="22"/>
      <c r="C52" s="22"/>
      <c r="D52" s="22"/>
      <c r="E52" s="22"/>
      <c r="F52" s="22"/>
      <c r="G52" s="22"/>
      <c r="H52" s="22"/>
      <c r="I52" s="24"/>
      <c r="J52" s="24"/>
      <c r="K52" s="24"/>
      <c r="L52" s="22"/>
      <c r="M52" s="22"/>
      <c r="N52" s="22"/>
    </row>
    <row r="53" spans="1:14" x14ac:dyDescent="0.25">
      <c r="A53" s="27"/>
      <c r="B53" s="22"/>
      <c r="C53" s="22"/>
      <c r="D53" s="22"/>
      <c r="E53" s="22"/>
      <c r="F53" s="22"/>
      <c r="G53" s="22"/>
      <c r="H53" s="22"/>
      <c r="I53" s="24"/>
      <c r="J53" s="24"/>
      <c r="K53" s="24"/>
      <c r="L53" s="22"/>
      <c r="M53" s="22"/>
      <c r="N53" s="22"/>
    </row>
    <row r="54" spans="1:14" x14ac:dyDescent="0.25">
      <c r="A54" s="27"/>
      <c r="B54" s="22"/>
      <c r="C54" s="22"/>
      <c r="D54" s="22"/>
      <c r="E54" s="22"/>
      <c r="F54" s="22"/>
      <c r="G54" s="22"/>
      <c r="H54" s="22"/>
      <c r="I54" s="24"/>
      <c r="J54" s="24"/>
      <c r="K54" s="24"/>
      <c r="L54" s="22"/>
      <c r="M54" s="22"/>
      <c r="N54" s="22"/>
    </row>
    <row r="55" spans="1:14" x14ac:dyDescent="0.25">
      <c r="A55" s="27"/>
      <c r="B55" s="22"/>
      <c r="C55" s="22"/>
      <c r="D55" s="22"/>
      <c r="E55" s="22"/>
      <c r="F55" s="22"/>
      <c r="G55" s="22"/>
      <c r="H55" s="22"/>
      <c r="I55" s="24"/>
      <c r="J55" s="24"/>
      <c r="K55" s="24"/>
      <c r="L55" s="22"/>
      <c r="M55" s="22"/>
      <c r="N55" s="22"/>
    </row>
    <row r="56" spans="1:14" x14ac:dyDescent="0.25">
      <c r="A56" s="27"/>
      <c r="B56" s="22"/>
      <c r="C56" s="22"/>
      <c r="D56" s="22"/>
      <c r="E56" s="22"/>
      <c r="F56" s="22"/>
      <c r="G56" s="22"/>
      <c r="H56" s="22"/>
      <c r="I56" s="24"/>
      <c r="J56" s="24"/>
      <c r="K56" s="24"/>
      <c r="L56" s="22"/>
      <c r="M56" s="22"/>
      <c r="N56" s="22"/>
    </row>
    <row r="57" spans="1:14" x14ac:dyDescent="0.25">
      <c r="A57" s="27"/>
      <c r="B57" s="22"/>
      <c r="C57" s="22"/>
      <c r="D57" s="22"/>
      <c r="E57" s="22"/>
      <c r="F57" s="22"/>
      <c r="G57" s="22"/>
      <c r="H57" s="22"/>
      <c r="I57" s="24"/>
      <c r="J57" s="24"/>
      <c r="K57" s="24"/>
      <c r="L57" s="22"/>
      <c r="M57" s="22"/>
      <c r="N57" s="22"/>
    </row>
    <row r="58" spans="1:14" x14ac:dyDescent="0.25">
      <c r="A58" s="27"/>
      <c r="B58" s="22"/>
      <c r="C58" s="22"/>
      <c r="D58" s="22"/>
      <c r="E58" s="22"/>
      <c r="F58" s="22"/>
      <c r="G58" s="22"/>
      <c r="H58" s="22"/>
      <c r="I58" s="24"/>
      <c r="J58" s="24"/>
      <c r="K58" s="24"/>
      <c r="L58" s="22"/>
      <c r="M58" s="22"/>
      <c r="N58" s="22"/>
    </row>
    <row r="59" spans="1:14" x14ac:dyDescent="0.25">
      <c r="A59" s="27"/>
      <c r="B59" s="22"/>
      <c r="C59" s="22"/>
      <c r="D59" s="22"/>
      <c r="E59" s="22"/>
      <c r="F59" s="22"/>
      <c r="G59" s="22"/>
      <c r="H59" s="22"/>
      <c r="I59" s="24"/>
      <c r="J59" s="24"/>
      <c r="K59" s="24"/>
      <c r="L59" s="22"/>
      <c r="M59" s="22"/>
      <c r="N59" s="22"/>
    </row>
    <row r="60" spans="1:14" x14ac:dyDescent="0.25">
      <c r="A60" s="27"/>
      <c r="B60" s="22"/>
      <c r="C60" s="22"/>
      <c r="D60" s="22"/>
      <c r="E60" s="22"/>
      <c r="F60" s="22"/>
      <c r="G60" s="22"/>
      <c r="H60" s="22"/>
      <c r="I60" s="24"/>
      <c r="J60" s="24"/>
      <c r="K60" s="24"/>
      <c r="L60" s="22"/>
      <c r="M60" s="22"/>
      <c r="N60" s="22"/>
    </row>
    <row r="61" spans="1:14" x14ac:dyDescent="0.25">
      <c r="A61" s="27"/>
      <c r="B61" s="22"/>
      <c r="C61" s="22"/>
      <c r="D61" s="22"/>
      <c r="E61" s="22"/>
      <c r="F61" s="22"/>
      <c r="G61" s="22"/>
      <c r="H61" s="22"/>
      <c r="I61" s="24"/>
      <c r="J61" s="24"/>
      <c r="K61" s="24"/>
      <c r="L61" s="22"/>
      <c r="M61" s="22"/>
      <c r="N61" s="22"/>
    </row>
    <row r="62" spans="1:14" x14ac:dyDescent="0.25">
      <c r="A62" s="27"/>
      <c r="B62" s="22"/>
      <c r="C62" s="22"/>
      <c r="D62" s="22"/>
      <c r="E62" s="22"/>
      <c r="F62" s="22"/>
      <c r="G62" s="22"/>
      <c r="H62" s="22"/>
      <c r="I62" s="24"/>
      <c r="J62" s="24"/>
      <c r="K62" s="24"/>
      <c r="L62" s="22"/>
      <c r="M62" s="22"/>
      <c r="N62" s="22"/>
    </row>
    <row r="63" spans="1:14" x14ac:dyDescent="0.25">
      <c r="A63" s="27"/>
      <c r="B63" s="22"/>
      <c r="C63" s="22"/>
      <c r="D63" s="22"/>
      <c r="E63" s="22"/>
      <c r="F63" s="22"/>
      <c r="G63" s="22"/>
      <c r="H63" s="22"/>
      <c r="I63" s="24"/>
      <c r="J63" s="24"/>
      <c r="K63" s="24"/>
      <c r="L63" s="22"/>
      <c r="M63" s="22"/>
      <c r="N63" s="22"/>
    </row>
    <row r="64" spans="1:14" x14ac:dyDescent="0.25">
      <c r="A64" s="27"/>
      <c r="B64" s="22"/>
      <c r="C64" s="22"/>
      <c r="D64" s="22"/>
      <c r="E64" s="22"/>
      <c r="F64" s="22"/>
      <c r="G64" s="22"/>
      <c r="H64" s="22"/>
      <c r="I64" s="24"/>
      <c r="J64" s="24"/>
      <c r="K64" s="24"/>
      <c r="L64" s="22"/>
      <c r="M64" s="22"/>
      <c r="N64" s="22"/>
    </row>
    <row r="65" spans="1:14" x14ac:dyDescent="0.25">
      <c r="A65" s="27"/>
      <c r="B65" s="22"/>
      <c r="C65" s="22"/>
      <c r="D65" s="22"/>
      <c r="E65" s="22"/>
      <c r="F65" s="22"/>
      <c r="G65" s="22"/>
      <c r="H65" s="22"/>
      <c r="I65" s="24"/>
      <c r="J65" s="24"/>
      <c r="K65" s="24"/>
      <c r="L65" s="22"/>
      <c r="M65" s="22"/>
      <c r="N65" s="22"/>
    </row>
    <row r="66" spans="1:14" x14ac:dyDescent="0.25">
      <c r="A66" s="27"/>
      <c r="B66" s="22"/>
      <c r="C66" s="22"/>
      <c r="D66" s="22"/>
      <c r="E66" s="22"/>
      <c r="F66" s="22"/>
      <c r="G66" s="22"/>
      <c r="H66" s="22"/>
      <c r="I66" s="24"/>
      <c r="J66" s="24"/>
      <c r="K66" s="24"/>
      <c r="L66" s="22"/>
      <c r="M66" s="22"/>
      <c r="N66" s="22"/>
    </row>
    <row r="67" spans="1:14" x14ac:dyDescent="0.25">
      <c r="A67" s="27"/>
      <c r="B67" s="22"/>
      <c r="C67" s="22"/>
      <c r="D67" s="22"/>
      <c r="E67" s="22"/>
      <c r="F67" s="22"/>
      <c r="G67" s="22"/>
      <c r="H67" s="22"/>
      <c r="I67" s="24"/>
      <c r="J67" s="24"/>
      <c r="K67" s="24"/>
      <c r="L67" s="22"/>
      <c r="M67" s="22"/>
      <c r="N67" s="22"/>
    </row>
    <row r="68" spans="1:14" x14ac:dyDescent="0.25">
      <c r="A68" s="27"/>
      <c r="B68" s="22"/>
      <c r="C68" s="22"/>
      <c r="D68" s="22"/>
      <c r="E68" s="22"/>
      <c r="F68" s="22"/>
      <c r="G68" s="22"/>
      <c r="H68" s="22"/>
      <c r="I68" s="24"/>
      <c r="J68" s="24"/>
      <c r="K68" s="24"/>
      <c r="L68" s="22"/>
      <c r="M68" s="22"/>
      <c r="N68" s="22"/>
    </row>
    <row r="69" spans="1:14" x14ac:dyDescent="0.25">
      <c r="A69" s="27"/>
      <c r="B69" s="22"/>
      <c r="C69" s="22"/>
      <c r="D69" s="22"/>
      <c r="E69" s="22"/>
      <c r="F69" s="22"/>
      <c r="G69" s="22"/>
      <c r="H69" s="22"/>
      <c r="I69" s="24"/>
      <c r="J69" s="24"/>
      <c r="K69" s="24"/>
      <c r="L69" s="22"/>
      <c r="M69" s="22"/>
      <c r="N69" s="22"/>
    </row>
    <row r="70" spans="1:14" x14ac:dyDescent="0.25">
      <c r="A70" s="27"/>
      <c r="B70" s="22"/>
      <c r="C70" s="22"/>
      <c r="D70" s="22"/>
      <c r="E70" s="22"/>
      <c r="F70" s="22"/>
      <c r="G70" s="22"/>
      <c r="H70" s="22"/>
      <c r="I70" s="24"/>
      <c r="J70" s="24"/>
      <c r="K70" s="24"/>
      <c r="L70" s="22"/>
      <c r="M70" s="22"/>
      <c r="N70" s="22"/>
    </row>
    <row r="71" spans="1:14" x14ac:dyDescent="0.25">
      <c r="A71" s="27"/>
      <c r="B71" s="22"/>
      <c r="C71" s="22"/>
      <c r="D71" s="22"/>
      <c r="E71" s="22"/>
      <c r="F71" s="22"/>
      <c r="G71" s="22"/>
      <c r="H71" s="22"/>
      <c r="I71" s="24"/>
      <c r="J71" s="24"/>
      <c r="K71" s="24"/>
      <c r="L71" s="22"/>
      <c r="M71" s="22"/>
      <c r="N71" s="22"/>
    </row>
    <row r="72" spans="1:14" x14ac:dyDescent="0.25">
      <c r="A72" s="27"/>
      <c r="B72" s="22"/>
      <c r="C72" s="22"/>
      <c r="D72" s="22"/>
      <c r="E72" s="22"/>
      <c r="F72" s="22"/>
      <c r="G72" s="22"/>
      <c r="H72" s="22"/>
      <c r="I72" s="24"/>
      <c r="J72" s="24"/>
      <c r="K72" s="24"/>
      <c r="L72" s="22"/>
      <c r="M72" s="22"/>
      <c r="N72" s="22"/>
    </row>
    <row r="73" spans="1:14" x14ac:dyDescent="0.25">
      <c r="A73" s="27"/>
      <c r="B73" s="22"/>
      <c r="C73" s="22"/>
      <c r="D73" s="22"/>
      <c r="E73" s="22"/>
      <c r="F73" s="22"/>
      <c r="G73" s="22"/>
      <c r="H73" s="22"/>
      <c r="I73" s="24"/>
      <c r="J73" s="24"/>
      <c r="K73" s="24"/>
      <c r="L73" s="22"/>
      <c r="M73" s="22"/>
      <c r="N73" s="22"/>
    </row>
    <row r="74" spans="1:14" x14ac:dyDescent="0.25">
      <c r="A74" s="27"/>
      <c r="B74" s="22"/>
      <c r="C74" s="22"/>
      <c r="D74" s="22"/>
      <c r="E74" s="22"/>
      <c r="F74" s="22"/>
      <c r="G74" s="22"/>
      <c r="H74" s="22"/>
      <c r="I74" s="24"/>
      <c r="J74" s="24"/>
      <c r="K74" s="24"/>
      <c r="L74" s="22"/>
      <c r="M74" s="22"/>
      <c r="N74" s="22"/>
    </row>
    <row r="75" spans="1:14" x14ac:dyDescent="0.25">
      <c r="A75" s="27"/>
      <c r="B75" s="22"/>
      <c r="C75" s="22"/>
      <c r="D75" s="22"/>
      <c r="E75" s="22"/>
      <c r="F75" s="22"/>
      <c r="G75" s="22"/>
      <c r="H75" s="22"/>
      <c r="I75" s="24"/>
      <c r="J75" s="24"/>
      <c r="K75" s="24"/>
      <c r="L75" s="22"/>
      <c r="M75" s="22"/>
      <c r="N75" s="22"/>
    </row>
    <row r="76" spans="1:14" x14ac:dyDescent="0.25">
      <c r="A76" s="27"/>
      <c r="B76" s="22"/>
      <c r="C76" s="22"/>
      <c r="D76" s="22"/>
      <c r="E76" s="22"/>
      <c r="F76" s="22"/>
      <c r="G76" s="22"/>
      <c r="H76" s="22"/>
      <c r="I76" s="24"/>
      <c r="J76" s="24"/>
      <c r="K76" s="24"/>
      <c r="L76" s="22"/>
      <c r="M76" s="22"/>
      <c r="N76" s="22"/>
    </row>
    <row r="77" spans="1:14" x14ac:dyDescent="0.25">
      <c r="A77" s="27"/>
      <c r="B77" s="22"/>
      <c r="C77" s="22"/>
      <c r="D77" s="22"/>
      <c r="E77" s="22"/>
      <c r="F77" s="22"/>
      <c r="G77" s="22"/>
      <c r="H77" s="22"/>
      <c r="I77" s="24"/>
      <c r="J77" s="24"/>
      <c r="K77" s="24"/>
      <c r="L77" s="22"/>
      <c r="M77" s="22"/>
      <c r="N77" s="22"/>
    </row>
    <row r="78" spans="1:14" x14ac:dyDescent="0.25">
      <c r="A78" s="27"/>
      <c r="B78" s="22"/>
      <c r="C78" s="22"/>
      <c r="D78" s="22"/>
      <c r="E78" s="22"/>
      <c r="F78" s="22"/>
      <c r="G78" s="22"/>
      <c r="H78" s="22"/>
      <c r="I78" s="24"/>
      <c r="J78" s="24"/>
      <c r="K78" s="24"/>
      <c r="L78" s="22"/>
      <c r="M78" s="22"/>
      <c r="N78" s="22"/>
    </row>
    <row r="79" spans="1:14" x14ac:dyDescent="0.25">
      <c r="A79" s="27"/>
      <c r="B79" s="22"/>
      <c r="C79" s="22"/>
      <c r="D79" s="22"/>
      <c r="E79" s="22"/>
      <c r="F79" s="22"/>
      <c r="G79" s="22"/>
      <c r="H79" s="22"/>
      <c r="I79" s="24"/>
      <c r="J79" s="24"/>
      <c r="K79" s="24"/>
      <c r="L79" s="22"/>
      <c r="M79" s="22"/>
      <c r="N79" s="22"/>
    </row>
    <row r="80" spans="1:14" x14ac:dyDescent="0.25">
      <c r="A80" s="27"/>
      <c r="B80" s="22"/>
      <c r="C80" s="22"/>
      <c r="D80" s="22"/>
      <c r="E80" s="22"/>
      <c r="F80" s="22"/>
      <c r="G80" s="22"/>
      <c r="H80" s="22"/>
      <c r="I80" s="24"/>
      <c r="J80" s="24"/>
      <c r="K80" s="24"/>
      <c r="L80" s="22"/>
      <c r="M80" s="22"/>
      <c r="N80" s="22"/>
    </row>
    <row r="81" spans="1:14" x14ac:dyDescent="0.25">
      <c r="A81" s="27"/>
      <c r="B81" s="22"/>
      <c r="C81" s="22"/>
      <c r="D81" s="22"/>
      <c r="E81" s="22"/>
      <c r="F81" s="22"/>
      <c r="G81" s="22"/>
      <c r="H81" s="22"/>
      <c r="I81" s="24"/>
      <c r="J81" s="24"/>
      <c r="K81" s="24"/>
      <c r="L81" s="22"/>
      <c r="M81" s="22"/>
      <c r="N81" s="22"/>
    </row>
    <row r="82" spans="1:14" x14ac:dyDescent="0.25">
      <c r="A82" s="27"/>
      <c r="B82" s="22"/>
      <c r="C82" s="22"/>
      <c r="D82" s="22"/>
      <c r="E82" s="22"/>
      <c r="F82" s="22"/>
      <c r="G82" s="22"/>
      <c r="H82" s="22"/>
      <c r="I82" s="24"/>
      <c r="J82" s="24"/>
      <c r="K82" s="24"/>
      <c r="L82" s="22"/>
      <c r="M82" s="22"/>
      <c r="N82" s="22"/>
    </row>
    <row r="83" spans="1:14" x14ac:dyDescent="0.25">
      <c r="A83" s="27"/>
      <c r="B83" s="22"/>
      <c r="C83" s="22"/>
      <c r="D83" s="22"/>
      <c r="E83" s="22"/>
      <c r="F83" s="22"/>
      <c r="G83" s="22"/>
      <c r="H83" s="22"/>
      <c r="I83" s="24"/>
      <c r="J83" s="24"/>
      <c r="K83" s="24"/>
      <c r="L83" s="22"/>
      <c r="M83" s="22"/>
      <c r="N83" s="22"/>
    </row>
    <row r="84" spans="1:14" x14ac:dyDescent="0.25">
      <c r="A84" s="27"/>
      <c r="B84" s="22"/>
      <c r="C84" s="22"/>
      <c r="D84" s="22"/>
      <c r="E84" s="22"/>
      <c r="F84" s="22"/>
      <c r="G84" s="22"/>
      <c r="H84" s="22"/>
      <c r="I84" s="24"/>
      <c r="J84" s="24"/>
      <c r="K84" s="24"/>
      <c r="L84" s="22"/>
      <c r="M84" s="22"/>
      <c r="N84" s="22"/>
    </row>
    <row r="85" spans="1:14" x14ac:dyDescent="0.25">
      <c r="A85" s="27"/>
      <c r="B85" s="22"/>
      <c r="C85" s="22"/>
      <c r="D85" s="22"/>
      <c r="E85" s="22"/>
      <c r="F85" s="22"/>
      <c r="G85" s="22"/>
      <c r="H85" s="22"/>
      <c r="I85" s="24"/>
      <c r="J85" s="24"/>
      <c r="K85" s="24"/>
      <c r="L85" s="22"/>
      <c r="M85" s="22"/>
      <c r="N85" s="22"/>
    </row>
    <row r="86" spans="1:14" x14ac:dyDescent="0.25">
      <c r="A86" s="27"/>
      <c r="B86" s="22"/>
      <c r="C86" s="22"/>
      <c r="D86" s="22"/>
      <c r="E86" s="22"/>
      <c r="F86" s="22"/>
      <c r="G86" s="22"/>
      <c r="H86" s="22"/>
      <c r="I86" s="24"/>
      <c r="J86" s="24"/>
      <c r="K86" s="24"/>
      <c r="L86" s="22"/>
      <c r="M86" s="22"/>
      <c r="N86" s="22"/>
    </row>
    <row r="87" spans="1:14" x14ac:dyDescent="0.25">
      <c r="A87" s="27"/>
      <c r="B87" s="22"/>
      <c r="C87" s="22"/>
      <c r="D87" s="22"/>
      <c r="E87" s="22"/>
      <c r="F87" s="22"/>
      <c r="G87" s="22"/>
      <c r="H87" s="22"/>
      <c r="I87" s="24"/>
      <c r="J87" s="24"/>
      <c r="K87" s="24"/>
      <c r="L87" s="22"/>
      <c r="M87" s="22"/>
      <c r="N87" s="22"/>
    </row>
    <row r="88" spans="1:14" x14ac:dyDescent="0.25">
      <c r="A88" s="27"/>
      <c r="B88" s="22"/>
      <c r="C88" s="22"/>
      <c r="D88" s="22"/>
      <c r="E88" s="22"/>
      <c r="F88" s="22"/>
      <c r="G88" s="22"/>
      <c r="H88" s="22"/>
      <c r="I88" s="24"/>
      <c r="J88" s="24"/>
      <c r="K88" s="24"/>
      <c r="L88" s="22"/>
      <c r="M88" s="22"/>
      <c r="N88" s="22"/>
    </row>
    <row r="89" spans="1:14" x14ac:dyDescent="0.25">
      <c r="A89" s="27"/>
      <c r="B89" s="22"/>
      <c r="C89" s="22"/>
      <c r="D89" s="22"/>
      <c r="E89" s="22"/>
      <c r="F89" s="22"/>
      <c r="G89" s="22"/>
      <c r="H89" s="22"/>
      <c r="I89" s="24"/>
      <c r="J89" s="24"/>
      <c r="K89" s="24"/>
      <c r="L89" s="22"/>
      <c r="M89" s="22"/>
      <c r="N89" s="22"/>
    </row>
    <row r="90" spans="1:14" x14ac:dyDescent="0.25">
      <c r="A90" s="27"/>
      <c r="B90" s="22"/>
      <c r="C90" s="22"/>
      <c r="D90" s="22"/>
      <c r="E90" s="22"/>
      <c r="F90" s="22"/>
      <c r="G90" s="22"/>
      <c r="H90" s="22"/>
      <c r="I90" s="24"/>
      <c r="J90" s="24"/>
      <c r="K90" s="24"/>
      <c r="L90" s="22"/>
      <c r="M90" s="22"/>
      <c r="N90" s="22"/>
    </row>
    <row r="91" spans="1:14" x14ac:dyDescent="0.25">
      <c r="A91" s="27"/>
      <c r="B91" s="22"/>
      <c r="C91" s="22"/>
      <c r="D91" s="22"/>
      <c r="E91" s="22"/>
      <c r="F91" s="22"/>
      <c r="G91" s="22"/>
      <c r="H91" s="22"/>
      <c r="I91" s="24"/>
      <c r="J91" s="24"/>
      <c r="K91" s="24"/>
      <c r="L91" s="22"/>
      <c r="M91" s="22"/>
      <c r="N91" s="22"/>
    </row>
    <row r="92" spans="1:14" x14ac:dyDescent="0.25">
      <c r="A92" s="27"/>
      <c r="B92" s="22"/>
      <c r="C92" s="22"/>
      <c r="D92" s="22"/>
      <c r="E92" s="22"/>
      <c r="F92" s="22"/>
      <c r="G92" s="22"/>
      <c r="H92" s="22"/>
      <c r="I92" s="24"/>
      <c r="J92" s="24"/>
      <c r="K92" s="24"/>
      <c r="L92" s="22"/>
      <c r="M92" s="22"/>
      <c r="N92" s="22"/>
    </row>
    <row r="93" spans="1:14" x14ac:dyDescent="0.25">
      <c r="A93" s="27"/>
      <c r="B93" s="22"/>
      <c r="C93" s="22"/>
      <c r="D93" s="22"/>
      <c r="E93" s="22"/>
      <c r="F93" s="22"/>
      <c r="G93" s="22"/>
      <c r="H93" s="22"/>
      <c r="I93" s="24"/>
      <c r="J93" s="24"/>
      <c r="K93" s="24"/>
      <c r="L93" s="22"/>
      <c r="M93" s="22"/>
      <c r="N93" s="22"/>
    </row>
    <row r="94" spans="1:14" x14ac:dyDescent="0.25">
      <c r="A94" s="27"/>
      <c r="B94" s="22"/>
      <c r="C94" s="22"/>
      <c r="D94" s="22"/>
      <c r="E94" s="22"/>
      <c r="F94" s="22"/>
      <c r="G94" s="22"/>
      <c r="H94" s="22"/>
      <c r="I94" s="24"/>
      <c r="J94" s="24"/>
      <c r="K94" s="24"/>
      <c r="L94" s="22"/>
      <c r="M94" s="22"/>
      <c r="N94" s="22"/>
    </row>
    <row r="95" spans="1:14" x14ac:dyDescent="0.25">
      <c r="A95" s="27"/>
      <c r="B95" s="22"/>
      <c r="C95" s="22"/>
      <c r="D95" s="22"/>
      <c r="E95" s="22"/>
      <c r="F95" s="22"/>
      <c r="G95" s="22"/>
      <c r="H95" s="22"/>
      <c r="I95" s="24"/>
      <c r="J95" s="24"/>
      <c r="K95" s="24"/>
      <c r="L95" s="22"/>
      <c r="M95" s="22"/>
      <c r="N95" s="22"/>
    </row>
    <row r="96" spans="1:14" x14ac:dyDescent="0.25">
      <c r="A96" s="27"/>
      <c r="B96" s="22"/>
      <c r="C96" s="22"/>
      <c r="D96" s="22"/>
      <c r="E96" s="22"/>
      <c r="F96" s="22"/>
      <c r="G96" s="22"/>
      <c r="H96" s="22"/>
      <c r="I96" s="24"/>
      <c r="J96" s="24"/>
      <c r="K96" s="24"/>
      <c r="L96" s="22"/>
      <c r="M96" s="22"/>
      <c r="N96" s="22"/>
    </row>
    <row r="97" spans="1:14" x14ac:dyDescent="0.25">
      <c r="A97" s="27"/>
      <c r="B97" s="22"/>
      <c r="C97" s="22"/>
      <c r="D97" s="22"/>
      <c r="E97" s="22"/>
      <c r="F97" s="22"/>
      <c r="G97" s="22"/>
      <c r="H97" s="22"/>
      <c r="I97" s="24"/>
      <c r="J97" s="24"/>
      <c r="K97" s="24"/>
      <c r="L97" s="22"/>
      <c r="M97" s="22"/>
      <c r="N97" s="22"/>
    </row>
    <row r="98" spans="1:14" x14ac:dyDescent="0.25">
      <c r="A98" s="27"/>
      <c r="B98" s="22"/>
      <c r="C98" s="22"/>
      <c r="D98" s="22"/>
      <c r="E98" s="22"/>
      <c r="F98" s="22"/>
      <c r="G98" s="22"/>
      <c r="H98" s="22"/>
      <c r="I98" s="24"/>
      <c r="J98" s="24"/>
      <c r="K98" s="24"/>
      <c r="L98" s="22"/>
      <c r="M98" s="22"/>
      <c r="N98" s="22"/>
    </row>
    <row r="99" spans="1:14" x14ac:dyDescent="0.25">
      <c r="A99" s="27"/>
      <c r="B99" s="22"/>
      <c r="C99" s="22"/>
      <c r="D99" s="22"/>
      <c r="E99" s="22"/>
      <c r="F99" s="22"/>
      <c r="G99" s="22"/>
      <c r="H99" s="22"/>
      <c r="I99" s="24"/>
      <c r="J99" s="24"/>
      <c r="K99" s="24"/>
      <c r="L99" s="22"/>
      <c r="M99" s="22"/>
      <c r="N99" s="22"/>
    </row>
    <row r="100" spans="1:14" x14ac:dyDescent="0.25">
      <c r="A100" s="27"/>
      <c r="B100" s="22"/>
      <c r="C100" s="22"/>
      <c r="D100" s="22"/>
      <c r="E100" s="22"/>
      <c r="F100" s="22"/>
      <c r="G100" s="22"/>
      <c r="H100" s="22"/>
      <c r="I100" s="24"/>
      <c r="J100" s="24"/>
      <c r="K100" s="24"/>
      <c r="L100" s="22"/>
      <c r="M100" s="22"/>
      <c r="N100" s="22"/>
    </row>
    <row r="101" spans="1:14" x14ac:dyDescent="0.25">
      <c r="A101" s="27"/>
      <c r="B101" s="22"/>
      <c r="C101" s="22"/>
      <c r="D101" s="22"/>
      <c r="E101" s="22"/>
      <c r="F101" s="22"/>
      <c r="G101" s="22"/>
      <c r="H101" s="22"/>
      <c r="I101" s="24"/>
      <c r="J101" s="24"/>
      <c r="K101" s="24"/>
      <c r="L101" s="22"/>
      <c r="M101" s="22"/>
      <c r="N101" s="22"/>
    </row>
    <row r="102" spans="1:14" x14ac:dyDescent="0.25">
      <c r="A102" s="27"/>
      <c r="B102" s="22"/>
      <c r="C102" s="22"/>
      <c r="D102" s="22"/>
      <c r="E102" s="22"/>
      <c r="F102" s="22"/>
      <c r="G102" s="22"/>
      <c r="H102" s="22"/>
      <c r="I102" s="24"/>
      <c r="J102" s="24"/>
      <c r="K102" s="24"/>
      <c r="L102" s="22"/>
      <c r="M102" s="22"/>
      <c r="N102" s="22"/>
    </row>
    <row r="103" spans="1:14" x14ac:dyDescent="0.25">
      <c r="A103" s="27"/>
      <c r="B103" s="22"/>
      <c r="C103" s="22"/>
      <c r="D103" s="22"/>
      <c r="E103" s="22"/>
      <c r="F103" s="22"/>
      <c r="G103" s="22"/>
      <c r="H103" s="22"/>
      <c r="I103" s="24"/>
      <c r="J103" s="24"/>
      <c r="K103" s="24"/>
      <c r="L103" s="22"/>
      <c r="M103" s="22"/>
      <c r="N103" s="22"/>
    </row>
    <row r="104" spans="1:14" x14ac:dyDescent="0.25">
      <c r="A104" s="27"/>
      <c r="B104" s="22"/>
      <c r="C104" s="22"/>
      <c r="D104" s="22"/>
      <c r="E104" s="22"/>
      <c r="F104" s="22"/>
      <c r="G104" s="22"/>
      <c r="H104" s="22"/>
      <c r="I104" s="24"/>
      <c r="J104" s="24"/>
      <c r="K104" s="24"/>
      <c r="L104" s="22"/>
      <c r="M104" s="22"/>
      <c r="N104" s="22"/>
    </row>
    <row r="105" spans="1:14" x14ac:dyDescent="0.25">
      <c r="A105" s="27"/>
      <c r="B105" s="22"/>
      <c r="C105" s="22"/>
      <c r="D105" s="22"/>
      <c r="E105" s="22"/>
      <c r="F105" s="22"/>
      <c r="G105" s="22"/>
      <c r="H105" s="22"/>
      <c r="I105" s="24"/>
      <c r="J105" s="24"/>
      <c r="K105" s="24"/>
      <c r="L105" s="22"/>
      <c r="M105" s="22"/>
      <c r="N105" s="22"/>
    </row>
    <row r="106" spans="1:14" x14ac:dyDescent="0.25">
      <c r="A106" s="27"/>
      <c r="B106" s="22"/>
      <c r="C106" s="22"/>
      <c r="D106" s="22"/>
      <c r="E106" s="22"/>
      <c r="F106" s="22"/>
      <c r="G106" s="22"/>
      <c r="H106" s="22"/>
      <c r="I106" s="24"/>
      <c r="J106" s="24"/>
      <c r="K106" s="24"/>
      <c r="L106" s="22"/>
      <c r="M106" s="22"/>
      <c r="N106" s="22"/>
    </row>
    <row r="107" spans="1:14" x14ac:dyDescent="0.25">
      <c r="A107" s="27"/>
      <c r="B107" s="22"/>
      <c r="C107" s="22"/>
      <c r="D107" s="22"/>
      <c r="E107" s="22"/>
      <c r="F107" s="22"/>
      <c r="G107" s="22"/>
      <c r="H107" s="22"/>
      <c r="I107" s="24"/>
      <c r="J107" s="24"/>
      <c r="K107" s="24"/>
      <c r="L107" s="22"/>
      <c r="M107" s="22"/>
      <c r="N107" s="22"/>
    </row>
    <row r="108" spans="1:14" x14ac:dyDescent="0.25">
      <c r="A108" s="27"/>
      <c r="B108" s="22"/>
      <c r="C108" s="22"/>
      <c r="D108" s="22"/>
      <c r="E108" s="22"/>
      <c r="F108" s="22"/>
      <c r="G108" s="22"/>
      <c r="H108" s="22"/>
      <c r="I108" s="24"/>
      <c r="J108" s="24"/>
      <c r="K108" s="24"/>
      <c r="L108" s="22"/>
      <c r="M108" s="22"/>
      <c r="N108" s="22"/>
    </row>
    <row r="109" spans="1:14" x14ac:dyDescent="0.25">
      <c r="A109" s="27"/>
      <c r="B109" s="22"/>
      <c r="C109" s="22"/>
      <c r="D109" s="22"/>
      <c r="E109" s="22"/>
      <c r="F109" s="22"/>
      <c r="G109" s="22"/>
      <c r="H109" s="22"/>
      <c r="I109" s="24"/>
      <c r="J109" s="24"/>
      <c r="K109" s="24"/>
      <c r="L109" s="22"/>
      <c r="M109" s="22"/>
      <c r="N109" s="22"/>
    </row>
    <row r="110" spans="1:14" x14ac:dyDescent="0.25">
      <c r="A110" s="27"/>
      <c r="B110" s="22"/>
      <c r="C110" s="22"/>
      <c r="D110" s="22"/>
      <c r="E110" s="22"/>
      <c r="F110" s="22"/>
      <c r="G110" s="22"/>
      <c r="H110" s="22"/>
      <c r="I110" s="24"/>
      <c r="J110" s="24"/>
      <c r="K110" s="24"/>
      <c r="L110" s="22"/>
      <c r="M110" s="22"/>
      <c r="N110" s="22"/>
    </row>
    <row r="111" spans="1:14" x14ac:dyDescent="0.25">
      <c r="A111" s="27"/>
      <c r="B111" s="22"/>
      <c r="C111" s="22"/>
      <c r="D111" s="22"/>
      <c r="E111" s="22"/>
      <c r="F111" s="22"/>
      <c r="G111" s="22"/>
      <c r="H111" s="22"/>
      <c r="I111" s="24"/>
      <c r="J111" s="24"/>
      <c r="K111" s="24"/>
      <c r="L111" s="22"/>
      <c r="M111" s="22"/>
      <c r="N111" s="22"/>
    </row>
    <row r="112" spans="1:14" x14ac:dyDescent="0.25">
      <c r="A112" s="27"/>
      <c r="B112" s="22"/>
      <c r="C112" s="22"/>
      <c r="D112" s="22"/>
      <c r="E112" s="22"/>
      <c r="F112" s="22"/>
      <c r="G112" s="22"/>
      <c r="H112" s="22"/>
      <c r="I112" s="24"/>
      <c r="J112" s="24"/>
      <c r="K112" s="24"/>
      <c r="L112" s="22"/>
      <c r="M112" s="22"/>
      <c r="N112" s="22"/>
    </row>
    <row r="113" spans="1:14" x14ac:dyDescent="0.25">
      <c r="A113" s="27"/>
      <c r="B113" s="22"/>
      <c r="C113" s="22"/>
      <c r="D113" s="22"/>
      <c r="E113" s="22"/>
      <c r="F113" s="22"/>
      <c r="G113" s="22"/>
      <c r="H113" s="22"/>
      <c r="I113" s="24"/>
      <c r="J113" s="24"/>
      <c r="K113" s="24"/>
      <c r="L113" s="22"/>
      <c r="M113" s="22"/>
      <c r="N113" s="22"/>
    </row>
    <row r="114" spans="1:14" x14ac:dyDescent="0.25">
      <c r="A114" s="27"/>
      <c r="B114" s="22"/>
      <c r="C114" s="22"/>
      <c r="D114" s="22"/>
      <c r="E114" s="22"/>
      <c r="F114" s="22"/>
      <c r="G114" s="22"/>
      <c r="H114" s="22"/>
      <c r="I114" s="24"/>
      <c r="J114" s="24"/>
      <c r="K114" s="24"/>
      <c r="L114" s="22"/>
      <c r="M114" s="22"/>
      <c r="N114" s="22"/>
    </row>
    <row r="115" spans="1:14" x14ac:dyDescent="0.25">
      <c r="A115" s="27"/>
      <c r="B115" s="22"/>
      <c r="C115" s="22"/>
      <c r="D115" s="22"/>
      <c r="E115" s="22"/>
      <c r="F115" s="22"/>
      <c r="G115" s="22"/>
      <c r="H115" s="22"/>
      <c r="I115" s="24"/>
      <c r="J115" s="24"/>
      <c r="K115" s="24"/>
      <c r="L115" s="22"/>
      <c r="M115" s="22"/>
      <c r="N115" s="22"/>
    </row>
    <row r="116" spans="1:14" x14ac:dyDescent="0.25">
      <c r="A116" s="27"/>
      <c r="B116" s="22"/>
      <c r="C116" s="22"/>
      <c r="D116" s="22"/>
      <c r="E116" s="22"/>
      <c r="F116" s="22"/>
      <c r="G116" s="22"/>
      <c r="H116" s="22"/>
      <c r="I116" s="24"/>
      <c r="J116" s="24"/>
      <c r="K116" s="24"/>
      <c r="L116" s="22"/>
      <c r="M116" s="22"/>
      <c r="N116" s="22"/>
    </row>
    <row r="117" spans="1:14" x14ac:dyDescent="0.25">
      <c r="A117" s="27"/>
      <c r="B117" s="22"/>
      <c r="C117" s="22"/>
      <c r="D117" s="22"/>
      <c r="E117" s="22"/>
      <c r="F117" s="22"/>
      <c r="G117" s="22"/>
      <c r="H117" s="22"/>
      <c r="I117" s="24"/>
      <c r="J117" s="24"/>
      <c r="K117" s="24"/>
      <c r="L117" s="22"/>
      <c r="M117" s="22"/>
      <c r="N117" s="22"/>
    </row>
    <row r="118" spans="1:14" x14ac:dyDescent="0.25">
      <c r="A118" s="27"/>
      <c r="B118" s="22"/>
      <c r="C118" s="22"/>
      <c r="D118" s="22"/>
      <c r="E118" s="22"/>
      <c r="F118" s="22"/>
      <c r="G118" s="22"/>
      <c r="H118" s="22"/>
      <c r="I118" s="24"/>
      <c r="J118" s="24"/>
      <c r="K118" s="24"/>
      <c r="L118" s="22"/>
      <c r="M118" s="22"/>
      <c r="N118" s="22"/>
    </row>
    <row r="119" spans="1:14" x14ac:dyDescent="0.25">
      <c r="A119" s="27"/>
      <c r="B119" s="22"/>
      <c r="C119" s="22"/>
      <c r="D119" s="22"/>
      <c r="E119" s="22"/>
      <c r="F119" s="22"/>
      <c r="G119" s="22"/>
      <c r="H119" s="22"/>
      <c r="I119" s="24"/>
      <c r="J119" s="24"/>
      <c r="K119" s="24"/>
      <c r="L119" s="22"/>
      <c r="M119" s="22"/>
      <c r="N119" s="22"/>
    </row>
    <row r="120" spans="1:14" x14ac:dyDescent="0.25">
      <c r="A120" s="27"/>
      <c r="B120" s="22"/>
      <c r="C120" s="22"/>
      <c r="D120" s="22"/>
      <c r="E120" s="22"/>
      <c r="F120" s="22"/>
      <c r="G120" s="22"/>
      <c r="H120" s="22"/>
      <c r="I120" s="24"/>
      <c r="J120" s="24"/>
      <c r="K120" s="24"/>
      <c r="L120" s="22"/>
      <c r="M120" s="22"/>
      <c r="N120" s="22"/>
    </row>
    <row r="121" spans="1:14" x14ac:dyDescent="0.25">
      <c r="A121" s="27"/>
      <c r="B121" s="22"/>
      <c r="C121" s="22"/>
      <c r="D121" s="22"/>
      <c r="E121" s="22"/>
      <c r="F121" s="22"/>
      <c r="G121" s="22"/>
      <c r="H121" s="22"/>
      <c r="I121" s="24"/>
      <c r="J121" s="24"/>
      <c r="K121" s="24"/>
      <c r="L121" s="22"/>
      <c r="M121" s="22"/>
      <c r="N121" s="22"/>
    </row>
    <row r="122" spans="1:14" x14ac:dyDescent="0.25">
      <c r="A122" s="27"/>
      <c r="B122" s="22"/>
      <c r="C122" s="22"/>
      <c r="D122" s="22"/>
      <c r="E122" s="22"/>
      <c r="F122" s="22"/>
      <c r="G122" s="22"/>
      <c r="H122" s="22"/>
      <c r="I122" s="24"/>
      <c r="J122" s="24"/>
      <c r="K122" s="24"/>
      <c r="L122" s="22"/>
      <c r="M122" s="22"/>
      <c r="N122" s="22"/>
    </row>
    <row r="123" spans="1:14" x14ac:dyDescent="0.25">
      <c r="A123" s="27"/>
      <c r="B123" s="22"/>
      <c r="C123" s="22"/>
      <c r="D123" s="22"/>
      <c r="E123" s="22"/>
      <c r="F123" s="22"/>
      <c r="G123" s="22"/>
      <c r="H123" s="22"/>
      <c r="I123" s="24"/>
      <c r="J123" s="24"/>
      <c r="K123" s="24"/>
      <c r="L123" s="22"/>
      <c r="M123" s="22"/>
      <c r="N123" s="22"/>
    </row>
    <row r="124" spans="1:14" x14ac:dyDescent="0.25">
      <c r="A124" s="27"/>
      <c r="B124" s="22"/>
      <c r="C124" s="22"/>
      <c r="D124" s="22"/>
      <c r="E124" s="22"/>
      <c r="F124" s="22"/>
      <c r="G124" s="22"/>
      <c r="H124" s="22"/>
      <c r="I124" s="24"/>
      <c r="J124" s="24"/>
      <c r="K124" s="24"/>
      <c r="L124" s="22"/>
      <c r="M124" s="22"/>
      <c r="N124" s="22"/>
    </row>
    <row r="125" spans="1:14" x14ac:dyDescent="0.25">
      <c r="A125" s="27"/>
      <c r="B125" s="22"/>
      <c r="C125" s="22"/>
      <c r="D125" s="22"/>
      <c r="E125" s="22"/>
      <c r="F125" s="22"/>
      <c r="G125" s="22"/>
      <c r="H125" s="22"/>
      <c r="I125" s="24"/>
      <c r="J125" s="24"/>
      <c r="K125" s="24"/>
      <c r="L125" s="22"/>
      <c r="M125" s="22"/>
      <c r="N125" s="22"/>
    </row>
    <row r="126" spans="1:14" x14ac:dyDescent="0.25">
      <c r="A126" s="27"/>
      <c r="B126" s="22"/>
      <c r="C126" s="22"/>
      <c r="D126" s="22"/>
      <c r="E126" s="22"/>
      <c r="F126" s="22"/>
      <c r="G126" s="22"/>
      <c r="H126" s="22"/>
      <c r="I126" s="24"/>
      <c r="J126" s="24"/>
      <c r="K126" s="24"/>
      <c r="L126" s="22"/>
      <c r="M126" s="22"/>
      <c r="N126" s="22"/>
    </row>
    <row r="127" spans="1:14" x14ac:dyDescent="0.25">
      <c r="A127" s="27"/>
      <c r="B127" s="22"/>
      <c r="C127" s="22"/>
      <c r="D127" s="22"/>
      <c r="E127" s="22"/>
      <c r="F127" s="22"/>
      <c r="G127" s="22"/>
      <c r="H127" s="22"/>
      <c r="I127" s="24"/>
      <c r="J127" s="24"/>
      <c r="K127" s="24"/>
      <c r="L127" s="22"/>
      <c r="M127" s="22"/>
      <c r="N127" s="22"/>
    </row>
    <row r="128" spans="1:14" x14ac:dyDescent="0.25">
      <c r="A128" s="27"/>
      <c r="B128" s="22"/>
      <c r="C128" s="22"/>
      <c r="D128" s="22"/>
      <c r="E128" s="22"/>
      <c r="F128" s="22"/>
      <c r="G128" s="22"/>
      <c r="H128" s="22"/>
      <c r="I128" s="24"/>
      <c r="J128" s="24"/>
      <c r="K128" s="24"/>
      <c r="L128" s="22"/>
      <c r="M128" s="22"/>
      <c r="N128" s="22"/>
    </row>
    <row r="129" spans="1:14" x14ac:dyDescent="0.25">
      <c r="A129" s="27"/>
      <c r="B129" s="22"/>
      <c r="C129" s="22"/>
      <c r="D129" s="22"/>
      <c r="E129" s="22"/>
      <c r="F129" s="22"/>
      <c r="G129" s="22"/>
      <c r="H129" s="22"/>
      <c r="I129" s="24"/>
      <c r="J129" s="24"/>
      <c r="K129" s="24"/>
      <c r="L129" s="22"/>
      <c r="M129" s="22"/>
      <c r="N129" s="22"/>
    </row>
    <row r="130" spans="1:14" x14ac:dyDescent="0.25">
      <c r="A130" s="27"/>
      <c r="B130" s="22"/>
      <c r="C130" s="22"/>
      <c r="D130" s="22"/>
      <c r="E130" s="22"/>
      <c r="F130" s="22"/>
      <c r="G130" s="22"/>
      <c r="H130" s="22"/>
      <c r="I130" s="24"/>
      <c r="J130" s="24"/>
      <c r="K130" s="24"/>
      <c r="L130" s="22"/>
      <c r="M130" s="22"/>
      <c r="N130" s="22"/>
    </row>
    <row r="131" spans="1:14" x14ac:dyDescent="0.25">
      <c r="A131" s="27"/>
      <c r="B131" s="22"/>
      <c r="C131" s="22"/>
      <c r="D131" s="22"/>
      <c r="E131" s="22"/>
      <c r="F131" s="22"/>
      <c r="G131" s="22"/>
      <c r="H131" s="22"/>
      <c r="I131" s="24"/>
      <c r="J131" s="24"/>
      <c r="K131" s="24"/>
      <c r="L131" s="22"/>
      <c r="M131" s="22"/>
      <c r="N131" s="22"/>
    </row>
    <row r="132" spans="1:14" x14ac:dyDescent="0.25">
      <c r="A132" s="27"/>
      <c r="B132" s="22"/>
      <c r="C132" s="22"/>
      <c r="D132" s="22"/>
      <c r="E132" s="22"/>
      <c r="F132" s="22"/>
      <c r="G132" s="22"/>
      <c r="H132" s="22"/>
      <c r="I132" s="24"/>
      <c r="J132" s="24"/>
      <c r="K132" s="24"/>
      <c r="L132" s="22"/>
      <c r="M132" s="22"/>
      <c r="N132" s="22"/>
    </row>
    <row r="133" spans="1:14" x14ac:dyDescent="0.25">
      <c r="A133" s="27"/>
      <c r="B133" s="22"/>
      <c r="C133" s="22"/>
      <c r="D133" s="22"/>
      <c r="E133" s="22"/>
      <c r="F133" s="22"/>
      <c r="G133" s="22"/>
      <c r="H133" s="22"/>
      <c r="I133" s="24"/>
      <c r="J133" s="24"/>
      <c r="K133" s="24"/>
      <c r="L133" s="22"/>
      <c r="M133" s="22"/>
      <c r="N133" s="22"/>
    </row>
    <row r="134" spans="1:14" x14ac:dyDescent="0.25">
      <c r="A134" s="27"/>
      <c r="B134" s="22"/>
      <c r="C134" s="22"/>
      <c r="D134" s="22"/>
      <c r="E134" s="22"/>
      <c r="F134" s="22"/>
      <c r="G134" s="22"/>
      <c r="H134" s="22"/>
      <c r="I134" s="24"/>
      <c r="J134" s="24"/>
      <c r="K134" s="24"/>
      <c r="L134" s="22"/>
      <c r="M134" s="22"/>
      <c r="N134" s="22"/>
    </row>
    <row r="135" spans="1:14" x14ac:dyDescent="0.25">
      <c r="A135" s="27"/>
      <c r="B135" s="22"/>
      <c r="C135" s="22"/>
      <c r="D135" s="22"/>
      <c r="E135" s="22"/>
      <c r="F135" s="22"/>
      <c r="G135" s="22"/>
      <c r="H135" s="22"/>
      <c r="I135" s="24"/>
      <c r="J135" s="24"/>
      <c r="K135" s="24"/>
      <c r="L135" s="22"/>
      <c r="M135" s="22"/>
      <c r="N135" s="22"/>
    </row>
    <row r="136" spans="1:14" x14ac:dyDescent="0.25">
      <c r="A136" s="27"/>
      <c r="B136" s="22"/>
      <c r="C136" s="22"/>
      <c r="D136" s="22"/>
      <c r="E136" s="22"/>
      <c r="F136" s="22"/>
      <c r="G136" s="22"/>
      <c r="H136" s="22"/>
      <c r="I136" s="24"/>
      <c r="J136" s="24"/>
      <c r="K136" s="24"/>
      <c r="L136" s="22"/>
      <c r="M136" s="22"/>
      <c r="N136" s="22"/>
    </row>
    <row r="137" spans="1:14" x14ac:dyDescent="0.25">
      <c r="A137" s="27"/>
      <c r="B137" s="22"/>
      <c r="C137" s="22"/>
      <c r="D137" s="22"/>
      <c r="E137" s="22"/>
      <c r="F137" s="22"/>
      <c r="G137" s="22"/>
      <c r="H137" s="22"/>
      <c r="I137" s="24"/>
      <c r="J137" s="24"/>
      <c r="K137" s="24"/>
      <c r="L137" s="22"/>
      <c r="M137" s="22"/>
      <c r="N137" s="22"/>
    </row>
    <row r="138" spans="1:14" x14ac:dyDescent="0.25">
      <c r="A138" s="27"/>
      <c r="B138" s="22"/>
      <c r="C138" s="22"/>
      <c r="D138" s="22"/>
      <c r="E138" s="22"/>
      <c r="F138" s="22"/>
      <c r="G138" s="22"/>
      <c r="H138" s="22"/>
      <c r="I138" s="24"/>
      <c r="J138" s="24"/>
      <c r="K138" s="24"/>
      <c r="L138" s="22"/>
      <c r="M138" s="22"/>
      <c r="N138" s="22"/>
    </row>
    <row r="139" spans="1:14" x14ac:dyDescent="0.25">
      <c r="A139" s="27"/>
      <c r="B139" s="22"/>
      <c r="C139" s="22"/>
      <c r="D139" s="22"/>
      <c r="E139" s="22"/>
      <c r="F139" s="22"/>
      <c r="G139" s="22"/>
      <c r="H139" s="22"/>
      <c r="I139" s="24"/>
      <c r="J139" s="24"/>
      <c r="K139" s="24"/>
      <c r="L139" s="22"/>
      <c r="M139" s="22"/>
      <c r="N139" s="22"/>
    </row>
    <row r="140" spans="1:14" x14ac:dyDescent="0.25">
      <c r="A140" s="27"/>
      <c r="B140" s="22"/>
      <c r="C140" s="22"/>
      <c r="D140" s="22"/>
      <c r="E140" s="22"/>
      <c r="F140" s="22"/>
      <c r="G140" s="22"/>
      <c r="H140" s="22"/>
      <c r="I140" s="24"/>
      <c r="J140" s="24"/>
      <c r="K140" s="24"/>
      <c r="L140" s="22"/>
      <c r="M140" s="22"/>
      <c r="N140" s="22"/>
    </row>
    <row r="141" spans="1:14" x14ac:dyDescent="0.25">
      <c r="A141" s="27"/>
      <c r="B141" s="22"/>
      <c r="C141" s="22"/>
      <c r="D141" s="22"/>
      <c r="E141" s="22"/>
      <c r="F141" s="22"/>
      <c r="G141" s="22"/>
      <c r="H141" s="22"/>
      <c r="I141" s="24"/>
      <c r="J141" s="24"/>
      <c r="K141" s="24"/>
      <c r="L141" s="22"/>
      <c r="M141" s="22"/>
      <c r="N141" s="22"/>
    </row>
    <row r="142" spans="1:14" x14ac:dyDescent="0.25">
      <c r="A142" s="27"/>
      <c r="B142" s="22"/>
      <c r="C142" s="22"/>
      <c r="D142" s="22"/>
      <c r="E142" s="22"/>
      <c r="F142" s="22"/>
      <c r="G142" s="22"/>
      <c r="H142" s="22"/>
      <c r="I142" s="24"/>
      <c r="J142" s="24"/>
      <c r="K142" s="24"/>
      <c r="L142" s="22"/>
      <c r="M142" s="22"/>
      <c r="N142" s="22"/>
    </row>
    <row r="143" spans="1:14" x14ac:dyDescent="0.25">
      <c r="A143" s="27"/>
      <c r="B143" s="22"/>
      <c r="C143" s="22"/>
      <c r="D143" s="22"/>
      <c r="E143" s="22"/>
      <c r="F143" s="22"/>
      <c r="G143" s="22"/>
      <c r="H143" s="22"/>
      <c r="I143" s="24"/>
      <c r="J143" s="24"/>
      <c r="K143" s="24"/>
      <c r="L143" s="22"/>
      <c r="M143" s="22"/>
      <c r="N143" s="22"/>
    </row>
    <row r="144" spans="1:14" x14ac:dyDescent="0.25">
      <c r="A144" s="27"/>
      <c r="B144" s="22"/>
      <c r="C144" s="22"/>
      <c r="D144" s="22"/>
      <c r="E144" s="22"/>
      <c r="F144" s="22"/>
      <c r="G144" s="22"/>
      <c r="H144" s="22"/>
      <c r="I144" s="24"/>
      <c r="J144" s="24"/>
      <c r="K144" s="24"/>
      <c r="L144" s="22"/>
      <c r="M144" s="22"/>
      <c r="N144" s="22"/>
    </row>
    <row r="145" spans="1:14" x14ac:dyDescent="0.25">
      <c r="A145" s="27"/>
      <c r="B145" s="22"/>
      <c r="C145" s="22"/>
      <c r="D145" s="22"/>
      <c r="E145" s="22"/>
      <c r="F145" s="22"/>
      <c r="G145" s="22"/>
      <c r="H145" s="22"/>
      <c r="I145" s="24"/>
      <c r="J145" s="24"/>
      <c r="K145" s="24"/>
      <c r="L145" s="22"/>
      <c r="M145" s="22"/>
      <c r="N145" s="22"/>
    </row>
    <row r="146" spans="1:14" x14ac:dyDescent="0.25">
      <c r="A146" s="27"/>
      <c r="B146" s="22"/>
      <c r="C146" s="22"/>
      <c r="D146" s="22"/>
      <c r="E146" s="22"/>
      <c r="F146" s="22"/>
      <c r="G146" s="22"/>
      <c r="H146" s="22"/>
      <c r="I146" s="24"/>
      <c r="J146" s="24"/>
      <c r="K146" s="24"/>
      <c r="L146" s="22"/>
      <c r="M146" s="22"/>
      <c r="N146" s="22"/>
    </row>
    <row r="147" spans="1:14" x14ac:dyDescent="0.25">
      <c r="A147" s="27"/>
      <c r="B147" s="22"/>
      <c r="C147" s="22"/>
      <c r="D147" s="22"/>
      <c r="E147" s="22"/>
      <c r="F147" s="22"/>
      <c r="G147" s="22"/>
      <c r="H147" s="22"/>
      <c r="I147" s="24"/>
      <c r="J147" s="24"/>
      <c r="K147" s="24"/>
      <c r="L147" s="22"/>
      <c r="M147" s="22"/>
      <c r="N147" s="22"/>
    </row>
    <row r="148" spans="1:14" x14ac:dyDescent="0.25">
      <c r="A148" s="27"/>
      <c r="B148" s="22"/>
      <c r="C148" s="22"/>
      <c r="D148" s="22"/>
      <c r="E148" s="22"/>
      <c r="F148" s="22"/>
      <c r="G148" s="22"/>
      <c r="H148" s="22"/>
      <c r="I148" s="24"/>
      <c r="J148" s="24"/>
      <c r="K148" s="24"/>
      <c r="L148" s="22"/>
      <c r="M148" s="22"/>
      <c r="N148" s="22"/>
    </row>
    <row r="149" spans="1:14" x14ac:dyDescent="0.25">
      <c r="A149" s="27"/>
      <c r="B149" s="22"/>
      <c r="C149" s="22"/>
      <c r="D149" s="22"/>
      <c r="E149" s="22"/>
      <c r="F149" s="22"/>
      <c r="G149" s="22"/>
      <c r="H149" s="22"/>
      <c r="I149" s="24"/>
      <c r="J149" s="24"/>
      <c r="K149" s="24"/>
      <c r="L149" s="22"/>
      <c r="M149" s="22"/>
      <c r="N149" s="22"/>
    </row>
    <row r="150" spans="1:14" x14ac:dyDescent="0.25">
      <c r="A150" s="27"/>
      <c r="B150" s="22"/>
      <c r="C150" s="22"/>
      <c r="D150" s="22"/>
      <c r="E150" s="22"/>
      <c r="F150" s="22"/>
      <c r="G150" s="22"/>
      <c r="H150" s="22"/>
      <c r="I150" s="24"/>
      <c r="J150" s="24"/>
      <c r="K150" s="24"/>
      <c r="L150" s="22"/>
      <c r="M150" s="22"/>
      <c r="N150" s="22"/>
    </row>
    <row r="151" spans="1:14" x14ac:dyDescent="0.25">
      <c r="A151" s="27"/>
      <c r="B151" s="22"/>
      <c r="C151" s="22"/>
      <c r="D151" s="22"/>
      <c r="E151" s="22"/>
      <c r="F151" s="22"/>
      <c r="G151" s="22"/>
      <c r="H151" s="22"/>
      <c r="I151" s="24"/>
      <c r="J151" s="24"/>
      <c r="K151" s="24"/>
      <c r="L151" s="22"/>
      <c r="M151" s="22"/>
      <c r="N151" s="22"/>
    </row>
    <row r="152" spans="1:14" x14ac:dyDescent="0.25">
      <c r="A152" s="27"/>
      <c r="B152" s="22"/>
      <c r="C152" s="22"/>
      <c r="D152" s="22"/>
      <c r="E152" s="22"/>
      <c r="F152" s="22"/>
      <c r="G152" s="22"/>
      <c r="H152" s="22"/>
      <c r="I152" s="24"/>
      <c r="J152" s="24"/>
      <c r="K152" s="24"/>
      <c r="L152" s="22"/>
      <c r="M152" s="22"/>
      <c r="N152" s="22"/>
    </row>
    <row r="153" spans="1:14" x14ac:dyDescent="0.25">
      <c r="A153" s="27"/>
      <c r="B153" s="22"/>
      <c r="C153" s="22"/>
      <c r="D153" s="22"/>
      <c r="E153" s="22"/>
      <c r="F153" s="22"/>
      <c r="G153" s="22"/>
      <c r="H153" s="22"/>
      <c r="I153" s="24"/>
      <c r="J153" s="24"/>
      <c r="K153" s="24"/>
      <c r="L153" s="22"/>
      <c r="M153" s="22"/>
      <c r="N153" s="22"/>
    </row>
    <row r="154" spans="1:14" x14ac:dyDescent="0.25">
      <c r="A154" s="27"/>
      <c r="B154" s="22"/>
      <c r="C154" s="22"/>
      <c r="D154" s="22"/>
      <c r="E154" s="22"/>
      <c r="F154" s="22"/>
      <c r="G154" s="22"/>
      <c r="H154" s="22"/>
      <c r="I154" s="24"/>
      <c r="J154" s="24"/>
      <c r="K154" s="24"/>
      <c r="L154" s="22"/>
      <c r="M154" s="22"/>
      <c r="N154" s="22"/>
    </row>
    <row r="155" spans="1:14" x14ac:dyDescent="0.25">
      <c r="A155" s="27"/>
      <c r="B155" s="22"/>
      <c r="C155" s="22"/>
      <c r="D155" s="22"/>
      <c r="E155" s="22"/>
      <c r="F155" s="22"/>
      <c r="G155" s="22"/>
      <c r="H155" s="22"/>
      <c r="I155" s="24"/>
      <c r="J155" s="24"/>
      <c r="K155" s="24"/>
      <c r="L155" s="22"/>
      <c r="M155" s="22"/>
      <c r="N155" s="22"/>
    </row>
    <row r="156" spans="1:14" x14ac:dyDescent="0.25">
      <c r="A156" s="27"/>
      <c r="B156" s="22"/>
      <c r="C156" s="22"/>
      <c r="D156" s="22"/>
      <c r="E156" s="22"/>
      <c r="F156" s="22"/>
      <c r="G156" s="22"/>
      <c r="H156" s="22"/>
      <c r="I156" s="24"/>
      <c r="J156" s="24"/>
      <c r="K156" s="24"/>
      <c r="L156" s="22"/>
      <c r="M156" s="22"/>
      <c r="N156" s="22"/>
    </row>
    <row r="157" spans="1:14" x14ac:dyDescent="0.25">
      <c r="A157" s="27"/>
      <c r="B157" s="22"/>
      <c r="C157" s="22"/>
      <c r="D157" s="22"/>
      <c r="E157" s="22"/>
      <c r="F157" s="22"/>
      <c r="G157" s="22"/>
      <c r="H157" s="22"/>
      <c r="I157" s="24"/>
      <c r="J157" s="24"/>
      <c r="K157" s="24"/>
      <c r="L157" s="22"/>
      <c r="M157" s="22"/>
      <c r="N157" s="22"/>
    </row>
    <row r="158" spans="1:14" x14ac:dyDescent="0.25">
      <c r="A158" s="27"/>
      <c r="B158" s="22"/>
      <c r="C158" s="22"/>
      <c r="D158" s="22"/>
      <c r="E158" s="22"/>
      <c r="F158" s="22"/>
      <c r="G158" s="22"/>
      <c r="H158" s="22"/>
      <c r="I158" s="24"/>
      <c r="J158" s="24"/>
      <c r="K158" s="24"/>
      <c r="L158" s="22"/>
      <c r="M158" s="22"/>
      <c r="N158" s="22"/>
    </row>
    <row r="159" spans="1:14" x14ac:dyDescent="0.25">
      <c r="A159" s="27"/>
      <c r="B159" s="22"/>
      <c r="C159" s="22"/>
      <c r="D159" s="22"/>
      <c r="E159" s="22"/>
      <c r="F159" s="22"/>
      <c r="G159" s="22"/>
      <c r="H159" s="22"/>
      <c r="I159" s="24"/>
      <c r="J159" s="24"/>
      <c r="K159" s="24"/>
      <c r="L159" s="22"/>
      <c r="M159" s="22"/>
      <c r="N159" s="22"/>
    </row>
    <row r="160" spans="1:14" x14ac:dyDescent="0.25">
      <c r="A160" s="27"/>
      <c r="B160" s="22"/>
      <c r="C160" s="22"/>
      <c r="D160" s="22"/>
      <c r="E160" s="22"/>
      <c r="F160" s="22"/>
      <c r="G160" s="22"/>
      <c r="H160" s="22"/>
      <c r="I160" s="24"/>
      <c r="J160" s="24"/>
      <c r="K160" s="24"/>
      <c r="L160" s="22"/>
      <c r="M160" s="22"/>
      <c r="N160" s="22"/>
    </row>
    <row r="161" spans="1:14" x14ac:dyDescent="0.25">
      <c r="A161" s="27"/>
      <c r="B161" s="22"/>
      <c r="C161" s="22"/>
      <c r="D161" s="22"/>
      <c r="E161" s="22"/>
      <c r="F161" s="22"/>
      <c r="G161" s="22"/>
      <c r="H161" s="22"/>
      <c r="I161" s="24"/>
      <c r="J161" s="24"/>
      <c r="K161" s="24"/>
      <c r="L161" s="22"/>
      <c r="M161" s="22"/>
      <c r="N161" s="22"/>
    </row>
    <row r="162" spans="1:14" x14ac:dyDescent="0.25">
      <c r="A162" s="27"/>
      <c r="B162" s="22"/>
      <c r="C162" s="22"/>
      <c r="D162" s="22"/>
      <c r="E162" s="22"/>
      <c r="F162" s="22"/>
      <c r="G162" s="22"/>
      <c r="H162" s="22"/>
      <c r="I162" s="24"/>
      <c r="J162" s="24"/>
      <c r="K162" s="24"/>
      <c r="L162" s="22"/>
      <c r="M162" s="22"/>
      <c r="N162" s="22"/>
    </row>
    <row r="163" spans="1:14" x14ac:dyDescent="0.25">
      <c r="A163" s="27"/>
      <c r="B163" s="22"/>
      <c r="C163" s="22"/>
      <c r="D163" s="22"/>
      <c r="E163" s="22"/>
      <c r="F163" s="22"/>
      <c r="G163" s="22"/>
      <c r="H163" s="22"/>
      <c r="I163" s="24"/>
      <c r="J163" s="24"/>
      <c r="K163" s="24"/>
      <c r="L163" s="22"/>
      <c r="M163" s="22"/>
      <c r="N163" s="22"/>
    </row>
    <row r="164" spans="1:14" x14ac:dyDescent="0.25">
      <c r="A164" s="27"/>
      <c r="B164" s="22"/>
      <c r="C164" s="22"/>
      <c r="D164" s="22"/>
      <c r="E164" s="22"/>
      <c r="F164" s="22"/>
      <c r="G164" s="22"/>
      <c r="H164" s="22"/>
      <c r="I164" s="24"/>
      <c r="J164" s="24"/>
      <c r="K164" s="24"/>
      <c r="L164" s="22"/>
      <c r="M164" s="22"/>
      <c r="N164" s="22"/>
    </row>
    <row r="165" spans="1:14" x14ac:dyDescent="0.25">
      <c r="A165" s="27"/>
      <c r="B165" s="22"/>
      <c r="C165" s="22"/>
      <c r="D165" s="22"/>
      <c r="E165" s="22"/>
      <c r="F165" s="22"/>
      <c r="G165" s="22"/>
      <c r="H165" s="22"/>
      <c r="I165" s="24"/>
      <c r="J165" s="24"/>
      <c r="K165" s="24"/>
      <c r="L165" s="22"/>
      <c r="M165" s="22"/>
      <c r="N165" s="22"/>
    </row>
    <row r="166" spans="1:14" x14ac:dyDescent="0.25">
      <c r="A166" s="27"/>
      <c r="B166" s="22"/>
      <c r="C166" s="22"/>
      <c r="D166" s="22"/>
      <c r="E166" s="22"/>
      <c r="F166" s="22"/>
      <c r="G166" s="22"/>
      <c r="H166" s="22"/>
      <c r="I166" s="24"/>
      <c r="J166" s="24"/>
      <c r="K166" s="24"/>
      <c r="L166" s="22"/>
      <c r="M166" s="22"/>
      <c r="N166" s="22"/>
    </row>
    <row r="167" spans="1:14" x14ac:dyDescent="0.25">
      <c r="A167" s="27"/>
      <c r="B167" s="22"/>
      <c r="C167" s="22"/>
      <c r="D167" s="22"/>
      <c r="E167" s="22"/>
      <c r="F167" s="22"/>
      <c r="G167" s="22"/>
      <c r="H167" s="22"/>
      <c r="I167" s="24"/>
      <c r="J167" s="24"/>
      <c r="K167" s="24"/>
      <c r="L167" s="22"/>
      <c r="M167" s="22"/>
      <c r="N167" s="22"/>
    </row>
    <row r="168" spans="1:14" x14ac:dyDescent="0.25">
      <c r="A168" s="27"/>
      <c r="B168" s="22"/>
      <c r="C168" s="22"/>
      <c r="D168" s="22"/>
      <c r="E168" s="22"/>
      <c r="F168" s="22"/>
      <c r="G168" s="22"/>
      <c r="H168" s="22"/>
      <c r="I168" s="24"/>
      <c r="J168" s="24"/>
      <c r="K168" s="24"/>
      <c r="L168" s="22"/>
      <c r="M168" s="22"/>
      <c r="N168" s="22"/>
    </row>
    <row r="169" spans="1:14" x14ac:dyDescent="0.25">
      <c r="A169" s="27"/>
      <c r="B169" s="22"/>
      <c r="C169" s="22"/>
      <c r="D169" s="22"/>
      <c r="E169" s="22"/>
      <c r="F169" s="22"/>
      <c r="G169" s="22"/>
      <c r="H169" s="22"/>
      <c r="I169" s="24"/>
      <c r="J169" s="24"/>
      <c r="K169" s="24"/>
      <c r="L169" s="22"/>
      <c r="M169" s="22"/>
      <c r="N169" s="22"/>
    </row>
    <row r="170" spans="1:14" x14ac:dyDescent="0.25">
      <c r="A170" s="27"/>
      <c r="B170" s="22"/>
      <c r="C170" s="22"/>
      <c r="D170" s="22"/>
      <c r="E170" s="22"/>
      <c r="F170" s="22"/>
      <c r="G170" s="22"/>
      <c r="H170" s="22"/>
      <c r="I170" s="24"/>
      <c r="J170" s="24"/>
      <c r="K170" s="24"/>
      <c r="L170" s="22"/>
      <c r="M170" s="22"/>
      <c r="N170" s="22"/>
    </row>
    <row r="171" spans="1:14" x14ac:dyDescent="0.25">
      <c r="A171" s="27"/>
      <c r="B171" s="22"/>
      <c r="C171" s="22"/>
      <c r="D171" s="22"/>
      <c r="E171" s="22"/>
      <c r="F171" s="22"/>
      <c r="G171" s="22"/>
      <c r="H171" s="22"/>
      <c r="I171" s="24"/>
      <c r="J171" s="24"/>
      <c r="K171" s="24"/>
      <c r="L171" s="22"/>
      <c r="M171" s="22"/>
      <c r="N171" s="22"/>
    </row>
    <row r="172" spans="1:14" x14ac:dyDescent="0.25">
      <c r="A172" s="27"/>
      <c r="B172" s="22"/>
      <c r="C172" s="22"/>
      <c r="D172" s="22"/>
      <c r="E172" s="22"/>
      <c r="F172" s="22"/>
      <c r="G172" s="22"/>
      <c r="H172" s="22"/>
      <c r="I172" s="24"/>
      <c r="J172" s="24"/>
      <c r="K172" s="24"/>
      <c r="L172" s="22"/>
      <c r="M172" s="22"/>
      <c r="N172" s="22"/>
    </row>
    <row r="173" spans="1:14" x14ac:dyDescent="0.25">
      <c r="A173" s="27"/>
      <c r="B173" s="22"/>
      <c r="C173" s="22"/>
      <c r="D173" s="22"/>
      <c r="E173" s="22"/>
      <c r="F173" s="22"/>
      <c r="G173" s="22"/>
      <c r="H173" s="22"/>
      <c r="I173" s="24"/>
      <c r="J173" s="24"/>
      <c r="K173" s="24"/>
      <c r="L173" s="22"/>
      <c r="M173" s="22"/>
      <c r="N173" s="22"/>
    </row>
    <row r="174" spans="1:14" x14ac:dyDescent="0.25">
      <c r="A174" s="27"/>
      <c r="B174" s="22"/>
      <c r="C174" s="22"/>
      <c r="D174" s="22"/>
      <c r="E174" s="22"/>
      <c r="F174" s="22"/>
      <c r="G174" s="22"/>
      <c r="H174" s="22"/>
      <c r="I174" s="24"/>
      <c r="J174" s="24"/>
      <c r="K174" s="24"/>
      <c r="L174" s="22"/>
      <c r="M174" s="22"/>
      <c r="N174" s="22"/>
    </row>
    <row r="175" spans="1:14" x14ac:dyDescent="0.25">
      <c r="A175" s="27"/>
      <c r="B175" s="22"/>
      <c r="C175" s="22"/>
      <c r="D175" s="22"/>
      <c r="E175" s="22"/>
      <c r="F175" s="22"/>
      <c r="G175" s="22"/>
      <c r="H175" s="22"/>
      <c r="I175" s="24"/>
      <c r="J175" s="24"/>
      <c r="K175" s="24"/>
      <c r="L175" s="22"/>
      <c r="M175" s="22"/>
      <c r="N175" s="22"/>
    </row>
    <row r="176" spans="1:14" x14ac:dyDescent="0.25">
      <c r="A176" s="27"/>
      <c r="B176" s="22"/>
      <c r="C176" s="22"/>
      <c r="D176" s="22"/>
      <c r="E176" s="22"/>
      <c r="F176" s="22"/>
      <c r="G176" s="22"/>
      <c r="H176" s="22"/>
      <c r="I176" s="24"/>
      <c r="J176" s="24"/>
      <c r="K176" s="24"/>
      <c r="L176" s="22"/>
      <c r="M176" s="22"/>
      <c r="N176" s="22"/>
    </row>
    <row r="177" spans="1:14" x14ac:dyDescent="0.25">
      <c r="A177" s="27"/>
      <c r="B177" s="22"/>
      <c r="C177" s="22"/>
      <c r="D177" s="22"/>
      <c r="E177" s="22"/>
      <c r="F177" s="22"/>
      <c r="G177" s="22"/>
      <c r="H177" s="22"/>
      <c r="I177" s="24"/>
      <c r="J177" s="24"/>
      <c r="K177" s="24"/>
      <c r="L177" s="22"/>
      <c r="M177" s="22"/>
      <c r="N177" s="22"/>
    </row>
    <row r="178" spans="1:14" x14ac:dyDescent="0.25">
      <c r="A178" s="27"/>
      <c r="B178" s="22"/>
      <c r="C178" s="22"/>
      <c r="D178" s="22"/>
      <c r="E178" s="22"/>
      <c r="F178" s="22"/>
      <c r="G178" s="22"/>
      <c r="H178" s="22"/>
      <c r="I178" s="24"/>
      <c r="J178" s="24"/>
      <c r="K178" s="24"/>
      <c r="L178" s="22"/>
      <c r="M178" s="22"/>
      <c r="N178" s="22"/>
    </row>
    <row r="179" spans="1:14" x14ac:dyDescent="0.25">
      <c r="A179" s="27"/>
      <c r="B179" s="22"/>
      <c r="C179" s="22"/>
      <c r="D179" s="22"/>
      <c r="E179" s="22"/>
      <c r="F179" s="22"/>
      <c r="G179" s="22"/>
      <c r="H179" s="22"/>
      <c r="I179" s="24"/>
      <c r="J179" s="24"/>
      <c r="K179" s="24"/>
      <c r="L179" s="22"/>
      <c r="M179" s="22"/>
      <c r="N179" s="22"/>
    </row>
    <row r="180" spans="1:14" x14ac:dyDescent="0.25">
      <c r="A180" s="27"/>
      <c r="B180" s="22"/>
      <c r="C180" s="22"/>
      <c r="D180" s="22"/>
      <c r="E180" s="22"/>
      <c r="F180" s="22"/>
      <c r="G180" s="22"/>
      <c r="H180" s="22"/>
      <c r="I180" s="24"/>
      <c r="J180" s="24"/>
      <c r="K180" s="24"/>
      <c r="L180" s="22"/>
      <c r="M180" s="22"/>
      <c r="N180" s="22"/>
    </row>
    <row r="181" spans="1:14" x14ac:dyDescent="0.25">
      <c r="A181" s="27"/>
      <c r="B181" s="22"/>
      <c r="C181" s="22"/>
      <c r="D181" s="22"/>
      <c r="E181" s="22"/>
      <c r="F181" s="22"/>
      <c r="G181" s="22"/>
      <c r="H181" s="22"/>
      <c r="I181" s="24"/>
      <c r="J181" s="24"/>
      <c r="K181" s="24"/>
      <c r="L181" s="22"/>
      <c r="M181" s="22"/>
      <c r="N181" s="22"/>
    </row>
    <row r="182" spans="1:14" x14ac:dyDescent="0.25">
      <c r="A182" s="27"/>
      <c r="B182" s="22"/>
      <c r="C182" s="22"/>
      <c r="D182" s="22"/>
      <c r="E182" s="22"/>
      <c r="F182" s="22"/>
      <c r="G182" s="22"/>
      <c r="H182" s="22"/>
      <c r="I182" s="24"/>
      <c r="J182" s="24"/>
      <c r="K182" s="24"/>
      <c r="L182" s="22"/>
      <c r="M182" s="22"/>
      <c r="N182" s="22"/>
    </row>
    <row r="183" spans="1:14" x14ac:dyDescent="0.25">
      <c r="A183" s="27"/>
      <c r="B183" s="22"/>
      <c r="C183" s="22"/>
      <c r="D183" s="22"/>
      <c r="E183" s="22"/>
      <c r="F183" s="22"/>
      <c r="G183" s="22"/>
      <c r="H183" s="22"/>
      <c r="I183" s="24"/>
      <c r="J183" s="24"/>
      <c r="K183" s="24"/>
      <c r="L183" s="22"/>
      <c r="M183" s="22"/>
      <c r="N183" s="22"/>
    </row>
    <row r="184" spans="1:14" x14ac:dyDescent="0.25">
      <c r="A184" s="27"/>
      <c r="B184" s="22"/>
      <c r="C184" s="22"/>
      <c r="D184" s="22"/>
      <c r="E184" s="22"/>
      <c r="F184" s="22"/>
      <c r="G184" s="22"/>
      <c r="H184" s="22"/>
      <c r="I184" s="24"/>
      <c r="J184" s="24"/>
      <c r="K184" s="24"/>
      <c r="L184" s="22"/>
      <c r="M184" s="22"/>
      <c r="N184" s="22"/>
    </row>
    <row r="185" spans="1:14" x14ac:dyDescent="0.25">
      <c r="A185" s="27"/>
      <c r="B185" s="22"/>
      <c r="C185" s="22"/>
      <c r="D185" s="22"/>
      <c r="E185" s="22"/>
      <c r="F185" s="22"/>
      <c r="G185" s="22"/>
      <c r="H185" s="22"/>
      <c r="I185" s="24"/>
      <c r="J185" s="24"/>
      <c r="K185" s="24"/>
      <c r="L185" s="22"/>
      <c r="M185" s="22"/>
      <c r="N185" s="22"/>
    </row>
    <row r="186" spans="1:14" x14ac:dyDescent="0.25">
      <c r="A186" s="27"/>
      <c r="B186" s="22"/>
      <c r="C186" s="22"/>
      <c r="D186" s="22"/>
      <c r="E186" s="22"/>
      <c r="F186" s="22"/>
      <c r="G186" s="22"/>
      <c r="H186" s="22"/>
      <c r="I186" s="24"/>
      <c r="J186" s="24"/>
      <c r="K186" s="24"/>
      <c r="L186" s="22"/>
      <c r="M186" s="22"/>
      <c r="N186" s="22"/>
    </row>
    <row r="187" spans="1:14" x14ac:dyDescent="0.25">
      <c r="A187" s="27"/>
      <c r="B187" s="22"/>
      <c r="C187" s="22"/>
      <c r="D187" s="22"/>
      <c r="E187" s="22"/>
      <c r="F187" s="22"/>
      <c r="G187" s="22"/>
      <c r="H187" s="22"/>
      <c r="I187" s="24"/>
      <c r="J187" s="24"/>
      <c r="K187" s="24"/>
      <c r="L187" s="22"/>
      <c r="M187" s="22"/>
      <c r="N187" s="22"/>
    </row>
    <row r="188" spans="1:14" x14ac:dyDescent="0.25">
      <c r="A188" s="27"/>
      <c r="B188" s="22"/>
      <c r="C188" s="22"/>
      <c r="D188" s="22"/>
      <c r="E188" s="22"/>
      <c r="F188" s="22"/>
      <c r="G188" s="22"/>
      <c r="H188" s="22"/>
      <c r="I188" s="24"/>
      <c r="J188" s="24"/>
      <c r="K188" s="24"/>
      <c r="L188" s="22"/>
      <c r="M188" s="22"/>
      <c r="N188" s="22"/>
    </row>
    <row r="189" spans="1:14" x14ac:dyDescent="0.25">
      <c r="A189" s="27"/>
      <c r="B189" s="22"/>
      <c r="C189" s="22"/>
      <c r="D189" s="22"/>
      <c r="E189" s="22"/>
      <c r="F189" s="22"/>
      <c r="G189" s="22"/>
      <c r="H189" s="22"/>
      <c r="I189" s="24"/>
      <c r="J189" s="24"/>
      <c r="K189" s="24"/>
      <c r="L189" s="22"/>
      <c r="M189" s="22"/>
      <c r="N189" s="22"/>
    </row>
    <row r="190" spans="1:14" x14ac:dyDescent="0.25">
      <c r="A190" s="27"/>
      <c r="B190" s="22"/>
      <c r="C190" s="22"/>
      <c r="D190" s="22"/>
      <c r="E190" s="22"/>
      <c r="F190" s="22"/>
      <c r="G190" s="22"/>
      <c r="H190" s="22"/>
      <c r="I190" s="24"/>
      <c r="J190" s="24"/>
      <c r="K190" s="24"/>
      <c r="L190" s="22"/>
      <c r="M190" s="22"/>
      <c r="N190" s="22"/>
    </row>
    <row r="191" spans="1:14" x14ac:dyDescent="0.25">
      <c r="A191" s="27"/>
      <c r="B191" s="22"/>
      <c r="C191" s="22"/>
      <c r="D191" s="22"/>
      <c r="E191" s="22"/>
      <c r="F191" s="22"/>
      <c r="G191" s="22"/>
      <c r="H191" s="22"/>
      <c r="I191" s="24"/>
      <c r="J191" s="24"/>
      <c r="K191" s="24"/>
      <c r="L191" s="22"/>
      <c r="M191" s="22"/>
      <c r="N191" s="22"/>
    </row>
    <row r="192" spans="1:14" x14ac:dyDescent="0.25">
      <c r="A192" s="27"/>
      <c r="B192" s="22"/>
      <c r="C192" s="22"/>
      <c r="D192" s="22"/>
      <c r="E192" s="22"/>
      <c r="F192" s="22"/>
      <c r="G192" s="22"/>
      <c r="H192" s="22"/>
      <c r="I192" s="24"/>
      <c r="J192" s="24"/>
      <c r="K192" s="24"/>
      <c r="L192" s="22"/>
      <c r="M192" s="22"/>
      <c r="N192" s="22"/>
    </row>
    <row r="193" spans="1:14" x14ac:dyDescent="0.25">
      <c r="A193" s="27"/>
      <c r="B193" s="22"/>
      <c r="C193" s="22"/>
      <c r="D193" s="22"/>
      <c r="E193" s="22"/>
      <c r="F193" s="22"/>
      <c r="G193" s="22"/>
      <c r="H193" s="22"/>
      <c r="I193" s="24"/>
      <c r="J193" s="24"/>
      <c r="K193" s="24"/>
      <c r="L193" s="22"/>
      <c r="M193" s="22"/>
      <c r="N193" s="22"/>
    </row>
    <row r="194" spans="1:14" x14ac:dyDescent="0.25">
      <c r="A194" s="27"/>
      <c r="B194" s="22"/>
      <c r="C194" s="22"/>
      <c r="D194" s="22"/>
      <c r="E194" s="22"/>
      <c r="F194" s="22"/>
      <c r="G194" s="22"/>
      <c r="H194" s="22"/>
      <c r="I194" s="24"/>
      <c r="J194" s="24"/>
      <c r="K194" s="24"/>
      <c r="L194" s="22"/>
      <c r="M194" s="22"/>
      <c r="N194" s="22"/>
    </row>
    <row r="195" spans="1:14" x14ac:dyDescent="0.25">
      <c r="A195" s="27"/>
      <c r="B195" s="22"/>
      <c r="C195" s="22"/>
      <c r="D195" s="22"/>
      <c r="E195" s="22"/>
      <c r="F195" s="22"/>
      <c r="G195" s="22"/>
      <c r="H195" s="22"/>
      <c r="I195" s="24"/>
      <c r="J195" s="24"/>
      <c r="K195" s="24"/>
      <c r="L195" s="22"/>
      <c r="M195" s="22"/>
      <c r="N195" s="22"/>
    </row>
    <row r="196" spans="1:14" x14ac:dyDescent="0.25">
      <c r="A196" s="27"/>
      <c r="B196" s="22"/>
      <c r="C196" s="22"/>
      <c r="D196" s="22"/>
      <c r="E196" s="22"/>
      <c r="F196" s="22"/>
      <c r="G196" s="22"/>
      <c r="H196" s="22"/>
      <c r="I196" s="24"/>
      <c r="J196" s="24"/>
      <c r="K196" s="24"/>
      <c r="L196" s="22"/>
      <c r="M196" s="22"/>
      <c r="N196" s="22"/>
    </row>
    <row r="197" spans="1:14" x14ac:dyDescent="0.25">
      <c r="A197" s="27"/>
      <c r="B197" s="22"/>
      <c r="C197" s="22"/>
      <c r="D197" s="22"/>
      <c r="E197" s="22"/>
      <c r="F197" s="22"/>
      <c r="G197" s="22"/>
      <c r="H197" s="22"/>
      <c r="I197" s="24"/>
      <c r="J197" s="24"/>
      <c r="K197" s="24"/>
      <c r="L197" s="22"/>
      <c r="M197" s="22"/>
      <c r="N197" s="22"/>
    </row>
    <row r="198" spans="1:14" x14ac:dyDescent="0.25">
      <c r="A198" s="27"/>
      <c r="B198" s="22"/>
      <c r="C198" s="22"/>
      <c r="D198" s="22"/>
      <c r="E198" s="22"/>
      <c r="F198" s="22"/>
      <c r="G198" s="22"/>
      <c r="H198" s="22"/>
      <c r="I198" s="24"/>
      <c r="J198" s="24"/>
      <c r="K198" s="24"/>
      <c r="L198" s="22"/>
      <c r="M198" s="22"/>
      <c r="N198" s="22"/>
    </row>
    <row r="199" spans="1:14" x14ac:dyDescent="0.25">
      <c r="A199" s="27"/>
      <c r="B199" s="22"/>
      <c r="C199" s="22"/>
      <c r="D199" s="22"/>
      <c r="E199" s="22"/>
      <c r="F199" s="22"/>
      <c r="G199" s="22"/>
      <c r="H199" s="22"/>
      <c r="I199" s="24"/>
      <c r="J199" s="24"/>
      <c r="K199" s="24"/>
      <c r="L199" s="22"/>
      <c r="M199" s="22"/>
      <c r="N199" s="22"/>
    </row>
    <row r="200" spans="1:14" x14ac:dyDescent="0.25">
      <c r="A200" s="27"/>
      <c r="B200" s="22"/>
      <c r="C200" s="22"/>
      <c r="D200" s="22"/>
      <c r="E200" s="22"/>
      <c r="F200" s="22"/>
      <c r="G200" s="22"/>
      <c r="H200" s="22"/>
      <c r="I200" s="24"/>
      <c r="J200" s="24"/>
      <c r="K200" s="24"/>
      <c r="L200" s="22"/>
      <c r="M200" s="22"/>
      <c r="N200" s="22"/>
    </row>
    <row r="201" spans="1:14" x14ac:dyDescent="0.25">
      <c r="A201" s="27"/>
      <c r="B201" s="22"/>
      <c r="C201" s="22"/>
      <c r="D201" s="22"/>
      <c r="E201" s="22"/>
      <c r="F201" s="22"/>
      <c r="G201" s="22"/>
      <c r="H201" s="22"/>
      <c r="I201" s="24"/>
      <c r="J201" s="24"/>
      <c r="K201" s="24"/>
      <c r="L201" s="22"/>
      <c r="M201" s="22"/>
      <c r="N201" s="22"/>
    </row>
    <row r="202" spans="1:14" x14ac:dyDescent="0.25">
      <c r="A202" s="27"/>
      <c r="B202" s="22"/>
      <c r="C202" s="22"/>
      <c r="D202" s="22"/>
      <c r="E202" s="22"/>
      <c r="F202" s="22"/>
      <c r="G202" s="22"/>
      <c r="H202" s="22"/>
      <c r="I202" s="24"/>
      <c r="J202" s="24"/>
      <c r="K202" s="24"/>
      <c r="L202" s="22"/>
      <c r="M202" s="22"/>
      <c r="N202" s="22"/>
    </row>
    <row r="203" spans="1:14" x14ac:dyDescent="0.25">
      <c r="A203" s="27"/>
      <c r="B203" s="22"/>
      <c r="C203" s="22"/>
      <c r="D203" s="22"/>
      <c r="E203" s="22"/>
      <c r="F203" s="22"/>
      <c r="G203" s="22"/>
      <c r="H203" s="22"/>
      <c r="I203" s="24"/>
      <c r="J203" s="24"/>
      <c r="K203" s="24"/>
      <c r="L203" s="22"/>
      <c r="M203" s="22"/>
      <c r="N203" s="22"/>
    </row>
    <row r="204" spans="1:14" x14ac:dyDescent="0.25">
      <c r="A204" s="27"/>
      <c r="B204" s="22"/>
      <c r="C204" s="22"/>
      <c r="D204" s="22"/>
      <c r="E204" s="22"/>
      <c r="F204" s="22"/>
      <c r="G204" s="22"/>
      <c r="H204" s="22"/>
      <c r="I204" s="24"/>
      <c r="J204" s="24"/>
      <c r="K204" s="24"/>
      <c r="L204" s="22"/>
      <c r="M204" s="22"/>
      <c r="N204" s="22"/>
    </row>
    <row r="205" spans="1:14" x14ac:dyDescent="0.25">
      <c r="A205" s="27"/>
      <c r="B205" s="22"/>
      <c r="C205" s="22"/>
      <c r="D205" s="22"/>
      <c r="E205" s="22"/>
      <c r="F205" s="22"/>
      <c r="G205" s="22"/>
      <c r="H205" s="22"/>
      <c r="I205" s="24"/>
      <c r="J205" s="24"/>
      <c r="K205" s="24"/>
      <c r="L205" s="22"/>
      <c r="M205" s="22"/>
      <c r="N205" s="22"/>
    </row>
    <row r="206" spans="1:14" x14ac:dyDescent="0.25">
      <c r="A206" s="27"/>
      <c r="B206" s="22"/>
      <c r="C206" s="22"/>
      <c r="D206" s="22"/>
      <c r="E206" s="22"/>
      <c r="F206" s="22"/>
      <c r="G206" s="22"/>
      <c r="H206" s="22"/>
      <c r="I206" s="24"/>
      <c r="J206" s="24"/>
      <c r="K206" s="24"/>
      <c r="L206" s="22"/>
      <c r="M206" s="22"/>
      <c r="N206" s="22"/>
    </row>
    <row r="207" spans="1:14" x14ac:dyDescent="0.25">
      <c r="A207" s="27"/>
      <c r="B207" s="22"/>
      <c r="C207" s="22"/>
      <c r="D207" s="22"/>
      <c r="E207" s="22"/>
      <c r="F207" s="22"/>
      <c r="G207" s="22"/>
      <c r="H207" s="22"/>
      <c r="I207" s="24"/>
      <c r="J207" s="24"/>
      <c r="K207" s="24"/>
      <c r="L207" s="22"/>
      <c r="M207" s="22"/>
      <c r="N207" s="22"/>
    </row>
    <row r="208" spans="1:14" x14ac:dyDescent="0.25">
      <c r="A208" s="27"/>
      <c r="B208" s="22"/>
      <c r="C208" s="22"/>
      <c r="D208" s="22"/>
      <c r="E208" s="22"/>
      <c r="F208" s="22"/>
      <c r="G208" s="22"/>
      <c r="H208" s="22"/>
      <c r="I208" s="24"/>
      <c r="J208" s="24"/>
      <c r="K208" s="24"/>
      <c r="L208" s="22"/>
      <c r="M208" s="22"/>
      <c r="N208" s="22"/>
    </row>
    <row r="209" spans="1:14" x14ac:dyDescent="0.25">
      <c r="A209" s="27"/>
      <c r="B209" s="22"/>
      <c r="C209" s="22"/>
      <c r="D209" s="22"/>
      <c r="E209" s="22"/>
      <c r="F209" s="22"/>
      <c r="G209" s="22"/>
      <c r="H209" s="22"/>
      <c r="I209" s="24"/>
      <c r="J209" s="24"/>
      <c r="K209" s="24"/>
      <c r="L209" s="22"/>
      <c r="M209" s="22"/>
      <c r="N209" s="22"/>
    </row>
    <row r="210" spans="1:14" x14ac:dyDescent="0.25">
      <c r="A210" s="27"/>
      <c r="B210" s="22"/>
      <c r="C210" s="22"/>
      <c r="D210" s="22"/>
      <c r="E210" s="22"/>
      <c r="F210" s="22"/>
      <c r="G210" s="22"/>
      <c r="H210" s="22"/>
      <c r="I210" s="24"/>
      <c r="J210" s="24"/>
      <c r="K210" s="24"/>
      <c r="L210" s="22"/>
      <c r="M210" s="22"/>
      <c r="N210" s="22"/>
    </row>
    <row r="211" spans="1:14" x14ac:dyDescent="0.25">
      <c r="A211" s="27"/>
      <c r="B211" s="22"/>
      <c r="C211" s="22"/>
      <c r="D211" s="22"/>
      <c r="E211" s="22"/>
      <c r="F211" s="22"/>
      <c r="G211" s="22"/>
      <c r="H211" s="22"/>
      <c r="I211" s="24"/>
      <c r="J211" s="24"/>
      <c r="K211" s="24"/>
      <c r="L211" s="22"/>
      <c r="M211" s="22"/>
      <c r="N211" s="22"/>
    </row>
    <row r="212" spans="1:14" x14ac:dyDescent="0.25">
      <c r="A212" s="27"/>
      <c r="B212" s="22"/>
      <c r="C212" s="22"/>
      <c r="D212" s="22"/>
      <c r="E212" s="22"/>
      <c r="F212" s="22"/>
      <c r="G212" s="22"/>
      <c r="H212" s="22"/>
      <c r="I212" s="24"/>
      <c r="J212" s="24"/>
      <c r="K212" s="24"/>
      <c r="L212" s="22"/>
      <c r="M212" s="22"/>
      <c r="N212" s="22"/>
    </row>
    <row r="213" spans="1:14" x14ac:dyDescent="0.25">
      <c r="A213" s="27"/>
      <c r="B213" s="22"/>
      <c r="C213" s="22"/>
      <c r="D213" s="22"/>
      <c r="E213" s="22"/>
      <c r="F213" s="22"/>
      <c r="G213" s="22"/>
      <c r="H213" s="22"/>
      <c r="I213" s="24"/>
      <c r="J213" s="24"/>
      <c r="K213" s="24"/>
      <c r="L213" s="22"/>
      <c r="M213" s="22"/>
      <c r="N213" s="22"/>
    </row>
    <row r="214" spans="1:14" x14ac:dyDescent="0.25">
      <c r="A214" s="27"/>
      <c r="B214" s="22"/>
      <c r="C214" s="22"/>
      <c r="D214" s="22"/>
      <c r="E214" s="22"/>
      <c r="F214" s="22"/>
      <c r="G214" s="22"/>
      <c r="H214" s="22"/>
      <c r="I214" s="24"/>
      <c r="J214" s="24"/>
      <c r="K214" s="24"/>
      <c r="L214" s="22"/>
      <c r="M214" s="22"/>
      <c r="N214" s="22"/>
    </row>
    <row r="215" spans="1:14" x14ac:dyDescent="0.25">
      <c r="A215" s="27"/>
      <c r="B215" s="22"/>
      <c r="C215" s="22"/>
      <c r="D215" s="22"/>
      <c r="E215" s="22"/>
      <c r="F215" s="22"/>
      <c r="G215" s="22"/>
      <c r="H215" s="22"/>
      <c r="I215" s="24"/>
      <c r="J215" s="24"/>
      <c r="K215" s="24"/>
      <c r="L215" s="22"/>
      <c r="M215" s="22"/>
      <c r="N215" s="22"/>
    </row>
    <row r="216" spans="1:14" x14ac:dyDescent="0.25">
      <c r="A216" s="27"/>
      <c r="B216" s="22"/>
      <c r="C216" s="22"/>
      <c r="D216" s="22"/>
      <c r="E216" s="22"/>
      <c r="F216" s="22"/>
      <c r="G216" s="22"/>
      <c r="H216" s="22"/>
      <c r="I216" s="24"/>
      <c r="J216" s="24"/>
      <c r="K216" s="24"/>
      <c r="L216" s="22"/>
      <c r="M216" s="22"/>
      <c r="N216" s="22"/>
    </row>
    <row r="217" spans="1:14" x14ac:dyDescent="0.25">
      <c r="A217" s="27"/>
      <c r="B217" s="22"/>
      <c r="C217" s="22"/>
      <c r="D217" s="22"/>
      <c r="E217" s="22"/>
      <c r="F217" s="22"/>
      <c r="G217" s="22"/>
      <c r="H217" s="22"/>
      <c r="I217" s="24"/>
      <c r="J217" s="24"/>
      <c r="K217" s="24"/>
      <c r="L217" s="22"/>
      <c r="M217" s="22"/>
      <c r="N217" s="22"/>
    </row>
    <row r="218" spans="1:14" x14ac:dyDescent="0.25">
      <c r="A218" s="27"/>
      <c r="B218" s="22"/>
      <c r="C218" s="22"/>
      <c r="D218" s="22"/>
      <c r="E218" s="22"/>
      <c r="F218" s="22"/>
      <c r="G218" s="22"/>
      <c r="H218" s="22"/>
      <c r="I218" s="24"/>
      <c r="J218" s="24"/>
      <c r="K218" s="24"/>
      <c r="L218" s="22"/>
      <c r="M218" s="22"/>
      <c r="N218" s="22"/>
    </row>
    <row r="219" spans="1:14" x14ac:dyDescent="0.25">
      <c r="A219" s="27"/>
      <c r="B219" s="22"/>
      <c r="C219" s="22"/>
      <c r="D219" s="22"/>
      <c r="E219" s="22"/>
      <c r="F219" s="22"/>
      <c r="G219" s="22"/>
      <c r="H219" s="22"/>
      <c r="I219" s="24"/>
      <c r="J219" s="24"/>
      <c r="K219" s="24"/>
      <c r="L219" s="22"/>
      <c r="M219" s="22"/>
      <c r="N219" s="22"/>
    </row>
    <row r="220" spans="1:14" x14ac:dyDescent="0.25">
      <c r="A220" s="27"/>
      <c r="B220" s="22"/>
      <c r="C220" s="22"/>
      <c r="D220" s="22"/>
      <c r="E220" s="22"/>
      <c r="F220" s="22"/>
      <c r="G220" s="22"/>
      <c r="H220" s="22"/>
      <c r="I220" s="24"/>
      <c r="J220" s="24"/>
      <c r="K220" s="24"/>
      <c r="L220" s="22"/>
      <c r="M220" s="22"/>
      <c r="N220" s="22"/>
    </row>
    <row r="221" spans="1:14" x14ac:dyDescent="0.25">
      <c r="A221" s="27"/>
      <c r="B221" s="22"/>
      <c r="C221" s="22"/>
      <c r="D221" s="22"/>
      <c r="E221" s="22"/>
      <c r="F221" s="22"/>
      <c r="G221" s="22"/>
      <c r="H221" s="22"/>
      <c r="I221" s="24"/>
      <c r="J221" s="24"/>
      <c r="K221" s="24"/>
      <c r="L221" s="22"/>
      <c r="M221" s="22"/>
      <c r="N221" s="22"/>
    </row>
    <row r="222" spans="1:14" x14ac:dyDescent="0.25">
      <c r="A222" s="27"/>
      <c r="B222" s="22"/>
      <c r="C222" s="22"/>
      <c r="D222" s="22"/>
      <c r="E222" s="22"/>
      <c r="F222" s="22"/>
      <c r="G222" s="22"/>
      <c r="H222" s="22"/>
      <c r="I222" s="24"/>
      <c r="J222" s="24"/>
      <c r="K222" s="24"/>
      <c r="L222" s="22"/>
      <c r="M222" s="22"/>
      <c r="N222" s="22"/>
    </row>
    <row r="223" spans="1:14" x14ac:dyDescent="0.25">
      <c r="A223" s="27"/>
      <c r="B223" s="22"/>
      <c r="C223" s="22"/>
      <c r="D223" s="22"/>
      <c r="E223" s="22"/>
      <c r="F223" s="22"/>
      <c r="G223" s="22"/>
      <c r="H223" s="22"/>
      <c r="I223" s="24"/>
      <c r="J223" s="24"/>
      <c r="K223" s="24"/>
      <c r="L223" s="22"/>
      <c r="M223" s="22"/>
      <c r="N223" s="22"/>
    </row>
    <row r="224" spans="1:14" x14ac:dyDescent="0.25">
      <c r="A224" s="27"/>
      <c r="B224" s="22"/>
      <c r="C224" s="22"/>
      <c r="D224" s="22"/>
      <c r="E224" s="22"/>
      <c r="F224" s="22"/>
      <c r="G224" s="22"/>
      <c r="H224" s="22"/>
      <c r="I224" s="24"/>
      <c r="J224" s="24"/>
      <c r="K224" s="24"/>
      <c r="L224" s="22"/>
      <c r="M224" s="22"/>
      <c r="N224" s="22"/>
    </row>
    <row r="225" spans="1:14" x14ac:dyDescent="0.25">
      <c r="A225" s="27"/>
      <c r="B225" s="22"/>
      <c r="C225" s="22"/>
      <c r="D225" s="22"/>
      <c r="E225" s="22"/>
      <c r="F225" s="22"/>
      <c r="G225" s="22"/>
      <c r="H225" s="22"/>
      <c r="I225" s="24"/>
      <c r="J225" s="24"/>
      <c r="K225" s="24"/>
      <c r="L225" s="22"/>
      <c r="M225" s="22"/>
      <c r="N225" s="22"/>
    </row>
    <row r="226" spans="1:14" x14ac:dyDescent="0.25">
      <c r="A226" s="27"/>
      <c r="B226" s="22"/>
      <c r="C226" s="22"/>
      <c r="D226" s="22"/>
      <c r="E226" s="22"/>
      <c r="F226" s="22"/>
      <c r="G226" s="22"/>
      <c r="H226" s="22"/>
      <c r="I226" s="24"/>
      <c r="J226" s="24"/>
      <c r="K226" s="24"/>
      <c r="L226" s="22"/>
      <c r="M226" s="22"/>
      <c r="N226" s="22"/>
    </row>
    <row r="227" spans="1:14" x14ac:dyDescent="0.25">
      <c r="A227" s="27"/>
      <c r="B227" s="22"/>
      <c r="C227" s="22"/>
      <c r="D227" s="22"/>
      <c r="E227" s="22"/>
      <c r="F227" s="22"/>
      <c r="G227" s="22"/>
      <c r="H227" s="22"/>
      <c r="I227" s="24"/>
      <c r="J227" s="24"/>
      <c r="K227" s="24"/>
      <c r="L227" s="22"/>
      <c r="M227" s="22"/>
      <c r="N227" s="22"/>
    </row>
    <row r="228" spans="1:14" x14ac:dyDescent="0.25">
      <c r="A228" s="27"/>
      <c r="B228" s="22"/>
      <c r="C228" s="22"/>
      <c r="D228" s="22"/>
      <c r="E228" s="22"/>
      <c r="F228" s="22"/>
      <c r="G228" s="22"/>
      <c r="H228" s="22"/>
      <c r="I228" s="24"/>
      <c r="J228" s="24"/>
      <c r="K228" s="24"/>
      <c r="L228" s="22"/>
      <c r="M228" s="22"/>
      <c r="N228" s="22"/>
    </row>
    <row r="229" spans="1:14" x14ac:dyDescent="0.25">
      <c r="A229" s="27"/>
      <c r="B229" s="22"/>
      <c r="C229" s="22"/>
      <c r="D229" s="22"/>
      <c r="E229" s="22"/>
      <c r="F229" s="22"/>
      <c r="G229" s="22"/>
      <c r="H229" s="22"/>
      <c r="I229" s="24"/>
      <c r="J229" s="24"/>
      <c r="K229" s="24"/>
      <c r="L229" s="22"/>
      <c r="M229" s="22"/>
      <c r="N229" s="22"/>
    </row>
    <row r="230" spans="1:14" x14ac:dyDescent="0.25">
      <c r="A230" s="27"/>
      <c r="B230" s="22"/>
      <c r="C230" s="22"/>
      <c r="D230" s="22"/>
      <c r="E230" s="22"/>
      <c r="F230" s="22"/>
      <c r="G230" s="22"/>
      <c r="H230" s="22"/>
      <c r="I230" s="24"/>
      <c r="J230" s="24"/>
      <c r="K230" s="24"/>
      <c r="L230" s="22"/>
      <c r="M230" s="22"/>
      <c r="N230" s="22"/>
    </row>
    <row r="231" spans="1:14" x14ac:dyDescent="0.25">
      <c r="A231" s="27"/>
      <c r="B231" s="22"/>
      <c r="C231" s="22"/>
      <c r="D231" s="22"/>
      <c r="E231" s="22"/>
      <c r="F231" s="22"/>
      <c r="G231" s="22"/>
      <c r="H231" s="22"/>
      <c r="I231" s="24"/>
      <c r="J231" s="24"/>
      <c r="K231" s="24"/>
      <c r="L231" s="22"/>
      <c r="M231" s="22"/>
      <c r="N231" s="22"/>
    </row>
    <row r="232" spans="1:14" x14ac:dyDescent="0.25">
      <c r="A232" s="27"/>
      <c r="B232" s="22"/>
      <c r="C232" s="22"/>
      <c r="D232" s="22"/>
      <c r="E232" s="22"/>
      <c r="F232" s="22"/>
      <c r="G232" s="22"/>
      <c r="H232" s="22"/>
      <c r="I232" s="24"/>
      <c r="J232" s="24"/>
      <c r="K232" s="24"/>
      <c r="L232" s="22"/>
      <c r="M232" s="22"/>
      <c r="N232" s="22"/>
    </row>
    <row r="233" spans="1:14" x14ac:dyDescent="0.25">
      <c r="A233" s="27"/>
      <c r="B233" s="22"/>
      <c r="C233" s="22"/>
      <c r="D233" s="22"/>
      <c r="E233" s="22"/>
      <c r="F233" s="22"/>
      <c r="G233" s="22"/>
      <c r="H233" s="22"/>
      <c r="I233" s="24"/>
      <c r="J233" s="24"/>
      <c r="K233" s="24"/>
      <c r="L233" s="22"/>
      <c r="M233" s="22"/>
      <c r="N233" s="22"/>
    </row>
    <row r="234" spans="1:14" x14ac:dyDescent="0.25">
      <c r="A234" s="27"/>
      <c r="B234" s="22"/>
      <c r="C234" s="22"/>
      <c r="D234" s="22"/>
      <c r="E234" s="22"/>
      <c r="F234" s="22"/>
      <c r="G234" s="22"/>
      <c r="H234" s="22"/>
      <c r="I234" s="24"/>
      <c r="J234" s="24"/>
      <c r="K234" s="24"/>
      <c r="L234" s="22"/>
      <c r="M234" s="22"/>
      <c r="N234" s="22"/>
    </row>
    <row r="235" spans="1:14" x14ac:dyDescent="0.25">
      <c r="A235" s="27"/>
      <c r="B235" s="22"/>
      <c r="C235" s="22"/>
      <c r="D235" s="22"/>
      <c r="E235" s="22"/>
      <c r="F235" s="22"/>
      <c r="G235" s="22"/>
      <c r="H235" s="22"/>
      <c r="I235" s="24"/>
      <c r="J235" s="24"/>
      <c r="K235" s="24"/>
      <c r="L235" s="22"/>
      <c r="M235" s="22"/>
      <c r="N235" s="22"/>
    </row>
    <row r="236" spans="1:14" x14ac:dyDescent="0.25">
      <c r="A236" s="27"/>
      <c r="B236" s="22"/>
      <c r="C236" s="22"/>
      <c r="D236" s="22"/>
      <c r="E236" s="22"/>
      <c r="F236" s="22"/>
      <c r="G236" s="22"/>
      <c r="H236" s="22"/>
      <c r="I236" s="24"/>
      <c r="J236" s="24"/>
      <c r="K236" s="24"/>
      <c r="L236" s="22"/>
      <c r="M236" s="22"/>
      <c r="N236" s="22"/>
    </row>
    <row r="237" spans="1:14" x14ac:dyDescent="0.25">
      <c r="A237" s="27"/>
      <c r="B237" s="22"/>
      <c r="C237" s="22"/>
      <c r="D237" s="22"/>
      <c r="E237" s="22"/>
      <c r="F237" s="22"/>
      <c r="G237" s="22"/>
      <c r="H237" s="22"/>
      <c r="I237" s="24"/>
      <c r="J237" s="24"/>
      <c r="K237" s="24"/>
      <c r="L237" s="22"/>
      <c r="M237" s="22"/>
      <c r="N237" s="22"/>
    </row>
    <row r="238" spans="1:14" x14ac:dyDescent="0.25">
      <c r="A238" s="27"/>
      <c r="B238" s="22"/>
      <c r="C238" s="22"/>
      <c r="D238" s="22"/>
      <c r="E238" s="22"/>
      <c r="F238" s="22"/>
      <c r="G238" s="22"/>
      <c r="H238" s="22"/>
      <c r="I238" s="24"/>
      <c r="J238" s="24"/>
      <c r="K238" s="24"/>
      <c r="L238" s="22"/>
      <c r="M238" s="22"/>
      <c r="N238" s="22"/>
    </row>
    <row r="239" spans="1:14" x14ac:dyDescent="0.25">
      <c r="A239" s="27"/>
      <c r="B239" s="22"/>
      <c r="C239" s="22"/>
      <c r="D239" s="22"/>
      <c r="E239" s="22"/>
      <c r="F239" s="22"/>
      <c r="G239" s="22"/>
      <c r="H239" s="22"/>
      <c r="I239" s="24"/>
      <c r="J239" s="24"/>
      <c r="K239" s="24"/>
      <c r="L239" s="22"/>
      <c r="M239" s="22"/>
      <c r="N239" s="22"/>
    </row>
    <row r="240" spans="1:14" x14ac:dyDescent="0.25">
      <c r="A240" s="27"/>
      <c r="B240" s="22"/>
      <c r="C240" s="22"/>
      <c r="D240" s="22"/>
      <c r="E240" s="22"/>
      <c r="F240" s="22"/>
      <c r="G240" s="22"/>
      <c r="H240" s="22"/>
      <c r="I240" s="24"/>
      <c r="J240" s="24"/>
      <c r="K240" s="24"/>
      <c r="L240" s="22"/>
      <c r="M240" s="22"/>
      <c r="N240" s="22"/>
    </row>
    <row r="241" spans="1:14" x14ac:dyDescent="0.25">
      <c r="A241" s="27"/>
      <c r="B241" s="22"/>
      <c r="C241" s="22"/>
      <c r="D241" s="22"/>
      <c r="E241" s="22"/>
      <c r="F241" s="22"/>
      <c r="G241" s="22"/>
      <c r="H241" s="22"/>
      <c r="I241" s="24"/>
      <c r="J241" s="24"/>
      <c r="K241" s="24"/>
      <c r="L241" s="22"/>
      <c r="M241" s="22"/>
      <c r="N241" s="22"/>
    </row>
    <row r="242" spans="1:14" x14ac:dyDescent="0.25">
      <c r="A242" s="27"/>
      <c r="B242" s="22"/>
      <c r="C242" s="22"/>
      <c r="D242" s="22"/>
      <c r="E242" s="22"/>
      <c r="F242" s="22"/>
      <c r="G242" s="22"/>
      <c r="H242" s="22"/>
      <c r="I242" s="24"/>
      <c r="J242" s="24"/>
      <c r="K242" s="24"/>
      <c r="L242" s="22"/>
      <c r="M242" s="22"/>
      <c r="N242" s="22"/>
    </row>
    <row r="243" spans="1:14" x14ac:dyDescent="0.25">
      <c r="A243" s="27"/>
      <c r="B243" s="22"/>
      <c r="C243" s="22"/>
      <c r="D243" s="22"/>
      <c r="E243" s="22"/>
      <c r="F243" s="22"/>
      <c r="G243" s="22"/>
      <c r="H243" s="22"/>
      <c r="I243" s="24"/>
      <c r="J243" s="24"/>
      <c r="K243" s="24"/>
      <c r="L243" s="22"/>
      <c r="M243" s="22"/>
      <c r="N243" s="22"/>
    </row>
    <row r="244" spans="1:14" x14ac:dyDescent="0.25">
      <c r="A244" s="27"/>
      <c r="B244" s="22"/>
      <c r="C244" s="22"/>
      <c r="D244" s="22"/>
      <c r="E244" s="22"/>
      <c r="F244" s="22"/>
      <c r="G244" s="22"/>
      <c r="H244" s="22"/>
      <c r="I244" s="24"/>
      <c r="J244" s="24"/>
      <c r="K244" s="24"/>
      <c r="L244" s="22"/>
      <c r="M244" s="22"/>
      <c r="N244" s="22"/>
    </row>
    <row r="245" spans="1:14" x14ac:dyDescent="0.25">
      <c r="A245" s="27"/>
      <c r="B245" s="22"/>
      <c r="C245" s="22"/>
      <c r="D245" s="22"/>
      <c r="E245" s="22"/>
      <c r="F245" s="22"/>
      <c r="G245" s="22"/>
      <c r="H245" s="22"/>
      <c r="I245" s="24"/>
      <c r="J245" s="24"/>
      <c r="K245" s="24"/>
      <c r="L245" s="22"/>
      <c r="M245" s="22"/>
      <c r="N245" s="22"/>
    </row>
    <row r="246" spans="1:14" x14ac:dyDescent="0.25">
      <c r="A246" s="27"/>
      <c r="B246" s="22"/>
      <c r="C246" s="22"/>
      <c r="D246" s="22"/>
      <c r="E246" s="22"/>
      <c r="F246" s="22"/>
      <c r="G246" s="22"/>
      <c r="H246" s="22"/>
      <c r="I246" s="24"/>
      <c r="J246" s="24"/>
      <c r="K246" s="24"/>
      <c r="L246" s="22"/>
      <c r="M246" s="22"/>
      <c r="N246" s="22"/>
    </row>
    <row r="247" spans="1:14" x14ac:dyDescent="0.25">
      <c r="A247" s="27"/>
      <c r="B247" s="22"/>
      <c r="C247" s="22"/>
      <c r="D247" s="22"/>
      <c r="E247" s="22"/>
      <c r="F247" s="22"/>
      <c r="G247" s="22"/>
      <c r="H247" s="22"/>
      <c r="I247" s="24"/>
      <c r="J247" s="24"/>
      <c r="K247" s="24"/>
      <c r="L247" s="22"/>
      <c r="M247" s="22"/>
      <c r="N247" s="22"/>
    </row>
    <row r="248" spans="1:14" x14ac:dyDescent="0.25">
      <c r="A248" s="27"/>
      <c r="B248" s="22"/>
      <c r="C248" s="22"/>
      <c r="D248" s="22"/>
      <c r="E248" s="22"/>
      <c r="F248" s="22"/>
      <c r="G248" s="22"/>
      <c r="H248" s="22"/>
      <c r="I248" s="24"/>
      <c r="J248" s="24"/>
      <c r="K248" s="24"/>
      <c r="L248" s="22"/>
      <c r="M248" s="22"/>
      <c r="N248" s="22"/>
    </row>
    <row r="249" spans="1:14" x14ac:dyDescent="0.25">
      <c r="A249" s="27"/>
      <c r="B249" s="22"/>
      <c r="C249" s="22"/>
      <c r="D249" s="22"/>
      <c r="E249" s="22"/>
      <c r="F249" s="22"/>
      <c r="G249" s="22"/>
      <c r="H249" s="22"/>
      <c r="I249" s="24"/>
      <c r="J249" s="24"/>
      <c r="K249" s="24"/>
      <c r="L249" s="22"/>
      <c r="M249" s="22"/>
      <c r="N249" s="22"/>
    </row>
    <row r="250" spans="1:14" x14ac:dyDescent="0.25">
      <c r="A250" s="27"/>
      <c r="B250" s="22"/>
      <c r="C250" s="22"/>
      <c r="D250" s="22"/>
      <c r="E250" s="22"/>
      <c r="F250" s="22"/>
      <c r="G250" s="22"/>
      <c r="H250" s="22"/>
      <c r="I250" s="24"/>
      <c r="J250" s="24"/>
      <c r="K250" s="24"/>
      <c r="L250" s="22"/>
      <c r="M250" s="22"/>
      <c r="N250" s="22"/>
    </row>
    <row r="251" spans="1:14" x14ac:dyDescent="0.25">
      <c r="A251" s="27"/>
      <c r="B251" s="22"/>
      <c r="C251" s="22"/>
      <c r="D251" s="22"/>
      <c r="E251" s="22"/>
      <c r="F251" s="22"/>
      <c r="G251" s="22"/>
      <c r="H251" s="22"/>
      <c r="I251" s="24"/>
      <c r="J251" s="24"/>
      <c r="K251" s="24"/>
      <c r="L251" s="22"/>
      <c r="M251" s="22"/>
      <c r="N251" s="22"/>
    </row>
    <row r="252" spans="1:14" x14ac:dyDescent="0.25">
      <c r="A252" s="27"/>
      <c r="B252" s="22"/>
      <c r="C252" s="22"/>
      <c r="D252" s="22"/>
      <c r="E252" s="22"/>
      <c r="F252" s="22"/>
      <c r="G252" s="22"/>
      <c r="H252" s="22"/>
      <c r="I252" s="24"/>
      <c r="J252" s="24"/>
      <c r="K252" s="24"/>
      <c r="L252" s="22"/>
      <c r="M252" s="22"/>
      <c r="N252" s="22"/>
    </row>
    <row r="253" spans="1:14" x14ac:dyDescent="0.25">
      <c r="A253" s="27"/>
      <c r="B253" s="22"/>
      <c r="C253" s="22"/>
      <c r="D253" s="22"/>
      <c r="E253" s="22"/>
      <c r="F253" s="22"/>
      <c r="G253" s="22"/>
      <c r="H253" s="22"/>
      <c r="I253" s="24"/>
      <c r="J253" s="24"/>
      <c r="K253" s="24"/>
      <c r="L253" s="22"/>
      <c r="M253" s="22"/>
      <c r="N253" s="22"/>
    </row>
    <row r="254" spans="1:14" x14ac:dyDescent="0.25">
      <c r="A254" s="27"/>
      <c r="B254" s="22"/>
      <c r="C254" s="22"/>
      <c r="D254" s="22"/>
      <c r="E254" s="22"/>
      <c r="F254" s="22"/>
      <c r="G254" s="22"/>
      <c r="H254" s="22"/>
      <c r="I254" s="24"/>
      <c r="J254" s="24"/>
      <c r="K254" s="24"/>
      <c r="L254" s="22"/>
      <c r="M254" s="22"/>
      <c r="N254" s="22"/>
    </row>
    <row r="255" spans="1:14" x14ac:dyDescent="0.25">
      <c r="A255" s="27"/>
      <c r="B255" s="22"/>
      <c r="C255" s="22"/>
      <c r="D255" s="22"/>
      <c r="E255" s="22"/>
      <c r="F255" s="22"/>
      <c r="G255" s="22"/>
      <c r="H255" s="22"/>
      <c r="I255" s="24"/>
      <c r="J255" s="24"/>
      <c r="K255" s="24"/>
      <c r="L255" s="22"/>
      <c r="M255" s="22"/>
      <c r="N255" s="22"/>
    </row>
    <row r="256" spans="1:14" x14ac:dyDescent="0.25">
      <c r="A256" s="27"/>
      <c r="B256" s="22"/>
      <c r="C256" s="22"/>
      <c r="D256" s="22"/>
      <c r="E256" s="22"/>
      <c r="F256" s="22"/>
      <c r="G256" s="22"/>
      <c r="H256" s="22"/>
      <c r="I256" s="24"/>
      <c r="J256" s="24"/>
      <c r="K256" s="24"/>
      <c r="L256" s="22"/>
      <c r="M256" s="22"/>
      <c r="N256" s="22"/>
    </row>
    <row r="257" spans="1:14" x14ac:dyDescent="0.25">
      <c r="A257" s="27"/>
      <c r="B257" s="22"/>
      <c r="C257" s="22"/>
      <c r="D257" s="22"/>
      <c r="E257" s="22"/>
      <c r="F257" s="22"/>
      <c r="G257" s="22"/>
      <c r="H257" s="22"/>
      <c r="I257" s="24"/>
      <c r="J257" s="24"/>
      <c r="K257" s="24"/>
      <c r="L257" s="22"/>
      <c r="M257" s="22"/>
      <c r="N257" s="22"/>
    </row>
    <row r="258" spans="1:14" x14ac:dyDescent="0.25">
      <c r="A258" s="27"/>
      <c r="B258" s="22"/>
      <c r="C258" s="22"/>
      <c r="D258" s="22"/>
      <c r="E258" s="22"/>
      <c r="F258" s="22"/>
      <c r="G258" s="22"/>
      <c r="H258" s="22"/>
      <c r="I258" s="24"/>
      <c r="J258" s="24"/>
      <c r="K258" s="24"/>
      <c r="L258" s="22"/>
      <c r="M258" s="22"/>
      <c r="N258" s="22"/>
    </row>
    <row r="259" spans="1:14" x14ac:dyDescent="0.25">
      <c r="A259" s="27"/>
      <c r="B259" s="22"/>
      <c r="C259" s="22"/>
      <c r="D259" s="22"/>
      <c r="E259" s="22"/>
      <c r="F259" s="22"/>
      <c r="G259" s="22"/>
      <c r="H259" s="22"/>
      <c r="I259" s="24"/>
      <c r="J259" s="24"/>
      <c r="K259" s="24"/>
      <c r="L259" s="22"/>
      <c r="M259" s="22"/>
      <c r="N259" s="22"/>
    </row>
  </sheetData>
  <mergeCells count="11">
    <mergeCell ref="A5:A6"/>
    <mergeCell ref="B5:B6"/>
    <mergeCell ref="C5:C6"/>
    <mergeCell ref="F5:F6"/>
    <mergeCell ref="G5:G6"/>
    <mergeCell ref="L5:L6"/>
    <mergeCell ref="I5:J5"/>
    <mergeCell ref="M5:M6"/>
    <mergeCell ref="N5:N6"/>
    <mergeCell ref="C2:J2"/>
    <mergeCell ref="K5:K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22626-A45F-4C02-97FD-9D948C7F2567}">
  <dimension ref="A1:J3"/>
  <sheetViews>
    <sheetView workbookViewId="0">
      <selection activeCell="I3" sqref="I3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7109375" bestFit="1" customWidth="1"/>
    <col min="8" max="8" width="17.5703125" bestFit="1" customWidth="1"/>
    <col min="9" max="9" width="11.28515625" bestFit="1" customWidth="1"/>
  </cols>
  <sheetData>
    <row r="1" spans="1:10" x14ac:dyDescent="0.25">
      <c r="A1" t="s">
        <v>64</v>
      </c>
      <c r="B1" t="s">
        <v>65</v>
      </c>
      <c r="C1" t="s">
        <v>63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66</v>
      </c>
      <c r="J1" t="s">
        <v>67</v>
      </c>
    </row>
    <row r="2" spans="1:10" x14ac:dyDescent="0.25">
      <c r="A2">
        <v>1</v>
      </c>
      <c r="B2" t="s">
        <v>68</v>
      </c>
      <c r="C2">
        <v>24001461</v>
      </c>
      <c r="D2">
        <v>55229662</v>
      </c>
      <c r="E2">
        <v>1201</v>
      </c>
      <c r="F2" t="s">
        <v>24</v>
      </c>
      <c r="G2" s="15">
        <v>45349</v>
      </c>
      <c r="H2" s="15">
        <v>45352</v>
      </c>
      <c r="I2">
        <v>24001275</v>
      </c>
      <c r="J2" t="s">
        <v>70</v>
      </c>
    </row>
    <row r="3" spans="1:10" x14ac:dyDescent="0.25">
      <c r="A3">
        <v>2</v>
      </c>
      <c r="B3" t="s">
        <v>69</v>
      </c>
      <c r="C3">
        <v>24001462</v>
      </c>
      <c r="D3">
        <v>57404874</v>
      </c>
      <c r="E3">
        <v>1201</v>
      </c>
      <c r="F3" t="s">
        <v>24</v>
      </c>
      <c r="G3" s="15">
        <v>45349</v>
      </c>
      <c r="H3" s="15">
        <v>45352</v>
      </c>
      <c r="I3">
        <v>24001276</v>
      </c>
      <c r="J3" t="s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660E-9DBB-4C98-84DF-C3745612588C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24001461</v>
      </c>
      <c r="B2">
        <v>55229662</v>
      </c>
      <c r="C2">
        <v>1201</v>
      </c>
      <c r="D2" t="s">
        <v>24</v>
      </c>
      <c r="E2">
        <v>45349</v>
      </c>
      <c r="F2">
        <v>45352</v>
      </c>
      <c r="G2" t="s">
        <v>56</v>
      </c>
      <c r="H2" t="s">
        <v>57</v>
      </c>
      <c r="I2">
        <v>1</v>
      </c>
      <c r="J2">
        <v>8254537</v>
      </c>
      <c r="K2" t="s">
        <v>25</v>
      </c>
      <c r="L2" t="s">
        <v>25</v>
      </c>
      <c r="M2" t="s">
        <v>26</v>
      </c>
      <c r="N2" t="s">
        <v>58</v>
      </c>
      <c r="O2" t="s">
        <v>50</v>
      </c>
      <c r="P2" t="s">
        <v>51</v>
      </c>
      <c r="Q2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DDF75-FC24-47B0-BE2D-66D1E602B683}"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33</v>
      </c>
      <c r="H1" s="7" t="s">
        <v>34</v>
      </c>
      <c r="I1" s="7" t="s">
        <v>35</v>
      </c>
      <c r="J1" s="7" t="s">
        <v>36</v>
      </c>
      <c r="K1" s="7" t="s">
        <v>37</v>
      </c>
      <c r="L1" s="7" t="s">
        <v>38</v>
      </c>
      <c r="M1" s="7" t="s">
        <v>39</v>
      </c>
      <c r="N1" s="7" t="s">
        <v>40</v>
      </c>
      <c r="O1" s="7" t="s">
        <v>41</v>
      </c>
      <c r="P1" s="7" t="s">
        <v>42</v>
      </c>
      <c r="Q1" s="7" t="s">
        <v>43</v>
      </c>
    </row>
    <row r="2" spans="1:17" x14ac:dyDescent="0.25">
      <c r="A2">
        <v>24001462</v>
      </c>
      <c r="B2">
        <v>57404874</v>
      </c>
      <c r="C2">
        <v>1201</v>
      </c>
      <c r="D2" t="s">
        <v>24</v>
      </c>
      <c r="E2">
        <v>45349</v>
      </c>
      <c r="F2">
        <v>45352</v>
      </c>
      <c r="G2" t="s">
        <v>56</v>
      </c>
      <c r="H2" t="s">
        <v>61</v>
      </c>
      <c r="I2">
        <v>1</v>
      </c>
      <c r="J2">
        <v>528500</v>
      </c>
      <c r="K2" t="s">
        <v>25</v>
      </c>
      <c r="L2" t="s">
        <v>25</v>
      </c>
      <c r="M2" t="s">
        <v>26</v>
      </c>
      <c r="N2" t="s">
        <v>58</v>
      </c>
      <c r="O2" t="s">
        <v>50</v>
      </c>
      <c r="P2" t="s">
        <v>51</v>
      </c>
      <c r="Q2" t="s">
        <v>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3059D-2EF4-43AC-AB24-E7ADA476413C}">
  <dimension ref="A1:A2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Database Supplier</vt:lpstr>
      <vt:lpstr>Input User</vt:lpstr>
      <vt:lpstr>Input RPA</vt:lpstr>
      <vt:lpstr>Hasil</vt:lpstr>
      <vt:lpstr>Bantuan</vt:lpstr>
      <vt:lpstr>SheetRun1</vt:lpstr>
      <vt:lpstr>SheetRun2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2024-02-27T07:00:25Z</dcterms:modified>
</cp:coreProperties>
</file>