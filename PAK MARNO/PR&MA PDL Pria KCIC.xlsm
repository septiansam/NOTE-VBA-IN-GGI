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PAK MARNO\"/>
    </mc:Choice>
  </mc:AlternateContent>
  <xr:revisionPtr revIDLastSave="0" documentId="13_ncr:1_{A61B817C-19D3-4BCA-81EF-7089D0013238}" xr6:coauthVersionLast="47" xr6:coauthVersionMax="47" xr10:uidLastSave="{00000000-0000-0000-0000-000000000000}"/>
  <bookViews>
    <workbookView xWindow="-120" yWindow="-120" windowWidth="20730" windowHeight="11160" tabRatio="803" activeTab="3" xr2:uid="{00000000-000D-0000-FFFF-FFFF00000000}"/>
  </bookViews>
  <sheets>
    <sheet name="BUTTON" sheetId="4" r:id="rId1"/>
    <sheet name="FORMAT" sheetId="3" state="hidden" r:id="rId2"/>
    <sheet name="PR" sheetId="59" r:id="rId3"/>
    <sheet name="MA" sheetId="2" r:id="rId4"/>
  </sheets>
  <definedNames>
    <definedName name="Excel_BuiltIn_Print_Area" localSheetId="2">PR!#REF!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0">#REF!</definedName>
    <definedName name="Excel_BuiltIn_Print_Area_1_11">#REF!</definedName>
    <definedName name="Excel_BuiltIn_Print_Area_1_12">#REF!</definedName>
    <definedName name="Excel_BuiltIn_Print_Area_1_13">#REF!</definedName>
    <definedName name="Excel_BuiltIn_Print_Area_1_14">#REF!</definedName>
    <definedName name="Excel_BuiltIn_Print_Area_1_15">#REF!</definedName>
    <definedName name="Excel_BuiltIn_Print_Area_1_16">#REF!</definedName>
    <definedName name="Excel_BuiltIn_Print_Area_1_2">#REF!</definedName>
    <definedName name="Excel_BuiltIn_Print_Area_1_3">#REF!</definedName>
    <definedName name="Excel_BuiltIn_Print_Area_1_4">#REF!</definedName>
    <definedName name="Excel_BuiltIn_Print_Area_1_5">#REF!</definedName>
    <definedName name="Excel_BuiltIn_Print_Area_1_6">#REF!</definedName>
    <definedName name="Excel_BuiltIn_Print_Area_1_7">#REF!</definedName>
    <definedName name="Excel_BuiltIn_Print_Area_1_8">#REF!</definedName>
    <definedName name="Excel_BuiltIn_Print_Area_1_9">#REF!</definedName>
    <definedName name="_xlnm.Print_Area" localSheetId="3">MA!$A$1:$P$67</definedName>
    <definedName name="_xlnm.Print_Area" localSheetId="2">PR!#REF!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3" i="2" l="1"/>
  <c r="A41" i="2"/>
  <c r="L39" i="2"/>
  <c r="J39" i="2"/>
  <c r="A39" i="2"/>
  <c r="L37" i="2"/>
  <c r="J37" i="2"/>
  <c r="A37" i="2"/>
  <c r="L34" i="2"/>
  <c r="J34" i="2"/>
  <c r="L32" i="2"/>
  <c r="J32" i="2"/>
  <c r="L30" i="2"/>
  <c r="J30" i="2"/>
  <c r="A30" i="2"/>
  <c r="P26" i="2"/>
  <c r="P24" i="2"/>
  <c r="P22" i="2"/>
  <c r="P20" i="2"/>
  <c r="P18" i="2"/>
  <c r="P16" i="2"/>
  <c r="P14" i="2"/>
  <c r="P12" i="2"/>
  <c r="P10" i="2"/>
  <c r="P8" i="2"/>
  <c r="K5" i="2"/>
  <c r="H5" i="2"/>
  <c r="B5" i="2"/>
  <c r="A5" i="2"/>
  <c r="J3" i="3" l="1"/>
  <c r="Q3" i="3" l="1"/>
  <c r="L3" i="3" s="1"/>
</calcChain>
</file>

<file path=xl/sharedStrings.xml><?xml version="1.0" encoding="utf-8"?>
<sst xmlns="http://schemas.openxmlformats.org/spreadsheetml/2006/main" count="137" uniqueCount="77">
  <si>
    <t>M / A   CONSUMPTION  REQUEST</t>
  </si>
  <si>
    <t>PT. GISTEX GARMEN INDONESIA</t>
  </si>
  <si>
    <t>DATE</t>
  </si>
  <si>
    <t>BRAND</t>
  </si>
  <si>
    <t>AGENT</t>
  </si>
  <si>
    <t>SEASON/
CONTRACT</t>
  </si>
  <si>
    <t>DECRIPTION</t>
  </si>
  <si>
    <t>STYLE</t>
  </si>
  <si>
    <t>GARMENT SKETCH</t>
  </si>
  <si>
    <t>SIZE</t>
  </si>
  <si>
    <t>TOTAL</t>
  </si>
  <si>
    <t>RATIO</t>
  </si>
  <si>
    <t>ITEM</t>
  </si>
  <si>
    <t>WIDTH</t>
  </si>
  <si>
    <t>MINI MARKER</t>
  </si>
  <si>
    <t>YARD/PC</t>
  </si>
  <si>
    <t>REMARKS</t>
  </si>
  <si>
    <t>Q T Y</t>
  </si>
  <si>
    <t>LENGTH</t>
  </si>
  <si>
    <t>EFF(%)</t>
  </si>
  <si>
    <t>YD</t>
  </si>
  <si>
    <t>" + allowance</t>
  </si>
  <si>
    <t>'</t>
  </si>
  <si>
    <t>LENGHT &amp; SIZE MARKER</t>
  </si>
  <si>
    <t>Allowance  %</t>
  </si>
  <si>
    <t>ALLOWANCE CONS%</t>
  </si>
  <si>
    <t>PATTERN REQUEST</t>
  </si>
  <si>
    <t>Yes</t>
  </si>
  <si>
    <t>No</t>
  </si>
  <si>
    <t>ATTACHED</t>
  </si>
  <si>
    <t>PATT</t>
  </si>
  <si>
    <t>SPEC</t>
  </si>
  <si>
    <t>SKETCH</t>
  </si>
  <si>
    <t>SAMPLE</t>
  </si>
  <si>
    <t>NO.</t>
  </si>
  <si>
    <t>INSTRUCTION</t>
  </si>
  <si>
    <t>Allowance Inch</t>
  </si>
  <si>
    <t>CONSUMPTION MINI MARKER</t>
  </si>
  <si>
    <t>LENGTH &amp; SIZE MARKER</t>
  </si>
  <si>
    <t>KCIC</t>
  </si>
  <si>
    <t>Kemeja Long Sleeve Shirt Pria
(Dengan skoder bahu skoder tangan)</t>
  </si>
  <si>
    <t>PDL Pria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</si>
  <si>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</si>
  <si>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</si>
  <si>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</si>
  <si>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</si>
  <si>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</si>
  <si>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</si>
  <si>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</si>
  <si>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</si>
  <si>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</si>
  <si>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</si>
  <si>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Body - Abu</t>
  </si>
  <si>
    <t>Lis Merah</t>
  </si>
  <si>
    <t>Collar, chest, skoder tangan</t>
  </si>
  <si>
    <t>Interlining</t>
  </si>
  <si>
    <t>Reflective 3M</t>
  </si>
  <si>
    <t>59"</t>
  </si>
  <si>
    <t>44"</t>
  </si>
  <si>
    <t>5 cm</t>
  </si>
  <si>
    <t>2,5 cm</t>
  </si>
  <si>
    <t>XS-6XL</t>
  </si>
  <si>
    <t>XS=1 S=1 5XL=1 6XL=1</t>
  </si>
  <si>
    <t xml:space="preserve">6Yd07"05 </t>
  </si>
  <si>
    <t>M=1 L=1 4XL=1</t>
  </si>
  <si>
    <t>4Yd21"15</t>
  </si>
  <si>
    <t>XL=1 2XL=1 3XL=1</t>
  </si>
  <si>
    <t>4Yd25"28</t>
  </si>
  <si>
    <t>XS=1 S=1 M=1 L=1 XL=1 2XL=1 3XL=1 4XL=1 5XL=1 6XL=1 X3</t>
  </si>
  <si>
    <t>2Yd27"21</t>
  </si>
  <si>
    <t>XS=1 S=1 M=1 L=1 XL=1 2XL=1 3XL=1 4XL=1 5XL=1 6XL=1</t>
  </si>
  <si>
    <t>1Yd35"12</t>
  </si>
  <si>
    <t>A1</t>
  </si>
  <si>
    <t>A2</t>
  </si>
  <si>
    <t>A3</t>
  </si>
  <si>
    <t>A4</t>
  </si>
  <si>
    <t>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</si>
</sst>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[$-409]d\-mmm\-yy;@"/>
    <numFmt numFmtId="165" formatCode="mmm\ dd"/>
    <numFmt numFmtId="166" formatCode="0.0%"/>
    <numFmt numFmtId="167" formatCode="d\-mmm\-yy;@"/>
    <numFmt numFmtId="168" formatCode="0.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Tahoma"/>
      <family val="2"/>
    </font>
    <font>
      <sz val="11"/>
      <color theme="1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sz val="13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3"/>
      <name val="Tahoma"/>
      <family val="2"/>
    </font>
    <font>
      <sz val="10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22"/>
      <color theme="0"/>
      <name val="Tahoma"/>
      <family val="2"/>
    </font>
    <font>
      <sz val="11"/>
      <color theme="1"/>
      <name val="Calibri"/>
      <family val="2"/>
      <charset val="1"/>
      <scheme val="minor"/>
    </font>
    <font>
      <b/>
      <sz val="22"/>
      <name val="Tahoma"/>
      <family val="2"/>
    </font>
    <font>
      <b/>
      <sz val="32"/>
      <name val="Tahoma"/>
      <family val="2"/>
    </font>
    <font>
      <b/>
      <sz val="15"/>
      <name val="Tahoma"/>
      <family val="2"/>
    </font>
    <font>
      <sz val="22"/>
      <name val="Tahoma"/>
      <family val="2"/>
    </font>
    <font>
      <sz val="11"/>
      <color indexed="8"/>
      <name val="Calibri"/>
      <family val="2"/>
      <charset val="1"/>
    </font>
    <font>
      <sz val="13"/>
      <name val="Tahoma"/>
      <family val="2"/>
      <charset val="1"/>
    </font>
    <font>
      <sz val="11"/>
      <color indexed="8"/>
      <name val="Tahoma"/>
      <family val="2"/>
      <charset val="1"/>
    </font>
    <font>
      <b/>
      <sz val="11"/>
      <name val="Tahoma"/>
      <family val="2"/>
      <charset val="1"/>
    </font>
    <font>
      <sz val="11"/>
      <name val="Tahoma"/>
      <family val="2"/>
      <charset val="1"/>
    </font>
    <font>
      <sz val="15"/>
      <name val="Tahoma"/>
      <family val="2"/>
      <charset val="1"/>
    </font>
    <font>
      <sz val="15"/>
      <name val="Tahoma"/>
      <family val="2"/>
    </font>
    <font>
      <sz val="13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3"/>
      <name val="Tahoma"/>
      <family val="2"/>
      <charset val="1"/>
    </font>
    <font>
      <sz val="14"/>
      <color indexed="8"/>
      <name val="Tahoma"/>
      <family val="2"/>
      <charset val="1"/>
    </font>
    <font>
      <sz val="14"/>
      <color theme="1"/>
      <name val="Tahoma"/>
      <family val="2"/>
    </font>
    <font>
      <b/>
      <sz val="10"/>
      <name val="Tahoma"/>
      <family val="2"/>
      <charset val="1"/>
    </font>
    <font>
      <sz val="10"/>
      <name val="Calibri"/>
      <family val="2"/>
      <scheme val="minor"/>
    </font>
    <font>
      <sz val="11"/>
      <color rgb="FF000000"/>
      <name val="ArialMT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6" fillId="0" borderId="0"/>
    <xf numFmtId="41" fontId="1" fillId="0" borderId="0" applyFont="0" applyFill="0" applyBorder="0" applyAlignment="0" applyProtection="0"/>
    <xf numFmtId="0" fontId="21" fillId="0" borderId="0"/>
  </cellStyleXfs>
  <cellXfs count="161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16" fontId="6" fillId="0" borderId="10" xfId="0" applyNumberFormat="1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left" vertical="center"/>
    </xf>
    <xf numFmtId="9" fontId="6" fillId="0" borderId="11" xfId="0" quotePrefix="1" applyNumberFormat="1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166" fontId="11" fillId="2" borderId="27" xfId="0" applyNumberFormat="1" applyFont="1" applyFill="1" applyBorder="1" applyAlignment="1">
      <alignment horizontal="center" vertical="center"/>
    </xf>
    <xf numFmtId="166" fontId="6" fillId="0" borderId="1" xfId="1" applyNumberFormat="1" applyFont="1" applyBorder="1" applyAlignment="1">
      <alignment horizontal="center" vertical="center"/>
    </xf>
    <xf numFmtId="0" fontId="12" fillId="0" borderId="0" xfId="2"/>
    <xf numFmtId="0" fontId="0" fillId="0" borderId="1" xfId="0" applyBorder="1"/>
    <xf numFmtId="0" fontId="11" fillId="0" borderId="0" xfId="0" applyFont="1"/>
    <xf numFmtId="0" fontId="14" fillId="0" borderId="0" xfId="3" applyFont="1"/>
    <xf numFmtId="0" fontId="15" fillId="0" borderId="0" xfId="3" applyFont="1"/>
    <xf numFmtId="0" fontId="10" fillId="0" borderId="0" xfId="3" applyFont="1"/>
    <xf numFmtId="0" fontId="4" fillId="0" borderId="0" xfId="4" applyFont="1" applyAlignment="1">
      <alignment vertical="center"/>
    </xf>
    <xf numFmtId="0" fontId="5" fillId="2" borderId="1" xfId="4" applyFont="1" applyFill="1" applyBorder="1" applyAlignment="1">
      <alignment horizontal="center" vertical="center"/>
    </xf>
    <xf numFmtId="0" fontId="14" fillId="0" borderId="0" xfId="3" applyFont="1" applyAlignment="1">
      <alignment wrapText="1"/>
    </xf>
    <xf numFmtId="0" fontId="10" fillId="0" borderId="0" xfId="3" applyFont="1" applyAlignment="1">
      <alignment wrapText="1"/>
    </xf>
    <xf numFmtId="0" fontId="17" fillId="0" borderId="0" xfId="3" applyFont="1"/>
    <xf numFmtId="0" fontId="18" fillId="0" borderId="0" xfId="3" applyFont="1" applyAlignment="1">
      <alignment horizontal="center"/>
    </xf>
    <xf numFmtId="0" fontId="20" fillId="0" borderId="0" xfId="3" applyFont="1"/>
    <xf numFmtId="0" fontId="19" fillId="0" borderId="1" xfId="3" applyFont="1" applyBorder="1" applyAlignment="1">
      <alignment horizontal="center"/>
    </xf>
    <xf numFmtId="0" fontId="6" fillId="0" borderId="1" xfId="3" applyFont="1" applyBorder="1" applyAlignment="1">
      <alignment horizontal="center"/>
    </xf>
    <xf numFmtId="0" fontId="17" fillId="0" borderId="0" xfId="3" applyFont="1" applyAlignment="1">
      <alignment vertical="center"/>
    </xf>
    <xf numFmtId="0" fontId="19" fillId="0" borderId="1" xfId="3" applyFont="1" applyBorder="1"/>
    <xf numFmtId="0" fontId="22" fillId="0" borderId="11" xfId="6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7" fontId="23" fillId="0" borderId="11" xfId="6" applyNumberFormat="1" applyFont="1" applyBorder="1" applyAlignment="1">
      <alignment horizontal="center" vertical="center" wrapText="1"/>
    </xf>
    <xf numFmtId="12" fontId="24" fillId="0" borderId="3" xfId="6" applyNumberFormat="1" applyFont="1" applyBorder="1" applyAlignment="1">
      <alignment horizontal="center" vertical="center"/>
    </xf>
    <xf numFmtId="0" fontId="25" fillId="0" borderId="5" xfId="6" applyFont="1" applyBorder="1" applyAlignment="1">
      <alignment horizontal="center" vertical="center"/>
    </xf>
    <xf numFmtId="0" fontId="22" fillId="0" borderId="11" xfId="3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68" fontId="9" fillId="0" borderId="1" xfId="0" applyNumberFormat="1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28" fillId="0" borderId="1" xfId="0" applyFont="1" applyBorder="1" applyAlignment="1">
      <alignment horizontal="center" vertical="center"/>
    </xf>
    <xf numFmtId="12" fontId="29" fillId="0" borderId="3" xfId="6" applyNumberFormat="1" applyFont="1" applyBorder="1" applyAlignment="1">
      <alignment horizontal="center" vertical="center"/>
    </xf>
    <xf numFmtId="12" fontId="29" fillId="0" borderId="3" xfId="0" applyNumberFormat="1" applyFont="1" applyBorder="1" applyAlignment="1">
      <alignment horizontal="center" vertical="center"/>
    </xf>
    <xf numFmtId="0" fontId="30" fillId="0" borderId="5" xfId="6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64" fontId="31" fillId="0" borderId="10" xfId="6" applyNumberFormat="1" applyFont="1" applyBorder="1" applyAlignment="1">
      <alignment horizontal="center"/>
    </xf>
    <xf numFmtId="0" fontId="32" fillId="0" borderId="11" xfId="6" applyFont="1" applyBorder="1" applyAlignment="1">
      <alignment horizontal="center" vertical="center"/>
    </xf>
    <xf numFmtId="165" fontId="32" fillId="0" borderId="12" xfId="6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7" fontId="31" fillId="0" borderId="10" xfId="6" applyNumberFormat="1" applyFont="1" applyBorder="1" applyAlignment="1">
      <alignment horizontal="center" vertical="center"/>
    </xf>
    <xf numFmtId="2" fontId="32" fillId="0" borderId="1" xfId="0" applyNumberFormat="1" applyFont="1" applyBorder="1" applyAlignment="1">
      <alignment horizontal="center" vertical="center"/>
    </xf>
    <xf numFmtId="167" fontId="33" fillId="0" borderId="10" xfId="6" applyNumberFormat="1" applyFont="1" applyBorder="1" applyAlignment="1">
      <alignment horizontal="center" vertical="center"/>
    </xf>
    <xf numFmtId="12" fontId="36" fillId="0" borderId="3" xfId="6" applyNumberFormat="1" applyFont="1" applyBorder="1" applyAlignment="1">
      <alignment horizontal="center" vertical="center"/>
    </xf>
    <xf numFmtId="12" fontId="36" fillId="0" borderId="3" xfId="0" applyNumberFormat="1" applyFont="1" applyBorder="1" applyAlignment="1">
      <alignment horizontal="center" vertical="center"/>
    </xf>
    <xf numFmtId="167" fontId="37" fillId="0" borderId="10" xfId="6" applyNumberFormat="1" applyFont="1" applyBorder="1" applyAlignment="1">
      <alignment horizontal="center" vertical="center"/>
    </xf>
    <xf numFmtId="0" fontId="37" fillId="0" borderId="11" xfId="6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/>
    </xf>
    <xf numFmtId="165" fontId="22" fillId="0" borderId="12" xfId="6" applyNumberFormat="1" applyFont="1" applyBorder="1" applyAlignment="1">
      <alignment horizontal="center" vertical="center"/>
    </xf>
    <xf numFmtId="2" fontId="6" fillId="0" borderId="1" xfId="5" applyNumberFormat="1" applyFont="1" applyBorder="1" applyAlignment="1">
      <alignment horizontal="center" vertical="center"/>
    </xf>
    <xf numFmtId="168" fontId="28" fillId="0" borderId="1" xfId="0" applyNumberFormat="1" applyFont="1" applyBorder="1" applyAlignment="1">
      <alignment horizontal="center" vertical="center"/>
    </xf>
    <xf numFmtId="0" fontId="38" fillId="0" borderId="0" xfId="0" applyFont="1"/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166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wrapText="1"/>
    </xf>
    <xf numFmtId="0" fontId="19" fillId="0" borderId="29" xfId="3" applyFont="1" applyBorder="1" applyAlignment="1">
      <alignment horizontal="center" wrapText="1"/>
    </xf>
    <xf numFmtId="0" fontId="19" fillId="0" borderId="30" xfId="3" applyFont="1" applyBorder="1" applyAlignment="1">
      <alignment horizontal="center" wrapText="1"/>
    </xf>
    <xf numFmtId="0" fontId="19" fillId="0" borderId="1" xfId="3" applyFont="1" applyBorder="1" applyAlignment="1">
      <alignment horizontal="center"/>
    </xf>
    <xf numFmtId="0" fontId="19" fillId="0" borderId="28" xfId="3" applyFont="1" applyBorder="1" applyAlignment="1">
      <alignment horizontal="center"/>
    </xf>
    <xf numFmtId="0" fontId="19" fillId="0" borderId="29" xfId="3" applyFont="1" applyBorder="1" applyAlignment="1">
      <alignment horizontal="center"/>
    </xf>
    <xf numFmtId="0" fontId="19" fillId="0" borderId="30" xfId="3" applyFont="1" applyBorder="1" applyAlignment="1">
      <alignment horizontal="center"/>
    </xf>
    <xf numFmtId="0" fontId="26" fillId="0" borderId="11" xfId="3" applyFont="1" applyBorder="1" applyAlignment="1">
      <alignment horizontal="left" wrapText="1"/>
    </xf>
    <xf numFmtId="0" fontId="27" fillId="0" borderId="31" xfId="3" applyFont="1" applyBorder="1" applyAlignment="1">
      <alignment horizontal="left" wrapText="1"/>
    </xf>
    <xf numFmtId="0" fontId="27" fillId="0" borderId="32" xfId="3" applyFont="1" applyBorder="1" applyAlignment="1">
      <alignment horizontal="left" wrapText="1"/>
    </xf>
    <xf numFmtId="0" fontId="27" fillId="0" borderId="33" xfId="3" applyFont="1" applyBorder="1" applyAlignment="1">
      <alignment horizontal="left" wrapText="1"/>
    </xf>
    <xf numFmtId="0" fontId="23" fillId="0" borderId="11" xfId="6" applyFont="1" applyBorder="1" applyAlignment="1">
      <alignment horizontal="center" wrapText="1"/>
    </xf>
    <xf numFmtId="0" fontId="2" fillId="0" borderId="0" xfId="3" applyFont="1" applyAlignment="1">
      <alignment horizontal="center"/>
    </xf>
    <xf numFmtId="0" fontId="4" fillId="0" borderId="0" xfId="4" applyFont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 wrapText="1"/>
    </xf>
    <xf numFmtId="0" fontId="23" fillId="0" borderId="11" xfId="6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30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 shrinkToFit="1"/>
    </xf>
    <xf numFmtId="0" fontId="22" fillId="0" borderId="11" xfId="6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 wrapText="1" shrinkToFit="1"/>
    </xf>
    <xf numFmtId="0" fontId="6" fillId="0" borderId="29" xfId="0" applyFont="1" applyBorder="1" applyAlignment="1">
      <alignment horizontal="center" vertical="center" wrapText="1" shrinkToFit="1"/>
    </xf>
    <xf numFmtId="0" fontId="6" fillId="0" borderId="30" xfId="0" applyFont="1" applyBorder="1" applyAlignment="1">
      <alignment horizontal="center" vertical="center" wrapText="1" shrinkToFit="1"/>
    </xf>
    <xf numFmtId="0" fontId="32" fillId="0" borderId="1" xfId="0" applyFont="1" applyBorder="1" applyAlignment="1">
      <alignment horizontal="left" vertical="center" wrapText="1"/>
    </xf>
    <xf numFmtId="0" fontId="32" fillId="0" borderId="11" xfId="6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37" fillId="0" borderId="25" xfId="6" applyFont="1" applyBorder="1" applyAlignment="1">
      <alignment horizontal="left" vertical="center" wrapText="1"/>
    </xf>
    <xf numFmtId="0" fontId="37" fillId="0" borderId="34" xfId="6" applyFont="1" applyBorder="1" applyAlignment="1">
      <alignment horizontal="left" vertical="center"/>
    </xf>
    <xf numFmtId="0" fontId="37" fillId="0" borderId="12" xfId="6" applyFont="1" applyBorder="1" applyAlignment="1">
      <alignment horizontal="left" vertical="center"/>
    </xf>
    <xf numFmtId="0" fontId="32" fillId="0" borderId="1" xfId="0" applyFont="1" applyBorder="1" applyAlignment="1">
      <alignment horizontal="left" vertical="center"/>
    </xf>
    <xf numFmtId="0" fontId="22" fillId="0" borderId="25" xfId="6" applyFont="1" applyBorder="1" applyAlignment="1">
      <alignment horizontal="left" vertical="center" wrapText="1"/>
    </xf>
    <xf numFmtId="0" fontId="22" fillId="0" borderId="34" xfId="6" applyFont="1" applyBorder="1" applyAlignment="1">
      <alignment horizontal="left" vertical="center" wrapText="1"/>
    </xf>
    <xf numFmtId="0" fontId="22" fillId="0" borderId="12" xfId="6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wrapText="1"/>
    </xf>
    <xf numFmtId="0" fontId="34" fillId="0" borderId="11" xfId="6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0" borderId="28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</cellXfs>
  <cellStyles count="7">
    <cellStyle name="Comma [0]" xfId="5" builtinId="6"/>
    <cellStyle name="Excel Built-in Normal" xfId="6" xr:uid="{00000000-0005-0000-0000-000001000000}"/>
    <cellStyle name="Hyperlink" xfId="2" builtinId="8"/>
    <cellStyle name="Normal" xfId="0" builtinId="0"/>
    <cellStyle name="Normal 2" xfId="3" xr:uid="{00000000-0005-0000-0000-000004000000}"/>
    <cellStyle name="Normal 3" xfId="4" xr:uid="{00000000-0005-0000-0000-000005000000}"/>
    <cellStyle name="Percent" xfId="1" builtinId="5"/>
  </cellStyles>
  <dxfs count="0"/>
  <tableStyles count="0" defaultTableStyle="TableStyleMedium2" defaultPivotStyle="PivotStyleLight16"/>
  <colors>
    <mruColors>
      <color rgb="FFFF9933"/>
      <color rgb="FFCC6600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47625</xdr:rowOff>
    </xdr:from>
    <xdr:to>
      <xdr:col>3</xdr:col>
      <xdr:colOff>561975</xdr:colOff>
      <xdr:row>3</xdr:row>
      <xdr:rowOff>152400</xdr:rowOff>
    </xdr:to>
    <xdr:sp macro="[0]!Mdl_SAM.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6825" y="238125"/>
          <a:ext cx="1123950" cy="485775"/>
        </a:xfrm>
        <a:prstGeom prst="roundRect">
          <a:avLst/>
        </a:prstGeom>
        <a:solidFill>
          <a:srgbClr val="CC6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2</xdr:col>
      <xdr:colOff>47625</xdr:colOff>
      <xdr:row>5</xdr:row>
      <xdr:rowOff>38100</xdr:rowOff>
    </xdr:from>
    <xdr:to>
      <xdr:col>3</xdr:col>
      <xdr:colOff>561975</xdr:colOff>
      <xdr:row>7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66825" y="1009650"/>
          <a:ext cx="1123950" cy="495300"/>
        </a:xfrm>
        <a:prstGeom prst="roundRect">
          <a:avLst/>
        </a:prstGeom>
        <a:solidFill>
          <a:srgbClr val="FF99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11</xdr:col>
      <xdr:colOff>705970</xdr:colOff>
      <xdr:row>4</xdr:row>
      <xdr:rowOff>41718</xdr:rowOff>
    </xdr:from>
    <xdr:to>
      <xdr:col>13</xdr:col>
      <xdr:colOff>232644</xdr:colOff>
      <xdr:row>4</xdr:row>
      <xdr:rowOff>1889312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7823" y="1408836"/>
          <a:ext cx="1386850" cy="18475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258536</xdr:colOff>
      <xdr:row>4</xdr:row>
      <xdr:rowOff>40821</xdr:rowOff>
    </xdr:from>
    <xdr:to>
      <xdr:col>15</xdr:col>
      <xdr:colOff>122464</xdr:colOff>
      <xdr:row>4</xdr:row>
      <xdr:rowOff>1219125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0" y="1415142"/>
          <a:ext cx="884464" cy="1178304"/>
        </a:xfrm>
        <a:prstGeom prst="rect">
          <a:avLst/>
        </a:prstGeom>
      </xdr:spPr>
    </xdr:pic>
    <xdr:clientData/>
  </xdr:twoCellAnchor>
  <xdr:twoCellAnchor editAs="oneCell">
    <xdr:from>
      <xdr:col>13</xdr:col>
      <xdr:colOff>258536</xdr:colOff>
      <xdr:row>4</xdr:row>
      <xdr:rowOff>40821</xdr:rowOff>
    </xdr:from>
    <xdr:to>
      <xdr:col>15</xdr:col>
      <xdr:colOff>122464</xdr:colOff>
      <xdr:row>4</xdr:row>
      <xdr:rowOff>1219125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FCB3CB3-FB3D-464E-8388-7963E0106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6611" y="1412421"/>
          <a:ext cx="873578" cy="11783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H13"/>
  <sheetViews>
    <sheetView workbookViewId="0"/>
  </sheetViews>
  <sheetFormatPr defaultRowHeight="15" x14ac:dyDescent="0.25"/>
  <cols>
    <col min="6" max="6" width="17.42578125" bestFit="1" customWidth="1"/>
    <col min="8" max="8" width="12.7109375" bestFit="1" customWidth="1"/>
  </cols>
  <sheetData>
    <row r="1" spans="6:8" ht="15.75" thickBot="1" x14ac:dyDescent="0.3"/>
    <row r="2" spans="6:8" x14ac:dyDescent="0.25">
      <c r="F2" s="30" t="s">
        <v>36</v>
      </c>
      <c r="H2" s="30" t="s">
        <v>24</v>
      </c>
    </row>
    <row r="3" spans="6:8" ht="15.75" thickBot="1" x14ac:dyDescent="0.3">
      <c r="F3" s="29">
        <v>0</v>
      </c>
      <c r="H3" s="31">
        <v>0</v>
      </c>
    </row>
    <row r="13" spans="6:8" x14ac:dyDescent="0.25">
      <c r="F13" s="3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"/>
  <sheetViews>
    <sheetView workbookViewId="0">
      <selection activeCell="J3" sqref="J3"/>
    </sheetView>
  </sheetViews>
  <sheetFormatPr defaultRowHeight="15" x14ac:dyDescent="0.25"/>
  <cols>
    <col min="1" max="1" width="14.7109375" bestFit="1" customWidth="1"/>
    <col min="2" max="2" width="12.28515625" customWidth="1"/>
    <col min="6" max="6" width="15.140625" bestFit="1" customWidth="1"/>
    <col min="7" max="7" width="11.28515625" bestFit="1" customWidth="1"/>
    <col min="8" max="8" width="18.5703125" customWidth="1"/>
    <col min="9" max="9" width="12.140625" customWidth="1"/>
    <col min="10" max="10" width="11.28515625" customWidth="1"/>
    <col min="11" max="11" width="11.5703125" customWidth="1"/>
    <col min="12" max="12" width="15.5703125" customWidth="1"/>
    <col min="13" max="16" width="8.28515625" customWidth="1"/>
    <col min="17" max="17" width="19.85546875" customWidth="1"/>
  </cols>
  <sheetData>
    <row r="1" spans="1:17" ht="17.25" thickBot="1" x14ac:dyDescent="0.3">
      <c r="A1" s="98" t="s">
        <v>2</v>
      </c>
      <c r="B1" s="95" t="s">
        <v>12</v>
      </c>
      <c r="C1" s="95"/>
      <c r="D1" s="95"/>
      <c r="E1" s="95"/>
      <c r="F1" s="100" t="s">
        <v>13</v>
      </c>
      <c r="G1" s="102" t="s">
        <v>9</v>
      </c>
      <c r="H1" s="104" t="s">
        <v>23</v>
      </c>
      <c r="I1" s="92" t="s">
        <v>14</v>
      </c>
      <c r="J1" s="92"/>
      <c r="K1" s="92"/>
      <c r="L1" s="95" t="s">
        <v>15</v>
      </c>
      <c r="M1" s="97" t="s">
        <v>16</v>
      </c>
      <c r="N1" s="97"/>
      <c r="O1" s="97"/>
      <c r="P1" s="97"/>
      <c r="Q1" s="90" t="s">
        <v>25</v>
      </c>
    </row>
    <row r="2" spans="1:17" ht="17.25" thickTop="1" x14ac:dyDescent="0.25">
      <c r="A2" s="99"/>
      <c r="B2" s="96"/>
      <c r="C2" s="96"/>
      <c r="D2" s="96"/>
      <c r="E2" s="96"/>
      <c r="F2" s="101"/>
      <c r="G2" s="103"/>
      <c r="H2" s="105"/>
      <c r="I2" s="20" t="s">
        <v>17</v>
      </c>
      <c r="J2" s="21" t="s">
        <v>18</v>
      </c>
      <c r="K2" s="20" t="s">
        <v>19</v>
      </c>
      <c r="L2" s="96"/>
      <c r="M2" s="97"/>
      <c r="N2" s="97"/>
      <c r="O2" s="97"/>
      <c r="P2" s="97"/>
      <c r="Q2" s="91"/>
    </row>
    <row r="3" spans="1:17" ht="16.5" x14ac:dyDescent="0.25">
      <c r="A3" s="17"/>
      <c r="B3" s="89"/>
      <c r="C3" s="89"/>
      <c r="D3" s="89"/>
      <c r="E3" s="89"/>
      <c r="F3" s="11"/>
      <c r="G3" s="12"/>
      <c r="H3" s="12"/>
      <c r="I3" s="13"/>
      <c r="J3" s="13">
        <f>ROUND($J$4+(($J$5+($J$6/32))/36),3)</f>
        <v>0</v>
      </c>
      <c r="K3" s="14"/>
      <c r="L3" s="28" t="e">
        <f>ROUND(($J$3/$I$3)*(1+$Q$3),3)</f>
        <v>#DIV/0!</v>
      </c>
      <c r="M3" s="93"/>
      <c r="N3" s="93"/>
      <c r="O3" s="93"/>
      <c r="P3" s="93"/>
      <c r="Q3" s="32">
        <f>BUTTON!H3</f>
        <v>0</v>
      </c>
    </row>
    <row r="4" spans="1:17" ht="16.5" x14ac:dyDescent="0.25">
      <c r="A4" s="17"/>
      <c r="B4" s="89"/>
      <c r="C4" s="89"/>
      <c r="D4" s="89"/>
      <c r="E4" s="89"/>
      <c r="F4" s="11"/>
      <c r="G4" s="12"/>
      <c r="H4" s="12"/>
      <c r="I4" s="13"/>
      <c r="J4" s="13"/>
      <c r="K4" s="18" t="s">
        <v>20</v>
      </c>
      <c r="L4" s="28"/>
      <c r="M4" s="94"/>
      <c r="N4" s="94"/>
      <c r="O4" s="94"/>
      <c r="P4" s="94"/>
      <c r="Q4" s="34"/>
    </row>
    <row r="5" spans="1:17" ht="16.5" x14ac:dyDescent="0.25">
      <c r="A5" s="17"/>
      <c r="B5" s="89"/>
      <c r="C5" s="89"/>
      <c r="D5" s="89"/>
      <c r="E5" s="89"/>
      <c r="F5" s="11"/>
      <c r="G5" s="12"/>
      <c r="H5" s="12"/>
      <c r="I5" s="13"/>
      <c r="J5" s="13"/>
      <c r="K5" s="18" t="s">
        <v>21</v>
      </c>
      <c r="L5" s="28"/>
      <c r="M5" s="94"/>
      <c r="N5" s="94"/>
      <c r="O5" s="94"/>
      <c r="P5" s="94"/>
      <c r="Q5" s="34"/>
    </row>
    <row r="6" spans="1:17" ht="16.5" x14ac:dyDescent="0.25">
      <c r="A6" s="17"/>
      <c r="B6" s="89"/>
      <c r="C6" s="89"/>
      <c r="D6" s="89"/>
      <c r="E6" s="89"/>
      <c r="F6" s="11"/>
      <c r="G6" s="12"/>
      <c r="H6" s="12"/>
      <c r="I6" s="13"/>
      <c r="J6" s="13"/>
      <c r="K6" s="19" t="s">
        <v>22</v>
      </c>
      <c r="L6" s="28"/>
      <c r="M6" s="94"/>
      <c r="N6" s="94"/>
      <c r="O6" s="94"/>
      <c r="P6" s="94"/>
      <c r="Q6" s="34"/>
    </row>
  </sheetData>
  <sheetProtection sheet="1" formatCells="0" formatColumns="0" formatRows="0" insertColumns="0" insertRows="0" insertHyperlinks="0" deleteColumns="0" deleteRows="0" sort="0" autoFilter="0" pivotTables="0"/>
  <mergeCells count="17">
    <mergeCell ref="A1:A2"/>
    <mergeCell ref="B1:E2"/>
    <mergeCell ref="F1:F2"/>
    <mergeCell ref="G1:G2"/>
    <mergeCell ref="H1:H2"/>
    <mergeCell ref="B6:E6"/>
    <mergeCell ref="B3:E3"/>
    <mergeCell ref="B4:E4"/>
    <mergeCell ref="B5:E5"/>
    <mergeCell ref="Q1:Q2"/>
    <mergeCell ref="I1:K1"/>
    <mergeCell ref="M3:P3"/>
    <mergeCell ref="M4:P4"/>
    <mergeCell ref="M5:P5"/>
    <mergeCell ref="M6:P6"/>
    <mergeCell ref="L1:L2"/>
    <mergeCell ref="M1:P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S29"/>
  <sheetViews>
    <sheetView zoomScale="85" zoomScaleNormal="85" workbookViewId="0">
      <selection sqref="A1:N1"/>
    </sheetView>
  </sheetViews>
  <sheetFormatPr defaultColWidth="11.5703125" defaultRowHeight="41.85" customHeight="1" x14ac:dyDescent="0.2"/>
  <cols>
    <col min="1" max="2" width="11.28515625" style="38" customWidth="1"/>
    <col min="3" max="3" width="12.85546875" style="38" bestFit="1" customWidth="1"/>
    <col min="4" max="4" width="13.140625" style="38" bestFit="1" customWidth="1"/>
    <col min="5" max="5" width="5.42578125" style="38" customWidth="1"/>
    <col min="6" max="11" width="11.28515625" style="38" customWidth="1"/>
    <col min="12" max="14" width="14" style="38" customWidth="1"/>
    <col min="15" max="257" width="11.5703125" style="38"/>
    <col min="258" max="258" width="29.5703125" style="38" customWidth="1"/>
    <col min="259" max="259" width="27.5703125" style="38" customWidth="1"/>
    <col min="260" max="263" width="15.5703125" style="38" customWidth="1"/>
    <col min="264" max="264" width="94.5703125" style="38" customWidth="1"/>
    <col min="265" max="513" width="11.5703125" style="38"/>
    <col min="514" max="514" width="29.5703125" style="38" customWidth="1"/>
    <col min="515" max="515" width="27.5703125" style="38" customWidth="1"/>
    <col min="516" max="519" width="15.5703125" style="38" customWidth="1"/>
    <col min="520" max="520" width="94.5703125" style="38" customWidth="1"/>
    <col min="521" max="769" width="11.5703125" style="38"/>
    <col min="770" max="770" width="29.5703125" style="38" customWidth="1"/>
    <col min="771" max="771" width="27.5703125" style="38" customWidth="1"/>
    <col min="772" max="775" width="15.5703125" style="38" customWidth="1"/>
    <col min="776" max="776" width="94.5703125" style="38" customWidth="1"/>
    <col min="777" max="1025" width="11.5703125" style="38"/>
    <col min="1026" max="1026" width="29.5703125" style="38" customWidth="1"/>
    <col min="1027" max="1027" width="27.5703125" style="38" customWidth="1"/>
    <col min="1028" max="1031" width="15.5703125" style="38" customWidth="1"/>
    <col min="1032" max="1032" width="94.5703125" style="38" customWidth="1"/>
    <col min="1033" max="1281" width="11.5703125" style="38"/>
    <col min="1282" max="1282" width="29.5703125" style="38" customWidth="1"/>
    <col min="1283" max="1283" width="27.5703125" style="38" customWidth="1"/>
    <col min="1284" max="1287" width="15.5703125" style="38" customWidth="1"/>
    <col min="1288" max="1288" width="94.5703125" style="38" customWidth="1"/>
    <col min="1289" max="1537" width="11.5703125" style="38"/>
    <col min="1538" max="1538" width="29.5703125" style="38" customWidth="1"/>
    <col min="1539" max="1539" width="27.5703125" style="38" customWidth="1"/>
    <col min="1540" max="1543" width="15.5703125" style="38" customWidth="1"/>
    <col min="1544" max="1544" width="94.5703125" style="38" customWidth="1"/>
    <col min="1545" max="1793" width="11.5703125" style="38"/>
    <col min="1794" max="1794" width="29.5703125" style="38" customWidth="1"/>
    <col min="1795" max="1795" width="27.5703125" style="38" customWidth="1"/>
    <col min="1796" max="1799" width="15.5703125" style="38" customWidth="1"/>
    <col min="1800" max="1800" width="94.5703125" style="38" customWidth="1"/>
    <col min="1801" max="2049" width="11.5703125" style="38"/>
    <col min="2050" max="2050" width="29.5703125" style="38" customWidth="1"/>
    <col min="2051" max="2051" width="27.5703125" style="38" customWidth="1"/>
    <col min="2052" max="2055" width="15.5703125" style="38" customWidth="1"/>
    <col min="2056" max="2056" width="94.5703125" style="38" customWidth="1"/>
    <col min="2057" max="2305" width="11.5703125" style="38"/>
    <col min="2306" max="2306" width="29.5703125" style="38" customWidth="1"/>
    <col min="2307" max="2307" width="27.5703125" style="38" customWidth="1"/>
    <col min="2308" max="2311" width="15.5703125" style="38" customWidth="1"/>
    <col min="2312" max="2312" width="94.5703125" style="38" customWidth="1"/>
    <col min="2313" max="2561" width="11.5703125" style="38"/>
    <col min="2562" max="2562" width="29.5703125" style="38" customWidth="1"/>
    <col min="2563" max="2563" width="27.5703125" style="38" customWidth="1"/>
    <col min="2564" max="2567" width="15.5703125" style="38" customWidth="1"/>
    <col min="2568" max="2568" width="94.5703125" style="38" customWidth="1"/>
    <col min="2569" max="2817" width="11.5703125" style="38"/>
    <col min="2818" max="2818" width="29.5703125" style="38" customWidth="1"/>
    <col min="2819" max="2819" width="27.5703125" style="38" customWidth="1"/>
    <col min="2820" max="2823" width="15.5703125" style="38" customWidth="1"/>
    <col min="2824" max="2824" width="94.5703125" style="38" customWidth="1"/>
    <col min="2825" max="3073" width="11.5703125" style="38"/>
    <col min="3074" max="3074" width="29.5703125" style="38" customWidth="1"/>
    <col min="3075" max="3075" width="27.5703125" style="38" customWidth="1"/>
    <col min="3076" max="3079" width="15.5703125" style="38" customWidth="1"/>
    <col min="3080" max="3080" width="94.5703125" style="38" customWidth="1"/>
    <col min="3081" max="3329" width="11.5703125" style="38"/>
    <col min="3330" max="3330" width="29.5703125" style="38" customWidth="1"/>
    <col min="3331" max="3331" width="27.5703125" style="38" customWidth="1"/>
    <col min="3332" max="3335" width="15.5703125" style="38" customWidth="1"/>
    <col min="3336" max="3336" width="94.5703125" style="38" customWidth="1"/>
    <col min="3337" max="3585" width="11.5703125" style="38"/>
    <col min="3586" max="3586" width="29.5703125" style="38" customWidth="1"/>
    <col min="3587" max="3587" width="27.5703125" style="38" customWidth="1"/>
    <col min="3588" max="3591" width="15.5703125" style="38" customWidth="1"/>
    <col min="3592" max="3592" width="94.5703125" style="38" customWidth="1"/>
    <col min="3593" max="3841" width="11.5703125" style="38"/>
    <col min="3842" max="3842" width="29.5703125" style="38" customWidth="1"/>
    <col min="3843" max="3843" width="27.5703125" style="38" customWidth="1"/>
    <col min="3844" max="3847" width="15.5703125" style="38" customWidth="1"/>
    <col min="3848" max="3848" width="94.5703125" style="38" customWidth="1"/>
    <col min="3849" max="4097" width="11.5703125" style="38"/>
    <col min="4098" max="4098" width="29.5703125" style="38" customWidth="1"/>
    <col min="4099" max="4099" width="27.5703125" style="38" customWidth="1"/>
    <col min="4100" max="4103" width="15.5703125" style="38" customWidth="1"/>
    <col min="4104" max="4104" width="94.5703125" style="38" customWidth="1"/>
    <col min="4105" max="4353" width="11.5703125" style="38"/>
    <col min="4354" max="4354" width="29.5703125" style="38" customWidth="1"/>
    <col min="4355" max="4355" width="27.5703125" style="38" customWidth="1"/>
    <col min="4356" max="4359" width="15.5703125" style="38" customWidth="1"/>
    <col min="4360" max="4360" width="94.5703125" style="38" customWidth="1"/>
    <col min="4361" max="4609" width="11.5703125" style="38"/>
    <col min="4610" max="4610" width="29.5703125" style="38" customWidth="1"/>
    <col min="4611" max="4611" width="27.5703125" style="38" customWidth="1"/>
    <col min="4612" max="4615" width="15.5703125" style="38" customWidth="1"/>
    <col min="4616" max="4616" width="94.5703125" style="38" customWidth="1"/>
    <col min="4617" max="4865" width="11.5703125" style="38"/>
    <col min="4866" max="4866" width="29.5703125" style="38" customWidth="1"/>
    <col min="4867" max="4867" width="27.5703125" style="38" customWidth="1"/>
    <col min="4868" max="4871" width="15.5703125" style="38" customWidth="1"/>
    <col min="4872" max="4872" width="94.5703125" style="38" customWidth="1"/>
    <col min="4873" max="5121" width="11.5703125" style="38"/>
    <col min="5122" max="5122" width="29.5703125" style="38" customWidth="1"/>
    <col min="5123" max="5123" width="27.5703125" style="38" customWidth="1"/>
    <col min="5124" max="5127" width="15.5703125" style="38" customWidth="1"/>
    <col min="5128" max="5128" width="94.5703125" style="38" customWidth="1"/>
    <col min="5129" max="5377" width="11.5703125" style="38"/>
    <col min="5378" max="5378" width="29.5703125" style="38" customWidth="1"/>
    <col min="5379" max="5379" width="27.5703125" style="38" customWidth="1"/>
    <col min="5380" max="5383" width="15.5703125" style="38" customWidth="1"/>
    <col min="5384" max="5384" width="94.5703125" style="38" customWidth="1"/>
    <col min="5385" max="5633" width="11.5703125" style="38"/>
    <col min="5634" max="5634" width="29.5703125" style="38" customWidth="1"/>
    <col min="5635" max="5635" width="27.5703125" style="38" customWidth="1"/>
    <col min="5636" max="5639" width="15.5703125" style="38" customWidth="1"/>
    <col min="5640" max="5640" width="94.5703125" style="38" customWidth="1"/>
    <col min="5641" max="5889" width="11.5703125" style="38"/>
    <col min="5890" max="5890" width="29.5703125" style="38" customWidth="1"/>
    <col min="5891" max="5891" width="27.5703125" style="38" customWidth="1"/>
    <col min="5892" max="5895" width="15.5703125" style="38" customWidth="1"/>
    <col min="5896" max="5896" width="94.5703125" style="38" customWidth="1"/>
    <col min="5897" max="6145" width="11.5703125" style="38"/>
    <col min="6146" max="6146" width="29.5703125" style="38" customWidth="1"/>
    <col min="6147" max="6147" width="27.5703125" style="38" customWidth="1"/>
    <col min="6148" max="6151" width="15.5703125" style="38" customWidth="1"/>
    <col min="6152" max="6152" width="94.5703125" style="38" customWidth="1"/>
    <col min="6153" max="6401" width="11.5703125" style="38"/>
    <col min="6402" max="6402" width="29.5703125" style="38" customWidth="1"/>
    <col min="6403" max="6403" width="27.5703125" style="38" customWidth="1"/>
    <col min="6404" max="6407" width="15.5703125" style="38" customWidth="1"/>
    <col min="6408" max="6408" width="94.5703125" style="38" customWidth="1"/>
    <col min="6409" max="6657" width="11.5703125" style="38"/>
    <col min="6658" max="6658" width="29.5703125" style="38" customWidth="1"/>
    <col min="6659" max="6659" width="27.5703125" style="38" customWidth="1"/>
    <col min="6660" max="6663" width="15.5703125" style="38" customWidth="1"/>
    <col min="6664" max="6664" width="94.5703125" style="38" customWidth="1"/>
    <col min="6665" max="6913" width="11.5703125" style="38"/>
    <col min="6914" max="6914" width="29.5703125" style="38" customWidth="1"/>
    <col min="6915" max="6915" width="27.5703125" style="38" customWidth="1"/>
    <col min="6916" max="6919" width="15.5703125" style="38" customWidth="1"/>
    <col min="6920" max="6920" width="94.5703125" style="38" customWidth="1"/>
    <col min="6921" max="7169" width="11.5703125" style="38"/>
    <col min="7170" max="7170" width="29.5703125" style="38" customWidth="1"/>
    <col min="7171" max="7171" width="27.5703125" style="38" customWidth="1"/>
    <col min="7172" max="7175" width="15.5703125" style="38" customWidth="1"/>
    <col min="7176" max="7176" width="94.5703125" style="38" customWidth="1"/>
    <col min="7177" max="7425" width="11.5703125" style="38"/>
    <col min="7426" max="7426" width="29.5703125" style="38" customWidth="1"/>
    <col min="7427" max="7427" width="27.5703125" style="38" customWidth="1"/>
    <col min="7428" max="7431" width="15.5703125" style="38" customWidth="1"/>
    <col min="7432" max="7432" width="94.5703125" style="38" customWidth="1"/>
    <col min="7433" max="7681" width="11.5703125" style="38"/>
    <col min="7682" max="7682" width="29.5703125" style="38" customWidth="1"/>
    <col min="7683" max="7683" width="27.5703125" style="38" customWidth="1"/>
    <col min="7684" max="7687" width="15.5703125" style="38" customWidth="1"/>
    <col min="7688" max="7688" width="94.5703125" style="38" customWidth="1"/>
    <col min="7689" max="7937" width="11.5703125" style="38"/>
    <col min="7938" max="7938" width="29.5703125" style="38" customWidth="1"/>
    <col min="7939" max="7939" width="27.5703125" style="38" customWidth="1"/>
    <col min="7940" max="7943" width="15.5703125" style="38" customWidth="1"/>
    <col min="7944" max="7944" width="94.5703125" style="38" customWidth="1"/>
    <col min="7945" max="8193" width="11.5703125" style="38"/>
    <col min="8194" max="8194" width="29.5703125" style="38" customWidth="1"/>
    <col min="8195" max="8195" width="27.5703125" style="38" customWidth="1"/>
    <col min="8196" max="8199" width="15.5703125" style="38" customWidth="1"/>
    <col min="8200" max="8200" width="94.5703125" style="38" customWidth="1"/>
    <col min="8201" max="8449" width="11.5703125" style="38"/>
    <col min="8450" max="8450" width="29.5703125" style="38" customWidth="1"/>
    <col min="8451" max="8451" width="27.5703125" style="38" customWidth="1"/>
    <col min="8452" max="8455" width="15.5703125" style="38" customWidth="1"/>
    <col min="8456" max="8456" width="94.5703125" style="38" customWidth="1"/>
    <col min="8457" max="8705" width="11.5703125" style="38"/>
    <col min="8706" max="8706" width="29.5703125" style="38" customWidth="1"/>
    <col min="8707" max="8707" width="27.5703125" style="38" customWidth="1"/>
    <col min="8708" max="8711" width="15.5703125" style="38" customWidth="1"/>
    <col min="8712" max="8712" width="94.5703125" style="38" customWidth="1"/>
    <col min="8713" max="8961" width="11.5703125" style="38"/>
    <col min="8962" max="8962" width="29.5703125" style="38" customWidth="1"/>
    <col min="8963" max="8963" width="27.5703125" style="38" customWidth="1"/>
    <col min="8964" max="8967" width="15.5703125" style="38" customWidth="1"/>
    <col min="8968" max="8968" width="94.5703125" style="38" customWidth="1"/>
    <col min="8969" max="9217" width="11.5703125" style="38"/>
    <col min="9218" max="9218" width="29.5703125" style="38" customWidth="1"/>
    <col min="9219" max="9219" width="27.5703125" style="38" customWidth="1"/>
    <col min="9220" max="9223" width="15.5703125" style="38" customWidth="1"/>
    <col min="9224" max="9224" width="94.5703125" style="38" customWidth="1"/>
    <col min="9225" max="9473" width="11.5703125" style="38"/>
    <col min="9474" max="9474" width="29.5703125" style="38" customWidth="1"/>
    <col min="9475" max="9475" width="27.5703125" style="38" customWidth="1"/>
    <col min="9476" max="9479" width="15.5703125" style="38" customWidth="1"/>
    <col min="9480" max="9480" width="94.5703125" style="38" customWidth="1"/>
    <col min="9481" max="9729" width="11.5703125" style="38"/>
    <col min="9730" max="9730" width="29.5703125" style="38" customWidth="1"/>
    <col min="9731" max="9731" width="27.5703125" style="38" customWidth="1"/>
    <col min="9732" max="9735" width="15.5703125" style="38" customWidth="1"/>
    <col min="9736" max="9736" width="94.5703125" style="38" customWidth="1"/>
    <col min="9737" max="9985" width="11.5703125" style="38"/>
    <col min="9986" max="9986" width="29.5703125" style="38" customWidth="1"/>
    <col min="9987" max="9987" width="27.5703125" style="38" customWidth="1"/>
    <col min="9988" max="9991" width="15.5703125" style="38" customWidth="1"/>
    <col min="9992" max="9992" width="94.5703125" style="38" customWidth="1"/>
    <col min="9993" max="10241" width="11.5703125" style="38"/>
    <col min="10242" max="10242" width="29.5703125" style="38" customWidth="1"/>
    <col min="10243" max="10243" width="27.5703125" style="38" customWidth="1"/>
    <col min="10244" max="10247" width="15.5703125" style="38" customWidth="1"/>
    <col min="10248" max="10248" width="94.5703125" style="38" customWidth="1"/>
    <col min="10249" max="10497" width="11.5703125" style="38"/>
    <col min="10498" max="10498" width="29.5703125" style="38" customWidth="1"/>
    <col min="10499" max="10499" width="27.5703125" style="38" customWidth="1"/>
    <col min="10500" max="10503" width="15.5703125" style="38" customWidth="1"/>
    <col min="10504" max="10504" width="94.5703125" style="38" customWidth="1"/>
    <col min="10505" max="10753" width="11.5703125" style="38"/>
    <col min="10754" max="10754" width="29.5703125" style="38" customWidth="1"/>
    <col min="10755" max="10755" width="27.5703125" style="38" customWidth="1"/>
    <col min="10756" max="10759" width="15.5703125" style="38" customWidth="1"/>
    <col min="10760" max="10760" width="94.5703125" style="38" customWidth="1"/>
    <col min="10761" max="11009" width="11.5703125" style="38"/>
    <col min="11010" max="11010" width="29.5703125" style="38" customWidth="1"/>
    <col min="11011" max="11011" width="27.5703125" style="38" customWidth="1"/>
    <col min="11012" max="11015" width="15.5703125" style="38" customWidth="1"/>
    <col min="11016" max="11016" width="94.5703125" style="38" customWidth="1"/>
    <col min="11017" max="11265" width="11.5703125" style="38"/>
    <col min="11266" max="11266" width="29.5703125" style="38" customWidth="1"/>
    <col min="11267" max="11267" width="27.5703125" style="38" customWidth="1"/>
    <col min="11268" max="11271" width="15.5703125" style="38" customWidth="1"/>
    <col min="11272" max="11272" width="94.5703125" style="38" customWidth="1"/>
    <col min="11273" max="11521" width="11.5703125" style="38"/>
    <col min="11522" max="11522" width="29.5703125" style="38" customWidth="1"/>
    <col min="11523" max="11523" width="27.5703125" style="38" customWidth="1"/>
    <col min="11524" max="11527" width="15.5703125" style="38" customWidth="1"/>
    <col min="11528" max="11528" width="94.5703125" style="38" customWidth="1"/>
    <col min="11529" max="11777" width="11.5703125" style="38"/>
    <col min="11778" max="11778" width="29.5703125" style="38" customWidth="1"/>
    <col min="11779" max="11779" width="27.5703125" style="38" customWidth="1"/>
    <col min="11780" max="11783" width="15.5703125" style="38" customWidth="1"/>
    <col min="11784" max="11784" width="94.5703125" style="38" customWidth="1"/>
    <col min="11785" max="12033" width="11.5703125" style="38"/>
    <col min="12034" max="12034" width="29.5703125" style="38" customWidth="1"/>
    <col min="12035" max="12035" width="27.5703125" style="38" customWidth="1"/>
    <col min="12036" max="12039" width="15.5703125" style="38" customWidth="1"/>
    <col min="12040" max="12040" width="94.5703125" style="38" customWidth="1"/>
    <col min="12041" max="12289" width="11.5703125" style="38"/>
    <col min="12290" max="12290" width="29.5703125" style="38" customWidth="1"/>
    <col min="12291" max="12291" width="27.5703125" style="38" customWidth="1"/>
    <col min="12292" max="12295" width="15.5703125" style="38" customWidth="1"/>
    <col min="12296" max="12296" width="94.5703125" style="38" customWidth="1"/>
    <col min="12297" max="12545" width="11.5703125" style="38"/>
    <col min="12546" max="12546" width="29.5703125" style="38" customWidth="1"/>
    <col min="12547" max="12547" width="27.5703125" style="38" customWidth="1"/>
    <col min="12548" max="12551" width="15.5703125" style="38" customWidth="1"/>
    <col min="12552" max="12552" width="94.5703125" style="38" customWidth="1"/>
    <col min="12553" max="12801" width="11.5703125" style="38"/>
    <col min="12802" max="12802" width="29.5703125" style="38" customWidth="1"/>
    <col min="12803" max="12803" width="27.5703125" style="38" customWidth="1"/>
    <col min="12804" max="12807" width="15.5703125" style="38" customWidth="1"/>
    <col min="12808" max="12808" width="94.5703125" style="38" customWidth="1"/>
    <col min="12809" max="13057" width="11.5703125" style="38"/>
    <col min="13058" max="13058" width="29.5703125" style="38" customWidth="1"/>
    <col min="13059" max="13059" width="27.5703125" style="38" customWidth="1"/>
    <col min="13060" max="13063" width="15.5703125" style="38" customWidth="1"/>
    <col min="13064" max="13064" width="94.5703125" style="38" customWidth="1"/>
    <col min="13065" max="13313" width="11.5703125" style="38"/>
    <col min="13314" max="13314" width="29.5703125" style="38" customWidth="1"/>
    <col min="13315" max="13315" width="27.5703125" style="38" customWidth="1"/>
    <col min="13316" max="13319" width="15.5703125" style="38" customWidth="1"/>
    <col min="13320" max="13320" width="94.5703125" style="38" customWidth="1"/>
    <col min="13321" max="13569" width="11.5703125" style="38"/>
    <col min="13570" max="13570" width="29.5703125" style="38" customWidth="1"/>
    <col min="13571" max="13571" width="27.5703125" style="38" customWidth="1"/>
    <col min="13572" max="13575" width="15.5703125" style="38" customWidth="1"/>
    <col min="13576" max="13576" width="94.5703125" style="38" customWidth="1"/>
    <col min="13577" max="13825" width="11.5703125" style="38"/>
    <col min="13826" max="13826" width="29.5703125" style="38" customWidth="1"/>
    <col min="13827" max="13827" width="27.5703125" style="38" customWidth="1"/>
    <col min="13828" max="13831" width="15.5703125" style="38" customWidth="1"/>
    <col min="13832" max="13832" width="94.5703125" style="38" customWidth="1"/>
    <col min="13833" max="14081" width="11.5703125" style="38"/>
    <col min="14082" max="14082" width="29.5703125" style="38" customWidth="1"/>
    <col min="14083" max="14083" width="27.5703125" style="38" customWidth="1"/>
    <col min="14084" max="14087" width="15.5703125" style="38" customWidth="1"/>
    <col min="14088" max="14088" width="94.5703125" style="38" customWidth="1"/>
    <col min="14089" max="14337" width="11.5703125" style="38"/>
    <col min="14338" max="14338" width="29.5703125" style="38" customWidth="1"/>
    <col min="14339" max="14339" width="27.5703125" style="38" customWidth="1"/>
    <col min="14340" max="14343" width="15.5703125" style="38" customWidth="1"/>
    <col min="14344" max="14344" width="94.5703125" style="38" customWidth="1"/>
    <col min="14345" max="14593" width="11.5703125" style="38"/>
    <col min="14594" max="14594" width="29.5703125" style="38" customWidth="1"/>
    <col min="14595" max="14595" width="27.5703125" style="38" customWidth="1"/>
    <col min="14596" max="14599" width="15.5703125" style="38" customWidth="1"/>
    <col min="14600" max="14600" width="94.5703125" style="38" customWidth="1"/>
    <col min="14601" max="14849" width="11.5703125" style="38"/>
    <col min="14850" max="14850" width="29.5703125" style="38" customWidth="1"/>
    <col min="14851" max="14851" width="27.5703125" style="38" customWidth="1"/>
    <col min="14852" max="14855" width="15.5703125" style="38" customWidth="1"/>
    <col min="14856" max="14856" width="94.5703125" style="38" customWidth="1"/>
    <col min="14857" max="15105" width="11.5703125" style="38"/>
    <col min="15106" max="15106" width="29.5703125" style="38" customWidth="1"/>
    <col min="15107" max="15107" width="27.5703125" style="38" customWidth="1"/>
    <col min="15108" max="15111" width="15.5703125" style="38" customWidth="1"/>
    <col min="15112" max="15112" width="94.5703125" style="38" customWidth="1"/>
    <col min="15113" max="15361" width="11.5703125" style="38"/>
    <col min="15362" max="15362" width="29.5703125" style="38" customWidth="1"/>
    <col min="15363" max="15363" width="27.5703125" style="38" customWidth="1"/>
    <col min="15364" max="15367" width="15.5703125" style="38" customWidth="1"/>
    <col min="15368" max="15368" width="94.5703125" style="38" customWidth="1"/>
    <col min="15369" max="15617" width="11.5703125" style="38"/>
    <col min="15618" max="15618" width="29.5703125" style="38" customWidth="1"/>
    <col min="15619" max="15619" width="27.5703125" style="38" customWidth="1"/>
    <col min="15620" max="15623" width="15.5703125" style="38" customWidth="1"/>
    <col min="15624" max="15624" width="94.5703125" style="38" customWidth="1"/>
    <col min="15625" max="15873" width="11.5703125" style="38"/>
    <col min="15874" max="15874" width="29.5703125" style="38" customWidth="1"/>
    <col min="15875" max="15875" width="27.5703125" style="38" customWidth="1"/>
    <col min="15876" max="15879" width="15.5703125" style="38" customWidth="1"/>
    <col min="15880" max="15880" width="94.5703125" style="38" customWidth="1"/>
    <col min="15881" max="16129" width="11.5703125" style="38"/>
    <col min="16130" max="16130" width="29.5703125" style="38" customWidth="1"/>
    <col min="16131" max="16131" width="27.5703125" style="38" customWidth="1"/>
    <col min="16132" max="16135" width="15.5703125" style="38" customWidth="1"/>
    <col min="16136" max="16136" width="94.5703125" style="38" customWidth="1"/>
    <col min="16137" max="16384" width="11.5703125" style="38"/>
  </cols>
  <sheetData>
    <row r="1" spans="1:19" ht="30" x14ac:dyDescent="0.4">
      <c r="A1" s="118" t="s">
        <v>26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36"/>
      <c r="P1" s="36"/>
      <c r="Q1" s="36"/>
      <c r="R1" s="37" t="s">
        <v>27</v>
      </c>
      <c r="S1" s="36"/>
    </row>
    <row r="2" spans="1:19" ht="23.1" customHeight="1" x14ac:dyDescent="0.35">
      <c r="A2" s="119" t="s">
        <v>1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36"/>
      <c r="P2" s="36"/>
      <c r="Q2" s="36"/>
      <c r="R2" s="37" t="s">
        <v>28</v>
      </c>
      <c r="S2" s="36"/>
    </row>
    <row r="3" spans="1:19" ht="23.1" customHeight="1" x14ac:dyDescent="0.2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6"/>
      <c r="P3" s="36"/>
      <c r="Q3" s="36"/>
      <c r="R3" s="36"/>
      <c r="S3" s="36"/>
    </row>
    <row r="4" spans="1:19" ht="31.5" customHeight="1" x14ac:dyDescent="0.2">
      <c r="A4" s="40" t="s">
        <v>2</v>
      </c>
      <c r="B4" s="120" t="s">
        <v>3</v>
      </c>
      <c r="C4" s="120"/>
      <c r="D4" s="120" t="s">
        <v>4</v>
      </c>
      <c r="E4" s="120"/>
      <c r="F4" s="121" t="s">
        <v>5</v>
      </c>
      <c r="G4" s="121"/>
      <c r="H4" s="120" t="s">
        <v>6</v>
      </c>
      <c r="I4" s="120"/>
      <c r="J4" s="120" t="s">
        <v>7</v>
      </c>
      <c r="K4" s="120"/>
      <c r="L4" s="120" t="s">
        <v>8</v>
      </c>
      <c r="M4" s="120"/>
      <c r="N4" s="120"/>
      <c r="O4" s="36"/>
      <c r="P4" s="36"/>
      <c r="Q4" s="36"/>
      <c r="S4" s="36"/>
    </row>
    <row r="5" spans="1:19" s="42" customFormat="1" ht="150" customHeight="1" x14ac:dyDescent="0.2">
      <c r="A5" s="52">
        <v>45420</v>
      </c>
      <c r="B5" s="122" t="s">
        <v>39</v>
      </c>
      <c r="C5" s="122"/>
      <c r="D5" s="122"/>
      <c r="E5" s="122"/>
      <c r="F5" s="122"/>
      <c r="G5" s="122"/>
      <c r="H5" s="122" t="s">
        <v>40</v>
      </c>
      <c r="I5" s="122"/>
      <c r="J5" s="122" t="s">
        <v>41</v>
      </c>
      <c r="K5" s="122"/>
      <c r="L5" s="117"/>
      <c r="M5" s="117"/>
      <c r="N5" s="117"/>
      <c r="O5" s="41"/>
      <c r="P5" s="41"/>
      <c r="Q5" s="41"/>
      <c r="S5" s="41"/>
    </row>
    <row r="6" spans="1:19" ht="23.1" customHeight="1" x14ac:dyDescent="0.5">
      <c r="A6" s="43"/>
      <c r="B6" s="43"/>
      <c r="C6" s="44"/>
      <c r="D6" s="44"/>
      <c r="E6" s="44"/>
      <c r="F6" s="44"/>
      <c r="G6" s="44"/>
    </row>
    <row r="7" spans="1:19" s="45" customFormat="1" ht="23.1" customHeight="1" x14ac:dyDescent="0.35">
      <c r="A7" s="109" t="s">
        <v>29</v>
      </c>
      <c r="B7" s="109"/>
      <c r="C7" s="109"/>
      <c r="D7" s="109"/>
    </row>
    <row r="8" spans="1:19" s="45" customFormat="1" ht="23.1" customHeight="1" x14ac:dyDescent="0.35">
      <c r="A8" s="46" t="s">
        <v>30</v>
      </c>
      <c r="B8" s="46" t="s">
        <v>31</v>
      </c>
      <c r="C8" s="46" t="s">
        <v>32</v>
      </c>
      <c r="D8" s="46" t="s">
        <v>33</v>
      </c>
    </row>
    <row r="9" spans="1:19" s="45" customFormat="1" ht="23.1" customHeight="1" x14ac:dyDescent="0.35">
      <c r="A9" s="55" t="s">
        <v>27</v>
      </c>
      <c r="B9" s="56" t="s">
        <v>27</v>
      </c>
      <c r="C9" s="56" t="s">
        <v>27</v>
      </c>
      <c r="D9" s="56" t="s">
        <v>28</v>
      </c>
    </row>
    <row r="10" spans="1:19" s="45" customFormat="1" ht="23.1" customHeight="1" x14ac:dyDescent="0.35">
      <c r="A10" s="43"/>
      <c r="B10" s="43"/>
      <c r="C10" s="43"/>
      <c r="D10" s="48"/>
    </row>
    <row r="11" spans="1:19" s="45" customFormat="1" ht="23.1" customHeight="1" x14ac:dyDescent="0.35">
      <c r="A11" s="49" t="s">
        <v>34</v>
      </c>
      <c r="B11" s="110" t="s">
        <v>35</v>
      </c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2"/>
    </row>
    <row r="12" spans="1:19" s="45" customFormat="1" ht="23.1" customHeight="1" x14ac:dyDescent="0.35">
      <c r="A12" s="55">
        <v>1</v>
      </c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19" ht="23.1" customHeight="1" x14ac:dyDescent="0.25">
      <c r="A13" s="47">
        <v>2</v>
      </c>
      <c r="B13" s="114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6"/>
    </row>
    <row r="14" spans="1:19" ht="23.1" customHeight="1" x14ac:dyDescent="0.25">
      <c r="A14" s="47">
        <v>3</v>
      </c>
      <c r="B14" s="106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8"/>
    </row>
    <row r="15" spans="1:19" ht="23.1" customHeight="1" x14ac:dyDescent="0.25">
      <c r="A15" s="47">
        <v>4</v>
      </c>
      <c r="B15" s="106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8"/>
    </row>
    <row r="16" spans="1:19" ht="23.1" customHeight="1" x14ac:dyDescent="0.25">
      <c r="A16" s="47">
        <v>5</v>
      </c>
      <c r="B16" s="106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8"/>
    </row>
    <row r="17" spans="1:14" ht="23.1" customHeight="1" x14ac:dyDescent="0.25">
      <c r="A17" s="47">
        <v>6</v>
      </c>
      <c r="B17" s="106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8"/>
    </row>
    <row r="18" spans="1:14" ht="23.1" customHeight="1" x14ac:dyDescent="0.25">
      <c r="A18" s="47">
        <v>7</v>
      </c>
      <c r="B18" s="106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8"/>
    </row>
    <row r="19" spans="1:14" ht="23.1" customHeight="1" x14ac:dyDescent="0.25">
      <c r="A19" s="47">
        <v>8</v>
      </c>
      <c r="B19" s="106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8"/>
    </row>
    <row r="20" spans="1:14" ht="23.1" customHeight="1" x14ac:dyDescent="0.25">
      <c r="A20" s="47">
        <v>9</v>
      </c>
      <c r="B20" s="106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8"/>
    </row>
    <row r="21" spans="1:14" ht="23.1" customHeight="1" x14ac:dyDescent="0.25">
      <c r="A21" s="47">
        <v>10</v>
      </c>
      <c r="B21" s="106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8"/>
    </row>
    <row r="22" spans="1:14" ht="23.1" customHeight="1" x14ac:dyDescent="0.2"/>
    <row r="23" spans="1:14" ht="23.1" customHeight="1" x14ac:dyDescent="0.2"/>
    <row r="24" spans="1:14" ht="23.1" customHeight="1" x14ac:dyDescent="0.2"/>
    <row r="25" spans="1:14" ht="23.1" customHeight="1" x14ac:dyDescent="0.2"/>
    <row r="26" spans="1:14" ht="23.1" customHeight="1" x14ac:dyDescent="0.2"/>
    <row r="27" spans="1:14" ht="23.1" customHeight="1" x14ac:dyDescent="0.2"/>
    <row r="28" spans="1:14" ht="23.1" customHeight="1" x14ac:dyDescent="0.2"/>
    <row r="29" spans="1:14" ht="23.1" customHeight="1" x14ac:dyDescent="0.2"/>
  </sheetData>
  <sheetProtection selectLockedCells="1" selectUnlockedCells="1"/>
  <mergeCells count="26">
    <mergeCell ref="L5:N5"/>
    <mergeCell ref="A1:N1"/>
    <mergeCell ref="A2:N2"/>
    <mergeCell ref="B4:C4"/>
    <mergeCell ref="D4:E4"/>
    <mergeCell ref="F4:G4"/>
    <mergeCell ref="H4:I4"/>
    <mergeCell ref="J4:K4"/>
    <mergeCell ref="L4:N4"/>
    <mergeCell ref="B5:C5"/>
    <mergeCell ref="D5:E5"/>
    <mergeCell ref="F5:G5"/>
    <mergeCell ref="H5:I5"/>
    <mergeCell ref="J5:K5"/>
    <mergeCell ref="B21:N21"/>
    <mergeCell ref="A7:D7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</mergeCells>
  <dataValidations count="1">
    <dataValidation type="list" allowBlank="1" showErrorMessage="1" sqref="A9:D9 A12" xr:uid="{00000000-0002-0000-0200-000000000000}">
      <formula1>$R$1:$R$2</formula1>
      <formula2>0</formula2>
    </dataValidation>
  </dataValidations>
  <pageMargins left="0.2902777777777778" right="0.2902777777777778" top="0.39027777777777778" bottom="0.27013888888888887" header="0.51180555555555551" footer="0.51180555555555551"/>
  <pageSetup paperSize="9" firstPageNumber="0" orientation="portrait" horizontalDpi="300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9E260ED-7903-44E6-89DE-24CBA04A5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A9:D9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69"/>
  <sheetViews>
    <sheetView tabSelected="1" zoomScale="70" zoomScaleNormal="70" zoomScaleSheetLayoutView="70" workbookViewId="0">
      <selection sqref="A1:P1"/>
    </sheetView>
  </sheetViews>
  <sheetFormatPr defaultColWidth="9.140625" defaultRowHeight="14.25" x14ac:dyDescent="0.2"/>
  <cols>
    <col min="1" max="1" width="16" style="1" bestFit="1" customWidth="1"/>
    <col min="2" max="2" width="10.28515625" style="1" customWidth="1"/>
    <col min="3" max="3" width="12.42578125" style="1" customWidth="1"/>
    <col min="4" max="4" width="11.85546875" style="1" customWidth="1"/>
    <col min="5" max="5" width="12" style="1" customWidth="1"/>
    <col min="6" max="6" width="11.5703125" style="1" bestFit="1" customWidth="1"/>
    <col min="7" max="7" width="13.42578125" style="1" customWidth="1"/>
    <col min="8" max="8" width="21.7109375" style="1" customWidth="1"/>
    <col min="9" max="9" width="10" style="1" bestFit="1" customWidth="1"/>
    <col min="10" max="10" width="15" style="1" bestFit="1" customWidth="1"/>
    <col min="11" max="11" width="12.28515625" style="1" bestFit="1" customWidth="1"/>
    <col min="12" max="12" width="15.7109375" style="1" bestFit="1" customWidth="1"/>
    <col min="13" max="13" width="6.7109375" style="1" customWidth="1"/>
    <col min="14" max="14" width="7.85546875" style="1" customWidth="1"/>
    <col min="15" max="15" width="7.28515625" style="1" customWidth="1"/>
    <col min="16" max="16" width="10.28515625" style="1" bestFit="1" customWidth="1"/>
    <col min="17" max="17" width="4.5703125" style="1" bestFit="1" customWidth="1"/>
    <col min="18" max="16384" width="9.140625" style="1"/>
  </cols>
  <sheetData>
    <row r="1" spans="1:16" ht="30" x14ac:dyDescent="0.2">
      <c r="A1" s="146" t="s">
        <v>0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</row>
    <row r="2" spans="1:16" ht="23.1" customHeight="1" x14ac:dyDescent="0.2">
      <c r="A2" s="147" t="s">
        <v>1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</row>
    <row r="3" spans="1:16" ht="23.1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ht="33" customHeight="1" x14ac:dyDescent="0.2">
      <c r="A4" s="88" t="s">
        <v>2</v>
      </c>
      <c r="B4" s="148" t="s">
        <v>3</v>
      </c>
      <c r="C4" s="148"/>
      <c r="D4" s="148" t="s">
        <v>4</v>
      </c>
      <c r="E4" s="148"/>
      <c r="F4" s="149" t="s">
        <v>5</v>
      </c>
      <c r="G4" s="149"/>
      <c r="H4" s="150" t="s">
        <v>6</v>
      </c>
      <c r="I4" s="151"/>
      <c r="J4" s="152"/>
      <c r="K4" s="148" t="s">
        <v>7</v>
      </c>
      <c r="L4" s="148"/>
      <c r="M4" s="148" t="s">
        <v>8</v>
      </c>
      <c r="N4" s="148"/>
      <c r="O4" s="148"/>
      <c r="P4" s="148"/>
    </row>
    <row r="5" spans="1:16" s="3" customFormat="1" ht="99.95" customHeight="1" x14ac:dyDescent="0.2">
      <c r="A5" s="76">
        <f>PR!A5</f>
        <v>45420</v>
      </c>
      <c r="B5" s="154" t="str">
        <f>PR!B5</f>
        <v>KCIC</v>
      </c>
      <c r="C5" s="154"/>
      <c r="D5" s="155"/>
      <c r="E5" s="155"/>
      <c r="F5" s="155"/>
      <c r="G5" s="155"/>
      <c r="H5" s="156" t="str">
        <f>PR!H5</f>
        <v>Kemeja Long Sleeve Shirt Pria
(Dengan skoder bahu skoder tangan)</v>
      </c>
      <c r="I5" s="158"/>
      <c r="J5" s="157"/>
      <c r="K5" s="156" t="str">
        <f>PR!J5</f>
        <v>PDL Pria</v>
      </c>
      <c r="L5" s="157"/>
      <c r="M5" s="153"/>
      <c r="N5" s="153"/>
      <c r="O5" s="153"/>
      <c r="P5" s="153"/>
    </row>
    <row r="6" spans="1:16" ht="20.85" customHeight="1" thickBot="1" x14ac:dyDescent="0.3">
      <c r="A6" s="4"/>
      <c r="B6" s="4"/>
      <c r="C6" s="4"/>
      <c r="D6" s="4"/>
      <c r="E6" s="4"/>
      <c r="F6" s="4"/>
      <c r="G6" s="5"/>
      <c r="H6" s="5"/>
      <c r="I6" s="5"/>
      <c r="J6" s="5"/>
      <c r="K6" s="5"/>
      <c r="L6" s="5"/>
      <c r="M6" s="5"/>
      <c r="N6" s="5"/>
      <c r="O6" s="5"/>
      <c r="P6" s="4"/>
    </row>
    <row r="7" spans="1:16" ht="20.85" customHeight="1" thickBot="1" x14ac:dyDescent="0.25">
      <c r="A7" s="6" t="s">
        <v>9</v>
      </c>
      <c r="B7" s="77" t="s">
        <v>42</v>
      </c>
      <c r="C7" s="77" t="s">
        <v>43</v>
      </c>
      <c r="D7" s="77" t="s">
        <v>44</v>
      </c>
      <c r="E7" s="77" t="s">
        <v>45</v>
      </c>
      <c r="F7" s="77" t="s">
        <v>46</v>
      </c>
      <c r="G7" s="78" t="s">
        <v>47</v>
      </c>
      <c r="H7" s="78" t="s">
        <v>48</v>
      </c>
      <c r="I7" s="78" t="s">
        <v>49</v>
      </c>
      <c r="J7" s="78" t="s">
        <v>50</v>
      </c>
      <c r="K7" s="78" t="s">
        <v>51</v>
      </c>
      <c r="L7" s="7"/>
      <c r="M7" s="7"/>
      <c r="N7" s="7"/>
      <c r="O7" s="7"/>
      <c r="P7" s="8" t="s">
        <v>10</v>
      </c>
    </row>
    <row r="8" spans="1:16" ht="20.85" customHeight="1" thickTop="1" thickBot="1" x14ac:dyDescent="0.25">
      <c r="A8" s="9" t="s">
        <v>11</v>
      </c>
      <c r="B8" s="54">
        <v>1</v>
      </c>
      <c r="C8" s="54">
        <v>1</v>
      </c>
      <c r="D8" s="54">
        <v>1</v>
      </c>
      <c r="E8" s="54">
        <v>1</v>
      </c>
      <c r="F8" s="54">
        <v>1</v>
      </c>
      <c r="G8" s="10">
        <v>1</v>
      </c>
      <c r="H8" s="10">
        <v>1</v>
      </c>
      <c r="I8" s="10">
        <v>1</v>
      </c>
      <c r="J8" s="10">
        <v>1</v>
      </c>
      <c r="K8" s="10">
        <v>1</v>
      </c>
      <c r="L8" s="10"/>
      <c r="M8" s="10"/>
      <c r="N8" s="10"/>
      <c r="O8" s="10"/>
      <c r="P8" s="10">
        <f>SUM(B8:M8)</f>
        <v>10</v>
      </c>
    </row>
    <row r="9" spans="1:16" ht="20.85" customHeight="1" thickBot="1" x14ac:dyDescent="0.25">
      <c r="A9" s="6" t="s">
        <v>9</v>
      </c>
      <c r="B9" s="63"/>
      <c r="C9" s="63"/>
      <c r="D9" s="63"/>
      <c r="E9" s="63"/>
      <c r="F9" s="63"/>
      <c r="G9" s="64"/>
      <c r="H9" s="7"/>
      <c r="I9" s="7"/>
      <c r="J9" s="7"/>
      <c r="K9" s="7"/>
      <c r="L9" s="7"/>
      <c r="M9" s="7"/>
      <c r="N9" s="7"/>
      <c r="O9" s="7"/>
      <c r="P9" s="8" t="s">
        <v>10</v>
      </c>
    </row>
    <row r="10" spans="1:16" ht="20.85" customHeight="1" thickTop="1" thickBot="1" x14ac:dyDescent="0.25">
      <c r="A10" s="9" t="s">
        <v>11</v>
      </c>
      <c r="B10" s="65"/>
      <c r="C10" s="65"/>
      <c r="D10" s="65"/>
      <c r="E10" s="65"/>
      <c r="F10" s="65"/>
      <c r="G10" s="66"/>
      <c r="H10" s="10"/>
      <c r="I10" s="10"/>
      <c r="J10" s="10"/>
      <c r="K10" s="10"/>
      <c r="L10" s="10"/>
      <c r="M10" s="10"/>
      <c r="N10" s="10"/>
      <c r="O10" s="10"/>
      <c r="P10" s="10">
        <f>SUM(B10:M10)</f>
        <v>0</v>
      </c>
    </row>
    <row r="11" spans="1:16" ht="20.85" customHeight="1" thickBot="1" x14ac:dyDescent="0.25">
      <c r="A11" s="6" t="s">
        <v>9</v>
      </c>
      <c r="B11" s="64"/>
      <c r="C11" s="63"/>
      <c r="D11" s="63"/>
      <c r="E11" s="63"/>
      <c r="F11" s="63"/>
      <c r="G11" s="63"/>
      <c r="H11" s="7"/>
      <c r="I11" s="7"/>
      <c r="J11" s="7"/>
      <c r="K11" s="7"/>
      <c r="L11" s="7"/>
      <c r="M11" s="7"/>
      <c r="N11" s="7"/>
      <c r="O11" s="7"/>
      <c r="P11" s="8" t="s">
        <v>10</v>
      </c>
    </row>
    <row r="12" spans="1:16" ht="20.85" customHeight="1" thickTop="1" thickBot="1" x14ac:dyDescent="0.25">
      <c r="A12" s="9" t="s">
        <v>11</v>
      </c>
      <c r="B12" s="65"/>
      <c r="C12" s="65"/>
      <c r="D12" s="65"/>
      <c r="E12" s="65"/>
      <c r="F12" s="65"/>
      <c r="G12" s="65"/>
      <c r="H12" s="10"/>
      <c r="I12" s="10"/>
      <c r="J12" s="10"/>
      <c r="K12" s="10"/>
      <c r="L12" s="10"/>
      <c r="M12" s="10"/>
      <c r="N12" s="10"/>
      <c r="O12" s="10"/>
      <c r="P12" s="10">
        <f>SUM(B12:M12)</f>
        <v>0</v>
      </c>
    </row>
    <row r="13" spans="1:16" ht="20.85" customHeight="1" thickBot="1" x14ac:dyDescent="0.25">
      <c r="A13" s="6" t="s">
        <v>9</v>
      </c>
      <c r="B13" s="63"/>
      <c r="C13" s="63"/>
      <c r="D13" s="63"/>
      <c r="E13" s="63"/>
      <c r="F13" s="64"/>
      <c r="G13" s="64"/>
      <c r="H13" s="7"/>
      <c r="I13" s="7"/>
      <c r="J13" s="7"/>
      <c r="K13" s="7"/>
      <c r="L13" s="7"/>
      <c r="M13" s="7"/>
      <c r="N13" s="7"/>
      <c r="O13" s="7"/>
      <c r="P13" s="8" t="s">
        <v>10</v>
      </c>
    </row>
    <row r="14" spans="1:16" ht="20.85" customHeight="1" thickTop="1" thickBot="1" x14ac:dyDescent="0.25">
      <c r="A14" s="9" t="s">
        <v>11</v>
      </c>
      <c r="B14" s="65"/>
      <c r="C14" s="65"/>
      <c r="D14" s="65"/>
      <c r="E14" s="65"/>
      <c r="F14" s="66"/>
      <c r="G14" s="66"/>
      <c r="H14" s="10"/>
      <c r="I14" s="10"/>
      <c r="J14" s="10"/>
      <c r="K14" s="10"/>
      <c r="L14" s="10"/>
      <c r="M14" s="10"/>
      <c r="N14" s="10"/>
      <c r="O14" s="10"/>
      <c r="P14" s="10">
        <f>SUM(B14:M14)</f>
        <v>0</v>
      </c>
    </row>
    <row r="15" spans="1:16" ht="20.85" customHeight="1" thickBot="1" x14ac:dyDescent="0.25">
      <c r="A15" s="6" t="s">
        <v>9</v>
      </c>
      <c r="B15" s="7"/>
      <c r="C15" s="7"/>
      <c r="D15" s="7"/>
      <c r="E15" s="60"/>
      <c r="F15" s="53"/>
      <c r="G15" s="7"/>
      <c r="H15" s="7"/>
      <c r="I15" s="7"/>
      <c r="J15" s="7"/>
      <c r="K15" s="7"/>
      <c r="L15" s="7"/>
      <c r="M15" s="7"/>
      <c r="N15" s="7"/>
      <c r="O15" s="7"/>
      <c r="P15" s="8" t="s">
        <v>10</v>
      </c>
    </row>
    <row r="16" spans="1:16" ht="20.85" customHeight="1" thickTop="1" thickBot="1" x14ac:dyDescent="0.25">
      <c r="A16" s="9" t="s">
        <v>11</v>
      </c>
      <c r="B16" s="10"/>
      <c r="C16" s="10"/>
      <c r="D16" s="10"/>
      <c r="E16" s="61"/>
      <c r="F16" s="54"/>
      <c r="G16" s="10"/>
      <c r="H16" s="10"/>
      <c r="I16" s="10"/>
      <c r="J16" s="10"/>
      <c r="K16" s="10"/>
      <c r="L16" s="10"/>
      <c r="M16" s="10"/>
      <c r="N16" s="10"/>
      <c r="O16" s="10"/>
      <c r="P16" s="10">
        <f>SUM(B16:M16)</f>
        <v>0</v>
      </c>
    </row>
    <row r="17" spans="1:17" ht="20.85" customHeight="1" thickBot="1" x14ac:dyDescent="0.25">
      <c r="A17" s="6" t="s">
        <v>9</v>
      </c>
      <c r="B17" s="7"/>
      <c r="C17" s="7"/>
      <c r="D17" s="7"/>
      <c r="E17" s="60"/>
      <c r="F17" s="7"/>
      <c r="G17" s="7"/>
      <c r="H17" s="7"/>
      <c r="I17" s="7"/>
      <c r="J17" s="7"/>
      <c r="K17" s="7"/>
      <c r="L17" s="7"/>
      <c r="M17" s="7"/>
      <c r="N17" s="7"/>
      <c r="O17" s="7"/>
      <c r="P17" s="8" t="s">
        <v>10</v>
      </c>
    </row>
    <row r="18" spans="1:17" ht="20.85" customHeight="1" thickTop="1" thickBot="1" x14ac:dyDescent="0.25">
      <c r="A18" s="9" t="s">
        <v>11</v>
      </c>
      <c r="B18" s="10"/>
      <c r="C18" s="10"/>
      <c r="D18" s="10"/>
      <c r="E18" s="61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>
        <f>SUM(B18:M18)</f>
        <v>0</v>
      </c>
    </row>
    <row r="19" spans="1:17" ht="20.85" customHeight="1" thickBot="1" x14ac:dyDescent="0.25">
      <c r="A19" s="6" t="s">
        <v>9</v>
      </c>
      <c r="B19" s="53"/>
      <c r="C19" s="53"/>
      <c r="D19" s="53"/>
      <c r="E19" s="53"/>
      <c r="F19" s="53"/>
      <c r="G19" s="7"/>
      <c r="H19" s="7"/>
      <c r="I19" s="7"/>
      <c r="J19" s="7"/>
      <c r="K19" s="7"/>
      <c r="L19" s="7"/>
      <c r="M19" s="7"/>
      <c r="N19" s="7"/>
      <c r="O19" s="7"/>
      <c r="P19" s="8" t="s">
        <v>10</v>
      </c>
    </row>
    <row r="20" spans="1:17" ht="20.85" customHeight="1" thickTop="1" thickBot="1" x14ac:dyDescent="0.25">
      <c r="A20" s="9" t="s">
        <v>11</v>
      </c>
      <c r="B20" s="54"/>
      <c r="C20" s="54"/>
      <c r="D20" s="54"/>
      <c r="E20" s="54"/>
      <c r="F20" s="54"/>
      <c r="G20" s="10"/>
      <c r="H20" s="10"/>
      <c r="I20" s="10"/>
      <c r="J20" s="10"/>
      <c r="K20" s="10"/>
      <c r="L20" s="10"/>
      <c r="M20" s="10"/>
      <c r="N20" s="10"/>
      <c r="O20" s="10"/>
      <c r="P20" s="10">
        <f>SUM(B20:M20)</f>
        <v>0</v>
      </c>
    </row>
    <row r="21" spans="1:17" ht="20.85" customHeight="1" thickBot="1" x14ac:dyDescent="0.25">
      <c r="A21" s="6" t="s">
        <v>9</v>
      </c>
      <c r="B21" s="7"/>
      <c r="C21" s="7"/>
      <c r="D21" s="7"/>
      <c r="E21" s="60"/>
      <c r="F21" s="53"/>
      <c r="G21" s="7"/>
      <c r="H21" s="7"/>
      <c r="I21" s="7"/>
      <c r="J21" s="7"/>
      <c r="K21" s="7"/>
      <c r="L21" s="7"/>
      <c r="M21" s="7"/>
      <c r="N21" s="7"/>
      <c r="O21" s="7"/>
      <c r="P21" s="8" t="s">
        <v>10</v>
      </c>
    </row>
    <row r="22" spans="1:17" ht="20.85" customHeight="1" thickTop="1" thickBot="1" x14ac:dyDescent="0.25">
      <c r="A22" s="9" t="s">
        <v>11</v>
      </c>
      <c r="B22" s="10"/>
      <c r="C22" s="10"/>
      <c r="D22" s="10"/>
      <c r="E22" s="61"/>
      <c r="F22" s="54"/>
      <c r="G22" s="10"/>
      <c r="H22" s="10"/>
      <c r="I22" s="10"/>
      <c r="J22" s="10"/>
      <c r="K22" s="10"/>
      <c r="L22" s="10"/>
      <c r="M22" s="10"/>
      <c r="N22" s="10"/>
      <c r="O22" s="10"/>
      <c r="P22" s="10">
        <f>SUM(B22:M22)</f>
        <v>0</v>
      </c>
    </row>
    <row r="23" spans="1:17" ht="20.85" customHeight="1" thickBot="1" x14ac:dyDescent="0.25">
      <c r="A23" s="6" t="s">
        <v>9</v>
      </c>
      <c r="B23" s="7"/>
      <c r="C23" s="7"/>
      <c r="D23" s="7"/>
      <c r="E23" s="60"/>
      <c r="F23" s="7"/>
      <c r="G23" s="7"/>
      <c r="H23" s="7"/>
      <c r="I23" s="7"/>
      <c r="J23" s="7"/>
      <c r="K23" s="7"/>
      <c r="L23" s="7"/>
      <c r="M23" s="7"/>
      <c r="N23" s="7"/>
      <c r="O23" s="7"/>
      <c r="P23" s="8" t="s">
        <v>10</v>
      </c>
    </row>
    <row r="24" spans="1:17" ht="20.85" customHeight="1" thickTop="1" thickBot="1" x14ac:dyDescent="0.25">
      <c r="A24" s="9" t="s">
        <v>11</v>
      </c>
      <c r="B24" s="10"/>
      <c r="C24" s="10"/>
      <c r="D24" s="10"/>
      <c r="E24" s="61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>
        <f>SUM(B24:M24)</f>
        <v>0</v>
      </c>
    </row>
    <row r="25" spans="1:17" ht="20.85" customHeight="1" thickBot="1" x14ac:dyDescent="0.25">
      <c r="A25" s="6" t="s">
        <v>9</v>
      </c>
      <c r="B25" s="53"/>
      <c r="C25" s="53"/>
      <c r="D25" s="53"/>
      <c r="E25" s="53"/>
      <c r="F25" s="53"/>
      <c r="G25" s="7"/>
      <c r="H25" s="7"/>
      <c r="I25" s="7"/>
      <c r="J25" s="7"/>
      <c r="K25" s="7"/>
      <c r="L25" s="7"/>
      <c r="M25" s="7"/>
      <c r="N25" s="7"/>
      <c r="O25" s="7"/>
      <c r="P25" s="8" t="s">
        <v>10</v>
      </c>
    </row>
    <row r="26" spans="1:17" ht="20.85" customHeight="1" thickTop="1" thickBot="1" x14ac:dyDescent="0.25">
      <c r="A26" s="9" t="s">
        <v>11</v>
      </c>
      <c r="B26" s="54"/>
      <c r="C26" s="54"/>
      <c r="D26" s="54"/>
      <c r="E26" s="54"/>
      <c r="F26" s="54"/>
      <c r="G26" s="10"/>
      <c r="H26" s="10"/>
      <c r="I26" s="10"/>
      <c r="J26" s="10"/>
      <c r="K26" s="10"/>
      <c r="L26" s="10"/>
      <c r="M26" s="10"/>
      <c r="N26" s="10"/>
      <c r="O26" s="10"/>
      <c r="P26" s="10">
        <f>SUM(B26:M26)</f>
        <v>0</v>
      </c>
    </row>
    <row r="27" spans="1:17" ht="20.85" customHeight="1" thickBot="1" x14ac:dyDescent="0.3">
      <c r="A27" s="4"/>
      <c r="B27" s="4"/>
      <c r="C27" s="4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4"/>
    </row>
    <row r="28" spans="1:17" ht="30" customHeight="1" thickBot="1" x14ac:dyDescent="0.25">
      <c r="A28" s="98" t="s">
        <v>2</v>
      </c>
      <c r="B28" s="95" t="s">
        <v>12</v>
      </c>
      <c r="C28" s="95"/>
      <c r="D28" s="95"/>
      <c r="E28" s="95"/>
      <c r="F28" s="100" t="s">
        <v>13</v>
      </c>
      <c r="G28" s="102" t="s">
        <v>9</v>
      </c>
      <c r="H28" s="104" t="s">
        <v>38</v>
      </c>
      <c r="I28" s="92" t="s">
        <v>37</v>
      </c>
      <c r="J28" s="92"/>
      <c r="K28" s="92"/>
      <c r="L28" s="100" t="s">
        <v>15</v>
      </c>
      <c r="M28" s="159" t="s">
        <v>16</v>
      </c>
      <c r="N28" s="159"/>
      <c r="O28" s="159"/>
      <c r="P28" s="159"/>
    </row>
    <row r="29" spans="1:17" ht="30" customHeight="1" thickTop="1" x14ac:dyDescent="0.2">
      <c r="A29" s="99"/>
      <c r="B29" s="96"/>
      <c r="C29" s="96"/>
      <c r="D29" s="96"/>
      <c r="E29" s="96"/>
      <c r="F29" s="101"/>
      <c r="G29" s="103"/>
      <c r="H29" s="105"/>
      <c r="I29" s="20" t="s">
        <v>17</v>
      </c>
      <c r="J29" s="21" t="s">
        <v>18</v>
      </c>
      <c r="K29" s="20" t="s">
        <v>19</v>
      </c>
      <c r="L29" s="101"/>
      <c r="M29" s="160"/>
      <c r="N29" s="160"/>
      <c r="O29" s="160"/>
      <c r="P29" s="160"/>
    </row>
    <row r="30" spans="1:17" ht="27" customHeight="1" x14ac:dyDescent="0.25">
      <c r="A30" s="79">
        <f>PR!$A$5</f>
        <v>45420</v>
      </c>
      <c r="B30" s="139" t="s">
        <v>52</v>
      </c>
      <c r="C30" s="140"/>
      <c r="D30" s="140"/>
      <c r="E30" s="141"/>
      <c r="F30" s="80" t="s">
        <v>57</v>
      </c>
      <c r="G30" s="69" t="s">
        <v>61</v>
      </c>
      <c r="H30" s="85" t="s">
        <v>63</v>
      </c>
      <c r="I30" s="73">
        <v>4</v>
      </c>
      <c r="J30" s="73" t="e">
        <f>#REF!</f>
        <v>#REF!</v>
      </c>
      <c r="K30" s="75">
        <v>90.24</v>
      </c>
      <c r="L30" s="62" t="e">
        <f>#REF!</f>
        <v>#REF!</v>
      </c>
      <c r="M30" s="136"/>
      <c r="N30" s="136"/>
      <c r="O30" s="136"/>
      <c r="P30" s="136"/>
      <c r="Q30" s="33" t="s">
        <v>72</v>
      </c>
    </row>
    <row r="31" spans="1:17" ht="27" customHeight="1" x14ac:dyDescent="0.25">
      <c r="A31" s="81"/>
      <c r="B31" s="132"/>
      <c r="C31" s="132"/>
      <c r="D31" s="132"/>
      <c r="E31" s="132"/>
      <c r="F31" s="50"/>
      <c r="G31" s="26"/>
      <c r="H31" s="85" t="s">
        <v>62</v>
      </c>
      <c r="I31" s="73"/>
      <c r="J31" s="26"/>
      <c r="K31" s="51"/>
      <c r="L31" s="62"/>
      <c r="M31" s="136"/>
      <c r="N31" s="136"/>
      <c r="O31" s="136"/>
      <c r="P31" s="136"/>
      <c r="Q31" s="33"/>
    </row>
    <row r="32" spans="1:17" ht="27" customHeight="1" x14ac:dyDescent="0.25">
      <c r="A32" s="81"/>
      <c r="B32" s="139" t="s">
        <v>52</v>
      </c>
      <c r="C32" s="140"/>
      <c r="D32" s="140"/>
      <c r="E32" s="141"/>
      <c r="F32" s="80" t="s">
        <v>57</v>
      </c>
      <c r="G32" s="69" t="s">
        <v>61</v>
      </c>
      <c r="H32" s="85" t="s">
        <v>65</v>
      </c>
      <c r="I32" s="73">
        <v>3</v>
      </c>
      <c r="J32" s="26" t="e">
        <f>#REF!</f>
        <v>#REF!</v>
      </c>
      <c r="K32" s="51">
        <v>90.14</v>
      </c>
      <c r="L32" s="62" t="e">
        <f>#REF!</f>
        <v>#REF!</v>
      </c>
      <c r="M32" s="136"/>
      <c r="N32" s="136"/>
      <c r="O32" s="136"/>
      <c r="P32" s="136"/>
      <c r="Q32" s="33" t="s">
        <v>73</v>
      </c>
    </row>
    <row r="33" spans="1:17" ht="27" customHeight="1" x14ac:dyDescent="0.25">
      <c r="A33" s="81"/>
      <c r="B33" s="132"/>
      <c r="C33" s="132"/>
      <c r="D33" s="132"/>
      <c r="E33" s="132"/>
      <c r="F33" s="50"/>
      <c r="G33" s="26"/>
      <c r="H33" s="85" t="s">
        <v>64</v>
      </c>
      <c r="I33" s="73"/>
      <c r="J33" s="26"/>
      <c r="K33" s="51"/>
      <c r="L33" s="62"/>
      <c r="M33" s="136"/>
      <c r="N33" s="136"/>
      <c r="O33" s="136"/>
      <c r="P33" s="136"/>
      <c r="Q33" s="33"/>
    </row>
    <row r="34" spans="1:17" ht="27" customHeight="1" x14ac:dyDescent="0.25">
      <c r="A34" s="81"/>
      <c r="B34" s="139" t="s">
        <v>52</v>
      </c>
      <c r="C34" s="140"/>
      <c r="D34" s="140"/>
      <c r="E34" s="141"/>
      <c r="F34" s="80" t="s">
        <v>57</v>
      </c>
      <c r="G34" s="69" t="s">
        <v>61</v>
      </c>
      <c r="H34" s="85" t="s">
        <v>67</v>
      </c>
      <c r="I34" s="73">
        <v>3</v>
      </c>
      <c r="J34" s="26" t="e">
        <f>#REF!</f>
        <v>#REF!</v>
      </c>
      <c r="K34" s="51">
        <v>90.88</v>
      </c>
      <c r="L34" s="62" t="e">
        <f>#REF!</f>
        <v>#REF!</v>
      </c>
      <c r="M34" s="136"/>
      <c r="N34" s="136"/>
      <c r="O34" s="136"/>
      <c r="P34" s="136"/>
      <c r="Q34" s="33" t="s">
        <v>74</v>
      </c>
    </row>
    <row r="35" spans="1:17" ht="27" customHeight="1" x14ac:dyDescent="0.25">
      <c r="A35" s="81"/>
      <c r="B35" s="132"/>
      <c r="C35" s="132"/>
      <c r="D35" s="132"/>
      <c r="E35" s="132"/>
      <c r="F35" s="50"/>
      <c r="G35" s="26"/>
      <c r="H35" s="85" t="s">
        <v>66</v>
      </c>
      <c r="I35" s="73"/>
      <c r="J35" s="26"/>
      <c r="K35" s="51"/>
      <c r="L35" s="62"/>
      <c r="M35" s="136"/>
      <c r="N35" s="136"/>
      <c r="O35" s="136"/>
      <c r="P35" s="136"/>
      <c r="Q35" s="33"/>
    </row>
    <row r="36" spans="1:17" ht="27" customHeight="1" x14ac:dyDescent="0.25">
      <c r="A36" s="81"/>
      <c r="B36" s="132"/>
      <c r="C36" s="132"/>
      <c r="D36" s="132"/>
      <c r="E36" s="132"/>
      <c r="F36" s="50"/>
      <c r="G36" s="26"/>
      <c r="H36" s="25"/>
      <c r="I36" s="73"/>
      <c r="J36" s="26"/>
      <c r="K36" s="51"/>
      <c r="L36" s="62"/>
      <c r="M36" s="136"/>
      <c r="N36" s="136"/>
      <c r="O36" s="136"/>
      <c r="P36" s="136"/>
      <c r="Q36" s="33"/>
    </row>
    <row r="37" spans="1:17" ht="27" customHeight="1" x14ac:dyDescent="0.25">
      <c r="A37" s="79">
        <f>PR!$A$5</f>
        <v>45420</v>
      </c>
      <c r="B37" s="139" t="s">
        <v>53</v>
      </c>
      <c r="C37" s="140"/>
      <c r="D37" s="140"/>
      <c r="E37" s="141"/>
      <c r="F37" s="80" t="s">
        <v>57</v>
      </c>
      <c r="G37" s="69" t="s">
        <v>61</v>
      </c>
      <c r="H37" s="85" t="s">
        <v>69</v>
      </c>
      <c r="I37" s="73">
        <v>1</v>
      </c>
      <c r="J37" s="73" t="e">
        <f>#REF!</f>
        <v>#REF!</v>
      </c>
      <c r="K37" s="75">
        <v>90.64</v>
      </c>
      <c r="L37" s="62" t="e">
        <f>#REF!</f>
        <v>#REF!</v>
      </c>
      <c r="M37" s="136" t="s">
        <v>54</v>
      </c>
      <c r="N37" s="136"/>
      <c r="O37" s="136"/>
      <c r="P37" s="136"/>
      <c r="Q37" s="33" t="s">
        <v>75</v>
      </c>
    </row>
    <row r="38" spans="1:17" ht="27" customHeight="1" x14ac:dyDescent="0.25">
      <c r="A38" s="81"/>
      <c r="B38" s="132"/>
      <c r="C38" s="132"/>
      <c r="D38" s="132"/>
      <c r="E38" s="132"/>
      <c r="F38" s="50"/>
      <c r="G38" s="26"/>
      <c r="H38" s="85" t="s">
        <v>68</v>
      </c>
      <c r="I38" s="73"/>
      <c r="J38" s="73"/>
      <c r="K38" s="75"/>
      <c r="L38" s="62"/>
      <c r="M38" s="136"/>
      <c r="N38" s="136"/>
      <c r="O38" s="136"/>
      <c r="P38" s="136"/>
      <c r="Q38" s="33"/>
    </row>
    <row r="39" spans="1:17" ht="27" customHeight="1" x14ac:dyDescent="0.25">
      <c r="A39" s="79">
        <f>PR!$A$5</f>
        <v>45420</v>
      </c>
      <c r="B39" s="139" t="s">
        <v>55</v>
      </c>
      <c r="C39" s="140"/>
      <c r="D39" s="140"/>
      <c r="E39" s="141"/>
      <c r="F39" s="80" t="s">
        <v>58</v>
      </c>
      <c r="G39" s="69" t="s">
        <v>61</v>
      </c>
      <c r="H39" s="85" t="s">
        <v>71</v>
      </c>
      <c r="I39" s="73">
        <v>1</v>
      </c>
      <c r="J39" s="73" t="e">
        <f>#REF!</f>
        <v>#REF!</v>
      </c>
      <c r="K39" s="83">
        <v>89.84</v>
      </c>
      <c r="L39" s="84" t="e">
        <f>#REF!</f>
        <v>#REF!</v>
      </c>
      <c r="M39" s="136"/>
      <c r="N39" s="136"/>
      <c r="O39" s="136"/>
      <c r="P39" s="136"/>
      <c r="Q39" s="33" t="s">
        <v>76</v>
      </c>
    </row>
    <row r="40" spans="1:17" ht="27" customHeight="1" x14ac:dyDescent="0.25">
      <c r="A40" s="76"/>
      <c r="B40" s="143"/>
      <c r="C40" s="144"/>
      <c r="D40" s="144"/>
      <c r="E40" s="145"/>
      <c r="F40" s="50"/>
      <c r="G40" s="82"/>
      <c r="H40" s="85" t="s">
        <v>70</v>
      </c>
      <c r="I40" s="62"/>
      <c r="J40" s="26"/>
      <c r="K40" s="83"/>
      <c r="L40" s="87"/>
      <c r="M40" s="136"/>
      <c r="N40" s="136"/>
      <c r="O40" s="136"/>
      <c r="P40" s="136"/>
      <c r="Q40" s="33"/>
    </row>
    <row r="41" spans="1:17" ht="27" customHeight="1" x14ac:dyDescent="0.25">
      <c r="A41" s="79">
        <f>PR!$A$5</f>
        <v>45420</v>
      </c>
      <c r="B41" s="137" t="s">
        <v>56</v>
      </c>
      <c r="C41" s="137"/>
      <c r="D41" s="137"/>
      <c r="E41" s="137"/>
      <c r="F41" s="68" t="s">
        <v>59</v>
      </c>
      <c r="G41" s="69"/>
      <c r="H41" s="71"/>
      <c r="I41" s="62"/>
      <c r="J41" s="26"/>
      <c r="K41" s="75"/>
      <c r="L41" s="87"/>
      <c r="M41" s="136"/>
      <c r="N41" s="136"/>
      <c r="O41" s="136"/>
      <c r="P41" s="136"/>
      <c r="Q41" s="33"/>
    </row>
    <row r="42" spans="1:17" ht="27" customHeight="1" x14ac:dyDescent="0.3">
      <c r="A42" s="72"/>
      <c r="B42" s="142"/>
      <c r="C42" s="142"/>
      <c r="D42" s="142"/>
      <c r="E42" s="142"/>
      <c r="F42" s="70"/>
      <c r="G42" s="73"/>
      <c r="H42" s="85"/>
      <c r="I42" s="62"/>
      <c r="J42" s="26"/>
      <c r="K42" s="75"/>
      <c r="L42" s="26"/>
      <c r="M42" s="131"/>
      <c r="N42" s="131"/>
      <c r="O42" s="131"/>
      <c r="P42" s="131"/>
      <c r="Q42" s="33"/>
    </row>
    <row r="43" spans="1:17" ht="27" customHeight="1" x14ac:dyDescent="0.25">
      <c r="A43" s="79">
        <f>PR!$A$5</f>
        <v>45420</v>
      </c>
      <c r="B43" s="137" t="s">
        <v>56</v>
      </c>
      <c r="C43" s="137"/>
      <c r="D43" s="137"/>
      <c r="E43" s="137"/>
      <c r="F43" s="68" t="s">
        <v>60</v>
      </c>
      <c r="G43" s="69"/>
      <c r="H43" s="71"/>
      <c r="I43" s="62"/>
      <c r="J43" s="26"/>
      <c r="K43" s="75"/>
      <c r="L43" s="26"/>
      <c r="M43" s="138"/>
      <c r="N43" s="138"/>
      <c r="O43" s="138"/>
      <c r="P43" s="138"/>
      <c r="Q43" s="33"/>
    </row>
    <row r="44" spans="1:17" ht="27" customHeight="1" x14ac:dyDescent="0.3">
      <c r="A44" s="67"/>
      <c r="B44" s="137"/>
      <c r="C44" s="137"/>
      <c r="D44" s="137"/>
      <c r="E44" s="137"/>
      <c r="F44" s="68"/>
      <c r="G44" s="73"/>
      <c r="H44" s="73"/>
      <c r="I44" s="62"/>
      <c r="J44" s="26"/>
      <c r="K44" s="75"/>
      <c r="L44" s="58"/>
      <c r="M44" s="138"/>
      <c r="N44" s="138"/>
      <c r="O44" s="138"/>
      <c r="P44" s="138"/>
      <c r="Q44" s="33"/>
    </row>
    <row r="45" spans="1:17" ht="27" customHeight="1" x14ac:dyDescent="0.3">
      <c r="A45" s="67"/>
      <c r="B45" s="137"/>
      <c r="C45" s="137"/>
      <c r="D45" s="137"/>
      <c r="E45" s="137"/>
      <c r="F45" s="68"/>
      <c r="G45" s="69"/>
      <c r="H45" s="71"/>
      <c r="I45" s="62"/>
      <c r="J45" s="26"/>
      <c r="K45" s="75"/>
      <c r="L45" s="26"/>
      <c r="M45" s="131"/>
      <c r="N45" s="131"/>
      <c r="O45" s="131"/>
      <c r="P45" s="131"/>
      <c r="Q45" s="33"/>
    </row>
    <row r="46" spans="1:17" ht="27" customHeight="1" x14ac:dyDescent="0.3">
      <c r="A46" s="67"/>
      <c r="B46" s="137"/>
      <c r="C46" s="137"/>
      <c r="D46" s="137"/>
      <c r="E46" s="137"/>
      <c r="F46" s="68"/>
      <c r="G46" s="73"/>
      <c r="H46" s="73"/>
      <c r="I46" s="62"/>
      <c r="J46" s="26"/>
      <c r="K46" s="75"/>
      <c r="L46" s="26"/>
      <c r="M46" s="131"/>
      <c r="N46" s="131"/>
      <c r="O46" s="131"/>
      <c r="P46" s="131"/>
      <c r="Q46" s="33"/>
    </row>
    <row r="47" spans="1:17" ht="27" customHeight="1" x14ac:dyDescent="0.3">
      <c r="A47" s="67"/>
      <c r="B47" s="137"/>
      <c r="C47" s="137"/>
      <c r="D47" s="137"/>
      <c r="E47" s="137"/>
      <c r="F47" s="68"/>
      <c r="G47" s="73"/>
      <c r="H47" s="71"/>
      <c r="I47" s="62"/>
      <c r="J47" s="86"/>
      <c r="K47" s="75"/>
      <c r="L47" s="58"/>
      <c r="M47" s="131"/>
      <c r="N47" s="131"/>
      <c r="O47" s="131"/>
      <c r="P47" s="131"/>
      <c r="Q47" s="33"/>
    </row>
    <row r="48" spans="1:17" ht="27" customHeight="1" x14ac:dyDescent="0.3">
      <c r="A48" s="67"/>
      <c r="B48" s="137"/>
      <c r="C48" s="137"/>
      <c r="D48" s="137"/>
      <c r="E48" s="137"/>
      <c r="F48" s="68"/>
      <c r="G48" s="73"/>
      <c r="H48" s="73"/>
      <c r="I48" s="62"/>
      <c r="J48" s="58"/>
      <c r="K48" s="75"/>
      <c r="L48" s="59"/>
      <c r="M48" s="133"/>
      <c r="N48" s="134"/>
      <c r="O48" s="134"/>
      <c r="P48" s="135"/>
      <c r="Q48" s="33"/>
    </row>
    <row r="49" spans="1:17" ht="27" customHeight="1" x14ac:dyDescent="0.3">
      <c r="A49" s="67"/>
      <c r="B49" s="137"/>
      <c r="C49" s="137"/>
      <c r="D49" s="137"/>
      <c r="E49" s="137"/>
      <c r="F49" s="68"/>
      <c r="G49" s="69"/>
      <c r="H49" s="70"/>
      <c r="I49" s="62"/>
      <c r="J49" s="26"/>
      <c r="K49" s="75"/>
      <c r="L49" s="87"/>
      <c r="M49" s="131"/>
      <c r="N49" s="131"/>
      <c r="O49" s="131"/>
      <c r="P49" s="131"/>
      <c r="Q49" s="33"/>
    </row>
    <row r="50" spans="1:17" ht="27" customHeight="1" x14ac:dyDescent="0.25">
      <c r="A50" s="74"/>
      <c r="B50" s="137"/>
      <c r="C50" s="137"/>
      <c r="D50" s="137"/>
      <c r="E50" s="137"/>
      <c r="F50" s="68"/>
      <c r="G50" s="73"/>
      <c r="H50" s="73"/>
      <c r="I50" s="26"/>
      <c r="J50" s="26"/>
      <c r="K50" s="51"/>
      <c r="L50" s="87"/>
      <c r="M50" s="131"/>
      <c r="N50" s="131"/>
      <c r="O50" s="131"/>
      <c r="P50" s="131"/>
      <c r="Q50" s="33"/>
    </row>
    <row r="51" spans="1:17" ht="27" customHeight="1" x14ac:dyDescent="0.25">
      <c r="A51" s="27"/>
      <c r="B51" s="128"/>
      <c r="C51" s="129"/>
      <c r="D51" s="129"/>
      <c r="E51" s="130"/>
      <c r="F51" s="50"/>
      <c r="G51" s="26"/>
      <c r="H51" s="87"/>
      <c r="I51" s="26"/>
      <c r="J51" s="26"/>
      <c r="K51" s="51"/>
      <c r="L51" s="87"/>
      <c r="M51" s="131"/>
      <c r="N51" s="131"/>
      <c r="O51" s="131"/>
      <c r="P51" s="131"/>
      <c r="Q51" s="33"/>
    </row>
    <row r="52" spans="1:17" ht="27" customHeight="1" x14ac:dyDescent="0.25">
      <c r="A52" s="27"/>
      <c r="B52" s="128"/>
      <c r="C52" s="129"/>
      <c r="D52" s="129"/>
      <c r="E52" s="130"/>
      <c r="F52" s="26"/>
      <c r="G52" s="26"/>
      <c r="H52" s="26"/>
      <c r="I52" s="26"/>
      <c r="J52" s="26"/>
      <c r="K52" s="51"/>
      <c r="L52" s="87"/>
      <c r="M52" s="131"/>
      <c r="N52" s="131"/>
      <c r="O52" s="131"/>
      <c r="P52" s="131"/>
      <c r="Q52" s="33"/>
    </row>
    <row r="53" spans="1:17" ht="27" customHeight="1" x14ac:dyDescent="0.25">
      <c r="A53" s="27"/>
      <c r="B53" s="128"/>
      <c r="C53" s="129"/>
      <c r="D53" s="129"/>
      <c r="E53" s="130"/>
      <c r="F53" s="50"/>
      <c r="G53" s="26"/>
      <c r="H53" s="57"/>
      <c r="I53" s="26"/>
      <c r="J53" s="26"/>
      <c r="K53" s="51"/>
      <c r="L53" s="87"/>
      <c r="M53" s="131"/>
      <c r="N53" s="131"/>
      <c r="O53" s="131"/>
      <c r="P53" s="131"/>
      <c r="Q53" s="33"/>
    </row>
    <row r="54" spans="1:17" ht="27" customHeight="1" x14ac:dyDescent="0.25">
      <c r="A54" s="27"/>
      <c r="B54" s="94"/>
      <c r="C54" s="94"/>
      <c r="D54" s="94"/>
      <c r="E54" s="94"/>
      <c r="F54" s="87"/>
      <c r="G54" s="25"/>
      <c r="H54" s="26"/>
      <c r="I54" s="26"/>
      <c r="J54" s="87"/>
      <c r="K54" s="51"/>
      <c r="L54" s="26"/>
      <c r="M54" s="131"/>
      <c r="N54" s="131"/>
      <c r="O54" s="131"/>
      <c r="P54" s="131"/>
      <c r="Q54" s="33"/>
    </row>
    <row r="55" spans="1:17" ht="27" customHeight="1" x14ac:dyDescent="0.25">
      <c r="A55" s="27"/>
      <c r="B55" s="94"/>
      <c r="C55" s="94"/>
      <c r="D55" s="94"/>
      <c r="E55" s="94"/>
      <c r="F55" s="26"/>
      <c r="G55" s="26"/>
      <c r="H55" s="25"/>
      <c r="I55" s="26"/>
      <c r="J55" s="26"/>
      <c r="K55" s="51"/>
      <c r="L55" s="26"/>
      <c r="M55" s="131"/>
      <c r="N55" s="131"/>
      <c r="O55" s="131"/>
      <c r="P55" s="131"/>
      <c r="Q55" s="33"/>
    </row>
    <row r="56" spans="1:17" ht="27" customHeight="1" x14ac:dyDescent="0.25">
      <c r="A56" s="27"/>
      <c r="B56" s="132"/>
      <c r="C56" s="132"/>
      <c r="D56" s="132"/>
      <c r="E56" s="132"/>
      <c r="F56" s="50"/>
      <c r="G56" s="26"/>
      <c r="H56" s="25"/>
      <c r="I56" s="26"/>
      <c r="J56" s="26"/>
      <c r="K56" s="51"/>
      <c r="L56" s="26"/>
      <c r="M56" s="133"/>
      <c r="N56" s="134"/>
      <c r="O56" s="134"/>
      <c r="P56" s="135"/>
      <c r="Q56" s="33"/>
    </row>
    <row r="57" spans="1:17" ht="27" customHeight="1" x14ac:dyDescent="0.25">
      <c r="A57" s="27"/>
      <c r="B57" s="94"/>
      <c r="C57" s="94"/>
      <c r="D57" s="94"/>
      <c r="E57" s="94"/>
      <c r="F57" s="86"/>
      <c r="G57" s="26"/>
      <c r="H57" s="87"/>
      <c r="I57" s="26"/>
      <c r="J57" s="87"/>
      <c r="K57" s="51"/>
      <c r="L57" s="26"/>
      <c r="M57" s="131"/>
      <c r="N57" s="131"/>
      <c r="O57" s="131"/>
      <c r="P57" s="131"/>
      <c r="Q57" s="33"/>
    </row>
    <row r="58" spans="1:17" ht="27" customHeight="1" x14ac:dyDescent="0.25">
      <c r="A58" s="27"/>
      <c r="B58" s="128"/>
      <c r="C58" s="129"/>
      <c r="D58" s="129"/>
      <c r="E58" s="130"/>
      <c r="F58" s="50"/>
      <c r="G58" s="26"/>
      <c r="H58" s="25"/>
      <c r="I58" s="26"/>
      <c r="J58" s="26"/>
      <c r="K58" s="51"/>
      <c r="L58" s="26"/>
      <c r="M58" s="131"/>
      <c r="N58" s="131"/>
      <c r="O58" s="131"/>
      <c r="P58" s="131"/>
      <c r="Q58" s="33"/>
    </row>
    <row r="59" spans="1:17" ht="27" customHeight="1" x14ac:dyDescent="0.25">
      <c r="A59" s="27"/>
      <c r="B59" s="128"/>
      <c r="C59" s="129"/>
      <c r="D59" s="129"/>
      <c r="E59" s="130"/>
      <c r="F59" s="26"/>
      <c r="G59" s="26"/>
      <c r="H59" s="25"/>
      <c r="I59" s="26"/>
      <c r="J59" s="26"/>
      <c r="K59" s="51"/>
      <c r="L59" s="26"/>
      <c r="M59" s="133"/>
      <c r="N59" s="134"/>
      <c r="O59" s="134"/>
      <c r="P59" s="135"/>
      <c r="Q59" s="33"/>
    </row>
    <row r="60" spans="1:17" ht="27" customHeight="1" x14ac:dyDescent="0.25">
      <c r="A60" s="27"/>
      <c r="B60" s="128"/>
      <c r="C60" s="129"/>
      <c r="D60" s="129"/>
      <c r="E60" s="130"/>
      <c r="F60" s="50"/>
      <c r="G60" s="26"/>
      <c r="H60" s="25"/>
      <c r="I60" s="26"/>
      <c r="J60" s="26"/>
      <c r="K60" s="51"/>
      <c r="L60" s="26"/>
      <c r="M60" s="123"/>
      <c r="N60" s="123"/>
      <c r="O60" s="123"/>
      <c r="P60" s="123"/>
      <c r="Q60" s="33"/>
    </row>
    <row r="61" spans="1:17" ht="27" customHeight="1" x14ac:dyDescent="0.25">
      <c r="A61" s="27"/>
      <c r="B61" s="94"/>
      <c r="C61" s="94"/>
      <c r="D61" s="94"/>
      <c r="E61" s="94"/>
      <c r="F61" s="26"/>
      <c r="G61" s="26"/>
      <c r="H61" s="26"/>
      <c r="I61" s="26"/>
      <c r="J61" s="26"/>
      <c r="K61" s="51"/>
      <c r="L61" s="26"/>
      <c r="M61" s="123"/>
      <c r="N61" s="123"/>
      <c r="O61" s="123"/>
      <c r="P61" s="123"/>
      <c r="Q61" s="33"/>
    </row>
    <row r="62" spans="1:17" ht="27" customHeight="1" x14ac:dyDescent="0.25">
      <c r="A62" s="27"/>
      <c r="B62" s="94"/>
      <c r="C62" s="94"/>
      <c r="D62" s="94"/>
      <c r="E62" s="94"/>
      <c r="F62" s="26"/>
      <c r="G62" s="26"/>
      <c r="H62" s="26"/>
      <c r="I62" s="26"/>
      <c r="J62" s="26"/>
      <c r="K62" s="51"/>
      <c r="L62" s="26"/>
      <c r="M62" s="123"/>
      <c r="N62" s="123"/>
      <c r="O62" s="123"/>
      <c r="P62" s="123"/>
      <c r="Q62" s="33"/>
    </row>
    <row r="63" spans="1:17" ht="27" customHeight="1" x14ac:dyDescent="0.25">
      <c r="A63" s="27"/>
      <c r="B63" s="94"/>
      <c r="C63" s="94"/>
      <c r="D63" s="94"/>
      <c r="E63" s="94"/>
      <c r="F63" s="26"/>
      <c r="G63" s="26"/>
      <c r="H63" s="26"/>
      <c r="I63" s="26"/>
      <c r="J63" s="26"/>
      <c r="K63" s="51"/>
      <c r="L63" s="26"/>
      <c r="M63" s="123"/>
      <c r="N63" s="123"/>
      <c r="O63" s="123"/>
      <c r="P63" s="123"/>
      <c r="Q63" s="33"/>
    </row>
    <row r="64" spans="1:17" ht="27" customHeight="1" x14ac:dyDescent="0.25">
      <c r="A64" s="27"/>
      <c r="B64" s="94"/>
      <c r="C64" s="94"/>
      <c r="D64" s="94"/>
      <c r="E64" s="94"/>
      <c r="F64" s="26"/>
      <c r="G64" s="26"/>
      <c r="H64" s="26"/>
      <c r="I64" s="26"/>
      <c r="J64" s="26"/>
      <c r="K64" s="51"/>
      <c r="L64" s="26"/>
      <c r="M64" s="123"/>
      <c r="N64" s="123"/>
      <c r="O64" s="123"/>
      <c r="P64" s="123"/>
      <c r="Q64" s="33"/>
    </row>
    <row r="65" spans="1:16" ht="27" customHeight="1" x14ac:dyDescent="0.25">
      <c r="A65" s="27"/>
      <c r="B65" s="94"/>
      <c r="C65" s="94"/>
      <c r="D65" s="94"/>
      <c r="E65" s="94"/>
      <c r="F65" s="87"/>
      <c r="G65" s="26"/>
      <c r="H65" s="87"/>
      <c r="I65" s="26"/>
      <c r="J65" s="87"/>
      <c r="K65" s="51"/>
      <c r="L65" s="26"/>
      <c r="M65" s="123"/>
      <c r="N65" s="123"/>
      <c r="O65" s="123"/>
      <c r="P65" s="123"/>
    </row>
    <row r="66" spans="1:16" ht="27" customHeight="1" x14ac:dyDescent="0.25">
      <c r="A66" s="27"/>
      <c r="B66" s="94"/>
      <c r="C66" s="94"/>
      <c r="D66" s="94"/>
      <c r="E66" s="94"/>
      <c r="F66" s="26"/>
      <c r="G66" s="26"/>
      <c r="H66" s="25"/>
      <c r="I66" s="26"/>
      <c r="J66" s="26"/>
      <c r="K66" s="51"/>
      <c r="L66" s="26"/>
      <c r="M66" s="123"/>
      <c r="N66" s="123"/>
      <c r="O66" s="123"/>
      <c r="P66" s="123"/>
    </row>
    <row r="67" spans="1:16" ht="27" customHeight="1" x14ac:dyDescent="0.2">
      <c r="A67" s="24"/>
      <c r="B67" s="94"/>
      <c r="C67" s="94"/>
      <c r="D67" s="94"/>
      <c r="E67" s="94"/>
      <c r="F67" s="26"/>
      <c r="G67" s="26"/>
      <c r="H67" s="26"/>
      <c r="I67" s="26"/>
      <c r="J67" s="26"/>
      <c r="K67" s="26"/>
      <c r="L67" s="26"/>
      <c r="M67" s="123"/>
      <c r="N67" s="123"/>
      <c r="O67" s="123"/>
      <c r="P67" s="123"/>
    </row>
    <row r="68" spans="1:16" ht="27" customHeight="1" x14ac:dyDescent="0.2">
      <c r="A68" s="22"/>
      <c r="B68" s="126"/>
      <c r="C68" s="126"/>
      <c r="D68" s="126"/>
      <c r="E68" s="126"/>
      <c r="F68" s="23"/>
      <c r="G68" s="23"/>
      <c r="H68" s="23"/>
      <c r="I68" s="23"/>
      <c r="J68" s="23"/>
      <c r="K68" s="23"/>
      <c r="L68" s="23"/>
      <c r="M68" s="127"/>
      <c r="N68" s="127"/>
      <c r="O68" s="127"/>
      <c r="P68" s="127"/>
    </row>
    <row r="69" spans="1:16" ht="27" customHeight="1" thickBot="1" x14ac:dyDescent="0.25">
      <c r="A69" s="15"/>
      <c r="B69" s="124"/>
      <c r="C69" s="124"/>
      <c r="D69" s="124"/>
      <c r="E69" s="124"/>
      <c r="F69" s="16"/>
      <c r="G69" s="16"/>
      <c r="H69" s="16"/>
      <c r="I69" s="16"/>
      <c r="J69" s="16"/>
      <c r="K69" s="16"/>
      <c r="L69" s="16"/>
      <c r="M69" s="125"/>
      <c r="N69" s="125"/>
      <c r="O69" s="125"/>
      <c r="P69" s="125"/>
    </row>
  </sheetData>
  <mergeCells count="102">
    <mergeCell ref="B35:E35"/>
    <mergeCell ref="M35:P35"/>
    <mergeCell ref="A28:A29"/>
    <mergeCell ref="B28:E29"/>
    <mergeCell ref="F28:F29"/>
    <mergeCell ref="G28:G29"/>
    <mergeCell ref="M5:P5"/>
    <mergeCell ref="B5:C5"/>
    <mergeCell ref="D5:E5"/>
    <mergeCell ref="F5:G5"/>
    <mergeCell ref="K5:L5"/>
    <mergeCell ref="H5:J5"/>
    <mergeCell ref="I28:K28"/>
    <mergeCell ref="H28:H29"/>
    <mergeCell ref="M28:P29"/>
    <mergeCell ref="L28:L29"/>
    <mergeCell ref="B43:E43"/>
    <mergeCell ref="M43:P43"/>
    <mergeCell ref="A1:P1"/>
    <mergeCell ref="A2:P2"/>
    <mergeCell ref="B4:C4"/>
    <mergeCell ref="D4:E4"/>
    <mergeCell ref="F4:G4"/>
    <mergeCell ref="K4:L4"/>
    <mergeCell ref="M4:P4"/>
    <mergeCell ref="H4:J4"/>
    <mergeCell ref="B38:E38"/>
    <mergeCell ref="M38:P38"/>
    <mergeCell ref="B30:E30"/>
    <mergeCell ref="M30:P30"/>
    <mergeCell ref="M31:P31"/>
    <mergeCell ref="B37:E37"/>
    <mergeCell ref="M37:P37"/>
    <mergeCell ref="B31:E31"/>
    <mergeCell ref="B32:E32"/>
    <mergeCell ref="M32:P32"/>
    <mergeCell ref="B33:E33"/>
    <mergeCell ref="M33:P33"/>
    <mergeCell ref="B34:E34"/>
    <mergeCell ref="M34:P34"/>
    <mergeCell ref="B36:E36"/>
    <mergeCell ref="M36:P36"/>
    <mergeCell ref="B50:E50"/>
    <mergeCell ref="M50:P50"/>
    <mergeCell ref="M48:P48"/>
    <mergeCell ref="B48:E48"/>
    <mergeCell ref="B44:E44"/>
    <mergeCell ref="M44:P44"/>
    <mergeCell ref="B45:E45"/>
    <mergeCell ref="M45:P45"/>
    <mergeCell ref="B46:E46"/>
    <mergeCell ref="M46:P46"/>
    <mergeCell ref="B47:E47"/>
    <mergeCell ref="M47:P47"/>
    <mergeCell ref="B49:E49"/>
    <mergeCell ref="M49:P49"/>
    <mergeCell ref="B39:E39"/>
    <mergeCell ref="M39:P39"/>
    <mergeCell ref="B41:E41"/>
    <mergeCell ref="M41:P41"/>
    <mergeCell ref="B42:E42"/>
    <mergeCell ref="M42:P42"/>
    <mergeCell ref="B40:E40"/>
    <mergeCell ref="M40:P40"/>
    <mergeCell ref="B62:E62"/>
    <mergeCell ref="M62:P62"/>
    <mergeCell ref="B51:E51"/>
    <mergeCell ref="M51:P51"/>
    <mergeCell ref="B52:E52"/>
    <mergeCell ref="M52:P52"/>
    <mergeCell ref="B53:E53"/>
    <mergeCell ref="M53:P53"/>
    <mergeCell ref="B54:E54"/>
    <mergeCell ref="M54:P54"/>
    <mergeCell ref="B56:E56"/>
    <mergeCell ref="M56:P56"/>
    <mergeCell ref="B59:E59"/>
    <mergeCell ref="M59:P59"/>
    <mergeCell ref="B60:E60"/>
    <mergeCell ref="M60:P60"/>
    <mergeCell ref="B61:E61"/>
    <mergeCell ref="M61:P61"/>
    <mergeCell ref="B55:E55"/>
    <mergeCell ref="B58:E58"/>
    <mergeCell ref="M55:P55"/>
    <mergeCell ref="M58:P58"/>
    <mergeCell ref="B57:E57"/>
    <mergeCell ref="M57:P57"/>
    <mergeCell ref="B65:E65"/>
    <mergeCell ref="M65:P65"/>
    <mergeCell ref="B63:E63"/>
    <mergeCell ref="M63:P63"/>
    <mergeCell ref="B64:E64"/>
    <mergeCell ref="M64:P64"/>
    <mergeCell ref="B69:E69"/>
    <mergeCell ref="M69:P69"/>
    <mergeCell ref="B66:E66"/>
    <mergeCell ref="M66:P66"/>
    <mergeCell ref="B67:E67"/>
    <mergeCell ref="M67:P67"/>
    <mergeCell ref="B68:E68"/>
    <mergeCell ref="M68:P68"/>
  </mergeCells>
  <hyperlinks>
    <hyperlink ref="Q30" location="'A1'!A1" display="'A1'!A1" xr:uid="{70B6A0BC-0A1D-4853-B55E-67568685B701}"/>
    <hyperlink ref="Q32" location="'A2'!A2" display="'A2'!A2" xr:uid="{4DB99855-EEE1-4E62-B1AE-64066095CFA6}"/>
    <hyperlink ref="Q34" location="'A3'!A3" display="'A3'!A3" xr:uid="{798E746C-F3E4-45B2-B547-2E3251D59437}"/>
    <hyperlink ref="Q37" location="'A4'!A4" display="'A4'!A4" xr:uid="{E850905A-664E-446E-A089-C56A49A50834}"/>
    <hyperlink ref="Q39" location="'A5'!A5" display="'A5'!A5" xr:uid="{6594BAD0-9548-4220-84FC-EDBED934769E}"/>
  </hyperlinks>
  <printOptions horizontalCentered="1"/>
  <pageMargins left="0.11811023622047245" right="0.11811023622047245" top="0.35433070866141736" bottom="0.15748031496062992" header="0.11811023622047245" footer="0.11811023622047245"/>
  <pageSetup paperSize="9" scale="5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BUTTON</vt:lpstr>
      <vt:lpstr>FORMAT</vt:lpstr>
      <vt:lpstr>PR</vt:lpstr>
      <vt:lpstr>MA</vt:lpstr>
      <vt:lpstr>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user</cp:lastModifiedBy>
  <cp:lastPrinted>2021-12-16T02:52:29Z</cp:lastPrinted>
  <dcterms:created xsi:type="dcterms:W3CDTF">2021-11-01T07:48:03Z</dcterms:created>
  <dcterms:modified xsi:type="dcterms:W3CDTF">2024-07-09T03:50:07Z</dcterms:modified>
</cp:coreProperties>
</file>