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AK MARNO\"/>
    </mc:Choice>
  </mc:AlternateContent>
  <xr:revisionPtr revIDLastSave="0" documentId="13_ncr:1_{1A826B3D-79F3-4F28-A84E-6E184F53ECD5}" xr6:coauthVersionLast="47" xr6:coauthVersionMax="47" xr10:uidLastSave="{00000000-0000-0000-0000-000000000000}"/>
  <bookViews>
    <workbookView xWindow="-120" yWindow="-120" windowWidth="20730" windowHeight="11160" tabRatio="803" firstSheet="2" activeTab="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64" r:id="rId6"/>
    <sheet name="A4" sheetId="71" r:id="rId7"/>
    <sheet name="A9" sheetId="74" r:id="rId8"/>
    <sheet name="A10" sheetId="75" r:id="rId9"/>
    <sheet name="A11" sheetId="76" r:id="rId10"/>
    <sheet name="A12" sheetId="77" r:id="rId11"/>
    <sheet name="A13" sheetId="78" r:id="rId12"/>
    <sheet name="A3" sheetId="82" r:id="rId13"/>
    <sheet name="A5" sheetId="83" r:id="rId14"/>
    <sheet name="A6" sheetId="84" r:id="rId15"/>
    <sheet name="A7" sheetId="85" r:id="rId16"/>
    <sheet name="A8" sheetId="86" r:id="rId17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MA!$A$1:$P$46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" i="86" l="1"/>
  <c r="Q3" i="85"/>
  <c r="Q3" i="84"/>
  <c r="Q3" i="83"/>
  <c r="Q3" i="82"/>
  <c r="Q3" i="78"/>
  <c r="Q3" i="77"/>
  <c r="Q3" i="76"/>
  <c r="Q3" i="75"/>
  <c r="Q3" i="74"/>
  <c r="Q3" i="71"/>
  <c r="Q3" i="64"/>
  <c r="J3" i="64"/>
  <c r="A3" i="63"/>
  <c r="Q3" i="63"/>
  <c r="J3" i="63"/>
  <c r="A16" i="2"/>
  <c r="F5" i="59"/>
  <c r="J3" i="86" l="1"/>
  <c r="J3" i="85"/>
  <c r="J3" i="84"/>
  <c r="J3" i="83"/>
  <c r="J3" i="82"/>
  <c r="L3" i="63"/>
  <c r="L16" i="2" s="1"/>
  <c r="L3" i="64"/>
  <c r="L18" i="2" s="1"/>
  <c r="J3" i="78"/>
  <c r="J3" i="77"/>
  <c r="J3" i="76"/>
  <c r="J3" i="75"/>
  <c r="J3" i="74"/>
  <c r="J3" i="71"/>
  <c r="J16" i="2"/>
  <c r="J18" i="2"/>
  <c r="A5" i="59"/>
  <c r="D5" i="59"/>
  <c r="L3" i="86" l="1"/>
  <c r="L30" i="2" s="1"/>
  <c r="J30" i="2"/>
  <c r="L3" i="85"/>
  <c r="L28" i="2" s="1"/>
  <c r="J28" i="2"/>
  <c r="L3" i="84"/>
  <c r="L26" i="2" s="1"/>
  <c r="J26" i="2"/>
  <c r="L3" i="83"/>
  <c r="L24" i="2" s="1"/>
  <c r="J24" i="2"/>
  <c r="L3" i="82"/>
  <c r="L20" i="2" s="1"/>
  <c r="J20" i="2"/>
  <c r="L3" i="74"/>
  <c r="J32" i="2"/>
  <c r="L3" i="71"/>
  <c r="J22" i="2"/>
  <c r="L3" i="75"/>
  <c r="J35" i="2"/>
  <c r="L3" i="76"/>
  <c r="J37" i="2"/>
  <c r="L3" i="77"/>
  <c r="J39" i="2"/>
  <c r="L3" i="78"/>
  <c r="J41" i="2"/>
  <c r="J5" i="59"/>
  <c r="H5" i="59"/>
  <c r="B5" i="59"/>
  <c r="J3" i="3"/>
  <c r="L22" i="2" l="1"/>
  <c r="L35" i="2"/>
  <c r="L32" i="2"/>
  <c r="L41" i="2"/>
  <c r="L39" i="2"/>
  <c r="L37" i="2"/>
  <c r="Q3" i="3"/>
  <c r="L3" i="3" s="1"/>
  <c r="P12" i="2" l="1"/>
  <c r="P10" i="2"/>
  <c r="P6" i="2"/>
</calcChain>
</file>

<file path=xl/sharedStrings.xml><?xml version="1.0" encoding="utf-8"?>
<sst xmlns="http://schemas.openxmlformats.org/spreadsheetml/2006/main" count="426" uniqueCount="107">
  <si>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</si>
  <si>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</si>
  <si>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</si>
  <si>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</si>
  <si>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</si>
  <si>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</si>
  <si>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</si>
  <si>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</si>
  <si>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</si>
  <si>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</si>
  <si>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</si>
  <si>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</si>
  <si>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</si>
  <si>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</si>
  <si>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</si>
  <si>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</si>
  <si>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</si>
  <si>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</si>
  <si>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</si>
  <si>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</si>
  <si>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</si>
  <si>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</si>
  <si>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</si>
  <si>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</si>
  <si>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</si>
  <si>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</si>
  <si>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</si>
  <si>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</si>
  <si>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</si>
  <si>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</si>
  <si>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</si>
  <si>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</si>
  <si>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</si>
  <si>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</si>
  <si>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</si>
  <si>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</si>
  <si>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</si>
  <si>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</si>
  <si>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</si>
  <si>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MARUBENI FASHION LINK</t>
  </si>
  <si>
    <t>ELFINDOLL CLASSIC</t>
  </si>
  <si>
    <t>TWO WAY</t>
  </si>
  <si>
    <t>AW 2024</t>
  </si>
  <si>
    <t>80 - 95</t>
  </si>
  <si>
    <t>ELASTIC (LENGTH)</t>
  </si>
  <si>
    <t>INTERLINING (COLLAR, FRONT PLACKET)</t>
  </si>
  <si>
    <t>60"CW</t>
  </si>
  <si>
    <t>LACE (LENGTH)</t>
  </si>
  <si>
    <t>EC23AH34ML102 (BABY)
EC23AH08ML102 (TODDLER)</t>
  </si>
  <si>
    <t>GIRLS BLOUSE</t>
  </si>
  <si>
    <t>TC JERSEY 180GSM (BODY, SLEEVE, COLLAR, NECKTAPE)</t>
  </si>
  <si>
    <t>58"CW</t>
  </si>
  <si>
    <t>WOOLY TAPE AT YOKE &amp; SHOULDER (LENGTH)</t>
  </si>
  <si>
    <t>100 - 120</t>
  </si>
  <si>
    <t>6Yd02"08</t>
  </si>
  <si>
    <t>100=1 110=2 120=2 #X2</t>
  </si>
  <si>
    <t>0Yd27"24</t>
  </si>
  <si>
    <t>7Yd11"28</t>
  </si>
  <si>
    <t>80=1 90=2 95=1 #X4</t>
  </si>
  <si>
    <t>1Yd00"24</t>
  </si>
  <si>
    <t>A1</t>
  </si>
  <si>
    <t>6</t>
  </si>
  <si>
    <t>08</t>
  </si>
  <si>
    <t>A2</t>
  </si>
  <si>
    <t>0</t>
  </si>
  <si>
    <t>24</t>
  </si>
  <si>
    <t>A3</t>
  </si>
  <si>
    <t>A4</t>
  </si>
  <si>
    <t>1</t>
  </si>
  <si>
    <t>80=70 , 90=71,6 , 95=72,2</t>
  </si>
  <si>
    <t>YOKE( 80=24 , 90=25 ,95=26 )</t>
  </si>
  <si>
    <t>100=72 , 110=73 , 120=74,5</t>
  </si>
  <si>
    <t>7 CM ALL SIZE</t>
  </si>
  <si>
    <t>9 CM ALL SIZE</t>
  </si>
  <si>
    <t>100=27 , 110=29 , 120=31</t>
  </si>
  <si>
    <t>flex offer</t>
  </si>
  <si>
    <t>1yd 2,625</t>
  </si>
  <si>
    <t xml:space="preserve">100/3 110/6 120/6 </t>
  </si>
  <si>
    <t>5yd 11,480</t>
  </si>
  <si>
    <t>80/3 90/6 95/3</t>
  </si>
  <si>
    <t>0yd 27,624</t>
  </si>
  <si>
    <t>8yd 31,915</t>
  </si>
  <si>
    <t>100/3 110/6 120/6</t>
  </si>
  <si>
    <t>80=3 90=6 95=3</t>
  </si>
  <si>
    <t>100=3 110=6 120=6</t>
  </si>
  <si>
    <t xml:space="preserve">100=3 110=6 120=6 </t>
  </si>
  <si>
    <t xml:space="preserve"> 90=71</t>
  </si>
  <si>
    <t>A5</t>
  </si>
  <si>
    <t/>
  </si>
  <si>
    <t xml:space="preserve"> 90=25 </t>
  </si>
  <si>
    <t>A8</t>
  </si>
  <si>
    <t xml:space="preserve"> 110=73 </t>
  </si>
  <si>
    <t>A9</t>
  </si>
  <si>
    <t>A10</t>
  </si>
  <si>
    <t>5Yd 11,480</t>
  </si>
  <si>
    <t>5</t>
  </si>
  <si>
    <t>A11</t>
  </si>
  <si>
    <t>0Yd 27,624</t>
  </si>
  <si>
    <t>A12</t>
  </si>
  <si>
    <t>8Yd 31,915</t>
  </si>
  <si>
    <t>8</t>
  </si>
  <si>
    <t>A13</t>
  </si>
  <si>
    <t>1Yd 2,625</t>
  </si>
  <si>
    <t>A6</t>
  </si>
  <si>
    <t>7</t>
  </si>
  <si>
    <t>28</t>
  </si>
  <si>
    <t>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</si>
</sst>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sz val="13"/>
      <color theme="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b/>
      <sz val="13"/>
      <name val="Tahoma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color theme="0"/>
      <name val="Tahoma"/>
      <family val="2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sz val="15"/>
      <name val="Arial"/>
      <family val="2"/>
      <charset val="1"/>
    </font>
    <font>
      <sz val="12"/>
      <name val="Tahoma"/>
      <family val="2"/>
      <charset val="1"/>
    </font>
    <font>
      <b/>
      <sz val="9"/>
      <name val="Tahoma"/>
      <family val="2"/>
    </font>
    <font>
      <sz val="14"/>
      <name val="Arial"/>
      <family val="2"/>
      <charset val="1"/>
    </font>
    <font>
      <sz val="14"/>
      <name val="Tahoma"/>
      <family val="2"/>
      <charset val="1"/>
    </font>
    <font>
      <sz val="12"/>
      <color indexed="8"/>
      <name val="Arial"/>
      <family val="2"/>
      <charset val="1"/>
    </font>
    <font>
      <b/>
      <sz val="13"/>
      <color rgb="FF0070C0"/>
      <name val="Tahoma"/>
      <family val="2"/>
    </font>
    <font>
      <sz val="12"/>
      <color theme="1"/>
      <name val="Tahoma"/>
      <family val="2"/>
    </font>
    <font>
      <sz val="11"/>
      <color rgb="FF000000"/>
      <name val="ArialMT"/>
    </font>
    <font>
      <sz val="9"/>
      <color rgb="FF000000"/>
      <name val="CIDFont+F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7" fillId="0" borderId="0"/>
    <xf numFmtId="41" fontId="1" fillId="0" borderId="0" applyFont="0" applyFill="0" applyBorder="0" applyAlignment="0" applyProtection="0"/>
    <xf numFmtId="0" fontId="22" fillId="0" borderId="0"/>
  </cellStyleXfs>
  <cellXfs count="183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66" fontId="12" fillId="2" borderId="27" xfId="0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13" fillId="0" borderId="0" xfId="2"/>
    <xf numFmtId="0" fontId="0" fillId="0" borderId="1" xfId="0" applyBorder="1"/>
    <xf numFmtId="0" fontId="12" fillId="0" borderId="0" xfId="0" applyFont="1"/>
    <xf numFmtId="0" fontId="9" fillId="0" borderId="1" xfId="0" applyFont="1" applyBorder="1" applyAlignment="1">
      <alignment horizontal="center" vertical="center"/>
    </xf>
    <xf numFmtId="0" fontId="15" fillId="0" borderId="0" xfId="3" applyFont="1"/>
    <xf numFmtId="0" fontId="16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5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8" fillId="0" borderId="0" xfId="3" applyFont="1"/>
    <xf numFmtId="0" fontId="19" fillId="0" borderId="0" xfId="3" applyFont="1" applyAlignment="1">
      <alignment horizontal="center"/>
    </xf>
    <xf numFmtId="0" fontId="21" fillId="0" borderId="0" xfId="3" applyFont="1"/>
    <xf numFmtId="0" fontId="20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8" fillId="0" borderId="0" xfId="3" applyFont="1" applyAlignment="1">
      <alignment vertical="center"/>
    </xf>
    <xf numFmtId="0" fontId="20" fillId="0" borderId="1" xfId="3" applyFont="1" applyBorder="1"/>
    <xf numFmtId="167" fontId="23" fillId="0" borderId="10" xfId="6" applyNumberFormat="1" applyFont="1" applyBorder="1" applyAlignment="1">
      <alignment horizontal="center" vertical="center"/>
    </xf>
    <xf numFmtId="0" fontId="24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7" fontId="25" fillId="0" borderId="11" xfId="6" applyNumberFormat="1" applyFont="1" applyBorder="1" applyAlignment="1">
      <alignment horizontal="center" vertical="center" wrapText="1"/>
    </xf>
    <xf numFmtId="12" fontId="26" fillId="0" borderId="3" xfId="6" applyNumberFormat="1" applyFont="1" applyBorder="1" applyAlignment="1">
      <alignment horizontal="center" vertical="center"/>
    </xf>
    <xf numFmtId="0" fontId="27" fillId="0" borderId="5" xfId="6" applyFont="1" applyBorder="1" applyAlignment="1">
      <alignment horizontal="center" vertical="center"/>
    </xf>
    <xf numFmtId="167" fontId="24" fillId="0" borderId="10" xfId="6" applyNumberFormat="1" applyFont="1" applyBorder="1" applyAlignment="1">
      <alignment horizontal="center" vertical="center"/>
    </xf>
    <xf numFmtId="0" fontId="24" fillId="0" borderId="11" xfId="3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168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6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3" fillId="0" borderId="11" xfId="6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167" fontId="23" fillId="0" borderId="10" xfId="6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2" fontId="6" fillId="0" borderId="1" xfId="5" applyNumberFormat="1" applyFont="1" applyBorder="1" applyAlignment="1">
      <alignment horizontal="center" vertical="center" wrapText="1"/>
    </xf>
    <xf numFmtId="0" fontId="13" fillId="0" borderId="0" xfId="2" applyAlignment="1">
      <alignment wrapText="1"/>
    </xf>
    <xf numFmtId="2" fontId="6" fillId="0" borderId="1" xfId="0" applyNumberFormat="1" applyFont="1" applyBorder="1" applyAlignment="1">
      <alignment horizontal="center" vertical="center" wrapText="1"/>
    </xf>
    <xf numFmtId="165" fontId="9" fillId="0" borderId="1" xfId="0" applyNumberFormat="1" applyFont="1" applyBorder="1" applyAlignment="1">
      <alignment horizontal="center" vertical="center" wrapText="1"/>
    </xf>
    <xf numFmtId="164" fontId="11" fillId="0" borderId="1" xfId="0" applyNumberFormat="1" applyFont="1" applyBorder="1" applyAlignment="1">
      <alignment horizontal="center" wrapText="1"/>
    </xf>
    <xf numFmtId="165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wrapText="1"/>
    </xf>
    <xf numFmtId="12" fontId="35" fillId="0" borderId="3" xfId="0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" fontId="38" fillId="0" borderId="11" xfId="6" applyNumberFormat="1" applyFont="1" applyBorder="1" applyAlignment="1">
      <alignment horizontal="center" vertical="center" wrapText="1"/>
    </xf>
    <xf numFmtId="165" fontId="34" fillId="0" borderId="12" xfId="6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6" fillId="3" borderId="11" xfId="6" applyFont="1" applyFill="1" applyBorder="1" applyAlignment="1">
      <alignment horizontal="center" vertical="center" wrapText="1"/>
    </xf>
    <xf numFmtId="0" fontId="41" fillId="0" borderId="0" xfId="0" applyFont="1"/>
    <xf numFmtId="164" fontId="23" fillId="0" borderId="10" xfId="6" applyNumberFormat="1" applyFont="1" applyBorder="1" applyAlignment="1">
      <alignment horizontal="center" wrapText="1"/>
    </xf>
    <xf numFmtId="0" fontId="42" fillId="0" borderId="0" xfId="0" applyFont="1"/>
    <xf numFmtId="166" fontId="6" fillId="0" borderId="1" xfId="1" applyNumberFormat="1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165" fontId="9" fillId="0" borderId="35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30" xfId="0" applyNumberFormat="1" applyFont="1" applyBorder="1" applyAlignment="1">
      <alignment horizontal="center" vertical="center"/>
    </xf>
    <xf numFmtId="165" fontId="6" fillId="0" borderId="35" xfId="0" applyNumberFormat="1" applyFont="1" applyBorder="1" applyAlignment="1">
      <alignment horizontal="center" vertical="center" wrapText="1"/>
    </xf>
    <xf numFmtId="165" fontId="6" fillId="0" borderId="29" xfId="0" applyNumberFormat="1" applyFont="1" applyBorder="1" applyAlignment="1">
      <alignment horizontal="center" vertical="center" wrapText="1"/>
    </xf>
    <xf numFmtId="165" fontId="6" fillId="0" borderId="30" xfId="0" applyNumberFormat="1" applyFont="1" applyBorder="1" applyAlignment="1">
      <alignment horizontal="center" vertical="center" wrapText="1"/>
    </xf>
    <xf numFmtId="165" fontId="9" fillId="0" borderId="35" xfId="0" applyNumberFormat="1" applyFont="1" applyBorder="1" applyAlignment="1">
      <alignment horizontal="center" vertical="center" wrapText="1"/>
    </xf>
    <xf numFmtId="164" fontId="24" fillId="0" borderId="10" xfId="6" applyNumberFormat="1" applyFont="1" applyBorder="1" applyAlignment="1">
      <alignment horizontal="center"/>
    </xf>
    <xf numFmtId="166" fontId="6" fillId="0" borderId="1" xfId="1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5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5" fillId="0" borderId="11" xfId="6" applyFont="1" applyBorder="1" applyAlignment="1">
      <alignment horizontal="center" vertical="center" wrapText="1"/>
    </xf>
    <xf numFmtId="0" fontId="20" fillId="0" borderId="28" xfId="3" applyFont="1" applyBorder="1" applyAlignment="1">
      <alignment horizontal="center" wrapText="1"/>
    </xf>
    <xf numFmtId="0" fontId="20" fillId="0" borderId="29" xfId="3" applyFont="1" applyBorder="1" applyAlignment="1">
      <alignment horizontal="center" wrapText="1"/>
    </xf>
    <xf numFmtId="0" fontId="20" fillId="0" borderId="30" xfId="3" applyFont="1" applyBorder="1" applyAlignment="1">
      <alignment horizontal="center" wrapText="1"/>
    </xf>
    <xf numFmtId="0" fontId="20" fillId="0" borderId="1" xfId="3" applyFont="1" applyBorder="1" applyAlignment="1">
      <alignment horizontal="center"/>
    </xf>
    <xf numFmtId="0" fontId="20" fillId="0" borderId="28" xfId="3" applyFont="1" applyBorder="1" applyAlignment="1">
      <alignment horizontal="center"/>
    </xf>
    <xf numFmtId="0" fontId="20" fillId="0" borderId="29" xfId="3" applyFont="1" applyBorder="1" applyAlignment="1">
      <alignment horizontal="center"/>
    </xf>
    <xf numFmtId="0" fontId="20" fillId="0" borderId="30" xfId="3" applyFont="1" applyBorder="1" applyAlignment="1">
      <alignment horizontal="center"/>
    </xf>
    <xf numFmtId="0" fontId="28" fillId="0" borderId="11" xfId="3" applyFont="1" applyBorder="1" applyAlignment="1">
      <alignment horizontal="left" wrapText="1"/>
    </xf>
    <xf numFmtId="0" fontId="29" fillId="0" borderId="31" xfId="3" applyFont="1" applyBorder="1" applyAlignment="1">
      <alignment horizontal="left" wrapText="1"/>
    </xf>
    <xf numFmtId="0" fontId="29" fillId="0" borderId="32" xfId="3" applyFont="1" applyBorder="1" applyAlignment="1">
      <alignment horizontal="left" wrapText="1"/>
    </xf>
    <xf numFmtId="0" fontId="29" fillId="0" borderId="33" xfId="3" applyFont="1" applyBorder="1" applyAlignment="1">
      <alignment horizontal="left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1" fillId="0" borderId="11" xfId="6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 wrapText="1"/>
    </xf>
    <xf numFmtId="0" fontId="32" fillId="0" borderId="28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2" fillId="0" borderId="30" xfId="0" applyFont="1" applyBorder="1" applyAlignment="1">
      <alignment horizontal="center" vertical="center" wrapText="1"/>
    </xf>
    <xf numFmtId="0" fontId="34" fillId="0" borderId="11" xfId="6" applyFont="1" applyBorder="1" applyAlignment="1">
      <alignment horizontal="left" vertical="center" wrapText="1"/>
    </xf>
    <xf numFmtId="0" fontId="4" fillId="0" borderId="11" xfId="6" applyFont="1" applyBorder="1" applyAlignment="1">
      <alignment horizontal="left" vertical="center" wrapText="1"/>
    </xf>
    <xf numFmtId="0" fontId="6" fillId="3" borderId="28" xfId="0" applyFont="1" applyFill="1" applyBorder="1" applyAlignment="1">
      <alignment horizontal="left" vertical="center" wrapText="1"/>
    </xf>
    <xf numFmtId="0" fontId="6" fillId="3" borderId="29" xfId="0" applyFont="1" applyFill="1" applyBorder="1" applyAlignment="1">
      <alignment horizontal="left" vertical="center" wrapText="1"/>
    </xf>
    <xf numFmtId="0" fontId="6" fillId="3" borderId="30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 shrinkToFit="1"/>
    </xf>
    <xf numFmtId="0" fontId="4" fillId="0" borderId="1" xfId="0" applyFont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 shrinkToFit="1"/>
    </xf>
    <xf numFmtId="0" fontId="34" fillId="0" borderId="25" xfId="6" applyFont="1" applyBorder="1" applyAlignment="1">
      <alignment horizontal="left" vertical="center" wrapText="1"/>
    </xf>
    <xf numFmtId="0" fontId="34" fillId="0" borderId="34" xfId="6" applyFont="1" applyBorder="1" applyAlignment="1">
      <alignment horizontal="left" vertical="center" wrapText="1"/>
    </xf>
    <xf numFmtId="0" fontId="34" fillId="0" borderId="12" xfId="6" applyFont="1" applyBorder="1" applyAlignment="1">
      <alignment horizontal="left" vertical="center" wrapText="1"/>
    </xf>
    <xf numFmtId="0" fontId="6" fillId="3" borderId="28" xfId="0" applyFont="1" applyFill="1" applyBorder="1" applyAlignment="1">
      <alignment horizontal="center" vertical="center" wrapText="1" shrinkToFit="1"/>
    </xf>
    <xf numFmtId="0" fontId="6" fillId="3" borderId="29" xfId="0" applyFont="1" applyFill="1" applyBorder="1" applyAlignment="1">
      <alignment horizontal="center" vertical="center" wrapText="1" shrinkToFit="1"/>
    </xf>
    <xf numFmtId="0" fontId="6" fillId="3" borderId="30" xfId="0" applyFont="1" applyFill="1" applyBorder="1" applyAlignment="1">
      <alignment horizontal="center" vertical="center" wrapText="1" shrinkToFit="1"/>
    </xf>
    <xf numFmtId="0" fontId="6" fillId="0" borderId="1" xfId="0" applyFont="1" applyBorder="1" applyAlignment="1">
      <alignment horizontal="left" vertical="center" wrapText="1" shrinkToFit="1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  <xf numFmtId="0" fontId="24" fillId="0" borderId="11" xfId="6" applyFont="1" applyBorder="1" applyAlignment="1">
      <alignment horizontal="left" vertical="center"/>
    </xf>
  </cellXfs>
  <cellStyles count="7">
    <cellStyle name="Comma [0]" xfId="5" builtinId="6"/>
    <cellStyle name="Excel Built-in Normal" xfId="6" xr:uid="{00000000-0005-0000-0000-000002000000}"/>
    <cellStyle name="Hyperlink" xfId="2" builtinId="8"/>
    <cellStyle name="Normal" xfId="0" builtinId="0"/>
    <cellStyle name="Normal 2" xfId="3" xr:uid="{00000000-0005-0000-0000-000005000000}"/>
    <cellStyle name="Normal 3" xfId="4" xr:uid="{00000000-0005-0000-0000-000006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4B90DC-145C-4255-A564-6BE90DAE464E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A203FF-4559-4A55-8800-3F30562688B1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1BC93DC-E012-442F-B0F9-59123B4C9E02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EDFCEC2F-956A-423C-872B-3D6C7AD9DF7C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371200D7-504A-452E-80BF-7D42E3919D3B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549088</xdr:colOff>
      <xdr:row>4</xdr:row>
      <xdr:rowOff>134471</xdr:rowOff>
    </xdr:from>
    <xdr:to>
      <xdr:col>13</xdr:col>
      <xdr:colOff>515470</xdr:colOff>
      <xdr:row>4</xdr:row>
      <xdr:rowOff>1600401</xdr:rowOff>
    </xdr:to>
    <xdr:pic>
      <xdr:nvPicPr>
        <xdr:cNvPr id="7" name="図 1">
          <a:extLst>
            <a:ext uri="{FF2B5EF4-FFF2-40B4-BE49-F238E27FC236}">
              <a16:creationId xmlns:a16="http://schemas.microsoft.com/office/drawing/2014/main" id="{374F6F4C-4E70-4E6C-BDB0-64E9FDBB8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0" y="1501589"/>
          <a:ext cx="1826558" cy="14659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326575</xdr:colOff>
      <xdr:row>4</xdr:row>
      <xdr:rowOff>94133</xdr:rowOff>
    </xdr:from>
    <xdr:to>
      <xdr:col>15</xdr:col>
      <xdr:colOff>231323</xdr:colOff>
      <xdr:row>4</xdr:row>
      <xdr:rowOff>1197112</xdr:rowOff>
    </xdr:to>
    <xdr:pic>
      <xdr:nvPicPr>
        <xdr:cNvPr id="3" name="図 1">
          <a:extLst>
            <a:ext uri="{FF2B5EF4-FFF2-40B4-BE49-F238E27FC236}">
              <a16:creationId xmlns:a16="http://schemas.microsoft.com/office/drawing/2014/main" id="{89177823-FA45-4568-85B3-62724C81A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88289" y="1468454"/>
          <a:ext cx="1374319" cy="11029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180975</xdr:rowOff>
    </xdr:from>
    <xdr:to>
      <xdr:col>10</xdr:col>
      <xdr:colOff>656236</xdr:colOff>
      <xdr:row>20</xdr:row>
      <xdr:rowOff>113975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1CFAE7-BE05-C8BD-190D-8351AFEDE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1495425"/>
          <a:ext cx="7914286" cy="26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11</xdr:row>
      <xdr:rowOff>142875</xdr:rowOff>
    </xdr:from>
    <xdr:to>
      <xdr:col>3</xdr:col>
      <xdr:colOff>437925</xdr:colOff>
      <xdr:row>27</xdr:row>
      <xdr:rowOff>9161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6A580F-F671-C6F6-D24A-128429B10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600325"/>
          <a:ext cx="1800000" cy="29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workbookViewId="0">
      <selection activeCell="H4" sqref="H4"/>
    </sheetView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2" t="s">
        <v>36</v>
      </c>
      <c r="H2" s="32" t="s">
        <v>24</v>
      </c>
    </row>
    <row r="3" spans="6:8" ht="15.75" thickBot="1" x14ac:dyDescent="0.3">
      <c r="F3" s="31">
        <v>0</v>
      </c>
      <c r="H3" s="33">
        <v>0</v>
      </c>
    </row>
    <row r="13" spans="6:8" x14ac:dyDescent="0.25">
      <c r="F13" s="3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6.5" x14ac:dyDescent="0.25">
      <c r="A3" s="18"/>
      <c r="B3" s="113"/>
      <c r="C3" s="113"/>
      <c r="D3" s="113"/>
      <c r="E3" s="113"/>
      <c r="F3" s="12"/>
      <c r="G3" s="13"/>
      <c r="H3" s="13"/>
      <c r="I3" s="14"/>
      <c r="J3" s="14">
        <f>ROUND($J$4+(($J$5+($J$6/32))/36),3)</f>
        <v>0</v>
      </c>
      <c r="K3" s="15"/>
      <c r="L3" s="30" t="e">
        <f>ROUND(($J$3/$I$3)*(1+$Q$3),3)</f>
        <v>#DIV/0!</v>
      </c>
      <c r="M3" s="117"/>
      <c r="N3" s="117"/>
      <c r="O3" s="117"/>
      <c r="P3" s="117"/>
      <c r="Q3" s="34">
        <f>BUTTON!H3</f>
        <v>0</v>
      </c>
    </row>
    <row r="4" spans="1:17" ht="16.5" x14ac:dyDescent="0.25">
      <c r="A4" s="18"/>
      <c r="B4" s="113"/>
      <c r="C4" s="113"/>
      <c r="D4" s="113"/>
      <c r="E4" s="113"/>
      <c r="F4" s="12"/>
      <c r="G4" s="13"/>
      <c r="H4" s="13"/>
      <c r="I4" s="14"/>
      <c r="J4" s="14"/>
      <c r="K4" s="19" t="s">
        <v>20</v>
      </c>
      <c r="L4" s="30"/>
      <c r="M4" s="118"/>
      <c r="N4" s="118"/>
      <c r="O4" s="118"/>
      <c r="P4" s="118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/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/>
      <c r="K6" s="20" t="s">
        <v>22</v>
      </c>
      <c r="L6" s="30"/>
      <c r="M6" s="118"/>
      <c r="N6" s="118"/>
      <c r="O6" s="118"/>
      <c r="P6" s="118"/>
      <c r="Q6" s="36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activeCell="P5" sqref="P5"/>
    </sheetView>
  </sheetViews>
  <sheetFormatPr defaultColWidth="11.5703125" defaultRowHeight="41.85" customHeight="1" x14ac:dyDescent="0.2"/>
  <cols>
    <col min="1" max="2" width="11.28515625" style="41" customWidth="1"/>
    <col min="3" max="3" width="12.85546875" style="41" bestFit="1" customWidth="1"/>
    <col min="4" max="4" width="13.140625" style="41" bestFit="1" customWidth="1"/>
    <col min="5" max="5" width="5.42578125" style="41" customWidth="1"/>
    <col min="6" max="10" width="11.28515625" style="41" customWidth="1"/>
    <col min="11" max="11" width="15.7109375" style="41" customWidth="1"/>
    <col min="12" max="14" width="14" style="41" customWidth="1"/>
    <col min="15" max="257" width="11.5703125" style="41"/>
    <col min="258" max="258" width="29.5703125" style="41" customWidth="1"/>
    <col min="259" max="259" width="27.5703125" style="41" customWidth="1"/>
    <col min="260" max="263" width="15.5703125" style="41" customWidth="1"/>
    <col min="264" max="264" width="94.5703125" style="41" customWidth="1"/>
    <col min="265" max="513" width="11.5703125" style="41"/>
    <col min="514" max="514" width="29.5703125" style="41" customWidth="1"/>
    <col min="515" max="515" width="27.5703125" style="41" customWidth="1"/>
    <col min="516" max="519" width="15.5703125" style="41" customWidth="1"/>
    <col min="520" max="520" width="94.5703125" style="41" customWidth="1"/>
    <col min="521" max="769" width="11.5703125" style="41"/>
    <col min="770" max="770" width="29.5703125" style="41" customWidth="1"/>
    <col min="771" max="771" width="27.5703125" style="41" customWidth="1"/>
    <col min="772" max="775" width="15.5703125" style="41" customWidth="1"/>
    <col min="776" max="776" width="94.5703125" style="41" customWidth="1"/>
    <col min="777" max="1025" width="11.5703125" style="41"/>
    <col min="1026" max="1026" width="29.5703125" style="41" customWidth="1"/>
    <col min="1027" max="1027" width="27.5703125" style="41" customWidth="1"/>
    <col min="1028" max="1031" width="15.5703125" style="41" customWidth="1"/>
    <col min="1032" max="1032" width="94.5703125" style="41" customWidth="1"/>
    <col min="1033" max="1281" width="11.5703125" style="41"/>
    <col min="1282" max="1282" width="29.5703125" style="41" customWidth="1"/>
    <col min="1283" max="1283" width="27.5703125" style="41" customWidth="1"/>
    <col min="1284" max="1287" width="15.5703125" style="41" customWidth="1"/>
    <col min="1288" max="1288" width="94.5703125" style="41" customWidth="1"/>
    <col min="1289" max="1537" width="11.5703125" style="41"/>
    <col min="1538" max="1538" width="29.5703125" style="41" customWidth="1"/>
    <col min="1539" max="1539" width="27.5703125" style="41" customWidth="1"/>
    <col min="1540" max="1543" width="15.5703125" style="41" customWidth="1"/>
    <col min="1544" max="1544" width="94.5703125" style="41" customWidth="1"/>
    <col min="1545" max="1793" width="11.5703125" style="41"/>
    <col min="1794" max="1794" width="29.5703125" style="41" customWidth="1"/>
    <col min="1795" max="1795" width="27.5703125" style="41" customWidth="1"/>
    <col min="1796" max="1799" width="15.5703125" style="41" customWidth="1"/>
    <col min="1800" max="1800" width="94.5703125" style="41" customWidth="1"/>
    <col min="1801" max="2049" width="11.5703125" style="41"/>
    <col min="2050" max="2050" width="29.5703125" style="41" customWidth="1"/>
    <col min="2051" max="2051" width="27.5703125" style="41" customWidth="1"/>
    <col min="2052" max="2055" width="15.5703125" style="41" customWidth="1"/>
    <col min="2056" max="2056" width="94.5703125" style="41" customWidth="1"/>
    <col min="2057" max="2305" width="11.5703125" style="41"/>
    <col min="2306" max="2306" width="29.5703125" style="41" customWidth="1"/>
    <col min="2307" max="2307" width="27.5703125" style="41" customWidth="1"/>
    <col min="2308" max="2311" width="15.5703125" style="41" customWidth="1"/>
    <col min="2312" max="2312" width="94.5703125" style="41" customWidth="1"/>
    <col min="2313" max="2561" width="11.5703125" style="41"/>
    <col min="2562" max="2562" width="29.5703125" style="41" customWidth="1"/>
    <col min="2563" max="2563" width="27.5703125" style="41" customWidth="1"/>
    <col min="2564" max="2567" width="15.5703125" style="41" customWidth="1"/>
    <col min="2568" max="2568" width="94.5703125" style="41" customWidth="1"/>
    <col min="2569" max="2817" width="11.5703125" style="41"/>
    <col min="2818" max="2818" width="29.5703125" style="41" customWidth="1"/>
    <col min="2819" max="2819" width="27.5703125" style="41" customWidth="1"/>
    <col min="2820" max="2823" width="15.5703125" style="41" customWidth="1"/>
    <col min="2824" max="2824" width="94.5703125" style="41" customWidth="1"/>
    <col min="2825" max="3073" width="11.5703125" style="41"/>
    <col min="3074" max="3074" width="29.5703125" style="41" customWidth="1"/>
    <col min="3075" max="3075" width="27.5703125" style="41" customWidth="1"/>
    <col min="3076" max="3079" width="15.5703125" style="41" customWidth="1"/>
    <col min="3080" max="3080" width="94.5703125" style="41" customWidth="1"/>
    <col min="3081" max="3329" width="11.5703125" style="41"/>
    <col min="3330" max="3330" width="29.5703125" style="41" customWidth="1"/>
    <col min="3331" max="3331" width="27.5703125" style="41" customWidth="1"/>
    <col min="3332" max="3335" width="15.5703125" style="41" customWidth="1"/>
    <col min="3336" max="3336" width="94.5703125" style="41" customWidth="1"/>
    <col min="3337" max="3585" width="11.5703125" style="41"/>
    <col min="3586" max="3586" width="29.5703125" style="41" customWidth="1"/>
    <col min="3587" max="3587" width="27.5703125" style="41" customWidth="1"/>
    <col min="3588" max="3591" width="15.5703125" style="41" customWidth="1"/>
    <col min="3592" max="3592" width="94.5703125" style="41" customWidth="1"/>
    <col min="3593" max="3841" width="11.5703125" style="41"/>
    <col min="3842" max="3842" width="29.5703125" style="41" customWidth="1"/>
    <col min="3843" max="3843" width="27.5703125" style="41" customWidth="1"/>
    <col min="3844" max="3847" width="15.5703125" style="41" customWidth="1"/>
    <col min="3848" max="3848" width="94.5703125" style="41" customWidth="1"/>
    <col min="3849" max="4097" width="11.5703125" style="41"/>
    <col min="4098" max="4098" width="29.5703125" style="41" customWidth="1"/>
    <col min="4099" max="4099" width="27.5703125" style="41" customWidth="1"/>
    <col min="4100" max="4103" width="15.5703125" style="41" customWidth="1"/>
    <col min="4104" max="4104" width="94.5703125" style="41" customWidth="1"/>
    <col min="4105" max="4353" width="11.5703125" style="41"/>
    <col min="4354" max="4354" width="29.5703125" style="41" customWidth="1"/>
    <col min="4355" max="4355" width="27.5703125" style="41" customWidth="1"/>
    <col min="4356" max="4359" width="15.5703125" style="41" customWidth="1"/>
    <col min="4360" max="4360" width="94.5703125" style="41" customWidth="1"/>
    <col min="4361" max="4609" width="11.5703125" style="41"/>
    <col min="4610" max="4610" width="29.5703125" style="41" customWidth="1"/>
    <col min="4611" max="4611" width="27.5703125" style="41" customWidth="1"/>
    <col min="4612" max="4615" width="15.5703125" style="41" customWidth="1"/>
    <col min="4616" max="4616" width="94.5703125" style="41" customWidth="1"/>
    <col min="4617" max="4865" width="11.5703125" style="41"/>
    <col min="4866" max="4866" width="29.5703125" style="41" customWidth="1"/>
    <col min="4867" max="4867" width="27.5703125" style="41" customWidth="1"/>
    <col min="4868" max="4871" width="15.5703125" style="41" customWidth="1"/>
    <col min="4872" max="4872" width="94.5703125" style="41" customWidth="1"/>
    <col min="4873" max="5121" width="11.5703125" style="41"/>
    <col min="5122" max="5122" width="29.5703125" style="41" customWidth="1"/>
    <col min="5123" max="5123" width="27.5703125" style="41" customWidth="1"/>
    <col min="5124" max="5127" width="15.5703125" style="41" customWidth="1"/>
    <col min="5128" max="5128" width="94.5703125" style="41" customWidth="1"/>
    <col min="5129" max="5377" width="11.5703125" style="41"/>
    <col min="5378" max="5378" width="29.5703125" style="41" customWidth="1"/>
    <col min="5379" max="5379" width="27.5703125" style="41" customWidth="1"/>
    <col min="5380" max="5383" width="15.5703125" style="41" customWidth="1"/>
    <col min="5384" max="5384" width="94.5703125" style="41" customWidth="1"/>
    <col min="5385" max="5633" width="11.5703125" style="41"/>
    <col min="5634" max="5634" width="29.5703125" style="41" customWidth="1"/>
    <col min="5635" max="5635" width="27.5703125" style="41" customWidth="1"/>
    <col min="5636" max="5639" width="15.5703125" style="41" customWidth="1"/>
    <col min="5640" max="5640" width="94.5703125" style="41" customWidth="1"/>
    <col min="5641" max="5889" width="11.5703125" style="41"/>
    <col min="5890" max="5890" width="29.5703125" style="41" customWidth="1"/>
    <col min="5891" max="5891" width="27.5703125" style="41" customWidth="1"/>
    <col min="5892" max="5895" width="15.5703125" style="41" customWidth="1"/>
    <col min="5896" max="5896" width="94.5703125" style="41" customWidth="1"/>
    <col min="5897" max="6145" width="11.5703125" style="41"/>
    <col min="6146" max="6146" width="29.5703125" style="41" customWidth="1"/>
    <col min="6147" max="6147" width="27.5703125" style="41" customWidth="1"/>
    <col min="6148" max="6151" width="15.5703125" style="41" customWidth="1"/>
    <col min="6152" max="6152" width="94.5703125" style="41" customWidth="1"/>
    <col min="6153" max="6401" width="11.5703125" style="41"/>
    <col min="6402" max="6402" width="29.5703125" style="41" customWidth="1"/>
    <col min="6403" max="6403" width="27.5703125" style="41" customWidth="1"/>
    <col min="6404" max="6407" width="15.5703125" style="41" customWidth="1"/>
    <col min="6408" max="6408" width="94.5703125" style="41" customWidth="1"/>
    <col min="6409" max="6657" width="11.5703125" style="41"/>
    <col min="6658" max="6658" width="29.5703125" style="41" customWidth="1"/>
    <col min="6659" max="6659" width="27.5703125" style="41" customWidth="1"/>
    <col min="6660" max="6663" width="15.5703125" style="41" customWidth="1"/>
    <col min="6664" max="6664" width="94.5703125" style="41" customWidth="1"/>
    <col min="6665" max="6913" width="11.5703125" style="41"/>
    <col min="6914" max="6914" width="29.5703125" style="41" customWidth="1"/>
    <col min="6915" max="6915" width="27.5703125" style="41" customWidth="1"/>
    <col min="6916" max="6919" width="15.5703125" style="41" customWidth="1"/>
    <col min="6920" max="6920" width="94.5703125" style="41" customWidth="1"/>
    <col min="6921" max="7169" width="11.5703125" style="41"/>
    <col min="7170" max="7170" width="29.5703125" style="41" customWidth="1"/>
    <col min="7171" max="7171" width="27.5703125" style="41" customWidth="1"/>
    <col min="7172" max="7175" width="15.5703125" style="41" customWidth="1"/>
    <col min="7176" max="7176" width="94.5703125" style="41" customWidth="1"/>
    <col min="7177" max="7425" width="11.5703125" style="41"/>
    <col min="7426" max="7426" width="29.5703125" style="41" customWidth="1"/>
    <col min="7427" max="7427" width="27.5703125" style="41" customWidth="1"/>
    <col min="7428" max="7431" width="15.5703125" style="41" customWidth="1"/>
    <col min="7432" max="7432" width="94.5703125" style="41" customWidth="1"/>
    <col min="7433" max="7681" width="11.5703125" style="41"/>
    <col min="7682" max="7682" width="29.5703125" style="41" customWidth="1"/>
    <col min="7683" max="7683" width="27.5703125" style="41" customWidth="1"/>
    <col min="7684" max="7687" width="15.5703125" style="41" customWidth="1"/>
    <col min="7688" max="7688" width="94.5703125" style="41" customWidth="1"/>
    <col min="7689" max="7937" width="11.5703125" style="41"/>
    <col min="7938" max="7938" width="29.5703125" style="41" customWidth="1"/>
    <col min="7939" max="7939" width="27.5703125" style="41" customWidth="1"/>
    <col min="7940" max="7943" width="15.5703125" style="41" customWidth="1"/>
    <col min="7944" max="7944" width="94.5703125" style="41" customWidth="1"/>
    <col min="7945" max="8193" width="11.5703125" style="41"/>
    <col min="8194" max="8194" width="29.5703125" style="41" customWidth="1"/>
    <col min="8195" max="8195" width="27.5703125" style="41" customWidth="1"/>
    <col min="8196" max="8199" width="15.5703125" style="41" customWidth="1"/>
    <col min="8200" max="8200" width="94.5703125" style="41" customWidth="1"/>
    <col min="8201" max="8449" width="11.5703125" style="41"/>
    <col min="8450" max="8450" width="29.5703125" style="41" customWidth="1"/>
    <col min="8451" max="8451" width="27.5703125" style="41" customWidth="1"/>
    <col min="8452" max="8455" width="15.5703125" style="41" customWidth="1"/>
    <col min="8456" max="8456" width="94.5703125" style="41" customWidth="1"/>
    <col min="8457" max="8705" width="11.5703125" style="41"/>
    <col min="8706" max="8706" width="29.5703125" style="41" customWidth="1"/>
    <col min="8707" max="8707" width="27.5703125" style="41" customWidth="1"/>
    <col min="8708" max="8711" width="15.5703125" style="41" customWidth="1"/>
    <col min="8712" max="8712" width="94.5703125" style="41" customWidth="1"/>
    <col min="8713" max="8961" width="11.5703125" style="41"/>
    <col min="8962" max="8962" width="29.5703125" style="41" customWidth="1"/>
    <col min="8963" max="8963" width="27.5703125" style="41" customWidth="1"/>
    <col min="8964" max="8967" width="15.5703125" style="41" customWidth="1"/>
    <col min="8968" max="8968" width="94.5703125" style="41" customWidth="1"/>
    <col min="8969" max="9217" width="11.5703125" style="41"/>
    <col min="9218" max="9218" width="29.5703125" style="41" customWidth="1"/>
    <col min="9219" max="9219" width="27.5703125" style="41" customWidth="1"/>
    <col min="9220" max="9223" width="15.5703125" style="41" customWidth="1"/>
    <col min="9224" max="9224" width="94.5703125" style="41" customWidth="1"/>
    <col min="9225" max="9473" width="11.5703125" style="41"/>
    <col min="9474" max="9474" width="29.5703125" style="41" customWidth="1"/>
    <col min="9475" max="9475" width="27.5703125" style="41" customWidth="1"/>
    <col min="9476" max="9479" width="15.5703125" style="41" customWidth="1"/>
    <col min="9480" max="9480" width="94.5703125" style="41" customWidth="1"/>
    <col min="9481" max="9729" width="11.5703125" style="41"/>
    <col min="9730" max="9730" width="29.5703125" style="41" customWidth="1"/>
    <col min="9731" max="9731" width="27.5703125" style="41" customWidth="1"/>
    <col min="9732" max="9735" width="15.5703125" style="41" customWidth="1"/>
    <col min="9736" max="9736" width="94.5703125" style="41" customWidth="1"/>
    <col min="9737" max="9985" width="11.5703125" style="41"/>
    <col min="9986" max="9986" width="29.5703125" style="41" customWidth="1"/>
    <col min="9987" max="9987" width="27.5703125" style="41" customWidth="1"/>
    <col min="9988" max="9991" width="15.5703125" style="41" customWidth="1"/>
    <col min="9992" max="9992" width="94.5703125" style="41" customWidth="1"/>
    <col min="9993" max="10241" width="11.5703125" style="41"/>
    <col min="10242" max="10242" width="29.5703125" style="41" customWidth="1"/>
    <col min="10243" max="10243" width="27.5703125" style="41" customWidth="1"/>
    <col min="10244" max="10247" width="15.5703125" style="41" customWidth="1"/>
    <col min="10248" max="10248" width="94.5703125" style="41" customWidth="1"/>
    <col min="10249" max="10497" width="11.5703125" style="41"/>
    <col min="10498" max="10498" width="29.5703125" style="41" customWidth="1"/>
    <col min="10499" max="10499" width="27.5703125" style="41" customWidth="1"/>
    <col min="10500" max="10503" width="15.5703125" style="41" customWidth="1"/>
    <col min="10504" max="10504" width="94.5703125" style="41" customWidth="1"/>
    <col min="10505" max="10753" width="11.5703125" style="41"/>
    <col min="10754" max="10754" width="29.5703125" style="41" customWidth="1"/>
    <col min="10755" max="10755" width="27.5703125" style="41" customWidth="1"/>
    <col min="10756" max="10759" width="15.5703125" style="41" customWidth="1"/>
    <col min="10760" max="10760" width="94.5703125" style="41" customWidth="1"/>
    <col min="10761" max="11009" width="11.5703125" style="41"/>
    <col min="11010" max="11010" width="29.5703125" style="41" customWidth="1"/>
    <col min="11011" max="11011" width="27.5703125" style="41" customWidth="1"/>
    <col min="11012" max="11015" width="15.5703125" style="41" customWidth="1"/>
    <col min="11016" max="11016" width="94.5703125" style="41" customWidth="1"/>
    <col min="11017" max="11265" width="11.5703125" style="41"/>
    <col min="11266" max="11266" width="29.5703125" style="41" customWidth="1"/>
    <col min="11267" max="11267" width="27.5703125" style="41" customWidth="1"/>
    <col min="11268" max="11271" width="15.5703125" style="41" customWidth="1"/>
    <col min="11272" max="11272" width="94.5703125" style="41" customWidth="1"/>
    <col min="11273" max="11521" width="11.5703125" style="41"/>
    <col min="11522" max="11522" width="29.5703125" style="41" customWidth="1"/>
    <col min="11523" max="11523" width="27.5703125" style="41" customWidth="1"/>
    <col min="11524" max="11527" width="15.5703125" style="41" customWidth="1"/>
    <col min="11528" max="11528" width="94.5703125" style="41" customWidth="1"/>
    <col min="11529" max="11777" width="11.5703125" style="41"/>
    <col min="11778" max="11778" width="29.5703125" style="41" customWidth="1"/>
    <col min="11779" max="11779" width="27.5703125" style="41" customWidth="1"/>
    <col min="11780" max="11783" width="15.5703125" style="41" customWidth="1"/>
    <col min="11784" max="11784" width="94.5703125" style="41" customWidth="1"/>
    <col min="11785" max="12033" width="11.5703125" style="41"/>
    <col min="12034" max="12034" width="29.5703125" style="41" customWidth="1"/>
    <col min="12035" max="12035" width="27.5703125" style="41" customWidth="1"/>
    <col min="12036" max="12039" width="15.5703125" style="41" customWidth="1"/>
    <col min="12040" max="12040" width="94.5703125" style="41" customWidth="1"/>
    <col min="12041" max="12289" width="11.5703125" style="41"/>
    <col min="12290" max="12290" width="29.5703125" style="41" customWidth="1"/>
    <col min="12291" max="12291" width="27.5703125" style="41" customWidth="1"/>
    <col min="12292" max="12295" width="15.5703125" style="41" customWidth="1"/>
    <col min="12296" max="12296" width="94.5703125" style="41" customWidth="1"/>
    <col min="12297" max="12545" width="11.5703125" style="41"/>
    <col min="12546" max="12546" width="29.5703125" style="41" customWidth="1"/>
    <col min="12547" max="12547" width="27.5703125" style="41" customWidth="1"/>
    <col min="12548" max="12551" width="15.5703125" style="41" customWidth="1"/>
    <col min="12552" max="12552" width="94.5703125" style="41" customWidth="1"/>
    <col min="12553" max="12801" width="11.5703125" style="41"/>
    <col min="12802" max="12802" width="29.5703125" style="41" customWidth="1"/>
    <col min="12803" max="12803" width="27.5703125" style="41" customWidth="1"/>
    <col min="12804" max="12807" width="15.5703125" style="41" customWidth="1"/>
    <col min="12808" max="12808" width="94.5703125" style="41" customWidth="1"/>
    <col min="12809" max="13057" width="11.5703125" style="41"/>
    <col min="13058" max="13058" width="29.5703125" style="41" customWidth="1"/>
    <col min="13059" max="13059" width="27.5703125" style="41" customWidth="1"/>
    <col min="13060" max="13063" width="15.5703125" style="41" customWidth="1"/>
    <col min="13064" max="13064" width="94.5703125" style="41" customWidth="1"/>
    <col min="13065" max="13313" width="11.5703125" style="41"/>
    <col min="13314" max="13314" width="29.5703125" style="41" customWidth="1"/>
    <col min="13315" max="13315" width="27.5703125" style="41" customWidth="1"/>
    <col min="13316" max="13319" width="15.5703125" style="41" customWidth="1"/>
    <col min="13320" max="13320" width="94.5703125" style="41" customWidth="1"/>
    <col min="13321" max="13569" width="11.5703125" style="41"/>
    <col min="13570" max="13570" width="29.5703125" style="41" customWidth="1"/>
    <col min="13571" max="13571" width="27.5703125" style="41" customWidth="1"/>
    <col min="13572" max="13575" width="15.5703125" style="41" customWidth="1"/>
    <col min="13576" max="13576" width="94.5703125" style="41" customWidth="1"/>
    <col min="13577" max="13825" width="11.5703125" style="41"/>
    <col min="13826" max="13826" width="29.5703125" style="41" customWidth="1"/>
    <col min="13827" max="13827" width="27.5703125" style="41" customWidth="1"/>
    <col min="13828" max="13831" width="15.5703125" style="41" customWidth="1"/>
    <col min="13832" max="13832" width="94.5703125" style="41" customWidth="1"/>
    <col min="13833" max="14081" width="11.5703125" style="41"/>
    <col min="14082" max="14082" width="29.5703125" style="41" customWidth="1"/>
    <col min="14083" max="14083" width="27.5703125" style="41" customWidth="1"/>
    <col min="14084" max="14087" width="15.5703125" style="41" customWidth="1"/>
    <col min="14088" max="14088" width="94.5703125" style="41" customWidth="1"/>
    <col min="14089" max="14337" width="11.5703125" style="41"/>
    <col min="14338" max="14338" width="29.5703125" style="41" customWidth="1"/>
    <col min="14339" max="14339" width="27.5703125" style="41" customWidth="1"/>
    <col min="14340" max="14343" width="15.5703125" style="41" customWidth="1"/>
    <col min="14344" max="14344" width="94.5703125" style="41" customWidth="1"/>
    <col min="14345" max="14593" width="11.5703125" style="41"/>
    <col min="14594" max="14594" width="29.5703125" style="41" customWidth="1"/>
    <col min="14595" max="14595" width="27.5703125" style="41" customWidth="1"/>
    <col min="14596" max="14599" width="15.5703125" style="41" customWidth="1"/>
    <col min="14600" max="14600" width="94.5703125" style="41" customWidth="1"/>
    <col min="14601" max="14849" width="11.5703125" style="41"/>
    <col min="14850" max="14850" width="29.5703125" style="41" customWidth="1"/>
    <col min="14851" max="14851" width="27.5703125" style="41" customWidth="1"/>
    <col min="14852" max="14855" width="15.5703125" style="41" customWidth="1"/>
    <col min="14856" max="14856" width="94.5703125" style="41" customWidth="1"/>
    <col min="14857" max="15105" width="11.5703125" style="41"/>
    <col min="15106" max="15106" width="29.5703125" style="41" customWidth="1"/>
    <col min="15107" max="15107" width="27.5703125" style="41" customWidth="1"/>
    <col min="15108" max="15111" width="15.5703125" style="41" customWidth="1"/>
    <col min="15112" max="15112" width="94.5703125" style="41" customWidth="1"/>
    <col min="15113" max="15361" width="11.5703125" style="41"/>
    <col min="15362" max="15362" width="29.5703125" style="41" customWidth="1"/>
    <col min="15363" max="15363" width="27.5703125" style="41" customWidth="1"/>
    <col min="15364" max="15367" width="15.5703125" style="41" customWidth="1"/>
    <col min="15368" max="15368" width="94.5703125" style="41" customWidth="1"/>
    <col min="15369" max="15617" width="11.5703125" style="41"/>
    <col min="15618" max="15618" width="29.5703125" style="41" customWidth="1"/>
    <col min="15619" max="15619" width="27.5703125" style="41" customWidth="1"/>
    <col min="15620" max="15623" width="15.5703125" style="41" customWidth="1"/>
    <col min="15624" max="15624" width="94.5703125" style="41" customWidth="1"/>
    <col min="15625" max="15873" width="11.5703125" style="41"/>
    <col min="15874" max="15874" width="29.5703125" style="41" customWidth="1"/>
    <col min="15875" max="15875" width="27.5703125" style="41" customWidth="1"/>
    <col min="15876" max="15879" width="15.5703125" style="41" customWidth="1"/>
    <col min="15880" max="15880" width="94.5703125" style="41" customWidth="1"/>
    <col min="15881" max="16129" width="11.5703125" style="41"/>
    <col min="16130" max="16130" width="29.5703125" style="41" customWidth="1"/>
    <col min="16131" max="16131" width="27.5703125" style="41" customWidth="1"/>
    <col min="16132" max="16135" width="15.5703125" style="41" customWidth="1"/>
    <col min="16136" max="16136" width="94.5703125" style="41" customWidth="1"/>
    <col min="16137" max="16384" width="11.5703125" style="41"/>
  </cols>
  <sheetData>
    <row r="1" spans="1:19" ht="30" x14ac:dyDescent="0.4">
      <c r="A1" s="121" t="s">
        <v>26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39"/>
      <c r="P1" s="39"/>
      <c r="Q1" s="39"/>
      <c r="R1" s="40" t="s">
        <v>27</v>
      </c>
      <c r="S1" s="39"/>
    </row>
    <row r="2" spans="1:19" ht="23.1" customHeight="1" x14ac:dyDescent="0.35">
      <c r="A2" s="122" t="s">
        <v>1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39"/>
      <c r="P2" s="39"/>
      <c r="Q2" s="39"/>
      <c r="R2" s="40" t="s">
        <v>28</v>
      </c>
      <c r="S2" s="39"/>
    </row>
    <row r="3" spans="1:19" ht="23.1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39"/>
      <c r="P3" s="39"/>
      <c r="Q3" s="39"/>
      <c r="R3" s="39"/>
      <c r="S3" s="39"/>
    </row>
    <row r="4" spans="1:19" ht="31.5" customHeight="1" x14ac:dyDescent="0.2">
      <c r="A4" s="43" t="s">
        <v>2</v>
      </c>
      <c r="B4" s="123" t="s">
        <v>3</v>
      </c>
      <c r="C4" s="123"/>
      <c r="D4" s="123" t="s">
        <v>4</v>
      </c>
      <c r="E4" s="123"/>
      <c r="F4" s="124" t="s">
        <v>5</v>
      </c>
      <c r="G4" s="124"/>
      <c r="H4" s="123" t="s">
        <v>6</v>
      </c>
      <c r="I4" s="123"/>
      <c r="J4" s="123" t="s">
        <v>7</v>
      </c>
      <c r="K4" s="123"/>
      <c r="L4" s="123" t="s">
        <v>8</v>
      </c>
      <c r="M4" s="123"/>
      <c r="N4" s="123"/>
      <c r="O4" s="39"/>
      <c r="P4" s="39"/>
      <c r="Q4" s="39"/>
      <c r="S4" s="39"/>
    </row>
    <row r="5" spans="1:19" s="45" customFormat="1" ht="150" customHeight="1" x14ac:dyDescent="0.2">
      <c r="A5" s="56">
        <f>MA!A5</f>
        <v>45204</v>
      </c>
      <c r="B5" s="125" t="str">
        <f>MA!B5</f>
        <v>ELFINDOLL CLASSIC</v>
      </c>
      <c r="C5" s="125"/>
      <c r="D5" s="125" t="str">
        <f>MA!D5</f>
        <v>MARUBENI FASHION LINK</v>
      </c>
      <c r="E5" s="125"/>
      <c r="F5" s="125" t="str">
        <f>MA!F5</f>
        <v>AW 2024</v>
      </c>
      <c r="G5" s="125"/>
      <c r="H5" s="125" t="str">
        <f>MA!H5</f>
        <v>GIRLS BLOUSE</v>
      </c>
      <c r="I5" s="125"/>
      <c r="J5" s="125" t="str">
        <f>MA!K5</f>
        <v>EC23AH34ML102 (BABY)
EC23AH08ML102 (TODDLER)</v>
      </c>
      <c r="K5" s="125"/>
      <c r="L5" s="120"/>
      <c r="M5" s="120"/>
      <c r="N5" s="120"/>
      <c r="O5" s="44"/>
      <c r="P5" s="44"/>
      <c r="Q5" s="44"/>
      <c r="S5" s="44"/>
    </row>
    <row r="6" spans="1:19" ht="23.1" customHeight="1" x14ac:dyDescent="0.5">
      <c r="A6" s="46"/>
      <c r="B6" s="46"/>
      <c r="C6" s="47"/>
      <c r="D6" s="47"/>
      <c r="E6" s="47"/>
      <c r="F6" s="47"/>
      <c r="G6" s="47"/>
    </row>
    <row r="7" spans="1:19" s="48" customFormat="1" ht="23.1" customHeight="1" x14ac:dyDescent="0.35">
      <c r="A7" s="129" t="s">
        <v>29</v>
      </c>
      <c r="B7" s="129"/>
      <c r="C7" s="129"/>
      <c r="D7" s="129"/>
    </row>
    <row r="8" spans="1:19" s="48" customFormat="1" ht="23.1" customHeight="1" x14ac:dyDescent="0.35">
      <c r="A8" s="49" t="s">
        <v>30</v>
      </c>
      <c r="B8" s="49" t="s">
        <v>31</v>
      </c>
      <c r="C8" s="49" t="s">
        <v>32</v>
      </c>
      <c r="D8" s="49" t="s">
        <v>33</v>
      </c>
    </row>
    <row r="9" spans="1:19" s="48" customFormat="1" ht="23.1" customHeight="1" x14ac:dyDescent="0.35">
      <c r="A9" s="60" t="s">
        <v>27</v>
      </c>
      <c r="B9" s="61" t="s">
        <v>27</v>
      </c>
      <c r="C9" s="61" t="s">
        <v>27</v>
      </c>
      <c r="D9" s="61" t="s">
        <v>28</v>
      </c>
    </row>
    <row r="10" spans="1:19" s="48" customFormat="1" ht="23.1" customHeight="1" x14ac:dyDescent="0.35">
      <c r="A10" s="46"/>
      <c r="B10" s="46"/>
      <c r="C10" s="46"/>
      <c r="D10" s="51"/>
    </row>
    <row r="11" spans="1:19" s="48" customFormat="1" ht="23.1" customHeight="1" x14ac:dyDescent="0.35">
      <c r="A11" s="52" t="s">
        <v>34</v>
      </c>
      <c r="B11" s="130" t="s">
        <v>35</v>
      </c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2"/>
    </row>
    <row r="12" spans="1:19" s="48" customFormat="1" ht="23.1" customHeight="1" x14ac:dyDescent="0.35">
      <c r="A12" s="60">
        <v>1</v>
      </c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</row>
    <row r="13" spans="1:19" ht="23.1" customHeight="1" x14ac:dyDescent="0.25">
      <c r="A13" s="50">
        <v>2</v>
      </c>
      <c r="B13" s="134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6"/>
    </row>
    <row r="14" spans="1:19" ht="23.1" customHeight="1" x14ac:dyDescent="0.25">
      <c r="A14" s="50">
        <v>3</v>
      </c>
      <c r="B14" s="126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8"/>
    </row>
    <row r="15" spans="1:19" ht="23.1" customHeight="1" x14ac:dyDescent="0.25">
      <c r="A15" s="50">
        <v>4</v>
      </c>
      <c r="B15" s="126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8"/>
    </row>
    <row r="16" spans="1:19" ht="23.1" customHeight="1" x14ac:dyDescent="0.25">
      <c r="A16" s="50">
        <v>5</v>
      </c>
      <c r="B16" s="126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8"/>
    </row>
    <row r="17" spans="1:14" ht="23.1" customHeight="1" x14ac:dyDescent="0.25">
      <c r="A17" s="50">
        <v>6</v>
      </c>
      <c r="B17" s="126"/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8"/>
    </row>
    <row r="18" spans="1:14" ht="23.1" customHeight="1" x14ac:dyDescent="0.25">
      <c r="A18" s="50">
        <v>7</v>
      </c>
      <c r="B18" s="126"/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8"/>
    </row>
    <row r="19" spans="1:14" ht="23.1" customHeight="1" x14ac:dyDescent="0.25">
      <c r="A19" s="50">
        <v>8</v>
      </c>
      <c r="B19" s="126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8"/>
    </row>
    <row r="20" spans="1:14" ht="23.1" customHeight="1" x14ac:dyDescent="0.25">
      <c r="A20" s="50">
        <v>9</v>
      </c>
      <c r="B20" s="126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8"/>
    </row>
    <row r="21" spans="1:14" ht="23.1" customHeight="1" x14ac:dyDescent="0.25">
      <c r="A21" s="50">
        <v>10</v>
      </c>
      <c r="B21" s="126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8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55"/>
  <sheetViews>
    <sheetView tabSelected="1" topLeftCell="A8" zoomScale="70" zoomScaleNormal="70" zoomScaleSheetLayoutView="70" workbookViewId="0">
      <selection activeCell="A16" sqref="A16"/>
    </sheetView>
  </sheetViews>
  <sheetFormatPr defaultColWidth="9.140625" defaultRowHeight="14.25" x14ac:dyDescent="0.2"/>
  <cols>
    <col min="1" max="1" width="16.5703125" style="1" customWidth="1"/>
    <col min="2" max="4" width="8.7109375" style="1" customWidth="1"/>
    <col min="5" max="5" width="17.140625" style="1" customWidth="1"/>
    <col min="6" max="6" width="10.42578125" style="1" customWidth="1"/>
    <col min="7" max="7" width="10.85546875" style="1" bestFit="1" customWidth="1"/>
    <col min="8" max="8" width="13.28515625" style="1" customWidth="1"/>
    <col min="9" max="9" width="8.140625" style="1" customWidth="1"/>
    <col min="10" max="10" width="11" style="1" customWidth="1"/>
    <col min="11" max="11" width="9.7109375" style="1" customWidth="1"/>
    <col min="12" max="12" width="30.28515625" style="1" customWidth="1"/>
    <col min="13" max="13" width="6.7109375" style="1" customWidth="1"/>
    <col min="14" max="14" width="7.85546875" style="1" customWidth="1"/>
    <col min="15" max="15" width="7.28515625" style="1" customWidth="1"/>
    <col min="16" max="16" width="8.28515625" style="1" customWidth="1"/>
    <col min="17" max="16384" width="9.140625" style="1"/>
  </cols>
  <sheetData>
    <row r="1" spans="1:17" ht="30" x14ac:dyDescent="0.2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</row>
    <row r="2" spans="1:17" ht="23.1" customHeight="1" x14ac:dyDescent="0.2">
      <c r="A2" s="138" t="s">
        <v>1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17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7" ht="33" customHeight="1" x14ac:dyDescent="0.2">
      <c r="A4" s="3" t="s">
        <v>2</v>
      </c>
      <c r="B4" s="139" t="s">
        <v>3</v>
      </c>
      <c r="C4" s="139"/>
      <c r="D4" s="139" t="s">
        <v>4</v>
      </c>
      <c r="E4" s="139"/>
      <c r="F4" s="140" t="s">
        <v>5</v>
      </c>
      <c r="G4" s="140"/>
      <c r="H4" s="141" t="s">
        <v>6</v>
      </c>
      <c r="I4" s="142"/>
      <c r="J4" s="143"/>
      <c r="K4" s="139" t="s">
        <v>7</v>
      </c>
      <c r="L4" s="139"/>
      <c r="M4" s="139" t="s">
        <v>8</v>
      </c>
      <c r="N4" s="139"/>
      <c r="O4" s="139"/>
      <c r="P4" s="139"/>
    </row>
    <row r="5" spans="1:17" s="4" customFormat="1" ht="99.95" customHeight="1" x14ac:dyDescent="0.2">
      <c r="A5" s="53">
        <v>45204</v>
      </c>
      <c r="B5" s="147" t="s">
        <v>40</v>
      </c>
      <c r="C5" s="147"/>
      <c r="D5" s="148" t="s">
        <v>39</v>
      </c>
      <c r="E5" s="148"/>
      <c r="F5" s="148" t="s">
        <v>42</v>
      </c>
      <c r="G5" s="148"/>
      <c r="H5" s="151" t="s">
        <v>49</v>
      </c>
      <c r="I5" s="152"/>
      <c r="J5" s="153"/>
      <c r="K5" s="149" t="s">
        <v>48</v>
      </c>
      <c r="L5" s="150"/>
      <c r="M5" s="144"/>
      <c r="N5" s="145"/>
      <c r="O5" s="145"/>
      <c r="P5" s="146"/>
    </row>
    <row r="6" spans="1:17" ht="20.85" customHeight="1" thickBot="1" x14ac:dyDescent="0.3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11"/>
      <c r="P6" s="11">
        <f>SUM(B8:M8)</f>
        <v>4</v>
      </c>
    </row>
    <row r="7" spans="1:17" ht="20.85" customHeight="1" thickBot="1" x14ac:dyDescent="0.25">
      <c r="A7" s="7" t="s">
        <v>9</v>
      </c>
      <c r="B7" s="79">
        <v>80</v>
      </c>
      <c r="C7" s="79">
        <v>90</v>
      </c>
      <c r="D7" s="79">
        <v>95</v>
      </c>
      <c r="E7" s="57"/>
      <c r="F7" s="57"/>
      <c r="G7" s="8"/>
      <c r="H7" s="8"/>
      <c r="I7" s="8"/>
      <c r="J7" s="8"/>
      <c r="K7" s="8"/>
      <c r="L7" s="8"/>
      <c r="M7" s="8"/>
      <c r="N7" s="8"/>
      <c r="O7" s="8"/>
      <c r="P7" s="9" t="s">
        <v>10</v>
      </c>
    </row>
    <row r="8" spans="1:17" ht="20.85" customHeight="1" thickTop="1" thickBot="1" x14ac:dyDescent="0.25">
      <c r="A8" s="10" t="s">
        <v>11</v>
      </c>
      <c r="B8" s="11">
        <v>1</v>
      </c>
      <c r="C8" s="11">
        <v>2</v>
      </c>
      <c r="D8" s="11">
        <v>1</v>
      </c>
      <c r="E8" s="58"/>
      <c r="F8" s="58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7" ht="20.85" customHeight="1" thickBot="1" x14ac:dyDescent="0.25">
      <c r="A9" s="7" t="s">
        <v>9</v>
      </c>
      <c r="B9" s="79">
        <v>100</v>
      </c>
      <c r="C9" s="79">
        <v>110</v>
      </c>
      <c r="D9" s="79">
        <v>120</v>
      </c>
      <c r="E9" s="79">
        <v>130</v>
      </c>
      <c r="F9" s="57"/>
      <c r="G9" s="8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7" ht="20.85" customHeight="1" thickTop="1" thickBot="1" x14ac:dyDescent="0.25">
      <c r="A10" s="10" t="s">
        <v>11</v>
      </c>
      <c r="B10" s="11">
        <v>1</v>
      </c>
      <c r="C10" s="11">
        <v>2</v>
      </c>
      <c r="D10" s="11">
        <v>2</v>
      </c>
      <c r="E10" s="11">
        <v>1</v>
      </c>
      <c r="F10" s="58"/>
      <c r="G10" s="11"/>
      <c r="H10" s="11"/>
      <c r="I10" s="11"/>
      <c r="J10" s="11"/>
      <c r="K10" s="11"/>
      <c r="L10" s="11"/>
      <c r="M10" s="11"/>
      <c r="N10" s="11"/>
      <c r="O10" s="11"/>
      <c r="P10" s="11">
        <f>SUM(B10:M10)</f>
        <v>6</v>
      </c>
    </row>
    <row r="11" spans="1:17" ht="20.85" customHeight="1" thickBot="1" x14ac:dyDescent="0.25">
      <c r="A11" s="7" t="s">
        <v>9</v>
      </c>
      <c r="B11" s="79">
        <v>140</v>
      </c>
      <c r="C11" s="79">
        <v>150</v>
      </c>
      <c r="D11" s="79">
        <v>160</v>
      </c>
      <c r="E11" s="79"/>
      <c r="F11" s="8"/>
      <c r="G11" s="8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7" ht="20.85" customHeight="1" thickTop="1" thickBot="1" x14ac:dyDescent="0.25">
      <c r="A12" s="10" t="s">
        <v>11</v>
      </c>
      <c r="B12" s="11">
        <v>1</v>
      </c>
      <c r="C12" s="11">
        <v>2</v>
      </c>
      <c r="D12" s="11">
        <v>1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>
        <f>SUM(B12:M12)</f>
        <v>4</v>
      </c>
    </row>
    <row r="13" spans="1:17" ht="20.85" customHeight="1" thickBot="1" x14ac:dyDescent="0.3">
      <c r="A13" s="5"/>
      <c r="B13" s="5"/>
      <c r="C13" s="5"/>
      <c r="D13" s="5"/>
      <c r="E13" s="5"/>
      <c r="F13" s="5"/>
      <c r="G13" s="6"/>
      <c r="H13" s="6"/>
      <c r="I13" s="6"/>
      <c r="J13" s="6"/>
      <c r="K13" s="6"/>
      <c r="L13" s="6"/>
      <c r="M13" s="6"/>
      <c r="N13" s="6"/>
      <c r="O13" s="6"/>
      <c r="P13" s="5"/>
    </row>
    <row r="14" spans="1:17" ht="30" customHeight="1" thickBot="1" x14ac:dyDescent="0.25">
      <c r="A14" s="103" t="s">
        <v>2</v>
      </c>
      <c r="B14" s="105" t="s">
        <v>12</v>
      </c>
      <c r="C14" s="105"/>
      <c r="D14" s="105"/>
      <c r="E14" s="105"/>
      <c r="F14" s="107" t="s">
        <v>13</v>
      </c>
      <c r="G14" s="109" t="s">
        <v>9</v>
      </c>
      <c r="H14" s="111" t="s">
        <v>38</v>
      </c>
      <c r="I14" s="116" t="s">
        <v>37</v>
      </c>
      <c r="J14" s="116"/>
      <c r="K14" s="116"/>
      <c r="L14" s="107" t="s">
        <v>15</v>
      </c>
      <c r="M14" s="163" t="s">
        <v>16</v>
      </c>
      <c r="N14" s="163"/>
      <c r="O14" s="163"/>
      <c r="P14" s="163"/>
    </row>
    <row r="15" spans="1:17" ht="30" customHeight="1" thickTop="1" x14ac:dyDescent="0.2">
      <c r="A15" s="104"/>
      <c r="B15" s="106"/>
      <c r="C15" s="106"/>
      <c r="D15" s="106"/>
      <c r="E15" s="106"/>
      <c r="F15" s="108"/>
      <c r="G15" s="110"/>
      <c r="H15" s="112"/>
      <c r="I15" s="21" t="s">
        <v>17</v>
      </c>
      <c r="J15" s="22" t="s">
        <v>18</v>
      </c>
      <c r="K15" s="21" t="s">
        <v>19</v>
      </c>
      <c r="L15" s="108"/>
      <c r="M15" s="164"/>
      <c r="N15" s="164"/>
      <c r="O15" s="164"/>
      <c r="P15" s="164"/>
    </row>
    <row r="16" spans="1:17" s="4" customFormat="1" ht="57" customHeight="1" x14ac:dyDescent="0.25">
      <c r="A16" s="69">
        <f>A5</f>
        <v>45204</v>
      </c>
      <c r="B16" s="155" t="s">
        <v>50</v>
      </c>
      <c r="C16" s="155"/>
      <c r="D16" s="155"/>
      <c r="E16" s="155"/>
      <c r="F16" s="85" t="s">
        <v>51</v>
      </c>
      <c r="G16" s="81" t="s">
        <v>43</v>
      </c>
      <c r="H16" s="86" t="s">
        <v>54</v>
      </c>
      <c r="I16" s="84">
        <v>1</v>
      </c>
      <c r="J16" s="71">
        <f>'A1'!$J$3</f>
        <v>6.0629999999999997</v>
      </c>
      <c r="K16" s="72">
        <v>86.48</v>
      </c>
      <c r="L16" s="70">
        <f>'A1'!$L$3</f>
        <v>0.60599999999999998</v>
      </c>
      <c r="M16" s="160" t="s">
        <v>41</v>
      </c>
      <c r="N16" s="160"/>
      <c r="O16" s="160"/>
      <c r="P16" s="160"/>
      <c r="Q16" s="73" t="s">
        <v>60</v>
      </c>
    </row>
    <row r="17" spans="1:17" ht="20.25" customHeight="1" x14ac:dyDescent="0.25">
      <c r="A17" s="53"/>
      <c r="B17" s="154"/>
      <c r="C17" s="154"/>
      <c r="D17" s="154"/>
      <c r="E17" s="154"/>
      <c r="F17" s="80"/>
      <c r="G17" s="82"/>
      <c r="H17" s="86" t="s">
        <v>55</v>
      </c>
      <c r="I17" s="84"/>
      <c r="J17" s="27"/>
      <c r="K17" s="55"/>
      <c r="L17" s="38"/>
      <c r="M17" s="165"/>
      <c r="N17" s="165"/>
      <c r="O17" s="165"/>
      <c r="P17" s="165"/>
      <c r="Q17" s="35"/>
    </row>
    <row r="18" spans="1:17" s="4" customFormat="1" ht="52.5" customHeight="1" x14ac:dyDescent="0.25">
      <c r="A18" s="69"/>
      <c r="B18" s="155" t="s">
        <v>45</v>
      </c>
      <c r="C18" s="155"/>
      <c r="D18" s="155"/>
      <c r="E18" s="155"/>
      <c r="F18" s="85" t="s">
        <v>46</v>
      </c>
      <c r="G18" s="81" t="s">
        <v>43</v>
      </c>
      <c r="H18" s="86" t="s">
        <v>56</v>
      </c>
      <c r="I18" s="84">
        <v>1</v>
      </c>
      <c r="J18" s="71">
        <f>'A2'!$J$3</f>
        <v>0.77100000000000002</v>
      </c>
      <c r="K18" s="72">
        <v>75.7</v>
      </c>
      <c r="L18" s="70">
        <f>'A2'!$L$3</f>
        <v>7.6999999999999999E-2</v>
      </c>
      <c r="M18" s="160"/>
      <c r="N18" s="160"/>
      <c r="O18" s="160"/>
      <c r="P18" s="160"/>
      <c r="Q18" s="73" t="s">
        <v>63</v>
      </c>
    </row>
    <row r="19" spans="1:17" ht="23.1" customHeight="1" x14ac:dyDescent="0.25">
      <c r="A19" s="53"/>
      <c r="B19" s="154"/>
      <c r="C19" s="154"/>
      <c r="D19" s="154"/>
      <c r="E19" s="154"/>
      <c r="F19" s="80"/>
      <c r="G19" s="82"/>
      <c r="H19" s="86" t="s">
        <v>55</v>
      </c>
      <c r="I19" s="84"/>
      <c r="J19" s="27"/>
      <c r="K19" s="55"/>
      <c r="L19" s="38"/>
      <c r="M19" s="161"/>
      <c r="N19" s="161"/>
      <c r="O19" s="161"/>
      <c r="P19" s="161"/>
      <c r="Q19" s="35"/>
    </row>
    <row r="20" spans="1:17" s="4" customFormat="1" ht="46.5" customHeight="1" x14ac:dyDescent="0.25">
      <c r="A20" s="69"/>
      <c r="B20" s="155" t="s">
        <v>47</v>
      </c>
      <c r="C20" s="155"/>
      <c r="D20" s="155"/>
      <c r="E20" s="155"/>
      <c r="F20" s="85"/>
      <c r="G20" s="81" t="s">
        <v>43</v>
      </c>
      <c r="H20" s="90" t="s">
        <v>69</v>
      </c>
      <c r="I20" s="84"/>
      <c r="J20" s="91" t="str">
        <f>'A3'!$J$3</f>
        <v/>
      </c>
      <c r="K20" s="92"/>
      <c r="L20" s="70" t="str">
        <f>'A3'!$L$3</f>
        <v/>
      </c>
      <c r="M20" s="162"/>
      <c r="N20" s="162"/>
      <c r="O20" s="162"/>
      <c r="P20" s="162"/>
      <c r="Q20" s="73" t="s">
        <v>66</v>
      </c>
    </row>
    <row r="21" spans="1:17" ht="23.1" customHeight="1" x14ac:dyDescent="0.25">
      <c r="A21" s="59"/>
      <c r="B21" s="167"/>
      <c r="C21" s="168"/>
      <c r="D21" s="168"/>
      <c r="E21" s="169"/>
      <c r="F21" s="80"/>
      <c r="G21" s="82"/>
      <c r="H21" s="26"/>
      <c r="I21" s="84"/>
      <c r="J21" s="27"/>
      <c r="K21" s="55"/>
      <c r="L21" s="38"/>
      <c r="M21" s="161"/>
      <c r="N21" s="161"/>
      <c r="O21" s="161"/>
      <c r="P21" s="161"/>
      <c r="Q21" s="35"/>
    </row>
    <row r="22" spans="1:17" s="4" customFormat="1" ht="47.25" customHeight="1" x14ac:dyDescent="0.25">
      <c r="A22" s="69"/>
      <c r="B22" s="155" t="s">
        <v>44</v>
      </c>
      <c r="C22" s="155"/>
      <c r="D22" s="155"/>
      <c r="E22" s="155"/>
      <c r="F22" s="85"/>
      <c r="G22" s="81" t="s">
        <v>43</v>
      </c>
      <c r="H22" s="99" t="s">
        <v>72</v>
      </c>
      <c r="I22" s="84"/>
      <c r="J22" s="67">
        <f>'A4'!$J$3</f>
        <v>0</v>
      </c>
      <c r="K22" s="74"/>
      <c r="L22" s="70" t="str">
        <f>'A4'!$L$3</f>
        <v/>
      </c>
      <c r="M22" s="156"/>
      <c r="N22" s="157"/>
      <c r="O22" s="157"/>
      <c r="P22" s="158"/>
      <c r="Q22" s="73" t="s">
        <v>67</v>
      </c>
    </row>
    <row r="23" spans="1:17" ht="23.1" customHeight="1" x14ac:dyDescent="0.25">
      <c r="A23" s="29"/>
      <c r="B23" s="154"/>
      <c r="C23" s="154"/>
      <c r="D23" s="154"/>
      <c r="E23" s="154"/>
      <c r="F23" s="80"/>
      <c r="G23" s="82"/>
      <c r="H23" s="27"/>
      <c r="I23" s="84"/>
      <c r="J23" s="27"/>
      <c r="K23" s="55"/>
      <c r="L23" s="27"/>
      <c r="M23" s="159"/>
      <c r="N23" s="159"/>
      <c r="O23" s="159"/>
      <c r="P23" s="159"/>
      <c r="Q23" s="35"/>
    </row>
    <row r="24" spans="1:17" s="4" customFormat="1" ht="51.75" customHeight="1" x14ac:dyDescent="0.25">
      <c r="A24" s="76"/>
      <c r="B24" s="155" t="s">
        <v>52</v>
      </c>
      <c r="C24" s="155"/>
      <c r="D24" s="155"/>
      <c r="E24" s="155"/>
      <c r="F24" s="85"/>
      <c r="G24" s="81" t="s">
        <v>43</v>
      </c>
      <c r="H24" s="96" t="s">
        <v>70</v>
      </c>
      <c r="I24" s="84"/>
      <c r="J24" s="97" t="str">
        <f>'A5'!$J$3</f>
        <v/>
      </c>
      <c r="K24" s="98"/>
      <c r="L24" s="67" t="str">
        <f>'A5'!$L$3</f>
        <v/>
      </c>
      <c r="M24" s="162"/>
      <c r="N24" s="162"/>
      <c r="O24" s="162"/>
      <c r="P24" s="162"/>
      <c r="Q24" s="73" t="s">
        <v>87</v>
      </c>
    </row>
    <row r="25" spans="1:17" ht="23.1" customHeight="1" x14ac:dyDescent="0.25">
      <c r="A25" s="28"/>
      <c r="B25" s="154"/>
      <c r="C25" s="154"/>
      <c r="D25" s="154"/>
      <c r="E25" s="154"/>
      <c r="F25" s="80"/>
      <c r="G25" s="82"/>
      <c r="H25" s="38"/>
      <c r="I25" s="84"/>
      <c r="J25" s="27"/>
      <c r="K25" s="55"/>
      <c r="L25" s="64"/>
      <c r="M25" s="161"/>
      <c r="N25" s="161"/>
      <c r="O25" s="161"/>
      <c r="P25" s="161"/>
      <c r="Q25" s="35"/>
    </row>
    <row r="26" spans="1:17" s="4" customFormat="1" ht="46.5" customHeight="1" x14ac:dyDescent="0.25">
      <c r="A26" s="78"/>
      <c r="B26" s="155" t="s">
        <v>50</v>
      </c>
      <c r="C26" s="155"/>
      <c r="D26" s="155"/>
      <c r="E26" s="155"/>
      <c r="F26" s="85" t="s">
        <v>51</v>
      </c>
      <c r="G26" s="81" t="s">
        <v>53</v>
      </c>
      <c r="H26" s="86" t="s">
        <v>57</v>
      </c>
      <c r="I26" s="84"/>
      <c r="J26" s="67">
        <f>'A6'!$J$3</f>
        <v>7.33</v>
      </c>
      <c r="K26" s="55">
        <v>85.39</v>
      </c>
      <c r="L26" s="67" t="str">
        <f>'A6'!$L$3</f>
        <v/>
      </c>
      <c r="M26" s="166"/>
      <c r="N26" s="166"/>
      <c r="O26" s="166"/>
      <c r="P26" s="166"/>
      <c r="Q26" s="73" t="s">
        <v>103</v>
      </c>
    </row>
    <row r="27" spans="1:17" ht="23.1" customHeight="1" x14ac:dyDescent="0.25">
      <c r="A27" s="28"/>
      <c r="B27" s="154"/>
      <c r="C27" s="154"/>
      <c r="D27" s="154"/>
      <c r="E27" s="154"/>
      <c r="F27" s="80"/>
      <c r="G27" s="82"/>
      <c r="H27" s="86" t="s">
        <v>58</v>
      </c>
      <c r="I27" s="84"/>
      <c r="J27" s="27"/>
      <c r="L27" s="65"/>
      <c r="M27" s="159"/>
      <c r="N27" s="159"/>
      <c r="O27" s="159"/>
      <c r="P27" s="159"/>
      <c r="Q27" s="35"/>
    </row>
    <row r="28" spans="1:17" s="4" customFormat="1" ht="39.950000000000003" customHeight="1" x14ac:dyDescent="0.25">
      <c r="A28" s="76"/>
      <c r="B28" s="155" t="s">
        <v>45</v>
      </c>
      <c r="C28" s="155"/>
      <c r="D28" s="155"/>
      <c r="E28" s="155"/>
      <c r="F28" s="85" t="s">
        <v>46</v>
      </c>
      <c r="G28" s="81" t="s">
        <v>53</v>
      </c>
      <c r="H28" s="86" t="s">
        <v>59</v>
      </c>
      <c r="I28" s="84"/>
      <c r="J28" s="68">
        <f>'A7'!$J$3</f>
        <v>1.0209999999999999</v>
      </c>
      <c r="K28" s="74">
        <v>77.260000000000005</v>
      </c>
      <c r="L28" s="83" t="str">
        <f>'A7'!$L$3</f>
        <v/>
      </c>
      <c r="M28" s="159"/>
      <c r="N28" s="159"/>
      <c r="O28" s="159"/>
      <c r="P28" s="159"/>
      <c r="Q28" s="73" t="s">
        <v>106</v>
      </c>
    </row>
    <row r="29" spans="1:17" ht="23.1" customHeight="1" x14ac:dyDescent="0.25">
      <c r="A29" s="28"/>
      <c r="B29" s="154"/>
      <c r="C29" s="154"/>
      <c r="D29" s="154"/>
      <c r="E29" s="154"/>
      <c r="F29" s="80"/>
      <c r="G29" s="82"/>
      <c r="H29" s="86" t="s">
        <v>58</v>
      </c>
      <c r="I29" s="84">
        <v>219</v>
      </c>
      <c r="J29" s="62"/>
      <c r="K29" s="55"/>
      <c r="L29" s="63"/>
      <c r="M29" s="170"/>
      <c r="N29" s="171"/>
      <c r="O29" s="171"/>
      <c r="P29" s="172"/>
      <c r="Q29" s="35"/>
    </row>
    <row r="30" spans="1:17" s="4" customFormat="1" ht="42" customHeight="1" x14ac:dyDescent="0.25">
      <c r="A30" s="76"/>
      <c r="B30" s="155" t="s">
        <v>47</v>
      </c>
      <c r="C30" s="155"/>
      <c r="D30" s="155"/>
      <c r="E30" s="155"/>
      <c r="F30" s="85"/>
      <c r="G30" s="81" t="s">
        <v>53</v>
      </c>
      <c r="H30" s="90" t="s">
        <v>71</v>
      </c>
      <c r="I30" s="84"/>
      <c r="J30" s="91" t="str">
        <f>'A8'!$J$3</f>
        <v/>
      </c>
      <c r="K30" s="92"/>
      <c r="L30" s="70" t="str">
        <f>'A8'!$L$3</f>
        <v/>
      </c>
      <c r="M30" s="166"/>
      <c r="N30" s="166"/>
      <c r="O30" s="166"/>
      <c r="P30" s="166"/>
      <c r="Q30" s="73" t="s">
        <v>90</v>
      </c>
    </row>
    <row r="31" spans="1:17" ht="23.1" customHeight="1" x14ac:dyDescent="0.25">
      <c r="A31" s="28"/>
      <c r="B31" s="167"/>
      <c r="C31" s="168"/>
      <c r="D31" s="168"/>
      <c r="E31" s="169"/>
      <c r="F31" s="80"/>
      <c r="G31" s="82"/>
      <c r="H31" s="26"/>
      <c r="I31" s="84"/>
      <c r="J31" s="27"/>
      <c r="K31" s="55"/>
      <c r="L31" s="38"/>
      <c r="M31" s="159"/>
      <c r="N31" s="159"/>
      <c r="O31" s="159"/>
      <c r="P31" s="159"/>
      <c r="Q31" s="35"/>
    </row>
    <row r="32" spans="1:17" s="4" customFormat="1" ht="56.25" customHeight="1" x14ac:dyDescent="0.25">
      <c r="A32" s="76"/>
      <c r="B32" s="155" t="s">
        <v>44</v>
      </c>
      <c r="C32" s="155"/>
      <c r="D32" s="155"/>
      <c r="E32" s="155"/>
      <c r="F32" s="85"/>
      <c r="G32" s="81" t="s">
        <v>53</v>
      </c>
      <c r="H32" s="90" t="s">
        <v>73</v>
      </c>
      <c r="I32" s="84"/>
      <c r="J32" s="67">
        <f>'A9'!$J$3</f>
        <v>0</v>
      </c>
      <c r="K32" s="74"/>
      <c r="L32" s="70" t="str">
        <f>'A9'!$L$3</f>
        <v/>
      </c>
      <c r="M32" s="166"/>
      <c r="N32" s="166"/>
      <c r="O32" s="166"/>
      <c r="P32" s="166"/>
      <c r="Q32" s="73" t="s">
        <v>92</v>
      </c>
    </row>
    <row r="33" spans="1:17" ht="23.1" customHeight="1" x14ac:dyDescent="0.25">
      <c r="A33" s="28"/>
      <c r="B33" s="154"/>
      <c r="C33" s="154"/>
      <c r="D33" s="154"/>
      <c r="E33" s="154"/>
      <c r="F33" s="80"/>
      <c r="G33" s="82"/>
      <c r="H33" s="27"/>
      <c r="I33" s="84">
        <v>87</v>
      </c>
      <c r="J33" s="27"/>
      <c r="K33" s="55"/>
      <c r="L33" s="38"/>
      <c r="M33" s="159"/>
      <c r="N33" s="159"/>
      <c r="O33" s="159"/>
      <c r="P33" s="159"/>
      <c r="Q33" s="35"/>
    </row>
    <row r="34" spans="1:17" ht="45.75" customHeight="1" x14ac:dyDescent="0.25">
      <c r="A34" s="28"/>
      <c r="B34" s="155" t="s">
        <v>52</v>
      </c>
      <c r="C34" s="155"/>
      <c r="D34" s="155"/>
      <c r="E34" s="155"/>
      <c r="F34" s="85"/>
      <c r="G34" s="81" t="s">
        <v>53</v>
      </c>
      <c r="H34" s="93" t="s">
        <v>74</v>
      </c>
      <c r="I34" s="84"/>
      <c r="J34" s="94"/>
      <c r="K34" s="95"/>
      <c r="L34" s="38"/>
      <c r="M34" s="159"/>
      <c r="N34" s="159"/>
      <c r="O34" s="159"/>
      <c r="P34" s="159"/>
      <c r="Q34" s="35"/>
    </row>
    <row r="35" spans="1:17" ht="23.1" customHeight="1" x14ac:dyDescent="0.25">
      <c r="A35" s="29">
        <v>45280</v>
      </c>
      <c r="B35" s="155" t="s">
        <v>50</v>
      </c>
      <c r="C35" s="155"/>
      <c r="D35" s="155"/>
      <c r="E35" s="155"/>
      <c r="F35" s="85" t="s">
        <v>51</v>
      </c>
      <c r="G35" s="81" t="s">
        <v>43</v>
      </c>
      <c r="H35" s="88" t="s">
        <v>78</v>
      </c>
      <c r="I35" s="84">
        <v>12</v>
      </c>
      <c r="J35" s="38">
        <f>'A10'!$J$3</f>
        <v>5.7220000000000004</v>
      </c>
      <c r="K35" s="55">
        <v>88.27</v>
      </c>
      <c r="L35" s="27">
        <f>'A10'!$L$3</f>
        <v>0.47699999999999998</v>
      </c>
      <c r="M35" s="173" t="s">
        <v>75</v>
      </c>
      <c r="N35" s="173"/>
      <c r="O35" s="173"/>
      <c r="P35" s="173"/>
      <c r="Q35" s="35" t="s">
        <v>93</v>
      </c>
    </row>
    <row r="36" spans="1:17" ht="25.5" customHeight="1" x14ac:dyDescent="0.25">
      <c r="A36" s="28"/>
      <c r="B36" s="154"/>
      <c r="C36" s="154"/>
      <c r="D36" s="154"/>
      <c r="E36" s="154"/>
      <c r="F36" s="80"/>
      <c r="G36" s="82"/>
      <c r="H36" s="88" t="s">
        <v>79</v>
      </c>
      <c r="I36" s="84"/>
      <c r="J36" s="27"/>
      <c r="K36" s="55"/>
      <c r="L36" s="27"/>
      <c r="M36" s="173"/>
      <c r="N36" s="173"/>
      <c r="O36" s="173"/>
      <c r="P36" s="173"/>
      <c r="Q36" s="35"/>
    </row>
    <row r="37" spans="1:17" ht="23.1" customHeight="1" x14ac:dyDescent="0.25">
      <c r="A37" s="28"/>
      <c r="B37" s="155" t="s">
        <v>45</v>
      </c>
      <c r="C37" s="155"/>
      <c r="D37" s="155"/>
      <c r="E37" s="155"/>
      <c r="F37" s="85" t="s">
        <v>46</v>
      </c>
      <c r="G37" s="81" t="s">
        <v>43</v>
      </c>
      <c r="H37" s="88" t="s">
        <v>80</v>
      </c>
      <c r="I37" s="84">
        <v>12</v>
      </c>
      <c r="J37" s="27">
        <f>'A11'!$J$3</f>
        <v>1.292</v>
      </c>
      <c r="K37" s="55">
        <v>77.12</v>
      </c>
      <c r="L37" s="27">
        <f>'A11'!$L$3</f>
        <v>0.108</v>
      </c>
      <c r="M37" s="173" t="s">
        <v>75</v>
      </c>
      <c r="N37" s="173"/>
      <c r="O37" s="173"/>
      <c r="P37" s="173"/>
      <c r="Q37" s="35" t="s">
        <v>96</v>
      </c>
    </row>
    <row r="38" spans="1:17" ht="27.75" customHeight="1" x14ac:dyDescent="0.25">
      <c r="A38" s="28"/>
      <c r="B38" s="155"/>
      <c r="C38" s="155"/>
      <c r="D38" s="155"/>
      <c r="E38" s="155"/>
      <c r="F38" s="85"/>
      <c r="G38" s="81"/>
      <c r="H38" s="88" t="s">
        <v>79</v>
      </c>
      <c r="I38" s="84"/>
      <c r="J38" s="38"/>
      <c r="K38" s="55"/>
      <c r="L38" s="27"/>
      <c r="M38" s="173"/>
      <c r="N38" s="173"/>
      <c r="O38" s="173"/>
      <c r="P38" s="173"/>
      <c r="Q38" s="35"/>
    </row>
    <row r="39" spans="1:17" ht="23.1" customHeight="1" x14ac:dyDescent="0.25">
      <c r="A39" s="28"/>
      <c r="B39" s="155" t="s">
        <v>50</v>
      </c>
      <c r="C39" s="155"/>
      <c r="D39" s="155"/>
      <c r="E39" s="155"/>
      <c r="F39" s="85" t="s">
        <v>51</v>
      </c>
      <c r="G39" s="81" t="s">
        <v>53</v>
      </c>
      <c r="H39" s="88" t="s">
        <v>81</v>
      </c>
      <c r="I39" s="84">
        <v>15</v>
      </c>
      <c r="J39" s="27">
        <f>'A12'!$J$3</f>
        <v>9.6549999999999994</v>
      </c>
      <c r="K39" s="55">
        <v>88.49</v>
      </c>
      <c r="L39" s="27">
        <f>'A12'!$L$3</f>
        <v>0.64400000000000002</v>
      </c>
      <c r="M39" s="173" t="s">
        <v>75</v>
      </c>
      <c r="N39" s="173"/>
      <c r="O39" s="173"/>
      <c r="P39" s="173"/>
      <c r="Q39" s="35" t="s">
        <v>98</v>
      </c>
    </row>
    <row r="40" spans="1:17" ht="23.1" customHeight="1" x14ac:dyDescent="0.25">
      <c r="A40" s="28"/>
      <c r="B40" s="154"/>
      <c r="C40" s="154"/>
      <c r="D40" s="154"/>
      <c r="E40" s="154"/>
      <c r="F40" s="80"/>
      <c r="G40" s="82"/>
      <c r="H40" s="88" t="s">
        <v>82</v>
      </c>
      <c r="I40" s="84"/>
      <c r="J40" s="27"/>
      <c r="K40" s="55"/>
      <c r="L40" s="27"/>
      <c r="M40" s="174"/>
      <c r="N40" s="175"/>
      <c r="O40" s="175"/>
      <c r="P40" s="176"/>
      <c r="Q40" s="35"/>
    </row>
    <row r="41" spans="1:17" ht="23.1" customHeight="1" x14ac:dyDescent="0.25">
      <c r="A41" s="28"/>
      <c r="B41" s="155" t="s">
        <v>45</v>
      </c>
      <c r="C41" s="155"/>
      <c r="D41" s="155"/>
      <c r="E41" s="155"/>
      <c r="F41" s="85" t="s">
        <v>46</v>
      </c>
      <c r="G41" s="81" t="s">
        <v>53</v>
      </c>
      <c r="H41" s="88" t="s">
        <v>76</v>
      </c>
      <c r="I41" s="84">
        <v>15</v>
      </c>
      <c r="J41" s="27">
        <f>'A13'!$J$3</f>
        <v>1.5980000000000001</v>
      </c>
      <c r="K41" s="55">
        <v>81.63</v>
      </c>
      <c r="L41" s="27">
        <f>'A13'!$L$3</f>
        <v>0.107</v>
      </c>
      <c r="M41" s="173" t="s">
        <v>75</v>
      </c>
      <c r="N41" s="173"/>
      <c r="O41" s="173"/>
      <c r="P41" s="173"/>
      <c r="Q41" s="35" t="s">
        <v>101</v>
      </c>
    </row>
    <row r="42" spans="1:17" ht="23.1" customHeight="1" x14ac:dyDescent="0.25">
      <c r="A42" s="28"/>
      <c r="B42" s="182"/>
      <c r="C42" s="182"/>
      <c r="D42" s="182"/>
      <c r="E42" s="182"/>
      <c r="F42" s="66"/>
      <c r="G42" s="27"/>
      <c r="H42" s="88" t="s">
        <v>77</v>
      </c>
      <c r="I42" s="27"/>
      <c r="J42" s="27"/>
      <c r="K42" s="55"/>
      <c r="L42" s="27"/>
      <c r="M42" s="179"/>
      <c r="N42" s="179"/>
      <c r="O42" s="179"/>
      <c r="P42" s="179"/>
      <c r="Q42" s="35"/>
    </row>
    <row r="43" spans="1:17" ht="23.1" customHeight="1" x14ac:dyDescent="0.25">
      <c r="A43" s="29"/>
      <c r="B43" s="118"/>
      <c r="C43" s="118"/>
      <c r="D43" s="118"/>
      <c r="E43" s="118"/>
      <c r="F43" s="38"/>
      <c r="G43" s="27"/>
      <c r="H43" s="27"/>
      <c r="I43" s="27"/>
      <c r="J43" s="27"/>
      <c r="K43" s="55"/>
      <c r="L43" s="27"/>
      <c r="M43" s="179"/>
      <c r="N43" s="179"/>
      <c r="O43" s="179"/>
      <c r="P43" s="179"/>
      <c r="Q43" s="35"/>
    </row>
    <row r="44" spans="1:17" ht="23.1" customHeight="1" x14ac:dyDescent="0.25">
      <c r="A44" s="29"/>
      <c r="B44" s="182"/>
      <c r="C44" s="182"/>
      <c r="D44" s="182"/>
      <c r="E44" s="182"/>
      <c r="F44" s="66"/>
      <c r="G44" s="27"/>
      <c r="H44" s="38"/>
      <c r="I44" s="27"/>
      <c r="J44" s="38"/>
      <c r="K44" s="55"/>
      <c r="L44" s="27"/>
      <c r="M44" s="179"/>
      <c r="N44" s="179"/>
      <c r="O44" s="179"/>
      <c r="P44" s="179"/>
      <c r="Q44" s="35"/>
    </row>
    <row r="45" spans="1:17" ht="23.1" customHeight="1" x14ac:dyDescent="0.25">
      <c r="A45" s="28"/>
      <c r="B45" s="182"/>
      <c r="C45" s="182"/>
      <c r="D45" s="182"/>
      <c r="E45" s="182"/>
      <c r="F45" s="54"/>
      <c r="G45" s="27"/>
      <c r="H45" s="26"/>
      <c r="I45" s="27"/>
      <c r="J45" s="27"/>
      <c r="K45" s="55"/>
      <c r="L45" s="27"/>
      <c r="M45" s="179"/>
      <c r="N45" s="179"/>
      <c r="O45" s="179"/>
      <c r="P45" s="179"/>
      <c r="Q45" s="35"/>
    </row>
    <row r="46" spans="1:17" ht="23.1" customHeight="1" x14ac:dyDescent="0.25">
      <c r="A46" s="28"/>
      <c r="B46" s="182"/>
      <c r="C46" s="182"/>
      <c r="D46" s="182"/>
      <c r="E46" s="182"/>
      <c r="F46" s="66"/>
      <c r="G46" s="27"/>
      <c r="H46" s="27"/>
      <c r="I46" s="27"/>
      <c r="J46" s="27"/>
      <c r="K46" s="55"/>
      <c r="L46" s="27"/>
      <c r="M46" s="179"/>
      <c r="N46" s="179"/>
      <c r="O46" s="179"/>
      <c r="P46" s="179"/>
      <c r="Q46" s="35"/>
    </row>
    <row r="47" spans="1:17" ht="23.1" customHeight="1" x14ac:dyDescent="0.25">
      <c r="A47" s="29"/>
      <c r="B47" s="118"/>
      <c r="C47" s="118"/>
      <c r="D47" s="118"/>
      <c r="E47" s="118"/>
      <c r="F47" s="38"/>
      <c r="G47" s="27"/>
      <c r="H47" s="38"/>
      <c r="I47" s="27"/>
      <c r="J47" s="38"/>
      <c r="K47" s="55"/>
      <c r="L47" s="27"/>
      <c r="M47" s="179"/>
      <c r="N47" s="179"/>
      <c r="O47" s="179"/>
      <c r="P47" s="179"/>
      <c r="Q47" s="35"/>
    </row>
    <row r="48" spans="1:17" ht="23.1" customHeight="1" x14ac:dyDescent="0.25">
      <c r="A48" s="29"/>
      <c r="B48" s="182"/>
      <c r="C48" s="182"/>
      <c r="D48" s="182"/>
      <c r="E48" s="182"/>
      <c r="F48" s="66"/>
      <c r="G48" s="27"/>
      <c r="H48" s="26"/>
      <c r="I48" s="27"/>
      <c r="J48" s="27"/>
      <c r="K48" s="55"/>
      <c r="L48" s="27"/>
      <c r="M48" s="179"/>
      <c r="N48" s="179"/>
      <c r="O48" s="179"/>
      <c r="P48" s="179"/>
      <c r="Q48" s="35"/>
    </row>
    <row r="49" spans="1:17" ht="23.1" customHeight="1" x14ac:dyDescent="0.25">
      <c r="A49" s="29"/>
      <c r="B49" s="182"/>
      <c r="C49" s="182"/>
      <c r="D49" s="182"/>
      <c r="E49" s="182"/>
      <c r="F49" s="54"/>
      <c r="G49" s="27"/>
      <c r="H49" s="27"/>
      <c r="I49" s="27"/>
      <c r="J49" s="27"/>
      <c r="K49" s="55"/>
      <c r="L49" s="27"/>
      <c r="M49" s="179"/>
      <c r="N49" s="179"/>
      <c r="O49" s="179"/>
      <c r="P49" s="179"/>
      <c r="Q49" s="35"/>
    </row>
    <row r="50" spans="1:17" ht="23.1" customHeight="1" x14ac:dyDescent="0.25">
      <c r="A50" s="29"/>
      <c r="B50" s="182"/>
      <c r="C50" s="182"/>
      <c r="D50" s="182"/>
      <c r="E50" s="182"/>
      <c r="F50" s="66"/>
      <c r="G50" s="27"/>
      <c r="H50" s="27"/>
      <c r="I50" s="27"/>
      <c r="J50" s="27"/>
      <c r="K50" s="55"/>
      <c r="L50" s="27"/>
      <c r="M50" s="179"/>
      <c r="N50" s="179"/>
      <c r="O50" s="179"/>
      <c r="P50" s="179"/>
      <c r="Q50" s="35"/>
    </row>
    <row r="51" spans="1:17" ht="23.1" customHeight="1" x14ac:dyDescent="0.25">
      <c r="A51" s="29"/>
      <c r="B51" s="118"/>
      <c r="C51" s="118"/>
      <c r="D51" s="118"/>
      <c r="E51" s="118"/>
      <c r="F51" s="38"/>
      <c r="G51" s="27"/>
      <c r="H51" s="38"/>
      <c r="I51" s="27"/>
      <c r="J51" s="38"/>
      <c r="K51" s="55"/>
      <c r="L51" s="27"/>
      <c r="M51" s="179"/>
      <c r="N51" s="179"/>
      <c r="O51" s="179"/>
      <c r="P51" s="179"/>
    </row>
    <row r="52" spans="1:17" ht="23.1" customHeight="1" x14ac:dyDescent="0.25">
      <c r="A52" s="29"/>
      <c r="B52" s="118"/>
      <c r="C52" s="118"/>
      <c r="D52" s="118"/>
      <c r="E52" s="118"/>
      <c r="F52" s="27"/>
      <c r="G52" s="27"/>
      <c r="H52" s="26"/>
      <c r="I52" s="27"/>
      <c r="J52" s="27"/>
      <c r="K52" s="55"/>
      <c r="L52" s="27"/>
      <c r="M52" s="179"/>
      <c r="N52" s="179"/>
      <c r="O52" s="179"/>
      <c r="P52" s="179"/>
    </row>
    <row r="53" spans="1:17" ht="23.1" customHeight="1" x14ac:dyDescent="0.2">
      <c r="A53" s="25"/>
      <c r="B53" s="118"/>
      <c r="C53" s="118"/>
      <c r="D53" s="118"/>
      <c r="E53" s="118"/>
      <c r="F53" s="27"/>
      <c r="G53" s="27"/>
      <c r="H53" s="27"/>
      <c r="I53" s="27"/>
      <c r="J53" s="27"/>
      <c r="K53" s="27"/>
      <c r="L53" s="27"/>
      <c r="M53" s="179"/>
      <c r="N53" s="179"/>
      <c r="O53" s="179"/>
      <c r="P53" s="179"/>
    </row>
    <row r="54" spans="1:17" ht="23.1" customHeight="1" x14ac:dyDescent="0.2">
      <c r="A54" s="23"/>
      <c r="B54" s="180"/>
      <c r="C54" s="180"/>
      <c r="D54" s="180"/>
      <c r="E54" s="180"/>
      <c r="F54" s="24"/>
      <c r="G54" s="24"/>
      <c r="H54" s="24"/>
      <c r="I54" s="24"/>
      <c r="J54" s="24"/>
      <c r="K54" s="24"/>
      <c r="L54" s="24"/>
      <c r="M54" s="181"/>
      <c r="N54" s="181"/>
      <c r="O54" s="181"/>
      <c r="P54" s="181"/>
    </row>
    <row r="55" spans="1:17" ht="23.1" customHeight="1" thickBot="1" x14ac:dyDescent="0.25">
      <c r="A55" s="16"/>
      <c r="B55" s="177"/>
      <c r="C55" s="177"/>
      <c r="D55" s="177"/>
      <c r="E55" s="177"/>
      <c r="F55" s="17"/>
      <c r="G55" s="17"/>
      <c r="H55" s="17"/>
      <c r="I55" s="17"/>
      <c r="J55" s="17"/>
      <c r="K55" s="17"/>
      <c r="L55" s="17"/>
      <c r="M55" s="178"/>
      <c r="N55" s="178"/>
      <c r="O55" s="178"/>
      <c r="P55" s="178"/>
    </row>
  </sheetData>
  <mergeCells count="102">
    <mergeCell ref="M39:P39"/>
    <mergeCell ref="M44:P44"/>
    <mergeCell ref="M42:P42"/>
    <mergeCell ref="B43:E43"/>
    <mergeCell ref="B51:E51"/>
    <mergeCell ref="M51:P51"/>
    <mergeCell ref="B49:E49"/>
    <mergeCell ref="M49:P49"/>
    <mergeCell ref="B45:E45"/>
    <mergeCell ref="M45:P45"/>
    <mergeCell ref="M46:P46"/>
    <mergeCell ref="B46:E46"/>
    <mergeCell ref="B47:E47"/>
    <mergeCell ref="M47:P47"/>
    <mergeCell ref="B48:E48"/>
    <mergeCell ref="M48:P48"/>
    <mergeCell ref="B50:E50"/>
    <mergeCell ref="M50:P50"/>
    <mergeCell ref="B35:E35"/>
    <mergeCell ref="M35:P35"/>
    <mergeCell ref="B37:E37"/>
    <mergeCell ref="M37:P37"/>
    <mergeCell ref="B40:E40"/>
    <mergeCell ref="B38:E38"/>
    <mergeCell ref="M38:P38"/>
    <mergeCell ref="M40:P40"/>
    <mergeCell ref="B55:E55"/>
    <mergeCell ref="M55:P55"/>
    <mergeCell ref="B52:E52"/>
    <mergeCell ref="M52:P52"/>
    <mergeCell ref="B53:E53"/>
    <mergeCell ref="M53:P53"/>
    <mergeCell ref="B54:E54"/>
    <mergeCell ref="M54:P54"/>
    <mergeCell ref="M41:P41"/>
    <mergeCell ref="B42:E42"/>
    <mergeCell ref="M43:P43"/>
    <mergeCell ref="B41:E41"/>
    <mergeCell ref="B44:E44"/>
    <mergeCell ref="B36:E36"/>
    <mergeCell ref="B39:E39"/>
    <mergeCell ref="M36:P36"/>
    <mergeCell ref="B33:E33"/>
    <mergeCell ref="M33:P33"/>
    <mergeCell ref="B34:E34"/>
    <mergeCell ref="M34:P34"/>
    <mergeCell ref="B31:E31"/>
    <mergeCell ref="M31:P31"/>
    <mergeCell ref="B28:E28"/>
    <mergeCell ref="M28:P28"/>
    <mergeCell ref="M30:P30"/>
    <mergeCell ref="B30:E30"/>
    <mergeCell ref="B32:E32"/>
    <mergeCell ref="M32:P32"/>
    <mergeCell ref="M29:P29"/>
    <mergeCell ref="B29:E29"/>
    <mergeCell ref="B25:E25"/>
    <mergeCell ref="M25:P25"/>
    <mergeCell ref="B26:E26"/>
    <mergeCell ref="M26:P26"/>
    <mergeCell ref="B27:E27"/>
    <mergeCell ref="M27:P27"/>
    <mergeCell ref="B21:E21"/>
    <mergeCell ref="B24:E24"/>
    <mergeCell ref="M24:P24"/>
    <mergeCell ref="A14:A15"/>
    <mergeCell ref="B14:E15"/>
    <mergeCell ref="F14:F15"/>
    <mergeCell ref="G14:G15"/>
    <mergeCell ref="B19:E19"/>
    <mergeCell ref="B22:E22"/>
    <mergeCell ref="M22:P22"/>
    <mergeCell ref="B23:E23"/>
    <mergeCell ref="M23:P23"/>
    <mergeCell ref="B20:E20"/>
    <mergeCell ref="M18:P18"/>
    <mergeCell ref="M19:P19"/>
    <mergeCell ref="M20:P20"/>
    <mergeCell ref="M21:P21"/>
    <mergeCell ref="I14:K14"/>
    <mergeCell ref="H14:H15"/>
    <mergeCell ref="M14:P15"/>
    <mergeCell ref="L14:L15"/>
    <mergeCell ref="B16:E16"/>
    <mergeCell ref="M16:P16"/>
    <mergeCell ref="M17:P17"/>
    <mergeCell ref="B18:E18"/>
    <mergeCell ref="B17:E17"/>
    <mergeCell ref="A1:P1"/>
    <mergeCell ref="A2:P2"/>
    <mergeCell ref="B4:C4"/>
    <mergeCell ref="D4:E4"/>
    <mergeCell ref="F4:G4"/>
    <mergeCell ref="K4:L4"/>
    <mergeCell ref="M4:P4"/>
    <mergeCell ref="H4:J4"/>
    <mergeCell ref="M5:P5"/>
    <mergeCell ref="B5:C5"/>
    <mergeCell ref="D5:E5"/>
    <mergeCell ref="F5:G5"/>
    <mergeCell ref="K5:L5"/>
    <mergeCell ref="H5:J5"/>
  </mergeCells>
  <hyperlinks>
    <hyperlink ref="Q16" location="'A1'!A1" display="'A1'!A1" xr:uid="{31289AE4-E76A-4CCE-B5D7-3121DDEA3CAB}"/>
    <hyperlink ref="Q18" location="'A2'!A2" display="'A2'!A2" xr:uid="{237E7A08-32B9-47F7-9823-48F8F67D5D9D}"/>
    <hyperlink ref="Q26" location="'A6'!A6" display="'A6'!A6" xr:uid="{3940B168-6D7C-49A8-8CBF-3306CAF150C5}"/>
    <hyperlink ref="Q28" location="'A7'!A7" display="'A7'!A7" xr:uid="{9F46AD94-A0DC-41E0-8B6B-1FB7B4356A0A}"/>
    <hyperlink ref="Q20" location="'A3'!A3" display="'A3'!A3" xr:uid="{BC6E0FB2-AF25-4B84-9085-69133CFB4154}"/>
    <hyperlink ref="Q22" location="'A4'!A4" display="'A4'!A4" xr:uid="{B41F5FA4-38F7-4C58-A3AA-666720CAB785}"/>
    <hyperlink ref="Q24" location="'A5'!A5" display="'A5'!A5" xr:uid="{E32F1B8F-9438-4F3D-AC2F-44FE6A34E5E8}"/>
    <hyperlink ref="Q30" location="'A8'!A8" display="'A8'!A8" xr:uid="{592EB5FD-46BC-4CF8-A08B-D1D6DEA6FD1E}"/>
    <hyperlink ref="Q32" location="'A9'!A9" display="'A9'!A9" xr:uid="{6BE26122-F362-4539-970C-95E9673D0233}"/>
    <hyperlink ref="Q35" location="'A10'!A10" display="'A10'!A10" xr:uid="{D2E6F318-C0A0-456B-984D-40E8842B57C0}"/>
    <hyperlink ref="Q37" location="'A11'!A11" display="'A11'!A11" xr:uid="{1EE18717-CE23-4811-ADF5-A4D212686ECA}"/>
    <hyperlink ref="Q39" location="'A12'!A12" display="'A12'!A12" xr:uid="{4CD9E998-165C-4326-A76D-FC4CB7EED0ED}"/>
    <hyperlink ref="Q41" location="'A13'!A13" display="'A13'!A13" xr:uid="{A751EEB5-5BEF-4CEE-9A0D-B18C73019E15}"/>
  </hyperlinks>
  <printOptions horizontalCentered="1"/>
  <pageMargins left="0.11811023622047245" right="0.11811023622047245" top="0.23622047244094491" bottom="0.15748031496062992" header="0.11811023622047245" footer="0.11811023622047245"/>
  <pageSetup paperSize="9" scale="65" orientation="portrait" r:id="rId1"/>
  <colBreaks count="1" manualBreakCount="1">
    <brk id="16" max="53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086F-DA9A-4BA1-AFE9-86D8CC81384F}">
  <dimension ref="A1:Q6"/>
  <sheetViews>
    <sheetView workbookViewId="0">
      <selection activeCell="I4" sqref="I4"/>
    </sheetView>
  </sheetViews>
  <sheetFormatPr defaultRowHeight="15" x14ac:dyDescent="0.25"/>
  <cols>
    <col min="1" max="1" width="8.7109375" bestFit="1" customWidth="1"/>
    <col min="2" max="2" width="12.28515625" customWidth="1"/>
    <col min="6" max="6" width="10.140625" bestFit="1" customWidth="1"/>
    <col min="7" max="7" width="8.285156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87" t="e">
        <f>#REF!</f>
        <v>#REF!</v>
      </c>
      <c r="B3" s="155" t="s">
        <v>50</v>
      </c>
      <c r="C3" s="155"/>
      <c r="D3" s="155"/>
      <c r="E3" s="155"/>
      <c r="F3" s="85" t="s">
        <v>51</v>
      </c>
      <c r="G3" s="81" t="s">
        <v>43</v>
      </c>
      <c r="H3" s="86" t="s">
        <v>54</v>
      </c>
      <c r="I3" s="84">
        <v>10</v>
      </c>
      <c r="J3" s="14">
        <f>ROUND($J$4+(($J$5+($J$6/32))/36),3)</f>
        <v>6.0629999999999997</v>
      </c>
      <c r="K3" s="72">
        <v>86.48</v>
      </c>
      <c r="L3" s="30">
        <f>ROUND(($J$3/$I$3)*(1+$Q$3),3)</f>
        <v>0.60599999999999998</v>
      </c>
      <c r="M3" s="160" t="s">
        <v>41</v>
      </c>
      <c r="N3" s="160"/>
      <c r="O3" s="160"/>
      <c r="P3" s="160"/>
      <c r="Q3" s="34">
        <f>BUTTON!H3</f>
        <v>0</v>
      </c>
    </row>
    <row r="4" spans="1:17" ht="18" x14ac:dyDescent="0.25">
      <c r="A4" s="53"/>
      <c r="B4" s="154"/>
      <c r="C4" s="154"/>
      <c r="D4" s="154"/>
      <c r="E4" s="154"/>
      <c r="F4" s="80"/>
      <c r="G4" s="82"/>
      <c r="H4" s="86" t="s">
        <v>55</v>
      </c>
      <c r="I4" s="84"/>
      <c r="J4" s="14" t="s">
        <v>61</v>
      </c>
      <c r="K4" s="19" t="s">
        <v>20</v>
      </c>
      <c r="L4" s="30"/>
      <c r="M4" s="165"/>
      <c r="N4" s="165"/>
      <c r="O4" s="165"/>
      <c r="P4" s="165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>
        <v>2</v>
      </c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 t="s">
        <v>62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49936-C7B7-440A-808C-F91B36D0B7E0}">
  <dimension ref="A1:Q10"/>
  <sheetViews>
    <sheetView workbookViewId="0">
      <selection activeCell="H11" sqref="H11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.140625" bestFit="1" customWidth="1"/>
    <col min="7" max="7" width="8.285156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69"/>
      <c r="B3" s="155" t="s">
        <v>45</v>
      </c>
      <c r="C3" s="155"/>
      <c r="D3" s="155"/>
      <c r="E3" s="155"/>
      <c r="F3" s="85" t="s">
        <v>46</v>
      </c>
      <c r="G3" s="81" t="s">
        <v>43</v>
      </c>
      <c r="H3" s="86" t="s">
        <v>56</v>
      </c>
      <c r="I3" s="84">
        <v>10</v>
      </c>
      <c r="J3" s="14">
        <f>ROUND($J$4+(($J$5+($J$6/32))/36),3)</f>
        <v>0.77100000000000002</v>
      </c>
      <c r="K3" s="72">
        <v>75.7</v>
      </c>
      <c r="L3" s="30">
        <f>ROUND(($J$3/$I$3)*(1+$Q$3),3)</f>
        <v>7.6999999999999999E-2</v>
      </c>
      <c r="M3" s="160"/>
      <c r="N3" s="160"/>
      <c r="O3" s="160"/>
      <c r="P3" s="160"/>
      <c r="Q3" s="34">
        <f>BUTTON!H3</f>
        <v>0</v>
      </c>
    </row>
    <row r="4" spans="1:17" ht="18" x14ac:dyDescent="0.25">
      <c r="A4" s="53"/>
      <c r="B4" s="154"/>
      <c r="C4" s="154"/>
      <c r="D4" s="154"/>
      <c r="E4" s="154"/>
      <c r="F4" s="80"/>
      <c r="G4" s="82"/>
      <c r="H4" s="86" t="s">
        <v>55</v>
      </c>
      <c r="I4" s="84"/>
      <c r="J4" s="14" t="s">
        <v>64</v>
      </c>
      <c r="K4" s="19" t="s">
        <v>20</v>
      </c>
      <c r="L4" s="30"/>
      <c r="M4" s="161"/>
      <c r="N4" s="161"/>
      <c r="O4" s="161"/>
      <c r="P4" s="161"/>
      <c r="Q4" s="36"/>
    </row>
    <row r="5" spans="1:17" ht="18" x14ac:dyDescent="0.25">
      <c r="A5" s="69"/>
      <c r="B5" s="155" t="s">
        <v>47</v>
      </c>
      <c r="C5" s="155"/>
      <c r="D5" s="155"/>
      <c r="E5" s="155"/>
      <c r="F5" s="85"/>
      <c r="G5" s="81"/>
      <c r="H5" s="70"/>
      <c r="I5" s="84"/>
      <c r="J5" s="14">
        <v>27</v>
      </c>
      <c r="K5" s="19" t="s">
        <v>21</v>
      </c>
      <c r="L5" s="30"/>
      <c r="M5" s="162"/>
      <c r="N5" s="162"/>
      <c r="O5" s="162"/>
      <c r="P5" s="162"/>
      <c r="Q5" s="36"/>
    </row>
    <row r="6" spans="1:17" ht="18" x14ac:dyDescent="0.25">
      <c r="A6" s="59"/>
      <c r="B6" s="167"/>
      <c r="C6" s="168"/>
      <c r="D6" s="168"/>
      <c r="E6" s="169"/>
      <c r="F6" s="80"/>
      <c r="G6" s="82"/>
      <c r="H6" s="26"/>
      <c r="I6" s="84"/>
      <c r="J6" s="14" t="s">
        <v>65</v>
      </c>
      <c r="K6" s="20" t="s">
        <v>22</v>
      </c>
      <c r="L6" s="30"/>
      <c r="M6" s="161"/>
      <c r="N6" s="161"/>
      <c r="O6" s="161"/>
      <c r="P6" s="161"/>
      <c r="Q6" s="36"/>
    </row>
    <row r="7" spans="1:17" ht="18" x14ac:dyDescent="0.25">
      <c r="A7" s="69"/>
      <c r="B7" s="155" t="s">
        <v>44</v>
      </c>
      <c r="C7" s="155"/>
      <c r="D7" s="155"/>
      <c r="E7" s="155"/>
      <c r="F7" s="85"/>
      <c r="G7" s="81"/>
      <c r="H7" s="75"/>
      <c r="I7" s="84"/>
      <c r="M7" s="156"/>
      <c r="N7" s="157"/>
      <c r="O7" s="157"/>
      <c r="P7" s="158"/>
    </row>
    <row r="8" spans="1:17" ht="18" x14ac:dyDescent="0.25">
      <c r="A8" s="29"/>
      <c r="B8" s="154"/>
      <c r="C8" s="154"/>
      <c r="D8" s="154"/>
      <c r="E8" s="154"/>
      <c r="F8" s="80"/>
      <c r="G8" s="82"/>
      <c r="H8" s="27"/>
      <c r="I8" s="84"/>
      <c r="M8" s="159"/>
      <c r="N8" s="159"/>
      <c r="O8" s="159"/>
      <c r="P8" s="159"/>
    </row>
    <row r="9" spans="1:17" ht="18" x14ac:dyDescent="0.25">
      <c r="A9" s="76"/>
      <c r="B9" s="155" t="s">
        <v>52</v>
      </c>
      <c r="C9" s="155"/>
      <c r="D9" s="155"/>
      <c r="E9" s="155"/>
      <c r="F9" s="85"/>
      <c r="G9" s="81"/>
      <c r="H9" s="77"/>
      <c r="I9" s="84"/>
      <c r="M9" s="162"/>
      <c r="N9" s="162"/>
      <c r="O9" s="162"/>
      <c r="P9" s="162"/>
    </row>
    <row r="10" spans="1:17" ht="18" x14ac:dyDescent="0.25">
      <c r="A10" s="28"/>
      <c r="B10" s="154"/>
      <c r="C10" s="154"/>
      <c r="D10" s="154"/>
      <c r="E10" s="154"/>
      <c r="F10" s="80"/>
      <c r="G10" s="82"/>
      <c r="H10" s="38"/>
      <c r="I10" s="84"/>
      <c r="M10" s="161"/>
      <c r="N10" s="161"/>
      <c r="O10" s="161"/>
      <c r="P10" s="161"/>
    </row>
  </sheetData>
  <mergeCells count="25">
    <mergeCell ref="B6:E6"/>
    <mergeCell ref="M6:P6"/>
    <mergeCell ref="M7:P7"/>
    <mergeCell ref="M9:P9"/>
    <mergeCell ref="M10:P10"/>
    <mergeCell ref="B7:E7"/>
    <mergeCell ref="B8:E8"/>
    <mergeCell ref="B9:E9"/>
    <mergeCell ref="B10:E10"/>
    <mergeCell ref="M8:P8"/>
    <mergeCell ref="Q1:Q2"/>
    <mergeCell ref="B3:E3"/>
    <mergeCell ref="M3:P3"/>
    <mergeCell ref="B5:E5"/>
    <mergeCell ref="M5:P5"/>
    <mergeCell ref="B4:E4"/>
    <mergeCell ref="M4:P4"/>
    <mergeCell ref="I1:K1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3B985-23C0-4A3E-AD78-DEAD3179DFE7}">
  <sheetPr codeName="Sheet9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.285156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87"/>
      <c r="B3" s="155" t="s">
        <v>44</v>
      </c>
      <c r="C3" s="155"/>
      <c r="D3" s="155"/>
      <c r="E3" s="155"/>
      <c r="F3" s="85"/>
      <c r="G3" s="81" t="s">
        <v>43</v>
      </c>
      <c r="H3" s="99" t="s">
        <v>72</v>
      </c>
      <c r="I3" s="84"/>
      <c r="J3" s="14">
        <f>IFERROR(ROUND($J$4+(($J$5+($J$6/32))/36),3),"")</f>
        <v>0</v>
      </c>
      <c r="K3" s="74"/>
      <c r="L3" s="30" t="str">
        <f>IFERROR(ROUND(($J$3/$I$3)*(1+$Q$3),3),"")</f>
        <v/>
      </c>
      <c r="M3" s="156"/>
      <c r="N3" s="157"/>
      <c r="O3" s="157"/>
      <c r="P3" s="158"/>
      <c r="Q3" s="89">
        <f>BUTTON!H3</f>
        <v>0</v>
      </c>
    </row>
    <row r="4" spans="1:17" ht="18" x14ac:dyDescent="0.25">
      <c r="A4" s="29"/>
      <c r="B4" s="154"/>
      <c r="C4" s="154"/>
      <c r="D4" s="154"/>
      <c r="E4" s="154"/>
      <c r="F4" s="80"/>
      <c r="G4" s="82"/>
      <c r="H4" s="27"/>
      <c r="I4" s="84"/>
      <c r="J4" s="14">
        <v>0</v>
      </c>
      <c r="K4" s="19" t="s">
        <v>20</v>
      </c>
      <c r="L4" s="30"/>
      <c r="M4" s="159"/>
      <c r="N4" s="159"/>
      <c r="O4" s="159"/>
      <c r="P4" s="159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/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/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9CBD3-6B12-4146-B27D-1980BB35450A}">
  <sheetPr codeName="Sheet12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10.85546875" bestFit="1" customWidth="1"/>
    <col min="8" max="8" width="36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76"/>
      <c r="B3" s="155" t="s">
        <v>44</v>
      </c>
      <c r="C3" s="155"/>
      <c r="D3" s="155"/>
      <c r="E3" s="155"/>
      <c r="F3" s="85"/>
      <c r="G3" s="81" t="s">
        <v>53</v>
      </c>
      <c r="H3" s="90" t="s">
        <v>73</v>
      </c>
      <c r="I3" s="84"/>
      <c r="J3" s="14">
        <f>IFERROR(ROUND($J$4+(($J$5+($J$6/32))/36),3),"")</f>
        <v>0</v>
      </c>
      <c r="K3" s="74"/>
      <c r="L3" s="30" t="str">
        <f>IFERROR(ROUND(($J$3/$I$3)*(1+$Q$3),3),"")</f>
        <v/>
      </c>
      <c r="M3" s="166"/>
      <c r="N3" s="166"/>
      <c r="O3" s="166"/>
      <c r="P3" s="166"/>
      <c r="Q3" s="89">
        <f>BUTTON!H3</f>
        <v>0</v>
      </c>
    </row>
    <row r="4" spans="1:17" ht="18" x14ac:dyDescent="0.25">
      <c r="A4" s="28"/>
      <c r="B4" s="154"/>
      <c r="C4" s="154"/>
      <c r="D4" s="154"/>
      <c r="E4" s="154"/>
      <c r="F4" s="80"/>
      <c r="G4" s="82"/>
      <c r="H4" s="27"/>
      <c r="I4" s="84">
        <v>87</v>
      </c>
      <c r="J4" s="14">
        <v>0</v>
      </c>
      <c r="K4" s="19" t="s">
        <v>20</v>
      </c>
      <c r="L4" s="30"/>
      <c r="M4" s="159"/>
      <c r="N4" s="159"/>
      <c r="O4" s="159"/>
      <c r="P4" s="159"/>
      <c r="Q4" s="36"/>
    </row>
    <row r="5" spans="1:17" ht="18" x14ac:dyDescent="0.25">
      <c r="A5" s="28"/>
      <c r="B5" s="155" t="s">
        <v>52</v>
      </c>
      <c r="C5" s="155"/>
      <c r="D5" s="155"/>
      <c r="E5" s="155"/>
      <c r="F5" s="85"/>
      <c r="G5" s="81" t="s">
        <v>53</v>
      </c>
      <c r="H5" s="93" t="s">
        <v>74</v>
      </c>
      <c r="I5" s="84"/>
      <c r="J5" s="14"/>
      <c r="K5" s="19" t="s">
        <v>21</v>
      </c>
      <c r="L5" s="30"/>
      <c r="M5" s="159"/>
      <c r="N5" s="159"/>
      <c r="O5" s="159"/>
      <c r="P5" s="159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/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A44C-63AD-45E0-9725-184389B5E2DE}">
  <sheetPr codeName="Sheet13"/>
  <dimension ref="A1:Q6"/>
  <sheetViews>
    <sheetView workbookViewId="0">
      <selection activeCell="K14" sqref="K14"/>
    </sheetView>
  </sheetViews>
  <sheetFormatPr defaultRowHeight="15" x14ac:dyDescent="0.25"/>
  <cols>
    <col min="1" max="1" width="12.28515625" bestFit="1" customWidth="1"/>
    <col min="2" max="2" width="12.28515625" customWidth="1"/>
    <col min="6" max="6" width="10.140625" bestFit="1" customWidth="1"/>
    <col min="7" max="7" width="8.285156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29">
        <v>45280</v>
      </c>
      <c r="B3" s="155" t="s">
        <v>50</v>
      </c>
      <c r="C3" s="155"/>
      <c r="D3" s="155"/>
      <c r="E3" s="155"/>
      <c r="F3" s="85" t="s">
        <v>51</v>
      </c>
      <c r="G3" s="81" t="s">
        <v>43</v>
      </c>
      <c r="H3" s="88" t="s">
        <v>94</v>
      </c>
      <c r="I3" s="84">
        <v>12</v>
      </c>
      <c r="J3" s="14">
        <f>IFERROR(ROUND($J$4+(($J$5+($J$6/32))/36),3),"")</f>
        <v>5.7220000000000004</v>
      </c>
      <c r="K3" s="55">
        <v>88.27</v>
      </c>
      <c r="L3" s="30">
        <f>IFERROR(ROUND(($J$3/$I$3)*(1+$Q$3),3),"")</f>
        <v>0.47699999999999998</v>
      </c>
      <c r="M3" s="173" t="s">
        <v>75</v>
      </c>
      <c r="N3" s="173"/>
      <c r="O3" s="173"/>
      <c r="P3" s="173"/>
      <c r="Q3" s="89">
        <f>BUTTON!H3</f>
        <v>0</v>
      </c>
    </row>
    <row r="4" spans="1:17" ht="18" x14ac:dyDescent="0.25">
      <c r="A4" s="28"/>
      <c r="B4" s="154"/>
      <c r="C4" s="154"/>
      <c r="D4" s="154"/>
      <c r="E4" s="154"/>
      <c r="F4" s="80"/>
      <c r="G4" s="82"/>
      <c r="H4" s="88" t="s">
        <v>83</v>
      </c>
      <c r="I4" s="84"/>
      <c r="J4" s="14" t="s">
        <v>95</v>
      </c>
      <c r="K4" s="19" t="s">
        <v>20</v>
      </c>
      <c r="L4" s="30"/>
      <c r="M4" s="173"/>
      <c r="N4" s="173"/>
      <c r="O4" s="173"/>
      <c r="P4" s="173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>
        <v>11</v>
      </c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>
        <v>480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79380-2619-4AA1-91FA-6257A96A782A}">
  <sheetPr codeName="Sheet14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.140625" bestFit="1" customWidth="1"/>
    <col min="7" max="7" width="8.285156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28"/>
      <c r="B3" s="155" t="s">
        <v>45</v>
      </c>
      <c r="C3" s="155"/>
      <c r="D3" s="155"/>
      <c r="E3" s="155"/>
      <c r="F3" s="85" t="s">
        <v>46</v>
      </c>
      <c r="G3" s="81" t="s">
        <v>43</v>
      </c>
      <c r="H3" s="88" t="s">
        <v>97</v>
      </c>
      <c r="I3" s="84">
        <v>12</v>
      </c>
      <c r="J3" s="14">
        <f>IFERROR(ROUND($J$4+(($J$5+($J$6/32))/36),3),"")</f>
        <v>1.292</v>
      </c>
      <c r="K3" s="55">
        <v>77.12</v>
      </c>
      <c r="L3" s="30">
        <f>IFERROR(ROUND(($J$3/$I$3)*(1+$Q$3),3),"")</f>
        <v>0.108</v>
      </c>
      <c r="M3" s="173" t="s">
        <v>75</v>
      </c>
      <c r="N3" s="173"/>
      <c r="O3" s="173"/>
      <c r="P3" s="173"/>
      <c r="Q3" s="89">
        <f>BUTTON!H3</f>
        <v>0</v>
      </c>
    </row>
    <row r="4" spans="1:17" ht="18" x14ac:dyDescent="0.25">
      <c r="A4" s="28"/>
      <c r="B4" s="155"/>
      <c r="C4" s="155"/>
      <c r="D4" s="155"/>
      <c r="E4" s="155"/>
      <c r="F4" s="85"/>
      <c r="G4" s="81"/>
      <c r="H4" s="88" t="s">
        <v>83</v>
      </c>
      <c r="I4" s="84"/>
      <c r="J4" s="14" t="s">
        <v>64</v>
      </c>
      <c r="K4" s="19" t="s">
        <v>20</v>
      </c>
      <c r="L4" s="30"/>
      <c r="M4" s="173"/>
      <c r="N4" s="173"/>
      <c r="O4" s="173"/>
      <c r="P4" s="173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>
        <v>27</v>
      </c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>
        <v>624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343F8-41D4-48C2-A5C9-F2C740949524}">
  <sheetPr codeName="Sheet15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.140625" bestFit="1" customWidth="1"/>
    <col min="7" max="7" width="10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28"/>
      <c r="B3" s="155" t="s">
        <v>50</v>
      </c>
      <c r="C3" s="155"/>
      <c r="D3" s="155"/>
      <c r="E3" s="155"/>
      <c r="F3" s="85" t="s">
        <v>51</v>
      </c>
      <c r="G3" s="81" t="s">
        <v>53</v>
      </c>
      <c r="H3" s="88" t="s">
        <v>99</v>
      </c>
      <c r="I3" s="84">
        <v>15</v>
      </c>
      <c r="J3" s="14">
        <f>IFERROR(ROUND($J$4+(($J$5+($J$6/32))/36),3),"")</f>
        <v>9.6549999999999994</v>
      </c>
      <c r="K3" s="55">
        <v>88.49</v>
      </c>
      <c r="L3" s="30">
        <f>IFERROR(ROUND(($J$3/$I$3)*(1+$Q$3),3),"")</f>
        <v>0.64400000000000002</v>
      </c>
      <c r="M3" s="173" t="s">
        <v>75</v>
      </c>
      <c r="N3" s="173"/>
      <c r="O3" s="173"/>
      <c r="P3" s="173"/>
      <c r="Q3" s="89">
        <f>BUTTON!H3</f>
        <v>0</v>
      </c>
    </row>
    <row r="4" spans="1:17" ht="18" x14ac:dyDescent="0.25">
      <c r="A4" s="28"/>
      <c r="B4" s="154"/>
      <c r="C4" s="154"/>
      <c r="D4" s="154"/>
      <c r="E4" s="154"/>
      <c r="F4" s="80"/>
      <c r="G4" s="82"/>
      <c r="H4" s="88" t="s">
        <v>84</v>
      </c>
      <c r="I4" s="84"/>
      <c r="J4" s="14" t="s">
        <v>100</v>
      </c>
      <c r="K4" s="19" t="s">
        <v>20</v>
      </c>
      <c r="L4" s="30"/>
      <c r="M4" s="174"/>
      <c r="N4" s="175"/>
      <c r="O4" s="175"/>
      <c r="P4" s="176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>
        <v>31</v>
      </c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>
        <v>915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750A-B88A-4692-90E1-83DA6CFBEF40}">
  <sheetPr codeName="Sheet16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.140625" bestFit="1" customWidth="1"/>
    <col min="7" max="7" width="10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28"/>
      <c r="B3" s="155" t="s">
        <v>45</v>
      </c>
      <c r="C3" s="155"/>
      <c r="D3" s="155"/>
      <c r="E3" s="155"/>
      <c r="F3" s="85" t="s">
        <v>46</v>
      </c>
      <c r="G3" s="81" t="s">
        <v>53</v>
      </c>
      <c r="H3" s="88" t="s">
        <v>102</v>
      </c>
      <c r="I3" s="84">
        <v>15</v>
      </c>
      <c r="J3" s="14">
        <f>IFERROR(ROUND($J$4+(($J$5+($J$6/32))/36),3),"")</f>
        <v>1.5980000000000001</v>
      </c>
      <c r="K3" s="55">
        <v>81.63</v>
      </c>
      <c r="L3" s="30">
        <f>IFERROR(ROUND(($J$3/$I$3)*(1+$Q$3),3),"")</f>
        <v>0.107</v>
      </c>
      <c r="M3" s="173" t="s">
        <v>75</v>
      </c>
      <c r="N3" s="173"/>
      <c r="O3" s="173"/>
      <c r="P3" s="173"/>
      <c r="Q3" s="89">
        <f>BUTTON!H3</f>
        <v>0</v>
      </c>
    </row>
    <row r="4" spans="1:17" ht="18.75" x14ac:dyDescent="0.25">
      <c r="A4" s="28"/>
      <c r="B4" s="182"/>
      <c r="C4" s="182"/>
      <c r="D4" s="182"/>
      <c r="E4" s="182"/>
      <c r="F4" s="66"/>
      <c r="G4" s="27"/>
      <c r="H4" s="88" t="s">
        <v>85</v>
      </c>
      <c r="I4" s="84"/>
      <c r="J4" s="14" t="s">
        <v>68</v>
      </c>
      <c r="K4" s="19" t="s">
        <v>20</v>
      </c>
      <c r="L4" s="30"/>
      <c r="M4" s="179"/>
      <c r="N4" s="179"/>
      <c r="O4" s="179"/>
      <c r="P4" s="179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>
        <v>2</v>
      </c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>
        <v>625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4816F-FA96-49E8-AD4C-E1CBC2265460}"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.285156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49.5" x14ac:dyDescent="0.25">
      <c r="A3" s="87"/>
      <c r="B3" s="155" t="s">
        <v>47</v>
      </c>
      <c r="C3" s="155"/>
      <c r="D3" s="155"/>
      <c r="E3" s="155"/>
      <c r="F3" s="85"/>
      <c r="G3" s="81" t="s">
        <v>43</v>
      </c>
      <c r="H3" s="90" t="s">
        <v>69</v>
      </c>
      <c r="I3" s="84"/>
      <c r="J3" s="14" t="str">
        <f>IFERROR(ROUND($J$4+(($J$5+($J$6/32))/36),3),"")</f>
        <v/>
      </c>
      <c r="K3" s="92"/>
      <c r="L3" s="30" t="str">
        <f>IFERROR(ROUND(($J$3/$I$3)*(1+$Q$3),3),"")</f>
        <v/>
      </c>
      <c r="M3" s="162"/>
      <c r="N3" s="162"/>
      <c r="O3" s="162"/>
      <c r="P3" s="162"/>
      <c r="Q3" s="101">
        <f>BUTTON!H3</f>
        <v>0</v>
      </c>
    </row>
    <row r="4" spans="1:17" ht="18" x14ac:dyDescent="0.25">
      <c r="A4" s="100"/>
      <c r="B4" s="167"/>
      <c r="C4" s="168"/>
      <c r="D4" s="168"/>
      <c r="E4" s="169"/>
      <c r="F4" s="80"/>
      <c r="G4" s="82"/>
      <c r="H4" s="26"/>
      <c r="I4" s="84"/>
      <c r="J4" s="14">
        <v>0</v>
      </c>
      <c r="K4" s="19" t="s">
        <v>20</v>
      </c>
      <c r="L4" s="30"/>
      <c r="M4" s="161"/>
      <c r="N4" s="161"/>
      <c r="O4" s="161"/>
      <c r="P4" s="161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/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 t="s">
        <v>86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C7B1-269C-4739-BB16-8C8AC9426208}"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.2851562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33" x14ac:dyDescent="0.25">
      <c r="A3" s="76"/>
      <c r="B3" s="155" t="s">
        <v>52</v>
      </c>
      <c r="C3" s="155"/>
      <c r="D3" s="155"/>
      <c r="E3" s="155"/>
      <c r="F3" s="85"/>
      <c r="G3" s="81" t="s">
        <v>43</v>
      </c>
      <c r="H3" s="96" t="s">
        <v>70</v>
      </c>
      <c r="I3" s="84"/>
      <c r="J3" s="14" t="str">
        <f>IFERROR(ROUND($J$4+(($J$5+($J$6/32))/36),3),"")</f>
        <v/>
      </c>
      <c r="K3" s="98"/>
      <c r="L3" s="30" t="str">
        <f>IFERROR(ROUND(($J$3/$I$3)*(1+$Q$3),3),"")</f>
        <v/>
      </c>
      <c r="M3" s="162"/>
      <c r="N3" s="162"/>
      <c r="O3" s="162"/>
      <c r="P3" s="162"/>
      <c r="Q3" s="101">
        <f>BUTTON!H3</f>
        <v>0</v>
      </c>
    </row>
    <row r="4" spans="1:17" ht="18" x14ac:dyDescent="0.25">
      <c r="A4" s="28"/>
      <c r="B4" s="154"/>
      <c r="C4" s="154"/>
      <c r="D4" s="154"/>
      <c r="E4" s="154"/>
      <c r="F4" s="80"/>
      <c r="G4" s="82"/>
      <c r="H4" s="102"/>
      <c r="I4" s="84"/>
      <c r="J4" s="14" t="s">
        <v>88</v>
      </c>
      <c r="K4" s="19" t="s">
        <v>20</v>
      </c>
      <c r="L4" s="30"/>
      <c r="M4" s="161"/>
      <c r="N4" s="161"/>
      <c r="O4" s="161"/>
      <c r="P4" s="161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/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 t="s">
        <v>89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F16B-6917-4E0E-B52A-03D7500B5DAF}"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.140625" bestFit="1" customWidth="1"/>
    <col min="7" max="7" width="10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78"/>
      <c r="B3" s="155" t="s">
        <v>50</v>
      </c>
      <c r="C3" s="155"/>
      <c r="D3" s="155"/>
      <c r="E3" s="155"/>
      <c r="F3" s="85" t="s">
        <v>51</v>
      </c>
      <c r="G3" s="81" t="s">
        <v>53</v>
      </c>
      <c r="H3" s="86" t="s">
        <v>57</v>
      </c>
      <c r="I3" s="84"/>
      <c r="J3" s="14">
        <f>IFERROR(ROUND($J$4+(($J$5+($J$6/32))/36),3),"")</f>
        <v>7.33</v>
      </c>
      <c r="K3" s="55">
        <v>85.39</v>
      </c>
      <c r="L3" s="30" t="str">
        <f>IFERROR(ROUND(($J$3/$I$3)*(1+$Q$3),3),"")</f>
        <v/>
      </c>
      <c r="M3" s="166"/>
      <c r="N3" s="166"/>
      <c r="O3" s="166"/>
      <c r="P3" s="166"/>
      <c r="Q3" s="101">
        <f>BUTTON!H3</f>
        <v>0</v>
      </c>
    </row>
    <row r="4" spans="1:17" ht="18" x14ac:dyDescent="0.25">
      <c r="A4" s="28"/>
      <c r="B4" s="154"/>
      <c r="C4" s="154"/>
      <c r="D4" s="154"/>
      <c r="E4" s="154"/>
      <c r="F4" s="80"/>
      <c r="G4" s="82"/>
      <c r="H4" s="86" t="s">
        <v>58</v>
      </c>
      <c r="I4" s="84"/>
      <c r="J4" s="14" t="s">
        <v>104</v>
      </c>
      <c r="K4" s="19" t="s">
        <v>20</v>
      </c>
      <c r="L4" s="30"/>
      <c r="M4" s="159"/>
      <c r="N4" s="159"/>
      <c r="O4" s="159"/>
      <c r="P4" s="159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>
        <v>11</v>
      </c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 t="s">
        <v>105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D5142-7D55-4BF6-AA67-A95C1F9BD4B2}"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.140625" bestFit="1" customWidth="1"/>
    <col min="7" max="7" width="10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18" x14ac:dyDescent="0.25">
      <c r="A3" s="76"/>
      <c r="B3" s="155" t="s">
        <v>45</v>
      </c>
      <c r="C3" s="155"/>
      <c r="D3" s="155"/>
      <c r="E3" s="155"/>
      <c r="F3" s="85" t="s">
        <v>46</v>
      </c>
      <c r="G3" s="81" t="s">
        <v>53</v>
      </c>
      <c r="H3" s="86" t="s">
        <v>59</v>
      </c>
      <c r="I3" s="84"/>
      <c r="J3" s="14">
        <f>IFERROR(ROUND($J$4+(($J$5+($J$6/32))/36),3),"")</f>
        <v>1.0209999999999999</v>
      </c>
      <c r="K3" s="74">
        <v>77.260000000000005</v>
      </c>
      <c r="L3" s="30" t="str">
        <f>IFERROR(ROUND(($J$3/$I$3)*(1+$Q$3),3),"")</f>
        <v/>
      </c>
      <c r="M3" s="159"/>
      <c r="N3" s="159"/>
      <c r="O3" s="159"/>
      <c r="P3" s="159"/>
      <c r="Q3" s="101">
        <f>BUTTON!H3</f>
        <v>0</v>
      </c>
    </row>
    <row r="4" spans="1:17" ht="18" x14ac:dyDescent="0.25">
      <c r="A4" s="28"/>
      <c r="B4" s="154"/>
      <c r="C4" s="154"/>
      <c r="D4" s="154"/>
      <c r="E4" s="154"/>
      <c r="F4" s="80"/>
      <c r="G4" s="82"/>
      <c r="H4" s="86" t="s">
        <v>58</v>
      </c>
      <c r="I4" s="84">
        <v>219</v>
      </c>
      <c r="J4" s="14" t="s">
        <v>68</v>
      </c>
      <c r="K4" s="19" t="s">
        <v>20</v>
      </c>
      <c r="L4" s="30"/>
      <c r="M4" s="170"/>
      <c r="N4" s="171"/>
      <c r="O4" s="171"/>
      <c r="P4" s="172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>
        <v>0</v>
      </c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 t="s">
        <v>65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1D610-9673-40CA-8EE3-1EC802CBA9B4}"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10.855468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103" t="s">
        <v>2</v>
      </c>
      <c r="B1" s="105" t="s">
        <v>12</v>
      </c>
      <c r="C1" s="105"/>
      <c r="D1" s="105"/>
      <c r="E1" s="105"/>
      <c r="F1" s="107" t="s">
        <v>13</v>
      </c>
      <c r="G1" s="109" t="s">
        <v>9</v>
      </c>
      <c r="H1" s="111" t="s">
        <v>23</v>
      </c>
      <c r="I1" s="116" t="s">
        <v>14</v>
      </c>
      <c r="J1" s="116"/>
      <c r="K1" s="116"/>
      <c r="L1" s="105" t="s">
        <v>15</v>
      </c>
      <c r="M1" s="119" t="s">
        <v>16</v>
      </c>
      <c r="N1" s="119"/>
      <c r="O1" s="119"/>
      <c r="P1" s="119"/>
      <c r="Q1" s="114" t="s">
        <v>25</v>
      </c>
    </row>
    <row r="2" spans="1:17" ht="17.25" thickTop="1" x14ac:dyDescent="0.25">
      <c r="A2" s="104"/>
      <c r="B2" s="106"/>
      <c r="C2" s="106"/>
      <c r="D2" s="106"/>
      <c r="E2" s="106"/>
      <c r="F2" s="108"/>
      <c r="G2" s="110"/>
      <c r="H2" s="112"/>
      <c r="I2" s="21" t="s">
        <v>17</v>
      </c>
      <c r="J2" s="22" t="s">
        <v>18</v>
      </c>
      <c r="K2" s="21" t="s">
        <v>19</v>
      </c>
      <c r="L2" s="106"/>
      <c r="M2" s="119"/>
      <c r="N2" s="119"/>
      <c r="O2" s="119"/>
      <c r="P2" s="119"/>
      <c r="Q2" s="115"/>
    </row>
    <row r="3" spans="1:17" ht="49.5" x14ac:dyDescent="0.25">
      <c r="A3" s="76"/>
      <c r="B3" s="155" t="s">
        <v>47</v>
      </c>
      <c r="C3" s="155"/>
      <c r="D3" s="155"/>
      <c r="E3" s="155"/>
      <c r="F3" s="85"/>
      <c r="G3" s="81" t="s">
        <v>53</v>
      </c>
      <c r="H3" s="90" t="s">
        <v>71</v>
      </c>
      <c r="I3" s="84"/>
      <c r="J3" s="14" t="str">
        <f>IFERROR(ROUND($J$4+(($J$5+($J$6/32))/36),3),"")</f>
        <v/>
      </c>
      <c r="K3" s="92"/>
      <c r="L3" s="30" t="str">
        <f>IFERROR(ROUND(($J$3/$I$3)*(1+$Q$3),3),"")</f>
        <v/>
      </c>
      <c r="M3" s="166"/>
      <c r="N3" s="166"/>
      <c r="O3" s="166"/>
      <c r="P3" s="166"/>
      <c r="Q3" s="101">
        <f>BUTTON!H3</f>
        <v>0</v>
      </c>
    </row>
    <row r="4" spans="1:17" ht="18" x14ac:dyDescent="0.25">
      <c r="A4" s="28"/>
      <c r="B4" s="167"/>
      <c r="C4" s="168"/>
      <c r="D4" s="168"/>
      <c r="E4" s="169"/>
      <c r="F4" s="80"/>
      <c r="G4" s="82"/>
      <c r="H4" s="26"/>
      <c r="I4" s="84"/>
      <c r="J4" s="14">
        <v>0</v>
      </c>
      <c r="K4" s="19" t="s">
        <v>20</v>
      </c>
      <c r="L4" s="30"/>
      <c r="M4" s="159"/>
      <c r="N4" s="159"/>
      <c r="O4" s="159"/>
      <c r="P4" s="159"/>
      <c r="Q4" s="36"/>
    </row>
    <row r="5" spans="1:17" ht="16.5" x14ac:dyDescent="0.25">
      <c r="A5" s="18"/>
      <c r="B5" s="113"/>
      <c r="C5" s="113"/>
      <c r="D5" s="113"/>
      <c r="E5" s="113"/>
      <c r="F5" s="12"/>
      <c r="G5" s="13"/>
      <c r="H5" s="13"/>
      <c r="I5" s="14"/>
      <c r="J5" s="14"/>
      <c r="K5" s="19" t="s">
        <v>21</v>
      </c>
      <c r="L5" s="30"/>
      <c r="M5" s="118"/>
      <c r="N5" s="118"/>
      <c r="O5" s="118"/>
      <c r="P5" s="118"/>
      <c r="Q5" s="36"/>
    </row>
    <row r="6" spans="1:17" ht="16.5" x14ac:dyDescent="0.25">
      <c r="A6" s="18"/>
      <c r="B6" s="113"/>
      <c r="C6" s="113"/>
      <c r="D6" s="113"/>
      <c r="E6" s="113"/>
      <c r="F6" s="12"/>
      <c r="G6" s="13"/>
      <c r="H6" s="13"/>
      <c r="I6" s="14"/>
      <c r="J6" s="14" t="s">
        <v>91</v>
      </c>
      <c r="K6" s="20" t="s">
        <v>22</v>
      </c>
      <c r="L6" s="30"/>
      <c r="M6" s="118"/>
      <c r="N6" s="118"/>
      <c r="O6" s="118"/>
      <c r="P6" s="118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BUTTON</vt:lpstr>
      <vt:lpstr>FORMAT</vt:lpstr>
      <vt:lpstr>PR</vt:lpstr>
      <vt:lpstr>MA</vt:lpstr>
      <vt:lpstr>A1</vt:lpstr>
      <vt:lpstr>A2</vt:lpstr>
      <vt:lpstr>A4</vt:lpstr>
      <vt:lpstr>A9</vt:lpstr>
      <vt:lpstr>A10</vt:lpstr>
      <vt:lpstr>A11</vt:lpstr>
      <vt:lpstr>A12</vt:lpstr>
      <vt:lpstr>A13</vt:lpstr>
      <vt:lpstr>A3</vt:lpstr>
      <vt:lpstr>A5</vt:lpstr>
      <vt:lpstr>A6</vt:lpstr>
      <vt:lpstr>A7</vt:lpstr>
      <vt:lpstr>A8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2022-05-23T03:11:02Z</cp:lastPrinted>
  <dcterms:created xsi:type="dcterms:W3CDTF">2021-11-01T07:48:03Z</dcterms:created>
  <dcterms:modified xsi:type="dcterms:W3CDTF">2024-05-18T00:58:35Z</dcterms:modified>
</cp:coreProperties>
</file>