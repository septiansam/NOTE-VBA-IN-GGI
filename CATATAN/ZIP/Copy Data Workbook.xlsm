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k\Dropbox\Excel Macro Mastery\Coaching\Blog Images\Excel VBA - Copying Data\Workbooks\"/>
    </mc:Choice>
  </mc:AlternateContent>
  <xr:revisionPtr revIDLastSave="0" documentId="13_ncr:1_{2A68A9ED-8D98-4B8A-BDD2-5E0752194901}" xr6:coauthVersionLast="34" xr6:coauthVersionMax="34" xr10:uidLastSave="{00000000-0000-0000-0000-000000000000}"/>
  <bookViews>
    <workbookView xWindow="0" yWindow="0" windowWidth="23040" windowHeight="9072" activeTab="4" xr2:uid="{9E561398-92D3-4523-A958-C1834BCC97B1}"/>
  </bookViews>
  <sheets>
    <sheet name="Transactions Filter" sheetId="13" r:id="rId1"/>
    <sheet name="sheetname" sheetId="9" r:id="rId2"/>
    <sheet name="CurrentRegion" sheetId="10" r:id="rId3"/>
    <sheet name="Fragmented" sheetId="11" r:id="rId4"/>
    <sheet name="Transactions" sheetId="5" r:id="rId5"/>
    <sheet name="Report" sheetId="7" r:id="rId6"/>
    <sheet name="Temp" sheetId="8" r:id="rId7"/>
    <sheet name="Transpose" sheetId="12" r:id="rId8"/>
  </sheets>
  <functionGroups builtInGroupCount="19"/>
  <definedNames>
    <definedName name="_xlnm._FilterDatabase" localSheetId="5" hidden="1">Report!$A$1:$A$5</definedName>
    <definedName name="_xlnm._FilterDatabase" localSheetId="6" hidden="1">Temp!$A$1:$D$5</definedName>
    <definedName name="_xlnm._FilterDatabase" localSheetId="4" hidden="1">Transactions!$A$1:$E$13</definedName>
    <definedName name="_xlnm._FilterDatabase" localSheetId="0" hidden="1">'Transactions Filter'!$A$1:$E$13</definedName>
    <definedName name="_xlnm.Criteria" localSheetId="4">Transactions!#REF!</definedName>
    <definedName name="_xlnm.Criteria" localSheetId="0">'Transactions Filter'!$G$1:$K$2</definedName>
    <definedName name="_xlnm.Extract" localSheetId="5">Report!$A$1:$B$1</definedName>
    <definedName name="_xlnm.Extract" localSheetId="4">Transactions!#REF!</definedName>
    <definedName name="_xlnm.Extract" localSheetId="0">'Transactions Filter'!$N$1:$Q$1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3" i="13" l="1"/>
  <c r="E12" i="13"/>
  <c r="E11" i="13"/>
  <c r="E10" i="13"/>
  <c r="E9" i="13"/>
  <c r="E8" i="13"/>
  <c r="E7" i="13"/>
  <c r="E6" i="13"/>
  <c r="E5" i="13"/>
  <c r="E4" i="13"/>
  <c r="E3" i="13"/>
  <c r="E2" i="13"/>
  <c r="E2" i="5" l="1"/>
  <c r="E3" i="5"/>
  <c r="E4" i="5"/>
  <c r="E5" i="5"/>
  <c r="E6" i="5"/>
  <c r="E7" i="5"/>
  <c r="E8" i="5"/>
  <c r="E9" i="5"/>
  <c r="E10" i="5"/>
  <c r="E11" i="5"/>
  <c r="E12" i="5"/>
  <c r="E13" i="5"/>
</calcChain>
</file>

<file path=xl/sharedStrings.xml><?xml version="1.0" encoding="utf-8"?>
<sst xmlns="http://schemas.openxmlformats.org/spreadsheetml/2006/main" count="103" uniqueCount="63">
  <si>
    <t>Volume</t>
  </si>
  <si>
    <t>Day</t>
  </si>
  <si>
    <t>Sales</t>
  </si>
  <si>
    <t>Item</t>
  </si>
  <si>
    <t>Price</t>
  </si>
  <si>
    <t>Laptop Model A</t>
  </si>
  <si>
    <t>Laptop Model B</t>
  </si>
  <si>
    <t>Monitor Model A</t>
  </si>
  <si>
    <t>Monitor Model B</t>
  </si>
  <si>
    <t xml:space="preserve">Name </t>
  </si>
  <si>
    <t>Surname</t>
  </si>
  <si>
    <t>Phone</t>
  </si>
  <si>
    <t>Keefe</t>
  </si>
  <si>
    <t>Drake</t>
  </si>
  <si>
    <t xml:space="preserve">Lee </t>
  </si>
  <si>
    <t>Davenport</t>
  </si>
  <si>
    <t>Hu</t>
  </si>
  <si>
    <t>Huff</t>
  </si>
  <si>
    <t>Dennis</t>
  </si>
  <si>
    <t>Bonner</t>
  </si>
  <si>
    <t>Bryar</t>
  </si>
  <si>
    <t>Ratliff</t>
  </si>
  <si>
    <t>Yuli</t>
  </si>
  <si>
    <t>Doyle</t>
  </si>
  <si>
    <t>Margaret</t>
  </si>
  <si>
    <t>Finley</t>
  </si>
  <si>
    <t>Mollie</t>
  </si>
  <si>
    <t>Start</t>
  </si>
  <si>
    <t>Emerald</t>
  </si>
  <si>
    <t>Sykes</t>
  </si>
  <si>
    <t>Darryl</t>
  </si>
  <si>
    <t>Hebert</t>
  </si>
  <si>
    <t>Sopoline</t>
  </si>
  <si>
    <t>Bowers</t>
  </si>
  <si>
    <t>Ipsum Corporation</t>
  </si>
  <si>
    <t>513370-6266</t>
  </si>
  <si>
    <t>Nulla Interdum Limited</t>
  </si>
  <si>
    <t>872235-3482</t>
  </si>
  <si>
    <t>Curae; Phasellus Ornare Incorporated</t>
  </si>
  <si>
    <t>597218-4369</t>
  </si>
  <si>
    <t>Sem Mollis Dui Limited</t>
  </si>
  <si>
    <t>689833-5846</t>
  </si>
  <si>
    <t>Elit Pretium Institute</t>
  </si>
  <si>
    <t>102914-8168</t>
  </si>
  <si>
    <t>Fusce Aliquam Incorporated</t>
  </si>
  <si>
    <t>053569-0184</t>
  </si>
  <si>
    <t>Cubilia Corp.</t>
  </si>
  <si>
    <t>266476-5282</t>
  </si>
  <si>
    <t>Nunc Mauris Sapien Institute</t>
  </si>
  <si>
    <t>636038-7721</t>
  </si>
  <si>
    <t>Ultrices PC</t>
  </si>
  <si>
    <t>658649-5878</t>
  </si>
  <si>
    <t>Ipsum Phasellus Vitae Ltd</t>
  </si>
  <si>
    <t>874858-6453</t>
  </si>
  <si>
    <t>SharePrice</t>
  </si>
  <si>
    <t>NumberofShares</t>
  </si>
  <si>
    <t>CompanyName</t>
  </si>
  <si>
    <t>CompanyCode</t>
  </si>
  <si>
    <t>Orange</t>
  </si>
  <si>
    <t>Apple</t>
  </si>
  <si>
    <t>Pear</t>
  </si>
  <si>
    <t>Plum</t>
  </si>
  <si>
    <t>&gt;16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</si>
</sst>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$-409]* #,##0_ ;_-[$$-409]* \-#,##0\ ;_-[$$-409]* &quot;-&quot;??_ ;_-@_ "/>
    <numFmt numFmtId="165" formatCode="[$$-409]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Protection="1"/>
    <xf numFmtId="0" fontId="0" fillId="0" borderId="0" xfId="0" applyFill="1" applyProtection="1"/>
    <xf numFmtId="0" fontId="1" fillId="0" borderId="0" xfId="0" applyFont="1"/>
    <xf numFmtId="14" fontId="0" fillId="0" borderId="0" xfId="0" applyNumberFormat="1" applyFill="1" applyProtection="1"/>
    <xf numFmtId="0" fontId="0" fillId="0" borderId="0" xfId="0" applyFill="1"/>
    <xf numFmtId="14" fontId="0" fillId="0" borderId="0" xfId="0" applyNumberFormat="1" applyFill="1"/>
    <xf numFmtId="164" fontId="0" fillId="0" borderId="0" xfId="0" applyNumberFormat="1"/>
    <xf numFmtId="164" fontId="0" fillId="0" borderId="0" xfId="0" applyNumberFormat="1" applyFill="1" applyProtection="1"/>
    <xf numFmtId="0" fontId="1" fillId="0" borderId="0" xfId="0" applyFont="1" applyFill="1" applyAlignment="1" applyProtection="1">
      <alignment horizontal="center"/>
    </xf>
    <xf numFmtId="0" fontId="1" fillId="0" borderId="0" xfId="0" applyFont="1" applyAlignment="1">
      <alignment horizontal="center"/>
    </xf>
    <xf numFmtId="165" fontId="0" fillId="0" borderId="0" xfId="0" applyNumberFormat="1" applyFill="1" applyProtection="1"/>
    <xf numFmtId="14" fontId="1" fillId="0" borderId="0" xfId="0" applyNumberFormat="1" applyFont="1" applyFill="1" applyAlignment="1" applyProtection="1">
      <alignment horizontal="center"/>
    </xf>
    <xf numFmtId="14" fontId="1" fillId="0" borderId="0" xfId="0" applyNumberFormat="1" applyFont="1" applyFill="1" applyProtection="1"/>
  </cellXfs>
  <cellStyles count="1">
    <cellStyle name="Normal" xfId="0" builtinId="0"/>
  </cellStyles>
  <dxfs count="10">
    <dxf>
      <numFmt numFmtId="164" formatCode="_-[$$-409]* #,##0_ ;_-[$$-409]* \-#,##0\ ;_-[$$-409]* &quot;-&quot;??_ ;_-@_ "/>
      <fill>
        <patternFill patternType="none">
          <fgColor indexed="64"/>
          <bgColor indexed="65"/>
        </patternFill>
      </fill>
      <protection locked="1" hidden="0"/>
    </dxf>
    <dxf>
      <numFmt numFmtId="19" formatCode="dd/mm/yyyy"/>
      <fill>
        <patternFill patternType="none">
          <fgColor indexed="64"/>
          <bgColor indexed="65"/>
        </patternFill>
      </fill>
      <protection locked="1" hidden="0"/>
    </dxf>
    <dxf>
      <numFmt numFmtId="164" formatCode="_-[$$-409]* #,##0_ ;_-[$$-409]* \-#,##0\ ;_-[$$-409]* &quot;-&quot;??_ ;_-@_ "/>
    </dxf>
    <dxf>
      <numFmt numFmtId="164" formatCode="_-[$$-409]* #,##0_ ;_-[$$-409]* \-#,##0\ ;_-[$$-409]* &quot;-&quot;??_ ;_-@_ "/>
      <fill>
        <patternFill patternType="none">
          <fgColor indexed="64"/>
          <bgColor indexed="65"/>
        </patternFill>
      </fill>
      <protection locked="1" hidden="0"/>
    </dxf>
    <dxf>
      <numFmt numFmtId="19" formatCode="dd/mm/yyyy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numFmt numFmtId="164" formatCode="_-[$$-409]* #,##0_ ;_-[$$-409]* \-#,##0\ ;_-[$$-409]* &quot;-&quot;??_ ;_-@_ "/>
    </dxf>
    <dxf>
      <fill>
        <patternFill patternType="none">
          <fgColor indexed="64"/>
          <bgColor indexed="65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E95B70-A123-4311-9249-C03A1168AB12}" name="Table13" displayName="Table13" ref="A1:E13" totalsRowShown="0" headerRowDxfId="9">
  <tableColumns count="5">
    <tableColumn id="1" xr3:uid="{FD1FFC56-1C11-44A9-976B-DF9722B75191}" name="Item" dataDxfId="8"/>
    <tableColumn id="2" xr3:uid="{77818F13-A605-4FD1-8C28-385849861D8B}" name="Day" dataDxfId="1"/>
    <tableColumn id="3" xr3:uid="{2478892C-39B1-4D2C-B1B1-9C105B5DE724}" name="Price" dataDxfId="0"/>
    <tableColumn id="4" xr3:uid="{C9F08FCD-E312-48C0-B244-1845AF347491}" name="Volume"/>
    <tableColumn id="5" xr3:uid="{3991D280-48DF-4B0C-9BCE-B7D503C754A1}" name="Sales" dataDxfId="7">
      <calculatedColumnFormula>C2*D2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225B43-0D42-419E-A5E4-AB8755D5945F}" name="Table1" displayName="Table1" ref="A1:E13" totalsRowShown="0" headerRowDxfId="6">
  <tableColumns count="5">
    <tableColumn id="1" xr3:uid="{FAA71A3C-963E-4330-AA7E-9BE8BAB733B0}" name="Item" dataDxfId="5"/>
    <tableColumn id="2" xr3:uid="{C9E38599-678A-4676-8651-5BE8A8D048B8}" name="Day" dataDxfId="4"/>
    <tableColumn id="3" xr3:uid="{73364463-301D-4B1B-8BC1-64925402324E}" name="Price" dataDxfId="3"/>
    <tableColumn id="4" xr3:uid="{ECBD0D4D-FA68-4CD2-8D0E-DC980B4E6F22}" name="Volume"/>
    <tableColumn id="5" xr3:uid="{E6A10AFD-2410-49FC-9B76-D0FCC23DF273}" name="Sales" dataDxfId="2">
      <calculatedColumnFormula>C2*D2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FF775-5EB4-46FC-ABC1-B18856A2C0A3}">
  <sheetPr codeName="shTransactions1"/>
  <dimension ref="A1:Q13"/>
  <sheetViews>
    <sheetView workbookViewId="0">
      <selection activeCell="G10" sqref="G10"/>
    </sheetView>
  </sheetViews>
  <sheetFormatPr defaultRowHeight="14.4" x14ac:dyDescent="0.3"/>
  <cols>
    <col min="1" max="1" width="18" customWidth="1"/>
    <col min="2" max="2" width="13" customWidth="1"/>
    <col min="3" max="3" width="10.33203125" customWidth="1"/>
    <col min="4" max="4" width="14" customWidth="1"/>
    <col min="5" max="5" width="12.21875" customWidth="1"/>
    <col min="7" max="7" width="16.88671875" customWidth="1"/>
    <col min="8" max="9" width="8.88671875" customWidth="1"/>
    <col min="10" max="10" width="16.109375" customWidth="1"/>
    <col min="11" max="11" width="8.88671875" customWidth="1"/>
    <col min="14" max="15" width="8.88671875" customWidth="1"/>
  </cols>
  <sheetData>
    <row r="1" spans="1:17" x14ac:dyDescent="0.3">
      <c r="A1" s="9" t="s">
        <v>3</v>
      </c>
      <c r="B1" s="12" t="s">
        <v>1</v>
      </c>
      <c r="C1" s="9" t="s">
        <v>4</v>
      </c>
      <c r="D1" s="10" t="s">
        <v>0</v>
      </c>
      <c r="E1" s="10" t="s">
        <v>2</v>
      </c>
      <c r="G1" s="3" t="s">
        <v>3</v>
      </c>
      <c r="H1" s="1" t="s">
        <v>1</v>
      </c>
      <c r="I1" s="1" t="s">
        <v>4</v>
      </c>
      <c r="J1" s="3" t="s">
        <v>0</v>
      </c>
      <c r="K1" s="3" t="s">
        <v>2</v>
      </c>
      <c r="O1" s="13"/>
      <c r="P1" s="3"/>
      <c r="Q1" s="3"/>
    </row>
    <row r="2" spans="1:17" x14ac:dyDescent="0.3">
      <c r="A2" s="2" t="s">
        <v>5</v>
      </c>
      <c r="B2" s="4">
        <v>43282</v>
      </c>
      <c r="C2" s="8">
        <v>900</v>
      </c>
      <c r="D2">
        <v>25</v>
      </c>
      <c r="E2" s="7">
        <f>C2*D2</f>
        <v>22500</v>
      </c>
      <c r="G2" t="s">
        <v>5</v>
      </c>
      <c r="H2" s="2"/>
      <c r="O2" s="6"/>
    </row>
    <row r="3" spans="1:17" x14ac:dyDescent="0.3">
      <c r="A3" s="2" t="s">
        <v>6</v>
      </c>
      <c r="B3" s="4">
        <v>43282</v>
      </c>
      <c r="C3" s="8">
        <v>600</v>
      </c>
      <c r="D3">
        <v>16</v>
      </c>
      <c r="E3" s="7">
        <f t="shared" ref="E3:E13" si="0">C3*D3</f>
        <v>9600</v>
      </c>
      <c r="J3" t="s">
        <v>62</v>
      </c>
      <c r="O3" s="6"/>
    </row>
    <row r="4" spans="1:17" x14ac:dyDescent="0.3">
      <c r="A4" s="2" t="s">
        <v>7</v>
      </c>
      <c r="B4" s="4">
        <v>43282</v>
      </c>
      <c r="C4" s="8">
        <v>300</v>
      </c>
      <c r="D4">
        <v>23</v>
      </c>
      <c r="E4" s="7">
        <f t="shared" si="0"/>
        <v>6900</v>
      </c>
      <c r="N4" s="5"/>
      <c r="O4" s="6"/>
    </row>
    <row r="5" spans="1:17" x14ac:dyDescent="0.3">
      <c r="A5" s="2" t="s">
        <v>8</v>
      </c>
      <c r="B5" s="4">
        <v>43283</v>
      </c>
      <c r="C5" s="8">
        <v>400</v>
      </c>
      <c r="D5">
        <v>17</v>
      </c>
      <c r="E5" s="7">
        <f t="shared" si="0"/>
        <v>6800</v>
      </c>
      <c r="N5" s="5"/>
      <c r="O5" s="6"/>
    </row>
    <row r="6" spans="1:17" x14ac:dyDescent="0.3">
      <c r="A6" s="2" t="s">
        <v>5</v>
      </c>
      <c r="B6" s="4">
        <v>43283</v>
      </c>
      <c r="C6" s="8">
        <v>900</v>
      </c>
      <c r="D6">
        <v>9</v>
      </c>
      <c r="E6" s="7">
        <f t="shared" si="0"/>
        <v>8100</v>
      </c>
      <c r="N6" s="5"/>
      <c r="O6" s="6"/>
    </row>
    <row r="7" spans="1:17" x14ac:dyDescent="0.3">
      <c r="A7" s="2" t="s">
        <v>6</v>
      </c>
      <c r="B7" s="4">
        <v>43283</v>
      </c>
      <c r="C7" s="8">
        <v>600</v>
      </c>
      <c r="D7">
        <v>18</v>
      </c>
      <c r="E7" s="7">
        <f t="shared" si="0"/>
        <v>10800</v>
      </c>
      <c r="N7" s="5"/>
      <c r="O7" s="6"/>
    </row>
    <row r="8" spans="1:17" x14ac:dyDescent="0.3">
      <c r="A8" s="2" t="s">
        <v>7</v>
      </c>
      <c r="B8" s="4">
        <v>43283</v>
      </c>
      <c r="C8" s="8">
        <v>300</v>
      </c>
      <c r="D8">
        <v>24</v>
      </c>
      <c r="E8" s="7">
        <f t="shared" si="0"/>
        <v>7200</v>
      </c>
      <c r="N8" s="5"/>
      <c r="O8" s="6"/>
    </row>
    <row r="9" spans="1:17" x14ac:dyDescent="0.3">
      <c r="A9" s="2" t="s">
        <v>8</v>
      </c>
      <c r="B9" s="4">
        <v>43284</v>
      </c>
      <c r="C9" s="8">
        <v>400</v>
      </c>
      <c r="D9">
        <v>23</v>
      </c>
      <c r="E9" s="7">
        <f t="shared" si="0"/>
        <v>9200</v>
      </c>
      <c r="N9" s="5"/>
      <c r="O9" s="6"/>
    </row>
    <row r="10" spans="1:17" x14ac:dyDescent="0.3">
      <c r="A10" s="2" t="s">
        <v>6</v>
      </c>
      <c r="B10" s="4">
        <v>43284</v>
      </c>
      <c r="C10" s="8">
        <v>600</v>
      </c>
      <c r="D10">
        <v>6</v>
      </c>
      <c r="E10" s="7">
        <f t="shared" si="0"/>
        <v>3600</v>
      </c>
      <c r="N10" s="5"/>
      <c r="O10" s="6"/>
    </row>
    <row r="11" spans="1:17" x14ac:dyDescent="0.3">
      <c r="A11" s="2" t="s">
        <v>7</v>
      </c>
      <c r="B11" s="4">
        <v>43285</v>
      </c>
      <c r="C11" s="8">
        <v>900</v>
      </c>
      <c r="D11">
        <v>6</v>
      </c>
      <c r="E11" s="7">
        <f t="shared" si="0"/>
        <v>5400</v>
      </c>
      <c r="N11" s="5"/>
      <c r="O11" s="6"/>
    </row>
    <row r="12" spans="1:17" x14ac:dyDescent="0.3">
      <c r="A12" s="2" t="s">
        <v>6</v>
      </c>
      <c r="B12" s="4">
        <v>43285</v>
      </c>
      <c r="C12" s="8">
        <v>600</v>
      </c>
      <c r="D12">
        <v>23</v>
      </c>
      <c r="E12" s="7">
        <f t="shared" si="0"/>
        <v>13800</v>
      </c>
    </row>
    <row r="13" spans="1:17" x14ac:dyDescent="0.3">
      <c r="A13" s="2" t="s">
        <v>5</v>
      </c>
      <c r="B13" s="4">
        <v>43286</v>
      </c>
      <c r="C13" s="8">
        <v>900</v>
      </c>
      <c r="D13">
        <v>23</v>
      </c>
      <c r="E13" s="7">
        <f t="shared" si="0"/>
        <v>20700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954F8-B86D-47BA-BC69-03018693DC1C}">
  <sheetPr codeName="shCodename"/>
  <dimension ref="A1"/>
  <sheetViews>
    <sheetView workbookViewId="0">
      <selection activeCell="C17" sqref="C17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F34E8-746C-4795-A2A9-DF3057AE50FD}">
  <sheetPr codeName="shCurrentRegion"/>
  <dimension ref="B3:D14"/>
  <sheetViews>
    <sheetView workbookViewId="0">
      <selection activeCell="F24" sqref="F24"/>
    </sheetView>
  </sheetViews>
  <sheetFormatPr defaultRowHeight="14.4" x14ac:dyDescent="0.3"/>
  <cols>
    <col min="3" max="3" width="11.44140625" customWidth="1"/>
    <col min="4" max="4" width="11" bestFit="1" customWidth="1"/>
  </cols>
  <sheetData>
    <row r="3" spans="2:4" x14ac:dyDescent="0.3">
      <c r="B3" t="s">
        <v>9</v>
      </c>
      <c r="C3" t="s">
        <v>10</v>
      </c>
      <c r="D3" t="s">
        <v>11</v>
      </c>
    </row>
    <row r="4" spans="2:4" x14ac:dyDescent="0.3">
      <c r="B4" t="s">
        <v>12</v>
      </c>
      <c r="C4" t="s">
        <v>13</v>
      </c>
      <c r="D4">
        <v>57575755</v>
      </c>
    </row>
    <row r="5" spans="2:4" x14ac:dyDescent="0.3">
      <c r="B5" t="s">
        <v>14</v>
      </c>
      <c r="C5" t="s">
        <v>15</v>
      </c>
      <c r="D5">
        <v>5533333</v>
      </c>
    </row>
    <row r="6" spans="2:4" x14ac:dyDescent="0.3">
      <c r="B6" t="s">
        <v>16</v>
      </c>
      <c r="C6" t="s">
        <v>17</v>
      </c>
      <c r="D6">
        <v>2234242</v>
      </c>
    </row>
    <row r="7" spans="2:4" x14ac:dyDescent="0.3">
      <c r="B7" t="s">
        <v>18</v>
      </c>
      <c r="C7" t="s">
        <v>19</v>
      </c>
      <c r="D7">
        <v>24242424</v>
      </c>
    </row>
    <row r="8" spans="2:4" x14ac:dyDescent="0.3">
      <c r="B8" t="s">
        <v>20</v>
      </c>
      <c r="C8" t="s">
        <v>21</v>
      </c>
      <c r="D8">
        <v>54756757</v>
      </c>
    </row>
    <row r="9" spans="2:4" x14ac:dyDescent="0.3">
      <c r="B9" t="s">
        <v>22</v>
      </c>
      <c r="C9" t="s">
        <v>23</v>
      </c>
      <c r="D9">
        <v>31235758</v>
      </c>
    </row>
    <row r="10" spans="2:4" x14ac:dyDescent="0.3">
      <c r="B10" t="s">
        <v>24</v>
      </c>
      <c r="C10" t="s">
        <v>25</v>
      </c>
      <c r="D10">
        <v>24242423</v>
      </c>
    </row>
    <row r="11" spans="2:4" x14ac:dyDescent="0.3">
      <c r="B11" t="s">
        <v>26</v>
      </c>
      <c r="C11" t="s">
        <v>27</v>
      </c>
      <c r="D11">
        <v>34534535</v>
      </c>
    </row>
    <row r="12" spans="2:4" x14ac:dyDescent="0.3">
      <c r="B12" t="s">
        <v>28</v>
      </c>
      <c r="C12" t="s">
        <v>29</v>
      </c>
      <c r="D12">
        <v>2423424</v>
      </c>
    </row>
    <row r="13" spans="2:4" x14ac:dyDescent="0.3">
      <c r="B13" t="s">
        <v>30</v>
      </c>
      <c r="C13" t="s">
        <v>31</v>
      </c>
      <c r="D13">
        <v>98986788</v>
      </c>
    </row>
    <row r="14" spans="2:4" x14ac:dyDescent="0.3">
      <c r="B14" t="s">
        <v>32</v>
      </c>
      <c r="C14" t="s">
        <v>33</v>
      </c>
      <c r="D14">
        <v>24242444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08662-5C5B-4739-810A-9B29D82ADC8D}">
  <sheetPr codeName="shFragmented"/>
  <dimension ref="A1:E13"/>
  <sheetViews>
    <sheetView topLeftCell="B1" workbookViewId="0">
      <selection activeCell="G12" sqref="G12"/>
    </sheetView>
  </sheetViews>
  <sheetFormatPr defaultRowHeight="14.4" x14ac:dyDescent="0.3"/>
  <cols>
    <col min="1" max="1" width="13.5546875" bestFit="1" customWidth="1"/>
    <col min="2" max="2" width="32" bestFit="1" customWidth="1"/>
    <col min="3" max="3" width="7.21875" customWidth="1"/>
    <col min="4" max="4" width="15.33203125" bestFit="1" customWidth="1"/>
    <col min="5" max="5" width="9.88671875" bestFit="1" customWidth="1"/>
  </cols>
  <sheetData>
    <row r="1" spans="1:5" x14ac:dyDescent="0.3">
      <c r="A1" s="1" t="s">
        <v>57</v>
      </c>
      <c r="B1" s="1" t="s">
        <v>56</v>
      </c>
      <c r="C1" s="1"/>
      <c r="D1" s="1" t="s">
        <v>55</v>
      </c>
      <c r="E1" s="1" t="s">
        <v>54</v>
      </c>
    </row>
    <row r="2" spans="1:5" x14ac:dyDescent="0.3">
      <c r="A2" s="2" t="s">
        <v>53</v>
      </c>
      <c r="B2" s="2" t="s">
        <v>52</v>
      </c>
      <c r="C2" s="2"/>
      <c r="D2" s="2">
        <v>971</v>
      </c>
      <c r="E2" s="11">
        <v>29.29</v>
      </c>
    </row>
    <row r="3" spans="1:5" x14ac:dyDescent="0.3">
      <c r="A3" s="2" t="s">
        <v>51</v>
      </c>
      <c r="B3" s="2" t="s">
        <v>50</v>
      </c>
      <c r="C3" s="2"/>
      <c r="D3" s="2">
        <v>645</v>
      </c>
      <c r="E3" s="11">
        <v>44.38</v>
      </c>
    </row>
    <row r="4" spans="1:5" x14ac:dyDescent="0.3">
      <c r="A4" s="2"/>
      <c r="B4" s="2"/>
      <c r="C4" s="2"/>
      <c r="D4" s="2"/>
      <c r="E4" s="11"/>
    </row>
    <row r="5" spans="1:5" x14ac:dyDescent="0.3">
      <c r="A5" s="2" t="s">
        <v>49</v>
      </c>
      <c r="B5" s="2" t="s">
        <v>48</v>
      </c>
      <c r="C5" s="2"/>
      <c r="D5" s="2">
        <v>565</v>
      </c>
      <c r="E5" s="11">
        <v>78.8</v>
      </c>
    </row>
    <row r="6" spans="1:5" x14ac:dyDescent="0.3">
      <c r="A6" s="2" t="s">
        <v>47</v>
      </c>
      <c r="B6" s="2" t="s">
        <v>46</v>
      </c>
      <c r="C6" s="2"/>
      <c r="D6" s="2">
        <v>668</v>
      </c>
      <c r="E6" s="11">
        <v>59.94</v>
      </c>
    </row>
    <row r="7" spans="1:5" x14ac:dyDescent="0.3">
      <c r="A7" s="2" t="s">
        <v>45</v>
      </c>
      <c r="B7" s="2" t="s">
        <v>44</v>
      </c>
      <c r="C7" s="2"/>
      <c r="D7" s="2">
        <v>879</v>
      </c>
      <c r="E7" s="11">
        <v>22.93</v>
      </c>
    </row>
    <row r="8" spans="1:5" x14ac:dyDescent="0.3">
      <c r="A8" s="2" t="s">
        <v>43</v>
      </c>
      <c r="B8" s="2" t="s">
        <v>42</v>
      </c>
      <c r="C8" s="2"/>
      <c r="D8" s="2">
        <v>429</v>
      </c>
      <c r="E8" s="11">
        <v>13.36</v>
      </c>
    </row>
    <row r="9" spans="1:5" x14ac:dyDescent="0.3">
      <c r="A9" s="2"/>
      <c r="B9" s="2"/>
      <c r="C9" s="2"/>
      <c r="D9" s="2"/>
      <c r="E9" s="11"/>
    </row>
    <row r="10" spans="1:5" x14ac:dyDescent="0.3">
      <c r="A10" s="2" t="s">
        <v>41</v>
      </c>
      <c r="B10" s="2" t="s">
        <v>40</v>
      </c>
      <c r="C10" s="2"/>
      <c r="D10" s="2">
        <v>345</v>
      </c>
      <c r="E10" s="11">
        <v>33.28</v>
      </c>
    </row>
    <row r="11" spans="1:5" x14ac:dyDescent="0.3">
      <c r="A11" s="2" t="s">
        <v>39</v>
      </c>
      <c r="B11" s="2" t="s">
        <v>38</v>
      </c>
      <c r="C11" s="2"/>
      <c r="D11" s="2">
        <v>751</v>
      </c>
      <c r="E11" s="11">
        <v>54.02</v>
      </c>
    </row>
    <row r="12" spans="1:5" x14ac:dyDescent="0.3">
      <c r="A12" s="2" t="s">
        <v>37</v>
      </c>
      <c r="B12" s="2" t="s">
        <v>36</v>
      </c>
      <c r="C12" s="2"/>
      <c r="D12" s="2">
        <v>792</v>
      </c>
      <c r="E12" s="11">
        <v>66.28</v>
      </c>
    </row>
    <row r="13" spans="1:5" x14ac:dyDescent="0.3">
      <c r="A13" s="2" t="s">
        <v>35</v>
      </c>
      <c r="B13" s="2" t="s">
        <v>34</v>
      </c>
      <c r="C13" s="2"/>
      <c r="D13" s="2">
        <v>623</v>
      </c>
      <c r="E13" s="11">
        <v>99.65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D7D99-D3C1-4477-B035-E30F7C4134E8}">
  <sheetPr codeName="shTransactions"/>
  <dimension ref="A1:E13"/>
  <sheetViews>
    <sheetView tabSelected="1" workbookViewId="0">
      <selection activeCell="H15" sqref="H15"/>
    </sheetView>
  </sheetViews>
  <sheetFormatPr defaultRowHeight="14.4" x14ac:dyDescent="0.3"/>
  <cols>
    <col min="1" max="1" width="18" customWidth="1"/>
    <col min="2" max="2" width="13" customWidth="1"/>
    <col min="3" max="3" width="10.33203125" customWidth="1"/>
    <col min="4" max="4" width="14" customWidth="1"/>
    <col min="5" max="5" width="12.21875" customWidth="1"/>
  </cols>
  <sheetData>
    <row r="1" spans="1:5" x14ac:dyDescent="0.3">
      <c r="A1" s="9" t="s">
        <v>3</v>
      </c>
      <c r="B1" s="12" t="s">
        <v>1</v>
      </c>
      <c r="C1" s="12" t="s">
        <v>4</v>
      </c>
      <c r="D1" s="10" t="s">
        <v>0</v>
      </c>
      <c r="E1" s="10" t="s">
        <v>2</v>
      </c>
    </row>
    <row r="2" spans="1:5" x14ac:dyDescent="0.3">
      <c r="A2" s="2" t="s">
        <v>5</v>
      </c>
      <c r="B2" s="4">
        <v>43282</v>
      </c>
      <c r="C2" s="8">
        <v>900</v>
      </c>
      <c r="D2">
        <v>25</v>
      </c>
      <c r="E2" s="7">
        <f>C2*D2</f>
        <v>22500</v>
      </c>
    </row>
    <row r="3" spans="1:5" x14ac:dyDescent="0.3">
      <c r="A3" s="2" t="s">
        <v>6</v>
      </c>
      <c r="B3" s="4">
        <v>43282</v>
      </c>
      <c r="C3" s="8">
        <v>600</v>
      </c>
      <c r="D3">
        <v>16</v>
      </c>
      <c r="E3" s="7">
        <f t="shared" ref="E3:E13" si="0">C3*D3</f>
        <v>9600</v>
      </c>
    </row>
    <row r="4" spans="1:5" x14ac:dyDescent="0.3">
      <c r="A4" s="2" t="s">
        <v>7</v>
      </c>
      <c r="B4" s="4">
        <v>43282</v>
      </c>
      <c r="C4" s="8">
        <v>300</v>
      </c>
      <c r="D4">
        <v>23</v>
      </c>
      <c r="E4" s="7">
        <f t="shared" si="0"/>
        <v>6900</v>
      </c>
    </row>
    <row r="5" spans="1:5" x14ac:dyDescent="0.3">
      <c r="A5" s="2" t="s">
        <v>8</v>
      </c>
      <c r="B5" s="4">
        <v>43283</v>
      </c>
      <c r="C5" s="8">
        <v>400</v>
      </c>
      <c r="D5">
        <v>17</v>
      </c>
      <c r="E5" s="7">
        <f t="shared" si="0"/>
        <v>6800</v>
      </c>
    </row>
    <row r="6" spans="1:5" x14ac:dyDescent="0.3">
      <c r="A6" s="2" t="s">
        <v>5</v>
      </c>
      <c r="B6" s="4">
        <v>43283</v>
      </c>
      <c r="C6" s="8">
        <v>900</v>
      </c>
      <c r="D6">
        <v>9</v>
      </c>
      <c r="E6" s="7">
        <f t="shared" si="0"/>
        <v>8100</v>
      </c>
    </row>
    <row r="7" spans="1:5" x14ac:dyDescent="0.3">
      <c r="A7" s="2" t="s">
        <v>6</v>
      </c>
      <c r="B7" s="4">
        <v>43283</v>
      </c>
      <c r="C7" s="8">
        <v>600</v>
      </c>
      <c r="D7">
        <v>18</v>
      </c>
      <c r="E7" s="7">
        <f t="shared" si="0"/>
        <v>10800</v>
      </c>
    </row>
    <row r="8" spans="1:5" x14ac:dyDescent="0.3">
      <c r="A8" s="2" t="s">
        <v>7</v>
      </c>
      <c r="B8" s="4">
        <v>43283</v>
      </c>
      <c r="C8" s="8">
        <v>300</v>
      </c>
      <c r="D8">
        <v>24</v>
      </c>
      <c r="E8" s="7">
        <f t="shared" si="0"/>
        <v>7200</v>
      </c>
    </row>
    <row r="9" spans="1:5" x14ac:dyDescent="0.3">
      <c r="A9" s="2" t="s">
        <v>8</v>
      </c>
      <c r="B9" s="4">
        <v>43284</v>
      </c>
      <c r="C9" s="8">
        <v>400</v>
      </c>
      <c r="D9">
        <v>23</v>
      </c>
      <c r="E9" s="7">
        <f t="shared" si="0"/>
        <v>9200</v>
      </c>
    </row>
    <row r="10" spans="1:5" x14ac:dyDescent="0.3">
      <c r="A10" s="2" t="s">
        <v>6</v>
      </c>
      <c r="B10" s="4">
        <v>43284</v>
      </c>
      <c r="C10" s="8">
        <v>600</v>
      </c>
      <c r="D10">
        <v>6</v>
      </c>
      <c r="E10" s="7">
        <f t="shared" si="0"/>
        <v>3600</v>
      </c>
    </row>
    <row r="11" spans="1:5" x14ac:dyDescent="0.3">
      <c r="A11" s="2" t="s">
        <v>7</v>
      </c>
      <c r="B11" s="4">
        <v>43285</v>
      </c>
      <c r="C11" s="8">
        <v>900</v>
      </c>
      <c r="D11">
        <v>6</v>
      </c>
      <c r="E11" s="7">
        <f t="shared" si="0"/>
        <v>5400</v>
      </c>
    </row>
    <row r="12" spans="1:5" x14ac:dyDescent="0.3">
      <c r="A12" s="2" t="s">
        <v>6</v>
      </c>
      <c r="B12" s="4">
        <v>43285</v>
      </c>
      <c r="C12" s="8">
        <v>600</v>
      </c>
      <c r="D12">
        <v>23</v>
      </c>
      <c r="E12" s="7">
        <f t="shared" si="0"/>
        <v>13800</v>
      </c>
    </row>
    <row r="13" spans="1:5" x14ac:dyDescent="0.3">
      <c r="A13" s="2" t="s">
        <v>5</v>
      </c>
      <c r="B13" s="4">
        <v>43286</v>
      </c>
      <c r="C13" s="8">
        <v>900</v>
      </c>
      <c r="D13">
        <v>23</v>
      </c>
      <c r="E13" s="7">
        <f t="shared" si="0"/>
        <v>20700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3B7FC-0D9B-4083-AB02-B3752205240C}">
  <sheetPr codeName="shReport"/>
  <dimension ref="A1:B4"/>
  <sheetViews>
    <sheetView workbookViewId="0">
      <selection activeCell="J8" sqref="J8"/>
    </sheetView>
  </sheetViews>
  <sheetFormatPr defaultRowHeight="14.4" x14ac:dyDescent="0.3"/>
  <cols>
    <col min="1" max="1" width="15" bestFit="1" customWidth="1"/>
    <col min="2" max="2" width="14.109375" bestFit="1" customWidth="1"/>
    <col min="3" max="3" width="11.6640625" bestFit="1" customWidth="1"/>
  </cols>
  <sheetData>
    <row r="1" spans="1:2" x14ac:dyDescent="0.3">
      <c r="A1" t="s">
        <v>3</v>
      </c>
      <c r="B1" t="s">
        <v>2</v>
      </c>
    </row>
    <row r="2" spans="1:2" x14ac:dyDescent="0.3">
      <c r="A2" s="5" t="s">
        <v>5</v>
      </c>
      <c r="B2" s="7">
        <v>22500</v>
      </c>
    </row>
    <row r="3" spans="1:2" x14ac:dyDescent="0.3">
      <c r="A3" s="5" t="s">
        <v>5</v>
      </c>
      <c r="B3" s="7">
        <v>8100</v>
      </c>
    </row>
    <row r="4" spans="1:2" x14ac:dyDescent="0.3">
      <c r="A4" s="5" t="s">
        <v>5</v>
      </c>
      <c r="B4" s="7">
        <v>20700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ADE2-2861-4861-AD4F-CAA8731FDB16}">
  <sheetPr codeName="shTemp"/>
  <dimension ref="A1"/>
  <sheetViews>
    <sheetView workbookViewId="0">
      <selection sqref="A1:D5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C0070-2332-40A8-B1E3-770C333D4763}">
  <sheetPr codeName="Sheet1"/>
  <dimension ref="A1:I4"/>
  <sheetViews>
    <sheetView workbookViewId="0">
      <selection activeCell="H10" sqref="H10"/>
    </sheetView>
  </sheetViews>
  <sheetFormatPr defaultRowHeight="14.4" x14ac:dyDescent="0.3"/>
  <sheetData>
    <row r="1" spans="1:9" x14ac:dyDescent="0.3">
      <c r="A1" t="s">
        <v>59</v>
      </c>
      <c r="B1">
        <v>23</v>
      </c>
      <c r="F1" t="s">
        <v>59</v>
      </c>
      <c r="G1" t="s">
        <v>58</v>
      </c>
      <c r="H1" t="s">
        <v>60</v>
      </c>
      <c r="I1" t="s">
        <v>61</v>
      </c>
    </row>
    <row r="2" spans="1:9" x14ac:dyDescent="0.3">
      <c r="A2" t="s">
        <v>58</v>
      </c>
      <c r="B2">
        <v>13</v>
      </c>
      <c r="F2">
        <v>23</v>
      </c>
      <c r="G2">
        <v>13</v>
      </c>
      <c r="H2">
        <v>27</v>
      </c>
      <c r="I2">
        <v>76</v>
      </c>
    </row>
    <row r="3" spans="1:9" x14ac:dyDescent="0.3">
      <c r="A3" t="s">
        <v>60</v>
      </c>
      <c r="B3">
        <v>27</v>
      </c>
    </row>
    <row r="4" spans="1:9" x14ac:dyDescent="0.3">
      <c r="A4" t="s">
        <v>61</v>
      </c>
      <c r="B4">
        <v>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Transactions Filter</vt:lpstr>
      <vt:lpstr>sheetname</vt:lpstr>
      <vt:lpstr>CurrentRegion</vt:lpstr>
      <vt:lpstr>Fragmented</vt:lpstr>
      <vt:lpstr>Transactions</vt:lpstr>
      <vt:lpstr>Report</vt:lpstr>
      <vt:lpstr>Temp</vt:lpstr>
      <vt:lpstr>Transpose</vt:lpstr>
      <vt:lpstr>'Transactions Filter'!Criteria</vt:lpstr>
      <vt:lpstr>Report!Extract</vt:lpstr>
      <vt:lpstr>'Transactions Filter'!Extract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Kelly</dc:creator>
  <cp:lastModifiedBy>Paul Kelly</cp:lastModifiedBy>
  <dcterms:created xsi:type="dcterms:W3CDTF">2018-08-02T03:45:38Z</dcterms:created>
  <dcterms:modified xsi:type="dcterms:W3CDTF">2018-09-11T07:49:26Z</dcterms:modified>
</cp:coreProperties>
</file>