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MASTER BACKUP\MACRO - Konfirmasi FEDEX\Macro\New folder (5)\"/>
    </mc:Choice>
  </mc:AlternateContent>
  <xr:revisionPtr revIDLastSave="0" documentId="13_ncr:1_{E73ABD3B-B785-4A67-822B-4229F65F57C7}" xr6:coauthVersionLast="47" xr6:coauthVersionMax="47" xr10:uidLastSave="{00000000-0000-0000-0000-000000000000}"/>
  <bookViews>
    <workbookView xWindow="-120" yWindow="-120" windowWidth="20640" windowHeight="11160" activeTab="2" xr2:uid="{C96677D9-A40F-45A9-B5A0-9B03A60B89D4}"/>
  </bookViews>
  <sheets>
    <sheet name="SETTINGS" sheetId="1" r:id="rId1"/>
    <sheet name="WORKSHEET" sheetId="3" r:id="rId2"/>
    <sheet name="RPA_OW" sheetId="21" r:id="rId3"/>
    <sheet name="BACKUP" sheetId="7" state="hidden" r:id="rId4"/>
    <sheet name="Ref_Confirmer" sheetId="14" state="hidden" r:id="rId5"/>
  </sheets>
  <definedNames>
    <definedName name="_xlnm._FilterDatabase" localSheetId="4" hidden="1">Ref_Confirmer!$A$1:$A$29</definedName>
    <definedName name="_xlnm._FilterDatabase" localSheetId="1" hidden="1">WORKSHEET!$A$1:$R$66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1" l="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2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O14" i="3" l="1"/>
  <c r="P14" i="3" s="1"/>
  <c r="O20" i="3"/>
  <c r="P20" i="3" s="1"/>
  <c r="O27" i="3"/>
  <c r="P27" i="3" s="1"/>
  <c r="O6" i="3"/>
  <c r="P6" i="3" s="1"/>
  <c r="O51" i="3"/>
  <c r="P51" i="3" s="1"/>
  <c r="O4" i="3"/>
  <c r="P4" i="3" s="1"/>
  <c r="O19" i="3"/>
  <c r="P19" i="3" s="1"/>
  <c r="O49" i="3"/>
  <c r="P49" i="3" s="1"/>
  <c r="O52" i="3"/>
  <c r="P52" i="3" s="1"/>
  <c r="O65" i="3"/>
  <c r="P65" i="3" s="1"/>
  <c r="O8" i="3" l="1"/>
  <c r="P8" i="3" s="1"/>
  <c r="O62" i="3"/>
  <c r="P62" i="3" s="1"/>
  <c r="O26" i="3"/>
  <c r="P26" i="3" s="1"/>
  <c r="O66" i="3"/>
  <c r="P66" i="3" s="1"/>
  <c r="O31" i="3"/>
  <c r="P31" i="3" s="1"/>
  <c r="O57" i="3"/>
  <c r="P57" i="3" s="1"/>
  <c r="O55" i="3"/>
  <c r="P55" i="3" s="1"/>
  <c r="O56" i="3"/>
  <c r="P56" i="3" s="1"/>
  <c r="O28" i="3"/>
  <c r="P28" i="3" s="1"/>
  <c r="O50" i="3"/>
  <c r="P50" i="3" s="1"/>
  <c r="O44" i="3"/>
  <c r="P44" i="3" s="1"/>
  <c r="O45" i="3"/>
  <c r="P45" i="3" s="1"/>
  <c r="O58" i="3"/>
  <c r="P58" i="3" s="1"/>
  <c r="O29" i="3"/>
  <c r="P29" i="3" s="1"/>
  <c r="O2" i="3"/>
  <c r="P2" i="3" s="1"/>
  <c r="O11" i="3"/>
  <c r="P11" i="3" s="1"/>
  <c r="O21" i="3"/>
  <c r="P21" i="3" s="1"/>
  <c r="O24" i="3"/>
  <c r="P24" i="3" s="1"/>
  <c r="O32" i="3"/>
  <c r="P32" i="3" s="1"/>
  <c r="O54" i="3"/>
  <c r="P54" i="3" s="1"/>
  <c r="O35" i="3"/>
  <c r="P35" i="3" s="1"/>
  <c r="O17" i="3"/>
  <c r="P17" i="3" s="1"/>
  <c r="O23" i="3"/>
  <c r="P23" i="3" s="1"/>
  <c r="O39" i="3"/>
  <c r="P39" i="3" s="1"/>
  <c r="O22" i="3"/>
  <c r="P22" i="3" s="1"/>
  <c r="O42" i="3"/>
  <c r="P42" i="3" s="1"/>
  <c r="O34" i="3"/>
  <c r="P34" i="3" s="1"/>
  <c r="O48" i="3"/>
  <c r="P48" i="3" s="1"/>
  <c r="O47" i="3"/>
  <c r="P47" i="3" s="1"/>
  <c r="O40" i="3"/>
  <c r="P40" i="3" s="1"/>
  <c r="O7" i="3"/>
  <c r="P7" i="3" s="1"/>
  <c r="O12" i="3"/>
  <c r="P12" i="3" s="1"/>
  <c r="O13" i="3"/>
  <c r="P13" i="3" s="1"/>
  <c r="O60" i="3"/>
  <c r="P60" i="3" s="1"/>
  <c r="O41" i="3"/>
  <c r="P41" i="3" s="1"/>
  <c r="O33" i="3"/>
  <c r="P33" i="3" s="1"/>
  <c r="O46" i="3"/>
  <c r="P46" i="3" s="1"/>
  <c r="O36" i="3"/>
  <c r="P36" i="3" s="1"/>
  <c r="O63" i="3"/>
  <c r="P63" i="3" s="1"/>
  <c r="O5" i="3"/>
  <c r="P5" i="3" s="1"/>
  <c r="O53" i="3"/>
  <c r="P53" i="3" s="1"/>
  <c r="O10" i="3"/>
  <c r="P10" i="3" s="1"/>
  <c r="O16" i="3"/>
  <c r="P16" i="3" s="1"/>
  <c r="O15" i="3"/>
  <c r="P15" i="3" s="1"/>
  <c r="O3" i="3"/>
  <c r="P3" i="3" s="1"/>
  <c r="O43" i="3"/>
  <c r="P43" i="3" s="1"/>
  <c r="O30" i="3"/>
  <c r="P30" i="3" s="1"/>
  <c r="O18" i="3"/>
  <c r="P18" i="3" s="1"/>
  <c r="O25" i="3"/>
  <c r="P25" i="3" s="1"/>
  <c r="O64" i="3"/>
  <c r="P64" i="3" s="1"/>
  <c r="O9" i="3"/>
  <c r="P9" i="3" s="1"/>
  <c r="O37" i="3"/>
  <c r="P37" i="3" s="1"/>
  <c r="O59" i="3"/>
  <c r="P59" i="3" s="1"/>
  <c r="O38" i="3"/>
  <c r="P38" i="3" s="1"/>
  <c r="O61" i="3"/>
  <c r="P6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T1" authorId="0" shapeId="0" xr:uid="{0FFC8904-19CE-4A6B-9995-E6C70D9612DC}">
      <text>
        <r>
          <rPr>
            <sz val="9"/>
            <color indexed="81"/>
            <rFont val="Tahoma"/>
            <family val="2"/>
          </rPr>
          <t>[NOTE]
0=Data belum dikonfirmasi
1=Data telah dikonfirmasi</t>
        </r>
      </text>
    </comment>
    <comment ref="U1" authorId="0" shapeId="0" xr:uid="{7EF7C959-1353-48B9-BDFB-F558CFC4037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nama</t>
        </r>
      </text>
    </comment>
    <comment ref="V1" authorId="0" shapeId="0" xr:uid="{CC3BC4B3-1C43-4171-AC80-BB537FD024AD}">
      <text>
        <r>
          <rPr>
            <b/>
            <sz val="9"/>
            <color indexed="81"/>
            <rFont val="Tahoma"/>
            <charset val="1"/>
          </rPr>
          <t>NOTE:</t>
        </r>
        <r>
          <rPr>
            <sz val="9"/>
            <color indexed="81"/>
            <rFont val="Tahoma"/>
            <charset val="1"/>
          </rPr>
          <t xml:space="preserve">
Double Click untuk mencari referensi Buyer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888453-C1F4-4E36-9861-D9CF663A6EDF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63938206-ED4E-40B5-A290-ACFD709CEED4}" keepAlive="1" name="Query - Table001 (Page 1)" description="Connection to the 'Table001 (Page 1)' query in the workbook." type="5" refreshedVersion="0" background="1">
    <dbPr connection="Provider=Microsoft.Mashup.OleDb.1;Data Source=$Workbook$;Location=&quot;Table001 (Page 1)&quot;;Extended Properties=&quot;&quot;" command="SELECT * FROM [Table001 (Page 1)]"/>
  </connection>
  <connection id="3" xr16:uid="{BC43DD00-059A-46B3-A492-D50A911FB745}" keepAlive="1" name="Query - Table006 (Page 2)" description="Connection to the 'Table006 (Page 2)' query in the workbook." type="5" refreshedVersion="0" background="1">
    <dbPr connection="Provider=Microsoft.Mashup.OleDb.1;Data Source=$Workbook$;Location=&quot;Table006 (Page 2)&quot;;Extended Properties=&quot;&quot;" command="SELECT * FROM [Table006 (Page 2)]"/>
  </connection>
  <connection id="4" xr16:uid="{AAC08557-8CCB-4794-8666-D35140AC4484}" keepAlive="1" name="Query - Table008 (Page 3)" description="Connection to the 'Table008 (Page 3)' query in the workbook." type="5" refreshedVersion="0" background="1">
    <dbPr connection="Provider=Microsoft.Mashup.OleDb.1;Data Source=$Workbook$;Location=&quot;Table008 (Page 3)&quot;;Extended Properties=&quot;&quot;" command="SELECT * FROM [Table008 (Page 3)]"/>
  </connection>
</connections>
</file>

<file path=xl/sharedStrings.xml><?xml version="1.0" encoding="utf-8"?>
<sst xmlns="http://schemas.openxmlformats.org/spreadsheetml/2006/main" count="1706" uniqueCount="260">
  <si>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</si>
  <si>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</si>
  <si>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</si>
  <si>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</si>
  <si>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</si>
  <si>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</si>
  <si>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</si>
  <si>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</si>
  <si>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</si>
  <si>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</si>
  <si>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</si>
  <si>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</si>
  <si>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</si>
  <si>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</si>
  <si>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</si>
  <si>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</si>
  <si>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ENTITY</t>
  </si>
  <si>
    <t>VALUE</t>
  </si>
  <si>
    <t>870128687</t>
  </si>
  <si>
    <t>YAN LU</t>
  </si>
  <si>
    <t>SUMI/ MERCY / DIANA</t>
  </si>
  <si>
    <t>774438473160</t>
  </si>
  <si>
    <t>PT GISTEX GARMEN INDONESIA</t>
  </si>
  <si>
    <t>ZHONG</t>
  </si>
  <si>
    <t>NUNING</t>
  </si>
  <si>
    <t>774565991045</t>
  </si>
  <si>
    <t>LOXY SHANGHAI CO,,LTD</t>
  </si>
  <si>
    <t>PT. GISTEX GARMENT INDONESIA</t>
  </si>
  <si>
    <t>STELLA</t>
  </si>
  <si>
    <t>EKA</t>
  </si>
  <si>
    <t>774581911125</t>
  </si>
  <si>
    <t>NINGBO TWO BIRDS INDUSTRY CO.,</t>
  </si>
  <si>
    <t>PT.GISTEX GARMEN LNDONESIA</t>
  </si>
  <si>
    <t>870128688</t>
  </si>
  <si>
    <t>774552254122</t>
  </si>
  <si>
    <t>EKA / BAYU</t>
  </si>
  <si>
    <t>OGURA KENJI / HASHIMOTO KIMIE</t>
  </si>
  <si>
    <t>PT. GISTEX GARMEN INDONESIA</t>
  </si>
  <si>
    <t>MARUBENI FASHION LINK, LTD</t>
  </si>
  <si>
    <t>774580602869</t>
  </si>
  <si>
    <t>GISTEX GARMEN INDONESIA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</si>
  <si>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</si>
  <si>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</si>
  <si>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</si>
  <si>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</si>
  <si>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</si>
  <si>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</si>
  <si>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</si>
  <si>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</si>
  <si>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</si>
  <si>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870138343</t>
  </si>
  <si>
    <t>FION LEUNG</t>
  </si>
  <si>
    <t>774514292670</t>
  </si>
  <si>
    <t>J-LONG LTD</t>
  </si>
  <si>
    <t>870048771</t>
  </si>
  <si>
    <t>SHENYANG</t>
  </si>
  <si>
    <t>774194576473</t>
  </si>
  <si>
    <t>JIANGSU</t>
  </si>
  <si>
    <t>774216971908</t>
  </si>
  <si>
    <t>869971222</t>
  </si>
  <si>
    <t>773869351020</t>
  </si>
  <si>
    <t>CISSY</t>
  </si>
  <si>
    <t>SRI BUDIARTI</t>
  </si>
  <si>
    <t>773870191217</t>
  </si>
  <si>
    <t>JIANGSU GOLDEN AUTUMN ELASTIC</t>
  </si>
  <si>
    <t>MERCY/SUMI</t>
  </si>
  <si>
    <t>773884693621</t>
  </si>
  <si>
    <t>785740476670</t>
  </si>
  <si>
    <t>870148463</t>
  </si>
  <si>
    <t>774492822021</t>
  </si>
  <si>
    <t>HANFRIEND COLTD</t>
  </si>
  <si>
    <t>ULI</t>
  </si>
  <si>
    <t>PT. GISTEX GARMEN INDONESIA II</t>
  </si>
  <si>
    <t>774496252273</t>
  </si>
  <si>
    <t>MAXIMILIAN OBERHOFF</t>
  </si>
  <si>
    <t>ATTN: NUNING / SRI</t>
  </si>
  <si>
    <t>P.T. GISTEX GARMEN INDONESIA</t>
  </si>
  <si>
    <t>BAYU</t>
  </si>
  <si>
    <t>774608947549</t>
  </si>
  <si>
    <t>538683301873</t>
  </si>
  <si>
    <t>TONY WONG</t>
  </si>
  <si>
    <t>AVERY DENNISON (HONG KONG) LTD</t>
  </si>
  <si>
    <t>774634331161</t>
  </si>
  <si>
    <t>870148464</t>
  </si>
  <si>
    <t>774609920571</t>
  </si>
  <si>
    <t>774598274869</t>
  </si>
  <si>
    <t>774634936230</t>
  </si>
  <si>
    <t>MS.SHIRLY FANG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</si>
  <si>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</si>
  <si>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</si>
  <si>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</si>
  <si>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</si>
  <si>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</si>
  <si>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</si>
  <si>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</si>
  <si>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</si>
  <si>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</si>
  <si>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</si>
  <si>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</si>
  <si>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</si>
  <si>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</si>
  <si>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</si>
  <si>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774291589065</t>
  </si>
  <si>
    <t>774306660341</t>
  </si>
  <si>
    <t>774306099460</t>
  </si>
  <si>
    <t>DIANA / LINDA</t>
  </si>
  <si>
    <t>MS. MIYAMURA</t>
  </si>
  <si>
    <t>SUNRICH MODE INC.</t>
  </si>
  <si>
    <t>774273481327</t>
  </si>
  <si>
    <t>DEREK SHANG</t>
  </si>
  <si>
    <t>SHAOXING RAYSAR TEXTILE CO.,LT</t>
  </si>
  <si>
    <t>774346736332</t>
  </si>
  <si>
    <t>774345930609</t>
  </si>
  <si>
    <t>870069728</t>
  </si>
  <si>
    <t>774327903444</t>
  </si>
  <si>
    <t>870072442</t>
  </si>
  <si>
    <t>774398472980</t>
  </si>
  <si>
    <t>870159593</t>
  </si>
  <si>
    <t>774713825922</t>
  </si>
  <si>
    <t>PT.GISTEX GARMEN INDONESIA</t>
  </si>
  <si>
    <t>870085656</t>
  </si>
  <si>
    <t>774381618321</t>
  </si>
  <si>
    <t>870163300</t>
  </si>
  <si>
    <t>774695421533</t>
  </si>
  <si>
    <t>774649725891</t>
  </si>
  <si>
    <t>870163301</t>
  </si>
  <si>
    <t>KIRSTIN SHENG</t>
  </si>
  <si>
    <t>AGUSTINA FUNG FUNG / YULI HART</t>
  </si>
  <si>
    <t>774679939072</t>
  </si>
  <si>
    <t>CHANGSHU BAOFENG SPECIAL FIBER</t>
  </si>
  <si>
    <t>870091402</t>
  </si>
  <si>
    <t>773550803405</t>
  </si>
  <si>
    <t>GISTEX GARMEN INDONESIA PT</t>
  </si>
  <si>
    <t>774365555030</t>
  </si>
  <si>
    <t>SRI/NUNING</t>
  </si>
  <si>
    <t>870091403</t>
  </si>
  <si>
    <t>774366065088</t>
  </si>
  <si>
    <t>774366629259</t>
  </si>
  <si>
    <t>774398794300</t>
  </si>
  <si>
    <t>774365282079</t>
  </si>
  <si>
    <t>TODD GANSLUCKNER</t>
  </si>
  <si>
    <t>774397920487</t>
  </si>
  <si>
    <t>774399685776</t>
  </si>
  <si>
    <t>774421829468</t>
  </si>
  <si>
    <t>870093989</t>
  </si>
  <si>
    <t>870111817</t>
  </si>
  <si>
    <t>774475073999</t>
  </si>
  <si>
    <t>870111818</t>
  </si>
  <si>
    <t>774458508594</t>
  </si>
  <si>
    <t>774456317101</t>
  </si>
  <si>
    <t>787993428533</t>
  </si>
  <si>
    <t>774457287395</t>
  </si>
  <si>
    <t>774494944135</t>
  </si>
  <si>
    <t>774532877779</t>
  </si>
  <si>
    <t>774535001793</t>
  </si>
  <si>
    <t>774535060851</t>
  </si>
  <si>
    <t>STELLA GAO/LENA /CHERRY</t>
  </si>
  <si>
    <t>MERCY /SUMI/GITA</t>
  </si>
  <si>
    <t>SHAOXING YMYSI IMPORTEXPORT</t>
  </si>
  <si>
    <t/>
  </si>
  <si>
    <t>FULL PATH (File Hasil Ekstrak)</t>
  </si>
  <si>
    <t>-</t>
  </si>
  <si>
    <t>\\10.8.0.35\Bersama\IT\Macro Record Projects\MASTER BACKUP\MACRO - Konfirmasi FEDEX\.bahan\HasilExtract 2.xlsx</t>
  </si>
  <si>
    <t>47.0</t>
  </si>
  <si>
    <t>122.5</t>
  </si>
  <si>
    <t>0.5</t>
  </si>
  <si>
    <t>0.1</t>
  </si>
  <si>
    <t>0.4</t>
  </si>
  <si>
    <t>21.0</t>
  </si>
  <si>
    <t>155.4</t>
  </si>
  <si>
    <t>2.3</t>
  </si>
  <si>
    <t>51.0</t>
  </si>
  <si>
    <t>28.1</t>
  </si>
  <si>
    <t>1.1</t>
  </si>
  <si>
    <t>7.2</t>
  </si>
  <si>
    <t>12.5</t>
  </si>
  <si>
    <t>1.2</t>
  </si>
  <si>
    <t>1.9</t>
  </si>
  <si>
    <t>2.1</t>
  </si>
  <si>
    <t>12.4</t>
  </si>
  <si>
    <t>11.7</t>
  </si>
  <si>
    <t>1.0</t>
  </si>
  <si>
    <t>3.8</t>
  </si>
  <si>
    <t>28.8</t>
  </si>
  <si>
    <t>120.1</t>
  </si>
  <si>
    <t>75.9</t>
  </si>
  <si>
    <t>1.3</t>
  </si>
  <si>
    <t>1.4</t>
  </si>
  <si>
    <t>13.2</t>
  </si>
  <si>
    <t>0.2</t>
  </si>
  <si>
    <t>2.2</t>
  </si>
  <si>
    <t>0.8</t>
  </si>
  <si>
    <t>Weight (Kg)</t>
  </si>
  <si>
    <t>Synta</t>
  </si>
  <si>
    <t>Linda</t>
  </si>
  <si>
    <t>Mercy</t>
  </si>
  <si>
    <t>\\10.8.0.35\Bersama\IT\Macro Record Projects\MASTER BACKUP\MACRO - Konfirmasi FEDEX\Macro\Hasil Pengolahan Macro\KonfirmasiData_FEDEX.xlsm</t>
  </si>
  <si>
    <t>Dummy: Count InvNum</t>
  </si>
  <si>
    <t>Dummy: Count AWB</t>
  </si>
  <si>
    <t>Confirm by</t>
  </si>
  <si>
    <t xml:space="preserve">Order       </t>
  </si>
  <si>
    <t xml:space="preserve">Debit Note    </t>
  </si>
  <si>
    <t>Adidas SMS</t>
  </si>
  <si>
    <t>Eka</t>
  </si>
  <si>
    <t>NISHIMATSUYA</t>
  </si>
  <si>
    <t>DOUBLE INPUT</t>
  </si>
  <si>
    <t>Miyamori</t>
  </si>
  <si>
    <t>Bonjoyfull-Marusa</t>
  </si>
  <si>
    <t>1201.720400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</si>
  <si>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</si>
  <si>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Account (BDOR 720400, BDOIR 630530)</t>
  </si>
  <si>
    <t>Nama</t>
  </si>
  <si>
    <t>Adji</t>
  </si>
  <si>
    <t>Ayu</t>
  </si>
  <si>
    <t>Bayu</t>
  </si>
  <si>
    <t>Diana</t>
  </si>
  <si>
    <t>Erna</t>
  </si>
  <si>
    <t>Gita</t>
  </si>
  <si>
    <t>Heni</t>
  </si>
  <si>
    <t>Lilis</t>
  </si>
  <si>
    <t>Martini</t>
  </si>
  <si>
    <t>Meillysa</t>
  </si>
  <si>
    <t>Merry</t>
  </si>
  <si>
    <t>Nuning</t>
  </si>
  <si>
    <t>Rizal</t>
  </si>
  <si>
    <t>Sari</t>
  </si>
  <si>
    <t>Seli</t>
  </si>
  <si>
    <t>Silvia</t>
  </si>
  <si>
    <t>Suci</t>
  </si>
  <si>
    <t>Suhartati</t>
  </si>
  <si>
    <t>Suli</t>
  </si>
  <si>
    <t>Sumi</t>
  </si>
  <si>
    <t>Suwartini</t>
  </si>
  <si>
    <t>Viola</t>
  </si>
  <si>
    <t>Winta</t>
  </si>
  <si>
    <t>Yuli</t>
  </si>
  <si>
    <t>HADI</t>
  </si>
  <si>
    <t>CARNADI</t>
  </si>
  <si>
    <t>1201.630530</t>
  </si>
  <si>
    <t>No</t>
  </si>
  <si>
    <t>Name</t>
  </si>
  <si>
    <t>Address Number</t>
  </si>
  <si>
    <t>Ship To</t>
  </si>
  <si>
    <t>Currency</t>
  </si>
  <si>
    <t>Requested (TODAY)</t>
  </si>
  <si>
    <t>Promised Delivery</t>
  </si>
  <si>
    <t>Description 1</t>
  </si>
  <si>
    <t>Quantity Order</t>
  </si>
  <si>
    <t>Unit Cost</t>
  </si>
  <si>
    <t>Tr. UoM</t>
  </si>
  <si>
    <t>Pu. UoM</t>
  </si>
  <si>
    <t>Ln Ty</t>
  </si>
  <si>
    <t>Account Number</t>
  </si>
  <si>
    <t>Tax Y/N</t>
  </si>
  <si>
    <t>FEDEX</t>
  </si>
  <si>
    <t>IDR</t>
  </si>
  <si>
    <t>PC</t>
  </si>
  <si>
    <t>JE</t>
  </si>
  <si>
    <t>Y</t>
  </si>
  <si>
    <t>FULL PATH (File KonfirmasiData_FEDEX Untuk User)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</si>
</sst>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mm\-dd\-yyyy"/>
    <numFmt numFmtId="165" formatCode="mm/dd/yyyy"/>
    <numFmt numFmtId="166" formatCode="_(* #,##0_);_(* \(#,##0\);_(* &quot;-&quot;??_);_(@_)"/>
    <numFmt numFmtId="167" formatCode="[$-13809]dd/mm/yy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quotePrefix="1"/>
    <xf numFmtId="0" fontId="2" fillId="2" borderId="0" xfId="0" applyFont="1" applyFill="1"/>
    <xf numFmtId="0" fontId="2" fillId="0" borderId="0" xfId="0" applyFont="1"/>
    <xf numFmtId="49" fontId="0" fillId="0" borderId="0" xfId="0" applyNumberFormat="1"/>
    <xf numFmtId="49" fontId="2" fillId="2" borderId="0" xfId="0" applyNumberFormat="1" applyFont="1" applyFill="1"/>
    <xf numFmtId="0" fontId="0" fillId="3" borderId="0" xfId="0" quotePrefix="1" applyFill="1"/>
    <xf numFmtId="164" fontId="2" fillId="2" borderId="0" xfId="0" applyNumberFormat="1" applyFont="1" applyFill="1"/>
    <xf numFmtId="164" fontId="0" fillId="0" borderId="0" xfId="0" applyNumberFormat="1"/>
    <xf numFmtId="0" fontId="2" fillId="3" borderId="0" xfId="0" applyFont="1" applyFill="1"/>
    <xf numFmtId="165" fontId="2" fillId="0" borderId="0" xfId="0" applyNumberFormat="1" applyFont="1"/>
    <xf numFmtId="165" fontId="0" fillId="0" borderId="0" xfId="0" applyNumberFormat="1"/>
    <xf numFmtId="15" fontId="0" fillId="0" borderId="0" xfId="0" applyNumberFormat="1"/>
    <xf numFmtId="166" fontId="2" fillId="2" borderId="0" xfId="1" applyNumberFormat="1" applyFont="1" applyFill="1"/>
    <xf numFmtId="166" fontId="0" fillId="0" borderId="0" xfId="1" applyNumberFormat="1" applyFont="1"/>
    <xf numFmtId="166" fontId="0" fillId="0" borderId="0" xfId="0" applyNumberFormat="1"/>
    <xf numFmtId="0" fontId="3" fillId="0" borderId="0" xfId="2"/>
    <xf numFmtId="0" fontId="6" fillId="0" borderId="0" xfId="0" applyFon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quotePrefix="1" applyFont="1" applyFill="1" applyAlignment="1">
      <alignment horizontal="center" vertical="center"/>
    </xf>
    <xf numFmtId="0" fontId="2" fillId="2" borderId="0" xfId="0" quotePrefix="1" applyFont="1" applyFill="1"/>
    <xf numFmtId="0" fontId="7" fillId="0" borderId="0" xfId="0" applyFont="1"/>
    <xf numFmtId="0" fontId="0" fillId="0" borderId="0" xfId="0" applyAlignment="1">
      <alignment horizontal="center"/>
    </xf>
    <xf numFmtId="0" fontId="12" fillId="3" borderId="1" xfId="0" applyFont="1" applyFill="1" applyBorder="1" applyAlignment="1">
      <alignment horizontal="left" vertical="center"/>
    </xf>
    <xf numFmtId="0" fontId="0" fillId="3" borderId="0" xfId="0" applyFill="1"/>
    <xf numFmtId="0" fontId="10" fillId="0" borderId="0" xfId="0" applyFont="1"/>
    <xf numFmtId="0" fontId="0" fillId="4" borderId="0" xfId="0" applyFill="1"/>
    <xf numFmtId="0" fontId="2" fillId="2" borderId="0" xfId="0" applyFont="1" applyFill="1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 applyAlignment="1">
      <alignment horizontal="left"/>
    </xf>
    <xf numFmtId="0" fontId="11" fillId="3" borderId="0" xfId="0" applyFont="1" applyFill="1" applyAlignment="1">
      <alignment horizontal="center"/>
    </xf>
    <xf numFmtId="49" fontId="15" fillId="5" borderId="0" xfId="0" applyNumberFormat="1" applyFont="1" applyFill="1"/>
    <xf numFmtId="49" fontId="15" fillId="5" borderId="0" xfId="0" applyNumberFormat="1" applyFont="1" applyFill="1" applyAlignment="1">
      <alignment horizontal="left"/>
    </xf>
    <xf numFmtId="167" fontId="15" fillId="5" borderId="0" xfId="0" applyNumberFormat="1" applyFont="1" applyFill="1"/>
    <xf numFmtId="166" fontId="15" fillId="5" borderId="0" xfId="3" applyNumberFormat="1" applyFont="1" applyFill="1" applyAlignment="1"/>
    <xf numFmtId="0" fontId="0" fillId="4" borderId="0" xfId="0" quotePrefix="1" applyFill="1"/>
  </cellXfs>
  <cellStyles count="4">
    <cellStyle name="Comma" xfId="1" builtinId="3"/>
    <cellStyle name="Comma 2" xfId="3" xr:uid="{4B1FA6C9-E02C-46CC-B6CC-26D68F801CFE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123824</xdr:rowOff>
    </xdr:from>
    <xdr:to>
      <xdr:col>0</xdr:col>
      <xdr:colOff>2743200</xdr:colOff>
      <xdr:row>2</xdr:row>
      <xdr:rowOff>28575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123824"/>
          <a:ext cx="2486025" cy="285751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76200</xdr:rowOff>
        </xdr:from>
        <xdr:to>
          <xdr:col>0</xdr:col>
          <xdr:colOff>2752725</xdr:colOff>
          <xdr:row>2</xdr:row>
          <xdr:rowOff>104775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1276351</xdr:colOff>
      <xdr:row>0</xdr:row>
      <xdr:rowOff>123824</xdr:rowOff>
    </xdr:from>
    <xdr:to>
      <xdr:col>1</xdr:col>
      <xdr:colOff>2819401</xdr:colOff>
      <xdr:row>2</xdr:row>
      <xdr:rowOff>28575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33876" y="123824"/>
          <a:ext cx="1543050" cy="285751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0</xdr:row>
          <xdr:rowOff>66675</xdr:rowOff>
        </xdr:from>
        <xdr:to>
          <xdr:col>1</xdr:col>
          <xdr:colOff>2828925</xdr:colOff>
          <xdr:row>2</xdr:row>
          <xdr:rowOff>95250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\Hasil%20Pengolahan%20Macro\KonfirmasiData_FEDEX.xlsm" TargetMode="External"/><Relationship Id="rId1" Type="http://schemas.openxmlformats.org/officeDocument/2006/relationships/hyperlink" Target="../../.bahan/HasilExtract%202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746AA-495F-4EF4-9EB9-77B3A674C2E3}">
  <sheetPr codeName="Sheet1">
    <tabColor theme="3" tint="-0.499984740745262"/>
  </sheetPr>
  <dimension ref="A1:C10"/>
  <sheetViews>
    <sheetView workbookViewId="0">
      <selection activeCell="E6" sqref="E6"/>
    </sheetView>
  </sheetViews>
  <sheetFormatPr defaultRowHeight="15" x14ac:dyDescent="0.25"/>
  <cols>
    <col min="1" max="1" width="47.5703125" bestFit="1" customWidth="1"/>
    <col min="2" max="2" width="80" customWidth="1"/>
    <col min="3" max="3" width="1.7109375" customWidth="1"/>
  </cols>
  <sheetData>
    <row r="1" spans="1:3" x14ac:dyDescent="0.25">
      <c r="A1" s="32"/>
      <c r="B1" s="32"/>
    </row>
    <row r="2" spans="1:3" x14ac:dyDescent="0.25">
      <c r="A2" s="32"/>
      <c r="B2" s="32"/>
    </row>
    <row r="3" spans="1:3" x14ac:dyDescent="0.25">
      <c r="A3" s="32"/>
      <c r="B3" s="32"/>
    </row>
    <row r="4" spans="1:3" x14ac:dyDescent="0.25">
      <c r="A4" s="31" t="s">
        <v>209</v>
      </c>
      <c r="B4" s="31"/>
      <c r="C4" s="31"/>
    </row>
    <row r="5" spans="1:3" ht="15.75" x14ac:dyDescent="0.25">
      <c r="A5" s="24" t="s">
        <v>16</v>
      </c>
      <c r="B5" s="24" t="s">
        <v>17</v>
      </c>
    </row>
    <row r="6" spans="1:3" x14ac:dyDescent="0.25">
      <c r="A6" s="3" t="s">
        <v>160</v>
      </c>
      <c r="B6" s="16" t="s">
        <v>162</v>
      </c>
      <c r="C6" s="26" t="s">
        <v>161</v>
      </c>
    </row>
    <row r="7" spans="1:3" ht="9" hidden="1" customHeight="1" x14ac:dyDescent="0.25">
      <c r="A7" s="9"/>
      <c r="B7" s="6"/>
      <c r="C7" s="26" t="s">
        <v>161</v>
      </c>
    </row>
    <row r="8" spans="1:3" x14ac:dyDescent="0.25">
      <c r="A8" s="3" t="s">
        <v>259</v>
      </c>
      <c r="B8" s="16" t="s">
        <v>196</v>
      </c>
      <c r="C8" s="26" t="s">
        <v>161</v>
      </c>
    </row>
    <row r="9" spans="1:3" x14ac:dyDescent="0.25">
      <c r="A9" s="3"/>
      <c r="B9" s="16"/>
      <c r="C9" s="26"/>
    </row>
    <row r="10" spans="1:3" ht="6" customHeight="1" x14ac:dyDescent="0.25">
      <c r="A10" s="25"/>
      <c r="B10" s="25"/>
    </row>
  </sheetData>
  <mergeCells count="2">
    <mergeCell ref="A4:C4"/>
    <mergeCell ref="A1:B3"/>
  </mergeCells>
  <hyperlinks>
    <hyperlink ref="B6" r:id="rId1" xr:uid="{0C0370B9-3B7D-4F0B-A197-A93CACD99E72}"/>
    <hyperlink ref="B8" r:id="rId2" xr:uid="{B68582C4-C452-471C-B986-B61271EAD5BB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1</xdr:col>
                <xdr:colOff>1276350</xdr:colOff>
                <xdr:row>0</xdr:row>
                <xdr:rowOff>66675</xdr:rowOff>
              </from>
              <to>
                <xdr:col>1</xdr:col>
                <xdr:colOff>2828925</xdr:colOff>
                <xdr:row>2</xdr:row>
                <xdr:rowOff>95250</xdr:rowOff>
              </to>
            </anchor>
          </controlPr>
        </control>
      </mc:Choice>
      <mc:Fallback>
        <control shapeId="9218" r:id="rId5" name="CommandButton2"/>
      </mc:Fallback>
    </mc:AlternateContent>
    <mc:AlternateContent xmlns:mc="http://schemas.openxmlformats.org/markup-compatibility/2006">
      <mc:Choice Requires="x14">
        <control shapeId="9217" r:id="rId7" name="CommandButton1">
          <controlPr defaultSize="0" autoLine="0" r:id="rId8">
            <anchor moveWithCells="1">
              <from>
                <xdr:col>0</xdr:col>
                <xdr:colOff>266700</xdr:colOff>
                <xdr:row>0</xdr:row>
                <xdr:rowOff>76200</xdr:rowOff>
              </from>
              <to>
                <xdr:col>0</xdr:col>
                <xdr:colOff>2752725</xdr:colOff>
                <xdr:row>2</xdr:row>
                <xdr:rowOff>104775</xdr:rowOff>
              </to>
            </anchor>
          </controlPr>
        </control>
      </mc:Choice>
      <mc:Fallback>
        <control shapeId="9217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68BF1-5CEA-4325-ADF5-EF9D631D3200}">
  <sheetPr codeName="Sheet2">
    <tabColor theme="3" tint="-0.499984740745262"/>
  </sheetPr>
  <dimension ref="A1:V66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3" sqref="G3"/>
    </sheetView>
  </sheetViews>
  <sheetFormatPr defaultRowHeight="15" x14ac:dyDescent="0.25"/>
  <cols>
    <col min="1" max="1" width="12.140625" bestFit="1" customWidth="1"/>
    <col min="2" max="2" width="12.140625" style="8" bestFit="1" customWidth="1"/>
    <col min="3" max="3" width="14.28515625" style="4" bestFit="1" customWidth="1"/>
    <col min="4" max="4" width="14.5703125" style="8" bestFit="1" customWidth="1"/>
    <col min="5" max="6" width="36" customWidth="1"/>
    <col min="7" max="8" width="35.140625" customWidth="1"/>
    <col min="9" max="9" width="37.42578125" style="30" bestFit="1" customWidth="1"/>
    <col min="10" max="10" width="15.85546875" bestFit="1" customWidth="1"/>
    <col min="11" max="11" width="14.28515625" bestFit="1" customWidth="1"/>
    <col min="12" max="12" width="19.85546875" bestFit="1" customWidth="1"/>
    <col min="13" max="13" width="14.42578125" bestFit="1" customWidth="1"/>
    <col min="14" max="14" width="9.5703125" bestFit="1" customWidth="1"/>
    <col min="15" max="15" width="12.28515625" bestFit="1" customWidth="1"/>
    <col min="16" max="16" width="12.28515625" style="14" bestFit="1" customWidth="1"/>
    <col min="17" max="17" width="15.28515625" bestFit="1" customWidth="1"/>
    <col min="18" max="18" width="11.5703125" style="11" bestFit="1" customWidth="1"/>
    <col min="20" max="20" width="12" bestFit="1" customWidth="1"/>
    <col min="22" max="22" width="39.7109375" customWidth="1"/>
  </cols>
  <sheetData>
    <row r="1" spans="1:22" s="3" customFormat="1" x14ac:dyDescent="0.25">
      <c r="A1" s="2" t="s">
        <v>0</v>
      </c>
      <c r="B1" s="7" t="s">
        <v>0</v>
      </c>
      <c r="C1" s="7" t="s">
        <v>1</v>
      </c>
      <c r="D1" s="7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8" t="s">
        <v>210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3" t="s">
        <v>14</v>
      </c>
      <c r="Q1" s="2" t="s">
        <v>15</v>
      </c>
      <c r="R1" s="10"/>
      <c r="T1" s="7" t="s">
        <v>192</v>
      </c>
    </row>
    <row r="2" spans="1:22" x14ac:dyDescent="0.25">
      <c r="A2" t="s">
        <v>18</v>
      </c>
      <c r="B2" s="8">
        <v>45294</v>
      </c>
      <c r="C2" s="4" t="s">
        <v>21</v>
      </c>
      <c r="D2" s="8">
        <v>45273</v>
      </c>
      <c r="E2" t="s">
        <v>19</v>
      </c>
      <c r="G2" t="s">
        <v>20</v>
      </c>
      <c r="H2" t="s">
        <v>22</v>
      </c>
      <c r="I2" s="29" t="s">
        <v>238</v>
      </c>
      <c r="J2" s="14">
        <v>7452339</v>
      </c>
      <c r="K2" s="14"/>
      <c r="L2" s="14"/>
      <c r="M2" s="14"/>
      <c r="N2" s="14"/>
      <c r="O2" s="15">
        <f t="shared" ref="O2:O33" si="0">SUM(J2:N2)</f>
        <v>7452339</v>
      </c>
      <c r="P2" s="14">
        <f t="shared" ref="P2:P33" si="1">ROUND(O2*1.01,0)</f>
        <v>7526862</v>
      </c>
      <c r="Q2">
        <v>0</v>
      </c>
      <c r="T2" t="s">
        <v>163</v>
      </c>
      <c r="V2" s="12"/>
    </row>
    <row r="3" spans="1:22" x14ac:dyDescent="0.25">
      <c r="A3" t="s">
        <v>18</v>
      </c>
      <c r="B3" s="8">
        <v>45294</v>
      </c>
      <c r="C3" s="4" t="s">
        <v>25</v>
      </c>
      <c r="D3" s="8">
        <v>45283</v>
      </c>
      <c r="E3" t="s">
        <v>23</v>
      </c>
      <c r="F3" t="s">
        <v>26</v>
      </c>
      <c r="G3" t="s">
        <v>24</v>
      </c>
      <c r="H3" t="s">
        <v>27</v>
      </c>
      <c r="I3" s="29" t="s">
        <v>238</v>
      </c>
      <c r="J3" s="14">
        <v>13268509</v>
      </c>
      <c r="K3" s="15"/>
      <c r="L3" s="14"/>
      <c r="M3" s="14"/>
      <c r="N3" s="15"/>
      <c r="O3" s="15">
        <f t="shared" si="0"/>
        <v>13268509</v>
      </c>
      <c r="P3" s="14">
        <f t="shared" si="1"/>
        <v>13401194</v>
      </c>
      <c r="Q3">
        <v>0</v>
      </c>
      <c r="T3" t="s">
        <v>164</v>
      </c>
    </row>
    <row r="4" spans="1:22" x14ac:dyDescent="0.25">
      <c r="A4" t="s">
        <v>18</v>
      </c>
      <c r="B4" s="8">
        <v>45294</v>
      </c>
      <c r="C4" s="4" t="s">
        <v>30</v>
      </c>
      <c r="D4" s="8">
        <v>45283</v>
      </c>
      <c r="E4" t="s">
        <v>28</v>
      </c>
      <c r="F4" t="s">
        <v>31</v>
      </c>
      <c r="G4" t="s">
        <v>29</v>
      </c>
      <c r="H4" t="s">
        <v>32</v>
      </c>
      <c r="I4" s="29" t="s">
        <v>238</v>
      </c>
      <c r="J4" s="14">
        <v>700000</v>
      </c>
      <c r="K4" s="15"/>
      <c r="L4" s="14"/>
      <c r="M4" s="14"/>
      <c r="N4" s="15"/>
      <c r="O4" s="15">
        <f t="shared" si="0"/>
        <v>700000</v>
      </c>
      <c r="P4" s="14">
        <f t="shared" si="1"/>
        <v>707000</v>
      </c>
      <c r="Q4">
        <v>0</v>
      </c>
      <c r="T4" t="s">
        <v>165</v>
      </c>
    </row>
    <row r="5" spans="1:22" x14ac:dyDescent="0.25">
      <c r="A5" t="s">
        <v>33</v>
      </c>
      <c r="B5" s="8">
        <v>45294</v>
      </c>
      <c r="C5" s="4" t="s">
        <v>34</v>
      </c>
      <c r="D5" s="8">
        <v>45280</v>
      </c>
      <c r="E5" t="s">
        <v>35</v>
      </c>
      <c r="F5" t="s">
        <v>37</v>
      </c>
      <c r="G5" t="s">
        <v>36</v>
      </c>
      <c r="H5" t="s">
        <v>38</v>
      </c>
      <c r="I5" s="29" t="s">
        <v>208</v>
      </c>
      <c r="J5" s="14">
        <v>259930</v>
      </c>
      <c r="K5" s="15"/>
      <c r="L5" s="14"/>
      <c r="M5" s="14"/>
      <c r="N5" s="15"/>
      <c r="O5" s="15">
        <f t="shared" si="0"/>
        <v>259930</v>
      </c>
      <c r="P5" s="14">
        <f t="shared" si="1"/>
        <v>262529</v>
      </c>
      <c r="Q5">
        <v>0</v>
      </c>
      <c r="T5" t="s">
        <v>166</v>
      </c>
    </row>
    <row r="6" spans="1:22" x14ac:dyDescent="0.25">
      <c r="A6" t="s">
        <v>33</v>
      </c>
      <c r="B6" s="8">
        <v>45294</v>
      </c>
      <c r="C6" s="4" t="s">
        <v>39</v>
      </c>
      <c r="D6" s="8">
        <v>45282</v>
      </c>
      <c r="E6" t="s">
        <v>35</v>
      </c>
      <c r="F6" t="s">
        <v>40</v>
      </c>
      <c r="G6" t="s">
        <v>36</v>
      </c>
      <c r="H6" t="s">
        <v>38</v>
      </c>
      <c r="I6" s="29" t="s">
        <v>208</v>
      </c>
      <c r="J6" s="14">
        <v>259977</v>
      </c>
      <c r="K6" s="15"/>
      <c r="L6" s="14"/>
      <c r="M6" s="14"/>
      <c r="N6" s="15"/>
      <c r="O6" s="15">
        <f t="shared" si="0"/>
        <v>259977</v>
      </c>
      <c r="P6" s="14">
        <f t="shared" si="1"/>
        <v>262577</v>
      </c>
      <c r="Q6">
        <v>0</v>
      </c>
      <c r="T6" t="s">
        <v>167</v>
      </c>
    </row>
    <row r="7" spans="1:22" x14ac:dyDescent="0.25">
      <c r="A7" t="s">
        <v>33</v>
      </c>
      <c r="B7" s="8">
        <v>45294</v>
      </c>
      <c r="C7" s="4" t="s">
        <v>41</v>
      </c>
      <c r="D7" s="8">
        <v>45282</v>
      </c>
      <c r="E7" t="s">
        <v>42</v>
      </c>
      <c r="F7" t="s">
        <v>40</v>
      </c>
      <c r="G7" t="s">
        <v>43</v>
      </c>
      <c r="H7" t="s">
        <v>44</v>
      </c>
      <c r="I7" s="29" t="s">
        <v>238</v>
      </c>
      <c r="J7" s="14">
        <v>227500</v>
      </c>
      <c r="K7" s="15"/>
      <c r="L7" s="14"/>
      <c r="M7" s="14"/>
      <c r="N7" s="15"/>
      <c r="O7" s="15">
        <f t="shared" si="0"/>
        <v>227500</v>
      </c>
      <c r="P7" s="14">
        <f t="shared" si="1"/>
        <v>229775</v>
      </c>
      <c r="Q7">
        <v>0</v>
      </c>
      <c r="T7" t="s">
        <v>166</v>
      </c>
    </row>
    <row r="8" spans="1:22" x14ac:dyDescent="0.25">
      <c r="A8" t="s">
        <v>33</v>
      </c>
      <c r="B8" s="8">
        <v>45294</v>
      </c>
      <c r="C8" s="4" t="s">
        <v>45</v>
      </c>
      <c r="D8" s="8">
        <v>45282</v>
      </c>
      <c r="E8" t="s">
        <v>42</v>
      </c>
      <c r="F8" t="s">
        <v>40</v>
      </c>
      <c r="G8" t="s">
        <v>46</v>
      </c>
      <c r="H8" t="s">
        <v>47</v>
      </c>
      <c r="I8" s="29" t="s">
        <v>238</v>
      </c>
      <c r="J8" s="14">
        <v>227500</v>
      </c>
      <c r="K8" s="15"/>
      <c r="L8" s="14"/>
      <c r="M8" s="14"/>
      <c r="N8" s="15"/>
      <c r="O8" s="15">
        <f t="shared" si="0"/>
        <v>227500</v>
      </c>
      <c r="P8" s="14">
        <f t="shared" si="1"/>
        <v>229775</v>
      </c>
      <c r="Q8">
        <v>0</v>
      </c>
      <c r="T8" t="s">
        <v>166</v>
      </c>
    </row>
    <row r="9" spans="1:22" x14ac:dyDescent="0.25">
      <c r="A9" t="s">
        <v>48</v>
      </c>
      <c r="B9" s="8">
        <v>45296</v>
      </c>
      <c r="C9" s="4" t="s">
        <v>49</v>
      </c>
      <c r="D9" s="8">
        <v>45289</v>
      </c>
      <c r="E9" t="s">
        <v>35</v>
      </c>
      <c r="F9" t="s">
        <v>40</v>
      </c>
      <c r="G9" t="s">
        <v>36</v>
      </c>
      <c r="H9" t="s">
        <v>38</v>
      </c>
      <c r="I9" s="29" t="s">
        <v>208</v>
      </c>
      <c r="J9" s="14">
        <v>2713792</v>
      </c>
      <c r="K9" s="15"/>
      <c r="L9" s="14"/>
      <c r="M9" s="14"/>
      <c r="N9" s="15"/>
      <c r="O9" s="15">
        <f t="shared" si="0"/>
        <v>2713792</v>
      </c>
      <c r="P9" s="14">
        <f t="shared" si="1"/>
        <v>2740930</v>
      </c>
      <c r="Q9">
        <v>0</v>
      </c>
      <c r="T9" t="s">
        <v>168</v>
      </c>
    </row>
    <row r="10" spans="1:22" x14ac:dyDescent="0.25">
      <c r="A10" t="s">
        <v>50</v>
      </c>
      <c r="B10" s="8">
        <v>45296</v>
      </c>
      <c r="C10" s="4" t="s">
        <v>52</v>
      </c>
      <c r="D10" s="8">
        <v>45278</v>
      </c>
      <c r="E10" t="s">
        <v>51</v>
      </c>
      <c r="F10" t="s">
        <v>53</v>
      </c>
      <c r="G10" t="s">
        <v>24</v>
      </c>
      <c r="H10" t="s">
        <v>37</v>
      </c>
      <c r="I10" s="29" t="s">
        <v>238</v>
      </c>
      <c r="J10" s="14">
        <v>41496000</v>
      </c>
      <c r="K10" s="15"/>
      <c r="L10" s="14"/>
      <c r="M10" s="14"/>
      <c r="N10" s="15"/>
      <c r="O10" s="15">
        <f t="shared" si="0"/>
        <v>41496000</v>
      </c>
      <c r="P10" s="14">
        <f t="shared" si="1"/>
        <v>41910960</v>
      </c>
      <c r="Q10">
        <v>0</v>
      </c>
      <c r="T10" t="s">
        <v>169</v>
      </c>
    </row>
    <row r="11" spans="1:22" x14ac:dyDescent="0.25">
      <c r="A11" t="s">
        <v>54</v>
      </c>
      <c r="B11" s="8">
        <v>45266</v>
      </c>
      <c r="C11" s="4" t="s">
        <v>56</v>
      </c>
      <c r="D11" s="8">
        <v>45253</v>
      </c>
      <c r="E11" t="s">
        <v>55</v>
      </c>
      <c r="F11" t="s">
        <v>57</v>
      </c>
      <c r="G11" t="s">
        <v>157</v>
      </c>
      <c r="H11" t="s">
        <v>22</v>
      </c>
      <c r="I11" s="29" t="s">
        <v>238</v>
      </c>
      <c r="J11" s="14">
        <v>255466</v>
      </c>
      <c r="K11" s="15"/>
      <c r="L11" s="14"/>
      <c r="M11" s="14"/>
      <c r="N11" s="15"/>
      <c r="O11" s="15">
        <f t="shared" si="0"/>
        <v>255466</v>
      </c>
      <c r="P11" s="14">
        <f t="shared" si="1"/>
        <v>258021</v>
      </c>
      <c r="Q11">
        <v>0</v>
      </c>
      <c r="T11" t="s">
        <v>165</v>
      </c>
    </row>
    <row r="12" spans="1:22" x14ac:dyDescent="0.25">
      <c r="A12" t="s">
        <v>54</v>
      </c>
      <c r="B12" s="8">
        <v>45266</v>
      </c>
      <c r="C12" s="4" t="s">
        <v>58</v>
      </c>
      <c r="D12" s="8">
        <v>45255</v>
      </c>
      <c r="E12" t="s">
        <v>55</v>
      </c>
      <c r="F12" t="s">
        <v>57</v>
      </c>
      <c r="G12" t="s">
        <v>157</v>
      </c>
      <c r="H12" t="s">
        <v>22</v>
      </c>
      <c r="I12" s="29" t="s">
        <v>238</v>
      </c>
      <c r="J12" s="14">
        <v>642689</v>
      </c>
      <c r="K12" s="15"/>
      <c r="L12" s="14"/>
      <c r="M12" s="14"/>
      <c r="N12" s="15"/>
      <c r="O12" s="15">
        <f t="shared" si="0"/>
        <v>642689</v>
      </c>
      <c r="P12" s="14">
        <f t="shared" si="1"/>
        <v>649116</v>
      </c>
      <c r="Q12">
        <v>0</v>
      </c>
      <c r="T12" t="s">
        <v>170</v>
      </c>
    </row>
    <row r="13" spans="1:22" x14ac:dyDescent="0.25">
      <c r="A13" t="s">
        <v>59</v>
      </c>
      <c r="B13" s="8">
        <v>45238</v>
      </c>
      <c r="C13" s="4" t="s">
        <v>60</v>
      </c>
      <c r="D13" s="8">
        <v>45226</v>
      </c>
      <c r="E13" t="s">
        <v>55</v>
      </c>
      <c r="F13" t="s">
        <v>57</v>
      </c>
      <c r="G13" t="s">
        <v>157</v>
      </c>
      <c r="H13" t="s">
        <v>22</v>
      </c>
      <c r="I13" s="29" t="s">
        <v>238</v>
      </c>
      <c r="J13" s="14">
        <v>350220</v>
      </c>
      <c r="K13" s="15"/>
      <c r="L13" s="14"/>
      <c r="M13" s="14"/>
      <c r="N13" s="15"/>
      <c r="O13" s="15">
        <f t="shared" si="0"/>
        <v>350220</v>
      </c>
      <c r="P13" s="14">
        <f t="shared" si="1"/>
        <v>353722</v>
      </c>
      <c r="Q13">
        <v>0</v>
      </c>
      <c r="T13" t="s">
        <v>165</v>
      </c>
    </row>
    <row r="14" spans="1:22" x14ac:dyDescent="0.25">
      <c r="A14" t="s">
        <v>59</v>
      </c>
      <c r="B14" s="8">
        <v>45238</v>
      </c>
      <c r="C14" s="4" t="s">
        <v>63</v>
      </c>
      <c r="D14" s="8">
        <v>45226</v>
      </c>
      <c r="E14" t="s">
        <v>61</v>
      </c>
      <c r="F14" t="s">
        <v>64</v>
      </c>
      <c r="G14" t="s">
        <v>62</v>
      </c>
      <c r="H14" t="s">
        <v>37</v>
      </c>
      <c r="I14" s="29" t="s">
        <v>238</v>
      </c>
      <c r="J14" s="14">
        <v>254488</v>
      </c>
      <c r="K14" s="15"/>
      <c r="L14" s="14"/>
      <c r="M14" s="14"/>
      <c r="N14" s="15"/>
      <c r="O14" s="15">
        <f t="shared" si="0"/>
        <v>254488</v>
      </c>
      <c r="P14" s="14">
        <f t="shared" si="1"/>
        <v>257033</v>
      </c>
      <c r="Q14">
        <v>0</v>
      </c>
      <c r="T14" t="s">
        <v>166</v>
      </c>
    </row>
    <row r="15" spans="1:22" x14ac:dyDescent="0.25">
      <c r="A15" t="s">
        <v>59</v>
      </c>
      <c r="B15" s="8">
        <v>45238</v>
      </c>
      <c r="C15" s="4" t="s">
        <v>66</v>
      </c>
      <c r="D15" s="8">
        <v>45227</v>
      </c>
      <c r="E15" t="s">
        <v>55</v>
      </c>
      <c r="F15" t="s">
        <v>57</v>
      </c>
      <c r="G15" t="s">
        <v>65</v>
      </c>
      <c r="H15" t="s">
        <v>22</v>
      </c>
      <c r="I15" s="29" t="s">
        <v>238</v>
      </c>
      <c r="J15" s="14">
        <v>350220</v>
      </c>
      <c r="K15" s="15"/>
      <c r="L15" s="14"/>
      <c r="M15" s="14"/>
      <c r="N15" s="15"/>
      <c r="O15" s="15">
        <f t="shared" si="0"/>
        <v>350220</v>
      </c>
      <c r="P15" s="14">
        <f t="shared" si="1"/>
        <v>353722</v>
      </c>
      <c r="Q15">
        <v>0</v>
      </c>
      <c r="T15" t="s">
        <v>165</v>
      </c>
    </row>
    <row r="16" spans="1:22" x14ac:dyDescent="0.25">
      <c r="A16" t="s">
        <v>59</v>
      </c>
      <c r="B16" s="8">
        <v>45238</v>
      </c>
      <c r="C16" s="4" t="s">
        <v>67</v>
      </c>
      <c r="D16" s="8">
        <v>45231</v>
      </c>
      <c r="E16" t="s">
        <v>55</v>
      </c>
      <c r="F16" t="s">
        <v>57</v>
      </c>
      <c r="G16" t="s">
        <v>157</v>
      </c>
      <c r="H16" t="s">
        <v>22</v>
      </c>
      <c r="I16" s="29" t="s">
        <v>238</v>
      </c>
      <c r="J16" s="14">
        <v>263065</v>
      </c>
      <c r="K16" s="15"/>
      <c r="L16" s="15"/>
      <c r="M16" s="15"/>
      <c r="N16" s="15"/>
      <c r="O16" s="15">
        <f t="shared" si="0"/>
        <v>263065</v>
      </c>
      <c r="P16" s="14">
        <f t="shared" si="1"/>
        <v>265696</v>
      </c>
      <c r="Q16">
        <v>0</v>
      </c>
      <c r="T16" t="s">
        <v>165</v>
      </c>
    </row>
    <row r="17" spans="1:20" x14ac:dyDescent="0.25">
      <c r="A17" t="s">
        <v>68</v>
      </c>
      <c r="B17" s="8">
        <v>45301</v>
      </c>
      <c r="C17" s="4" t="s">
        <v>69</v>
      </c>
      <c r="D17" s="8">
        <v>45275</v>
      </c>
      <c r="E17" t="s">
        <v>70</v>
      </c>
      <c r="G17" t="s">
        <v>71</v>
      </c>
      <c r="H17" t="s">
        <v>72</v>
      </c>
      <c r="I17" s="29" t="s">
        <v>238</v>
      </c>
      <c r="J17" s="14">
        <v>17034000</v>
      </c>
      <c r="K17" s="15"/>
      <c r="L17" s="15"/>
      <c r="M17" s="15"/>
      <c r="N17" s="15"/>
      <c r="O17" s="15">
        <f t="shared" si="0"/>
        <v>17034000</v>
      </c>
      <c r="P17" s="14">
        <f t="shared" si="1"/>
        <v>17204340</v>
      </c>
      <c r="Q17">
        <v>0</v>
      </c>
      <c r="T17" t="s">
        <v>171</v>
      </c>
    </row>
    <row r="18" spans="1:20" x14ac:dyDescent="0.25">
      <c r="A18" t="s">
        <v>68</v>
      </c>
      <c r="B18" s="8">
        <v>45301</v>
      </c>
      <c r="C18" s="4" t="s">
        <v>73</v>
      </c>
      <c r="D18" s="8">
        <v>45275</v>
      </c>
      <c r="E18" t="s">
        <v>74</v>
      </c>
      <c r="G18" t="s">
        <v>75</v>
      </c>
      <c r="H18" t="s">
        <v>76</v>
      </c>
      <c r="I18" s="29" t="s">
        <v>238</v>
      </c>
      <c r="J18" s="14">
        <v>23838000</v>
      </c>
      <c r="K18" s="15"/>
      <c r="L18" s="15"/>
      <c r="M18" s="15"/>
      <c r="N18" s="15"/>
      <c r="O18" s="15">
        <f t="shared" si="0"/>
        <v>23838000</v>
      </c>
      <c r="P18" s="14">
        <f t="shared" si="1"/>
        <v>24076380</v>
      </c>
      <c r="Q18">
        <v>0</v>
      </c>
      <c r="T18" t="s">
        <v>172</v>
      </c>
    </row>
    <row r="19" spans="1:20" x14ac:dyDescent="0.25">
      <c r="A19" t="s">
        <v>68</v>
      </c>
      <c r="B19" s="8">
        <v>45301</v>
      </c>
      <c r="C19" s="4" t="s">
        <v>52</v>
      </c>
      <c r="D19" s="8">
        <v>45278</v>
      </c>
      <c r="E19" t="s">
        <v>51</v>
      </c>
      <c r="G19" t="s">
        <v>24</v>
      </c>
      <c r="H19" t="s">
        <v>37</v>
      </c>
      <c r="I19" s="29" t="s">
        <v>238</v>
      </c>
      <c r="J19" s="14">
        <v>41496000</v>
      </c>
      <c r="K19" s="15"/>
      <c r="L19" s="15"/>
      <c r="M19" s="15"/>
      <c r="N19" s="15"/>
      <c r="O19" s="15">
        <f t="shared" si="0"/>
        <v>41496000</v>
      </c>
      <c r="P19" s="14">
        <f t="shared" si="1"/>
        <v>41910960</v>
      </c>
      <c r="Q19">
        <v>0</v>
      </c>
      <c r="T19" t="s">
        <v>169</v>
      </c>
    </row>
    <row r="20" spans="1:20" x14ac:dyDescent="0.25">
      <c r="A20" t="s">
        <v>68</v>
      </c>
      <c r="B20" s="8">
        <v>45301</v>
      </c>
      <c r="C20" s="4" t="s">
        <v>78</v>
      </c>
      <c r="D20" s="8">
        <v>45288</v>
      </c>
      <c r="E20" t="s">
        <v>28</v>
      </c>
      <c r="F20" t="s">
        <v>31</v>
      </c>
      <c r="G20" t="s">
        <v>77</v>
      </c>
      <c r="H20" t="s">
        <v>32</v>
      </c>
      <c r="I20" s="29" t="s">
        <v>238</v>
      </c>
      <c r="J20" s="14">
        <v>700000</v>
      </c>
      <c r="K20" s="15"/>
      <c r="L20" s="15"/>
      <c r="M20" s="15"/>
      <c r="N20" s="15"/>
      <c r="O20" s="15">
        <f t="shared" si="0"/>
        <v>700000</v>
      </c>
      <c r="P20" s="14">
        <f t="shared" si="1"/>
        <v>707000</v>
      </c>
      <c r="Q20">
        <v>0</v>
      </c>
      <c r="T20" t="s">
        <v>165</v>
      </c>
    </row>
    <row r="21" spans="1:20" x14ac:dyDescent="0.25">
      <c r="A21" t="s">
        <v>68</v>
      </c>
      <c r="B21" s="8">
        <v>45301</v>
      </c>
      <c r="C21" s="4" t="s">
        <v>79</v>
      </c>
      <c r="D21" s="8">
        <v>45289</v>
      </c>
      <c r="E21" t="s">
        <v>80</v>
      </c>
      <c r="F21" t="s">
        <v>81</v>
      </c>
      <c r="G21" t="s">
        <v>62</v>
      </c>
      <c r="H21" t="s">
        <v>22</v>
      </c>
      <c r="I21" s="29" t="s">
        <v>238</v>
      </c>
      <c r="J21" s="14">
        <v>1555000</v>
      </c>
      <c r="K21" s="15"/>
      <c r="L21" s="15"/>
      <c r="M21" s="15"/>
      <c r="N21" s="15"/>
      <c r="O21" s="15">
        <f t="shared" si="0"/>
        <v>1555000</v>
      </c>
      <c r="P21" s="14">
        <f t="shared" si="1"/>
        <v>1570550</v>
      </c>
      <c r="Q21">
        <v>0</v>
      </c>
      <c r="T21" t="s">
        <v>173</v>
      </c>
    </row>
    <row r="22" spans="1:20" x14ac:dyDescent="0.25">
      <c r="A22" t="s">
        <v>68</v>
      </c>
      <c r="B22" s="8">
        <v>45301</v>
      </c>
      <c r="C22" s="4" t="s">
        <v>82</v>
      </c>
      <c r="D22" s="8">
        <v>45290</v>
      </c>
      <c r="E22" t="s">
        <v>28</v>
      </c>
      <c r="F22" t="s">
        <v>31</v>
      </c>
      <c r="G22" t="s">
        <v>29</v>
      </c>
      <c r="H22" t="s">
        <v>32</v>
      </c>
      <c r="I22" s="29" t="s">
        <v>238</v>
      </c>
      <c r="J22" s="14">
        <v>700000</v>
      </c>
      <c r="K22" s="15"/>
      <c r="L22" s="15"/>
      <c r="M22" s="15"/>
      <c r="N22" s="15"/>
      <c r="O22" s="15">
        <f t="shared" si="0"/>
        <v>700000</v>
      </c>
      <c r="P22" s="14">
        <f t="shared" si="1"/>
        <v>707000</v>
      </c>
      <c r="Q22">
        <v>0</v>
      </c>
      <c r="T22" t="s">
        <v>165</v>
      </c>
    </row>
    <row r="23" spans="1:20" x14ac:dyDescent="0.25">
      <c r="A23" t="s">
        <v>83</v>
      </c>
      <c r="B23" s="8">
        <v>45301</v>
      </c>
      <c r="C23" s="4" t="s">
        <v>84</v>
      </c>
      <c r="D23" s="8">
        <v>45287</v>
      </c>
      <c r="E23" t="s">
        <v>35</v>
      </c>
      <c r="F23" t="s">
        <v>40</v>
      </c>
      <c r="G23" t="s">
        <v>36</v>
      </c>
      <c r="H23" t="s">
        <v>38</v>
      </c>
      <c r="I23" s="29" t="s">
        <v>208</v>
      </c>
      <c r="J23" s="14">
        <v>258954</v>
      </c>
      <c r="K23" s="15"/>
      <c r="L23" s="15"/>
      <c r="M23" s="15"/>
      <c r="N23" s="15"/>
      <c r="O23" s="15">
        <f t="shared" si="0"/>
        <v>258954</v>
      </c>
      <c r="P23" s="14">
        <f t="shared" si="1"/>
        <v>261544</v>
      </c>
      <c r="Q23">
        <v>0</v>
      </c>
      <c r="T23" t="s">
        <v>166</v>
      </c>
    </row>
    <row r="24" spans="1:20" x14ac:dyDescent="0.25">
      <c r="A24" t="s">
        <v>83</v>
      </c>
      <c r="B24" s="8">
        <v>45301</v>
      </c>
      <c r="C24" s="4" t="s">
        <v>49</v>
      </c>
      <c r="D24" s="8">
        <v>45289</v>
      </c>
      <c r="E24" t="s">
        <v>35</v>
      </c>
      <c r="F24" t="s">
        <v>40</v>
      </c>
      <c r="G24" t="s">
        <v>36</v>
      </c>
      <c r="H24" t="s">
        <v>38</v>
      </c>
      <c r="I24" s="29" t="s">
        <v>208</v>
      </c>
      <c r="J24" s="14">
        <v>2713792</v>
      </c>
      <c r="K24" s="15"/>
      <c r="L24" s="15"/>
      <c r="M24" s="15"/>
      <c r="N24" s="15"/>
      <c r="O24" s="15">
        <f t="shared" si="0"/>
        <v>2713792</v>
      </c>
      <c r="P24" s="14">
        <f t="shared" si="1"/>
        <v>2740930</v>
      </c>
      <c r="Q24">
        <v>0</v>
      </c>
      <c r="T24" t="s">
        <v>168</v>
      </c>
    </row>
    <row r="25" spans="1:20" x14ac:dyDescent="0.25">
      <c r="A25" t="s">
        <v>83</v>
      </c>
      <c r="B25" s="8">
        <v>45301</v>
      </c>
      <c r="C25" s="4" t="s">
        <v>85</v>
      </c>
      <c r="D25" s="8">
        <v>45289</v>
      </c>
      <c r="E25" t="s">
        <v>35</v>
      </c>
      <c r="F25" t="s">
        <v>40</v>
      </c>
      <c r="G25" t="s">
        <v>36</v>
      </c>
      <c r="H25" t="s">
        <v>38</v>
      </c>
      <c r="I25" s="29" t="s">
        <v>208</v>
      </c>
      <c r="J25" s="14">
        <v>258954</v>
      </c>
      <c r="K25" s="15"/>
      <c r="L25" s="15"/>
      <c r="M25" s="15"/>
      <c r="N25" s="15"/>
      <c r="O25" s="15">
        <f t="shared" si="0"/>
        <v>258954</v>
      </c>
      <c r="P25" s="14">
        <f t="shared" si="1"/>
        <v>261544</v>
      </c>
      <c r="Q25">
        <v>0</v>
      </c>
      <c r="T25" t="s">
        <v>165</v>
      </c>
    </row>
    <row r="26" spans="1:20" x14ac:dyDescent="0.25">
      <c r="A26" t="s">
        <v>83</v>
      </c>
      <c r="B26" s="8">
        <v>45301</v>
      </c>
      <c r="C26" s="4" t="s">
        <v>86</v>
      </c>
      <c r="D26" s="8">
        <v>45289</v>
      </c>
      <c r="E26" t="s">
        <v>42</v>
      </c>
      <c r="F26" t="s">
        <v>40</v>
      </c>
      <c r="G26" t="s">
        <v>87</v>
      </c>
      <c r="H26" t="s">
        <v>158</v>
      </c>
      <c r="I26" s="29" t="s">
        <v>238</v>
      </c>
      <c r="J26" s="14">
        <v>226604</v>
      </c>
      <c r="K26" s="15"/>
      <c r="L26" s="15"/>
      <c r="M26" s="15"/>
      <c r="N26" s="15"/>
      <c r="O26" s="15">
        <f t="shared" si="0"/>
        <v>226604</v>
      </c>
      <c r="P26" s="14">
        <f t="shared" si="1"/>
        <v>228870</v>
      </c>
      <c r="Q26">
        <v>0</v>
      </c>
      <c r="T26" t="s">
        <v>166</v>
      </c>
    </row>
    <row r="27" spans="1:20" x14ac:dyDescent="0.25">
      <c r="A27" t="s">
        <v>83</v>
      </c>
      <c r="B27" s="8">
        <v>45301</v>
      </c>
      <c r="C27" s="4" t="s">
        <v>88</v>
      </c>
      <c r="D27" s="8">
        <v>45289</v>
      </c>
      <c r="E27" t="s">
        <v>42</v>
      </c>
      <c r="F27" t="s">
        <v>40</v>
      </c>
      <c r="G27" t="s">
        <v>43</v>
      </c>
      <c r="H27" t="s">
        <v>44</v>
      </c>
      <c r="I27" s="29" t="s">
        <v>238</v>
      </c>
      <c r="J27" s="14">
        <v>226604</v>
      </c>
      <c r="K27" s="15"/>
      <c r="L27" s="15"/>
      <c r="M27" s="15"/>
      <c r="N27" s="15"/>
      <c r="O27" s="15">
        <f t="shared" si="0"/>
        <v>226604</v>
      </c>
      <c r="P27" s="14">
        <f t="shared" si="1"/>
        <v>228870</v>
      </c>
      <c r="Q27">
        <v>0</v>
      </c>
      <c r="T27" t="s">
        <v>166</v>
      </c>
    </row>
    <row r="28" spans="1:20" x14ac:dyDescent="0.25">
      <c r="A28" t="s">
        <v>89</v>
      </c>
      <c r="B28" s="8">
        <v>45273</v>
      </c>
      <c r="C28" s="4" t="s">
        <v>90</v>
      </c>
      <c r="D28" s="8">
        <v>45259</v>
      </c>
      <c r="E28" t="s">
        <v>91</v>
      </c>
      <c r="F28" t="s">
        <v>40</v>
      </c>
      <c r="G28" t="s">
        <v>92</v>
      </c>
      <c r="H28" t="s">
        <v>93</v>
      </c>
      <c r="I28" s="29" t="s">
        <v>238</v>
      </c>
      <c r="J28" s="14">
        <v>1623883</v>
      </c>
      <c r="K28" s="15"/>
      <c r="L28" s="15"/>
      <c r="M28" s="15"/>
      <c r="N28" s="15"/>
      <c r="O28" s="15">
        <f t="shared" si="0"/>
        <v>1623883</v>
      </c>
      <c r="P28" s="14">
        <f t="shared" si="1"/>
        <v>1640122</v>
      </c>
      <c r="Q28">
        <v>0</v>
      </c>
      <c r="T28" t="s">
        <v>174</v>
      </c>
    </row>
    <row r="29" spans="1:20" x14ac:dyDescent="0.25">
      <c r="A29" t="s">
        <v>89</v>
      </c>
      <c r="B29" s="8">
        <v>45273</v>
      </c>
      <c r="C29" s="4" t="s">
        <v>94</v>
      </c>
      <c r="D29" s="8">
        <v>45259</v>
      </c>
      <c r="E29" t="s">
        <v>95</v>
      </c>
      <c r="F29" t="s">
        <v>40</v>
      </c>
      <c r="G29" t="s">
        <v>96</v>
      </c>
      <c r="H29" t="s">
        <v>97</v>
      </c>
      <c r="I29" s="29" t="s">
        <v>208</v>
      </c>
      <c r="J29" s="14">
        <v>172579</v>
      </c>
      <c r="K29" s="15"/>
      <c r="L29" s="15"/>
      <c r="M29" s="15"/>
      <c r="N29" s="15"/>
      <c r="O29" s="15">
        <f t="shared" si="0"/>
        <v>172579</v>
      </c>
      <c r="P29" s="14">
        <f t="shared" si="1"/>
        <v>174305</v>
      </c>
      <c r="Q29">
        <v>0</v>
      </c>
      <c r="T29" t="s">
        <v>165</v>
      </c>
    </row>
    <row r="30" spans="1:20" x14ac:dyDescent="0.25">
      <c r="A30" t="s">
        <v>89</v>
      </c>
      <c r="B30" s="8">
        <v>45273</v>
      </c>
      <c r="C30" s="4" t="s">
        <v>98</v>
      </c>
      <c r="D30" s="8">
        <v>45259</v>
      </c>
      <c r="E30" t="s">
        <v>42</v>
      </c>
      <c r="F30" t="s">
        <v>40</v>
      </c>
      <c r="G30" t="s">
        <v>99</v>
      </c>
      <c r="H30" t="s">
        <v>100</v>
      </c>
      <c r="I30" s="29" t="s">
        <v>238</v>
      </c>
      <c r="J30" s="14">
        <v>341117</v>
      </c>
      <c r="K30" s="15"/>
      <c r="L30" s="15"/>
      <c r="M30" s="15"/>
      <c r="N30" s="15"/>
      <c r="O30" s="15">
        <f t="shared" si="0"/>
        <v>341117</v>
      </c>
      <c r="P30" s="14">
        <f t="shared" si="1"/>
        <v>344528</v>
      </c>
      <c r="Q30">
        <v>0</v>
      </c>
      <c r="T30" t="s">
        <v>165</v>
      </c>
    </row>
    <row r="31" spans="1:20" x14ac:dyDescent="0.25">
      <c r="A31" t="s">
        <v>89</v>
      </c>
      <c r="B31" s="8">
        <v>45273</v>
      </c>
      <c r="C31" s="4" t="s">
        <v>101</v>
      </c>
      <c r="D31" s="8">
        <v>45259</v>
      </c>
      <c r="E31" t="s">
        <v>35</v>
      </c>
      <c r="F31" t="s">
        <v>40</v>
      </c>
      <c r="G31" t="s">
        <v>36</v>
      </c>
      <c r="H31" t="s">
        <v>38</v>
      </c>
      <c r="I31" s="29" t="s">
        <v>208</v>
      </c>
      <c r="J31" s="14">
        <v>1662154</v>
      </c>
      <c r="K31" s="15"/>
      <c r="L31" s="15"/>
      <c r="M31" s="15"/>
      <c r="N31" s="15"/>
      <c r="O31" s="15">
        <f t="shared" si="0"/>
        <v>1662154</v>
      </c>
      <c r="P31" s="14">
        <f t="shared" si="1"/>
        <v>1678776</v>
      </c>
      <c r="Q31">
        <v>0</v>
      </c>
      <c r="T31" t="s">
        <v>175</v>
      </c>
    </row>
    <row r="32" spans="1:20" x14ac:dyDescent="0.25">
      <c r="A32" t="s">
        <v>89</v>
      </c>
      <c r="B32" s="8">
        <v>45273</v>
      </c>
      <c r="C32" s="4" t="s">
        <v>102</v>
      </c>
      <c r="D32" s="8">
        <v>45260</v>
      </c>
      <c r="E32" t="s">
        <v>35</v>
      </c>
      <c r="F32" t="s">
        <v>40</v>
      </c>
      <c r="G32" t="s">
        <v>36</v>
      </c>
      <c r="H32" t="s">
        <v>38</v>
      </c>
      <c r="I32" s="29" t="s">
        <v>208</v>
      </c>
      <c r="J32" s="14">
        <v>267094</v>
      </c>
      <c r="K32" s="15"/>
      <c r="L32" s="15"/>
      <c r="M32" s="15"/>
      <c r="N32" s="15"/>
      <c r="O32" s="15">
        <f t="shared" si="0"/>
        <v>267094</v>
      </c>
      <c r="P32" s="14">
        <f t="shared" si="1"/>
        <v>269765</v>
      </c>
      <c r="Q32">
        <v>0</v>
      </c>
      <c r="T32" t="s">
        <v>166</v>
      </c>
    </row>
    <row r="33" spans="1:20" x14ac:dyDescent="0.25">
      <c r="A33" t="s">
        <v>89</v>
      </c>
      <c r="B33" s="8">
        <v>45273</v>
      </c>
      <c r="C33" s="4" t="s">
        <v>103</v>
      </c>
      <c r="D33" s="8">
        <v>45261</v>
      </c>
      <c r="E33" t="s">
        <v>95</v>
      </c>
      <c r="F33" t="s">
        <v>40</v>
      </c>
      <c r="G33" t="s">
        <v>96</v>
      </c>
      <c r="H33" t="s">
        <v>97</v>
      </c>
      <c r="I33" s="29" t="s">
        <v>208</v>
      </c>
      <c r="J33" s="14">
        <v>312432</v>
      </c>
      <c r="K33" s="15"/>
      <c r="L33" s="15"/>
      <c r="M33" s="15"/>
      <c r="N33" s="15"/>
      <c r="O33" s="15">
        <f t="shared" si="0"/>
        <v>312432</v>
      </c>
      <c r="P33" s="14">
        <f t="shared" si="1"/>
        <v>315556</v>
      </c>
      <c r="Q33">
        <v>0</v>
      </c>
      <c r="T33" t="s">
        <v>176</v>
      </c>
    </row>
    <row r="34" spans="1:20" x14ac:dyDescent="0.25">
      <c r="A34" t="s">
        <v>89</v>
      </c>
      <c r="B34" s="8">
        <v>45273</v>
      </c>
      <c r="C34" s="4" t="s">
        <v>104</v>
      </c>
      <c r="D34" s="8">
        <v>45261</v>
      </c>
      <c r="E34" t="s">
        <v>105</v>
      </c>
      <c r="F34" t="s">
        <v>40</v>
      </c>
      <c r="G34" t="s">
        <v>106</v>
      </c>
      <c r="H34" t="s">
        <v>107</v>
      </c>
      <c r="I34" s="29" t="s">
        <v>208</v>
      </c>
      <c r="J34" s="14">
        <v>558295</v>
      </c>
      <c r="K34" s="15"/>
      <c r="L34" s="15"/>
      <c r="M34" s="15"/>
      <c r="N34" s="15"/>
      <c r="O34" s="15">
        <f t="shared" ref="O34:O65" si="2">SUM(J34:N34)</f>
        <v>558295</v>
      </c>
      <c r="P34" s="14">
        <f t="shared" ref="P34:P65" si="3">ROUND(O34*1.01,0)</f>
        <v>563878</v>
      </c>
      <c r="Q34">
        <v>0</v>
      </c>
      <c r="T34" t="s">
        <v>177</v>
      </c>
    </row>
    <row r="35" spans="1:20" x14ac:dyDescent="0.25">
      <c r="A35" t="s">
        <v>89</v>
      </c>
      <c r="B35" s="8">
        <v>45273</v>
      </c>
      <c r="C35" s="4" t="s">
        <v>108</v>
      </c>
      <c r="D35" s="8">
        <v>45261</v>
      </c>
      <c r="E35" t="s">
        <v>42</v>
      </c>
      <c r="F35" t="s">
        <v>40</v>
      </c>
      <c r="G35" t="s">
        <v>109</v>
      </c>
      <c r="H35" t="s">
        <v>110</v>
      </c>
      <c r="I35" s="29" t="s">
        <v>238</v>
      </c>
      <c r="J35" s="14">
        <v>233769</v>
      </c>
      <c r="K35" s="15"/>
      <c r="L35" s="15"/>
      <c r="M35" s="15"/>
      <c r="N35" s="15"/>
      <c r="O35" s="15">
        <f t="shared" si="2"/>
        <v>233769</v>
      </c>
      <c r="P35" s="14">
        <f t="shared" si="3"/>
        <v>236107</v>
      </c>
      <c r="Q35">
        <v>0</v>
      </c>
      <c r="T35" t="s">
        <v>166</v>
      </c>
    </row>
    <row r="36" spans="1:20" x14ac:dyDescent="0.25">
      <c r="A36" t="s">
        <v>89</v>
      </c>
      <c r="B36" s="8">
        <v>45273</v>
      </c>
      <c r="C36" s="4" t="s">
        <v>111</v>
      </c>
      <c r="D36" s="8">
        <v>45265</v>
      </c>
      <c r="E36" t="s">
        <v>95</v>
      </c>
      <c r="F36" t="s">
        <v>40</v>
      </c>
      <c r="G36" t="s">
        <v>96</v>
      </c>
      <c r="H36" t="s">
        <v>97</v>
      </c>
      <c r="I36" s="29" t="s">
        <v>208</v>
      </c>
      <c r="J36" s="14">
        <v>444987</v>
      </c>
      <c r="K36" s="15"/>
      <c r="L36" s="15"/>
      <c r="M36" s="15"/>
      <c r="N36" s="15"/>
      <c r="O36" s="15">
        <f t="shared" si="2"/>
        <v>444987</v>
      </c>
      <c r="P36" s="14">
        <f t="shared" si="3"/>
        <v>449437</v>
      </c>
      <c r="Q36">
        <v>0</v>
      </c>
      <c r="T36" t="s">
        <v>178</v>
      </c>
    </row>
    <row r="37" spans="1:20" x14ac:dyDescent="0.25">
      <c r="A37" t="s">
        <v>89</v>
      </c>
      <c r="B37" s="8">
        <v>45273</v>
      </c>
      <c r="C37" s="4" t="s">
        <v>112</v>
      </c>
      <c r="D37" s="8">
        <v>45265</v>
      </c>
      <c r="E37" t="s">
        <v>35</v>
      </c>
      <c r="F37" t="s">
        <v>40</v>
      </c>
      <c r="G37" t="s">
        <v>36</v>
      </c>
      <c r="H37" t="s">
        <v>38</v>
      </c>
      <c r="I37" s="29" t="s">
        <v>208</v>
      </c>
      <c r="J37" s="14">
        <v>265095</v>
      </c>
      <c r="K37" s="15"/>
      <c r="L37" s="15"/>
      <c r="M37" s="15"/>
      <c r="N37" s="15"/>
      <c r="O37" s="15">
        <f t="shared" si="2"/>
        <v>265095</v>
      </c>
      <c r="P37" s="14">
        <f t="shared" si="3"/>
        <v>267746</v>
      </c>
      <c r="Q37">
        <v>0</v>
      </c>
      <c r="T37" t="s">
        <v>165</v>
      </c>
    </row>
    <row r="38" spans="1:20" x14ac:dyDescent="0.25">
      <c r="A38" t="s">
        <v>113</v>
      </c>
      <c r="B38" s="8">
        <v>45273</v>
      </c>
      <c r="C38" s="4" t="s">
        <v>114</v>
      </c>
      <c r="D38" s="8">
        <v>45265</v>
      </c>
      <c r="E38" t="s">
        <v>55</v>
      </c>
      <c r="F38" t="s">
        <v>57</v>
      </c>
      <c r="G38" t="s">
        <v>157</v>
      </c>
      <c r="H38" t="s">
        <v>22</v>
      </c>
      <c r="I38" s="29" t="s">
        <v>238</v>
      </c>
      <c r="J38" s="14">
        <v>261049</v>
      </c>
      <c r="K38" s="15"/>
      <c r="L38" s="15"/>
      <c r="M38" s="15"/>
      <c r="N38" s="15"/>
      <c r="O38" s="15">
        <f t="shared" si="2"/>
        <v>261049</v>
      </c>
      <c r="P38" s="14">
        <f t="shared" si="3"/>
        <v>263659</v>
      </c>
      <c r="Q38">
        <v>0</v>
      </c>
      <c r="T38" t="s">
        <v>165</v>
      </c>
    </row>
    <row r="39" spans="1:20" x14ac:dyDescent="0.25">
      <c r="A39" t="s">
        <v>115</v>
      </c>
      <c r="B39" s="8">
        <v>45273</v>
      </c>
      <c r="C39" s="4" t="s">
        <v>116</v>
      </c>
      <c r="D39" s="8">
        <v>45268</v>
      </c>
      <c r="E39" t="s">
        <v>35</v>
      </c>
      <c r="F39" t="s">
        <v>40</v>
      </c>
      <c r="G39" t="s">
        <v>36</v>
      </c>
      <c r="H39" t="s">
        <v>38</v>
      </c>
      <c r="I39" s="29" t="s">
        <v>208</v>
      </c>
      <c r="J39" s="14">
        <v>2272707</v>
      </c>
      <c r="K39" s="15"/>
      <c r="L39" s="15"/>
      <c r="M39" s="15"/>
      <c r="N39" s="15"/>
      <c r="O39" s="15">
        <f t="shared" si="2"/>
        <v>2272707</v>
      </c>
      <c r="P39" s="14">
        <f t="shared" si="3"/>
        <v>2295434</v>
      </c>
      <c r="Q39">
        <v>0</v>
      </c>
      <c r="T39" t="s">
        <v>179</v>
      </c>
    </row>
    <row r="40" spans="1:20" x14ac:dyDescent="0.25">
      <c r="A40" t="s">
        <v>117</v>
      </c>
      <c r="B40" s="8">
        <v>45306</v>
      </c>
      <c r="C40" s="4" t="s">
        <v>118</v>
      </c>
      <c r="D40" s="8">
        <v>45299</v>
      </c>
      <c r="E40" t="s">
        <v>35</v>
      </c>
      <c r="F40" t="s">
        <v>119</v>
      </c>
      <c r="G40" t="s">
        <v>36</v>
      </c>
      <c r="H40" t="s">
        <v>38</v>
      </c>
      <c r="I40" s="29" t="s">
        <v>208</v>
      </c>
      <c r="J40" s="14">
        <v>2406022</v>
      </c>
      <c r="K40" s="15"/>
      <c r="L40" s="15"/>
      <c r="M40" s="15"/>
      <c r="N40" s="15"/>
      <c r="O40" s="15">
        <f t="shared" si="2"/>
        <v>2406022</v>
      </c>
      <c r="P40" s="14">
        <f t="shared" si="3"/>
        <v>2430082</v>
      </c>
      <c r="Q40">
        <v>0</v>
      </c>
      <c r="T40" t="s">
        <v>180</v>
      </c>
    </row>
    <row r="41" spans="1:20" x14ac:dyDescent="0.25">
      <c r="A41" t="s">
        <v>120</v>
      </c>
      <c r="B41" s="8">
        <v>45278</v>
      </c>
      <c r="C41" s="4" t="s">
        <v>121</v>
      </c>
      <c r="D41" s="8">
        <v>45267</v>
      </c>
      <c r="E41" t="s">
        <v>70</v>
      </c>
      <c r="G41" t="s">
        <v>71</v>
      </c>
      <c r="H41" t="s">
        <v>72</v>
      </c>
      <c r="I41" s="29" t="s">
        <v>238</v>
      </c>
      <c r="J41" s="14">
        <v>971000</v>
      </c>
      <c r="K41" s="15"/>
      <c r="L41" s="15"/>
      <c r="M41" s="15"/>
      <c r="N41" s="15"/>
      <c r="O41" s="15">
        <f t="shared" si="2"/>
        <v>971000</v>
      </c>
      <c r="P41" s="14">
        <f t="shared" si="3"/>
        <v>980710</v>
      </c>
      <c r="Q41">
        <v>0</v>
      </c>
      <c r="T41" t="s">
        <v>181</v>
      </c>
    </row>
    <row r="42" spans="1:20" x14ac:dyDescent="0.25">
      <c r="A42" t="s">
        <v>122</v>
      </c>
      <c r="B42" s="8">
        <v>45308</v>
      </c>
      <c r="C42" s="4" t="s">
        <v>123</v>
      </c>
      <c r="D42" s="8">
        <v>45296</v>
      </c>
      <c r="E42" t="s">
        <v>95</v>
      </c>
      <c r="F42" t="s">
        <v>40</v>
      </c>
      <c r="G42" t="s">
        <v>96</v>
      </c>
      <c r="H42" t="s">
        <v>97</v>
      </c>
      <c r="I42" s="29" t="s">
        <v>208</v>
      </c>
      <c r="J42" s="14">
        <v>605098</v>
      </c>
      <c r="K42" s="15"/>
      <c r="L42" s="15"/>
      <c r="M42" s="15"/>
      <c r="N42" s="15"/>
      <c r="O42" s="15">
        <f t="shared" si="2"/>
        <v>605098</v>
      </c>
      <c r="P42" s="14">
        <f t="shared" si="3"/>
        <v>611149</v>
      </c>
      <c r="Q42">
        <v>0</v>
      </c>
      <c r="T42" t="s">
        <v>182</v>
      </c>
    </row>
    <row r="43" spans="1:20" x14ac:dyDescent="0.25">
      <c r="A43" t="s">
        <v>122</v>
      </c>
      <c r="B43" s="8">
        <v>45308</v>
      </c>
      <c r="C43" s="4" t="s">
        <v>124</v>
      </c>
      <c r="D43" s="8">
        <v>45296</v>
      </c>
      <c r="E43" t="s">
        <v>35</v>
      </c>
      <c r="F43" t="s">
        <v>40</v>
      </c>
      <c r="G43" t="s">
        <v>36</v>
      </c>
      <c r="H43" t="s">
        <v>38</v>
      </c>
      <c r="I43" s="29" t="s">
        <v>208</v>
      </c>
      <c r="J43" s="14">
        <v>279477</v>
      </c>
      <c r="K43" s="15"/>
      <c r="L43" s="15"/>
      <c r="M43" s="15"/>
      <c r="N43" s="15"/>
      <c r="O43" s="15">
        <f t="shared" si="2"/>
        <v>279477</v>
      </c>
      <c r="P43" s="14">
        <f t="shared" si="3"/>
        <v>282272</v>
      </c>
      <c r="Q43">
        <v>0</v>
      </c>
      <c r="T43" t="s">
        <v>165</v>
      </c>
    </row>
    <row r="44" spans="1:20" x14ac:dyDescent="0.25">
      <c r="A44" t="s">
        <v>122</v>
      </c>
      <c r="B44" s="8">
        <v>45308</v>
      </c>
      <c r="C44" s="4" t="s">
        <v>118</v>
      </c>
      <c r="D44" s="8">
        <v>45299</v>
      </c>
      <c r="E44" t="s">
        <v>35</v>
      </c>
      <c r="F44" t="s">
        <v>119</v>
      </c>
      <c r="G44" t="s">
        <v>36</v>
      </c>
      <c r="H44" t="s">
        <v>38</v>
      </c>
      <c r="I44" s="29" t="s">
        <v>208</v>
      </c>
      <c r="J44" s="14">
        <v>2406022</v>
      </c>
      <c r="K44" s="15"/>
      <c r="L44" s="15"/>
      <c r="M44" s="15"/>
      <c r="N44" s="15"/>
      <c r="O44" s="15">
        <f t="shared" si="2"/>
        <v>2406022</v>
      </c>
      <c r="P44" s="14">
        <f t="shared" si="3"/>
        <v>2430082</v>
      </c>
      <c r="Q44">
        <v>0</v>
      </c>
      <c r="T44" t="s">
        <v>180</v>
      </c>
    </row>
    <row r="45" spans="1:20" x14ac:dyDescent="0.25">
      <c r="A45" t="s">
        <v>125</v>
      </c>
      <c r="B45" s="8">
        <v>45308</v>
      </c>
      <c r="C45" s="4" t="s">
        <v>128</v>
      </c>
      <c r="D45" s="8">
        <v>45296</v>
      </c>
      <c r="E45" t="s">
        <v>126</v>
      </c>
      <c r="F45" t="s">
        <v>129</v>
      </c>
      <c r="G45" t="s">
        <v>127</v>
      </c>
      <c r="H45" t="s">
        <v>119</v>
      </c>
      <c r="I45" s="29" t="s">
        <v>238</v>
      </c>
      <c r="J45" s="14">
        <v>3359514</v>
      </c>
      <c r="K45" s="15"/>
      <c r="L45" s="15"/>
      <c r="M45" s="15"/>
      <c r="N45" s="15"/>
      <c r="O45" s="15">
        <f t="shared" si="2"/>
        <v>3359514</v>
      </c>
      <c r="P45" s="14">
        <f t="shared" si="3"/>
        <v>3393109</v>
      </c>
      <c r="Q45">
        <v>0</v>
      </c>
      <c r="T45" t="s">
        <v>183</v>
      </c>
    </row>
    <row r="46" spans="1:20" x14ac:dyDescent="0.25">
      <c r="A46" t="s">
        <v>130</v>
      </c>
      <c r="B46" s="8">
        <v>45280</v>
      </c>
      <c r="C46" s="4" t="s">
        <v>131</v>
      </c>
      <c r="D46" s="8">
        <v>45196</v>
      </c>
      <c r="E46" t="s">
        <v>70</v>
      </c>
      <c r="G46">
        <v>0</v>
      </c>
      <c r="H46" t="s">
        <v>132</v>
      </c>
      <c r="I46" s="29" t="s">
        <v>238</v>
      </c>
      <c r="J46" s="14">
        <v>38962000</v>
      </c>
      <c r="K46" s="15"/>
      <c r="L46" s="15"/>
      <c r="M46" s="15"/>
      <c r="N46" s="15"/>
      <c r="O46" s="15">
        <f t="shared" si="2"/>
        <v>38962000</v>
      </c>
      <c r="P46" s="14">
        <f t="shared" si="3"/>
        <v>39351620</v>
      </c>
      <c r="Q46">
        <v>0</v>
      </c>
      <c r="T46" t="s">
        <v>184</v>
      </c>
    </row>
    <row r="47" spans="1:20" x14ac:dyDescent="0.25">
      <c r="A47" t="s">
        <v>130</v>
      </c>
      <c r="B47" s="8">
        <v>45280</v>
      </c>
      <c r="C47" s="4" t="s">
        <v>133</v>
      </c>
      <c r="D47" s="8">
        <v>45266</v>
      </c>
      <c r="E47" t="s">
        <v>51</v>
      </c>
      <c r="F47" t="s">
        <v>53</v>
      </c>
      <c r="G47" t="s">
        <v>134</v>
      </c>
      <c r="H47" t="s">
        <v>76</v>
      </c>
      <c r="I47" s="29" t="s">
        <v>238</v>
      </c>
      <c r="J47" s="14">
        <v>6083752</v>
      </c>
      <c r="K47" s="15"/>
      <c r="L47" s="15"/>
      <c r="M47" s="15"/>
      <c r="N47" s="15"/>
      <c r="O47" s="15">
        <f t="shared" si="2"/>
        <v>6083752</v>
      </c>
      <c r="P47" s="14">
        <f t="shared" si="3"/>
        <v>6144590</v>
      </c>
      <c r="Q47">
        <v>0</v>
      </c>
      <c r="T47" t="s">
        <v>185</v>
      </c>
    </row>
    <row r="48" spans="1:20" x14ac:dyDescent="0.25">
      <c r="A48" t="s">
        <v>130</v>
      </c>
      <c r="B48" s="8">
        <v>45280</v>
      </c>
      <c r="C48" s="4" t="s">
        <v>121</v>
      </c>
      <c r="D48" s="8">
        <v>45267</v>
      </c>
      <c r="E48" t="s">
        <v>70</v>
      </c>
      <c r="G48" t="s">
        <v>71</v>
      </c>
      <c r="H48" t="s">
        <v>72</v>
      </c>
      <c r="I48" s="29" t="s">
        <v>238</v>
      </c>
      <c r="J48" s="14">
        <v>971000</v>
      </c>
      <c r="K48" s="15"/>
      <c r="L48" s="15"/>
      <c r="M48" s="15"/>
      <c r="N48" s="15"/>
      <c r="O48" s="15">
        <f t="shared" si="2"/>
        <v>971000</v>
      </c>
      <c r="P48" s="14">
        <f t="shared" si="3"/>
        <v>980710</v>
      </c>
      <c r="Q48">
        <v>0</v>
      </c>
      <c r="T48" t="s">
        <v>181</v>
      </c>
    </row>
    <row r="49" spans="1:20" x14ac:dyDescent="0.25">
      <c r="A49" t="s">
        <v>135</v>
      </c>
      <c r="B49" s="8">
        <v>45280</v>
      </c>
      <c r="C49" s="4" t="s">
        <v>136</v>
      </c>
      <c r="D49" s="8">
        <v>45266</v>
      </c>
      <c r="E49" t="s">
        <v>35</v>
      </c>
      <c r="F49" t="s">
        <v>40</v>
      </c>
      <c r="G49" t="s">
        <v>36</v>
      </c>
      <c r="H49" t="s">
        <v>38</v>
      </c>
      <c r="I49" s="29" t="s">
        <v>208</v>
      </c>
      <c r="J49" s="14">
        <v>265047</v>
      </c>
      <c r="K49" s="15"/>
      <c r="L49" s="15"/>
      <c r="M49" s="15"/>
      <c r="N49" s="15"/>
      <c r="O49" s="15">
        <f t="shared" si="2"/>
        <v>265047</v>
      </c>
      <c r="P49" s="14">
        <f t="shared" si="3"/>
        <v>267697</v>
      </c>
      <c r="Q49">
        <v>0</v>
      </c>
      <c r="T49" t="s">
        <v>166</v>
      </c>
    </row>
    <row r="50" spans="1:20" x14ac:dyDescent="0.25">
      <c r="A50" t="s">
        <v>135</v>
      </c>
      <c r="B50" s="8">
        <v>45280</v>
      </c>
      <c r="C50" s="4" t="s">
        <v>137</v>
      </c>
      <c r="D50" s="8">
        <v>45266</v>
      </c>
      <c r="E50" t="s">
        <v>42</v>
      </c>
      <c r="F50" t="s">
        <v>40</v>
      </c>
      <c r="G50" t="s">
        <v>87</v>
      </c>
      <c r="H50" t="s">
        <v>158</v>
      </c>
      <c r="I50" s="29" t="s">
        <v>238</v>
      </c>
      <c r="J50" s="14">
        <v>231978</v>
      </c>
      <c r="K50" s="15"/>
      <c r="L50" s="15"/>
      <c r="M50" s="15"/>
      <c r="N50" s="15"/>
      <c r="O50" s="15">
        <f t="shared" si="2"/>
        <v>231978</v>
      </c>
      <c r="P50" s="14">
        <f t="shared" si="3"/>
        <v>234298</v>
      </c>
      <c r="Q50">
        <v>0</v>
      </c>
      <c r="T50" t="s">
        <v>165</v>
      </c>
    </row>
    <row r="51" spans="1:20" x14ac:dyDescent="0.25">
      <c r="A51" t="s">
        <v>135</v>
      </c>
      <c r="B51" s="8">
        <v>45280</v>
      </c>
      <c r="C51" s="4" t="s">
        <v>138</v>
      </c>
      <c r="D51" s="8">
        <v>45268</v>
      </c>
      <c r="E51" t="s">
        <v>95</v>
      </c>
      <c r="F51" t="s">
        <v>40</v>
      </c>
      <c r="G51" t="s">
        <v>96</v>
      </c>
      <c r="H51" t="s">
        <v>97</v>
      </c>
      <c r="I51" s="29" t="s">
        <v>208</v>
      </c>
      <c r="J51" s="14">
        <v>310038</v>
      </c>
      <c r="K51" s="15"/>
      <c r="L51" s="15"/>
      <c r="M51" s="15"/>
      <c r="N51" s="15"/>
      <c r="O51" s="15">
        <f t="shared" si="2"/>
        <v>310038</v>
      </c>
      <c r="P51" s="14">
        <f t="shared" si="3"/>
        <v>313138</v>
      </c>
      <c r="Q51">
        <v>0</v>
      </c>
      <c r="T51" t="s">
        <v>186</v>
      </c>
    </row>
    <row r="52" spans="1:20" x14ac:dyDescent="0.25">
      <c r="A52" t="s">
        <v>135</v>
      </c>
      <c r="B52" s="8">
        <v>45280</v>
      </c>
      <c r="C52" s="4" t="s">
        <v>139</v>
      </c>
      <c r="D52" s="8">
        <v>45268</v>
      </c>
      <c r="E52" t="s">
        <v>91</v>
      </c>
      <c r="F52" t="s">
        <v>40</v>
      </c>
      <c r="G52" t="s">
        <v>140</v>
      </c>
      <c r="H52" t="s">
        <v>159</v>
      </c>
      <c r="I52" s="29" t="s">
        <v>238</v>
      </c>
      <c r="J52" s="14">
        <v>743151</v>
      </c>
      <c r="K52" s="15"/>
      <c r="L52" s="15"/>
      <c r="M52" s="15"/>
      <c r="N52" s="15"/>
      <c r="O52" s="15">
        <f t="shared" si="2"/>
        <v>743151</v>
      </c>
      <c r="P52" s="14">
        <f t="shared" si="3"/>
        <v>750583</v>
      </c>
      <c r="Q52">
        <v>0</v>
      </c>
      <c r="T52" t="s">
        <v>177</v>
      </c>
    </row>
    <row r="53" spans="1:20" x14ac:dyDescent="0.25">
      <c r="A53" t="s">
        <v>135</v>
      </c>
      <c r="B53" s="8">
        <v>45280</v>
      </c>
      <c r="C53" s="4" t="s">
        <v>141</v>
      </c>
      <c r="D53" s="8">
        <v>45268</v>
      </c>
      <c r="E53" t="s">
        <v>35</v>
      </c>
      <c r="F53" t="s">
        <v>40</v>
      </c>
      <c r="G53" t="s">
        <v>36</v>
      </c>
      <c r="H53" t="s">
        <v>38</v>
      </c>
      <c r="I53" s="29" t="s">
        <v>208</v>
      </c>
      <c r="J53" s="14">
        <v>477445</v>
      </c>
      <c r="K53" s="15"/>
      <c r="L53" s="15"/>
      <c r="M53" s="15"/>
      <c r="N53" s="15"/>
      <c r="O53" s="15">
        <f t="shared" si="2"/>
        <v>477445</v>
      </c>
      <c r="P53" s="14">
        <f t="shared" si="3"/>
        <v>482219</v>
      </c>
      <c r="Q53">
        <v>0</v>
      </c>
      <c r="T53" t="s">
        <v>187</v>
      </c>
    </row>
    <row r="54" spans="1:20" x14ac:dyDescent="0.25">
      <c r="A54" t="s">
        <v>135</v>
      </c>
      <c r="B54" s="8">
        <v>45280</v>
      </c>
      <c r="C54" s="4" t="s">
        <v>116</v>
      </c>
      <c r="D54" s="8">
        <v>45268</v>
      </c>
      <c r="E54" t="s">
        <v>35</v>
      </c>
      <c r="F54" t="s">
        <v>40</v>
      </c>
      <c r="G54" t="s">
        <v>36</v>
      </c>
      <c r="H54" t="s">
        <v>38</v>
      </c>
      <c r="I54" s="29" t="s">
        <v>208</v>
      </c>
      <c r="J54" s="14">
        <v>2272707</v>
      </c>
      <c r="K54" s="15"/>
      <c r="L54" s="15"/>
      <c r="M54" s="15"/>
      <c r="N54" s="15"/>
      <c r="O54" s="15">
        <f t="shared" si="2"/>
        <v>2272707</v>
      </c>
      <c r="P54" s="14">
        <f t="shared" si="3"/>
        <v>2295434</v>
      </c>
      <c r="Q54">
        <v>0</v>
      </c>
      <c r="T54" t="s">
        <v>188</v>
      </c>
    </row>
    <row r="55" spans="1:20" x14ac:dyDescent="0.25">
      <c r="A55" t="s">
        <v>135</v>
      </c>
      <c r="B55" s="8">
        <v>45280</v>
      </c>
      <c r="C55" s="4" t="s">
        <v>142</v>
      </c>
      <c r="D55" s="8">
        <v>45268</v>
      </c>
      <c r="E55" t="s">
        <v>42</v>
      </c>
      <c r="F55" t="s">
        <v>40</v>
      </c>
      <c r="G55" t="s">
        <v>87</v>
      </c>
      <c r="H55" t="s">
        <v>158</v>
      </c>
      <c r="I55" s="29" t="s">
        <v>238</v>
      </c>
      <c r="J55" s="14">
        <v>231978</v>
      </c>
      <c r="K55" s="15"/>
      <c r="L55" s="15"/>
      <c r="M55" s="15"/>
      <c r="N55" s="15"/>
      <c r="O55" s="15">
        <f t="shared" si="2"/>
        <v>231978</v>
      </c>
      <c r="P55" s="14">
        <f t="shared" si="3"/>
        <v>234298</v>
      </c>
      <c r="Q55">
        <v>0</v>
      </c>
      <c r="T55" t="s">
        <v>189</v>
      </c>
    </row>
    <row r="56" spans="1:20" x14ac:dyDescent="0.25">
      <c r="A56" t="s">
        <v>135</v>
      </c>
      <c r="B56" s="8">
        <v>45280</v>
      </c>
      <c r="C56" s="4" t="s">
        <v>143</v>
      </c>
      <c r="D56" s="8">
        <v>45271</v>
      </c>
      <c r="E56" t="s">
        <v>35</v>
      </c>
      <c r="F56" t="s">
        <v>40</v>
      </c>
      <c r="G56" t="s">
        <v>36</v>
      </c>
      <c r="H56" t="s">
        <v>38</v>
      </c>
      <c r="I56" s="29" t="s">
        <v>208</v>
      </c>
      <c r="J56" s="14">
        <v>263000</v>
      </c>
      <c r="K56" s="15"/>
      <c r="L56" s="15"/>
      <c r="M56" s="15"/>
      <c r="N56" s="15"/>
      <c r="O56" s="15">
        <f t="shared" si="2"/>
        <v>263000</v>
      </c>
      <c r="P56" s="14">
        <f t="shared" si="3"/>
        <v>265630</v>
      </c>
      <c r="Q56">
        <v>0</v>
      </c>
      <c r="T56" t="s">
        <v>166</v>
      </c>
    </row>
    <row r="57" spans="1:20" x14ac:dyDescent="0.25">
      <c r="A57" t="s">
        <v>144</v>
      </c>
      <c r="B57" s="8">
        <v>45280</v>
      </c>
      <c r="C57" s="4" t="s">
        <v>133</v>
      </c>
      <c r="D57" s="8">
        <v>45266</v>
      </c>
      <c r="E57" t="s">
        <v>51</v>
      </c>
      <c r="F57" t="s">
        <v>53</v>
      </c>
      <c r="G57" t="s">
        <v>134</v>
      </c>
      <c r="H57" t="s">
        <v>76</v>
      </c>
      <c r="I57" s="29" t="s">
        <v>238</v>
      </c>
      <c r="J57" s="14">
        <v>6083752</v>
      </c>
      <c r="K57" s="15"/>
      <c r="L57" s="15"/>
      <c r="M57" s="15"/>
      <c r="N57" s="15"/>
      <c r="O57" s="15">
        <f t="shared" si="2"/>
        <v>6083752</v>
      </c>
      <c r="P57" s="14">
        <f t="shared" si="3"/>
        <v>6144590</v>
      </c>
      <c r="Q57">
        <v>0</v>
      </c>
      <c r="T57" t="s">
        <v>185</v>
      </c>
    </row>
    <row r="58" spans="1:20" x14ac:dyDescent="0.25">
      <c r="A58" t="s">
        <v>145</v>
      </c>
      <c r="B58" s="8">
        <v>45287</v>
      </c>
      <c r="C58" s="4" t="s">
        <v>146</v>
      </c>
      <c r="D58" s="8">
        <v>45275</v>
      </c>
      <c r="E58" t="s">
        <v>55</v>
      </c>
      <c r="F58" t="s">
        <v>57</v>
      </c>
      <c r="G58" t="s">
        <v>157</v>
      </c>
      <c r="H58" t="s">
        <v>22</v>
      </c>
      <c r="I58" s="29" t="s">
        <v>238</v>
      </c>
      <c r="J58" s="14">
        <v>632839</v>
      </c>
      <c r="K58" s="15"/>
      <c r="L58" s="15"/>
      <c r="M58" s="15"/>
      <c r="N58" s="15"/>
      <c r="O58" s="15">
        <f t="shared" si="2"/>
        <v>632839</v>
      </c>
      <c r="P58" s="14">
        <f t="shared" si="3"/>
        <v>639167</v>
      </c>
      <c r="Q58">
        <v>0</v>
      </c>
      <c r="T58" t="s">
        <v>190</v>
      </c>
    </row>
    <row r="59" spans="1:20" x14ac:dyDescent="0.25">
      <c r="A59" t="s">
        <v>147</v>
      </c>
      <c r="B59" s="8">
        <v>45287</v>
      </c>
      <c r="C59" s="4" t="s">
        <v>148</v>
      </c>
      <c r="D59" s="8">
        <v>45273</v>
      </c>
      <c r="E59" t="s">
        <v>42</v>
      </c>
      <c r="F59" t="s">
        <v>40</v>
      </c>
      <c r="G59" t="s">
        <v>46</v>
      </c>
      <c r="H59" t="s">
        <v>47</v>
      </c>
      <c r="I59" s="29" t="s">
        <v>238</v>
      </c>
      <c r="J59" s="14">
        <v>230187</v>
      </c>
      <c r="K59" s="15"/>
      <c r="L59" s="15"/>
      <c r="M59" s="15"/>
      <c r="N59" s="15"/>
      <c r="O59" s="15">
        <f t="shared" si="2"/>
        <v>230187</v>
      </c>
      <c r="P59" s="14">
        <f t="shared" si="3"/>
        <v>232489</v>
      </c>
      <c r="Q59">
        <v>0</v>
      </c>
      <c r="T59" t="s">
        <v>166</v>
      </c>
    </row>
    <row r="60" spans="1:20" x14ac:dyDescent="0.25">
      <c r="A60" t="s">
        <v>147</v>
      </c>
      <c r="B60" s="8">
        <v>45287</v>
      </c>
      <c r="C60" s="4" t="s">
        <v>149</v>
      </c>
      <c r="D60" s="8">
        <v>45274</v>
      </c>
      <c r="E60" t="s">
        <v>35</v>
      </c>
      <c r="F60" t="s">
        <v>40</v>
      </c>
      <c r="G60" t="s">
        <v>36</v>
      </c>
      <c r="H60" t="s">
        <v>38</v>
      </c>
      <c r="I60" s="29" t="s">
        <v>208</v>
      </c>
      <c r="J60" s="14">
        <v>263048</v>
      </c>
      <c r="K60" s="15"/>
      <c r="L60" s="15"/>
      <c r="M60" s="15"/>
      <c r="N60" s="15"/>
      <c r="O60" s="15">
        <f t="shared" si="2"/>
        <v>263048</v>
      </c>
      <c r="P60" s="14">
        <f t="shared" si="3"/>
        <v>265678</v>
      </c>
      <c r="Q60">
        <v>0</v>
      </c>
      <c r="T60" t="s">
        <v>165</v>
      </c>
    </row>
    <row r="61" spans="1:20" x14ac:dyDescent="0.25">
      <c r="A61" t="s">
        <v>147</v>
      </c>
      <c r="B61" s="8">
        <v>45287</v>
      </c>
      <c r="C61" s="4" t="s">
        <v>150</v>
      </c>
      <c r="D61" s="8">
        <v>45274</v>
      </c>
      <c r="E61" t="s">
        <v>42</v>
      </c>
      <c r="F61" t="s">
        <v>40</v>
      </c>
      <c r="G61" t="s">
        <v>87</v>
      </c>
      <c r="H61" t="s">
        <v>158</v>
      </c>
      <c r="I61" s="29" t="s">
        <v>238</v>
      </c>
      <c r="J61" s="14">
        <v>230187</v>
      </c>
      <c r="K61" s="15"/>
      <c r="L61" s="15"/>
      <c r="M61" s="15"/>
      <c r="N61" s="15"/>
      <c r="O61" s="15">
        <f t="shared" si="2"/>
        <v>230187</v>
      </c>
      <c r="P61" s="14">
        <f t="shared" si="3"/>
        <v>232489</v>
      </c>
      <c r="Q61">
        <v>0</v>
      </c>
      <c r="T61" t="s">
        <v>189</v>
      </c>
    </row>
    <row r="62" spans="1:20" x14ac:dyDescent="0.25">
      <c r="A62" t="s">
        <v>147</v>
      </c>
      <c r="B62" s="8">
        <v>45287</v>
      </c>
      <c r="C62" s="4" t="s">
        <v>151</v>
      </c>
      <c r="D62" s="8">
        <v>45275</v>
      </c>
      <c r="E62" t="s">
        <v>95</v>
      </c>
      <c r="F62" t="s">
        <v>40</v>
      </c>
      <c r="G62" t="s">
        <v>96</v>
      </c>
      <c r="H62" t="s">
        <v>97</v>
      </c>
      <c r="I62" s="29" t="s">
        <v>208</v>
      </c>
      <c r="J62" s="14">
        <v>245106</v>
      </c>
      <c r="K62" s="15"/>
      <c r="L62" s="15"/>
      <c r="M62" s="15"/>
      <c r="N62" s="15"/>
      <c r="O62" s="15">
        <f t="shared" si="2"/>
        <v>245106</v>
      </c>
      <c r="P62" s="14">
        <f t="shared" si="3"/>
        <v>247557</v>
      </c>
      <c r="Q62">
        <v>0</v>
      </c>
      <c r="T62" t="s">
        <v>191</v>
      </c>
    </row>
    <row r="63" spans="1:20" x14ac:dyDescent="0.25">
      <c r="A63" t="s">
        <v>147</v>
      </c>
      <c r="B63" s="8">
        <v>45287</v>
      </c>
      <c r="C63" s="4" t="s">
        <v>152</v>
      </c>
      <c r="D63" s="8">
        <v>45275</v>
      </c>
      <c r="E63" t="s">
        <v>42</v>
      </c>
      <c r="F63" t="s">
        <v>40</v>
      </c>
      <c r="G63" t="s">
        <v>87</v>
      </c>
      <c r="H63" t="s">
        <v>158</v>
      </c>
      <c r="I63" s="29" t="s">
        <v>238</v>
      </c>
      <c r="J63" s="14">
        <v>230187</v>
      </c>
      <c r="K63" s="15"/>
      <c r="L63" s="15"/>
      <c r="M63" s="15"/>
      <c r="N63" s="15"/>
      <c r="O63" s="15">
        <f t="shared" si="2"/>
        <v>230187</v>
      </c>
      <c r="P63" s="14">
        <f t="shared" si="3"/>
        <v>232489</v>
      </c>
      <c r="Q63">
        <v>0</v>
      </c>
      <c r="T63" t="s">
        <v>166</v>
      </c>
    </row>
    <row r="64" spans="1:20" x14ac:dyDescent="0.25">
      <c r="A64" t="s">
        <v>147</v>
      </c>
      <c r="B64" s="8">
        <v>45287</v>
      </c>
      <c r="C64" s="4" t="s">
        <v>153</v>
      </c>
      <c r="D64" s="8">
        <v>45279</v>
      </c>
      <c r="E64" t="s">
        <v>35</v>
      </c>
      <c r="F64" t="s">
        <v>37</v>
      </c>
      <c r="G64" t="s">
        <v>36</v>
      </c>
      <c r="H64" t="s">
        <v>38</v>
      </c>
      <c r="I64" s="29" t="s">
        <v>208</v>
      </c>
      <c r="J64" s="14">
        <v>468228</v>
      </c>
      <c r="K64" s="15"/>
      <c r="L64" s="15"/>
      <c r="M64" s="15"/>
      <c r="N64" s="15"/>
      <c r="O64" s="15">
        <f t="shared" si="2"/>
        <v>468228</v>
      </c>
      <c r="P64" s="14">
        <f t="shared" si="3"/>
        <v>472910</v>
      </c>
      <c r="Q64">
        <v>0</v>
      </c>
      <c r="T64" t="s">
        <v>173</v>
      </c>
    </row>
    <row r="65" spans="1:20" x14ac:dyDescent="0.25">
      <c r="A65" t="s">
        <v>147</v>
      </c>
      <c r="B65" s="8">
        <v>45287</v>
      </c>
      <c r="C65" s="4" t="s">
        <v>154</v>
      </c>
      <c r="D65" s="8">
        <v>45279</v>
      </c>
      <c r="E65" t="s">
        <v>42</v>
      </c>
      <c r="F65" t="s">
        <v>40</v>
      </c>
      <c r="G65" t="s">
        <v>87</v>
      </c>
      <c r="H65" t="s">
        <v>158</v>
      </c>
      <c r="I65" s="29" t="s">
        <v>238</v>
      </c>
      <c r="J65" s="14">
        <v>227500</v>
      </c>
      <c r="K65" s="15"/>
      <c r="L65" s="15"/>
      <c r="M65" s="15"/>
      <c r="N65" s="15"/>
      <c r="O65" s="15">
        <f t="shared" si="2"/>
        <v>227500</v>
      </c>
      <c r="P65" s="14">
        <f t="shared" si="3"/>
        <v>229775</v>
      </c>
      <c r="Q65">
        <v>0</v>
      </c>
      <c r="T65" t="s">
        <v>166</v>
      </c>
    </row>
    <row r="66" spans="1:20" x14ac:dyDescent="0.25">
      <c r="A66" t="s">
        <v>147</v>
      </c>
      <c r="B66" s="8">
        <v>45287</v>
      </c>
      <c r="C66" s="4" t="s">
        <v>155</v>
      </c>
      <c r="D66" s="8">
        <v>45279</v>
      </c>
      <c r="E66" t="s">
        <v>42</v>
      </c>
      <c r="F66" t="s">
        <v>40</v>
      </c>
      <c r="G66" t="s">
        <v>156</v>
      </c>
      <c r="H66" t="s">
        <v>31</v>
      </c>
      <c r="I66" s="29" t="s">
        <v>238</v>
      </c>
      <c r="J66" s="14">
        <v>227500</v>
      </c>
      <c r="K66" s="15"/>
      <c r="L66" s="15"/>
      <c r="M66" s="15"/>
      <c r="N66" s="15"/>
      <c r="O66" s="15">
        <f t="shared" ref="O66:O97" si="4">SUM(J66:N66)</f>
        <v>227500</v>
      </c>
      <c r="P66" s="14">
        <f t="shared" ref="P66:P97" si="5">ROUND(O66*1.01,0)</f>
        <v>229775</v>
      </c>
      <c r="Q66">
        <v>0</v>
      </c>
      <c r="T66" t="s">
        <v>166</v>
      </c>
    </row>
  </sheetData>
  <dataValidations count="1">
    <dataValidation type="list" showInputMessage="1" showErrorMessage="1" sqref="Q2:Q66" xr:uid="{073575CF-E0EA-46B7-8C8F-7736C3670488}">
      <formula1>"0,1"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2880-BB58-40E3-873B-C5A825ED073C}">
  <sheetPr codeName="Sheet11">
    <tabColor theme="3" tint="-0.499984740745262"/>
  </sheetPr>
  <dimension ref="A1:O66"/>
  <sheetViews>
    <sheetView tabSelected="1" workbookViewId="0">
      <selection activeCell="J11" sqref="J11"/>
    </sheetView>
  </sheetViews>
  <sheetFormatPr defaultRowHeight="15" x14ac:dyDescent="0.25"/>
  <cols>
    <col min="1" max="1" width="3.42578125" bestFit="1" customWidth="1"/>
    <col min="2" max="2" width="6.28515625" bestFit="1" customWidth="1"/>
    <col min="3" max="3" width="16" bestFit="1" customWidth="1"/>
    <col min="4" max="4" width="8" bestFit="1" customWidth="1"/>
    <col min="6" max="6" width="18.85546875" bestFit="1" customWidth="1"/>
    <col min="7" max="8" width="17.85546875" bestFit="1" customWidth="1"/>
    <col min="9" max="9" width="15.5703125" bestFit="1" customWidth="1"/>
    <col min="10" max="10" width="10.140625" bestFit="1" customWidth="1"/>
    <col min="12" max="12" width="8.5703125" bestFit="1" customWidth="1"/>
    <col min="13" max="13" width="6" bestFit="1" customWidth="1"/>
    <col min="14" max="14" width="16.140625" bestFit="1" customWidth="1"/>
    <col min="15" max="15" width="8" bestFit="1" customWidth="1"/>
  </cols>
  <sheetData>
    <row r="1" spans="1:15" x14ac:dyDescent="0.25">
      <c r="A1" s="33" t="s">
        <v>239</v>
      </c>
      <c r="B1" s="33" t="s">
        <v>240</v>
      </c>
      <c r="C1" s="34" t="s">
        <v>241</v>
      </c>
      <c r="D1" s="33" t="s">
        <v>242</v>
      </c>
      <c r="E1" s="33" t="s">
        <v>243</v>
      </c>
      <c r="F1" s="35" t="s">
        <v>244</v>
      </c>
      <c r="G1" s="35" t="s">
        <v>245</v>
      </c>
      <c r="H1" s="33" t="s">
        <v>246</v>
      </c>
      <c r="I1" s="36" t="s">
        <v>247</v>
      </c>
      <c r="J1" s="36" t="s">
        <v>248</v>
      </c>
      <c r="K1" s="36" t="s">
        <v>249</v>
      </c>
      <c r="L1" s="33" t="s">
        <v>250</v>
      </c>
      <c r="M1" s="33" t="s">
        <v>251</v>
      </c>
      <c r="N1" s="33" t="s">
        <v>252</v>
      </c>
      <c r="O1" s="33" t="s">
        <v>253</v>
      </c>
    </row>
    <row r="2" spans="1:15" x14ac:dyDescent="0.25">
      <c r="A2">
        <f t="shared" ref="A2:A33" si="0">ROW()-1</f>
        <v>1</v>
      </c>
      <c r="B2" t="s">
        <v>254</v>
      </c>
      <c r="C2">
        <v>54000374</v>
      </c>
      <c r="D2">
        <v>1201</v>
      </c>
      <c r="E2" t="s">
        <v>255</v>
      </c>
      <c r="F2" s="11">
        <v>45328</v>
      </c>
      <c r="G2" s="11">
        <v>45328</v>
      </c>
      <c r="H2" t="s">
        <v>238</v>
      </c>
      <c r="I2">
        <v>1</v>
      </c>
      <c r="J2">
        <v>7452339</v>
      </c>
      <c r="K2" t="s">
        <v>256</v>
      </c>
      <c r="L2" t="s">
        <v>256</v>
      </c>
      <c r="M2" t="s">
        <v>257</v>
      </c>
      <c r="O2" t="s">
        <v>258</v>
      </c>
    </row>
    <row r="3" spans="1:15" x14ac:dyDescent="0.25">
      <c r="A3">
        <f t="shared" si="0"/>
        <v>2</v>
      </c>
      <c r="B3" t="s">
        <v>254</v>
      </c>
      <c r="C3">
        <v>54000374</v>
      </c>
      <c r="D3">
        <v>1201</v>
      </c>
      <c r="E3" t="s">
        <v>255</v>
      </c>
      <c r="F3" s="11">
        <v>45328</v>
      </c>
      <c r="G3" s="11">
        <v>45328</v>
      </c>
      <c r="H3" t="s">
        <v>238</v>
      </c>
      <c r="I3">
        <v>1</v>
      </c>
      <c r="J3">
        <v>13268509</v>
      </c>
      <c r="K3" t="s">
        <v>256</v>
      </c>
      <c r="L3" t="s">
        <v>256</v>
      </c>
      <c r="M3" t="s">
        <v>257</v>
      </c>
      <c r="O3" t="s">
        <v>258</v>
      </c>
    </row>
    <row r="4" spans="1:15" x14ac:dyDescent="0.25">
      <c r="A4">
        <f t="shared" si="0"/>
        <v>3</v>
      </c>
      <c r="B4" t="s">
        <v>254</v>
      </c>
      <c r="C4">
        <v>54000374</v>
      </c>
      <c r="D4">
        <v>1201</v>
      </c>
      <c r="E4" t="s">
        <v>255</v>
      </c>
      <c r="F4" s="11">
        <v>45328</v>
      </c>
      <c r="G4" s="11">
        <v>45328</v>
      </c>
      <c r="H4" t="s">
        <v>238</v>
      </c>
      <c r="I4">
        <v>1</v>
      </c>
      <c r="J4">
        <v>700000</v>
      </c>
      <c r="K4" t="s">
        <v>256</v>
      </c>
      <c r="L4" t="s">
        <v>256</v>
      </c>
      <c r="M4" t="s">
        <v>257</v>
      </c>
      <c r="O4" t="s">
        <v>258</v>
      </c>
    </row>
    <row r="5" spans="1:15" x14ac:dyDescent="0.25">
      <c r="A5">
        <f t="shared" si="0"/>
        <v>4</v>
      </c>
      <c r="B5" t="s">
        <v>254</v>
      </c>
      <c r="C5">
        <v>54000374</v>
      </c>
      <c r="D5">
        <v>1201</v>
      </c>
      <c r="E5" t="s">
        <v>255</v>
      </c>
      <c r="F5" s="11">
        <v>45328</v>
      </c>
      <c r="G5" s="11">
        <v>45328</v>
      </c>
      <c r="H5" t="s">
        <v>208</v>
      </c>
      <c r="I5">
        <v>1</v>
      </c>
      <c r="J5">
        <v>259930</v>
      </c>
      <c r="K5" t="s">
        <v>256</v>
      </c>
      <c r="L5" t="s">
        <v>256</v>
      </c>
      <c r="M5" t="s">
        <v>257</v>
      </c>
      <c r="O5" t="s">
        <v>258</v>
      </c>
    </row>
    <row r="6" spans="1:15" x14ac:dyDescent="0.25">
      <c r="A6">
        <f t="shared" si="0"/>
        <v>5</v>
      </c>
      <c r="B6" t="s">
        <v>254</v>
      </c>
      <c r="C6">
        <v>54000374</v>
      </c>
      <c r="D6">
        <v>1201</v>
      </c>
      <c r="E6" t="s">
        <v>255</v>
      </c>
      <c r="F6" s="11">
        <v>45328</v>
      </c>
      <c r="G6" s="11">
        <v>45328</v>
      </c>
      <c r="H6" t="s">
        <v>208</v>
      </c>
      <c r="I6">
        <v>1</v>
      </c>
      <c r="J6">
        <v>259977</v>
      </c>
      <c r="K6" t="s">
        <v>256</v>
      </c>
      <c r="L6" t="s">
        <v>256</v>
      </c>
      <c r="M6" t="s">
        <v>257</v>
      </c>
      <c r="O6" t="s">
        <v>258</v>
      </c>
    </row>
    <row r="7" spans="1:15" x14ac:dyDescent="0.25">
      <c r="A7">
        <f t="shared" si="0"/>
        <v>6</v>
      </c>
      <c r="B7" t="s">
        <v>254</v>
      </c>
      <c r="C7">
        <v>54000374</v>
      </c>
      <c r="D7">
        <v>1201</v>
      </c>
      <c r="E7" t="s">
        <v>255</v>
      </c>
      <c r="F7" s="11">
        <v>45328</v>
      </c>
      <c r="G7" s="11">
        <v>45328</v>
      </c>
      <c r="H7" t="s">
        <v>238</v>
      </c>
      <c r="I7">
        <v>1</v>
      </c>
      <c r="J7">
        <v>227500</v>
      </c>
      <c r="K7" t="s">
        <v>256</v>
      </c>
      <c r="L7" t="s">
        <v>256</v>
      </c>
      <c r="M7" t="s">
        <v>257</v>
      </c>
      <c r="O7" t="s">
        <v>258</v>
      </c>
    </row>
    <row r="8" spans="1:15" x14ac:dyDescent="0.25">
      <c r="A8">
        <f t="shared" si="0"/>
        <v>7</v>
      </c>
      <c r="B8" t="s">
        <v>254</v>
      </c>
      <c r="C8">
        <v>54000374</v>
      </c>
      <c r="D8">
        <v>1201</v>
      </c>
      <c r="E8" t="s">
        <v>255</v>
      </c>
      <c r="F8" s="11">
        <v>45328</v>
      </c>
      <c r="G8" s="11">
        <v>45328</v>
      </c>
      <c r="H8" t="s">
        <v>238</v>
      </c>
      <c r="I8">
        <v>1</v>
      </c>
      <c r="J8">
        <v>227500</v>
      </c>
      <c r="K8" t="s">
        <v>256</v>
      </c>
      <c r="L8" t="s">
        <v>256</v>
      </c>
      <c r="M8" t="s">
        <v>257</v>
      </c>
      <c r="O8" t="s">
        <v>258</v>
      </c>
    </row>
    <row r="9" spans="1:15" x14ac:dyDescent="0.25">
      <c r="A9">
        <f t="shared" si="0"/>
        <v>8</v>
      </c>
      <c r="B9" t="s">
        <v>254</v>
      </c>
      <c r="C9">
        <v>54000374</v>
      </c>
      <c r="D9">
        <v>1201</v>
      </c>
      <c r="E9" t="s">
        <v>255</v>
      </c>
      <c r="F9" s="11">
        <v>45328</v>
      </c>
      <c r="G9" s="11">
        <v>45328</v>
      </c>
      <c r="H9" t="s">
        <v>208</v>
      </c>
      <c r="I9">
        <v>1</v>
      </c>
      <c r="J9">
        <v>2713792</v>
      </c>
      <c r="K9" t="s">
        <v>256</v>
      </c>
      <c r="L9" t="s">
        <v>256</v>
      </c>
      <c r="M9" t="s">
        <v>257</v>
      </c>
      <c r="O9" t="s">
        <v>258</v>
      </c>
    </row>
    <row r="10" spans="1:15" x14ac:dyDescent="0.25">
      <c r="A10">
        <f t="shared" si="0"/>
        <v>9</v>
      </c>
      <c r="B10" t="s">
        <v>254</v>
      </c>
      <c r="C10">
        <v>54000374</v>
      </c>
      <c r="D10">
        <v>1201</v>
      </c>
      <c r="E10" t="s">
        <v>255</v>
      </c>
      <c r="F10" s="11">
        <v>45328</v>
      </c>
      <c r="G10" s="11">
        <v>45328</v>
      </c>
      <c r="H10" t="s">
        <v>238</v>
      </c>
      <c r="I10">
        <v>1</v>
      </c>
      <c r="J10">
        <v>41496000</v>
      </c>
      <c r="K10" t="s">
        <v>256</v>
      </c>
      <c r="L10" t="s">
        <v>256</v>
      </c>
      <c r="M10" t="s">
        <v>257</v>
      </c>
      <c r="O10" t="s">
        <v>258</v>
      </c>
    </row>
    <row r="11" spans="1:15" x14ac:dyDescent="0.25">
      <c r="A11">
        <f t="shared" si="0"/>
        <v>10</v>
      </c>
      <c r="B11" t="s">
        <v>254</v>
      </c>
      <c r="C11">
        <v>54000374</v>
      </c>
      <c r="D11">
        <v>1201</v>
      </c>
      <c r="E11" t="s">
        <v>255</v>
      </c>
      <c r="F11" s="11">
        <v>45328</v>
      </c>
      <c r="G11" s="11">
        <v>45328</v>
      </c>
      <c r="H11" t="s">
        <v>238</v>
      </c>
      <c r="I11">
        <v>1</v>
      </c>
      <c r="J11">
        <v>255466</v>
      </c>
      <c r="K11" t="s">
        <v>256</v>
      </c>
      <c r="L11" t="s">
        <v>256</v>
      </c>
      <c r="M11" t="s">
        <v>257</v>
      </c>
      <c r="O11" t="s">
        <v>258</v>
      </c>
    </row>
    <row r="12" spans="1:15" x14ac:dyDescent="0.25">
      <c r="A12">
        <f t="shared" si="0"/>
        <v>11</v>
      </c>
      <c r="B12" t="s">
        <v>254</v>
      </c>
      <c r="C12">
        <v>54000374</v>
      </c>
      <c r="D12">
        <v>1201</v>
      </c>
      <c r="E12" t="s">
        <v>255</v>
      </c>
      <c r="F12" s="11">
        <v>45328</v>
      </c>
      <c r="G12" s="11">
        <v>45328</v>
      </c>
      <c r="H12" t="s">
        <v>238</v>
      </c>
      <c r="I12">
        <v>1</v>
      </c>
      <c r="J12">
        <v>642689</v>
      </c>
      <c r="K12" t="s">
        <v>256</v>
      </c>
      <c r="L12" t="s">
        <v>256</v>
      </c>
      <c r="M12" t="s">
        <v>257</v>
      </c>
      <c r="O12" t="s">
        <v>258</v>
      </c>
    </row>
    <row r="13" spans="1:15" x14ac:dyDescent="0.25">
      <c r="A13">
        <f t="shared" si="0"/>
        <v>12</v>
      </c>
      <c r="B13" t="s">
        <v>254</v>
      </c>
      <c r="C13">
        <v>54000374</v>
      </c>
      <c r="D13">
        <v>1201</v>
      </c>
      <c r="E13" t="s">
        <v>255</v>
      </c>
      <c r="F13" s="11">
        <v>45328</v>
      </c>
      <c r="G13" s="11">
        <v>45328</v>
      </c>
      <c r="H13" t="s">
        <v>238</v>
      </c>
      <c r="I13">
        <v>1</v>
      </c>
      <c r="J13">
        <v>350220</v>
      </c>
      <c r="K13" t="s">
        <v>256</v>
      </c>
      <c r="L13" t="s">
        <v>256</v>
      </c>
      <c r="M13" t="s">
        <v>257</v>
      </c>
      <c r="O13" t="s">
        <v>258</v>
      </c>
    </row>
    <row r="14" spans="1:15" x14ac:dyDescent="0.25">
      <c r="A14">
        <f t="shared" si="0"/>
        <v>13</v>
      </c>
      <c r="B14" t="s">
        <v>254</v>
      </c>
      <c r="C14">
        <v>54000374</v>
      </c>
      <c r="D14">
        <v>1201</v>
      </c>
      <c r="E14" t="s">
        <v>255</v>
      </c>
      <c r="F14" s="11">
        <v>45328</v>
      </c>
      <c r="G14" s="11">
        <v>45328</v>
      </c>
      <c r="H14" t="s">
        <v>238</v>
      </c>
      <c r="I14">
        <v>1</v>
      </c>
      <c r="J14">
        <v>254488</v>
      </c>
      <c r="K14" t="s">
        <v>256</v>
      </c>
      <c r="L14" t="s">
        <v>256</v>
      </c>
      <c r="M14" t="s">
        <v>257</v>
      </c>
      <c r="O14" t="s">
        <v>258</v>
      </c>
    </row>
    <row r="15" spans="1:15" x14ac:dyDescent="0.25">
      <c r="A15">
        <f t="shared" si="0"/>
        <v>14</v>
      </c>
      <c r="B15" t="s">
        <v>254</v>
      </c>
      <c r="C15">
        <v>54000374</v>
      </c>
      <c r="D15">
        <v>1201</v>
      </c>
      <c r="E15" t="s">
        <v>255</v>
      </c>
      <c r="F15" s="11">
        <v>45328</v>
      </c>
      <c r="G15" s="11">
        <v>45328</v>
      </c>
      <c r="H15" t="s">
        <v>238</v>
      </c>
      <c r="I15">
        <v>1</v>
      </c>
      <c r="J15">
        <v>350220</v>
      </c>
      <c r="K15" t="s">
        <v>256</v>
      </c>
      <c r="L15" t="s">
        <v>256</v>
      </c>
      <c r="M15" t="s">
        <v>257</v>
      </c>
      <c r="O15" t="s">
        <v>258</v>
      </c>
    </row>
    <row r="16" spans="1:15" x14ac:dyDescent="0.25">
      <c r="A16">
        <f t="shared" si="0"/>
        <v>15</v>
      </c>
      <c r="B16" t="s">
        <v>254</v>
      </c>
      <c r="C16">
        <v>54000374</v>
      </c>
      <c r="D16">
        <v>1201</v>
      </c>
      <c r="E16" t="s">
        <v>255</v>
      </c>
      <c r="F16" s="11">
        <v>45328</v>
      </c>
      <c r="G16" s="11">
        <v>45328</v>
      </c>
      <c r="H16" t="s">
        <v>238</v>
      </c>
      <c r="I16">
        <v>1</v>
      </c>
      <c r="J16">
        <v>263065</v>
      </c>
      <c r="K16" t="s">
        <v>256</v>
      </c>
      <c r="L16" t="s">
        <v>256</v>
      </c>
      <c r="M16" t="s">
        <v>257</v>
      </c>
      <c r="O16" t="s">
        <v>258</v>
      </c>
    </row>
    <row r="17" spans="1:15" x14ac:dyDescent="0.25">
      <c r="A17">
        <f t="shared" si="0"/>
        <v>16</v>
      </c>
      <c r="B17" t="s">
        <v>254</v>
      </c>
      <c r="C17">
        <v>54000374</v>
      </c>
      <c r="D17">
        <v>1201</v>
      </c>
      <c r="E17" t="s">
        <v>255</v>
      </c>
      <c r="F17" s="11">
        <v>45328</v>
      </c>
      <c r="G17" s="11">
        <v>45328</v>
      </c>
      <c r="H17" t="s">
        <v>238</v>
      </c>
      <c r="I17">
        <v>1</v>
      </c>
      <c r="J17">
        <v>17034000</v>
      </c>
      <c r="K17" t="s">
        <v>256</v>
      </c>
      <c r="L17" t="s">
        <v>256</v>
      </c>
      <c r="M17" t="s">
        <v>257</v>
      </c>
      <c r="O17" t="s">
        <v>258</v>
      </c>
    </row>
    <row r="18" spans="1:15" x14ac:dyDescent="0.25">
      <c r="A18">
        <f t="shared" si="0"/>
        <v>17</v>
      </c>
      <c r="B18" t="s">
        <v>254</v>
      </c>
      <c r="C18">
        <v>54000374</v>
      </c>
      <c r="D18">
        <v>1201</v>
      </c>
      <c r="E18" t="s">
        <v>255</v>
      </c>
      <c r="F18" s="11">
        <v>45328</v>
      </c>
      <c r="G18" s="11">
        <v>45328</v>
      </c>
      <c r="H18" t="s">
        <v>238</v>
      </c>
      <c r="I18">
        <v>1</v>
      </c>
      <c r="J18">
        <v>23838000</v>
      </c>
      <c r="K18" t="s">
        <v>256</v>
      </c>
      <c r="L18" t="s">
        <v>256</v>
      </c>
      <c r="M18" t="s">
        <v>257</v>
      </c>
      <c r="O18" t="s">
        <v>258</v>
      </c>
    </row>
    <row r="19" spans="1:15" x14ac:dyDescent="0.25">
      <c r="A19">
        <f t="shared" si="0"/>
        <v>18</v>
      </c>
      <c r="B19" t="s">
        <v>254</v>
      </c>
      <c r="C19">
        <v>54000374</v>
      </c>
      <c r="D19">
        <v>1201</v>
      </c>
      <c r="E19" t="s">
        <v>255</v>
      </c>
      <c r="F19" s="11">
        <v>45328</v>
      </c>
      <c r="G19" s="11">
        <v>45328</v>
      </c>
      <c r="H19" t="s">
        <v>238</v>
      </c>
      <c r="I19">
        <v>1</v>
      </c>
      <c r="J19">
        <v>41496000</v>
      </c>
      <c r="K19" t="s">
        <v>256</v>
      </c>
      <c r="L19" t="s">
        <v>256</v>
      </c>
      <c r="M19" t="s">
        <v>257</v>
      </c>
      <c r="O19" t="s">
        <v>258</v>
      </c>
    </row>
    <row r="20" spans="1:15" x14ac:dyDescent="0.25">
      <c r="A20">
        <f t="shared" si="0"/>
        <v>19</v>
      </c>
      <c r="B20" t="s">
        <v>254</v>
      </c>
      <c r="C20">
        <v>54000374</v>
      </c>
      <c r="D20">
        <v>1201</v>
      </c>
      <c r="E20" t="s">
        <v>255</v>
      </c>
      <c r="F20" s="11">
        <v>45328</v>
      </c>
      <c r="G20" s="11">
        <v>45328</v>
      </c>
      <c r="H20" t="s">
        <v>238</v>
      </c>
      <c r="I20">
        <v>1</v>
      </c>
      <c r="J20">
        <v>700000</v>
      </c>
      <c r="K20" t="s">
        <v>256</v>
      </c>
      <c r="L20" t="s">
        <v>256</v>
      </c>
      <c r="M20" t="s">
        <v>257</v>
      </c>
      <c r="O20" t="s">
        <v>258</v>
      </c>
    </row>
    <row r="21" spans="1:15" x14ac:dyDescent="0.25">
      <c r="A21">
        <f t="shared" si="0"/>
        <v>20</v>
      </c>
      <c r="B21" t="s">
        <v>254</v>
      </c>
      <c r="C21">
        <v>54000374</v>
      </c>
      <c r="D21">
        <v>1201</v>
      </c>
      <c r="E21" t="s">
        <v>255</v>
      </c>
      <c r="F21" s="11">
        <v>45328</v>
      </c>
      <c r="G21" s="11">
        <v>45328</v>
      </c>
      <c r="H21" t="s">
        <v>238</v>
      </c>
      <c r="I21">
        <v>1</v>
      </c>
      <c r="J21">
        <v>1555000</v>
      </c>
      <c r="K21" t="s">
        <v>256</v>
      </c>
      <c r="L21" t="s">
        <v>256</v>
      </c>
      <c r="M21" t="s">
        <v>257</v>
      </c>
      <c r="O21" t="s">
        <v>258</v>
      </c>
    </row>
    <row r="22" spans="1:15" x14ac:dyDescent="0.25">
      <c r="A22">
        <f t="shared" si="0"/>
        <v>21</v>
      </c>
      <c r="B22" t="s">
        <v>254</v>
      </c>
      <c r="C22">
        <v>54000374</v>
      </c>
      <c r="D22">
        <v>1201</v>
      </c>
      <c r="E22" t="s">
        <v>255</v>
      </c>
      <c r="F22" s="11">
        <v>45328</v>
      </c>
      <c r="G22" s="11">
        <v>45328</v>
      </c>
      <c r="H22" t="s">
        <v>238</v>
      </c>
      <c r="I22">
        <v>1</v>
      </c>
      <c r="J22">
        <v>700000</v>
      </c>
      <c r="K22" t="s">
        <v>256</v>
      </c>
      <c r="L22" t="s">
        <v>256</v>
      </c>
      <c r="M22" t="s">
        <v>257</v>
      </c>
      <c r="O22" t="s">
        <v>258</v>
      </c>
    </row>
    <row r="23" spans="1:15" x14ac:dyDescent="0.25">
      <c r="A23">
        <f t="shared" si="0"/>
        <v>22</v>
      </c>
      <c r="B23" t="s">
        <v>254</v>
      </c>
      <c r="C23">
        <v>54000374</v>
      </c>
      <c r="D23">
        <v>1201</v>
      </c>
      <c r="E23" t="s">
        <v>255</v>
      </c>
      <c r="F23" s="11">
        <v>45328</v>
      </c>
      <c r="G23" s="11">
        <v>45328</v>
      </c>
      <c r="H23" t="s">
        <v>208</v>
      </c>
      <c r="I23">
        <v>1</v>
      </c>
      <c r="J23">
        <v>258954</v>
      </c>
      <c r="K23" t="s">
        <v>256</v>
      </c>
      <c r="L23" t="s">
        <v>256</v>
      </c>
      <c r="M23" t="s">
        <v>257</v>
      </c>
      <c r="O23" t="s">
        <v>258</v>
      </c>
    </row>
    <row r="24" spans="1:15" x14ac:dyDescent="0.25">
      <c r="A24">
        <f t="shared" si="0"/>
        <v>23</v>
      </c>
      <c r="B24" t="s">
        <v>254</v>
      </c>
      <c r="C24">
        <v>54000374</v>
      </c>
      <c r="D24">
        <v>1201</v>
      </c>
      <c r="E24" t="s">
        <v>255</v>
      </c>
      <c r="F24" s="11">
        <v>45328</v>
      </c>
      <c r="G24" s="11">
        <v>45328</v>
      </c>
      <c r="H24" t="s">
        <v>208</v>
      </c>
      <c r="I24">
        <v>1</v>
      </c>
      <c r="J24">
        <v>2713792</v>
      </c>
      <c r="K24" t="s">
        <v>256</v>
      </c>
      <c r="L24" t="s">
        <v>256</v>
      </c>
      <c r="M24" t="s">
        <v>257</v>
      </c>
      <c r="O24" t="s">
        <v>258</v>
      </c>
    </row>
    <row r="25" spans="1:15" x14ac:dyDescent="0.25">
      <c r="A25">
        <f t="shared" si="0"/>
        <v>24</v>
      </c>
      <c r="B25" t="s">
        <v>254</v>
      </c>
      <c r="C25">
        <v>54000374</v>
      </c>
      <c r="D25">
        <v>1201</v>
      </c>
      <c r="E25" t="s">
        <v>255</v>
      </c>
      <c r="F25" s="11">
        <v>45328</v>
      </c>
      <c r="G25" s="11">
        <v>45328</v>
      </c>
      <c r="H25" t="s">
        <v>208</v>
      </c>
      <c r="I25">
        <v>1</v>
      </c>
      <c r="J25">
        <v>258954</v>
      </c>
      <c r="K25" t="s">
        <v>256</v>
      </c>
      <c r="L25" t="s">
        <v>256</v>
      </c>
      <c r="M25" t="s">
        <v>257</v>
      </c>
      <c r="O25" t="s">
        <v>258</v>
      </c>
    </row>
    <row r="26" spans="1:15" x14ac:dyDescent="0.25">
      <c r="A26">
        <f t="shared" si="0"/>
        <v>25</v>
      </c>
      <c r="B26" t="s">
        <v>254</v>
      </c>
      <c r="C26">
        <v>54000374</v>
      </c>
      <c r="D26">
        <v>1201</v>
      </c>
      <c r="E26" t="s">
        <v>255</v>
      </c>
      <c r="F26" s="11">
        <v>45328</v>
      </c>
      <c r="G26" s="11">
        <v>45328</v>
      </c>
      <c r="H26" t="s">
        <v>238</v>
      </c>
      <c r="I26">
        <v>1</v>
      </c>
      <c r="J26">
        <v>226604</v>
      </c>
      <c r="K26" t="s">
        <v>256</v>
      </c>
      <c r="L26" t="s">
        <v>256</v>
      </c>
      <c r="M26" t="s">
        <v>257</v>
      </c>
      <c r="O26" t="s">
        <v>258</v>
      </c>
    </row>
    <row r="27" spans="1:15" x14ac:dyDescent="0.25">
      <c r="A27">
        <f t="shared" si="0"/>
        <v>26</v>
      </c>
      <c r="B27" t="s">
        <v>254</v>
      </c>
      <c r="C27">
        <v>54000374</v>
      </c>
      <c r="D27">
        <v>1201</v>
      </c>
      <c r="E27" t="s">
        <v>255</v>
      </c>
      <c r="F27" s="11">
        <v>45328</v>
      </c>
      <c r="G27" s="11">
        <v>45328</v>
      </c>
      <c r="H27" t="s">
        <v>238</v>
      </c>
      <c r="I27">
        <v>1</v>
      </c>
      <c r="J27">
        <v>226604</v>
      </c>
      <c r="K27" t="s">
        <v>256</v>
      </c>
      <c r="L27" t="s">
        <v>256</v>
      </c>
      <c r="M27" t="s">
        <v>257</v>
      </c>
      <c r="O27" t="s">
        <v>258</v>
      </c>
    </row>
    <row r="28" spans="1:15" x14ac:dyDescent="0.25">
      <c r="A28">
        <f t="shared" si="0"/>
        <v>27</v>
      </c>
      <c r="B28" t="s">
        <v>254</v>
      </c>
      <c r="C28">
        <v>54000374</v>
      </c>
      <c r="D28">
        <v>1201</v>
      </c>
      <c r="E28" t="s">
        <v>255</v>
      </c>
      <c r="F28" s="11">
        <v>45328</v>
      </c>
      <c r="G28" s="11">
        <v>45328</v>
      </c>
      <c r="H28" t="s">
        <v>238</v>
      </c>
      <c r="I28">
        <v>1</v>
      </c>
      <c r="J28">
        <v>1623883</v>
      </c>
      <c r="K28" t="s">
        <v>256</v>
      </c>
      <c r="L28" t="s">
        <v>256</v>
      </c>
      <c r="M28" t="s">
        <v>257</v>
      </c>
      <c r="O28" t="s">
        <v>258</v>
      </c>
    </row>
    <row r="29" spans="1:15" x14ac:dyDescent="0.25">
      <c r="A29">
        <f t="shared" si="0"/>
        <v>28</v>
      </c>
      <c r="B29" t="s">
        <v>254</v>
      </c>
      <c r="C29">
        <v>54000374</v>
      </c>
      <c r="D29">
        <v>1201</v>
      </c>
      <c r="E29" t="s">
        <v>255</v>
      </c>
      <c r="F29" s="11">
        <v>45328</v>
      </c>
      <c r="G29" s="11">
        <v>45328</v>
      </c>
      <c r="H29" t="s">
        <v>208</v>
      </c>
      <c r="I29">
        <v>1</v>
      </c>
      <c r="J29">
        <v>172579</v>
      </c>
      <c r="K29" t="s">
        <v>256</v>
      </c>
      <c r="L29" t="s">
        <v>256</v>
      </c>
      <c r="M29" t="s">
        <v>257</v>
      </c>
      <c r="O29" t="s">
        <v>258</v>
      </c>
    </row>
    <row r="30" spans="1:15" x14ac:dyDescent="0.25">
      <c r="A30">
        <f t="shared" si="0"/>
        <v>29</v>
      </c>
      <c r="B30" t="s">
        <v>254</v>
      </c>
      <c r="C30">
        <v>54000374</v>
      </c>
      <c r="D30">
        <v>1201</v>
      </c>
      <c r="E30" t="s">
        <v>255</v>
      </c>
      <c r="F30" s="11">
        <v>45328</v>
      </c>
      <c r="G30" s="11">
        <v>45328</v>
      </c>
      <c r="H30" t="s">
        <v>238</v>
      </c>
      <c r="I30">
        <v>1</v>
      </c>
      <c r="J30">
        <v>341117</v>
      </c>
      <c r="K30" t="s">
        <v>256</v>
      </c>
      <c r="L30" t="s">
        <v>256</v>
      </c>
      <c r="M30" t="s">
        <v>257</v>
      </c>
      <c r="O30" t="s">
        <v>258</v>
      </c>
    </row>
    <row r="31" spans="1:15" x14ac:dyDescent="0.25">
      <c r="A31">
        <f t="shared" si="0"/>
        <v>30</v>
      </c>
      <c r="B31" t="s">
        <v>254</v>
      </c>
      <c r="C31">
        <v>54000374</v>
      </c>
      <c r="D31">
        <v>1201</v>
      </c>
      <c r="E31" t="s">
        <v>255</v>
      </c>
      <c r="F31" s="11">
        <v>45328</v>
      </c>
      <c r="G31" s="11">
        <v>45328</v>
      </c>
      <c r="H31" t="s">
        <v>208</v>
      </c>
      <c r="I31">
        <v>1</v>
      </c>
      <c r="J31">
        <v>1662154</v>
      </c>
      <c r="K31" t="s">
        <v>256</v>
      </c>
      <c r="L31" t="s">
        <v>256</v>
      </c>
      <c r="M31" t="s">
        <v>257</v>
      </c>
      <c r="O31" t="s">
        <v>258</v>
      </c>
    </row>
    <row r="32" spans="1:15" x14ac:dyDescent="0.25">
      <c r="A32">
        <f t="shared" si="0"/>
        <v>31</v>
      </c>
      <c r="B32" t="s">
        <v>254</v>
      </c>
      <c r="C32">
        <v>54000374</v>
      </c>
      <c r="D32">
        <v>1201</v>
      </c>
      <c r="E32" t="s">
        <v>255</v>
      </c>
      <c r="F32" s="11">
        <v>45328</v>
      </c>
      <c r="G32" s="11">
        <v>45328</v>
      </c>
      <c r="H32" t="s">
        <v>208</v>
      </c>
      <c r="I32">
        <v>1</v>
      </c>
      <c r="J32">
        <v>267094</v>
      </c>
      <c r="K32" t="s">
        <v>256</v>
      </c>
      <c r="L32" t="s">
        <v>256</v>
      </c>
      <c r="M32" t="s">
        <v>257</v>
      </c>
      <c r="O32" t="s">
        <v>258</v>
      </c>
    </row>
    <row r="33" spans="1:15" x14ac:dyDescent="0.25">
      <c r="A33">
        <f t="shared" si="0"/>
        <v>32</v>
      </c>
      <c r="B33" t="s">
        <v>254</v>
      </c>
      <c r="C33">
        <v>54000374</v>
      </c>
      <c r="D33">
        <v>1201</v>
      </c>
      <c r="E33" t="s">
        <v>255</v>
      </c>
      <c r="F33" s="11">
        <v>45328</v>
      </c>
      <c r="G33" s="11">
        <v>45328</v>
      </c>
      <c r="H33" t="s">
        <v>208</v>
      </c>
      <c r="I33">
        <v>1</v>
      </c>
      <c r="J33">
        <v>312432</v>
      </c>
      <c r="K33" t="s">
        <v>256</v>
      </c>
      <c r="L33" t="s">
        <v>256</v>
      </c>
      <c r="M33" t="s">
        <v>257</v>
      </c>
      <c r="O33" t="s">
        <v>258</v>
      </c>
    </row>
    <row r="34" spans="1:15" x14ac:dyDescent="0.25">
      <c r="A34">
        <f t="shared" ref="A34:A66" si="1">ROW()-1</f>
        <v>33</v>
      </c>
      <c r="B34" t="s">
        <v>254</v>
      </c>
      <c r="C34">
        <v>54000374</v>
      </c>
      <c r="D34">
        <v>1201</v>
      </c>
      <c r="E34" t="s">
        <v>255</v>
      </c>
      <c r="F34" s="11">
        <v>45328</v>
      </c>
      <c r="G34" s="11">
        <v>45328</v>
      </c>
      <c r="H34" t="s">
        <v>208</v>
      </c>
      <c r="I34">
        <v>1</v>
      </c>
      <c r="J34">
        <v>558295</v>
      </c>
      <c r="K34" t="s">
        <v>256</v>
      </c>
      <c r="L34" t="s">
        <v>256</v>
      </c>
      <c r="M34" t="s">
        <v>257</v>
      </c>
      <c r="O34" t="s">
        <v>258</v>
      </c>
    </row>
    <row r="35" spans="1:15" x14ac:dyDescent="0.25">
      <c r="A35">
        <f t="shared" si="1"/>
        <v>34</v>
      </c>
      <c r="B35" t="s">
        <v>254</v>
      </c>
      <c r="C35">
        <v>54000374</v>
      </c>
      <c r="D35">
        <v>1201</v>
      </c>
      <c r="E35" t="s">
        <v>255</v>
      </c>
      <c r="F35" s="11">
        <v>45328</v>
      </c>
      <c r="G35" s="11">
        <v>45328</v>
      </c>
      <c r="H35" t="s">
        <v>238</v>
      </c>
      <c r="I35">
        <v>1</v>
      </c>
      <c r="J35">
        <v>233769</v>
      </c>
      <c r="K35" t="s">
        <v>256</v>
      </c>
      <c r="L35" t="s">
        <v>256</v>
      </c>
      <c r="M35" t="s">
        <v>257</v>
      </c>
      <c r="O35" t="s">
        <v>258</v>
      </c>
    </row>
    <row r="36" spans="1:15" x14ac:dyDescent="0.25">
      <c r="A36">
        <f t="shared" si="1"/>
        <v>35</v>
      </c>
      <c r="B36" t="s">
        <v>254</v>
      </c>
      <c r="C36">
        <v>54000374</v>
      </c>
      <c r="D36">
        <v>1201</v>
      </c>
      <c r="E36" t="s">
        <v>255</v>
      </c>
      <c r="F36" s="11">
        <v>45328</v>
      </c>
      <c r="G36" s="11">
        <v>45328</v>
      </c>
      <c r="H36" t="s">
        <v>208</v>
      </c>
      <c r="I36">
        <v>1</v>
      </c>
      <c r="J36">
        <v>444987</v>
      </c>
      <c r="K36" t="s">
        <v>256</v>
      </c>
      <c r="L36" t="s">
        <v>256</v>
      </c>
      <c r="M36" t="s">
        <v>257</v>
      </c>
      <c r="O36" t="s">
        <v>258</v>
      </c>
    </row>
    <row r="37" spans="1:15" x14ac:dyDescent="0.25">
      <c r="A37">
        <f t="shared" si="1"/>
        <v>36</v>
      </c>
      <c r="B37" t="s">
        <v>254</v>
      </c>
      <c r="C37">
        <v>54000374</v>
      </c>
      <c r="D37">
        <v>1201</v>
      </c>
      <c r="E37" t="s">
        <v>255</v>
      </c>
      <c r="F37" s="11">
        <v>45328</v>
      </c>
      <c r="G37" s="11">
        <v>45328</v>
      </c>
      <c r="H37" t="s">
        <v>208</v>
      </c>
      <c r="I37">
        <v>1</v>
      </c>
      <c r="J37">
        <v>265095</v>
      </c>
      <c r="K37" t="s">
        <v>256</v>
      </c>
      <c r="L37" t="s">
        <v>256</v>
      </c>
      <c r="M37" t="s">
        <v>257</v>
      </c>
      <c r="O37" t="s">
        <v>258</v>
      </c>
    </row>
    <row r="38" spans="1:15" x14ac:dyDescent="0.25">
      <c r="A38">
        <f t="shared" si="1"/>
        <v>37</v>
      </c>
      <c r="B38" t="s">
        <v>254</v>
      </c>
      <c r="C38">
        <v>54000374</v>
      </c>
      <c r="D38">
        <v>1201</v>
      </c>
      <c r="E38" t="s">
        <v>255</v>
      </c>
      <c r="F38" s="11">
        <v>45328</v>
      </c>
      <c r="G38" s="11">
        <v>45328</v>
      </c>
      <c r="H38" t="s">
        <v>238</v>
      </c>
      <c r="I38">
        <v>1</v>
      </c>
      <c r="J38">
        <v>261049</v>
      </c>
      <c r="K38" t="s">
        <v>256</v>
      </c>
      <c r="L38" t="s">
        <v>256</v>
      </c>
      <c r="M38" t="s">
        <v>257</v>
      </c>
      <c r="O38" t="s">
        <v>258</v>
      </c>
    </row>
    <row r="39" spans="1:15" x14ac:dyDescent="0.25">
      <c r="A39">
        <f t="shared" si="1"/>
        <v>38</v>
      </c>
      <c r="B39" t="s">
        <v>254</v>
      </c>
      <c r="C39">
        <v>54000374</v>
      </c>
      <c r="D39">
        <v>1201</v>
      </c>
      <c r="E39" t="s">
        <v>255</v>
      </c>
      <c r="F39" s="11">
        <v>45328</v>
      </c>
      <c r="G39" s="11">
        <v>45328</v>
      </c>
      <c r="H39" t="s">
        <v>208</v>
      </c>
      <c r="I39">
        <v>1</v>
      </c>
      <c r="J39">
        <v>2272707</v>
      </c>
      <c r="K39" t="s">
        <v>256</v>
      </c>
      <c r="L39" t="s">
        <v>256</v>
      </c>
      <c r="M39" t="s">
        <v>257</v>
      </c>
      <c r="O39" t="s">
        <v>258</v>
      </c>
    </row>
    <row r="40" spans="1:15" x14ac:dyDescent="0.25">
      <c r="A40">
        <f t="shared" si="1"/>
        <v>39</v>
      </c>
      <c r="B40" t="s">
        <v>254</v>
      </c>
      <c r="C40">
        <v>54000374</v>
      </c>
      <c r="D40">
        <v>1201</v>
      </c>
      <c r="E40" t="s">
        <v>255</v>
      </c>
      <c r="F40" s="11">
        <v>45328</v>
      </c>
      <c r="G40" s="11">
        <v>45328</v>
      </c>
      <c r="H40" t="s">
        <v>208</v>
      </c>
      <c r="I40">
        <v>1</v>
      </c>
      <c r="J40">
        <v>2406022</v>
      </c>
      <c r="K40" t="s">
        <v>256</v>
      </c>
      <c r="L40" t="s">
        <v>256</v>
      </c>
      <c r="M40" t="s">
        <v>257</v>
      </c>
      <c r="O40" t="s">
        <v>258</v>
      </c>
    </row>
    <row r="41" spans="1:15" x14ac:dyDescent="0.25">
      <c r="A41">
        <f t="shared" si="1"/>
        <v>40</v>
      </c>
      <c r="B41" t="s">
        <v>254</v>
      </c>
      <c r="C41">
        <v>54000374</v>
      </c>
      <c r="D41">
        <v>1201</v>
      </c>
      <c r="E41" t="s">
        <v>255</v>
      </c>
      <c r="F41" s="11">
        <v>45328</v>
      </c>
      <c r="G41" s="11">
        <v>45328</v>
      </c>
      <c r="H41" t="s">
        <v>238</v>
      </c>
      <c r="I41">
        <v>1</v>
      </c>
      <c r="J41">
        <v>971000</v>
      </c>
      <c r="K41" t="s">
        <v>256</v>
      </c>
      <c r="L41" t="s">
        <v>256</v>
      </c>
      <c r="M41" t="s">
        <v>257</v>
      </c>
      <c r="O41" t="s">
        <v>258</v>
      </c>
    </row>
    <row r="42" spans="1:15" x14ac:dyDescent="0.25">
      <c r="A42">
        <f t="shared" si="1"/>
        <v>41</v>
      </c>
      <c r="B42" t="s">
        <v>254</v>
      </c>
      <c r="C42">
        <v>54000374</v>
      </c>
      <c r="D42">
        <v>1201</v>
      </c>
      <c r="E42" t="s">
        <v>255</v>
      </c>
      <c r="F42" s="11">
        <v>45328</v>
      </c>
      <c r="G42" s="11">
        <v>45328</v>
      </c>
      <c r="H42" t="s">
        <v>208</v>
      </c>
      <c r="I42">
        <v>1</v>
      </c>
      <c r="J42">
        <v>605098</v>
      </c>
      <c r="K42" t="s">
        <v>256</v>
      </c>
      <c r="L42" t="s">
        <v>256</v>
      </c>
      <c r="M42" t="s">
        <v>257</v>
      </c>
      <c r="O42" t="s">
        <v>258</v>
      </c>
    </row>
    <row r="43" spans="1:15" x14ac:dyDescent="0.25">
      <c r="A43">
        <f t="shared" si="1"/>
        <v>42</v>
      </c>
      <c r="B43" t="s">
        <v>254</v>
      </c>
      <c r="C43">
        <v>54000374</v>
      </c>
      <c r="D43">
        <v>1201</v>
      </c>
      <c r="E43" t="s">
        <v>255</v>
      </c>
      <c r="F43" s="11">
        <v>45328</v>
      </c>
      <c r="G43" s="11">
        <v>45328</v>
      </c>
      <c r="H43" t="s">
        <v>208</v>
      </c>
      <c r="I43">
        <v>1</v>
      </c>
      <c r="J43">
        <v>279477</v>
      </c>
      <c r="K43" t="s">
        <v>256</v>
      </c>
      <c r="L43" t="s">
        <v>256</v>
      </c>
      <c r="M43" t="s">
        <v>257</v>
      </c>
      <c r="O43" t="s">
        <v>258</v>
      </c>
    </row>
    <row r="44" spans="1:15" x14ac:dyDescent="0.25">
      <c r="A44">
        <f t="shared" si="1"/>
        <v>43</v>
      </c>
      <c r="B44" t="s">
        <v>254</v>
      </c>
      <c r="C44">
        <v>54000374</v>
      </c>
      <c r="D44">
        <v>1201</v>
      </c>
      <c r="E44" t="s">
        <v>255</v>
      </c>
      <c r="F44" s="11">
        <v>45328</v>
      </c>
      <c r="G44" s="11">
        <v>45328</v>
      </c>
      <c r="H44" t="s">
        <v>208</v>
      </c>
      <c r="I44">
        <v>1</v>
      </c>
      <c r="J44">
        <v>2406022</v>
      </c>
      <c r="K44" t="s">
        <v>256</v>
      </c>
      <c r="L44" t="s">
        <v>256</v>
      </c>
      <c r="M44" t="s">
        <v>257</v>
      </c>
      <c r="O44" t="s">
        <v>258</v>
      </c>
    </row>
    <row r="45" spans="1:15" x14ac:dyDescent="0.25">
      <c r="A45">
        <f t="shared" si="1"/>
        <v>44</v>
      </c>
      <c r="B45" t="s">
        <v>254</v>
      </c>
      <c r="C45">
        <v>54000374</v>
      </c>
      <c r="D45">
        <v>1201</v>
      </c>
      <c r="E45" t="s">
        <v>255</v>
      </c>
      <c r="F45" s="11">
        <v>45328</v>
      </c>
      <c r="G45" s="11">
        <v>45328</v>
      </c>
      <c r="H45" t="s">
        <v>238</v>
      </c>
      <c r="I45">
        <v>1</v>
      </c>
      <c r="J45">
        <v>3359514</v>
      </c>
      <c r="K45" t="s">
        <v>256</v>
      </c>
      <c r="L45" t="s">
        <v>256</v>
      </c>
      <c r="M45" t="s">
        <v>257</v>
      </c>
      <c r="O45" t="s">
        <v>258</v>
      </c>
    </row>
    <row r="46" spans="1:15" x14ac:dyDescent="0.25">
      <c r="A46">
        <f t="shared" si="1"/>
        <v>45</v>
      </c>
      <c r="B46" t="s">
        <v>254</v>
      </c>
      <c r="C46">
        <v>54000374</v>
      </c>
      <c r="D46">
        <v>1201</v>
      </c>
      <c r="E46" t="s">
        <v>255</v>
      </c>
      <c r="F46" s="11">
        <v>45328</v>
      </c>
      <c r="G46" s="11">
        <v>45328</v>
      </c>
      <c r="H46" t="s">
        <v>238</v>
      </c>
      <c r="I46">
        <v>1</v>
      </c>
      <c r="J46">
        <v>38962000</v>
      </c>
      <c r="K46" t="s">
        <v>256</v>
      </c>
      <c r="L46" t="s">
        <v>256</v>
      </c>
      <c r="M46" t="s">
        <v>257</v>
      </c>
      <c r="O46" t="s">
        <v>258</v>
      </c>
    </row>
    <row r="47" spans="1:15" x14ac:dyDescent="0.25">
      <c r="A47">
        <f t="shared" si="1"/>
        <v>46</v>
      </c>
      <c r="B47" t="s">
        <v>254</v>
      </c>
      <c r="C47">
        <v>54000374</v>
      </c>
      <c r="D47">
        <v>1201</v>
      </c>
      <c r="E47" t="s">
        <v>255</v>
      </c>
      <c r="F47" s="11">
        <v>45328</v>
      </c>
      <c r="G47" s="11">
        <v>45328</v>
      </c>
      <c r="H47" t="s">
        <v>238</v>
      </c>
      <c r="I47">
        <v>1</v>
      </c>
      <c r="J47">
        <v>6083752</v>
      </c>
      <c r="K47" t="s">
        <v>256</v>
      </c>
      <c r="L47" t="s">
        <v>256</v>
      </c>
      <c r="M47" t="s">
        <v>257</v>
      </c>
      <c r="O47" t="s">
        <v>258</v>
      </c>
    </row>
    <row r="48" spans="1:15" x14ac:dyDescent="0.25">
      <c r="A48">
        <f t="shared" si="1"/>
        <v>47</v>
      </c>
      <c r="B48" t="s">
        <v>254</v>
      </c>
      <c r="C48">
        <v>54000374</v>
      </c>
      <c r="D48">
        <v>1201</v>
      </c>
      <c r="E48" t="s">
        <v>255</v>
      </c>
      <c r="F48" s="11">
        <v>45328</v>
      </c>
      <c r="G48" s="11">
        <v>45328</v>
      </c>
      <c r="H48" t="s">
        <v>238</v>
      </c>
      <c r="I48">
        <v>1</v>
      </c>
      <c r="J48">
        <v>971000</v>
      </c>
      <c r="K48" t="s">
        <v>256</v>
      </c>
      <c r="L48" t="s">
        <v>256</v>
      </c>
      <c r="M48" t="s">
        <v>257</v>
      </c>
      <c r="O48" t="s">
        <v>258</v>
      </c>
    </row>
    <row r="49" spans="1:15" x14ac:dyDescent="0.25">
      <c r="A49">
        <f t="shared" si="1"/>
        <v>48</v>
      </c>
      <c r="B49" t="s">
        <v>254</v>
      </c>
      <c r="C49">
        <v>54000374</v>
      </c>
      <c r="D49">
        <v>1201</v>
      </c>
      <c r="E49" t="s">
        <v>255</v>
      </c>
      <c r="F49" s="11">
        <v>45328</v>
      </c>
      <c r="G49" s="11">
        <v>45328</v>
      </c>
      <c r="H49" t="s">
        <v>208</v>
      </c>
      <c r="I49">
        <v>1</v>
      </c>
      <c r="J49">
        <v>265047</v>
      </c>
      <c r="K49" t="s">
        <v>256</v>
      </c>
      <c r="L49" t="s">
        <v>256</v>
      </c>
      <c r="M49" t="s">
        <v>257</v>
      </c>
      <c r="O49" t="s">
        <v>258</v>
      </c>
    </row>
    <row r="50" spans="1:15" x14ac:dyDescent="0.25">
      <c r="A50">
        <f t="shared" si="1"/>
        <v>49</v>
      </c>
      <c r="B50" t="s">
        <v>254</v>
      </c>
      <c r="C50">
        <v>54000374</v>
      </c>
      <c r="D50">
        <v>1201</v>
      </c>
      <c r="E50" t="s">
        <v>255</v>
      </c>
      <c r="F50" s="11">
        <v>45328</v>
      </c>
      <c r="G50" s="11">
        <v>45328</v>
      </c>
      <c r="H50" t="s">
        <v>238</v>
      </c>
      <c r="I50">
        <v>1</v>
      </c>
      <c r="J50">
        <v>231978</v>
      </c>
      <c r="K50" t="s">
        <v>256</v>
      </c>
      <c r="L50" t="s">
        <v>256</v>
      </c>
      <c r="M50" t="s">
        <v>257</v>
      </c>
      <c r="O50" t="s">
        <v>258</v>
      </c>
    </row>
    <row r="51" spans="1:15" x14ac:dyDescent="0.25">
      <c r="A51">
        <f t="shared" si="1"/>
        <v>50</v>
      </c>
      <c r="B51" t="s">
        <v>254</v>
      </c>
      <c r="C51">
        <v>54000374</v>
      </c>
      <c r="D51">
        <v>1201</v>
      </c>
      <c r="E51" t="s">
        <v>255</v>
      </c>
      <c r="F51" s="11">
        <v>45328</v>
      </c>
      <c r="G51" s="11">
        <v>45328</v>
      </c>
      <c r="H51" t="s">
        <v>208</v>
      </c>
      <c r="I51">
        <v>1</v>
      </c>
      <c r="J51">
        <v>310038</v>
      </c>
      <c r="K51" t="s">
        <v>256</v>
      </c>
      <c r="L51" t="s">
        <v>256</v>
      </c>
      <c r="M51" t="s">
        <v>257</v>
      </c>
      <c r="O51" t="s">
        <v>258</v>
      </c>
    </row>
    <row r="52" spans="1:15" x14ac:dyDescent="0.25">
      <c r="A52">
        <f t="shared" si="1"/>
        <v>51</v>
      </c>
      <c r="B52" t="s">
        <v>254</v>
      </c>
      <c r="C52">
        <v>54000374</v>
      </c>
      <c r="D52">
        <v>1201</v>
      </c>
      <c r="E52" t="s">
        <v>255</v>
      </c>
      <c r="F52" s="11">
        <v>45328</v>
      </c>
      <c r="G52" s="11">
        <v>45328</v>
      </c>
      <c r="H52" t="s">
        <v>238</v>
      </c>
      <c r="I52">
        <v>1</v>
      </c>
      <c r="J52">
        <v>743151</v>
      </c>
      <c r="K52" t="s">
        <v>256</v>
      </c>
      <c r="L52" t="s">
        <v>256</v>
      </c>
      <c r="M52" t="s">
        <v>257</v>
      </c>
      <c r="O52" t="s">
        <v>258</v>
      </c>
    </row>
    <row r="53" spans="1:15" x14ac:dyDescent="0.25">
      <c r="A53">
        <f t="shared" si="1"/>
        <v>52</v>
      </c>
      <c r="B53" t="s">
        <v>254</v>
      </c>
      <c r="C53">
        <v>54000374</v>
      </c>
      <c r="D53">
        <v>1201</v>
      </c>
      <c r="E53" t="s">
        <v>255</v>
      </c>
      <c r="F53" s="11">
        <v>45328</v>
      </c>
      <c r="G53" s="11">
        <v>45328</v>
      </c>
      <c r="H53" t="s">
        <v>208</v>
      </c>
      <c r="I53">
        <v>1</v>
      </c>
      <c r="J53">
        <v>477445</v>
      </c>
      <c r="K53" t="s">
        <v>256</v>
      </c>
      <c r="L53" t="s">
        <v>256</v>
      </c>
      <c r="M53" t="s">
        <v>257</v>
      </c>
      <c r="O53" t="s">
        <v>258</v>
      </c>
    </row>
    <row r="54" spans="1:15" x14ac:dyDescent="0.25">
      <c r="A54">
        <f t="shared" si="1"/>
        <v>53</v>
      </c>
      <c r="B54" t="s">
        <v>254</v>
      </c>
      <c r="C54">
        <v>54000374</v>
      </c>
      <c r="D54">
        <v>1201</v>
      </c>
      <c r="E54" t="s">
        <v>255</v>
      </c>
      <c r="F54" s="11">
        <v>45328</v>
      </c>
      <c r="G54" s="11">
        <v>45328</v>
      </c>
      <c r="H54" t="s">
        <v>208</v>
      </c>
      <c r="I54">
        <v>1</v>
      </c>
      <c r="J54">
        <v>2272707</v>
      </c>
      <c r="K54" t="s">
        <v>256</v>
      </c>
      <c r="L54" t="s">
        <v>256</v>
      </c>
      <c r="M54" t="s">
        <v>257</v>
      </c>
      <c r="O54" t="s">
        <v>258</v>
      </c>
    </row>
    <row r="55" spans="1:15" x14ac:dyDescent="0.25">
      <c r="A55">
        <f t="shared" si="1"/>
        <v>54</v>
      </c>
      <c r="B55" t="s">
        <v>254</v>
      </c>
      <c r="C55">
        <v>54000374</v>
      </c>
      <c r="D55">
        <v>1201</v>
      </c>
      <c r="E55" t="s">
        <v>255</v>
      </c>
      <c r="F55" s="11">
        <v>45328</v>
      </c>
      <c r="G55" s="11">
        <v>45328</v>
      </c>
      <c r="H55" t="s">
        <v>238</v>
      </c>
      <c r="I55">
        <v>1</v>
      </c>
      <c r="J55">
        <v>231978</v>
      </c>
      <c r="K55" t="s">
        <v>256</v>
      </c>
      <c r="L55" t="s">
        <v>256</v>
      </c>
      <c r="M55" t="s">
        <v>257</v>
      </c>
      <c r="O55" t="s">
        <v>258</v>
      </c>
    </row>
    <row r="56" spans="1:15" x14ac:dyDescent="0.25">
      <c r="A56">
        <f t="shared" si="1"/>
        <v>55</v>
      </c>
      <c r="B56" t="s">
        <v>254</v>
      </c>
      <c r="C56">
        <v>54000374</v>
      </c>
      <c r="D56">
        <v>1201</v>
      </c>
      <c r="E56" t="s">
        <v>255</v>
      </c>
      <c r="F56" s="11">
        <v>45328</v>
      </c>
      <c r="G56" s="11">
        <v>45328</v>
      </c>
      <c r="H56" t="s">
        <v>208</v>
      </c>
      <c r="I56">
        <v>1</v>
      </c>
      <c r="J56">
        <v>263000</v>
      </c>
      <c r="K56" t="s">
        <v>256</v>
      </c>
      <c r="L56" t="s">
        <v>256</v>
      </c>
      <c r="M56" t="s">
        <v>257</v>
      </c>
      <c r="O56" t="s">
        <v>258</v>
      </c>
    </row>
    <row r="57" spans="1:15" x14ac:dyDescent="0.25">
      <c r="A57">
        <f t="shared" si="1"/>
        <v>56</v>
      </c>
      <c r="B57" t="s">
        <v>254</v>
      </c>
      <c r="C57">
        <v>54000374</v>
      </c>
      <c r="D57">
        <v>1201</v>
      </c>
      <c r="E57" t="s">
        <v>255</v>
      </c>
      <c r="F57" s="11">
        <v>45328</v>
      </c>
      <c r="G57" s="11">
        <v>45328</v>
      </c>
      <c r="H57" t="s">
        <v>238</v>
      </c>
      <c r="I57">
        <v>1</v>
      </c>
      <c r="J57">
        <v>6083752</v>
      </c>
      <c r="K57" t="s">
        <v>256</v>
      </c>
      <c r="L57" t="s">
        <v>256</v>
      </c>
      <c r="M57" t="s">
        <v>257</v>
      </c>
      <c r="O57" t="s">
        <v>258</v>
      </c>
    </row>
    <row r="58" spans="1:15" x14ac:dyDescent="0.25">
      <c r="A58">
        <f t="shared" si="1"/>
        <v>57</v>
      </c>
      <c r="B58" t="s">
        <v>254</v>
      </c>
      <c r="C58">
        <v>54000374</v>
      </c>
      <c r="D58">
        <v>1201</v>
      </c>
      <c r="E58" t="s">
        <v>255</v>
      </c>
      <c r="F58" s="11">
        <v>45328</v>
      </c>
      <c r="G58" s="11">
        <v>45328</v>
      </c>
      <c r="H58" t="s">
        <v>238</v>
      </c>
      <c r="I58">
        <v>1</v>
      </c>
      <c r="J58">
        <v>632839</v>
      </c>
      <c r="K58" t="s">
        <v>256</v>
      </c>
      <c r="L58" t="s">
        <v>256</v>
      </c>
      <c r="M58" t="s">
        <v>257</v>
      </c>
      <c r="O58" t="s">
        <v>258</v>
      </c>
    </row>
    <row r="59" spans="1:15" x14ac:dyDescent="0.25">
      <c r="A59">
        <f t="shared" si="1"/>
        <v>58</v>
      </c>
      <c r="B59" t="s">
        <v>254</v>
      </c>
      <c r="C59">
        <v>54000374</v>
      </c>
      <c r="D59">
        <v>1201</v>
      </c>
      <c r="E59" t="s">
        <v>255</v>
      </c>
      <c r="F59" s="11">
        <v>45328</v>
      </c>
      <c r="G59" s="11">
        <v>45328</v>
      </c>
      <c r="H59" t="s">
        <v>238</v>
      </c>
      <c r="I59">
        <v>1</v>
      </c>
      <c r="J59">
        <v>230187</v>
      </c>
      <c r="K59" t="s">
        <v>256</v>
      </c>
      <c r="L59" t="s">
        <v>256</v>
      </c>
      <c r="M59" t="s">
        <v>257</v>
      </c>
      <c r="O59" t="s">
        <v>258</v>
      </c>
    </row>
    <row r="60" spans="1:15" x14ac:dyDescent="0.25">
      <c r="A60">
        <f t="shared" si="1"/>
        <v>59</v>
      </c>
      <c r="B60" t="s">
        <v>254</v>
      </c>
      <c r="C60">
        <v>54000374</v>
      </c>
      <c r="D60">
        <v>1201</v>
      </c>
      <c r="E60" t="s">
        <v>255</v>
      </c>
      <c r="F60" s="11">
        <v>45328</v>
      </c>
      <c r="G60" s="11">
        <v>45328</v>
      </c>
      <c r="H60" t="s">
        <v>208</v>
      </c>
      <c r="I60">
        <v>1</v>
      </c>
      <c r="J60">
        <v>263048</v>
      </c>
      <c r="K60" t="s">
        <v>256</v>
      </c>
      <c r="L60" t="s">
        <v>256</v>
      </c>
      <c r="M60" t="s">
        <v>257</v>
      </c>
      <c r="O60" t="s">
        <v>258</v>
      </c>
    </row>
    <row r="61" spans="1:15" x14ac:dyDescent="0.25">
      <c r="A61">
        <f t="shared" si="1"/>
        <v>60</v>
      </c>
      <c r="B61" t="s">
        <v>254</v>
      </c>
      <c r="C61">
        <v>54000374</v>
      </c>
      <c r="D61">
        <v>1201</v>
      </c>
      <c r="E61" t="s">
        <v>255</v>
      </c>
      <c r="F61" s="11">
        <v>45328</v>
      </c>
      <c r="G61" s="11">
        <v>45328</v>
      </c>
      <c r="H61" t="s">
        <v>238</v>
      </c>
      <c r="I61">
        <v>1</v>
      </c>
      <c r="J61">
        <v>230187</v>
      </c>
      <c r="K61" t="s">
        <v>256</v>
      </c>
      <c r="L61" t="s">
        <v>256</v>
      </c>
      <c r="M61" t="s">
        <v>257</v>
      </c>
      <c r="O61" t="s">
        <v>258</v>
      </c>
    </row>
    <row r="62" spans="1:15" x14ac:dyDescent="0.25">
      <c r="A62">
        <f t="shared" si="1"/>
        <v>61</v>
      </c>
      <c r="B62" t="s">
        <v>254</v>
      </c>
      <c r="C62">
        <v>54000374</v>
      </c>
      <c r="D62">
        <v>1201</v>
      </c>
      <c r="E62" t="s">
        <v>255</v>
      </c>
      <c r="F62" s="11">
        <v>45328</v>
      </c>
      <c r="G62" s="11">
        <v>45328</v>
      </c>
      <c r="H62" t="s">
        <v>208</v>
      </c>
      <c r="I62">
        <v>1</v>
      </c>
      <c r="J62">
        <v>245106</v>
      </c>
      <c r="K62" t="s">
        <v>256</v>
      </c>
      <c r="L62" t="s">
        <v>256</v>
      </c>
      <c r="M62" t="s">
        <v>257</v>
      </c>
      <c r="O62" t="s">
        <v>258</v>
      </c>
    </row>
    <row r="63" spans="1:15" x14ac:dyDescent="0.25">
      <c r="A63">
        <f t="shared" si="1"/>
        <v>62</v>
      </c>
      <c r="B63" t="s">
        <v>254</v>
      </c>
      <c r="C63">
        <v>54000374</v>
      </c>
      <c r="D63">
        <v>1201</v>
      </c>
      <c r="E63" t="s">
        <v>255</v>
      </c>
      <c r="F63" s="11">
        <v>45328</v>
      </c>
      <c r="G63" s="11">
        <v>45328</v>
      </c>
      <c r="H63" t="s">
        <v>238</v>
      </c>
      <c r="I63">
        <v>1</v>
      </c>
      <c r="J63">
        <v>230187</v>
      </c>
      <c r="K63" t="s">
        <v>256</v>
      </c>
      <c r="L63" t="s">
        <v>256</v>
      </c>
      <c r="M63" t="s">
        <v>257</v>
      </c>
      <c r="O63" t="s">
        <v>258</v>
      </c>
    </row>
    <row r="64" spans="1:15" x14ac:dyDescent="0.25">
      <c r="A64">
        <f t="shared" si="1"/>
        <v>63</v>
      </c>
      <c r="B64" t="s">
        <v>254</v>
      </c>
      <c r="C64">
        <v>54000374</v>
      </c>
      <c r="D64">
        <v>1201</v>
      </c>
      <c r="E64" t="s">
        <v>255</v>
      </c>
      <c r="F64" s="11">
        <v>45328</v>
      </c>
      <c r="G64" s="11">
        <v>45328</v>
      </c>
      <c r="H64" t="s">
        <v>208</v>
      </c>
      <c r="I64">
        <v>1</v>
      </c>
      <c r="J64">
        <v>468228</v>
      </c>
      <c r="K64" t="s">
        <v>256</v>
      </c>
      <c r="L64" t="s">
        <v>256</v>
      </c>
      <c r="M64" t="s">
        <v>257</v>
      </c>
      <c r="O64" t="s">
        <v>258</v>
      </c>
    </row>
    <row r="65" spans="1:15" x14ac:dyDescent="0.25">
      <c r="A65">
        <f t="shared" si="1"/>
        <v>64</v>
      </c>
      <c r="B65" t="s">
        <v>254</v>
      </c>
      <c r="C65">
        <v>54000374</v>
      </c>
      <c r="D65">
        <v>1201</v>
      </c>
      <c r="E65" t="s">
        <v>255</v>
      </c>
      <c r="F65" s="11">
        <v>45328</v>
      </c>
      <c r="G65" s="11">
        <v>45328</v>
      </c>
      <c r="H65" t="s">
        <v>238</v>
      </c>
      <c r="I65">
        <v>1</v>
      </c>
      <c r="J65">
        <v>227500</v>
      </c>
      <c r="K65" t="s">
        <v>256</v>
      </c>
      <c r="L65" t="s">
        <v>256</v>
      </c>
      <c r="M65" t="s">
        <v>257</v>
      </c>
      <c r="O65" t="s">
        <v>258</v>
      </c>
    </row>
    <row r="66" spans="1:15" x14ac:dyDescent="0.25">
      <c r="A66">
        <f t="shared" si="1"/>
        <v>65</v>
      </c>
      <c r="B66" t="s">
        <v>254</v>
      </c>
      <c r="C66">
        <v>54000374</v>
      </c>
      <c r="D66">
        <v>1201</v>
      </c>
      <c r="E66" t="s">
        <v>255</v>
      </c>
      <c r="F66" s="11">
        <v>45328</v>
      </c>
      <c r="G66" s="11">
        <v>45328</v>
      </c>
      <c r="H66" t="s">
        <v>238</v>
      </c>
      <c r="I66">
        <v>1</v>
      </c>
      <c r="J66">
        <v>227500</v>
      </c>
      <c r="K66" t="s">
        <v>256</v>
      </c>
      <c r="L66" t="s">
        <v>256</v>
      </c>
      <c r="M66" t="s">
        <v>257</v>
      </c>
      <c r="O66" t="s">
        <v>258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CB0B-D0BE-40D7-AAB6-A2F39E04AA96}">
  <sheetPr codeName="Sheet6"/>
  <dimension ref="A1:X66"/>
  <sheetViews>
    <sheetView workbookViewId="0">
      <selection activeCell="B12" sqref="B12"/>
    </sheetView>
  </sheetViews>
  <sheetFormatPr defaultRowHeight="15" x14ac:dyDescent="0.25"/>
  <cols>
    <col min="1" max="1" width="44" style="22" customWidth="1"/>
    <col min="2" max="2" width="24.28515625" style="22" customWidth="1"/>
    <col min="3" max="3" width="14.85546875" bestFit="1" customWidth="1"/>
    <col min="4" max="4" width="15.85546875" style="8" bestFit="1" customWidth="1"/>
    <col min="5" max="5" width="17.7109375" style="4" customWidth="1"/>
    <col min="6" max="6" width="14.5703125" style="8" bestFit="1" customWidth="1"/>
    <col min="7" max="8" width="36" customWidth="1"/>
    <col min="9" max="10" width="35.140625" customWidth="1"/>
    <col min="11" max="11" width="17.42578125" customWidth="1"/>
    <col min="12" max="12" width="37.42578125" bestFit="1" customWidth="1"/>
    <col min="13" max="13" width="16.5703125" customWidth="1"/>
    <col min="14" max="14" width="15.140625" customWidth="1"/>
    <col min="15" max="15" width="25.42578125" bestFit="1" customWidth="1"/>
    <col min="16" max="16" width="15.28515625" customWidth="1"/>
    <col min="17" max="17" width="10.140625" customWidth="1"/>
    <col min="18" max="18" width="13.5703125" bestFit="1" customWidth="1"/>
    <col min="19" max="19" width="13.5703125" style="14" bestFit="1" customWidth="1"/>
    <col min="20" max="20" width="20.5703125" style="23" bestFit="1" customWidth="1"/>
    <col min="21" max="21" width="18.7109375" style="23" customWidth="1"/>
    <col min="22" max="22" width="40.5703125" style="23" bestFit="1" customWidth="1"/>
    <col min="23" max="23" width="15.5703125" customWidth="1"/>
    <col min="24" max="24" width="1.28515625" customWidth="1"/>
  </cols>
  <sheetData>
    <row r="1" spans="1:24" s="3" customFormat="1" x14ac:dyDescent="0.25">
      <c r="A1" s="17" t="s">
        <v>197</v>
      </c>
      <c r="B1" s="17" t="s">
        <v>198</v>
      </c>
      <c r="C1" s="2" t="s">
        <v>0</v>
      </c>
      <c r="D1" s="7" t="s">
        <v>1</v>
      </c>
      <c r="E1" s="5" t="s">
        <v>2</v>
      </c>
      <c r="F1" s="7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5" t="s">
        <v>192</v>
      </c>
      <c r="L1" s="2" t="s">
        <v>210</v>
      </c>
      <c r="M1" s="2" t="s">
        <v>8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13" t="s">
        <v>14</v>
      </c>
      <c r="T1" s="18" t="s">
        <v>15</v>
      </c>
      <c r="U1" s="19" t="s">
        <v>199</v>
      </c>
      <c r="V1" s="20" t="s">
        <v>200</v>
      </c>
      <c r="W1" s="21" t="s">
        <v>201</v>
      </c>
      <c r="X1" s="2"/>
    </row>
    <row r="2" spans="1:24" x14ac:dyDescent="0.25">
      <c r="A2" s="22" t="str">
        <f t="shared" ref="A2:A33" si="0">C2&amp;"-"&amp;D2&amp;"-"&amp;E2&amp;"-"&amp;G2</f>
        <v>870128687-45294-774438473160-YAN LU</v>
      </c>
      <c r="B2" s="22">
        <v>1</v>
      </c>
      <c r="C2" t="s">
        <v>18</v>
      </c>
      <c r="D2" s="8">
        <v>45294</v>
      </c>
      <c r="E2" s="4" t="s">
        <v>21</v>
      </c>
      <c r="F2" s="8">
        <v>45273</v>
      </c>
      <c r="G2" t="s">
        <v>19</v>
      </c>
      <c r="I2" t="s">
        <v>20</v>
      </c>
      <c r="J2" t="s">
        <v>22</v>
      </c>
      <c r="K2" t="s">
        <v>163</v>
      </c>
      <c r="L2" s="1" t="s">
        <v>238</v>
      </c>
      <c r="M2" s="14">
        <v>7452339</v>
      </c>
      <c r="N2" s="14"/>
      <c r="O2" s="14"/>
      <c r="P2" s="14"/>
      <c r="Q2" s="14"/>
      <c r="R2" s="15">
        <v>7452339</v>
      </c>
      <c r="S2" s="14">
        <v>7526862</v>
      </c>
      <c r="T2" s="23">
        <v>1</v>
      </c>
      <c r="U2" s="23" t="s">
        <v>159</v>
      </c>
      <c r="V2" s="23" t="s">
        <v>202</v>
      </c>
      <c r="X2" s="12"/>
    </row>
    <row r="3" spans="1:24" x14ac:dyDescent="0.25">
      <c r="A3" s="22" t="str">
        <f t="shared" si="0"/>
        <v>870128687-45294-774565991045-ZHONG</v>
      </c>
      <c r="B3" s="22">
        <v>1</v>
      </c>
      <c r="C3" t="s">
        <v>18</v>
      </c>
      <c r="D3" s="8">
        <v>45294</v>
      </c>
      <c r="E3" s="4" t="s">
        <v>25</v>
      </c>
      <c r="F3" s="8">
        <v>45283</v>
      </c>
      <c r="G3" t="s">
        <v>23</v>
      </c>
      <c r="H3" t="s">
        <v>26</v>
      </c>
      <c r="I3" t="s">
        <v>24</v>
      </c>
      <c r="J3" t="s">
        <v>27</v>
      </c>
      <c r="K3" t="s">
        <v>164</v>
      </c>
      <c r="L3" s="1" t="s">
        <v>238</v>
      </c>
      <c r="M3" s="14">
        <v>13268509</v>
      </c>
      <c r="N3" s="15"/>
      <c r="O3" s="14"/>
      <c r="P3" s="14"/>
      <c r="Q3" s="15"/>
      <c r="R3" s="15">
        <v>13268509</v>
      </c>
      <c r="S3" s="14">
        <v>13401194</v>
      </c>
      <c r="T3" s="23">
        <v>0</v>
      </c>
      <c r="U3" s="23" t="s">
        <v>159</v>
      </c>
      <c r="V3" s="23" t="s">
        <v>159</v>
      </c>
    </row>
    <row r="4" spans="1:24" x14ac:dyDescent="0.25">
      <c r="A4" s="22" t="str">
        <f t="shared" si="0"/>
        <v>870128687-45294-774581911125-STELLA</v>
      </c>
      <c r="B4" s="22">
        <v>1</v>
      </c>
      <c r="C4" t="s">
        <v>18</v>
      </c>
      <c r="D4" s="8">
        <v>45294</v>
      </c>
      <c r="E4" s="4" t="s">
        <v>30</v>
      </c>
      <c r="F4" s="8">
        <v>45283</v>
      </c>
      <c r="G4" t="s">
        <v>28</v>
      </c>
      <c r="H4" t="s">
        <v>31</v>
      </c>
      <c r="I4" t="s">
        <v>29</v>
      </c>
      <c r="J4" t="s">
        <v>32</v>
      </c>
      <c r="K4" t="s">
        <v>165</v>
      </c>
      <c r="L4" s="1" t="s">
        <v>238</v>
      </c>
      <c r="M4" s="14">
        <v>700000</v>
      </c>
      <c r="N4" s="15"/>
      <c r="O4" s="14"/>
      <c r="P4" s="14"/>
      <c r="Q4" s="15"/>
      <c r="R4" s="15">
        <v>700000</v>
      </c>
      <c r="S4" s="14">
        <v>707000</v>
      </c>
      <c r="T4" s="23">
        <v>1</v>
      </c>
      <c r="U4" s="23" t="s">
        <v>203</v>
      </c>
      <c r="V4" s="23" t="s">
        <v>204</v>
      </c>
    </row>
    <row r="5" spans="1:24" x14ac:dyDescent="0.25">
      <c r="A5" s="22" t="str">
        <f t="shared" si="0"/>
        <v>870128688-45294-774552254122-EKA / BAYU</v>
      </c>
      <c r="B5" s="22">
        <v>1</v>
      </c>
      <c r="C5" t="s">
        <v>33</v>
      </c>
      <c r="D5" s="8">
        <v>45294</v>
      </c>
      <c r="E5" s="4" t="s">
        <v>34</v>
      </c>
      <c r="F5" s="8">
        <v>45280</v>
      </c>
      <c r="G5" t="s">
        <v>35</v>
      </c>
      <c r="H5" t="s">
        <v>37</v>
      </c>
      <c r="I5" t="s">
        <v>36</v>
      </c>
      <c r="J5" t="s">
        <v>38</v>
      </c>
      <c r="K5" t="s">
        <v>166</v>
      </c>
      <c r="L5" s="1" t="s">
        <v>208</v>
      </c>
      <c r="M5" s="14">
        <v>259930</v>
      </c>
      <c r="N5" s="15"/>
      <c r="O5" s="14"/>
      <c r="P5" s="14"/>
      <c r="Q5" s="15"/>
      <c r="R5" s="15">
        <v>259930</v>
      </c>
      <c r="S5" s="14">
        <v>262529</v>
      </c>
      <c r="T5" s="23">
        <v>1</v>
      </c>
      <c r="U5" s="23" t="s">
        <v>77</v>
      </c>
      <c r="V5" s="23" t="s">
        <v>204</v>
      </c>
    </row>
    <row r="6" spans="1:24" x14ac:dyDescent="0.25">
      <c r="A6" s="22" t="str">
        <f t="shared" si="0"/>
        <v>870128688-45294-774580602869-EKA / BAYU</v>
      </c>
      <c r="B6" s="22">
        <v>1</v>
      </c>
      <c r="C6" t="s">
        <v>33</v>
      </c>
      <c r="D6" s="8">
        <v>45294</v>
      </c>
      <c r="E6" s="4" t="s">
        <v>39</v>
      </c>
      <c r="F6" s="8">
        <v>45282</v>
      </c>
      <c r="G6" t="s">
        <v>35</v>
      </c>
      <c r="H6" t="s">
        <v>40</v>
      </c>
      <c r="I6" t="s">
        <v>36</v>
      </c>
      <c r="J6" t="s">
        <v>38</v>
      </c>
      <c r="K6" t="s">
        <v>167</v>
      </c>
      <c r="L6" s="1" t="s">
        <v>208</v>
      </c>
      <c r="M6" s="14">
        <v>259977</v>
      </c>
      <c r="N6" s="15"/>
      <c r="O6" s="14"/>
      <c r="P6" s="14"/>
      <c r="Q6" s="15"/>
      <c r="R6" s="15">
        <v>259977</v>
      </c>
      <c r="S6" s="14">
        <v>262577</v>
      </c>
      <c r="T6" s="23">
        <v>1</v>
      </c>
      <c r="U6" s="23" t="s">
        <v>77</v>
      </c>
      <c r="V6" s="23" t="s">
        <v>204</v>
      </c>
    </row>
    <row r="7" spans="1:24" x14ac:dyDescent="0.25">
      <c r="A7" s="22" t="str">
        <f t="shared" si="0"/>
        <v>870128688-45294-774582743257-MS. MERCY</v>
      </c>
      <c r="B7" s="22">
        <v>1</v>
      </c>
      <c r="C7" t="s">
        <v>33</v>
      </c>
      <c r="D7" s="8">
        <v>45294</v>
      </c>
      <c r="E7" s="4" t="s">
        <v>41</v>
      </c>
      <c r="F7" s="8">
        <v>45282</v>
      </c>
      <c r="G7" t="s">
        <v>42</v>
      </c>
      <c r="H7" t="s">
        <v>40</v>
      </c>
      <c r="I7" t="s">
        <v>43</v>
      </c>
      <c r="J7" t="s">
        <v>44</v>
      </c>
      <c r="K7" t="s">
        <v>166</v>
      </c>
      <c r="L7" s="1" t="s">
        <v>238</v>
      </c>
      <c r="M7" s="14">
        <v>227500</v>
      </c>
      <c r="N7" s="15"/>
      <c r="O7" s="14"/>
      <c r="P7" s="14"/>
      <c r="Q7" s="15"/>
      <c r="R7" s="15">
        <v>227500</v>
      </c>
      <c r="S7" s="14">
        <v>229775</v>
      </c>
      <c r="T7" s="23">
        <v>1</v>
      </c>
      <c r="U7" s="23" t="s">
        <v>195</v>
      </c>
      <c r="V7" s="23" t="s">
        <v>204</v>
      </c>
    </row>
    <row r="8" spans="1:24" x14ac:dyDescent="0.25">
      <c r="A8" s="22" t="str">
        <f t="shared" si="0"/>
        <v>870128688-45294-774582826496-MS. MERCY</v>
      </c>
      <c r="B8" s="22">
        <v>1</v>
      </c>
      <c r="C8" t="s">
        <v>33</v>
      </c>
      <c r="D8" s="8">
        <v>45294</v>
      </c>
      <c r="E8" s="4" t="s">
        <v>45</v>
      </c>
      <c r="F8" s="8">
        <v>45282</v>
      </c>
      <c r="G8" t="s">
        <v>42</v>
      </c>
      <c r="H8" t="s">
        <v>40</v>
      </c>
      <c r="I8" t="s">
        <v>46</v>
      </c>
      <c r="J8" t="s">
        <v>47</v>
      </c>
      <c r="K8" t="s">
        <v>166</v>
      </c>
      <c r="L8" t="s">
        <v>238</v>
      </c>
      <c r="M8" s="14">
        <v>227500</v>
      </c>
      <c r="N8" s="15"/>
      <c r="O8" s="14"/>
      <c r="P8" s="14"/>
      <c r="Q8" s="15"/>
      <c r="R8" s="15">
        <v>227500</v>
      </c>
      <c r="S8" s="14">
        <v>229775</v>
      </c>
      <c r="T8" s="23">
        <v>1</v>
      </c>
      <c r="U8" s="23" t="s">
        <v>195</v>
      </c>
      <c r="V8" s="23" t="s">
        <v>204</v>
      </c>
    </row>
    <row r="9" spans="1:24" x14ac:dyDescent="0.25">
      <c r="A9" s="22" t="str">
        <f t="shared" si="0"/>
        <v>870138342-45296-774632987514-EKA / BAYU</v>
      </c>
      <c r="B9" s="22">
        <v>1</v>
      </c>
      <c r="C9" t="s">
        <v>48</v>
      </c>
      <c r="D9" s="8">
        <v>45296</v>
      </c>
      <c r="E9" s="4" t="s">
        <v>49</v>
      </c>
      <c r="F9" s="8">
        <v>45289</v>
      </c>
      <c r="G9" t="s">
        <v>35</v>
      </c>
      <c r="H9" t="s">
        <v>40</v>
      </c>
      <c r="I9" t="s">
        <v>36</v>
      </c>
      <c r="J9" t="s">
        <v>38</v>
      </c>
      <c r="K9" t="s">
        <v>168</v>
      </c>
      <c r="L9" t="s">
        <v>208</v>
      </c>
      <c r="M9" s="14">
        <v>2713792</v>
      </c>
      <c r="N9" s="15"/>
      <c r="O9" s="14"/>
      <c r="P9" s="14"/>
      <c r="Q9" s="15"/>
      <c r="R9" s="15">
        <v>2713792</v>
      </c>
      <c r="S9" s="14">
        <v>2740930</v>
      </c>
      <c r="T9" s="23">
        <v>1</v>
      </c>
      <c r="U9" s="23" t="s">
        <v>77</v>
      </c>
      <c r="V9" s="23" t="s">
        <v>204</v>
      </c>
    </row>
    <row r="10" spans="1:24" x14ac:dyDescent="0.25">
      <c r="A10" s="22" t="str">
        <f t="shared" si="0"/>
        <v>870138343-45296-774514292670-FION LEUNG</v>
      </c>
      <c r="B10" s="22">
        <v>1</v>
      </c>
      <c r="C10" t="s">
        <v>50</v>
      </c>
      <c r="D10" s="8">
        <v>45296</v>
      </c>
      <c r="E10" s="4" t="s">
        <v>52</v>
      </c>
      <c r="F10" s="8">
        <v>45278</v>
      </c>
      <c r="G10" t="s">
        <v>51</v>
      </c>
      <c r="H10" t="s">
        <v>53</v>
      </c>
      <c r="I10" t="s">
        <v>24</v>
      </c>
      <c r="J10" t="s">
        <v>37</v>
      </c>
      <c r="K10" t="s">
        <v>169</v>
      </c>
      <c r="L10" t="s">
        <v>238</v>
      </c>
      <c r="M10" s="14">
        <v>41496000</v>
      </c>
      <c r="N10" s="15"/>
      <c r="O10" s="14"/>
      <c r="P10" s="14"/>
      <c r="Q10" s="15"/>
      <c r="R10" s="15">
        <v>41496000</v>
      </c>
      <c r="S10" s="14">
        <v>41910960</v>
      </c>
      <c r="T10" s="23">
        <v>1</v>
      </c>
      <c r="U10" s="23" t="s">
        <v>159</v>
      </c>
      <c r="V10" s="23" t="s">
        <v>159</v>
      </c>
    </row>
    <row r="11" spans="1:24" x14ac:dyDescent="0.25">
      <c r="A11" s="22" t="str">
        <f t="shared" si="0"/>
        <v>870048771-45266-774194576473-SHENYANG</v>
      </c>
      <c r="B11" s="22">
        <v>1</v>
      </c>
      <c r="C11" t="s">
        <v>54</v>
      </c>
      <c r="D11" s="8">
        <v>45266</v>
      </c>
      <c r="E11" s="4" t="s">
        <v>56</v>
      </c>
      <c r="F11" s="8">
        <v>45253</v>
      </c>
      <c r="G11" t="s">
        <v>55</v>
      </c>
      <c r="H11" t="s">
        <v>57</v>
      </c>
      <c r="I11" t="s">
        <v>157</v>
      </c>
      <c r="J11" t="s">
        <v>22</v>
      </c>
      <c r="K11" t="s">
        <v>165</v>
      </c>
      <c r="L11" t="s">
        <v>238</v>
      </c>
      <c r="M11" s="14">
        <v>255466</v>
      </c>
      <c r="N11" s="15"/>
      <c r="O11" s="14"/>
      <c r="P11" s="14"/>
      <c r="Q11" s="15"/>
      <c r="R11" s="15">
        <v>255466</v>
      </c>
      <c r="S11" s="14">
        <v>258021</v>
      </c>
      <c r="T11" s="23">
        <v>1</v>
      </c>
      <c r="U11" s="23" t="s">
        <v>195</v>
      </c>
      <c r="V11" s="23" t="s">
        <v>204</v>
      </c>
    </row>
    <row r="12" spans="1:24" x14ac:dyDescent="0.25">
      <c r="A12" s="22" t="str">
        <f t="shared" si="0"/>
        <v>870048771-45266-774216971908-SHENYANG</v>
      </c>
      <c r="B12" s="22">
        <v>1</v>
      </c>
      <c r="C12" t="s">
        <v>54</v>
      </c>
      <c r="D12" s="8">
        <v>45266</v>
      </c>
      <c r="E12" s="4" t="s">
        <v>58</v>
      </c>
      <c r="F12" s="8">
        <v>45255</v>
      </c>
      <c r="G12" t="s">
        <v>55</v>
      </c>
      <c r="H12" t="s">
        <v>57</v>
      </c>
      <c r="I12" t="s">
        <v>157</v>
      </c>
      <c r="J12" t="s">
        <v>22</v>
      </c>
      <c r="K12" t="s">
        <v>170</v>
      </c>
      <c r="L12" t="s">
        <v>238</v>
      </c>
      <c r="M12" s="14">
        <v>642689</v>
      </c>
      <c r="N12" s="15"/>
      <c r="O12" s="14"/>
      <c r="P12" s="14"/>
      <c r="Q12" s="15"/>
      <c r="R12" s="15">
        <v>642689</v>
      </c>
      <c r="S12" s="14">
        <v>649116</v>
      </c>
      <c r="T12" s="23">
        <v>1</v>
      </c>
      <c r="U12" s="23" t="s">
        <v>195</v>
      </c>
      <c r="V12" s="23" t="s">
        <v>204</v>
      </c>
    </row>
    <row r="13" spans="1:24" x14ac:dyDescent="0.25">
      <c r="A13" s="22" t="str">
        <f t="shared" si="0"/>
        <v>869971222-45238-773869351020-SHENYANG</v>
      </c>
      <c r="B13" s="22">
        <v>1</v>
      </c>
      <c r="C13" t="s">
        <v>59</v>
      </c>
      <c r="D13" s="8">
        <v>45238</v>
      </c>
      <c r="E13" s="4" t="s">
        <v>60</v>
      </c>
      <c r="F13" s="8">
        <v>45226</v>
      </c>
      <c r="G13" t="s">
        <v>55</v>
      </c>
      <c r="H13" t="s">
        <v>57</v>
      </c>
      <c r="I13" t="s">
        <v>157</v>
      </c>
      <c r="J13" t="s">
        <v>22</v>
      </c>
      <c r="K13" t="s">
        <v>165</v>
      </c>
      <c r="L13" t="s">
        <v>238</v>
      </c>
      <c r="M13" s="14">
        <v>350220</v>
      </c>
      <c r="N13" s="15"/>
      <c r="O13" s="14"/>
      <c r="P13" s="14"/>
      <c r="Q13" s="15"/>
      <c r="R13" s="15">
        <v>350220</v>
      </c>
      <c r="S13" s="14">
        <v>353722</v>
      </c>
      <c r="T13" s="23">
        <v>1</v>
      </c>
      <c r="U13" s="23" t="s">
        <v>195</v>
      </c>
      <c r="V13" s="23" t="s">
        <v>204</v>
      </c>
    </row>
    <row r="14" spans="1:24" x14ac:dyDescent="0.25">
      <c r="A14" s="22" t="str">
        <f t="shared" si="0"/>
        <v>869971222-45238-773870191217-CISSY</v>
      </c>
      <c r="B14" s="22">
        <v>1</v>
      </c>
      <c r="C14" t="s">
        <v>59</v>
      </c>
      <c r="D14" s="8">
        <v>45238</v>
      </c>
      <c r="E14" s="4" t="s">
        <v>63</v>
      </c>
      <c r="F14" s="8">
        <v>45226</v>
      </c>
      <c r="G14" t="s">
        <v>61</v>
      </c>
      <c r="H14" t="s">
        <v>64</v>
      </c>
      <c r="I14" t="s">
        <v>62</v>
      </c>
      <c r="J14" t="s">
        <v>37</v>
      </c>
      <c r="K14" t="s">
        <v>166</v>
      </c>
      <c r="L14" s="4" t="s">
        <v>238</v>
      </c>
      <c r="M14" s="14">
        <v>254488</v>
      </c>
      <c r="N14" s="15"/>
      <c r="O14" s="14"/>
      <c r="P14" s="14"/>
      <c r="Q14" s="15"/>
      <c r="R14" s="15">
        <v>254488</v>
      </c>
      <c r="S14" s="14">
        <v>257033</v>
      </c>
      <c r="T14" s="23">
        <v>0</v>
      </c>
      <c r="U14" s="23" t="s">
        <v>159</v>
      </c>
      <c r="V14" s="23" t="s">
        <v>159</v>
      </c>
    </row>
    <row r="15" spans="1:24" x14ac:dyDescent="0.25">
      <c r="A15" s="22" t="str">
        <f t="shared" si="0"/>
        <v>869971222-45238-773884693621-SHENYANG</v>
      </c>
      <c r="B15" s="22">
        <v>1</v>
      </c>
      <c r="C15" t="s">
        <v>59</v>
      </c>
      <c r="D15" s="8">
        <v>45238</v>
      </c>
      <c r="E15" s="4" t="s">
        <v>66</v>
      </c>
      <c r="F15" s="8">
        <v>45227</v>
      </c>
      <c r="G15" t="s">
        <v>55</v>
      </c>
      <c r="H15" t="s">
        <v>57</v>
      </c>
      <c r="I15" t="s">
        <v>65</v>
      </c>
      <c r="J15" t="s">
        <v>22</v>
      </c>
      <c r="K15" t="s">
        <v>165</v>
      </c>
      <c r="L15" t="s">
        <v>238</v>
      </c>
      <c r="M15" s="14">
        <v>350220</v>
      </c>
      <c r="N15" s="15"/>
      <c r="O15" s="14"/>
      <c r="P15" s="14"/>
      <c r="Q15" s="15"/>
      <c r="R15" s="15">
        <v>350220</v>
      </c>
      <c r="S15" s="14">
        <v>353722</v>
      </c>
      <c r="T15" s="23">
        <v>1</v>
      </c>
      <c r="U15" s="23" t="s">
        <v>195</v>
      </c>
      <c r="V15" s="23" t="s">
        <v>204</v>
      </c>
    </row>
    <row r="16" spans="1:24" x14ac:dyDescent="0.25">
      <c r="A16" s="22" t="str">
        <f t="shared" si="0"/>
        <v>869971222-45238-785740476670-SHENYANG</v>
      </c>
      <c r="B16" s="22">
        <v>1</v>
      </c>
      <c r="C16" t="s">
        <v>59</v>
      </c>
      <c r="D16" s="8">
        <v>45238</v>
      </c>
      <c r="E16" s="4" t="s">
        <v>67</v>
      </c>
      <c r="F16" s="8">
        <v>45231</v>
      </c>
      <c r="G16" t="s">
        <v>55</v>
      </c>
      <c r="H16" t="s">
        <v>57</v>
      </c>
      <c r="I16" t="s">
        <v>157</v>
      </c>
      <c r="J16" t="s">
        <v>22</v>
      </c>
      <c r="K16" t="s">
        <v>165</v>
      </c>
      <c r="L16" t="s">
        <v>238</v>
      </c>
      <c r="M16" s="14">
        <v>263065</v>
      </c>
      <c r="N16" s="15"/>
      <c r="O16" s="15"/>
      <c r="P16" s="15"/>
      <c r="Q16" s="15"/>
      <c r="R16" s="15">
        <v>263065</v>
      </c>
      <c r="S16" s="14">
        <v>265696</v>
      </c>
      <c r="T16" s="23">
        <v>1</v>
      </c>
      <c r="U16" s="23" t="s">
        <v>195</v>
      </c>
      <c r="V16" s="23" t="s">
        <v>204</v>
      </c>
    </row>
    <row r="17" spans="1:22" x14ac:dyDescent="0.25">
      <c r="A17" s="22" t="str">
        <f t="shared" si="0"/>
        <v>870148463-45301-774492822021-HANFRIEND COLTD</v>
      </c>
      <c r="B17" s="22">
        <v>1</v>
      </c>
      <c r="C17" t="s">
        <v>68</v>
      </c>
      <c r="D17" s="8">
        <v>45301</v>
      </c>
      <c r="E17" s="4" t="s">
        <v>69</v>
      </c>
      <c r="F17" s="8">
        <v>45275</v>
      </c>
      <c r="G17" t="s">
        <v>70</v>
      </c>
      <c r="I17" t="s">
        <v>71</v>
      </c>
      <c r="J17" t="s">
        <v>72</v>
      </c>
      <c r="K17" t="s">
        <v>171</v>
      </c>
      <c r="L17" t="s">
        <v>238</v>
      </c>
      <c r="M17" s="14">
        <v>17034000</v>
      </c>
      <c r="N17" s="15"/>
      <c r="O17" s="15"/>
      <c r="P17" s="15"/>
      <c r="Q17" s="15"/>
      <c r="R17" s="15">
        <v>17034000</v>
      </c>
      <c r="S17" s="14">
        <v>17204340</v>
      </c>
      <c r="T17" s="23">
        <v>0</v>
      </c>
      <c r="U17" s="23" t="s">
        <v>159</v>
      </c>
      <c r="V17" s="23" t="s">
        <v>159</v>
      </c>
    </row>
    <row r="18" spans="1:22" x14ac:dyDescent="0.25">
      <c r="A18" s="22" t="str">
        <f t="shared" si="0"/>
        <v>870148463-45301-774496252273-MAXIMILIAN OBERHOFF</v>
      </c>
      <c r="B18" s="22">
        <v>1</v>
      </c>
      <c r="C18" t="s">
        <v>68</v>
      </c>
      <c r="D18" s="8">
        <v>45301</v>
      </c>
      <c r="E18" s="4" t="s">
        <v>73</v>
      </c>
      <c r="F18" s="8">
        <v>45275</v>
      </c>
      <c r="G18" t="s">
        <v>74</v>
      </c>
      <c r="I18" t="s">
        <v>75</v>
      </c>
      <c r="J18" t="s">
        <v>76</v>
      </c>
      <c r="K18" t="s">
        <v>172</v>
      </c>
      <c r="L18" t="s">
        <v>238</v>
      </c>
      <c r="M18" s="14">
        <v>23838000</v>
      </c>
      <c r="N18" s="15"/>
      <c r="O18" s="15"/>
      <c r="P18" s="15"/>
      <c r="Q18" s="15"/>
      <c r="R18" s="15">
        <v>23838000</v>
      </c>
      <c r="S18" s="14">
        <v>24076380</v>
      </c>
      <c r="T18" s="23">
        <v>0</v>
      </c>
      <c r="U18" s="23" t="s">
        <v>159</v>
      </c>
      <c r="V18" s="23" t="s">
        <v>159</v>
      </c>
    </row>
    <row r="19" spans="1:22" x14ac:dyDescent="0.25">
      <c r="A19" s="22" t="str">
        <f t="shared" si="0"/>
        <v>870148463-45301-774514292670-FION LEUNG</v>
      </c>
      <c r="B19" s="22">
        <v>2</v>
      </c>
      <c r="C19" t="s">
        <v>68</v>
      </c>
      <c r="D19" s="8">
        <v>45301</v>
      </c>
      <c r="E19" s="4" t="s">
        <v>52</v>
      </c>
      <c r="F19" s="8">
        <v>45278</v>
      </c>
      <c r="G19" t="s">
        <v>51</v>
      </c>
      <c r="I19" t="s">
        <v>24</v>
      </c>
      <c r="J19" t="s">
        <v>37</v>
      </c>
      <c r="K19" t="s">
        <v>169</v>
      </c>
      <c r="L19" t="s">
        <v>238</v>
      </c>
      <c r="M19" s="14">
        <v>41496000</v>
      </c>
      <c r="N19" s="15"/>
      <c r="O19" s="15"/>
      <c r="P19" s="15"/>
      <c r="Q19" s="15"/>
      <c r="R19" s="15">
        <v>41496000</v>
      </c>
      <c r="S19" s="14">
        <v>41910960</v>
      </c>
      <c r="T19" s="23">
        <v>0</v>
      </c>
      <c r="U19" s="23" t="s">
        <v>159</v>
      </c>
      <c r="V19" s="23" t="s">
        <v>159</v>
      </c>
    </row>
    <row r="20" spans="1:22" x14ac:dyDescent="0.25">
      <c r="A20" s="22" t="str">
        <f t="shared" si="0"/>
        <v>870148463-45301-774608947549-STELLA</v>
      </c>
      <c r="B20" s="22">
        <v>1</v>
      </c>
      <c r="C20" t="s">
        <v>68</v>
      </c>
      <c r="D20" s="8">
        <v>45301</v>
      </c>
      <c r="E20" s="4" t="s">
        <v>78</v>
      </c>
      <c r="F20" s="8">
        <v>45288</v>
      </c>
      <c r="G20" t="s">
        <v>28</v>
      </c>
      <c r="H20" t="s">
        <v>31</v>
      </c>
      <c r="I20" t="s">
        <v>77</v>
      </c>
      <c r="J20" t="s">
        <v>32</v>
      </c>
      <c r="K20" t="s">
        <v>165</v>
      </c>
      <c r="L20" t="s">
        <v>238</v>
      </c>
      <c r="M20" s="14">
        <v>700000</v>
      </c>
      <c r="N20" s="15"/>
      <c r="O20" s="15"/>
      <c r="P20" s="15"/>
      <c r="Q20" s="15"/>
      <c r="R20" s="15">
        <v>700000</v>
      </c>
      <c r="S20" s="14">
        <v>707000</v>
      </c>
      <c r="T20" s="23">
        <v>1</v>
      </c>
      <c r="U20" s="23" t="s">
        <v>77</v>
      </c>
      <c r="V20" s="23" t="s">
        <v>204</v>
      </c>
    </row>
    <row r="21" spans="1:22" x14ac:dyDescent="0.25">
      <c r="A21" s="22" t="str">
        <f t="shared" si="0"/>
        <v>870148463-45301-538683301873-TONY WONG</v>
      </c>
      <c r="B21" s="22">
        <v>1</v>
      </c>
      <c r="C21" t="s">
        <v>68</v>
      </c>
      <c r="D21" s="8">
        <v>45301</v>
      </c>
      <c r="E21" s="4" t="s">
        <v>79</v>
      </c>
      <c r="F21" s="8">
        <v>45289</v>
      </c>
      <c r="G21" t="s">
        <v>80</v>
      </c>
      <c r="H21" t="s">
        <v>81</v>
      </c>
      <c r="I21" t="s">
        <v>62</v>
      </c>
      <c r="J21" t="s">
        <v>22</v>
      </c>
      <c r="K21" t="s">
        <v>173</v>
      </c>
      <c r="L21" t="s">
        <v>238</v>
      </c>
      <c r="M21" s="14">
        <v>1555000</v>
      </c>
      <c r="N21" s="15"/>
      <c r="O21" s="15"/>
      <c r="P21" s="15"/>
      <c r="Q21" s="15"/>
      <c r="R21" s="15">
        <v>1555000</v>
      </c>
      <c r="S21" s="14">
        <v>1570550</v>
      </c>
      <c r="T21" s="23">
        <v>0</v>
      </c>
      <c r="U21" s="23" t="s">
        <v>203</v>
      </c>
      <c r="V21" s="23" t="s">
        <v>204</v>
      </c>
    </row>
    <row r="22" spans="1:22" x14ac:dyDescent="0.25">
      <c r="A22" s="22" t="str">
        <f t="shared" si="0"/>
        <v>870148463-45301-774634331161-STELLA</v>
      </c>
      <c r="B22" s="22">
        <v>1</v>
      </c>
      <c r="C22" t="s">
        <v>68</v>
      </c>
      <c r="D22" s="8">
        <v>45301</v>
      </c>
      <c r="E22" s="4" t="s">
        <v>82</v>
      </c>
      <c r="F22" s="8">
        <v>45290</v>
      </c>
      <c r="G22" t="s">
        <v>28</v>
      </c>
      <c r="H22" t="s">
        <v>31</v>
      </c>
      <c r="I22" t="s">
        <v>29</v>
      </c>
      <c r="J22" t="s">
        <v>32</v>
      </c>
      <c r="K22" t="s">
        <v>165</v>
      </c>
      <c r="L22" t="s">
        <v>238</v>
      </c>
      <c r="M22" s="14">
        <v>700000</v>
      </c>
      <c r="N22" s="15"/>
      <c r="O22" s="15"/>
      <c r="P22" s="15"/>
      <c r="Q22" s="15"/>
      <c r="R22" s="15">
        <v>700000</v>
      </c>
      <c r="S22" s="14">
        <v>707000</v>
      </c>
      <c r="T22" s="23">
        <v>1</v>
      </c>
      <c r="U22" s="23" t="s">
        <v>203</v>
      </c>
      <c r="V22" s="23" t="s">
        <v>204</v>
      </c>
    </row>
    <row r="23" spans="1:22" x14ac:dyDescent="0.25">
      <c r="A23" s="22" t="str">
        <f t="shared" si="0"/>
        <v>870148464-45301-774609920571-EKA / BAYU</v>
      </c>
      <c r="B23" s="22">
        <v>1</v>
      </c>
      <c r="C23" t="s">
        <v>83</v>
      </c>
      <c r="D23" s="8">
        <v>45301</v>
      </c>
      <c r="E23" s="4" t="s">
        <v>84</v>
      </c>
      <c r="F23" s="8">
        <v>45287</v>
      </c>
      <c r="G23" t="s">
        <v>35</v>
      </c>
      <c r="H23" t="s">
        <v>40</v>
      </c>
      <c r="I23" t="s">
        <v>36</v>
      </c>
      <c r="J23" t="s">
        <v>38</v>
      </c>
      <c r="K23" t="s">
        <v>166</v>
      </c>
      <c r="L23" t="s">
        <v>208</v>
      </c>
      <c r="M23" s="14">
        <v>258954</v>
      </c>
      <c r="N23" s="15"/>
      <c r="O23" s="15"/>
      <c r="P23" s="15"/>
      <c r="Q23" s="15"/>
      <c r="R23" s="15">
        <v>258954</v>
      </c>
      <c r="S23" s="14">
        <v>261544</v>
      </c>
      <c r="T23" s="23">
        <v>1</v>
      </c>
      <c r="U23" s="23" t="s">
        <v>77</v>
      </c>
      <c r="V23" s="23" t="s">
        <v>204</v>
      </c>
    </row>
    <row r="24" spans="1:22" x14ac:dyDescent="0.25">
      <c r="A24" s="22" t="str">
        <f t="shared" si="0"/>
        <v>870148464-45301-774632987514-EKA / BAYU</v>
      </c>
      <c r="B24" s="22">
        <v>2</v>
      </c>
      <c r="C24" t="s">
        <v>83</v>
      </c>
      <c r="D24" s="8">
        <v>45301</v>
      </c>
      <c r="E24" s="4" t="s">
        <v>49</v>
      </c>
      <c r="F24" s="8">
        <v>45289</v>
      </c>
      <c r="G24" t="s">
        <v>35</v>
      </c>
      <c r="H24" t="s">
        <v>40</v>
      </c>
      <c r="I24" t="s">
        <v>36</v>
      </c>
      <c r="J24" t="s">
        <v>38</v>
      </c>
      <c r="K24" t="s">
        <v>168</v>
      </c>
      <c r="L24" t="s">
        <v>208</v>
      </c>
      <c r="M24" s="14">
        <v>2713792</v>
      </c>
      <c r="N24" s="15"/>
      <c r="O24" s="15"/>
      <c r="P24" s="15"/>
      <c r="Q24" s="15"/>
      <c r="R24" s="15">
        <v>2713792</v>
      </c>
      <c r="S24" s="14">
        <v>2740930</v>
      </c>
      <c r="T24" s="23">
        <v>0</v>
      </c>
      <c r="U24" s="23" t="s">
        <v>205</v>
      </c>
      <c r="V24" s="23" t="s">
        <v>204</v>
      </c>
    </row>
    <row r="25" spans="1:22" x14ac:dyDescent="0.25">
      <c r="A25" s="22" t="str">
        <f t="shared" si="0"/>
        <v>870148464-45301-774598274869-EKA / BAYU</v>
      </c>
      <c r="B25" s="22">
        <v>1</v>
      </c>
      <c r="C25" t="s">
        <v>83</v>
      </c>
      <c r="D25" s="8">
        <v>45301</v>
      </c>
      <c r="E25" s="4" t="s">
        <v>85</v>
      </c>
      <c r="F25" s="8">
        <v>45289</v>
      </c>
      <c r="G25" t="s">
        <v>35</v>
      </c>
      <c r="H25" t="s">
        <v>40</v>
      </c>
      <c r="I25" t="s">
        <v>36</v>
      </c>
      <c r="J25" t="s">
        <v>38</v>
      </c>
      <c r="K25" t="s">
        <v>165</v>
      </c>
      <c r="L25" t="s">
        <v>208</v>
      </c>
      <c r="M25" s="14">
        <v>258954</v>
      </c>
      <c r="N25" s="15"/>
      <c r="O25" s="15"/>
      <c r="P25" s="15"/>
      <c r="Q25" s="15"/>
      <c r="R25" s="15">
        <v>258954</v>
      </c>
      <c r="S25" s="14">
        <v>261544</v>
      </c>
      <c r="T25" s="23">
        <v>1</v>
      </c>
      <c r="U25" s="23" t="s">
        <v>77</v>
      </c>
      <c r="V25" s="23" t="s">
        <v>204</v>
      </c>
    </row>
    <row r="26" spans="1:22" x14ac:dyDescent="0.25">
      <c r="A26" s="22" t="str">
        <f t="shared" si="0"/>
        <v>870148464-45301-774634936230-MS. MERCY</v>
      </c>
      <c r="B26" s="22">
        <v>1</v>
      </c>
      <c r="C26" t="s">
        <v>83</v>
      </c>
      <c r="D26" s="8">
        <v>45301</v>
      </c>
      <c r="E26" s="4" t="s">
        <v>86</v>
      </c>
      <c r="F26" s="8">
        <v>45289</v>
      </c>
      <c r="G26" t="s">
        <v>42</v>
      </c>
      <c r="H26" t="s">
        <v>40</v>
      </c>
      <c r="I26" t="s">
        <v>87</v>
      </c>
      <c r="J26" t="s">
        <v>158</v>
      </c>
      <c r="K26" t="s">
        <v>166</v>
      </c>
      <c r="L26" t="s">
        <v>238</v>
      </c>
      <c r="M26" s="14">
        <v>226604</v>
      </c>
      <c r="N26" s="15"/>
      <c r="O26" s="15"/>
      <c r="P26" s="15"/>
      <c r="Q26" s="15"/>
      <c r="R26" s="15">
        <v>226604</v>
      </c>
      <c r="S26" s="14">
        <v>228870</v>
      </c>
      <c r="T26" s="23">
        <v>1</v>
      </c>
      <c r="U26" s="23" t="s">
        <v>195</v>
      </c>
      <c r="V26" s="23" t="s">
        <v>204</v>
      </c>
    </row>
    <row r="27" spans="1:22" x14ac:dyDescent="0.25">
      <c r="A27" s="22" t="str">
        <f t="shared" si="0"/>
        <v>870148464-45301-774634958738-MS. MERCY</v>
      </c>
      <c r="B27" s="22">
        <v>1</v>
      </c>
      <c r="C27" t="s">
        <v>83</v>
      </c>
      <c r="D27" s="8">
        <v>45301</v>
      </c>
      <c r="E27" s="4" t="s">
        <v>88</v>
      </c>
      <c r="F27" s="8">
        <v>45289</v>
      </c>
      <c r="G27" t="s">
        <v>42</v>
      </c>
      <c r="H27" t="s">
        <v>40</v>
      </c>
      <c r="I27" t="s">
        <v>43</v>
      </c>
      <c r="J27" t="s">
        <v>44</v>
      </c>
      <c r="K27" t="s">
        <v>166</v>
      </c>
      <c r="L27" t="s">
        <v>238</v>
      </c>
      <c r="M27" s="14">
        <v>226604</v>
      </c>
      <c r="N27" s="15"/>
      <c r="O27" s="15"/>
      <c r="P27" s="15"/>
      <c r="Q27" s="15"/>
      <c r="R27" s="15">
        <v>226604</v>
      </c>
      <c r="S27" s="14">
        <v>228870</v>
      </c>
      <c r="T27" s="23">
        <v>1</v>
      </c>
      <c r="U27" s="23" t="s">
        <v>195</v>
      </c>
      <c r="V27" s="23" t="s">
        <v>204</v>
      </c>
    </row>
    <row r="28" spans="1:22" x14ac:dyDescent="0.25">
      <c r="A28" s="22" t="str">
        <f t="shared" si="0"/>
        <v>870069727-45273-774251360505-AGUSTINA FUNG FUNG/MERY/VIOLA</v>
      </c>
      <c r="B28" s="22">
        <v>1</v>
      </c>
      <c r="C28" t="s">
        <v>89</v>
      </c>
      <c r="D28" s="8">
        <v>45273</v>
      </c>
      <c r="E28" s="4" t="s">
        <v>90</v>
      </c>
      <c r="F28" s="8">
        <v>45259</v>
      </c>
      <c r="G28" t="s">
        <v>91</v>
      </c>
      <c r="H28" t="s">
        <v>40</v>
      </c>
      <c r="I28" t="s">
        <v>92</v>
      </c>
      <c r="J28" t="s">
        <v>93</v>
      </c>
      <c r="K28" t="s">
        <v>174</v>
      </c>
      <c r="L28" t="s">
        <v>238</v>
      </c>
      <c r="M28" s="14">
        <v>1623883</v>
      </c>
      <c r="N28" s="15"/>
      <c r="O28" s="15"/>
      <c r="P28" s="15"/>
      <c r="Q28" s="15"/>
      <c r="R28" s="15">
        <v>1623883</v>
      </c>
      <c r="S28" s="14">
        <v>1640122</v>
      </c>
      <c r="T28" s="23">
        <v>0</v>
      </c>
      <c r="U28" s="23" t="s">
        <v>159</v>
      </c>
      <c r="V28" s="23" t="s">
        <v>159</v>
      </c>
    </row>
    <row r="29" spans="1:22" x14ac:dyDescent="0.25">
      <c r="A29" s="22" t="str">
        <f t="shared" si="0"/>
        <v>870069727-45273-774271975344-WINTA</v>
      </c>
      <c r="B29" s="22">
        <v>1</v>
      </c>
      <c r="C29" t="s">
        <v>89</v>
      </c>
      <c r="D29" s="8">
        <v>45273</v>
      </c>
      <c r="E29" s="4" t="s">
        <v>94</v>
      </c>
      <c r="F29" s="8">
        <v>45259</v>
      </c>
      <c r="G29" t="s">
        <v>95</v>
      </c>
      <c r="H29" t="s">
        <v>40</v>
      </c>
      <c r="I29" t="s">
        <v>96</v>
      </c>
      <c r="J29" t="s">
        <v>97</v>
      </c>
      <c r="K29" t="s">
        <v>165</v>
      </c>
      <c r="L29" t="s">
        <v>208</v>
      </c>
      <c r="M29" s="14">
        <v>172579</v>
      </c>
      <c r="N29" s="15"/>
      <c r="O29" s="15"/>
      <c r="P29" s="15"/>
      <c r="Q29" s="15"/>
      <c r="R29" s="15">
        <v>172579</v>
      </c>
      <c r="S29" s="14">
        <v>174305</v>
      </c>
      <c r="T29" s="23">
        <v>1</v>
      </c>
      <c r="U29" s="23" t="s">
        <v>159</v>
      </c>
      <c r="V29" s="23" t="s">
        <v>159</v>
      </c>
    </row>
    <row r="30" spans="1:22" x14ac:dyDescent="0.25">
      <c r="A30" s="22" t="str">
        <f t="shared" si="0"/>
        <v>870069727-45273-774274161080-MS. MERCY</v>
      </c>
      <c r="B30" s="22">
        <v>1</v>
      </c>
      <c r="C30" t="s">
        <v>89</v>
      </c>
      <c r="D30" s="8">
        <v>45273</v>
      </c>
      <c r="E30" s="4" t="s">
        <v>98</v>
      </c>
      <c r="F30" s="8">
        <v>45259</v>
      </c>
      <c r="G30" t="s">
        <v>42</v>
      </c>
      <c r="H30" t="s">
        <v>40</v>
      </c>
      <c r="I30" t="s">
        <v>99</v>
      </c>
      <c r="J30" t="s">
        <v>100</v>
      </c>
      <c r="K30" t="s">
        <v>165</v>
      </c>
      <c r="L30" t="s">
        <v>238</v>
      </c>
      <c r="M30" s="14">
        <v>341117</v>
      </c>
      <c r="N30" s="15"/>
      <c r="O30" s="15"/>
      <c r="P30" s="15"/>
      <c r="Q30" s="15"/>
      <c r="R30" s="15">
        <v>341117</v>
      </c>
      <c r="S30" s="14">
        <v>344528</v>
      </c>
      <c r="T30" s="23">
        <v>1</v>
      </c>
      <c r="U30" s="23" t="s">
        <v>193</v>
      </c>
      <c r="V30" s="23" t="s">
        <v>206</v>
      </c>
    </row>
    <row r="31" spans="1:22" x14ac:dyDescent="0.25">
      <c r="A31" s="22" t="str">
        <f t="shared" si="0"/>
        <v>870069727-45273-774271459653-EKA / BAYU</v>
      </c>
      <c r="B31" s="22">
        <v>1</v>
      </c>
      <c r="C31" t="s">
        <v>89</v>
      </c>
      <c r="D31" s="8">
        <v>45273</v>
      </c>
      <c r="E31" s="4" t="s">
        <v>101</v>
      </c>
      <c r="F31" s="8">
        <v>45259</v>
      </c>
      <c r="G31" t="s">
        <v>35</v>
      </c>
      <c r="H31" t="s">
        <v>40</v>
      </c>
      <c r="I31" t="s">
        <v>36</v>
      </c>
      <c r="J31" t="s">
        <v>38</v>
      </c>
      <c r="K31" t="s">
        <v>175</v>
      </c>
      <c r="L31" t="s">
        <v>208</v>
      </c>
      <c r="M31" s="14">
        <v>1662154</v>
      </c>
      <c r="N31" s="15"/>
      <c r="O31" s="15"/>
      <c r="P31" s="15"/>
      <c r="Q31" s="15"/>
      <c r="R31" s="15">
        <v>1662154</v>
      </c>
      <c r="S31" s="14">
        <v>1678776</v>
      </c>
      <c r="T31" s="23">
        <v>1</v>
      </c>
      <c r="U31" s="23" t="s">
        <v>77</v>
      </c>
      <c r="V31" s="23" t="s">
        <v>204</v>
      </c>
    </row>
    <row r="32" spans="1:22" x14ac:dyDescent="0.25">
      <c r="A32" s="22" t="str">
        <f t="shared" si="0"/>
        <v>870069727-45273-774291589065-EKA / BAYU</v>
      </c>
      <c r="B32" s="22">
        <v>1</v>
      </c>
      <c r="C32" t="s">
        <v>89</v>
      </c>
      <c r="D32" s="8">
        <v>45273</v>
      </c>
      <c r="E32" s="4" t="s">
        <v>102</v>
      </c>
      <c r="F32" s="8">
        <v>45260</v>
      </c>
      <c r="G32" t="s">
        <v>35</v>
      </c>
      <c r="H32" t="s">
        <v>40</v>
      </c>
      <c r="I32" t="s">
        <v>36</v>
      </c>
      <c r="J32" t="s">
        <v>38</v>
      </c>
      <c r="K32" t="s">
        <v>166</v>
      </c>
      <c r="L32" t="s">
        <v>208</v>
      </c>
      <c r="M32" s="14">
        <v>267094</v>
      </c>
      <c r="N32" s="15"/>
      <c r="O32" s="15"/>
      <c r="P32" s="15"/>
      <c r="Q32" s="15"/>
      <c r="R32" s="15">
        <v>267094</v>
      </c>
      <c r="S32" s="14">
        <v>269765</v>
      </c>
      <c r="T32" s="23">
        <v>1</v>
      </c>
      <c r="U32" s="23" t="s">
        <v>77</v>
      </c>
      <c r="V32" s="23" t="s">
        <v>204</v>
      </c>
    </row>
    <row r="33" spans="1:22" x14ac:dyDescent="0.25">
      <c r="A33" s="22" t="str">
        <f t="shared" si="0"/>
        <v>870069727-45273-774306660341-WINTA</v>
      </c>
      <c r="B33" s="22">
        <v>1</v>
      </c>
      <c r="C33" t="s">
        <v>89</v>
      </c>
      <c r="D33" s="8">
        <v>45273</v>
      </c>
      <c r="E33" s="4" t="s">
        <v>103</v>
      </c>
      <c r="F33" s="8">
        <v>45261</v>
      </c>
      <c r="G33" t="s">
        <v>95</v>
      </c>
      <c r="H33" t="s">
        <v>40</v>
      </c>
      <c r="I33" t="s">
        <v>96</v>
      </c>
      <c r="J33" t="s">
        <v>97</v>
      </c>
      <c r="K33" t="s">
        <v>176</v>
      </c>
      <c r="L33" t="s">
        <v>208</v>
      </c>
      <c r="M33" s="14">
        <v>312432</v>
      </c>
      <c r="N33" s="15"/>
      <c r="O33" s="15"/>
      <c r="P33" s="15"/>
      <c r="Q33" s="15"/>
      <c r="R33" s="15">
        <v>312432</v>
      </c>
      <c r="S33" s="14">
        <v>315556</v>
      </c>
      <c r="T33" s="23">
        <v>1</v>
      </c>
      <c r="U33" s="23" t="s">
        <v>159</v>
      </c>
      <c r="V33" s="23" t="s">
        <v>159</v>
      </c>
    </row>
    <row r="34" spans="1:22" x14ac:dyDescent="0.25">
      <c r="A34" s="22" t="str">
        <f t="shared" ref="A34:A66" si="1">C34&amp;"-"&amp;D34&amp;"-"&amp;E34&amp;"-"&amp;G34</f>
        <v>870069727-45273-774306099460-DIANA / LINDA</v>
      </c>
      <c r="B34" s="22">
        <v>1</v>
      </c>
      <c r="C34" t="s">
        <v>89</v>
      </c>
      <c r="D34" s="8">
        <v>45273</v>
      </c>
      <c r="E34" s="4" t="s">
        <v>104</v>
      </c>
      <c r="F34" s="8">
        <v>45261</v>
      </c>
      <c r="G34" t="s">
        <v>105</v>
      </c>
      <c r="H34" t="s">
        <v>40</v>
      </c>
      <c r="I34" t="s">
        <v>106</v>
      </c>
      <c r="J34" t="s">
        <v>107</v>
      </c>
      <c r="K34" t="s">
        <v>177</v>
      </c>
      <c r="L34" t="s">
        <v>208</v>
      </c>
      <c r="M34" s="14">
        <v>558295</v>
      </c>
      <c r="N34" s="15"/>
      <c r="O34" s="15"/>
      <c r="P34" s="15"/>
      <c r="Q34" s="15"/>
      <c r="R34" s="15">
        <v>558295</v>
      </c>
      <c r="S34" s="14">
        <v>563878</v>
      </c>
      <c r="T34" s="23">
        <v>1</v>
      </c>
      <c r="U34" s="23" t="s">
        <v>194</v>
      </c>
      <c r="V34" s="23" t="s">
        <v>207</v>
      </c>
    </row>
    <row r="35" spans="1:22" x14ac:dyDescent="0.25">
      <c r="A35" s="22" t="str">
        <f t="shared" si="1"/>
        <v>870069727-45273-774273481327-MS. MERCY</v>
      </c>
      <c r="B35" s="22">
        <v>1</v>
      </c>
      <c r="C35" t="s">
        <v>89</v>
      </c>
      <c r="D35" s="8">
        <v>45273</v>
      </c>
      <c r="E35" s="4" t="s">
        <v>108</v>
      </c>
      <c r="F35" s="8">
        <v>45261</v>
      </c>
      <c r="G35" t="s">
        <v>42</v>
      </c>
      <c r="H35" t="s">
        <v>40</v>
      </c>
      <c r="I35" t="s">
        <v>109</v>
      </c>
      <c r="J35" t="s">
        <v>110</v>
      </c>
      <c r="K35" t="s">
        <v>166</v>
      </c>
      <c r="L35" t="s">
        <v>238</v>
      </c>
      <c r="M35" s="14">
        <v>233769</v>
      </c>
      <c r="N35" s="15"/>
      <c r="O35" s="15"/>
      <c r="P35" s="15"/>
      <c r="Q35" s="15"/>
      <c r="R35" s="15">
        <v>233769</v>
      </c>
      <c r="S35" s="14">
        <v>236107</v>
      </c>
      <c r="T35" s="23">
        <v>1</v>
      </c>
      <c r="U35" s="23" t="s">
        <v>195</v>
      </c>
      <c r="V35" s="23" t="s">
        <v>204</v>
      </c>
    </row>
    <row r="36" spans="1:22" x14ac:dyDescent="0.25">
      <c r="A36" s="22" t="str">
        <f t="shared" si="1"/>
        <v>870069727-45273-774346736332-WINTA</v>
      </c>
      <c r="B36" s="22">
        <v>1</v>
      </c>
      <c r="C36" t="s">
        <v>89</v>
      </c>
      <c r="D36" s="8">
        <v>45273</v>
      </c>
      <c r="E36" s="4" t="s">
        <v>111</v>
      </c>
      <c r="F36" s="8">
        <v>45265</v>
      </c>
      <c r="G36" t="s">
        <v>95</v>
      </c>
      <c r="H36" t="s">
        <v>40</v>
      </c>
      <c r="I36" t="s">
        <v>96</v>
      </c>
      <c r="J36" t="s">
        <v>97</v>
      </c>
      <c r="K36" t="s">
        <v>178</v>
      </c>
      <c r="L36" t="s">
        <v>208</v>
      </c>
      <c r="M36" s="14">
        <v>444987</v>
      </c>
      <c r="N36" s="15"/>
      <c r="O36" s="15"/>
      <c r="P36" s="15"/>
      <c r="Q36" s="15"/>
      <c r="R36" s="15">
        <v>444987</v>
      </c>
      <c r="S36" s="14">
        <v>449437</v>
      </c>
      <c r="T36" s="23">
        <v>1</v>
      </c>
      <c r="U36" s="23" t="s">
        <v>159</v>
      </c>
      <c r="V36" s="23" t="s">
        <v>159</v>
      </c>
    </row>
    <row r="37" spans="1:22" x14ac:dyDescent="0.25">
      <c r="A37" s="22" t="str">
        <f t="shared" si="1"/>
        <v>870069727-45273-774345930609-EKA / BAYU</v>
      </c>
      <c r="B37" s="22">
        <v>1</v>
      </c>
      <c r="C37" t="s">
        <v>89</v>
      </c>
      <c r="D37" s="8">
        <v>45273</v>
      </c>
      <c r="E37" s="4" t="s">
        <v>112</v>
      </c>
      <c r="F37" s="8">
        <v>45265</v>
      </c>
      <c r="G37" t="s">
        <v>35</v>
      </c>
      <c r="H37" t="s">
        <v>40</v>
      </c>
      <c r="I37" t="s">
        <v>36</v>
      </c>
      <c r="J37" t="s">
        <v>38</v>
      </c>
      <c r="K37" t="s">
        <v>165</v>
      </c>
      <c r="L37" t="s">
        <v>208</v>
      </c>
      <c r="M37" s="14">
        <v>265095</v>
      </c>
      <c r="N37" s="15"/>
      <c r="O37" s="15"/>
      <c r="P37" s="15"/>
      <c r="Q37" s="15"/>
      <c r="R37" s="15">
        <v>265095</v>
      </c>
      <c r="S37" s="14">
        <v>267746</v>
      </c>
      <c r="T37" s="23">
        <v>1</v>
      </c>
      <c r="U37" s="23" t="s">
        <v>77</v>
      </c>
      <c r="V37" s="23" t="s">
        <v>204</v>
      </c>
    </row>
    <row r="38" spans="1:22" x14ac:dyDescent="0.25">
      <c r="A38" s="22" t="str">
        <f t="shared" si="1"/>
        <v>870069728-45273-774327903444-SHENYANG</v>
      </c>
      <c r="B38" s="22">
        <v>1</v>
      </c>
      <c r="C38" t="s">
        <v>113</v>
      </c>
      <c r="D38" s="8">
        <v>45273</v>
      </c>
      <c r="E38" s="4" t="s">
        <v>114</v>
      </c>
      <c r="F38" s="8">
        <v>45265</v>
      </c>
      <c r="G38" t="s">
        <v>55</v>
      </c>
      <c r="H38" t="s">
        <v>57</v>
      </c>
      <c r="I38" t="s">
        <v>157</v>
      </c>
      <c r="J38" t="s">
        <v>22</v>
      </c>
      <c r="K38" t="s">
        <v>165</v>
      </c>
      <c r="L38" t="s">
        <v>238</v>
      </c>
      <c r="M38" s="14">
        <v>261049</v>
      </c>
      <c r="N38" s="15"/>
      <c r="O38" s="15"/>
      <c r="P38" s="15"/>
      <c r="Q38" s="15"/>
      <c r="R38" s="15">
        <v>261049</v>
      </c>
      <c r="S38" s="14">
        <v>263659</v>
      </c>
      <c r="T38" s="23">
        <v>1</v>
      </c>
      <c r="U38" s="23" t="s">
        <v>195</v>
      </c>
      <c r="V38" s="23" t="s">
        <v>204</v>
      </c>
    </row>
    <row r="39" spans="1:22" x14ac:dyDescent="0.25">
      <c r="A39" s="22" t="str">
        <f t="shared" si="1"/>
        <v>870072442-45273-774398472980-EKA / BAYU</v>
      </c>
      <c r="B39" s="22">
        <v>1</v>
      </c>
      <c r="C39" t="s">
        <v>115</v>
      </c>
      <c r="D39" s="8">
        <v>45273</v>
      </c>
      <c r="E39" s="4" t="s">
        <v>116</v>
      </c>
      <c r="F39" s="8">
        <v>45268</v>
      </c>
      <c r="G39" t="s">
        <v>35</v>
      </c>
      <c r="H39" t="s">
        <v>40</v>
      </c>
      <c r="I39" t="s">
        <v>36</v>
      </c>
      <c r="J39" t="s">
        <v>38</v>
      </c>
      <c r="K39" t="s">
        <v>179</v>
      </c>
      <c r="L39" t="s">
        <v>208</v>
      </c>
      <c r="M39" s="14">
        <v>2272707</v>
      </c>
      <c r="N39" s="15"/>
      <c r="O39" s="15"/>
      <c r="P39" s="15"/>
      <c r="Q39" s="15"/>
      <c r="R39" s="15">
        <v>2272707</v>
      </c>
      <c r="S39" s="14">
        <v>2295434</v>
      </c>
      <c r="T39" s="23">
        <v>1</v>
      </c>
      <c r="U39" s="23" t="s">
        <v>77</v>
      </c>
      <c r="V39" s="23" t="s">
        <v>204</v>
      </c>
    </row>
    <row r="40" spans="1:22" x14ac:dyDescent="0.25">
      <c r="A40" s="22" t="str">
        <f t="shared" si="1"/>
        <v>870159593-45306-774713825922-EKA / BAYU</v>
      </c>
      <c r="B40" s="22">
        <v>1</v>
      </c>
      <c r="C40" t="s">
        <v>117</v>
      </c>
      <c r="D40" s="8">
        <v>45306</v>
      </c>
      <c r="E40" s="4" t="s">
        <v>118</v>
      </c>
      <c r="F40" s="8">
        <v>45299</v>
      </c>
      <c r="G40" t="s">
        <v>35</v>
      </c>
      <c r="H40" t="s">
        <v>119</v>
      </c>
      <c r="I40" t="s">
        <v>36</v>
      </c>
      <c r="J40" t="s">
        <v>38</v>
      </c>
      <c r="K40" t="s">
        <v>180</v>
      </c>
      <c r="L40" t="s">
        <v>208</v>
      </c>
      <c r="M40" s="14">
        <v>2406022</v>
      </c>
      <c r="N40" s="15"/>
      <c r="O40" s="15"/>
      <c r="P40" s="15"/>
      <c r="Q40" s="15"/>
      <c r="R40" s="15">
        <v>2406022</v>
      </c>
      <c r="S40" s="14">
        <v>2430082</v>
      </c>
      <c r="T40" s="23">
        <v>1</v>
      </c>
      <c r="U40" s="23" t="s">
        <v>77</v>
      </c>
      <c r="V40" s="23" t="s">
        <v>204</v>
      </c>
    </row>
    <row r="41" spans="1:22" x14ac:dyDescent="0.25">
      <c r="A41" s="22" t="str">
        <f t="shared" si="1"/>
        <v>870085656-45278-774381618321-HANFRIEND COLTD</v>
      </c>
      <c r="B41" s="22">
        <v>1</v>
      </c>
      <c r="C41" t="s">
        <v>120</v>
      </c>
      <c r="D41" s="8">
        <v>45278</v>
      </c>
      <c r="E41" s="4" t="s">
        <v>121</v>
      </c>
      <c r="F41" s="8">
        <v>45267</v>
      </c>
      <c r="G41" t="s">
        <v>70</v>
      </c>
      <c r="I41" t="s">
        <v>71</v>
      </c>
      <c r="J41" t="s">
        <v>72</v>
      </c>
      <c r="K41" t="s">
        <v>181</v>
      </c>
      <c r="L41" t="s">
        <v>238</v>
      </c>
      <c r="M41" s="14">
        <v>971000</v>
      </c>
      <c r="N41" s="15"/>
      <c r="O41" s="15"/>
      <c r="P41" s="15"/>
      <c r="Q41" s="15"/>
      <c r="R41" s="15">
        <v>971000</v>
      </c>
      <c r="S41" s="14">
        <v>980710</v>
      </c>
      <c r="T41" s="23">
        <v>1</v>
      </c>
      <c r="U41" s="23" t="s">
        <v>159</v>
      </c>
      <c r="V41" s="23" t="s">
        <v>159</v>
      </c>
    </row>
    <row r="42" spans="1:22" x14ac:dyDescent="0.25">
      <c r="A42" s="22" t="str">
        <f t="shared" si="1"/>
        <v>870163300-45308-774695421533-WINTA</v>
      </c>
      <c r="B42" s="22">
        <v>1</v>
      </c>
      <c r="C42" t="s">
        <v>122</v>
      </c>
      <c r="D42" s="8">
        <v>45308</v>
      </c>
      <c r="E42" s="4" t="s">
        <v>123</v>
      </c>
      <c r="F42" s="8">
        <v>45296</v>
      </c>
      <c r="G42" t="s">
        <v>95</v>
      </c>
      <c r="H42" t="s">
        <v>40</v>
      </c>
      <c r="I42" t="s">
        <v>96</v>
      </c>
      <c r="J42" t="s">
        <v>97</v>
      </c>
      <c r="K42" t="s">
        <v>182</v>
      </c>
      <c r="L42" t="s">
        <v>208</v>
      </c>
      <c r="M42" s="14">
        <v>605098</v>
      </c>
      <c r="N42" s="15"/>
      <c r="O42" s="15"/>
      <c r="P42" s="15"/>
      <c r="Q42" s="15"/>
      <c r="R42" s="15">
        <v>605098</v>
      </c>
      <c r="S42" s="14">
        <v>611149</v>
      </c>
      <c r="T42" s="23">
        <v>1</v>
      </c>
      <c r="U42" s="23" t="s">
        <v>159</v>
      </c>
      <c r="V42" s="23" t="s">
        <v>159</v>
      </c>
    </row>
    <row r="43" spans="1:22" x14ac:dyDescent="0.25">
      <c r="A43" s="22" t="str">
        <f t="shared" si="1"/>
        <v>870163300-45308-774649725891-EKA / BAYU</v>
      </c>
      <c r="B43" s="22">
        <v>1</v>
      </c>
      <c r="C43" t="s">
        <v>122</v>
      </c>
      <c r="D43" s="8">
        <v>45308</v>
      </c>
      <c r="E43" s="4" t="s">
        <v>124</v>
      </c>
      <c r="F43" s="8">
        <v>45296</v>
      </c>
      <c r="G43" t="s">
        <v>35</v>
      </c>
      <c r="H43" t="s">
        <v>40</v>
      </c>
      <c r="I43" t="s">
        <v>36</v>
      </c>
      <c r="J43" t="s">
        <v>38</v>
      </c>
      <c r="K43" t="s">
        <v>165</v>
      </c>
      <c r="L43" t="s">
        <v>208</v>
      </c>
      <c r="M43" s="14">
        <v>279477</v>
      </c>
      <c r="N43" s="15"/>
      <c r="O43" s="15"/>
      <c r="P43" s="15"/>
      <c r="Q43" s="15"/>
      <c r="R43" s="15">
        <v>279477</v>
      </c>
      <c r="S43" s="14">
        <v>282272</v>
      </c>
      <c r="T43" s="23">
        <v>1</v>
      </c>
      <c r="U43" s="23" t="s">
        <v>77</v>
      </c>
      <c r="V43" s="23" t="s">
        <v>204</v>
      </c>
    </row>
    <row r="44" spans="1:22" x14ac:dyDescent="0.25">
      <c r="A44" s="22" t="str">
        <f t="shared" si="1"/>
        <v>870163300-45308-774713825922-EKA / BAYU</v>
      </c>
      <c r="B44" s="22">
        <v>2</v>
      </c>
      <c r="C44" t="s">
        <v>122</v>
      </c>
      <c r="D44" s="8">
        <v>45308</v>
      </c>
      <c r="E44" s="4" t="s">
        <v>118</v>
      </c>
      <c r="F44" s="8">
        <v>45299</v>
      </c>
      <c r="G44" t="s">
        <v>35</v>
      </c>
      <c r="H44" t="s">
        <v>119</v>
      </c>
      <c r="I44" t="s">
        <v>36</v>
      </c>
      <c r="J44" t="s">
        <v>38</v>
      </c>
      <c r="K44" t="s">
        <v>180</v>
      </c>
      <c r="L44" t="s">
        <v>208</v>
      </c>
      <c r="M44" s="14">
        <v>2406022</v>
      </c>
      <c r="N44" s="15"/>
      <c r="O44" s="15"/>
      <c r="P44" s="15"/>
      <c r="Q44" s="15"/>
      <c r="R44" s="15">
        <v>2406022</v>
      </c>
      <c r="S44" s="14">
        <v>2430082</v>
      </c>
      <c r="T44" s="23">
        <v>0</v>
      </c>
      <c r="U44" s="23" t="s">
        <v>205</v>
      </c>
      <c r="V44" s="23" t="s">
        <v>204</v>
      </c>
    </row>
    <row r="45" spans="1:22" x14ac:dyDescent="0.25">
      <c r="A45" s="22" t="str">
        <f t="shared" si="1"/>
        <v>870163301-45308-774679939072-KIRSTIN SHENG</v>
      </c>
      <c r="B45" s="22">
        <v>1</v>
      </c>
      <c r="C45" t="s">
        <v>125</v>
      </c>
      <c r="D45" s="8">
        <v>45308</v>
      </c>
      <c r="E45" s="4" t="s">
        <v>128</v>
      </c>
      <c r="F45" s="8">
        <v>45296</v>
      </c>
      <c r="G45" t="s">
        <v>126</v>
      </c>
      <c r="H45" t="s">
        <v>129</v>
      </c>
      <c r="I45" t="s">
        <v>127</v>
      </c>
      <c r="J45" t="s">
        <v>119</v>
      </c>
      <c r="K45" t="s">
        <v>183</v>
      </c>
      <c r="L45" t="s">
        <v>238</v>
      </c>
      <c r="M45" s="14">
        <v>3359514</v>
      </c>
      <c r="N45" s="15"/>
      <c r="O45" s="15"/>
      <c r="P45" s="15"/>
      <c r="Q45" s="15"/>
      <c r="R45" s="15">
        <v>3359514</v>
      </c>
      <c r="S45" s="14">
        <v>3393109</v>
      </c>
      <c r="T45" s="23">
        <v>1</v>
      </c>
      <c r="U45" s="23" t="s">
        <v>159</v>
      </c>
      <c r="V45" s="23" t="s">
        <v>159</v>
      </c>
    </row>
    <row r="46" spans="1:22" x14ac:dyDescent="0.25">
      <c r="A46" s="22" t="str">
        <f t="shared" si="1"/>
        <v>870091402-45280-773550803405-HANFRIEND COLTD</v>
      </c>
      <c r="B46" s="22">
        <v>1</v>
      </c>
      <c r="C46" t="s">
        <v>130</v>
      </c>
      <c r="D46" s="8">
        <v>45280</v>
      </c>
      <c r="E46" s="4" t="s">
        <v>131</v>
      </c>
      <c r="F46" s="8">
        <v>45196</v>
      </c>
      <c r="G46" t="s">
        <v>70</v>
      </c>
      <c r="I46">
        <v>0</v>
      </c>
      <c r="J46" t="s">
        <v>132</v>
      </c>
      <c r="K46" t="s">
        <v>184</v>
      </c>
      <c r="L46" t="s">
        <v>238</v>
      </c>
      <c r="M46" s="14">
        <v>38962000</v>
      </c>
      <c r="N46" s="15"/>
      <c r="O46" s="15"/>
      <c r="P46" s="15"/>
      <c r="Q46" s="15"/>
      <c r="R46" s="15">
        <v>38962000</v>
      </c>
      <c r="S46" s="14">
        <v>39351620</v>
      </c>
      <c r="T46" s="23">
        <v>0</v>
      </c>
      <c r="U46" s="23" t="s">
        <v>159</v>
      </c>
      <c r="V46" s="23" t="s">
        <v>159</v>
      </c>
    </row>
    <row r="47" spans="1:22" x14ac:dyDescent="0.25">
      <c r="A47" s="22" t="str">
        <f t="shared" si="1"/>
        <v>870091402-45280-774365555030-FION LEUNG</v>
      </c>
      <c r="B47" s="22">
        <v>1</v>
      </c>
      <c r="C47" t="s">
        <v>130</v>
      </c>
      <c r="D47" s="8">
        <v>45280</v>
      </c>
      <c r="E47" s="4" t="s">
        <v>133</v>
      </c>
      <c r="F47" s="8">
        <v>45266</v>
      </c>
      <c r="G47" t="s">
        <v>51</v>
      </c>
      <c r="H47" t="s">
        <v>53</v>
      </c>
      <c r="I47" t="s">
        <v>134</v>
      </c>
      <c r="J47" t="s">
        <v>76</v>
      </c>
      <c r="K47" t="s">
        <v>185</v>
      </c>
      <c r="L47" t="s">
        <v>238</v>
      </c>
      <c r="M47" s="14">
        <v>6083752</v>
      </c>
      <c r="N47" s="15"/>
      <c r="O47" s="15"/>
      <c r="P47" s="15"/>
      <c r="Q47" s="15"/>
      <c r="R47" s="15">
        <v>6083752</v>
      </c>
      <c r="S47" s="14">
        <v>6144590</v>
      </c>
      <c r="T47" s="23">
        <v>1</v>
      </c>
      <c r="U47" s="23" t="s">
        <v>159</v>
      </c>
      <c r="V47" s="23" t="s">
        <v>159</v>
      </c>
    </row>
    <row r="48" spans="1:22" x14ac:dyDescent="0.25">
      <c r="A48" s="22" t="str">
        <f t="shared" si="1"/>
        <v>870091402-45280-774381618321-HANFRIEND COLTD</v>
      </c>
      <c r="B48" s="22">
        <v>2</v>
      </c>
      <c r="C48" t="s">
        <v>130</v>
      </c>
      <c r="D48" s="8">
        <v>45280</v>
      </c>
      <c r="E48" s="4" t="s">
        <v>121</v>
      </c>
      <c r="F48" s="8">
        <v>45267</v>
      </c>
      <c r="G48" t="s">
        <v>70</v>
      </c>
      <c r="I48" t="s">
        <v>71</v>
      </c>
      <c r="J48" t="s">
        <v>72</v>
      </c>
      <c r="K48" t="s">
        <v>181</v>
      </c>
      <c r="L48" t="s">
        <v>238</v>
      </c>
      <c r="M48" s="14">
        <v>971000</v>
      </c>
      <c r="N48" s="15"/>
      <c r="O48" s="15"/>
      <c r="P48" s="15"/>
      <c r="Q48" s="15"/>
      <c r="R48" s="15">
        <v>971000</v>
      </c>
      <c r="S48" s="14">
        <v>980710</v>
      </c>
      <c r="T48" s="23">
        <v>1</v>
      </c>
      <c r="U48" s="23" t="s">
        <v>159</v>
      </c>
      <c r="V48" s="23" t="s">
        <v>159</v>
      </c>
    </row>
    <row r="49" spans="1:22" x14ac:dyDescent="0.25">
      <c r="A49" s="22" t="str">
        <f t="shared" si="1"/>
        <v>870091403-45280-774366065088-EKA / BAYU</v>
      </c>
      <c r="B49" s="22">
        <v>1</v>
      </c>
      <c r="C49" t="s">
        <v>135</v>
      </c>
      <c r="D49" s="8">
        <v>45280</v>
      </c>
      <c r="E49" s="4" t="s">
        <v>136</v>
      </c>
      <c r="F49" s="8">
        <v>45266</v>
      </c>
      <c r="G49" t="s">
        <v>35</v>
      </c>
      <c r="H49" t="s">
        <v>40</v>
      </c>
      <c r="I49" t="s">
        <v>36</v>
      </c>
      <c r="J49" t="s">
        <v>38</v>
      </c>
      <c r="K49" t="s">
        <v>166</v>
      </c>
      <c r="L49" t="s">
        <v>208</v>
      </c>
      <c r="M49" s="14">
        <v>265047</v>
      </c>
      <c r="N49" s="15"/>
      <c r="O49" s="15"/>
      <c r="P49" s="15"/>
      <c r="Q49" s="15"/>
      <c r="R49" s="15">
        <v>265047</v>
      </c>
      <c r="S49" s="14">
        <v>267697</v>
      </c>
      <c r="T49" s="23">
        <v>1</v>
      </c>
      <c r="U49" s="23" t="s">
        <v>77</v>
      </c>
      <c r="V49" s="23" t="s">
        <v>204</v>
      </c>
    </row>
    <row r="50" spans="1:22" x14ac:dyDescent="0.25">
      <c r="A50" s="22" t="str">
        <f t="shared" si="1"/>
        <v>870091403-45280-774366629259-MS. MERCY</v>
      </c>
      <c r="B50" s="22">
        <v>1</v>
      </c>
      <c r="C50" t="s">
        <v>135</v>
      </c>
      <c r="D50" s="8">
        <v>45280</v>
      </c>
      <c r="E50" s="4" t="s">
        <v>137</v>
      </c>
      <c r="F50" s="8">
        <v>45266</v>
      </c>
      <c r="G50" t="s">
        <v>42</v>
      </c>
      <c r="H50" t="s">
        <v>40</v>
      </c>
      <c r="I50" t="s">
        <v>87</v>
      </c>
      <c r="J50" t="s">
        <v>158</v>
      </c>
      <c r="K50" t="s">
        <v>165</v>
      </c>
      <c r="L50" t="s">
        <v>238</v>
      </c>
      <c r="M50" s="14">
        <v>231978</v>
      </c>
      <c r="N50" s="15"/>
      <c r="O50" s="15"/>
      <c r="P50" s="15"/>
      <c r="Q50" s="15"/>
      <c r="R50" s="15">
        <v>231978</v>
      </c>
      <c r="S50" s="14">
        <v>234298</v>
      </c>
      <c r="T50" s="23">
        <v>1</v>
      </c>
      <c r="U50" s="23" t="s">
        <v>195</v>
      </c>
      <c r="V50" s="23" t="s">
        <v>204</v>
      </c>
    </row>
    <row r="51" spans="1:22" x14ac:dyDescent="0.25">
      <c r="A51" s="22" t="str">
        <f t="shared" si="1"/>
        <v>870091403-45280-774398794300-WINTA</v>
      </c>
      <c r="B51" s="22">
        <v>1</v>
      </c>
      <c r="C51" t="s">
        <v>135</v>
      </c>
      <c r="D51" s="8">
        <v>45280</v>
      </c>
      <c r="E51" s="4" t="s">
        <v>138</v>
      </c>
      <c r="F51" s="8">
        <v>45268</v>
      </c>
      <c r="G51" t="s">
        <v>95</v>
      </c>
      <c r="H51" t="s">
        <v>40</v>
      </c>
      <c r="I51" t="s">
        <v>96</v>
      </c>
      <c r="J51" t="s">
        <v>97</v>
      </c>
      <c r="K51" t="s">
        <v>186</v>
      </c>
      <c r="L51" t="s">
        <v>208</v>
      </c>
      <c r="M51" s="14">
        <v>310038</v>
      </c>
      <c r="N51" s="15"/>
      <c r="O51" s="15"/>
      <c r="P51" s="15"/>
      <c r="Q51" s="15"/>
      <c r="R51" s="15">
        <v>310038</v>
      </c>
      <c r="S51" s="14">
        <v>313138</v>
      </c>
      <c r="T51" s="23">
        <v>1</v>
      </c>
      <c r="U51" s="23" t="s">
        <v>159</v>
      </c>
      <c r="V51" s="23" t="s">
        <v>159</v>
      </c>
    </row>
    <row r="52" spans="1:22" x14ac:dyDescent="0.25">
      <c r="A52" s="22" t="str">
        <f t="shared" si="1"/>
        <v>870091403-45280-774365282079-AGUSTINA FUNG FUNG/MERY/VIOLA</v>
      </c>
      <c r="B52" s="22">
        <v>1</v>
      </c>
      <c r="C52" t="s">
        <v>135</v>
      </c>
      <c r="D52" s="8">
        <v>45280</v>
      </c>
      <c r="E52" s="4" t="s">
        <v>139</v>
      </c>
      <c r="F52" s="8">
        <v>45268</v>
      </c>
      <c r="G52" t="s">
        <v>91</v>
      </c>
      <c r="H52" t="s">
        <v>40</v>
      </c>
      <c r="I52" t="s">
        <v>140</v>
      </c>
      <c r="J52" t="s">
        <v>159</v>
      </c>
      <c r="K52" t="s">
        <v>177</v>
      </c>
      <c r="L52" t="s">
        <v>238</v>
      </c>
      <c r="M52" s="14">
        <v>743151</v>
      </c>
      <c r="N52" s="15"/>
      <c r="O52" s="15"/>
      <c r="P52" s="15"/>
      <c r="Q52" s="15"/>
      <c r="R52" s="15">
        <v>743151</v>
      </c>
      <c r="S52" s="14">
        <v>750583</v>
      </c>
      <c r="T52" s="23">
        <v>0</v>
      </c>
      <c r="U52" s="23" t="s">
        <v>159</v>
      </c>
      <c r="V52" s="23" t="s">
        <v>159</v>
      </c>
    </row>
    <row r="53" spans="1:22" x14ac:dyDescent="0.25">
      <c r="A53" s="22" t="str">
        <f t="shared" si="1"/>
        <v>870091403-45280-774397920487-EKA / BAYU</v>
      </c>
      <c r="B53" s="22">
        <v>1</v>
      </c>
      <c r="C53" t="s">
        <v>135</v>
      </c>
      <c r="D53" s="8">
        <v>45280</v>
      </c>
      <c r="E53" s="4" t="s">
        <v>141</v>
      </c>
      <c r="F53" s="8">
        <v>45268</v>
      </c>
      <c r="G53" t="s">
        <v>35</v>
      </c>
      <c r="H53" t="s">
        <v>40</v>
      </c>
      <c r="I53" t="s">
        <v>36</v>
      </c>
      <c r="J53" t="s">
        <v>38</v>
      </c>
      <c r="K53" t="s">
        <v>187</v>
      </c>
      <c r="L53" t="s">
        <v>208</v>
      </c>
      <c r="M53" s="14">
        <v>477445</v>
      </c>
      <c r="N53" s="15"/>
      <c r="O53" s="15"/>
      <c r="P53" s="15"/>
      <c r="Q53" s="15"/>
      <c r="R53" s="15">
        <v>477445</v>
      </c>
      <c r="S53" s="14">
        <v>482219</v>
      </c>
      <c r="T53" s="23">
        <v>1</v>
      </c>
      <c r="U53" s="23" t="s">
        <v>77</v>
      </c>
      <c r="V53" s="23" t="s">
        <v>204</v>
      </c>
    </row>
    <row r="54" spans="1:22" x14ac:dyDescent="0.25">
      <c r="A54" s="22" t="str">
        <f t="shared" si="1"/>
        <v>870091403-45280-774398472980-EKA / BAYU</v>
      </c>
      <c r="B54" s="22">
        <v>2</v>
      </c>
      <c r="C54" t="s">
        <v>135</v>
      </c>
      <c r="D54" s="8">
        <v>45280</v>
      </c>
      <c r="E54" s="4" t="s">
        <v>116</v>
      </c>
      <c r="F54" s="8">
        <v>45268</v>
      </c>
      <c r="G54" t="s">
        <v>35</v>
      </c>
      <c r="H54" t="s">
        <v>40</v>
      </c>
      <c r="I54" t="s">
        <v>36</v>
      </c>
      <c r="J54" t="s">
        <v>38</v>
      </c>
      <c r="K54" t="s">
        <v>188</v>
      </c>
      <c r="L54" t="s">
        <v>208</v>
      </c>
      <c r="M54" s="14">
        <v>2272707</v>
      </c>
      <c r="N54" s="15"/>
      <c r="O54" s="15"/>
      <c r="P54" s="15"/>
      <c r="Q54" s="15"/>
      <c r="R54" s="15">
        <v>2272707</v>
      </c>
      <c r="S54" s="14">
        <v>2295434</v>
      </c>
      <c r="T54" s="23">
        <v>0</v>
      </c>
      <c r="U54" s="23" t="s">
        <v>205</v>
      </c>
      <c r="V54" s="23" t="s">
        <v>204</v>
      </c>
    </row>
    <row r="55" spans="1:22" x14ac:dyDescent="0.25">
      <c r="A55" s="22" t="str">
        <f t="shared" si="1"/>
        <v>870091403-45280-774399685776-MS. MERCY</v>
      </c>
      <c r="B55" s="22">
        <v>1</v>
      </c>
      <c r="C55" t="s">
        <v>135</v>
      </c>
      <c r="D55" s="8">
        <v>45280</v>
      </c>
      <c r="E55" s="4" t="s">
        <v>142</v>
      </c>
      <c r="F55" s="8">
        <v>45268</v>
      </c>
      <c r="G55" t="s">
        <v>42</v>
      </c>
      <c r="H55" t="s">
        <v>40</v>
      </c>
      <c r="I55" t="s">
        <v>87</v>
      </c>
      <c r="J55" t="s">
        <v>158</v>
      </c>
      <c r="K55" t="s">
        <v>189</v>
      </c>
      <c r="L55" t="s">
        <v>238</v>
      </c>
      <c r="M55" s="14">
        <v>231978</v>
      </c>
      <c r="N55" s="15"/>
      <c r="O55" s="15"/>
      <c r="P55" s="15"/>
      <c r="Q55" s="15"/>
      <c r="R55" s="15">
        <v>231978</v>
      </c>
      <c r="S55" s="14">
        <v>234298</v>
      </c>
      <c r="T55" s="23">
        <v>1</v>
      </c>
      <c r="U55" s="23" t="s">
        <v>195</v>
      </c>
      <c r="V55" s="23" t="s">
        <v>204</v>
      </c>
    </row>
    <row r="56" spans="1:22" x14ac:dyDescent="0.25">
      <c r="A56" s="22" t="str">
        <f t="shared" si="1"/>
        <v>870091403-45280-774421829468-EKA / BAYU</v>
      </c>
      <c r="B56" s="22">
        <v>1</v>
      </c>
      <c r="C56" t="s">
        <v>135</v>
      </c>
      <c r="D56" s="8">
        <v>45280</v>
      </c>
      <c r="E56" s="4" t="s">
        <v>143</v>
      </c>
      <c r="F56" s="8">
        <v>45271</v>
      </c>
      <c r="G56" t="s">
        <v>35</v>
      </c>
      <c r="H56" t="s">
        <v>40</v>
      </c>
      <c r="I56" t="s">
        <v>36</v>
      </c>
      <c r="J56" t="s">
        <v>38</v>
      </c>
      <c r="K56" t="s">
        <v>166</v>
      </c>
      <c r="L56" t="s">
        <v>208</v>
      </c>
      <c r="M56" s="14">
        <v>263000</v>
      </c>
      <c r="N56" s="15"/>
      <c r="O56" s="15"/>
      <c r="P56" s="15"/>
      <c r="Q56" s="15"/>
      <c r="R56" s="15">
        <v>263000</v>
      </c>
      <c r="S56" s="14">
        <v>265630</v>
      </c>
      <c r="T56" s="23">
        <v>1</v>
      </c>
      <c r="U56" s="23" t="s">
        <v>77</v>
      </c>
      <c r="V56" s="23" t="s">
        <v>204</v>
      </c>
    </row>
    <row r="57" spans="1:22" x14ac:dyDescent="0.25">
      <c r="A57" s="22" t="str">
        <f t="shared" si="1"/>
        <v>870093989-45280-774365555030-FION LEUNG</v>
      </c>
      <c r="B57" s="22">
        <v>2</v>
      </c>
      <c r="C57" t="s">
        <v>144</v>
      </c>
      <c r="D57" s="8">
        <v>45280</v>
      </c>
      <c r="E57" s="4" t="s">
        <v>133</v>
      </c>
      <c r="F57" s="8">
        <v>45266</v>
      </c>
      <c r="G57" t="s">
        <v>51</v>
      </c>
      <c r="H57" t="s">
        <v>53</v>
      </c>
      <c r="I57" t="s">
        <v>134</v>
      </c>
      <c r="J57" t="s">
        <v>76</v>
      </c>
      <c r="K57" t="s">
        <v>185</v>
      </c>
      <c r="L57" t="s">
        <v>238</v>
      </c>
      <c r="M57" s="14">
        <v>6083752</v>
      </c>
      <c r="N57" s="15"/>
      <c r="O57" s="15"/>
      <c r="P57" s="15"/>
      <c r="Q57" s="15"/>
      <c r="R57" s="15">
        <v>6083752</v>
      </c>
      <c r="S57" s="14">
        <v>6144590</v>
      </c>
      <c r="T57" s="23">
        <v>1</v>
      </c>
      <c r="U57" s="23" t="s">
        <v>159</v>
      </c>
      <c r="V57" s="23" t="s">
        <v>159</v>
      </c>
    </row>
    <row r="58" spans="1:22" x14ac:dyDescent="0.25">
      <c r="A58" s="22" t="str">
        <f t="shared" si="1"/>
        <v>870111817-45287-774475073999-SHENYANG</v>
      </c>
      <c r="B58" s="22">
        <v>1</v>
      </c>
      <c r="C58" t="s">
        <v>145</v>
      </c>
      <c r="D58" s="8">
        <v>45287</v>
      </c>
      <c r="E58" s="4" t="s">
        <v>146</v>
      </c>
      <c r="F58" s="8">
        <v>45275</v>
      </c>
      <c r="G58" t="s">
        <v>55</v>
      </c>
      <c r="H58" t="s">
        <v>57</v>
      </c>
      <c r="I58" t="s">
        <v>157</v>
      </c>
      <c r="J58" t="s">
        <v>22</v>
      </c>
      <c r="K58" t="s">
        <v>190</v>
      </c>
      <c r="L58" t="s">
        <v>238</v>
      </c>
      <c r="M58" s="14">
        <v>632839</v>
      </c>
      <c r="N58" s="15"/>
      <c r="O58" s="15"/>
      <c r="P58" s="15"/>
      <c r="Q58" s="15"/>
      <c r="R58" s="15">
        <v>632839</v>
      </c>
      <c r="S58" s="14">
        <v>639167</v>
      </c>
      <c r="T58" s="23">
        <v>1</v>
      </c>
      <c r="U58" s="23" t="s">
        <v>195</v>
      </c>
      <c r="V58" s="23" t="s">
        <v>204</v>
      </c>
    </row>
    <row r="59" spans="1:22" x14ac:dyDescent="0.25">
      <c r="A59" s="22" t="str">
        <f t="shared" si="1"/>
        <v>870111818-45287-774458508594-MS. MERCY</v>
      </c>
      <c r="B59" s="22">
        <v>1</v>
      </c>
      <c r="C59" t="s">
        <v>147</v>
      </c>
      <c r="D59" s="8">
        <v>45287</v>
      </c>
      <c r="E59" s="4" t="s">
        <v>148</v>
      </c>
      <c r="F59" s="8">
        <v>45273</v>
      </c>
      <c r="G59" t="s">
        <v>42</v>
      </c>
      <c r="H59" t="s">
        <v>40</v>
      </c>
      <c r="I59" t="s">
        <v>46</v>
      </c>
      <c r="J59" t="s">
        <v>47</v>
      </c>
      <c r="K59" t="s">
        <v>166</v>
      </c>
      <c r="L59" t="s">
        <v>238</v>
      </c>
      <c r="M59" s="14">
        <v>230187</v>
      </c>
      <c r="N59" s="15"/>
      <c r="O59" s="15"/>
      <c r="P59" s="15"/>
      <c r="Q59" s="15"/>
      <c r="R59" s="15">
        <v>230187</v>
      </c>
      <c r="S59" s="14">
        <v>232489</v>
      </c>
      <c r="T59" s="23">
        <v>1</v>
      </c>
      <c r="U59" s="23" t="s">
        <v>195</v>
      </c>
      <c r="V59" s="23" t="s">
        <v>204</v>
      </c>
    </row>
    <row r="60" spans="1:22" x14ac:dyDescent="0.25">
      <c r="A60" s="22" t="str">
        <f t="shared" si="1"/>
        <v>870111818-45287-774456317101-EKA / BAYU</v>
      </c>
      <c r="B60" s="22">
        <v>1</v>
      </c>
      <c r="C60" t="s">
        <v>147</v>
      </c>
      <c r="D60" s="8">
        <v>45287</v>
      </c>
      <c r="E60" s="4" t="s">
        <v>149</v>
      </c>
      <c r="F60" s="8">
        <v>45274</v>
      </c>
      <c r="G60" t="s">
        <v>35</v>
      </c>
      <c r="H60" t="s">
        <v>40</v>
      </c>
      <c r="I60" t="s">
        <v>36</v>
      </c>
      <c r="J60" t="s">
        <v>38</v>
      </c>
      <c r="K60" t="s">
        <v>165</v>
      </c>
      <c r="L60" t="s">
        <v>208</v>
      </c>
      <c r="M60" s="14">
        <v>263048</v>
      </c>
      <c r="N60" s="15"/>
      <c r="O60" s="15"/>
      <c r="P60" s="15"/>
      <c r="Q60" s="15"/>
      <c r="R60" s="15">
        <v>263048</v>
      </c>
      <c r="S60" s="14">
        <v>265678</v>
      </c>
      <c r="T60" s="23">
        <v>1</v>
      </c>
      <c r="U60" s="23" t="s">
        <v>77</v>
      </c>
      <c r="V60" s="23" t="s">
        <v>204</v>
      </c>
    </row>
    <row r="61" spans="1:22" x14ac:dyDescent="0.25">
      <c r="A61" s="22" t="str">
        <f t="shared" si="1"/>
        <v>870111818-45287-787993428533-MS. MERCY</v>
      </c>
      <c r="B61" s="22">
        <v>1</v>
      </c>
      <c r="C61" t="s">
        <v>147</v>
      </c>
      <c r="D61" s="8">
        <v>45287</v>
      </c>
      <c r="E61" s="4" t="s">
        <v>150</v>
      </c>
      <c r="F61" s="8">
        <v>45274</v>
      </c>
      <c r="G61" t="s">
        <v>42</v>
      </c>
      <c r="H61" t="s">
        <v>40</v>
      </c>
      <c r="I61" t="s">
        <v>87</v>
      </c>
      <c r="J61" t="s">
        <v>158</v>
      </c>
      <c r="K61" t="s">
        <v>189</v>
      </c>
      <c r="L61" t="s">
        <v>238</v>
      </c>
      <c r="M61" s="14">
        <v>230187</v>
      </c>
      <c r="N61" s="15"/>
      <c r="O61" s="15"/>
      <c r="P61" s="15"/>
      <c r="Q61" s="15"/>
      <c r="R61" s="15">
        <v>230187</v>
      </c>
      <c r="S61" s="14">
        <v>232489</v>
      </c>
      <c r="T61" s="23">
        <v>1</v>
      </c>
      <c r="U61" s="23" t="s">
        <v>195</v>
      </c>
      <c r="V61" s="23" t="s">
        <v>204</v>
      </c>
    </row>
    <row r="62" spans="1:22" x14ac:dyDescent="0.25">
      <c r="A62" s="22" t="str">
        <f t="shared" si="1"/>
        <v>870111818-45287-774457287395-WINTA</v>
      </c>
      <c r="B62" s="22">
        <v>1</v>
      </c>
      <c r="C62" t="s">
        <v>147</v>
      </c>
      <c r="D62" s="8">
        <v>45287</v>
      </c>
      <c r="E62" s="4" t="s">
        <v>151</v>
      </c>
      <c r="F62" s="8">
        <v>45275</v>
      </c>
      <c r="G62" t="s">
        <v>95</v>
      </c>
      <c r="H62" t="s">
        <v>40</v>
      </c>
      <c r="I62" t="s">
        <v>96</v>
      </c>
      <c r="J62" t="s">
        <v>97</v>
      </c>
      <c r="K62" t="s">
        <v>191</v>
      </c>
      <c r="L62" t="s">
        <v>208</v>
      </c>
      <c r="M62" s="14">
        <v>245106</v>
      </c>
      <c r="N62" s="15"/>
      <c r="O62" s="15"/>
      <c r="P62" s="15"/>
      <c r="Q62" s="15"/>
      <c r="R62" s="15">
        <v>245106</v>
      </c>
      <c r="S62" s="14">
        <v>247557</v>
      </c>
      <c r="T62" s="23">
        <v>1</v>
      </c>
      <c r="U62" s="23" t="s">
        <v>159</v>
      </c>
      <c r="V62" s="23" t="s">
        <v>159</v>
      </c>
    </row>
    <row r="63" spans="1:22" x14ac:dyDescent="0.25">
      <c r="A63" s="22" t="str">
        <f t="shared" si="1"/>
        <v>870111818-45287-774494944135-MS. MERCY</v>
      </c>
      <c r="B63" s="22">
        <v>1</v>
      </c>
      <c r="C63" t="s">
        <v>147</v>
      </c>
      <c r="D63" s="8">
        <v>45287</v>
      </c>
      <c r="E63" s="4" t="s">
        <v>152</v>
      </c>
      <c r="F63" s="8">
        <v>45275</v>
      </c>
      <c r="G63" t="s">
        <v>42</v>
      </c>
      <c r="H63" t="s">
        <v>40</v>
      </c>
      <c r="I63" t="s">
        <v>87</v>
      </c>
      <c r="J63" t="s">
        <v>158</v>
      </c>
      <c r="K63" t="s">
        <v>166</v>
      </c>
      <c r="L63" t="s">
        <v>238</v>
      </c>
      <c r="M63" s="14">
        <v>230187</v>
      </c>
      <c r="N63" s="15"/>
      <c r="O63" s="15"/>
      <c r="P63" s="15"/>
      <c r="Q63" s="15"/>
      <c r="R63" s="15">
        <v>230187</v>
      </c>
      <c r="S63" s="14">
        <v>232489</v>
      </c>
      <c r="T63" s="23">
        <v>1</v>
      </c>
      <c r="U63" s="23" t="s">
        <v>195</v>
      </c>
      <c r="V63" s="23" t="s">
        <v>204</v>
      </c>
    </row>
    <row r="64" spans="1:22" x14ac:dyDescent="0.25">
      <c r="A64" s="22" t="str">
        <f t="shared" si="1"/>
        <v>870111818-45287-774532877779-EKA / BAYU</v>
      </c>
      <c r="B64" s="22">
        <v>1</v>
      </c>
      <c r="C64" t="s">
        <v>147</v>
      </c>
      <c r="D64" s="8">
        <v>45287</v>
      </c>
      <c r="E64" s="4" t="s">
        <v>153</v>
      </c>
      <c r="F64" s="8">
        <v>45279</v>
      </c>
      <c r="G64" t="s">
        <v>35</v>
      </c>
      <c r="H64" t="s">
        <v>37</v>
      </c>
      <c r="I64" t="s">
        <v>36</v>
      </c>
      <c r="J64" t="s">
        <v>38</v>
      </c>
      <c r="K64" t="s">
        <v>173</v>
      </c>
      <c r="L64" t="s">
        <v>208</v>
      </c>
      <c r="M64" s="14">
        <v>468228</v>
      </c>
      <c r="N64" s="15"/>
      <c r="O64" s="15"/>
      <c r="P64" s="15"/>
      <c r="Q64" s="15"/>
      <c r="R64" s="15">
        <v>468228</v>
      </c>
      <c r="S64" s="14">
        <v>472910</v>
      </c>
      <c r="T64" s="23">
        <v>1</v>
      </c>
      <c r="U64" s="23" t="s">
        <v>77</v>
      </c>
      <c r="V64" s="23" t="s">
        <v>204</v>
      </c>
    </row>
    <row r="65" spans="1:22" x14ac:dyDescent="0.25">
      <c r="A65" s="22" t="str">
        <f t="shared" si="1"/>
        <v>870111818-45287-774535001793-MS. MERCY</v>
      </c>
      <c r="B65" s="22">
        <v>1</v>
      </c>
      <c r="C65" t="s">
        <v>147</v>
      </c>
      <c r="D65" s="8">
        <v>45287</v>
      </c>
      <c r="E65" s="4" t="s">
        <v>154</v>
      </c>
      <c r="F65" s="8">
        <v>45279</v>
      </c>
      <c r="G65" t="s">
        <v>42</v>
      </c>
      <c r="H65" t="s">
        <v>40</v>
      </c>
      <c r="I65" t="s">
        <v>87</v>
      </c>
      <c r="J65" t="s">
        <v>158</v>
      </c>
      <c r="K65" t="s">
        <v>166</v>
      </c>
      <c r="L65" t="s">
        <v>238</v>
      </c>
      <c r="M65" s="14">
        <v>227500</v>
      </c>
      <c r="N65" s="15"/>
      <c r="O65" s="15"/>
      <c r="P65" s="15"/>
      <c r="Q65" s="15"/>
      <c r="R65" s="15">
        <v>227500</v>
      </c>
      <c r="S65" s="14">
        <v>229775</v>
      </c>
      <c r="T65" s="23">
        <v>1</v>
      </c>
      <c r="U65" s="23" t="s">
        <v>195</v>
      </c>
      <c r="V65" s="23" t="s">
        <v>204</v>
      </c>
    </row>
    <row r="66" spans="1:22" x14ac:dyDescent="0.25">
      <c r="A66" s="22" t="str">
        <f t="shared" si="1"/>
        <v>870111818-45287-774535060851-MS. MERCY</v>
      </c>
      <c r="B66" s="22">
        <v>1</v>
      </c>
      <c r="C66" t="s">
        <v>147</v>
      </c>
      <c r="D66" s="8">
        <v>45287</v>
      </c>
      <c r="E66" s="4" t="s">
        <v>155</v>
      </c>
      <c r="F66" s="8">
        <v>45279</v>
      </c>
      <c r="G66" t="s">
        <v>42</v>
      </c>
      <c r="H66" t="s">
        <v>40</v>
      </c>
      <c r="I66" t="s">
        <v>156</v>
      </c>
      <c r="J66" t="s">
        <v>31</v>
      </c>
      <c r="K66" t="s">
        <v>166</v>
      </c>
      <c r="L66" t="s">
        <v>238</v>
      </c>
      <c r="M66" s="14">
        <v>227500</v>
      </c>
      <c r="N66" s="15"/>
      <c r="O66" s="15"/>
      <c r="P66" s="15"/>
      <c r="Q66" s="15"/>
      <c r="R66" s="15">
        <v>227500</v>
      </c>
      <c r="S66" s="14">
        <v>229775</v>
      </c>
      <c r="T66" s="23">
        <v>1</v>
      </c>
      <c r="U66" s="23" t="s">
        <v>195</v>
      </c>
      <c r="V66" s="23" t="s">
        <v>204</v>
      </c>
    </row>
  </sheetData>
  <dataValidations disablePrompts="1" count="1">
    <dataValidation type="list" showInputMessage="1" showErrorMessage="1" sqref="T2:T66" xr:uid="{1D16ED18-6409-4A04-ABB6-6491D45EDDE6}">
      <formula1>"0,1"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C1CF1-CB91-4BBA-9EAA-0CEF774EA657}">
  <sheetPr codeName="Sheet7">
    <tabColor theme="1" tint="0.14999847407452621"/>
  </sheetPr>
  <dimension ref="A1:C31"/>
  <sheetViews>
    <sheetView workbookViewId="0">
      <selection activeCell="F3" sqref="F3"/>
    </sheetView>
  </sheetViews>
  <sheetFormatPr defaultRowHeight="15" x14ac:dyDescent="0.25"/>
  <cols>
    <col min="1" max="2" width="10.42578125" customWidth="1"/>
    <col min="3" max="3" width="11.5703125" bestFit="1" customWidth="1"/>
  </cols>
  <sheetData>
    <row r="1" spans="1:3" x14ac:dyDescent="0.25">
      <c r="A1" s="27" t="s">
        <v>211</v>
      </c>
      <c r="B1" s="27"/>
      <c r="C1" s="37"/>
    </row>
    <row r="2" spans="1:3" x14ac:dyDescent="0.25">
      <c r="A2" t="s">
        <v>212</v>
      </c>
      <c r="C2" s="1"/>
    </row>
    <row r="3" spans="1:3" x14ac:dyDescent="0.25">
      <c r="A3" t="s">
        <v>213</v>
      </c>
      <c r="C3" s="1"/>
    </row>
    <row r="4" spans="1:3" x14ac:dyDescent="0.25">
      <c r="A4" t="s">
        <v>214</v>
      </c>
      <c r="C4" s="1"/>
    </row>
    <row r="5" spans="1:3" x14ac:dyDescent="0.25">
      <c r="A5" t="s">
        <v>215</v>
      </c>
      <c r="C5" s="1"/>
    </row>
    <row r="6" spans="1:3" x14ac:dyDescent="0.25">
      <c r="A6" t="s">
        <v>203</v>
      </c>
      <c r="C6" s="1"/>
    </row>
    <row r="7" spans="1:3" x14ac:dyDescent="0.25">
      <c r="A7" t="s">
        <v>216</v>
      </c>
      <c r="C7" s="1"/>
    </row>
    <row r="8" spans="1:3" x14ac:dyDescent="0.25">
      <c r="A8" t="s">
        <v>217</v>
      </c>
      <c r="C8" s="1"/>
    </row>
    <row r="9" spans="1:3" x14ac:dyDescent="0.25">
      <c r="A9" t="s">
        <v>218</v>
      </c>
      <c r="C9" s="1"/>
    </row>
    <row r="10" spans="1:3" x14ac:dyDescent="0.25">
      <c r="A10" t="s">
        <v>219</v>
      </c>
      <c r="C10" s="1"/>
    </row>
    <row r="11" spans="1:3" x14ac:dyDescent="0.25">
      <c r="A11" t="s">
        <v>194</v>
      </c>
      <c r="C11" s="1"/>
    </row>
    <row r="12" spans="1:3" x14ac:dyDescent="0.25">
      <c r="A12" t="s">
        <v>220</v>
      </c>
      <c r="C12" s="1"/>
    </row>
    <row r="13" spans="1:3" x14ac:dyDescent="0.25">
      <c r="A13" t="s">
        <v>221</v>
      </c>
      <c r="C13" s="1"/>
    </row>
    <row r="14" spans="1:3" x14ac:dyDescent="0.25">
      <c r="A14" t="s">
        <v>195</v>
      </c>
      <c r="C14" s="1"/>
    </row>
    <row r="15" spans="1:3" x14ac:dyDescent="0.25">
      <c r="A15" t="s">
        <v>222</v>
      </c>
      <c r="C15" s="1"/>
    </row>
    <row r="16" spans="1:3" x14ac:dyDescent="0.25">
      <c r="A16" t="s">
        <v>223</v>
      </c>
      <c r="C16" s="1"/>
    </row>
    <row r="17" spans="1:3" x14ac:dyDescent="0.25">
      <c r="A17" t="s">
        <v>224</v>
      </c>
      <c r="C17" s="1"/>
    </row>
    <row r="18" spans="1:3" x14ac:dyDescent="0.25">
      <c r="A18" t="s">
        <v>225</v>
      </c>
      <c r="C18" s="1"/>
    </row>
    <row r="19" spans="1:3" x14ac:dyDescent="0.25">
      <c r="A19" t="s">
        <v>226</v>
      </c>
      <c r="C19" s="1"/>
    </row>
    <row r="20" spans="1:3" x14ac:dyDescent="0.25">
      <c r="A20" t="s">
        <v>227</v>
      </c>
      <c r="C20" s="1"/>
    </row>
    <row r="21" spans="1:3" x14ac:dyDescent="0.25">
      <c r="A21" t="s">
        <v>228</v>
      </c>
      <c r="C21" s="1"/>
    </row>
    <row r="22" spans="1:3" x14ac:dyDescent="0.25">
      <c r="A22" t="s">
        <v>229</v>
      </c>
      <c r="C22" s="1"/>
    </row>
    <row r="23" spans="1:3" x14ac:dyDescent="0.25">
      <c r="A23" t="s">
        <v>230</v>
      </c>
      <c r="C23" s="1"/>
    </row>
    <row r="24" spans="1:3" x14ac:dyDescent="0.25">
      <c r="A24" t="s">
        <v>231</v>
      </c>
      <c r="C24" s="1"/>
    </row>
    <row r="25" spans="1:3" x14ac:dyDescent="0.25">
      <c r="A25" t="s">
        <v>232</v>
      </c>
      <c r="C25" s="1"/>
    </row>
    <row r="26" spans="1:3" x14ac:dyDescent="0.25">
      <c r="A26" t="s">
        <v>193</v>
      </c>
      <c r="C26" s="1"/>
    </row>
    <row r="27" spans="1:3" x14ac:dyDescent="0.25">
      <c r="A27" t="s">
        <v>233</v>
      </c>
      <c r="C27" s="1"/>
    </row>
    <row r="28" spans="1:3" x14ac:dyDescent="0.25">
      <c r="A28" t="s">
        <v>234</v>
      </c>
      <c r="C28" s="1"/>
    </row>
    <row r="29" spans="1:3" x14ac:dyDescent="0.25">
      <c r="A29" t="s">
        <v>235</v>
      </c>
      <c r="C29" s="1"/>
    </row>
    <row r="30" spans="1:3" x14ac:dyDescent="0.25">
      <c r="A30" t="s">
        <v>236</v>
      </c>
      <c r="C30" s="1"/>
    </row>
    <row r="31" spans="1:3" x14ac:dyDescent="0.25">
      <c r="A31" t="s">
        <v>237</v>
      </c>
      <c r="C31" s="1"/>
    </row>
  </sheetData>
  <phoneticPr fontId="1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3A1672-2B4A-49A5-A362-DBED218446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</vt:lpstr>
      <vt:lpstr>WORKSHEET</vt:lpstr>
      <vt:lpstr>RPA_OW</vt:lpstr>
      <vt:lpstr>BACKUP</vt:lpstr>
      <vt:lpstr>Ref_Confirmer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2024-01-15T02:54:44Z</dcterms:created>
  <dcterms:modified xsi:type="dcterms:W3CDTF">2024-02-06T06:09:05Z</dcterms:modified>
</cp:coreProperties>
</file>