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Macro Record Projects\MASTER BACKUP\MACRO - Konfirmasi FEDEX\Macro\New folder (5)\"/>
    </mc:Choice>
  </mc:AlternateContent>
  <xr:revisionPtr revIDLastSave="0" documentId="13_ncr:1_{E4119CB9-947B-402D-9668-14712752BC64}" xr6:coauthVersionLast="47" xr6:coauthVersionMax="47" xr10:uidLastSave="{00000000-0000-0000-0000-000000000000}"/>
  <bookViews>
    <workbookView xWindow="-120" yWindow="-120" windowWidth="20640" windowHeight="11160" xr2:uid="{C96677D9-A40F-45A9-B5A0-9B03A60B89D4}"/>
  </bookViews>
  <sheets>
    <sheet name="SETTINGS" sheetId="1" r:id="rId1"/>
    <sheet name="WORKSHEET" sheetId="3" r:id="rId2"/>
    <sheet name="BACKUP" sheetId="7" state="hidden" r:id="rId3"/>
    <sheet name="Cache1" sheetId="12" r:id="rId4"/>
    <sheet name="Ref_Confirmer" sheetId="14" r:id="rId5"/>
  </sheets>
  <definedNames>
    <definedName name="_xlnm._FilterDatabase" localSheetId="3" hidden="1">Cache1!$A$1:$Q$934</definedName>
    <definedName name="_xlnm._FilterDatabase" localSheetId="4" hidden="1">Ref_Confirmer!$A$1:$A$29</definedName>
    <definedName name="_xlnm._FilterDatabase" localSheetId="1" hidden="1">WORKSHEET!$A$1:$R$66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3" l="1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H2" i="3" l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R2" i="12"/>
  <c r="R3" i="12"/>
  <c r="R4" i="12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565" i="12"/>
  <c r="R566" i="12"/>
  <c r="R567" i="12"/>
  <c r="R568" i="12"/>
  <c r="R569" i="12"/>
  <c r="R570" i="12"/>
  <c r="R571" i="12"/>
  <c r="R572" i="12"/>
  <c r="R573" i="12"/>
  <c r="R574" i="12"/>
  <c r="R575" i="12"/>
  <c r="R576" i="12"/>
  <c r="R577" i="12"/>
  <c r="R578" i="12"/>
  <c r="R579" i="12"/>
  <c r="R580" i="12"/>
  <c r="R581" i="12"/>
  <c r="R582" i="12"/>
  <c r="R583" i="12"/>
  <c r="R584" i="12"/>
  <c r="R585" i="12"/>
  <c r="R586" i="12"/>
  <c r="R587" i="12"/>
  <c r="R588" i="12"/>
  <c r="R589" i="12"/>
  <c r="R590" i="12"/>
  <c r="R591" i="12"/>
  <c r="R592" i="12"/>
  <c r="R593" i="12"/>
  <c r="R594" i="12"/>
  <c r="R595" i="12"/>
  <c r="R596" i="12"/>
  <c r="R597" i="12"/>
  <c r="R598" i="12"/>
  <c r="R599" i="12"/>
  <c r="R600" i="12"/>
  <c r="R601" i="12"/>
  <c r="R602" i="12"/>
  <c r="R603" i="12"/>
  <c r="R604" i="12"/>
  <c r="R605" i="12"/>
  <c r="R606" i="12"/>
  <c r="R607" i="12"/>
  <c r="R608" i="12"/>
  <c r="R609" i="12"/>
  <c r="R610" i="12"/>
  <c r="R611" i="12"/>
  <c r="R612" i="12"/>
  <c r="R613" i="12"/>
  <c r="R614" i="12"/>
  <c r="R615" i="12"/>
  <c r="R616" i="12"/>
  <c r="R617" i="12"/>
  <c r="R618" i="12"/>
  <c r="R619" i="12"/>
  <c r="R620" i="12"/>
  <c r="R621" i="12"/>
  <c r="R622" i="12"/>
  <c r="R623" i="12"/>
  <c r="R624" i="12"/>
  <c r="R625" i="12"/>
  <c r="R626" i="12"/>
  <c r="R627" i="12"/>
  <c r="R628" i="12"/>
  <c r="R629" i="12"/>
  <c r="R630" i="12"/>
  <c r="R631" i="12"/>
  <c r="R632" i="12"/>
  <c r="R633" i="12"/>
  <c r="R634" i="12"/>
  <c r="R635" i="12"/>
  <c r="R636" i="12"/>
  <c r="R637" i="12"/>
  <c r="R638" i="12"/>
  <c r="R639" i="12"/>
  <c r="R640" i="12"/>
  <c r="R641" i="12"/>
  <c r="R642" i="12"/>
  <c r="R643" i="12"/>
  <c r="R644" i="12"/>
  <c r="R645" i="12"/>
  <c r="R646" i="12"/>
  <c r="R647" i="12"/>
  <c r="R648" i="12"/>
  <c r="R649" i="12"/>
  <c r="R650" i="12"/>
  <c r="R651" i="12"/>
  <c r="R652" i="12"/>
  <c r="R653" i="12"/>
  <c r="R654" i="12"/>
  <c r="R655" i="12"/>
  <c r="R656" i="12"/>
  <c r="R657" i="12"/>
  <c r="R658" i="12"/>
  <c r="R659" i="12"/>
  <c r="R660" i="12"/>
  <c r="R661" i="12"/>
  <c r="R662" i="12"/>
  <c r="R663" i="12"/>
  <c r="R664" i="12"/>
  <c r="R665" i="12"/>
  <c r="R666" i="12"/>
  <c r="R667" i="12"/>
  <c r="R668" i="12"/>
  <c r="R669" i="12"/>
  <c r="R670" i="12"/>
  <c r="R671" i="12"/>
  <c r="R672" i="12"/>
  <c r="R673" i="12"/>
  <c r="R674" i="12"/>
  <c r="R675" i="12"/>
  <c r="R676" i="12"/>
  <c r="R677" i="12"/>
  <c r="R678" i="12"/>
  <c r="R679" i="12"/>
  <c r="R680" i="12"/>
  <c r="R681" i="12"/>
  <c r="R682" i="12"/>
  <c r="R683" i="12"/>
  <c r="R684" i="12"/>
  <c r="R685" i="12"/>
  <c r="R686" i="12"/>
  <c r="R687" i="12"/>
  <c r="R688" i="12"/>
  <c r="R689" i="12"/>
  <c r="R690" i="12"/>
  <c r="R691" i="12"/>
  <c r="R692" i="12"/>
  <c r="R693" i="12"/>
  <c r="R694" i="12"/>
  <c r="R695" i="12"/>
  <c r="R696" i="12"/>
  <c r="R697" i="12"/>
  <c r="R698" i="12"/>
  <c r="R699" i="12"/>
  <c r="R700" i="12"/>
  <c r="R701" i="12"/>
  <c r="R702" i="12"/>
  <c r="R703" i="12"/>
  <c r="R704" i="12"/>
  <c r="R705" i="12"/>
  <c r="R706" i="12"/>
  <c r="R707" i="12"/>
  <c r="R708" i="12"/>
  <c r="R709" i="12"/>
  <c r="R710" i="12"/>
  <c r="R711" i="12"/>
  <c r="R712" i="12"/>
  <c r="R713" i="12"/>
  <c r="R714" i="12"/>
  <c r="R715" i="12"/>
  <c r="R716" i="12"/>
  <c r="R717" i="12"/>
  <c r="R718" i="12"/>
  <c r="R719" i="12"/>
  <c r="R720" i="12"/>
  <c r="R721" i="12"/>
  <c r="R722" i="12"/>
  <c r="R723" i="12"/>
  <c r="R724" i="12"/>
  <c r="R725" i="12"/>
  <c r="R726" i="12"/>
  <c r="R727" i="12"/>
  <c r="R728" i="12"/>
  <c r="R729" i="12"/>
  <c r="R730" i="12"/>
  <c r="R731" i="12"/>
  <c r="R732" i="12"/>
  <c r="R733" i="12"/>
  <c r="R734" i="12"/>
  <c r="R735" i="12"/>
  <c r="R736" i="12"/>
  <c r="R737" i="12"/>
  <c r="R738" i="12"/>
  <c r="R739" i="12"/>
  <c r="R740" i="12"/>
  <c r="R741" i="12"/>
  <c r="R742" i="12"/>
  <c r="R743" i="12"/>
  <c r="R744" i="12"/>
  <c r="R745" i="12"/>
  <c r="R746" i="12"/>
  <c r="R747" i="12"/>
  <c r="R748" i="12"/>
  <c r="R749" i="12"/>
  <c r="R750" i="12"/>
  <c r="R751" i="12"/>
  <c r="R752" i="12"/>
  <c r="R753" i="12"/>
  <c r="R754" i="12"/>
  <c r="R755" i="12"/>
  <c r="R756" i="12"/>
  <c r="R757" i="12"/>
  <c r="R758" i="12"/>
  <c r="R759" i="12"/>
  <c r="R760" i="12"/>
  <c r="R761" i="12"/>
  <c r="R762" i="12"/>
  <c r="R763" i="12"/>
  <c r="R764" i="12"/>
  <c r="R765" i="12"/>
  <c r="R766" i="12"/>
  <c r="R767" i="12"/>
  <c r="R768" i="12"/>
  <c r="R769" i="12"/>
  <c r="R770" i="12"/>
  <c r="R771" i="12"/>
  <c r="R772" i="12"/>
  <c r="R773" i="12"/>
  <c r="R774" i="12"/>
  <c r="R775" i="12"/>
  <c r="R776" i="12"/>
  <c r="R777" i="12"/>
  <c r="R778" i="12"/>
  <c r="R779" i="12"/>
  <c r="R780" i="12"/>
  <c r="R781" i="12"/>
  <c r="R782" i="12"/>
  <c r="R783" i="12"/>
  <c r="R784" i="12"/>
  <c r="R785" i="12"/>
  <c r="R786" i="12"/>
  <c r="R787" i="12"/>
  <c r="R788" i="12"/>
  <c r="R789" i="12"/>
  <c r="R790" i="12"/>
  <c r="R791" i="12"/>
  <c r="R792" i="12"/>
  <c r="R793" i="12"/>
  <c r="R794" i="12"/>
  <c r="R795" i="12"/>
  <c r="R796" i="12"/>
  <c r="R797" i="12"/>
  <c r="R798" i="12"/>
  <c r="R799" i="12"/>
  <c r="R800" i="12"/>
  <c r="R801" i="12"/>
  <c r="R802" i="12"/>
  <c r="R803" i="12"/>
  <c r="R804" i="12"/>
  <c r="R805" i="12"/>
  <c r="R806" i="12"/>
  <c r="R807" i="12"/>
  <c r="R808" i="12"/>
  <c r="R809" i="12"/>
  <c r="R810" i="12"/>
  <c r="R811" i="12"/>
  <c r="R812" i="12"/>
  <c r="R813" i="12"/>
  <c r="R814" i="12"/>
  <c r="R815" i="12"/>
  <c r="R816" i="12"/>
  <c r="R817" i="12"/>
  <c r="R818" i="12"/>
  <c r="R819" i="12"/>
  <c r="R820" i="12"/>
  <c r="R821" i="12"/>
  <c r="R822" i="12"/>
  <c r="R823" i="12"/>
  <c r="R824" i="12"/>
  <c r="R825" i="12"/>
  <c r="R826" i="12"/>
  <c r="R827" i="12"/>
  <c r="R828" i="12"/>
  <c r="R829" i="12"/>
  <c r="R830" i="12"/>
  <c r="R831" i="12"/>
  <c r="R832" i="12"/>
  <c r="R833" i="12"/>
  <c r="R834" i="12"/>
  <c r="R835" i="12"/>
  <c r="R836" i="12"/>
  <c r="R837" i="12"/>
  <c r="R838" i="12"/>
  <c r="R839" i="12"/>
  <c r="R840" i="12"/>
  <c r="R841" i="12"/>
  <c r="R842" i="12"/>
  <c r="R843" i="12"/>
  <c r="R844" i="12"/>
  <c r="R845" i="12"/>
  <c r="R846" i="12"/>
  <c r="R847" i="12"/>
  <c r="R848" i="12"/>
  <c r="R849" i="12"/>
  <c r="R850" i="12"/>
  <c r="R851" i="12"/>
  <c r="R852" i="12"/>
  <c r="R853" i="12"/>
  <c r="R854" i="12"/>
  <c r="R855" i="12"/>
  <c r="R856" i="12"/>
  <c r="R857" i="12"/>
  <c r="R858" i="12"/>
  <c r="R859" i="12"/>
  <c r="R860" i="12"/>
  <c r="R861" i="12"/>
  <c r="R862" i="12"/>
  <c r="R863" i="12"/>
  <c r="R864" i="12"/>
  <c r="R865" i="12"/>
  <c r="R866" i="12"/>
  <c r="R867" i="12"/>
  <c r="R868" i="12"/>
  <c r="R869" i="12"/>
  <c r="R870" i="12"/>
  <c r="R871" i="12"/>
  <c r="R872" i="12"/>
  <c r="R873" i="12"/>
  <c r="R874" i="12"/>
  <c r="R875" i="12"/>
  <c r="R876" i="12"/>
  <c r="R877" i="12"/>
  <c r="R878" i="12"/>
  <c r="R879" i="12"/>
  <c r="R880" i="12"/>
  <c r="R881" i="12"/>
  <c r="R882" i="12"/>
  <c r="R883" i="12"/>
  <c r="R884" i="12"/>
  <c r="R885" i="12"/>
  <c r="R886" i="12"/>
  <c r="R887" i="12"/>
  <c r="R888" i="12"/>
  <c r="R889" i="12"/>
  <c r="R890" i="12"/>
  <c r="R891" i="12"/>
  <c r="R892" i="12"/>
  <c r="R893" i="12"/>
  <c r="R894" i="12"/>
  <c r="R895" i="12"/>
  <c r="R896" i="12"/>
  <c r="R897" i="12"/>
  <c r="R898" i="12"/>
  <c r="R899" i="12"/>
  <c r="R900" i="12"/>
  <c r="R901" i="12"/>
  <c r="R902" i="12"/>
  <c r="R903" i="12"/>
  <c r="R904" i="12"/>
  <c r="R905" i="12"/>
  <c r="R906" i="12"/>
  <c r="R907" i="12"/>
  <c r="R908" i="12"/>
  <c r="R909" i="12"/>
  <c r="R910" i="12"/>
  <c r="R911" i="12"/>
  <c r="R912" i="12"/>
  <c r="R913" i="12"/>
  <c r="R914" i="12"/>
  <c r="R915" i="12"/>
  <c r="R916" i="12"/>
  <c r="R917" i="12"/>
  <c r="R918" i="12"/>
  <c r="R919" i="12"/>
  <c r="R920" i="12"/>
  <c r="R921" i="12"/>
  <c r="R922" i="12"/>
  <c r="R923" i="12"/>
  <c r="R924" i="12"/>
  <c r="R925" i="12"/>
  <c r="R926" i="12"/>
  <c r="R927" i="12"/>
  <c r="R928" i="12"/>
  <c r="R929" i="12"/>
  <c r="R930" i="12"/>
  <c r="R931" i="12"/>
  <c r="R932" i="12"/>
  <c r="R933" i="12"/>
  <c r="R934" i="12"/>
  <c r="Q2" i="12"/>
  <c r="Q3" i="12"/>
  <c r="Q4" i="12"/>
  <c r="Q5" i="12"/>
  <c r="Q6" i="12"/>
  <c r="Q7" i="12"/>
  <c r="Q8" i="12"/>
  <c r="Q9" i="12"/>
  <c r="Q10" i="12"/>
  <c r="Q11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Q42" i="12"/>
  <c r="Q43" i="12"/>
  <c r="Q44" i="12"/>
  <c r="Q45" i="12"/>
  <c r="Q46" i="12"/>
  <c r="Q47" i="12"/>
  <c r="Q48" i="12"/>
  <c r="Q49" i="12"/>
  <c r="Q50" i="12"/>
  <c r="Q51" i="12"/>
  <c r="Q52" i="12"/>
  <c r="Q53" i="12"/>
  <c r="Q54" i="12"/>
  <c r="Q55" i="12"/>
  <c r="Q56" i="12"/>
  <c r="Q57" i="12"/>
  <c r="Q58" i="12"/>
  <c r="Q59" i="12"/>
  <c r="Q60" i="12"/>
  <c r="Q61" i="12"/>
  <c r="Q62" i="12"/>
  <c r="Q63" i="12"/>
  <c r="Q64" i="12"/>
  <c r="Q65" i="12"/>
  <c r="Q66" i="12"/>
  <c r="Q67" i="12"/>
  <c r="Q68" i="12"/>
  <c r="Q69" i="12"/>
  <c r="Q70" i="12"/>
  <c r="Q71" i="12"/>
  <c r="Q72" i="12"/>
  <c r="Q73" i="12"/>
  <c r="Q74" i="12"/>
  <c r="Q75" i="12"/>
  <c r="Q76" i="12"/>
  <c r="Q77" i="12"/>
  <c r="Q78" i="12"/>
  <c r="Q79" i="12"/>
  <c r="Q80" i="12"/>
  <c r="Q81" i="12"/>
  <c r="Q82" i="12"/>
  <c r="Q83" i="12"/>
  <c r="Q84" i="12"/>
  <c r="Q85" i="12"/>
  <c r="Q86" i="12"/>
  <c r="Q87" i="12"/>
  <c r="Q88" i="12"/>
  <c r="Q89" i="12"/>
  <c r="Q90" i="12"/>
  <c r="Q91" i="12"/>
  <c r="Q92" i="12"/>
  <c r="Q93" i="12"/>
  <c r="Q94" i="12"/>
  <c r="Q95" i="12"/>
  <c r="Q96" i="12"/>
  <c r="Q97" i="12"/>
  <c r="Q98" i="12"/>
  <c r="Q99" i="12"/>
  <c r="Q100" i="12"/>
  <c r="Q101" i="12"/>
  <c r="Q102" i="12"/>
  <c r="Q103" i="12"/>
  <c r="Q104" i="12"/>
  <c r="Q105" i="12"/>
  <c r="Q106" i="12"/>
  <c r="Q107" i="12"/>
  <c r="Q108" i="12"/>
  <c r="Q109" i="12"/>
  <c r="Q110" i="12"/>
  <c r="Q111" i="12"/>
  <c r="Q112" i="12"/>
  <c r="Q113" i="12"/>
  <c r="Q114" i="12"/>
  <c r="Q115" i="12"/>
  <c r="Q116" i="12"/>
  <c r="Q117" i="12"/>
  <c r="Q118" i="12"/>
  <c r="Q119" i="12"/>
  <c r="Q120" i="12"/>
  <c r="Q121" i="12"/>
  <c r="Q122" i="12"/>
  <c r="Q123" i="12"/>
  <c r="Q124" i="12"/>
  <c r="Q125" i="12"/>
  <c r="Q126" i="12"/>
  <c r="Q127" i="12"/>
  <c r="Q128" i="12"/>
  <c r="Q129" i="12"/>
  <c r="Q130" i="12"/>
  <c r="Q131" i="12"/>
  <c r="Q132" i="12"/>
  <c r="Q133" i="12"/>
  <c r="Q134" i="12"/>
  <c r="Q135" i="12"/>
  <c r="Q136" i="12"/>
  <c r="Q137" i="12"/>
  <c r="Q138" i="12"/>
  <c r="Q139" i="12"/>
  <c r="Q140" i="12"/>
  <c r="Q141" i="12"/>
  <c r="Q142" i="12"/>
  <c r="Q143" i="12"/>
  <c r="Q144" i="12"/>
  <c r="Q145" i="12"/>
  <c r="Q146" i="12"/>
  <c r="Q147" i="12"/>
  <c r="Q148" i="12"/>
  <c r="Q149" i="12"/>
  <c r="Q150" i="12"/>
  <c r="Q151" i="12"/>
  <c r="Q152" i="12"/>
  <c r="Q153" i="12"/>
  <c r="Q154" i="12"/>
  <c r="Q155" i="12"/>
  <c r="Q156" i="12"/>
  <c r="Q157" i="12"/>
  <c r="Q158" i="12"/>
  <c r="Q159" i="12"/>
  <c r="Q160" i="12"/>
  <c r="Q161" i="12"/>
  <c r="Q162" i="12"/>
  <c r="Q163" i="12"/>
  <c r="Q164" i="12"/>
  <c r="Q165" i="12"/>
  <c r="Q166" i="12"/>
  <c r="Q167" i="12"/>
  <c r="Q168" i="12"/>
  <c r="Q169" i="12"/>
  <c r="Q170" i="12"/>
  <c r="Q171" i="12"/>
  <c r="Q172" i="12"/>
  <c r="Q173" i="12"/>
  <c r="Q174" i="12"/>
  <c r="Q175" i="12"/>
  <c r="Q176" i="12"/>
  <c r="Q177" i="12"/>
  <c r="Q178" i="12"/>
  <c r="Q179" i="12"/>
  <c r="Q180" i="12"/>
  <c r="Q181" i="12"/>
  <c r="Q182" i="12"/>
  <c r="Q183" i="12"/>
  <c r="Q184" i="12"/>
  <c r="Q185" i="12"/>
  <c r="Q186" i="12"/>
  <c r="Q187" i="12"/>
  <c r="Q188" i="12"/>
  <c r="Q189" i="12"/>
  <c r="Q190" i="12"/>
  <c r="Q191" i="12"/>
  <c r="Q192" i="12"/>
  <c r="Q193" i="12"/>
  <c r="Q194" i="12"/>
  <c r="Q195" i="12"/>
  <c r="Q196" i="12"/>
  <c r="Q197" i="12"/>
  <c r="Q198" i="12"/>
  <c r="Q199" i="12"/>
  <c r="Q200" i="12"/>
  <c r="Q201" i="12"/>
  <c r="Q202" i="12"/>
  <c r="Q203" i="12"/>
  <c r="Q204" i="12"/>
  <c r="Q205" i="12"/>
  <c r="Q206" i="12"/>
  <c r="Q207" i="12"/>
  <c r="Q208" i="12"/>
  <c r="Q209" i="12"/>
  <c r="Q210" i="12"/>
  <c r="Q211" i="12"/>
  <c r="Q212" i="12"/>
  <c r="Q213" i="12"/>
  <c r="Q214" i="12"/>
  <c r="Q215" i="12"/>
  <c r="Q216" i="12"/>
  <c r="Q217" i="12"/>
  <c r="Q218" i="12"/>
  <c r="Q219" i="12"/>
  <c r="Q220" i="12"/>
  <c r="Q221" i="12"/>
  <c r="Q222" i="12"/>
  <c r="Q223" i="12"/>
  <c r="Q224" i="12"/>
  <c r="Q225" i="12"/>
  <c r="Q226" i="12"/>
  <c r="Q227" i="12"/>
  <c r="Q228" i="12"/>
  <c r="Q229" i="12"/>
  <c r="Q230" i="12"/>
  <c r="Q231" i="12"/>
  <c r="Q232" i="12"/>
  <c r="Q233" i="12"/>
  <c r="Q234" i="12"/>
  <c r="Q235" i="12"/>
  <c r="Q236" i="12"/>
  <c r="Q237" i="12"/>
  <c r="Q238" i="12"/>
  <c r="Q239" i="12"/>
  <c r="Q240" i="12"/>
  <c r="Q241" i="12"/>
  <c r="Q242" i="12"/>
  <c r="Q243" i="12"/>
  <c r="Q244" i="12"/>
  <c r="Q245" i="12"/>
  <c r="Q246" i="12"/>
  <c r="Q247" i="12"/>
  <c r="Q248" i="12"/>
  <c r="Q249" i="12"/>
  <c r="Q250" i="12"/>
  <c r="Q251" i="12"/>
  <c r="Q252" i="12"/>
  <c r="Q253" i="12"/>
  <c r="Q254" i="12"/>
  <c r="Q255" i="12"/>
  <c r="Q256" i="12"/>
  <c r="Q257" i="12"/>
  <c r="Q258" i="12"/>
  <c r="Q259" i="12"/>
  <c r="Q260" i="12"/>
  <c r="Q261" i="12"/>
  <c r="Q262" i="12"/>
  <c r="Q263" i="12"/>
  <c r="Q264" i="12"/>
  <c r="Q265" i="12"/>
  <c r="Q266" i="12"/>
  <c r="Q267" i="12"/>
  <c r="Q268" i="12"/>
  <c r="Q269" i="12"/>
  <c r="Q270" i="12"/>
  <c r="Q271" i="12"/>
  <c r="Q272" i="12"/>
  <c r="Q273" i="12"/>
  <c r="Q274" i="12"/>
  <c r="Q275" i="12"/>
  <c r="Q276" i="12"/>
  <c r="Q277" i="12"/>
  <c r="Q278" i="12"/>
  <c r="Q279" i="12"/>
  <c r="Q280" i="12"/>
  <c r="Q281" i="12"/>
  <c r="Q282" i="12"/>
  <c r="Q283" i="12"/>
  <c r="Q284" i="12"/>
  <c r="Q285" i="12"/>
  <c r="Q286" i="12"/>
  <c r="Q287" i="12"/>
  <c r="Q288" i="12"/>
  <c r="Q289" i="12"/>
  <c r="Q290" i="12"/>
  <c r="Q291" i="12"/>
  <c r="Q292" i="12"/>
  <c r="Q293" i="12"/>
  <c r="Q294" i="12"/>
  <c r="Q295" i="12"/>
  <c r="Q296" i="12"/>
  <c r="Q297" i="12"/>
  <c r="Q298" i="12"/>
  <c r="Q299" i="12"/>
  <c r="Q300" i="12"/>
  <c r="Q301" i="12"/>
  <c r="Q302" i="12"/>
  <c r="Q303" i="12"/>
  <c r="Q304" i="12"/>
  <c r="Q305" i="12"/>
  <c r="Q306" i="12"/>
  <c r="Q307" i="12"/>
  <c r="Q308" i="12"/>
  <c r="Q309" i="12"/>
  <c r="Q310" i="12"/>
  <c r="Q311" i="12"/>
  <c r="Q312" i="12"/>
  <c r="Q313" i="12"/>
  <c r="Q314" i="12"/>
  <c r="Q315" i="12"/>
  <c r="Q316" i="12"/>
  <c r="Q317" i="12"/>
  <c r="Q318" i="12"/>
  <c r="Q319" i="12"/>
  <c r="Q320" i="12"/>
  <c r="Q321" i="12"/>
  <c r="Q322" i="12"/>
  <c r="Q323" i="12"/>
  <c r="Q324" i="12"/>
  <c r="Q325" i="12"/>
  <c r="Q326" i="12"/>
  <c r="Q327" i="12"/>
  <c r="Q328" i="12"/>
  <c r="Q329" i="12"/>
  <c r="Q330" i="12"/>
  <c r="Q331" i="12"/>
  <c r="Q332" i="12"/>
  <c r="Q333" i="12"/>
  <c r="Q334" i="12"/>
  <c r="Q335" i="12"/>
  <c r="Q336" i="12"/>
  <c r="Q337" i="12"/>
  <c r="Q338" i="12"/>
  <c r="Q339" i="12"/>
  <c r="Q340" i="12"/>
  <c r="Q341" i="12"/>
  <c r="Q342" i="12"/>
  <c r="Q343" i="12"/>
  <c r="Q344" i="12"/>
  <c r="Q345" i="12"/>
  <c r="Q346" i="12"/>
  <c r="Q347" i="12"/>
  <c r="Q348" i="12"/>
  <c r="Q349" i="12"/>
  <c r="Q350" i="12"/>
  <c r="Q351" i="12"/>
  <c r="Q352" i="12"/>
  <c r="Q353" i="12"/>
  <c r="Q354" i="12"/>
  <c r="Q355" i="12"/>
  <c r="Q356" i="12"/>
  <c r="Q357" i="12"/>
  <c r="Q358" i="12"/>
  <c r="Q359" i="12"/>
  <c r="Q360" i="12"/>
  <c r="Q361" i="12"/>
  <c r="Q362" i="12"/>
  <c r="Q363" i="12"/>
  <c r="Q364" i="12"/>
  <c r="Q365" i="12"/>
  <c r="Q366" i="12"/>
  <c r="Q367" i="12"/>
  <c r="Q368" i="12"/>
  <c r="Q369" i="12"/>
  <c r="Q370" i="12"/>
  <c r="Q371" i="12"/>
  <c r="Q372" i="12"/>
  <c r="Q373" i="12"/>
  <c r="Q374" i="12"/>
  <c r="Q375" i="12"/>
  <c r="Q376" i="12"/>
  <c r="Q377" i="12"/>
  <c r="Q378" i="12"/>
  <c r="Q379" i="12"/>
  <c r="Q380" i="12"/>
  <c r="Q381" i="12"/>
  <c r="Q382" i="12"/>
  <c r="Q383" i="12"/>
  <c r="Q384" i="12"/>
  <c r="Q385" i="12"/>
  <c r="Q386" i="12"/>
  <c r="Q387" i="12"/>
  <c r="Q388" i="12"/>
  <c r="Q389" i="12"/>
  <c r="Q390" i="12"/>
  <c r="Q391" i="12"/>
  <c r="Q392" i="12"/>
  <c r="Q393" i="12"/>
  <c r="Q394" i="12"/>
  <c r="Q395" i="12"/>
  <c r="Q396" i="12"/>
  <c r="Q397" i="12"/>
  <c r="Q398" i="12"/>
  <c r="Q399" i="12"/>
  <c r="Q400" i="12"/>
  <c r="Q401" i="12"/>
  <c r="Q402" i="12"/>
  <c r="Q403" i="12"/>
  <c r="Q404" i="12"/>
  <c r="Q405" i="12"/>
  <c r="Q406" i="12"/>
  <c r="Q407" i="12"/>
  <c r="Q408" i="12"/>
  <c r="Q409" i="12"/>
  <c r="Q410" i="12"/>
  <c r="Q411" i="12"/>
  <c r="Q412" i="12"/>
  <c r="Q413" i="12"/>
  <c r="Q414" i="12"/>
  <c r="Q415" i="12"/>
  <c r="Q416" i="12"/>
  <c r="Q417" i="12"/>
  <c r="Q418" i="12"/>
  <c r="Q419" i="12"/>
  <c r="Q420" i="12"/>
  <c r="Q421" i="12"/>
  <c r="Q422" i="12"/>
  <c r="Q423" i="12"/>
  <c r="Q424" i="12"/>
  <c r="Q425" i="12"/>
  <c r="Q426" i="12"/>
  <c r="Q427" i="12"/>
  <c r="Q428" i="12"/>
  <c r="Q429" i="12"/>
  <c r="Q430" i="12"/>
  <c r="Q431" i="12"/>
  <c r="Q432" i="12"/>
  <c r="Q433" i="12"/>
  <c r="Q434" i="12"/>
  <c r="Q435" i="12"/>
  <c r="Q436" i="12"/>
  <c r="Q437" i="12"/>
  <c r="Q438" i="12"/>
  <c r="Q439" i="12"/>
  <c r="Q440" i="12"/>
  <c r="Q441" i="12"/>
  <c r="Q442" i="12"/>
  <c r="Q443" i="12"/>
  <c r="Q444" i="12"/>
  <c r="Q445" i="12"/>
  <c r="Q446" i="12"/>
  <c r="Q447" i="12"/>
  <c r="Q448" i="12"/>
  <c r="Q449" i="12"/>
  <c r="Q450" i="12"/>
  <c r="Q451" i="12"/>
  <c r="Q452" i="12"/>
  <c r="Q453" i="12"/>
  <c r="Q454" i="12"/>
  <c r="Q455" i="12"/>
  <c r="Q456" i="12"/>
  <c r="Q457" i="12"/>
  <c r="Q458" i="12"/>
  <c r="Q459" i="12"/>
  <c r="Q460" i="12"/>
  <c r="Q461" i="12"/>
  <c r="Q462" i="12"/>
  <c r="Q463" i="12"/>
  <c r="Q464" i="12"/>
  <c r="Q465" i="12"/>
  <c r="Q466" i="12"/>
  <c r="Q467" i="12"/>
  <c r="Q468" i="12"/>
  <c r="Q469" i="12"/>
  <c r="Q470" i="12"/>
  <c r="Q471" i="12"/>
  <c r="Q472" i="12"/>
  <c r="Q473" i="12"/>
  <c r="Q474" i="12"/>
  <c r="Q475" i="12"/>
  <c r="Q476" i="12"/>
  <c r="Q477" i="12"/>
  <c r="Q478" i="12"/>
  <c r="Q479" i="12"/>
  <c r="Q480" i="12"/>
  <c r="Q481" i="12"/>
  <c r="Q482" i="12"/>
  <c r="Q483" i="12"/>
  <c r="Q484" i="12"/>
  <c r="Q485" i="12"/>
  <c r="Q486" i="12"/>
  <c r="Q487" i="12"/>
  <c r="Q488" i="12"/>
  <c r="Q489" i="12"/>
  <c r="Q490" i="12"/>
  <c r="Q491" i="12"/>
  <c r="Q492" i="12"/>
  <c r="Q493" i="12"/>
  <c r="Q494" i="12"/>
  <c r="Q495" i="12"/>
  <c r="Q496" i="12"/>
  <c r="Q497" i="12"/>
  <c r="Q498" i="12"/>
  <c r="Q499" i="12"/>
  <c r="Q500" i="12"/>
  <c r="Q501" i="12"/>
  <c r="Q502" i="12"/>
  <c r="Q503" i="12"/>
  <c r="Q504" i="12"/>
  <c r="Q505" i="12"/>
  <c r="Q506" i="12"/>
  <c r="Q507" i="12"/>
  <c r="Q508" i="12"/>
  <c r="Q509" i="12"/>
  <c r="Q510" i="12"/>
  <c r="Q511" i="12"/>
  <c r="Q512" i="12"/>
  <c r="Q513" i="12"/>
  <c r="Q514" i="12"/>
  <c r="Q515" i="12"/>
  <c r="Q516" i="12"/>
  <c r="Q517" i="12"/>
  <c r="Q518" i="12"/>
  <c r="Q519" i="12"/>
  <c r="Q520" i="12"/>
  <c r="Q521" i="12"/>
  <c r="Q522" i="12"/>
  <c r="Q523" i="12"/>
  <c r="Q524" i="12"/>
  <c r="Q525" i="12"/>
  <c r="Q526" i="12"/>
  <c r="Q527" i="12"/>
  <c r="Q528" i="12"/>
  <c r="Q529" i="12"/>
  <c r="Q530" i="12"/>
  <c r="Q531" i="12"/>
  <c r="Q532" i="12"/>
  <c r="Q533" i="12"/>
  <c r="Q534" i="12"/>
  <c r="Q535" i="12"/>
  <c r="Q536" i="12"/>
  <c r="Q537" i="12"/>
  <c r="Q538" i="12"/>
  <c r="Q539" i="12"/>
  <c r="Q540" i="12"/>
  <c r="Q541" i="12"/>
  <c r="Q542" i="12"/>
  <c r="Q543" i="12"/>
  <c r="Q544" i="12"/>
  <c r="Q545" i="12"/>
  <c r="Q546" i="12"/>
  <c r="Q547" i="12"/>
  <c r="Q548" i="12"/>
  <c r="Q549" i="12"/>
  <c r="Q550" i="12"/>
  <c r="Q551" i="12"/>
  <c r="Q552" i="12"/>
  <c r="Q553" i="12"/>
  <c r="Q554" i="12"/>
  <c r="Q555" i="12"/>
  <c r="Q556" i="12"/>
  <c r="Q557" i="12"/>
  <c r="Q558" i="12"/>
  <c r="Q559" i="12"/>
  <c r="Q560" i="12"/>
  <c r="Q561" i="12"/>
  <c r="Q562" i="12"/>
  <c r="Q563" i="12"/>
  <c r="Q564" i="12"/>
  <c r="Q565" i="12"/>
  <c r="Q566" i="12"/>
  <c r="Q567" i="12"/>
  <c r="Q568" i="12"/>
  <c r="Q569" i="12"/>
  <c r="Q570" i="12"/>
  <c r="Q571" i="12"/>
  <c r="Q572" i="12"/>
  <c r="Q573" i="12"/>
  <c r="Q574" i="12"/>
  <c r="Q575" i="12"/>
  <c r="Q576" i="12"/>
  <c r="Q577" i="12"/>
  <c r="Q578" i="12"/>
  <c r="Q579" i="12"/>
  <c r="Q580" i="12"/>
  <c r="Q581" i="12"/>
  <c r="Q582" i="12"/>
  <c r="Q583" i="12"/>
  <c r="Q584" i="12"/>
  <c r="Q585" i="12"/>
  <c r="Q586" i="12"/>
  <c r="Q587" i="12"/>
  <c r="Q588" i="12"/>
  <c r="Q589" i="12"/>
  <c r="Q590" i="12"/>
  <c r="Q591" i="12"/>
  <c r="Q592" i="12"/>
  <c r="Q593" i="12"/>
  <c r="Q594" i="12"/>
  <c r="Q595" i="12"/>
  <c r="Q596" i="12"/>
  <c r="Q597" i="12"/>
  <c r="Q598" i="12"/>
  <c r="Q599" i="12"/>
  <c r="Q600" i="12"/>
  <c r="Q601" i="12"/>
  <c r="Q602" i="12"/>
  <c r="Q603" i="12"/>
  <c r="Q604" i="12"/>
  <c r="Q605" i="12"/>
  <c r="Q606" i="12"/>
  <c r="Q607" i="12"/>
  <c r="Q608" i="12"/>
  <c r="Q609" i="12"/>
  <c r="Q610" i="12"/>
  <c r="Q611" i="12"/>
  <c r="Q612" i="12"/>
  <c r="Q613" i="12"/>
  <c r="Q614" i="12"/>
  <c r="Q615" i="12"/>
  <c r="Q616" i="12"/>
  <c r="Q617" i="12"/>
  <c r="Q618" i="12"/>
  <c r="Q619" i="12"/>
  <c r="Q620" i="12"/>
  <c r="Q621" i="12"/>
  <c r="Q622" i="12"/>
  <c r="Q623" i="12"/>
  <c r="Q624" i="12"/>
  <c r="Q625" i="12"/>
  <c r="Q626" i="12"/>
  <c r="Q627" i="12"/>
  <c r="Q628" i="12"/>
  <c r="Q629" i="12"/>
  <c r="Q630" i="12"/>
  <c r="Q631" i="12"/>
  <c r="Q632" i="12"/>
  <c r="Q633" i="12"/>
  <c r="Q634" i="12"/>
  <c r="Q635" i="12"/>
  <c r="Q636" i="12"/>
  <c r="Q637" i="12"/>
  <c r="Q638" i="12"/>
  <c r="Q639" i="12"/>
  <c r="Q640" i="12"/>
  <c r="Q641" i="12"/>
  <c r="Q642" i="12"/>
  <c r="Q643" i="12"/>
  <c r="Q644" i="12"/>
  <c r="Q645" i="12"/>
  <c r="Q646" i="12"/>
  <c r="Q647" i="12"/>
  <c r="Q648" i="12"/>
  <c r="Q649" i="12"/>
  <c r="Q650" i="12"/>
  <c r="Q651" i="12"/>
  <c r="Q652" i="12"/>
  <c r="Q653" i="12"/>
  <c r="Q654" i="12"/>
  <c r="Q655" i="12"/>
  <c r="Q656" i="12"/>
  <c r="Q657" i="12"/>
  <c r="Q658" i="12"/>
  <c r="Q659" i="12"/>
  <c r="Q660" i="12"/>
  <c r="Q661" i="12"/>
  <c r="Q662" i="12"/>
  <c r="Q663" i="12"/>
  <c r="Q664" i="12"/>
  <c r="Q665" i="12"/>
  <c r="Q666" i="12"/>
  <c r="Q667" i="12"/>
  <c r="Q668" i="12"/>
  <c r="Q669" i="12"/>
  <c r="Q670" i="12"/>
  <c r="Q671" i="12"/>
  <c r="Q672" i="12"/>
  <c r="Q673" i="12"/>
  <c r="Q674" i="12"/>
  <c r="Q675" i="12"/>
  <c r="Q676" i="12"/>
  <c r="Q677" i="12"/>
  <c r="Q678" i="12"/>
  <c r="Q679" i="12"/>
  <c r="Q680" i="12"/>
  <c r="Q681" i="12"/>
  <c r="Q682" i="12"/>
  <c r="Q683" i="12"/>
  <c r="Q684" i="12"/>
  <c r="Q685" i="12"/>
  <c r="Q686" i="12"/>
  <c r="Q687" i="12"/>
  <c r="Q688" i="12"/>
  <c r="Q689" i="12"/>
  <c r="Q690" i="12"/>
  <c r="Q691" i="12"/>
  <c r="Q692" i="12"/>
  <c r="Q693" i="12"/>
  <c r="Q694" i="12"/>
  <c r="Q695" i="12"/>
  <c r="Q696" i="12"/>
  <c r="Q697" i="12"/>
  <c r="Q698" i="12"/>
  <c r="Q699" i="12"/>
  <c r="Q700" i="12"/>
  <c r="Q701" i="12"/>
  <c r="Q702" i="12"/>
  <c r="Q703" i="12"/>
  <c r="Q704" i="12"/>
  <c r="Q705" i="12"/>
  <c r="Q706" i="12"/>
  <c r="Q707" i="12"/>
  <c r="Q708" i="12"/>
  <c r="Q709" i="12"/>
  <c r="Q710" i="12"/>
  <c r="Q711" i="12"/>
  <c r="Q712" i="12"/>
  <c r="Q713" i="12"/>
  <c r="Q714" i="12"/>
  <c r="Q715" i="12"/>
  <c r="Q716" i="12"/>
  <c r="Q717" i="12"/>
  <c r="Q718" i="12"/>
  <c r="Q719" i="12"/>
  <c r="Q720" i="12"/>
  <c r="Q721" i="12"/>
  <c r="Q722" i="12"/>
  <c r="Q723" i="12"/>
  <c r="Q724" i="12"/>
  <c r="Q725" i="12"/>
  <c r="Q726" i="12"/>
  <c r="Q727" i="12"/>
  <c r="Q728" i="12"/>
  <c r="Q729" i="12"/>
  <c r="Q730" i="12"/>
  <c r="Q731" i="12"/>
  <c r="Q732" i="12"/>
  <c r="Q733" i="12"/>
  <c r="Q734" i="12"/>
  <c r="Q735" i="12"/>
  <c r="Q736" i="12"/>
  <c r="Q737" i="12"/>
  <c r="Q738" i="12"/>
  <c r="Q739" i="12"/>
  <c r="Q740" i="12"/>
  <c r="Q741" i="12"/>
  <c r="Q742" i="12"/>
  <c r="Q743" i="12"/>
  <c r="Q744" i="12"/>
  <c r="Q745" i="12"/>
  <c r="Q746" i="12"/>
  <c r="Q747" i="12"/>
  <c r="Q748" i="12"/>
  <c r="Q749" i="12"/>
  <c r="Q750" i="12"/>
  <c r="Q751" i="12"/>
  <c r="Q752" i="12"/>
  <c r="Q753" i="12"/>
  <c r="Q754" i="12"/>
  <c r="Q755" i="12"/>
  <c r="Q756" i="12"/>
  <c r="Q757" i="12"/>
  <c r="Q758" i="12"/>
  <c r="Q759" i="12"/>
  <c r="Q760" i="12"/>
  <c r="Q761" i="12"/>
  <c r="Q762" i="12"/>
  <c r="Q763" i="12"/>
  <c r="Q764" i="12"/>
  <c r="Q765" i="12"/>
  <c r="Q766" i="12"/>
  <c r="Q767" i="12"/>
  <c r="Q768" i="12"/>
  <c r="Q769" i="12"/>
  <c r="Q770" i="12"/>
  <c r="Q771" i="12"/>
  <c r="Q772" i="12"/>
  <c r="Q773" i="12"/>
  <c r="Q774" i="12"/>
  <c r="Q775" i="12"/>
  <c r="Q776" i="12"/>
  <c r="Q777" i="12"/>
  <c r="Q778" i="12"/>
  <c r="Q779" i="12"/>
  <c r="Q780" i="12"/>
  <c r="Q781" i="12"/>
  <c r="Q782" i="12"/>
  <c r="Q783" i="12"/>
  <c r="Q784" i="12"/>
  <c r="Q785" i="12"/>
  <c r="Q786" i="12"/>
  <c r="Q787" i="12"/>
  <c r="Q788" i="12"/>
  <c r="Q789" i="12"/>
  <c r="Q790" i="12"/>
  <c r="Q791" i="12"/>
  <c r="Q792" i="12"/>
  <c r="Q793" i="12"/>
  <c r="Q794" i="12"/>
  <c r="Q795" i="12"/>
  <c r="Q796" i="12"/>
  <c r="Q797" i="12"/>
  <c r="Q798" i="12"/>
  <c r="Q799" i="12"/>
  <c r="Q800" i="12"/>
  <c r="Q801" i="12"/>
  <c r="Q802" i="12"/>
  <c r="Q803" i="12"/>
  <c r="Q804" i="12"/>
  <c r="Q805" i="12"/>
  <c r="Q806" i="12"/>
  <c r="Q807" i="12"/>
  <c r="Q808" i="12"/>
  <c r="Q809" i="12"/>
  <c r="Q810" i="12"/>
  <c r="Q811" i="12"/>
  <c r="Q812" i="12"/>
  <c r="Q813" i="12"/>
  <c r="Q814" i="12"/>
  <c r="Q815" i="12"/>
  <c r="Q816" i="12"/>
  <c r="Q817" i="12"/>
  <c r="Q818" i="12"/>
  <c r="Q819" i="12"/>
  <c r="Q820" i="12"/>
  <c r="Q821" i="12"/>
  <c r="Q822" i="12"/>
  <c r="Q823" i="12"/>
  <c r="Q824" i="12"/>
  <c r="Q825" i="12"/>
  <c r="Q826" i="12"/>
  <c r="Q827" i="12"/>
  <c r="Q828" i="12"/>
  <c r="Q829" i="12"/>
  <c r="Q830" i="12"/>
  <c r="Q831" i="12"/>
  <c r="Q832" i="12"/>
  <c r="Q833" i="12"/>
  <c r="Q834" i="12"/>
  <c r="Q835" i="12"/>
  <c r="Q836" i="12"/>
  <c r="Q837" i="12"/>
  <c r="Q838" i="12"/>
  <c r="Q839" i="12"/>
  <c r="Q840" i="12"/>
  <c r="Q841" i="12"/>
  <c r="Q842" i="12"/>
  <c r="Q843" i="12"/>
  <c r="Q844" i="12"/>
  <c r="Q845" i="12"/>
  <c r="Q846" i="12"/>
  <c r="Q847" i="12"/>
  <c r="Q848" i="12"/>
  <c r="Q849" i="12"/>
  <c r="Q850" i="12"/>
  <c r="Q851" i="12"/>
  <c r="Q852" i="12"/>
  <c r="Q853" i="12"/>
  <c r="Q854" i="12"/>
  <c r="Q855" i="12"/>
  <c r="Q856" i="12"/>
  <c r="Q857" i="12"/>
  <c r="Q858" i="12"/>
  <c r="Q859" i="12"/>
  <c r="Q860" i="12"/>
  <c r="Q861" i="12"/>
  <c r="Q862" i="12"/>
  <c r="Q863" i="12"/>
  <c r="Q864" i="12"/>
  <c r="Q865" i="12"/>
  <c r="Q866" i="12"/>
  <c r="Q867" i="12"/>
  <c r="Q868" i="12"/>
  <c r="Q869" i="12"/>
  <c r="Q870" i="12"/>
  <c r="Q871" i="12"/>
  <c r="Q872" i="12"/>
  <c r="Q873" i="12"/>
  <c r="Q874" i="12"/>
  <c r="Q875" i="12"/>
  <c r="Q876" i="12"/>
  <c r="Q877" i="12"/>
  <c r="Q878" i="12"/>
  <c r="Q879" i="12"/>
  <c r="Q880" i="12"/>
  <c r="Q881" i="12"/>
  <c r="Q882" i="12"/>
  <c r="Q883" i="12"/>
  <c r="Q884" i="12"/>
  <c r="Q885" i="12"/>
  <c r="Q886" i="12"/>
  <c r="Q887" i="12"/>
  <c r="Q888" i="12"/>
  <c r="Q889" i="12"/>
  <c r="Q890" i="12"/>
  <c r="Q891" i="12"/>
  <c r="Q892" i="12"/>
  <c r="Q893" i="12"/>
  <c r="Q894" i="12"/>
  <c r="Q895" i="12"/>
  <c r="Q896" i="12"/>
  <c r="Q897" i="12"/>
  <c r="Q898" i="12"/>
  <c r="Q899" i="12"/>
  <c r="Q900" i="12"/>
  <c r="Q901" i="12"/>
  <c r="Q902" i="12"/>
  <c r="Q903" i="12"/>
  <c r="Q904" i="12"/>
  <c r="Q905" i="12"/>
  <c r="Q906" i="12"/>
  <c r="Q907" i="12"/>
  <c r="Q908" i="12"/>
  <c r="Q909" i="12"/>
  <c r="Q910" i="12"/>
  <c r="Q911" i="12"/>
  <c r="Q912" i="12"/>
  <c r="Q913" i="12"/>
  <c r="Q914" i="12"/>
  <c r="Q915" i="12"/>
  <c r="Q916" i="12"/>
  <c r="Q917" i="12"/>
  <c r="Q918" i="12"/>
  <c r="Q919" i="12"/>
  <c r="Q920" i="12"/>
  <c r="Q921" i="12"/>
  <c r="Q922" i="12"/>
  <c r="Q923" i="12"/>
  <c r="Q924" i="12"/>
  <c r="Q925" i="12"/>
  <c r="Q926" i="12"/>
  <c r="Q927" i="12"/>
  <c r="Q928" i="12"/>
  <c r="Q929" i="12"/>
  <c r="Q930" i="12"/>
  <c r="Q931" i="12"/>
  <c r="Q932" i="12"/>
  <c r="Q933" i="12"/>
  <c r="Q934" i="12"/>
  <c r="P2" i="12"/>
  <c r="P3" i="12"/>
  <c r="P4" i="12"/>
  <c r="P5" i="12"/>
  <c r="P6" i="12"/>
  <c r="P7" i="12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P87" i="12"/>
  <c r="P88" i="12"/>
  <c r="P89" i="12"/>
  <c r="P90" i="12"/>
  <c r="P91" i="12"/>
  <c r="P92" i="12"/>
  <c r="P93" i="12"/>
  <c r="P94" i="12"/>
  <c r="P95" i="12"/>
  <c r="P96" i="12"/>
  <c r="P97" i="12"/>
  <c r="P98" i="12"/>
  <c r="P99" i="12"/>
  <c r="P100" i="12"/>
  <c r="P101" i="12"/>
  <c r="P102" i="12"/>
  <c r="P103" i="12"/>
  <c r="P104" i="12"/>
  <c r="P105" i="12"/>
  <c r="P106" i="12"/>
  <c r="P107" i="12"/>
  <c r="P108" i="12"/>
  <c r="P109" i="12"/>
  <c r="P110" i="12"/>
  <c r="P111" i="12"/>
  <c r="P112" i="12"/>
  <c r="P113" i="12"/>
  <c r="P114" i="12"/>
  <c r="P115" i="12"/>
  <c r="P116" i="12"/>
  <c r="P117" i="12"/>
  <c r="P118" i="12"/>
  <c r="P119" i="12"/>
  <c r="P120" i="12"/>
  <c r="P121" i="12"/>
  <c r="P122" i="12"/>
  <c r="P123" i="12"/>
  <c r="P124" i="12"/>
  <c r="P125" i="12"/>
  <c r="P126" i="12"/>
  <c r="P127" i="12"/>
  <c r="P128" i="12"/>
  <c r="P129" i="12"/>
  <c r="P130" i="12"/>
  <c r="P131" i="12"/>
  <c r="P132" i="12"/>
  <c r="P133" i="12"/>
  <c r="P134" i="12"/>
  <c r="P135" i="12"/>
  <c r="P136" i="12"/>
  <c r="P137" i="12"/>
  <c r="P138" i="12"/>
  <c r="P139" i="12"/>
  <c r="P140" i="12"/>
  <c r="P141" i="12"/>
  <c r="P142" i="12"/>
  <c r="P143" i="12"/>
  <c r="P144" i="12"/>
  <c r="P145" i="12"/>
  <c r="P146" i="12"/>
  <c r="P147" i="12"/>
  <c r="P148" i="12"/>
  <c r="P149" i="12"/>
  <c r="P150" i="12"/>
  <c r="P151" i="12"/>
  <c r="P152" i="12"/>
  <c r="P153" i="12"/>
  <c r="P154" i="12"/>
  <c r="P155" i="12"/>
  <c r="P156" i="12"/>
  <c r="P157" i="12"/>
  <c r="P158" i="12"/>
  <c r="P159" i="12"/>
  <c r="P160" i="12"/>
  <c r="P161" i="12"/>
  <c r="P162" i="12"/>
  <c r="P163" i="12"/>
  <c r="P164" i="12"/>
  <c r="P165" i="12"/>
  <c r="P166" i="12"/>
  <c r="P167" i="12"/>
  <c r="P168" i="12"/>
  <c r="P169" i="12"/>
  <c r="P170" i="12"/>
  <c r="P171" i="12"/>
  <c r="P172" i="12"/>
  <c r="P173" i="12"/>
  <c r="P174" i="12"/>
  <c r="P175" i="12"/>
  <c r="P176" i="12"/>
  <c r="P177" i="12"/>
  <c r="P178" i="12"/>
  <c r="P179" i="12"/>
  <c r="P180" i="12"/>
  <c r="P181" i="12"/>
  <c r="P182" i="12"/>
  <c r="P183" i="12"/>
  <c r="P184" i="12"/>
  <c r="P185" i="12"/>
  <c r="P186" i="12"/>
  <c r="P187" i="12"/>
  <c r="P188" i="12"/>
  <c r="P189" i="12"/>
  <c r="P190" i="12"/>
  <c r="P191" i="12"/>
  <c r="P192" i="12"/>
  <c r="P193" i="12"/>
  <c r="P194" i="12"/>
  <c r="P195" i="12"/>
  <c r="P196" i="12"/>
  <c r="P197" i="12"/>
  <c r="P198" i="12"/>
  <c r="P199" i="12"/>
  <c r="P200" i="12"/>
  <c r="P201" i="12"/>
  <c r="P202" i="12"/>
  <c r="P203" i="12"/>
  <c r="P204" i="12"/>
  <c r="P205" i="12"/>
  <c r="P206" i="12"/>
  <c r="P207" i="12"/>
  <c r="P208" i="12"/>
  <c r="P209" i="12"/>
  <c r="P210" i="12"/>
  <c r="P211" i="12"/>
  <c r="P212" i="12"/>
  <c r="P213" i="12"/>
  <c r="P214" i="12"/>
  <c r="P215" i="12"/>
  <c r="P216" i="12"/>
  <c r="P217" i="12"/>
  <c r="P218" i="12"/>
  <c r="P219" i="12"/>
  <c r="P220" i="12"/>
  <c r="P221" i="12"/>
  <c r="P222" i="12"/>
  <c r="P223" i="12"/>
  <c r="P224" i="12"/>
  <c r="P225" i="12"/>
  <c r="P226" i="12"/>
  <c r="P227" i="12"/>
  <c r="P228" i="12"/>
  <c r="P229" i="12"/>
  <c r="P230" i="12"/>
  <c r="P231" i="12"/>
  <c r="P232" i="12"/>
  <c r="P233" i="12"/>
  <c r="P234" i="12"/>
  <c r="P235" i="12"/>
  <c r="P236" i="12"/>
  <c r="P237" i="12"/>
  <c r="P238" i="12"/>
  <c r="P239" i="12"/>
  <c r="P240" i="12"/>
  <c r="P241" i="12"/>
  <c r="P242" i="12"/>
  <c r="P243" i="12"/>
  <c r="P244" i="12"/>
  <c r="P245" i="12"/>
  <c r="P246" i="12"/>
  <c r="P247" i="12"/>
  <c r="P248" i="12"/>
  <c r="P249" i="12"/>
  <c r="P250" i="12"/>
  <c r="P251" i="12"/>
  <c r="P252" i="12"/>
  <c r="P253" i="12"/>
  <c r="P254" i="12"/>
  <c r="P255" i="12"/>
  <c r="P256" i="12"/>
  <c r="P257" i="12"/>
  <c r="P258" i="12"/>
  <c r="P259" i="12"/>
  <c r="P260" i="12"/>
  <c r="P261" i="12"/>
  <c r="P262" i="12"/>
  <c r="P263" i="12"/>
  <c r="P264" i="12"/>
  <c r="P265" i="12"/>
  <c r="P266" i="12"/>
  <c r="P267" i="12"/>
  <c r="P268" i="12"/>
  <c r="P269" i="12"/>
  <c r="P270" i="12"/>
  <c r="P271" i="12"/>
  <c r="P272" i="12"/>
  <c r="P273" i="12"/>
  <c r="P274" i="12"/>
  <c r="P275" i="12"/>
  <c r="P276" i="12"/>
  <c r="P277" i="12"/>
  <c r="P278" i="12"/>
  <c r="P279" i="12"/>
  <c r="P280" i="12"/>
  <c r="P281" i="12"/>
  <c r="P282" i="12"/>
  <c r="P283" i="12"/>
  <c r="P284" i="12"/>
  <c r="P285" i="12"/>
  <c r="P286" i="12"/>
  <c r="P287" i="12"/>
  <c r="P288" i="12"/>
  <c r="P289" i="12"/>
  <c r="P290" i="12"/>
  <c r="P291" i="12"/>
  <c r="P292" i="12"/>
  <c r="P293" i="12"/>
  <c r="P294" i="12"/>
  <c r="P295" i="12"/>
  <c r="P296" i="12"/>
  <c r="P297" i="12"/>
  <c r="P298" i="12"/>
  <c r="P299" i="12"/>
  <c r="P300" i="12"/>
  <c r="P301" i="12"/>
  <c r="P302" i="12"/>
  <c r="P303" i="12"/>
  <c r="P304" i="12"/>
  <c r="P305" i="12"/>
  <c r="P306" i="12"/>
  <c r="P307" i="12"/>
  <c r="P308" i="12"/>
  <c r="P309" i="12"/>
  <c r="P310" i="12"/>
  <c r="P311" i="12"/>
  <c r="P312" i="12"/>
  <c r="P313" i="12"/>
  <c r="P314" i="12"/>
  <c r="P315" i="12"/>
  <c r="P316" i="12"/>
  <c r="P317" i="12"/>
  <c r="P318" i="12"/>
  <c r="P319" i="12"/>
  <c r="P320" i="12"/>
  <c r="P321" i="12"/>
  <c r="P322" i="12"/>
  <c r="P323" i="12"/>
  <c r="P324" i="12"/>
  <c r="P325" i="12"/>
  <c r="P326" i="12"/>
  <c r="P327" i="12"/>
  <c r="P328" i="12"/>
  <c r="P329" i="12"/>
  <c r="P330" i="12"/>
  <c r="P331" i="12"/>
  <c r="P332" i="12"/>
  <c r="P333" i="12"/>
  <c r="P334" i="12"/>
  <c r="P335" i="12"/>
  <c r="P336" i="12"/>
  <c r="P337" i="12"/>
  <c r="P338" i="12"/>
  <c r="P339" i="12"/>
  <c r="P340" i="12"/>
  <c r="P341" i="12"/>
  <c r="P342" i="12"/>
  <c r="P343" i="12"/>
  <c r="P344" i="12"/>
  <c r="P345" i="12"/>
  <c r="P346" i="12"/>
  <c r="P347" i="12"/>
  <c r="P348" i="12"/>
  <c r="P349" i="12"/>
  <c r="P350" i="12"/>
  <c r="P351" i="12"/>
  <c r="P352" i="12"/>
  <c r="P353" i="12"/>
  <c r="P354" i="12"/>
  <c r="P355" i="12"/>
  <c r="P356" i="12"/>
  <c r="P357" i="12"/>
  <c r="P358" i="12"/>
  <c r="P359" i="12"/>
  <c r="P360" i="12"/>
  <c r="P361" i="12"/>
  <c r="P362" i="12"/>
  <c r="P363" i="12"/>
  <c r="P364" i="12"/>
  <c r="P365" i="12"/>
  <c r="P366" i="12"/>
  <c r="P367" i="12"/>
  <c r="P368" i="12"/>
  <c r="P369" i="12"/>
  <c r="P370" i="12"/>
  <c r="P371" i="12"/>
  <c r="P372" i="12"/>
  <c r="P373" i="12"/>
  <c r="P374" i="12"/>
  <c r="P375" i="12"/>
  <c r="P376" i="12"/>
  <c r="P377" i="12"/>
  <c r="P378" i="12"/>
  <c r="P379" i="12"/>
  <c r="P380" i="12"/>
  <c r="P381" i="12"/>
  <c r="P382" i="12"/>
  <c r="P383" i="12"/>
  <c r="P384" i="12"/>
  <c r="P385" i="12"/>
  <c r="P386" i="12"/>
  <c r="P387" i="12"/>
  <c r="P388" i="12"/>
  <c r="P389" i="12"/>
  <c r="P390" i="12"/>
  <c r="P391" i="12"/>
  <c r="P392" i="12"/>
  <c r="P393" i="12"/>
  <c r="P394" i="12"/>
  <c r="P395" i="12"/>
  <c r="P396" i="12"/>
  <c r="P397" i="12"/>
  <c r="P398" i="12"/>
  <c r="P399" i="12"/>
  <c r="P400" i="12"/>
  <c r="P401" i="12"/>
  <c r="P402" i="12"/>
  <c r="P403" i="12"/>
  <c r="P404" i="12"/>
  <c r="P405" i="12"/>
  <c r="P406" i="12"/>
  <c r="P407" i="12"/>
  <c r="P408" i="12"/>
  <c r="P409" i="12"/>
  <c r="P410" i="12"/>
  <c r="P411" i="12"/>
  <c r="P412" i="12"/>
  <c r="P413" i="12"/>
  <c r="P414" i="12"/>
  <c r="P415" i="12"/>
  <c r="P416" i="12"/>
  <c r="P417" i="12"/>
  <c r="P418" i="12"/>
  <c r="P419" i="12"/>
  <c r="P420" i="12"/>
  <c r="P421" i="12"/>
  <c r="P422" i="12"/>
  <c r="P423" i="12"/>
  <c r="P424" i="12"/>
  <c r="P425" i="12"/>
  <c r="P426" i="12"/>
  <c r="P427" i="12"/>
  <c r="P428" i="12"/>
  <c r="P429" i="12"/>
  <c r="P430" i="12"/>
  <c r="P431" i="12"/>
  <c r="P432" i="12"/>
  <c r="P433" i="12"/>
  <c r="P434" i="12"/>
  <c r="P435" i="12"/>
  <c r="P436" i="12"/>
  <c r="P437" i="12"/>
  <c r="P438" i="12"/>
  <c r="P439" i="12"/>
  <c r="P440" i="12"/>
  <c r="P441" i="12"/>
  <c r="P442" i="12"/>
  <c r="P443" i="12"/>
  <c r="P444" i="12"/>
  <c r="P445" i="12"/>
  <c r="P446" i="12"/>
  <c r="P447" i="12"/>
  <c r="P448" i="12"/>
  <c r="P449" i="12"/>
  <c r="P450" i="12"/>
  <c r="P451" i="12"/>
  <c r="P452" i="12"/>
  <c r="P453" i="12"/>
  <c r="P454" i="12"/>
  <c r="P455" i="12"/>
  <c r="P456" i="12"/>
  <c r="P457" i="12"/>
  <c r="P458" i="12"/>
  <c r="P459" i="12"/>
  <c r="P460" i="12"/>
  <c r="P461" i="12"/>
  <c r="P462" i="12"/>
  <c r="P463" i="12"/>
  <c r="P464" i="12"/>
  <c r="P465" i="12"/>
  <c r="P466" i="12"/>
  <c r="P467" i="12"/>
  <c r="P468" i="12"/>
  <c r="P469" i="12"/>
  <c r="P470" i="12"/>
  <c r="P471" i="12"/>
  <c r="P472" i="12"/>
  <c r="P473" i="12"/>
  <c r="P474" i="12"/>
  <c r="P475" i="12"/>
  <c r="P476" i="12"/>
  <c r="P477" i="12"/>
  <c r="P478" i="12"/>
  <c r="P479" i="12"/>
  <c r="P480" i="12"/>
  <c r="P481" i="12"/>
  <c r="P482" i="12"/>
  <c r="P483" i="12"/>
  <c r="P484" i="12"/>
  <c r="P485" i="12"/>
  <c r="P486" i="12"/>
  <c r="P487" i="12"/>
  <c r="P488" i="12"/>
  <c r="P489" i="12"/>
  <c r="P490" i="12"/>
  <c r="P491" i="12"/>
  <c r="P492" i="12"/>
  <c r="P493" i="12"/>
  <c r="P494" i="12"/>
  <c r="P495" i="12"/>
  <c r="P496" i="12"/>
  <c r="P497" i="12"/>
  <c r="P498" i="12"/>
  <c r="P499" i="12"/>
  <c r="P500" i="12"/>
  <c r="P501" i="12"/>
  <c r="P502" i="12"/>
  <c r="P503" i="12"/>
  <c r="P504" i="12"/>
  <c r="P505" i="12"/>
  <c r="P506" i="12"/>
  <c r="P507" i="12"/>
  <c r="P508" i="12"/>
  <c r="P509" i="12"/>
  <c r="P510" i="12"/>
  <c r="P511" i="12"/>
  <c r="P512" i="12"/>
  <c r="P513" i="12"/>
  <c r="P514" i="12"/>
  <c r="P515" i="12"/>
  <c r="P516" i="12"/>
  <c r="P517" i="12"/>
  <c r="P518" i="12"/>
  <c r="P519" i="12"/>
  <c r="P520" i="12"/>
  <c r="P521" i="12"/>
  <c r="P522" i="12"/>
  <c r="P523" i="12"/>
  <c r="P524" i="12"/>
  <c r="P525" i="12"/>
  <c r="P526" i="12"/>
  <c r="P527" i="12"/>
  <c r="P528" i="12"/>
  <c r="P529" i="12"/>
  <c r="P530" i="12"/>
  <c r="P531" i="12"/>
  <c r="P532" i="12"/>
  <c r="P533" i="12"/>
  <c r="P534" i="12"/>
  <c r="P535" i="12"/>
  <c r="P536" i="12"/>
  <c r="P537" i="12"/>
  <c r="P538" i="12"/>
  <c r="P539" i="12"/>
  <c r="P540" i="12"/>
  <c r="P541" i="12"/>
  <c r="P542" i="12"/>
  <c r="P543" i="12"/>
  <c r="P544" i="12"/>
  <c r="P545" i="12"/>
  <c r="P546" i="12"/>
  <c r="P547" i="12"/>
  <c r="P548" i="12"/>
  <c r="P549" i="12"/>
  <c r="P550" i="12"/>
  <c r="P551" i="12"/>
  <c r="P552" i="12"/>
  <c r="P553" i="12"/>
  <c r="P554" i="12"/>
  <c r="P555" i="12"/>
  <c r="P556" i="12"/>
  <c r="P557" i="12"/>
  <c r="P558" i="12"/>
  <c r="P559" i="12"/>
  <c r="P560" i="12"/>
  <c r="P561" i="12"/>
  <c r="P562" i="12"/>
  <c r="P563" i="12"/>
  <c r="P564" i="12"/>
  <c r="P565" i="12"/>
  <c r="P566" i="12"/>
  <c r="P567" i="12"/>
  <c r="P568" i="12"/>
  <c r="P569" i="12"/>
  <c r="P570" i="12"/>
  <c r="P571" i="12"/>
  <c r="P572" i="12"/>
  <c r="P573" i="12"/>
  <c r="P574" i="12"/>
  <c r="P575" i="12"/>
  <c r="P576" i="12"/>
  <c r="P577" i="12"/>
  <c r="P578" i="12"/>
  <c r="P579" i="12"/>
  <c r="P580" i="12"/>
  <c r="P581" i="12"/>
  <c r="P582" i="12"/>
  <c r="P583" i="12"/>
  <c r="P584" i="12"/>
  <c r="P585" i="12"/>
  <c r="P586" i="12"/>
  <c r="P587" i="12"/>
  <c r="P588" i="12"/>
  <c r="P589" i="12"/>
  <c r="P590" i="12"/>
  <c r="P591" i="12"/>
  <c r="P592" i="12"/>
  <c r="P593" i="12"/>
  <c r="P594" i="12"/>
  <c r="P595" i="12"/>
  <c r="P596" i="12"/>
  <c r="P597" i="12"/>
  <c r="P598" i="12"/>
  <c r="P599" i="12"/>
  <c r="P600" i="12"/>
  <c r="P601" i="12"/>
  <c r="P602" i="12"/>
  <c r="P603" i="12"/>
  <c r="P604" i="12"/>
  <c r="P605" i="12"/>
  <c r="P606" i="12"/>
  <c r="P607" i="12"/>
  <c r="P608" i="12"/>
  <c r="P609" i="12"/>
  <c r="P610" i="12"/>
  <c r="P611" i="12"/>
  <c r="P612" i="12"/>
  <c r="P613" i="12"/>
  <c r="P614" i="12"/>
  <c r="P615" i="12"/>
  <c r="P616" i="12"/>
  <c r="P617" i="12"/>
  <c r="P618" i="12"/>
  <c r="P619" i="12"/>
  <c r="P620" i="12"/>
  <c r="P621" i="12"/>
  <c r="P622" i="12"/>
  <c r="P623" i="12"/>
  <c r="P624" i="12"/>
  <c r="P625" i="12"/>
  <c r="P626" i="12"/>
  <c r="P627" i="12"/>
  <c r="P628" i="12"/>
  <c r="P629" i="12"/>
  <c r="P630" i="12"/>
  <c r="P631" i="12"/>
  <c r="P632" i="12"/>
  <c r="P633" i="12"/>
  <c r="P634" i="12"/>
  <c r="P635" i="12"/>
  <c r="P636" i="12"/>
  <c r="P637" i="12"/>
  <c r="P638" i="12"/>
  <c r="P639" i="12"/>
  <c r="P640" i="12"/>
  <c r="P641" i="12"/>
  <c r="P642" i="12"/>
  <c r="P643" i="12"/>
  <c r="P644" i="12"/>
  <c r="P645" i="12"/>
  <c r="P646" i="12"/>
  <c r="P647" i="12"/>
  <c r="P648" i="12"/>
  <c r="P649" i="12"/>
  <c r="P650" i="12"/>
  <c r="P651" i="12"/>
  <c r="P652" i="12"/>
  <c r="P653" i="12"/>
  <c r="P654" i="12"/>
  <c r="P655" i="12"/>
  <c r="P656" i="12"/>
  <c r="P657" i="12"/>
  <c r="P658" i="12"/>
  <c r="P659" i="12"/>
  <c r="P660" i="12"/>
  <c r="P661" i="12"/>
  <c r="P662" i="12"/>
  <c r="P663" i="12"/>
  <c r="P664" i="12"/>
  <c r="P665" i="12"/>
  <c r="P666" i="12"/>
  <c r="P667" i="12"/>
  <c r="P668" i="12"/>
  <c r="P669" i="12"/>
  <c r="P670" i="12"/>
  <c r="P671" i="12"/>
  <c r="P672" i="12"/>
  <c r="P673" i="12"/>
  <c r="P674" i="12"/>
  <c r="P675" i="12"/>
  <c r="P676" i="12"/>
  <c r="P677" i="12"/>
  <c r="P678" i="12"/>
  <c r="P679" i="12"/>
  <c r="P680" i="12"/>
  <c r="P681" i="12"/>
  <c r="P682" i="12"/>
  <c r="P683" i="12"/>
  <c r="P684" i="12"/>
  <c r="P685" i="12"/>
  <c r="P686" i="12"/>
  <c r="P687" i="12"/>
  <c r="P688" i="12"/>
  <c r="P689" i="12"/>
  <c r="P690" i="12"/>
  <c r="P691" i="12"/>
  <c r="P692" i="12"/>
  <c r="P693" i="12"/>
  <c r="P694" i="12"/>
  <c r="P695" i="12"/>
  <c r="P696" i="12"/>
  <c r="P697" i="12"/>
  <c r="P698" i="12"/>
  <c r="P699" i="12"/>
  <c r="P700" i="12"/>
  <c r="P701" i="12"/>
  <c r="P702" i="12"/>
  <c r="P703" i="12"/>
  <c r="P704" i="12"/>
  <c r="P705" i="12"/>
  <c r="P706" i="12"/>
  <c r="P707" i="12"/>
  <c r="P708" i="12"/>
  <c r="P709" i="12"/>
  <c r="P710" i="12"/>
  <c r="P711" i="12"/>
  <c r="P712" i="12"/>
  <c r="P713" i="12"/>
  <c r="P714" i="12"/>
  <c r="P715" i="12"/>
  <c r="P716" i="12"/>
  <c r="P717" i="12"/>
  <c r="P718" i="12"/>
  <c r="P719" i="12"/>
  <c r="P720" i="12"/>
  <c r="P721" i="12"/>
  <c r="P722" i="12"/>
  <c r="P723" i="12"/>
  <c r="P724" i="12"/>
  <c r="P725" i="12"/>
  <c r="P726" i="12"/>
  <c r="P727" i="12"/>
  <c r="P728" i="12"/>
  <c r="P729" i="12"/>
  <c r="P730" i="12"/>
  <c r="P731" i="12"/>
  <c r="P732" i="12"/>
  <c r="P733" i="12"/>
  <c r="P734" i="12"/>
  <c r="P735" i="12"/>
  <c r="P736" i="12"/>
  <c r="P737" i="12"/>
  <c r="P738" i="12"/>
  <c r="P739" i="12"/>
  <c r="P740" i="12"/>
  <c r="P741" i="12"/>
  <c r="P742" i="12"/>
  <c r="P743" i="12"/>
  <c r="P744" i="12"/>
  <c r="P745" i="12"/>
  <c r="P746" i="12"/>
  <c r="P747" i="12"/>
  <c r="P748" i="12"/>
  <c r="P749" i="12"/>
  <c r="P750" i="12"/>
  <c r="P751" i="12"/>
  <c r="P752" i="12"/>
  <c r="P753" i="12"/>
  <c r="P754" i="12"/>
  <c r="P755" i="12"/>
  <c r="P756" i="12"/>
  <c r="P757" i="12"/>
  <c r="P758" i="12"/>
  <c r="P759" i="12"/>
  <c r="P760" i="12"/>
  <c r="P761" i="12"/>
  <c r="P762" i="12"/>
  <c r="P763" i="12"/>
  <c r="P764" i="12"/>
  <c r="P765" i="12"/>
  <c r="P766" i="12"/>
  <c r="P767" i="12"/>
  <c r="P768" i="12"/>
  <c r="P769" i="12"/>
  <c r="P770" i="12"/>
  <c r="P771" i="12"/>
  <c r="P772" i="12"/>
  <c r="P773" i="12"/>
  <c r="P774" i="12"/>
  <c r="P775" i="12"/>
  <c r="P776" i="12"/>
  <c r="P777" i="12"/>
  <c r="P778" i="12"/>
  <c r="P779" i="12"/>
  <c r="P780" i="12"/>
  <c r="P781" i="12"/>
  <c r="P782" i="12"/>
  <c r="P783" i="12"/>
  <c r="P784" i="12"/>
  <c r="P785" i="12"/>
  <c r="P786" i="12"/>
  <c r="P787" i="12"/>
  <c r="P788" i="12"/>
  <c r="P789" i="12"/>
  <c r="P790" i="12"/>
  <c r="P791" i="12"/>
  <c r="P792" i="12"/>
  <c r="P793" i="12"/>
  <c r="P794" i="12"/>
  <c r="P795" i="12"/>
  <c r="P796" i="12"/>
  <c r="P797" i="12"/>
  <c r="P798" i="12"/>
  <c r="P799" i="12"/>
  <c r="P800" i="12"/>
  <c r="P801" i="12"/>
  <c r="P802" i="12"/>
  <c r="P803" i="12"/>
  <c r="P804" i="12"/>
  <c r="P805" i="12"/>
  <c r="P806" i="12"/>
  <c r="P807" i="12"/>
  <c r="P808" i="12"/>
  <c r="P809" i="12"/>
  <c r="P810" i="12"/>
  <c r="P811" i="12"/>
  <c r="P812" i="12"/>
  <c r="P813" i="12"/>
  <c r="P814" i="12"/>
  <c r="P815" i="12"/>
  <c r="P816" i="12"/>
  <c r="P817" i="12"/>
  <c r="P818" i="12"/>
  <c r="P819" i="12"/>
  <c r="P820" i="12"/>
  <c r="P821" i="12"/>
  <c r="P822" i="12"/>
  <c r="P823" i="12"/>
  <c r="P824" i="12"/>
  <c r="P825" i="12"/>
  <c r="P826" i="12"/>
  <c r="P827" i="12"/>
  <c r="P828" i="12"/>
  <c r="P829" i="12"/>
  <c r="P830" i="12"/>
  <c r="P831" i="12"/>
  <c r="P832" i="12"/>
  <c r="P833" i="12"/>
  <c r="P834" i="12"/>
  <c r="P835" i="12"/>
  <c r="P836" i="12"/>
  <c r="P837" i="12"/>
  <c r="P838" i="12"/>
  <c r="P839" i="12"/>
  <c r="P840" i="12"/>
  <c r="P841" i="12"/>
  <c r="P842" i="12"/>
  <c r="P843" i="12"/>
  <c r="P844" i="12"/>
  <c r="P845" i="12"/>
  <c r="P846" i="12"/>
  <c r="P847" i="12"/>
  <c r="P848" i="12"/>
  <c r="P849" i="12"/>
  <c r="P850" i="12"/>
  <c r="P851" i="12"/>
  <c r="P852" i="12"/>
  <c r="P853" i="12"/>
  <c r="P854" i="12"/>
  <c r="P855" i="12"/>
  <c r="P856" i="12"/>
  <c r="P857" i="12"/>
  <c r="P858" i="12"/>
  <c r="P859" i="12"/>
  <c r="P860" i="12"/>
  <c r="P861" i="12"/>
  <c r="P862" i="12"/>
  <c r="P863" i="12"/>
  <c r="P864" i="12"/>
  <c r="P865" i="12"/>
  <c r="P866" i="12"/>
  <c r="P867" i="12"/>
  <c r="P868" i="12"/>
  <c r="P869" i="12"/>
  <c r="P870" i="12"/>
  <c r="P871" i="12"/>
  <c r="P872" i="12"/>
  <c r="P873" i="12"/>
  <c r="P874" i="12"/>
  <c r="P875" i="12"/>
  <c r="P876" i="12"/>
  <c r="P877" i="12"/>
  <c r="P878" i="12"/>
  <c r="P879" i="12"/>
  <c r="P880" i="12"/>
  <c r="P881" i="12"/>
  <c r="P882" i="12"/>
  <c r="P883" i="12"/>
  <c r="P884" i="12"/>
  <c r="P885" i="12"/>
  <c r="P886" i="12"/>
  <c r="P887" i="12"/>
  <c r="P888" i="12"/>
  <c r="P889" i="12"/>
  <c r="P890" i="12"/>
  <c r="P891" i="12"/>
  <c r="P892" i="12"/>
  <c r="P893" i="12"/>
  <c r="P894" i="12"/>
  <c r="P895" i="12"/>
  <c r="P896" i="12"/>
  <c r="P897" i="12"/>
  <c r="P898" i="12"/>
  <c r="P899" i="12"/>
  <c r="P900" i="12"/>
  <c r="P901" i="12"/>
  <c r="P902" i="12"/>
  <c r="P903" i="12"/>
  <c r="P904" i="12"/>
  <c r="P905" i="12"/>
  <c r="P906" i="12"/>
  <c r="P907" i="12"/>
  <c r="P908" i="12"/>
  <c r="P909" i="12"/>
  <c r="P910" i="12"/>
  <c r="P911" i="12"/>
  <c r="P912" i="12"/>
  <c r="P913" i="12"/>
  <c r="P914" i="12"/>
  <c r="P915" i="12"/>
  <c r="P916" i="12"/>
  <c r="P917" i="12"/>
  <c r="P918" i="12"/>
  <c r="P919" i="12"/>
  <c r="P920" i="12"/>
  <c r="P921" i="12"/>
  <c r="P922" i="12"/>
  <c r="P923" i="12"/>
  <c r="P924" i="12"/>
  <c r="P925" i="12"/>
  <c r="P926" i="12"/>
  <c r="P927" i="12"/>
  <c r="P928" i="12"/>
  <c r="P929" i="12"/>
  <c r="P930" i="12"/>
  <c r="P931" i="12"/>
  <c r="P932" i="12"/>
  <c r="P933" i="12"/>
  <c r="P934" i="12"/>
  <c r="O2" i="12"/>
  <c r="O3" i="12"/>
  <c r="O4" i="12"/>
  <c r="O5" i="12"/>
  <c r="O6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1" i="12"/>
  <c r="O62" i="12"/>
  <c r="O63" i="12"/>
  <c r="O64" i="12"/>
  <c r="O65" i="12"/>
  <c r="O66" i="12"/>
  <c r="O67" i="12"/>
  <c r="O68" i="12"/>
  <c r="O69" i="12"/>
  <c r="O70" i="12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85" i="12"/>
  <c r="O86" i="12"/>
  <c r="O87" i="12"/>
  <c r="O88" i="12"/>
  <c r="O89" i="12"/>
  <c r="O90" i="12"/>
  <c r="O91" i="12"/>
  <c r="O92" i="12"/>
  <c r="O93" i="12"/>
  <c r="O94" i="12"/>
  <c r="O95" i="12"/>
  <c r="O96" i="12"/>
  <c r="O97" i="12"/>
  <c r="O98" i="12"/>
  <c r="O99" i="12"/>
  <c r="O100" i="12"/>
  <c r="O101" i="12"/>
  <c r="O102" i="12"/>
  <c r="O103" i="12"/>
  <c r="O104" i="12"/>
  <c r="O105" i="12"/>
  <c r="O106" i="12"/>
  <c r="O107" i="12"/>
  <c r="O108" i="12"/>
  <c r="O109" i="12"/>
  <c r="O110" i="12"/>
  <c r="O111" i="12"/>
  <c r="O112" i="12"/>
  <c r="O113" i="12"/>
  <c r="O114" i="12"/>
  <c r="O115" i="12"/>
  <c r="O116" i="12"/>
  <c r="O117" i="12"/>
  <c r="O118" i="12"/>
  <c r="O119" i="12"/>
  <c r="O120" i="12"/>
  <c r="O121" i="12"/>
  <c r="O122" i="12"/>
  <c r="O123" i="12"/>
  <c r="O124" i="12"/>
  <c r="O125" i="12"/>
  <c r="O126" i="12"/>
  <c r="O127" i="12"/>
  <c r="O128" i="12"/>
  <c r="O129" i="12"/>
  <c r="O130" i="12"/>
  <c r="O131" i="12"/>
  <c r="O132" i="12"/>
  <c r="O133" i="12"/>
  <c r="O134" i="12"/>
  <c r="O135" i="12"/>
  <c r="O136" i="12"/>
  <c r="O137" i="12"/>
  <c r="O138" i="12"/>
  <c r="O139" i="12"/>
  <c r="O140" i="12"/>
  <c r="O141" i="12"/>
  <c r="O142" i="12"/>
  <c r="O143" i="12"/>
  <c r="O144" i="12"/>
  <c r="O145" i="12"/>
  <c r="O146" i="12"/>
  <c r="O147" i="12"/>
  <c r="O148" i="12"/>
  <c r="O149" i="12"/>
  <c r="O150" i="12"/>
  <c r="O151" i="12"/>
  <c r="O152" i="12"/>
  <c r="O153" i="12"/>
  <c r="O154" i="12"/>
  <c r="O155" i="12"/>
  <c r="O156" i="12"/>
  <c r="O157" i="12"/>
  <c r="O158" i="12"/>
  <c r="O159" i="12"/>
  <c r="O160" i="12"/>
  <c r="O161" i="12"/>
  <c r="O162" i="12"/>
  <c r="O163" i="12"/>
  <c r="O164" i="12"/>
  <c r="O165" i="12"/>
  <c r="O166" i="12"/>
  <c r="O167" i="12"/>
  <c r="O168" i="12"/>
  <c r="O169" i="12"/>
  <c r="O170" i="12"/>
  <c r="O171" i="12"/>
  <c r="O172" i="12"/>
  <c r="O173" i="12"/>
  <c r="O174" i="12"/>
  <c r="O175" i="12"/>
  <c r="O176" i="12"/>
  <c r="O177" i="12"/>
  <c r="O178" i="12"/>
  <c r="O179" i="12"/>
  <c r="O180" i="12"/>
  <c r="O181" i="12"/>
  <c r="O182" i="12"/>
  <c r="O183" i="12"/>
  <c r="O184" i="12"/>
  <c r="O185" i="12"/>
  <c r="O186" i="12"/>
  <c r="O187" i="12"/>
  <c r="O188" i="12"/>
  <c r="O189" i="12"/>
  <c r="O190" i="12"/>
  <c r="O191" i="12"/>
  <c r="O192" i="12"/>
  <c r="O193" i="12"/>
  <c r="O194" i="12"/>
  <c r="O195" i="12"/>
  <c r="O196" i="12"/>
  <c r="O197" i="12"/>
  <c r="O198" i="12"/>
  <c r="O199" i="12"/>
  <c r="O200" i="12"/>
  <c r="O201" i="12"/>
  <c r="O202" i="12"/>
  <c r="O203" i="12"/>
  <c r="O204" i="12"/>
  <c r="O205" i="12"/>
  <c r="O206" i="12"/>
  <c r="O207" i="12"/>
  <c r="O208" i="12"/>
  <c r="O209" i="12"/>
  <c r="O210" i="12"/>
  <c r="O211" i="12"/>
  <c r="O212" i="12"/>
  <c r="O213" i="12"/>
  <c r="O214" i="12"/>
  <c r="O215" i="12"/>
  <c r="O216" i="12"/>
  <c r="O217" i="12"/>
  <c r="O218" i="12"/>
  <c r="O219" i="12"/>
  <c r="O220" i="12"/>
  <c r="O221" i="12"/>
  <c r="O222" i="12"/>
  <c r="O223" i="12"/>
  <c r="O224" i="12"/>
  <c r="O225" i="12"/>
  <c r="O226" i="12"/>
  <c r="O227" i="12"/>
  <c r="O228" i="12"/>
  <c r="O229" i="12"/>
  <c r="O230" i="12"/>
  <c r="O231" i="12"/>
  <c r="O232" i="12"/>
  <c r="O233" i="12"/>
  <c r="O234" i="12"/>
  <c r="O235" i="12"/>
  <c r="O236" i="12"/>
  <c r="O237" i="12"/>
  <c r="O238" i="12"/>
  <c r="O239" i="12"/>
  <c r="O240" i="12"/>
  <c r="O241" i="12"/>
  <c r="O242" i="12"/>
  <c r="O243" i="12"/>
  <c r="O244" i="12"/>
  <c r="O245" i="12"/>
  <c r="O246" i="12"/>
  <c r="O247" i="12"/>
  <c r="O248" i="12"/>
  <c r="O249" i="12"/>
  <c r="O250" i="12"/>
  <c r="O251" i="12"/>
  <c r="O252" i="12"/>
  <c r="O253" i="12"/>
  <c r="O254" i="12"/>
  <c r="O255" i="12"/>
  <c r="O256" i="12"/>
  <c r="O257" i="12"/>
  <c r="O258" i="12"/>
  <c r="O259" i="12"/>
  <c r="O260" i="12"/>
  <c r="O261" i="12"/>
  <c r="O262" i="12"/>
  <c r="O263" i="12"/>
  <c r="O264" i="12"/>
  <c r="O265" i="12"/>
  <c r="O266" i="12"/>
  <c r="O267" i="12"/>
  <c r="O268" i="12"/>
  <c r="O269" i="12"/>
  <c r="O270" i="12"/>
  <c r="O271" i="12"/>
  <c r="O272" i="12"/>
  <c r="O273" i="12"/>
  <c r="O274" i="12"/>
  <c r="O275" i="12"/>
  <c r="O276" i="12"/>
  <c r="O277" i="12"/>
  <c r="O278" i="12"/>
  <c r="O279" i="12"/>
  <c r="O280" i="12"/>
  <c r="O281" i="12"/>
  <c r="O282" i="12"/>
  <c r="O283" i="12"/>
  <c r="O284" i="12"/>
  <c r="O285" i="12"/>
  <c r="O286" i="12"/>
  <c r="O287" i="12"/>
  <c r="O288" i="12"/>
  <c r="O289" i="12"/>
  <c r="O290" i="12"/>
  <c r="O291" i="12"/>
  <c r="O292" i="12"/>
  <c r="O293" i="12"/>
  <c r="O294" i="12"/>
  <c r="O295" i="12"/>
  <c r="O296" i="12"/>
  <c r="O297" i="12"/>
  <c r="O298" i="12"/>
  <c r="O299" i="12"/>
  <c r="O300" i="12"/>
  <c r="O301" i="12"/>
  <c r="O302" i="12"/>
  <c r="O303" i="12"/>
  <c r="O304" i="12"/>
  <c r="O305" i="12"/>
  <c r="O306" i="12"/>
  <c r="O307" i="12"/>
  <c r="O308" i="12"/>
  <c r="O309" i="12"/>
  <c r="O310" i="12"/>
  <c r="O311" i="12"/>
  <c r="O312" i="12"/>
  <c r="O313" i="12"/>
  <c r="O314" i="12"/>
  <c r="O315" i="12"/>
  <c r="O316" i="12"/>
  <c r="O317" i="12"/>
  <c r="O318" i="12"/>
  <c r="O319" i="12"/>
  <c r="O320" i="12"/>
  <c r="O321" i="12"/>
  <c r="O322" i="12"/>
  <c r="O323" i="12"/>
  <c r="O324" i="12"/>
  <c r="O325" i="12"/>
  <c r="O326" i="12"/>
  <c r="O327" i="12"/>
  <c r="O328" i="12"/>
  <c r="O329" i="12"/>
  <c r="O330" i="12"/>
  <c r="O331" i="12"/>
  <c r="O332" i="12"/>
  <c r="O333" i="12"/>
  <c r="O334" i="12"/>
  <c r="O335" i="12"/>
  <c r="O336" i="12"/>
  <c r="O337" i="12"/>
  <c r="O338" i="12"/>
  <c r="O339" i="12"/>
  <c r="O340" i="12"/>
  <c r="O341" i="12"/>
  <c r="O342" i="12"/>
  <c r="O343" i="12"/>
  <c r="O344" i="12"/>
  <c r="O345" i="12"/>
  <c r="O346" i="12"/>
  <c r="O347" i="12"/>
  <c r="O348" i="12"/>
  <c r="O349" i="12"/>
  <c r="O350" i="12"/>
  <c r="O351" i="12"/>
  <c r="O352" i="12"/>
  <c r="O353" i="12"/>
  <c r="O354" i="12"/>
  <c r="O355" i="12"/>
  <c r="O356" i="12"/>
  <c r="O357" i="12"/>
  <c r="O358" i="12"/>
  <c r="O359" i="12"/>
  <c r="O360" i="12"/>
  <c r="O361" i="12"/>
  <c r="O362" i="12"/>
  <c r="O363" i="12"/>
  <c r="O364" i="12"/>
  <c r="O365" i="12"/>
  <c r="O366" i="12"/>
  <c r="O367" i="12"/>
  <c r="O368" i="12"/>
  <c r="O369" i="12"/>
  <c r="O370" i="12"/>
  <c r="O371" i="12"/>
  <c r="O372" i="12"/>
  <c r="O373" i="12"/>
  <c r="O374" i="12"/>
  <c r="O375" i="12"/>
  <c r="O376" i="12"/>
  <c r="O377" i="12"/>
  <c r="O378" i="12"/>
  <c r="O379" i="12"/>
  <c r="O380" i="12"/>
  <c r="O381" i="12"/>
  <c r="O382" i="12"/>
  <c r="O383" i="12"/>
  <c r="O384" i="12"/>
  <c r="O385" i="12"/>
  <c r="O386" i="12"/>
  <c r="O387" i="12"/>
  <c r="O388" i="12"/>
  <c r="O389" i="12"/>
  <c r="O390" i="12"/>
  <c r="O391" i="12"/>
  <c r="O392" i="12"/>
  <c r="O393" i="12"/>
  <c r="O394" i="12"/>
  <c r="O395" i="12"/>
  <c r="O396" i="12"/>
  <c r="O397" i="12"/>
  <c r="O398" i="12"/>
  <c r="O399" i="12"/>
  <c r="O400" i="12"/>
  <c r="O401" i="12"/>
  <c r="O402" i="12"/>
  <c r="O403" i="12"/>
  <c r="O404" i="12"/>
  <c r="O405" i="12"/>
  <c r="O406" i="12"/>
  <c r="O407" i="12"/>
  <c r="O408" i="12"/>
  <c r="O409" i="12"/>
  <c r="O410" i="12"/>
  <c r="O411" i="12"/>
  <c r="O412" i="12"/>
  <c r="O413" i="12"/>
  <c r="O414" i="12"/>
  <c r="O415" i="12"/>
  <c r="O416" i="12"/>
  <c r="O417" i="12"/>
  <c r="O418" i="12"/>
  <c r="O419" i="12"/>
  <c r="O420" i="12"/>
  <c r="O421" i="12"/>
  <c r="O422" i="12"/>
  <c r="O423" i="12"/>
  <c r="O424" i="12"/>
  <c r="O425" i="12"/>
  <c r="O426" i="12"/>
  <c r="O427" i="12"/>
  <c r="O428" i="12"/>
  <c r="O429" i="12"/>
  <c r="O430" i="12"/>
  <c r="O431" i="12"/>
  <c r="O432" i="12"/>
  <c r="O433" i="12"/>
  <c r="O434" i="12"/>
  <c r="O435" i="12"/>
  <c r="O436" i="12"/>
  <c r="O437" i="12"/>
  <c r="O438" i="12"/>
  <c r="O439" i="12"/>
  <c r="O440" i="12"/>
  <c r="O441" i="12"/>
  <c r="O442" i="12"/>
  <c r="O443" i="12"/>
  <c r="O444" i="12"/>
  <c r="O445" i="12"/>
  <c r="O446" i="12"/>
  <c r="O447" i="12"/>
  <c r="O448" i="12"/>
  <c r="O449" i="12"/>
  <c r="O450" i="12"/>
  <c r="O451" i="12"/>
  <c r="O452" i="12"/>
  <c r="O453" i="12"/>
  <c r="O454" i="12"/>
  <c r="O455" i="12"/>
  <c r="O456" i="12"/>
  <c r="O457" i="12"/>
  <c r="O458" i="12"/>
  <c r="O459" i="12"/>
  <c r="O460" i="12"/>
  <c r="O461" i="12"/>
  <c r="O462" i="12"/>
  <c r="O463" i="12"/>
  <c r="O464" i="12"/>
  <c r="O465" i="12"/>
  <c r="O466" i="12"/>
  <c r="O467" i="12"/>
  <c r="O468" i="12"/>
  <c r="O469" i="12"/>
  <c r="O470" i="12"/>
  <c r="O471" i="12"/>
  <c r="O472" i="12"/>
  <c r="O473" i="12"/>
  <c r="O474" i="12"/>
  <c r="O475" i="12"/>
  <c r="O476" i="12"/>
  <c r="O477" i="12"/>
  <c r="O478" i="12"/>
  <c r="O479" i="12"/>
  <c r="O480" i="12"/>
  <c r="O481" i="12"/>
  <c r="O482" i="12"/>
  <c r="O483" i="12"/>
  <c r="O484" i="12"/>
  <c r="O485" i="12"/>
  <c r="O486" i="12"/>
  <c r="O487" i="12"/>
  <c r="O488" i="12"/>
  <c r="O489" i="12"/>
  <c r="O490" i="12"/>
  <c r="O491" i="12"/>
  <c r="O492" i="12"/>
  <c r="O493" i="12"/>
  <c r="O494" i="12"/>
  <c r="O495" i="12"/>
  <c r="O496" i="12"/>
  <c r="O497" i="12"/>
  <c r="O498" i="12"/>
  <c r="O499" i="12"/>
  <c r="O500" i="12"/>
  <c r="O501" i="12"/>
  <c r="O502" i="12"/>
  <c r="O503" i="12"/>
  <c r="O504" i="12"/>
  <c r="O505" i="12"/>
  <c r="O506" i="12"/>
  <c r="O507" i="12"/>
  <c r="O508" i="12"/>
  <c r="O509" i="12"/>
  <c r="O510" i="12"/>
  <c r="O511" i="12"/>
  <c r="O512" i="12"/>
  <c r="O513" i="12"/>
  <c r="O514" i="12"/>
  <c r="O515" i="12"/>
  <c r="O516" i="12"/>
  <c r="O517" i="12"/>
  <c r="O518" i="12"/>
  <c r="O519" i="12"/>
  <c r="O520" i="12"/>
  <c r="O521" i="12"/>
  <c r="O522" i="12"/>
  <c r="O523" i="12"/>
  <c r="O524" i="12"/>
  <c r="O525" i="12"/>
  <c r="O526" i="12"/>
  <c r="O527" i="12"/>
  <c r="O528" i="12"/>
  <c r="O529" i="12"/>
  <c r="O530" i="12"/>
  <c r="O531" i="12"/>
  <c r="O532" i="12"/>
  <c r="O533" i="12"/>
  <c r="O534" i="12"/>
  <c r="O535" i="12"/>
  <c r="O536" i="12"/>
  <c r="O537" i="12"/>
  <c r="O538" i="12"/>
  <c r="O539" i="12"/>
  <c r="O540" i="12"/>
  <c r="O541" i="12"/>
  <c r="O542" i="12"/>
  <c r="O543" i="12"/>
  <c r="O544" i="12"/>
  <c r="O545" i="12"/>
  <c r="O546" i="12"/>
  <c r="O547" i="12"/>
  <c r="O548" i="12"/>
  <c r="O549" i="12"/>
  <c r="O550" i="12"/>
  <c r="O551" i="12"/>
  <c r="O552" i="12"/>
  <c r="O553" i="12"/>
  <c r="O554" i="12"/>
  <c r="O555" i="12"/>
  <c r="O556" i="12"/>
  <c r="O557" i="12"/>
  <c r="O558" i="12"/>
  <c r="O559" i="12"/>
  <c r="O560" i="12"/>
  <c r="O561" i="12"/>
  <c r="O562" i="12"/>
  <c r="O563" i="12"/>
  <c r="O564" i="12"/>
  <c r="O565" i="12"/>
  <c r="O566" i="12"/>
  <c r="O567" i="12"/>
  <c r="O568" i="12"/>
  <c r="O569" i="12"/>
  <c r="O570" i="12"/>
  <c r="O571" i="12"/>
  <c r="O572" i="12"/>
  <c r="O573" i="12"/>
  <c r="O574" i="12"/>
  <c r="O575" i="12"/>
  <c r="O576" i="12"/>
  <c r="O577" i="12"/>
  <c r="O578" i="12"/>
  <c r="O579" i="12"/>
  <c r="O580" i="12"/>
  <c r="O581" i="12"/>
  <c r="O582" i="12"/>
  <c r="O583" i="12"/>
  <c r="O584" i="12"/>
  <c r="O585" i="12"/>
  <c r="O586" i="12"/>
  <c r="O587" i="12"/>
  <c r="O588" i="12"/>
  <c r="O589" i="12"/>
  <c r="O590" i="12"/>
  <c r="O591" i="12"/>
  <c r="O592" i="12"/>
  <c r="O593" i="12"/>
  <c r="O594" i="12"/>
  <c r="O595" i="12"/>
  <c r="O596" i="12"/>
  <c r="O597" i="12"/>
  <c r="O598" i="12"/>
  <c r="O599" i="12"/>
  <c r="O600" i="12"/>
  <c r="O601" i="12"/>
  <c r="O602" i="12"/>
  <c r="O603" i="12"/>
  <c r="O604" i="12"/>
  <c r="O605" i="12"/>
  <c r="O606" i="12"/>
  <c r="O607" i="12"/>
  <c r="O608" i="12"/>
  <c r="O609" i="12"/>
  <c r="O610" i="12"/>
  <c r="O611" i="12"/>
  <c r="O612" i="12"/>
  <c r="O613" i="12"/>
  <c r="O614" i="12"/>
  <c r="O615" i="12"/>
  <c r="O616" i="12"/>
  <c r="O617" i="12"/>
  <c r="O618" i="12"/>
  <c r="O619" i="12"/>
  <c r="O620" i="12"/>
  <c r="O621" i="12"/>
  <c r="O622" i="12"/>
  <c r="O623" i="12"/>
  <c r="O624" i="12"/>
  <c r="O625" i="12"/>
  <c r="O626" i="12"/>
  <c r="O627" i="12"/>
  <c r="O628" i="12"/>
  <c r="O629" i="12"/>
  <c r="O630" i="12"/>
  <c r="O631" i="12"/>
  <c r="O632" i="12"/>
  <c r="O633" i="12"/>
  <c r="O634" i="12"/>
  <c r="O635" i="12"/>
  <c r="O636" i="12"/>
  <c r="O637" i="12"/>
  <c r="O638" i="12"/>
  <c r="O639" i="12"/>
  <c r="O640" i="12"/>
  <c r="O641" i="12"/>
  <c r="O642" i="12"/>
  <c r="O643" i="12"/>
  <c r="O644" i="12"/>
  <c r="O645" i="12"/>
  <c r="O646" i="12"/>
  <c r="O647" i="12"/>
  <c r="O648" i="12"/>
  <c r="O649" i="12"/>
  <c r="O650" i="12"/>
  <c r="O651" i="12"/>
  <c r="O652" i="12"/>
  <c r="O653" i="12"/>
  <c r="O654" i="12"/>
  <c r="O655" i="12"/>
  <c r="O656" i="12"/>
  <c r="O657" i="12"/>
  <c r="O658" i="12"/>
  <c r="O659" i="12"/>
  <c r="O660" i="12"/>
  <c r="O661" i="12"/>
  <c r="O662" i="12"/>
  <c r="O663" i="12"/>
  <c r="O664" i="12"/>
  <c r="O665" i="12"/>
  <c r="O666" i="12"/>
  <c r="O667" i="12"/>
  <c r="O668" i="12"/>
  <c r="O669" i="12"/>
  <c r="O670" i="12"/>
  <c r="O671" i="12"/>
  <c r="O672" i="12"/>
  <c r="O673" i="12"/>
  <c r="O674" i="12"/>
  <c r="O675" i="12"/>
  <c r="O676" i="12"/>
  <c r="O677" i="12"/>
  <c r="O678" i="12"/>
  <c r="O679" i="12"/>
  <c r="O680" i="12"/>
  <c r="O681" i="12"/>
  <c r="O682" i="12"/>
  <c r="O683" i="12"/>
  <c r="O684" i="12"/>
  <c r="O685" i="12"/>
  <c r="O686" i="12"/>
  <c r="O687" i="12"/>
  <c r="O688" i="12"/>
  <c r="O689" i="12"/>
  <c r="O690" i="12"/>
  <c r="O691" i="12"/>
  <c r="O692" i="12"/>
  <c r="O693" i="12"/>
  <c r="O694" i="12"/>
  <c r="O695" i="12"/>
  <c r="O696" i="12"/>
  <c r="O697" i="12"/>
  <c r="O698" i="12"/>
  <c r="O699" i="12"/>
  <c r="O700" i="12"/>
  <c r="O701" i="12"/>
  <c r="O702" i="12"/>
  <c r="O703" i="12"/>
  <c r="O704" i="12"/>
  <c r="O705" i="12"/>
  <c r="O706" i="12"/>
  <c r="O707" i="12"/>
  <c r="O708" i="12"/>
  <c r="O709" i="12"/>
  <c r="O710" i="12"/>
  <c r="O711" i="12"/>
  <c r="O712" i="12"/>
  <c r="O713" i="12"/>
  <c r="O714" i="12"/>
  <c r="O715" i="12"/>
  <c r="O716" i="12"/>
  <c r="O717" i="12"/>
  <c r="O718" i="12"/>
  <c r="O719" i="12"/>
  <c r="O720" i="12"/>
  <c r="O721" i="12"/>
  <c r="O722" i="12"/>
  <c r="O723" i="12"/>
  <c r="O724" i="12"/>
  <c r="O725" i="12"/>
  <c r="O726" i="12"/>
  <c r="O727" i="12"/>
  <c r="O728" i="12"/>
  <c r="O729" i="12"/>
  <c r="O730" i="12"/>
  <c r="O731" i="12"/>
  <c r="O732" i="12"/>
  <c r="O733" i="12"/>
  <c r="O734" i="12"/>
  <c r="O735" i="12"/>
  <c r="O736" i="12"/>
  <c r="O737" i="12"/>
  <c r="O738" i="12"/>
  <c r="O739" i="12"/>
  <c r="O740" i="12"/>
  <c r="O741" i="12"/>
  <c r="O742" i="12"/>
  <c r="O743" i="12"/>
  <c r="O744" i="12"/>
  <c r="O745" i="12"/>
  <c r="O746" i="12"/>
  <c r="O747" i="12"/>
  <c r="O748" i="12"/>
  <c r="O749" i="12"/>
  <c r="O750" i="12"/>
  <c r="O751" i="12"/>
  <c r="O752" i="12"/>
  <c r="O753" i="12"/>
  <c r="O754" i="12"/>
  <c r="O755" i="12"/>
  <c r="O756" i="12"/>
  <c r="O757" i="12"/>
  <c r="O758" i="12"/>
  <c r="O759" i="12"/>
  <c r="O760" i="12"/>
  <c r="O761" i="12"/>
  <c r="O762" i="12"/>
  <c r="O763" i="12"/>
  <c r="O764" i="12"/>
  <c r="O765" i="12"/>
  <c r="O766" i="12"/>
  <c r="O767" i="12"/>
  <c r="O768" i="12"/>
  <c r="O769" i="12"/>
  <c r="O770" i="12"/>
  <c r="O771" i="12"/>
  <c r="O772" i="12"/>
  <c r="O773" i="12"/>
  <c r="O774" i="12"/>
  <c r="O775" i="12"/>
  <c r="O776" i="12"/>
  <c r="O777" i="12"/>
  <c r="O778" i="12"/>
  <c r="O779" i="12"/>
  <c r="O780" i="12"/>
  <c r="O781" i="12"/>
  <c r="O782" i="12"/>
  <c r="O783" i="12"/>
  <c r="O784" i="12"/>
  <c r="O785" i="12"/>
  <c r="O786" i="12"/>
  <c r="O787" i="12"/>
  <c r="O788" i="12"/>
  <c r="O789" i="12"/>
  <c r="O790" i="12"/>
  <c r="O791" i="12"/>
  <c r="O792" i="12"/>
  <c r="O793" i="12"/>
  <c r="O794" i="12"/>
  <c r="O795" i="12"/>
  <c r="O796" i="12"/>
  <c r="O797" i="12"/>
  <c r="O798" i="12"/>
  <c r="O799" i="12"/>
  <c r="O800" i="12"/>
  <c r="O801" i="12"/>
  <c r="O802" i="12"/>
  <c r="O803" i="12"/>
  <c r="O804" i="12"/>
  <c r="O805" i="12"/>
  <c r="O806" i="12"/>
  <c r="O807" i="12"/>
  <c r="O808" i="12"/>
  <c r="O809" i="12"/>
  <c r="O810" i="12"/>
  <c r="O811" i="12"/>
  <c r="O812" i="12"/>
  <c r="O813" i="12"/>
  <c r="O814" i="12"/>
  <c r="O815" i="12"/>
  <c r="O816" i="12"/>
  <c r="O817" i="12"/>
  <c r="O818" i="12"/>
  <c r="O819" i="12"/>
  <c r="O820" i="12"/>
  <c r="O821" i="12"/>
  <c r="O822" i="12"/>
  <c r="O823" i="12"/>
  <c r="O824" i="12"/>
  <c r="O825" i="12"/>
  <c r="O826" i="12"/>
  <c r="O827" i="12"/>
  <c r="O828" i="12"/>
  <c r="O829" i="12"/>
  <c r="O830" i="12"/>
  <c r="O831" i="12"/>
  <c r="O832" i="12"/>
  <c r="O833" i="12"/>
  <c r="O834" i="12"/>
  <c r="O835" i="12"/>
  <c r="O836" i="12"/>
  <c r="O837" i="12"/>
  <c r="O838" i="12"/>
  <c r="O839" i="12"/>
  <c r="O840" i="12"/>
  <c r="O841" i="12"/>
  <c r="O842" i="12"/>
  <c r="O843" i="12"/>
  <c r="O844" i="12"/>
  <c r="O845" i="12"/>
  <c r="O846" i="12"/>
  <c r="O847" i="12"/>
  <c r="O848" i="12"/>
  <c r="O849" i="12"/>
  <c r="O850" i="12"/>
  <c r="O851" i="12"/>
  <c r="O852" i="12"/>
  <c r="O853" i="12"/>
  <c r="O854" i="12"/>
  <c r="O855" i="12"/>
  <c r="O856" i="12"/>
  <c r="O857" i="12"/>
  <c r="O858" i="12"/>
  <c r="O859" i="12"/>
  <c r="O860" i="12"/>
  <c r="O861" i="12"/>
  <c r="O862" i="12"/>
  <c r="O863" i="12"/>
  <c r="O864" i="12"/>
  <c r="O865" i="12"/>
  <c r="O866" i="12"/>
  <c r="O867" i="12"/>
  <c r="O868" i="12"/>
  <c r="O869" i="12"/>
  <c r="O870" i="12"/>
  <c r="O871" i="12"/>
  <c r="O872" i="12"/>
  <c r="O873" i="12"/>
  <c r="O874" i="12"/>
  <c r="O875" i="12"/>
  <c r="O876" i="12"/>
  <c r="O877" i="12"/>
  <c r="O878" i="12"/>
  <c r="O879" i="12"/>
  <c r="O880" i="12"/>
  <c r="O881" i="12"/>
  <c r="O882" i="12"/>
  <c r="O883" i="12"/>
  <c r="O884" i="12"/>
  <c r="O885" i="12"/>
  <c r="O886" i="12"/>
  <c r="O887" i="12"/>
  <c r="O888" i="12"/>
  <c r="O889" i="12"/>
  <c r="O890" i="12"/>
  <c r="O891" i="12"/>
  <c r="O892" i="12"/>
  <c r="O893" i="12"/>
  <c r="O894" i="12"/>
  <c r="O895" i="12"/>
  <c r="O896" i="12"/>
  <c r="O897" i="12"/>
  <c r="O898" i="12"/>
  <c r="O899" i="12"/>
  <c r="O900" i="12"/>
  <c r="O901" i="12"/>
  <c r="O902" i="12"/>
  <c r="O903" i="12"/>
  <c r="O904" i="12"/>
  <c r="O905" i="12"/>
  <c r="O906" i="12"/>
  <c r="O907" i="12"/>
  <c r="O908" i="12"/>
  <c r="O909" i="12"/>
  <c r="O910" i="12"/>
  <c r="O911" i="12"/>
  <c r="O912" i="12"/>
  <c r="O913" i="12"/>
  <c r="O914" i="12"/>
  <c r="O915" i="12"/>
  <c r="O916" i="12"/>
  <c r="O917" i="12"/>
  <c r="O918" i="12"/>
  <c r="O919" i="12"/>
  <c r="O920" i="12"/>
  <c r="O921" i="12"/>
  <c r="O922" i="12"/>
  <c r="O923" i="12"/>
  <c r="O924" i="12"/>
  <c r="O925" i="12"/>
  <c r="O926" i="12"/>
  <c r="O927" i="12"/>
  <c r="O928" i="12"/>
  <c r="O929" i="12"/>
  <c r="O930" i="12"/>
  <c r="O931" i="12"/>
  <c r="O932" i="12"/>
  <c r="O933" i="12"/>
  <c r="O934" i="12"/>
  <c r="N2" i="12"/>
  <c r="N3" i="12" s="1"/>
  <c r="N4" i="12" s="1"/>
  <c r="N5" i="12"/>
  <c r="N6" i="12" s="1"/>
  <c r="N7" i="12" s="1"/>
  <c r="N8" i="12" s="1"/>
  <c r="N9" i="12" s="1"/>
  <c r="N10" i="12" s="1"/>
  <c r="N11" i="12" s="1"/>
  <c r="N12" i="12" s="1"/>
  <c r="N13" i="12" s="1"/>
  <c r="N14" i="12" s="1"/>
  <c r="N15" i="12" s="1"/>
  <c r="N16" i="12" s="1"/>
  <c r="N17" i="12" s="1"/>
  <c r="N18" i="12" s="1"/>
  <c r="N19" i="12" s="1"/>
  <c r="N20" i="12" s="1"/>
  <c r="N21" i="12" s="1"/>
  <c r="N22" i="12" s="1"/>
  <c r="N23" i="12"/>
  <c r="N24" i="12" s="1"/>
  <c r="N25" i="12" s="1"/>
  <c r="N26" i="12" s="1"/>
  <c r="N27" i="12" s="1"/>
  <c r="N28" i="12" s="1"/>
  <c r="N29" i="12" s="1"/>
  <c r="N30" i="12" s="1"/>
  <c r="N31" i="12" s="1"/>
  <c r="N32" i="12" s="1"/>
  <c r="N33" i="12" s="1"/>
  <c r="N34" i="12" s="1"/>
  <c r="N35" i="12" s="1"/>
  <c r="N36" i="12"/>
  <c r="N37" i="12" s="1"/>
  <c r="N38" i="12" s="1"/>
  <c r="N39" i="12" s="1"/>
  <c r="N40" i="12" s="1"/>
  <c r="N41" i="12" s="1"/>
  <c r="N42" i="12" s="1"/>
  <c r="N43" i="12" s="1"/>
  <c r="N44" i="12" s="1"/>
  <c r="N45" i="12" s="1"/>
  <c r="N46" i="12" s="1"/>
  <c r="N47" i="12" s="1"/>
  <c r="N48" i="12" s="1"/>
  <c r="N49" i="12" s="1"/>
  <c r="N50" i="12" s="1"/>
  <c r="N51" i="12"/>
  <c r="N52" i="12" s="1"/>
  <c r="N53" i="12" s="1"/>
  <c r="N54" i="12" s="1"/>
  <c r="N55" i="12" s="1"/>
  <c r="N56" i="12" s="1"/>
  <c r="N57" i="12" s="1"/>
  <c r="N58" i="12" s="1"/>
  <c r="N59" i="12" s="1"/>
  <c r="N60" i="12" s="1"/>
  <c r="N61" i="12" s="1"/>
  <c r="N62" i="12" s="1"/>
  <c r="N63" i="12" s="1"/>
  <c r="N64" i="12"/>
  <c r="N65" i="12" s="1"/>
  <c r="N66" i="12" s="1"/>
  <c r="N67" i="12" s="1"/>
  <c r="N68" i="12" s="1"/>
  <c r="N69" i="12" s="1"/>
  <c r="N70" i="12" s="1"/>
  <c r="N71" i="12" s="1"/>
  <c r="N72" i="12" s="1"/>
  <c r="N73" i="12" s="1"/>
  <c r="N74" i="12" s="1"/>
  <c r="N75" i="12" s="1"/>
  <c r="N76" i="12" s="1"/>
  <c r="N77" i="12" s="1"/>
  <c r="N78" i="12"/>
  <c r="N79" i="12" s="1"/>
  <c r="N80" i="12" s="1"/>
  <c r="N81" i="12" s="1"/>
  <c r="N82" i="12" s="1"/>
  <c r="N83" i="12" s="1"/>
  <c r="N84" i="12" s="1"/>
  <c r="N85" i="12" s="1"/>
  <c r="N86" i="12" s="1"/>
  <c r="N87" i="12" s="1"/>
  <c r="N88" i="12" s="1"/>
  <c r="N89" i="12" s="1"/>
  <c r="N90" i="12" s="1"/>
  <c r="N91" i="12"/>
  <c r="N92" i="12" s="1"/>
  <c r="N93" i="12" s="1"/>
  <c r="N94" i="12" s="1"/>
  <c r="N95" i="12" s="1"/>
  <c r="N96" i="12" s="1"/>
  <c r="N97" i="12" s="1"/>
  <c r="N98" i="12" s="1"/>
  <c r="N99" i="12" s="1"/>
  <c r="N100" i="12" s="1"/>
  <c r="N101" i="12" s="1"/>
  <c r="N102" i="12" s="1"/>
  <c r="N103" i="12" s="1"/>
  <c r="N104" i="12" s="1"/>
  <c r="N105" i="12" s="1"/>
  <c r="N106" i="12"/>
  <c r="N107" i="12" s="1"/>
  <c r="N108" i="12" s="1"/>
  <c r="N109" i="12" s="1"/>
  <c r="N110" i="12" s="1"/>
  <c r="N111" i="12" s="1"/>
  <c r="N112" i="12" s="1"/>
  <c r="N113" i="12" s="1"/>
  <c r="N114" i="12" s="1"/>
  <c r="N115" i="12" s="1"/>
  <c r="N116" i="12" s="1"/>
  <c r="N117" i="12" s="1"/>
  <c r="N118" i="12" s="1"/>
  <c r="N119" i="12" s="1"/>
  <c r="N120" i="12"/>
  <c r="N121" i="12" s="1"/>
  <c r="N122" i="12" s="1"/>
  <c r="N123" i="12" s="1"/>
  <c r="N124" i="12" s="1"/>
  <c r="N125" i="12" s="1"/>
  <c r="N126" i="12" s="1"/>
  <c r="N127" i="12" s="1"/>
  <c r="N128" i="12" s="1"/>
  <c r="N129" i="12" s="1"/>
  <c r="N130" i="12" s="1"/>
  <c r="N131" i="12" s="1"/>
  <c r="N132" i="12" s="1"/>
  <c r="N133" i="12" s="1"/>
  <c r="N134" i="12" s="1"/>
  <c r="N135" i="12"/>
  <c r="N136" i="12" s="1"/>
  <c r="N137" i="12" s="1"/>
  <c r="N138" i="12" s="1"/>
  <c r="N139" i="12" s="1"/>
  <c r="N140" i="12" s="1"/>
  <c r="N141" i="12" s="1"/>
  <c r="N142" i="12" s="1"/>
  <c r="N143" i="12" s="1"/>
  <c r="N144" i="12" s="1"/>
  <c r="N145" i="12" s="1"/>
  <c r="N146" i="12" s="1"/>
  <c r="N147" i="12" s="1"/>
  <c r="N148" i="12" s="1"/>
  <c r="N149" i="12"/>
  <c r="N150" i="12" s="1"/>
  <c r="N151" i="12" s="1"/>
  <c r="N152" i="12" s="1"/>
  <c r="N153" i="12" s="1"/>
  <c r="N154" i="12" s="1"/>
  <c r="N155" i="12" s="1"/>
  <c r="N156" i="12" s="1"/>
  <c r="N157" i="12" s="1"/>
  <c r="N158" i="12" s="1"/>
  <c r="N159" i="12" s="1"/>
  <c r="N160" i="12" s="1"/>
  <c r="N161" i="12" s="1"/>
  <c r="N162" i="12" s="1"/>
  <c r="N163" i="12" s="1"/>
  <c r="N164" i="12" s="1"/>
  <c r="N165" i="12"/>
  <c r="N166" i="12" s="1"/>
  <c r="N167" i="12" s="1"/>
  <c r="N168" i="12" s="1"/>
  <c r="N169" i="12" s="1"/>
  <c r="N170" i="12" s="1"/>
  <c r="N171" i="12" s="1"/>
  <c r="N172" i="12" s="1"/>
  <c r="N173" i="12" s="1"/>
  <c r="N174" i="12" s="1"/>
  <c r="N175" i="12" s="1"/>
  <c r="N176" i="12" s="1"/>
  <c r="N177" i="12" s="1"/>
  <c r="N178" i="12" s="1"/>
  <c r="N179" i="12"/>
  <c r="N180" i="12" s="1"/>
  <c r="N181" i="12" s="1"/>
  <c r="N182" i="12" s="1"/>
  <c r="N183" i="12" s="1"/>
  <c r="N184" i="12" s="1"/>
  <c r="N185" i="12" s="1"/>
  <c r="N186" i="12" s="1"/>
  <c r="N187" i="12" s="1"/>
  <c r="N188" i="12" s="1"/>
  <c r="N189" i="12" s="1"/>
  <c r="N190" i="12" s="1"/>
  <c r="N191" i="12" s="1"/>
  <c r="N192" i="12" s="1"/>
  <c r="N193" i="12"/>
  <c r="N194" i="12" s="1"/>
  <c r="N195" i="12" s="1"/>
  <c r="N196" i="12" s="1"/>
  <c r="N197" i="12" s="1"/>
  <c r="N198" i="12" s="1"/>
  <c r="N199" i="12" s="1"/>
  <c r="N200" i="12" s="1"/>
  <c r="N201" i="12" s="1"/>
  <c r="N202" i="12" s="1"/>
  <c r="N203" i="12" s="1"/>
  <c r="N204" i="12" s="1"/>
  <c r="N205" i="12" s="1"/>
  <c r="N206" i="12" s="1"/>
  <c r="N207" i="12"/>
  <c r="N208" i="12" s="1"/>
  <c r="N209" i="12" s="1"/>
  <c r="N210" i="12" s="1"/>
  <c r="N211" i="12" s="1"/>
  <c r="N212" i="12" s="1"/>
  <c r="N213" i="12" s="1"/>
  <c r="N214" i="12" s="1"/>
  <c r="N215" i="12" s="1"/>
  <c r="N216" i="12" s="1"/>
  <c r="N217" i="12" s="1"/>
  <c r="N218" i="12" s="1"/>
  <c r="N219" i="12" s="1"/>
  <c r="N220" i="12" s="1"/>
  <c r="N221" i="12" s="1"/>
  <c r="N222" i="12" s="1"/>
  <c r="N223" i="12"/>
  <c r="N224" i="12" s="1"/>
  <c r="N225" i="12" s="1"/>
  <c r="N226" i="12" s="1"/>
  <c r="N227" i="12" s="1"/>
  <c r="N228" i="12" s="1"/>
  <c r="N229" i="12" s="1"/>
  <c r="N230" i="12" s="1"/>
  <c r="N231" i="12" s="1"/>
  <c r="N232" i="12" s="1"/>
  <c r="N233" i="12" s="1"/>
  <c r="N234" i="12" s="1"/>
  <c r="N235" i="12" s="1"/>
  <c r="N236" i="12" s="1"/>
  <c r="N237" i="12" s="1"/>
  <c r="N238" i="12" s="1"/>
  <c r="N239" i="12" s="1"/>
  <c r="N240" i="12" s="1"/>
  <c r="N241" i="12"/>
  <c r="N242" i="12" s="1"/>
  <c r="N243" i="12" s="1"/>
  <c r="N244" i="12" s="1"/>
  <c r="N245" i="12" s="1"/>
  <c r="N246" i="12" s="1"/>
  <c r="N247" i="12" s="1"/>
  <c r="N248" i="12" s="1"/>
  <c r="N249" i="12" s="1"/>
  <c r="N250" i="12" s="1"/>
  <c r="N251" i="12" s="1"/>
  <c r="N252" i="12" s="1"/>
  <c r="N253" i="12" s="1"/>
  <c r="N254" i="12" s="1"/>
  <c r="N255" i="12" s="1"/>
  <c r="N256" i="12" s="1"/>
  <c r="N257" i="12" s="1"/>
  <c r="N258" i="12"/>
  <c r="N259" i="12" s="1"/>
  <c r="N260" i="12" s="1"/>
  <c r="N261" i="12" s="1"/>
  <c r="N262" i="12" s="1"/>
  <c r="N263" i="12" s="1"/>
  <c r="N264" i="12" s="1"/>
  <c r="N265" i="12" s="1"/>
  <c r="N266" i="12" s="1"/>
  <c r="N267" i="12" s="1"/>
  <c r="N268" i="12" s="1"/>
  <c r="N269" i="12" s="1"/>
  <c r="N270" i="12" s="1"/>
  <c r="N271" i="12"/>
  <c r="N272" i="12" s="1"/>
  <c r="N273" i="12" s="1"/>
  <c r="N274" i="12" s="1"/>
  <c r="N275" i="12" s="1"/>
  <c r="N276" i="12" s="1"/>
  <c r="N277" i="12" s="1"/>
  <c r="N278" i="12" s="1"/>
  <c r="N279" i="12" s="1"/>
  <c r="N280" i="12" s="1"/>
  <c r="N281" i="12" s="1"/>
  <c r="N282" i="12" s="1"/>
  <c r="N283" i="12" s="1"/>
  <c r="N284" i="12"/>
  <c r="N285" i="12" s="1"/>
  <c r="N286" i="12" s="1"/>
  <c r="N287" i="12" s="1"/>
  <c r="N288" i="12" s="1"/>
  <c r="N289" i="12" s="1"/>
  <c r="N290" i="12" s="1"/>
  <c r="N291" i="12" s="1"/>
  <c r="N292" i="12" s="1"/>
  <c r="N293" i="12" s="1"/>
  <c r="N294" i="12" s="1"/>
  <c r="N295" i="12" s="1"/>
  <c r="N296" i="12" s="1"/>
  <c r="N297" i="12" s="1"/>
  <c r="N298" i="12" s="1"/>
  <c r="N299" i="12"/>
  <c r="N300" i="12" s="1"/>
  <c r="N301" i="12" s="1"/>
  <c r="N302" i="12" s="1"/>
  <c r="N303" i="12" s="1"/>
  <c r="N304" i="12" s="1"/>
  <c r="N305" i="12" s="1"/>
  <c r="N306" i="12" s="1"/>
  <c r="N307" i="12" s="1"/>
  <c r="N308" i="12" s="1"/>
  <c r="N309" i="12" s="1"/>
  <c r="N310" i="12" s="1"/>
  <c r="N311" i="12" s="1"/>
  <c r="N312" i="12" s="1"/>
  <c r="N313" i="12" s="1"/>
  <c r="N314" i="12"/>
  <c r="N315" i="12" s="1"/>
  <c r="N316" i="12" s="1"/>
  <c r="N317" i="12" s="1"/>
  <c r="N318" i="12" s="1"/>
  <c r="N319" i="12" s="1"/>
  <c r="N320" i="12" s="1"/>
  <c r="N321" i="12" s="1"/>
  <c r="N322" i="12" s="1"/>
  <c r="N323" i="12" s="1"/>
  <c r="N324" i="12" s="1"/>
  <c r="N325" i="12" s="1"/>
  <c r="N326" i="12" s="1"/>
  <c r="N327" i="12"/>
  <c r="N328" i="12" s="1"/>
  <c r="N329" i="12" s="1"/>
  <c r="N330" i="12" s="1"/>
  <c r="N331" i="12" s="1"/>
  <c r="N332" i="12" s="1"/>
  <c r="N333" i="12" s="1"/>
  <c r="N334" i="12" s="1"/>
  <c r="N335" i="12" s="1"/>
  <c r="N336" i="12" s="1"/>
  <c r="N337" i="12" s="1"/>
  <c r="N338" i="12" s="1"/>
  <c r="N339" i="12" s="1"/>
  <c r="N340" i="12" s="1"/>
  <c r="N341" i="12" s="1"/>
  <c r="N342" i="12"/>
  <c r="N343" i="12" s="1"/>
  <c r="N344" i="12" s="1"/>
  <c r="N345" i="12" s="1"/>
  <c r="N346" i="12" s="1"/>
  <c r="N347" i="12" s="1"/>
  <c r="N348" i="12" s="1"/>
  <c r="N349" i="12" s="1"/>
  <c r="N350" i="12" s="1"/>
  <c r="N351" i="12" s="1"/>
  <c r="N352" i="12" s="1"/>
  <c r="N353" i="12" s="1"/>
  <c r="N354" i="12" s="1"/>
  <c r="N355" i="12"/>
  <c r="N356" i="12" s="1"/>
  <c r="N357" i="12" s="1"/>
  <c r="N358" i="12" s="1"/>
  <c r="N359" i="12" s="1"/>
  <c r="N360" i="12" s="1"/>
  <c r="N361" i="12" s="1"/>
  <c r="N362" i="12" s="1"/>
  <c r="N363" i="12" s="1"/>
  <c r="N364" i="12" s="1"/>
  <c r="N365" i="12" s="1"/>
  <c r="N366" i="12" s="1"/>
  <c r="N367" i="12"/>
  <c r="N368" i="12" s="1"/>
  <c r="N369" i="12" s="1"/>
  <c r="N370" i="12" s="1"/>
  <c r="N371" i="12" s="1"/>
  <c r="N372" i="12" s="1"/>
  <c r="N373" i="12" s="1"/>
  <c r="N374" i="12" s="1"/>
  <c r="N375" i="12" s="1"/>
  <c r="N376" i="12" s="1"/>
  <c r="N377" i="12" s="1"/>
  <c r="N378" i="12" s="1"/>
  <c r="N379" i="12" s="1"/>
  <c r="N380" i="12" s="1"/>
  <c r="N381" i="12" s="1"/>
  <c r="N382" i="12"/>
  <c r="N383" i="12" s="1"/>
  <c r="N384" i="12" s="1"/>
  <c r="N385" i="12" s="1"/>
  <c r="N386" i="12" s="1"/>
  <c r="N387" i="12" s="1"/>
  <c r="N388" i="12" s="1"/>
  <c r="N389" i="12" s="1"/>
  <c r="N390" i="12" s="1"/>
  <c r="N391" i="12" s="1"/>
  <c r="N392" i="12" s="1"/>
  <c r="N393" i="12" s="1"/>
  <c r="N394" i="12" s="1"/>
  <c r="N395" i="12" s="1"/>
  <c r="N396" i="12" s="1"/>
  <c r="N397" i="12" s="1"/>
  <c r="N398" i="12" s="1"/>
  <c r="N399" i="12" s="1"/>
  <c r="N400" i="12"/>
  <c r="N401" i="12" s="1"/>
  <c r="N402" i="12" s="1"/>
  <c r="N403" i="12" s="1"/>
  <c r="N404" i="12" s="1"/>
  <c r="N405" i="12" s="1"/>
  <c r="N406" i="12" s="1"/>
  <c r="N407" i="12" s="1"/>
  <c r="N408" i="12" s="1"/>
  <c r="N409" i="12" s="1"/>
  <c r="N410" i="12" s="1"/>
  <c r="N411" i="12" s="1"/>
  <c r="N412" i="12" s="1"/>
  <c r="N413" i="12"/>
  <c r="N414" i="12" s="1"/>
  <c r="N415" i="12" s="1"/>
  <c r="N416" i="12" s="1"/>
  <c r="N417" i="12" s="1"/>
  <c r="N418" i="12" s="1"/>
  <c r="N419" i="12" s="1"/>
  <c r="N420" i="12" s="1"/>
  <c r="N421" i="12" s="1"/>
  <c r="N422" i="12" s="1"/>
  <c r="N423" i="12" s="1"/>
  <c r="N424" i="12" s="1"/>
  <c r="N425" i="12" s="1"/>
  <c r="N426" i="12" s="1"/>
  <c r="N427" i="12"/>
  <c r="N428" i="12" s="1"/>
  <c r="N429" i="12" s="1"/>
  <c r="N430" i="12" s="1"/>
  <c r="N431" i="12" s="1"/>
  <c r="N432" i="12" s="1"/>
  <c r="N433" i="12" s="1"/>
  <c r="N434" i="12" s="1"/>
  <c r="N435" i="12" s="1"/>
  <c r="N436" i="12" s="1"/>
  <c r="N437" i="12" s="1"/>
  <c r="N438" i="12" s="1"/>
  <c r="N439" i="12"/>
  <c r="N440" i="12" s="1"/>
  <c r="N441" i="12" s="1"/>
  <c r="N442" i="12" s="1"/>
  <c r="N443" i="12" s="1"/>
  <c r="N444" i="12" s="1"/>
  <c r="N445" i="12" s="1"/>
  <c r="N446" i="12" s="1"/>
  <c r="N447" i="12" s="1"/>
  <c r="N448" i="12" s="1"/>
  <c r="N449" i="12" s="1"/>
  <c r="N450" i="12" s="1"/>
  <c r="N451" i="12" s="1"/>
  <c r="N452" i="12"/>
  <c r="N453" i="12" s="1"/>
  <c r="N454" i="12" s="1"/>
  <c r="N455" i="12" s="1"/>
  <c r="N456" i="12" s="1"/>
  <c r="N457" i="12" s="1"/>
  <c r="N458" i="12" s="1"/>
  <c r="N459" i="12" s="1"/>
  <c r="N460" i="12" s="1"/>
  <c r="N461" i="12" s="1"/>
  <c r="N462" i="12" s="1"/>
  <c r="N463" i="12" s="1"/>
  <c r="N464" i="12" s="1"/>
  <c r="N465" i="12"/>
  <c r="N466" i="12" s="1"/>
  <c r="N467" i="12" s="1"/>
  <c r="N468" i="12" s="1"/>
  <c r="N469" i="12" s="1"/>
  <c r="N470" i="12" s="1"/>
  <c r="N471" i="12" s="1"/>
  <c r="N472" i="12" s="1"/>
  <c r="N473" i="12" s="1"/>
  <c r="N474" i="12" s="1"/>
  <c r="N475" i="12" s="1"/>
  <c r="N476" i="12" s="1"/>
  <c r="N477" i="12" s="1"/>
  <c r="N478" i="12" s="1"/>
  <c r="N479" i="12"/>
  <c r="N480" i="12" s="1"/>
  <c r="N481" i="12" s="1"/>
  <c r="N482" i="12" s="1"/>
  <c r="N483" i="12" s="1"/>
  <c r="N484" i="12" s="1"/>
  <c r="N485" i="12" s="1"/>
  <c r="N486" i="12" s="1"/>
  <c r="N487" i="12" s="1"/>
  <c r="N488" i="12" s="1"/>
  <c r="N489" i="12" s="1"/>
  <c r="N490" i="12" s="1"/>
  <c r="N491" i="12"/>
  <c r="N492" i="12" s="1"/>
  <c r="N493" i="12" s="1"/>
  <c r="N494" i="12" s="1"/>
  <c r="N495" i="12" s="1"/>
  <c r="N496" i="12" s="1"/>
  <c r="N497" i="12" s="1"/>
  <c r="N498" i="12" s="1"/>
  <c r="N499" i="12" s="1"/>
  <c r="N500" i="12" s="1"/>
  <c r="N501" i="12" s="1"/>
  <c r="N502" i="12" s="1"/>
  <c r="N503" i="12" s="1"/>
  <c r="N504" i="12"/>
  <c r="N505" i="12" s="1"/>
  <c r="N506" i="12" s="1"/>
  <c r="N507" i="12" s="1"/>
  <c r="N508" i="12" s="1"/>
  <c r="N509" i="12" s="1"/>
  <c r="N510" i="12" s="1"/>
  <c r="N511" i="12" s="1"/>
  <c r="N512" i="12" s="1"/>
  <c r="N513" i="12" s="1"/>
  <c r="N514" i="12" s="1"/>
  <c r="N515" i="12" s="1"/>
  <c r="N516" i="12" s="1"/>
  <c r="N517" i="12" s="1"/>
  <c r="N518" i="12" s="1"/>
  <c r="N519" i="12" s="1"/>
  <c r="N520" i="12"/>
  <c r="N521" i="12" s="1"/>
  <c r="N522" i="12" s="1"/>
  <c r="N523" i="12" s="1"/>
  <c r="N524" i="12" s="1"/>
  <c r="N525" i="12" s="1"/>
  <c r="N526" i="12" s="1"/>
  <c r="N527" i="12" s="1"/>
  <c r="N528" i="12" s="1"/>
  <c r="N529" i="12" s="1"/>
  <c r="N530" i="12" s="1"/>
  <c r="N531" i="12" s="1"/>
  <c r="N532" i="12" s="1"/>
  <c r="N533" i="12" s="1"/>
  <c r="N534" i="12" s="1"/>
  <c r="N535" i="12" s="1"/>
  <c r="N536" i="12"/>
  <c r="N537" i="12" s="1"/>
  <c r="N538" i="12" s="1"/>
  <c r="N539" i="12" s="1"/>
  <c r="N540" i="12" s="1"/>
  <c r="N541" i="12" s="1"/>
  <c r="N542" i="12" s="1"/>
  <c r="N543" i="12" s="1"/>
  <c r="N544" i="12" s="1"/>
  <c r="N545" i="12" s="1"/>
  <c r="N546" i="12" s="1"/>
  <c r="N547" i="12" s="1"/>
  <c r="N548" i="12" s="1"/>
  <c r="N549" i="12" s="1"/>
  <c r="N550" i="12" s="1"/>
  <c r="N551" i="12"/>
  <c r="N552" i="12" s="1"/>
  <c r="N553" i="12" s="1"/>
  <c r="N554" i="12" s="1"/>
  <c r="N555" i="12" s="1"/>
  <c r="N556" i="12" s="1"/>
  <c r="N557" i="12" s="1"/>
  <c r="N558" i="12" s="1"/>
  <c r="N559" i="12" s="1"/>
  <c r="N560" i="12" s="1"/>
  <c r="N561" i="12" s="1"/>
  <c r="N562" i="12" s="1"/>
  <c r="N563" i="12" s="1"/>
  <c r="N564" i="12" s="1"/>
  <c r="N565" i="12" s="1"/>
  <c r="N566" i="12"/>
  <c r="N567" i="12" s="1"/>
  <c r="N568" i="12" s="1"/>
  <c r="N569" i="12" s="1"/>
  <c r="N570" i="12" s="1"/>
  <c r="N571" i="12" s="1"/>
  <c r="N572" i="12" s="1"/>
  <c r="N573" i="12" s="1"/>
  <c r="N574" i="12" s="1"/>
  <c r="N575" i="12" s="1"/>
  <c r="N576" i="12" s="1"/>
  <c r="N577" i="12" s="1"/>
  <c r="N578" i="12" s="1"/>
  <c r="N579" i="12" s="1"/>
  <c r="N580" i="12" s="1"/>
  <c r="N581" i="12"/>
  <c r="N582" i="12" s="1"/>
  <c r="N583" i="12" s="1"/>
  <c r="N584" i="12" s="1"/>
  <c r="N585" i="12" s="1"/>
  <c r="N586" i="12" s="1"/>
  <c r="N587" i="12" s="1"/>
  <c r="N588" i="12" s="1"/>
  <c r="N589" i="12" s="1"/>
  <c r="N590" i="12" s="1"/>
  <c r="N591" i="12" s="1"/>
  <c r="N592" i="12" s="1"/>
  <c r="N593" i="12" s="1"/>
  <c r="N594" i="12" s="1"/>
  <c r="N595" i="12"/>
  <c r="N596" i="12" s="1"/>
  <c r="N597" i="12" s="1"/>
  <c r="N598" i="12" s="1"/>
  <c r="N599" i="12" s="1"/>
  <c r="N600" i="12" s="1"/>
  <c r="N601" i="12" s="1"/>
  <c r="N602" i="12" s="1"/>
  <c r="N603" i="12" s="1"/>
  <c r="N604" i="12" s="1"/>
  <c r="N605" i="12" s="1"/>
  <c r="N606" i="12" s="1"/>
  <c r="N607" i="12" s="1"/>
  <c r="N608" i="12"/>
  <c r="N609" i="12" s="1"/>
  <c r="N610" i="12" s="1"/>
  <c r="N611" i="12" s="1"/>
  <c r="N612" i="12" s="1"/>
  <c r="N613" i="12" s="1"/>
  <c r="N614" i="12" s="1"/>
  <c r="N615" i="12" s="1"/>
  <c r="N616" i="12" s="1"/>
  <c r="N617" i="12" s="1"/>
  <c r="N618" i="12" s="1"/>
  <c r="N619" i="12" s="1"/>
  <c r="N620" i="12" s="1"/>
  <c r="N621" i="12" s="1"/>
  <c r="N622" i="12" s="1"/>
  <c r="N623" i="12"/>
  <c r="N624" i="12" s="1"/>
  <c r="N625" i="12" s="1"/>
  <c r="N626" i="12" s="1"/>
  <c r="N627" i="12" s="1"/>
  <c r="N628" i="12" s="1"/>
  <c r="N629" i="12" s="1"/>
  <c r="N630" i="12" s="1"/>
  <c r="N631" i="12" s="1"/>
  <c r="N632" i="12" s="1"/>
  <c r="N633" i="12" s="1"/>
  <c r="N634" i="12" s="1"/>
  <c r="N635" i="12" s="1"/>
  <c r="N636" i="12" s="1"/>
  <c r="N637" i="12" s="1"/>
  <c r="N638" i="12" s="1"/>
  <c r="N639" i="12"/>
  <c r="N640" i="12" s="1"/>
  <c r="N641" i="12" s="1"/>
  <c r="N642" i="12" s="1"/>
  <c r="N643" i="12" s="1"/>
  <c r="N644" i="12" s="1"/>
  <c r="N645" i="12" s="1"/>
  <c r="N646" i="12" s="1"/>
  <c r="N647" i="12" s="1"/>
  <c r="N648" i="12" s="1"/>
  <c r="N649" i="12" s="1"/>
  <c r="N650" i="12" s="1"/>
  <c r="N651" i="12" s="1"/>
  <c r="N652" i="12" s="1"/>
  <c r="N653" i="12" s="1"/>
  <c r="N654" i="12" s="1"/>
  <c r="N655" i="12" s="1"/>
  <c r="N656" i="12" s="1"/>
  <c r="N657" i="12" s="1"/>
  <c r="N658" i="12"/>
  <c r="N659" i="12" s="1"/>
  <c r="N660" i="12" s="1"/>
  <c r="N661" i="12" s="1"/>
  <c r="N662" i="12" s="1"/>
  <c r="N663" i="12" s="1"/>
  <c r="N664" i="12" s="1"/>
  <c r="N665" i="12" s="1"/>
  <c r="N666" i="12" s="1"/>
  <c r="N667" i="12" s="1"/>
  <c r="N668" i="12" s="1"/>
  <c r="N669" i="12" s="1"/>
  <c r="N670" i="12" s="1"/>
  <c r="N671" i="12" s="1"/>
  <c r="N672" i="12" s="1"/>
  <c r="N673" i="12" s="1"/>
  <c r="N674" i="12" s="1"/>
  <c r="N675" i="12" s="1"/>
  <c r="N676" i="12"/>
  <c r="N677" i="12" s="1"/>
  <c r="N678" i="12" s="1"/>
  <c r="N679" i="12" s="1"/>
  <c r="N680" i="12" s="1"/>
  <c r="N681" i="12" s="1"/>
  <c r="N682" i="12" s="1"/>
  <c r="N683" i="12" s="1"/>
  <c r="N684" i="12" s="1"/>
  <c r="N685" i="12" s="1"/>
  <c r="N686" i="12" s="1"/>
  <c r="N687" i="12" s="1"/>
  <c r="N688" i="12" s="1"/>
  <c r="N689" i="12" s="1"/>
  <c r="N690" i="12" s="1"/>
  <c r="N691" i="12" s="1"/>
  <c r="N692" i="12"/>
  <c r="N693" i="12" s="1"/>
  <c r="N694" i="12" s="1"/>
  <c r="N695" i="12" s="1"/>
  <c r="N696" i="12" s="1"/>
  <c r="N697" i="12" s="1"/>
  <c r="N698" i="12" s="1"/>
  <c r="N699" i="12" s="1"/>
  <c r="N700" i="12" s="1"/>
  <c r="N701" i="12" s="1"/>
  <c r="N702" i="12" s="1"/>
  <c r="N703" i="12" s="1"/>
  <c r="N704" i="12" s="1"/>
  <c r="N705" i="12"/>
  <c r="N706" i="12" s="1"/>
  <c r="N707" i="12" s="1"/>
  <c r="N708" i="12" s="1"/>
  <c r="N709" i="12" s="1"/>
  <c r="N710" i="12" s="1"/>
  <c r="N711" i="12" s="1"/>
  <c r="N712" i="12" s="1"/>
  <c r="N713" i="12" s="1"/>
  <c r="N714" i="12" s="1"/>
  <c r="N715" i="12" s="1"/>
  <c r="N716" i="12" s="1"/>
  <c r="N717" i="12" s="1"/>
  <c r="N718" i="12"/>
  <c r="N719" i="12" s="1"/>
  <c r="N720" i="12" s="1"/>
  <c r="N721" i="12" s="1"/>
  <c r="N722" i="12" s="1"/>
  <c r="N723" i="12" s="1"/>
  <c r="N724" i="12" s="1"/>
  <c r="N725" i="12" s="1"/>
  <c r="N726" i="12" s="1"/>
  <c r="N727" i="12" s="1"/>
  <c r="N728" i="12" s="1"/>
  <c r="N729" i="12" s="1"/>
  <c r="N730" i="12" s="1"/>
  <c r="N731" i="12"/>
  <c r="N732" i="12" s="1"/>
  <c r="N733" i="12" s="1"/>
  <c r="N734" i="12" s="1"/>
  <c r="N735" i="12" s="1"/>
  <c r="N736" i="12" s="1"/>
  <c r="N737" i="12" s="1"/>
  <c r="N738" i="12" s="1"/>
  <c r="N739" i="12" s="1"/>
  <c r="N740" i="12" s="1"/>
  <c r="N741" i="12" s="1"/>
  <c r="N742" i="12" s="1"/>
  <c r="N743" i="12" s="1"/>
  <c r="N744" i="12"/>
  <c r="N745" i="12" s="1"/>
  <c r="N746" i="12" s="1"/>
  <c r="N747" i="12" s="1"/>
  <c r="N748" i="12" s="1"/>
  <c r="N749" i="12" s="1"/>
  <c r="N750" i="12" s="1"/>
  <c r="N751" i="12" s="1"/>
  <c r="N752" i="12" s="1"/>
  <c r="N753" i="12" s="1"/>
  <c r="N754" i="12" s="1"/>
  <c r="N755" i="12" s="1"/>
  <c r="N756" i="12" s="1"/>
  <c r="N757" i="12"/>
  <c r="N758" i="12" s="1"/>
  <c r="N759" i="12" s="1"/>
  <c r="N760" i="12" s="1"/>
  <c r="N761" i="12" s="1"/>
  <c r="N762" i="12" s="1"/>
  <c r="N763" i="12" s="1"/>
  <c r="N764" i="12" s="1"/>
  <c r="N765" i="12" s="1"/>
  <c r="N766" i="12" s="1"/>
  <c r="N767" i="12" s="1"/>
  <c r="N768" i="12" s="1"/>
  <c r="N769" i="12" s="1"/>
  <c r="N770" i="12" s="1"/>
  <c r="N771" i="12" s="1"/>
  <c r="N772" i="12"/>
  <c r="N773" i="12" s="1"/>
  <c r="N774" i="12" s="1"/>
  <c r="N775" i="12" s="1"/>
  <c r="N776" i="12" s="1"/>
  <c r="N777" i="12" s="1"/>
  <c r="N778" i="12" s="1"/>
  <c r="N779" i="12" s="1"/>
  <c r="N780" i="12" s="1"/>
  <c r="N781" i="12" s="1"/>
  <c r="N782" i="12" s="1"/>
  <c r="N783" i="12" s="1"/>
  <c r="N784" i="12" s="1"/>
  <c r="N785" i="12"/>
  <c r="N786" i="12" s="1"/>
  <c r="N787" i="12" s="1"/>
  <c r="N788" i="12" s="1"/>
  <c r="N789" i="12" s="1"/>
  <c r="N790" i="12" s="1"/>
  <c r="N791" i="12" s="1"/>
  <c r="N792" i="12" s="1"/>
  <c r="N793" i="12" s="1"/>
  <c r="N794" i="12" s="1"/>
  <c r="N795" i="12" s="1"/>
  <c r="N796" i="12" s="1"/>
  <c r="N797" i="12" s="1"/>
  <c r="N798" i="12" s="1"/>
  <c r="N799" i="12" s="1"/>
  <c r="N800" i="12"/>
  <c r="N801" i="12" s="1"/>
  <c r="N802" i="12" s="1"/>
  <c r="N803" i="12" s="1"/>
  <c r="N804" i="12" s="1"/>
  <c r="N805" i="12" s="1"/>
  <c r="N806" i="12" s="1"/>
  <c r="N807" i="12" s="1"/>
  <c r="N808" i="12" s="1"/>
  <c r="N809" i="12" s="1"/>
  <c r="N810" i="12" s="1"/>
  <c r="N811" i="12" s="1"/>
  <c r="N812" i="12" s="1"/>
  <c r="N813" i="12" s="1"/>
  <c r="N814" i="12" s="1"/>
  <c r="N815" i="12" s="1"/>
  <c r="N816" i="12"/>
  <c r="N817" i="12" s="1"/>
  <c r="N818" i="12" s="1"/>
  <c r="N819" i="12" s="1"/>
  <c r="N820" i="12" s="1"/>
  <c r="N821" i="12" s="1"/>
  <c r="N822" i="12" s="1"/>
  <c r="N823" i="12" s="1"/>
  <c r="N824" i="12" s="1"/>
  <c r="N825" i="12" s="1"/>
  <c r="N826" i="12" s="1"/>
  <c r="N827" i="12" s="1"/>
  <c r="N828" i="12" s="1"/>
  <c r="N829" i="12" s="1"/>
  <c r="N830" i="12" s="1"/>
  <c r="N831" i="12" s="1"/>
  <c r="N832" i="12"/>
  <c r="N833" i="12" s="1"/>
  <c r="N834" i="12" s="1"/>
  <c r="N835" i="12" s="1"/>
  <c r="N836" i="12" s="1"/>
  <c r="N837" i="12" s="1"/>
  <c r="N838" i="12" s="1"/>
  <c r="N839" i="12" s="1"/>
  <c r="N840" i="12" s="1"/>
  <c r="N841" i="12" s="1"/>
  <c r="N842" i="12" s="1"/>
  <c r="N843" i="12" s="1"/>
  <c r="N844" i="12" s="1"/>
  <c r="N845" i="12"/>
  <c r="N846" i="12" s="1"/>
  <c r="N847" i="12" s="1"/>
  <c r="N848" i="12" s="1"/>
  <c r="N849" i="12" s="1"/>
  <c r="N850" i="12" s="1"/>
  <c r="N851" i="12" s="1"/>
  <c r="N852" i="12" s="1"/>
  <c r="N853" i="12" s="1"/>
  <c r="N854" i="12" s="1"/>
  <c r="N855" i="12" s="1"/>
  <c r="N856" i="12" s="1"/>
  <c r="N857" i="12" s="1"/>
  <c r="N858" i="12" s="1"/>
  <c r="N859" i="12"/>
  <c r="N860" i="12" s="1"/>
  <c r="N861" i="12" s="1"/>
  <c r="N862" i="12" s="1"/>
  <c r="N863" i="12" s="1"/>
  <c r="N864" i="12" s="1"/>
  <c r="N865" i="12" s="1"/>
  <c r="N866" i="12" s="1"/>
  <c r="N867" i="12" s="1"/>
  <c r="N868" i="12" s="1"/>
  <c r="N869" i="12" s="1"/>
  <c r="N870" i="12" s="1"/>
  <c r="N871" i="12" s="1"/>
  <c r="N872" i="12"/>
  <c r="N873" i="12" s="1"/>
  <c r="N874" i="12" s="1"/>
  <c r="N875" i="12" s="1"/>
  <c r="N876" i="12" s="1"/>
  <c r="N877" i="12" s="1"/>
  <c r="N878" i="12" s="1"/>
  <c r="N879" i="12" s="1"/>
  <c r="N880" i="12" s="1"/>
  <c r="N881" i="12" s="1"/>
  <c r="N882" i="12" s="1"/>
  <c r="N883" i="12" s="1"/>
  <c r="N884" i="12"/>
  <c r="N885" i="12" s="1"/>
  <c r="N886" i="12" s="1"/>
  <c r="N887" i="12" s="1"/>
  <c r="N888" i="12" s="1"/>
  <c r="N889" i="12" s="1"/>
  <c r="N890" i="12" s="1"/>
  <c r="N891" i="12" s="1"/>
  <c r="N892" i="12" s="1"/>
  <c r="N893" i="12" s="1"/>
  <c r="N894" i="12" s="1"/>
  <c r="N895" i="12" s="1"/>
  <c r="N896" i="12" s="1"/>
  <c r="N897" i="12"/>
  <c r="N898" i="12" s="1"/>
  <c r="N899" i="12" s="1"/>
  <c r="N900" i="12" s="1"/>
  <c r="N901" i="12" s="1"/>
  <c r="N902" i="12" s="1"/>
  <c r="N903" i="12" s="1"/>
  <c r="N904" i="12" s="1"/>
  <c r="N905" i="12" s="1"/>
  <c r="N906" i="12" s="1"/>
  <c r="N907" i="12" s="1"/>
  <c r="N908" i="12" s="1"/>
  <c r="N909" i="12" s="1"/>
  <c r="N910" i="12"/>
  <c r="N911" i="12" s="1"/>
  <c r="N912" i="12" s="1"/>
  <c r="N913" i="12" s="1"/>
  <c r="N914" i="12" s="1"/>
  <c r="N915" i="12" s="1"/>
  <c r="N916" i="12" s="1"/>
  <c r="N917" i="12" s="1"/>
  <c r="N918" i="12" s="1"/>
  <c r="N919" i="12" s="1"/>
  <c r="N920" i="12" s="1"/>
  <c r="N921" i="12" s="1"/>
  <c r="N922" i="12" s="1"/>
  <c r="N923" i="12"/>
  <c r="N924" i="12" s="1"/>
  <c r="N925" i="12" s="1"/>
  <c r="N926" i="12" s="1"/>
  <c r="N927" i="12" s="1"/>
  <c r="N928" i="12" s="1"/>
  <c r="N929" i="12" s="1"/>
  <c r="N930" i="12" s="1"/>
  <c r="N931" i="12" s="1"/>
  <c r="N932" i="12" s="1"/>
  <c r="N933" i="12" s="1"/>
  <c r="N934" i="12" s="1"/>
  <c r="M2" i="12"/>
  <c r="M3" i="12"/>
  <c r="M4" i="12"/>
  <c r="M5" i="12"/>
  <c r="M6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3" i="12"/>
  <c r="M54" i="12"/>
  <c r="M55" i="12"/>
  <c r="M56" i="12"/>
  <c r="M57" i="12"/>
  <c r="M58" i="12"/>
  <c r="M59" i="12"/>
  <c r="M60" i="12"/>
  <c r="M61" i="12"/>
  <c r="M62" i="12"/>
  <c r="M63" i="12"/>
  <c r="M64" i="12"/>
  <c r="M66" i="12"/>
  <c r="M67" i="12"/>
  <c r="M68" i="12"/>
  <c r="M69" i="12"/>
  <c r="M70" i="12"/>
  <c r="M71" i="12"/>
  <c r="M72" i="12"/>
  <c r="M73" i="12"/>
  <c r="M74" i="12"/>
  <c r="M75" i="12"/>
  <c r="M76" i="12"/>
  <c r="M77" i="12"/>
  <c r="M78" i="12"/>
  <c r="M80" i="12"/>
  <c r="M81" i="12"/>
  <c r="M82" i="12"/>
  <c r="M83" i="12"/>
  <c r="M84" i="12"/>
  <c r="M85" i="12"/>
  <c r="M86" i="12"/>
  <c r="M87" i="12"/>
  <c r="M88" i="12"/>
  <c r="M89" i="12"/>
  <c r="M90" i="12"/>
  <c r="M91" i="12"/>
  <c r="M93" i="12"/>
  <c r="M94" i="12"/>
  <c r="M95" i="12"/>
  <c r="M96" i="12"/>
  <c r="M97" i="12"/>
  <c r="M98" i="12"/>
  <c r="M99" i="12"/>
  <c r="M100" i="12"/>
  <c r="M101" i="12"/>
  <c r="M102" i="12"/>
  <c r="M103" i="12"/>
  <c r="M104" i="12"/>
  <c r="M105" i="12"/>
  <c r="M106" i="12"/>
  <c r="M107" i="12"/>
  <c r="M109" i="12"/>
  <c r="M110" i="12"/>
  <c r="M111" i="12"/>
  <c r="M112" i="12"/>
  <c r="M113" i="12"/>
  <c r="M114" i="12"/>
  <c r="M115" i="12"/>
  <c r="M116" i="12"/>
  <c r="M117" i="12"/>
  <c r="M118" i="12"/>
  <c r="M119" i="12"/>
  <c r="M120" i="12"/>
  <c r="M121" i="12"/>
  <c r="M123" i="12"/>
  <c r="M124" i="12"/>
  <c r="M125" i="12"/>
  <c r="M126" i="12"/>
  <c r="M127" i="12"/>
  <c r="M128" i="12"/>
  <c r="M129" i="12"/>
  <c r="M130" i="12"/>
  <c r="M131" i="12"/>
  <c r="M132" i="12"/>
  <c r="M133" i="12"/>
  <c r="M134" i="12"/>
  <c r="M135" i="12"/>
  <c r="M136" i="12"/>
  <c r="M138" i="12"/>
  <c r="M139" i="12"/>
  <c r="M140" i="12"/>
  <c r="M141" i="12"/>
  <c r="M142" i="12"/>
  <c r="M143" i="12"/>
  <c r="M144" i="12"/>
  <c r="M145" i="12"/>
  <c r="M146" i="12"/>
  <c r="M147" i="12"/>
  <c r="M148" i="12"/>
  <c r="M149" i="12"/>
  <c r="M150" i="12"/>
  <c r="M152" i="12"/>
  <c r="M153" i="12"/>
  <c r="M154" i="12"/>
  <c r="M155" i="12"/>
  <c r="M156" i="12"/>
  <c r="M157" i="12"/>
  <c r="M158" i="12"/>
  <c r="M159" i="12"/>
  <c r="M160" i="12"/>
  <c r="M161" i="12"/>
  <c r="M162" i="12"/>
  <c r="M163" i="12"/>
  <c r="M164" i="12"/>
  <c r="M165" i="12"/>
  <c r="M166" i="12"/>
  <c r="M168" i="12"/>
  <c r="M169" i="12"/>
  <c r="M170" i="12"/>
  <c r="M171" i="12"/>
  <c r="M172" i="12"/>
  <c r="M173" i="12"/>
  <c r="M174" i="12"/>
  <c r="M175" i="12"/>
  <c r="M176" i="12"/>
  <c r="M177" i="12"/>
  <c r="M178" i="12"/>
  <c r="M179" i="12"/>
  <c r="M180" i="12"/>
  <c r="M182" i="12"/>
  <c r="M183" i="12"/>
  <c r="M184" i="12"/>
  <c r="M185" i="12"/>
  <c r="M186" i="12"/>
  <c r="M187" i="12"/>
  <c r="M188" i="12"/>
  <c r="M189" i="12"/>
  <c r="M190" i="12"/>
  <c r="M191" i="12"/>
  <c r="M192" i="12"/>
  <c r="M193" i="12"/>
  <c r="M194" i="12"/>
  <c r="M196" i="12"/>
  <c r="M197" i="12"/>
  <c r="M198" i="12"/>
  <c r="M199" i="12"/>
  <c r="M200" i="12"/>
  <c r="M201" i="12"/>
  <c r="M202" i="12"/>
  <c r="M203" i="12"/>
  <c r="M204" i="12"/>
  <c r="M205" i="12"/>
  <c r="M206" i="12"/>
  <c r="M207" i="12"/>
  <c r="M208" i="12"/>
  <c r="M210" i="12"/>
  <c r="M211" i="12"/>
  <c r="M212" i="12"/>
  <c r="M213" i="12"/>
  <c r="M214" i="12"/>
  <c r="M215" i="12"/>
  <c r="M216" i="12"/>
  <c r="M217" i="12"/>
  <c r="M218" i="12"/>
  <c r="M219" i="12"/>
  <c r="M220" i="12"/>
  <c r="M221" i="12"/>
  <c r="M222" i="12"/>
  <c r="M223" i="12"/>
  <c r="M225" i="12"/>
  <c r="M226" i="12"/>
  <c r="M227" i="12"/>
  <c r="M228" i="12"/>
  <c r="M229" i="12"/>
  <c r="M230" i="12"/>
  <c r="M231" i="12"/>
  <c r="M232" i="12"/>
  <c r="M233" i="12"/>
  <c r="M234" i="12"/>
  <c r="M235" i="12"/>
  <c r="M236" i="12"/>
  <c r="M237" i="12"/>
  <c r="M238" i="12"/>
  <c r="M239" i="12"/>
  <c r="M240" i="12"/>
  <c r="M241" i="12"/>
  <c r="M243" i="12"/>
  <c r="M244" i="12"/>
  <c r="M245" i="12"/>
  <c r="M246" i="12"/>
  <c r="M247" i="12"/>
  <c r="M248" i="12"/>
  <c r="M249" i="12"/>
  <c r="M250" i="12"/>
  <c r="M251" i="12"/>
  <c r="M252" i="12"/>
  <c r="M253" i="12"/>
  <c r="M254" i="12"/>
  <c r="M255" i="12"/>
  <c r="M256" i="12"/>
  <c r="M257" i="12"/>
  <c r="M258" i="12"/>
  <c r="M260" i="12"/>
  <c r="M261" i="12"/>
  <c r="M262" i="12"/>
  <c r="M263" i="12"/>
  <c r="M264" i="12"/>
  <c r="M265" i="12"/>
  <c r="M266" i="12"/>
  <c r="M267" i="12"/>
  <c r="M268" i="12"/>
  <c r="M269" i="12"/>
  <c r="M270" i="12"/>
  <c r="M271" i="12"/>
  <c r="M272" i="12"/>
  <c r="M274" i="12"/>
  <c r="M275" i="12"/>
  <c r="M276" i="12"/>
  <c r="M277" i="12"/>
  <c r="M278" i="12"/>
  <c r="M279" i="12"/>
  <c r="M280" i="12"/>
  <c r="M281" i="12"/>
  <c r="M282" i="12"/>
  <c r="M283" i="12"/>
  <c r="M284" i="12"/>
  <c r="M286" i="12"/>
  <c r="M287" i="12"/>
  <c r="M288" i="12"/>
  <c r="M289" i="12"/>
  <c r="M290" i="12"/>
  <c r="M291" i="12"/>
  <c r="M292" i="12"/>
  <c r="M293" i="12"/>
  <c r="M294" i="12"/>
  <c r="M295" i="12"/>
  <c r="M296" i="12"/>
  <c r="M297" i="12"/>
  <c r="M298" i="12"/>
  <c r="M299" i="12"/>
  <c r="M300" i="12"/>
  <c r="M302" i="12"/>
  <c r="M303" i="12"/>
  <c r="M304" i="12"/>
  <c r="M305" i="12"/>
  <c r="M306" i="12"/>
  <c r="M307" i="12"/>
  <c r="M308" i="12"/>
  <c r="M309" i="12"/>
  <c r="M310" i="12"/>
  <c r="M311" i="12"/>
  <c r="M312" i="12"/>
  <c r="M313" i="12"/>
  <c r="M314" i="12"/>
  <c r="M316" i="12"/>
  <c r="M317" i="12"/>
  <c r="M318" i="12"/>
  <c r="M319" i="12"/>
  <c r="M320" i="12"/>
  <c r="M321" i="12"/>
  <c r="M322" i="12"/>
  <c r="M323" i="12"/>
  <c r="M324" i="12"/>
  <c r="M325" i="12"/>
  <c r="M326" i="12"/>
  <c r="M327" i="12"/>
  <c r="M329" i="12"/>
  <c r="M330" i="12"/>
  <c r="M331" i="12"/>
  <c r="M332" i="12"/>
  <c r="M333" i="12"/>
  <c r="M334" i="12"/>
  <c r="M335" i="12"/>
  <c r="M336" i="12"/>
  <c r="M337" i="12"/>
  <c r="M338" i="12"/>
  <c r="M339" i="12"/>
  <c r="M340" i="12"/>
  <c r="M341" i="12"/>
  <c r="M342" i="12"/>
  <c r="M344" i="12"/>
  <c r="M345" i="12"/>
  <c r="M346" i="12"/>
  <c r="M347" i="12"/>
  <c r="M348" i="12"/>
  <c r="M349" i="12"/>
  <c r="M350" i="12"/>
  <c r="M351" i="12"/>
  <c r="M352" i="12"/>
  <c r="M353" i="12"/>
  <c r="M354" i="12"/>
  <c r="M355" i="12"/>
  <c r="M357" i="12"/>
  <c r="M358" i="12"/>
  <c r="M359" i="12"/>
  <c r="M360" i="12"/>
  <c r="M361" i="12"/>
  <c r="M362" i="12"/>
  <c r="M363" i="12"/>
  <c r="M364" i="12"/>
  <c r="M365" i="12"/>
  <c r="M366" i="12"/>
  <c r="M367" i="12"/>
  <c r="M369" i="12"/>
  <c r="M370" i="12"/>
  <c r="M371" i="12"/>
  <c r="M372" i="12"/>
  <c r="M373" i="12"/>
  <c r="M374" i="12"/>
  <c r="M375" i="12"/>
  <c r="M376" i="12"/>
  <c r="M377" i="12"/>
  <c r="M378" i="12"/>
  <c r="M379" i="12"/>
  <c r="M380" i="12"/>
  <c r="M381" i="12"/>
  <c r="M382" i="12"/>
  <c r="M384" i="12"/>
  <c r="M385" i="12"/>
  <c r="M386" i="12"/>
  <c r="M387" i="12"/>
  <c r="M388" i="12"/>
  <c r="M389" i="12"/>
  <c r="M390" i="12"/>
  <c r="M391" i="12"/>
  <c r="M392" i="12"/>
  <c r="M393" i="12"/>
  <c r="M394" i="12"/>
  <c r="M395" i="12"/>
  <c r="M396" i="12"/>
  <c r="M397" i="12"/>
  <c r="M398" i="12"/>
  <c r="M399" i="12"/>
  <c r="M400" i="12"/>
  <c r="M402" i="12"/>
  <c r="M403" i="12"/>
  <c r="M404" i="12"/>
  <c r="M405" i="12"/>
  <c r="M406" i="12"/>
  <c r="M407" i="12"/>
  <c r="M408" i="12"/>
  <c r="M409" i="12"/>
  <c r="M410" i="12"/>
  <c r="M411" i="12"/>
  <c r="M412" i="12"/>
  <c r="M413" i="12"/>
  <c r="M415" i="12"/>
  <c r="M416" i="12"/>
  <c r="M417" i="12"/>
  <c r="M418" i="12"/>
  <c r="M419" i="12"/>
  <c r="M420" i="12"/>
  <c r="M421" i="12"/>
  <c r="M422" i="12"/>
  <c r="M423" i="12"/>
  <c r="M424" i="12"/>
  <c r="M425" i="12"/>
  <c r="M426" i="12"/>
  <c r="M427" i="12"/>
  <c r="M429" i="12"/>
  <c r="M430" i="12"/>
  <c r="M431" i="12"/>
  <c r="M432" i="12"/>
  <c r="M433" i="12"/>
  <c r="M434" i="12"/>
  <c r="M435" i="12"/>
  <c r="M436" i="12"/>
  <c r="M437" i="12"/>
  <c r="M438" i="12"/>
  <c r="M439" i="12"/>
  <c r="M441" i="12"/>
  <c r="M442" i="12"/>
  <c r="M443" i="12"/>
  <c r="M444" i="12"/>
  <c r="M445" i="12"/>
  <c r="M446" i="12"/>
  <c r="M447" i="12"/>
  <c r="M448" i="12"/>
  <c r="M449" i="12"/>
  <c r="M450" i="12"/>
  <c r="M451" i="12"/>
  <c r="M452" i="12"/>
  <c r="M454" i="12"/>
  <c r="M455" i="12"/>
  <c r="M456" i="12"/>
  <c r="M457" i="12"/>
  <c r="M458" i="12"/>
  <c r="M459" i="12"/>
  <c r="M460" i="12"/>
  <c r="M461" i="12"/>
  <c r="M462" i="12"/>
  <c r="M463" i="12"/>
  <c r="M464" i="12"/>
  <c r="M465" i="12"/>
  <c r="M467" i="12"/>
  <c r="M468" i="12"/>
  <c r="M469" i="12"/>
  <c r="M470" i="12"/>
  <c r="M471" i="12"/>
  <c r="M472" i="12"/>
  <c r="M473" i="12"/>
  <c r="M474" i="12"/>
  <c r="M475" i="12"/>
  <c r="M476" i="12"/>
  <c r="M477" i="12"/>
  <c r="M478" i="12"/>
  <c r="M479" i="12"/>
  <c r="M481" i="12"/>
  <c r="M482" i="12"/>
  <c r="M483" i="12"/>
  <c r="M484" i="12"/>
  <c r="M485" i="12"/>
  <c r="M486" i="12"/>
  <c r="M487" i="12"/>
  <c r="M488" i="12"/>
  <c r="M489" i="12"/>
  <c r="M490" i="12"/>
  <c r="M491" i="12"/>
  <c r="M493" i="12"/>
  <c r="M494" i="12"/>
  <c r="M495" i="12"/>
  <c r="M496" i="12"/>
  <c r="M497" i="12"/>
  <c r="M498" i="12"/>
  <c r="M499" i="12"/>
  <c r="M500" i="12"/>
  <c r="M501" i="12"/>
  <c r="M502" i="12"/>
  <c r="M503" i="12"/>
  <c r="M504" i="12"/>
  <c r="M506" i="12"/>
  <c r="M507" i="12"/>
  <c r="M508" i="12"/>
  <c r="M509" i="12"/>
  <c r="M510" i="12"/>
  <c r="M511" i="12"/>
  <c r="M512" i="12"/>
  <c r="M513" i="12"/>
  <c r="M514" i="12"/>
  <c r="M515" i="12"/>
  <c r="M516" i="12"/>
  <c r="M517" i="12"/>
  <c r="M518" i="12"/>
  <c r="M519" i="12"/>
  <c r="M520" i="12"/>
  <c r="M521" i="12"/>
  <c r="M523" i="12"/>
  <c r="M524" i="12"/>
  <c r="M525" i="12"/>
  <c r="M526" i="12"/>
  <c r="M527" i="12"/>
  <c r="M528" i="12"/>
  <c r="M529" i="12"/>
  <c r="M530" i="12"/>
  <c r="M531" i="12"/>
  <c r="M532" i="12"/>
  <c r="M533" i="12"/>
  <c r="M534" i="12"/>
  <c r="M535" i="12"/>
  <c r="M536" i="12"/>
  <c r="M537" i="12"/>
  <c r="M539" i="12"/>
  <c r="M540" i="12"/>
  <c r="M541" i="12"/>
  <c r="M542" i="12"/>
  <c r="M543" i="12"/>
  <c r="M544" i="12"/>
  <c r="M545" i="12"/>
  <c r="M546" i="12"/>
  <c r="M547" i="12"/>
  <c r="M548" i="12"/>
  <c r="M549" i="12"/>
  <c r="M550" i="12"/>
  <c r="M551" i="12"/>
  <c r="M552" i="12"/>
  <c r="M554" i="12"/>
  <c r="M555" i="12"/>
  <c r="M556" i="12"/>
  <c r="M557" i="12"/>
  <c r="M558" i="12"/>
  <c r="M559" i="12"/>
  <c r="M560" i="12"/>
  <c r="M561" i="12"/>
  <c r="M562" i="12"/>
  <c r="M563" i="12"/>
  <c r="M564" i="12"/>
  <c r="M565" i="12"/>
  <c r="M566" i="12"/>
  <c r="M567" i="12"/>
  <c r="M569" i="12"/>
  <c r="M570" i="12"/>
  <c r="M571" i="12"/>
  <c r="M572" i="12"/>
  <c r="M573" i="12"/>
  <c r="M574" i="12"/>
  <c r="M575" i="12"/>
  <c r="M576" i="12"/>
  <c r="M577" i="12"/>
  <c r="M578" i="12"/>
  <c r="M579" i="12"/>
  <c r="M580" i="12"/>
  <c r="M581" i="12"/>
  <c r="M583" i="12"/>
  <c r="M584" i="12"/>
  <c r="M585" i="12"/>
  <c r="M586" i="12"/>
  <c r="M587" i="12"/>
  <c r="M588" i="12"/>
  <c r="M589" i="12"/>
  <c r="M590" i="12"/>
  <c r="M591" i="12"/>
  <c r="M592" i="12"/>
  <c r="M593" i="12"/>
  <c r="M594" i="12"/>
  <c r="M595" i="12"/>
  <c r="M597" i="12"/>
  <c r="M598" i="12"/>
  <c r="M599" i="12"/>
  <c r="M600" i="12"/>
  <c r="M601" i="12"/>
  <c r="M602" i="12"/>
  <c r="M603" i="12"/>
  <c r="M604" i="12"/>
  <c r="M605" i="12"/>
  <c r="M606" i="12"/>
  <c r="M607" i="12"/>
  <c r="M608" i="12"/>
  <c r="M610" i="12"/>
  <c r="M611" i="12"/>
  <c r="M612" i="12"/>
  <c r="M613" i="12"/>
  <c r="M614" i="12"/>
  <c r="M615" i="12"/>
  <c r="M616" i="12"/>
  <c r="M617" i="12"/>
  <c r="M618" i="12"/>
  <c r="M619" i="12"/>
  <c r="M620" i="12"/>
  <c r="M621" i="12"/>
  <c r="M622" i="12"/>
  <c r="M623" i="12"/>
  <c r="M624" i="12"/>
  <c r="M626" i="12"/>
  <c r="M627" i="12"/>
  <c r="M628" i="12"/>
  <c r="M629" i="12"/>
  <c r="M630" i="12"/>
  <c r="M631" i="12"/>
  <c r="M632" i="12"/>
  <c r="M633" i="12"/>
  <c r="M634" i="12"/>
  <c r="M635" i="12"/>
  <c r="M636" i="12"/>
  <c r="M637" i="12"/>
  <c r="M638" i="12"/>
  <c r="M639" i="12"/>
  <c r="M641" i="12"/>
  <c r="M642" i="12"/>
  <c r="M643" i="12"/>
  <c r="M644" i="12"/>
  <c r="M645" i="12"/>
  <c r="M646" i="12"/>
  <c r="M647" i="12"/>
  <c r="M648" i="12"/>
  <c r="M649" i="12"/>
  <c r="M650" i="12"/>
  <c r="M651" i="12"/>
  <c r="M652" i="12"/>
  <c r="M653" i="12"/>
  <c r="M654" i="12"/>
  <c r="M655" i="12"/>
  <c r="M656" i="12"/>
  <c r="M657" i="12"/>
  <c r="M658" i="12"/>
  <c r="M660" i="12"/>
  <c r="M661" i="12"/>
  <c r="M662" i="12"/>
  <c r="M663" i="12"/>
  <c r="M664" i="12"/>
  <c r="M665" i="12"/>
  <c r="M666" i="12"/>
  <c r="M667" i="12"/>
  <c r="M668" i="12"/>
  <c r="M669" i="12"/>
  <c r="M670" i="12"/>
  <c r="M671" i="12"/>
  <c r="M672" i="12"/>
  <c r="M673" i="12"/>
  <c r="M674" i="12"/>
  <c r="M675" i="12"/>
  <c r="M676" i="12"/>
  <c r="M678" i="12"/>
  <c r="M679" i="12"/>
  <c r="M680" i="12"/>
  <c r="M681" i="12"/>
  <c r="M682" i="12"/>
  <c r="M683" i="12"/>
  <c r="M684" i="12"/>
  <c r="M685" i="12"/>
  <c r="M686" i="12"/>
  <c r="M687" i="12"/>
  <c r="M688" i="12"/>
  <c r="M689" i="12"/>
  <c r="M690" i="12"/>
  <c r="M691" i="12"/>
  <c r="M692" i="12"/>
  <c r="M694" i="12"/>
  <c r="M695" i="12"/>
  <c r="M696" i="12"/>
  <c r="M697" i="12"/>
  <c r="M698" i="12"/>
  <c r="M699" i="12"/>
  <c r="M700" i="12"/>
  <c r="M701" i="12"/>
  <c r="M702" i="12"/>
  <c r="M703" i="12"/>
  <c r="M704" i="12"/>
  <c r="M705" i="12"/>
  <c r="M707" i="12"/>
  <c r="M708" i="12"/>
  <c r="M709" i="12"/>
  <c r="M710" i="12"/>
  <c r="M711" i="12"/>
  <c r="M712" i="12"/>
  <c r="M713" i="12"/>
  <c r="M714" i="12"/>
  <c r="M715" i="12"/>
  <c r="M716" i="12"/>
  <c r="M717" i="12"/>
  <c r="M718" i="12"/>
  <c r="M720" i="12"/>
  <c r="M721" i="12"/>
  <c r="M722" i="12"/>
  <c r="M723" i="12"/>
  <c r="M724" i="12"/>
  <c r="M725" i="12"/>
  <c r="M726" i="12"/>
  <c r="M727" i="12"/>
  <c r="M728" i="12"/>
  <c r="M729" i="12"/>
  <c r="M730" i="12"/>
  <c r="M731" i="12"/>
  <c r="M733" i="12"/>
  <c r="M734" i="12"/>
  <c r="M735" i="12"/>
  <c r="M736" i="12"/>
  <c r="M737" i="12"/>
  <c r="M738" i="12"/>
  <c r="M739" i="12"/>
  <c r="M740" i="12"/>
  <c r="M741" i="12"/>
  <c r="M742" i="12"/>
  <c r="M743" i="12"/>
  <c r="M744" i="12"/>
  <c r="M746" i="12"/>
  <c r="M747" i="12"/>
  <c r="M748" i="12"/>
  <c r="M749" i="12"/>
  <c r="M750" i="12"/>
  <c r="M751" i="12"/>
  <c r="M752" i="12"/>
  <c r="M753" i="12"/>
  <c r="M754" i="12"/>
  <c r="M755" i="12"/>
  <c r="M756" i="12"/>
  <c r="M757" i="12"/>
  <c r="M759" i="12"/>
  <c r="M760" i="12"/>
  <c r="M761" i="12"/>
  <c r="M762" i="12"/>
  <c r="M763" i="12"/>
  <c r="M764" i="12"/>
  <c r="M765" i="12"/>
  <c r="M766" i="12"/>
  <c r="M767" i="12"/>
  <c r="M768" i="12"/>
  <c r="M769" i="12"/>
  <c r="M770" i="12"/>
  <c r="M771" i="12"/>
  <c r="M772" i="12"/>
  <c r="M774" i="12"/>
  <c r="M775" i="12"/>
  <c r="M776" i="12"/>
  <c r="M777" i="12"/>
  <c r="M778" i="12"/>
  <c r="M779" i="12"/>
  <c r="M780" i="12"/>
  <c r="M781" i="12"/>
  <c r="M782" i="12"/>
  <c r="M783" i="12"/>
  <c r="M784" i="12"/>
  <c r="M785" i="12"/>
  <c r="M787" i="12"/>
  <c r="M788" i="12"/>
  <c r="M789" i="12"/>
  <c r="M790" i="12"/>
  <c r="M791" i="12"/>
  <c r="M792" i="12"/>
  <c r="M793" i="12"/>
  <c r="M794" i="12"/>
  <c r="M795" i="12"/>
  <c r="M796" i="12"/>
  <c r="M797" i="12"/>
  <c r="M798" i="12"/>
  <c r="M799" i="12"/>
  <c r="M800" i="12"/>
  <c r="M801" i="12"/>
  <c r="M803" i="12"/>
  <c r="M804" i="12"/>
  <c r="M805" i="12"/>
  <c r="M806" i="12"/>
  <c r="M807" i="12"/>
  <c r="M808" i="12"/>
  <c r="M809" i="12"/>
  <c r="M810" i="12"/>
  <c r="M811" i="12"/>
  <c r="M812" i="12"/>
  <c r="M813" i="12"/>
  <c r="M814" i="12"/>
  <c r="M815" i="12"/>
  <c r="M816" i="12"/>
  <c r="M817" i="12"/>
  <c r="M819" i="12"/>
  <c r="M820" i="12"/>
  <c r="M821" i="12"/>
  <c r="M822" i="12"/>
  <c r="M823" i="12"/>
  <c r="M824" i="12"/>
  <c r="M825" i="12"/>
  <c r="M826" i="12"/>
  <c r="M827" i="12"/>
  <c r="M828" i="12"/>
  <c r="M829" i="12"/>
  <c r="M830" i="12"/>
  <c r="M831" i="12"/>
  <c r="M832" i="12"/>
  <c r="M834" i="12"/>
  <c r="M835" i="12"/>
  <c r="M836" i="12"/>
  <c r="M837" i="12"/>
  <c r="M838" i="12"/>
  <c r="M839" i="12"/>
  <c r="M840" i="12"/>
  <c r="M841" i="12"/>
  <c r="M842" i="12"/>
  <c r="M843" i="12"/>
  <c r="M844" i="12"/>
  <c r="M845" i="12"/>
  <c r="M847" i="12"/>
  <c r="M848" i="12"/>
  <c r="M849" i="12"/>
  <c r="M850" i="12"/>
  <c r="M851" i="12"/>
  <c r="M852" i="12"/>
  <c r="M853" i="12"/>
  <c r="M854" i="12"/>
  <c r="M855" i="12"/>
  <c r="M856" i="12"/>
  <c r="M857" i="12"/>
  <c r="M858" i="12"/>
  <c r="M859" i="12"/>
  <c r="M861" i="12"/>
  <c r="M862" i="12"/>
  <c r="M863" i="12"/>
  <c r="M864" i="12"/>
  <c r="M865" i="12"/>
  <c r="M866" i="12"/>
  <c r="M867" i="12"/>
  <c r="M868" i="12"/>
  <c r="M869" i="12"/>
  <c r="M870" i="12"/>
  <c r="M871" i="12"/>
  <c r="M872" i="12"/>
  <c r="M874" i="12"/>
  <c r="M875" i="12"/>
  <c r="M876" i="12"/>
  <c r="M877" i="12"/>
  <c r="M878" i="12"/>
  <c r="M879" i="12"/>
  <c r="M880" i="12"/>
  <c r="M881" i="12"/>
  <c r="M882" i="12"/>
  <c r="M883" i="12"/>
  <c r="M884" i="12"/>
  <c r="M886" i="12"/>
  <c r="M887" i="12"/>
  <c r="M888" i="12"/>
  <c r="M889" i="12"/>
  <c r="M890" i="12"/>
  <c r="M891" i="12"/>
  <c r="M892" i="12"/>
  <c r="M893" i="12"/>
  <c r="M894" i="12"/>
  <c r="M895" i="12"/>
  <c r="M896" i="12"/>
  <c r="M897" i="12"/>
  <c r="M899" i="12"/>
  <c r="M900" i="12"/>
  <c r="M901" i="12"/>
  <c r="M902" i="12"/>
  <c r="M903" i="12"/>
  <c r="M904" i="12"/>
  <c r="M905" i="12"/>
  <c r="M906" i="12"/>
  <c r="M907" i="12"/>
  <c r="M908" i="12"/>
  <c r="M909" i="12"/>
  <c r="M910" i="12"/>
  <c r="M912" i="12"/>
  <c r="M913" i="12"/>
  <c r="M914" i="12"/>
  <c r="M915" i="12"/>
  <c r="M916" i="12"/>
  <c r="M917" i="12"/>
  <c r="M918" i="12"/>
  <c r="M919" i="12"/>
  <c r="M920" i="12"/>
  <c r="M921" i="12"/>
  <c r="M922" i="12"/>
  <c r="M923" i="12"/>
  <c r="M925" i="12"/>
  <c r="M926" i="12"/>
  <c r="M927" i="12"/>
  <c r="M928" i="12"/>
  <c r="M929" i="12"/>
  <c r="M930" i="12"/>
  <c r="M931" i="12"/>
  <c r="M932" i="12"/>
  <c r="M933" i="12"/>
  <c r="M934" i="12"/>
  <c r="L2" i="12"/>
  <c r="L3" i="12"/>
  <c r="L4" i="12" s="1"/>
  <c r="L5" i="12" s="1"/>
  <c r="L6" i="12" s="1"/>
  <c r="L7" i="12" s="1"/>
  <c r="L8" i="12" s="1"/>
  <c r="L9" i="12" s="1"/>
  <c r="L10" i="12" s="1"/>
  <c r="L11" i="12" s="1"/>
  <c r="L12" i="12" s="1"/>
  <c r="L13" i="12" s="1"/>
  <c r="L14" i="12" s="1"/>
  <c r="L15" i="12" s="1"/>
  <c r="L16" i="12" s="1"/>
  <c r="L17" i="12" s="1"/>
  <c r="L18" i="12" s="1"/>
  <c r="L19" i="12" s="1"/>
  <c r="L20" i="12" s="1"/>
  <c r="L21" i="12" s="1"/>
  <c r="L22" i="12" s="1"/>
  <c r="L23" i="12" s="1"/>
  <c r="L24" i="12" s="1"/>
  <c r="L25" i="12" s="1"/>
  <c r="L26" i="12" s="1"/>
  <c r="L27" i="12" s="1"/>
  <c r="L28" i="12" s="1"/>
  <c r="L29" i="12" s="1"/>
  <c r="L30" i="12" s="1"/>
  <c r="L31" i="12" s="1"/>
  <c r="L32" i="12" s="1"/>
  <c r="L33" i="12" s="1"/>
  <c r="L34" i="12" s="1"/>
  <c r="L35" i="12" s="1"/>
  <c r="L36" i="12" s="1"/>
  <c r="L37" i="12" s="1"/>
  <c r="L38" i="12" s="1"/>
  <c r="L39" i="12" s="1"/>
  <c r="L40" i="12" s="1"/>
  <c r="L41" i="12" s="1"/>
  <c r="L42" i="12" s="1"/>
  <c r="L43" i="12" s="1"/>
  <c r="L44" i="12" s="1"/>
  <c r="L45" i="12" s="1"/>
  <c r="L46" i="12" s="1"/>
  <c r="L47" i="12" s="1"/>
  <c r="L48" i="12" s="1"/>
  <c r="L49" i="12"/>
  <c r="L50" i="12" s="1"/>
  <c r="L51" i="12" s="1"/>
  <c r="L52" i="12" s="1"/>
  <c r="L53" i="12" s="1"/>
  <c r="L54" i="12" s="1"/>
  <c r="L55" i="12" s="1"/>
  <c r="L56" i="12" s="1"/>
  <c r="L57" i="12" s="1"/>
  <c r="L58" i="12" s="1"/>
  <c r="L59" i="12" s="1"/>
  <c r="L60" i="12" s="1"/>
  <c r="L61" i="12" s="1"/>
  <c r="L62" i="12" s="1"/>
  <c r="L63" i="12" s="1"/>
  <c r="L64" i="12" s="1"/>
  <c r="L65" i="12" s="1"/>
  <c r="L104" i="12"/>
  <c r="L105" i="12" s="1"/>
  <c r="L106" i="12" s="1"/>
  <c r="L107" i="12" s="1"/>
  <c r="L108" i="12" s="1"/>
  <c r="L118" i="12"/>
  <c r="L119" i="12" s="1"/>
  <c r="L120" i="12" s="1"/>
  <c r="L121" i="12" s="1"/>
  <c r="L122" i="12" s="1"/>
  <c r="L133" i="12"/>
  <c r="L134" i="12" s="1"/>
  <c r="L135" i="12" s="1"/>
  <c r="L136" i="12" s="1"/>
  <c r="L137" i="12" s="1"/>
  <c r="L138" i="12" s="1"/>
  <c r="L139" i="12" s="1"/>
  <c r="L140" i="12" s="1"/>
  <c r="L141" i="12" s="1"/>
  <c r="L142" i="12" s="1"/>
  <c r="L143" i="12" s="1"/>
  <c r="L144" i="12" s="1"/>
  <c r="L145" i="12" s="1"/>
  <c r="L146" i="12" s="1"/>
  <c r="L147" i="12" s="1"/>
  <c r="L148" i="12" s="1"/>
  <c r="L149" i="12" s="1"/>
  <c r="L150" i="12" s="1"/>
  <c r="L151" i="12" s="1"/>
  <c r="L152" i="12" s="1"/>
  <c r="L153" i="12" s="1"/>
  <c r="L154" i="12" s="1"/>
  <c r="L155" i="12" s="1"/>
  <c r="L156" i="12" s="1"/>
  <c r="L157" i="12" s="1"/>
  <c r="L158" i="12" s="1"/>
  <c r="L159" i="12" s="1"/>
  <c r="L160" i="12" s="1"/>
  <c r="L161" i="12" s="1"/>
  <c r="L162" i="12" s="1"/>
  <c r="L163" i="12"/>
  <c r="L164" i="12" s="1"/>
  <c r="L165" i="12" s="1"/>
  <c r="L166" i="12" s="1"/>
  <c r="L167" i="12" s="1"/>
  <c r="L168" i="12" s="1"/>
  <c r="L169" i="12" s="1"/>
  <c r="L170" i="12" s="1"/>
  <c r="L171" i="12" s="1"/>
  <c r="L172" i="12" s="1"/>
  <c r="L173" i="12" s="1"/>
  <c r="L174" i="12" s="1"/>
  <c r="L175" i="12" s="1"/>
  <c r="L176" i="12" s="1"/>
  <c r="L177" i="12" s="1"/>
  <c r="L178" i="12" s="1"/>
  <c r="L179" i="12" s="1"/>
  <c r="L180" i="12" s="1"/>
  <c r="L181" i="12" s="1"/>
  <c r="L182" i="12" s="1"/>
  <c r="L183" i="12" s="1"/>
  <c r="L184" i="12" s="1"/>
  <c r="L185" i="12" s="1"/>
  <c r="L186" i="12" s="1"/>
  <c r="L187" i="12" s="1"/>
  <c r="L188" i="12" s="1"/>
  <c r="L189" i="12" s="1"/>
  <c r="L190" i="12" s="1"/>
  <c r="L191" i="12" s="1"/>
  <c r="L192" i="12" s="1"/>
  <c r="L193" i="12" s="1"/>
  <c r="L194" i="12" s="1"/>
  <c r="L195" i="12" s="1"/>
  <c r="L221" i="12"/>
  <c r="L222" i="12" s="1"/>
  <c r="L223" i="12" s="1"/>
  <c r="L224" i="12" s="1"/>
  <c r="L312" i="12"/>
  <c r="L313" i="12" s="1"/>
  <c r="L314" i="12" s="1"/>
  <c r="L315" i="12" s="1"/>
  <c r="L316" i="12" s="1"/>
  <c r="L317" i="12" s="1"/>
  <c r="L318" i="12" s="1"/>
  <c r="L319" i="12" s="1"/>
  <c r="L320" i="12" s="1"/>
  <c r="L321" i="12" s="1"/>
  <c r="L322" i="12" s="1"/>
  <c r="L323" i="12" s="1"/>
  <c r="L324" i="12" s="1"/>
  <c r="L325" i="12" s="1"/>
  <c r="L326" i="12" s="1"/>
  <c r="L327" i="12" s="1"/>
  <c r="L328" i="12" s="1"/>
  <c r="L329" i="12" s="1"/>
  <c r="L330" i="12" s="1"/>
  <c r="L331" i="12" s="1"/>
  <c r="L332" i="12" s="1"/>
  <c r="L333" i="12" s="1"/>
  <c r="L334" i="12" s="1"/>
  <c r="L335" i="12" s="1"/>
  <c r="L336" i="12" s="1"/>
  <c r="L337" i="12" s="1"/>
  <c r="L338" i="12" s="1"/>
  <c r="L339" i="12" s="1"/>
  <c r="L340" i="12" s="1"/>
  <c r="L341" i="12" s="1"/>
  <c r="L342" i="12" s="1"/>
  <c r="L343" i="12" s="1"/>
  <c r="L380" i="12"/>
  <c r="L381" i="12" s="1"/>
  <c r="L382" i="12" s="1"/>
  <c r="L383" i="12" s="1"/>
  <c r="L384" i="12" s="1"/>
  <c r="L385" i="12" s="1"/>
  <c r="L386" i="12" s="1"/>
  <c r="L387" i="12" s="1"/>
  <c r="L388" i="12" s="1"/>
  <c r="L389" i="12" s="1"/>
  <c r="L390" i="12" s="1"/>
  <c r="L391" i="12" s="1"/>
  <c r="L392" i="12" s="1"/>
  <c r="L393" i="12" s="1"/>
  <c r="L394" i="12" s="1"/>
  <c r="L395" i="12" s="1"/>
  <c r="L396" i="12" s="1"/>
  <c r="L397" i="12" s="1"/>
  <c r="L398" i="12" s="1"/>
  <c r="L399" i="12" s="1"/>
  <c r="L400" i="12" s="1"/>
  <c r="L401" i="12" s="1"/>
  <c r="L518" i="12"/>
  <c r="L519" i="12" s="1"/>
  <c r="L520" i="12" s="1"/>
  <c r="L521" i="12" s="1"/>
  <c r="L522" i="12" s="1"/>
  <c r="L534" i="12"/>
  <c r="L535" i="12" s="1"/>
  <c r="L536" i="12" s="1"/>
  <c r="L537" i="12" s="1"/>
  <c r="L538" i="12" s="1"/>
  <c r="L549" i="12"/>
  <c r="L550" i="12" s="1"/>
  <c r="L551" i="12" s="1"/>
  <c r="L552" i="12" s="1"/>
  <c r="L553" i="12" s="1"/>
  <c r="L554" i="12" s="1"/>
  <c r="L555" i="12" s="1"/>
  <c r="L556" i="12" s="1"/>
  <c r="L557" i="12" s="1"/>
  <c r="L558" i="12" s="1"/>
  <c r="L559" i="12" s="1"/>
  <c r="L560" i="12" s="1"/>
  <c r="L561" i="12" s="1"/>
  <c r="L562" i="12" s="1"/>
  <c r="L563" i="12" s="1"/>
  <c r="L564" i="12"/>
  <c r="L565" i="12" s="1"/>
  <c r="L566" i="12" s="1"/>
  <c r="L567" i="12" s="1"/>
  <c r="L568" i="12" s="1"/>
  <c r="L579" i="12"/>
  <c r="L580" i="12" s="1"/>
  <c r="L581" i="12" s="1"/>
  <c r="L582" i="12" s="1"/>
  <c r="L621" i="12"/>
  <c r="L622" i="12" s="1"/>
  <c r="L623" i="12" s="1"/>
  <c r="L624" i="12" s="1"/>
  <c r="L625" i="12" s="1"/>
  <c r="L637" i="12"/>
  <c r="L638" i="12" s="1"/>
  <c r="L639" i="12" s="1"/>
  <c r="L640" i="12" s="1"/>
  <c r="L690" i="12"/>
  <c r="L691" i="12" s="1"/>
  <c r="L692" i="12" s="1"/>
  <c r="L693" i="12" s="1"/>
  <c r="L694" i="12" s="1"/>
  <c r="L695" i="12" s="1"/>
  <c r="L696" i="12" s="1"/>
  <c r="L697" i="12" s="1"/>
  <c r="L698" i="12" s="1"/>
  <c r="L699" i="12" s="1"/>
  <c r="L700" i="12" s="1"/>
  <c r="L701" i="12" s="1"/>
  <c r="L702" i="12" s="1"/>
  <c r="L703" i="12" s="1"/>
  <c r="L704" i="12" s="1"/>
  <c r="L705" i="12" s="1"/>
  <c r="L706" i="12" s="1"/>
  <c r="L798" i="12"/>
  <c r="L799" i="12" s="1"/>
  <c r="L800" i="12" s="1"/>
  <c r="L801" i="12" s="1"/>
  <c r="L802" i="12" s="1"/>
  <c r="L814" i="12"/>
  <c r="L815" i="12" s="1"/>
  <c r="L816" i="12" s="1"/>
  <c r="L817" i="12" s="1"/>
  <c r="L818" i="12" s="1"/>
  <c r="L830" i="12"/>
  <c r="L831" i="12" s="1"/>
  <c r="L832" i="12" s="1"/>
  <c r="L833" i="12" s="1"/>
  <c r="K2" i="12"/>
  <c r="K3" i="12" s="1"/>
  <c r="K4" i="12" s="1"/>
  <c r="K5" i="12" s="1"/>
  <c r="K6" i="12" s="1"/>
  <c r="K7" i="12" s="1"/>
  <c r="K48" i="12"/>
  <c r="K49" i="12" s="1"/>
  <c r="K50" i="12" s="1"/>
  <c r="K51" i="12" s="1"/>
  <c r="K52" i="12" s="1"/>
  <c r="K53" i="12" s="1"/>
  <c r="K54" i="12" s="1"/>
  <c r="K55" i="12" s="1"/>
  <c r="K56" i="12" s="1"/>
  <c r="K57" i="12" s="1"/>
  <c r="K58" i="12" s="1"/>
  <c r="K59" i="12" s="1"/>
  <c r="K60" i="12" s="1"/>
  <c r="K61" i="12" s="1"/>
  <c r="K62" i="12" s="1"/>
  <c r="K63" i="12" s="1"/>
  <c r="K64" i="12" s="1"/>
  <c r="K65" i="12" s="1"/>
  <c r="K66" i="12" s="1"/>
  <c r="K67" i="12" s="1"/>
  <c r="K68" i="12" s="1"/>
  <c r="K69" i="12" s="1"/>
  <c r="K70" i="12" s="1"/>
  <c r="K71" i="12" s="1"/>
  <c r="K72" i="12" s="1"/>
  <c r="K73" i="12" s="1"/>
  <c r="K74" i="12" s="1"/>
  <c r="K75" i="12" s="1"/>
  <c r="K76" i="12" s="1"/>
  <c r="K77" i="12" s="1"/>
  <c r="K78" i="12" s="1"/>
  <c r="K79" i="12" s="1"/>
  <c r="K80" i="12" s="1"/>
  <c r="K81" i="12" s="1"/>
  <c r="K82" i="12" s="1"/>
  <c r="K83" i="12" s="1"/>
  <c r="K84" i="12" s="1"/>
  <c r="K85" i="12" s="1"/>
  <c r="K86" i="12" s="1"/>
  <c r="K87" i="12" s="1"/>
  <c r="K88" i="12" s="1"/>
  <c r="K89" i="12" s="1"/>
  <c r="K90" i="12" s="1"/>
  <c r="K91" i="12" s="1"/>
  <c r="K92" i="12" s="1"/>
  <c r="K93" i="12" s="1"/>
  <c r="K94" i="12" s="1"/>
  <c r="K95" i="12" s="1"/>
  <c r="K96" i="12" s="1"/>
  <c r="K97" i="12" s="1"/>
  <c r="K98" i="12" s="1"/>
  <c r="K99" i="12" s="1"/>
  <c r="K100" i="12" s="1"/>
  <c r="K101" i="12" s="1"/>
  <c r="K102" i="12" s="1"/>
  <c r="K103" i="12"/>
  <c r="K104" i="12" s="1"/>
  <c r="K105" i="12" s="1"/>
  <c r="K106" i="12" s="1"/>
  <c r="K107" i="12" s="1"/>
  <c r="K108" i="12" s="1"/>
  <c r="K109" i="12" s="1"/>
  <c r="K110" i="12" s="1"/>
  <c r="K111" i="12" s="1"/>
  <c r="K112" i="12" s="1"/>
  <c r="K113" i="12" s="1"/>
  <c r="K114" i="12" s="1"/>
  <c r="K115" i="12" s="1"/>
  <c r="K116" i="12" s="1"/>
  <c r="K117" i="12"/>
  <c r="K118" i="12" s="1"/>
  <c r="K119" i="12" s="1"/>
  <c r="K120" i="12" s="1"/>
  <c r="K121" i="12" s="1"/>
  <c r="K122" i="12" s="1"/>
  <c r="K123" i="12" s="1"/>
  <c r="K124" i="12" s="1"/>
  <c r="K125" i="12" s="1"/>
  <c r="K126" i="12" s="1"/>
  <c r="K127" i="12" s="1"/>
  <c r="K128" i="12" s="1"/>
  <c r="K129" i="12" s="1"/>
  <c r="K130" i="12" s="1"/>
  <c r="K131" i="12" s="1"/>
  <c r="K132" i="12"/>
  <c r="K133" i="12" s="1"/>
  <c r="K134" i="12" s="1"/>
  <c r="K135" i="12" s="1"/>
  <c r="K136" i="12" s="1"/>
  <c r="K137" i="12" s="1"/>
  <c r="K138" i="12" s="1"/>
  <c r="K139" i="12" s="1"/>
  <c r="K140" i="12" s="1"/>
  <c r="K141" i="12" s="1"/>
  <c r="K142" i="12" s="1"/>
  <c r="K143" i="12" s="1"/>
  <c r="K144" i="12" s="1"/>
  <c r="K145" i="12" s="1"/>
  <c r="K146" i="12" s="1"/>
  <c r="K147" i="12" s="1"/>
  <c r="K148" i="12" s="1"/>
  <c r="K149" i="12" s="1"/>
  <c r="K150" i="12" s="1"/>
  <c r="K151" i="12" s="1"/>
  <c r="K152" i="12" s="1"/>
  <c r="K153" i="12" s="1"/>
  <c r="K154" i="12" s="1"/>
  <c r="K155" i="12" s="1"/>
  <c r="K156" i="12" s="1"/>
  <c r="K157" i="12" s="1"/>
  <c r="K158" i="12" s="1"/>
  <c r="K159" i="12" s="1"/>
  <c r="K160" i="12" s="1"/>
  <c r="K161" i="12" s="1"/>
  <c r="K162" i="12"/>
  <c r="K163" i="12" s="1"/>
  <c r="K164" i="12" s="1"/>
  <c r="K165" i="12" s="1"/>
  <c r="K166" i="12" s="1"/>
  <c r="K167" i="12" s="1"/>
  <c r="K168" i="12" s="1"/>
  <c r="K169" i="12" s="1"/>
  <c r="K170" i="12" s="1"/>
  <c r="K171" i="12" s="1"/>
  <c r="K172" i="12" s="1"/>
  <c r="K173" i="12" s="1"/>
  <c r="K174" i="12" s="1"/>
  <c r="K175" i="12" s="1"/>
  <c r="K176" i="12" s="1"/>
  <c r="K177" i="12" s="1"/>
  <c r="K178" i="12" s="1"/>
  <c r="K179" i="12" s="1"/>
  <c r="K180" i="12" s="1"/>
  <c r="K181" i="12" s="1"/>
  <c r="K182" i="12" s="1"/>
  <c r="K183" i="12" s="1"/>
  <c r="K184" i="12" s="1"/>
  <c r="K185" i="12" s="1"/>
  <c r="K186" i="12" s="1"/>
  <c r="K187" i="12" s="1"/>
  <c r="K188" i="12" s="1"/>
  <c r="K189" i="12" s="1"/>
  <c r="K190" i="12" s="1"/>
  <c r="K191" i="12" s="1"/>
  <c r="K192" i="12" s="1"/>
  <c r="K193" i="12" s="1"/>
  <c r="K194" i="12" s="1"/>
  <c r="K195" i="12" s="1"/>
  <c r="K196" i="12" s="1"/>
  <c r="K197" i="12" s="1"/>
  <c r="K198" i="12" s="1"/>
  <c r="K199" i="12" s="1"/>
  <c r="K200" i="12" s="1"/>
  <c r="K201" i="12" s="1"/>
  <c r="K202" i="12" s="1"/>
  <c r="K203" i="12" s="1"/>
  <c r="K204" i="12" s="1"/>
  <c r="K205" i="12" s="1"/>
  <c r="K206" i="12" s="1"/>
  <c r="K207" i="12" s="1"/>
  <c r="K208" i="12" s="1"/>
  <c r="K209" i="12" s="1"/>
  <c r="K210" i="12" s="1"/>
  <c r="K211" i="12" s="1"/>
  <c r="K212" i="12" s="1"/>
  <c r="K213" i="12" s="1"/>
  <c r="K214" i="12" s="1"/>
  <c r="K215" i="12" s="1"/>
  <c r="K216" i="12" s="1"/>
  <c r="K217" i="12" s="1"/>
  <c r="K218" i="12" s="1"/>
  <c r="K219" i="12" s="1"/>
  <c r="K220" i="12"/>
  <c r="K221" i="12" s="1"/>
  <c r="K222" i="12" s="1"/>
  <c r="K223" i="12" s="1"/>
  <c r="K224" i="12" s="1"/>
  <c r="K225" i="12" s="1"/>
  <c r="K226" i="12" s="1"/>
  <c r="K227" i="12" s="1"/>
  <c r="K228" i="12" s="1"/>
  <c r="K229" i="12" s="1"/>
  <c r="K230" i="12" s="1"/>
  <c r="K231" i="12" s="1"/>
  <c r="K232" i="12" s="1"/>
  <c r="K233" i="12" s="1"/>
  <c r="K234" i="12" s="1"/>
  <c r="K235" i="12" s="1"/>
  <c r="K236" i="12" s="1"/>
  <c r="K237" i="12" s="1"/>
  <c r="K238" i="12" s="1"/>
  <c r="K239" i="12" s="1"/>
  <c r="K240" i="12" s="1"/>
  <c r="K241" i="12" s="1"/>
  <c r="K242" i="12" s="1"/>
  <c r="K243" i="12" s="1"/>
  <c r="K244" i="12" s="1"/>
  <c r="K245" i="12" s="1"/>
  <c r="K246" i="12" s="1"/>
  <c r="K247" i="12" s="1"/>
  <c r="K248" i="12" s="1"/>
  <c r="K249" i="12" s="1"/>
  <c r="K250" i="12" s="1"/>
  <c r="K251" i="12" s="1"/>
  <c r="K252" i="12" s="1"/>
  <c r="K253" i="12" s="1"/>
  <c r="K254" i="12" s="1"/>
  <c r="K255" i="12" s="1"/>
  <c r="K256" i="12" s="1"/>
  <c r="K257" i="12" s="1"/>
  <c r="K258" i="12" s="1"/>
  <c r="K259" i="12" s="1"/>
  <c r="K260" i="12" s="1"/>
  <c r="K261" i="12" s="1"/>
  <c r="K262" i="12" s="1"/>
  <c r="K263" i="12" s="1"/>
  <c r="K264" i="12" s="1"/>
  <c r="K265" i="12" s="1"/>
  <c r="K266" i="12" s="1"/>
  <c r="K267" i="12" s="1"/>
  <c r="K268" i="12" s="1"/>
  <c r="K269" i="12" s="1"/>
  <c r="K270" i="12" s="1"/>
  <c r="K271" i="12" s="1"/>
  <c r="K272" i="12" s="1"/>
  <c r="K273" i="12" s="1"/>
  <c r="K274" i="12" s="1"/>
  <c r="K275" i="12" s="1"/>
  <c r="K276" i="12" s="1"/>
  <c r="K277" i="12" s="1"/>
  <c r="K278" i="12" s="1"/>
  <c r="K279" i="12" s="1"/>
  <c r="K280" i="12" s="1"/>
  <c r="K281" i="12" s="1"/>
  <c r="K282" i="12" s="1"/>
  <c r="K283" i="12" s="1"/>
  <c r="K284" i="12" s="1"/>
  <c r="K285" i="12" s="1"/>
  <c r="K286" i="12" s="1"/>
  <c r="K287" i="12" s="1"/>
  <c r="K288" i="12" s="1"/>
  <c r="K289" i="12" s="1"/>
  <c r="K290" i="12" s="1"/>
  <c r="K291" i="12" s="1"/>
  <c r="K292" i="12" s="1"/>
  <c r="K293" i="12" s="1"/>
  <c r="K294" i="12" s="1"/>
  <c r="K295" i="12" s="1"/>
  <c r="K296" i="12" s="1"/>
  <c r="K297" i="12" s="1"/>
  <c r="K298" i="12" s="1"/>
  <c r="K299" i="12" s="1"/>
  <c r="K300" i="12" s="1"/>
  <c r="K301" i="12" s="1"/>
  <c r="K302" i="12" s="1"/>
  <c r="K303" i="12" s="1"/>
  <c r="K304" i="12" s="1"/>
  <c r="K305" i="12" s="1"/>
  <c r="K306" i="12" s="1"/>
  <c r="K307" i="12" s="1"/>
  <c r="K308" i="12" s="1"/>
  <c r="K309" i="12" s="1"/>
  <c r="K310" i="12" s="1"/>
  <c r="K311" i="12"/>
  <c r="K312" i="12" s="1"/>
  <c r="K313" i="12" s="1"/>
  <c r="K314" i="12" s="1"/>
  <c r="K315" i="12" s="1"/>
  <c r="K379" i="12"/>
  <c r="K380" i="12" s="1"/>
  <c r="K381" i="12" s="1"/>
  <c r="K382" i="12" s="1"/>
  <c r="K383" i="12" s="1"/>
  <c r="K517" i="12"/>
  <c r="K518" i="12" s="1"/>
  <c r="K519" i="12" s="1"/>
  <c r="K520" i="12" s="1"/>
  <c r="K521" i="12" s="1"/>
  <c r="K522" i="12" s="1"/>
  <c r="K523" i="12" s="1"/>
  <c r="K524" i="12" s="1"/>
  <c r="K525" i="12" s="1"/>
  <c r="K526" i="12" s="1"/>
  <c r="K527" i="12" s="1"/>
  <c r="K528" i="12" s="1"/>
  <c r="K529" i="12" s="1"/>
  <c r="K530" i="12" s="1"/>
  <c r="K531" i="12" s="1"/>
  <c r="K532" i="12" s="1"/>
  <c r="K533" i="12"/>
  <c r="K534" i="12" s="1"/>
  <c r="K535" i="12" s="1"/>
  <c r="K536" i="12" s="1"/>
  <c r="K537" i="12" s="1"/>
  <c r="K538" i="12" s="1"/>
  <c r="K539" i="12" s="1"/>
  <c r="K540" i="12" s="1"/>
  <c r="K541" i="12" s="1"/>
  <c r="K542" i="12" s="1"/>
  <c r="K543" i="12" s="1"/>
  <c r="K544" i="12" s="1"/>
  <c r="K545" i="12" s="1"/>
  <c r="K546" i="12" s="1"/>
  <c r="K547" i="12" s="1"/>
  <c r="K548" i="12"/>
  <c r="K549" i="12" s="1"/>
  <c r="K550" i="12" s="1"/>
  <c r="K551" i="12" s="1"/>
  <c r="K552" i="12" s="1"/>
  <c r="K553" i="12" s="1"/>
  <c r="K554" i="12" s="1"/>
  <c r="K555" i="12" s="1"/>
  <c r="K556" i="12" s="1"/>
  <c r="K557" i="12" s="1"/>
  <c r="K558" i="12" s="1"/>
  <c r="K559" i="12" s="1"/>
  <c r="K560" i="12" s="1"/>
  <c r="K561" i="12" s="1"/>
  <c r="K562" i="12" s="1"/>
  <c r="K563" i="12"/>
  <c r="K564" i="12" s="1"/>
  <c r="K565" i="12" s="1"/>
  <c r="K566" i="12" s="1"/>
  <c r="K567" i="12" s="1"/>
  <c r="K568" i="12" s="1"/>
  <c r="K578" i="12"/>
  <c r="K579" i="12" s="1"/>
  <c r="K580" i="12" s="1"/>
  <c r="K581" i="12" s="1"/>
  <c r="K582" i="12" s="1"/>
  <c r="K583" i="12" s="1"/>
  <c r="K584" i="12" s="1"/>
  <c r="K585" i="12" s="1"/>
  <c r="K586" i="12" s="1"/>
  <c r="K587" i="12" s="1"/>
  <c r="K588" i="12" s="1"/>
  <c r="K589" i="12" s="1"/>
  <c r="K590" i="12" s="1"/>
  <c r="K591" i="12" s="1"/>
  <c r="K592" i="12" s="1"/>
  <c r="K593" i="12" s="1"/>
  <c r="K594" i="12" s="1"/>
  <c r="K595" i="12" s="1"/>
  <c r="K596" i="12" s="1"/>
  <c r="K597" i="12" s="1"/>
  <c r="K598" i="12" s="1"/>
  <c r="K599" i="12" s="1"/>
  <c r="K600" i="12" s="1"/>
  <c r="K601" i="12" s="1"/>
  <c r="K602" i="12" s="1"/>
  <c r="K603" i="12" s="1"/>
  <c r="K604" i="12" s="1"/>
  <c r="K605" i="12" s="1"/>
  <c r="K606" i="12" s="1"/>
  <c r="K607" i="12" s="1"/>
  <c r="K608" i="12" s="1"/>
  <c r="K609" i="12" s="1"/>
  <c r="K610" i="12" s="1"/>
  <c r="K611" i="12" s="1"/>
  <c r="K612" i="12" s="1"/>
  <c r="K613" i="12" s="1"/>
  <c r="K614" i="12" s="1"/>
  <c r="K615" i="12" s="1"/>
  <c r="K616" i="12" s="1"/>
  <c r="K617" i="12" s="1"/>
  <c r="K618" i="12" s="1"/>
  <c r="K619" i="12" s="1"/>
  <c r="K620" i="12"/>
  <c r="K621" i="12" s="1"/>
  <c r="K622" i="12" s="1"/>
  <c r="K623" i="12" s="1"/>
  <c r="K624" i="12" s="1"/>
  <c r="K625" i="12" s="1"/>
  <c r="K626" i="12" s="1"/>
  <c r="K627" i="12" s="1"/>
  <c r="K628" i="12" s="1"/>
  <c r="K629" i="12" s="1"/>
  <c r="K630" i="12" s="1"/>
  <c r="K631" i="12" s="1"/>
  <c r="K632" i="12" s="1"/>
  <c r="K633" i="12" s="1"/>
  <c r="K634" i="12" s="1"/>
  <c r="K635" i="12" s="1"/>
  <c r="K636" i="12"/>
  <c r="K637" i="12" s="1"/>
  <c r="K638" i="12" s="1"/>
  <c r="K639" i="12" s="1"/>
  <c r="K640" i="12" s="1"/>
  <c r="K641" i="12" s="1"/>
  <c r="K642" i="12" s="1"/>
  <c r="K643" i="12" s="1"/>
  <c r="K644" i="12" s="1"/>
  <c r="K645" i="12" s="1"/>
  <c r="K646" i="12" s="1"/>
  <c r="K647" i="12" s="1"/>
  <c r="K648" i="12" s="1"/>
  <c r="K649" i="12" s="1"/>
  <c r="K650" i="12" s="1"/>
  <c r="K651" i="12" s="1"/>
  <c r="K652" i="12" s="1"/>
  <c r="K653" i="12" s="1"/>
  <c r="K654" i="12" s="1"/>
  <c r="K655" i="12" s="1"/>
  <c r="K656" i="12" s="1"/>
  <c r="K657" i="12" s="1"/>
  <c r="K658" i="12" s="1"/>
  <c r="K659" i="12" s="1"/>
  <c r="K660" i="12" s="1"/>
  <c r="K661" i="12" s="1"/>
  <c r="K662" i="12" s="1"/>
  <c r="K663" i="12" s="1"/>
  <c r="K664" i="12" s="1"/>
  <c r="K665" i="12" s="1"/>
  <c r="K666" i="12" s="1"/>
  <c r="K667" i="12" s="1"/>
  <c r="K668" i="12" s="1"/>
  <c r="K669" i="12" s="1"/>
  <c r="K670" i="12" s="1"/>
  <c r="K671" i="12" s="1"/>
  <c r="K672" i="12" s="1"/>
  <c r="K673" i="12" s="1"/>
  <c r="K674" i="12" s="1"/>
  <c r="K675" i="12" s="1"/>
  <c r="K676" i="12" s="1"/>
  <c r="K677" i="12" s="1"/>
  <c r="K678" i="12" s="1"/>
  <c r="K679" i="12" s="1"/>
  <c r="K680" i="12" s="1"/>
  <c r="K681" i="12" s="1"/>
  <c r="K682" i="12" s="1"/>
  <c r="K683" i="12" s="1"/>
  <c r="K684" i="12" s="1"/>
  <c r="K685" i="12" s="1"/>
  <c r="K686" i="12" s="1"/>
  <c r="K687" i="12" s="1"/>
  <c r="K688" i="12" s="1"/>
  <c r="K689" i="12"/>
  <c r="K690" i="12" s="1"/>
  <c r="K691" i="12" s="1"/>
  <c r="K692" i="12" s="1"/>
  <c r="K693" i="12" s="1"/>
  <c r="K694" i="12" s="1"/>
  <c r="K695" i="12" s="1"/>
  <c r="K696" i="12" s="1"/>
  <c r="K697" i="12" s="1"/>
  <c r="K698" i="12" s="1"/>
  <c r="K699" i="12" s="1"/>
  <c r="K700" i="12" s="1"/>
  <c r="K701" i="12" s="1"/>
  <c r="K702" i="12" s="1"/>
  <c r="K703" i="12" s="1"/>
  <c r="K704" i="12" s="1"/>
  <c r="K705" i="12" s="1"/>
  <c r="K706" i="12" s="1"/>
  <c r="K707" i="12" s="1"/>
  <c r="K708" i="12" s="1"/>
  <c r="K709" i="12" s="1"/>
  <c r="K710" i="12" s="1"/>
  <c r="K711" i="12" s="1"/>
  <c r="K712" i="12" s="1"/>
  <c r="K713" i="12" s="1"/>
  <c r="K714" i="12" s="1"/>
  <c r="K715" i="12" s="1"/>
  <c r="K716" i="12" s="1"/>
  <c r="K717" i="12" s="1"/>
  <c r="K718" i="12" s="1"/>
  <c r="K719" i="12" s="1"/>
  <c r="K720" i="12" s="1"/>
  <c r="K721" i="12" s="1"/>
  <c r="K722" i="12" s="1"/>
  <c r="K723" i="12" s="1"/>
  <c r="K724" i="12" s="1"/>
  <c r="K725" i="12" s="1"/>
  <c r="K726" i="12" s="1"/>
  <c r="K727" i="12" s="1"/>
  <c r="K728" i="12" s="1"/>
  <c r="K729" i="12" s="1"/>
  <c r="K730" i="12" s="1"/>
  <c r="K731" i="12" s="1"/>
  <c r="K732" i="12" s="1"/>
  <c r="K733" i="12" s="1"/>
  <c r="K734" i="12" s="1"/>
  <c r="K735" i="12" s="1"/>
  <c r="K736" i="12" s="1"/>
  <c r="K737" i="12" s="1"/>
  <c r="K738" i="12" s="1"/>
  <c r="K739" i="12" s="1"/>
  <c r="K740" i="12" s="1"/>
  <c r="K741" i="12" s="1"/>
  <c r="K742" i="12" s="1"/>
  <c r="K743" i="12" s="1"/>
  <c r="K744" i="12" s="1"/>
  <c r="K745" i="12" s="1"/>
  <c r="K746" i="12" s="1"/>
  <c r="K747" i="12" s="1"/>
  <c r="K748" i="12" s="1"/>
  <c r="K749" i="12" s="1"/>
  <c r="K750" i="12" s="1"/>
  <c r="K751" i="12" s="1"/>
  <c r="K752" i="12" s="1"/>
  <c r="K753" i="12" s="1"/>
  <c r="K754" i="12" s="1"/>
  <c r="K755" i="12" s="1"/>
  <c r="K756" i="12" s="1"/>
  <c r="K757" i="12" s="1"/>
  <c r="K758" i="12" s="1"/>
  <c r="K759" i="12" s="1"/>
  <c r="K760" i="12" s="1"/>
  <c r="K761" i="12" s="1"/>
  <c r="K762" i="12" s="1"/>
  <c r="K763" i="12" s="1"/>
  <c r="K764" i="12" s="1"/>
  <c r="K765" i="12" s="1"/>
  <c r="K766" i="12" s="1"/>
  <c r="K767" i="12" s="1"/>
  <c r="K768" i="12" s="1"/>
  <c r="K769" i="12" s="1"/>
  <c r="K770" i="12" s="1"/>
  <c r="K771" i="12" s="1"/>
  <c r="K772" i="12" s="1"/>
  <c r="K773" i="12" s="1"/>
  <c r="K774" i="12" s="1"/>
  <c r="K775" i="12" s="1"/>
  <c r="K776" i="12" s="1"/>
  <c r="K777" i="12" s="1"/>
  <c r="K778" i="12" s="1"/>
  <c r="K779" i="12" s="1"/>
  <c r="K780" i="12" s="1"/>
  <c r="K781" i="12" s="1"/>
  <c r="K782" i="12" s="1"/>
  <c r="K783" i="12" s="1"/>
  <c r="K784" i="12" s="1"/>
  <c r="K785" i="12" s="1"/>
  <c r="K786" i="12" s="1"/>
  <c r="K787" i="12" s="1"/>
  <c r="K788" i="12" s="1"/>
  <c r="K789" i="12" s="1"/>
  <c r="K790" i="12" s="1"/>
  <c r="K791" i="12" s="1"/>
  <c r="K792" i="12" s="1"/>
  <c r="K793" i="12" s="1"/>
  <c r="K794" i="12" s="1"/>
  <c r="K795" i="12" s="1"/>
  <c r="K796" i="12" s="1"/>
  <c r="K797" i="12"/>
  <c r="K798" i="12" s="1"/>
  <c r="K799" i="12" s="1"/>
  <c r="K800" i="12" s="1"/>
  <c r="K801" i="12" s="1"/>
  <c r="K802" i="12" s="1"/>
  <c r="K813" i="12"/>
  <c r="K814" i="12" s="1"/>
  <c r="K815" i="12" s="1"/>
  <c r="K816" i="12" s="1"/>
  <c r="K817" i="12" s="1"/>
  <c r="K818" i="12" s="1"/>
  <c r="K829" i="12"/>
  <c r="K830" i="12" s="1"/>
  <c r="K831" i="12" s="1"/>
  <c r="K832" i="12" s="1"/>
  <c r="K833" i="12" s="1"/>
  <c r="K834" i="12" s="1"/>
  <c r="K835" i="12" s="1"/>
  <c r="K836" i="12" s="1"/>
  <c r="K837" i="12" s="1"/>
  <c r="K838" i="12" s="1"/>
  <c r="K839" i="12" s="1"/>
  <c r="K840" i="12" s="1"/>
  <c r="K841" i="12" s="1"/>
  <c r="K842" i="12" s="1"/>
  <c r="K843" i="12" s="1"/>
  <c r="K844" i="12" s="1"/>
  <c r="K845" i="12" s="1"/>
  <c r="K846" i="12" s="1"/>
  <c r="K847" i="12" s="1"/>
  <c r="K848" i="12" s="1"/>
  <c r="K849" i="12" s="1"/>
  <c r="K850" i="12" s="1"/>
  <c r="K851" i="12" s="1"/>
  <c r="K852" i="12" s="1"/>
  <c r="K853" i="12" s="1"/>
  <c r="K854" i="12" s="1"/>
  <c r="K855" i="12" s="1"/>
  <c r="K856" i="12" s="1"/>
  <c r="K857" i="12" s="1"/>
  <c r="K858" i="12" s="1"/>
  <c r="K859" i="12" s="1"/>
  <c r="K860" i="12" s="1"/>
  <c r="K861" i="12" s="1"/>
  <c r="K862" i="12" s="1"/>
  <c r="K863" i="12" s="1"/>
  <c r="K864" i="12" s="1"/>
  <c r="K865" i="12" s="1"/>
  <c r="K866" i="12" s="1"/>
  <c r="K867" i="12" s="1"/>
  <c r="K868" i="12" s="1"/>
  <c r="K869" i="12" s="1"/>
  <c r="K870" i="12" s="1"/>
  <c r="K871" i="12" s="1"/>
  <c r="K872" i="12" s="1"/>
  <c r="K873" i="12" s="1"/>
  <c r="K874" i="12" s="1"/>
  <c r="K875" i="12" s="1"/>
  <c r="K876" i="12" s="1"/>
  <c r="K877" i="12" s="1"/>
  <c r="K878" i="12" s="1"/>
  <c r="K879" i="12" s="1"/>
  <c r="K880" i="12" s="1"/>
  <c r="K881" i="12" s="1"/>
  <c r="K882" i="12" s="1"/>
  <c r="K883" i="12" s="1"/>
  <c r="K884" i="12" s="1"/>
  <c r="K885" i="12" s="1"/>
  <c r="J2" i="12"/>
  <c r="J3" i="12"/>
  <c r="J4" i="12"/>
  <c r="J5" i="12"/>
  <c r="J6" i="12"/>
  <c r="J7" i="12"/>
  <c r="M7" i="12" s="1"/>
  <c r="J25" i="12"/>
  <c r="J26" i="12" s="1"/>
  <c r="J27" i="12" s="1"/>
  <c r="J28" i="12" s="1"/>
  <c r="J29" i="12" s="1"/>
  <c r="J30" i="12" s="1"/>
  <c r="J31" i="12" s="1"/>
  <c r="J32" i="12" s="1"/>
  <c r="J33" i="12" s="1"/>
  <c r="J34" i="12" s="1"/>
  <c r="J35" i="12" s="1"/>
  <c r="J36" i="12" s="1"/>
  <c r="J37" i="12" s="1"/>
  <c r="J38" i="12"/>
  <c r="J39" i="12" s="1"/>
  <c r="J40" i="12" s="1"/>
  <c r="J41" i="12" s="1"/>
  <c r="J42" i="12" s="1"/>
  <c r="J43" i="12" s="1"/>
  <c r="J44" i="12" s="1"/>
  <c r="J45" i="12" s="1"/>
  <c r="J46" i="12" s="1"/>
  <c r="J47" i="12" s="1"/>
  <c r="J48" i="12" s="1"/>
  <c r="J49" i="12" s="1"/>
  <c r="J50" i="12" s="1"/>
  <c r="J51" i="12" s="1"/>
  <c r="J52" i="12"/>
  <c r="J53" i="12" s="1"/>
  <c r="J54" i="12" s="1"/>
  <c r="J55" i="12" s="1"/>
  <c r="J56" i="12" s="1"/>
  <c r="J57" i="12" s="1"/>
  <c r="J58" i="12" s="1"/>
  <c r="J59" i="12" s="1"/>
  <c r="J60" i="12" s="1"/>
  <c r="J61" i="12" s="1"/>
  <c r="J62" i="12" s="1"/>
  <c r="J63" i="12" s="1"/>
  <c r="J64" i="12" s="1"/>
  <c r="J65" i="12"/>
  <c r="J66" i="12" s="1"/>
  <c r="J67" i="12" s="1"/>
  <c r="J68" i="12" s="1"/>
  <c r="J69" i="12" s="1"/>
  <c r="J70" i="12" s="1"/>
  <c r="J71" i="12" s="1"/>
  <c r="J72" i="12" s="1"/>
  <c r="J73" i="12" s="1"/>
  <c r="J74" i="12" s="1"/>
  <c r="J75" i="12" s="1"/>
  <c r="J76" i="12" s="1"/>
  <c r="J77" i="12" s="1"/>
  <c r="J78" i="12" s="1"/>
  <c r="J79" i="12"/>
  <c r="J80" i="12" s="1"/>
  <c r="J81" i="12" s="1"/>
  <c r="J82" i="12" s="1"/>
  <c r="J83" i="12" s="1"/>
  <c r="J84" i="12" s="1"/>
  <c r="J85" i="12" s="1"/>
  <c r="J86" i="12" s="1"/>
  <c r="J87" i="12" s="1"/>
  <c r="J88" i="12" s="1"/>
  <c r="J89" i="12" s="1"/>
  <c r="J90" i="12" s="1"/>
  <c r="J91" i="12" s="1"/>
  <c r="J92" i="12"/>
  <c r="J93" i="12" s="1"/>
  <c r="J94" i="12" s="1"/>
  <c r="J95" i="12" s="1"/>
  <c r="J96" i="12" s="1"/>
  <c r="J97" i="12" s="1"/>
  <c r="J98" i="12" s="1"/>
  <c r="J99" i="12" s="1"/>
  <c r="J100" i="12" s="1"/>
  <c r="J101" i="12" s="1"/>
  <c r="J102" i="12" s="1"/>
  <c r="J103" i="12" s="1"/>
  <c r="J104" i="12" s="1"/>
  <c r="J105" i="12" s="1"/>
  <c r="J106" i="12" s="1"/>
  <c r="J107" i="12" s="1"/>
  <c r="J108" i="12"/>
  <c r="J109" i="12" s="1"/>
  <c r="J110" i="12" s="1"/>
  <c r="J111" i="12" s="1"/>
  <c r="J112" i="12" s="1"/>
  <c r="J113" i="12" s="1"/>
  <c r="J114" i="12" s="1"/>
  <c r="J115" i="12" s="1"/>
  <c r="J116" i="12" s="1"/>
  <c r="J117" i="12" s="1"/>
  <c r="J118" i="12" s="1"/>
  <c r="J119" i="12" s="1"/>
  <c r="J120" i="12" s="1"/>
  <c r="J121" i="12" s="1"/>
  <c r="J122" i="12"/>
  <c r="J123" i="12" s="1"/>
  <c r="J124" i="12" s="1"/>
  <c r="J125" i="12" s="1"/>
  <c r="J126" i="12" s="1"/>
  <c r="J127" i="12" s="1"/>
  <c r="J128" i="12" s="1"/>
  <c r="J129" i="12" s="1"/>
  <c r="J130" i="12" s="1"/>
  <c r="J131" i="12" s="1"/>
  <c r="J132" i="12" s="1"/>
  <c r="J133" i="12" s="1"/>
  <c r="J134" i="12" s="1"/>
  <c r="J135" i="12" s="1"/>
  <c r="J136" i="12" s="1"/>
  <c r="J137" i="12"/>
  <c r="M137" i="12" s="1"/>
  <c r="J151" i="12"/>
  <c r="J152" i="12" s="1"/>
  <c r="J153" i="12" s="1"/>
  <c r="J154" i="12" s="1"/>
  <c r="J155" i="12" s="1"/>
  <c r="J156" i="12" s="1"/>
  <c r="J157" i="12" s="1"/>
  <c r="J158" i="12" s="1"/>
  <c r="J159" i="12" s="1"/>
  <c r="J160" i="12" s="1"/>
  <c r="J161" i="12" s="1"/>
  <c r="J162" i="12" s="1"/>
  <c r="J163" i="12" s="1"/>
  <c r="J164" i="12" s="1"/>
  <c r="J165" i="12" s="1"/>
  <c r="J166" i="12" s="1"/>
  <c r="J167" i="12"/>
  <c r="J168" i="12" s="1"/>
  <c r="J169" i="12" s="1"/>
  <c r="J170" i="12" s="1"/>
  <c r="J171" i="12" s="1"/>
  <c r="J172" i="12" s="1"/>
  <c r="J173" i="12" s="1"/>
  <c r="J174" i="12" s="1"/>
  <c r="J175" i="12" s="1"/>
  <c r="J176" i="12" s="1"/>
  <c r="J177" i="12" s="1"/>
  <c r="J178" i="12" s="1"/>
  <c r="J179" i="12" s="1"/>
  <c r="J180" i="12" s="1"/>
  <c r="J181" i="12"/>
  <c r="M181" i="12" s="1"/>
  <c r="J195" i="12"/>
  <c r="M195" i="12" s="1"/>
  <c r="J209" i="12"/>
  <c r="M209" i="12" s="1"/>
  <c r="J224" i="12"/>
  <c r="M224" i="12" s="1"/>
  <c r="J242" i="12"/>
  <c r="J243" i="12" s="1"/>
  <c r="J244" i="12" s="1"/>
  <c r="J245" i="12" s="1"/>
  <c r="J246" i="12" s="1"/>
  <c r="J247" i="12" s="1"/>
  <c r="J248" i="12" s="1"/>
  <c r="J249" i="12" s="1"/>
  <c r="J250" i="12" s="1"/>
  <c r="J251" i="12" s="1"/>
  <c r="J252" i="12" s="1"/>
  <c r="J253" i="12" s="1"/>
  <c r="J254" i="12" s="1"/>
  <c r="J255" i="12" s="1"/>
  <c r="J256" i="12" s="1"/>
  <c r="J257" i="12" s="1"/>
  <c r="J258" i="12" s="1"/>
  <c r="J259" i="12"/>
  <c r="M259" i="12" s="1"/>
  <c r="J273" i="12"/>
  <c r="M273" i="12" s="1"/>
  <c r="J285" i="12"/>
  <c r="M285" i="12" s="1"/>
  <c r="J301" i="12"/>
  <c r="M301" i="12" s="1"/>
  <c r="J315" i="12"/>
  <c r="M315" i="12" s="1"/>
  <c r="J328" i="12"/>
  <c r="J329" i="12" s="1"/>
  <c r="J330" i="12" s="1"/>
  <c r="J331" i="12" s="1"/>
  <c r="J332" i="12" s="1"/>
  <c r="J333" i="12" s="1"/>
  <c r="J334" i="12" s="1"/>
  <c r="J335" i="12" s="1"/>
  <c r="J336" i="12" s="1"/>
  <c r="J337" i="12" s="1"/>
  <c r="J338" i="12" s="1"/>
  <c r="J339" i="12" s="1"/>
  <c r="J340" i="12" s="1"/>
  <c r="J341" i="12" s="1"/>
  <c r="J342" i="12" s="1"/>
  <c r="J343" i="12"/>
  <c r="J344" i="12" s="1"/>
  <c r="J345" i="12" s="1"/>
  <c r="J346" i="12" s="1"/>
  <c r="J347" i="12" s="1"/>
  <c r="J348" i="12" s="1"/>
  <c r="J349" i="12" s="1"/>
  <c r="J350" i="12" s="1"/>
  <c r="J351" i="12" s="1"/>
  <c r="J352" i="12" s="1"/>
  <c r="J353" i="12" s="1"/>
  <c r="J354" i="12" s="1"/>
  <c r="J355" i="12" s="1"/>
  <c r="J356" i="12"/>
  <c r="J357" i="12" s="1"/>
  <c r="J358" i="12" s="1"/>
  <c r="J359" i="12" s="1"/>
  <c r="J360" i="12" s="1"/>
  <c r="J361" i="12" s="1"/>
  <c r="J362" i="12" s="1"/>
  <c r="J363" i="12" s="1"/>
  <c r="J364" i="12" s="1"/>
  <c r="J365" i="12" s="1"/>
  <c r="J366" i="12" s="1"/>
  <c r="J367" i="12" s="1"/>
  <c r="J368" i="12"/>
  <c r="J369" i="12" s="1"/>
  <c r="J370" i="12" s="1"/>
  <c r="J371" i="12" s="1"/>
  <c r="J372" i="12" s="1"/>
  <c r="J373" i="12" s="1"/>
  <c r="J374" i="12" s="1"/>
  <c r="J375" i="12" s="1"/>
  <c r="J376" i="12" s="1"/>
  <c r="J377" i="12" s="1"/>
  <c r="J378" i="12" s="1"/>
  <c r="J379" i="12" s="1"/>
  <c r="J380" i="12" s="1"/>
  <c r="J381" i="12" s="1"/>
  <c r="J382" i="12" s="1"/>
  <c r="J383" i="12"/>
  <c r="J384" i="12" s="1"/>
  <c r="J385" i="12" s="1"/>
  <c r="J386" i="12" s="1"/>
  <c r="J387" i="12" s="1"/>
  <c r="J388" i="12" s="1"/>
  <c r="J389" i="12" s="1"/>
  <c r="J390" i="12" s="1"/>
  <c r="J391" i="12" s="1"/>
  <c r="J392" i="12" s="1"/>
  <c r="J393" i="12" s="1"/>
  <c r="J394" i="12" s="1"/>
  <c r="J395" i="12" s="1"/>
  <c r="J396" i="12" s="1"/>
  <c r="J397" i="12" s="1"/>
  <c r="J398" i="12" s="1"/>
  <c r="J399" i="12" s="1"/>
  <c r="J400" i="12" s="1"/>
  <c r="J401" i="12"/>
  <c r="M401" i="12" s="1"/>
  <c r="J414" i="12"/>
  <c r="J415" i="12" s="1"/>
  <c r="J416" i="12" s="1"/>
  <c r="J417" i="12" s="1"/>
  <c r="J418" i="12" s="1"/>
  <c r="J419" i="12" s="1"/>
  <c r="J420" i="12" s="1"/>
  <c r="J421" i="12" s="1"/>
  <c r="J422" i="12" s="1"/>
  <c r="J423" i="12" s="1"/>
  <c r="J424" i="12" s="1"/>
  <c r="J425" i="12" s="1"/>
  <c r="J426" i="12" s="1"/>
  <c r="J427" i="12" s="1"/>
  <c r="J428" i="12"/>
  <c r="J429" i="12" s="1"/>
  <c r="J430" i="12" s="1"/>
  <c r="J431" i="12" s="1"/>
  <c r="J432" i="12" s="1"/>
  <c r="J433" i="12" s="1"/>
  <c r="J434" i="12" s="1"/>
  <c r="J435" i="12" s="1"/>
  <c r="J436" i="12" s="1"/>
  <c r="J437" i="12" s="1"/>
  <c r="J438" i="12" s="1"/>
  <c r="J439" i="12" s="1"/>
  <c r="J440" i="12"/>
  <c r="J441" i="12" s="1"/>
  <c r="J442" i="12" s="1"/>
  <c r="J443" i="12" s="1"/>
  <c r="J444" i="12" s="1"/>
  <c r="J445" i="12" s="1"/>
  <c r="J446" i="12" s="1"/>
  <c r="J447" i="12" s="1"/>
  <c r="J448" i="12" s="1"/>
  <c r="J449" i="12" s="1"/>
  <c r="J450" i="12" s="1"/>
  <c r="J451" i="12" s="1"/>
  <c r="J452" i="12" s="1"/>
  <c r="J453" i="12"/>
  <c r="M453" i="12" s="1"/>
  <c r="J466" i="12"/>
  <c r="J467" i="12" s="1"/>
  <c r="J468" i="12" s="1"/>
  <c r="J469" i="12" s="1"/>
  <c r="J470" i="12" s="1"/>
  <c r="J471" i="12" s="1"/>
  <c r="J472" i="12" s="1"/>
  <c r="J473" i="12" s="1"/>
  <c r="J474" i="12" s="1"/>
  <c r="J475" i="12" s="1"/>
  <c r="J476" i="12" s="1"/>
  <c r="J477" i="12" s="1"/>
  <c r="J478" i="12" s="1"/>
  <c r="J479" i="12" s="1"/>
  <c r="J480" i="12"/>
  <c r="J481" i="12" s="1"/>
  <c r="J482" i="12" s="1"/>
  <c r="J483" i="12" s="1"/>
  <c r="J484" i="12" s="1"/>
  <c r="J485" i="12" s="1"/>
  <c r="J486" i="12" s="1"/>
  <c r="J487" i="12" s="1"/>
  <c r="J488" i="12" s="1"/>
  <c r="J489" i="12" s="1"/>
  <c r="J490" i="12" s="1"/>
  <c r="J491" i="12" s="1"/>
  <c r="J492" i="12"/>
  <c r="J493" i="12" s="1"/>
  <c r="J494" i="12" s="1"/>
  <c r="J495" i="12" s="1"/>
  <c r="J496" i="12" s="1"/>
  <c r="J497" i="12" s="1"/>
  <c r="J498" i="12" s="1"/>
  <c r="J499" i="12" s="1"/>
  <c r="J500" i="12" s="1"/>
  <c r="J501" i="12" s="1"/>
  <c r="J502" i="12" s="1"/>
  <c r="J503" i="12" s="1"/>
  <c r="J504" i="12" s="1"/>
  <c r="J505" i="12"/>
  <c r="M505" i="12" s="1"/>
  <c r="J522" i="12"/>
  <c r="J523" i="12" s="1"/>
  <c r="J524" i="12" s="1"/>
  <c r="J525" i="12" s="1"/>
  <c r="J526" i="12" s="1"/>
  <c r="J527" i="12" s="1"/>
  <c r="J528" i="12" s="1"/>
  <c r="J529" i="12" s="1"/>
  <c r="J530" i="12" s="1"/>
  <c r="J531" i="12" s="1"/>
  <c r="J532" i="12" s="1"/>
  <c r="J533" i="12" s="1"/>
  <c r="J534" i="12" s="1"/>
  <c r="J535" i="12" s="1"/>
  <c r="J536" i="12" s="1"/>
  <c r="J537" i="12" s="1"/>
  <c r="J538" i="12"/>
  <c r="J539" i="12" s="1"/>
  <c r="J540" i="12" s="1"/>
  <c r="J541" i="12" s="1"/>
  <c r="J542" i="12" s="1"/>
  <c r="J543" i="12" s="1"/>
  <c r="J544" i="12" s="1"/>
  <c r="J545" i="12" s="1"/>
  <c r="J546" i="12" s="1"/>
  <c r="J547" i="12" s="1"/>
  <c r="J548" i="12" s="1"/>
  <c r="J549" i="12" s="1"/>
  <c r="J550" i="12" s="1"/>
  <c r="J551" i="12" s="1"/>
  <c r="J552" i="12" s="1"/>
  <c r="J553" i="12"/>
  <c r="M553" i="12" s="1"/>
  <c r="J568" i="12"/>
  <c r="J569" i="12" s="1"/>
  <c r="J570" i="12" s="1"/>
  <c r="J571" i="12" s="1"/>
  <c r="J572" i="12" s="1"/>
  <c r="J573" i="12" s="1"/>
  <c r="J574" i="12" s="1"/>
  <c r="J575" i="12" s="1"/>
  <c r="J576" i="12" s="1"/>
  <c r="J577" i="12" s="1"/>
  <c r="J578" i="12" s="1"/>
  <c r="J579" i="12" s="1"/>
  <c r="J580" i="12" s="1"/>
  <c r="J581" i="12" s="1"/>
  <c r="J582" i="12"/>
  <c r="J583" i="12" s="1"/>
  <c r="J584" i="12" s="1"/>
  <c r="J585" i="12" s="1"/>
  <c r="J586" i="12" s="1"/>
  <c r="J587" i="12" s="1"/>
  <c r="J588" i="12" s="1"/>
  <c r="J589" i="12" s="1"/>
  <c r="J590" i="12" s="1"/>
  <c r="J591" i="12" s="1"/>
  <c r="J592" i="12" s="1"/>
  <c r="J593" i="12" s="1"/>
  <c r="J594" i="12" s="1"/>
  <c r="J595" i="12" s="1"/>
  <c r="J596" i="12"/>
  <c r="J597" i="12" s="1"/>
  <c r="J598" i="12" s="1"/>
  <c r="J599" i="12" s="1"/>
  <c r="J600" i="12" s="1"/>
  <c r="J601" i="12" s="1"/>
  <c r="J602" i="12" s="1"/>
  <c r="J603" i="12" s="1"/>
  <c r="J604" i="12" s="1"/>
  <c r="J605" i="12" s="1"/>
  <c r="J606" i="12" s="1"/>
  <c r="J607" i="12" s="1"/>
  <c r="J608" i="12" s="1"/>
  <c r="J609" i="12"/>
  <c r="M609" i="12" s="1"/>
  <c r="J625" i="12"/>
  <c r="M625" i="12" s="1"/>
  <c r="J640" i="12"/>
  <c r="J641" i="12" s="1"/>
  <c r="J642" i="12" s="1"/>
  <c r="J643" i="12" s="1"/>
  <c r="J644" i="12" s="1"/>
  <c r="J645" i="12" s="1"/>
  <c r="J646" i="12" s="1"/>
  <c r="J647" i="12" s="1"/>
  <c r="J648" i="12" s="1"/>
  <c r="J649" i="12" s="1"/>
  <c r="J650" i="12" s="1"/>
  <c r="J651" i="12" s="1"/>
  <c r="J652" i="12" s="1"/>
  <c r="J653" i="12" s="1"/>
  <c r="J654" i="12" s="1"/>
  <c r="J655" i="12" s="1"/>
  <c r="J656" i="12" s="1"/>
  <c r="J657" i="12" s="1"/>
  <c r="J658" i="12" s="1"/>
  <c r="J659" i="12"/>
  <c r="M659" i="12" s="1"/>
  <c r="J677" i="12"/>
  <c r="M677" i="12" s="1"/>
  <c r="J693" i="12"/>
  <c r="M693" i="12" s="1"/>
  <c r="J706" i="12"/>
  <c r="J707" i="12" s="1"/>
  <c r="J708" i="12" s="1"/>
  <c r="J709" i="12" s="1"/>
  <c r="J710" i="12" s="1"/>
  <c r="J711" i="12" s="1"/>
  <c r="J712" i="12" s="1"/>
  <c r="J713" i="12" s="1"/>
  <c r="J714" i="12" s="1"/>
  <c r="J715" i="12" s="1"/>
  <c r="J716" i="12" s="1"/>
  <c r="J717" i="12" s="1"/>
  <c r="J718" i="12" s="1"/>
  <c r="J719" i="12"/>
  <c r="M719" i="12" s="1"/>
  <c r="J732" i="12"/>
  <c r="J733" i="12" s="1"/>
  <c r="J734" i="12" s="1"/>
  <c r="J735" i="12" s="1"/>
  <c r="J736" i="12" s="1"/>
  <c r="J737" i="12" s="1"/>
  <c r="J738" i="12" s="1"/>
  <c r="J739" i="12" s="1"/>
  <c r="J740" i="12" s="1"/>
  <c r="J741" i="12" s="1"/>
  <c r="J742" i="12" s="1"/>
  <c r="J743" i="12" s="1"/>
  <c r="J744" i="12" s="1"/>
  <c r="J745" i="12"/>
  <c r="M745" i="12" s="1"/>
  <c r="J758" i="12"/>
  <c r="M758" i="12" s="1"/>
  <c r="J773" i="12"/>
  <c r="J774" i="12" s="1"/>
  <c r="J775" i="12" s="1"/>
  <c r="J776" i="12" s="1"/>
  <c r="J777" i="12" s="1"/>
  <c r="J778" i="12" s="1"/>
  <c r="J779" i="12" s="1"/>
  <c r="J780" i="12" s="1"/>
  <c r="J781" i="12" s="1"/>
  <c r="J782" i="12" s="1"/>
  <c r="J783" i="12" s="1"/>
  <c r="J784" i="12" s="1"/>
  <c r="J785" i="12" s="1"/>
  <c r="J786" i="12"/>
  <c r="J787" i="12" s="1"/>
  <c r="J788" i="12" s="1"/>
  <c r="J789" i="12" s="1"/>
  <c r="J790" i="12" s="1"/>
  <c r="J791" i="12" s="1"/>
  <c r="J792" i="12" s="1"/>
  <c r="J793" i="12" s="1"/>
  <c r="J794" i="12" s="1"/>
  <c r="J795" i="12" s="1"/>
  <c r="J796" i="12" s="1"/>
  <c r="J797" i="12" s="1"/>
  <c r="J798" i="12" s="1"/>
  <c r="J799" i="12" s="1"/>
  <c r="J800" i="12" s="1"/>
  <c r="J801" i="12" s="1"/>
  <c r="J802" i="12"/>
  <c r="J803" i="12" s="1"/>
  <c r="J804" i="12" s="1"/>
  <c r="J805" i="12" s="1"/>
  <c r="J806" i="12" s="1"/>
  <c r="J807" i="12" s="1"/>
  <c r="J808" i="12" s="1"/>
  <c r="J809" i="12" s="1"/>
  <c r="J810" i="12" s="1"/>
  <c r="J811" i="12" s="1"/>
  <c r="J812" i="12" s="1"/>
  <c r="J813" i="12" s="1"/>
  <c r="J814" i="12" s="1"/>
  <c r="J815" i="12" s="1"/>
  <c r="J816" i="12" s="1"/>
  <c r="J817" i="12" s="1"/>
  <c r="J818" i="12"/>
  <c r="J819" i="12" s="1"/>
  <c r="J820" i="12" s="1"/>
  <c r="J821" i="12" s="1"/>
  <c r="J822" i="12" s="1"/>
  <c r="J823" i="12" s="1"/>
  <c r="J824" i="12" s="1"/>
  <c r="J825" i="12" s="1"/>
  <c r="J826" i="12" s="1"/>
  <c r="J827" i="12" s="1"/>
  <c r="J828" i="12" s="1"/>
  <c r="J829" i="12" s="1"/>
  <c r="J830" i="12" s="1"/>
  <c r="J831" i="12" s="1"/>
  <c r="J832" i="12" s="1"/>
  <c r="J833" i="12"/>
  <c r="M833" i="12" s="1"/>
  <c r="J846" i="12"/>
  <c r="M846" i="12" s="1"/>
  <c r="J860" i="12"/>
  <c r="M860" i="12" s="1"/>
  <c r="J873" i="12"/>
  <c r="M873" i="12" s="1"/>
  <c r="J885" i="12"/>
  <c r="J886" i="12" s="1"/>
  <c r="J887" i="12" s="1"/>
  <c r="J888" i="12" s="1"/>
  <c r="J889" i="12" s="1"/>
  <c r="J890" i="12" s="1"/>
  <c r="J891" i="12" s="1"/>
  <c r="J892" i="12" s="1"/>
  <c r="J893" i="12" s="1"/>
  <c r="J894" i="12" s="1"/>
  <c r="J895" i="12" s="1"/>
  <c r="J896" i="12" s="1"/>
  <c r="J897" i="12" s="1"/>
  <c r="J898" i="12"/>
  <c r="J899" i="12" s="1"/>
  <c r="J900" i="12" s="1"/>
  <c r="J901" i="12" s="1"/>
  <c r="J902" i="12" s="1"/>
  <c r="J903" i="12" s="1"/>
  <c r="J904" i="12" s="1"/>
  <c r="J905" i="12" s="1"/>
  <c r="J906" i="12" s="1"/>
  <c r="J907" i="12" s="1"/>
  <c r="J908" i="12" s="1"/>
  <c r="J909" i="12" s="1"/>
  <c r="J910" i="12" s="1"/>
  <c r="J911" i="12"/>
  <c r="J912" i="12" s="1"/>
  <c r="J913" i="12" s="1"/>
  <c r="J914" i="12" s="1"/>
  <c r="J915" i="12" s="1"/>
  <c r="J916" i="12" s="1"/>
  <c r="J917" i="12" s="1"/>
  <c r="J918" i="12" s="1"/>
  <c r="J919" i="12" s="1"/>
  <c r="J920" i="12" s="1"/>
  <c r="J921" i="12" s="1"/>
  <c r="J922" i="12" s="1"/>
  <c r="J923" i="12" s="1"/>
  <c r="J924" i="12"/>
  <c r="M924" i="12" s="1"/>
  <c r="A2" i="12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361" i="12"/>
  <c r="A362" i="12"/>
  <c r="A363" i="12"/>
  <c r="A364" i="12"/>
  <c r="A365" i="12"/>
  <c r="A366" i="12"/>
  <c r="A367" i="12"/>
  <c r="A368" i="12"/>
  <c r="A369" i="12"/>
  <c r="A370" i="12"/>
  <c r="A371" i="12"/>
  <c r="A372" i="12"/>
  <c r="A373" i="12"/>
  <c r="A374" i="12"/>
  <c r="A375" i="12"/>
  <c r="A376" i="12"/>
  <c r="A377" i="12"/>
  <c r="A378" i="12"/>
  <c r="A379" i="12"/>
  <c r="A380" i="12"/>
  <c r="A381" i="12"/>
  <c r="A382" i="12"/>
  <c r="A383" i="12"/>
  <c r="A384" i="12"/>
  <c r="A385" i="12"/>
  <c r="A386" i="12"/>
  <c r="A387" i="12"/>
  <c r="A388" i="12"/>
  <c r="A389" i="12"/>
  <c r="A390" i="12"/>
  <c r="A391" i="12"/>
  <c r="A392" i="12"/>
  <c r="A393" i="12"/>
  <c r="A394" i="12"/>
  <c r="A395" i="12"/>
  <c r="A396" i="12"/>
  <c r="A397" i="12"/>
  <c r="A398" i="12"/>
  <c r="A399" i="12"/>
  <c r="A400" i="12"/>
  <c r="A401" i="12"/>
  <c r="A402" i="12"/>
  <c r="A403" i="12"/>
  <c r="A404" i="12"/>
  <c r="A405" i="12"/>
  <c r="A406" i="12"/>
  <c r="A407" i="12"/>
  <c r="A408" i="12"/>
  <c r="A409" i="12"/>
  <c r="A410" i="12"/>
  <c r="A411" i="12"/>
  <c r="A412" i="12"/>
  <c r="A413" i="12"/>
  <c r="A414" i="12"/>
  <c r="A415" i="12"/>
  <c r="A416" i="12"/>
  <c r="A417" i="12"/>
  <c r="A418" i="12"/>
  <c r="A419" i="12"/>
  <c r="A420" i="12"/>
  <c r="A421" i="12"/>
  <c r="A422" i="12"/>
  <c r="A423" i="12"/>
  <c r="A424" i="12"/>
  <c r="A425" i="12"/>
  <c r="A426" i="12"/>
  <c r="A427" i="12"/>
  <c r="A428" i="12"/>
  <c r="A429" i="12"/>
  <c r="A430" i="12"/>
  <c r="A431" i="12"/>
  <c r="A432" i="12"/>
  <c r="A433" i="12"/>
  <c r="A434" i="12"/>
  <c r="A435" i="12"/>
  <c r="A436" i="12"/>
  <c r="A437" i="12"/>
  <c r="A438" i="12"/>
  <c r="A439" i="12"/>
  <c r="A440" i="12"/>
  <c r="A441" i="12"/>
  <c r="A442" i="12"/>
  <c r="A443" i="12"/>
  <c r="A444" i="12"/>
  <c r="A445" i="12"/>
  <c r="A446" i="12"/>
  <c r="A447" i="12"/>
  <c r="A448" i="12"/>
  <c r="A449" i="12"/>
  <c r="A450" i="12"/>
  <c r="A451" i="12"/>
  <c r="A452" i="12"/>
  <c r="A453" i="12"/>
  <c r="A454" i="12"/>
  <c r="A455" i="12"/>
  <c r="A456" i="12"/>
  <c r="A457" i="12"/>
  <c r="A458" i="12"/>
  <c r="A459" i="12"/>
  <c r="A460" i="12"/>
  <c r="A461" i="12"/>
  <c r="A462" i="12"/>
  <c r="A463" i="12"/>
  <c r="A464" i="12"/>
  <c r="A465" i="12"/>
  <c r="A466" i="12"/>
  <c r="A467" i="12"/>
  <c r="A468" i="12"/>
  <c r="A469" i="12"/>
  <c r="A470" i="12"/>
  <c r="A471" i="12"/>
  <c r="A472" i="12"/>
  <c r="A473" i="12"/>
  <c r="A474" i="12"/>
  <c r="A475" i="12"/>
  <c r="A476" i="12"/>
  <c r="A477" i="12"/>
  <c r="A478" i="12"/>
  <c r="A479" i="12"/>
  <c r="A480" i="12"/>
  <c r="A481" i="12"/>
  <c r="A482" i="12"/>
  <c r="A483" i="12"/>
  <c r="A484" i="12"/>
  <c r="A485" i="12"/>
  <c r="A486" i="12"/>
  <c r="A487" i="12"/>
  <c r="A488" i="12"/>
  <c r="A489" i="12"/>
  <c r="A490" i="12"/>
  <c r="A491" i="12"/>
  <c r="A492" i="12"/>
  <c r="A493" i="12"/>
  <c r="A494" i="12"/>
  <c r="A495" i="12"/>
  <c r="A496" i="12"/>
  <c r="A497" i="12"/>
  <c r="A498" i="12"/>
  <c r="A499" i="12"/>
  <c r="A500" i="12"/>
  <c r="A501" i="12"/>
  <c r="A502" i="12"/>
  <c r="A503" i="12"/>
  <c r="A504" i="12"/>
  <c r="A505" i="12"/>
  <c r="A506" i="12"/>
  <c r="A507" i="12"/>
  <c r="A508" i="12"/>
  <c r="A509" i="12"/>
  <c r="A510" i="12"/>
  <c r="A511" i="12"/>
  <c r="A512" i="12"/>
  <c r="A513" i="12"/>
  <c r="A514" i="12"/>
  <c r="A515" i="12"/>
  <c r="A516" i="12"/>
  <c r="A517" i="12"/>
  <c r="A518" i="12"/>
  <c r="A519" i="12"/>
  <c r="A520" i="12"/>
  <c r="A521" i="12"/>
  <c r="A522" i="12"/>
  <c r="A523" i="12"/>
  <c r="A524" i="12"/>
  <c r="A525" i="12"/>
  <c r="A526" i="12"/>
  <c r="A527" i="12"/>
  <c r="A528" i="12"/>
  <c r="A529" i="12"/>
  <c r="A530" i="12"/>
  <c r="A531" i="12"/>
  <c r="A532" i="12"/>
  <c r="A533" i="12"/>
  <c r="A534" i="12"/>
  <c r="A535" i="12"/>
  <c r="A536" i="12"/>
  <c r="A537" i="12"/>
  <c r="A538" i="12"/>
  <c r="A539" i="12"/>
  <c r="A540" i="12"/>
  <c r="A541" i="12"/>
  <c r="A542" i="12"/>
  <c r="A543" i="12"/>
  <c r="A544" i="12"/>
  <c r="A545" i="12"/>
  <c r="A546" i="12"/>
  <c r="A547" i="12"/>
  <c r="A548" i="12"/>
  <c r="A549" i="12"/>
  <c r="A550" i="12"/>
  <c r="A551" i="12"/>
  <c r="A552" i="12"/>
  <c r="A553" i="12"/>
  <c r="A554" i="12"/>
  <c r="A555" i="12"/>
  <c r="A556" i="12"/>
  <c r="A557" i="12"/>
  <c r="A558" i="12"/>
  <c r="A559" i="12"/>
  <c r="A560" i="12"/>
  <c r="A561" i="12"/>
  <c r="A562" i="12"/>
  <c r="A563" i="12"/>
  <c r="A564" i="12"/>
  <c r="A565" i="12"/>
  <c r="A566" i="12"/>
  <c r="A567" i="12"/>
  <c r="A568" i="12"/>
  <c r="A569" i="12"/>
  <c r="A570" i="12"/>
  <c r="A571" i="12"/>
  <c r="A572" i="12"/>
  <c r="A573" i="12"/>
  <c r="A574" i="12"/>
  <c r="A575" i="12"/>
  <c r="A576" i="12"/>
  <c r="A577" i="12"/>
  <c r="A578" i="12"/>
  <c r="A579" i="12"/>
  <c r="A580" i="12"/>
  <c r="A581" i="12"/>
  <c r="A582" i="12"/>
  <c r="A583" i="12"/>
  <c r="A584" i="12"/>
  <c r="A585" i="12"/>
  <c r="A586" i="12"/>
  <c r="A587" i="12"/>
  <c r="A588" i="12"/>
  <c r="A589" i="12"/>
  <c r="A590" i="12"/>
  <c r="A591" i="12"/>
  <c r="A592" i="12"/>
  <c r="A593" i="12"/>
  <c r="A594" i="12"/>
  <c r="A595" i="12"/>
  <c r="A596" i="12"/>
  <c r="A597" i="12"/>
  <c r="A598" i="12"/>
  <c r="A599" i="12"/>
  <c r="A600" i="12"/>
  <c r="A601" i="12"/>
  <c r="A602" i="12"/>
  <c r="A603" i="12"/>
  <c r="A604" i="12"/>
  <c r="A605" i="12"/>
  <c r="A606" i="12"/>
  <c r="A607" i="12"/>
  <c r="A608" i="12"/>
  <c r="A609" i="12"/>
  <c r="A610" i="12"/>
  <c r="A611" i="12"/>
  <c r="A612" i="12"/>
  <c r="A613" i="12"/>
  <c r="A614" i="12"/>
  <c r="A615" i="12"/>
  <c r="A616" i="12"/>
  <c r="A617" i="12"/>
  <c r="A618" i="12"/>
  <c r="A619" i="12"/>
  <c r="A620" i="12"/>
  <c r="A621" i="12"/>
  <c r="A622" i="12"/>
  <c r="A623" i="12"/>
  <c r="A624" i="12"/>
  <c r="A625" i="12"/>
  <c r="A626" i="12"/>
  <c r="A627" i="12"/>
  <c r="A628" i="12"/>
  <c r="A629" i="12"/>
  <c r="A630" i="12"/>
  <c r="A631" i="12"/>
  <c r="A632" i="12"/>
  <c r="A633" i="12"/>
  <c r="A634" i="12"/>
  <c r="A635" i="12"/>
  <c r="A636" i="12"/>
  <c r="A637" i="12"/>
  <c r="A638" i="12"/>
  <c r="A639" i="12"/>
  <c r="A640" i="12"/>
  <c r="A641" i="12"/>
  <c r="A642" i="12"/>
  <c r="A643" i="12"/>
  <c r="A644" i="12"/>
  <c r="A645" i="12"/>
  <c r="A646" i="12"/>
  <c r="A647" i="12"/>
  <c r="A648" i="12"/>
  <c r="A649" i="12"/>
  <c r="A650" i="12"/>
  <c r="A651" i="12"/>
  <c r="A652" i="12"/>
  <c r="A653" i="12"/>
  <c r="A654" i="12"/>
  <c r="A655" i="12"/>
  <c r="A656" i="12"/>
  <c r="A657" i="12"/>
  <c r="A658" i="12"/>
  <c r="A659" i="12"/>
  <c r="A660" i="12"/>
  <c r="A661" i="12"/>
  <c r="A662" i="12"/>
  <c r="A663" i="12"/>
  <c r="A664" i="12"/>
  <c r="A665" i="12"/>
  <c r="A666" i="12"/>
  <c r="A667" i="12"/>
  <c r="A668" i="12"/>
  <c r="A669" i="12"/>
  <c r="A670" i="12"/>
  <c r="A671" i="12"/>
  <c r="A672" i="12"/>
  <c r="A673" i="12"/>
  <c r="A674" i="12"/>
  <c r="A675" i="12"/>
  <c r="A676" i="12"/>
  <c r="A677" i="12"/>
  <c r="A678" i="12"/>
  <c r="A679" i="12"/>
  <c r="A680" i="12"/>
  <c r="A681" i="12"/>
  <c r="A682" i="12"/>
  <c r="A683" i="12"/>
  <c r="A684" i="12"/>
  <c r="A685" i="12"/>
  <c r="A686" i="12"/>
  <c r="A687" i="12"/>
  <c r="A688" i="12"/>
  <c r="A689" i="12"/>
  <c r="A690" i="12"/>
  <c r="A691" i="12"/>
  <c r="A692" i="12"/>
  <c r="A693" i="12"/>
  <c r="A694" i="12"/>
  <c r="A695" i="12"/>
  <c r="A696" i="12"/>
  <c r="A697" i="12"/>
  <c r="A698" i="12"/>
  <c r="A699" i="12"/>
  <c r="A700" i="12"/>
  <c r="A701" i="12"/>
  <c r="A702" i="12"/>
  <c r="A703" i="12"/>
  <c r="A704" i="12"/>
  <c r="A705" i="12"/>
  <c r="A706" i="12"/>
  <c r="A707" i="12"/>
  <c r="A708" i="12"/>
  <c r="A709" i="12"/>
  <c r="A710" i="12"/>
  <c r="A711" i="12"/>
  <c r="A712" i="12"/>
  <c r="A713" i="12"/>
  <c r="A714" i="12"/>
  <c r="A715" i="12"/>
  <c r="A716" i="12"/>
  <c r="A717" i="12"/>
  <c r="A718" i="12"/>
  <c r="A719" i="12"/>
  <c r="A720" i="12"/>
  <c r="A721" i="12"/>
  <c r="A722" i="12"/>
  <c r="A723" i="12"/>
  <c r="A724" i="12"/>
  <c r="A725" i="12"/>
  <c r="A726" i="12"/>
  <c r="A727" i="12"/>
  <c r="A728" i="12"/>
  <c r="A729" i="12"/>
  <c r="A730" i="12"/>
  <c r="A731" i="12"/>
  <c r="A732" i="12"/>
  <c r="A733" i="12"/>
  <c r="A734" i="12"/>
  <c r="A735" i="12"/>
  <c r="A736" i="12"/>
  <c r="A737" i="12"/>
  <c r="A738" i="12"/>
  <c r="A739" i="12"/>
  <c r="A740" i="12"/>
  <c r="A741" i="12"/>
  <c r="A742" i="12"/>
  <c r="A743" i="12"/>
  <c r="A744" i="12"/>
  <c r="A745" i="12"/>
  <c r="A746" i="12"/>
  <c r="A747" i="12"/>
  <c r="A748" i="12"/>
  <c r="A749" i="12"/>
  <c r="A750" i="12"/>
  <c r="A751" i="12"/>
  <c r="A752" i="12"/>
  <c r="A753" i="12"/>
  <c r="A754" i="12"/>
  <c r="A755" i="12"/>
  <c r="A756" i="12"/>
  <c r="A757" i="12"/>
  <c r="A758" i="12"/>
  <c r="A759" i="12"/>
  <c r="A760" i="12"/>
  <c r="A761" i="12"/>
  <c r="A762" i="12"/>
  <c r="A763" i="12"/>
  <c r="A764" i="12"/>
  <c r="A765" i="12"/>
  <c r="A766" i="12"/>
  <c r="A767" i="12"/>
  <c r="A768" i="12"/>
  <c r="A769" i="12"/>
  <c r="A770" i="12"/>
  <c r="A771" i="12"/>
  <c r="A772" i="12"/>
  <c r="A773" i="12"/>
  <c r="A774" i="12"/>
  <c r="A775" i="12"/>
  <c r="A776" i="12"/>
  <c r="A777" i="12"/>
  <c r="A778" i="12"/>
  <c r="A779" i="12"/>
  <c r="A780" i="12"/>
  <c r="A781" i="12"/>
  <c r="A782" i="12"/>
  <c r="A783" i="12"/>
  <c r="A784" i="12"/>
  <c r="A785" i="12"/>
  <c r="A786" i="12"/>
  <c r="A787" i="12"/>
  <c r="A788" i="12"/>
  <c r="A789" i="12"/>
  <c r="A790" i="12"/>
  <c r="A791" i="12"/>
  <c r="A792" i="12"/>
  <c r="A793" i="12"/>
  <c r="A794" i="12"/>
  <c r="A795" i="12"/>
  <c r="A796" i="12"/>
  <c r="A797" i="12"/>
  <c r="A798" i="12"/>
  <c r="A799" i="12"/>
  <c r="A800" i="12"/>
  <c r="A801" i="12"/>
  <c r="A802" i="12"/>
  <c r="A803" i="12"/>
  <c r="A804" i="12"/>
  <c r="A805" i="12"/>
  <c r="A806" i="12"/>
  <c r="A807" i="12"/>
  <c r="A808" i="12"/>
  <c r="A809" i="12"/>
  <c r="A810" i="12"/>
  <c r="A811" i="12"/>
  <c r="A812" i="12"/>
  <c r="A813" i="12"/>
  <c r="A814" i="12"/>
  <c r="A815" i="12"/>
  <c r="A816" i="12"/>
  <c r="A817" i="12"/>
  <c r="A818" i="12"/>
  <c r="A819" i="12"/>
  <c r="A820" i="12"/>
  <c r="A821" i="12"/>
  <c r="A822" i="12"/>
  <c r="A823" i="12"/>
  <c r="A824" i="12"/>
  <c r="A825" i="12"/>
  <c r="A826" i="12"/>
  <c r="A827" i="12"/>
  <c r="A828" i="12"/>
  <c r="A829" i="12"/>
  <c r="A830" i="12"/>
  <c r="A831" i="12"/>
  <c r="A832" i="12"/>
  <c r="A833" i="12"/>
  <c r="A834" i="12"/>
  <c r="A835" i="12"/>
  <c r="A836" i="12"/>
  <c r="A837" i="12"/>
  <c r="A838" i="12"/>
  <c r="A839" i="12"/>
  <c r="A840" i="12"/>
  <c r="A841" i="12"/>
  <c r="A842" i="12"/>
  <c r="A843" i="12"/>
  <c r="A844" i="12"/>
  <c r="A845" i="12"/>
  <c r="A846" i="12"/>
  <c r="A847" i="12"/>
  <c r="A848" i="12"/>
  <c r="A849" i="12"/>
  <c r="A850" i="12"/>
  <c r="A851" i="12"/>
  <c r="A852" i="12"/>
  <c r="A853" i="12"/>
  <c r="A854" i="12"/>
  <c r="A855" i="12"/>
  <c r="A856" i="12"/>
  <c r="A857" i="12"/>
  <c r="A858" i="12"/>
  <c r="A859" i="12"/>
  <c r="A860" i="12"/>
  <c r="A861" i="12"/>
  <c r="A862" i="12"/>
  <c r="A863" i="12"/>
  <c r="A864" i="12"/>
  <c r="A865" i="12"/>
  <c r="A866" i="12"/>
  <c r="A867" i="12"/>
  <c r="A868" i="12"/>
  <c r="A869" i="12"/>
  <c r="A870" i="12"/>
  <c r="A871" i="12"/>
  <c r="A872" i="12"/>
  <c r="A873" i="12"/>
  <c r="A874" i="12"/>
  <c r="A875" i="12"/>
  <c r="A876" i="12"/>
  <c r="A877" i="12"/>
  <c r="A878" i="12"/>
  <c r="A879" i="12"/>
  <c r="A880" i="12"/>
  <c r="A881" i="12"/>
  <c r="A882" i="12"/>
  <c r="A883" i="12"/>
  <c r="A884" i="12"/>
  <c r="A885" i="12"/>
  <c r="A886" i="12"/>
  <c r="A887" i="12"/>
  <c r="A888" i="12"/>
  <c r="A889" i="12"/>
  <c r="A890" i="12"/>
  <c r="A891" i="12"/>
  <c r="A892" i="12"/>
  <c r="A893" i="12"/>
  <c r="A894" i="12"/>
  <c r="A895" i="12"/>
  <c r="A896" i="12"/>
  <c r="A897" i="12"/>
  <c r="A898" i="12"/>
  <c r="A899" i="12"/>
  <c r="A900" i="12"/>
  <c r="A901" i="12"/>
  <c r="A902" i="12"/>
  <c r="A903" i="12"/>
  <c r="A904" i="12"/>
  <c r="A905" i="12"/>
  <c r="A906" i="12"/>
  <c r="A907" i="12"/>
  <c r="A908" i="12"/>
  <c r="A909" i="12"/>
  <c r="A910" i="12"/>
  <c r="A911" i="12"/>
  <c r="A912" i="12"/>
  <c r="A913" i="12"/>
  <c r="A914" i="12"/>
  <c r="A915" i="12"/>
  <c r="A916" i="12"/>
  <c r="A917" i="12"/>
  <c r="A918" i="12"/>
  <c r="A919" i="12"/>
  <c r="A920" i="12"/>
  <c r="A921" i="12"/>
  <c r="A922" i="12"/>
  <c r="A923" i="12"/>
  <c r="A924" i="12"/>
  <c r="A925" i="12"/>
  <c r="A926" i="12"/>
  <c r="A927" i="12"/>
  <c r="A928" i="12"/>
  <c r="A929" i="12"/>
  <c r="A930" i="12"/>
  <c r="A931" i="12"/>
  <c r="A932" i="12"/>
  <c r="A933" i="12"/>
  <c r="A934" i="12"/>
  <c r="J286" i="12" l="1"/>
  <c r="J287" i="12" s="1"/>
  <c r="J288" i="12" s="1"/>
  <c r="J289" i="12" s="1"/>
  <c r="J290" i="12" s="1"/>
  <c r="J291" i="12" s="1"/>
  <c r="J292" i="12" s="1"/>
  <c r="J293" i="12" s="1"/>
  <c r="J294" i="12" s="1"/>
  <c r="J295" i="12" s="1"/>
  <c r="J296" i="12" s="1"/>
  <c r="J297" i="12" s="1"/>
  <c r="J298" i="12" s="1"/>
  <c r="J299" i="12" s="1"/>
  <c r="J300" i="12" s="1"/>
  <c r="J694" i="12"/>
  <c r="J695" i="12" s="1"/>
  <c r="J696" i="12" s="1"/>
  <c r="J697" i="12" s="1"/>
  <c r="J698" i="12" s="1"/>
  <c r="J699" i="12" s="1"/>
  <c r="J700" i="12" s="1"/>
  <c r="J701" i="12" s="1"/>
  <c r="J702" i="12" s="1"/>
  <c r="J703" i="12" s="1"/>
  <c r="J704" i="12" s="1"/>
  <c r="J705" i="12" s="1"/>
  <c r="J759" i="12"/>
  <c r="J760" i="12" s="1"/>
  <c r="J761" i="12" s="1"/>
  <c r="J762" i="12" s="1"/>
  <c r="J763" i="12" s="1"/>
  <c r="J764" i="12" s="1"/>
  <c r="J765" i="12" s="1"/>
  <c r="J766" i="12" s="1"/>
  <c r="J767" i="12" s="1"/>
  <c r="J768" i="12" s="1"/>
  <c r="J769" i="12" s="1"/>
  <c r="J770" i="12" s="1"/>
  <c r="J771" i="12" s="1"/>
  <c r="J772" i="12" s="1"/>
  <c r="J454" i="12"/>
  <c r="J455" i="12" s="1"/>
  <c r="J456" i="12" s="1"/>
  <c r="J457" i="12" s="1"/>
  <c r="J458" i="12" s="1"/>
  <c r="J459" i="12" s="1"/>
  <c r="J460" i="12" s="1"/>
  <c r="J461" i="12" s="1"/>
  <c r="J462" i="12" s="1"/>
  <c r="J463" i="12" s="1"/>
  <c r="J464" i="12" s="1"/>
  <c r="J465" i="12" s="1"/>
  <c r="J847" i="12"/>
  <c r="J848" i="12" s="1"/>
  <c r="J849" i="12" s="1"/>
  <c r="J850" i="12" s="1"/>
  <c r="J851" i="12" s="1"/>
  <c r="J852" i="12" s="1"/>
  <c r="J853" i="12" s="1"/>
  <c r="J854" i="12" s="1"/>
  <c r="J855" i="12" s="1"/>
  <c r="J856" i="12" s="1"/>
  <c r="J857" i="12" s="1"/>
  <c r="J858" i="12" s="1"/>
  <c r="J859" i="12" s="1"/>
  <c r="J196" i="12"/>
  <c r="J197" i="12" s="1"/>
  <c r="J198" i="12" s="1"/>
  <c r="J199" i="12" s="1"/>
  <c r="J200" i="12" s="1"/>
  <c r="J201" i="12" s="1"/>
  <c r="J202" i="12" s="1"/>
  <c r="J203" i="12" s="1"/>
  <c r="J204" i="12" s="1"/>
  <c r="J205" i="12" s="1"/>
  <c r="J206" i="12" s="1"/>
  <c r="J207" i="12" s="1"/>
  <c r="J208" i="12" s="1"/>
  <c r="J182" i="12"/>
  <c r="J183" i="12" s="1"/>
  <c r="J184" i="12" s="1"/>
  <c r="J185" i="12" s="1"/>
  <c r="J186" i="12" s="1"/>
  <c r="J187" i="12" s="1"/>
  <c r="J188" i="12" s="1"/>
  <c r="J189" i="12" s="1"/>
  <c r="J190" i="12" s="1"/>
  <c r="J191" i="12" s="1"/>
  <c r="J192" i="12" s="1"/>
  <c r="J193" i="12" s="1"/>
  <c r="J194" i="12" s="1"/>
  <c r="J8" i="12"/>
  <c r="J9" i="12" s="1"/>
  <c r="J10" i="12" s="1"/>
  <c r="J11" i="12" s="1"/>
  <c r="J12" i="12" s="1"/>
  <c r="J13" i="12" s="1"/>
  <c r="J14" i="12" s="1"/>
  <c r="J15" i="12" s="1"/>
  <c r="J16" i="12" s="1"/>
  <c r="J17" i="12" s="1"/>
  <c r="J18" i="12" s="1"/>
  <c r="J19" i="12" s="1"/>
  <c r="J20" i="12" s="1"/>
  <c r="J21" i="12" s="1"/>
  <c r="J22" i="12" s="1"/>
  <c r="J23" i="12" s="1"/>
  <c r="J24" i="12" s="1"/>
  <c r="J834" i="12"/>
  <c r="J835" i="12" s="1"/>
  <c r="J836" i="12" s="1"/>
  <c r="J837" i="12" s="1"/>
  <c r="J838" i="12" s="1"/>
  <c r="J839" i="12" s="1"/>
  <c r="J840" i="12" s="1"/>
  <c r="J841" i="12" s="1"/>
  <c r="J842" i="12" s="1"/>
  <c r="J843" i="12" s="1"/>
  <c r="J844" i="12" s="1"/>
  <c r="J845" i="12" s="1"/>
  <c r="J746" i="12"/>
  <c r="J747" i="12" s="1"/>
  <c r="J748" i="12" s="1"/>
  <c r="J749" i="12" s="1"/>
  <c r="J750" i="12" s="1"/>
  <c r="J751" i="12" s="1"/>
  <c r="J752" i="12" s="1"/>
  <c r="J753" i="12" s="1"/>
  <c r="J754" i="12" s="1"/>
  <c r="J755" i="12" s="1"/>
  <c r="J756" i="12" s="1"/>
  <c r="J757" i="12" s="1"/>
  <c r="J626" i="12"/>
  <c r="J627" i="12" s="1"/>
  <c r="J628" i="12" s="1"/>
  <c r="J629" i="12" s="1"/>
  <c r="J630" i="12" s="1"/>
  <c r="J631" i="12" s="1"/>
  <c r="J632" i="12" s="1"/>
  <c r="J633" i="12" s="1"/>
  <c r="J634" i="12" s="1"/>
  <c r="J635" i="12" s="1"/>
  <c r="J636" i="12" s="1"/>
  <c r="J637" i="12" s="1"/>
  <c r="J638" i="12" s="1"/>
  <c r="J639" i="12" s="1"/>
  <c r="K886" i="12"/>
  <c r="K887" i="12" s="1"/>
  <c r="K888" i="12" s="1"/>
  <c r="K889" i="12" s="1"/>
  <c r="K890" i="12" s="1"/>
  <c r="K891" i="12" s="1"/>
  <c r="K892" i="12" s="1"/>
  <c r="K893" i="12" s="1"/>
  <c r="K894" i="12" s="1"/>
  <c r="K895" i="12" s="1"/>
  <c r="K896" i="12" s="1"/>
  <c r="K897" i="12" s="1"/>
  <c r="K898" i="12" s="1"/>
  <c r="K899" i="12" s="1"/>
  <c r="K900" i="12" s="1"/>
  <c r="K901" i="12" s="1"/>
  <c r="K902" i="12" s="1"/>
  <c r="K903" i="12" s="1"/>
  <c r="K904" i="12" s="1"/>
  <c r="K905" i="12" s="1"/>
  <c r="K906" i="12" s="1"/>
  <c r="K907" i="12" s="1"/>
  <c r="K908" i="12" s="1"/>
  <c r="K909" i="12" s="1"/>
  <c r="K910" i="12" s="1"/>
  <c r="K911" i="12" s="1"/>
  <c r="K912" i="12" s="1"/>
  <c r="K913" i="12" s="1"/>
  <c r="K914" i="12" s="1"/>
  <c r="K915" i="12" s="1"/>
  <c r="K916" i="12" s="1"/>
  <c r="K917" i="12" s="1"/>
  <c r="K918" i="12" s="1"/>
  <c r="K919" i="12" s="1"/>
  <c r="K920" i="12" s="1"/>
  <c r="K921" i="12" s="1"/>
  <c r="K922" i="12" s="1"/>
  <c r="K923" i="12" s="1"/>
  <c r="K924" i="12" s="1"/>
  <c r="K925" i="12" s="1"/>
  <c r="K926" i="12" s="1"/>
  <c r="K927" i="12" s="1"/>
  <c r="K928" i="12" s="1"/>
  <c r="K929" i="12" s="1"/>
  <c r="K930" i="12" s="1"/>
  <c r="K931" i="12" s="1"/>
  <c r="K932" i="12" s="1"/>
  <c r="K933" i="12" s="1"/>
  <c r="K934" i="12" s="1"/>
  <c r="A63" i="3"/>
  <c r="K819" i="12"/>
  <c r="K820" i="12" s="1"/>
  <c r="K821" i="12" s="1"/>
  <c r="K822" i="12" s="1"/>
  <c r="K823" i="12" s="1"/>
  <c r="K824" i="12" s="1"/>
  <c r="K825" i="12" s="1"/>
  <c r="K826" i="12" s="1"/>
  <c r="K827" i="12" s="1"/>
  <c r="K828" i="12" s="1"/>
  <c r="A58" i="3"/>
  <c r="L803" i="12"/>
  <c r="L804" i="12" s="1"/>
  <c r="L805" i="12" s="1"/>
  <c r="L806" i="12" s="1"/>
  <c r="L807" i="12" s="1"/>
  <c r="L808" i="12" s="1"/>
  <c r="L809" i="12" s="1"/>
  <c r="L810" i="12" s="1"/>
  <c r="L811" i="12" s="1"/>
  <c r="L812" i="12" s="1"/>
  <c r="L813" i="12" s="1"/>
  <c r="B57" i="3"/>
  <c r="J678" i="12"/>
  <c r="J679" i="12" s="1"/>
  <c r="J680" i="12" s="1"/>
  <c r="J681" i="12" s="1"/>
  <c r="J682" i="12" s="1"/>
  <c r="J683" i="12" s="1"/>
  <c r="J684" i="12" s="1"/>
  <c r="J685" i="12" s="1"/>
  <c r="J686" i="12" s="1"/>
  <c r="J687" i="12" s="1"/>
  <c r="J688" i="12" s="1"/>
  <c r="J689" i="12" s="1"/>
  <c r="J690" i="12" s="1"/>
  <c r="J691" i="12" s="1"/>
  <c r="J692" i="12" s="1"/>
  <c r="J610" i="12"/>
  <c r="J611" i="12" s="1"/>
  <c r="J612" i="12" s="1"/>
  <c r="J613" i="12" s="1"/>
  <c r="J614" i="12" s="1"/>
  <c r="J615" i="12" s="1"/>
  <c r="J616" i="12" s="1"/>
  <c r="J617" i="12" s="1"/>
  <c r="J618" i="12" s="1"/>
  <c r="J619" i="12" s="1"/>
  <c r="J620" i="12" s="1"/>
  <c r="J621" i="12" s="1"/>
  <c r="J622" i="12" s="1"/>
  <c r="J623" i="12" s="1"/>
  <c r="J624" i="12" s="1"/>
  <c r="J554" i="12"/>
  <c r="J555" i="12" s="1"/>
  <c r="J556" i="12" s="1"/>
  <c r="J557" i="12" s="1"/>
  <c r="J558" i="12" s="1"/>
  <c r="J559" i="12" s="1"/>
  <c r="J560" i="12" s="1"/>
  <c r="J561" i="12" s="1"/>
  <c r="J562" i="12" s="1"/>
  <c r="J563" i="12" s="1"/>
  <c r="J564" i="12" s="1"/>
  <c r="J565" i="12" s="1"/>
  <c r="J566" i="12" s="1"/>
  <c r="J567" i="12" s="1"/>
  <c r="J274" i="12"/>
  <c r="J275" i="12" s="1"/>
  <c r="J276" i="12" s="1"/>
  <c r="J277" i="12" s="1"/>
  <c r="J278" i="12" s="1"/>
  <c r="J279" i="12" s="1"/>
  <c r="J280" i="12" s="1"/>
  <c r="J281" i="12" s="1"/>
  <c r="J282" i="12" s="1"/>
  <c r="J283" i="12" s="1"/>
  <c r="J284" i="12" s="1"/>
  <c r="J874" i="12"/>
  <c r="J875" i="12" s="1"/>
  <c r="J876" i="12" s="1"/>
  <c r="J877" i="12" s="1"/>
  <c r="J878" i="12" s="1"/>
  <c r="J879" i="12" s="1"/>
  <c r="J880" i="12" s="1"/>
  <c r="J881" i="12" s="1"/>
  <c r="J882" i="12" s="1"/>
  <c r="J883" i="12" s="1"/>
  <c r="J884" i="12" s="1"/>
  <c r="J720" i="12"/>
  <c r="J721" i="12" s="1"/>
  <c r="J722" i="12" s="1"/>
  <c r="J723" i="12" s="1"/>
  <c r="J724" i="12" s="1"/>
  <c r="J725" i="12" s="1"/>
  <c r="J726" i="12" s="1"/>
  <c r="J727" i="12" s="1"/>
  <c r="J728" i="12" s="1"/>
  <c r="J729" i="12" s="1"/>
  <c r="J730" i="12" s="1"/>
  <c r="J731" i="12" s="1"/>
  <c r="J660" i="12"/>
  <c r="J661" i="12" s="1"/>
  <c r="J662" i="12" s="1"/>
  <c r="J663" i="12" s="1"/>
  <c r="J664" i="12" s="1"/>
  <c r="J665" i="12" s="1"/>
  <c r="J666" i="12" s="1"/>
  <c r="J667" i="12" s="1"/>
  <c r="J668" i="12" s="1"/>
  <c r="J669" i="12" s="1"/>
  <c r="J670" i="12" s="1"/>
  <c r="J671" i="12" s="1"/>
  <c r="J672" i="12" s="1"/>
  <c r="J673" i="12" s="1"/>
  <c r="J674" i="12" s="1"/>
  <c r="J675" i="12" s="1"/>
  <c r="J676" i="12" s="1"/>
  <c r="J316" i="12"/>
  <c r="J317" i="12" s="1"/>
  <c r="J318" i="12" s="1"/>
  <c r="J319" i="12" s="1"/>
  <c r="J320" i="12" s="1"/>
  <c r="J321" i="12" s="1"/>
  <c r="J322" i="12" s="1"/>
  <c r="J323" i="12" s="1"/>
  <c r="J324" i="12" s="1"/>
  <c r="J325" i="12" s="1"/>
  <c r="J326" i="12" s="1"/>
  <c r="J327" i="12" s="1"/>
  <c r="J260" i="12"/>
  <c r="J261" i="12" s="1"/>
  <c r="J262" i="12" s="1"/>
  <c r="J263" i="12" s="1"/>
  <c r="J264" i="12" s="1"/>
  <c r="J265" i="12" s="1"/>
  <c r="J266" i="12" s="1"/>
  <c r="J267" i="12" s="1"/>
  <c r="J268" i="12" s="1"/>
  <c r="J269" i="12" s="1"/>
  <c r="J270" i="12" s="1"/>
  <c r="J271" i="12" s="1"/>
  <c r="J272" i="12" s="1"/>
  <c r="A56" i="3"/>
  <c r="J225" i="12"/>
  <c r="J226" i="12" s="1"/>
  <c r="J227" i="12" s="1"/>
  <c r="J228" i="12" s="1"/>
  <c r="J229" i="12" s="1"/>
  <c r="J230" i="12" s="1"/>
  <c r="J231" i="12" s="1"/>
  <c r="J232" i="12" s="1"/>
  <c r="J233" i="12" s="1"/>
  <c r="J234" i="12" s="1"/>
  <c r="J235" i="12" s="1"/>
  <c r="J236" i="12" s="1"/>
  <c r="J237" i="12" s="1"/>
  <c r="J238" i="12" s="1"/>
  <c r="J239" i="12" s="1"/>
  <c r="J240" i="12" s="1"/>
  <c r="J241" i="12" s="1"/>
  <c r="K8" i="12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24" i="12" s="1"/>
  <c r="K25" i="12" s="1"/>
  <c r="A2" i="3"/>
  <c r="L539" i="12"/>
  <c r="L540" i="12" s="1"/>
  <c r="L541" i="12" s="1"/>
  <c r="L542" i="12" s="1"/>
  <c r="L543" i="12" s="1"/>
  <c r="L544" i="12" s="1"/>
  <c r="L545" i="12" s="1"/>
  <c r="L546" i="12" s="1"/>
  <c r="L547" i="12" s="1"/>
  <c r="L548" i="12" s="1"/>
  <c r="B39" i="3"/>
  <c r="K384" i="12"/>
  <c r="K385" i="12" s="1"/>
  <c r="K386" i="12" s="1"/>
  <c r="K387" i="12" s="1"/>
  <c r="K388" i="12" s="1"/>
  <c r="K389" i="12" s="1"/>
  <c r="K390" i="12" s="1"/>
  <c r="K391" i="12" s="1"/>
  <c r="K392" i="12" s="1"/>
  <c r="K393" i="12" s="1"/>
  <c r="K394" i="12" s="1"/>
  <c r="K395" i="12" s="1"/>
  <c r="K396" i="12" s="1"/>
  <c r="K397" i="12" s="1"/>
  <c r="K398" i="12" s="1"/>
  <c r="K399" i="12" s="1"/>
  <c r="K400" i="12" s="1"/>
  <c r="K401" i="12" s="1"/>
  <c r="A28" i="3"/>
  <c r="L641" i="12"/>
  <c r="L642" i="12" s="1"/>
  <c r="L643" i="12" s="1"/>
  <c r="L644" i="12" s="1"/>
  <c r="L645" i="12" s="1"/>
  <c r="L646" i="12" s="1"/>
  <c r="L647" i="12" s="1"/>
  <c r="L648" i="12" s="1"/>
  <c r="L649" i="12" s="1"/>
  <c r="L650" i="12" s="1"/>
  <c r="L651" i="12" s="1"/>
  <c r="L652" i="12" s="1"/>
  <c r="L653" i="12" s="1"/>
  <c r="L654" i="12" s="1"/>
  <c r="L655" i="12" s="1"/>
  <c r="L656" i="12" s="1"/>
  <c r="L657" i="12" s="1"/>
  <c r="L658" i="12" s="1"/>
  <c r="L659" i="12" s="1"/>
  <c r="B46" i="3"/>
  <c r="L123" i="12"/>
  <c r="L124" i="12" s="1"/>
  <c r="L125" i="12" s="1"/>
  <c r="L126" i="12" s="1"/>
  <c r="L127" i="12" s="1"/>
  <c r="L128" i="12" s="1"/>
  <c r="L129" i="12" s="1"/>
  <c r="L130" i="12" s="1"/>
  <c r="L131" i="12" s="1"/>
  <c r="L132" i="12" s="1"/>
  <c r="B10" i="3"/>
  <c r="K569" i="12"/>
  <c r="K570" i="12" s="1"/>
  <c r="K571" i="12" s="1"/>
  <c r="K572" i="12" s="1"/>
  <c r="K573" i="12" s="1"/>
  <c r="K574" i="12" s="1"/>
  <c r="K575" i="12" s="1"/>
  <c r="K576" i="12" s="1"/>
  <c r="K577" i="12" s="1"/>
  <c r="A41" i="3"/>
  <c r="K316" i="12"/>
  <c r="K317" i="12" s="1"/>
  <c r="K318" i="12" s="1"/>
  <c r="K319" i="12" s="1"/>
  <c r="K320" i="12" s="1"/>
  <c r="K321" i="12" s="1"/>
  <c r="K322" i="12" s="1"/>
  <c r="K323" i="12" s="1"/>
  <c r="K324" i="12" s="1"/>
  <c r="K325" i="12" s="1"/>
  <c r="K326" i="12" s="1"/>
  <c r="K327" i="12" s="1"/>
  <c r="K328" i="12" s="1"/>
  <c r="A23" i="3"/>
  <c r="L626" i="12"/>
  <c r="L627" i="12" s="1"/>
  <c r="L628" i="12" s="1"/>
  <c r="L629" i="12" s="1"/>
  <c r="L630" i="12" s="1"/>
  <c r="L631" i="12" s="1"/>
  <c r="L632" i="12" s="1"/>
  <c r="L633" i="12" s="1"/>
  <c r="L634" i="12" s="1"/>
  <c r="L635" i="12" s="1"/>
  <c r="L636" i="12" s="1"/>
  <c r="B45" i="3"/>
  <c r="L523" i="12"/>
  <c r="L524" i="12" s="1"/>
  <c r="L525" i="12" s="1"/>
  <c r="L526" i="12" s="1"/>
  <c r="L527" i="12" s="1"/>
  <c r="L528" i="12" s="1"/>
  <c r="L529" i="12" s="1"/>
  <c r="L530" i="12" s="1"/>
  <c r="L531" i="12" s="1"/>
  <c r="L532" i="12" s="1"/>
  <c r="L533" i="12" s="1"/>
  <c r="B38" i="3"/>
  <c r="L109" i="12"/>
  <c r="L110" i="12" s="1"/>
  <c r="L111" i="12" s="1"/>
  <c r="L112" i="12" s="1"/>
  <c r="L113" i="12" s="1"/>
  <c r="L114" i="12" s="1"/>
  <c r="L115" i="12" s="1"/>
  <c r="L116" i="12" s="1"/>
  <c r="L117" i="12" s="1"/>
  <c r="B9" i="3"/>
  <c r="L402" i="12"/>
  <c r="L403" i="12" s="1"/>
  <c r="L404" i="12" s="1"/>
  <c r="L405" i="12" s="1"/>
  <c r="L406" i="12" s="1"/>
  <c r="L407" i="12" s="1"/>
  <c r="L408" i="12" s="1"/>
  <c r="L409" i="12" s="1"/>
  <c r="L410" i="12" s="1"/>
  <c r="L411" i="12" s="1"/>
  <c r="L412" i="12" s="1"/>
  <c r="L413" i="12" s="1"/>
  <c r="L414" i="12" s="1"/>
  <c r="B29" i="3"/>
  <c r="L66" i="12"/>
  <c r="L67" i="12" s="1"/>
  <c r="L68" i="12" s="1"/>
  <c r="L69" i="12" s="1"/>
  <c r="L70" i="12" s="1"/>
  <c r="L71" i="12" s="1"/>
  <c r="L72" i="12" s="1"/>
  <c r="L73" i="12" s="1"/>
  <c r="L74" i="12" s="1"/>
  <c r="L75" i="12" s="1"/>
  <c r="L76" i="12" s="1"/>
  <c r="L77" i="12" s="1"/>
  <c r="L78" i="12" s="1"/>
  <c r="L79" i="12" s="1"/>
  <c r="B6" i="3"/>
  <c r="K803" i="12"/>
  <c r="K804" i="12" s="1"/>
  <c r="K805" i="12" s="1"/>
  <c r="K806" i="12" s="1"/>
  <c r="K807" i="12" s="1"/>
  <c r="K808" i="12" s="1"/>
  <c r="K809" i="12" s="1"/>
  <c r="K810" i="12" s="1"/>
  <c r="K811" i="12" s="1"/>
  <c r="K812" i="12" s="1"/>
  <c r="A57" i="3"/>
  <c r="L834" i="12"/>
  <c r="L835" i="12" s="1"/>
  <c r="L836" i="12" s="1"/>
  <c r="L837" i="12" s="1"/>
  <c r="L838" i="12" s="1"/>
  <c r="L839" i="12" s="1"/>
  <c r="L840" i="12" s="1"/>
  <c r="L841" i="12" s="1"/>
  <c r="L842" i="12" s="1"/>
  <c r="L843" i="12" s="1"/>
  <c r="L844" i="12" s="1"/>
  <c r="L845" i="12" s="1"/>
  <c r="L846" i="12" s="1"/>
  <c r="B59" i="3"/>
  <c r="L583" i="12"/>
  <c r="L584" i="12" s="1"/>
  <c r="L585" i="12" s="1"/>
  <c r="L586" i="12" s="1"/>
  <c r="L587" i="12" s="1"/>
  <c r="L588" i="12" s="1"/>
  <c r="L589" i="12" s="1"/>
  <c r="L590" i="12" s="1"/>
  <c r="L591" i="12" s="1"/>
  <c r="L592" i="12" s="1"/>
  <c r="L593" i="12" s="1"/>
  <c r="L594" i="12" s="1"/>
  <c r="L595" i="12" s="1"/>
  <c r="L596" i="12" s="1"/>
  <c r="B42" i="3"/>
  <c r="L344" i="12"/>
  <c r="L345" i="12" s="1"/>
  <c r="L346" i="12" s="1"/>
  <c r="L347" i="12" s="1"/>
  <c r="L348" i="12" s="1"/>
  <c r="L349" i="12" s="1"/>
  <c r="L350" i="12" s="1"/>
  <c r="L351" i="12" s="1"/>
  <c r="L352" i="12" s="1"/>
  <c r="L353" i="12" s="1"/>
  <c r="L354" i="12" s="1"/>
  <c r="L355" i="12" s="1"/>
  <c r="L356" i="12" s="1"/>
  <c r="B25" i="3"/>
  <c r="L707" i="12"/>
  <c r="L708" i="12" s="1"/>
  <c r="L709" i="12" s="1"/>
  <c r="L710" i="12" s="1"/>
  <c r="L711" i="12" s="1"/>
  <c r="L712" i="12" s="1"/>
  <c r="L713" i="12" s="1"/>
  <c r="L714" i="12" s="1"/>
  <c r="L715" i="12" s="1"/>
  <c r="L716" i="12" s="1"/>
  <c r="L717" i="12" s="1"/>
  <c r="L718" i="12" s="1"/>
  <c r="L719" i="12" s="1"/>
  <c r="B50" i="3"/>
  <c r="L819" i="12"/>
  <c r="L820" i="12" s="1"/>
  <c r="L821" i="12" s="1"/>
  <c r="L822" i="12" s="1"/>
  <c r="L823" i="12" s="1"/>
  <c r="L824" i="12" s="1"/>
  <c r="L825" i="12" s="1"/>
  <c r="L826" i="12" s="1"/>
  <c r="L827" i="12" s="1"/>
  <c r="L828" i="12" s="1"/>
  <c r="L829" i="12" s="1"/>
  <c r="B58" i="3"/>
  <c r="L569" i="12"/>
  <c r="L570" i="12" s="1"/>
  <c r="L571" i="12" s="1"/>
  <c r="L572" i="12" s="1"/>
  <c r="L573" i="12" s="1"/>
  <c r="L574" i="12" s="1"/>
  <c r="L575" i="12" s="1"/>
  <c r="L576" i="12" s="1"/>
  <c r="L577" i="12" s="1"/>
  <c r="L578" i="12" s="1"/>
  <c r="B41" i="3"/>
  <c r="L225" i="12"/>
  <c r="L226" i="12" s="1"/>
  <c r="L227" i="12" s="1"/>
  <c r="L228" i="12" s="1"/>
  <c r="L229" i="12" s="1"/>
  <c r="L230" i="12" s="1"/>
  <c r="L231" i="12" s="1"/>
  <c r="L232" i="12" s="1"/>
  <c r="L233" i="12" s="1"/>
  <c r="L234" i="12" s="1"/>
  <c r="L235" i="12" s="1"/>
  <c r="L236" i="12" s="1"/>
  <c r="L237" i="12" s="1"/>
  <c r="L238" i="12" s="1"/>
  <c r="L239" i="12" s="1"/>
  <c r="L240" i="12" s="1"/>
  <c r="L241" i="12" s="1"/>
  <c r="L242" i="12" s="1"/>
  <c r="B17" i="3"/>
  <c r="L196" i="12"/>
  <c r="L197" i="12" s="1"/>
  <c r="L198" i="12" s="1"/>
  <c r="L199" i="12" s="1"/>
  <c r="L200" i="12" s="1"/>
  <c r="L201" i="12" s="1"/>
  <c r="L202" i="12" s="1"/>
  <c r="L203" i="12" s="1"/>
  <c r="L204" i="12" s="1"/>
  <c r="L205" i="12" s="1"/>
  <c r="L206" i="12" s="1"/>
  <c r="L207" i="12" s="1"/>
  <c r="L208" i="12" s="1"/>
  <c r="L209" i="12" s="1"/>
  <c r="B15" i="3"/>
  <c r="A64" i="3"/>
  <c r="A48" i="3"/>
  <c r="A40" i="3"/>
  <c r="A16" i="3"/>
  <c r="A8" i="3"/>
  <c r="B2" i="3"/>
  <c r="M911" i="12"/>
  <c r="M383" i="12"/>
  <c r="M343" i="12"/>
  <c r="M167" i="12"/>
  <c r="M151" i="12"/>
  <c r="M79" i="12"/>
  <c r="A55" i="3"/>
  <c r="A47" i="3"/>
  <c r="A39" i="3"/>
  <c r="A15" i="3"/>
  <c r="A7" i="3"/>
  <c r="B49" i="3"/>
  <c r="M582" i="12"/>
  <c r="M414" i="12"/>
  <c r="M38" i="12"/>
  <c r="J925" i="12"/>
  <c r="J926" i="12" s="1"/>
  <c r="J927" i="12" s="1"/>
  <c r="J928" i="12" s="1"/>
  <c r="J929" i="12" s="1"/>
  <c r="J930" i="12" s="1"/>
  <c r="J931" i="12" s="1"/>
  <c r="J932" i="12" s="1"/>
  <c r="J933" i="12" s="1"/>
  <c r="J934" i="12" s="1"/>
  <c r="J861" i="12"/>
  <c r="J862" i="12" s="1"/>
  <c r="J863" i="12" s="1"/>
  <c r="J864" i="12" s="1"/>
  <c r="J865" i="12" s="1"/>
  <c r="J866" i="12" s="1"/>
  <c r="J867" i="12" s="1"/>
  <c r="J868" i="12" s="1"/>
  <c r="J869" i="12" s="1"/>
  <c r="J870" i="12" s="1"/>
  <c r="J871" i="12" s="1"/>
  <c r="J872" i="12" s="1"/>
  <c r="J402" i="12"/>
  <c r="J403" i="12" s="1"/>
  <c r="J404" i="12" s="1"/>
  <c r="J405" i="12" s="1"/>
  <c r="J406" i="12" s="1"/>
  <c r="J407" i="12" s="1"/>
  <c r="J408" i="12" s="1"/>
  <c r="J409" i="12" s="1"/>
  <c r="J410" i="12" s="1"/>
  <c r="J411" i="12" s="1"/>
  <c r="J412" i="12" s="1"/>
  <c r="J413" i="12" s="1"/>
  <c r="J302" i="12"/>
  <c r="J303" i="12" s="1"/>
  <c r="J304" i="12" s="1"/>
  <c r="J305" i="12" s="1"/>
  <c r="J306" i="12" s="1"/>
  <c r="J307" i="12" s="1"/>
  <c r="J308" i="12" s="1"/>
  <c r="J309" i="12" s="1"/>
  <c r="J310" i="12" s="1"/>
  <c r="J311" i="12" s="1"/>
  <c r="J312" i="12" s="1"/>
  <c r="J313" i="12" s="1"/>
  <c r="J314" i="12" s="1"/>
  <c r="J210" i="12"/>
  <c r="J211" i="12" s="1"/>
  <c r="J212" i="12" s="1"/>
  <c r="J213" i="12" s="1"/>
  <c r="J214" i="12" s="1"/>
  <c r="J215" i="12" s="1"/>
  <c r="J216" i="12" s="1"/>
  <c r="J217" i="12" s="1"/>
  <c r="J218" i="12" s="1"/>
  <c r="J219" i="12" s="1"/>
  <c r="J220" i="12" s="1"/>
  <c r="J221" i="12" s="1"/>
  <c r="J222" i="12" s="1"/>
  <c r="J223" i="12" s="1"/>
  <c r="A62" i="3"/>
  <c r="A54" i="3"/>
  <c r="A46" i="3"/>
  <c r="A38" i="3"/>
  <c r="A22" i="3"/>
  <c r="A14" i="3"/>
  <c r="A6" i="3"/>
  <c r="B40" i="3"/>
  <c r="B24" i="3"/>
  <c r="M885" i="12"/>
  <c r="M773" i="12"/>
  <c r="D2" i="3"/>
  <c r="J138" i="12"/>
  <c r="J139" i="12" s="1"/>
  <c r="J140" i="12" s="1"/>
  <c r="J141" i="12" s="1"/>
  <c r="J142" i="12" s="1"/>
  <c r="J143" i="12" s="1"/>
  <c r="J144" i="12" s="1"/>
  <c r="J145" i="12" s="1"/>
  <c r="J146" i="12" s="1"/>
  <c r="J147" i="12" s="1"/>
  <c r="J148" i="12" s="1"/>
  <c r="J149" i="12" s="1"/>
  <c r="J150" i="12" s="1"/>
  <c r="A61" i="3"/>
  <c r="A53" i="3"/>
  <c r="A45" i="3"/>
  <c r="A21" i="3"/>
  <c r="A13" i="3"/>
  <c r="A5" i="3"/>
  <c r="B23" i="3"/>
  <c r="M732" i="12"/>
  <c r="M596" i="12"/>
  <c r="M492" i="12"/>
  <c r="M428" i="12"/>
  <c r="M356" i="12"/>
  <c r="M108" i="12"/>
  <c r="M92" i="12"/>
  <c r="M52" i="12"/>
  <c r="A60" i="3"/>
  <c r="A52" i="3"/>
  <c r="A44" i="3"/>
  <c r="A20" i="3"/>
  <c r="A12" i="3"/>
  <c r="B14" i="3"/>
  <c r="J506" i="12"/>
  <c r="J507" i="12" s="1"/>
  <c r="J508" i="12" s="1"/>
  <c r="J509" i="12" s="1"/>
  <c r="J510" i="12" s="1"/>
  <c r="J511" i="12" s="1"/>
  <c r="J512" i="12" s="1"/>
  <c r="J513" i="12" s="1"/>
  <c r="J514" i="12" s="1"/>
  <c r="J515" i="12" s="1"/>
  <c r="J516" i="12" s="1"/>
  <c r="J517" i="12" s="1"/>
  <c r="J518" i="12" s="1"/>
  <c r="J519" i="12" s="1"/>
  <c r="J520" i="12" s="1"/>
  <c r="J521" i="12" s="1"/>
  <c r="A59" i="3"/>
  <c r="A51" i="3"/>
  <c r="A43" i="3"/>
  <c r="A19" i="3"/>
  <c r="A11" i="3"/>
  <c r="B13" i="3"/>
  <c r="B5" i="3"/>
  <c r="M898" i="12"/>
  <c r="M818" i="12"/>
  <c r="M802" i="12"/>
  <c r="M786" i="12"/>
  <c r="M706" i="12"/>
  <c r="M538" i="12"/>
  <c r="M522" i="12"/>
  <c r="M466" i="12"/>
  <c r="M242" i="12"/>
  <c r="M122" i="12"/>
  <c r="A66" i="3"/>
  <c r="A50" i="3"/>
  <c r="A42" i="3"/>
  <c r="A18" i="3"/>
  <c r="A10" i="3"/>
  <c r="B28" i="3"/>
  <c r="B12" i="3"/>
  <c r="B4" i="3"/>
  <c r="M65" i="12"/>
  <c r="M25" i="12"/>
  <c r="A65" i="3"/>
  <c r="A49" i="3"/>
  <c r="A17" i="3"/>
  <c r="A9" i="3"/>
  <c r="B11" i="3"/>
  <c r="B3" i="3"/>
  <c r="M640" i="12"/>
  <c r="M568" i="12"/>
  <c r="M480" i="12"/>
  <c r="M440" i="12"/>
  <c r="M368" i="12"/>
  <c r="M328" i="12"/>
  <c r="A2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D13" i="3" l="1"/>
  <c r="D60" i="3"/>
  <c r="D53" i="3"/>
  <c r="D21" i="3"/>
  <c r="D8" i="3"/>
  <c r="D37" i="3"/>
  <c r="D14" i="3"/>
  <c r="D45" i="3"/>
  <c r="D38" i="3"/>
  <c r="D61" i="3"/>
  <c r="D15" i="3"/>
  <c r="D23" i="3"/>
  <c r="D25" i="3"/>
  <c r="D18" i="3"/>
  <c r="D11" i="3"/>
  <c r="D4" i="3"/>
  <c r="L243" i="12"/>
  <c r="L244" i="12" s="1"/>
  <c r="L245" i="12" s="1"/>
  <c r="L246" i="12" s="1"/>
  <c r="L247" i="12" s="1"/>
  <c r="L248" i="12" s="1"/>
  <c r="L249" i="12" s="1"/>
  <c r="L250" i="12" s="1"/>
  <c r="L251" i="12" s="1"/>
  <c r="L252" i="12" s="1"/>
  <c r="L253" i="12" s="1"/>
  <c r="L254" i="12" s="1"/>
  <c r="L255" i="12" s="1"/>
  <c r="L256" i="12" s="1"/>
  <c r="L257" i="12" s="1"/>
  <c r="L258" i="12" s="1"/>
  <c r="L259" i="12" s="1"/>
  <c r="B18" i="3"/>
  <c r="L357" i="12"/>
  <c r="L358" i="12" s="1"/>
  <c r="L359" i="12" s="1"/>
  <c r="L360" i="12" s="1"/>
  <c r="L361" i="12" s="1"/>
  <c r="L362" i="12" s="1"/>
  <c r="L363" i="12" s="1"/>
  <c r="L364" i="12" s="1"/>
  <c r="L365" i="12" s="1"/>
  <c r="L366" i="12" s="1"/>
  <c r="L367" i="12" s="1"/>
  <c r="L368" i="12" s="1"/>
  <c r="B26" i="3"/>
  <c r="L80" i="12"/>
  <c r="L81" i="12" s="1"/>
  <c r="L82" i="12" s="1"/>
  <c r="L83" i="12" s="1"/>
  <c r="L84" i="12" s="1"/>
  <c r="L85" i="12" s="1"/>
  <c r="L86" i="12" s="1"/>
  <c r="L87" i="12" s="1"/>
  <c r="L88" i="12" s="1"/>
  <c r="L89" i="12" s="1"/>
  <c r="L90" i="12" s="1"/>
  <c r="L91" i="12" s="1"/>
  <c r="L92" i="12" s="1"/>
  <c r="B7" i="3"/>
  <c r="D46" i="3"/>
  <c r="D31" i="3"/>
  <c r="D16" i="3"/>
  <c r="D33" i="3"/>
  <c r="D26" i="3"/>
  <c r="D19" i="3"/>
  <c r="D12" i="3"/>
  <c r="L660" i="12"/>
  <c r="L661" i="12" s="1"/>
  <c r="L662" i="12" s="1"/>
  <c r="L663" i="12" s="1"/>
  <c r="L664" i="12" s="1"/>
  <c r="L665" i="12" s="1"/>
  <c r="L666" i="12" s="1"/>
  <c r="L667" i="12" s="1"/>
  <c r="L668" i="12" s="1"/>
  <c r="L669" i="12" s="1"/>
  <c r="L670" i="12" s="1"/>
  <c r="L671" i="12" s="1"/>
  <c r="L672" i="12" s="1"/>
  <c r="L673" i="12" s="1"/>
  <c r="L674" i="12" s="1"/>
  <c r="L675" i="12" s="1"/>
  <c r="L676" i="12" s="1"/>
  <c r="L677" i="12" s="1"/>
  <c r="B47" i="3"/>
  <c r="D54" i="3"/>
  <c r="D39" i="3"/>
  <c r="D24" i="3"/>
  <c r="D41" i="3"/>
  <c r="D34" i="3"/>
  <c r="D27" i="3"/>
  <c r="D20" i="3"/>
  <c r="L597" i="12"/>
  <c r="L598" i="12" s="1"/>
  <c r="L599" i="12" s="1"/>
  <c r="L600" i="12" s="1"/>
  <c r="L601" i="12" s="1"/>
  <c r="L602" i="12" s="1"/>
  <c r="L603" i="12" s="1"/>
  <c r="L604" i="12" s="1"/>
  <c r="L605" i="12" s="1"/>
  <c r="L606" i="12" s="1"/>
  <c r="L607" i="12" s="1"/>
  <c r="L608" i="12" s="1"/>
  <c r="L609" i="12" s="1"/>
  <c r="B43" i="3"/>
  <c r="L415" i="12"/>
  <c r="L416" i="12" s="1"/>
  <c r="L417" i="12" s="1"/>
  <c r="L418" i="12" s="1"/>
  <c r="L419" i="12" s="1"/>
  <c r="L420" i="12" s="1"/>
  <c r="L421" i="12" s="1"/>
  <c r="L422" i="12" s="1"/>
  <c r="L423" i="12" s="1"/>
  <c r="L424" i="12" s="1"/>
  <c r="L425" i="12" s="1"/>
  <c r="L426" i="12" s="1"/>
  <c r="L427" i="12" s="1"/>
  <c r="L428" i="12" s="1"/>
  <c r="B30" i="3"/>
  <c r="D62" i="3"/>
  <c r="D47" i="3"/>
  <c r="D32" i="3"/>
  <c r="D49" i="3"/>
  <c r="D42" i="3"/>
  <c r="D35" i="3"/>
  <c r="D28" i="3"/>
  <c r="D5" i="3"/>
  <c r="K329" i="12"/>
  <c r="K330" i="12" s="1"/>
  <c r="K331" i="12" s="1"/>
  <c r="K332" i="12" s="1"/>
  <c r="K333" i="12" s="1"/>
  <c r="K334" i="12" s="1"/>
  <c r="K335" i="12" s="1"/>
  <c r="K336" i="12" s="1"/>
  <c r="K337" i="12" s="1"/>
  <c r="K338" i="12" s="1"/>
  <c r="K339" i="12" s="1"/>
  <c r="K340" i="12" s="1"/>
  <c r="K341" i="12" s="1"/>
  <c r="K342" i="12" s="1"/>
  <c r="K343" i="12" s="1"/>
  <c r="A24" i="3"/>
  <c r="K402" i="12"/>
  <c r="K403" i="12" s="1"/>
  <c r="K404" i="12" s="1"/>
  <c r="K405" i="12" s="1"/>
  <c r="K406" i="12" s="1"/>
  <c r="K407" i="12" s="1"/>
  <c r="K408" i="12" s="1"/>
  <c r="K409" i="12" s="1"/>
  <c r="K410" i="12" s="1"/>
  <c r="K411" i="12" s="1"/>
  <c r="K412" i="12" s="1"/>
  <c r="K413" i="12" s="1"/>
  <c r="K414" i="12" s="1"/>
  <c r="A29" i="3"/>
  <c r="D29" i="3"/>
  <c r="D55" i="3"/>
  <c r="D40" i="3"/>
  <c r="D57" i="3"/>
  <c r="D50" i="3"/>
  <c r="D43" i="3"/>
  <c r="D36" i="3"/>
  <c r="D6" i="3"/>
  <c r="L847" i="12"/>
  <c r="L848" i="12" s="1"/>
  <c r="L849" i="12" s="1"/>
  <c r="L850" i="12" s="1"/>
  <c r="L851" i="12" s="1"/>
  <c r="L852" i="12" s="1"/>
  <c r="L853" i="12" s="1"/>
  <c r="L854" i="12" s="1"/>
  <c r="L855" i="12" s="1"/>
  <c r="L856" i="12" s="1"/>
  <c r="L857" i="12" s="1"/>
  <c r="L858" i="12" s="1"/>
  <c r="L859" i="12" s="1"/>
  <c r="L860" i="12" s="1"/>
  <c r="B60" i="3"/>
  <c r="D63" i="3"/>
  <c r="D48" i="3"/>
  <c r="D65" i="3"/>
  <c r="D58" i="3"/>
  <c r="D51" i="3"/>
  <c r="D44" i="3"/>
  <c r="D22" i="3"/>
  <c r="D7" i="3"/>
  <c r="D56" i="3"/>
  <c r="D9" i="3"/>
  <c r="D66" i="3"/>
  <c r="D59" i="3"/>
  <c r="D52" i="3"/>
  <c r="L210" i="12"/>
  <c r="L211" i="12" s="1"/>
  <c r="L212" i="12" s="1"/>
  <c r="L213" i="12" s="1"/>
  <c r="L214" i="12" s="1"/>
  <c r="L215" i="12" s="1"/>
  <c r="L216" i="12" s="1"/>
  <c r="L217" i="12" s="1"/>
  <c r="L218" i="12" s="1"/>
  <c r="L219" i="12" s="1"/>
  <c r="L220" i="12" s="1"/>
  <c r="B16" i="3"/>
  <c r="L720" i="12"/>
  <c r="L721" i="12" s="1"/>
  <c r="L722" i="12" s="1"/>
  <c r="L723" i="12" s="1"/>
  <c r="L724" i="12" s="1"/>
  <c r="L725" i="12" s="1"/>
  <c r="L726" i="12" s="1"/>
  <c r="L727" i="12" s="1"/>
  <c r="L728" i="12" s="1"/>
  <c r="L729" i="12" s="1"/>
  <c r="L730" i="12" s="1"/>
  <c r="L731" i="12" s="1"/>
  <c r="L732" i="12" s="1"/>
  <c r="B51" i="3"/>
  <c r="D30" i="3"/>
  <c r="D64" i="3"/>
  <c r="D17" i="3"/>
  <c r="D10" i="3"/>
  <c r="D3" i="3"/>
  <c r="K26" i="12"/>
  <c r="K27" i="12" s="1"/>
  <c r="K28" i="12" s="1"/>
  <c r="K29" i="12" s="1"/>
  <c r="K30" i="12" s="1"/>
  <c r="K31" i="12" s="1"/>
  <c r="K32" i="12" s="1"/>
  <c r="K33" i="12" s="1"/>
  <c r="K34" i="12" s="1"/>
  <c r="K35" i="12" s="1"/>
  <c r="K36" i="12" s="1"/>
  <c r="K37" i="12" s="1"/>
  <c r="K38" i="12" s="1"/>
  <c r="A3" i="3"/>
  <c r="K344" i="12" l="1"/>
  <c r="K345" i="12" s="1"/>
  <c r="K346" i="12" s="1"/>
  <c r="K347" i="12" s="1"/>
  <c r="K348" i="12" s="1"/>
  <c r="K349" i="12" s="1"/>
  <c r="K350" i="12" s="1"/>
  <c r="K351" i="12" s="1"/>
  <c r="K352" i="12" s="1"/>
  <c r="K353" i="12" s="1"/>
  <c r="K354" i="12" s="1"/>
  <c r="K355" i="12" s="1"/>
  <c r="K356" i="12" s="1"/>
  <c r="A25" i="3"/>
  <c r="L369" i="12"/>
  <c r="L370" i="12" s="1"/>
  <c r="L371" i="12" s="1"/>
  <c r="L372" i="12" s="1"/>
  <c r="L373" i="12" s="1"/>
  <c r="L374" i="12" s="1"/>
  <c r="L375" i="12" s="1"/>
  <c r="L376" i="12" s="1"/>
  <c r="L377" i="12" s="1"/>
  <c r="L378" i="12" s="1"/>
  <c r="L379" i="12" s="1"/>
  <c r="B27" i="3"/>
  <c r="L429" i="12"/>
  <c r="L430" i="12" s="1"/>
  <c r="L431" i="12" s="1"/>
  <c r="L432" i="12" s="1"/>
  <c r="L433" i="12" s="1"/>
  <c r="L434" i="12" s="1"/>
  <c r="L435" i="12" s="1"/>
  <c r="L436" i="12" s="1"/>
  <c r="L437" i="12" s="1"/>
  <c r="L438" i="12" s="1"/>
  <c r="L439" i="12" s="1"/>
  <c r="L440" i="12" s="1"/>
  <c r="B31" i="3"/>
  <c r="L260" i="12"/>
  <c r="L261" i="12" s="1"/>
  <c r="L262" i="12" s="1"/>
  <c r="L263" i="12" s="1"/>
  <c r="L264" i="12" s="1"/>
  <c r="L265" i="12" s="1"/>
  <c r="L266" i="12" s="1"/>
  <c r="L267" i="12" s="1"/>
  <c r="L268" i="12" s="1"/>
  <c r="L269" i="12" s="1"/>
  <c r="L270" i="12" s="1"/>
  <c r="L271" i="12" s="1"/>
  <c r="L272" i="12" s="1"/>
  <c r="L273" i="12" s="1"/>
  <c r="B19" i="3"/>
  <c r="L733" i="12"/>
  <c r="L734" i="12" s="1"/>
  <c r="L735" i="12" s="1"/>
  <c r="L736" i="12" s="1"/>
  <c r="L737" i="12" s="1"/>
  <c r="L738" i="12" s="1"/>
  <c r="L739" i="12" s="1"/>
  <c r="L740" i="12" s="1"/>
  <c r="L741" i="12" s="1"/>
  <c r="L742" i="12" s="1"/>
  <c r="L743" i="12" s="1"/>
  <c r="L744" i="12" s="1"/>
  <c r="L745" i="12" s="1"/>
  <c r="B52" i="3"/>
  <c r="L861" i="12"/>
  <c r="L862" i="12" s="1"/>
  <c r="L863" i="12" s="1"/>
  <c r="L864" i="12" s="1"/>
  <c r="L865" i="12" s="1"/>
  <c r="L866" i="12" s="1"/>
  <c r="L867" i="12" s="1"/>
  <c r="L868" i="12" s="1"/>
  <c r="L869" i="12" s="1"/>
  <c r="L870" i="12" s="1"/>
  <c r="L871" i="12" s="1"/>
  <c r="L872" i="12" s="1"/>
  <c r="L873" i="12" s="1"/>
  <c r="B61" i="3"/>
  <c r="L610" i="12"/>
  <c r="L611" i="12" s="1"/>
  <c r="L612" i="12" s="1"/>
  <c r="L613" i="12" s="1"/>
  <c r="L614" i="12" s="1"/>
  <c r="L615" i="12" s="1"/>
  <c r="L616" i="12" s="1"/>
  <c r="L617" i="12" s="1"/>
  <c r="L618" i="12" s="1"/>
  <c r="L619" i="12" s="1"/>
  <c r="L620" i="12" s="1"/>
  <c r="B44" i="3"/>
  <c r="K39" i="12"/>
  <c r="K40" i="12" s="1"/>
  <c r="K41" i="12" s="1"/>
  <c r="K42" i="12" s="1"/>
  <c r="K43" i="12" s="1"/>
  <c r="K44" i="12" s="1"/>
  <c r="K45" i="12" s="1"/>
  <c r="K46" i="12" s="1"/>
  <c r="K47" i="12" s="1"/>
  <c r="A4" i="3"/>
  <c r="L678" i="12"/>
  <c r="L679" i="12" s="1"/>
  <c r="L680" i="12" s="1"/>
  <c r="L681" i="12" s="1"/>
  <c r="L682" i="12" s="1"/>
  <c r="L683" i="12" s="1"/>
  <c r="L684" i="12" s="1"/>
  <c r="L685" i="12" s="1"/>
  <c r="L686" i="12" s="1"/>
  <c r="L687" i="12" s="1"/>
  <c r="L688" i="12" s="1"/>
  <c r="L689" i="12" s="1"/>
  <c r="B48" i="3"/>
  <c r="K415" i="12"/>
  <c r="K416" i="12" s="1"/>
  <c r="K417" i="12" s="1"/>
  <c r="K418" i="12" s="1"/>
  <c r="K419" i="12" s="1"/>
  <c r="K420" i="12" s="1"/>
  <c r="K421" i="12" s="1"/>
  <c r="K422" i="12" s="1"/>
  <c r="K423" i="12" s="1"/>
  <c r="K424" i="12" s="1"/>
  <c r="K425" i="12" s="1"/>
  <c r="K426" i="12" s="1"/>
  <c r="K427" i="12" s="1"/>
  <c r="K428" i="12" s="1"/>
  <c r="A30" i="3"/>
  <c r="L93" i="12"/>
  <c r="L94" i="12" s="1"/>
  <c r="L95" i="12" s="1"/>
  <c r="L96" i="12" s="1"/>
  <c r="L97" i="12" s="1"/>
  <c r="L98" i="12" s="1"/>
  <c r="L99" i="12" s="1"/>
  <c r="L100" i="12" s="1"/>
  <c r="L101" i="12" s="1"/>
  <c r="L102" i="12" s="1"/>
  <c r="L103" i="12" s="1"/>
  <c r="B8" i="3"/>
  <c r="L274" i="12" l="1"/>
  <c r="L275" i="12" s="1"/>
  <c r="L276" i="12" s="1"/>
  <c r="L277" i="12" s="1"/>
  <c r="L278" i="12" s="1"/>
  <c r="L279" i="12" s="1"/>
  <c r="L280" i="12" s="1"/>
  <c r="L281" i="12" s="1"/>
  <c r="L282" i="12" s="1"/>
  <c r="L283" i="12" s="1"/>
  <c r="L284" i="12" s="1"/>
  <c r="L285" i="12" s="1"/>
  <c r="B20" i="3"/>
  <c r="L441" i="12"/>
  <c r="L442" i="12" s="1"/>
  <c r="L443" i="12" s="1"/>
  <c r="L444" i="12" s="1"/>
  <c r="L445" i="12" s="1"/>
  <c r="L446" i="12" s="1"/>
  <c r="L447" i="12" s="1"/>
  <c r="L448" i="12" s="1"/>
  <c r="L449" i="12" s="1"/>
  <c r="L450" i="12" s="1"/>
  <c r="L451" i="12" s="1"/>
  <c r="L452" i="12" s="1"/>
  <c r="L453" i="12" s="1"/>
  <c r="B32" i="3"/>
  <c r="L874" i="12"/>
  <c r="L875" i="12" s="1"/>
  <c r="L876" i="12" s="1"/>
  <c r="L877" i="12" s="1"/>
  <c r="L878" i="12" s="1"/>
  <c r="L879" i="12" s="1"/>
  <c r="L880" i="12" s="1"/>
  <c r="L881" i="12" s="1"/>
  <c r="L882" i="12" s="1"/>
  <c r="L883" i="12" s="1"/>
  <c r="L884" i="12" s="1"/>
  <c r="L885" i="12" s="1"/>
  <c r="B62" i="3"/>
  <c r="K429" i="12"/>
  <c r="K430" i="12" s="1"/>
  <c r="K431" i="12" s="1"/>
  <c r="K432" i="12" s="1"/>
  <c r="K433" i="12" s="1"/>
  <c r="K434" i="12" s="1"/>
  <c r="K435" i="12" s="1"/>
  <c r="K436" i="12" s="1"/>
  <c r="K437" i="12" s="1"/>
  <c r="K438" i="12" s="1"/>
  <c r="K439" i="12" s="1"/>
  <c r="K440" i="12" s="1"/>
  <c r="A31" i="3"/>
  <c r="L746" i="12"/>
  <c r="L747" i="12" s="1"/>
  <c r="L748" i="12" s="1"/>
  <c r="L749" i="12" s="1"/>
  <c r="L750" i="12" s="1"/>
  <c r="L751" i="12" s="1"/>
  <c r="L752" i="12" s="1"/>
  <c r="L753" i="12" s="1"/>
  <c r="L754" i="12" s="1"/>
  <c r="L755" i="12" s="1"/>
  <c r="L756" i="12" s="1"/>
  <c r="L757" i="12" s="1"/>
  <c r="L758" i="12" s="1"/>
  <c r="B53" i="3"/>
  <c r="K357" i="12"/>
  <c r="K358" i="12" s="1"/>
  <c r="K359" i="12" s="1"/>
  <c r="K360" i="12" s="1"/>
  <c r="K361" i="12" s="1"/>
  <c r="K362" i="12" s="1"/>
  <c r="K363" i="12" s="1"/>
  <c r="K364" i="12" s="1"/>
  <c r="K365" i="12" s="1"/>
  <c r="K366" i="12" s="1"/>
  <c r="K367" i="12" s="1"/>
  <c r="K368" i="12" s="1"/>
  <c r="A26" i="3"/>
  <c r="K441" i="12" l="1"/>
  <c r="K442" i="12" s="1"/>
  <c r="K443" i="12" s="1"/>
  <c r="K444" i="12" s="1"/>
  <c r="K445" i="12" s="1"/>
  <c r="K446" i="12" s="1"/>
  <c r="K447" i="12" s="1"/>
  <c r="K448" i="12" s="1"/>
  <c r="K449" i="12" s="1"/>
  <c r="K450" i="12" s="1"/>
  <c r="K451" i="12" s="1"/>
  <c r="K452" i="12" s="1"/>
  <c r="K453" i="12" s="1"/>
  <c r="A32" i="3"/>
  <c r="L886" i="12"/>
  <c r="L887" i="12" s="1"/>
  <c r="L888" i="12" s="1"/>
  <c r="L889" i="12" s="1"/>
  <c r="L890" i="12" s="1"/>
  <c r="L891" i="12" s="1"/>
  <c r="L892" i="12" s="1"/>
  <c r="L893" i="12" s="1"/>
  <c r="L894" i="12" s="1"/>
  <c r="L895" i="12" s="1"/>
  <c r="L896" i="12" s="1"/>
  <c r="L897" i="12" s="1"/>
  <c r="L898" i="12" s="1"/>
  <c r="B63" i="3"/>
  <c r="L454" i="12"/>
  <c r="L455" i="12" s="1"/>
  <c r="L456" i="12" s="1"/>
  <c r="L457" i="12" s="1"/>
  <c r="L458" i="12" s="1"/>
  <c r="L459" i="12" s="1"/>
  <c r="L460" i="12" s="1"/>
  <c r="L461" i="12" s="1"/>
  <c r="L462" i="12" s="1"/>
  <c r="L463" i="12" s="1"/>
  <c r="L464" i="12" s="1"/>
  <c r="L465" i="12" s="1"/>
  <c r="L466" i="12" s="1"/>
  <c r="B33" i="3"/>
  <c r="K369" i="12"/>
  <c r="K370" i="12" s="1"/>
  <c r="K371" i="12" s="1"/>
  <c r="K372" i="12" s="1"/>
  <c r="K373" i="12" s="1"/>
  <c r="K374" i="12" s="1"/>
  <c r="K375" i="12" s="1"/>
  <c r="K376" i="12" s="1"/>
  <c r="K377" i="12" s="1"/>
  <c r="K378" i="12" s="1"/>
  <c r="A27" i="3"/>
  <c r="L759" i="12"/>
  <c r="L760" i="12" s="1"/>
  <c r="L761" i="12" s="1"/>
  <c r="L762" i="12" s="1"/>
  <c r="L763" i="12" s="1"/>
  <c r="L764" i="12" s="1"/>
  <c r="L765" i="12" s="1"/>
  <c r="L766" i="12" s="1"/>
  <c r="L767" i="12" s="1"/>
  <c r="L768" i="12" s="1"/>
  <c r="L769" i="12" s="1"/>
  <c r="L770" i="12" s="1"/>
  <c r="L771" i="12" s="1"/>
  <c r="L772" i="12" s="1"/>
  <c r="L773" i="12" s="1"/>
  <c r="B54" i="3"/>
  <c r="L286" i="12"/>
  <c r="L287" i="12" s="1"/>
  <c r="L288" i="12" s="1"/>
  <c r="L289" i="12" s="1"/>
  <c r="L290" i="12" s="1"/>
  <c r="L291" i="12" s="1"/>
  <c r="L292" i="12" s="1"/>
  <c r="L293" i="12" s="1"/>
  <c r="L294" i="12" s="1"/>
  <c r="L295" i="12" s="1"/>
  <c r="L296" i="12" s="1"/>
  <c r="L297" i="12" s="1"/>
  <c r="L298" i="12" s="1"/>
  <c r="L299" i="12" s="1"/>
  <c r="L300" i="12" s="1"/>
  <c r="L301" i="12" s="1"/>
  <c r="B21" i="3"/>
  <c r="L302" i="12" l="1"/>
  <c r="L303" i="12" s="1"/>
  <c r="L304" i="12" s="1"/>
  <c r="L305" i="12" s="1"/>
  <c r="L306" i="12" s="1"/>
  <c r="L307" i="12" s="1"/>
  <c r="L308" i="12" s="1"/>
  <c r="L309" i="12" s="1"/>
  <c r="L310" i="12" s="1"/>
  <c r="L311" i="12" s="1"/>
  <c r="B22" i="3"/>
  <c r="L467" i="12"/>
  <c r="L468" i="12" s="1"/>
  <c r="L469" i="12" s="1"/>
  <c r="L470" i="12" s="1"/>
  <c r="L471" i="12" s="1"/>
  <c r="L472" i="12" s="1"/>
  <c r="L473" i="12" s="1"/>
  <c r="L474" i="12" s="1"/>
  <c r="L475" i="12" s="1"/>
  <c r="L476" i="12" s="1"/>
  <c r="L477" i="12" s="1"/>
  <c r="L478" i="12" s="1"/>
  <c r="L479" i="12" s="1"/>
  <c r="L480" i="12" s="1"/>
  <c r="B34" i="3"/>
  <c r="L899" i="12"/>
  <c r="L900" i="12" s="1"/>
  <c r="L901" i="12" s="1"/>
  <c r="L902" i="12" s="1"/>
  <c r="L903" i="12" s="1"/>
  <c r="L904" i="12" s="1"/>
  <c r="L905" i="12" s="1"/>
  <c r="L906" i="12" s="1"/>
  <c r="L907" i="12" s="1"/>
  <c r="L908" i="12" s="1"/>
  <c r="L909" i="12" s="1"/>
  <c r="L910" i="12" s="1"/>
  <c r="L911" i="12" s="1"/>
  <c r="B64" i="3"/>
  <c r="L774" i="12"/>
  <c r="L775" i="12" s="1"/>
  <c r="L776" i="12" s="1"/>
  <c r="L777" i="12" s="1"/>
  <c r="L778" i="12" s="1"/>
  <c r="L779" i="12" s="1"/>
  <c r="L780" i="12" s="1"/>
  <c r="L781" i="12" s="1"/>
  <c r="L782" i="12" s="1"/>
  <c r="L783" i="12" s="1"/>
  <c r="L784" i="12" s="1"/>
  <c r="L785" i="12" s="1"/>
  <c r="L786" i="12" s="1"/>
  <c r="B55" i="3"/>
  <c r="K454" i="12"/>
  <c r="K455" i="12" s="1"/>
  <c r="K456" i="12" s="1"/>
  <c r="K457" i="12" s="1"/>
  <c r="K458" i="12" s="1"/>
  <c r="K459" i="12" s="1"/>
  <c r="K460" i="12" s="1"/>
  <c r="K461" i="12" s="1"/>
  <c r="K462" i="12" s="1"/>
  <c r="K463" i="12" s="1"/>
  <c r="K464" i="12" s="1"/>
  <c r="K465" i="12" s="1"/>
  <c r="K466" i="12" s="1"/>
  <c r="A33" i="3"/>
  <c r="L787" i="12" l="1"/>
  <c r="L788" i="12" s="1"/>
  <c r="L789" i="12" s="1"/>
  <c r="L790" i="12" s="1"/>
  <c r="L791" i="12" s="1"/>
  <c r="L792" i="12" s="1"/>
  <c r="L793" i="12" s="1"/>
  <c r="L794" i="12" s="1"/>
  <c r="L795" i="12" s="1"/>
  <c r="L796" i="12" s="1"/>
  <c r="L797" i="12" s="1"/>
  <c r="B56" i="3"/>
  <c r="L912" i="12"/>
  <c r="L913" i="12" s="1"/>
  <c r="L914" i="12" s="1"/>
  <c r="L915" i="12" s="1"/>
  <c r="L916" i="12" s="1"/>
  <c r="L917" i="12" s="1"/>
  <c r="L918" i="12" s="1"/>
  <c r="L919" i="12" s="1"/>
  <c r="L920" i="12" s="1"/>
  <c r="L921" i="12" s="1"/>
  <c r="L922" i="12" s="1"/>
  <c r="L923" i="12" s="1"/>
  <c r="L924" i="12" s="1"/>
  <c r="B65" i="3"/>
  <c r="L481" i="12"/>
  <c r="L482" i="12" s="1"/>
  <c r="L483" i="12" s="1"/>
  <c r="L484" i="12" s="1"/>
  <c r="L485" i="12" s="1"/>
  <c r="L486" i="12" s="1"/>
  <c r="L487" i="12" s="1"/>
  <c r="L488" i="12" s="1"/>
  <c r="L489" i="12" s="1"/>
  <c r="L490" i="12" s="1"/>
  <c r="L491" i="12" s="1"/>
  <c r="L492" i="12" s="1"/>
  <c r="B35" i="3"/>
  <c r="K467" i="12"/>
  <c r="K468" i="12" s="1"/>
  <c r="K469" i="12" s="1"/>
  <c r="K470" i="12" s="1"/>
  <c r="K471" i="12" s="1"/>
  <c r="K472" i="12" s="1"/>
  <c r="K473" i="12" s="1"/>
  <c r="K474" i="12" s="1"/>
  <c r="K475" i="12" s="1"/>
  <c r="K476" i="12" s="1"/>
  <c r="K477" i="12" s="1"/>
  <c r="K478" i="12" s="1"/>
  <c r="K479" i="12" s="1"/>
  <c r="K480" i="12" s="1"/>
  <c r="A34" i="3"/>
  <c r="L493" i="12" l="1"/>
  <c r="L494" i="12" s="1"/>
  <c r="L495" i="12" s="1"/>
  <c r="L496" i="12" s="1"/>
  <c r="L497" i="12" s="1"/>
  <c r="L498" i="12" s="1"/>
  <c r="L499" i="12" s="1"/>
  <c r="L500" i="12" s="1"/>
  <c r="L501" i="12" s="1"/>
  <c r="L502" i="12" s="1"/>
  <c r="L503" i="12" s="1"/>
  <c r="L504" i="12" s="1"/>
  <c r="L505" i="12" s="1"/>
  <c r="B36" i="3"/>
  <c r="L925" i="12"/>
  <c r="L926" i="12" s="1"/>
  <c r="L927" i="12" s="1"/>
  <c r="L928" i="12" s="1"/>
  <c r="L929" i="12" s="1"/>
  <c r="L930" i="12" s="1"/>
  <c r="L931" i="12" s="1"/>
  <c r="L932" i="12" s="1"/>
  <c r="L933" i="12" s="1"/>
  <c r="L934" i="12" s="1"/>
  <c r="B66" i="3"/>
  <c r="K481" i="12"/>
  <c r="K482" i="12" s="1"/>
  <c r="K483" i="12" s="1"/>
  <c r="K484" i="12" s="1"/>
  <c r="K485" i="12" s="1"/>
  <c r="K486" i="12" s="1"/>
  <c r="K487" i="12" s="1"/>
  <c r="K488" i="12" s="1"/>
  <c r="K489" i="12" s="1"/>
  <c r="K490" i="12" s="1"/>
  <c r="K491" i="12" s="1"/>
  <c r="K492" i="12" s="1"/>
  <c r="A35" i="3"/>
  <c r="K493" i="12" l="1"/>
  <c r="K494" i="12" s="1"/>
  <c r="K495" i="12" s="1"/>
  <c r="K496" i="12" s="1"/>
  <c r="K497" i="12" s="1"/>
  <c r="K498" i="12" s="1"/>
  <c r="K499" i="12" s="1"/>
  <c r="K500" i="12" s="1"/>
  <c r="K501" i="12" s="1"/>
  <c r="K502" i="12" s="1"/>
  <c r="K503" i="12" s="1"/>
  <c r="K504" i="12" s="1"/>
  <c r="K505" i="12" s="1"/>
  <c r="A36" i="3"/>
  <c r="L506" i="12"/>
  <c r="L507" i="12" s="1"/>
  <c r="L508" i="12" s="1"/>
  <c r="L509" i="12" s="1"/>
  <c r="L510" i="12" s="1"/>
  <c r="L511" i="12" s="1"/>
  <c r="L512" i="12" s="1"/>
  <c r="L513" i="12" s="1"/>
  <c r="L514" i="12" s="1"/>
  <c r="L515" i="12" s="1"/>
  <c r="L516" i="12" s="1"/>
  <c r="L517" i="12" s="1"/>
  <c r="B37" i="3"/>
  <c r="K506" i="12" l="1"/>
  <c r="K507" i="12" s="1"/>
  <c r="K508" i="12" s="1"/>
  <c r="K509" i="12" s="1"/>
  <c r="K510" i="12" s="1"/>
  <c r="K511" i="12" s="1"/>
  <c r="K512" i="12" s="1"/>
  <c r="K513" i="12" s="1"/>
  <c r="K514" i="12" s="1"/>
  <c r="K515" i="12" s="1"/>
  <c r="K516" i="12" s="1"/>
  <c r="A37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T1" authorId="0" shapeId="0" xr:uid="{0FFC8904-19CE-4A6B-9995-E6C70D9612DC}">
      <text>
        <r>
          <rPr>
            <sz val="9"/>
            <color indexed="81"/>
            <rFont val="Tahoma"/>
            <family val="2"/>
          </rPr>
          <t>[NOTE]
0=Data belum dikonfirmasi
1=Data telah dikonfirmasi</t>
        </r>
      </text>
    </comment>
    <comment ref="U1" authorId="0" shapeId="0" xr:uid="{7EF7C959-1353-48B9-BDFB-F558CFC40374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Double Click untuk mencari referensi nama</t>
        </r>
      </text>
    </comment>
    <comment ref="V1" authorId="0" shapeId="0" xr:uid="{CC3BC4B3-1C43-4171-AC80-BB537FD024AD}">
      <text>
        <r>
          <rPr>
            <b/>
            <sz val="9"/>
            <color indexed="81"/>
            <rFont val="Tahoma"/>
            <charset val="1"/>
          </rPr>
          <t>NOTE:</t>
        </r>
        <r>
          <rPr>
            <sz val="9"/>
            <color indexed="81"/>
            <rFont val="Tahoma"/>
            <charset val="1"/>
          </rPr>
          <t xml:space="preserve">
Double Click untuk mencari referensi Buyer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888453-C1F4-4E36-9861-D9CF663A6EDF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63938206-ED4E-40B5-A290-ACFD709CEED4}" keepAlive="1" name="Query - Table001 (Page 1)" description="Connection to the 'Table001 (Page 1)' query in the workbook." type="5" refreshedVersion="0" background="1">
    <dbPr connection="Provider=Microsoft.Mashup.OleDb.1;Data Source=$Workbook$;Location=&quot;Table001 (Page 1)&quot;;Extended Properties=&quot;&quot;" command="SELECT * FROM [Table001 (Page 1)]"/>
  </connection>
  <connection id="3" xr16:uid="{BC43DD00-059A-46B3-A492-D50A911FB745}" keepAlive="1" name="Query - Table006 (Page 2)" description="Connection to the 'Table006 (Page 2)' query in the workbook." type="5" refreshedVersion="0" background="1">
    <dbPr connection="Provider=Microsoft.Mashup.OleDb.1;Data Source=$Workbook$;Location=&quot;Table006 (Page 2)&quot;;Extended Properties=&quot;&quot;" command="SELECT * FROM [Table006 (Page 2)]"/>
  </connection>
  <connection id="4" xr16:uid="{AAC08557-8CCB-4794-8666-D35140AC4484}" keepAlive="1" name="Query - Table008 (Page 3)" description="Connection to the 'Table008 (Page 3)' query in the workbook." type="5" refreshedVersion="0" background="1">
    <dbPr connection="Provider=Microsoft.Mashup.OleDb.1;Data Source=$Workbook$;Location=&quot;Table008 (Page 3)&quot;;Extended Properties=&quot;&quot;" command="SELECT * FROM [Table008 (Page 3)]"/>
  </connection>
</connections>
</file>

<file path=xl/sharedStrings.xml><?xml version="1.0" encoding="utf-8"?>
<sst xmlns="http://schemas.openxmlformats.org/spreadsheetml/2006/main" count="3697" uniqueCount="714">
  <si>
    <t>INV Number</t>
  </si>
  <si>
    <t>Invoice Date</t>
  </si>
  <si>
    <t>AWB</t>
  </si>
  <si>
    <t>Shipment Date</t>
  </si>
  <si>
    <t>Name Origin</t>
  </si>
  <si>
    <t>Fty Origin</t>
  </si>
  <si>
    <t>Name Destination</t>
  </si>
  <si>
    <t>Fty Destination</t>
  </si>
  <si>
    <t>Account (BDOR 720400, BDOIR 631100)</t>
  </si>
  <si>
    <t>Standard Charge</t>
  </si>
  <si>
    <t>Oversize piece</t>
  </si>
  <si>
    <t>Emergency Situation</t>
  </si>
  <si>
    <t>Fuel Surcharge</t>
  </si>
  <si>
    <t>Insurance</t>
  </si>
  <si>
    <t>Total</t>
  </si>
  <si>
    <t>Incl VAT</t>
  </si>
  <si>
    <t>Checking Status</t>
  </si>
  <si>
    <t>ENTITY</t>
  </si>
  <si>
    <t>VALUE</t>
  </si>
  <si>
    <t>870128687</t>
  </si>
  <si>
    <t>YAN LU</t>
  </si>
  <si>
    <t>SUMI/ MERCY / DIANA</t>
  </si>
  <si>
    <t>774438473160</t>
  </si>
  <si>
    <t>PT GISTEX GARMEN INDONESIA</t>
  </si>
  <si>
    <t>ZHONG</t>
  </si>
  <si>
    <t>NUNING</t>
  </si>
  <si>
    <t>774565991045</t>
  </si>
  <si>
    <t>LOXY SHANGHAI CO,,LTD</t>
  </si>
  <si>
    <t>PT. GISTEX GARMENT INDONESIA</t>
  </si>
  <si>
    <t>STELLA</t>
  </si>
  <si>
    <t>EKA</t>
  </si>
  <si>
    <t>774581911125</t>
  </si>
  <si>
    <t>NINGBO TWO BIRDS INDUSTRY CO.,</t>
  </si>
  <si>
    <t>PT.GISTEX GARMEN LNDONESIA</t>
  </si>
  <si>
    <t>870128688</t>
  </si>
  <si>
    <t>774552254122</t>
  </si>
  <si>
    <t>EKA / BAYU</t>
  </si>
  <si>
    <t>OGURA KENJI / HASHIMOTO KIMIE</t>
  </si>
  <si>
    <t>PT. GISTEX GARMEN INDONESIA</t>
  </si>
  <si>
    <t>MARUBENI FASHION LINK, LTD</t>
  </si>
  <si>
    <t>774580602869</t>
  </si>
  <si>
    <t>GISTEX GARMEN INDONESIA</t>
  </si>
  <si>
    <t>774582743257</t>
  </si>
  <si>
    <t>MS. MERCY</t>
  </si>
  <si>
    <t>MR SHEN YANG / MS ROSE</t>
  </si>
  <si>
    <t>JIANGSU TEXTILE INDUSTRY</t>
  </si>
  <si>
    <t>774582826496</t>
  </si>
  <si>
    <t>SARAH</t>
  </si>
  <si>
    <t>NINGBO SOCO TEXTILE STOCK CORP</t>
  </si>
  <si>
    <t>870138342</t>
  </si>
  <si>
    <t>774632987514</t>
  </si>
  <si>
    <t>870138343</t>
  </si>
  <si>
    <t>FION LEUNG</t>
  </si>
  <si>
    <t>774514292670</t>
  </si>
  <si>
    <t>J-LONG LTD</t>
  </si>
  <si>
    <t>870048771</t>
  </si>
  <si>
    <t>SHENYANG</t>
  </si>
  <si>
    <t>774194576473</t>
  </si>
  <si>
    <t>JIANGSU</t>
  </si>
  <si>
    <t>774216971908</t>
  </si>
  <si>
    <t>869971222</t>
  </si>
  <si>
    <t>773869351020</t>
  </si>
  <si>
    <t>CISSY</t>
  </si>
  <si>
    <t>SRI BUDIARTI</t>
  </si>
  <si>
    <t>773870191217</t>
  </si>
  <si>
    <t>JIANGSU GOLDEN AUTUMN ELASTIC</t>
  </si>
  <si>
    <t>MERCY/SUMI</t>
  </si>
  <si>
    <t>773884693621</t>
  </si>
  <si>
    <t>785740476670</t>
  </si>
  <si>
    <t>870148463</t>
  </si>
  <si>
    <t>774492822021</t>
  </si>
  <si>
    <t>HANFRIEND COLTD</t>
  </si>
  <si>
    <t>ULI</t>
  </si>
  <si>
    <t>PT. GISTEX GARMEN INDONESIA II</t>
  </si>
  <si>
    <t>774496252273</t>
  </si>
  <si>
    <t>MAXIMILIAN OBERHOFF</t>
  </si>
  <si>
    <t>ATTN: NUNING / SRI</t>
  </si>
  <si>
    <t>P.T. GISTEX GARMEN INDONESIA</t>
  </si>
  <si>
    <t>BAYU</t>
  </si>
  <si>
    <t>774608947549</t>
  </si>
  <si>
    <t>538683301873</t>
  </si>
  <si>
    <t>TONY WONG</t>
  </si>
  <si>
    <t>AVERY DENNISON (HONG KONG) LTD</t>
  </si>
  <si>
    <t>774634331161</t>
  </si>
  <si>
    <t>870148464</t>
  </si>
  <si>
    <t>774609920571</t>
  </si>
  <si>
    <t>774598274869</t>
  </si>
  <si>
    <t>774634936230</t>
  </si>
  <si>
    <t>MS.SHIRLY FANG</t>
  </si>
  <si>
    <t>774634958738</t>
  </si>
  <si>
    <t>870069727</t>
  </si>
  <si>
    <t>774251360505</t>
  </si>
  <si>
    <t>AGUSTINA FUNG FUNG/MERY/VIOLA</t>
  </si>
  <si>
    <t>PAUL OLSON</t>
  </si>
  <si>
    <t>RED WING SHOE COMPANY</t>
  </si>
  <si>
    <t>774271975344</t>
  </si>
  <si>
    <t>WINTA</t>
  </si>
  <si>
    <t>WINNIE CHOW</t>
  </si>
  <si>
    <t>HEXAPOLE COMPANY LIMITED</t>
  </si>
  <si>
    <t>774274161080</t>
  </si>
  <si>
    <t>ASANO/ YAMAZAKI</t>
  </si>
  <si>
    <t>MIYAMORI CO., LTD</t>
  </si>
  <si>
    <t>774271459653</t>
  </si>
  <si>
    <t>774291589065</t>
  </si>
  <si>
    <t>774306660341</t>
  </si>
  <si>
    <t>774306099460</t>
  </si>
  <si>
    <t>DIANA / LINDA</t>
  </si>
  <si>
    <t>MS. MIYAMURA</t>
  </si>
  <si>
    <t>SUNRICH MODE INC.</t>
  </si>
  <si>
    <t>774273481327</t>
  </si>
  <si>
    <t>DEREK SHANG</t>
  </si>
  <si>
    <t>SHAOXING RAYSAR TEXTILE CO.,LT</t>
  </si>
  <si>
    <t>774346736332</t>
  </si>
  <si>
    <t>774345930609</t>
  </si>
  <si>
    <t>870069728</t>
  </si>
  <si>
    <t>774327903444</t>
  </si>
  <si>
    <t>870072442</t>
  </si>
  <si>
    <t>774398472980</t>
  </si>
  <si>
    <t>870159593</t>
  </si>
  <si>
    <t>774713825922</t>
  </si>
  <si>
    <t>PT.GISTEX GARMEN INDONESIA</t>
  </si>
  <si>
    <t>870085656</t>
  </si>
  <si>
    <t>774381618321</t>
  </si>
  <si>
    <t>870163300</t>
  </si>
  <si>
    <t>774695421533</t>
  </si>
  <si>
    <t>774649725891</t>
  </si>
  <si>
    <t>870163301</t>
  </si>
  <si>
    <t>KIRSTIN SHENG</t>
  </si>
  <si>
    <t>AGUSTINA FUNG FUNG / YULI HART</t>
  </si>
  <si>
    <t>774679939072</t>
  </si>
  <si>
    <t>CHANGSHU BAOFENG SPECIAL FIBER</t>
  </si>
  <si>
    <t>870091402</t>
  </si>
  <si>
    <t>773550803405</t>
  </si>
  <si>
    <t>GISTEX GARMEN INDONESIA PT</t>
  </si>
  <si>
    <t>774365555030</t>
  </si>
  <si>
    <t>SRI/NUNING</t>
  </si>
  <si>
    <t>870091403</t>
  </si>
  <si>
    <t>774366065088</t>
  </si>
  <si>
    <t>774366629259</t>
  </si>
  <si>
    <t>774398794300</t>
  </si>
  <si>
    <t>774365282079</t>
  </si>
  <si>
    <t>TODD GANSLUCKNER</t>
  </si>
  <si>
    <t>774397920487</t>
  </si>
  <si>
    <t>774399685776</t>
  </si>
  <si>
    <t>774421829468</t>
  </si>
  <si>
    <t>870093989</t>
  </si>
  <si>
    <t>870111817</t>
  </si>
  <si>
    <t>774475073999</t>
  </si>
  <si>
    <t>870111818</t>
  </si>
  <si>
    <t>774458508594</t>
  </si>
  <si>
    <t>774456317101</t>
  </si>
  <si>
    <t>787993428533</t>
  </si>
  <si>
    <t>774457287395</t>
  </si>
  <si>
    <t>774494944135</t>
  </si>
  <si>
    <t>774532877779</t>
  </si>
  <si>
    <t>774535001793</t>
  </si>
  <si>
    <t>774535060851</t>
  </si>
  <si>
    <t>STELLA GAO/LENA /CHERRY</t>
  </si>
  <si>
    <t>MERCY /SUMI/GITA</t>
  </si>
  <si>
    <t>SHAOXING YMYSI IMPORTEXPORT</t>
  </si>
  <si>
    <t/>
  </si>
  <si>
    <t>FULL PATH (File Hasil Ekstrak)</t>
  </si>
  <si>
    <t>-</t>
  </si>
  <si>
    <t>\\10.8.0.35\Bersama\IT\Macro Record Projects\MASTER BACKUP\MACRO - Konfirmasi FEDEX\.bahan\HasilExtract 2.xlsx</t>
  </si>
  <si>
    <t>47.0</t>
  </si>
  <si>
    <t>122.5</t>
  </si>
  <si>
    <t>0.5</t>
  </si>
  <si>
    <t>0.1</t>
  </si>
  <si>
    <t>0.4</t>
  </si>
  <si>
    <t>21.0</t>
  </si>
  <si>
    <t>155.4</t>
  </si>
  <si>
    <t>2.3</t>
  </si>
  <si>
    <t>51.0</t>
  </si>
  <si>
    <t>28.1</t>
  </si>
  <si>
    <t>1.1</t>
  </si>
  <si>
    <t>7.2</t>
  </si>
  <si>
    <t>12.5</t>
  </si>
  <si>
    <t>1.2</t>
  </si>
  <si>
    <t>1.9</t>
  </si>
  <si>
    <t>2.1</t>
  </si>
  <si>
    <t>12.4</t>
  </si>
  <si>
    <t>11.7</t>
  </si>
  <si>
    <t>1.0</t>
  </si>
  <si>
    <t>3.8</t>
  </si>
  <si>
    <t>28.8</t>
  </si>
  <si>
    <t>120.1</t>
  </si>
  <si>
    <t>75.9</t>
  </si>
  <si>
    <t>1.3</t>
  </si>
  <si>
    <t>1.4</t>
  </si>
  <si>
    <t>13.2</t>
  </si>
  <si>
    <t>0.2</t>
  </si>
  <si>
    <t>2.2</t>
  </si>
  <si>
    <t>0.8</t>
  </si>
  <si>
    <t>Weight (Kg)</t>
  </si>
  <si>
    <t>Synta</t>
  </si>
  <si>
    <t>Linda</t>
  </si>
  <si>
    <t>Mercy</t>
  </si>
  <si>
    <t>FULL PATH (File KonfirmasiData_FEDEX)</t>
  </si>
  <si>
    <t>\\10.8.0.35\Bersama\IT\Macro Record Projects\MASTER BACKUP\MACRO - Konfirmasi FEDEX\Macro\Hasil Pengolahan Macro\KonfirmasiData_FEDEX.xlsm</t>
  </si>
  <si>
    <t>Dummy: Count InvNum</t>
  </si>
  <si>
    <t>Dummy: Count AWB</t>
  </si>
  <si>
    <t>Confirm by</t>
  </si>
  <si>
    <t xml:space="preserve">Order       </t>
  </si>
  <si>
    <t xml:space="preserve">Debit Note    </t>
  </si>
  <si>
    <t>Adidas SMS</t>
  </si>
  <si>
    <t>Eka</t>
  </si>
  <si>
    <t>NISHIMATSUYA</t>
  </si>
  <si>
    <t>DOUBLE INPUT</t>
  </si>
  <si>
    <t>Miyamori</t>
  </si>
  <si>
    <t>Bonjoyfull-Marusa</t>
  </si>
  <si>
    <t>1201.720400</t>
  </si>
  <si>
    <r>
      <rPr>
        <b/>
        <i/>
        <u/>
        <sz val="9"/>
        <color theme="2" tint="-0.499984740745262"/>
        <rFont val="Calibri"/>
        <family val="2"/>
        <scheme val="minor"/>
      </rPr>
      <t>Pengaturan</t>
    </r>
    <r>
      <rPr>
        <i/>
        <sz val="8"/>
        <color theme="0" tint="-0.14999847407452621"/>
        <rFont val="Calibri"/>
        <family val="2"/>
        <scheme val="minor"/>
      </rPr>
      <t xml:space="preserve"> ΞΞΞΞΞΞΞΞΞΞΞΞΞΞΞΞΞΞΞΞΞΞΞΞΞΞΞΞΞΞΞΞΞΞΞΞΞΞΞΞΞΞΞΞΞΞΞΞΞΞΞΞΞΞΞΞΞΞΞΞΞΞΞΞΞΞΞΞΞΞΞΞΞΞΞΞΞΞΞΞΞΞΞΞΞΞΞΞΞΞΞΞΞΞΞΞΞΞΞΞΞΞΞΞΞΞΞΞ</t>
    </r>
  </si>
  <si>
    <t>Account (BDOR 720400, BDOIR 630530)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</si>
  <si>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</si>
  <si>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</si>
  <si>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</si>
  <si>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</si>
  <si>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</si>
  <si>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</si>
  <si>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</si>
  <si>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</si>
  <si>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Invoice Number:</t>
  </si>
  <si>
    <t>Invoice Date:</t>
  </si>
  <si>
    <t>03 Jan 2024</t>
  </si>
  <si>
    <t>Account Number:</t>
  </si>
  <si>
    <t>XXXXX8005</t>
  </si>
  <si>
    <t>Ship Date</t>
  </si>
  <si>
    <t>12/13/2023</t>
  </si>
  <si>
    <t>Sender (KNCA)</t>
  </si>
  <si>
    <t>Recipient (BDOT8)</t>
  </si>
  <si>
    <t>Tendered Date</t>
  </si>
  <si>
    <t>12/12/2023</t>
  </si>
  <si>
    <t>Air Waybill Number</t>
  </si>
  <si>
    <t>Service Type</t>
  </si>
  <si>
    <t>IE</t>
  </si>
  <si>
    <t>NO.1128 ZHENNAN ROAD ZHENMEN M</t>
  </si>
  <si>
    <t>BLOK PAJAGAN RT 01 / RW 01</t>
  </si>
  <si>
    <t>Pieces</t>
  </si>
  <si>
    <t>1</t>
  </si>
  <si>
    <t>CHANGSHU CN 215514</t>
  </si>
  <si>
    <t>DESA SINARJATI,DAWUAN</t>
  </si>
  <si>
    <t>Weight</t>
  </si>
  <si>
    <t>47.0 kg</t>
  </si>
  <si>
    <t>MAJALENGKA</t>
  </si>
  <si>
    <t>ID 45453</t>
  </si>
  <si>
    <t>Bill To</t>
  </si>
  <si>
    <t>Consignee</t>
  </si>
  <si>
    <t>Shipper Reference</t>
  </si>
  <si>
    <t>Freight Charges</t>
  </si>
  <si>
    <t>Delivery Information</t>
  </si>
  <si>
    <t>12/22/2023 14:02</t>
  </si>
  <si>
    <t>Discounts</t>
  </si>
  <si>
    <t>Base Discount</t>
  </si>
  <si>
    <t>B.ILLY</t>
  </si>
  <si>
    <t>Other Charges</t>
  </si>
  <si>
    <t>Oversize Charge</t>
  </si>
  <si>
    <t>Dimension</t>
  </si>
  <si>
    <t>80x18x10inch</t>
  </si>
  <si>
    <t>Out of Delivery Area Tier B</t>
  </si>
  <si>
    <t>Additional Handling Chg - Weight</t>
  </si>
  <si>
    <t>Demand Surcharge</t>
  </si>
  <si>
    <t>Indonesia VAT (1.1%)</t>
  </si>
  <si>
    <t>FedEx has applied a fuel surcharge of 28.50 % to this shipment.</t>
  </si>
  <si>
    <t>We calculated your charges based on a dimensional weight of 47.0 kg.</t>
  </si>
  <si>
    <t>12/23/2023</t>
  </si>
  <si>
    <t>Sender (KOWA)</t>
  </si>
  <si>
    <t>12/22/2023</t>
  </si>
  <si>
    <t>9F,B2BUILDING,29#HUASHEN ROAD</t>
  </si>
  <si>
    <t>JI. PANYAWUNGAN KM.19 CILEUNYI</t>
  </si>
  <si>
    <t>8</t>
  </si>
  <si>
    <t>WAIGAOQIAO FTZ</t>
  </si>
  <si>
    <t>BANDUNG-JAWA BARAT</t>
  </si>
  <si>
    <t>122.5 kg</t>
  </si>
  <si>
    <t>SHANGHAI CN 200131</t>
  </si>
  <si>
    <t>BANDUNG</t>
  </si>
  <si>
    <t>ID 40622</t>
  </si>
  <si>
    <t>12/28/2023 14:45</t>
  </si>
  <si>
    <t>R.INI</t>
  </si>
  <si>
    <t>Sender (NGBA)</t>
  </si>
  <si>
    <t>2P PAK</t>
  </si>
  <si>
    <t>MH BLDG., #18, NING NAN NORTH</t>
  </si>
  <si>
    <t>J.PANYAWUNGAN KM.19CILEUNYI</t>
  </si>
  <si>
    <t>NINGBO</t>
  </si>
  <si>
    <t>CN 315192</t>
  </si>
  <si>
    <t>ID 40393</t>
  </si>
  <si>
    <t>0.5 kg</t>
  </si>
  <si>
    <t>Bill To
Shipper Reference</t>
  </si>
  <si>
    <t>12/27/2023 19:44</t>
  </si>
  <si>
    <t>E.DI</t>
  </si>
  <si>
    <t>12/20/2023</t>
  </si>
  <si>
    <t>Sender (BDOT8)</t>
  </si>
  <si>
    <t>Recipient (OSAT8)</t>
  </si>
  <si>
    <t>2P ENV</t>
  </si>
  <si>
    <t>JL. PANYAWUNGAN KM. 19</t>
  </si>
  <si>
    <t>2-1 DOJIMAHAMA 1-CHOME KITA-KU</t>
  </si>
  <si>
    <t>0.1 kg</t>
  </si>
  <si>
    <t>CILEUNYI</t>
  </si>
  <si>
    <t>OSAKA-SHI KITA-KU</t>
  </si>
  <si>
    <t>JP 5300000</t>
  </si>
  <si>
    <t>Shipper</t>
  </si>
  <si>
    <t>BANDUNG ID 40393</t>
  </si>
  <si>
    <t>12/22/2023 14:21
X.OKUTANI</t>
  </si>
  <si>
    <t>FedEx has applied a fuel surcharge of 27.00 % to this shipment.</t>
  </si>
  <si>
    <t>0.4 kg</t>
  </si>
  <si>
    <t>MS. MIYANO KYOKA</t>
  </si>
  <si>
    <t>12/25/2023 14:14
X.YAMAMOTO</t>
  </si>
  <si>
    <t>Recipient (NKGA)</t>
  </si>
  <si>
    <t>ROOM 217, LONG PAN ZHONG ROAD</t>
  </si>
  <si>
    <t>NO.29 JIANGSU, NANJING, CHINA</t>
  </si>
  <si>
    <t>NANJING</t>
  </si>
  <si>
    <t>CN 210002</t>
  </si>
  <si>
    <t>12/27/2023 16:19
S.HENYANG</t>
  </si>
  <si>
    <t>Recipient (NGBA)</t>
  </si>
  <si>
    <t>A06, 15F, WORLD TRADE CENTER,</t>
  </si>
  <si>
    <t>NO.29, DONGDU ROAD,</t>
  </si>
  <si>
    <t>CN 315000</t>
  </si>
  <si>
    <t>12/27/2023 12:18</t>
  </si>
  <si>
    <t>S.CHEN</t>
  </si>
  <si>
    <t>05 Jan 2024</t>
  </si>
  <si>
    <t>12/29/2023</t>
  </si>
  <si>
    <t>Customs Entry Date</t>
  </si>
  <si>
    <t>01/04/2024</t>
  </si>
  <si>
    <t>2P</t>
  </si>
  <si>
    <t>21.0 kg</t>
  </si>
  <si>
    <t>MR. OGURA KENJI</t>
  </si>
  <si>
    <t>VAT/Consumption Tax</t>
  </si>
  <si>
    <t>411,961</t>
  </si>
  <si>
    <t>01/04/2024 :</t>
  </si>
  <si>
    <t>Duty Disbursement Fee</t>
  </si>
  <si>
    <t>111,340</t>
  </si>
  <si>
    <t>5,756</t>
  </si>
  <si>
    <t>FedEx Reference</t>
  </si>
  <si>
    <t>JPN10983203220</t>
  </si>
  <si>
    <t>529,057</t>
  </si>
  <si>
    <t>12/18/2023</t>
  </si>
  <si>
    <t>Sender (HKGA)</t>
  </si>
  <si>
    <t>FLAT E-F, 8/F, HOUSTON IND. BL</t>
  </si>
  <si>
    <t>JLN.RAYA BANDUNG CIREBON DESA</t>
  </si>
  <si>
    <t>6</t>
  </si>
  <si>
    <t>32-40 WANG LUNG ST.,</t>
  </si>
  <si>
    <t>SINARJATI RT 01 RW 01 KECAMATA</t>
  </si>
  <si>
    <t>155.4 kg</t>
  </si>
  <si>
    <t>TSUEN WAN, N.T.</t>
  </si>
  <si>
    <t>HK</t>
  </si>
  <si>
    <t>Bill To
Shipper Reference
Delivery Information</t>
  </si>
  <si>
    <t>Duty &amp; Tax</t>
  </si>
  <si>
    <t>25,208,000</t>
  </si>
  <si>
    <t>Storage Fee</t>
  </si>
  <si>
    <t>2,532,000</t>
  </si>
  <si>
    <t>Processing Fee</t>
  </si>
  <si>
    <t>50,000</t>
  </si>
  <si>
    <t>FDX00000000314</t>
  </si>
  <si>
    <t>630,200</t>
  </si>
  <si>
    <t>35,334</t>
  </si>
  <si>
    <t>28,455,534</t>
  </si>
  <si>
    <t>06 Dec 2023</t>
  </si>
  <si>
    <t>11/23/2023</t>
  </si>
  <si>
    <t>Sender (NKGA)</t>
  </si>
  <si>
    <t>11/22/2023</t>
  </si>
  <si>
    <t>MERCY /</t>
  </si>
  <si>
    <t>SUMI/GITA</t>
  </si>
  <si>
    <t>ROOM 217 ,LONG PAN ZHONG ROAD</t>
  </si>
  <si>
    <t>JL PANYAWUNGAN KM 19 CILEUNYI</t>
  </si>
  <si>
    <t>NO.29 JIANG SU ,NANJING, CHINA</t>
  </si>
  <si>
    <t>BANDUNG 40393</t>
  </si>
  <si>
    <t>NANJING CN 210002</t>
  </si>
  <si>
    <t>11/27/2023 14:23</t>
  </si>
  <si>
    <t>FedEx has applied a fuel surcharge of 30.50 % to this shipment.</t>
  </si>
  <si>
    <t>11/25/2023</t>
  </si>
  <si>
    <t>11/24/2023</t>
  </si>
  <si>
    <t>2.3 kg</t>
  </si>
  <si>
    <t>11/30/2023 14:12</t>
  </si>
  <si>
    <t>08 Nov 2023</t>
  </si>
  <si>
    <t>10/27/2023</t>
  </si>
  <si>
    <t>10/26/2023</t>
  </si>
  <si>
    <t>IE PAK</t>
  </si>
  <si>
    <t>10/30/2023 14:03</t>
  </si>
  <si>
    <t>FedEx has applied a fuel surcharge of 30.00 % to this shipment.</t>
  </si>
  <si>
    <t>Sender (NTGA)</t>
  </si>
  <si>
    <t>NO301CHENG GANG ROAD</t>
  </si>
  <si>
    <t>JL. PANYAWUNGAN KM.19 CILEUNYI</t>
  </si>
  <si>
    <t>NANTONG CN 226002</t>
  </si>
  <si>
    <t>10/28/2023</t>
  </si>
  <si>
    <t>IE ENV</t>
  </si>
  <si>
    <t>JL. PANYAWUNGAN KM 19 CILEUNYI</t>
  </si>
  <si>
    <t>INDONESIA</t>
  </si>
  <si>
    <t>11/01/2023 19:00</t>
  </si>
  <si>
    <t>11/01/2023</t>
  </si>
  <si>
    <t>10/31/2023</t>
  </si>
  <si>
    <t>11/03/2023 19:47</t>
  </si>
  <si>
    <t>10 Jan 2024</t>
  </si>
  <si>
    <t>12/15/2023</t>
  </si>
  <si>
    <t>Sender (TSAA)</t>
  </si>
  <si>
    <t>4</t>
  </si>
  <si>
    <t>5F,NO. 54,DAAN ST,XIZHI DIST,N</t>
  </si>
  <si>
    <t>BLOK PAJAGAN RT.01/RW.01</t>
  </si>
  <si>
    <t>51.0 kg</t>
  </si>
  <si>
    <t>TAIPEI CITY, TAIWAN 22178</t>
  </si>
  <si>
    <t>DS. SINAR JATI KEC.DAWUAN</t>
  </si>
  <si>
    <t>NEW TAIPEI CITY TW 22178</t>
  </si>
  <si>
    <t>12/28/2023 13:57
PT. GISTEX G</t>
  </si>
  <si>
    <t>Discounts Base Discount</t>
  </si>
  <si>
    <t>Other Charges Fuel Surcharge</t>
  </si>
  <si>
    <t>Package Details</t>
  </si>
  <si>
    <t>Tracking ID</t>
  </si>
  <si>
    <t>Rated Weight</t>
  </si>
  <si>
    <t>Rated Weight Type</t>
  </si>
  <si>
    <t>8.8 kg</t>
  </si>
  <si>
    <t>FedEx captured weight</t>
  </si>
  <si>
    <t>774492822032</t>
  </si>
  <si>
    <t>13.3 kg</t>
  </si>
  <si>
    <t>774492822043</t>
  </si>
  <si>
    <t>774492822054</t>
  </si>
  <si>
    <t>15.6 kg</t>
  </si>
  <si>
    <t>Sender (QKFA)</t>
  </si>
  <si>
    <t>KIRCHHOFSTRASSE 52</t>
  </si>
  <si>
    <t>28.1 kg</t>
  </si>
  <si>
    <t>WUPPERTAL NW DE 42327</t>
  </si>
  <si>
    <t>JAWA BARAT</t>
  </si>
  <si>
    <t>Shipper Reference
Delivery Information</t>
  </si>
  <si>
    <t>RE 5033-3
12/26/2023 14:08
R.INI</t>
  </si>
  <si>
    <t>9.3 kg</t>
  </si>
  <si>
    <t>774496252284</t>
  </si>
  <si>
    <t>5.3 kg</t>
  </si>
  <si>
    <t>774496252295</t>
  </si>
  <si>
    <t>4.5 kg</t>
  </si>
  <si>
    <t>774496252300</t>
  </si>
  <si>
    <t>9.0 kg</t>
  </si>
  <si>
    <t>12/28/2023</t>
  </si>
  <si>
    <t>12/27/2023</t>
  </si>
  <si>
    <t>01/05/2024 20:49</t>
  </si>
  <si>
    <t>FedEx has applied a fuel surcharge of 26.50 % to this shipment.</t>
  </si>
  <si>
    <t>Sender (HHKA)</t>
  </si>
  <si>
    <t>NO.7, CHUN YING STREET, 1/F</t>
  </si>
  <si>
    <t>JL. PANYAWUNGAN KM 19</t>
  </si>
  <si>
    <t>1.1 kg</t>
  </si>
  <si>
    <t>TSEUNG KWAN O INUSTRIAL ESTATE</t>
  </si>
  <si>
    <t>NEW TERRITORIES</t>
  </si>
  <si>
    <t>HK 190</t>
  </si>
  <si>
    <t>S2686(EL)</t>
  </si>
  <si>
    <t>01/04/2024 14:07
R.INI</t>
  </si>
  <si>
    <t>13x9x3inch</t>
  </si>
  <si>
    <t>We calculated your charges based on a dimensional weight of 1.1 kg.</t>
  </si>
  <si>
    <t>12/30/2023</t>
  </si>
  <si>
    <t>01/03/2024 19:49</t>
  </si>
  <si>
    <t>MR. OGURA KENJI
01/04/2024 14:47
X.OHYAMA</t>
  </si>
  <si>
    <t>01/04/2024 14:47
X.OHYAMA</t>
  </si>
  <si>
    <t>26x19x13inch</t>
  </si>
  <si>
    <t>We calculated your charges based on a dimensional weight of 21.0 kg.</t>
  </si>
  <si>
    <t>MS. MIYANO KYOKA
01/04/2024 14:47
X.OHYAMA</t>
  </si>
  <si>
    <t>Recipient (SHSA)</t>
  </si>
  <si>
    <t>SHAOXING YMYSI IMPORT</t>
  </si>
  <si>
    <t>EXPORT</t>
  </si>
  <si>
    <t>3RD FLOW,3#B/D NO.68 XINGPU RO</t>
  </si>
  <si>
    <t>QIXIAN INDUSTRIAL,KEQIAO,ZHEJI</t>
  </si>
  <si>
    <t>SHAOXING</t>
  </si>
  <si>
    <t>CN 312030</t>
  </si>
  <si>
    <t>01/03/2024 11:15
F.ANG</t>
  </si>
  <si>
    <t>01/05/2024 12:07
B.ENSFZ</t>
  </si>
  <si>
    <t>13 Dec 2023</t>
  </si>
  <si>
    <t>11/29/2023</t>
  </si>
  <si>
    <t>Recipient (BLDA)</t>
  </si>
  <si>
    <t>2A</t>
  </si>
  <si>
    <t>RED ROCK CASINO RESORT SPA</t>
  </si>
  <si>
    <t>7.2 kg</t>
  </si>
  <si>
    <t>11011 W CHARLESTON BOULEVARD</t>
  </si>
  <si>
    <t>LAS VEGAS NV US 89135</t>
  </si>
  <si>
    <t>12/01/2023 10:52
D.DOUG</t>
  </si>
  <si>
    <t>6,632,000</t>
  </si>
  <si>
    <t>(5,415,691)</t>
  </si>
  <si>
    <t>407,574</t>
  </si>
  <si>
    <t>120,000</t>
  </si>
  <si>
    <t>19,182</t>
  </si>
  <si>
    <t>1,763,065</t>
  </si>
  <si>
    <t>FedEx captured Dim weight (20x16x1inch)</t>
  </si>
  <si>
    <t>774251360516</t>
  </si>
  <si>
    <t>774251360527</t>
  </si>
  <si>
    <t>774251360538</t>
  </si>
  <si>
    <t>774251360549</t>
  </si>
  <si>
    <t>FedEx captured Dim weight (21x17x2inch)</t>
  </si>
  <si>
    <t>774251360550</t>
  </si>
  <si>
    <t>Recipient (HKGA)</t>
  </si>
  <si>
    <t>2A PAK</t>
  </si>
  <si>
    <t>37TH FLOOR, ASIA TRADE CENTRE</t>
  </si>
  <si>
    <t>79 LEI MUK ROAD, KWAI CHUNG</t>
  </si>
  <si>
    <t>KWAI CHUNG HK</t>
  </si>
  <si>
    <t>12/01/2023 15:37</t>
  </si>
  <si>
    <t>692,000</t>
  </si>
  <si>
    <t>(563,495)</t>
  </si>
  <si>
    <t>44,074</t>
  </si>
  <si>
    <t>Demand Surcharge 16,000</t>
  </si>
  <si>
    <t>2,074</t>
  </si>
  <si>
    <t>190,653</t>
  </si>
  <si>
    <t>Recipient (TSJX)</t>
  </si>
  <si>
    <t>208 HANYU, OYABE CITY</t>
  </si>
  <si>
    <t>TOYAMA PREF</t>
  </si>
  <si>
    <t>OYABE-SHI JP 9328588</t>
  </si>
  <si>
    <t>12/05/2023 14:16</t>
  </si>
  <si>
    <t>738,000</t>
  </si>
  <si>
    <t>..MIYAMORI</t>
  </si>
  <si>
    <t>(549,293)</t>
  </si>
  <si>
    <t>Out of Delivery Area Tier B 295,000</t>
  </si>
  <si>
    <t>152,410</t>
  </si>
  <si>
    <t>16,000</t>
  </si>
  <si>
    <t>7,173</t>
  </si>
  <si>
    <t>659,290</t>
  </si>
  <si>
    <t>2P BOX</t>
  </si>
  <si>
    <t>12.5 kg</t>
  </si>
  <si>
    <t>MR. OGURA KENJI
12/04/2023 13:24
X.YAMAMOTO</t>
  </si>
  <si>
    <t>7,325,000</t>
  </si>
  <si>
    <t>(6,098,062)</t>
  </si>
  <si>
    <t>17x15x15inch</t>
  </si>
  <si>
    <t>435,216</t>
  </si>
  <si>
    <t>200,000</t>
  </si>
  <si>
    <t>20,483</t>
  </si>
  <si>
    <t>1,882,637</t>
  </si>
  <si>
    <t>11/30/2023</t>
  </si>
  <si>
    <t>MR. OGURA KENJI
12/04/2023 15:29
M.HGASHI</t>
  </si>
  <si>
    <t>12/01/2023</t>
  </si>
  <si>
    <t>1.2 kg</t>
  </si>
  <si>
    <t>KWAI CHUNG</t>
  </si>
  <si>
    <t>12/04/2023 15:28</t>
  </si>
  <si>
    <t>Recipient (CTST8)</t>
  </si>
  <si>
    <t>5F SEGI BLD. 1-7-1, IWAMOTO-CH</t>
  </si>
  <si>
    <t>1.9 kg</t>
  </si>
  <si>
    <t>CHIYODA-KU</t>
  </si>
  <si>
    <t>TOKYO-CHIYODA-KU</t>
  </si>
  <si>
    <t>JP 1010032</t>
  </si>
  <si>
    <t>12/05/2023 13:21
W.TAGUCHI</t>
  </si>
  <si>
    <t>35x30x9cm</t>
  </si>
  <si>
    <t>We calculated your charges based on a dimensional weight of 1.9 kg.</t>
  </si>
  <si>
    <t>8011,BLOK A,BUILDING NO.10#,</t>
  </si>
  <si>
    <t>EST CREATIVE PARK,KEQIAO</t>
  </si>
  <si>
    <t>ZHEJIANG</t>
  </si>
  <si>
    <t>CN 312000</t>
  </si>
  <si>
    <t>12/06/2023 15:26</t>
  </si>
  <si>
    <t>S.SHANG</t>
  </si>
  <si>
    <t>12/05/2023</t>
  </si>
  <si>
    <t>2.1 kg</t>
  </si>
  <si>
    <t>12/07/2023 11:07
M.ZKG</t>
  </si>
  <si>
    <t>FedEx has applied a fuel surcharge of 29.50 % to this shipment.</t>
  </si>
  <si>
    <t>12/07/2023 13:12
Y.YAMAMOTO</t>
  </si>
  <si>
    <t>12/04/2023</t>
  </si>
  <si>
    <t>12/07/2023 14:06</t>
  </si>
  <si>
    <t>12/08/2023</t>
  </si>
  <si>
    <t>12/11/2023</t>
  </si>
  <si>
    <t>12.4 kg</t>
  </si>
  <si>
    <t>109,539</t>
  </si>
  <si>
    <t>JPN10902915650</t>
  </si>
  <si>
    <t>3,614</t>
  </si>
  <si>
    <t>332,231</t>
  </si>
  <si>
    <t>15 Jan 2024</t>
  </si>
  <si>
    <t>01/08/2024</t>
  </si>
  <si>
    <t>01/10/2024</t>
  </si>
  <si>
    <t>11.7 kg</t>
  </si>
  <si>
    <t>BANDUNG ID 40394</t>
  </si>
  <si>
    <t>208,283</t>
  </si>
  <si>
    <t>01/10/2024 :</t>
  </si>
  <si>
    <t>109,622</t>
  </si>
  <si>
    <t>JPN10007582900</t>
  </si>
  <si>
    <t>5,788</t>
  </si>
  <si>
    <t>531,976</t>
  </si>
  <si>
    <t>18 Dec 2023</t>
  </si>
  <si>
    <t>12/07/2023</t>
  </si>
  <si>
    <t>1.0 kg</t>
  </si>
  <si>
    <t>MAJALENGKA ID 45453</t>
  </si>
  <si>
    <t>Duty &amp; Tax 368,428</t>
  </si>
  <si>
    <t>12/11/2023 15:40</t>
  </si>
  <si>
    <t>Processing Fee 50,000</t>
  </si>
  <si>
    <t>PA ENDANG</t>
  </si>
  <si>
    <t>Duty Disbursement Fee 150,000</t>
  </si>
  <si>
    <t>FDX00000000195</t>
  </si>
  <si>
    <t>2,200</t>
  </si>
  <si>
    <t>17 Jan 2024</t>
  </si>
  <si>
    <t>01/05/2024</t>
  </si>
  <si>
    <t>3.8 kg</t>
  </si>
  <si>
    <t>01/08/2024 14:33
M.ZKG</t>
  </si>
  <si>
    <t>15x13x6inch</t>
  </si>
  <si>
    <t>We calculated your charges based on a dimensional weight of 3.8 kg.</t>
  </si>
  <si>
    <t>MR. OGURA KENJI
01/09/2024 14:50
X.YAMAMOTO</t>
  </si>
  <si>
    <t>01/10/2024 13:31
X.OKUTANI</t>
  </si>
  <si>
    <t>43x37x37cm</t>
  </si>
  <si>
    <t>NO.112 ZHIMEI ROAD,</t>
  </si>
  <si>
    <t>2</t>
  </si>
  <si>
    <t>MEILI TOWN</t>
  </si>
  <si>
    <t>BANDUNG,WEST JAVA</t>
  </si>
  <si>
    <t>28.8 kg</t>
  </si>
  <si>
    <t>CHANGSHU CN 215511</t>
  </si>
  <si>
    <t>11,687,000</t>
  </si>
  <si>
    <t>01/10/2024 14:27</t>
  </si>
  <si>
    <t>(9,536,592)</t>
  </si>
  <si>
    <t>745,106</t>
  </si>
  <si>
    <t>464,000</t>
  </si>
  <si>
    <t>36,954</t>
  </si>
  <si>
    <t>3,396,468</t>
  </si>
  <si>
    <t>20 Dec 2023</t>
  </si>
  <si>
    <t>09/27/2023</t>
  </si>
  <si>
    <t>7</t>
  </si>
  <si>
    <t>JALAN HEGARMANAH NO.5</t>
  </si>
  <si>
    <t>120.1 kg</t>
  </si>
  <si>
    <t>RT 002 RW 003 HEGARMANAH</t>
  </si>
  <si>
    <t>ID 40141</t>
  </si>
  <si>
    <t>10/02/2023 13:14
Y.AYAT</t>
  </si>
  <si>
    <t>Rebill Reason</t>
  </si>
  <si>
    <t>Rebill per shipper request</t>
  </si>
  <si>
    <t>FedEx has applied a fuel surcharge of 32.50 % to this shipment.</t>
  </si>
  <si>
    <t>20.2 kg</t>
  </si>
  <si>
    <t>773550803416</t>
  </si>
  <si>
    <t>17.7 kg</t>
  </si>
  <si>
    <t>773550803427</t>
  </si>
  <si>
    <t>12.2 kg</t>
  </si>
  <si>
    <t>773550803438</t>
  </si>
  <si>
    <t>14.7 kg</t>
  </si>
  <si>
    <t>773550803449</t>
  </si>
  <si>
    <t>18.0 kg</t>
  </si>
  <si>
    <t>773550803450</t>
  </si>
  <si>
    <t>16.8 kg</t>
  </si>
  <si>
    <t>773550803460</t>
  </si>
  <si>
    <t>20.5 kg</t>
  </si>
  <si>
    <t>12/06/2023</t>
  </si>
  <si>
    <t>3</t>
  </si>
  <si>
    <t>75.9 kg</t>
  </si>
  <si>
    <t>12/13/2023 11:37</t>
  </si>
  <si>
    <t>15.7 kg</t>
  </si>
  <si>
    <t>774365555040</t>
  </si>
  <si>
    <t>30.1 kg</t>
  </si>
  <si>
    <t>774365555051</t>
  </si>
  <si>
    <t>MS. MIYANO KYOKA
12/08/2023 13:02
X.ASANO</t>
  </si>
  <si>
    <t>12/11/2023 10:45
F.ANG</t>
  </si>
  <si>
    <t>1.3 kg</t>
  </si>
  <si>
    <t>12/11/2023 15:44</t>
  </si>
  <si>
    <t>Recipient (EAUA)</t>
  </si>
  <si>
    <t>W1446 145TH AVE</t>
  </si>
  <si>
    <t>MAIDEN ROCK, WI 54750</t>
  </si>
  <si>
    <t>MAIDEN ROCK WI US 54750</t>
  </si>
  <si>
    <t>12/12/2023 14:07</t>
  </si>
  <si>
    <t>Out of Delivery Area Tier A</t>
  </si>
  <si>
    <t>1.4 kg</t>
  </si>
  <si>
    <t>MS. MIYANO KYOKA
12/12/2023 13:45
H.OYAMA</t>
  </si>
  <si>
    <t>13.2 kg</t>
  </si>
  <si>
    <t>12/12/2023 13:45
H.OYAMA</t>
  </si>
  <si>
    <t>18x15x15inch</t>
  </si>
  <si>
    <t>We calculated your charges based on a dimensional weight of 13.2 kg.</t>
  </si>
  <si>
    <t>0.2 kg</t>
  </si>
  <si>
    <t>12/13/2023 11:07
F.ANG</t>
  </si>
  <si>
    <t>MS. MIYANO KYOKA
12/13/2023 13:57
H.YAMAMOTO</t>
  </si>
  <si>
    <t>12/19/2023</t>
  </si>
  <si>
    <t>6,227,781</t>
  </si>
  <si>
    <t>457,500</t>
  </si>
  <si>
    <t>FDX00000000177</t>
  </si>
  <si>
    <t>155,694</t>
  </si>
  <si>
    <t>7,295</t>
  </si>
  <si>
    <t>6,898,270</t>
  </si>
  <si>
    <t>27 Dec 2023</t>
  </si>
  <si>
    <t>12/14/2023</t>
  </si>
  <si>
    <t>2.2 kg</t>
  </si>
  <si>
    <t>1,762,000</t>
  </si>
  <si>
    <t>12/18/2023 19:18</t>
  </si>
  <si>
    <t>(1,309,518)</t>
  </si>
  <si>
    <t>Y.UDI</t>
  </si>
  <si>
    <t>140,357</t>
  </si>
  <si>
    <t>40,000</t>
  </si>
  <si>
    <t>6,961</t>
  </si>
  <si>
    <t>639,800</t>
  </si>
  <si>
    <t>12/18/2023 13:10
S.CHEN</t>
  </si>
  <si>
    <t>12/18/2023 12:23
X.TAKAHIRA</t>
  </si>
  <si>
    <t>12/18/2023 10:51
F.ANG</t>
  </si>
  <si>
    <t>0.8 kg</t>
  </si>
  <si>
    <t>12/18/2023 16:08</t>
  </si>
  <si>
    <t>Z.KG</t>
  </si>
  <si>
    <t>12/20/2023 15:56
F.ANG</t>
  </si>
  <si>
    <t>12/22/2023 11:14
F.ANG</t>
  </si>
  <si>
    <t>NINGBO, CHINA</t>
  </si>
  <si>
    <t>12/22/2023 11:12</t>
  </si>
  <si>
    <t>R.LI</t>
  </si>
  <si>
    <t>SERI</t>
  </si>
  <si>
    <t>Rata AWB</t>
  </si>
  <si>
    <t>Get InvNumber</t>
  </si>
  <si>
    <t>Get InvDate</t>
  </si>
  <si>
    <t>Header AWB</t>
  </si>
  <si>
    <t>Get ShipmentDate</t>
  </si>
  <si>
    <t>Get NameOrigin</t>
  </si>
  <si>
    <t>Get FtyOrigin</t>
  </si>
  <si>
    <t>Get NameDestination</t>
  </si>
  <si>
    <t>Get FtyDestination</t>
  </si>
  <si>
    <t>Nama</t>
  </si>
  <si>
    <t>Adji</t>
  </si>
  <si>
    <t>Ayu</t>
  </si>
  <si>
    <t>Bayu</t>
  </si>
  <si>
    <t>Diana</t>
  </si>
  <si>
    <t>Erna</t>
  </si>
  <si>
    <t>Gita</t>
  </si>
  <si>
    <t>Heni</t>
  </si>
  <si>
    <t>Lilis</t>
  </si>
  <si>
    <t>Martini</t>
  </si>
  <si>
    <t>Meillysa</t>
  </si>
  <si>
    <t>Merry</t>
  </si>
  <si>
    <t>Nuning</t>
  </si>
  <si>
    <t>Rizal</t>
  </si>
  <si>
    <t>Sari</t>
  </si>
  <si>
    <t>Seli</t>
  </si>
  <si>
    <t>Silvia</t>
  </si>
  <si>
    <t>Suci</t>
  </si>
  <si>
    <t>Suhartati</t>
  </si>
  <si>
    <t>Suli</t>
  </si>
  <si>
    <t>Sumi</t>
  </si>
  <si>
    <t>Suwartini</t>
  </si>
  <si>
    <t>Viola</t>
  </si>
  <si>
    <t>Winta</t>
  </si>
  <si>
    <t>Yuli</t>
  </si>
  <si>
    <t>HADI</t>
  </si>
  <si>
    <t>CARNADI</t>
  </si>
  <si>
    <t>INV TYP</t>
  </si>
  <si>
    <t>ALIAS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</si>
</sst>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mm\-dd\-yyyy"/>
    <numFmt numFmtId="165" formatCode="mm/dd/yyyy"/>
    <numFmt numFmtId="166" formatCode="_(* #,##0_);_(* \(#,##0\);_(* &quot;-&quot;??_);_(@_)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12"/>
      <color rgb="FF00B0F0"/>
      <name val="Calibri"/>
      <family val="2"/>
      <scheme val="minor"/>
    </font>
    <font>
      <b/>
      <i/>
      <u/>
      <sz val="9"/>
      <color theme="2" tint="-0.499984740745262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quotePrefix="1"/>
    <xf numFmtId="0" fontId="2" fillId="2" borderId="0" xfId="0" applyFont="1" applyFill="1"/>
    <xf numFmtId="0" fontId="2" fillId="0" borderId="0" xfId="0" applyFont="1"/>
    <xf numFmtId="49" fontId="0" fillId="0" borderId="0" xfId="0" applyNumberFormat="1"/>
    <xf numFmtId="49" fontId="2" fillId="2" borderId="0" xfId="0" applyNumberFormat="1" applyFont="1" applyFill="1"/>
    <xf numFmtId="0" fontId="0" fillId="3" borderId="0" xfId="0" quotePrefix="1" applyFill="1"/>
    <xf numFmtId="164" fontId="2" fillId="2" borderId="0" xfId="0" applyNumberFormat="1" applyFont="1" applyFill="1"/>
    <xf numFmtId="164" fontId="0" fillId="0" borderId="0" xfId="0" applyNumberFormat="1"/>
    <xf numFmtId="0" fontId="2" fillId="3" borderId="0" xfId="0" applyFont="1" applyFill="1"/>
    <xf numFmtId="165" fontId="2" fillId="0" borderId="0" xfId="0" applyNumberFormat="1" applyFont="1"/>
    <xf numFmtId="165" fontId="0" fillId="0" borderId="0" xfId="0" applyNumberFormat="1"/>
    <xf numFmtId="15" fontId="0" fillId="0" borderId="0" xfId="0" applyNumberFormat="1"/>
    <xf numFmtId="166" fontId="2" fillId="2" borderId="0" xfId="1" applyNumberFormat="1" applyFont="1" applyFill="1"/>
    <xf numFmtId="166" fontId="0" fillId="0" borderId="0" xfId="1" applyNumberFormat="1" applyFont="1"/>
    <xf numFmtId="166" fontId="0" fillId="0" borderId="0" xfId="0" applyNumberFormat="1"/>
    <xf numFmtId="0" fontId="3" fillId="0" borderId="0" xfId="2"/>
    <xf numFmtId="0" fontId="6" fillId="0" borderId="0" xfId="0" applyFont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2" borderId="0" xfId="0" quotePrefix="1" applyFont="1" applyFill="1" applyAlignment="1">
      <alignment horizontal="center" vertical="center"/>
    </xf>
    <xf numFmtId="0" fontId="2" fillId="2" borderId="0" xfId="0" quotePrefix="1" applyFont="1" applyFill="1"/>
    <xf numFmtId="0" fontId="7" fillId="0" borderId="0" xfId="0" applyFont="1"/>
    <xf numFmtId="0" fontId="0" fillId="0" borderId="0" xfId="0" applyAlignment="1">
      <alignment horizontal="center"/>
    </xf>
    <xf numFmtId="0" fontId="12" fillId="3" borderId="1" xfId="0" applyFont="1" applyFill="1" applyBorder="1" applyAlignment="1">
      <alignment horizontal="left" vertical="center"/>
    </xf>
    <xf numFmtId="0" fontId="0" fillId="3" borderId="0" xfId="0" applyFill="1"/>
    <xf numFmtId="0" fontId="10" fillId="0" borderId="0" xfId="0" applyFont="1"/>
    <xf numFmtId="0" fontId="0" fillId="4" borderId="0" xfId="0" applyFill="1"/>
    <xf numFmtId="0" fontId="2" fillId="2" borderId="0" xfId="0" applyFont="1" applyFill="1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Alignment="1">
      <alignment horizontal="left"/>
    </xf>
    <xf numFmtId="0" fontId="11" fillId="0" borderId="0" xfId="0" applyFont="1" applyAlignment="1">
      <alignment horizontal="left"/>
    </xf>
    <xf numFmtId="0" fontId="11" fillId="3" borderId="0" xfId="0" applyFont="1" applyFill="1" applyAlignment="1">
      <alignment horizontal="center"/>
    </xf>
  </cellXfs>
  <cellStyles count="4">
    <cellStyle name="Comma" xfId="1" builtinId="3"/>
    <cellStyle name="Comma 2" xfId="3" xr:uid="{4B1FA6C9-E02C-46CC-B6CC-26D68F801CFE}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0</xdr:row>
      <xdr:rowOff>123824</xdr:rowOff>
    </xdr:from>
    <xdr:to>
      <xdr:col>0</xdr:col>
      <xdr:colOff>2743200</xdr:colOff>
      <xdr:row>2</xdr:row>
      <xdr:rowOff>28575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57175" y="123824"/>
          <a:ext cx="2486025" cy="285751"/>
        </a:xfrm>
        <a:prstGeom prst="roundRect">
          <a:avLst>
            <a:gd name="adj" fmla="val 10545"/>
          </a:avLst>
        </a:prstGeom>
        <a:effectLst>
          <a:glow rad="1397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  <a:softEdge rad="635000"/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ID" sz="8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76200</xdr:rowOff>
        </xdr:from>
        <xdr:to>
          <xdr:col>0</xdr:col>
          <xdr:colOff>2752725</xdr:colOff>
          <xdr:row>2</xdr:row>
          <xdr:rowOff>104775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2943226</xdr:colOff>
      <xdr:row>0</xdr:row>
      <xdr:rowOff>133349</xdr:rowOff>
    </xdr:from>
    <xdr:to>
      <xdr:col>1</xdr:col>
      <xdr:colOff>1428751</xdr:colOff>
      <xdr:row>2</xdr:row>
      <xdr:rowOff>38100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943226" y="133349"/>
          <a:ext cx="1543050" cy="285751"/>
        </a:xfrm>
        <a:prstGeom prst="roundRect">
          <a:avLst>
            <a:gd name="adj" fmla="val 10545"/>
          </a:avLst>
        </a:prstGeom>
        <a:effectLst>
          <a:glow rad="1397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  <a:softEdge rad="635000"/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ID" sz="8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2952750</xdr:colOff>
          <xdr:row>0</xdr:row>
          <xdr:rowOff>66675</xdr:rowOff>
        </xdr:from>
        <xdr:to>
          <xdr:col>1</xdr:col>
          <xdr:colOff>1447800</xdr:colOff>
          <xdr:row>2</xdr:row>
          <xdr:rowOff>95250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hyperlink" Target="..\Hasil%20Pengolahan%20Macro\KonfirmasiData_FEDEX.xlsm" TargetMode="External"/><Relationship Id="rId1" Type="http://schemas.openxmlformats.org/officeDocument/2006/relationships/hyperlink" Target="../../.bahan/HasilExtract%202.xlsx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746AA-495F-4EF4-9EB9-77B3A674C2E3}">
  <sheetPr codeName="Sheet1">
    <tabColor theme="3" tint="-0.499984740745262"/>
  </sheetPr>
  <dimension ref="A1:C10"/>
  <sheetViews>
    <sheetView tabSelected="1" workbookViewId="0">
      <selection activeCell="A17" sqref="A17"/>
    </sheetView>
  </sheetViews>
  <sheetFormatPr defaultRowHeight="15" x14ac:dyDescent="0.25"/>
  <cols>
    <col min="1" max="1" width="45.85546875" customWidth="1"/>
    <col min="2" max="2" width="80" customWidth="1"/>
    <col min="3" max="3" width="1.7109375" customWidth="1"/>
  </cols>
  <sheetData>
    <row r="1" spans="1:3" x14ac:dyDescent="0.25">
      <c r="A1" s="32"/>
      <c r="B1" s="32"/>
    </row>
    <row r="2" spans="1:3" x14ac:dyDescent="0.25">
      <c r="A2" s="32"/>
      <c r="B2" s="32"/>
    </row>
    <row r="3" spans="1:3" x14ac:dyDescent="0.25">
      <c r="A3" s="32"/>
      <c r="B3" s="32"/>
    </row>
    <row r="4" spans="1:3" x14ac:dyDescent="0.25">
      <c r="A4" s="31" t="s">
        <v>211</v>
      </c>
      <c r="B4" s="31"/>
      <c r="C4" s="31"/>
    </row>
    <row r="5" spans="1:3" ht="15.75" x14ac:dyDescent="0.25">
      <c r="A5" s="24" t="s">
        <v>17</v>
      </c>
      <c r="B5" s="24" t="s">
        <v>18</v>
      </c>
    </row>
    <row r="6" spans="1:3" x14ac:dyDescent="0.25">
      <c r="A6" s="3" t="s">
        <v>161</v>
      </c>
      <c r="B6" s="16" t="s">
        <v>163</v>
      </c>
      <c r="C6" s="26" t="s">
        <v>162</v>
      </c>
    </row>
    <row r="7" spans="1:3" ht="9" hidden="1" customHeight="1" x14ac:dyDescent="0.25">
      <c r="A7" s="9"/>
      <c r="B7" s="6"/>
      <c r="C7" s="26" t="s">
        <v>162</v>
      </c>
    </row>
    <row r="8" spans="1:3" x14ac:dyDescent="0.25">
      <c r="A8" s="3" t="s">
        <v>197</v>
      </c>
      <c r="B8" s="16" t="s">
        <v>198</v>
      </c>
      <c r="C8" s="26" t="s">
        <v>162</v>
      </c>
    </row>
    <row r="9" spans="1:3" x14ac:dyDescent="0.25">
      <c r="A9" s="3"/>
      <c r="B9" s="16"/>
      <c r="C9" s="26"/>
    </row>
    <row r="10" spans="1:3" ht="6" customHeight="1" x14ac:dyDescent="0.25">
      <c r="A10" s="25"/>
      <c r="B10" s="25"/>
    </row>
  </sheetData>
  <mergeCells count="2">
    <mergeCell ref="A4:C4"/>
    <mergeCell ref="A1:B3"/>
  </mergeCells>
  <hyperlinks>
    <hyperlink ref="B6" r:id="rId1" xr:uid="{0C0370B9-3B7D-4F0B-A197-A93CACD99E72}"/>
    <hyperlink ref="B8" r:id="rId2" xr:uid="{B68582C4-C452-471C-B986-B61271EAD5BB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9217" r:id="rId5" name="CommandButton1">
          <controlPr defaultSize="0" autoLine="0" r:id="rId6">
            <anchor moveWithCells="1">
              <from>
                <xdr:col>0</xdr:col>
                <xdr:colOff>266700</xdr:colOff>
                <xdr:row>0</xdr:row>
                <xdr:rowOff>76200</xdr:rowOff>
              </from>
              <to>
                <xdr:col>0</xdr:col>
                <xdr:colOff>2752725</xdr:colOff>
                <xdr:row>2</xdr:row>
                <xdr:rowOff>104775</xdr:rowOff>
              </to>
            </anchor>
          </controlPr>
        </control>
      </mc:Choice>
      <mc:Fallback>
        <control shapeId="9217" r:id="rId5" name="CommandButton1"/>
      </mc:Fallback>
    </mc:AlternateContent>
    <mc:AlternateContent xmlns:mc="http://schemas.openxmlformats.org/markup-compatibility/2006">
      <mc:Choice Requires="x14">
        <control shapeId="9218" r:id="rId7" name="CommandButton2">
          <controlPr defaultSize="0" autoLine="0" r:id="rId8">
            <anchor moveWithCells="1">
              <from>
                <xdr:col>0</xdr:col>
                <xdr:colOff>2952750</xdr:colOff>
                <xdr:row>0</xdr:row>
                <xdr:rowOff>66675</xdr:rowOff>
              </from>
              <to>
                <xdr:col>1</xdr:col>
                <xdr:colOff>1447800</xdr:colOff>
                <xdr:row>2</xdr:row>
                <xdr:rowOff>95250</xdr:rowOff>
              </to>
            </anchor>
          </controlPr>
        </control>
      </mc:Choice>
      <mc:Fallback>
        <control shapeId="9218" r:id="rId7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68BF1-5CEA-4325-ADF5-EF9D631D3200}">
  <sheetPr codeName="Sheet2">
    <tabColor theme="3" tint="-0.499984740745262"/>
  </sheetPr>
  <dimension ref="A1:V66"/>
  <sheetViews>
    <sheetView zoomScale="80" zoomScaleNormal="80" workbookViewId="0">
      <pane xSplit="3" ySplit="1" topLeftCell="G2" activePane="bottomRight" state="frozen"/>
      <selection pane="topRight" activeCell="D1" sqref="D1"/>
      <selection pane="bottomLeft" activeCell="A2" sqref="A2"/>
      <selection pane="bottomRight" activeCell="H12" sqref="H12"/>
    </sheetView>
  </sheetViews>
  <sheetFormatPr defaultRowHeight="15" x14ac:dyDescent="0.25"/>
  <cols>
    <col min="1" max="1" width="13.7109375" customWidth="1"/>
    <col min="2" max="2" width="14.85546875" style="8" customWidth="1"/>
    <col min="3" max="3" width="15.7109375" style="4" customWidth="1"/>
    <col min="4" max="4" width="15.140625" style="8" customWidth="1"/>
    <col min="5" max="6" width="36" customWidth="1"/>
    <col min="7" max="8" width="35.140625" customWidth="1"/>
    <col min="9" max="9" width="37.42578125" style="30" bestFit="1" customWidth="1"/>
    <col min="10" max="10" width="15.85546875" bestFit="1" customWidth="1"/>
    <col min="11" max="11" width="14.28515625" bestFit="1" customWidth="1"/>
    <col min="12" max="12" width="19.85546875" bestFit="1" customWidth="1"/>
    <col min="13" max="13" width="14.42578125" bestFit="1" customWidth="1"/>
    <col min="14" max="14" width="9.5703125" bestFit="1" customWidth="1"/>
    <col min="15" max="15" width="12.28515625" bestFit="1" customWidth="1"/>
    <col min="16" max="16" width="12.28515625" style="14" bestFit="1" customWidth="1"/>
    <col min="17" max="17" width="15.28515625" bestFit="1" customWidth="1"/>
    <col min="18" max="18" width="11.5703125" style="11" bestFit="1" customWidth="1"/>
    <col min="20" max="20" width="12" bestFit="1" customWidth="1"/>
    <col min="22" max="22" width="39.7109375" customWidth="1"/>
  </cols>
  <sheetData>
    <row r="1" spans="1:22" s="3" customFormat="1" x14ac:dyDescent="0.25">
      <c r="A1" s="2" t="s">
        <v>0</v>
      </c>
      <c r="B1" s="7" t="s">
        <v>1</v>
      </c>
      <c r="C1" s="5" t="s">
        <v>2</v>
      </c>
      <c r="D1" s="7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8" t="s">
        <v>212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13" t="s">
        <v>15</v>
      </c>
      <c r="Q1" s="2" t="s">
        <v>16</v>
      </c>
      <c r="R1" s="10"/>
      <c r="T1" s="5" t="s">
        <v>193</v>
      </c>
    </row>
    <row r="2" spans="1:22" x14ac:dyDescent="0.25">
      <c r="A2" t="str">
        <f>VLOOKUP(R2,Cache1!$A:$K,11,FALSE)</f>
        <v>870128687</v>
      </c>
      <c r="B2" s="8" t="str">
        <f>VLOOKUP(R2,Cache1!$A:$L,12,FALSE)</f>
        <v>03 Jan 2024</v>
      </c>
      <c r="C2" s="4" t="s">
        <v>22</v>
      </c>
      <c r="D2" s="8" t="str">
        <f>VLOOKUP(C2&amp;"-1",Cache1!$M:$N,2,FALSE)</f>
        <v>12/13/2023</v>
      </c>
      <c r="E2" t="s">
        <v>20</v>
      </c>
      <c r="G2" t="s">
        <v>21</v>
      </c>
      <c r="H2" t="str">
        <f>VLOOKUP(S2,Cache1!$A:$R,18,FALSE)</f>
        <v>PT GISTEX GARMEN INDONESIA</v>
      </c>
      <c r="I2" s="29" t="str">
        <f>_xlfn.IFNA(VLOOKUP(LEFT(E2,3),Ref_Confirmer!$B:$C,2,FALSE),"1201.630530")</f>
        <v>1201.630530</v>
      </c>
      <c r="J2" s="14"/>
      <c r="K2" s="14"/>
      <c r="L2" s="14"/>
      <c r="M2" s="14"/>
      <c r="N2" s="14"/>
      <c r="O2" s="15"/>
      <c r="R2" s="11">
        <v>7</v>
      </c>
      <c r="S2">
        <v>5</v>
      </c>
      <c r="V2" s="12"/>
    </row>
    <row r="3" spans="1:22" x14ac:dyDescent="0.25">
      <c r="A3" t="str">
        <f>VLOOKUP(R3,Cache1!$A:$K,11,FALSE)</f>
        <v>870128687</v>
      </c>
      <c r="B3" s="8" t="str">
        <f>VLOOKUP(R3,Cache1!$A:$L,12,FALSE)</f>
        <v>03 Jan 2024</v>
      </c>
      <c r="C3" s="4" t="s">
        <v>26</v>
      </c>
      <c r="D3" s="8" t="str">
        <f>VLOOKUP(C3&amp;"-1",Cache1!$M:$N,2,FALSE)</f>
        <v>12/23/2023</v>
      </c>
      <c r="E3" t="s">
        <v>24</v>
      </c>
      <c r="F3" t="s">
        <v>27</v>
      </c>
      <c r="G3" t="s">
        <v>25</v>
      </c>
      <c r="H3" t="str">
        <f>VLOOKUP(S3,Cache1!$A:$R,18,FALSE)</f>
        <v>PT. GISTEX GARMENT INDONESIA</v>
      </c>
      <c r="I3" s="29" t="str">
        <f>_xlfn.IFNA(VLOOKUP(LEFT(E3,3),Ref_Confirmer!$B:$C,2,FALSE),"1201.630530")</f>
        <v>1201.630530</v>
      </c>
      <c r="J3" s="14"/>
      <c r="K3" s="15"/>
      <c r="L3" s="14"/>
      <c r="M3" s="14"/>
      <c r="N3" s="15"/>
      <c r="O3" s="15"/>
      <c r="R3" s="11">
        <v>25</v>
      </c>
      <c r="S3">
        <v>23</v>
      </c>
    </row>
    <row r="4" spans="1:22" x14ac:dyDescent="0.25">
      <c r="A4" t="str">
        <f>VLOOKUP(R4,Cache1!$A:$K,11,FALSE)</f>
        <v>870128687</v>
      </c>
      <c r="B4" s="8" t="str">
        <f>VLOOKUP(R4,Cache1!$A:$L,12,FALSE)</f>
        <v>03 Jan 2024</v>
      </c>
      <c r="C4" s="4" t="s">
        <v>31</v>
      </c>
      <c r="D4" s="8" t="str">
        <f>VLOOKUP(C4&amp;"-1",Cache1!$M:$N,2,FALSE)</f>
        <v>12/23/2023</v>
      </c>
      <c r="E4" t="s">
        <v>29</v>
      </c>
      <c r="F4" t="s">
        <v>32</v>
      </c>
      <c r="G4" t="s">
        <v>30</v>
      </c>
      <c r="H4" t="str">
        <f>VLOOKUP(S4,Cache1!$A:$R,18,FALSE)</f>
        <v>PT.GISTEX GARMEN LNDONESIA</v>
      </c>
      <c r="I4" s="29" t="str">
        <f>_xlfn.IFNA(VLOOKUP(LEFT(E4,3),Ref_Confirmer!$B:$C,2,FALSE),"1201.630530")</f>
        <v>1201.630530</v>
      </c>
      <c r="J4" s="14"/>
      <c r="K4" s="15"/>
      <c r="L4" s="14"/>
      <c r="M4" s="14"/>
      <c r="N4" s="15"/>
      <c r="O4" s="15"/>
      <c r="R4" s="11">
        <v>38</v>
      </c>
      <c r="S4">
        <v>36</v>
      </c>
    </row>
    <row r="5" spans="1:22" x14ac:dyDescent="0.25">
      <c r="A5" t="str">
        <f>VLOOKUP(R5,Cache1!$A:$K,11,FALSE)</f>
        <v>870128688</v>
      </c>
      <c r="B5" s="8" t="str">
        <f>VLOOKUP(R5,Cache1!$A:$L,12,FALSE)</f>
        <v>03 Jan 2024</v>
      </c>
      <c r="C5" s="4" t="s">
        <v>35</v>
      </c>
      <c r="D5" s="8" t="str">
        <f>VLOOKUP(C5&amp;"-1",Cache1!$M:$N,2,FALSE)</f>
        <v>12/20/2023</v>
      </c>
      <c r="E5" t="s">
        <v>36</v>
      </c>
      <c r="F5" t="s">
        <v>38</v>
      </c>
      <c r="G5" t="s">
        <v>37</v>
      </c>
      <c r="H5" t="str">
        <f>VLOOKUP(S5,Cache1!$A:$R,18,FALSE)</f>
        <v>MARUBENI FASHION LINK, LTD</v>
      </c>
      <c r="I5" s="29" t="str">
        <f>_xlfn.IFNA(VLOOKUP(LEFT(E5,3),Ref_Confirmer!$B:$C,2,FALSE),"1201.630530")</f>
        <v>1201.720400</v>
      </c>
      <c r="J5" s="14"/>
      <c r="K5" s="15"/>
      <c r="L5" s="14"/>
      <c r="M5" s="14"/>
      <c r="N5" s="15"/>
      <c r="O5" s="15"/>
      <c r="R5" s="11">
        <v>52</v>
      </c>
      <c r="S5">
        <v>51</v>
      </c>
    </row>
    <row r="6" spans="1:22" x14ac:dyDescent="0.25">
      <c r="A6" t="str">
        <f>VLOOKUP(R6,Cache1!$A:$K,11,FALSE)</f>
        <v>870128688</v>
      </c>
      <c r="B6" s="8" t="str">
        <f>VLOOKUP(R6,Cache1!$A:$L,12,FALSE)</f>
        <v>03 Jan 2024</v>
      </c>
      <c r="C6" s="4" t="s">
        <v>40</v>
      </c>
      <c r="D6" s="8" t="str">
        <f>VLOOKUP(C6&amp;"-1",Cache1!$M:$N,2,FALSE)</f>
        <v>12/22/2023</v>
      </c>
      <c r="E6" t="s">
        <v>36</v>
      </c>
      <c r="F6" t="s">
        <v>41</v>
      </c>
      <c r="G6" t="s">
        <v>37</v>
      </c>
      <c r="H6" t="str">
        <f>VLOOKUP(S6,Cache1!$A:$R,18,FALSE)</f>
        <v>MARUBENI FASHION LINK, LTD</v>
      </c>
      <c r="I6" s="29" t="str">
        <f>_xlfn.IFNA(VLOOKUP(LEFT(E6,3),Ref_Confirmer!$B:$C,2,FALSE),"1201.630530")</f>
        <v>1201.720400</v>
      </c>
      <c r="J6" s="14"/>
      <c r="K6" s="15"/>
      <c r="L6" s="14"/>
      <c r="M6" s="14"/>
      <c r="N6" s="15"/>
      <c r="O6" s="15"/>
      <c r="R6" s="11">
        <v>65</v>
      </c>
      <c r="S6">
        <v>64</v>
      </c>
    </row>
    <row r="7" spans="1:22" x14ac:dyDescent="0.25">
      <c r="A7" t="str">
        <f>VLOOKUP(R7,Cache1!$A:$K,11,FALSE)</f>
        <v>870128688</v>
      </c>
      <c r="B7" s="8" t="str">
        <f>VLOOKUP(R7,Cache1!$A:$L,12,FALSE)</f>
        <v>03 Jan 2024</v>
      </c>
      <c r="C7" s="4" t="s">
        <v>42</v>
      </c>
      <c r="D7" s="8" t="str">
        <f>VLOOKUP(C7&amp;"-1",Cache1!$M:$N,2,FALSE)</f>
        <v>12/22/2023</v>
      </c>
      <c r="E7" t="s">
        <v>43</v>
      </c>
      <c r="F7" t="s">
        <v>41</v>
      </c>
      <c r="G7" t="s">
        <v>44</v>
      </c>
      <c r="H7" t="str">
        <f>VLOOKUP(S7,Cache1!$A:$R,18,FALSE)</f>
        <v>JIANGSU TEXTILE INDUSTRY</v>
      </c>
      <c r="I7" s="29" t="str">
        <f>_xlfn.IFNA(VLOOKUP(LEFT(E7,3),Ref_Confirmer!$B:$C,2,FALSE),"1201.630530")</f>
        <v>1201.630530</v>
      </c>
      <c r="J7" s="14"/>
      <c r="K7" s="15"/>
      <c r="L7" s="14"/>
      <c r="M7" s="14"/>
      <c r="N7" s="15"/>
      <c r="O7" s="15"/>
      <c r="R7" s="11">
        <v>79</v>
      </c>
      <c r="S7">
        <v>78</v>
      </c>
    </row>
    <row r="8" spans="1:22" x14ac:dyDescent="0.25">
      <c r="A8" t="str">
        <f>VLOOKUP(R8,Cache1!$A:$K,11,FALSE)</f>
        <v>870128688</v>
      </c>
      <c r="B8" s="8" t="str">
        <f>VLOOKUP(R8,Cache1!$A:$L,12,FALSE)</f>
        <v>03 Jan 2024</v>
      </c>
      <c r="C8" s="4" t="s">
        <v>46</v>
      </c>
      <c r="D8" s="8" t="str">
        <f>VLOOKUP(C8&amp;"-1",Cache1!$M:$N,2,FALSE)</f>
        <v>12/22/2023</v>
      </c>
      <c r="E8" t="s">
        <v>43</v>
      </c>
      <c r="F8" t="s">
        <v>41</v>
      </c>
      <c r="G8" t="s">
        <v>47</v>
      </c>
      <c r="H8" t="str">
        <f>VLOOKUP(S8,Cache1!$A:$R,18,FALSE)</f>
        <v>NINGBO SOCO TEXTILE STOCK CORP</v>
      </c>
      <c r="I8" s="29" t="str">
        <f>_xlfn.IFNA(VLOOKUP(LEFT(E8,3),Ref_Confirmer!$B:$C,2,FALSE),"1201.630530")</f>
        <v>1201.630530</v>
      </c>
      <c r="J8" s="14"/>
      <c r="K8" s="15"/>
      <c r="L8" s="14"/>
      <c r="M8" s="14"/>
      <c r="N8" s="15"/>
      <c r="O8" s="15"/>
      <c r="R8" s="11">
        <v>92</v>
      </c>
      <c r="S8">
        <v>91</v>
      </c>
    </row>
    <row r="9" spans="1:22" x14ac:dyDescent="0.25">
      <c r="A9" t="str">
        <f>VLOOKUP(R9,Cache1!$A:$K,11,FALSE)</f>
        <v>870138342</v>
      </c>
      <c r="B9" s="8" t="str">
        <f>VLOOKUP(R9,Cache1!$A:$L,12,FALSE)</f>
        <v>05 Jan 2024</v>
      </c>
      <c r="C9" s="4" t="s">
        <v>50</v>
      </c>
      <c r="D9" s="8" t="str">
        <f>VLOOKUP(C9&amp;"-1",Cache1!$M:$N,2,FALSE)</f>
        <v>12/29/2023</v>
      </c>
      <c r="E9" t="s">
        <v>36</v>
      </c>
      <c r="F9" t="s">
        <v>41</v>
      </c>
      <c r="G9" t="s">
        <v>37</v>
      </c>
      <c r="H9" t="str">
        <f>VLOOKUP(S9,Cache1!$A:$R,18,FALSE)</f>
        <v>MARUBENI FASHION LINK, LTD</v>
      </c>
      <c r="I9" s="29" t="str">
        <f>_xlfn.IFNA(VLOOKUP(LEFT(E9,3),Ref_Confirmer!$B:$C,2,FALSE),"1201.630530")</f>
        <v>1201.720400</v>
      </c>
      <c r="J9" s="14"/>
      <c r="K9" s="15"/>
      <c r="L9" s="14"/>
      <c r="M9" s="14"/>
      <c r="N9" s="15"/>
      <c r="O9" s="15"/>
      <c r="R9" s="11">
        <v>108</v>
      </c>
      <c r="S9">
        <v>106</v>
      </c>
    </row>
    <row r="10" spans="1:22" x14ac:dyDescent="0.25">
      <c r="A10" t="str">
        <f>VLOOKUP(R10,Cache1!$A:$K,11,FALSE)</f>
        <v>870138343</v>
      </c>
      <c r="B10" s="8" t="str">
        <f>VLOOKUP(R10,Cache1!$A:$L,12,FALSE)</f>
        <v>05 Jan 2024</v>
      </c>
      <c r="C10" s="4" t="s">
        <v>53</v>
      </c>
      <c r="D10" s="8" t="str">
        <f>VLOOKUP(C10&amp;"-1",Cache1!$M:$N,2,FALSE)</f>
        <v>12/18/2023</v>
      </c>
      <c r="E10" t="s">
        <v>52</v>
      </c>
      <c r="F10" t="s">
        <v>54</v>
      </c>
      <c r="G10" t="s">
        <v>25</v>
      </c>
      <c r="H10" t="str">
        <f>VLOOKUP(S10,Cache1!$A:$R,18,FALSE)</f>
        <v>PT. GISTEX GARMEN INDONESIA</v>
      </c>
      <c r="I10" s="29" t="str">
        <f>_xlfn.IFNA(VLOOKUP(LEFT(E10,3),Ref_Confirmer!$B:$C,2,FALSE),"1201.630530")</f>
        <v>1201.630530</v>
      </c>
      <c r="J10" s="14"/>
      <c r="K10" s="15"/>
      <c r="L10" s="14"/>
      <c r="M10" s="14"/>
      <c r="N10" s="15"/>
      <c r="O10" s="15"/>
      <c r="R10" s="11">
        <v>122</v>
      </c>
      <c r="S10">
        <v>120</v>
      </c>
    </row>
    <row r="11" spans="1:22" x14ac:dyDescent="0.25">
      <c r="A11" t="str">
        <f>VLOOKUP(R11,Cache1!$A:$K,11,FALSE)</f>
        <v>870048771</v>
      </c>
      <c r="B11" s="8" t="str">
        <f>VLOOKUP(R11,Cache1!$A:$L,12,FALSE)</f>
        <v>06 Dec 2023</v>
      </c>
      <c r="C11" s="4" t="s">
        <v>57</v>
      </c>
      <c r="D11" s="8" t="str">
        <f>VLOOKUP(C11&amp;"-1",Cache1!$M:$N,2,FALSE)</f>
        <v>11/23/2023</v>
      </c>
      <c r="E11" t="s">
        <v>56</v>
      </c>
      <c r="F11" t="s">
        <v>58</v>
      </c>
      <c r="G11" t="s">
        <v>158</v>
      </c>
      <c r="H11" t="str">
        <f>VLOOKUP(S11,Cache1!$A:$R,18,FALSE)</f>
        <v>PT GISTEX GARMEN INDONESIA</v>
      </c>
      <c r="I11" s="29" t="str">
        <f>_xlfn.IFNA(VLOOKUP(LEFT(E11,3),Ref_Confirmer!$B:$C,2,FALSE),"1201.630530")</f>
        <v>1201.630530</v>
      </c>
      <c r="J11" s="14"/>
      <c r="K11" s="15"/>
      <c r="L11" s="14"/>
      <c r="M11" s="14"/>
      <c r="N11" s="15"/>
      <c r="O11" s="15"/>
      <c r="R11" s="11">
        <v>137</v>
      </c>
      <c r="S11">
        <v>135</v>
      </c>
    </row>
    <row r="12" spans="1:22" x14ac:dyDescent="0.25">
      <c r="A12" t="str">
        <f>VLOOKUP(R12,Cache1!$A:$K,11,FALSE)</f>
        <v>870048771</v>
      </c>
      <c r="B12" s="8" t="str">
        <f>VLOOKUP(R12,Cache1!$A:$L,12,FALSE)</f>
        <v>06 Dec 2023</v>
      </c>
      <c r="C12" s="4" t="s">
        <v>59</v>
      </c>
      <c r="D12" s="8" t="str">
        <f>VLOOKUP(C12&amp;"-1",Cache1!$M:$N,2,FALSE)</f>
        <v>11/25/2023</v>
      </c>
      <c r="E12" t="s">
        <v>56</v>
      </c>
      <c r="F12" t="s">
        <v>58</v>
      </c>
      <c r="G12" t="s">
        <v>158</v>
      </c>
      <c r="H12" t="str">
        <f>VLOOKUP(S12,Cache1!$A:$R,18,FALSE)</f>
        <v>PT GISTEX GARMEN INDONESIA</v>
      </c>
      <c r="I12" s="29" t="str">
        <f>_xlfn.IFNA(VLOOKUP(LEFT(E12,3),Ref_Confirmer!$B:$C,2,FALSE),"1201.630530")</f>
        <v>1201.630530</v>
      </c>
      <c r="J12" s="14"/>
      <c r="K12" s="15"/>
      <c r="L12" s="14"/>
      <c r="M12" s="14"/>
      <c r="N12" s="15"/>
      <c r="O12" s="15"/>
      <c r="R12" s="11">
        <v>151</v>
      </c>
      <c r="S12">
        <v>149</v>
      </c>
    </row>
    <row r="13" spans="1:22" x14ac:dyDescent="0.25">
      <c r="A13" t="str">
        <f>VLOOKUP(R13,Cache1!$A:$K,11,FALSE)</f>
        <v>869971222</v>
      </c>
      <c r="B13" s="8" t="str">
        <f>VLOOKUP(R13,Cache1!$A:$L,12,FALSE)</f>
        <v>08 Nov 2023</v>
      </c>
      <c r="C13" s="4" t="s">
        <v>61</v>
      </c>
      <c r="D13" s="8" t="str">
        <f>VLOOKUP(C13&amp;"-1",Cache1!$M:$N,2,FALSE)</f>
        <v>10/27/2023</v>
      </c>
      <c r="E13" t="s">
        <v>56</v>
      </c>
      <c r="F13" t="s">
        <v>58</v>
      </c>
      <c r="G13" t="s">
        <v>158</v>
      </c>
      <c r="H13" t="str">
        <f>VLOOKUP(S13,Cache1!$A:$R,18,FALSE)</f>
        <v>PT GISTEX GARMEN INDONESIA</v>
      </c>
      <c r="I13" s="29" t="str">
        <f>_xlfn.IFNA(VLOOKUP(LEFT(E13,3),Ref_Confirmer!$B:$C,2,FALSE),"1201.630530")</f>
        <v>1201.630530</v>
      </c>
      <c r="J13" s="14"/>
      <c r="K13" s="15"/>
      <c r="L13" s="14"/>
      <c r="M13" s="14"/>
      <c r="N13" s="15"/>
      <c r="O13" s="15"/>
      <c r="R13" s="11">
        <v>167</v>
      </c>
      <c r="S13">
        <v>165</v>
      </c>
    </row>
    <row r="14" spans="1:22" x14ac:dyDescent="0.25">
      <c r="A14" t="str">
        <f>VLOOKUP(R14,Cache1!$A:$K,11,FALSE)</f>
        <v>869971222</v>
      </c>
      <c r="B14" s="8" t="str">
        <f>VLOOKUP(R14,Cache1!$A:$L,12,FALSE)</f>
        <v>08 Nov 2023</v>
      </c>
      <c r="C14" s="4" t="s">
        <v>64</v>
      </c>
      <c r="D14" s="8" t="str">
        <f>VLOOKUP(C14&amp;"-1",Cache1!$M:$N,2,FALSE)</f>
        <v>10/27/2023</v>
      </c>
      <c r="E14" t="s">
        <v>62</v>
      </c>
      <c r="F14" t="s">
        <v>65</v>
      </c>
      <c r="G14" t="s">
        <v>63</v>
      </c>
      <c r="H14" t="str">
        <f>VLOOKUP(S14,Cache1!$A:$R,18,FALSE)</f>
        <v>PT. GISTEX GARMEN INDONESIA</v>
      </c>
      <c r="I14" s="29" t="str">
        <f>_xlfn.IFNA(VLOOKUP(LEFT(E14,3),Ref_Confirmer!$B:$C,2,FALSE),"1201.630530")</f>
        <v>1201.630530</v>
      </c>
      <c r="J14" s="14"/>
      <c r="K14" s="15"/>
      <c r="L14" s="14"/>
      <c r="M14" s="14"/>
      <c r="N14" s="15"/>
      <c r="O14" s="15"/>
      <c r="R14" s="11">
        <v>181</v>
      </c>
      <c r="S14">
        <v>179</v>
      </c>
    </row>
    <row r="15" spans="1:22" x14ac:dyDescent="0.25">
      <c r="A15" t="str">
        <f>VLOOKUP(R15,Cache1!$A:$K,11,FALSE)</f>
        <v>869971222</v>
      </c>
      <c r="B15" s="8" t="str">
        <f>VLOOKUP(R15,Cache1!$A:$L,12,FALSE)</f>
        <v>08 Nov 2023</v>
      </c>
      <c r="C15" s="4" t="s">
        <v>67</v>
      </c>
      <c r="D15" s="8" t="str">
        <f>VLOOKUP(C15&amp;"-1",Cache1!$M:$N,2,FALSE)</f>
        <v>10/28/2023</v>
      </c>
      <c r="E15" t="s">
        <v>56</v>
      </c>
      <c r="F15" t="s">
        <v>58</v>
      </c>
      <c r="G15" t="s">
        <v>66</v>
      </c>
      <c r="H15" t="str">
        <f>VLOOKUP(S15,Cache1!$A:$R,18,FALSE)</f>
        <v>PT GISTEX GARMEN INDONESIA</v>
      </c>
      <c r="I15" s="29" t="str">
        <f>_xlfn.IFNA(VLOOKUP(LEFT(E15,3),Ref_Confirmer!$B:$C,2,FALSE),"1201.630530")</f>
        <v>1201.630530</v>
      </c>
      <c r="J15" s="14"/>
      <c r="K15" s="15"/>
      <c r="L15" s="14"/>
      <c r="M15" s="14"/>
      <c r="N15" s="15"/>
      <c r="O15" s="15"/>
      <c r="R15" s="11">
        <v>195</v>
      </c>
      <c r="S15">
        <v>193</v>
      </c>
    </row>
    <row r="16" spans="1:22" x14ac:dyDescent="0.25">
      <c r="A16" t="str">
        <f>VLOOKUP(R16,Cache1!$A:$K,11,FALSE)</f>
        <v>869971222</v>
      </c>
      <c r="B16" s="8" t="str">
        <f>VLOOKUP(R16,Cache1!$A:$L,12,FALSE)</f>
        <v>08 Nov 2023</v>
      </c>
      <c r="C16" s="4" t="s">
        <v>68</v>
      </c>
      <c r="D16" s="8" t="str">
        <f>VLOOKUP(C16&amp;"-1",Cache1!$M:$N,2,FALSE)</f>
        <v>11/01/2023</v>
      </c>
      <c r="E16" t="s">
        <v>56</v>
      </c>
      <c r="F16" t="s">
        <v>58</v>
      </c>
      <c r="G16" t="s">
        <v>158</v>
      </c>
      <c r="H16" t="str">
        <f>VLOOKUP(S16,Cache1!$A:$R,18,FALSE)</f>
        <v>PT GISTEX GARMEN INDONESIA</v>
      </c>
      <c r="I16" s="29" t="str">
        <f>_xlfn.IFNA(VLOOKUP(LEFT(E16,3),Ref_Confirmer!$B:$C,2,FALSE),"1201.630530")</f>
        <v>1201.630530</v>
      </c>
      <c r="J16" s="14"/>
      <c r="K16" s="15"/>
      <c r="L16" s="15"/>
      <c r="M16" s="15"/>
      <c r="N16" s="15"/>
      <c r="O16" s="15"/>
      <c r="R16" s="11">
        <v>209</v>
      </c>
      <c r="S16">
        <v>207</v>
      </c>
    </row>
    <row r="17" spans="1:19" x14ac:dyDescent="0.25">
      <c r="A17" t="str">
        <f>VLOOKUP(R17,Cache1!$A:$K,11,FALSE)</f>
        <v>870148463</v>
      </c>
      <c r="B17" s="8" t="str">
        <f>VLOOKUP(R17,Cache1!$A:$L,12,FALSE)</f>
        <v>10 Jan 2024</v>
      </c>
      <c r="C17" s="4" t="s">
        <v>70</v>
      </c>
      <c r="D17" s="8" t="str">
        <f>VLOOKUP(C17&amp;"-1",Cache1!$M:$N,2,FALSE)</f>
        <v>12/15/2023</v>
      </c>
      <c r="E17" t="s">
        <v>71</v>
      </c>
      <c r="G17" t="s">
        <v>72</v>
      </c>
      <c r="H17" t="str">
        <f>VLOOKUP(S17,Cache1!$A:$R,18,FALSE)</f>
        <v>PT. GISTEX GARMEN INDONESIA II</v>
      </c>
      <c r="I17" s="29" t="str">
        <f>_xlfn.IFNA(VLOOKUP(LEFT(E17,3),Ref_Confirmer!$B:$C,2,FALSE),"1201.630530")</f>
        <v>1201.630530</v>
      </c>
      <c r="J17" s="14"/>
      <c r="K17" s="15"/>
      <c r="L17" s="15"/>
      <c r="M17" s="15"/>
      <c r="N17" s="15"/>
      <c r="O17" s="15"/>
      <c r="R17" s="11">
        <v>224</v>
      </c>
      <c r="S17">
        <v>223</v>
      </c>
    </row>
    <row r="18" spans="1:19" x14ac:dyDescent="0.25">
      <c r="A18" t="str">
        <f>VLOOKUP(R18,Cache1!$A:$K,11,FALSE)</f>
        <v>870148463</v>
      </c>
      <c r="B18" s="8" t="str">
        <f>VLOOKUP(R18,Cache1!$A:$L,12,FALSE)</f>
        <v>10 Jan 2024</v>
      </c>
      <c r="C18" s="4" t="s">
        <v>74</v>
      </c>
      <c r="D18" s="8" t="str">
        <f>VLOOKUP(C18&amp;"-1",Cache1!$M:$N,2,FALSE)</f>
        <v>12/15/2023</v>
      </c>
      <c r="E18" t="s">
        <v>75</v>
      </c>
      <c r="G18" t="s">
        <v>76</v>
      </c>
      <c r="H18" t="str">
        <f>VLOOKUP(S18,Cache1!$A:$R,18,FALSE)</f>
        <v>P.T. GISTEX GARMEN INDONESIA</v>
      </c>
      <c r="I18" s="29" t="str">
        <f>_xlfn.IFNA(VLOOKUP(LEFT(E18,3),Ref_Confirmer!$B:$C,2,FALSE),"1201.630530")</f>
        <v>1201.630530</v>
      </c>
      <c r="J18" s="14"/>
      <c r="K18" s="15"/>
      <c r="L18" s="15"/>
      <c r="M18" s="15"/>
      <c r="N18" s="15"/>
      <c r="O18" s="15"/>
      <c r="R18" s="11">
        <v>242</v>
      </c>
      <c r="S18">
        <v>241</v>
      </c>
    </row>
    <row r="19" spans="1:19" x14ac:dyDescent="0.25">
      <c r="A19" t="str">
        <f>VLOOKUP(R19,Cache1!$A:$K,11,FALSE)</f>
        <v>870148463</v>
      </c>
      <c r="B19" s="8" t="str">
        <f>VLOOKUP(R19,Cache1!$A:$L,12,FALSE)</f>
        <v>10 Jan 2024</v>
      </c>
      <c r="C19" s="4" t="s">
        <v>53</v>
      </c>
      <c r="D19" s="8" t="str">
        <f>VLOOKUP(C19&amp;"-1",Cache1!$M:$N,2,FALSE)</f>
        <v>12/18/2023</v>
      </c>
      <c r="E19" t="s">
        <v>52</v>
      </c>
      <c r="G19" t="s">
        <v>25</v>
      </c>
      <c r="H19" t="str">
        <f>VLOOKUP(S19,Cache1!$A:$R,18,FALSE)</f>
        <v>PT. GISTEX GARMEN INDONESIA</v>
      </c>
      <c r="I19" s="29" t="str">
        <f>_xlfn.IFNA(VLOOKUP(LEFT(E19,3),Ref_Confirmer!$B:$C,2,FALSE),"1201.630530")</f>
        <v>1201.630530</v>
      </c>
      <c r="J19" s="14"/>
      <c r="K19" s="15"/>
      <c r="L19" s="15"/>
      <c r="M19" s="15"/>
      <c r="N19" s="15"/>
      <c r="O19" s="15"/>
      <c r="R19" s="11">
        <v>259</v>
      </c>
      <c r="S19">
        <v>258</v>
      </c>
    </row>
    <row r="20" spans="1:19" x14ac:dyDescent="0.25">
      <c r="A20" t="str">
        <f>VLOOKUP(R20,Cache1!$A:$K,11,FALSE)</f>
        <v>870148463</v>
      </c>
      <c r="B20" s="8" t="str">
        <f>VLOOKUP(R20,Cache1!$A:$L,12,FALSE)</f>
        <v>10 Jan 2024</v>
      </c>
      <c r="C20" s="4" t="s">
        <v>79</v>
      </c>
      <c r="D20" s="8" t="str">
        <f>VLOOKUP(C20&amp;"-1",Cache1!$M:$N,2,FALSE)</f>
        <v>12/28/2023</v>
      </c>
      <c r="E20" t="s">
        <v>29</v>
      </c>
      <c r="F20" t="s">
        <v>32</v>
      </c>
      <c r="G20" t="s">
        <v>78</v>
      </c>
      <c r="H20" t="str">
        <f>VLOOKUP(S20,Cache1!$A:$R,18,FALSE)</f>
        <v>PT.GISTEX GARMEN LNDONESIA</v>
      </c>
      <c r="I20" s="29" t="str">
        <f>_xlfn.IFNA(VLOOKUP(LEFT(E20,3),Ref_Confirmer!$B:$C,2,FALSE),"1201.630530")</f>
        <v>1201.630530</v>
      </c>
      <c r="J20" s="14"/>
      <c r="K20" s="15"/>
      <c r="L20" s="15"/>
      <c r="M20" s="15"/>
      <c r="N20" s="15"/>
      <c r="O20" s="15"/>
      <c r="R20" s="11">
        <v>273</v>
      </c>
      <c r="S20">
        <v>271</v>
      </c>
    </row>
    <row r="21" spans="1:19" x14ac:dyDescent="0.25">
      <c r="A21" t="str">
        <f>VLOOKUP(R21,Cache1!$A:$K,11,FALSE)</f>
        <v>870148463</v>
      </c>
      <c r="B21" s="8" t="str">
        <f>VLOOKUP(R21,Cache1!$A:$L,12,FALSE)</f>
        <v>10 Jan 2024</v>
      </c>
      <c r="C21" s="4" t="s">
        <v>80</v>
      </c>
      <c r="D21" s="8" t="str">
        <f>VLOOKUP(C21&amp;"-1",Cache1!$M:$N,2,FALSE)</f>
        <v>12/29/2023</v>
      </c>
      <c r="E21" t="s">
        <v>81</v>
      </c>
      <c r="F21" t="s">
        <v>82</v>
      </c>
      <c r="G21" t="s">
        <v>63</v>
      </c>
      <c r="H21" t="str">
        <f>VLOOKUP(S21,Cache1!$A:$R,18,FALSE)</f>
        <v>PT GISTEX GARMEN INDONESIA</v>
      </c>
      <c r="I21" s="29" t="str">
        <f>_xlfn.IFNA(VLOOKUP(LEFT(E21,3),Ref_Confirmer!$B:$C,2,FALSE),"1201.630530")</f>
        <v>1201.630530</v>
      </c>
      <c r="J21" s="14"/>
      <c r="K21" s="15"/>
      <c r="L21" s="15"/>
      <c r="M21" s="15"/>
      <c r="N21" s="15"/>
      <c r="O21" s="15"/>
      <c r="R21" s="11">
        <v>285</v>
      </c>
      <c r="S21">
        <v>284</v>
      </c>
    </row>
    <row r="22" spans="1:19" x14ac:dyDescent="0.25">
      <c r="A22" t="str">
        <f>VLOOKUP(R22,Cache1!$A:$K,11,FALSE)</f>
        <v>870148463</v>
      </c>
      <c r="B22" s="8" t="str">
        <f>VLOOKUP(R22,Cache1!$A:$L,12,FALSE)</f>
        <v>10 Jan 2024</v>
      </c>
      <c r="C22" s="4" t="s">
        <v>83</v>
      </c>
      <c r="D22" s="8" t="str">
        <f>VLOOKUP(C22&amp;"-1",Cache1!$M:$N,2,FALSE)</f>
        <v>12/30/2023</v>
      </c>
      <c r="E22" t="s">
        <v>29</v>
      </c>
      <c r="F22" t="s">
        <v>32</v>
      </c>
      <c r="G22" t="s">
        <v>30</v>
      </c>
      <c r="H22" t="str">
        <f>VLOOKUP(S22,Cache1!$A:$R,18,FALSE)</f>
        <v>PT.GISTEX GARMEN LNDONESIA</v>
      </c>
      <c r="I22" s="29" t="str">
        <f>_xlfn.IFNA(VLOOKUP(LEFT(E22,3),Ref_Confirmer!$B:$C,2,FALSE),"1201.630530")</f>
        <v>1201.630530</v>
      </c>
      <c r="J22" s="14"/>
      <c r="K22" s="15"/>
      <c r="L22" s="15"/>
      <c r="M22" s="15"/>
      <c r="N22" s="15"/>
      <c r="O22" s="15"/>
      <c r="R22" s="11">
        <v>301</v>
      </c>
      <c r="S22">
        <v>299</v>
      </c>
    </row>
    <row r="23" spans="1:19" x14ac:dyDescent="0.25">
      <c r="A23" t="str">
        <f>VLOOKUP(R23,Cache1!$A:$K,11,FALSE)</f>
        <v>870148464</v>
      </c>
      <c r="B23" s="8" t="str">
        <f>VLOOKUP(R23,Cache1!$A:$L,12,FALSE)</f>
        <v>10 Jan 2024</v>
      </c>
      <c r="C23" s="4" t="s">
        <v>85</v>
      </c>
      <c r="D23" s="8" t="str">
        <f>VLOOKUP(C23&amp;"-1",Cache1!$M:$N,2,FALSE)</f>
        <v>12/27/2023</v>
      </c>
      <c r="E23" t="s">
        <v>36</v>
      </c>
      <c r="F23" t="s">
        <v>41</v>
      </c>
      <c r="G23" t="s">
        <v>37</v>
      </c>
      <c r="H23" t="str">
        <f>VLOOKUP(S23,Cache1!$A:$R,18,FALSE)</f>
        <v>MARUBENI FASHION LINK, LTD</v>
      </c>
      <c r="I23" s="29" t="str">
        <f>_xlfn.IFNA(VLOOKUP(LEFT(E23,3),Ref_Confirmer!$B:$C,2,FALSE),"1201.630530")</f>
        <v>1201.720400</v>
      </c>
      <c r="J23" s="14"/>
      <c r="K23" s="15"/>
      <c r="L23" s="15"/>
      <c r="M23" s="15"/>
      <c r="N23" s="15"/>
      <c r="O23" s="15"/>
      <c r="R23" s="11">
        <v>315</v>
      </c>
      <c r="S23">
        <v>314</v>
      </c>
    </row>
    <row r="24" spans="1:19" x14ac:dyDescent="0.25">
      <c r="A24" t="str">
        <f>VLOOKUP(R24,Cache1!$A:$K,11,FALSE)</f>
        <v>870148464</v>
      </c>
      <c r="B24" s="8" t="str">
        <f>VLOOKUP(R24,Cache1!$A:$L,12,FALSE)</f>
        <v>10 Jan 2024</v>
      </c>
      <c r="C24" s="4" t="s">
        <v>50</v>
      </c>
      <c r="D24" s="8" t="str">
        <f>VLOOKUP(C24&amp;"-1",Cache1!$M:$N,2,FALSE)</f>
        <v>12/29/2023</v>
      </c>
      <c r="E24" t="s">
        <v>36</v>
      </c>
      <c r="F24" t="s">
        <v>41</v>
      </c>
      <c r="G24" t="s">
        <v>37</v>
      </c>
      <c r="H24" t="str">
        <f>VLOOKUP(S24,Cache1!$A:$R,18,FALSE)</f>
        <v>MARUBENI FASHION LINK, LTD</v>
      </c>
      <c r="I24" s="29" t="str">
        <f>_xlfn.IFNA(VLOOKUP(LEFT(E24,3),Ref_Confirmer!$B:$C,2,FALSE),"1201.630530")</f>
        <v>1201.720400</v>
      </c>
      <c r="J24" s="14"/>
      <c r="K24" s="15"/>
      <c r="L24" s="15"/>
      <c r="M24" s="15"/>
      <c r="N24" s="15"/>
      <c r="O24" s="15"/>
      <c r="R24" s="11">
        <v>328</v>
      </c>
      <c r="S24">
        <v>327</v>
      </c>
    </row>
    <row r="25" spans="1:19" x14ac:dyDescent="0.25">
      <c r="A25" t="str">
        <f>VLOOKUP(R25,Cache1!$A:$K,11,FALSE)</f>
        <v>870148464</v>
      </c>
      <c r="B25" s="8" t="str">
        <f>VLOOKUP(R25,Cache1!$A:$L,12,FALSE)</f>
        <v>10 Jan 2024</v>
      </c>
      <c r="C25" s="4" t="s">
        <v>86</v>
      </c>
      <c r="D25" s="8" t="str">
        <f>VLOOKUP(C25&amp;"-1",Cache1!$M:$N,2,FALSE)</f>
        <v>12/29/2023</v>
      </c>
      <c r="E25" t="s">
        <v>36</v>
      </c>
      <c r="F25" t="s">
        <v>41</v>
      </c>
      <c r="G25" t="s">
        <v>37</v>
      </c>
      <c r="H25" t="str">
        <f>VLOOKUP(S25,Cache1!$A:$R,18,FALSE)</f>
        <v>MARUBENI FASHION LINK, LTD</v>
      </c>
      <c r="I25" s="29" t="str">
        <f>_xlfn.IFNA(VLOOKUP(LEFT(E25,3),Ref_Confirmer!$B:$C,2,FALSE),"1201.630530")</f>
        <v>1201.720400</v>
      </c>
      <c r="J25" s="14"/>
      <c r="K25" s="15"/>
      <c r="L25" s="15"/>
      <c r="M25" s="15"/>
      <c r="N25" s="15"/>
      <c r="O25" s="15"/>
      <c r="R25" s="11">
        <v>343</v>
      </c>
      <c r="S25">
        <v>342</v>
      </c>
    </row>
    <row r="26" spans="1:19" x14ac:dyDescent="0.25">
      <c r="A26" t="str">
        <f>VLOOKUP(R26,Cache1!$A:$K,11,FALSE)</f>
        <v>870148464</v>
      </c>
      <c r="B26" s="8" t="str">
        <f>VLOOKUP(R26,Cache1!$A:$L,12,FALSE)</f>
        <v>10 Jan 2024</v>
      </c>
      <c r="C26" s="4" t="s">
        <v>87</v>
      </c>
      <c r="D26" s="8" t="str">
        <f>VLOOKUP(C26&amp;"-1",Cache1!$M:$N,2,FALSE)</f>
        <v>12/29/2023</v>
      </c>
      <c r="E26" t="s">
        <v>43</v>
      </c>
      <c r="F26" t="s">
        <v>41</v>
      </c>
      <c r="G26" t="s">
        <v>88</v>
      </c>
      <c r="H26" t="str">
        <f>VLOOKUP(S26,Cache1!$A:$R,18,FALSE)</f>
        <v>SHAOXING YMYSI IMPORTEXPORT</v>
      </c>
      <c r="I26" s="29" t="str">
        <f>_xlfn.IFNA(VLOOKUP(LEFT(E26,3),Ref_Confirmer!$B:$C,2,FALSE),"1201.630530")</f>
        <v>1201.630530</v>
      </c>
      <c r="J26" s="14"/>
      <c r="K26" s="15"/>
      <c r="L26" s="15"/>
      <c r="M26" s="15"/>
      <c r="N26" s="15"/>
      <c r="O26" s="15"/>
      <c r="R26" s="11">
        <v>356</v>
      </c>
      <c r="S26">
        <v>355</v>
      </c>
    </row>
    <row r="27" spans="1:19" x14ac:dyDescent="0.25">
      <c r="A27" t="str">
        <f>VLOOKUP(R27,Cache1!$A:$K,11,FALSE)</f>
        <v>870148464</v>
      </c>
      <c r="B27" s="8" t="str">
        <f>VLOOKUP(R27,Cache1!$A:$L,12,FALSE)</f>
        <v>10 Jan 2024</v>
      </c>
      <c r="C27" s="4" t="s">
        <v>89</v>
      </c>
      <c r="D27" s="8" t="str">
        <f>VLOOKUP(C27&amp;"-1",Cache1!$M:$N,2,FALSE)</f>
        <v>12/29/2023</v>
      </c>
      <c r="E27" t="s">
        <v>43</v>
      </c>
      <c r="F27" t="s">
        <v>41</v>
      </c>
      <c r="G27" t="s">
        <v>44</v>
      </c>
      <c r="H27" t="str">
        <f>VLOOKUP(S27,Cache1!$A:$R,18,FALSE)</f>
        <v>JIANGSU TEXTILE INDUSTRY</v>
      </c>
      <c r="I27" s="29" t="str">
        <f>_xlfn.IFNA(VLOOKUP(LEFT(E27,3),Ref_Confirmer!$B:$C,2,FALSE),"1201.630530")</f>
        <v>1201.630530</v>
      </c>
      <c r="J27" s="14"/>
      <c r="K27" s="15"/>
      <c r="L27" s="15"/>
      <c r="M27" s="15"/>
      <c r="N27" s="15"/>
      <c r="O27" s="15"/>
      <c r="R27" s="11">
        <v>368</v>
      </c>
      <c r="S27">
        <v>367</v>
      </c>
    </row>
    <row r="28" spans="1:19" x14ac:dyDescent="0.25">
      <c r="A28" t="str">
        <f>VLOOKUP(R28,Cache1!$A:$K,11,FALSE)</f>
        <v>870069727</v>
      </c>
      <c r="B28" s="8" t="str">
        <f>VLOOKUP(R28,Cache1!$A:$L,12,FALSE)</f>
        <v>13 Dec 2023</v>
      </c>
      <c r="C28" s="4" t="s">
        <v>91</v>
      </c>
      <c r="D28" s="8" t="str">
        <f>VLOOKUP(C28&amp;"-1",Cache1!$M:$N,2,FALSE)</f>
        <v>11/29/2023</v>
      </c>
      <c r="E28" t="s">
        <v>92</v>
      </c>
      <c r="F28" t="s">
        <v>41</v>
      </c>
      <c r="G28" t="s">
        <v>93</v>
      </c>
      <c r="H28" t="str">
        <f>VLOOKUP(S28,Cache1!$A:$R,18,FALSE)</f>
        <v>RED WING SHOE COMPANY</v>
      </c>
      <c r="I28" s="29" t="str">
        <f>_xlfn.IFNA(VLOOKUP(LEFT(E28,3),Ref_Confirmer!$B:$C,2,FALSE),"1201.630530")</f>
        <v>1201.630530</v>
      </c>
      <c r="J28" s="14"/>
      <c r="K28" s="15"/>
      <c r="L28" s="15"/>
      <c r="M28" s="15"/>
      <c r="N28" s="15"/>
      <c r="O28" s="15"/>
      <c r="R28" s="11">
        <v>383</v>
      </c>
      <c r="S28">
        <v>382</v>
      </c>
    </row>
    <row r="29" spans="1:19" x14ac:dyDescent="0.25">
      <c r="A29" t="str">
        <f>VLOOKUP(R29,Cache1!$A:$K,11,FALSE)</f>
        <v>870069727</v>
      </c>
      <c r="B29" s="8" t="str">
        <f>VLOOKUP(R29,Cache1!$A:$L,12,FALSE)</f>
        <v>13 Dec 2023</v>
      </c>
      <c r="C29" s="4" t="s">
        <v>95</v>
      </c>
      <c r="D29" s="8" t="str">
        <f>VLOOKUP(C29&amp;"-1",Cache1!$M:$N,2,FALSE)</f>
        <v>11/29/2023</v>
      </c>
      <c r="E29" t="s">
        <v>96</v>
      </c>
      <c r="F29" t="s">
        <v>41</v>
      </c>
      <c r="G29" t="s">
        <v>97</v>
      </c>
      <c r="H29" t="str">
        <f>VLOOKUP(S29,Cache1!$A:$R,18,FALSE)</f>
        <v>HEXAPOLE COMPANY LIMITED</v>
      </c>
      <c r="I29" s="29" t="str">
        <f>_xlfn.IFNA(VLOOKUP(LEFT(E29,3),Ref_Confirmer!$B:$C,2,FALSE),"1201.630530")</f>
        <v>1201.720400</v>
      </c>
      <c r="J29" s="14"/>
      <c r="K29" s="15"/>
      <c r="L29" s="15"/>
      <c r="M29" s="15"/>
      <c r="N29" s="15"/>
      <c r="O29" s="15"/>
      <c r="R29" s="11">
        <v>401</v>
      </c>
      <c r="S29">
        <v>400</v>
      </c>
    </row>
    <row r="30" spans="1:19" x14ac:dyDescent="0.25">
      <c r="A30" t="str">
        <f>VLOOKUP(R30,Cache1!$A:$K,11,FALSE)</f>
        <v>870069727</v>
      </c>
      <c r="B30" s="8" t="str">
        <f>VLOOKUP(R30,Cache1!$A:$L,12,FALSE)</f>
        <v>13 Dec 2023</v>
      </c>
      <c r="C30" s="4" t="s">
        <v>99</v>
      </c>
      <c r="D30" s="8" t="str">
        <f>VLOOKUP(C30&amp;"-1",Cache1!$M:$N,2,FALSE)</f>
        <v>11/29/2023</v>
      </c>
      <c r="E30" t="s">
        <v>43</v>
      </c>
      <c r="F30" t="s">
        <v>41</v>
      </c>
      <c r="G30" t="s">
        <v>100</v>
      </c>
      <c r="H30" t="str">
        <f>VLOOKUP(S30,Cache1!$A:$R,18,FALSE)</f>
        <v>MIYAMORI CO., LTD</v>
      </c>
      <c r="I30" s="29" t="str">
        <f>_xlfn.IFNA(VLOOKUP(LEFT(E30,3),Ref_Confirmer!$B:$C,2,FALSE),"1201.630530")</f>
        <v>1201.630530</v>
      </c>
      <c r="J30" s="14"/>
      <c r="K30" s="15"/>
      <c r="L30" s="15"/>
      <c r="M30" s="15"/>
      <c r="N30" s="15"/>
      <c r="O30" s="15"/>
      <c r="R30" s="11">
        <v>414</v>
      </c>
      <c r="S30">
        <v>413</v>
      </c>
    </row>
    <row r="31" spans="1:19" x14ac:dyDescent="0.25">
      <c r="A31" t="str">
        <f>VLOOKUP(R31,Cache1!$A:$K,11,FALSE)</f>
        <v>870069727</v>
      </c>
      <c r="B31" s="8" t="str">
        <f>VLOOKUP(R31,Cache1!$A:$L,12,FALSE)</f>
        <v>13 Dec 2023</v>
      </c>
      <c r="C31" s="4" t="s">
        <v>102</v>
      </c>
      <c r="D31" s="8" t="str">
        <f>VLOOKUP(C31&amp;"-1",Cache1!$M:$N,2,FALSE)</f>
        <v>11/29/2023</v>
      </c>
      <c r="E31" t="s">
        <v>36</v>
      </c>
      <c r="F31" t="s">
        <v>41</v>
      </c>
      <c r="G31" t="s">
        <v>37</v>
      </c>
      <c r="H31" t="str">
        <f>VLOOKUP(S31,Cache1!$A:$R,18,FALSE)</f>
        <v>MARUBENI FASHION LINK, LTD</v>
      </c>
      <c r="I31" s="29" t="str">
        <f>_xlfn.IFNA(VLOOKUP(LEFT(E31,3),Ref_Confirmer!$B:$C,2,FALSE),"1201.630530")</f>
        <v>1201.720400</v>
      </c>
      <c r="J31" s="14"/>
      <c r="K31" s="15"/>
      <c r="L31" s="15"/>
      <c r="M31" s="15"/>
      <c r="N31" s="15"/>
      <c r="O31" s="15"/>
      <c r="R31" s="11">
        <v>428</v>
      </c>
      <c r="S31">
        <v>427</v>
      </c>
    </row>
    <row r="32" spans="1:19" x14ac:dyDescent="0.25">
      <c r="A32" t="str">
        <f>VLOOKUP(R32,Cache1!$A:$K,11,FALSE)</f>
        <v>870069727</v>
      </c>
      <c r="B32" s="8" t="str">
        <f>VLOOKUP(R32,Cache1!$A:$L,12,FALSE)</f>
        <v>13 Dec 2023</v>
      </c>
      <c r="C32" s="4" t="s">
        <v>103</v>
      </c>
      <c r="D32" s="8" t="str">
        <f>VLOOKUP(C32&amp;"-1",Cache1!$M:$N,2,FALSE)</f>
        <v>11/30/2023</v>
      </c>
      <c r="E32" t="s">
        <v>36</v>
      </c>
      <c r="F32" t="s">
        <v>41</v>
      </c>
      <c r="G32" t="s">
        <v>37</v>
      </c>
      <c r="H32" t="str">
        <f>VLOOKUP(S32,Cache1!$A:$R,18,FALSE)</f>
        <v>MARUBENI FASHION LINK, LTD</v>
      </c>
      <c r="I32" s="29" t="str">
        <f>_xlfn.IFNA(VLOOKUP(LEFT(E32,3),Ref_Confirmer!$B:$C,2,FALSE),"1201.630530")</f>
        <v>1201.720400</v>
      </c>
      <c r="J32" s="14"/>
      <c r="K32" s="15"/>
      <c r="L32" s="15"/>
      <c r="M32" s="15"/>
      <c r="N32" s="15"/>
      <c r="O32" s="15"/>
      <c r="R32" s="11">
        <v>440</v>
      </c>
      <c r="S32">
        <v>439</v>
      </c>
    </row>
    <row r="33" spans="1:19" x14ac:dyDescent="0.25">
      <c r="A33" t="str">
        <f>VLOOKUP(R33,Cache1!$A:$K,11,FALSE)</f>
        <v>870069727</v>
      </c>
      <c r="B33" s="8" t="str">
        <f>VLOOKUP(R33,Cache1!$A:$L,12,FALSE)</f>
        <v>13 Dec 2023</v>
      </c>
      <c r="C33" s="4" t="s">
        <v>104</v>
      </c>
      <c r="D33" s="8" t="str">
        <f>VLOOKUP(C33&amp;"-1",Cache1!$M:$N,2,FALSE)</f>
        <v>12/01/2023</v>
      </c>
      <c r="E33" t="s">
        <v>96</v>
      </c>
      <c r="F33" t="s">
        <v>41</v>
      </c>
      <c r="G33" t="s">
        <v>97</v>
      </c>
      <c r="H33" t="str">
        <f>VLOOKUP(S33,Cache1!$A:$R,18,FALSE)</f>
        <v>HEXAPOLE COMPANY LIMITED</v>
      </c>
      <c r="I33" s="29" t="str">
        <f>_xlfn.IFNA(VLOOKUP(LEFT(E33,3),Ref_Confirmer!$B:$C,2,FALSE),"1201.630530")</f>
        <v>1201.720400</v>
      </c>
      <c r="J33" s="14"/>
      <c r="K33" s="15"/>
      <c r="L33" s="15"/>
      <c r="M33" s="15"/>
      <c r="N33" s="15"/>
      <c r="O33" s="15"/>
      <c r="R33" s="11">
        <v>453</v>
      </c>
      <c r="S33">
        <v>452</v>
      </c>
    </row>
    <row r="34" spans="1:19" x14ac:dyDescent="0.25">
      <c r="A34" t="str">
        <f>VLOOKUP(R34,Cache1!$A:$K,11,FALSE)</f>
        <v>870069727</v>
      </c>
      <c r="B34" s="8" t="str">
        <f>VLOOKUP(R34,Cache1!$A:$L,12,FALSE)</f>
        <v>13 Dec 2023</v>
      </c>
      <c r="C34" s="4" t="s">
        <v>105</v>
      </c>
      <c r="D34" s="8" t="str">
        <f>VLOOKUP(C34&amp;"-1",Cache1!$M:$N,2,FALSE)</f>
        <v>12/01/2023</v>
      </c>
      <c r="E34" t="s">
        <v>106</v>
      </c>
      <c r="F34" t="s">
        <v>41</v>
      </c>
      <c r="G34" t="s">
        <v>107</v>
      </c>
      <c r="H34" t="str">
        <f>VLOOKUP(S34,Cache1!$A:$R,18,FALSE)</f>
        <v>SUNRICH MODE INC.</v>
      </c>
      <c r="I34" s="29" t="str">
        <f>_xlfn.IFNA(VLOOKUP(LEFT(E34,3),Ref_Confirmer!$B:$C,2,FALSE),"1201.630530")</f>
        <v>1201.720400</v>
      </c>
      <c r="J34" s="14"/>
      <c r="K34" s="15"/>
      <c r="L34" s="15"/>
      <c r="M34" s="15"/>
      <c r="N34" s="15"/>
      <c r="O34" s="15"/>
      <c r="R34" s="11">
        <v>466</v>
      </c>
      <c r="S34">
        <v>465</v>
      </c>
    </row>
    <row r="35" spans="1:19" x14ac:dyDescent="0.25">
      <c r="A35" t="str">
        <f>VLOOKUP(R35,Cache1!$A:$K,11,FALSE)</f>
        <v>870069727</v>
      </c>
      <c r="B35" s="8" t="str">
        <f>VLOOKUP(R35,Cache1!$A:$L,12,FALSE)</f>
        <v>13 Dec 2023</v>
      </c>
      <c r="C35" s="4" t="s">
        <v>109</v>
      </c>
      <c r="D35" s="8" t="str">
        <f>VLOOKUP(C35&amp;"-1",Cache1!$M:$N,2,FALSE)</f>
        <v>12/01/2023</v>
      </c>
      <c r="E35" t="s">
        <v>43</v>
      </c>
      <c r="F35" t="s">
        <v>41</v>
      </c>
      <c r="G35" t="s">
        <v>110</v>
      </c>
      <c r="H35" t="str">
        <f>VLOOKUP(S35,Cache1!$A:$R,18,FALSE)</f>
        <v>SHAOXING RAYSAR TEXTILE CO.,LT</v>
      </c>
      <c r="I35" s="29" t="str">
        <f>_xlfn.IFNA(VLOOKUP(LEFT(E35,3),Ref_Confirmer!$B:$C,2,FALSE),"1201.630530")</f>
        <v>1201.630530</v>
      </c>
      <c r="J35" s="14"/>
      <c r="K35" s="15"/>
      <c r="L35" s="15"/>
      <c r="M35" s="15"/>
      <c r="N35" s="15"/>
      <c r="O35" s="15"/>
      <c r="R35" s="11">
        <v>480</v>
      </c>
      <c r="S35">
        <v>479</v>
      </c>
    </row>
    <row r="36" spans="1:19" x14ac:dyDescent="0.25">
      <c r="A36" t="str">
        <f>VLOOKUP(R36,Cache1!$A:$K,11,FALSE)</f>
        <v>870069727</v>
      </c>
      <c r="B36" s="8" t="str">
        <f>VLOOKUP(R36,Cache1!$A:$L,12,FALSE)</f>
        <v>13 Dec 2023</v>
      </c>
      <c r="C36" s="4" t="s">
        <v>112</v>
      </c>
      <c r="D36" s="8" t="str">
        <f>VLOOKUP(C36&amp;"-1",Cache1!$M:$N,2,FALSE)</f>
        <v>12/05/2023</v>
      </c>
      <c r="E36" t="s">
        <v>96</v>
      </c>
      <c r="F36" t="s">
        <v>41</v>
      </c>
      <c r="G36" t="s">
        <v>97</v>
      </c>
      <c r="H36" t="str">
        <f>VLOOKUP(S36,Cache1!$A:$R,18,FALSE)</f>
        <v>HEXAPOLE COMPANY LIMITED</v>
      </c>
      <c r="I36" s="29" t="str">
        <f>_xlfn.IFNA(VLOOKUP(LEFT(E36,3),Ref_Confirmer!$B:$C,2,FALSE),"1201.630530")</f>
        <v>1201.720400</v>
      </c>
      <c r="J36" s="14"/>
      <c r="K36" s="15"/>
      <c r="L36" s="15"/>
      <c r="M36" s="15"/>
      <c r="N36" s="15"/>
      <c r="O36" s="15"/>
      <c r="R36" s="11">
        <v>492</v>
      </c>
      <c r="S36">
        <v>491</v>
      </c>
    </row>
    <row r="37" spans="1:19" x14ac:dyDescent="0.25">
      <c r="A37" t="str">
        <f>VLOOKUP(R37,Cache1!$A:$K,11,FALSE)</f>
        <v>870069727</v>
      </c>
      <c r="B37" s="8" t="str">
        <f>VLOOKUP(R37,Cache1!$A:$L,12,FALSE)</f>
        <v>13 Dec 2023</v>
      </c>
      <c r="C37" s="4" t="s">
        <v>113</v>
      </c>
      <c r="D37" s="8" t="str">
        <f>VLOOKUP(C37&amp;"-1",Cache1!$M:$N,2,FALSE)</f>
        <v>12/05/2023</v>
      </c>
      <c r="E37" t="s">
        <v>36</v>
      </c>
      <c r="F37" t="s">
        <v>41</v>
      </c>
      <c r="G37" t="s">
        <v>37</v>
      </c>
      <c r="H37" t="str">
        <f>VLOOKUP(S37,Cache1!$A:$R,18,FALSE)</f>
        <v>MARUBENI FASHION LINK, LTD</v>
      </c>
      <c r="I37" s="29" t="str">
        <f>_xlfn.IFNA(VLOOKUP(LEFT(E37,3),Ref_Confirmer!$B:$C,2,FALSE),"1201.630530")</f>
        <v>1201.720400</v>
      </c>
      <c r="J37" s="14"/>
      <c r="K37" s="15"/>
      <c r="L37" s="15"/>
      <c r="M37" s="15"/>
      <c r="N37" s="15"/>
      <c r="O37" s="15"/>
      <c r="R37" s="11">
        <v>505</v>
      </c>
      <c r="S37">
        <v>504</v>
      </c>
    </row>
    <row r="38" spans="1:19" x14ac:dyDescent="0.25">
      <c r="A38" t="str">
        <f>VLOOKUP(R38,Cache1!$A:$K,11,FALSE)</f>
        <v>870069728</v>
      </c>
      <c r="B38" s="8" t="str">
        <f>VLOOKUP(R38,Cache1!$A:$L,12,FALSE)</f>
        <v>13 Dec 2023</v>
      </c>
      <c r="C38" s="4" t="s">
        <v>115</v>
      </c>
      <c r="D38" s="8" t="str">
        <f>VLOOKUP(C38&amp;"-1",Cache1!$M:$N,2,FALSE)</f>
        <v>12/05/2023</v>
      </c>
      <c r="E38" t="s">
        <v>56</v>
      </c>
      <c r="F38" t="s">
        <v>58</v>
      </c>
      <c r="G38" t="s">
        <v>158</v>
      </c>
      <c r="H38" t="str">
        <f>VLOOKUP(S38,Cache1!$A:$R,18,FALSE)</f>
        <v>PT GISTEX GARMEN INDONESIA</v>
      </c>
      <c r="I38" s="29" t="str">
        <f>_xlfn.IFNA(VLOOKUP(LEFT(E38,3),Ref_Confirmer!$B:$C,2,FALSE),"1201.630530")</f>
        <v>1201.630530</v>
      </c>
      <c r="J38" s="14"/>
      <c r="K38" s="15"/>
      <c r="L38" s="15"/>
      <c r="M38" s="15"/>
      <c r="N38" s="15"/>
      <c r="O38" s="15"/>
      <c r="R38" s="11">
        <v>522</v>
      </c>
      <c r="S38">
        <v>520</v>
      </c>
    </row>
    <row r="39" spans="1:19" x14ac:dyDescent="0.25">
      <c r="A39" t="str">
        <f>VLOOKUP(R39,Cache1!$A:$K,11,FALSE)</f>
        <v>870072442</v>
      </c>
      <c r="B39" s="8" t="str">
        <f>VLOOKUP(R39,Cache1!$A:$L,12,FALSE)</f>
        <v>13 Dec 2023</v>
      </c>
      <c r="C39" s="4" t="s">
        <v>117</v>
      </c>
      <c r="D39" s="8" t="str">
        <f>VLOOKUP(C39&amp;"-1",Cache1!$M:$N,2,FALSE)</f>
        <v>12/08/2023</v>
      </c>
      <c r="E39" t="s">
        <v>36</v>
      </c>
      <c r="F39" t="s">
        <v>41</v>
      </c>
      <c r="G39" t="s">
        <v>37</v>
      </c>
      <c r="H39" t="str">
        <f>VLOOKUP(S39,Cache1!$A:$R,18,FALSE)</f>
        <v>MARUBENI FASHION LINK, LTD</v>
      </c>
      <c r="I39" s="29" t="str">
        <f>_xlfn.IFNA(VLOOKUP(LEFT(E39,3),Ref_Confirmer!$B:$C,2,FALSE),"1201.630530")</f>
        <v>1201.720400</v>
      </c>
      <c r="J39" s="14"/>
      <c r="K39" s="15"/>
      <c r="L39" s="15"/>
      <c r="M39" s="15"/>
      <c r="N39" s="15"/>
      <c r="O39" s="15"/>
      <c r="R39" s="11">
        <v>538</v>
      </c>
      <c r="S39">
        <v>536</v>
      </c>
    </row>
    <row r="40" spans="1:19" x14ac:dyDescent="0.25">
      <c r="A40" t="str">
        <f>VLOOKUP(R40,Cache1!$A:$K,11,FALSE)</f>
        <v>870159593</v>
      </c>
      <c r="B40" s="8" t="str">
        <f>VLOOKUP(R40,Cache1!$A:$L,12,FALSE)</f>
        <v>15 Jan 2024</v>
      </c>
      <c r="C40" s="4" t="s">
        <v>119</v>
      </c>
      <c r="D40" s="8" t="str">
        <f>VLOOKUP(C40&amp;"-1",Cache1!$M:$N,2,FALSE)</f>
        <v>01/08/2024</v>
      </c>
      <c r="E40" t="s">
        <v>36</v>
      </c>
      <c r="F40" t="s">
        <v>120</v>
      </c>
      <c r="G40" t="s">
        <v>37</v>
      </c>
      <c r="H40" t="str">
        <f>VLOOKUP(S40,Cache1!$A:$R,18,FALSE)</f>
        <v>MARUBENI FASHION LINK, LTD</v>
      </c>
      <c r="I40" s="29" t="str">
        <f>_xlfn.IFNA(VLOOKUP(LEFT(E40,3),Ref_Confirmer!$B:$C,2,FALSE),"1201.630530")</f>
        <v>1201.720400</v>
      </c>
      <c r="J40" s="14"/>
      <c r="K40" s="15"/>
      <c r="L40" s="15"/>
      <c r="M40" s="15"/>
      <c r="N40" s="15"/>
      <c r="O40" s="15"/>
      <c r="R40" s="11">
        <v>553</v>
      </c>
      <c r="S40">
        <v>551</v>
      </c>
    </row>
    <row r="41" spans="1:19" x14ac:dyDescent="0.25">
      <c r="A41" t="str">
        <f>VLOOKUP(R41,Cache1!$A:$K,11,FALSE)</f>
        <v>870085656</v>
      </c>
      <c r="B41" s="8" t="str">
        <f>VLOOKUP(R41,Cache1!$A:$L,12,FALSE)</f>
        <v>18 Dec 2023</v>
      </c>
      <c r="C41" s="4" t="s">
        <v>122</v>
      </c>
      <c r="D41" s="8" t="str">
        <f>VLOOKUP(C41&amp;"-1",Cache1!$M:$N,2,FALSE)</f>
        <v>12/07/2023</v>
      </c>
      <c r="E41" t="s">
        <v>71</v>
      </c>
      <c r="G41" t="s">
        <v>72</v>
      </c>
      <c r="H41" t="str">
        <f>VLOOKUP(S41,Cache1!$A:$R,18,FALSE)</f>
        <v>PT. GISTEX GARMEN INDONESIA II</v>
      </c>
      <c r="I41" s="29" t="str">
        <f>_xlfn.IFNA(VLOOKUP(LEFT(E41,3),Ref_Confirmer!$B:$C,2,FALSE),"1201.630530")</f>
        <v>1201.630530</v>
      </c>
      <c r="J41" s="14"/>
      <c r="K41" s="15"/>
      <c r="L41" s="15"/>
      <c r="M41" s="15"/>
      <c r="N41" s="15"/>
      <c r="O41" s="15"/>
      <c r="R41" s="11">
        <v>568</v>
      </c>
      <c r="S41">
        <v>566</v>
      </c>
    </row>
    <row r="42" spans="1:19" x14ac:dyDescent="0.25">
      <c r="A42" t="str">
        <f>VLOOKUP(R42,Cache1!$A:$K,11,FALSE)</f>
        <v>870163300</v>
      </c>
      <c r="B42" s="8" t="str">
        <f>VLOOKUP(R42,Cache1!$A:$L,12,FALSE)</f>
        <v>17 Jan 2024</v>
      </c>
      <c r="C42" s="4" t="s">
        <v>124</v>
      </c>
      <c r="D42" s="8" t="str">
        <f>VLOOKUP(C42&amp;"-1",Cache1!$M:$N,2,FALSE)</f>
        <v>01/05/2024</v>
      </c>
      <c r="E42" t="s">
        <v>96</v>
      </c>
      <c r="F42" t="s">
        <v>41</v>
      </c>
      <c r="G42" t="s">
        <v>97</v>
      </c>
      <c r="H42" t="str">
        <f>VLOOKUP(S42,Cache1!$A:$R,18,FALSE)</f>
        <v>HEXAPOLE COMPANY LIMITED</v>
      </c>
      <c r="I42" s="29" t="str">
        <f>_xlfn.IFNA(VLOOKUP(LEFT(E42,3),Ref_Confirmer!$B:$C,2,FALSE),"1201.630530")</f>
        <v>1201.720400</v>
      </c>
      <c r="J42" s="14"/>
      <c r="K42" s="15"/>
      <c r="L42" s="15"/>
      <c r="M42" s="15"/>
      <c r="N42" s="15"/>
      <c r="O42" s="15"/>
      <c r="R42" s="11">
        <v>582</v>
      </c>
      <c r="S42">
        <v>581</v>
      </c>
    </row>
    <row r="43" spans="1:19" x14ac:dyDescent="0.25">
      <c r="A43" t="str">
        <f>VLOOKUP(R43,Cache1!$A:$K,11,FALSE)</f>
        <v>870163300</v>
      </c>
      <c r="B43" s="8" t="str">
        <f>VLOOKUP(R43,Cache1!$A:$L,12,FALSE)</f>
        <v>17 Jan 2024</v>
      </c>
      <c r="C43" s="4" t="s">
        <v>125</v>
      </c>
      <c r="D43" s="8" t="str">
        <f>VLOOKUP(C43&amp;"-1",Cache1!$M:$N,2,FALSE)</f>
        <v>01/05/2024</v>
      </c>
      <c r="E43" t="s">
        <v>36</v>
      </c>
      <c r="F43" t="s">
        <v>41</v>
      </c>
      <c r="G43" t="s">
        <v>37</v>
      </c>
      <c r="H43" t="str">
        <f>VLOOKUP(S43,Cache1!$A:$R,18,FALSE)</f>
        <v>MARUBENI FASHION LINK, LTD</v>
      </c>
      <c r="I43" s="29" t="str">
        <f>_xlfn.IFNA(VLOOKUP(LEFT(E43,3),Ref_Confirmer!$B:$C,2,FALSE),"1201.630530")</f>
        <v>1201.720400</v>
      </c>
      <c r="J43" s="14"/>
      <c r="K43" s="15"/>
      <c r="L43" s="15"/>
      <c r="M43" s="15"/>
      <c r="N43" s="15"/>
      <c r="O43" s="15"/>
      <c r="R43" s="11">
        <v>596</v>
      </c>
      <c r="S43">
        <v>595</v>
      </c>
    </row>
    <row r="44" spans="1:19" x14ac:dyDescent="0.25">
      <c r="A44" t="str">
        <f>VLOOKUP(R44,Cache1!$A:$K,11,FALSE)</f>
        <v>870163300</v>
      </c>
      <c r="B44" s="8" t="str">
        <f>VLOOKUP(R44,Cache1!$A:$L,12,FALSE)</f>
        <v>17 Jan 2024</v>
      </c>
      <c r="C44" s="4" t="s">
        <v>119</v>
      </c>
      <c r="D44" s="8" t="str">
        <f>VLOOKUP(C44&amp;"-1",Cache1!$M:$N,2,FALSE)</f>
        <v>01/08/2024</v>
      </c>
      <c r="E44" t="s">
        <v>36</v>
      </c>
      <c r="F44" t="s">
        <v>120</v>
      </c>
      <c r="G44" t="s">
        <v>37</v>
      </c>
      <c r="H44" t="str">
        <f>VLOOKUP(S44,Cache1!$A:$R,18,FALSE)</f>
        <v>MARUBENI FASHION LINK, LTD</v>
      </c>
      <c r="I44" s="29" t="str">
        <f>_xlfn.IFNA(VLOOKUP(LEFT(E44,3),Ref_Confirmer!$B:$C,2,FALSE),"1201.630530")</f>
        <v>1201.720400</v>
      </c>
      <c r="J44" s="14"/>
      <c r="K44" s="15"/>
      <c r="L44" s="15"/>
      <c r="M44" s="15"/>
      <c r="N44" s="15"/>
      <c r="O44" s="15"/>
      <c r="R44" s="11">
        <v>609</v>
      </c>
      <c r="S44">
        <v>608</v>
      </c>
    </row>
    <row r="45" spans="1:19" x14ac:dyDescent="0.25">
      <c r="A45" t="str">
        <f>VLOOKUP(R45,Cache1!$A:$K,11,FALSE)</f>
        <v>870163301</v>
      </c>
      <c r="B45" s="8" t="str">
        <f>VLOOKUP(R45,Cache1!$A:$L,12,FALSE)</f>
        <v>17 Jan 2024</v>
      </c>
      <c r="C45" s="4" t="s">
        <v>129</v>
      </c>
      <c r="D45" s="8" t="str">
        <f>VLOOKUP(C45&amp;"-1",Cache1!$M:$N,2,FALSE)</f>
        <v>01/05/2024</v>
      </c>
      <c r="E45" t="s">
        <v>127</v>
      </c>
      <c r="F45" t="s">
        <v>130</v>
      </c>
      <c r="G45" t="s">
        <v>128</v>
      </c>
      <c r="H45" t="str">
        <f>VLOOKUP(S45,Cache1!$A:$R,18,FALSE)</f>
        <v>PT.GISTEX GARMEN INDONESIA</v>
      </c>
      <c r="I45" s="29" t="str">
        <f>_xlfn.IFNA(VLOOKUP(LEFT(E45,3),Ref_Confirmer!$B:$C,2,FALSE),"1201.630530")</f>
        <v>1201.630530</v>
      </c>
      <c r="J45" s="14"/>
      <c r="K45" s="15"/>
      <c r="L45" s="15"/>
      <c r="M45" s="15"/>
      <c r="N45" s="15"/>
      <c r="O45" s="15"/>
      <c r="R45" s="11">
        <v>625</v>
      </c>
      <c r="S45">
        <v>623</v>
      </c>
    </row>
    <row r="46" spans="1:19" x14ac:dyDescent="0.25">
      <c r="A46" t="str">
        <f>VLOOKUP(R46,Cache1!$A:$K,11,FALSE)</f>
        <v>870091402</v>
      </c>
      <c r="B46" s="8" t="str">
        <f>VLOOKUP(R46,Cache1!$A:$L,12,FALSE)</f>
        <v>20 Dec 2023</v>
      </c>
      <c r="C46" s="4" t="s">
        <v>132</v>
      </c>
      <c r="D46" s="8" t="str">
        <f>VLOOKUP(C46&amp;"-1",Cache1!$M:$N,2,FALSE)</f>
        <v>09/27/2023</v>
      </c>
      <c r="E46" t="s">
        <v>71</v>
      </c>
      <c r="G46">
        <v>0</v>
      </c>
      <c r="H46" t="str">
        <f>VLOOKUP(S46,Cache1!$A:$R,18,FALSE)</f>
        <v>GISTEX GARMEN INDONESIA PT</v>
      </c>
      <c r="I46" s="29" t="str">
        <f>_xlfn.IFNA(VLOOKUP(LEFT(E46,3),Ref_Confirmer!$B:$C,2,FALSE),"1201.630530")</f>
        <v>1201.630530</v>
      </c>
      <c r="J46" s="14"/>
      <c r="K46" s="15"/>
      <c r="L46" s="15"/>
      <c r="M46" s="15"/>
      <c r="N46" s="15"/>
      <c r="O46" s="15"/>
      <c r="R46" s="11">
        <v>640</v>
      </c>
      <c r="S46">
        <v>639</v>
      </c>
    </row>
    <row r="47" spans="1:19" x14ac:dyDescent="0.25">
      <c r="A47" t="str">
        <f>VLOOKUP(R47,Cache1!$A:$K,11,FALSE)</f>
        <v>870091402</v>
      </c>
      <c r="B47" s="8" t="str">
        <f>VLOOKUP(R47,Cache1!$A:$L,12,FALSE)</f>
        <v>20 Dec 2023</v>
      </c>
      <c r="C47" s="4" t="s">
        <v>134</v>
      </c>
      <c r="D47" s="8" t="str">
        <f>VLOOKUP(C47&amp;"-1",Cache1!$M:$N,2,FALSE)</f>
        <v>12/06/2023</v>
      </c>
      <c r="E47" t="s">
        <v>52</v>
      </c>
      <c r="F47" t="s">
        <v>54</v>
      </c>
      <c r="G47" t="s">
        <v>135</v>
      </c>
      <c r="H47" t="str">
        <f>VLOOKUP(S47,Cache1!$A:$R,18,FALSE)</f>
        <v>P.T. GISTEX GARMEN INDONESIA</v>
      </c>
      <c r="I47" s="29" t="str">
        <f>_xlfn.IFNA(VLOOKUP(LEFT(E47,3),Ref_Confirmer!$B:$C,2,FALSE),"1201.630530")</f>
        <v>1201.630530</v>
      </c>
      <c r="J47" s="14"/>
      <c r="K47" s="15"/>
      <c r="L47" s="15"/>
      <c r="M47" s="15"/>
      <c r="N47" s="15"/>
      <c r="O47" s="15"/>
      <c r="R47" s="11">
        <v>659</v>
      </c>
      <c r="S47">
        <v>658</v>
      </c>
    </row>
    <row r="48" spans="1:19" x14ac:dyDescent="0.25">
      <c r="A48" t="str">
        <f>VLOOKUP(R48,Cache1!$A:$K,11,FALSE)</f>
        <v>870091402</v>
      </c>
      <c r="B48" s="8" t="str">
        <f>VLOOKUP(R48,Cache1!$A:$L,12,FALSE)</f>
        <v>20 Dec 2023</v>
      </c>
      <c r="C48" s="4" t="s">
        <v>122</v>
      </c>
      <c r="D48" s="8" t="str">
        <f>VLOOKUP(C48&amp;"-1",Cache1!$M:$N,2,FALSE)</f>
        <v>12/07/2023</v>
      </c>
      <c r="E48" t="s">
        <v>71</v>
      </c>
      <c r="G48" t="s">
        <v>72</v>
      </c>
      <c r="H48" t="str">
        <f>VLOOKUP(S48,Cache1!$A:$R,18,FALSE)</f>
        <v>PT. GISTEX GARMEN INDONESIA II</v>
      </c>
      <c r="I48" s="29" t="str">
        <f>_xlfn.IFNA(VLOOKUP(LEFT(E48,3),Ref_Confirmer!$B:$C,2,FALSE),"1201.630530")</f>
        <v>1201.630530</v>
      </c>
      <c r="J48" s="14"/>
      <c r="K48" s="15"/>
      <c r="L48" s="15"/>
      <c r="M48" s="15"/>
      <c r="N48" s="15"/>
      <c r="O48" s="15"/>
      <c r="R48" s="11">
        <v>677</v>
      </c>
      <c r="S48">
        <v>676</v>
      </c>
    </row>
    <row r="49" spans="1:19" x14ac:dyDescent="0.25">
      <c r="A49" t="str">
        <f>VLOOKUP(R49,Cache1!$A:$K,11,FALSE)</f>
        <v>870091403</v>
      </c>
      <c r="B49" s="8" t="str">
        <f>VLOOKUP(R49,Cache1!$A:$L,12,FALSE)</f>
        <v>20 Dec 2023</v>
      </c>
      <c r="C49" s="4" t="s">
        <v>137</v>
      </c>
      <c r="D49" s="8" t="str">
        <f>VLOOKUP(C49&amp;"-1",Cache1!$M:$N,2,FALSE)</f>
        <v>12/06/2023</v>
      </c>
      <c r="E49" t="s">
        <v>36</v>
      </c>
      <c r="F49" t="s">
        <v>41</v>
      </c>
      <c r="G49" t="s">
        <v>37</v>
      </c>
      <c r="H49" t="str">
        <f>VLOOKUP(S49,Cache1!$A:$R,18,FALSE)</f>
        <v>MARUBENI FASHION LINK, LTD</v>
      </c>
      <c r="I49" s="29" t="str">
        <f>_xlfn.IFNA(VLOOKUP(LEFT(E49,3),Ref_Confirmer!$B:$C,2,FALSE),"1201.630530")</f>
        <v>1201.720400</v>
      </c>
      <c r="J49" s="14"/>
      <c r="K49" s="15"/>
      <c r="L49" s="15"/>
      <c r="M49" s="15"/>
      <c r="N49" s="15"/>
      <c r="O49" s="15"/>
      <c r="R49" s="11">
        <v>693</v>
      </c>
      <c r="S49">
        <v>692</v>
      </c>
    </row>
    <row r="50" spans="1:19" x14ac:dyDescent="0.25">
      <c r="A50" t="str">
        <f>VLOOKUP(R50,Cache1!$A:$K,11,FALSE)</f>
        <v>870091403</v>
      </c>
      <c r="B50" s="8" t="str">
        <f>VLOOKUP(R50,Cache1!$A:$L,12,FALSE)</f>
        <v>20 Dec 2023</v>
      </c>
      <c r="C50" s="4" t="s">
        <v>138</v>
      </c>
      <c r="D50" s="8" t="str">
        <f>VLOOKUP(C50&amp;"-1",Cache1!$M:$N,2,FALSE)</f>
        <v>12/06/2023</v>
      </c>
      <c r="E50" t="s">
        <v>43</v>
      </c>
      <c r="F50" t="s">
        <v>41</v>
      </c>
      <c r="G50" t="s">
        <v>88</v>
      </c>
      <c r="H50" t="str">
        <f>VLOOKUP(S50,Cache1!$A:$R,18,FALSE)</f>
        <v>SHAOXING YMYSI IMPORTEXPORT</v>
      </c>
      <c r="I50" s="29" t="str">
        <f>_xlfn.IFNA(VLOOKUP(LEFT(E50,3),Ref_Confirmer!$B:$C,2,FALSE),"1201.630530")</f>
        <v>1201.630530</v>
      </c>
      <c r="J50" s="14"/>
      <c r="K50" s="15"/>
      <c r="L50" s="15"/>
      <c r="M50" s="15"/>
      <c r="N50" s="15"/>
      <c r="O50" s="15"/>
      <c r="R50" s="11">
        <v>706</v>
      </c>
      <c r="S50">
        <v>705</v>
      </c>
    </row>
    <row r="51" spans="1:19" x14ac:dyDescent="0.25">
      <c r="A51" t="str">
        <f>VLOOKUP(R51,Cache1!$A:$K,11,FALSE)</f>
        <v>870091403</v>
      </c>
      <c r="B51" s="8" t="str">
        <f>VLOOKUP(R51,Cache1!$A:$L,12,FALSE)</f>
        <v>20 Dec 2023</v>
      </c>
      <c r="C51" s="4" t="s">
        <v>139</v>
      </c>
      <c r="D51" s="8" t="str">
        <f>VLOOKUP(C51&amp;"-1",Cache1!$M:$N,2,FALSE)</f>
        <v>12/08/2023</v>
      </c>
      <c r="E51" t="s">
        <v>96</v>
      </c>
      <c r="F51" t="s">
        <v>41</v>
      </c>
      <c r="G51" t="s">
        <v>97</v>
      </c>
      <c r="H51" t="str">
        <f>VLOOKUP(S51,Cache1!$A:$R,18,FALSE)</f>
        <v>HEXAPOLE COMPANY LIMITED</v>
      </c>
      <c r="I51" s="29" t="str">
        <f>_xlfn.IFNA(VLOOKUP(LEFT(E51,3),Ref_Confirmer!$B:$C,2,FALSE),"1201.630530")</f>
        <v>1201.720400</v>
      </c>
      <c r="J51" s="14"/>
      <c r="K51" s="15"/>
      <c r="L51" s="15"/>
      <c r="M51" s="15"/>
      <c r="N51" s="15"/>
      <c r="O51" s="15"/>
      <c r="R51" s="11">
        <v>719</v>
      </c>
      <c r="S51">
        <v>718</v>
      </c>
    </row>
    <row r="52" spans="1:19" x14ac:dyDescent="0.25">
      <c r="A52" t="str">
        <f>VLOOKUP(R52,Cache1!$A:$K,11,FALSE)</f>
        <v>870091403</v>
      </c>
      <c r="B52" s="8" t="str">
        <f>VLOOKUP(R52,Cache1!$A:$L,12,FALSE)</f>
        <v>20 Dec 2023</v>
      </c>
      <c r="C52" s="4" t="s">
        <v>140</v>
      </c>
      <c r="D52" s="8" t="str">
        <f>VLOOKUP(C52&amp;"-1",Cache1!$M:$N,2,FALSE)</f>
        <v>12/08/2023</v>
      </c>
      <c r="E52" t="s">
        <v>92</v>
      </c>
      <c r="F52" t="s">
        <v>41</v>
      </c>
      <c r="G52" t="s">
        <v>141</v>
      </c>
      <c r="H52" t="str">
        <f>VLOOKUP(S52,Cache1!$A:$R,18,FALSE)</f>
        <v/>
      </c>
      <c r="I52" s="29" t="str">
        <f>_xlfn.IFNA(VLOOKUP(LEFT(E52,3),Ref_Confirmer!$B:$C,2,FALSE),"1201.630530")</f>
        <v>1201.630530</v>
      </c>
      <c r="J52" s="14"/>
      <c r="K52" s="15"/>
      <c r="L52" s="15"/>
      <c r="M52" s="15"/>
      <c r="N52" s="15"/>
      <c r="O52" s="15"/>
      <c r="R52" s="11">
        <v>732</v>
      </c>
      <c r="S52">
        <v>731</v>
      </c>
    </row>
    <row r="53" spans="1:19" x14ac:dyDescent="0.25">
      <c r="A53" t="str">
        <f>VLOOKUP(R53,Cache1!$A:$K,11,FALSE)</f>
        <v>870091403</v>
      </c>
      <c r="B53" s="8" t="str">
        <f>VLOOKUP(R53,Cache1!$A:$L,12,FALSE)</f>
        <v>20 Dec 2023</v>
      </c>
      <c r="C53" s="4" t="s">
        <v>142</v>
      </c>
      <c r="D53" s="8" t="str">
        <f>VLOOKUP(C53&amp;"-1",Cache1!$M:$N,2,FALSE)</f>
        <v>12/08/2023</v>
      </c>
      <c r="E53" t="s">
        <v>36</v>
      </c>
      <c r="F53" t="s">
        <v>41</v>
      </c>
      <c r="G53" t="s">
        <v>37</v>
      </c>
      <c r="H53" t="str">
        <f>VLOOKUP(S53,Cache1!$A:$R,18,FALSE)</f>
        <v>MARUBENI FASHION LINK, LTD</v>
      </c>
      <c r="I53" s="29" t="str">
        <f>_xlfn.IFNA(VLOOKUP(LEFT(E53,3),Ref_Confirmer!$B:$C,2,FALSE),"1201.630530")</f>
        <v>1201.720400</v>
      </c>
      <c r="J53" s="14"/>
      <c r="K53" s="15"/>
      <c r="L53" s="15"/>
      <c r="M53" s="15"/>
      <c r="N53" s="15"/>
      <c r="O53" s="15"/>
      <c r="R53" s="11">
        <v>745</v>
      </c>
      <c r="S53">
        <v>744</v>
      </c>
    </row>
    <row r="54" spans="1:19" x14ac:dyDescent="0.25">
      <c r="A54" t="str">
        <f>VLOOKUP(R54,Cache1!$A:$K,11,FALSE)</f>
        <v>870091403</v>
      </c>
      <c r="B54" s="8" t="str">
        <f>VLOOKUP(R54,Cache1!$A:$L,12,FALSE)</f>
        <v>20 Dec 2023</v>
      </c>
      <c r="C54" s="4" t="s">
        <v>117</v>
      </c>
      <c r="D54" s="8" t="str">
        <f>VLOOKUP(C54&amp;"-1",Cache1!$M:$N,2,FALSE)</f>
        <v>12/08/2023</v>
      </c>
      <c r="E54" t="s">
        <v>36</v>
      </c>
      <c r="F54" t="s">
        <v>41</v>
      </c>
      <c r="G54" t="s">
        <v>37</v>
      </c>
      <c r="H54" t="str">
        <f>VLOOKUP(S54,Cache1!$A:$R,18,FALSE)</f>
        <v>MARUBENI FASHION LINK, LTD</v>
      </c>
      <c r="I54" s="29" t="str">
        <f>_xlfn.IFNA(VLOOKUP(LEFT(E54,3),Ref_Confirmer!$B:$C,2,FALSE),"1201.630530")</f>
        <v>1201.720400</v>
      </c>
      <c r="J54" s="14"/>
      <c r="K54" s="15"/>
      <c r="L54" s="15"/>
      <c r="M54" s="15"/>
      <c r="N54" s="15"/>
      <c r="O54" s="15"/>
      <c r="R54" s="11">
        <v>758</v>
      </c>
      <c r="S54">
        <v>757</v>
      </c>
    </row>
    <row r="55" spans="1:19" x14ac:dyDescent="0.25">
      <c r="A55" t="str">
        <f>VLOOKUP(R55,Cache1!$A:$K,11,FALSE)</f>
        <v>870091403</v>
      </c>
      <c r="B55" s="8" t="str">
        <f>VLOOKUP(R55,Cache1!$A:$L,12,FALSE)</f>
        <v>20 Dec 2023</v>
      </c>
      <c r="C55" s="4" t="s">
        <v>143</v>
      </c>
      <c r="D55" s="8" t="str">
        <f>VLOOKUP(C55&amp;"-1",Cache1!$M:$N,2,FALSE)</f>
        <v>12/08/2023</v>
      </c>
      <c r="E55" t="s">
        <v>43</v>
      </c>
      <c r="F55" t="s">
        <v>41</v>
      </c>
      <c r="G55" t="s">
        <v>88</v>
      </c>
      <c r="H55" t="str">
        <f>VLOOKUP(S55,Cache1!$A:$R,18,FALSE)</f>
        <v>SHAOXING YMYSI IMPORTEXPORT</v>
      </c>
      <c r="I55" s="29" t="str">
        <f>_xlfn.IFNA(VLOOKUP(LEFT(E55,3),Ref_Confirmer!$B:$C,2,FALSE),"1201.630530")</f>
        <v>1201.630530</v>
      </c>
      <c r="J55" s="14"/>
      <c r="K55" s="15"/>
      <c r="L55" s="15"/>
      <c r="M55" s="15"/>
      <c r="N55" s="15"/>
      <c r="O55" s="15"/>
      <c r="R55" s="11">
        <v>773</v>
      </c>
      <c r="S55">
        <v>772</v>
      </c>
    </row>
    <row r="56" spans="1:19" x14ac:dyDescent="0.25">
      <c r="A56" t="str">
        <f>VLOOKUP(R56,Cache1!$A:$K,11,FALSE)</f>
        <v>870091403</v>
      </c>
      <c r="B56" s="8" t="str">
        <f>VLOOKUP(R56,Cache1!$A:$L,12,FALSE)</f>
        <v>20 Dec 2023</v>
      </c>
      <c r="C56" s="4" t="s">
        <v>144</v>
      </c>
      <c r="D56" s="8" t="str">
        <f>VLOOKUP(C56&amp;"-1",Cache1!$M:$N,2,FALSE)</f>
        <v>12/11/2023</v>
      </c>
      <c r="E56" t="s">
        <v>36</v>
      </c>
      <c r="F56" t="s">
        <v>41</v>
      </c>
      <c r="G56" t="s">
        <v>37</v>
      </c>
      <c r="H56" t="str">
        <f>VLOOKUP(S56,Cache1!$A:$R,18,FALSE)</f>
        <v>MARUBENI FASHION LINK, LTD</v>
      </c>
      <c r="I56" s="29" t="str">
        <f>_xlfn.IFNA(VLOOKUP(LEFT(E56,3),Ref_Confirmer!$B:$C,2,FALSE),"1201.630530")</f>
        <v>1201.720400</v>
      </c>
      <c r="J56" s="14"/>
      <c r="K56" s="15"/>
      <c r="L56" s="15"/>
      <c r="M56" s="15"/>
      <c r="N56" s="15"/>
      <c r="O56" s="15"/>
      <c r="R56" s="11">
        <v>786</v>
      </c>
      <c r="S56">
        <v>785</v>
      </c>
    </row>
    <row r="57" spans="1:19" x14ac:dyDescent="0.25">
      <c r="A57" t="str">
        <f>VLOOKUP(R57,Cache1!$A:$K,11,FALSE)</f>
        <v>870093989</v>
      </c>
      <c r="B57" s="8" t="str">
        <f>VLOOKUP(R57,Cache1!$A:$L,12,FALSE)</f>
        <v>20 Dec 2023</v>
      </c>
      <c r="C57" s="4" t="s">
        <v>134</v>
      </c>
      <c r="D57" s="8" t="str">
        <f>VLOOKUP(C57&amp;"-1",Cache1!$M:$N,2,FALSE)</f>
        <v>12/06/2023</v>
      </c>
      <c r="E57" t="s">
        <v>52</v>
      </c>
      <c r="F57" t="s">
        <v>54</v>
      </c>
      <c r="G57" t="s">
        <v>135</v>
      </c>
      <c r="H57" t="str">
        <f>VLOOKUP(S57,Cache1!$A:$R,18,FALSE)</f>
        <v>P.T. GISTEX GARMEN INDONESIA</v>
      </c>
      <c r="I57" s="29" t="str">
        <f>_xlfn.IFNA(VLOOKUP(LEFT(E57,3),Ref_Confirmer!$B:$C,2,FALSE),"1201.630530")</f>
        <v>1201.630530</v>
      </c>
      <c r="J57" s="14"/>
      <c r="K57" s="15"/>
      <c r="L57" s="15"/>
      <c r="M57" s="15"/>
      <c r="N57" s="15"/>
      <c r="O57" s="15"/>
      <c r="R57" s="11">
        <v>802</v>
      </c>
      <c r="S57">
        <v>800</v>
      </c>
    </row>
    <row r="58" spans="1:19" x14ac:dyDescent="0.25">
      <c r="A58" t="str">
        <f>VLOOKUP(R58,Cache1!$A:$K,11,FALSE)</f>
        <v>870111817</v>
      </c>
      <c r="B58" s="8" t="str">
        <f>VLOOKUP(R58,Cache1!$A:$L,12,FALSE)</f>
        <v>27 Dec 2023</v>
      </c>
      <c r="C58" s="4" t="s">
        <v>147</v>
      </c>
      <c r="D58" s="8" t="str">
        <f>VLOOKUP(C58&amp;"-1",Cache1!$M:$N,2,FALSE)</f>
        <v>12/15/2023</v>
      </c>
      <c r="E58" t="s">
        <v>56</v>
      </c>
      <c r="F58" t="s">
        <v>58</v>
      </c>
      <c r="G58" t="s">
        <v>158</v>
      </c>
      <c r="H58" t="str">
        <f>VLOOKUP(S58,Cache1!$A:$R,18,FALSE)</f>
        <v>PT GISTEX GARMEN INDONESIA</v>
      </c>
      <c r="I58" s="29" t="str">
        <f>_xlfn.IFNA(VLOOKUP(LEFT(E58,3),Ref_Confirmer!$B:$C,2,FALSE),"1201.630530")</f>
        <v>1201.630530</v>
      </c>
      <c r="J58" s="14"/>
      <c r="K58" s="15"/>
      <c r="L58" s="15"/>
      <c r="M58" s="15"/>
      <c r="N58" s="15"/>
      <c r="O58" s="15"/>
      <c r="R58" s="11">
        <v>818</v>
      </c>
      <c r="S58">
        <v>816</v>
      </c>
    </row>
    <row r="59" spans="1:19" x14ac:dyDescent="0.25">
      <c r="A59" t="str">
        <f>VLOOKUP(R59,Cache1!$A:$K,11,FALSE)</f>
        <v>870111818</v>
      </c>
      <c r="B59" s="8" t="str">
        <f>VLOOKUP(R59,Cache1!$A:$L,12,FALSE)</f>
        <v>27 Dec 2023</v>
      </c>
      <c r="C59" s="4" t="s">
        <v>149</v>
      </c>
      <c r="D59" s="8" t="str">
        <f>VLOOKUP(C59&amp;"-1",Cache1!$M:$N,2,FALSE)</f>
        <v>12/13/2023</v>
      </c>
      <c r="E59" t="s">
        <v>43</v>
      </c>
      <c r="F59" t="s">
        <v>41</v>
      </c>
      <c r="G59" t="s">
        <v>47</v>
      </c>
      <c r="H59" t="str">
        <f>VLOOKUP(S59,Cache1!$A:$R,18,FALSE)</f>
        <v>NINGBO SOCO TEXTILE STOCK CORP</v>
      </c>
      <c r="I59" s="29" t="str">
        <f>_xlfn.IFNA(VLOOKUP(LEFT(E59,3),Ref_Confirmer!$B:$C,2,FALSE),"1201.630530")</f>
        <v>1201.630530</v>
      </c>
      <c r="J59" s="14"/>
      <c r="K59" s="15"/>
      <c r="L59" s="15"/>
      <c r="M59" s="15"/>
      <c r="N59" s="15"/>
      <c r="O59" s="15"/>
      <c r="R59" s="11">
        <v>833</v>
      </c>
      <c r="S59">
        <v>832</v>
      </c>
    </row>
    <row r="60" spans="1:19" x14ac:dyDescent="0.25">
      <c r="A60" t="str">
        <f>VLOOKUP(R60,Cache1!$A:$K,11,FALSE)</f>
        <v>870111818</v>
      </c>
      <c r="B60" s="8" t="str">
        <f>VLOOKUP(R60,Cache1!$A:$L,12,FALSE)</f>
        <v>27 Dec 2023</v>
      </c>
      <c r="C60" s="4" t="s">
        <v>150</v>
      </c>
      <c r="D60" s="8" t="str">
        <f>VLOOKUP(C60&amp;"-1",Cache1!$M:$N,2,FALSE)</f>
        <v>12/14/2023</v>
      </c>
      <c r="E60" t="s">
        <v>36</v>
      </c>
      <c r="F60" t="s">
        <v>41</v>
      </c>
      <c r="G60" t="s">
        <v>37</v>
      </c>
      <c r="H60" t="str">
        <f>VLOOKUP(S60,Cache1!$A:$R,18,FALSE)</f>
        <v>MARUBENI FASHION LINK, LTD</v>
      </c>
      <c r="I60" s="29" t="str">
        <f>_xlfn.IFNA(VLOOKUP(LEFT(E60,3),Ref_Confirmer!$B:$C,2,FALSE),"1201.630530")</f>
        <v>1201.720400</v>
      </c>
      <c r="J60" s="14"/>
      <c r="K60" s="15"/>
      <c r="L60" s="15"/>
      <c r="M60" s="15"/>
      <c r="N60" s="15"/>
      <c r="O60" s="15"/>
      <c r="R60" s="11">
        <v>846</v>
      </c>
      <c r="S60">
        <v>845</v>
      </c>
    </row>
    <row r="61" spans="1:19" x14ac:dyDescent="0.25">
      <c r="A61" t="str">
        <f>VLOOKUP(R61,Cache1!$A:$K,11,FALSE)</f>
        <v>870111818</v>
      </c>
      <c r="B61" s="8" t="str">
        <f>VLOOKUP(R61,Cache1!$A:$L,12,FALSE)</f>
        <v>27 Dec 2023</v>
      </c>
      <c r="C61" s="4" t="s">
        <v>151</v>
      </c>
      <c r="D61" s="8" t="str">
        <f>VLOOKUP(C61&amp;"-1",Cache1!$M:$N,2,FALSE)</f>
        <v>12/14/2023</v>
      </c>
      <c r="E61" t="s">
        <v>43</v>
      </c>
      <c r="F61" t="s">
        <v>41</v>
      </c>
      <c r="G61" t="s">
        <v>88</v>
      </c>
      <c r="H61" t="str">
        <f>VLOOKUP(S61,Cache1!$A:$R,18,FALSE)</f>
        <v>SHAOXING YMYSI IMPORTEXPORT</v>
      </c>
      <c r="I61" s="29" t="str">
        <f>_xlfn.IFNA(VLOOKUP(LEFT(E61,3),Ref_Confirmer!$B:$C,2,FALSE),"1201.630530")</f>
        <v>1201.630530</v>
      </c>
      <c r="J61" s="14"/>
      <c r="K61" s="15"/>
      <c r="L61" s="15"/>
      <c r="M61" s="15"/>
      <c r="N61" s="15"/>
      <c r="O61" s="15"/>
      <c r="R61" s="11">
        <v>860</v>
      </c>
      <c r="S61">
        <v>859</v>
      </c>
    </row>
    <row r="62" spans="1:19" x14ac:dyDescent="0.25">
      <c r="A62" t="str">
        <f>VLOOKUP(R62,Cache1!$A:$K,11,FALSE)</f>
        <v>870111818</v>
      </c>
      <c r="B62" s="8" t="str">
        <f>VLOOKUP(R62,Cache1!$A:$L,12,FALSE)</f>
        <v>27 Dec 2023</v>
      </c>
      <c r="C62" s="4" t="s">
        <v>152</v>
      </c>
      <c r="D62" s="8" t="str">
        <f>VLOOKUP(C62&amp;"-1",Cache1!$M:$N,2,FALSE)</f>
        <v>12/15/2023</v>
      </c>
      <c r="E62" t="s">
        <v>96</v>
      </c>
      <c r="F62" t="s">
        <v>41</v>
      </c>
      <c r="G62" t="s">
        <v>97</v>
      </c>
      <c r="H62" t="str">
        <f>VLOOKUP(S62,Cache1!$A:$R,18,FALSE)</f>
        <v>HEXAPOLE COMPANY LIMITED</v>
      </c>
      <c r="I62" s="29" t="str">
        <f>_xlfn.IFNA(VLOOKUP(LEFT(E62,3),Ref_Confirmer!$B:$C,2,FALSE),"1201.630530")</f>
        <v>1201.720400</v>
      </c>
      <c r="J62" s="14"/>
      <c r="K62" s="15"/>
      <c r="L62" s="15"/>
      <c r="M62" s="15"/>
      <c r="N62" s="15"/>
      <c r="O62" s="15"/>
      <c r="R62" s="11">
        <v>873</v>
      </c>
      <c r="S62">
        <v>872</v>
      </c>
    </row>
    <row r="63" spans="1:19" x14ac:dyDescent="0.25">
      <c r="A63" t="str">
        <f>VLOOKUP(R63,Cache1!$A:$K,11,FALSE)</f>
        <v>870111818</v>
      </c>
      <c r="B63" s="8" t="str">
        <f>VLOOKUP(R63,Cache1!$A:$L,12,FALSE)</f>
        <v>27 Dec 2023</v>
      </c>
      <c r="C63" s="4" t="s">
        <v>153</v>
      </c>
      <c r="D63" s="8" t="str">
        <f>VLOOKUP(C63&amp;"-1",Cache1!$M:$N,2,FALSE)</f>
        <v>12/15/2023</v>
      </c>
      <c r="E63" t="s">
        <v>43</v>
      </c>
      <c r="F63" t="s">
        <v>41</v>
      </c>
      <c r="G63" t="s">
        <v>88</v>
      </c>
      <c r="H63" t="str">
        <f>VLOOKUP(S63,Cache1!$A:$R,18,FALSE)</f>
        <v>SHAOXING YMYSI IMPORTEXPORT</v>
      </c>
      <c r="I63" s="29" t="str">
        <f>_xlfn.IFNA(VLOOKUP(LEFT(E63,3),Ref_Confirmer!$B:$C,2,FALSE),"1201.630530")</f>
        <v>1201.630530</v>
      </c>
      <c r="J63" s="14"/>
      <c r="K63" s="15"/>
      <c r="L63" s="15"/>
      <c r="M63" s="15"/>
      <c r="N63" s="15"/>
      <c r="O63" s="15"/>
      <c r="R63" s="11">
        <v>885</v>
      </c>
      <c r="S63">
        <v>884</v>
      </c>
    </row>
    <row r="64" spans="1:19" x14ac:dyDescent="0.25">
      <c r="A64" t="str">
        <f>VLOOKUP(R64,Cache1!$A:$K,11,FALSE)</f>
        <v>870111818</v>
      </c>
      <c r="B64" s="8" t="str">
        <f>VLOOKUP(R64,Cache1!$A:$L,12,FALSE)</f>
        <v>27 Dec 2023</v>
      </c>
      <c r="C64" s="4" t="s">
        <v>154</v>
      </c>
      <c r="D64" s="8" t="str">
        <f>VLOOKUP(C64&amp;"-1",Cache1!$M:$N,2,FALSE)</f>
        <v>12/19/2023</v>
      </c>
      <c r="E64" t="s">
        <v>36</v>
      </c>
      <c r="F64" t="s">
        <v>38</v>
      </c>
      <c r="G64" t="s">
        <v>37</v>
      </c>
      <c r="H64" t="str">
        <f>VLOOKUP(S64,Cache1!$A:$R,18,FALSE)</f>
        <v>MARUBENI FASHION LINK, LTD</v>
      </c>
      <c r="I64" s="29" t="str">
        <f>_xlfn.IFNA(VLOOKUP(LEFT(E64,3),Ref_Confirmer!$B:$C,2,FALSE),"1201.630530")</f>
        <v>1201.720400</v>
      </c>
      <c r="J64" s="14"/>
      <c r="K64" s="15"/>
      <c r="L64" s="15"/>
      <c r="M64" s="15"/>
      <c r="N64" s="15"/>
      <c r="O64" s="15"/>
      <c r="R64" s="11">
        <v>898</v>
      </c>
      <c r="S64">
        <v>897</v>
      </c>
    </row>
    <row r="65" spans="1:19" x14ac:dyDescent="0.25">
      <c r="A65" t="str">
        <f>VLOOKUP(R65,Cache1!$A:$K,11,FALSE)</f>
        <v>870111818</v>
      </c>
      <c r="B65" s="8" t="str">
        <f>VLOOKUP(R65,Cache1!$A:$L,12,FALSE)</f>
        <v>27 Dec 2023</v>
      </c>
      <c r="C65" s="4" t="s">
        <v>155</v>
      </c>
      <c r="D65" s="8" t="str">
        <f>VLOOKUP(C65&amp;"-1",Cache1!$M:$N,2,FALSE)</f>
        <v>12/19/2023</v>
      </c>
      <c r="E65" t="s">
        <v>43</v>
      </c>
      <c r="F65" t="s">
        <v>41</v>
      </c>
      <c r="G65" t="s">
        <v>88</v>
      </c>
      <c r="H65" t="str">
        <f>VLOOKUP(S65,Cache1!$A:$R,18,FALSE)</f>
        <v>SHAOXING YMYSI IMPORTEXPORT</v>
      </c>
      <c r="I65" s="29" t="str">
        <f>_xlfn.IFNA(VLOOKUP(LEFT(E65,3),Ref_Confirmer!$B:$C,2,FALSE),"1201.630530")</f>
        <v>1201.630530</v>
      </c>
      <c r="J65" s="14"/>
      <c r="K65" s="15"/>
      <c r="L65" s="15"/>
      <c r="M65" s="15"/>
      <c r="N65" s="15"/>
      <c r="O65" s="15"/>
      <c r="R65" s="11">
        <v>911</v>
      </c>
      <c r="S65">
        <v>910</v>
      </c>
    </row>
    <row r="66" spans="1:19" x14ac:dyDescent="0.25">
      <c r="A66" t="str">
        <f>VLOOKUP(R66,Cache1!$A:$K,11,FALSE)</f>
        <v>870111818</v>
      </c>
      <c r="B66" s="8" t="str">
        <f>VLOOKUP(R66,Cache1!$A:$L,12,FALSE)</f>
        <v>27 Dec 2023</v>
      </c>
      <c r="C66" s="4" t="s">
        <v>156</v>
      </c>
      <c r="D66" s="8" t="str">
        <f>VLOOKUP(C66&amp;"-1",Cache1!$M:$N,2,FALSE)</f>
        <v>12/19/2023</v>
      </c>
      <c r="E66" t="s">
        <v>43</v>
      </c>
      <c r="F66" t="s">
        <v>41</v>
      </c>
      <c r="G66" t="s">
        <v>157</v>
      </c>
      <c r="H66" t="str">
        <f>VLOOKUP(S66,Cache1!$A:$R,18,FALSE)</f>
        <v>NINGBO TWO BIRDS INDUSTRY CO.,</v>
      </c>
      <c r="I66" s="29" t="str">
        <f>_xlfn.IFNA(VLOOKUP(LEFT(E66,3),Ref_Confirmer!$B:$C,2,FALSE),"1201.630530")</f>
        <v>1201.630530</v>
      </c>
      <c r="J66" s="14"/>
      <c r="K66" s="15"/>
      <c r="L66" s="15"/>
      <c r="M66" s="15"/>
      <c r="N66" s="15"/>
      <c r="O66" s="15"/>
      <c r="R66" s="11">
        <v>924</v>
      </c>
      <c r="S66">
        <v>923</v>
      </c>
    </row>
  </sheetData>
  <dataValidations disablePrompts="1" count="1">
    <dataValidation type="list" showInputMessage="1" showErrorMessage="1" sqref="Q2:Q66" xr:uid="{9B20F5FB-924D-4182-8FEB-6AB07D5B3ED6}">
      <formula1>"0,1"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8CB0B-D0BE-40D7-AAB6-A2F39E04AA96}">
  <sheetPr codeName="Sheet6"/>
  <dimension ref="A1:X66"/>
  <sheetViews>
    <sheetView workbookViewId="0">
      <selection activeCell="A12" sqref="A12"/>
    </sheetView>
  </sheetViews>
  <sheetFormatPr defaultRowHeight="15" x14ac:dyDescent="0.25"/>
  <cols>
    <col min="1" max="1" width="44" style="22" bestFit="1" customWidth="1"/>
    <col min="2" max="2" width="24.28515625" style="22" bestFit="1" customWidth="1"/>
    <col min="3" max="3" width="14.85546875" bestFit="1" customWidth="1"/>
    <col min="4" max="4" width="15.85546875" style="8" bestFit="1" customWidth="1"/>
    <col min="5" max="5" width="17.7109375" style="4" customWidth="1"/>
    <col min="6" max="6" width="14.5703125" style="8" bestFit="1" customWidth="1"/>
    <col min="7" max="8" width="36" customWidth="1"/>
    <col min="9" max="10" width="35.140625" customWidth="1"/>
    <col min="11" max="11" width="17.42578125" customWidth="1"/>
    <col min="12" max="12" width="37.42578125" bestFit="1" customWidth="1"/>
    <col min="13" max="13" width="16.5703125" customWidth="1"/>
    <col min="14" max="14" width="15.140625" customWidth="1"/>
    <col min="15" max="15" width="25.42578125" bestFit="1" customWidth="1"/>
    <col min="16" max="16" width="15.28515625" customWidth="1"/>
    <col min="17" max="17" width="10.140625" customWidth="1"/>
    <col min="18" max="18" width="13.5703125" bestFit="1" customWidth="1"/>
    <col min="19" max="19" width="13.5703125" style="14" bestFit="1" customWidth="1"/>
    <col min="20" max="20" width="20.5703125" style="23" bestFit="1" customWidth="1"/>
    <col min="21" max="21" width="18.7109375" style="23" customWidth="1"/>
    <col min="22" max="22" width="40.5703125" style="23" bestFit="1" customWidth="1"/>
    <col min="23" max="23" width="15.5703125" customWidth="1"/>
    <col min="24" max="24" width="1.28515625" customWidth="1"/>
  </cols>
  <sheetData>
    <row r="1" spans="1:24" s="3" customFormat="1" x14ac:dyDescent="0.25">
      <c r="A1" s="17" t="s">
        <v>199</v>
      </c>
      <c r="B1" s="17" t="s">
        <v>200</v>
      </c>
      <c r="C1" s="2" t="s">
        <v>0</v>
      </c>
      <c r="D1" s="7" t="s">
        <v>1</v>
      </c>
      <c r="E1" s="5" t="s">
        <v>2</v>
      </c>
      <c r="F1" s="7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5" t="s">
        <v>193</v>
      </c>
      <c r="L1" s="2" t="s">
        <v>8</v>
      </c>
      <c r="M1" s="2" t="s">
        <v>9</v>
      </c>
      <c r="N1" s="2" t="s">
        <v>10</v>
      </c>
      <c r="O1" s="2" t="s">
        <v>11</v>
      </c>
      <c r="P1" s="2" t="s">
        <v>12</v>
      </c>
      <c r="Q1" s="2" t="s">
        <v>13</v>
      </c>
      <c r="R1" s="2" t="s">
        <v>14</v>
      </c>
      <c r="S1" s="13" t="s">
        <v>15</v>
      </c>
      <c r="T1" s="18" t="s">
        <v>16</v>
      </c>
      <c r="U1" s="19" t="s">
        <v>201</v>
      </c>
      <c r="V1" s="20" t="s">
        <v>202</v>
      </c>
      <c r="W1" s="21" t="s">
        <v>203</v>
      </c>
      <c r="X1" s="2"/>
    </row>
    <row r="2" spans="1:24" x14ac:dyDescent="0.25">
      <c r="A2" s="22" t="str">
        <f t="shared" ref="A2:A33" si="0">C2&amp;"-"&amp;D2&amp;"-"&amp;E2&amp;"-"&amp;G2</f>
        <v>870128687-45294-774438473160-YAN LU</v>
      </c>
      <c r="B2" s="22">
        <v>1</v>
      </c>
      <c r="C2" t="s">
        <v>19</v>
      </c>
      <c r="D2" s="8">
        <v>45294</v>
      </c>
      <c r="E2" s="4" t="s">
        <v>22</v>
      </c>
      <c r="F2" s="8">
        <v>45273</v>
      </c>
      <c r="G2" t="s">
        <v>20</v>
      </c>
      <c r="I2" t="s">
        <v>21</v>
      </c>
      <c r="J2" t="s">
        <v>23</v>
      </c>
      <c r="K2" t="s">
        <v>164</v>
      </c>
      <c r="L2" s="1"/>
      <c r="M2" s="14">
        <v>7452339</v>
      </c>
      <c r="N2" s="14"/>
      <c r="O2" s="14"/>
      <c r="P2" s="14"/>
      <c r="Q2" s="14"/>
      <c r="R2" s="15">
        <v>7452339</v>
      </c>
      <c r="S2" s="14">
        <v>7526862</v>
      </c>
      <c r="T2" s="23">
        <v>1</v>
      </c>
      <c r="V2" s="23" t="s">
        <v>204</v>
      </c>
      <c r="X2" s="12"/>
    </row>
    <row r="3" spans="1:24" x14ac:dyDescent="0.25">
      <c r="A3" s="22" t="str">
        <f t="shared" si="0"/>
        <v>870128687-45294-774565991045-ZHONG</v>
      </c>
      <c r="B3" s="22">
        <v>1</v>
      </c>
      <c r="C3" t="s">
        <v>19</v>
      </c>
      <c r="D3" s="8">
        <v>45294</v>
      </c>
      <c r="E3" s="4" t="s">
        <v>26</v>
      </c>
      <c r="F3" s="8">
        <v>45283</v>
      </c>
      <c r="G3" t="s">
        <v>24</v>
      </c>
      <c r="H3" t="s">
        <v>27</v>
      </c>
      <c r="I3" t="s">
        <v>25</v>
      </c>
      <c r="J3" t="s">
        <v>28</v>
      </c>
      <c r="K3" t="s">
        <v>165</v>
      </c>
      <c r="L3" s="1"/>
      <c r="M3" s="14">
        <v>13268509</v>
      </c>
      <c r="N3" s="15"/>
      <c r="O3" s="14"/>
      <c r="P3" s="14"/>
      <c r="Q3" s="15"/>
      <c r="R3" s="15">
        <v>13268509</v>
      </c>
      <c r="S3" s="14">
        <v>13401194</v>
      </c>
      <c r="T3" s="23">
        <v>0</v>
      </c>
    </row>
    <row r="4" spans="1:24" x14ac:dyDescent="0.25">
      <c r="A4" s="22" t="str">
        <f t="shared" si="0"/>
        <v>870128687-45294-774581911125-STELLA</v>
      </c>
      <c r="B4" s="22">
        <v>1</v>
      </c>
      <c r="C4" t="s">
        <v>19</v>
      </c>
      <c r="D4" s="8">
        <v>45294</v>
      </c>
      <c r="E4" s="4" t="s">
        <v>31</v>
      </c>
      <c r="F4" s="8">
        <v>45283</v>
      </c>
      <c r="G4" t="s">
        <v>29</v>
      </c>
      <c r="H4" t="s">
        <v>32</v>
      </c>
      <c r="I4" t="s">
        <v>30</v>
      </c>
      <c r="J4" t="s">
        <v>33</v>
      </c>
      <c r="K4" t="s">
        <v>166</v>
      </c>
      <c r="L4" s="1"/>
      <c r="M4" s="14">
        <v>700000</v>
      </c>
      <c r="N4" s="15"/>
      <c r="O4" s="14"/>
      <c r="P4" s="14"/>
      <c r="Q4" s="15"/>
      <c r="R4" s="15">
        <v>700000</v>
      </c>
      <c r="S4" s="14">
        <v>707000</v>
      </c>
      <c r="T4" s="23">
        <v>1</v>
      </c>
      <c r="U4" s="23" t="s">
        <v>205</v>
      </c>
      <c r="V4" s="23" t="s">
        <v>206</v>
      </c>
    </row>
    <row r="5" spans="1:24" x14ac:dyDescent="0.25">
      <c r="A5" s="22" t="str">
        <f t="shared" si="0"/>
        <v>870128688-45294-774552254122-EKA / BAYU</v>
      </c>
      <c r="B5" s="22">
        <v>1</v>
      </c>
      <c r="C5" t="s">
        <v>34</v>
      </c>
      <c r="D5" s="8">
        <v>45294</v>
      </c>
      <c r="E5" s="4" t="s">
        <v>35</v>
      </c>
      <c r="F5" s="8">
        <v>45280</v>
      </c>
      <c r="G5" t="s">
        <v>36</v>
      </c>
      <c r="H5" t="s">
        <v>38</v>
      </c>
      <c r="I5" t="s">
        <v>37</v>
      </c>
      <c r="J5" t="s">
        <v>39</v>
      </c>
      <c r="K5" t="s">
        <v>167</v>
      </c>
      <c r="L5" s="1"/>
      <c r="M5" s="14">
        <v>259930</v>
      </c>
      <c r="N5" s="15"/>
      <c r="O5" s="14"/>
      <c r="P5" s="14"/>
      <c r="Q5" s="15"/>
      <c r="R5" s="15">
        <v>259930</v>
      </c>
      <c r="S5" s="14">
        <v>262529</v>
      </c>
      <c r="T5" s="23">
        <v>1</v>
      </c>
      <c r="U5" s="23" t="s">
        <v>78</v>
      </c>
      <c r="V5" s="23" t="s">
        <v>206</v>
      </c>
    </row>
    <row r="6" spans="1:24" x14ac:dyDescent="0.25">
      <c r="A6" s="22" t="str">
        <f t="shared" si="0"/>
        <v>870128688-45294-774580602869-EKA / BAYU</v>
      </c>
      <c r="B6" s="22">
        <v>1</v>
      </c>
      <c r="C6" t="s">
        <v>34</v>
      </c>
      <c r="D6" s="8">
        <v>45294</v>
      </c>
      <c r="E6" s="4" t="s">
        <v>40</v>
      </c>
      <c r="F6" s="8">
        <v>45282</v>
      </c>
      <c r="G6" t="s">
        <v>36</v>
      </c>
      <c r="H6" t="s">
        <v>41</v>
      </c>
      <c r="I6" t="s">
        <v>37</v>
      </c>
      <c r="J6" t="s">
        <v>39</v>
      </c>
      <c r="K6" t="s">
        <v>168</v>
      </c>
      <c r="L6" s="1"/>
      <c r="M6" s="14">
        <v>259977</v>
      </c>
      <c r="N6" s="15"/>
      <c r="O6" s="14"/>
      <c r="P6" s="14"/>
      <c r="Q6" s="15"/>
      <c r="R6" s="15">
        <v>259977</v>
      </c>
      <c r="S6" s="14">
        <v>262577</v>
      </c>
      <c r="T6" s="23">
        <v>1</v>
      </c>
      <c r="U6" s="23" t="s">
        <v>78</v>
      </c>
      <c r="V6" s="23" t="s">
        <v>206</v>
      </c>
    </row>
    <row r="7" spans="1:24" x14ac:dyDescent="0.25">
      <c r="A7" s="22" t="str">
        <f t="shared" si="0"/>
        <v>870128688-45294-774582743257-MS. MERCY</v>
      </c>
      <c r="B7" s="22">
        <v>1</v>
      </c>
      <c r="C7" t="s">
        <v>34</v>
      </c>
      <c r="D7" s="8">
        <v>45294</v>
      </c>
      <c r="E7" s="4" t="s">
        <v>42</v>
      </c>
      <c r="F7" s="8">
        <v>45282</v>
      </c>
      <c r="G7" t="s">
        <v>43</v>
      </c>
      <c r="H7" t="s">
        <v>41</v>
      </c>
      <c r="I7" t="s">
        <v>44</v>
      </c>
      <c r="J7" t="s">
        <v>45</v>
      </c>
      <c r="K7" t="s">
        <v>167</v>
      </c>
      <c r="L7" s="1"/>
      <c r="M7" s="14">
        <v>227500</v>
      </c>
      <c r="N7" s="15"/>
      <c r="O7" s="14"/>
      <c r="P7" s="14"/>
      <c r="Q7" s="15"/>
      <c r="R7" s="15">
        <v>227500</v>
      </c>
      <c r="S7" s="14">
        <v>229775</v>
      </c>
      <c r="T7" s="23">
        <v>1</v>
      </c>
      <c r="U7" s="23" t="s">
        <v>196</v>
      </c>
      <c r="V7" s="23" t="s">
        <v>206</v>
      </c>
    </row>
    <row r="8" spans="1:24" x14ac:dyDescent="0.25">
      <c r="A8" s="22" t="str">
        <f t="shared" si="0"/>
        <v>870128688-45294-774582826496-MS. MERCY</v>
      </c>
      <c r="B8" s="22">
        <v>1</v>
      </c>
      <c r="C8" t="s">
        <v>34</v>
      </c>
      <c r="D8" s="8">
        <v>45294</v>
      </c>
      <c r="E8" s="4" t="s">
        <v>46</v>
      </c>
      <c r="F8" s="8">
        <v>45282</v>
      </c>
      <c r="G8" t="s">
        <v>43</v>
      </c>
      <c r="H8" t="s">
        <v>41</v>
      </c>
      <c r="I8" t="s">
        <v>47</v>
      </c>
      <c r="J8" t="s">
        <v>48</v>
      </c>
      <c r="K8" t="s">
        <v>167</v>
      </c>
      <c r="M8" s="14">
        <v>227500</v>
      </c>
      <c r="N8" s="15"/>
      <c r="O8" s="14"/>
      <c r="P8" s="14"/>
      <c r="Q8" s="15"/>
      <c r="R8" s="15">
        <v>227500</v>
      </c>
      <c r="S8" s="14">
        <v>229775</v>
      </c>
      <c r="T8" s="23">
        <v>1</v>
      </c>
      <c r="U8" s="23" t="s">
        <v>196</v>
      </c>
      <c r="V8" s="23" t="s">
        <v>206</v>
      </c>
    </row>
    <row r="9" spans="1:24" x14ac:dyDescent="0.25">
      <c r="A9" s="22" t="str">
        <f t="shared" si="0"/>
        <v>870138342-45296-774632987514-EKA / BAYU</v>
      </c>
      <c r="B9" s="22">
        <v>1</v>
      </c>
      <c r="C9" t="s">
        <v>49</v>
      </c>
      <c r="D9" s="8">
        <v>45296</v>
      </c>
      <c r="E9" s="4" t="s">
        <v>50</v>
      </c>
      <c r="F9" s="8">
        <v>45289</v>
      </c>
      <c r="G9" t="s">
        <v>36</v>
      </c>
      <c r="H9" t="s">
        <v>41</v>
      </c>
      <c r="I9" t="s">
        <v>37</v>
      </c>
      <c r="J9" t="s">
        <v>39</v>
      </c>
      <c r="K9" t="s">
        <v>169</v>
      </c>
      <c r="M9" s="14">
        <v>2713792</v>
      </c>
      <c r="N9" s="15"/>
      <c r="O9" s="14"/>
      <c r="P9" s="14"/>
      <c r="Q9" s="15"/>
      <c r="R9" s="15">
        <v>2713792</v>
      </c>
      <c r="S9" s="14">
        <v>2740930</v>
      </c>
      <c r="T9" s="23">
        <v>1</v>
      </c>
      <c r="U9" s="23" t="s">
        <v>78</v>
      </c>
      <c r="V9" s="23" t="s">
        <v>206</v>
      </c>
    </row>
    <row r="10" spans="1:24" x14ac:dyDescent="0.25">
      <c r="A10" s="22" t="str">
        <f t="shared" si="0"/>
        <v>870138343-45296-774514292670-FION LEUNG</v>
      </c>
      <c r="B10" s="22">
        <v>1</v>
      </c>
      <c r="C10" t="s">
        <v>51</v>
      </c>
      <c r="D10" s="8">
        <v>45296</v>
      </c>
      <c r="E10" s="4" t="s">
        <v>53</v>
      </c>
      <c r="F10" s="8">
        <v>45278</v>
      </c>
      <c r="G10" t="s">
        <v>52</v>
      </c>
      <c r="H10" t="s">
        <v>54</v>
      </c>
      <c r="I10" t="s">
        <v>25</v>
      </c>
      <c r="J10" t="s">
        <v>38</v>
      </c>
      <c r="K10" t="s">
        <v>170</v>
      </c>
      <c r="M10" s="14">
        <v>41496000</v>
      </c>
      <c r="N10" s="15"/>
      <c r="O10" s="14"/>
      <c r="P10" s="14"/>
      <c r="Q10" s="15"/>
      <c r="R10" s="15">
        <v>41496000</v>
      </c>
      <c r="S10" s="14">
        <v>41910960</v>
      </c>
      <c r="T10" s="23">
        <v>1</v>
      </c>
    </row>
    <row r="11" spans="1:24" x14ac:dyDescent="0.25">
      <c r="A11" s="22" t="str">
        <f t="shared" si="0"/>
        <v>870048771-45266-774194576473-SHENYANG</v>
      </c>
      <c r="B11" s="22">
        <v>1</v>
      </c>
      <c r="C11" t="s">
        <v>55</v>
      </c>
      <c r="D11" s="8">
        <v>45266</v>
      </c>
      <c r="E11" s="4" t="s">
        <v>57</v>
      </c>
      <c r="F11" s="8">
        <v>45253</v>
      </c>
      <c r="G11" t="s">
        <v>56</v>
      </c>
      <c r="H11" t="s">
        <v>58</v>
      </c>
      <c r="I11" t="s">
        <v>158</v>
      </c>
      <c r="J11" t="s">
        <v>23</v>
      </c>
      <c r="K11" t="s">
        <v>166</v>
      </c>
      <c r="M11" s="14">
        <v>255466</v>
      </c>
      <c r="N11" s="15"/>
      <c r="O11" s="14"/>
      <c r="P11" s="14"/>
      <c r="Q11" s="15"/>
      <c r="R11" s="15">
        <v>255466</v>
      </c>
      <c r="S11" s="14">
        <v>258021</v>
      </c>
      <c r="T11" s="23">
        <v>1</v>
      </c>
      <c r="U11" s="23" t="s">
        <v>196</v>
      </c>
      <c r="V11" s="23" t="s">
        <v>206</v>
      </c>
    </row>
    <row r="12" spans="1:24" x14ac:dyDescent="0.25">
      <c r="A12" s="22" t="str">
        <f t="shared" si="0"/>
        <v>870048771-45266-774216971908-SHENYANG</v>
      </c>
      <c r="B12" s="22">
        <v>1</v>
      </c>
      <c r="C12" t="s">
        <v>55</v>
      </c>
      <c r="D12" s="8">
        <v>45266</v>
      </c>
      <c r="E12" s="4" t="s">
        <v>59</v>
      </c>
      <c r="F12" s="8">
        <v>45255</v>
      </c>
      <c r="G12" t="s">
        <v>56</v>
      </c>
      <c r="H12" t="s">
        <v>58</v>
      </c>
      <c r="I12" t="s">
        <v>158</v>
      </c>
      <c r="J12" t="s">
        <v>23</v>
      </c>
      <c r="K12" t="s">
        <v>171</v>
      </c>
      <c r="M12" s="14">
        <v>642689</v>
      </c>
      <c r="N12" s="15"/>
      <c r="O12" s="14"/>
      <c r="P12" s="14"/>
      <c r="Q12" s="15"/>
      <c r="R12" s="15">
        <v>642689</v>
      </c>
      <c r="S12" s="14">
        <v>649116</v>
      </c>
      <c r="T12" s="23">
        <v>1</v>
      </c>
      <c r="U12" s="23" t="s">
        <v>196</v>
      </c>
      <c r="V12" s="23" t="s">
        <v>206</v>
      </c>
    </row>
    <row r="13" spans="1:24" x14ac:dyDescent="0.25">
      <c r="A13" s="22" t="str">
        <f t="shared" si="0"/>
        <v>869971222-45238-773869351020-SHENYANG</v>
      </c>
      <c r="B13" s="22">
        <v>1</v>
      </c>
      <c r="C13" t="s">
        <v>60</v>
      </c>
      <c r="D13" s="8">
        <v>45238</v>
      </c>
      <c r="E13" s="4" t="s">
        <v>61</v>
      </c>
      <c r="F13" s="8">
        <v>45226</v>
      </c>
      <c r="G13" t="s">
        <v>56</v>
      </c>
      <c r="H13" t="s">
        <v>58</v>
      </c>
      <c r="I13" t="s">
        <v>158</v>
      </c>
      <c r="J13" t="s">
        <v>23</v>
      </c>
      <c r="K13" t="s">
        <v>166</v>
      </c>
      <c r="M13" s="14">
        <v>350220</v>
      </c>
      <c r="N13" s="15"/>
      <c r="O13" s="14"/>
      <c r="P13" s="14"/>
      <c r="Q13" s="15"/>
      <c r="R13" s="15">
        <v>350220</v>
      </c>
      <c r="S13" s="14">
        <v>353722</v>
      </c>
      <c r="T13" s="23">
        <v>1</v>
      </c>
      <c r="U13" s="23" t="s">
        <v>196</v>
      </c>
      <c r="V13" s="23" t="s">
        <v>206</v>
      </c>
    </row>
    <row r="14" spans="1:24" x14ac:dyDescent="0.25">
      <c r="A14" s="22" t="str">
        <f t="shared" si="0"/>
        <v>869971222-45238-773870191217-CISSY</v>
      </c>
      <c r="B14" s="22">
        <v>1</v>
      </c>
      <c r="C14" t="s">
        <v>60</v>
      </c>
      <c r="D14" s="8">
        <v>45238</v>
      </c>
      <c r="E14" s="4" t="s">
        <v>64</v>
      </c>
      <c r="F14" s="8">
        <v>45226</v>
      </c>
      <c r="G14" t="s">
        <v>62</v>
      </c>
      <c r="H14" t="s">
        <v>65</v>
      </c>
      <c r="I14" t="s">
        <v>63</v>
      </c>
      <c r="J14" t="s">
        <v>38</v>
      </c>
      <c r="K14" t="s">
        <v>167</v>
      </c>
      <c r="L14" s="4"/>
      <c r="M14" s="14">
        <v>254488</v>
      </c>
      <c r="N14" s="15"/>
      <c r="O14" s="14"/>
      <c r="P14" s="14"/>
      <c r="Q14" s="15"/>
      <c r="R14" s="15">
        <v>254488</v>
      </c>
      <c r="S14" s="14">
        <v>257033</v>
      </c>
      <c r="T14" s="23">
        <v>0</v>
      </c>
    </row>
    <row r="15" spans="1:24" x14ac:dyDescent="0.25">
      <c r="A15" s="22" t="str">
        <f t="shared" si="0"/>
        <v>869971222-45238-773884693621-SHENYANG</v>
      </c>
      <c r="B15" s="22">
        <v>1</v>
      </c>
      <c r="C15" t="s">
        <v>60</v>
      </c>
      <c r="D15" s="8">
        <v>45238</v>
      </c>
      <c r="E15" s="4" t="s">
        <v>67</v>
      </c>
      <c r="F15" s="8">
        <v>45227</v>
      </c>
      <c r="G15" t="s">
        <v>56</v>
      </c>
      <c r="H15" t="s">
        <v>58</v>
      </c>
      <c r="I15" t="s">
        <v>66</v>
      </c>
      <c r="J15" t="s">
        <v>23</v>
      </c>
      <c r="K15" t="s">
        <v>166</v>
      </c>
      <c r="M15" s="14">
        <v>350220</v>
      </c>
      <c r="N15" s="15"/>
      <c r="O15" s="14"/>
      <c r="P15" s="14"/>
      <c r="Q15" s="15"/>
      <c r="R15" s="15">
        <v>350220</v>
      </c>
      <c r="S15" s="14">
        <v>353722</v>
      </c>
      <c r="T15" s="23">
        <v>1</v>
      </c>
      <c r="U15" s="23" t="s">
        <v>196</v>
      </c>
      <c r="V15" s="23" t="s">
        <v>206</v>
      </c>
    </row>
    <row r="16" spans="1:24" x14ac:dyDescent="0.25">
      <c r="A16" s="22" t="str">
        <f t="shared" si="0"/>
        <v>869971222-45238-785740476670-SHENYANG</v>
      </c>
      <c r="B16" s="22">
        <v>1</v>
      </c>
      <c r="C16" t="s">
        <v>60</v>
      </c>
      <c r="D16" s="8">
        <v>45238</v>
      </c>
      <c r="E16" s="4" t="s">
        <v>68</v>
      </c>
      <c r="F16" s="8">
        <v>45231</v>
      </c>
      <c r="G16" t="s">
        <v>56</v>
      </c>
      <c r="H16" t="s">
        <v>58</v>
      </c>
      <c r="I16" t="s">
        <v>158</v>
      </c>
      <c r="J16" t="s">
        <v>23</v>
      </c>
      <c r="K16" t="s">
        <v>166</v>
      </c>
      <c r="M16" s="14">
        <v>263065</v>
      </c>
      <c r="N16" s="15"/>
      <c r="O16" s="15"/>
      <c r="P16" s="15"/>
      <c r="Q16" s="15"/>
      <c r="R16" s="15">
        <v>263065</v>
      </c>
      <c r="S16" s="14">
        <v>265696</v>
      </c>
      <c r="T16" s="23">
        <v>1</v>
      </c>
      <c r="U16" s="23" t="s">
        <v>196</v>
      </c>
      <c r="V16" s="23" t="s">
        <v>206</v>
      </c>
    </row>
    <row r="17" spans="1:22" x14ac:dyDescent="0.25">
      <c r="A17" s="22" t="str">
        <f t="shared" si="0"/>
        <v>870148463-45301-774492822021-HANFRIEND COLTD</v>
      </c>
      <c r="B17" s="22">
        <v>1</v>
      </c>
      <c r="C17" t="s">
        <v>69</v>
      </c>
      <c r="D17" s="8">
        <v>45301</v>
      </c>
      <c r="E17" s="4" t="s">
        <v>70</v>
      </c>
      <c r="F17" s="8">
        <v>45275</v>
      </c>
      <c r="G17" t="s">
        <v>71</v>
      </c>
      <c r="I17" t="s">
        <v>72</v>
      </c>
      <c r="J17" t="s">
        <v>73</v>
      </c>
      <c r="K17" t="s">
        <v>172</v>
      </c>
      <c r="M17" s="14">
        <v>17034000</v>
      </c>
      <c r="N17" s="15"/>
      <c r="O17" s="15"/>
      <c r="P17" s="15"/>
      <c r="Q17" s="15"/>
      <c r="R17" s="15">
        <v>17034000</v>
      </c>
      <c r="S17" s="14">
        <v>17204340</v>
      </c>
      <c r="T17" s="23">
        <v>0</v>
      </c>
    </row>
    <row r="18" spans="1:22" x14ac:dyDescent="0.25">
      <c r="A18" s="22" t="str">
        <f t="shared" si="0"/>
        <v>870148463-45301-774496252273-MAXIMILIAN OBERHOFF</v>
      </c>
      <c r="B18" s="22">
        <v>1</v>
      </c>
      <c r="C18" t="s">
        <v>69</v>
      </c>
      <c r="D18" s="8">
        <v>45301</v>
      </c>
      <c r="E18" s="4" t="s">
        <v>74</v>
      </c>
      <c r="F18" s="8">
        <v>45275</v>
      </c>
      <c r="G18" t="s">
        <v>75</v>
      </c>
      <c r="I18" t="s">
        <v>76</v>
      </c>
      <c r="J18" t="s">
        <v>77</v>
      </c>
      <c r="K18" t="s">
        <v>173</v>
      </c>
      <c r="M18" s="14">
        <v>23838000</v>
      </c>
      <c r="N18" s="15"/>
      <c r="O18" s="15"/>
      <c r="P18" s="15"/>
      <c r="Q18" s="15"/>
      <c r="R18" s="15">
        <v>23838000</v>
      </c>
      <c r="S18" s="14">
        <v>24076380</v>
      </c>
      <c r="T18" s="23">
        <v>0</v>
      </c>
    </row>
    <row r="19" spans="1:22" x14ac:dyDescent="0.25">
      <c r="A19" s="22" t="str">
        <f t="shared" si="0"/>
        <v>870148463-45301-774514292670-FION LEUNG</v>
      </c>
      <c r="B19" s="22">
        <v>2</v>
      </c>
      <c r="C19" t="s">
        <v>69</v>
      </c>
      <c r="D19" s="8">
        <v>45301</v>
      </c>
      <c r="E19" s="4" t="s">
        <v>53</v>
      </c>
      <c r="F19" s="8">
        <v>45278</v>
      </c>
      <c r="G19" t="s">
        <v>52</v>
      </c>
      <c r="I19" t="s">
        <v>25</v>
      </c>
      <c r="J19" t="s">
        <v>38</v>
      </c>
      <c r="K19" t="s">
        <v>170</v>
      </c>
      <c r="M19" s="14">
        <v>41496000</v>
      </c>
      <c r="N19" s="15"/>
      <c r="O19" s="15"/>
      <c r="P19" s="15"/>
      <c r="Q19" s="15"/>
      <c r="R19" s="15">
        <v>41496000</v>
      </c>
      <c r="S19" s="14">
        <v>41910960</v>
      </c>
      <c r="T19" s="23">
        <v>0</v>
      </c>
    </row>
    <row r="20" spans="1:22" x14ac:dyDescent="0.25">
      <c r="A20" s="22" t="str">
        <f t="shared" si="0"/>
        <v>870148463-45301-774608947549-STELLA</v>
      </c>
      <c r="B20" s="22">
        <v>1</v>
      </c>
      <c r="C20" t="s">
        <v>69</v>
      </c>
      <c r="D20" s="8">
        <v>45301</v>
      </c>
      <c r="E20" s="4" t="s">
        <v>79</v>
      </c>
      <c r="F20" s="8">
        <v>45288</v>
      </c>
      <c r="G20" t="s">
        <v>29</v>
      </c>
      <c r="H20" t="s">
        <v>32</v>
      </c>
      <c r="I20" t="s">
        <v>78</v>
      </c>
      <c r="J20" t="s">
        <v>33</v>
      </c>
      <c r="K20" t="s">
        <v>166</v>
      </c>
      <c r="M20" s="14">
        <v>700000</v>
      </c>
      <c r="N20" s="15"/>
      <c r="O20" s="15"/>
      <c r="P20" s="15"/>
      <c r="Q20" s="15"/>
      <c r="R20" s="15">
        <v>700000</v>
      </c>
      <c r="S20" s="14">
        <v>707000</v>
      </c>
      <c r="T20" s="23">
        <v>1</v>
      </c>
      <c r="U20" s="23" t="s">
        <v>78</v>
      </c>
      <c r="V20" s="23" t="s">
        <v>206</v>
      </c>
    </row>
    <row r="21" spans="1:22" x14ac:dyDescent="0.25">
      <c r="A21" s="22" t="str">
        <f t="shared" si="0"/>
        <v>870148463-45301-538683301873-TONY WONG</v>
      </c>
      <c r="B21" s="22">
        <v>1</v>
      </c>
      <c r="C21" t="s">
        <v>69</v>
      </c>
      <c r="D21" s="8">
        <v>45301</v>
      </c>
      <c r="E21" s="4" t="s">
        <v>80</v>
      </c>
      <c r="F21" s="8">
        <v>45289</v>
      </c>
      <c r="G21" t="s">
        <v>81</v>
      </c>
      <c r="H21" t="s">
        <v>82</v>
      </c>
      <c r="I21" t="s">
        <v>63</v>
      </c>
      <c r="J21" t="s">
        <v>23</v>
      </c>
      <c r="K21" t="s">
        <v>174</v>
      </c>
      <c r="M21" s="14">
        <v>1555000</v>
      </c>
      <c r="N21" s="15"/>
      <c r="O21" s="15"/>
      <c r="P21" s="15"/>
      <c r="Q21" s="15"/>
      <c r="R21" s="15">
        <v>1555000</v>
      </c>
      <c r="S21" s="14">
        <v>1570550</v>
      </c>
      <c r="T21" s="23">
        <v>0</v>
      </c>
      <c r="U21" s="23" t="s">
        <v>205</v>
      </c>
      <c r="V21" s="23" t="s">
        <v>206</v>
      </c>
    </row>
    <row r="22" spans="1:22" x14ac:dyDescent="0.25">
      <c r="A22" s="22" t="str">
        <f t="shared" si="0"/>
        <v>870148463-45301-774634331161-STELLA</v>
      </c>
      <c r="B22" s="22">
        <v>1</v>
      </c>
      <c r="C22" t="s">
        <v>69</v>
      </c>
      <c r="D22" s="8">
        <v>45301</v>
      </c>
      <c r="E22" s="4" t="s">
        <v>83</v>
      </c>
      <c r="F22" s="8">
        <v>45290</v>
      </c>
      <c r="G22" t="s">
        <v>29</v>
      </c>
      <c r="H22" t="s">
        <v>32</v>
      </c>
      <c r="I22" t="s">
        <v>30</v>
      </c>
      <c r="J22" t="s">
        <v>33</v>
      </c>
      <c r="K22" t="s">
        <v>166</v>
      </c>
      <c r="M22" s="14">
        <v>700000</v>
      </c>
      <c r="N22" s="15"/>
      <c r="O22" s="15"/>
      <c r="P22" s="15"/>
      <c r="Q22" s="15"/>
      <c r="R22" s="15">
        <v>700000</v>
      </c>
      <c r="S22" s="14">
        <v>707000</v>
      </c>
      <c r="T22" s="23">
        <v>1</v>
      </c>
      <c r="U22" s="23" t="s">
        <v>205</v>
      </c>
      <c r="V22" s="23" t="s">
        <v>206</v>
      </c>
    </row>
    <row r="23" spans="1:22" x14ac:dyDescent="0.25">
      <c r="A23" s="22" t="str">
        <f t="shared" si="0"/>
        <v>870148464-45301-774609920571-EKA / BAYU</v>
      </c>
      <c r="B23" s="22">
        <v>1</v>
      </c>
      <c r="C23" t="s">
        <v>84</v>
      </c>
      <c r="D23" s="8">
        <v>45301</v>
      </c>
      <c r="E23" s="4" t="s">
        <v>85</v>
      </c>
      <c r="F23" s="8">
        <v>45287</v>
      </c>
      <c r="G23" t="s">
        <v>36</v>
      </c>
      <c r="H23" t="s">
        <v>41</v>
      </c>
      <c r="I23" t="s">
        <v>37</v>
      </c>
      <c r="J23" t="s">
        <v>39</v>
      </c>
      <c r="K23" t="s">
        <v>167</v>
      </c>
      <c r="M23" s="14">
        <v>258954</v>
      </c>
      <c r="N23" s="15"/>
      <c r="O23" s="15"/>
      <c r="P23" s="15"/>
      <c r="Q23" s="15"/>
      <c r="R23" s="15">
        <v>258954</v>
      </c>
      <c r="S23" s="14">
        <v>261544</v>
      </c>
      <c r="T23" s="23">
        <v>1</v>
      </c>
      <c r="U23" s="23" t="s">
        <v>78</v>
      </c>
      <c r="V23" s="23" t="s">
        <v>206</v>
      </c>
    </row>
    <row r="24" spans="1:22" x14ac:dyDescent="0.25">
      <c r="A24" s="22" t="str">
        <f t="shared" si="0"/>
        <v>870148464-45301-774632987514-EKA / BAYU</v>
      </c>
      <c r="B24" s="22">
        <v>2</v>
      </c>
      <c r="C24" t="s">
        <v>84</v>
      </c>
      <c r="D24" s="8">
        <v>45301</v>
      </c>
      <c r="E24" s="4" t="s">
        <v>50</v>
      </c>
      <c r="F24" s="8">
        <v>45289</v>
      </c>
      <c r="G24" t="s">
        <v>36</v>
      </c>
      <c r="H24" t="s">
        <v>41</v>
      </c>
      <c r="I24" t="s">
        <v>37</v>
      </c>
      <c r="J24" t="s">
        <v>39</v>
      </c>
      <c r="K24" t="s">
        <v>169</v>
      </c>
      <c r="M24" s="14">
        <v>2713792</v>
      </c>
      <c r="N24" s="15"/>
      <c r="O24" s="15"/>
      <c r="P24" s="15"/>
      <c r="Q24" s="15"/>
      <c r="R24" s="15">
        <v>2713792</v>
      </c>
      <c r="S24" s="14">
        <v>2740930</v>
      </c>
      <c r="T24" s="23">
        <v>0</v>
      </c>
      <c r="U24" s="23" t="s">
        <v>207</v>
      </c>
      <c r="V24" s="23" t="s">
        <v>206</v>
      </c>
    </row>
    <row r="25" spans="1:22" x14ac:dyDescent="0.25">
      <c r="A25" s="22" t="str">
        <f t="shared" si="0"/>
        <v>870148464-45301-774598274869-EKA / BAYU</v>
      </c>
      <c r="B25" s="22">
        <v>1</v>
      </c>
      <c r="C25" t="s">
        <v>84</v>
      </c>
      <c r="D25" s="8">
        <v>45301</v>
      </c>
      <c r="E25" s="4" t="s">
        <v>86</v>
      </c>
      <c r="F25" s="8">
        <v>45289</v>
      </c>
      <c r="G25" t="s">
        <v>36</v>
      </c>
      <c r="H25" t="s">
        <v>41</v>
      </c>
      <c r="I25" t="s">
        <v>37</v>
      </c>
      <c r="J25" t="s">
        <v>39</v>
      </c>
      <c r="K25" t="s">
        <v>166</v>
      </c>
      <c r="M25" s="14">
        <v>258954</v>
      </c>
      <c r="N25" s="15"/>
      <c r="O25" s="15"/>
      <c r="P25" s="15"/>
      <c r="Q25" s="15"/>
      <c r="R25" s="15">
        <v>258954</v>
      </c>
      <c r="S25" s="14">
        <v>261544</v>
      </c>
      <c r="T25" s="23">
        <v>1</v>
      </c>
      <c r="U25" s="23" t="s">
        <v>78</v>
      </c>
      <c r="V25" s="23" t="s">
        <v>206</v>
      </c>
    </row>
    <row r="26" spans="1:22" x14ac:dyDescent="0.25">
      <c r="A26" s="22" t="str">
        <f t="shared" si="0"/>
        <v>870148464-45301-774634936230-MS. MERCY</v>
      </c>
      <c r="B26" s="22">
        <v>1</v>
      </c>
      <c r="C26" t="s">
        <v>84</v>
      </c>
      <c r="D26" s="8">
        <v>45301</v>
      </c>
      <c r="E26" s="4" t="s">
        <v>87</v>
      </c>
      <c r="F26" s="8">
        <v>45289</v>
      </c>
      <c r="G26" t="s">
        <v>43</v>
      </c>
      <c r="H26" t="s">
        <v>41</v>
      </c>
      <c r="I26" t="s">
        <v>88</v>
      </c>
      <c r="J26" t="s">
        <v>159</v>
      </c>
      <c r="K26" t="s">
        <v>167</v>
      </c>
      <c r="M26" s="14">
        <v>226604</v>
      </c>
      <c r="N26" s="15"/>
      <c r="O26" s="15"/>
      <c r="P26" s="15"/>
      <c r="Q26" s="15"/>
      <c r="R26" s="15">
        <v>226604</v>
      </c>
      <c r="S26" s="14">
        <v>228870</v>
      </c>
      <c r="T26" s="23">
        <v>1</v>
      </c>
      <c r="U26" s="23" t="s">
        <v>196</v>
      </c>
      <c r="V26" s="23" t="s">
        <v>206</v>
      </c>
    </row>
    <row r="27" spans="1:22" x14ac:dyDescent="0.25">
      <c r="A27" s="22" t="str">
        <f t="shared" si="0"/>
        <v>870148464-45301-774634958738-MS. MERCY</v>
      </c>
      <c r="B27" s="22">
        <v>1</v>
      </c>
      <c r="C27" t="s">
        <v>84</v>
      </c>
      <c r="D27" s="8">
        <v>45301</v>
      </c>
      <c r="E27" s="4" t="s">
        <v>89</v>
      </c>
      <c r="F27" s="8">
        <v>45289</v>
      </c>
      <c r="G27" t="s">
        <v>43</v>
      </c>
      <c r="H27" t="s">
        <v>41</v>
      </c>
      <c r="I27" t="s">
        <v>44</v>
      </c>
      <c r="J27" t="s">
        <v>45</v>
      </c>
      <c r="K27" t="s">
        <v>167</v>
      </c>
      <c r="M27" s="14">
        <v>226604</v>
      </c>
      <c r="N27" s="15"/>
      <c r="O27" s="15"/>
      <c r="P27" s="15"/>
      <c r="Q27" s="15"/>
      <c r="R27" s="15">
        <v>226604</v>
      </c>
      <c r="S27" s="14">
        <v>228870</v>
      </c>
      <c r="T27" s="23">
        <v>1</v>
      </c>
      <c r="U27" s="23" t="s">
        <v>196</v>
      </c>
      <c r="V27" s="23" t="s">
        <v>206</v>
      </c>
    </row>
    <row r="28" spans="1:22" x14ac:dyDescent="0.25">
      <c r="A28" s="22" t="str">
        <f t="shared" si="0"/>
        <v>870069727-45273-774251360505-AGUSTINA FUNG FUNG/MERY/VIOLA</v>
      </c>
      <c r="B28" s="22">
        <v>1</v>
      </c>
      <c r="C28" t="s">
        <v>90</v>
      </c>
      <c r="D28" s="8">
        <v>45273</v>
      </c>
      <c r="E28" s="4" t="s">
        <v>91</v>
      </c>
      <c r="F28" s="8">
        <v>45259</v>
      </c>
      <c r="G28" t="s">
        <v>92</v>
      </c>
      <c r="H28" t="s">
        <v>41</v>
      </c>
      <c r="I28" t="s">
        <v>93</v>
      </c>
      <c r="J28" t="s">
        <v>94</v>
      </c>
      <c r="K28" t="s">
        <v>175</v>
      </c>
      <c r="M28" s="14">
        <v>1623883</v>
      </c>
      <c r="N28" s="15"/>
      <c r="O28" s="15"/>
      <c r="P28" s="15"/>
      <c r="Q28" s="15"/>
      <c r="R28" s="15">
        <v>1623883</v>
      </c>
      <c r="S28" s="14">
        <v>1640122</v>
      </c>
      <c r="T28" s="23">
        <v>0</v>
      </c>
    </row>
    <row r="29" spans="1:22" x14ac:dyDescent="0.25">
      <c r="A29" s="22" t="str">
        <f t="shared" si="0"/>
        <v>870069727-45273-774271975344-WINTA</v>
      </c>
      <c r="B29" s="22">
        <v>1</v>
      </c>
      <c r="C29" t="s">
        <v>90</v>
      </c>
      <c r="D29" s="8">
        <v>45273</v>
      </c>
      <c r="E29" s="4" t="s">
        <v>95</v>
      </c>
      <c r="F29" s="8">
        <v>45259</v>
      </c>
      <c r="G29" t="s">
        <v>96</v>
      </c>
      <c r="H29" t="s">
        <v>41</v>
      </c>
      <c r="I29" t="s">
        <v>97</v>
      </c>
      <c r="J29" t="s">
        <v>98</v>
      </c>
      <c r="K29" t="s">
        <v>166</v>
      </c>
      <c r="M29" s="14">
        <v>172579</v>
      </c>
      <c r="N29" s="15"/>
      <c r="O29" s="15"/>
      <c r="P29" s="15"/>
      <c r="Q29" s="15"/>
      <c r="R29" s="15">
        <v>172579</v>
      </c>
      <c r="S29" s="14">
        <v>174305</v>
      </c>
      <c r="T29" s="23">
        <v>1</v>
      </c>
    </row>
    <row r="30" spans="1:22" x14ac:dyDescent="0.25">
      <c r="A30" s="22" t="str">
        <f t="shared" si="0"/>
        <v>870069727-45273-774274161080-MS. MERCY</v>
      </c>
      <c r="B30" s="22">
        <v>1</v>
      </c>
      <c r="C30" t="s">
        <v>90</v>
      </c>
      <c r="D30" s="8">
        <v>45273</v>
      </c>
      <c r="E30" s="4" t="s">
        <v>99</v>
      </c>
      <c r="F30" s="8">
        <v>45259</v>
      </c>
      <c r="G30" t="s">
        <v>43</v>
      </c>
      <c r="H30" t="s">
        <v>41</v>
      </c>
      <c r="I30" t="s">
        <v>100</v>
      </c>
      <c r="J30" t="s">
        <v>101</v>
      </c>
      <c r="K30" t="s">
        <v>166</v>
      </c>
      <c r="M30" s="14">
        <v>341117</v>
      </c>
      <c r="N30" s="15"/>
      <c r="O30" s="15"/>
      <c r="P30" s="15"/>
      <c r="Q30" s="15"/>
      <c r="R30" s="15">
        <v>341117</v>
      </c>
      <c r="S30" s="14">
        <v>344528</v>
      </c>
      <c r="T30" s="23">
        <v>1</v>
      </c>
      <c r="U30" s="23" t="s">
        <v>194</v>
      </c>
      <c r="V30" s="23" t="s">
        <v>208</v>
      </c>
    </row>
    <row r="31" spans="1:22" x14ac:dyDescent="0.25">
      <c r="A31" s="22" t="str">
        <f t="shared" si="0"/>
        <v>870069727-45273-774271459653-EKA / BAYU</v>
      </c>
      <c r="B31" s="22">
        <v>1</v>
      </c>
      <c r="C31" t="s">
        <v>90</v>
      </c>
      <c r="D31" s="8">
        <v>45273</v>
      </c>
      <c r="E31" s="4" t="s">
        <v>102</v>
      </c>
      <c r="F31" s="8">
        <v>45259</v>
      </c>
      <c r="G31" t="s">
        <v>36</v>
      </c>
      <c r="H31" t="s">
        <v>41</v>
      </c>
      <c r="I31" t="s">
        <v>37</v>
      </c>
      <c r="J31" t="s">
        <v>39</v>
      </c>
      <c r="K31" t="s">
        <v>176</v>
      </c>
      <c r="M31" s="14">
        <v>1662154</v>
      </c>
      <c r="N31" s="15"/>
      <c r="O31" s="15"/>
      <c r="P31" s="15"/>
      <c r="Q31" s="15"/>
      <c r="R31" s="15">
        <v>1662154</v>
      </c>
      <c r="S31" s="14">
        <v>1678776</v>
      </c>
      <c r="T31" s="23">
        <v>1</v>
      </c>
      <c r="U31" s="23" t="s">
        <v>78</v>
      </c>
      <c r="V31" s="23" t="s">
        <v>206</v>
      </c>
    </row>
    <row r="32" spans="1:22" x14ac:dyDescent="0.25">
      <c r="A32" s="22" t="str">
        <f t="shared" si="0"/>
        <v>870069727-45273-774291589065-EKA / BAYU</v>
      </c>
      <c r="B32" s="22">
        <v>1</v>
      </c>
      <c r="C32" t="s">
        <v>90</v>
      </c>
      <c r="D32" s="8">
        <v>45273</v>
      </c>
      <c r="E32" s="4" t="s">
        <v>103</v>
      </c>
      <c r="F32" s="8">
        <v>45260</v>
      </c>
      <c r="G32" t="s">
        <v>36</v>
      </c>
      <c r="H32" t="s">
        <v>41</v>
      </c>
      <c r="I32" t="s">
        <v>37</v>
      </c>
      <c r="J32" t="s">
        <v>39</v>
      </c>
      <c r="K32" t="s">
        <v>167</v>
      </c>
      <c r="M32" s="14">
        <v>267094</v>
      </c>
      <c r="N32" s="15"/>
      <c r="O32" s="15"/>
      <c r="P32" s="15"/>
      <c r="Q32" s="15"/>
      <c r="R32" s="15">
        <v>267094</v>
      </c>
      <c r="S32" s="14">
        <v>269765</v>
      </c>
      <c r="T32" s="23">
        <v>1</v>
      </c>
      <c r="U32" s="23" t="s">
        <v>78</v>
      </c>
      <c r="V32" s="23" t="s">
        <v>206</v>
      </c>
    </row>
    <row r="33" spans="1:22" x14ac:dyDescent="0.25">
      <c r="A33" s="22" t="str">
        <f t="shared" si="0"/>
        <v>870069727-45273-774306660341-WINTA</v>
      </c>
      <c r="B33" s="22">
        <v>1</v>
      </c>
      <c r="C33" t="s">
        <v>90</v>
      </c>
      <c r="D33" s="8">
        <v>45273</v>
      </c>
      <c r="E33" s="4" t="s">
        <v>104</v>
      </c>
      <c r="F33" s="8">
        <v>45261</v>
      </c>
      <c r="G33" t="s">
        <v>96</v>
      </c>
      <c r="H33" t="s">
        <v>41</v>
      </c>
      <c r="I33" t="s">
        <v>97</v>
      </c>
      <c r="J33" t="s">
        <v>98</v>
      </c>
      <c r="K33" t="s">
        <v>177</v>
      </c>
      <c r="M33" s="14">
        <v>312432</v>
      </c>
      <c r="N33" s="15"/>
      <c r="O33" s="15"/>
      <c r="P33" s="15"/>
      <c r="Q33" s="15"/>
      <c r="R33" s="15">
        <v>312432</v>
      </c>
      <c r="S33" s="14">
        <v>315556</v>
      </c>
      <c r="T33" s="23">
        <v>1</v>
      </c>
    </row>
    <row r="34" spans="1:22" x14ac:dyDescent="0.25">
      <c r="A34" s="22" t="str">
        <f t="shared" ref="A34:A66" si="1">C34&amp;"-"&amp;D34&amp;"-"&amp;E34&amp;"-"&amp;G34</f>
        <v>870069727-45273-774306099460-DIANA / LINDA</v>
      </c>
      <c r="B34" s="22">
        <v>1</v>
      </c>
      <c r="C34" t="s">
        <v>90</v>
      </c>
      <c r="D34" s="8">
        <v>45273</v>
      </c>
      <c r="E34" s="4" t="s">
        <v>105</v>
      </c>
      <c r="F34" s="8">
        <v>45261</v>
      </c>
      <c r="G34" t="s">
        <v>106</v>
      </c>
      <c r="H34" t="s">
        <v>41</v>
      </c>
      <c r="I34" t="s">
        <v>107</v>
      </c>
      <c r="J34" t="s">
        <v>108</v>
      </c>
      <c r="K34" t="s">
        <v>178</v>
      </c>
      <c r="M34" s="14">
        <v>558295</v>
      </c>
      <c r="N34" s="15"/>
      <c r="O34" s="15"/>
      <c r="P34" s="15"/>
      <c r="Q34" s="15"/>
      <c r="R34" s="15">
        <v>558295</v>
      </c>
      <c r="S34" s="14">
        <v>563878</v>
      </c>
      <c r="T34" s="23">
        <v>1</v>
      </c>
      <c r="U34" s="23" t="s">
        <v>195</v>
      </c>
      <c r="V34" s="23" t="s">
        <v>209</v>
      </c>
    </row>
    <row r="35" spans="1:22" x14ac:dyDescent="0.25">
      <c r="A35" s="22" t="str">
        <f t="shared" si="1"/>
        <v>870069727-45273-774273481327-MS. MERCY</v>
      </c>
      <c r="B35" s="22">
        <v>1</v>
      </c>
      <c r="C35" t="s">
        <v>90</v>
      </c>
      <c r="D35" s="8">
        <v>45273</v>
      </c>
      <c r="E35" s="4" t="s">
        <v>109</v>
      </c>
      <c r="F35" s="8">
        <v>45261</v>
      </c>
      <c r="G35" t="s">
        <v>43</v>
      </c>
      <c r="H35" t="s">
        <v>41</v>
      </c>
      <c r="I35" t="s">
        <v>110</v>
      </c>
      <c r="J35" t="s">
        <v>111</v>
      </c>
      <c r="K35" t="s">
        <v>167</v>
      </c>
      <c r="M35" s="14">
        <v>233769</v>
      </c>
      <c r="N35" s="15"/>
      <c r="O35" s="15"/>
      <c r="P35" s="15"/>
      <c r="Q35" s="15"/>
      <c r="R35" s="15">
        <v>233769</v>
      </c>
      <c r="S35" s="14">
        <v>236107</v>
      </c>
      <c r="T35" s="23">
        <v>1</v>
      </c>
      <c r="U35" s="23" t="s">
        <v>196</v>
      </c>
      <c r="V35" s="23" t="s">
        <v>206</v>
      </c>
    </row>
    <row r="36" spans="1:22" x14ac:dyDescent="0.25">
      <c r="A36" s="22" t="str">
        <f t="shared" si="1"/>
        <v>870069727-45273-774346736332-WINTA</v>
      </c>
      <c r="B36" s="22">
        <v>1</v>
      </c>
      <c r="C36" t="s">
        <v>90</v>
      </c>
      <c r="D36" s="8">
        <v>45273</v>
      </c>
      <c r="E36" s="4" t="s">
        <v>112</v>
      </c>
      <c r="F36" s="8">
        <v>45265</v>
      </c>
      <c r="G36" t="s">
        <v>96</v>
      </c>
      <c r="H36" t="s">
        <v>41</v>
      </c>
      <c r="I36" t="s">
        <v>97</v>
      </c>
      <c r="J36" t="s">
        <v>98</v>
      </c>
      <c r="K36" t="s">
        <v>179</v>
      </c>
      <c r="M36" s="14">
        <v>444987</v>
      </c>
      <c r="N36" s="15"/>
      <c r="O36" s="15"/>
      <c r="P36" s="15"/>
      <c r="Q36" s="15"/>
      <c r="R36" s="15">
        <v>444987</v>
      </c>
      <c r="S36" s="14">
        <v>449437</v>
      </c>
      <c r="T36" s="23">
        <v>1</v>
      </c>
    </row>
    <row r="37" spans="1:22" x14ac:dyDescent="0.25">
      <c r="A37" s="22" t="str">
        <f t="shared" si="1"/>
        <v>870069727-45273-774345930609-EKA / BAYU</v>
      </c>
      <c r="B37" s="22">
        <v>1</v>
      </c>
      <c r="C37" t="s">
        <v>90</v>
      </c>
      <c r="D37" s="8">
        <v>45273</v>
      </c>
      <c r="E37" s="4" t="s">
        <v>113</v>
      </c>
      <c r="F37" s="8">
        <v>45265</v>
      </c>
      <c r="G37" t="s">
        <v>36</v>
      </c>
      <c r="H37" t="s">
        <v>41</v>
      </c>
      <c r="I37" t="s">
        <v>37</v>
      </c>
      <c r="J37" t="s">
        <v>39</v>
      </c>
      <c r="K37" t="s">
        <v>166</v>
      </c>
      <c r="M37" s="14">
        <v>265095</v>
      </c>
      <c r="N37" s="15"/>
      <c r="O37" s="15"/>
      <c r="P37" s="15"/>
      <c r="Q37" s="15"/>
      <c r="R37" s="15">
        <v>265095</v>
      </c>
      <c r="S37" s="14">
        <v>267746</v>
      </c>
      <c r="T37" s="23">
        <v>1</v>
      </c>
      <c r="U37" s="23" t="s">
        <v>78</v>
      </c>
      <c r="V37" s="23" t="s">
        <v>206</v>
      </c>
    </row>
    <row r="38" spans="1:22" x14ac:dyDescent="0.25">
      <c r="A38" s="22" t="str">
        <f t="shared" si="1"/>
        <v>870069728-45273-774327903444-SHENYANG</v>
      </c>
      <c r="B38" s="22">
        <v>1</v>
      </c>
      <c r="C38" t="s">
        <v>114</v>
      </c>
      <c r="D38" s="8">
        <v>45273</v>
      </c>
      <c r="E38" s="4" t="s">
        <v>115</v>
      </c>
      <c r="F38" s="8">
        <v>45265</v>
      </c>
      <c r="G38" t="s">
        <v>56</v>
      </c>
      <c r="H38" t="s">
        <v>58</v>
      </c>
      <c r="I38" t="s">
        <v>158</v>
      </c>
      <c r="J38" t="s">
        <v>23</v>
      </c>
      <c r="K38" t="s">
        <v>166</v>
      </c>
      <c r="M38" s="14">
        <v>261049</v>
      </c>
      <c r="N38" s="15"/>
      <c r="O38" s="15"/>
      <c r="P38" s="15"/>
      <c r="Q38" s="15"/>
      <c r="R38" s="15">
        <v>261049</v>
      </c>
      <c r="S38" s="14">
        <v>263659</v>
      </c>
      <c r="T38" s="23">
        <v>1</v>
      </c>
      <c r="U38" s="23" t="s">
        <v>196</v>
      </c>
      <c r="V38" s="23" t="s">
        <v>206</v>
      </c>
    </row>
    <row r="39" spans="1:22" x14ac:dyDescent="0.25">
      <c r="A39" s="22" t="str">
        <f t="shared" si="1"/>
        <v>870072442-45273-774398472980-EKA / BAYU</v>
      </c>
      <c r="B39" s="22">
        <v>1</v>
      </c>
      <c r="C39" t="s">
        <v>116</v>
      </c>
      <c r="D39" s="8">
        <v>45273</v>
      </c>
      <c r="E39" s="4" t="s">
        <v>117</v>
      </c>
      <c r="F39" s="8">
        <v>45268</v>
      </c>
      <c r="G39" t="s">
        <v>36</v>
      </c>
      <c r="H39" t="s">
        <v>41</v>
      </c>
      <c r="I39" t="s">
        <v>37</v>
      </c>
      <c r="J39" t="s">
        <v>39</v>
      </c>
      <c r="K39" t="s">
        <v>180</v>
      </c>
      <c r="M39" s="14">
        <v>2272707</v>
      </c>
      <c r="N39" s="15"/>
      <c r="O39" s="15"/>
      <c r="P39" s="15"/>
      <c r="Q39" s="15"/>
      <c r="R39" s="15">
        <v>2272707</v>
      </c>
      <c r="S39" s="14">
        <v>2295434</v>
      </c>
      <c r="T39" s="23">
        <v>1</v>
      </c>
      <c r="U39" s="23" t="s">
        <v>78</v>
      </c>
      <c r="V39" s="23" t="s">
        <v>206</v>
      </c>
    </row>
    <row r="40" spans="1:22" x14ac:dyDescent="0.25">
      <c r="A40" s="22" t="str">
        <f t="shared" si="1"/>
        <v>870159593-45306-774713825922-EKA / BAYU</v>
      </c>
      <c r="B40" s="22">
        <v>1</v>
      </c>
      <c r="C40" t="s">
        <v>118</v>
      </c>
      <c r="D40" s="8">
        <v>45306</v>
      </c>
      <c r="E40" s="4" t="s">
        <v>119</v>
      </c>
      <c r="F40" s="8">
        <v>45299</v>
      </c>
      <c r="G40" t="s">
        <v>36</v>
      </c>
      <c r="H40" t="s">
        <v>120</v>
      </c>
      <c r="I40" t="s">
        <v>37</v>
      </c>
      <c r="J40" t="s">
        <v>39</v>
      </c>
      <c r="K40" t="s">
        <v>181</v>
      </c>
      <c r="M40" s="14">
        <v>2406022</v>
      </c>
      <c r="N40" s="15"/>
      <c r="O40" s="15"/>
      <c r="P40" s="15"/>
      <c r="Q40" s="15"/>
      <c r="R40" s="15">
        <v>2406022</v>
      </c>
      <c r="S40" s="14">
        <v>2430082</v>
      </c>
      <c r="T40" s="23">
        <v>1</v>
      </c>
      <c r="U40" s="23" t="s">
        <v>78</v>
      </c>
      <c r="V40" s="23" t="s">
        <v>206</v>
      </c>
    </row>
    <row r="41" spans="1:22" x14ac:dyDescent="0.25">
      <c r="A41" s="22" t="str">
        <f t="shared" si="1"/>
        <v>870085656-45278-774381618321-HANFRIEND COLTD</v>
      </c>
      <c r="B41" s="22">
        <v>1</v>
      </c>
      <c r="C41" t="s">
        <v>121</v>
      </c>
      <c r="D41" s="8">
        <v>45278</v>
      </c>
      <c r="E41" s="4" t="s">
        <v>122</v>
      </c>
      <c r="F41" s="8">
        <v>45267</v>
      </c>
      <c r="G41" t="s">
        <v>71</v>
      </c>
      <c r="I41" t="s">
        <v>72</v>
      </c>
      <c r="J41" t="s">
        <v>73</v>
      </c>
      <c r="K41" t="s">
        <v>182</v>
      </c>
      <c r="M41" s="14">
        <v>971000</v>
      </c>
      <c r="N41" s="15"/>
      <c r="O41" s="15"/>
      <c r="P41" s="15"/>
      <c r="Q41" s="15"/>
      <c r="R41" s="15">
        <v>971000</v>
      </c>
      <c r="S41" s="14">
        <v>980710</v>
      </c>
      <c r="T41" s="23">
        <v>1</v>
      </c>
    </row>
    <row r="42" spans="1:22" x14ac:dyDescent="0.25">
      <c r="A42" s="22" t="str">
        <f t="shared" si="1"/>
        <v>870163300-45308-774695421533-WINTA</v>
      </c>
      <c r="B42" s="22">
        <v>1</v>
      </c>
      <c r="C42" t="s">
        <v>123</v>
      </c>
      <c r="D42" s="8">
        <v>45308</v>
      </c>
      <c r="E42" s="4" t="s">
        <v>124</v>
      </c>
      <c r="F42" s="8">
        <v>45296</v>
      </c>
      <c r="G42" t="s">
        <v>96</v>
      </c>
      <c r="H42" t="s">
        <v>41</v>
      </c>
      <c r="I42" t="s">
        <v>97</v>
      </c>
      <c r="J42" t="s">
        <v>98</v>
      </c>
      <c r="K42" t="s">
        <v>183</v>
      </c>
      <c r="M42" s="14">
        <v>605098</v>
      </c>
      <c r="N42" s="15"/>
      <c r="O42" s="15"/>
      <c r="P42" s="15"/>
      <c r="Q42" s="15"/>
      <c r="R42" s="15">
        <v>605098</v>
      </c>
      <c r="S42" s="14">
        <v>611149</v>
      </c>
      <c r="T42" s="23">
        <v>1</v>
      </c>
    </row>
    <row r="43" spans="1:22" x14ac:dyDescent="0.25">
      <c r="A43" s="22" t="str">
        <f t="shared" si="1"/>
        <v>870163300-45308-774649725891-EKA / BAYU</v>
      </c>
      <c r="B43" s="22">
        <v>1</v>
      </c>
      <c r="C43" t="s">
        <v>123</v>
      </c>
      <c r="D43" s="8">
        <v>45308</v>
      </c>
      <c r="E43" s="4" t="s">
        <v>125</v>
      </c>
      <c r="F43" s="8">
        <v>45296</v>
      </c>
      <c r="G43" t="s">
        <v>36</v>
      </c>
      <c r="H43" t="s">
        <v>41</v>
      </c>
      <c r="I43" t="s">
        <v>37</v>
      </c>
      <c r="J43" t="s">
        <v>39</v>
      </c>
      <c r="K43" t="s">
        <v>166</v>
      </c>
      <c r="M43" s="14">
        <v>279477</v>
      </c>
      <c r="N43" s="15"/>
      <c r="O43" s="15"/>
      <c r="P43" s="15"/>
      <c r="Q43" s="15"/>
      <c r="R43" s="15">
        <v>279477</v>
      </c>
      <c r="S43" s="14">
        <v>282272</v>
      </c>
      <c r="T43" s="23">
        <v>1</v>
      </c>
      <c r="U43" s="23" t="s">
        <v>78</v>
      </c>
      <c r="V43" s="23" t="s">
        <v>206</v>
      </c>
    </row>
    <row r="44" spans="1:22" x14ac:dyDescent="0.25">
      <c r="A44" s="22" t="str">
        <f t="shared" si="1"/>
        <v>870163300-45308-774713825922-EKA / BAYU</v>
      </c>
      <c r="B44" s="22">
        <v>2</v>
      </c>
      <c r="C44" t="s">
        <v>123</v>
      </c>
      <c r="D44" s="8">
        <v>45308</v>
      </c>
      <c r="E44" s="4" t="s">
        <v>119</v>
      </c>
      <c r="F44" s="8">
        <v>45299</v>
      </c>
      <c r="G44" t="s">
        <v>36</v>
      </c>
      <c r="H44" t="s">
        <v>120</v>
      </c>
      <c r="I44" t="s">
        <v>37</v>
      </c>
      <c r="J44" t="s">
        <v>39</v>
      </c>
      <c r="K44" t="s">
        <v>181</v>
      </c>
      <c r="M44" s="14">
        <v>2406022</v>
      </c>
      <c r="N44" s="15"/>
      <c r="O44" s="15"/>
      <c r="P44" s="15"/>
      <c r="Q44" s="15"/>
      <c r="R44" s="15">
        <v>2406022</v>
      </c>
      <c r="S44" s="14">
        <v>2430082</v>
      </c>
      <c r="T44" s="23">
        <v>0</v>
      </c>
      <c r="U44" s="23" t="s">
        <v>207</v>
      </c>
      <c r="V44" s="23" t="s">
        <v>206</v>
      </c>
    </row>
    <row r="45" spans="1:22" x14ac:dyDescent="0.25">
      <c r="A45" s="22" t="str">
        <f t="shared" si="1"/>
        <v>870163301-45308-774679939072-KIRSTIN SHENG</v>
      </c>
      <c r="B45" s="22">
        <v>1</v>
      </c>
      <c r="C45" t="s">
        <v>126</v>
      </c>
      <c r="D45" s="8">
        <v>45308</v>
      </c>
      <c r="E45" s="4" t="s">
        <v>129</v>
      </c>
      <c r="F45" s="8">
        <v>45296</v>
      </c>
      <c r="G45" t="s">
        <v>127</v>
      </c>
      <c r="H45" t="s">
        <v>130</v>
      </c>
      <c r="I45" t="s">
        <v>128</v>
      </c>
      <c r="J45" t="s">
        <v>120</v>
      </c>
      <c r="K45" t="s">
        <v>184</v>
      </c>
      <c r="M45" s="14">
        <v>3359514</v>
      </c>
      <c r="N45" s="15"/>
      <c r="O45" s="15"/>
      <c r="P45" s="15"/>
      <c r="Q45" s="15"/>
      <c r="R45" s="15">
        <v>3359514</v>
      </c>
      <c r="S45" s="14">
        <v>3393109</v>
      </c>
      <c r="T45" s="23">
        <v>1</v>
      </c>
    </row>
    <row r="46" spans="1:22" x14ac:dyDescent="0.25">
      <c r="A46" s="22" t="str">
        <f t="shared" si="1"/>
        <v>870091402-45280-773550803405-HANFRIEND COLTD</v>
      </c>
      <c r="B46" s="22">
        <v>1</v>
      </c>
      <c r="C46" t="s">
        <v>131</v>
      </c>
      <c r="D46" s="8">
        <v>45280</v>
      </c>
      <c r="E46" s="4" t="s">
        <v>132</v>
      </c>
      <c r="F46" s="8">
        <v>45196</v>
      </c>
      <c r="G46" t="s">
        <v>71</v>
      </c>
      <c r="I46">
        <v>0</v>
      </c>
      <c r="J46" t="s">
        <v>133</v>
      </c>
      <c r="K46" t="s">
        <v>185</v>
      </c>
      <c r="M46" s="14">
        <v>38962000</v>
      </c>
      <c r="N46" s="15"/>
      <c r="O46" s="15"/>
      <c r="P46" s="15"/>
      <c r="Q46" s="15"/>
      <c r="R46" s="15">
        <v>38962000</v>
      </c>
      <c r="S46" s="14">
        <v>39351620</v>
      </c>
      <c r="T46" s="23">
        <v>0</v>
      </c>
    </row>
    <row r="47" spans="1:22" x14ac:dyDescent="0.25">
      <c r="A47" s="22" t="str">
        <f t="shared" si="1"/>
        <v>870091402-45280-774365555030-FION LEUNG</v>
      </c>
      <c r="B47" s="22">
        <v>1</v>
      </c>
      <c r="C47" t="s">
        <v>131</v>
      </c>
      <c r="D47" s="8">
        <v>45280</v>
      </c>
      <c r="E47" s="4" t="s">
        <v>134</v>
      </c>
      <c r="F47" s="8">
        <v>45266</v>
      </c>
      <c r="G47" t="s">
        <v>52</v>
      </c>
      <c r="H47" t="s">
        <v>54</v>
      </c>
      <c r="I47" t="s">
        <v>135</v>
      </c>
      <c r="J47" t="s">
        <v>77</v>
      </c>
      <c r="K47" t="s">
        <v>186</v>
      </c>
      <c r="M47" s="14">
        <v>6083752</v>
      </c>
      <c r="N47" s="15"/>
      <c r="O47" s="15"/>
      <c r="P47" s="15"/>
      <c r="Q47" s="15"/>
      <c r="R47" s="15">
        <v>6083752</v>
      </c>
      <c r="S47" s="14">
        <v>6144590</v>
      </c>
      <c r="T47" s="23">
        <v>1</v>
      </c>
    </row>
    <row r="48" spans="1:22" x14ac:dyDescent="0.25">
      <c r="A48" s="22" t="str">
        <f t="shared" si="1"/>
        <v>870091402-45280-774381618321-HANFRIEND COLTD</v>
      </c>
      <c r="B48" s="22">
        <v>2</v>
      </c>
      <c r="C48" t="s">
        <v>131</v>
      </c>
      <c r="D48" s="8">
        <v>45280</v>
      </c>
      <c r="E48" s="4" t="s">
        <v>122</v>
      </c>
      <c r="F48" s="8">
        <v>45267</v>
      </c>
      <c r="G48" t="s">
        <v>71</v>
      </c>
      <c r="I48" t="s">
        <v>72</v>
      </c>
      <c r="J48" t="s">
        <v>73</v>
      </c>
      <c r="K48" t="s">
        <v>182</v>
      </c>
      <c r="M48" s="14">
        <v>971000</v>
      </c>
      <c r="N48" s="15"/>
      <c r="O48" s="15"/>
      <c r="P48" s="15"/>
      <c r="Q48" s="15"/>
      <c r="R48" s="15">
        <v>971000</v>
      </c>
      <c r="S48" s="14">
        <v>980710</v>
      </c>
      <c r="T48" s="23">
        <v>1</v>
      </c>
    </row>
    <row r="49" spans="1:22" x14ac:dyDescent="0.25">
      <c r="A49" s="22" t="str">
        <f t="shared" si="1"/>
        <v>870091403-45280-774366065088-EKA / BAYU</v>
      </c>
      <c r="B49" s="22">
        <v>1</v>
      </c>
      <c r="C49" t="s">
        <v>136</v>
      </c>
      <c r="D49" s="8">
        <v>45280</v>
      </c>
      <c r="E49" s="4" t="s">
        <v>137</v>
      </c>
      <c r="F49" s="8">
        <v>45266</v>
      </c>
      <c r="G49" t="s">
        <v>36</v>
      </c>
      <c r="H49" t="s">
        <v>41</v>
      </c>
      <c r="I49" t="s">
        <v>37</v>
      </c>
      <c r="J49" t="s">
        <v>39</v>
      </c>
      <c r="K49" t="s">
        <v>167</v>
      </c>
      <c r="M49" s="14">
        <v>265047</v>
      </c>
      <c r="N49" s="15"/>
      <c r="O49" s="15"/>
      <c r="P49" s="15"/>
      <c r="Q49" s="15"/>
      <c r="R49" s="15">
        <v>265047</v>
      </c>
      <c r="S49" s="14">
        <v>267697</v>
      </c>
      <c r="T49" s="23">
        <v>1</v>
      </c>
      <c r="U49" s="23" t="s">
        <v>78</v>
      </c>
      <c r="V49" s="23" t="s">
        <v>206</v>
      </c>
    </row>
    <row r="50" spans="1:22" x14ac:dyDescent="0.25">
      <c r="A50" s="22" t="str">
        <f t="shared" si="1"/>
        <v>870091403-45280-774366629259-MS. MERCY</v>
      </c>
      <c r="B50" s="22">
        <v>1</v>
      </c>
      <c r="C50" t="s">
        <v>136</v>
      </c>
      <c r="D50" s="8">
        <v>45280</v>
      </c>
      <c r="E50" s="4" t="s">
        <v>138</v>
      </c>
      <c r="F50" s="8">
        <v>45266</v>
      </c>
      <c r="G50" t="s">
        <v>43</v>
      </c>
      <c r="H50" t="s">
        <v>41</v>
      </c>
      <c r="I50" t="s">
        <v>88</v>
      </c>
      <c r="J50" t="s">
        <v>159</v>
      </c>
      <c r="K50" t="s">
        <v>166</v>
      </c>
      <c r="M50" s="14">
        <v>231978</v>
      </c>
      <c r="N50" s="15"/>
      <c r="O50" s="15"/>
      <c r="P50" s="15"/>
      <c r="Q50" s="15"/>
      <c r="R50" s="15">
        <v>231978</v>
      </c>
      <c r="S50" s="14">
        <v>234298</v>
      </c>
      <c r="T50" s="23">
        <v>1</v>
      </c>
      <c r="U50" s="23" t="s">
        <v>196</v>
      </c>
      <c r="V50" s="23" t="s">
        <v>206</v>
      </c>
    </row>
    <row r="51" spans="1:22" x14ac:dyDescent="0.25">
      <c r="A51" s="22" t="str">
        <f t="shared" si="1"/>
        <v>870091403-45280-774398794300-WINTA</v>
      </c>
      <c r="B51" s="22">
        <v>1</v>
      </c>
      <c r="C51" t="s">
        <v>136</v>
      </c>
      <c r="D51" s="8">
        <v>45280</v>
      </c>
      <c r="E51" s="4" t="s">
        <v>139</v>
      </c>
      <c r="F51" s="8">
        <v>45268</v>
      </c>
      <c r="G51" t="s">
        <v>96</v>
      </c>
      <c r="H51" t="s">
        <v>41</v>
      </c>
      <c r="I51" t="s">
        <v>97</v>
      </c>
      <c r="J51" t="s">
        <v>98</v>
      </c>
      <c r="K51" t="s">
        <v>187</v>
      </c>
      <c r="M51" s="14">
        <v>310038</v>
      </c>
      <c r="N51" s="15"/>
      <c r="O51" s="15"/>
      <c r="P51" s="15"/>
      <c r="Q51" s="15"/>
      <c r="R51" s="15">
        <v>310038</v>
      </c>
      <c r="S51" s="14">
        <v>313138</v>
      </c>
      <c r="T51" s="23">
        <v>1</v>
      </c>
    </row>
    <row r="52" spans="1:22" x14ac:dyDescent="0.25">
      <c r="A52" s="22" t="str">
        <f t="shared" si="1"/>
        <v>870091403-45280-774365282079-AGUSTINA FUNG FUNG/MERY/VIOLA</v>
      </c>
      <c r="B52" s="22">
        <v>1</v>
      </c>
      <c r="C52" t="s">
        <v>136</v>
      </c>
      <c r="D52" s="8">
        <v>45280</v>
      </c>
      <c r="E52" s="4" t="s">
        <v>140</v>
      </c>
      <c r="F52" s="8">
        <v>45268</v>
      </c>
      <c r="G52" t="s">
        <v>92</v>
      </c>
      <c r="H52" t="s">
        <v>41</v>
      </c>
      <c r="I52" t="s">
        <v>141</v>
      </c>
      <c r="J52" t="s">
        <v>160</v>
      </c>
      <c r="K52" t="s">
        <v>178</v>
      </c>
      <c r="M52" s="14">
        <v>743151</v>
      </c>
      <c r="N52" s="15"/>
      <c r="O52" s="15"/>
      <c r="P52" s="15"/>
      <c r="Q52" s="15"/>
      <c r="R52" s="15">
        <v>743151</v>
      </c>
      <c r="S52" s="14">
        <v>750583</v>
      </c>
      <c r="T52" s="23">
        <v>0</v>
      </c>
    </row>
    <row r="53" spans="1:22" x14ac:dyDescent="0.25">
      <c r="A53" s="22" t="str">
        <f t="shared" si="1"/>
        <v>870091403-45280-774397920487-EKA / BAYU</v>
      </c>
      <c r="B53" s="22">
        <v>1</v>
      </c>
      <c r="C53" t="s">
        <v>136</v>
      </c>
      <c r="D53" s="8">
        <v>45280</v>
      </c>
      <c r="E53" s="4" t="s">
        <v>142</v>
      </c>
      <c r="F53" s="8">
        <v>45268</v>
      </c>
      <c r="G53" t="s">
        <v>36</v>
      </c>
      <c r="H53" t="s">
        <v>41</v>
      </c>
      <c r="I53" t="s">
        <v>37</v>
      </c>
      <c r="J53" t="s">
        <v>39</v>
      </c>
      <c r="K53" t="s">
        <v>188</v>
      </c>
      <c r="M53" s="14">
        <v>477445</v>
      </c>
      <c r="N53" s="15"/>
      <c r="O53" s="15"/>
      <c r="P53" s="15"/>
      <c r="Q53" s="15"/>
      <c r="R53" s="15">
        <v>477445</v>
      </c>
      <c r="S53" s="14">
        <v>482219</v>
      </c>
      <c r="T53" s="23">
        <v>1</v>
      </c>
      <c r="U53" s="23" t="s">
        <v>78</v>
      </c>
      <c r="V53" s="23" t="s">
        <v>206</v>
      </c>
    </row>
    <row r="54" spans="1:22" x14ac:dyDescent="0.25">
      <c r="A54" s="22" t="str">
        <f t="shared" si="1"/>
        <v>870091403-45280-774398472980-EKA / BAYU</v>
      </c>
      <c r="B54" s="22">
        <v>2</v>
      </c>
      <c r="C54" t="s">
        <v>136</v>
      </c>
      <c r="D54" s="8">
        <v>45280</v>
      </c>
      <c r="E54" s="4" t="s">
        <v>117</v>
      </c>
      <c r="F54" s="8">
        <v>45268</v>
      </c>
      <c r="G54" t="s">
        <v>36</v>
      </c>
      <c r="H54" t="s">
        <v>41</v>
      </c>
      <c r="I54" t="s">
        <v>37</v>
      </c>
      <c r="J54" t="s">
        <v>39</v>
      </c>
      <c r="K54" t="s">
        <v>189</v>
      </c>
      <c r="M54" s="14">
        <v>2272707</v>
      </c>
      <c r="N54" s="15"/>
      <c r="O54" s="15"/>
      <c r="P54" s="15"/>
      <c r="Q54" s="15"/>
      <c r="R54" s="15">
        <v>2272707</v>
      </c>
      <c r="S54" s="14">
        <v>2295434</v>
      </c>
      <c r="T54" s="23">
        <v>0</v>
      </c>
      <c r="U54" s="23" t="s">
        <v>207</v>
      </c>
      <c r="V54" s="23" t="s">
        <v>206</v>
      </c>
    </row>
    <row r="55" spans="1:22" x14ac:dyDescent="0.25">
      <c r="A55" s="22" t="str">
        <f t="shared" si="1"/>
        <v>870091403-45280-774399685776-MS. MERCY</v>
      </c>
      <c r="B55" s="22">
        <v>1</v>
      </c>
      <c r="C55" t="s">
        <v>136</v>
      </c>
      <c r="D55" s="8">
        <v>45280</v>
      </c>
      <c r="E55" s="4" t="s">
        <v>143</v>
      </c>
      <c r="F55" s="8">
        <v>45268</v>
      </c>
      <c r="G55" t="s">
        <v>43</v>
      </c>
      <c r="H55" t="s">
        <v>41</v>
      </c>
      <c r="I55" t="s">
        <v>88</v>
      </c>
      <c r="J55" t="s">
        <v>159</v>
      </c>
      <c r="K55" t="s">
        <v>190</v>
      </c>
      <c r="M55" s="14">
        <v>231978</v>
      </c>
      <c r="N55" s="15"/>
      <c r="O55" s="15"/>
      <c r="P55" s="15"/>
      <c r="Q55" s="15"/>
      <c r="R55" s="15">
        <v>231978</v>
      </c>
      <c r="S55" s="14">
        <v>234298</v>
      </c>
      <c r="T55" s="23">
        <v>1</v>
      </c>
      <c r="U55" s="23" t="s">
        <v>196</v>
      </c>
      <c r="V55" s="23" t="s">
        <v>206</v>
      </c>
    </row>
    <row r="56" spans="1:22" x14ac:dyDescent="0.25">
      <c r="A56" s="22" t="str">
        <f t="shared" si="1"/>
        <v>870091403-45280-774421829468-EKA / BAYU</v>
      </c>
      <c r="B56" s="22">
        <v>1</v>
      </c>
      <c r="C56" t="s">
        <v>136</v>
      </c>
      <c r="D56" s="8">
        <v>45280</v>
      </c>
      <c r="E56" s="4" t="s">
        <v>144</v>
      </c>
      <c r="F56" s="8">
        <v>45271</v>
      </c>
      <c r="G56" t="s">
        <v>36</v>
      </c>
      <c r="H56" t="s">
        <v>41</v>
      </c>
      <c r="I56" t="s">
        <v>37</v>
      </c>
      <c r="J56" t="s">
        <v>39</v>
      </c>
      <c r="K56" t="s">
        <v>167</v>
      </c>
      <c r="M56" s="14">
        <v>263000</v>
      </c>
      <c r="N56" s="15"/>
      <c r="O56" s="15"/>
      <c r="P56" s="15"/>
      <c r="Q56" s="15"/>
      <c r="R56" s="15">
        <v>263000</v>
      </c>
      <c r="S56" s="14">
        <v>265630</v>
      </c>
      <c r="T56" s="23">
        <v>1</v>
      </c>
      <c r="U56" s="23" t="s">
        <v>78</v>
      </c>
      <c r="V56" s="23" t="s">
        <v>206</v>
      </c>
    </row>
    <row r="57" spans="1:22" x14ac:dyDescent="0.25">
      <c r="A57" s="22" t="str">
        <f t="shared" si="1"/>
        <v>870093989-45280-774365555030-FION LEUNG</v>
      </c>
      <c r="B57" s="22">
        <v>2</v>
      </c>
      <c r="C57" t="s">
        <v>145</v>
      </c>
      <c r="D57" s="8">
        <v>45280</v>
      </c>
      <c r="E57" s="4" t="s">
        <v>134</v>
      </c>
      <c r="F57" s="8">
        <v>45266</v>
      </c>
      <c r="G57" t="s">
        <v>52</v>
      </c>
      <c r="H57" t="s">
        <v>54</v>
      </c>
      <c r="I57" t="s">
        <v>135</v>
      </c>
      <c r="J57" t="s">
        <v>77</v>
      </c>
      <c r="K57" t="s">
        <v>186</v>
      </c>
      <c r="M57" s="14">
        <v>6083752</v>
      </c>
      <c r="N57" s="15"/>
      <c r="O57" s="15"/>
      <c r="P57" s="15"/>
      <c r="Q57" s="15"/>
      <c r="R57" s="15">
        <v>6083752</v>
      </c>
      <c r="S57" s="14">
        <v>6144590</v>
      </c>
      <c r="T57" s="23">
        <v>1</v>
      </c>
    </row>
    <row r="58" spans="1:22" x14ac:dyDescent="0.25">
      <c r="A58" s="22" t="str">
        <f t="shared" si="1"/>
        <v>870111817-45287-774475073999-SHENYANG</v>
      </c>
      <c r="B58" s="22">
        <v>1</v>
      </c>
      <c r="C58" t="s">
        <v>146</v>
      </c>
      <c r="D58" s="8">
        <v>45287</v>
      </c>
      <c r="E58" s="4" t="s">
        <v>147</v>
      </c>
      <c r="F58" s="8">
        <v>45275</v>
      </c>
      <c r="G58" t="s">
        <v>56</v>
      </c>
      <c r="H58" t="s">
        <v>58</v>
      </c>
      <c r="I58" t="s">
        <v>158</v>
      </c>
      <c r="J58" t="s">
        <v>23</v>
      </c>
      <c r="K58" t="s">
        <v>191</v>
      </c>
      <c r="M58" s="14">
        <v>632839</v>
      </c>
      <c r="N58" s="15"/>
      <c r="O58" s="15"/>
      <c r="P58" s="15"/>
      <c r="Q58" s="15"/>
      <c r="R58" s="15">
        <v>632839</v>
      </c>
      <c r="S58" s="14">
        <v>639167</v>
      </c>
      <c r="T58" s="23">
        <v>1</v>
      </c>
      <c r="U58" s="23" t="s">
        <v>196</v>
      </c>
      <c r="V58" s="23" t="s">
        <v>206</v>
      </c>
    </row>
    <row r="59" spans="1:22" x14ac:dyDescent="0.25">
      <c r="A59" s="22" t="str">
        <f t="shared" si="1"/>
        <v>870111818-45287-774458508594-MS. MERCY</v>
      </c>
      <c r="B59" s="22">
        <v>1</v>
      </c>
      <c r="C59" t="s">
        <v>148</v>
      </c>
      <c r="D59" s="8">
        <v>45287</v>
      </c>
      <c r="E59" s="4" t="s">
        <v>149</v>
      </c>
      <c r="F59" s="8">
        <v>45273</v>
      </c>
      <c r="G59" t="s">
        <v>43</v>
      </c>
      <c r="H59" t="s">
        <v>41</v>
      </c>
      <c r="I59" t="s">
        <v>47</v>
      </c>
      <c r="J59" t="s">
        <v>48</v>
      </c>
      <c r="K59" t="s">
        <v>167</v>
      </c>
      <c r="M59" s="14">
        <v>230187</v>
      </c>
      <c r="N59" s="15"/>
      <c r="O59" s="15"/>
      <c r="P59" s="15"/>
      <c r="Q59" s="15"/>
      <c r="R59" s="15">
        <v>230187</v>
      </c>
      <c r="S59" s="14">
        <v>232489</v>
      </c>
      <c r="T59" s="23">
        <v>1</v>
      </c>
      <c r="U59" s="23" t="s">
        <v>196</v>
      </c>
      <c r="V59" s="23" t="s">
        <v>206</v>
      </c>
    </row>
    <row r="60" spans="1:22" x14ac:dyDescent="0.25">
      <c r="A60" s="22" t="str">
        <f t="shared" si="1"/>
        <v>870111818-45287-774456317101-EKA / BAYU</v>
      </c>
      <c r="B60" s="22">
        <v>1</v>
      </c>
      <c r="C60" t="s">
        <v>148</v>
      </c>
      <c r="D60" s="8">
        <v>45287</v>
      </c>
      <c r="E60" s="4" t="s">
        <v>150</v>
      </c>
      <c r="F60" s="8">
        <v>45274</v>
      </c>
      <c r="G60" t="s">
        <v>36</v>
      </c>
      <c r="H60" t="s">
        <v>41</v>
      </c>
      <c r="I60" t="s">
        <v>37</v>
      </c>
      <c r="J60" t="s">
        <v>39</v>
      </c>
      <c r="K60" t="s">
        <v>166</v>
      </c>
      <c r="M60" s="14">
        <v>263048</v>
      </c>
      <c r="N60" s="15"/>
      <c r="O60" s="15"/>
      <c r="P60" s="15"/>
      <c r="Q60" s="15"/>
      <c r="R60" s="15">
        <v>263048</v>
      </c>
      <c r="S60" s="14">
        <v>265678</v>
      </c>
      <c r="T60" s="23">
        <v>1</v>
      </c>
      <c r="U60" s="23" t="s">
        <v>78</v>
      </c>
      <c r="V60" s="23" t="s">
        <v>206</v>
      </c>
    </row>
    <row r="61" spans="1:22" x14ac:dyDescent="0.25">
      <c r="A61" s="22" t="str">
        <f t="shared" si="1"/>
        <v>870111818-45287-787993428533-MS. MERCY</v>
      </c>
      <c r="B61" s="22">
        <v>1</v>
      </c>
      <c r="C61" t="s">
        <v>148</v>
      </c>
      <c r="D61" s="8">
        <v>45287</v>
      </c>
      <c r="E61" s="4" t="s">
        <v>151</v>
      </c>
      <c r="F61" s="8">
        <v>45274</v>
      </c>
      <c r="G61" t="s">
        <v>43</v>
      </c>
      <c r="H61" t="s">
        <v>41</v>
      </c>
      <c r="I61" t="s">
        <v>88</v>
      </c>
      <c r="J61" t="s">
        <v>159</v>
      </c>
      <c r="K61" t="s">
        <v>190</v>
      </c>
      <c r="M61" s="14">
        <v>230187</v>
      </c>
      <c r="N61" s="15"/>
      <c r="O61" s="15"/>
      <c r="P61" s="15"/>
      <c r="Q61" s="15"/>
      <c r="R61" s="15">
        <v>230187</v>
      </c>
      <c r="S61" s="14">
        <v>232489</v>
      </c>
      <c r="T61" s="23">
        <v>1</v>
      </c>
      <c r="U61" s="23" t="s">
        <v>196</v>
      </c>
      <c r="V61" s="23" t="s">
        <v>206</v>
      </c>
    </row>
    <row r="62" spans="1:22" x14ac:dyDescent="0.25">
      <c r="A62" s="22" t="str">
        <f t="shared" si="1"/>
        <v>870111818-45287-774457287395-WINTA</v>
      </c>
      <c r="B62" s="22">
        <v>1</v>
      </c>
      <c r="C62" t="s">
        <v>148</v>
      </c>
      <c r="D62" s="8">
        <v>45287</v>
      </c>
      <c r="E62" s="4" t="s">
        <v>152</v>
      </c>
      <c r="F62" s="8">
        <v>45275</v>
      </c>
      <c r="G62" t="s">
        <v>96</v>
      </c>
      <c r="H62" t="s">
        <v>41</v>
      </c>
      <c r="I62" t="s">
        <v>97</v>
      </c>
      <c r="J62" t="s">
        <v>98</v>
      </c>
      <c r="K62" t="s">
        <v>192</v>
      </c>
      <c r="M62" s="14">
        <v>245106</v>
      </c>
      <c r="N62" s="15"/>
      <c r="O62" s="15"/>
      <c r="P62" s="15"/>
      <c r="Q62" s="15"/>
      <c r="R62" s="15">
        <v>245106</v>
      </c>
      <c r="S62" s="14">
        <v>247557</v>
      </c>
      <c r="T62" s="23">
        <v>1</v>
      </c>
    </row>
    <row r="63" spans="1:22" x14ac:dyDescent="0.25">
      <c r="A63" s="22" t="str">
        <f t="shared" si="1"/>
        <v>870111818-45287-774494944135-MS. MERCY</v>
      </c>
      <c r="B63" s="22">
        <v>1</v>
      </c>
      <c r="C63" t="s">
        <v>148</v>
      </c>
      <c r="D63" s="8">
        <v>45287</v>
      </c>
      <c r="E63" s="4" t="s">
        <v>153</v>
      </c>
      <c r="F63" s="8">
        <v>45275</v>
      </c>
      <c r="G63" t="s">
        <v>43</v>
      </c>
      <c r="H63" t="s">
        <v>41</v>
      </c>
      <c r="I63" t="s">
        <v>88</v>
      </c>
      <c r="J63" t="s">
        <v>159</v>
      </c>
      <c r="K63" t="s">
        <v>167</v>
      </c>
      <c r="M63" s="14">
        <v>230187</v>
      </c>
      <c r="N63" s="15"/>
      <c r="O63" s="15"/>
      <c r="P63" s="15"/>
      <c r="Q63" s="15"/>
      <c r="R63" s="15">
        <v>230187</v>
      </c>
      <c r="S63" s="14">
        <v>232489</v>
      </c>
      <c r="T63" s="23">
        <v>1</v>
      </c>
      <c r="U63" s="23" t="s">
        <v>196</v>
      </c>
      <c r="V63" s="23" t="s">
        <v>206</v>
      </c>
    </row>
    <row r="64" spans="1:22" x14ac:dyDescent="0.25">
      <c r="A64" s="22" t="str">
        <f t="shared" si="1"/>
        <v>870111818-45287-774532877779-EKA / BAYU</v>
      </c>
      <c r="B64" s="22">
        <v>1</v>
      </c>
      <c r="C64" t="s">
        <v>148</v>
      </c>
      <c r="D64" s="8">
        <v>45287</v>
      </c>
      <c r="E64" s="4" t="s">
        <v>154</v>
      </c>
      <c r="F64" s="8">
        <v>45279</v>
      </c>
      <c r="G64" t="s">
        <v>36</v>
      </c>
      <c r="H64" t="s">
        <v>38</v>
      </c>
      <c r="I64" t="s">
        <v>37</v>
      </c>
      <c r="J64" t="s">
        <v>39</v>
      </c>
      <c r="K64" t="s">
        <v>174</v>
      </c>
      <c r="M64" s="14">
        <v>468228</v>
      </c>
      <c r="N64" s="15"/>
      <c r="O64" s="15"/>
      <c r="P64" s="15"/>
      <c r="Q64" s="15"/>
      <c r="R64" s="15">
        <v>468228</v>
      </c>
      <c r="S64" s="14">
        <v>472910</v>
      </c>
      <c r="T64" s="23">
        <v>1</v>
      </c>
      <c r="U64" s="23" t="s">
        <v>78</v>
      </c>
      <c r="V64" s="23" t="s">
        <v>206</v>
      </c>
    </row>
    <row r="65" spans="1:22" x14ac:dyDescent="0.25">
      <c r="A65" s="22" t="str">
        <f t="shared" si="1"/>
        <v>870111818-45287-774535001793-MS. MERCY</v>
      </c>
      <c r="B65" s="22">
        <v>1</v>
      </c>
      <c r="C65" t="s">
        <v>148</v>
      </c>
      <c r="D65" s="8">
        <v>45287</v>
      </c>
      <c r="E65" s="4" t="s">
        <v>155</v>
      </c>
      <c r="F65" s="8">
        <v>45279</v>
      </c>
      <c r="G65" t="s">
        <v>43</v>
      </c>
      <c r="H65" t="s">
        <v>41</v>
      </c>
      <c r="I65" t="s">
        <v>88</v>
      </c>
      <c r="J65" t="s">
        <v>159</v>
      </c>
      <c r="K65" t="s">
        <v>167</v>
      </c>
      <c r="M65" s="14">
        <v>227500</v>
      </c>
      <c r="N65" s="15"/>
      <c r="O65" s="15"/>
      <c r="P65" s="15"/>
      <c r="Q65" s="15"/>
      <c r="R65" s="15">
        <v>227500</v>
      </c>
      <c r="S65" s="14">
        <v>229775</v>
      </c>
      <c r="T65" s="23">
        <v>1</v>
      </c>
      <c r="U65" s="23" t="s">
        <v>196</v>
      </c>
      <c r="V65" s="23" t="s">
        <v>206</v>
      </c>
    </row>
    <row r="66" spans="1:22" x14ac:dyDescent="0.25">
      <c r="A66" s="22" t="str">
        <f t="shared" si="1"/>
        <v>870111818-45287-774535060851-MS. MERCY</v>
      </c>
      <c r="B66" s="22">
        <v>1</v>
      </c>
      <c r="C66" t="s">
        <v>148</v>
      </c>
      <c r="D66" s="8">
        <v>45287</v>
      </c>
      <c r="E66" s="4" t="s">
        <v>156</v>
      </c>
      <c r="F66" s="8">
        <v>45279</v>
      </c>
      <c r="G66" t="s">
        <v>43</v>
      </c>
      <c r="H66" t="s">
        <v>41</v>
      </c>
      <c r="I66" t="s">
        <v>157</v>
      </c>
      <c r="J66" t="s">
        <v>32</v>
      </c>
      <c r="K66" t="s">
        <v>167</v>
      </c>
      <c r="M66" s="14">
        <v>227500</v>
      </c>
      <c r="N66" s="15"/>
      <c r="O66" s="15"/>
      <c r="P66" s="15"/>
      <c r="Q66" s="15"/>
      <c r="R66" s="15">
        <v>227500</v>
      </c>
      <c r="S66" s="14">
        <v>229775</v>
      </c>
      <c r="T66" s="23">
        <v>1</v>
      </c>
      <c r="U66" s="23" t="s">
        <v>196</v>
      </c>
      <c r="V66" s="23" t="s">
        <v>206</v>
      </c>
    </row>
  </sheetData>
  <dataValidations disablePrompts="1" count="1">
    <dataValidation type="list" showInputMessage="1" showErrorMessage="1" sqref="T2:T66" xr:uid="{1D16ED18-6409-4A04-ABB6-6491D45EDDE6}">
      <formula1>"0,1"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9A71D-F0B0-431C-8A49-91D63C53BD03}">
  <sheetPr codeName="Sheet4"/>
  <dimension ref="A1:R934"/>
  <sheetViews>
    <sheetView workbookViewId="0">
      <selection activeCell="B14" sqref="B14"/>
    </sheetView>
  </sheetViews>
  <sheetFormatPr defaultRowHeight="15" x14ac:dyDescent="0.25"/>
  <cols>
    <col min="2" max="2" width="64" bestFit="1" customWidth="1"/>
    <col min="3" max="3" width="18.85546875" customWidth="1"/>
  </cols>
  <sheetData>
    <row r="1" spans="1:18" x14ac:dyDescent="0.25">
      <c r="A1" t="s">
        <v>675</v>
      </c>
      <c r="B1" t="s">
        <v>213</v>
      </c>
      <c r="C1" t="s">
        <v>214</v>
      </c>
      <c r="D1" t="s">
        <v>215</v>
      </c>
      <c r="E1" t="s">
        <v>216</v>
      </c>
      <c r="F1" t="s">
        <v>217</v>
      </c>
      <c r="G1" t="s">
        <v>218</v>
      </c>
      <c r="H1" t="s">
        <v>219</v>
      </c>
      <c r="I1" t="s">
        <v>220</v>
      </c>
      <c r="J1" t="s">
        <v>676</v>
      </c>
      <c r="K1" t="s">
        <v>677</v>
      </c>
      <c r="L1" t="s">
        <v>678</v>
      </c>
      <c r="M1" t="s">
        <v>679</v>
      </c>
      <c r="N1" t="s">
        <v>680</v>
      </c>
      <c r="O1" t="s">
        <v>681</v>
      </c>
      <c r="P1" t="s">
        <v>682</v>
      </c>
      <c r="Q1" t="s">
        <v>683</v>
      </c>
      <c r="R1" t="s">
        <v>684</v>
      </c>
    </row>
    <row r="2" spans="1:18" x14ac:dyDescent="0.25">
      <c r="A2">
        <f>ROW()</f>
        <v>2</v>
      </c>
      <c r="B2" t="s">
        <v>221</v>
      </c>
      <c r="C2" t="s">
        <v>19</v>
      </c>
      <c r="J2" t="str">
        <f>IF(A2&lt;WORKSHEET!$R$2,WORKSHEET!$C$2,IF(B2="Air Waybill Number",C2,J1))</f>
        <v>774438473160</v>
      </c>
      <c r="K2" t="str">
        <f t="shared" ref="K2:K65" si="0">IF(B2="Invoice Number:",C2,K1)</f>
        <v>870128687</v>
      </c>
      <c r="L2" t="str">
        <f t="shared" ref="L2:L65" si="1">IF(B2="Invoice Date:",C2,L1)</f>
        <v>Get InvDate</v>
      </c>
      <c r="M2" t="str">
        <f t="shared" ref="M2:M65" si="2">IF(B2="Air Waybill Number",J2&amp;"-1","")</f>
        <v/>
      </c>
      <c r="N2" t="str">
        <f t="shared" ref="N2:N65" si="3">IF(B2="Ship Date",C2,N1)</f>
        <v>Get ShipmentDate</v>
      </c>
      <c r="O2" t="str">
        <f t="shared" ref="O2:O65" si="4">IF(LEFT(D2,6)="Sender",D3,IF(LEFT(E2,6)="Sender",E3,""))</f>
        <v/>
      </c>
      <c r="P2" t="str">
        <f t="shared" ref="P2:P65" si="5">IF(LEFT(D2,6)="Sender",D4,IF(LEFT(E2,6)="Sender",D4,""))</f>
        <v/>
      </c>
      <c r="Q2" t="str">
        <f t="shared" ref="Q2:Q65" si="6">IF(LEFT(E2,9)="Recipient",E3&amp;F3,IF(LEFT(F2,9)="Recipient",F3,IF(LEFT(G2,9)="Recipient",G3,IF(LEFT(H2,9)="Recipient",H3,""))))</f>
        <v/>
      </c>
      <c r="R2" t="str">
        <f t="shared" ref="R2:R65" si="7">IF(LEFT(E2,9)="Recipient",E4&amp;F4,IF(LEFT(F2,9)="Recipient",F4,IF(LEFT(G2,9)="Recipient",G4,IF(LEFT(H2,9)="Recipient",H4,""))))</f>
        <v/>
      </c>
    </row>
    <row r="3" spans="1:18" x14ac:dyDescent="0.25">
      <c r="A3">
        <f>ROW()</f>
        <v>3</v>
      </c>
      <c r="B3" t="s">
        <v>222</v>
      </c>
      <c r="C3" t="s">
        <v>223</v>
      </c>
      <c r="J3" t="str">
        <f>IF(A3&lt;WORKSHEET!$R$2,WORKSHEET!$C$2,IF(B3="Air Waybill Number",C3,J2))</f>
        <v>774438473160</v>
      </c>
      <c r="K3" t="str">
        <f t="shared" si="0"/>
        <v>870128687</v>
      </c>
      <c r="L3" t="str">
        <f t="shared" si="1"/>
        <v>03 Jan 2024</v>
      </c>
      <c r="M3" t="str">
        <f t="shared" si="2"/>
        <v/>
      </c>
      <c r="N3" t="str">
        <f t="shared" si="3"/>
        <v>Get ShipmentDate</v>
      </c>
      <c r="O3" t="str">
        <f t="shared" si="4"/>
        <v/>
      </c>
      <c r="P3" t="str">
        <f t="shared" si="5"/>
        <v/>
      </c>
      <c r="Q3" t="str">
        <f t="shared" si="6"/>
        <v/>
      </c>
      <c r="R3" t="str">
        <f t="shared" si="7"/>
        <v/>
      </c>
    </row>
    <row r="4" spans="1:18" x14ac:dyDescent="0.25">
      <c r="A4">
        <f>ROW()</f>
        <v>4</v>
      </c>
      <c r="B4" t="s">
        <v>224</v>
      </c>
      <c r="C4" t="s">
        <v>225</v>
      </c>
      <c r="J4" t="str">
        <f>IF(A4&lt;WORKSHEET!$R$2,WORKSHEET!$C$2,IF(B4="Air Waybill Number",C4,J3))</f>
        <v>774438473160</v>
      </c>
      <c r="K4" t="str">
        <f t="shared" si="0"/>
        <v>870128687</v>
      </c>
      <c r="L4" t="str">
        <f t="shared" si="1"/>
        <v>03 Jan 2024</v>
      </c>
      <c r="M4" t="str">
        <f t="shared" si="2"/>
        <v/>
      </c>
      <c r="N4" t="str">
        <f t="shared" si="3"/>
        <v>Get ShipmentDate</v>
      </c>
      <c r="O4" t="str">
        <f t="shared" si="4"/>
        <v/>
      </c>
      <c r="P4" t="str">
        <f t="shared" si="5"/>
        <v/>
      </c>
      <c r="Q4" t="str">
        <f t="shared" si="6"/>
        <v/>
      </c>
      <c r="R4" t="str">
        <f t="shared" si="7"/>
        <v/>
      </c>
    </row>
    <row r="5" spans="1:18" x14ac:dyDescent="0.25">
      <c r="A5">
        <f>ROW()</f>
        <v>5</v>
      </c>
      <c r="B5" t="s">
        <v>226</v>
      </c>
      <c r="C5" t="s">
        <v>227</v>
      </c>
      <c r="D5" t="s">
        <v>228</v>
      </c>
      <c r="E5" t="s">
        <v>229</v>
      </c>
      <c r="J5" t="str">
        <f>IF(A5&lt;WORKSHEET!$R$2,WORKSHEET!$C$2,IF(B5="Air Waybill Number",C5,J4))</f>
        <v>774438473160</v>
      </c>
      <c r="K5" t="str">
        <f t="shared" si="0"/>
        <v>870128687</v>
      </c>
      <c r="L5" t="str">
        <f t="shared" si="1"/>
        <v>03 Jan 2024</v>
      </c>
      <c r="M5" t="str">
        <f t="shared" si="2"/>
        <v/>
      </c>
      <c r="N5" t="str">
        <f t="shared" si="3"/>
        <v>12/13/2023</v>
      </c>
      <c r="O5" t="str">
        <f t="shared" si="4"/>
        <v>YAN LU</v>
      </c>
      <c r="P5">
        <f t="shared" si="5"/>
        <v>0</v>
      </c>
      <c r="Q5" t="str">
        <f t="shared" si="6"/>
        <v>SUMI/ MERCY / DIANA</v>
      </c>
      <c r="R5" t="str">
        <f t="shared" si="7"/>
        <v>PT GISTEX GARMEN INDONESIA</v>
      </c>
    </row>
    <row r="6" spans="1:18" x14ac:dyDescent="0.25">
      <c r="A6">
        <f>ROW()</f>
        <v>6</v>
      </c>
      <c r="B6" t="s">
        <v>230</v>
      </c>
      <c r="C6" t="s">
        <v>231</v>
      </c>
      <c r="D6" t="s">
        <v>20</v>
      </c>
      <c r="E6" t="s">
        <v>21</v>
      </c>
      <c r="J6" t="str">
        <f>IF(A6&lt;WORKSHEET!$R$2,WORKSHEET!$C$2,IF(B6="Air Waybill Number",C6,J5))</f>
        <v>774438473160</v>
      </c>
      <c r="K6" t="str">
        <f t="shared" si="0"/>
        <v>870128687</v>
      </c>
      <c r="L6" t="str">
        <f t="shared" si="1"/>
        <v>03 Jan 2024</v>
      </c>
      <c r="M6" t="str">
        <f t="shared" si="2"/>
        <v/>
      </c>
      <c r="N6" t="str">
        <f t="shared" si="3"/>
        <v>12/13/2023</v>
      </c>
      <c r="O6" t="str">
        <f t="shared" si="4"/>
        <v/>
      </c>
      <c r="P6" t="str">
        <f t="shared" si="5"/>
        <v/>
      </c>
      <c r="Q6" t="str">
        <f t="shared" si="6"/>
        <v/>
      </c>
      <c r="R6" t="str">
        <f t="shared" si="7"/>
        <v/>
      </c>
    </row>
    <row r="7" spans="1:18" x14ac:dyDescent="0.25">
      <c r="A7">
        <f>ROW()</f>
        <v>7</v>
      </c>
      <c r="B7" t="s">
        <v>232</v>
      </c>
      <c r="C7" t="s">
        <v>22</v>
      </c>
      <c r="E7" t="s">
        <v>23</v>
      </c>
      <c r="J7" t="str">
        <f>IF(A7&lt;WORKSHEET!$R$2,WORKSHEET!$C$2,IF(B7="Air Waybill Number",C7,J6))</f>
        <v>774438473160</v>
      </c>
      <c r="K7" t="str">
        <f t="shared" si="0"/>
        <v>870128687</v>
      </c>
      <c r="L7" t="str">
        <f t="shared" si="1"/>
        <v>03 Jan 2024</v>
      </c>
      <c r="M7" t="str">
        <f t="shared" si="2"/>
        <v>774438473160-1</v>
      </c>
      <c r="N7" t="str">
        <f t="shared" si="3"/>
        <v>12/13/2023</v>
      </c>
      <c r="O7" t="str">
        <f t="shared" si="4"/>
        <v/>
      </c>
      <c r="P7" t="str">
        <f t="shared" si="5"/>
        <v/>
      </c>
      <c r="Q7" t="str">
        <f t="shared" si="6"/>
        <v/>
      </c>
      <c r="R7" t="str">
        <f t="shared" si="7"/>
        <v/>
      </c>
    </row>
    <row r="8" spans="1:18" x14ac:dyDescent="0.25">
      <c r="A8">
        <f>ROW()</f>
        <v>8</v>
      </c>
      <c r="B8" t="s">
        <v>233</v>
      </c>
      <c r="C8" t="s">
        <v>234</v>
      </c>
      <c r="D8" t="s">
        <v>235</v>
      </c>
      <c r="E8" t="s">
        <v>236</v>
      </c>
      <c r="J8" t="str">
        <f>IF(A8&lt;WORKSHEET!$R$2,WORKSHEET!$C$2,IF(B8="Air Waybill Number",C8,J7))</f>
        <v>774438473160</v>
      </c>
      <c r="K8" t="str">
        <f t="shared" si="0"/>
        <v>870128687</v>
      </c>
      <c r="L8" t="str">
        <f t="shared" si="1"/>
        <v>03 Jan 2024</v>
      </c>
      <c r="M8" t="str">
        <f t="shared" si="2"/>
        <v/>
      </c>
      <c r="N8" t="str">
        <f t="shared" si="3"/>
        <v>12/13/2023</v>
      </c>
      <c r="O8" t="str">
        <f t="shared" si="4"/>
        <v/>
      </c>
      <c r="P8" t="str">
        <f t="shared" si="5"/>
        <v/>
      </c>
      <c r="Q8" t="str">
        <f t="shared" si="6"/>
        <v/>
      </c>
      <c r="R8" t="str">
        <f t="shared" si="7"/>
        <v/>
      </c>
    </row>
    <row r="9" spans="1:18" x14ac:dyDescent="0.25">
      <c r="A9">
        <f>ROW()</f>
        <v>9</v>
      </c>
      <c r="B9" t="s">
        <v>237</v>
      </c>
      <c r="C9" t="s">
        <v>238</v>
      </c>
      <c r="D9" t="s">
        <v>239</v>
      </c>
      <c r="E9" t="s">
        <v>240</v>
      </c>
      <c r="J9" t="str">
        <f>IF(A9&lt;WORKSHEET!$R$2,WORKSHEET!$C$2,IF(B9="Air Waybill Number",C9,J8))</f>
        <v>774438473160</v>
      </c>
      <c r="K9" t="str">
        <f t="shared" si="0"/>
        <v>870128687</v>
      </c>
      <c r="L9" t="str">
        <f t="shared" si="1"/>
        <v>03 Jan 2024</v>
      </c>
      <c r="M9" t="str">
        <f t="shared" si="2"/>
        <v/>
      </c>
      <c r="N9" t="str">
        <f t="shared" si="3"/>
        <v>12/13/2023</v>
      </c>
      <c r="O9" t="str">
        <f t="shared" si="4"/>
        <v/>
      </c>
      <c r="P9" t="str">
        <f t="shared" si="5"/>
        <v/>
      </c>
      <c r="Q9" t="str">
        <f t="shared" si="6"/>
        <v/>
      </c>
      <c r="R9" t="str">
        <f t="shared" si="7"/>
        <v/>
      </c>
    </row>
    <row r="10" spans="1:18" x14ac:dyDescent="0.25">
      <c r="A10">
        <f>ROW()</f>
        <v>10</v>
      </c>
      <c r="B10" t="s">
        <v>241</v>
      </c>
      <c r="C10" t="s">
        <v>242</v>
      </c>
      <c r="E10" t="s">
        <v>243</v>
      </c>
      <c r="F10" t="s">
        <v>244</v>
      </c>
      <c r="J10" t="str">
        <f>IF(A10&lt;WORKSHEET!$R$2,WORKSHEET!$C$2,IF(B10="Air Waybill Number",C10,J9))</f>
        <v>774438473160</v>
      </c>
      <c r="K10" t="str">
        <f t="shared" si="0"/>
        <v>870128687</v>
      </c>
      <c r="L10" t="str">
        <f t="shared" si="1"/>
        <v>03 Jan 2024</v>
      </c>
      <c r="M10" t="str">
        <f t="shared" si="2"/>
        <v/>
      </c>
      <c r="N10" t="str">
        <f t="shared" si="3"/>
        <v>12/13/2023</v>
      </c>
      <c r="O10" t="str">
        <f t="shared" si="4"/>
        <v/>
      </c>
      <c r="P10" t="str">
        <f t="shared" si="5"/>
        <v/>
      </c>
      <c r="Q10" t="str">
        <f t="shared" si="6"/>
        <v/>
      </c>
      <c r="R10" t="str">
        <f t="shared" si="7"/>
        <v/>
      </c>
    </row>
    <row r="11" spans="1:18" x14ac:dyDescent="0.25">
      <c r="A11">
        <f>ROW()</f>
        <v>11</v>
      </c>
      <c r="B11" t="s">
        <v>245</v>
      </c>
      <c r="C11" t="s">
        <v>246</v>
      </c>
      <c r="J11" t="str">
        <f>IF(A11&lt;WORKSHEET!$R$2,WORKSHEET!$C$2,IF(B11="Air Waybill Number",C11,J10))</f>
        <v>774438473160</v>
      </c>
      <c r="K11" t="str">
        <f t="shared" si="0"/>
        <v>870128687</v>
      </c>
      <c r="L11" t="str">
        <f t="shared" si="1"/>
        <v>03 Jan 2024</v>
      </c>
      <c r="M11" t="str">
        <f t="shared" si="2"/>
        <v/>
      </c>
      <c r="N11" t="str">
        <f t="shared" si="3"/>
        <v>12/13/2023</v>
      </c>
      <c r="O11" t="str">
        <f t="shared" si="4"/>
        <v/>
      </c>
      <c r="P11" t="str">
        <f t="shared" si="5"/>
        <v/>
      </c>
      <c r="Q11" t="str">
        <f t="shared" si="6"/>
        <v/>
      </c>
      <c r="R11" t="str">
        <f t="shared" si="7"/>
        <v/>
      </c>
    </row>
    <row r="12" spans="1:18" x14ac:dyDescent="0.25">
      <c r="A12">
        <f>ROW()</f>
        <v>12</v>
      </c>
      <c r="B12" t="s">
        <v>247</v>
      </c>
      <c r="D12" t="s">
        <v>248</v>
      </c>
      <c r="G12">
        <v>15698000</v>
      </c>
      <c r="J12" t="str">
        <f>IF(A12&lt;WORKSHEET!$R$2,WORKSHEET!$C$2,IF(B12="Air Waybill Number",C12,J11))</f>
        <v>774438473160</v>
      </c>
      <c r="K12" t="str">
        <f t="shared" si="0"/>
        <v>870128687</v>
      </c>
      <c r="L12" t="str">
        <f t="shared" si="1"/>
        <v>03 Jan 2024</v>
      </c>
      <c r="M12" t="str">
        <f t="shared" si="2"/>
        <v/>
      </c>
      <c r="N12" t="str">
        <f t="shared" si="3"/>
        <v>12/13/2023</v>
      </c>
      <c r="O12" t="str">
        <f t="shared" si="4"/>
        <v/>
      </c>
      <c r="P12" t="str">
        <f t="shared" si="5"/>
        <v/>
      </c>
      <c r="Q12" t="str">
        <f t="shared" si="6"/>
        <v/>
      </c>
      <c r="R12" t="str">
        <f t="shared" si="7"/>
        <v/>
      </c>
    </row>
    <row r="13" spans="1:18" x14ac:dyDescent="0.25">
      <c r="A13">
        <f>ROW()</f>
        <v>13</v>
      </c>
      <c r="B13" t="s">
        <v>249</v>
      </c>
      <c r="C13" t="s">
        <v>250</v>
      </c>
      <c r="D13" t="s">
        <v>251</v>
      </c>
      <c r="E13" t="s">
        <v>252</v>
      </c>
      <c r="G13">
        <v>-12448514</v>
      </c>
      <c r="J13" t="str">
        <f>IF(A13&lt;WORKSHEET!$R$2,WORKSHEET!$C$2,IF(B13="Air Waybill Number",C13,J12))</f>
        <v>774438473160</v>
      </c>
      <c r="K13" t="str">
        <f t="shared" si="0"/>
        <v>870128687</v>
      </c>
      <c r="L13" t="str">
        <f t="shared" si="1"/>
        <v>03 Jan 2024</v>
      </c>
      <c r="M13" t="str">
        <f t="shared" si="2"/>
        <v/>
      </c>
      <c r="N13" t="str">
        <f t="shared" si="3"/>
        <v>12/13/2023</v>
      </c>
      <c r="O13" t="str">
        <f t="shared" si="4"/>
        <v/>
      </c>
      <c r="P13" t="str">
        <f t="shared" si="5"/>
        <v/>
      </c>
      <c r="Q13" t="str">
        <f t="shared" si="6"/>
        <v/>
      </c>
      <c r="R13" t="str">
        <f t="shared" si="7"/>
        <v/>
      </c>
    </row>
    <row r="14" spans="1:18" x14ac:dyDescent="0.25">
      <c r="A14">
        <f>ROW()</f>
        <v>14</v>
      </c>
      <c r="C14" t="s">
        <v>253</v>
      </c>
      <c r="D14" t="s">
        <v>254</v>
      </c>
      <c r="E14" t="s">
        <v>255</v>
      </c>
      <c r="G14">
        <v>1072000</v>
      </c>
      <c r="J14" t="str">
        <f>IF(A14&lt;WORKSHEET!$R$2,WORKSHEET!$C$2,IF(B14="Air Waybill Number",C14,J13))</f>
        <v>774438473160</v>
      </c>
      <c r="K14" t="str">
        <f t="shared" si="0"/>
        <v>870128687</v>
      </c>
      <c r="L14" t="str">
        <f t="shared" si="1"/>
        <v>03 Jan 2024</v>
      </c>
      <c r="M14" t="str">
        <f t="shared" si="2"/>
        <v/>
      </c>
      <c r="N14" t="str">
        <f t="shared" si="3"/>
        <v>12/13/2023</v>
      </c>
      <c r="O14" t="str">
        <f t="shared" si="4"/>
        <v/>
      </c>
      <c r="P14" t="str">
        <f t="shared" si="5"/>
        <v/>
      </c>
      <c r="Q14" t="str">
        <f t="shared" si="6"/>
        <v/>
      </c>
      <c r="R14" t="str">
        <f t="shared" si="7"/>
        <v/>
      </c>
    </row>
    <row r="15" spans="1:18" x14ac:dyDescent="0.25">
      <c r="A15">
        <f>ROW()</f>
        <v>15</v>
      </c>
      <c r="B15" t="s">
        <v>256</v>
      </c>
      <c r="C15" t="s">
        <v>257</v>
      </c>
      <c r="D15" t="s">
        <v>254</v>
      </c>
      <c r="E15" t="s">
        <v>258</v>
      </c>
      <c r="G15">
        <v>295000</v>
      </c>
      <c r="J15" t="str">
        <f>IF(A15&lt;WORKSHEET!$R$2,WORKSHEET!$C$2,IF(B15="Air Waybill Number",C15,J14))</f>
        <v>774438473160</v>
      </c>
      <c r="K15" t="str">
        <f t="shared" si="0"/>
        <v>870128687</v>
      </c>
      <c r="L15" t="str">
        <f t="shared" si="1"/>
        <v>03 Jan 2024</v>
      </c>
      <c r="M15" t="str">
        <f t="shared" si="2"/>
        <v/>
      </c>
      <c r="N15" t="str">
        <f t="shared" si="3"/>
        <v>12/13/2023</v>
      </c>
      <c r="O15" t="str">
        <f t="shared" si="4"/>
        <v/>
      </c>
      <c r="P15" t="str">
        <f t="shared" si="5"/>
        <v/>
      </c>
      <c r="Q15" t="str">
        <f t="shared" si="6"/>
        <v/>
      </c>
      <c r="R15" t="str">
        <f t="shared" si="7"/>
        <v/>
      </c>
    </row>
    <row r="16" spans="1:18" x14ac:dyDescent="0.25">
      <c r="A16">
        <f>ROW()</f>
        <v>16</v>
      </c>
      <c r="D16" t="s">
        <v>254</v>
      </c>
      <c r="E16" t="s">
        <v>259</v>
      </c>
      <c r="G16">
        <v>431000</v>
      </c>
      <c r="J16" t="str">
        <f>IF(A16&lt;WORKSHEET!$R$2,WORKSHEET!$C$2,IF(B16="Air Waybill Number",C16,J15))</f>
        <v>774438473160</v>
      </c>
      <c r="K16" t="str">
        <f t="shared" si="0"/>
        <v>870128687</v>
      </c>
      <c r="L16" t="str">
        <f t="shared" si="1"/>
        <v>03 Jan 2024</v>
      </c>
      <c r="M16" t="str">
        <f t="shared" si="2"/>
        <v/>
      </c>
      <c r="N16" t="str">
        <f t="shared" si="3"/>
        <v>12/13/2023</v>
      </c>
      <c r="O16" t="str">
        <f t="shared" si="4"/>
        <v/>
      </c>
      <c r="P16" t="str">
        <f t="shared" si="5"/>
        <v/>
      </c>
      <c r="Q16" t="str">
        <f t="shared" si="6"/>
        <v/>
      </c>
      <c r="R16" t="str">
        <f t="shared" si="7"/>
        <v/>
      </c>
    </row>
    <row r="17" spans="1:18" x14ac:dyDescent="0.25">
      <c r="A17">
        <f>ROW()</f>
        <v>17</v>
      </c>
      <c r="D17" t="s">
        <v>254</v>
      </c>
      <c r="E17" t="s">
        <v>12</v>
      </c>
      <c r="G17">
        <v>1652853</v>
      </c>
      <c r="J17" t="str">
        <f>IF(A17&lt;WORKSHEET!$R$2,WORKSHEET!$C$2,IF(B17="Air Waybill Number",C17,J16))</f>
        <v>774438473160</v>
      </c>
      <c r="K17" t="str">
        <f t="shared" si="0"/>
        <v>870128687</v>
      </c>
      <c r="L17" t="str">
        <f t="shared" si="1"/>
        <v>03 Jan 2024</v>
      </c>
      <c r="M17" t="str">
        <f t="shared" si="2"/>
        <v/>
      </c>
      <c r="N17" t="str">
        <f t="shared" si="3"/>
        <v>12/13/2023</v>
      </c>
      <c r="O17" t="str">
        <f t="shared" si="4"/>
        <v/>
      </c>
      <c r="P17" t="str">
        <f t="shared" si="5"/>
        <v/>
      </c>
      <c r="Q17" t="str">
        <f t="shared" si="6"/>
        <v/>
      </c>
      <c r="R17" t="str">
        <f t="shared" si="7"/>
        <v/>
      </c>
    </row>
    <row r="18" spans="1:18" x14ac:dyDescent="0.25">
      <c r="A18">
        <f>ROW()</f>
        <v>18</v>
      </c>
      <c r="D18" t="s">
        <v>254</v>
      </c>
      <c r="E18" t="s">
        <v>260</v>
      </c>
      <c r="G18">
        <v>752000</v>
      </c>
      <c r="J18" t="str">
        <f>IF(A18&lt;WORKSHEET!$R$2,WORKSHEET!$C$2,IF(B18="Air Waybill Number",C18,J17))</f>
        <v>774438473160</v>
      </c>
      <c r="K18" t="str">
        <f t="shared" si="0"/>
        <v>870128687</v>
      </c>
      <c r="L18" t="str">
        <f t="shared" si="1"/>
        <v>03 Jan 2024</v>
      </c>
      <c r="M18" t="str">
        <f t="shared" si="2"/>
        <v/>
      </c>
      <c r="N18" t="str">
        <f t="shared" si="3"/>
        <v>12/13/2023</v>
      </c>
      <c r="O18" t="str">
        <f t="shared" si="4"/>
        <v/>
      </c>
      <c r="P18" t="str">
        <f t="shared" si="5"/>
        <v/>
      </c>
      <c r="Q18" t="str">
        <f t="shared" si="6"/>
        <v/>
      </c>
      <c r="R18" t="str">
        <f t="shared" si="7"/>
        <v/>
      </c>
    </row>
    <row r="19" spans="1:18" x14ac:dyDescent="0.25">
      <c r="A19">
        <f>ROW()</f>
        <v>19</v>
      </c>
      <c r="D19" t="s">
        <v>261</v>
      </c>
      <c r="G19">
        <v>81975</v>
      </c>
      <c r="J19" t="str">
        <f>IF(A19&lt;WORKSHEET!$R$2,WORKSHEET!$C$2,IF(B19="Air Waybill Number",C19,J18))</f>
        <v>774438473160</v>
      </c>
      <c r="K19" t="str">
        <f t="shared" si="0"/>
        <v>870128687</v>
      </c>
      <c r="L19" t="str">
        <f t="shared" si="1"/>
        <v>03 Jan 2024</v>
      </c>
      <c r="M19" t="str">
        <f t="shared" si="2"/>
        <v/>
      </c>
      <c r="N19" t="str">
        <f t="shared" si="3"/>
        <v>12/13/2023</v>
      </c>
      <c r="O19" t="str">
        <f t="shared" si="4"/>
        <v/>
      </c>
      <c r="P19" t="str">
        <f t="shared" si="5"/>
        <v/>
      </c>
      <c r="Q19" t="str">
        <f t="shared" si="6"/>
        <v/>
      </c>
      <c r="R19" t="str">
        <f t="shared" si="7"/>
        <v/>
      </c>
    </row>
    <row r="20" spans="1:18" x14ac:dyDescent="0.25">
      <c r="A20">
        <f>ROW()</f>
        <v>20</v>
      </c>
      <c r="D20" t="s">
        <v>14</v>
      </c>
      <c r="G20">
        <v>7534314</v>
      </c>
      <c r="J20" t="str">
        <f>IF(A20&lt;WORKSHEET!$R$2,WORKSHEET!$C$2,IF(B20="Air Waybill Number",C20,J19))</f>
        <v>774438473160</v>
      </c>
      <c r="K20" t="str">
        <f t="shared" si="0"/>
        <v>870128687</v>
      </c>
      <c r="L20" t="str">
        <f t="shared" si="1"/>
        <v>03 Jan 2024</v>
      </c>
      <c r="M20" t="str">
        <f t="shared" si="2"/>
        <v/>
      </c>
      <c r="N20" t="str">
        <f t="shared" si="3"/>
        <v>12/13/2023</v>
      </c>
      <c r="O20" t="str">
        <f t="shared" si="4"/>
        <v/>
      </c>
      <c r="P20" t="str">
        <f t="shared" si="5"/>
        <v/>
      </c>
      <c r="Q20" t="str">
        <f t="shared" si="6"/>
        <v/>
      </c>
      <c r="R20" t="str">
        <f t="shared" si="7"/>
        <v/>
      </c>
    </row>
    <row r="21" spans="1:18" x14ac:dyDescent="0.25">
      <c r="A21">
        <f>ROW()</f>
        <v>21</v>
      </c>
      <c r="B21" t="s">
        <v>262</v>
      </c>
      <c r="J21" t="str">
        <f>IF(A21&lt;WORKSHEET!$R$2,WORKSHEET!$C$2,IF(B21="Air Waybill Number",C21,J20))</f>
        <v>774438473160</v>
      </c>
      <c r="K21" t="str">
        <f t="shared" si="0"/>
        <v>870128687</v>
      </c>
      <c r="L21" t="str">
        <f t="shared" si="1"/>
        <v>03 Jan 2024</v>
      </c>
      <c r="M21" t="str">
        <f t="shared" si="2"/>
        <v/>
      </c>
      <c r="N21" t="str">
        <f t="shared" si="3"/>
        <v>12/13/2023</v>
      </c>
      <c r="O21" t="str">
        <f t="shared" si="4"/>
        <v/>
      </c>
      <c r="P21" t="str">
        <f t="shared" si="5"/>
        <v/>
      </c>
      <c r="Q21" t="str">
        <f t="shared" si="6"/>
        <v/>
      </c>
      <c r="R21" t="str">
        <f t="shared" si="7"/>
        <v/>
      </c>
    </row>
    <row r="22" spans="1:18" x14ac:dyDescent="0.25">
      <c r="A22">
        <f>ROW()</f>
        <v>22</v>
      </c>
      <c r="B22" t="s">
        <v>263</v>
      </c>
      <c r="J22" t="str">
        <f>IF(A22&lt;WORKSHEET!$R$2,WORKSHEET!$C$2,IF(B22="Air Waybill Number",C22,J21))</f>
        <v>774438473160</v>
      </c>
      <c r="K22" t="str">
        <f t="shared" si="0"/>
        <v>870128687</v>
      </c>
      <c r="L22" t="str">
        <f t="shared" si="1"/>
        <v>03 Jan 2024</v>
      </c>
      <c r="M22" t="str">
        <f t="shared" si="2"/>
        <v/>
      </c>
      <c r="N22" t="str">
        <f t="shared" si="3"/>
        <v>12/13/2023</v>
      </c>
      <c r="O22" t="str">
        <f t="shared" si="4"/>
        <v/>
      </c>
      <c r="P22" t="str">
        <f t="shared" si="5"/>
        <v/>
      </c>
      <c r="Q22" t="str">
        <f t="shared" si="6"/>
        <v/>
      </c>
      <c r="R22" t="str">
        <f t="shared" si="7"/>
        <v/>
      </c>
    </row>
    <row r="23" spans="1:18" x14ac:dyDescent="0.25">
      <c r="A23">
        <f>ROW()</f>
        <v>23</v>
      </c>
      <c r="B23" t="s">
        <v>226</v>
      </c>
      <c r="C23" t="s">
        <v>264</v>
      </c>
      <c r="D23" t="s">
        <v>265</v>
      </c>
      <c r="E23" t="s">
        <v>229</v>
      </c>
      <c r="J23" t="str">
        <f>IF(A23&lt;WORKSHEET!$R$2,WORKSHEET!$C$2,IF(B23="Air Waybill Number",C23,J22))</f>
        <v>774438473160</v>
      </c>
      <c r="K23" t="str">
        <f t="shared" si="0"/>
        <v>870128687</v>
      </c>
      <c r="L23" t="str">
        <f t="shared" si="1"/>
        <v>03 Jan 2024</v>
      </c>
      <c r="M23" t="str">
        <f t="shared" si="2"/>
        <v/>
      </c>
      <c r="N23" t="str">
        <f t="shared" si="3"/>
        <v>12/23/2023</v>
      </c>
      <c r="O23" t="str">
        <f t="shared" si="4"/>
        <v>ZHONG</v>
      </c>
      <c r="P23" t="str">
        <f t="shared" si="5"/>
        <v>LOXY SHANGHAI CO,,LTD</v>
      </c>
      <c r="Q23" t="str">
        <f t="shared" si="6"/>
        <v>NUNING</v>
      </c>
      <c r="R23" t="str">
        <f t="shared" si="7"/>
        <v>PT. GISTEX GARMENT INDONESIA</v>
      </c>
    </row>
    <row r="24" spans="1:18" x14ac:dyDescent="0.25">
      <c r="A24">
        <f>ROW()</f>
        <v>24</v>
      </c>
      <c r="B24" t="s">
        <v>230</v>
      </c>
      <c r="C24" t="s">
        <v>266</v>
      </c>
      <c r="D24" t="s">
        <v>24</v>
      </c>
      <c r="E24" t="s">
        <v>25</v>
      </c>
      <c r="J24" t="str">
        <f>IF(A24&lt;WORKSHEET!$R$2,WORKSHEET!$C$2,IF(B24="Air Waybill Number",C24,J23))</f>
        <v>774438473160</v>
      </c>
      <c r="K24" t="str">
        <f t="shared" si="0"/>
        <v>870128687</v>
      </c>
      <c r="L24" t="str">
        <f t="shared" si="1"/>
        <v>03 Jan 2024</v>
      </c>
      <c r="M24" t="str">
        <f t="shared" si="2"/>
        <v/>
      </c>
      <c r="N24" t="str">
        <f t="shared" si="3"/>
        <v>12/23/2023</v>
      </c>
      <c r="O24" t="str">
        <f t="shared" si="4"/>
        <v/>
      </c>
      <c r="P24" t="str">
        <f t="shared" si="5"/>
        <v/>
      </c>
      <c r="Q24" t="str">
        <f t="shared" si="6"/>
        <v/>
      </c>
      <c r="R24" t="str">
        <f t="shared" si="7"/>
        <v/>
      </c>
    </row>
    <row r="25" spans="1:18" x14ac:dyDescent="0.25">
      <c r="A25">
        <f>ROW()</f>
        <v>25</v>
      </c>
      <c r="B25" t="s">
        <v>232</v>
      </c>
      <c r="C25" t="s">
        <v>26</v>
      </c>
      <c r="D25" t="s">
        <v>27</v>
      </c>
      <c r="E25" t="s">
        <v>28</v>
      </c>
      <c r="J25" t="str">
        <f>IF(A25&lt;WORKSHEET!$R$2,WORKSHEET!$C$2,IF(B25="Air Waybill Number",C25,J24))</f>
        <v>774565991045</v>
      </c>
      <c r="K25" t="str">
        <f t="shared" si="0"/>
        <v>870128687</v>
      </c>
      <c r="L25" t="str">
        <f t="shared" si="1"/>
        <v>03 Jan 2024</v>
      </c>
      <c r="M25" t="str">
        <f t="shared" si="2"/>
        <v>774565991045-1</v>
      </c>
      <c r="N25" t="str">
        <f t="shared" si="3"/>
        <v>12/23/2023</v>
      </c>
      <c r="O25" t="str">
        <f t="shared" si="4"/>
        <v/>
      </c>
      <c r="P25" t="str">
        <f t="shared" si="5"/>
        <v/>
      </c>
      <c r="Q25" t="str">
        <f t="shared" si="6"/>
        <v/>
      </c>
      <c r="R25" t="str">
        <f t="shared" si="7"/>
        <v/>
      </c>
    </row>
    <row r="26" spans="1:18" x14ac:dyDescent="0.25">
      <c r="A26">
        <f>ROW()</f>
        <v>26</v>
      </c>
      <c r="B26" t="s">
        <v>233</v>
      </c>
      <c r="C26" t="s">
        <v>234</v>
      </c>
      <c r="D26" t="s">
        <v>267</v>
      </c>
      <c r="E26" t="s">
        <v>268</v>
      </c>
      <c r="J26" t="str">
        <f>IF(A26&lt;WORKSHEET!$R$2,WORKSHEET!$C$2,IF(B26="Air Waybill Number",C26,J25))</f>
        <v>774565991045</v>
      </c>
      <c r="K26" t="str">
        <f t="shared" si="0"/>
        <v>870128687</v>
      </c>
      <c r="L26" t="str">
        <f t="shared" si="1"/>
        <v>03 Jan 2024</v>
      </c>
      <c r="M26" t="str">
        <f t="shared" si="2"/>
        <v/>
      </c>
      <c r="N26" t="str">
        <f t="shared" si="3"/>
        <v>12/23/2023</v>
      </c>
      <c r="O26" t="str">
        <f t="shared" si="4"/>
        <v/>
      </c>
      <c r="P26" t="str">
        <f t="shared" si="5"/>
        <v/>
      </c>
      <c r="Q26" t="str">
        <f t="shared" si="6"/>
        <v/>
      </c>
      <c r="R26" t="str">
        <f t="shared" si="7"/>
        <v/>
      </c>
    </row>
    <row r="27" spans="1:18" x14ac:dyDescent="0.25">
      <c r="A27">
        <f>ROW()</f>
        <v>27</v>
      </c>
      <c r="B27" t="s">
        <v>237</v>
      </c>
      <c r="C27" t="s">
        <v>269</v>
      </c>
      <c r="D27" t="s">
        <v>270</v>
      </c>
      <c r="E27" t="s">
        <v>271</v>
      </c>
      <c r="J27" t="str">
        <f>IF(A27&lt;WORKSHEET!$R$2,WORKSHEET!$C$2,IF(B27="Air Waybill Number",C27,J26))</f>
        <v>774565991045</v>
      </c>
      <c r="K27" t="str">
        <f t="shared" si="0"/>
        <v>870128687</v>
      </c>
      <c r="L27" t="str">
        <f t="shared" si="1"/>
        <v>03 Jan 2024</v>
      </c>
      <c r="M27" t="str">
        <f t="shared" si="2"/>
        <v/>
      </c>
      <c r="N27" t="str">
        <f t="shared" si="3"/>
        <v>12/23/2023</v>
      </c>
      <c r="O27" t="str">
        <f t="shared" si="4"/>
        <v/>
      </c>
      <c r="P27" t="str">
        <f t="shared" si="5"/>
        <v/>
      </c>
      <c r="Q27" t="str">
        <f t="shared" si="6"/>
        <v/>
      </c>
      <c r="R27" t="str">
        <f t="shared" si="7"/>
        <v/>
      </c>
    </row>
    <row r="28" spans="1:18" x14ac:dyDescent="0.25">
      <c r="A28">
        <f>ROW()</f>
        <v>28</v>
      </c>
      <c r="B28" t="s">
        <v>241</v>
      </c>
      <c r="C28" t="s">
        <v>272</v>
      </c>
      <c r="D28" t="s">
        <v>273</v>
      </c>
      <c r="E28" t="s">
        <v>274</v>
      </c>
      <c r="F28" t="s">
        <v>275</v>
      </c>
      <c r="J28" t="str">
        <f>IF(A28&lt;WORKSHEET!$R$2,WORKSHEET!$C$2,IF(B28="Air Waybill Number",C28,J27))</f>
        <v>774565991045</v>
      </c>
      <c r="K28" t="str">
        <f t="shared" si="0"/>
        <v>870128687</v>
      </c>
      <c r="L28" t="str">
        <f t="shared" si="1"/>
        <v>03 Jan 2024</v>
      </c>
      <c r="M28" t="str">
        <f t="shared" si="2"/>
        <v/>
      </c>
      <c r="N28" t="str">
        <f t="shared" si="3"/>
        <v>12/23/2023</v>
      </c>
      <c r="O28" t="str">
        <f t="shared" si="4"/>
        <v/>
      </c>
      <c r="P28" t="str">
        <f t="shared" si="5"/>
        <v/>
      </c>
      <c r="Q28" t="str">
        <f t="shared" si="6"/>
        <v/>
      </c>
      <c r="R28" t="str">
        <f t="shared" si="7"/>
        <v/>
      </c>
    </row>
    <row r="29" spans="1:18" x14ac:dyDescent="0.25">
      <c r="A29">
        <f>ROW()</f>
        <v>29</v>
      </c>
      <c r="B29" t="s">
        <v>245</v>
      </c>
      <c r="C29" t="s">
        <v>246</v>
      </c>
      <c r="J29" t="str">
        <f>IF(A29&lt;WORKSHEET!$R$2,WORKSHEET!$C$2,IF(B29="Air Waybill Number",C29,J28))</f>
        <v>774565991045</v>
      </c>
      <c r="K29" t="str">
        <f t="shared" si="0"/>
        <v>870128687</v>
      </c>
      <c r="L29" t="str">
        <f t="shared" si="1"/>
        <v>03 Jan 2024</v>
      </c>
      <c r="M29" t="str">
        <f t="shared" si="2"/>
        <v/>
      </c>
      <c r="N29" t="str">
        <f t="shared" si="3"/>
        <v>12/23/2023</v>
      </c>
      <c r="O29" t="str">
        <f t="shared" si="4"/>
        <v/>
      </c>
      <c r="P29" t="str">
        <f t="shared" si="5"/>
        <v/>
      </c>
      <c r="Q29" t="str">
        <f t="shared" si="6"/>
        <v/>
      </c>
      <c r="R29" t="str">
        <f t="shared" si="7"/>
        <v/>
      </c>
    </row>
    <row r="30" spans="1:18" x14ac:dyDescent="0.25">
      <c r="A30">
        <f>ROW()</f>
        <v>30</v>
      </c>
      <c r="B30" t="s">
        <v>247</v>
      </c>
      <c r="D30" t="s">
        <v>248</v>
      </c>
      <c r="G30">
        <v>39606000</v>
      </c>
      <c r="J30" t="str">
        <f>IF(A30&lt;WORKSHEET!$R$2,WORKSHEET!$C$2,IF(B30="Air Waybill Number",C30,J29))</f>
        <v>774565991045</v>
      </c>
      <c r="K30" t="str">
        <f t="shared" si="0"/>
        <v>870128687</v>
      </c>
      <c r="L30" t="str">
        <f t="shared" si="1"/>
        <v>03 Jan 2024</v>
      </c>
      <c r="M30" t="str">
        <f t="shared" si="2"/>
        <v/>
      </c>
      <c r="N30" t="str">
        <f t="shared" si="3"/>
        <v>12/23/2023</v>
      </c>
      <c r="O30" t="str">
        <f t="shared" si="4"/>
        <v/>
      </c>
      <c r="P30" t="str">
        <f t="shared" si="5"/>
        <v/>
      </c>
      <c r="Q30" t="str">
        <f t="shared" si="6"/>
        <v/>
      </c>
      <c r="R30" t="str">
        <f t="shared" si="7"/>
        <v/>
      </c>
    </row>
    <row r="31" spans="1:18" x14ac:dyDescent="0.25">
      <c r="A31">
        <f>ROW()</f>
        <v>31</v>
      </c>
      <c r="B31" t="s">
        <v>249</v>
      </c>
      <c r="C31" t="s">
        <v>276</v>
      </c>
      <c r="D31" t="s">
        <v>251</v>
      </c>
      <c r="E31" t="s">
        <v>252</v>
      </c>
      <c r="G31">
        <v>-31126355</v>
      </c>
      <c r="J31" t="str">
        <f>IF(A31&lt;WORKSHEET!$R$2,WORKSHEET!$C$2,IF(B31="Air Waybill Number",C31,J30))</f>
        <v>774565991045</v>
      </c>
      <c r="K31" t="str">
        <f t="shared" si="0"/>
        <v>870128687</v>
      </c>
      <c r="L31" t="str">
        <f t="shared" si="1"/>
        <v>03 Jan 2024</v>
      </c>
      <c r="M31" t="str">
        <f t="shared" si="2"/>
        <v/>
      </c>
      <c r="N31" t="str">
        <f t="shared" si="3"/>
        <v>12/23/2023</v>
      </c>
      <c r="O31" t="str">
        <f t="shared" si="4"/>
        <v/>
      </c>
      <c r="P31" t="str">
        <f t="shared" si="5"/>
        <v/>
      </c>
      <c r="Q31" t="str">
        <f t="shared" si="6"/>
        <v/>
      </c>
      <c r="R31" t="str">
        <f t="shared" si="7"/>
        <v/>
      </c>
    </row>
    <row r="32" spans="1:18" x14ac:dyDescent="0.25">
      <c r="A32">
        <f>ROW()</f>
        <v>32</v>
      </c>
      <c r="C32" t="s">
        <v>277</v>
      </c>
      <c r="D32" t="s">
        <v>254</v>
      </c>
      <c r="E32" t="s">
        <v>12</v>
      </c>
      <c r="G32">
        <v>2820864</v>
      </c>
      <c r="J32" t="str">
        <f>IF(A32&lt;WORKSHEET!$R$2,WORKSHEET!$C$2,IF(B32="Air Waybill Number",C32,J31))</f>
        <v>774565991045</v>
      </c>
      <c r="K32" t="str">
        <f t="shared" si="0"/>
        <v>870128687</v>
      </c>
      <c r="L32" t="str">
        <f t="shared" si="1"/>
        <v>03 Jan 2024</v>
      </c>
      <c r="M32" t="str">
        <f t="shared" si="2"/>
        <v/>
      </c>
      <c r="N32" t="str">
        <f t="shared" si="3"/>
        <v>12/23/2023</v>
      </c>
      <c r="O32" t="str">
        <f t="shared" si="4"/>
        <v/>
      </c>
      <c r="P32" t="str">
        <f t="shared" si="5"/>
        <v/>
      </c>
      <c r="Q32" t="str">
        <f t="shared" si="6"/>
        <v/>
      </c>
      <c r="R32" t="str">
        <f t="shared" si="7"/>
        <v/>
      </c>
    </row>
    <row r="33" spans="1:18" x14ac:dyDescent="0.25">
      <c r="A33">
        <f>ROW()</f>
        <v>33</v>
      </c>
      <c r="D33" t="s">
        <v>254</v>
      </c>
      <c r="E33" t="s">
        <v>260</v>
      </c>
      <c r="G33">
        <v>1968000</v>
      </c>
      <c r="J33" t="str">
        <f>IF(A33&lt;WORKSHEET!$R$2,WORKSHEET!$C$2,IF(B33="Air Waybill Number",C33,J32))</f>
        <v>774565991045</v>
      </c>
      <c r="K33" t="str">
        <f t="shared" si="0"/>
        <v>870128687</v>
      </c>
      <c r="L33" t="str">
        <f t="shared" si="1"/>
        <v>03 Jan 2024</v>
      </c>
      <c r="M33" t="str">
        <f t="shared" si="2"/>
        <v/>
      </c>
      <c r="N33" t="str">
        <f t="shared" si="3"/>
        <v>12/23/2023</v>
      </c>
      <c r="O33" t="str">
        <f t="shared" si="4"/>
        <v/>
      </c>
      <c r="P33" t="str">
        <f t="shared" si="5"/>
        <v/>
      </c>
      <c r="Q33" t="str">
        <f t="shared" si="6"/>
        <v/>
      </c>
      <c r="R33" t="str">
        <f t="shared" si="7"/>
        <v/>
      </c>
    </row>
    <row r="34" spans="1:18" x14ac:dyDescent="0.25">
      <c r="A34">
        <f>ROW()</f>
        <v>34</v>
      </c>
      <c r="D34" t="s">
        <v>261</v>
      </c>
      <c r="G34">
        <v>145953</v>
      </c>
      <c r="J34" t="str">
        <f>IF(A34&lt;WORKSHEET!$R$2,WORKSHEET!$C$2,IF(B34="Air Waybill Number",C34,J33))</f>
        <v>774565991045</v>
      </c>
      <c r="K34" t="str">
        <f t="shared" si="0"/>
        <v>870128687</v>
      </c>
      <c r="L34" t="str">
        <f t="shared" si="1"/>
        <v>03 Jan 2024</v>
      </c>
      <c r="M34" t="str">
        <f t="shared" si="2"/>
        <v/>
      </c>
      <c r="N34" t="str">
        <f t="shared" si="3"/>
        <v>12/23/2023</v>
      </c>
      <c r="O34" t="str">
        <f t="shared" si="4"/>
        <v/>
      </c>
      <c r="P34" t="str">
        <f t="shared" si="5"/>
        <v/>
      </c>
      <c r="Q34" t="str">
        <f t="shared" si="6"/>
        <v/>
      </c>
      <c r="R34" t="str">
        <f t="shared" si="7"/>
        <v/>
      </c>
    </row>
    <row r="35" spans="1:18" x14ac:dyDescent="0.25">
      <c r="A35">
        <f>ROW()</f>
        <v>35</v>
      </c>
      <c r="D35" t="s">
        <v>14</v>
      </c>
      <c r="G35">
        <v>13414462</v>
      </c>
      <c r="J35" t="str">
        <f>IF(A35&lt;WORKSHEET!$R$2,WORKSHEET!$C$2,IF(B35="Air Waybill Number",C35,J34))</f>
        <v>774565991045</v>
      </c>
      <c r="K35" t="str">
        <f t="shared" si="0"/>
        <v>870128687</v>
      </c>
      <c r="L35" t="str">
        <f t="shared" si="1"/>
        <v>03 Jan 2024</v>
      </c>
      <c r="M35" t="str">
        <f t="shared" si="2"/>
        <v/>
      </c>
      <c r="N35" t="str">
        <f t="shared" si="3"/>
        <v>12/23/2023</v>
      </c>
      <c r="O35" t="str">
        <f t="shared" si="4"/>
        <v/>
      </c>
      <c r="P35" t="str">
        <f t="shared" si="5"/>
        <v/>
      </c>
      <c r="Q35" t="str">
        <f t="shared" si="6"/>
        <v/>
      </c>
      <c r="R35" t="str">
        <f t="shared" si="7"/>
        <v/>
      </c>
    </row>
    <row r="36" spans="1:18" x14ac:dyDescent="0.25">
      <c r="A36">
        <f>ROW()</f>
        <v>36</v>
      </c>
      <c r="B36" t="s">
        <v>226</v>
      </c>
      <c r="C36" t="s">
        <v>264</v>
      </c>
      <c r="D36" t="s">
        <v>278</v>
      </c>
      <c r="F36" t="s">
        <v>229</v>
      </c>
      <c r="J36" t="str">
        <f>IF(A36&lt;WORKSHEET!$R$2,WORKSHEET!$C$2,IF(B36="Air Waybill Number",C36,J35))</f>
        <v>774565991045</v>
      </c>
      <c r="K36" t="str">
        <f t="shared" si="0"/>
        <v>870128687</v>
      </c>
      <c r="L36" t="str">
        <f t="shared" si="1"/>
        <v>03 Jan 2024</v>
      </c>
      <c r="M36" t="str">
        <f t="shared" si="2"/>
        <v/>
      </c>
      <c r="N36" t="str">
        <f t="shared" si="3"/>
        <v>12/23/2023</v>
      </c>
      <c r="O36" t="str">
        <f t="shared" si="4"/>
        <v>STELLA</v>
      </c>
      <c r="P36" t="str">
        <f t="shared" si="5"/>
        <v>NINGBO TWO BIRDS INDUSTRY CO.,</v>
      </c>
      <c r="Q36" t="str">
        <f t="shared" si="6"/>
        <v>EKA</v>
      </c>
      <c r="R36" t="str">
        <f t="shared" si="7"/>
        <v>PT.GISTEX GARMEN LNDONESIA</v>
      </c>
    </row>
    <row r="37" spans="1:18" x14ac:dyDescent="0.25">
      <c r="A37">
        <f>ROW()</f>
        <v>37</v>
      </c>
      <c r="B37" t="s">
        <v>230</v>
      </c>
      <c r="C37" t="s">
        <v>266</v>
      </c>
      <c r="D37" t="s">
        <v>29</v>
      </c>
      <c r="F37" t="s">
        <v>30</v>
      </c>
      <c r="J37" t="str">
        <f>IF(A37&lt;WORKSHEET!$R$2,WORKSHEET!$C$2,IF(B37="Air Waybill Number",C37,J36))</f>
        <v>774565991045</v>
      </c>
      <c r="K37" t="str">
        <f t="shared" si="0"/>
        <v>870128687</v>
      </c>
      <c r="L37" t="str">
        <f t="shared" si="1"/>
        <v>03 Jan 2024</v>
      </c>
      <c r="M37" t="str">
        <f t="shared" si="2"/>
        <v/>
      </c>
      <c r="N37" t="str">
        <f t="shared" si="3"/>
        <v>12/23/2023</v>
      </c>
      <c r="O37" t="str">
        <f t="shared" si="4"/>
        <v/>
      </c>
      <c r="P37" t="str">
        <f t="shared" si="5"/>
        <v/>
      </c>
      <c r="Q37" t="str">
        <f t="shared" si="6"/>
        <v/>
      </c>
      <c r="R37" t="str">
        <f t="shared" si="7"/>
        <v/>
      </c>
    </row>
    <row r="38" spans="1:18" x14ac:dyDescent="0.25">
      <c r="A38">
        <f>ROW()</f>
        <v>38</v>
      </c>
      <c r="B38" t="s">
        <v>232</v>
      </c>
      <c r="C38" t="s">
        <v>31</v>
      </c>
      <c r="D38" t="s">
        <v>32</v>
      </c>
      <c r="F38" t="s">
        <v>33</v>
      </c>
      <c r="J38" t="str">
        <f>IF(A38&lt;WORKSHEET!$R$2,WORKSHEET!$C$2,IF(B38="Air Waybill Number",C38,J37))</f>
        <v>774581911125</v>
      </c>
      <c r="K38" t="str">
        <f t="shared" si="0"/>
        <v>870128687</v>
      </c>
      <c r="L38" t="str">
        <f t="shared" si="1"/>
        <v>03 Jan 2024</v>
      </c>
      <c r="M38" t="str">
        <f t="shared" si="2"/>
        <v>774581911125-1</v>
      </c>
      <c r="N38" t="str">
        <f t="shared" si="3"/>
        <v>12/23/2023</v>
      </c>
      <c r="O38" t="str">
        <f t="shared" si="4"/>
        <v/>
      </c>
      <c r="P38" t="str">
        <f t="shared" si="5"/>
        <v/>
      </c>
      <c r="Q38" t="str">
        <f t="shared" si="6"/>
        <v/>
      </c>
      <c r="R38" t="str">
        <f t="shared" si="7"/>
        <v/>
      </c>
    </row>
    <row r="39" spans="1:18" x14ac:dyDescent="0.25">
      <c r="A39">
        <f>ROW()</f>
        <v>39</v>
      </c>
      <c r="B39" t="s">
        <v>233</v>
      </c>
      <c r="C39" t="s">
        <v>279</v>
      </c>
      <c r="D39" t="s">
        <v>280</v>
      </c>
      <c r="F39" t="s">
        <v>281</v>
      </c>
      <c r="J39" t="str">
        <f>IF(A39&lt;WORKSHEET!$R$2,WORKSHEET!$C$2,IF(B39="Air Waybill Number",C39,J38))</f>
        <v>774581911125</v>
      </c>
      <c r="K39" t="str">
        <f t="shared" si="0"/>
        <v>870128687</v>
      </c>
      <c r="L39" t="str">
        <f t="shared" si="1"/>
        <v>03 Jan 2024</v>
      </c>
      <c r="M39" t="str">
        <f t="shared" si="2"/>
        <v/>
      </c>
      <c r="N39" t="str">
        <f t="shared" si="3"/>
        <v>12/23/2023</v>
      </c>
      <c r="O39" t="str">
        <f t="shared" si="4"/>
        <v/>
      </c>
      <c r="P39" t="str">
        <f t="shared" si="5"/>
        <v/>
      </c>
      <c r="Q39" t="str">
        <f t="shared" si="6"/>
        <v/>
      </c>
      <c r="R39" t="str">
        <f t="shared" si="7"/>
        <v/>
      </c>
    </row>
    <row r="40" spans="1:18" x14ac:dyDescent="0.25">
      <c r="A40">
        <f>ROW()</f>
        <v>40</v>
      </c>
      <c r="B40" t="s">
        <v>237</v>
      </c>
      <c r="C40" t="s">
        <v>238</v>
      </c>
      <c r="D40" t="s">
        <v>282</v>
      </c>
      <c r="E40" t="s">
        <v>283</v>
      </c>
      <c r="F40" t="s">
        <v>274</v>
      </c>
      <c r="G40" t="s">
        <v>284</v>
      </c>
      <c r="J40" t="str">
        <f>IF(A40&lt;WORKSHEET!$R$2,WORKSHEET!$C$2,IF(B40="Air Waybill Number",C40,J39))</f>
        <v>774581911125</v>
      </c>
      <c r="K40" t="str">
        <f t="shared" si="0"/>
        <v>870128687</v>
      </c>
      <c r="L40" t="str">
        <f t="shared" si="1"/>
        <v>03 Jan 2024</v>
      </c>
      <c r="M40" t="str">
        <f t="shared" si="2"/>
        <v/>
      </c>
      <c r="N40" t="str">
        <f t="shared" si="3"/>
        <v>12/23/2023</v>
      </c>
      <c r="O40" t="str">
        <f t="shared" si="4"/>
        <v/>
      </c>
      <c r="P40" t="str">
        <f t="shared" si="5"/>
        <v/>
      </c>
      <c r="Q40" t="str">
        <f t="shared" si="6"/>
        <v/>
      </c>
      <c r="R40" t="str">
        <f t="shared" si="7"/>
        <v/>
      </c>
    </row>
    <row r="41" spans="1:18" x14ac:dyDescent="0.25">
      <c r="A41">
        <f>ROW()</f>
        <v>41</v>
      </c>
      <c r="B41" t="s">
        <v>241</v>
      </c>
      <c r="C41" t="s">
        <v>285</v>
      </c>
      <c r="J41" t="str">
        <f>IF(A41&lt;WORKSHEET!$R$2,WORKSHEET!$C$2,IF(B41="Air Waybill Number",C41,J40))</f>
        <v>774581911125</v>
      </c>
      <c r="K41" t="str">
        <f t="shared" si="0"/>
        <v>870128687</v>
      </c>
      <c r="L41" t="str">
        <f t="shared" si="1"/>
        <v>03 Jan 2024</v>
      </c>
      <c r="M41" t="str">
        <f t="shared" si="2"/>
        <v/>
      </c>
      <c r="N41" t="str">
        <f t="shared" si="3"/>
        <v>12/23/2023</v>
      </c>
      <c r="O41" t="str">
        <f t="shared" si="4"/>
        <v/>
      </c>
      <c r="P41" t="str">
        <f t="shared" si="5"/>
        <v/>
      </c>
      <c r="Q41" t="str">
        <f t="shared" si="6"/>
        <v/>
      </c>
      <c r="R41" t="str">
        <f t="shared" si="7"/>
        <v/>
      </c>
    </row>
    <row r="42" spans="1:18" x14ac:dyDescent="0.25">
      <c r="A42">
        <f>ROW()</f>
        <v>42</v>
      </c>
      <c r="B42" t="s">
        <v>286</v>
      </c>
      <c r="C42" t="s">
        <v>246</v>
      </c>
      <c r="D42" t="s">
        <v>248</v>
      </c>
      <c r="H42">
        <v>700000</v>
      </c>
      <c r="J42" t="str">
        <f>IF(A42&lt;WORKSHEET!$R$2,WORKSHEET!$C$2,IF(B42="Air Waybill Number",C42,J41))</f>
        <v>774581911125</v>
      </c>
      <c r="K42" t="str">
        <f t="shared" si="0"/>
        <v>870128687</v>
      </c>
      <c r="L42" t="str">
        <f t="shared" si="1"/>
        <v>03 Jan 2024</v>
      </c>
      <c r="M42" t="str">
        <f t="shared" si="2"/>
        <v/>
      </c>
      <c r="N42" t="str">
        <f t="shared" si="3"/>
        <v>12/23/2023</v>
      </c>
      <c r="O42" t="str">
        <f t="shared" si="4"/>
        <v/>
      </c>
      <c r="P42" t="str">
        <f t="shared" si="5"/>
        <v/>
      </c>
      <c r="Q42" t="str">
        <f t="shared" si="6"/>
        <v/>
      </c>
      <c r="R42" t="str">
        <f t="shared" si="7"/>
        <v/>
      </c>
    </row>
    <row r="43" spans="1:18" x14ac:dyDescent="0.25">
      <c r="A43">
        <f>ROW()</f>
        <v>43</v>
      </c>
      <c r="D43" t="s">
        <v>251</v>
      </c>
      <c r="F43" t="s">
        <v>252</v>
      </c>
      <c r="H43">
        <v>-520240</v>
      </c>
      <c r="J43" t="str">
        <f>IF(A43&lt;WORKSHEET!$R$2,WORKSHEET!$C$2,IF(B43="Air Waybill Number",C43,J42))</f>
        <v>774581911125</v>
      </c>
      <c r="K43" t="str">
        <f t="shared" si="0"/>
        <v>870128687</v>
      </c>
      <c r="L43" t="str">
        <f t="shared" si="1"/>
        <v>03 Jan 2024</v>
      </c>
      <c r="M43" t="str">
        <f t="shared" si="2"/>
        <v/>
      </c>
      <c r="N43" t="str">
        <f t="shared" si="3"/>
        <v>12/23/2023</v>
      </c>
      <c r="O43" t="str">
        <f t="shared" si="4"/>
        <v/>
      </c>
      <c r="P43" t="str">
        <f t="shared" si="5"/>
        <v/>
      </c>
      <c r="Q43" t="str">
        <f t="shared" si="6"/>
        <v/>
      </c>
      <c r="R43" t="str">
        <f t="shared" si="7"/>
        <v/>
      </c>
    </row>
    <row r="44" spans="1:18" x14ac:dyDescent="0.25">
      <c r="A44">
        <f>ROW()</f>
        <v>44</v>
      </c>
      <c r="B44" t="s">
        <v>249</v>
      </c>
      <c r="C44" t="s">
        <v>287</v>
      </c>
      <c r="D44" t="s">
        <v>254</v>
      </c>
      <c r="F44" t="s">
        <v>12</v>
      </c>
      <c r="H44">
        <v>52855</v>
      </c>
      <c r="J44" t="str">
        <f>IF(A44&lt;WORKSHEET!$R$2,WORKSHEET!$C$2,IF(B44="Air Waybill Number",C44,J43))</f>
        <v>774581911125</v>
      </c>
      <c r="K44" t="str">
        <f t="shared" si="0"/>
        <v>870128687</v>
      </c>
      <c r="L44" t="str">
        <f t="shared" si="1"/>
        <v>03 Jan 2024</v>
      </c>
      <c r="M44" t="str">
        <f t="shared" si="2"/>
        <v/>
      </c>
      <c r="N44" t="str">
        <f t="shared" si="3"/>
        <v>12/23/2023</v>
      </c>
      <c r="O44" t="str">
        <f t="shared" si="4"/>
        <v/>
      </c>
      <c r="P44" t="str">
        <f t="shared" si="5"/>
        <v/>
      </c>
      <c r="Q44" t="str">
        <f t="shared" si="6"/>
        <v/>
      </c>
      <c r="R44" t="str">
        <f t="shared" si="7"/>
        <v/>
      </c>
    </row>
    <row r="45" spans="1:18" x14ac:dyDescent="0.25">
      <c r="A45">
        <f>ROW()</f>
        <v>45</v>
      </c>
      <c r="C45" t="s">
        <v>288</v>
      </c>
      <c r="D45" t="s">
        <v>254</v>
      </c>
      <c r="F45" t="s">
        <v>260</v>
      </c>
      <c r="H45">
        <v>16000</v>
      </c>
      <c r="J45" t="str">
        <f>IF(A45&lt;WORKSHEET!$R$2,WORKSHEET!$C$2,IF(B45="Air Waybill Number",C45,J44))</f>
        <v>774581911125</v>
      </c>
      <c r="K45" t="str">
        <f t="shared" si="0"/>
        <v>870128687</v>
      </c>
      <c r="L45" t="str">
        <f t="shared" si="1"/>
        <v>03 Jan 2024</v>
      </c>
      <c r="M45" t="str">
        <f t="shared" si="2"/>
        <v/>
      </c>
      <c r="N45" t="str">
        <f t="shared" si="3"/>
        <v>12/23/2023</v>
      </c>
      <c r="O45" t="str">
        <f t="shared" si="4"/>
        <v/>
      </c>
      <c r="P45" t="str">
        <f t="shared" si="5"/>
        <v/>
      </c>
      <c r="Q45" t="str">
        <f t="shared" si="6"/>
        <v/>
      </c>
      <c r="R45" t="str">
        <f t="shared" si="7"/>
        <v/>
      </c>
    </row>
    <row r="46" spans="1:18" x14ac:dyDescent="0.25">
      <c r="A46">
        <f>ROW()</f>
        <v>46</v>
      </c>
      <c r="D46" t="s">
        <v>261</v>
      </c>
      <c r="H46">
        <v>2734</v>
      </c>
      <c r="J46" t="str">
        <f>IF(A46&lt;WORKSHEET!$R$2,WORKSHEET!$C$2,IF(B46="Air Waybill Number",C46,J45))</f>
        <v>774581911125</v>
      </c>
      <c r="K46" t="str">
        <f t="shared" si="0"/>
        <v>870128687</v>
      </c>
      <c r="L46" t="str">
        <f t="shared" si="1"/>
        <v>03 Jan 2024</v>
      </c>
      <c r="M46" t="str">
        <f t="shared" si="2"/>
        <v/>
      </c>
      <c r="N46" t="str">
        <f t="shared" si="3"/>
        <v>12/23/2023</v>
      </c>
      <c r="O46" t="str">
        <f t="shared" si="4"/>
        <v/>
      </c>
      <c r="P46" t="str">
        <f t="shared" si="5"/>
        <v/>
      </c>
      <c r="Q46" t="str">
        <f t="shared" si="6"/>
        <v/>
      </c>
      <c r="R46" t="str">
        <f t="shared" si="7"/>
        <v/>
      </c>
    </row>
    <row r="47" spans="1:18" x14ac:dyDescent="0.25">
      <c r="A47">
        <f>ROW()</f>
        <v>47</v>
      </c>
      <c r="D47" t="s">
        <v>14</v>
      </c>
      <c r="H47">
        <v>251349</v>
      </c>
      <c r="J47" t="str">
        <f>IF(A47&lt;WORKSHEET!$R$2,WORKSHEET!$C$2,IF(B47="Air Waybill Number",C47,J46))</f>
        <v>774581911125</v>
      </c>
      <c r="K47" t="str">
        <f t="shared" si="0"/>
        <v>870128687</v>
      </c>
      <c r="L47" t="str">
        <f t="shared" si="1"/>
        <v>03 Jan 2024</v>
      </c>
      <c r="M47" t="str">
        <f t="shared" si="2"/>
        <v/>
      </c>
      <c r="N47" t="str">
        <f t="shared" si="3"/>
        <v>12/23/2023</v>
      </c>
      <c r="O47" t="str">
        <f t="shared" si="4"/>
        <v/>
      </c>
      <c r="P47" t="str">
        <f t="shared" si="5"/>
        <v/>
      </c>
      <c r="Q47" t="str">
        <f t="shared" si="6"/>
        <v/>
      </c>
      <c r="R47" t="str">
        <f t="shared" si="7"/>
        <v/>
      </c>
    </row>
    <row r="48" spans="1:18" x14ac:dyDescent="0.25">
      <c r="A48">
        <f>ROW()</f>
        <v>48</v>
      </c>
      <c r="B48" t="s">
        <v>221</v>
      </c>
      <c r="C48" t="s">
        <v>34</v>
      </c>
      <c r="J48" t="str">
        <f>IF(A48&lt;WORKSHEET!$R$2,WORKSHEET!$C$2,IF(B48="Air Waybill Number",C48,J47))</f>
        <v>774581911125</v>
      </c>
      <c r="K48" t="str">
        <f t="shared" si="0"/>
        <v>870128688</v>
      </c>
      <c r="L48" t="str">
        <f t="shared" si="1"/>
        <v>03 Jan 2024</v>
      </c>
      <c r="M48" t="str">
        <f t="shared" si="2"/>
        <v/>
      </c>
      <c r="N48" t="str">
        <f t="shared" si="3"/>
        <v>12/23/2023</v>
      </c>
      <c r="O48" t="str">
        <f t="shared" si="4"/>
        <v/>
      </c>
      <c r="P48" t="str">
        <f t="shared" si="5"/>
        <v/>
      </c>
      <c r="Q48" t="str">
        <f t="shared" si="6"/>
        <v/>
      </c>
      <c r="R48" t="str">
        <f t="shared" si="7"/>
        <v/>
      </c>
    </row>
    <row r="49" spans="1:18" x14ac:dyDescent="0.25">
      <c r="A49">
        <f>ROW()</f>
        <v>49</v>
      </c>
      <c r="B49" t="s">
        <v>222</v>
      </c>
      <c r="C49" t="s">
        <v>223</v>
      </c>
      <c r="J49" t="str">
        <f>IF(A49&lt;WORKSHEET!$R$2,WORKSHEET!$C$2,IF(B49="Air Waybill Number",C49,J48))</f>
        <v>774581911125</v>
      </c>
      <c r="K49" t="str">
        <f t="shared" si="0"/>
        <v>870128688</v>
      </c>
      <c r="L49" t="str">
        <f t="shared" si="1"/>
        <v>03 Jan 2024</v>
      </c>
      <c r="M49" t="str">
        <f t="shared" si="2"/>
        <v/>
      </c>
      <c r="N49" t="str">
        <f t="shared" si="3"/>
        <v>12/23/2023</v>
      </c>
      <c r="O49" t="str">
        <f t="shared" si="4"/>
        <v/>
      </c>
      <c r="P49" t="str">
        <f t="shared" si="5"/>
        <v/>
      </c>
      <c r="Q49" t="str">
        <f t="shared" si="6"/>
        <v/>
      </c>
      <c r="R49" t="str">
        <f t="shared" si="7"/>
        <v/>
      </c>
    </row>
    <row r="50" spans="1:18" x14ac:dyDescent="0.25">
      <c r="A50">
        <f>ROW()</f>
        <v>50</v>
      </c>
      <c r="B50" t="s">
        <v>224</v>
      </c>
      <c r="C50" t="s">
        <v>225</v>
      </c>
      <c r="J50" t="str">
        <f>IF(A50&lt;WORKSHEET!$R$2,WORKSHEET!$C$2,IF(B50="Air Waybill Number",C50,J49))</f>
        <v>774581911125</v>
      </c>
      <c r="K50" t="str">
        <f t="shared" si="0"/>
        <v>870128688</v>
      </c>
      <c r="L50" t="str">
        <f t="shared" si="1"/>
        <v>03 Jan 2024</v>
      </c>
      <c r="M50" t="str">
        <f t="shared" si="2"/>
        <v/>
      </c>
      <c r="N50" t="str">
        <f t="shared" si="3"/>
        <v>12/23/2023</v>
      </c>
      <c r="O50" t="str">
        <f t="shared" si="4"/>
        <v/>
      </c>
      <c r="P50" t="str">
        <f t="shared" si="5"/>
        <v/>
      </c>
      <c r="Q50" t="str">
        <f t="shared" si="6"/>
        <v/>
      </c>
      <c r="R50" t="str">
        <f t="shared" si="7"/>
        <v/>
      </c>
    </row>
    <row r="51" spans="1:18" x14ac:dyDescent="0.25">
      <c r="A51">
        <f>ROW()</f>
        <v>51</v>
      </c>
      <c r="B51" t="s">
        <v>226</v>
      </c>
      <c r="C51" t="s">
        <v>289</v>
      </c>
      <c r="D51" t="s">
        <v>290</v>
      </c>
      <c r="E51" t="s">
        <v>291</v>
      </c>
      <c r="J51" t="str">
        <f>IF(A51&lt;WORKSHEET!$R$2,WORKSHEET!$C$2,IF(B51="Air Waybill Number",C51,J50))</f>
        <v>774581911125</v>
      </c>
      <c r="K51" t="str">
        <f t="shared" si="0"/>
        <v>870128688</v>
      </c>
      <c r="L51" t="str">
        <f t="shared" si="1"/>
        <v>03 Jan 2024</v>
      </c>
      <c r="M51" t="str">
        <f t="shared" si="2"/>
        <v/>
      </c>
      <c r="N51" t="str">
        <f t="shared" si="3"/>
        <v>12/20/2023</v>
      </c>
      <c r="O51" t="str">
        <f t="shared" si="4"/>
        <v>EKA / BAYU</v>
      </c>
      <c r="P51" t="str">
        <f t="shared" si="5"/>
        <v>PT. GISTEX GARMEN INDONESIA</v>
      </c>
      <c r="Q51" t="str">
        <f t="shared" si="6"/>
        <v>OGURA KENJI / HASHIMOTO KIMIE</v>
      </c>
      <c r="R51" t="str">
        <f t="shared" si="7"/>
        <v>MARUBENI FASHION LINK, LTD</v>
      </c>
    </row>
    <row r="52" spans="1:18" x14ac:dyDescent="0.25">
      <c r="A52">
        <f>ROW()</f>
        <v>52</v>
      </c>
      <c r="B52" t="s">
        <v>232</v>
      </c>
      <c r="C52" t="s">
        <v>35</v>
      </c>
      <c r="D52" t="s">
        <v>36</v>
      </c>
      <c r="E52" t="s">
        <v>37</v>
      </c>
      <c r="J52" t="str">
        <f>IF(A52&lt;WORKSHEET!$R$2,WORKSHEET!$C$2,IF(B52="Air Waybill Number",C52,J51))</f>
        <v>774552254122</v>
      </c>
      <c r="K52" t="str">
        <f t="shared" si="0"/>
        <v>870128688</v>
      </c>
      <c r="L52" t="str">
        <f t="shared" si="1"/>
        <v>03 Jan 2024</v>
      </c>
      <c r="M52" t="str">
        <f t="shared" si="2"/>
        <v>774552254122-1</v>
      </c>
      <c r="N52" t="str">
        <f t="shared" si="3"/>
        <v>12/20/2023</v>
      </c>
      <c r="O52" t="str">
        <f t="shared" si="4"/>
        <v/>
      </c>
      <c r="P52" t="str">
        <f t="shared" si="5"/>
        <v/>
      </c>
      <c r="Q52" t="str">
        <f t="shared" si="6"/>
        <v/>
      </c>
      <c r="R52" t="str">
        <f t="shared" si="7"/>
        <v/>
      </c>
    </row>
    <row r="53" spans="1:18" x14ac:dyDescent="0.25">
      <c r="A53">
        <f>ROW()</f>
        <v>53</v>
      </c>
      <c r="B53" t="s">
        <v>233</v>
      </c>
      <c r="C53" t="s">
        <v>292</v>
      </c>
      <c r="D53" t="s">
        <v>38</v>
      </c>
      <c r="E53" t="s">
        <v>39</v>
      </c>
      <c r="J53" t="str">
        <f>IF(A53&lt;WORKSHEET!$R$2,WORKSHEET!$C$2,IF(B53="Air Waybill Number",C53,J52))</f>
        <v>774552254122</v>
      </c>
      <c r="K53" t="str">
        <f t="shared" si="0"/>
        <v>870128688</v>
      </c>
      <c r="L53" t="str">
        <f t="shared" si="1"/>
        <v>03 Jan 2024</v>
      </c>
      <c r="M53" t="str">
        <f t="shared" si="2"/>
        <v/>
      </c>
      <c r="N53" t="str">
        <f t="shared" si="3"/>
        <v>12/20/2023</v>
      </c>
      <c r="O53" t="str">
        <f t="shared" si="4"/>
        <v/>
      </c>
      <c r="P53" t="str">
        <f t="shared" si="5"/>
        <v/>
      </c>
      <c r="Q53" t="str">
        <f t="shared" si="6"/>
        <v/>
      </c>
      <c r="R53" t="str">
        <f t="shared" si="7"/>
        <v/>
      </c>
    </row>
    <row r="54" spans="1:18" x14ac:dyDescent="0.25">
      <c r="A54">
        <f>ROW()</f>
        <v>54</v>
      </c>
      <c r="B54" t="s">
        <v>237</v>
      </c>
      <c r="C54" t="s">
        <v>238</v>
      </c>
      <c r="D54" t="s">
        <v>293</v>
      </c>
      <c r="E54" t="s">
        <v>294</v>
      </c>
      <c r="J54" t="str">
        <f>IF(A54&lt;WORKSHEET!$R$2,WORKSHEET!$C$2,IF(B54="Air Waybill Number",C54,J53))</f>
        <v>774552254122</v>
      </c>
      <c r="K54" t="str">
        <f t="shared" si="0"/>
        <v>870128688</v>
      </c>
      <c r="L54" t="str">
        <f t="shared" si="1"/>
        <v>03 Jan 2024</v>
      </c>
      <c r="M54" t="str">
        <f t="shared" si="2"/>
        <v/>
      </c>
      <c r="N54" t="str">
        <f t="shared" si="3"/>
        <v>12/20/2023</v>
      </c>
      <c r="O54" t="str">
        <f t="shared" si="4"/>
        <v/>
      </c>
      <c r="P54" t="str">
        <f t="shared" si="5"/>
        <v/>
      </c>
      <c r="Q54" t="str">
        <f t="shared" si="6"/>
        <v/>
      </c>
      <c r="R54" t="str">
        <f t="shared" si="7"/>
        <v/>
      </c>
    </row>
    <row r="55" spans="1:18" x14ac:dyDescent="0.25">
      <c r="A55">
        <f>ROW()</f>
        <v>55</v>
      </c>
      <c r="B55" t="s">
        <v>241</v>
      </c>
      <c r="C55" t="s">
        <v>295</v>
      </c>
      <c r="D55" t="s">
        <v>296</v>
      </c>
      <c r="E55" t="s">
        <v>297</v>
      </c>
      <c r="G55" t="s">
        <v>298</v>
      </c>
      <c r="J55" t="str">
        <f>IF(A55&lt;WORKSHEET!$R$2,WORKSHEET!$C$2,IF(B55="Air Waybill Number",C55,J54))</f>
        <v>774552254122</v>
      </c>
      <c r="K55" t="str">
        <f t="shared" si="0"/>
        <v>870128688</v>
      </c>
      <c r="L55" t="str">
        <f t="shared" si="1"/>
        <v>03 Jan 2024</v>
      </c>
      <c r="M55" t="str">
        <f t="shared" si="2"/>
        <v/>
      </c>
      <c r="N55" t="str">
        <f t="shared" si="3"/>
        <v>12/20/2023</v>
      </c>
      <c r="O55" t="str">
        <f t="shared" si="4"/>
        <v/>
      </c>
      <c r="P55" t="str">
        <f t="shared" si="5"/>
        <v/>
      </c>
      <c r="Q55" t="str">
        <f t="shared" si="6"/>
        <v/>
      </c>
      <c r="R55" t="str">
        <f t="shared" si="7"/>
        <v/>
      </c>
    </row>
    <row r="56" spans="1:18" x14ac:dyDescent="0.25">
      <c r="A56">
        <f>ROW()</f>
        <v>56</v>
      </c>
      <c r="B56" t="s">
        <v>286</v>
      </c>
      <c r="C56" t="s">
        <v>299</v>
      </c>
      <c r="D56" t="s">
        <v>300</v>
      </c>
      <c r="J56" t="str">
        <f>IF(A56&lt;WORKSHEET!$R$2,WORKSHEET!$C$2,IF(B56="Air Waybill Number",C56,J55))</f>
        <v>774552254122</v>
      </c>
      <c r="K56" t="str">
        <f t="shared" si="0"/>
        <v>870128688</v>
      </c>
      <c r="L56" t="str">
        <f t="shared" si="1"/>
        <v>03 Jan 2024</v>
      </c>
      <c r="M56" t="str">
        <f t="shared" si="2"/>
        <v/>
      </c>
      <c r="N56" t="str">
        <f t="shared" si="3"/>
        <v>12/20/2023</v>
      </c>
      <c r="O56" t="str">
        <f t="shared" si="4"/>
        <v/>
      </c>
      <c r="P56" t="str">
        <f t="shared" si="5"/>
        <v/>
      </c>
      <c r="Q56" t="str">
        <f t="shared" si="6"/>
        <v/>
      </c>
      <c r="R56" t="str">
        <f t="shared" si="7"/>
        <v/>
      </c>
    </row>
    <row r="57" spans="1:18" x14ac:dyDescent="0.25">
      <c r="A57">
        <f>ROW()</f>
        <v>57</v>
      </c>
      <c r="B57" t="s">
        <v>249</v>
      </c>
      <c r="C57" t="s">
        <v>301</v>
      </c>
      <c r="D57" t="s">
        <v>248</v>
      </c>
      <c r="H57">
        <v>570000</v>
      </c>
      <c r="J57" t="str">
        <f>IF(A57&lt;WORKSHEET!$R$2,WORKSHEET!$C$2,IF(B57="Air Waybill Number",C57,J56))</f>
        <v>774552254122</v>
      </c>
      <c r="K57" t="str">
        <f t="shared" si="0"/>
        <v>870128688</v>
      </c>
      <c r="L57" t="str">
        <f t="shared" si="1"/>
        <v>03 Jan 2024</v>
      </c>
      <c r="M57" t="str">
        <f t="shared" si="2"/>
        <v/>
      </c>
      <c r="N57" t="str">
        <f t="shared" si="3"/>
        <v>12/20/2023</v>
      </c>
      <c r="O57" t="str">
        <f t="shared" si="4"/>
        <v/>
      </c>
      <c r="P57" t="str">
        <f t="shared" si="5"/>
        <v/>
      </c>
      <c r="Q57" t="str">
        <f t="shared" si="6"/>
        <v/>
      </c>
      <c r="R57" t="str">
        <f t="shared" si="7"/>
        <v/>
      </c>
    </row>
    <row r="58" spans="1:18" x14ac:dyDescent="0.25">
      <c r="A58">
        <f>ROW()</f>
        <v>58</v>
      </c>
      <c r="D58" t="s">
        <v>251</v>
      </c>
      <c r="E58" t="s">
        <v>252</v>
      </c>
      <c r="H58">
        <v>-381330</v>
      </c>
      <c r="J58" t="str">
        <f>IF(A58&lt;WORKSHEET!$R$2,WORKSHEET!$C$2,IF(B58="Air Waybill Number",C58,J57))</f>
        <v>774552254122</v>
      </c>
      <c r="K58" t="str">
        <f t="shared" si="0"/>
        <v>870128688</v>
      </c>
      <c r="L58" t="str">
        <f t="shared" si="1"/>
        <v>03 Jan 2024</v>
      </c>
      <c r="M58" t="str">
        <f t="shared" si="2"/>
        <v/>
      </c>
      <c r="N58" t="str">
        <f t="shared" si="3"/>
        <v>12/20/2023</v>
      </c>
      <c r="O58" t="str">
        <f t="shared" si="4"/>
        <v/>
      </c>
      <c r="P58" t="str">
        <f t="shared" si="5"/>
        <v/>
      </c>
      <c r="Q58" t="str">
        <f t="shared" si="6"/>
        <v/>
      </c>
      <c r="R58" t="str">
        <f t="shared" si="7"/>
        <v/>
      </c>
    </row>
    <row r="59" spans="1:18" x14ac:dyDescent="0.25">
      <c r="A59">
        <f>ROW()</f>
        <v>59</v>
      </c>
      <c r="D59" t="s">
        <v>254</v>
      </c>
      <c r="E59" t="s">
        <v>12</v>
      </c>
      <c r="H59">
        <v>55260</v>
      </c>
      <c r="J59" t="str">
        <f>IF(A59&lt;WORKSHEET!$R$2,WORKSHEET!$C$2,IF(B59="Air Waybill Number",C59,J58))</f>
        <v>774552254122</v>
      </c>
      <c r="K59" t="str">
        <f t="shared" si="0"/>
        <v>870128688</v>
      </c>
      <c r="L59" t="str">
        <f t="shared" si="1"/>
        <v>03 Jan 2024</v>
      </c>
      <c r="M59" t="str">
        <f t="shared" si="2"/>
        <v/>
      </c>
      <c r="N59" t="str">
        <f t="shared" si="3"/>
        <v>12/20/2023</v>
      </c>
      <c r="O59" t="str">
        <f t="shared" si="4"/>
        <v/>
      </c>
      <c r="P59" t="str">
        <f t="shared" si="5"/>
        <v/>
      </c>
      <c r="Q59" t="str">
        <f t="shared" si="6"/>
        <v/>
      </c>
      <c r="R59" t="str">
        <f t="shared" si="7"/>
        <v/>
      </c>
    </row>
    <row r="60" spans="1:18" x14ac:dyDescent="0.25">
      <c r="A60">
        <f>ROW()</f>
        <v>60</v>
      </c>
      <c r="D60" t="s">
        <v>254</v>
      </c>
      <c r="E60" t="s">
        <v>260</v>
      </c>
      <c r="H60">
        <v>16000</v>
      </c>
      <c r="J60" t="str">
        <f>IF(A60&lt;WORKSHEET!$R$2,WORKSHEET!$C$2,IF(B60="Air Waybill Number",C60,J59))</f>
        <v>774552254122</v>
      </c>
      <c r="K60" t="str">
        <f t="shared" si="0"/>
        <v>870128688</v>
      </c>
      <c r="L60" t="str">
        <f t="shared" si="1"/>
        <v>03 Jan 2024</v>
      </c>
      <c r="M60" t="str">
        <f t="shared" si="2"/>
        <v/>
      </c>
      <c r="N60" t="str">
        <f t="shared" si="3"/>
        <v>12/20/2023</v>
      </c>
      <c r="O60" t="str">
        <f t="shared" si="4"/>
        <v/>
      </c>
      <c r="P60" t="str">
        <f t="shared" si="5"/>
        <v/>
      </c>
      <c r="Q60" t="str">
        <f t="shared" si="6"/>
        <v/>
      </c>
      <c r="R60" t="str">
        <f t="shared" si="7"/>
        <v/>
      </c>
    </row>
    <row r="61" spans="1:18" x14ac:dyDescent="0.25">
      <c r="A61">
        <f>ROW()</f>
        <v>61</v>
      </c>
      <c r="D61" t="s">
        <v>261</v>
      </c>
      <c r="H61">
        <v>2859</v>
      </c>
      <c r="J61" t="str">
        <f>IF(A61&lt;WORKSHEET!$R$2,WORKSHEET!$C$2,IF(B61="Air Waybill Number",C61,J60))</f>
        <v>774552254122</v>
      </c>
      <c r="K61" t="str">
        <f t="shared" si="0"/>
        <v>870128688</v>
      </c>
      <c r="L61" t="str">
        <f t="shared" si="1"/>
        <v>03 Jan 2024</v>
      </c>
      <c r="M61" t="str">
        <f t="shared" si="2"/>
        <v/>
      </c>
      <c r="N61" t="str">
        <f t="shared" si="3"/>
        <v>12/20/2023</v>
      </c>
      <c r="O61" t="str">
        <f t="shared" si="4"/>
        <v/>
      </c>
      <c r="P61" t="str">
        <f t="shared" si="5"/>
        <v/>
      </c>
      <c r="Q61" t="str">
        <f t="shared" si="6"/>
        <v/>
      </c>
      <c r="R61" t="str">
        <f t="shared" si="7"/>
        <v/>
      </c>
    </row>
    <row r="62" spans="1:18" x14ac:dyDescent="0.25">
      <c r="A62">
        <f>ROW()</f>
        <v>62</v>
      </c>
      <c r="D62" t="s">
        <v>14</v>
      </c>
      <c r="H62">
        <v>262789</v>
      </c>
      <c r="J62" t="str">
        <f>IF(A62&lt;WORKSHEET!$R$2,WORKSHEET!$C$2,IF(B62="Air Waybill Number",C62,J61))</f>
        <v>774552254122</v>
      </c>
      <c r="K62" t="str">
        <f t="shared" si="0"/>
        <v>870128688</v>
      </c>
      <c r="L62" t="str">
        <f t="shared" si="1"/>
        <v>03 Jan 2024</v>
      </c>
      <c r="M62" t="str">
        <f t="shared" si="2"/>
        <v/>
      </c>
      <c r="N62" t="str">
        <f t="shared" si="3"/>
        <v>12/20/2023</v>
      </c>
      <c r="O62" t="str">
        <f t="shared" si="4"/>
        <v/>
      </c>
      <c r="P62" t="str">
        <f t="shared" si="5"/>
        <v/>
      </c>
      <c r="Q62" t="str">
        <f t="shared" si="6"/>
        <v/>
      </c>
      <c r="R62" t="str">
        <f t="shared" si="7"/>
        <v/>
      </c>
    </row>
    <row r="63" spans="1:18" x14ac:dyDescent="0.25">
      <c r="A63">
        <f>ROW()</f>
        <v>63</v>
      </c>
      <c r="D63" t="s">
        <v>302</v>
      </c>
      <c r="J63" t="str">
        <f>IF(A63&lt;WORKSHEET!$R$2,WORKSHEET!$C$2,IF(B63="Air Waybill Number",C63,J62))</f>
        <v>774552254122</v>
      </c>
      <c r="K63" t="str">
        <f t="shared" si="0"/>
        <v>870128688</v>
      </c>
      <c r="L63" t="str">
        <f t="shared" si="1"/>
        <v>03 Jan 2024</v>
      </c>
      <c r="M63" t="str">
        <f t="shared" si="2"/>
        <v/>
      </c>
      <c r="N63" t="str">
        <f t="shared" si="3"/>
        <v>12/20/2023</v>
      </c>
      <c r="O63" t="str">
        <f t="shared" si="4"/>
        <v/>
      </c>
      <c r="P63" t="str">
        <f t="shared" si="5"/>
        <v/>
      </c>
      <c r="Q63" t="str">
        <f t="shared" si="6"/>
        <v/>
      </c>
      <c r="R63" t="str">
        <f t="shared" si="7"/>
        <v/>
      </c>
    </row>
    <row r="64" spans="1:18" x14ac:dyDescent="0.25">
      <c r="A64">
        <f>ROW()</f>
        <v>64</v>
      </c>
      <c r="B64" t="s">
        <v>226</v>
      </c>
      <c r="C64" t="s">
        <v>266</v>
      </c>
      <c r="D64" t="s">
        <v>290</v>
      </c>
      <c r="E64" t="s">
        <v>291</v>
      </c>
      <c r="J64" t="str">
        <f>IF(A64&lt;WORKSHEET!$R$2,WORKSHEET!$C$2,IF(B64="Air Waybill Number",C64,J63))</f>
        <v>774552254122</v>
      </c>
      <c r="K64" t="str">
        <f t="shared" si="0"/>
        <v>870128688</v>
      </c>
      <c r="L64" t="str">
        <f t="shared" si="1"/>
        <v>03 Jan 2024</v>
      </c>
      <c r="M64" t="str">
        <f t="shared" si="2"/>
        <v/>
      </c>
      <c r="N64" t="str">
        <f t="shared" si="3"/>
        <v>12/22/2023</v>
      </c>
      <c r="O64" t="str">
        <f t="shared" si="4"/>
        <v>EKA / BAYU</v>
      </c>
      <c r="P64" t="str">
        <f t="shared" si="5"/>
        <v>GISTEX GARMEN INDONESIA</v>
      </c>
      <c r="Q64" t="str">
        <f t="shared" si="6"/>
        <v>OGURA KENJI / HASHIMOTO KIMIE</v>
      </c>
      <c r="R64" t="str">
        <f t="shared" si="7"/>
        <v>MARUBENI FASHION LINK, LTD</v>
      </c>
    </row>
    <row r="65" spans="1:18" x14ac:dyDescent="0.25">
      <c r="A65">
        <f>ROW()</f>
        <v>65</v>
      </c>
      <c r="B65" t="s">
        <v>232</v>
      </c>
      <c r="C65" t="s">
        <v>40</v>
      </c>
      <c r="D65" t="s">
        <v>36</v>
      </c>
      <c r="E65" t="s">
        <v>37</v>
      </c>
      <c r="J65" t="str">
        <f>IF(A65&lt;WORKSHEET!$R$2,WORKSHEET!$C$2,IF(B65="Air Waybill Number",C65,J64))</f>
        <v>774580602869</v>
      </c>
      <c r="K65" t="str">
        <f t="shared" si="0"/>
        <v>870128688</v>
      </c>
      <c r="L65" t="str">
        <f t="shared" si="1"/>
        <v>03 Jan 2024</v>
      </c>
      <c r="M65" t="str">
        <f t="shared" si="2"/>
        <v>774580602869-1</v>
      </c>
      <c r="N65" t="str">
        <f t="shared" si="3"/>
        <v>12/22/2023</v>
      </c>
      <c r="O65" t="str">
        <f t="shared" si="4"/>
        <v/>
      </c>
      <c r="P65" t="str">
        <f t="shared" si="5"/>
        <v/>
      </c>
      <c r="Q65" t="str">
        <f t="shared" si="6"/>
        <v/>
      </c>
      <c r="R65" t="str">
        <f t="shared" si="7"/>
        <v/>
      </c>
    </row>
    <row r="66" spans="1:18" x14ac:dyDescent="0.25">
      <c r="A66">
        <f>ROW()</f>
        <v>66</v>
      </c>
      <c r="B66" t="s">
        <v>233</v>
      </c>
      <c r="C66" t="s">
        <v>279</v>
      </c>
      <c r="D66" t="s">
        <v>41</v>
      </c>
      <c r="E66" t="s">
        <v>39</v>
      </c>
      <c r="J66" t="str">
        <f>IF(A66&lt;WORKSHEET!$R$2,WORKSHEET!$C$2,IF(B66="Air Waybill Number",C66,J65))</f>
        <v>774580602869</v>
      </c>
      <c r="K66" t="str">
        <f t="shared" ref="K66:K129" si="8">IF(B66="Invoice Number:",C66,K65)</f>
        <v>870128688</v>
      </c>
      <c r="L66" t="str">
        <f t="shared" ref="L66:L129" si="9">IF(B66="Invoice Date:",C66,L65)</f>
        <v>03 Jan 2024</v>
      </c>
      <c r="M66" t="str">
        <f t="shared" ref="M66:M129" si="10">IF(B66="Air Waybill Number",J66&amp;"-1","")</f>
        <v/>
      </c>
      <c r="N66" t="str">
        <f t="shared" ref="N66:N129" si="11">IF(B66="Ship Date",C66,N65)</f>
        <v>12/22/2023</v>
      </c>
      <c r="O66" t="str">
        <f t="shared" ref="O66:O129" si="12">IF(LEFT(D66,6)="Sender",D67,IF(LEFT(E66,6)="Sender",E67,""))</f>
        <v/>
      </c>
      <c r="P66" t="str">
        <f t="shared" ref="P66:P129" si="13">IF(LEFT(D66,6)="Sender",D68,IF(LEFT(E66,6)="Sender",D68,""))</f>
        <v/>
      </c>
      <c r="Q66" t="str">
        <f t="shared" ref="Q66:Q129" si="14">IF(LEFT(E66,9)="Recipient",E67&amp;F67,IF(LEFT(F66,9)="Recipient",F67,IF(LEFT(G66,9)="Recipient",G67,IF(LEFT(H66,9)="Recipient",H67,""))))</f>
        <v/>
      </c>
      <c r="R66" t="str">
        <f t="shared" ref="R66:R129" si="15">IF(LEFT(E66,9)="Recipient",E68&amp;F68,IF(LEFT(F66,9)="Recipient",F68,IF(LEFT(G66,9)="Recipient",G68,IF(LEFT(H66,9)="Recipient",H68,""))))</f>
        <v/>
      </c>
    </row>
    <row r="67" spans="1:18" x14ac:dyDescent="0.25">
      <c r="A67">
        <f>ROW()</f>
        <v>67</v>
      </c>
      <c r="B67" t="s">
        <v>237</v>
      </c>
      <c r="C67" t="s">
        <v>238</v>
      </c>
      <c r="D67" t="s">
        <v>293</v>
      </c>
      <c r="E67" t="s">
        <v>294</v>
      </c>
      <c r="J67" t="str">
        <f>IF(A67&lt;WORKSHEET!$R$2,WORKSHEET!$C$2,IF(B67="Air Waybill Number",C67,J66))</f>
        <v>774580602869</v>
      </c>
      <c r="K67" t="str">
        <f t="shared" si="8"/>
        <v>870128688</v>
      </c>
      <c r="L67" t="str">
        <f t="shared" si="9"/>
        <v>03 Jan 2024</v>
      </c>
      <c r="M67" t="str">
        <f t="shared" si="10"/>
        <v/>
      </c>
      <c r="N67" t="str">
        <f t="shared" si="11"/>
        <v>12/22/2023</v>
      </c>
      <c r="O67" t="str">
        <f t="shared" si="12"/>
        <v/>
      </c>
      <c r="P67" t="str">
        <f t="shared" si="13"/>
        <v/>
      </c>
      <c r="Q67" t="str">
        <f t="shared" si="14"/>
        <v/>
      </c>
      <c r="R67" t="str">
        <f t="shared" si="15"/>
        <v/>
      </c>
    </row>
    <row r="68" spans="1:18" x14ac:dyDescent="0.25">
      <c r="A68">
        <f>ROW()</f>
        <v>68</v>
      </c>
      <c r="B68" t="s">
        <v>241</v>
      </c>
      <c r="C68" t="s">
        <v>303</v>
      </c>
      <c r="D68" t="s">
        <v>296</v>
      </c>
      <c r="E68" t="s">
        <v>297</v>
      </c>
      <c r="G68" t="s">
        <v>298</v>
      </c>
      <c r="J68" t="str">
        <f>IF(A68&lt;WORKSHEET!$R$2,WORKSHEET!$C$2,IF(B68="Air Waybill Number",C68,J67))</f>
        <v>774580602869</v>
      </c>
      <c r="K68" t="str">
        <f t="shared" si="8"/>
        <v>870128688</v>
      </c>
      <c r="L68" t="str">
        <f t="shared" si="9"/>
        <v>03 Jan 2024</v>
      </c>
      <c r="M68" t="str">
        <f t="shared" si="10"/>
        <v/>
      </c>
      <c r="N68" t="str">
        <f t="shared" si="11"/>
        <v>12/22/2023</v>
      </c>
      <c r="O68" t="str">
        <f t="shared" si="12"/>
        <v/>
      </c>
      <c r="P68" t="str">
        <f t="shared" si="13"/>
        <v/>
      </c>
      <c r="Q68" t="str">
        <f t="shared" si="14"/>
        <v/>
      </c>
      <c r="R68" t="str">
        <f t="shared" si="15"/>
        <v/>
      </c>
    </row>
    <row r="69" spans="1:18" x14ac:dyDescent="0.25">
      <c r="A69">
        <f>ROW()</f>
        <v>69</v>
      </c>
      <c r="B69" t="s">
        <v>245</v>
      </c>
      <c r="C69" t="s">
        <v>299</v>
      </c>
      <c r="D69" t="s">
        <v>300</v>
      </c>
      <c r="J69" t="str">
        <f>IF(A69&lt;WORKSHEET!$R$2,WORKSHEET!$C$2,IF(B69="Air Waybill Number",C69,J68))</f>
        <v>774580602869</v>
      </c>
      <c r="K69" t="str">
        <f t="shared" si="8"/>
        <v>870128688</v>
      </c>
      <c r="L69" t="str">
        <f t="shared" si="9"/>
        <v>03 Jan 2024</v>
      </c>
      <c r="M69" t="str">
        <f t="shared" si="10"/>
        <v/>
      </c>
      <c r="N69" t="str">
        <f t="shared" si="11"/>
        <v>12/22/2023</v>
      </c>
      <c r="O69" t="str">
        <f t="shared" si="12"/>
        <v/>
      </c>
      <c r="P69" t="str">
        <f t="shared" si="13"/>
        <v/>
      </c>
      <c r="Q69" t="str">
        <f t="shared" si="14"/>
        <v/>
      </c>
      <c r="R69" t="str">
        <f t="shared" si="15"/>
        <v/>
      </c>
    </row>
    <row r="70" spans="1:18" x14ac:dyDescent="0.25">
      <c r="A70">
        <f>ROW()</f>
        <v>70</v>
      </c>
      <c r="B70" t="s">
        <v>247</v>
      </c>
      <c r="C70" t="s">
        <v>304</v>
      </c>
      <c r="J70" t="str">
        <f>IF(A70&lt;WORKSHEET!$R$2,WORKSHEET!$C$2,IF(B70="Air Waybill Number",C70,J69))</f>
        <v>774580602869</v>
      </c>
      <c r="K70" t="str">
        <f t="shared" si="8"/>
        <v>870128688</v>
      </c>
      <c r="L70" t="str">
        <f t="shared" si="9"/>
        <v>03 Jan 2024</v>
      </c>
      <c r="M70" t="str">
        <f t="shared" si="10"/>
        <v/>
      </c>
      <c r="N70" t="str">
        <f t="shared" si="11"/>
        <v>12/22/2023</v>
      </c>
      <c r="O70" t="str">
        <f t="shared" si="12"/>
        <v/>
      </c>
      <c r="P70" t="str">
        <f t="shared" si="13"/>
        <v/>
      </c>
      <c r="Q70" t="str">
        <f t="shared" si="14"/>
        <v/>
      </c>
      <c r="R70" t="str">
        <f t="shared" si="15"/>
        <v/>
      </c>
    </row>
    <row r="71" spans="1:18" x14ac:dyDescent="0.25">
      <c r="A71">
        <f>ROW()</f>
        <v>71</v>
      </c>
      <c r="B71" t="s">
        <v>249</v>
      </c>
      <c r="C71" t="s">
        <v>305</v>
      </c>
      <c r="D71" t="s">
        <v>248</v>
      </c>
      <c r="H71">
        <v>738000</v>
      </c>
      <c r="J71" t="str">
        <f>IF(A71&lt;WORKSHEET!$R$2,WORKSHEET!$C$2,IF(B71="Air Waybill Number",C71,J70))</f>
        <v>774580602869</v>
      </c>
      <c r="K71" t="str">
        <f t="shared" si="8"/>
        <v>870128688</v>
      </c>
      <c r="L71" t="str">
        <f t="shared" si="9"/>
        <v>03 Jan 2024</v>
      </c>
      <c r="M71" t="str">
        <f t="shared" si="10"/>
        <v/>
      </c>
      <c r="N71" t="str">
        <f t="shared" si="11"/>
        <v>12/22/2023</v>
      </c>
      <c r="O71" t="str">
        <f t="shared" si="12"/>
        <v/>
      </c>
      <c r="P71" t="str">
        <f t="shared" si="13"/>
        <v/>
      </c>
      <c r="Q71" t="str">
        <f t="shared" si="14"/>
        <v/>
      </c>
      <c r="R71" t="str">
        <f t="shared" si="15"/>
        <v/>
      </c>
    </row>
    <row r="72" spans="1:18" x14ac:dyDescent="0.25">
      <c r="A72">
        <f>ROW()</f>
        <v>72</v>
      </c>
      <c r="D72" t="s">
        <v>251</v>
      </c>
      <c r="E72" t="s">
        <v>252</v>
      </c>
      <c r="H72">
        <v>-549293</v>
      </c>
      <c r="J72" t="str">
        <f>IF(A72&lt;WORKSHEET!$R$2,WORKSHEET!$C$2,IF(B72="Air Waybill Number",C72,J71))</f>
        <v>774580602869</v>
      </c>
      <c r="K72" t="str">
        <f t="shared" si="8"/>
        <v>870128688</v>
      </c>
      <c r="L72" t="str">
        <f t="shared" si="9"/>
        <v>03 Jan 2024</v>
      </c>
      <c r="M72" t="str">
        <f t="shared" si="10"/>
        <v/>
      </c>
      <c r="N72" t="str">
        <f t="shared" si="11"/>
        <v>12/22/2023</v>
      </c>
      <c r="O72" t="str">
        <f t="shared" si="12"/>
        <v/>
      </c>
      <c r="P72" t="str">
        <f t="shared" si="13"/>
        <v/>
      </c>
      <c r="Q72" t="str">
        <f t="shared" si="14"/>
        <v/>
      </c>
      <c r="R72" t="str">
        <f t="shared" si="15"/>
        <v/>
      </c>
    </row>
    <row r="73" spans="1:18" x14ac:dyDescent="0.25">
      <c r="A73">
        <f>ROW()</f>
        <v>73</v>
      </c>
      <c r="D73" t="s">
        <v>254</v>
      </c>
      <c r="E73" t="s">
        <v>12</v>
      </c>
      <c r="H73">
        <v>55270</v>
      </c>
      <c r="J73" t="str">
        <f>IF(A73&lt;WORKSHEET!$R$2,WORKSHEET!$C$2,IF(B73="Air Waybill Number",C73,J72))</f>
        <v>774580602869</v>
      </c>
      <c r="K73" t="str">
        <f t="shared" si="8"/>
        <v>870128688</v>
      </c>
      <c r="L73" t="str">
        <f t="shared" si="9"/>
        <v>03 Jan 2024</v>
      </c>
      <c r="M73" t="str">
        <f t="shared" si="10"/>
        <v/>
      </c>
      <c r="N73" t="str">
        <f t="shared" si="11"/>
        <v>12/22/2023</v>
      </c>
      <c r="O73" t="str">
        <f t="shared" si="12"/>
        <v/>
      </c>
      <c r="P73" t="str">
        <f t="shared" si="13"/>
        <v/>
      </c>
      <c r="Q73" t="str">
        <f t="shared" si="14"/>
        <v/>
      </c>
      <c r="R73" t="str">
        <f t="shared" si="15"/>
        <v/>
      </c>
    </row>
    <row r="74" spans="1:18" x14ac:dyDescent="0.25">
      <c r="A74">
        <f>ROW()</f>
        <v>74</v>
      </c>
      <c r="D74" t="s">
        <v>254</v>
      </c>
      <c r="E74" t="s">
        <v>260</v>
      </c>
      <c r="H74">
        <v>16000</v>
      </c>
      <c r="J74" t="str">
        <f>IF(A74&lt;WORKSHEET!$R$2,WORKSHEET!$C$2,IF(B74="Air Waybill Number",C74,J73))</f>
        <v>774580602869</v>
      </c>
      <c r="K74" t="str">
        <f t="shared" si="8"/>
        <v>870128688</v>
      </c>
      <c r="L74" t="str">
        <f t="shared" si="9"/>
        <v>03 Jan 2024</v>
      </c>
      <c r="M74" t="str">
        <f t="shared" si="10"/>
        <v/>
      </c>
      <c r="N74" t="str">
        <f t="shared" si="11"/>
        <v>12/22/2023</v>
      </c>
      <c r="O74" t="str">
        <f t="shared" si="12"/>
        <v/>
      </c>
      <c r="P74" t="str">
        <f t="shared" si="13"/>
        <v/>
      </c>
      <c r="Q74" t="str">
        <f t="shared" si="14"/>
        <v/>
      </c>
      <c r="R74" t="str">
        <f t="shared" si="15"/>
        <v/>
      </c>
    </row>
    <row r="75" spans="1:18" x14ac:dyDescent="0.25">
      <c r="A75">
        <f>ROW()</f>
        <v>75</v>
      </c>
      <c r="D75" t="s">
        <v>261</v>
      </c>
      <c r="H75">
        <v>2859</v>
      </c>
      <c r="J75" t="str">
        <f>IF(A75&lt;WORKSHEET!$R$2,WORKSHEET!$C$2,IF(B75="Air Waybill Number",C75,J74))</f>
        <v>774580602869</v>
      </c>
      <c r="K75" t="str">
        <f t="shared" si="8"/>
        <v>870128688</v>
      </c>
      <c r="L75" t="str">
        <f t="shared" si="9"/>
        <v>03 Jan 2024</v>
      </c>
      <c r="M75" t="str">
        <f t="shared" si="10"/>
        <v/>
      </c>
      <c r="N75" t="str">
        <f t="shared" si="11"/>
        <v>12/22/2023</v>
      </c>
      <c r="O75" t="str">
        <f t="shared" si="12"/>
        <v/>
      </c>
      <c r="P75" t="str">
        <f t="shared" si="13"/>
        <v/>
      </c>
      <c r="Q75" t="str">
        <f t="shared" si="14"/>
        <v/>
      </c>
      <c r="R75" t="str">
        <f t="shared" si="15"/>
        <v/>
      </c>
    </row>
    <row r="76" spans="1:18" x14ac:dyDescent="0.25">
      <c r="A76">
        <f>ROW()</f>
        <v>76</v>
      </c>
      <c r="D76" t="s">
        <v>14</v>
      </c>
      <c r="H76">
        <v>262836</v>
      </c>
      <c r="J76" t="str">
        <f>IF(A76&lt;WORKSHEET!$R$2,WORKSHEET!$C$2,IF(B76="Air Waybill Number",C76,J75))</f>
        <v>774580602869</v>
      </c>
      <c r="K76" t="str">
        <f t="shared" si="8"/>
        <v>870128688</v>
      </c>
      <c r="L76" t="str">
        <f t="shared" si="9"/>
        <v>03 Jan 2024</v>
      </c>
      <c r="M76" t="str">
        <f t="shared" si="10"/>
        <v/>
      </c>
      <c r="N76" t="str">
        <f t="shared" si="11"/>
        <v>12/22/2023</v>
      </c>
      <c r="O76" t="str">
        <f t="shared" si="12"/>
        <v/>
      </c>
      <c r="P76" t="str">
        <f t="shared" si="13"/>
        <v/>
      </c>
      <c r="Q76" t="str">
        <f t="shared" si="14"/>
        <v/>
      </c>
      <c r="R76" t="str">
        <f t="shared" si="15"/>
        <v/>
      </c>
    </row>
    <row r="77" spans="1:18" x14ac:dyDescent="0.25">
      <c r="A77">
        <f>ROW()</f>
        <v>77</v>
      </c>
      <c r="D77" t="s">
        <v>302</v>
      </c>
      <c r="J77" t="str">
        <f>IF(A77&lt;WORKSHEET!$R$2,WORKSHEET!$C$2,IF(B77="Air Waybill Number",C77,J76))</f>
        <v>774580602869</v>
      </c>
      <c r="K77" t="str">
        <f t="shared" si="8"/>
        <v>870128688</v>
      </c>
      <c r="L77" t="str">
        <f t="shared" si="9"/>
        <v>03 Jan 2024</v>
      </c>
      <c r="M77" t="str">
        <f t="shared" si="10"/>
        <v/>
      </c>
      <c r="N77" t="str">
        <f t="shared" si="11"/>
        <v>12/22/2023</v>
      </c>
      <c r="O77" t="str">
        <f t="shared" si="12"/>
        <v/>
      </c>
      <c r="P77" t="str">
        <f t="shared" si="13"/>
        <v/>
      </c>
      <c r="Q77" t="str">
        <f t="shared" si="14"/>
        <v/>
      </c>
      <c r="R77" t="str">
        <f t="shared" si="15"/>
        <v/>
      </c>
    </row>
    <row r="78" spans="1:18" x14ac:dyDescent="0.25">
      <c r="A78">
        <f>ROW()</f>
        <v>78</v>
      </c>
      <c r="B78" t="s">
        <v>226</v>
      </c>
      <c r="C78" t="s">
        <v>266</v>
      </c>
      <c r="D78" t="s">
        <v>290</v>
      </c>
      <c r="E78" t="s">
        <v>306</v>
      </c>
      <c r="J78" t="str">
        <f>IF(A78&lt;WORKSHEET!$R$2,WORKSHEET!$C$2,IF(B78="Air Waybill Number",C78,J77))</f>
        <v>774580602869</v>
      </c>
      <c r="K78" t="str">
        <f t="shared" si="8"/>
        <v>870128688</v>
      </c>
      <c r="L78" t="str">
        <f t="shared" si="9"/>
        <v>03 Jan 2024</v>
      </c>
      <c r="M78" t="str">
        <f t="shared" si="10"/>
        <v/>
      </c>
      <c r="N78" t="str">
        <f t="shared" si="11"/>
        <v>12/22/2023</v>
      </c>
      <c r="O78" t="str">
        <f t="shared" si="12"/>
        <v>MS. MERCY</v>
      </c>
      <c r="P78" t="str">
        <f t="shared" si="13"/>
        <v>GISTEX GARMEN INDONESIA</v>
      </c>
      <c r="Q78" t="str">
        <f t="shared" si="14"/>
        <v>MR SHEN YANG / MS ROSE</v>
      </c>
      <c r="R78" t="str">
        <f t="shared" si="15"/>
        <v>JIANGSU TEXTILE INDUSTRY</v>
      </c>
    </row>
    <row r="79" spans="1:18" x14ac:dyDescent="0.25">
      <c r="A79">
        <f>ROW()</f>
        <v>79</v>
      </c>
      <c r="B79" t="s">
        <v>232</v>
      </c>
      <c r="C79" t="s">
        <v>42</v>
      </c>
      <c r="D79" t="s">
        <v>43</v>
      </c>
      <c r="E79" t="s">
        <v>44</v>
      </c>
      <c r="J79" t="str">
        <f>IF(A79&lt;WORKSHEET!$R$2,WORKSHEET!$C$2,IF(B79="Air Waybill Number",C79,J78))</f>
        <v>774582743257</v>
      </c>
      <c r="K79" t="str">
        <f t="shared" si="8"/>
        <v>870128688</v>
      </c>
      <c r="L79" t="str">
        <f t="shared" si="9"/>
        <v>03 Jan 2024</v>
      </c>
      <c r="M79" t="str">
        <f t="shared" si="10"/>
        <v>774582743257-1</v>
      </c>
      <c r="N79" t="str">
        <f t="shared" si="11"/>
        <v>12/22/2023</v>
      </c>
      <c r="O79" t="str">
        <f t="shared" si="12"/>
        <v/>
      </c>
      <c r="P79" t="str">
        <f t="shared" si="13"/>
        <v/>
      </c>
      <c r="Q79" t="str">
        <f t="shared" si="14"/>
        <v/>
      </c>
      <c r="R79" t="str">
        <f t="shared" si="15"/>
        <v/>
      </c>
    </row>
    <row r="80" spans="1:18" x14ac:dyDescent="0.25">
      <c r="A80">
        <f>ROW()</f>
        <v>80</v>
      </c>
      <c r="B80" t="s">
        <v>233</v>
      </c>
      <c r="C80" t="s">
        <v>292</v>
      </c>
      <c r="D80" t="s">
        <v>41</v>
      </c>
      <c r="E80" t="s">
        <v>45</v>
      </c>
      <c r="J80" t="str">
        <f>IF(A80&lt;WORKSHEET!$R$2,WORKSHEET!$C$2,IF(B80="Air Waybill Number",C80,J79))</f>
        <v>774582743257</v>
      </c>
      <c r="K80" t="str">
        <f t="shared" si="8"/>
        <v>870128688</v>
      </c>
      <c r="L80" t="str">
        <f t="shared" si="9"/>
        <v>03 Jan 2024</v>
      </c>
      <c r="M80" t="str">
        <f t="shared" si="10"/>
        <v/>
      </c>
      <c r="N80" t="str">
        <f t="shared" si="11"/>
        <v>12/22/2023</v>
      </c>
      <c r="O80" t="str">
        <f t="shared" si="12"/>
        <v/>
      </c>
      <c r="P80" t="str">
        <f t="shared" si="13"/>
        <v/>
      </c>
      <c r="Q80" t="str">
        <f t="shared" si="14"/>
        <v/>
      </c>
      <c r="R80" t="str">
        <f t="shared" si="15"/>
        <v/>
      </c>
    </row>
    <row r="81" spans="1:18" x14ac:dyDescent="0.25">
      <c r="A81">
        <f>ROW()</f>
        <v>81</v>
      </c>
      <c r="B81" t="s">
        <v>237</v>
      </c>
      <c r="C81" t="s">
        <v>238</v>
      </c>
      <c r="D81" t="s">
        <v>293</v>
      </c>
      <c r="E81" t="s">
        <v>307</v>
      </c>
      <c r="J81" t="str">
        <f>IF(A81&lt;WORKSHEET!$R$2,WORKSHEET!$C$2,IF(B81="Air Waybill Number",C81,J80))</f>
        <v>774582743257</v>
      </c>
      <c r="K81" t="str">
        <f t="shared" si="8"/>
        <v>870128688</v>
      </c>
      <c r="L81" t="str">
        <f t="shared" si="9"/>
        <v>03 Jan 2024</v>
      </c>
      <c r="M81" t="str">
        <f t="shared" si="10"/>
        <v/>
      </c>
      <c r="N81" t="str">
        <f t="shared" si="11"/>
        <v>12/22/2023</v>
      </c>
      <c r="O81" t="str">
        <f t="shared" si="12"/>
        <v/>
      </c>
      <c r="P81" t="str">
        <f t="shared" si="13"/>
        <v/>
      </c>
      <c r="Q81" t="str">
        <f t="shared" si="14"/>
        <v/>
      </c>
      <c r="R81" t="str">
        <f t="shared" si="15"/>
        <v/>
      </c>
    </row>
    <row r="82" spans="1:18" x14ac:dyDescent="0.25">
      <c r="A82">
        <f>ROW()</f>
        <v>82</v>
      </c>
      <c r="B82" t="s">
        <v>241</v>
      </c>
      <c r="C82" t="s">
        <v>295</v>
      </c>
      <c r="D82" t="s">
        <v>296</v>
      </c>
      <c r="E82" t="s">
        <v>308</v>
      </c>
      <c r="J82" t="str">
        <f>IF(A82&lt;WORKSHEET!$R$2,WORKSHEET!$C$2,IF(B82="Air Waybill Number",C82,J81))</f>
        <v>774582743257</v>
      </c>
      <c r="K82" t="str">
        <f t="shared" si="8"/>
        <v>870128688</v>
      </c>
      <c r="L82" t="str">
        <f t="shared" si="9"/>
        <v>03 Jan 2024</v>
      </c>
      <c r="M82" t="str">
        <f t="shared" si="10"/>
        <v/>
      </c>
      <c r="N82" t="str">
        <f t="shared" si="11"/>
        <v>12/22/2023</v>
      </c>
      <c r="O82" t="str">
        <f t="shared" si="12"/>
        <v/>
      </c>
      <c r="P82" t="str">
        <f t="shared" si="13"/>
        <v/>
      </c>
      <c r="Q82" t="str">
        <f t="shared" si="14"/>
        <v/>
      </c>
      <c r="R82" t="str">
        <f t="shared" si="15"/>
        <v/>
      </c>
    </row>
    <row r="83" spans="1:18" x14ac:dyDescent="0.25">
      <c r="A83">
        <f>ROW()</f>
        <v>83</v>
      </c>
      <c r="B83" t="s">
        <v>286</v>
      </c>
      <c r="C83" t="s">
        <v>299</v>
      </c>
      <c r="D83" t="s">
        <v>300</v>
      </c>
      <c r="E83" t="s">
        <v>309</v>
      </c>
      <c r="F83" t="s">
        <v>310</v>
      </c>
      <c r="J83" t="str">
        <f>IF(A83&lt;WORKSHEET!$R$2,WORKSHEET!$C$2,IF(B83="Air Waybill Number",C83,J82))</f>
        <v>774582743257</v>
      </c>
      <c r="K83" t="str">
        <f t="shared" si="8"/>
        <v>870128688</v>
      </c>
      <c r="L83" t="str">
        <f t="shared" si="9"/>
        <v>03 Jan 2024</v>
      </c>
      <c r="M83" t="str">
        <f t="shared" si="10"/>
        <v/>
      </c>
      <c r="N83" t="str">
        <f t="shared" si="11"/>
        <v>12/22/2023</v>
      </c>
      <c r="O83" t="str">
        <f t="shared" si="12"/>
        <v/>
      </c>
      <c r="P83" t="str">
        <f t="shared" si="13"/>
        <v/>
      </c>
      <c r="Q83" t="str">
        <f t="shared" si="14"/>
        <v/>
      </c>
      <c r="R83" t="str">
        <f t="shared" si="15"/>
        <v/>
      </c>
    </row>
    <row r="84" spans="1:18" x14ac:dyDescent="0.25">
      <c r="A84">
        <f>ROW()</f>
        <v>84</v>
      </c>
      <c r="B84" t="s">
        <v>249</v>
      </c>
      <c r="C84" t="s">
        <v>311</v>
      </c>
      <c r="D84" t="s">
        <v>248</v>
      </c>
      <c r="H84">
        <v>570000</v>
      </c>
      <c r="J84" t="str">
        <f>IF(A84&lt;WORKSHEET!$R$2,WORKSHEET!$C$2,IF(B84="Air Waybill Number",C84,J83))</f>
        <v>774582743257</v>
      </c>
      <c r="K84" t="str">
        <f t="shared" si="8"/>
        <v>870128688</v>
      </c>
      <c r="L84" t="str">
        <f t="shared" si="9"/>
        <v>03 Jan 2024</v>
      </c>
      <c r="M84" t="str">
        <f t="shared" si="10"/>
        <v/>
      </c>
      <c r="N84" t="str">
        <f t="shared" si="11"/>
        <v>12/22/2023</v>
      </c>
      <c r="O84" t="str">
        <f t="shared" si="12"/>
        <v/>
      </c>
      <c r="P84" t="str">
        <f t="shared" si="13"/>
        <v/>
      </c>
      <c r="Q84" t="str">
        <f t="shared" si="14"/>
        <v/>
      </c>
      <c r="R84" t="str">
        <f t="shared" si="15"/>
        <v/>
      </c>
    </row>
    <row r="85" spans="1:18" x14ac:dyDescent="0.25">
      <c r="A85">
        <f>ROW()</f>
        <v>85</v>
      </c>
      <c r="D85" t="s">
        <v>251</v>
      </c>
      <c r="E85" t="s">
        <v>252</v>
      </c>
      <c r="H85">
        <v>-406866</v>
      </c>
      <c r="J85" t="str">
        <f>IF(A85&lt;WORKSHEET!$R$2,WORKSHEET!$C$2,IF(B85="Air Waybill Number",C85,J84))</f>
        <v>774582743257</v>
      </c>
      <c r="K85" t="str">
        <f t="shared" si="8"/>
        <v>870128688</v>
      </c>
      <c r="L85" t="str">
        <f t="shared" si="9"/>
        <v>03 Jan 2024</v>
      </c>
      <c r="M85" t="str">
        <f t="shared" si="10"/>
        <v/>
      </c>
      <c r="N85" t="str">
        <f t="shared" si="11"/>
        <v>12/22/2023</v>
      </c>
      <c r="O85" t="str">
        <f t="shared" si="12"/>
        <v/>
      </c>
      <c r="P85" t="str">
        <f t="shared" si="13"/>
        <v/>
      </c>
      <c r="Q85" t="str">
        <f t="shared" si="14"/>
        <v/>
      </c>
      <c r="R85" t="str">
        <f t="shared" si="15"/>
        <v/>
      </c>
    </row>
    <row r="86" spans="1:18" x14ac:dyDescent="0.25">
      <c r="A86">
        <f>ROW()</f>
        <v>86</v>
      </c>
      <c r="D86" t="s">
        <v>254</v>
      </c>
      <c r="E86" t="s">
        <v>12</v>
      </c>
      <c r="H86">
        <v>48366</v>
      </c>
      <c r="J86" t="str">
        <f>IF(A86&lt;WORKSHEET!$R$2,WORKSHEET!$C$2,IF(B86="Air Waybill Number",C86,J85))</f>
        <v>774582743257</v>
      </c>
      <c r="K86" t="str">
        <f t="shared" si="8"/>
        <v>870128688</v>
      </c>
      <c r="L86" t="str">
        <f t="shared" si="9"/>
        <v>03 Jan 2024</v>
      </c>
      <c r="M86" t="str">
        <f t="shared" si="10"/>
        <v/>
      </c>
      <c r="N86" t="str">
        <f t="shared" si="11"/>
        <v>12/22/2023</v>
      </c>
      <c r="O86" t="str">
        <f t="shared" si="12"/>
        <v/>
      </c>
      <c r="P86" t="str">
        <f t="shared" si="13"/>
        <v/>
      </c>
      <c r="Q86" t="str">
        <f t="shared" si="14"/>
        <v/>
      </c>
      <c r="R86" t="str">
        <f t="shared" si="15"/>
        <v/>
      </c>
    </row>
    <row r="87" spans="1:18" x14ac:dyDescent="0.25">
      <c r="A87">
        <f>ROW()</f>
        <v>87</v>
      </c>
      <c r="D87" t="s">
        <v>254</v>
      </c>
      <c r="E87" t="s">
        <v>260</v>
      </c>
      <c r="H87">
        <v>16000</v>
      </c>
      <c r="J87" t="str">
        <f>IF(A87&lt;WORKSHEET!$R$2,WORKSHEET!$C$2,IF(B87="Air Waybill Number",C87,J86))</f>
        <v>774582743257</v>
      </c>
      <c r="K87" t="str">
        <f t="shared" si="8"/>
        <v>870128688</v>
      </c>
      <c r="L87" t="str">
        <f t="shared" si="9"/>
        <v>03 Jan 2024</v>
      </c>
      <c r="M87" t="str">
        <f t="shared" si="10"/>
        <v/>
      </c>
      <c r="N87" t="str">
        <f t="shared" si="11"/>
        <v>12/22/2023</v>
      </c>
      <c r="O87" t="str">
        <f t="shared" si="12"/>
        <v/>
      </c>
      <c r="P87" t="str">
        <f t="shared" si="13"/>
        <v/>
      </c>
      <c r="Q87" t="str">
        <f t="shared" si="14"/>
        <v/>
      </c>
      <c r="R87" t="str">
        <f t="shared" si="15"/>
        <v/>
      </c>
    </row>
    <row r="88" spans="1:18" x14ac:dyDescent="0.25">
      <c r="A88">
        <f>ROW()</f>
        <v>88</v>
      </c>
      <c r="D88" t="s">
        <v>261</v>
      </c>
      <c r="H88">
        <v>2502</v>
      </c>
      <c r="J88" t="str">
        <f>IF(A88&lt;WORKSHEET!$R$2,WORKSHEET!$C$2,IF(B88="Air Waybill Number",C88,J87))</f>
        <v>774582743257</v>
      </c>
      <c r="K88" t="str">
        <f t="shared" si="8"/>
        <v>870128688</v>
      </c>
      <c r="L88" t="str">
        <f t="shared" si="9"/>
        <v>03 Jan 2024</v>
      </c>
      <c r="M88" t="str">
        <f t="shared" si="10"/>
        <v/>
      </c>
      <c r="N88" t="str">
        <f t="shared" si="11"/>
        <v>12/22/2023</v>
      </c>
      <c r="O88" t="str">
        <f t="shared" si="12"/>
        <v/>
      </c>
      <c r="P88" t="str">
        <f t="shared" si="13"/>
        <v/>
      </c>
      <c r="Q88" t="str">
        <f t="shared" si="14"/>
        <v/>
      </c>
      <c r="R88" t="str">
        <f t="shared" si="15"/>
        <v/>
      </c>
    </row>
    <row r="89" spans="1:18" x14ac:dyDescent="0.25">
      <c r="A89">
        <f>ROW()</f>
        <v>89</v>
      </c>
      <c r="D89" t="s">
        <v>14</v>
      </c>
      <c r="H89">
        <v>230002</v>
      </c>
      <c r="J89" t="str">
        <f>IF(A89&lt;WORKSHEET!$R$2,WORKSHEET!$C$2,IF(B89="Air Waybill Number",C89,J88))</f>
        <v>774582743257</v>
      </c>
      <c r="K89" t="str">
        <f t="shared" si="8"/>
        <v>870128688</v>
      </c>
      <c r="L89" t="str">
        <f t="shared" si="9"/>
        <v>03 Jan 2024</v>
      </c>
      <c r="M89" t="str">
        <f t="shared" si="10"/>
        <v/>
      </c>
      <c r="N89" t="str">
        <f t="shared" si="11"/>
        <v>12/22/2023</v>
      </c>
      <c r="O89" t="str">
        <f t="shared" si="12"/>
        <v/>
      </c>
      <c r="P89" t="str">
        <f t="shared" si="13"/>
        <v/>
      </c>
      <c r="Q89" t="str">
        <f t="shared" si="14"/>
        <v/>
      </c>
      <c r="R89" t="str">
        <f t="shared" si="15"/>
        <v/>
      </c>
    </row>
    <row r="90" spans="1:18" x14ac:dyDescent="0.25">
      <c r="A90">
        <f>ROW()</f>
        <v>90</v>
      </c>
      <c r="D90" t="s">
        <v>302</v>
      </c>
      <c r="J90" t="str">
        <f>IF(A90&lt;WORKSHEET!$R$2,WORKSHEET!$C$2,IF(B90="Air Waybill Number",C90,J89))</f>
        <v>774582743257</v>
      </c>
      <c r="K90" t="str">
        <f t="shared" si="8"/>
        <v>870128688</v>
      </c>
      <c r="L90" t="str">
        <f t="shared" si="9"/>
        <v>03 Jan 2024</v>
      </c>
      <c r="M90" t="str">
        <f t="shared" si="10"/>
        <v/>
      </c>
      <c r="N90" t="str">
        <f t="shared" si="11"/>
        <v>12/22/2023</v>
      </c>
      <c r="O90" t="str">
        <f t="shared" si="12"/>
        <v/>
      </c>
      <c r="P90" t="str">
        <f t="shared" si="13"/>
        <v/>
      </c>
      <c r="Q90" t="str">
        <f t="shared" si="14"/>
        <v/>
      </c>
      <c r="R90" t="str">
        <f t="shared" si="15"/>
        <v/>
      </c>
    </row>
    <row r="91" spans="1:18" x14ac:dyDescent="0.25">
      <c r="A91">
        <f>ROW()</f>
        <v>91</v>
      </c>
      <c r="B91" t="s">
        <v>226</v>
      </c>
      <c r="C91" t="s">
        <v>266</v>
      </c>
      <c r="D91" t="s">
        <v>290</v>
      </c>
      <c r="E91" t="s">
        <v>312</v>
      </c>
      <c r="J91" t="str">
        <f>IF(A91&lt;WORKSHEET!$R$2,WORKSHEET!$C$2,IF(B91="Air Waybill Number",C91,J90))</f>
        <v>774582743257</v>
      </c>
      <c r="K91" t="str">
        <f t="shared" si="8"/>
        <v>870128688</v>
      </c>
      <c r="L91" t="str">
        <f t="shared" si="9"/>
        <v>03 Jan 2024</v>
      </c>
      <c r="M91" t="str">
        <f t="shared" si="10"/>
        <v/>
      </c>
      <c r="N91" t="str">
        <f t="shared" si="11"/>
        <v>12/22/2023</v>
      </c>
      <c r="O91" t="str">
        <f t="shared" si="12"/>
        <v>MS. MERCY</v>
      </c>
      <c r="P91" t="str">
        <f t="shared" si="13"/>
        <v>GISTEX GARMEN INDONESIA</v>
      </c>
      <c r="Q91" t="str">
        <f t="shared" si="14"/>
        <v>SARAH</v>
      </c>
      <c r="R91" t="str">
        <f t="shared" si="15"/>
        <v>NINGBO SOCO TEXTILE STOCK CORP</v>
      </c>
    </row>
    <row r="92" spans="1:18" x14ac:dyDescent="0.25">
      <c r="A92">
        <f>ROW()</f>
        <v>92</v>
      </c>
      <c r="B92" t="s">
        <v>232</v>
      </c>
      <c r="C92" t="s">
        <v>46</v>
      </c>
      <c r="D92" t="s">
        <v>43</v>
      </c>
      <c r="E92" t="s">
        <v>47</v>
      </c>
      <c r="J92" t="str">
        <f>IF(A92&lt;WORKSHEET!$R$2,WORKSHEET!$C$2,IF(B92="Air Waybill Number",C92,J91))</f>
        <v>774582826496</v>
      </c>
      <c r="K92" t="str">
        <f t="shared" si="8"/>
        <v>870128688</v>
      </c>
      <c r="L92" t="str">
        <f t="shared" si="9"/>
        <v>03 Jan 2024</v>
      </c>
      <c r="M92" t="str">
        <f t="shared" si="10"/>
        <v>774582826496-1</v>
      </c>
      <c r="N92" t="str">
        <f t="shared" si="11"/>
        <v>12/22/2023</v>
      </c>
      <c r="O92" t="str">
        <f t="shared" si="12"/>
        <v/>
      </c>
      <c r="P92" t="str">
        <f t="shared" si="13"/>
        <v/>
      </c>
      <c r="Q92" t="str">
        <f t="shared" si="14"/>
        <v/>
      </c>
      <c r="R92" t="str">
        <f t="shared" si="15"/>
        <v/>
      </c>
    </row>
    <row r="93" spans="1:18" x14ac:dyDescent="0.25">
      <c r="A93">
        <f>ROW()</f>
        <v>93</v>
      </c>
      <c r="B93" t="s">
        <v>233</v>
      </c>
      <c r="C93" t="s">
        <v>292</v>
      </c>
      <c r="D93" t="s">
        <v>41</v>
      </c>
      <c r="E93" t="s">
        <v>48</v>
      </c>
      <c r="J93" t="str">
        <f>IF(A93&lt;WORKSHEET!$R$2,WORKSHEET!$C$2,IF(B93="Air Waybill Number",C93,J92))</f>
        <v>774582826496</v>
      </c>
      <c r="K93" t="str">
        <f t="shared" si="8"/>
        <v>870128688</v>
      </c>
      <c r="L93" t="str">
        <f t="shared" si="9"/>
        <v>03 Jan 2024</v>
      </c>
      <c r="M93" t="str">
        <f t="shared" si="10"/>
        <v/>
      </c>
      <c r="N93" t="str">
        <f t="shared" si="11"/>
        <v>12/22/2023</v>
      </c>
      <c r="O93" t="str">
        <f t="shared" si="12"/>
        <v/>
      </c>
      <c r="P93" t="str">
        <f t="shared" si="13"/>
        <v/>
      </c>
      <c r="Q93" t="str">
        <f t="shared" si="14"/>
        <v/>
      </c>
      <c r="R93" t="str">
        <f t="shared" si="15"/>
        <v/>
      </c>
    </row>
    <row r="94" spans="1:18" x14ac:dyDescent="0.25">
      <c r="A94">
        <f>ROW()</f>
        <v>94</v>
      </c>
      <c r="B94" t="s">
        <v>237</v>
      </c>
      <c r="C94" t="s">
        <v>238</v>
      </c>
      <c r="D94" t="s">
        <v>293</v>
      </c>
      <c r="E94" t="s">
        <v>313</v>
      </c>
      <c r="J94" t="str">
        <f>IF(A94&lt;WORKSHEET!$R$2,WORKSHEET!$C$2,IF(B94="Air Waybill Number",C94,J93))</f>
        <v>774582826496</v>
      </c>
      <c r="K94" t="str">
        <f t="shared" si="8"/>
        <v>870128688</v>
      </c>
      <c r="L94" t="str">
        <f t="shared" si="9"/>
        <v>03 Jan 2024</v>
      </c>
      <c r="M94" t="str">
        <f t="shared" si="10"/>
        <v/>
      </c>
      <c r="N94" t="str">
        <f t="shared" si="11"/>
        <v>12/22/2023</v>
      </c>
      <c r="O94" t="str">
        <f t="shared" si="12"/>
        <v/>
      </c>
      <c r="P94" t="str">
        <f t="shared" si="13"/>
        <v/>
      </c>
      <c r="Q94" t="str">
        <f t="shared" si="14"/>
        <v/>
      </c>
      <c r="R94" t="str">
        <f t="shared" si="15"/>
        <v/>
      </c>
    </row>
    <row r="95" spans="1:18" x14ac:dyDescent="0.25">
      <c r="A95">
        <f>ROW()</f>
        <v>95</v>
      </c>
      <c r="B95" t="s">
        <v>241</v>
      </c>
      <c r="C95" t="s">
        <v>295</v>
      </c>
      <c r="D95" t="s">
        <v>296</v>
      </c>
      <c r="E95" t="s">
        <v>314</v>
      </c>
      <c r="J95" t="str">
        <f>IF(A95&lt;WORKSHEET!$R$2,WORKSHEET!$C$2,IF(B95="Air Waybill Number",C95,J94))</f>
        <v>774582826496</v>
      </c>
      <c r="K95" t="str">
        <f t="shared" si="8"/>
        <v>870128688</v>
      </c>
      <c r="L95" t="str">
        <f t="shared" si="9"/>
        <v>03 Jan 2024</v>
      </c>
      <c r="M95" t="str">
        <f t="shared" si="10"/>
        <v/>
      </c>
      <c r="N95" t="str">
        <f t="shared" si="11"/>
        <v>12/22/2023</v>
      </c>
      <c r="O95" t="str">
        <f t="shared" si="12"/>
        <v/>
      </c>
      <c r="P95" t="str">
        <f t="shared" si="13"/>
        <v/>
      </c>
      <c r="Q95" t="str">
        <f t="shared" si="14"/>
        <v/>
      </c>
      <c r="R95" t="str">
        <f t="shared" si="15"/>
        <v/>
      </c>
    </row>
    <row r="96" spans="1:18" x14ac:dyDescent="0.25">
      <c r="A96">
        <f>ROW()</f>
        <v>96</v>
      </c>
      <c r="B96" t="s">
        <v>286</v>
      </c>
      <c r="C96" t="s">
        <v>299</v>
      </c>
      <c r="D96" t="s">
        <v>300</v>
      </c>
      <c r="E96" t="s">
        <v>282</v>
      </c>
      <c r="F96" t="s">
        <v>315</v>
      </c>
      <c r="J96" t="str">
        <f>IF(A96&lt;WORKSHEET!$R$2,WORKSHEET!$C$2,IF(B96="Air Waybill Number",C96,J95))</f>
        <v>774582826496</v>
      </c>
      <c r="K96" t="str">
        <f t="shared" si="8"/>
        <v>870128688</v>
      </c>
      <c r="L96" t="str">
        <f t="shared" si="9"/>
        <v>03 Jan 2024</v>
      </c>
      <c r="M96" t="str">
        <f t="shared" si="10"/>
        <v/>
      </c>
      <c r="N96" t="str">
        <f t="shared" si="11"/>
        <v>12/22/2023</v>
      </c>
      <c r="O96" t="str">
        <f t="shared" si="12"/>
        <v/>
      </c>
      <c r="P96" t="str">
        <f t="shared" si="13"/>
        <v/>
      </c>
      <c r="Q96" t="str">
        <f t="shared" si="14"/>
        <v/>
      </c>
      <c r="R96" t="str">
        <f t="shared" si="15"/>
        <v/>
      </c>
    </row>
    <row r="97" spans="1:18" x14ac:dyDescent="0.25">
      <c r="A97">
        <f>ROW()</f>
        <v>97</v>
      </c>
      <c r="B97" t="s">
        <v>249</v>
      </c>
      <c r="C97" t="s">
        <v>316</v>
      </c>
      <c r="D97" t="s">
        <v>248</v>
      </c>
      <c r="H97">
        <v>570000</v>
      </c>
      <c r="J97" t="str">
        <f>IF(A97&lt;WORKSHEET!$R$2,WORKSHEET!$C$2,IF(B97="Air Waybill Number",C97,J96))</f>
        <v>774582826496</v>
      </c>
      <c r="K97" t="str">
        <f t="shared" si="8"/>
        <v>870128688</v>
      </c>
      <c r="L97" t="str">
        <f t="shared" si="9"/>
        <v>03 Jan 2024</v>
      </c>
      <c r="M97" t="str">
        <f t="shared" si="10"/>
        <v/>
      </c>
      <c r="N97" t="str">
        <f t="shared" si="11"/>
        <v>12/22/2023</v>
      </c>
      <c r="O97" t="str">
        <f t="shared" si="12"/>
        <v/>
      </c>
      <c r="P97" t="str">
        <f t="shared" si="13"/>
        <v/>
      </c>
      <c r="Q97" t="str">
        <f t="shared" si="14"/>
        <v/>
      </c>
      <c r="R97" t="str">
        <f t="shared" si="15"/>
        <v/>
      </c>
    </row>
    <row r="98" spans="1:18" x14ac:dyDescent="0.25">
      <c r="A98">
        <f>ROW()</f>
        <v>98</v>
      </c>
      <c r="C98" t="s">
        <v>317</v>
      </c>
      <c r="D98" t="s">
        <v>251</v>
      </c>
      <c r="E98" t="s">
        <v>252</v>
      </c>
      <c r="H98">
        <v>-406866</v>
      </c>
      <c r="J98" t="str">
        <f>IF(A98&lt;WORKSHEET!$R$2,WORKSHEET!$C$2,IF(B98="Air Waybill Number",C98,J97))</f>
        <v>774582826496</v>
      </c>
      <c r="K98" t="str">
        <f t="shared" si="8"/>
        <v>870128688</v>
      </c>
      <c r="L98" t="str">
        <f t="shared" si="9"/>
        <v>03 Jan 2024</v>
      </c>
      <c r="M98" t="str">
        <f t="shared" si="10"/>
        <v/>
      </c>
      <c r="N98" t="str">
        <f t="shared" si="11"/>
        <v>12/22/2023</v>
      </c>
      <c r="O98" t="str">
        <f t="shared" si="12"/>
        <v/>
      </c>
      <c r="P98" t="str">
        <f t="shared" si="13"/>
        <v/>
      </c>
      <c r="Q98" t="str">
        <f t="shared" si="14"/>
        <v/>
      </c>
      <c r="R98" t="str">
        <f t="shared" si="15"/>
        <v/>
      </c>
    </row>
    <row r="99" spans="1:18" x14ac:dyDescent="0.25">
      <c r="A99">
        <f>ROW()</f>
        <v>99</v>
      </c>
      <c r="D99" t="s">
        <v>254</v>
      </c>
      <c r="E99" t="s">
        <v>12</v>
      </c>
      <c r="H99">
        <v>48366</v>
      </c>
      <c r="J99" t="str">
        <f>IF(A99&lt;WORKSHEET!$R$2,WORKSHEET!$C$2,IF(B99="Air Waybill Number",C99,J98))</f>
        <v>774582826496</v>
      </c>
      <c r="K99" t="str">
        <f t="shared" si="8"/>
        <v>870128688</v>
      </c>
      <c r="L99" t="str">
        <f t="shared" si="9"/>
        <v>03 Jan 2024</v>
      </c>
      <c r="M99" t="str">
        <f t="shared" si="10"/>
        <v/>
      </c>
      <c r="N99" t="str">
        <f t="shared" si="11"/>
        <v>12/22/2023</v>
      </c>
      <c r="O99" t="str">
        <f t="shared" si="12"/>
        <v/>
      </c>
      <c r="P99" t="str">
        <f t="shared" si="13"/>
        <v/>
      </c>
      <c r="Q99" t="str">
        <f t="shared" si="14"/>
        <v/>
      </c>
      <c r="R99" t="str">
        <f t="shared" si="15"/>
        <v/>
      </c>
    </row>
    <row r="100" spans="1:18" x14ac:dyDescent="0.25">
      <c r="A100">
        <f>ROW()</f>
        <v>100</v>
      </c>
      <c r="D100" t="s">
        <v>254</v>
      </c>
      <c r="E100" t="s">
        <v>260</v>
      </c>
      <c r="H100">
        <v>16000</v>
      </c>
      <c r="J100" t="str">
        <f>IF(A100&lt;WORKSHEET!$R$2,WORKSHEET!$C$2,IF(B100="Air Waybill Number",C100,J99))</f>
        <v>774582826496</v>
      </c>
      <c r="K100" t="str">
        <f t="shared" si="8"/>
        <v>870128688</v>
      </c>
      <c r="L100" t="str">
        <f t="shared" si="9"/>
        <v>03 Jan 2024</v>
      </c>
      <c r="M100" t="str">
        <f t="shared" si="10"/>
        <v/>
      </c>
      <c r="N100" t="str">
        <f t="shared" si="11"/>
        <v>12/22/2023</v>
      </c>
      <c r="O100" t="str">
        <f t="shared" si="12"/>
        <v/>
      </c>
      <c r="P100" t="str">
        <f t="shared" si="13"/>
        <v/>
      </c>
      <c r="Q100" t="str">
        <f t="shared" si="14"/>
        <v/>
      </c>
      <c r="R100" t="str">
        <f t="shared" si="15"/>
        <v/>
      </c>
    </row>
    <row r="101" spans="1:18" x14ac:dyDescent="0.25">
      <c r="A101">
        <f>ROW()</f>
        <v>101</v>
      </c>
      <c r="D101" t="s">
        <v>261</v>
      </c>
      <c r="H101">
        <v>2502</v>
      </c>
      <c r="J101" t="str">
        <f>IF(A101&lt;WORKSHEET!$R$2,WORKSHEET!$C$2,IF(B101="Air Waybill Number",C101,J100))</f>
        <v>774582826496</v>
      </c>
      <c r="K101" t="str">
        <f t="shared" si="8"/>
        <v>870128688</v>
      </c>
      <c r="L101" t="str">
        <f t="shared" si="9"/>
        <v>03 Jan 2024</v>
      </c>
      <c r="M101" t="str">
        <f t="shared" si="10"/>
        <v/>
      </c>
      <c r="N101" t="str">
        <f t="shared" si="11"/>
        <v>12/22/2023</v>
      </c>
      <c r="O101" t="str">
        <f t="shared" si="12"/>
        <v/>
      </c>
      <c r="P101" t="str">
        <f t="shared" si="13"/>
        <v/>
      </c>
      <c r="Q101" t="str">
        <f t="shared" si="14"/>
        <v/>
      </c>
      <c r="R101" t="str">
        <f t="shared" si="15"/>
        <v/>
      </c>
    </row>
    <row r="102" spans="1:18" x14ac:dyDescent="0.25">
      <c r="A102">
        <f>ROW()</f>
        <v>102</v>
      </c>
      <c r="D102" t="s">
        <v>14</v>
      </c>
      <c r="H102">
        <v>230002</v>
      </c>
      <c r="J102" t="str">
        <f>IF(A102&lt;WORKSHEET!$R$2,WORKSHEET!$C$2,IF(B102="Air Waybill Number",C102,J101))</f>
        <v>774582826496</v>
      </c>
      <c r="K102" t="str">
        <f t="shared" si="8"/>
        <v>870128688</v>
      </c>
      <c r="L102" t="str">
        <f t="shared" si="9"/>
        <v>03 Jan 2024</v>
      </c>
      <c r="M102" t="str">
        <f t="shared" si="10"/>
        <v/>
      </c>
      <c r="N102" t="str">
        <f t="shared" si="11"/>
        <v>12/22/2023</v>
      </c>
      <c r="O102" t="str">
        <f t="shared" si="12"/>
        <v/>
      </c>
      <c r="P102" t="str">
        <f t="shared" si="13"/>
        <v/>
      </c>
      <c r="Q102" t="str">
        <f t="shared" si="14"/>
        <v/>
      </c>
      <c r="R102" t="str">
        <f t="shared" si="15"/>
        <v/>
      </c>
    </row>
    <row r="103" spans="1:18" x14ac:dyDescent="0.25">
      <c r="A103">
        <f>ROW()</f>
        <v>103</v>
      </c>
      <c r="B103" t="s">
        <v>221</v>
      </c>
      <c r="C103" t="s">
        <v>49</v>
      </c>
      <c r="J103" t="str">
        <f>IF(A103&lt;WORKSHEET!$R$2,WORKSHEET!$C$2,IF(B103="Air Waybill Number",C103,J102))</f>
        <v>774582826496</v>
      </c>
      <c r="K103" t="str">
        <f t="shared" si="8"/>
        <v>870138342</v>
      </c>
      <c r="L103" t="str">
        <f t="shared" si="9"/>
        <v>03 Jan 2024</v>
      </c>
      <c r="M103" t="str">
        <f t="shared" si="10"/>
        <v/>
      </c>
      <c r="N103" t="str">
        <f t="shared" si="11"/>
        <v>12/22/2023</v>
      </c>
      <c r="O103" t="str">
        <f t="shared" si="12"/>
        <v/>
      </c>
      <c r="P103" t="str">
        <f t="shared" si="13"/>
        <v/>
      </c>
      <c r="Q103" t="str">
        <f t="shared" si="14"/>
        <v/>
      </c>
      <c r="R103" t="str">
        <f t="shared" si="15"/>
        <v/>
      </c>
    </row>
    <row r="104" spans="1:18" x14ac:dyDescent="0.25">
      <c r="A104">
        <f>ROW()</f>
        <v>104</v>
      </c>
      <c r="B104" t="s">
        <v>222</v>
      </c>
      <c r="C104" t="s">
        <v>318</v>
      </c>
      <c r="J104" t="str">
        <f>IF(A104&lt;WORKSHEET!$R$2,WORKSHEET!$C$2,IF(B104="Air Waybill Number",C104,J103))</f>
        <v>774582826496</v>
      </c>
      <c r="K104" t="str">
        <f t="shared" si="8"/>
        <v>870138342</v>
      </c>
      <c r="L104" t="str">
        <f t="shared" si="9"/>
        <v>05 Jan 2024</v>
      </c>
      <c r="M104" t="str">
        <f t="shared" si="10"/>
        <v/>
      </c>
      <c r="N104" t="str">
        <f t="shared" si="11"/>
        <v>12/22/2023</v>
      </c>
      <c r="O104" t="str">
        <f t="shared" si="12"/>
        <v/>
      </c>
      <c r="P104" t="str">
        <f t="shared" si="13"/>
        <v/>
      </c>
      <c r="Q104" t="str">
        <f t="shared" si="14"/>
        <v/>
      </c>
      <c r="R104" t="str">
        <f t="shared" si="15"/>
        <v/>
      </c>
    </row>
    <row r="105" spans="1:18" x14ac:dyDescent="0.25">
      <c r="A105">
        <f>ROW()</f>
        <v>105</v>
      </c>
      <c r="B105" t="s">
        <v>224</v>
      </c>
      <c r="C105" t="s">
        <v>225</v>
      </c>
      <c r="J105" t="str">
        <f>IF(A105&lt;WORKSHEET!$R$2,WORKSHEET!$C$2,IF(B105="Air Waybill Number",C105,J104))</f>
        <v>774582826496</v>
      </c>
      <c r="K105" t="str">
        <f t="shared" si="8"/>
        <v>870138342</v>
      </c>
      <c r="L105" t="str">
        <f t="shared" si="9"/>
        <v>05 Jan 2024</v>
      </c>
      <c r="M105" t="str">
        <f t="shared" si="10"/>
        <v/>
      </c>
      <c r="N105" t="str">
        <f t="shared" si="11"/>
        <v>12/22/2023</v>
      </c>
      <c r="O105" t="str">
        <f t="shared" si="12"/>
        <v/>
      </c>
      <c r="P105" t="str">
        <f t="shared" si="13"/>
        <v/>
      </c>
      <c r="Q105" t="str">
        <f t="shared" si="14"/>
        <v/>
      </c>
      <c r="R105" t="str">
        <f t="shared" si="15"/>
        <v/>
      </c>
    </row>
    <row r="106" spans="1:18" x14ac:dyDescent="0.25">
      <c r="A106">
        <f>ROW()</f>
        <v>106</v>
      </c>
      <c r="B106" t="s">
        <v>226</v>
      </c>
      <c r="C106" t="s">
        <v>319</v>
      </c>
      <c r="D106" t="s">
        <v>290</v>
      </c>
      <c r="E106" t="s">
        <v>291</v>
      </c>
      <c r="J106" t="str">
        <f>IF(A106&lt;WORKSHEET!$R$2,WORKSHEET!$C$2,IF(B106="Air Waybill Number",C106,J105))</f>
        <v>774582826496</v>
      </c>
      <c r="K106" t="str">
        <f t="shared" si="8"/>
        <v>870138342</v>
      </c>
      <c r="L106" t="str">
        <f t="shared" si="9"/>
        <v>05 Jan 2024</v>
      </c>
      <c r="M106" t="str">
        <f t="shared" si="10"/>
        <v/>
      </c>
      <c r="N106" t="str">
        <f t="shared" si="11"/>
        <v>12/29/2023</v>
      </c>
      <c r="O106" t="str">
        <f t="shared" si="12"/>
        <v>EKA / BAYU</v>
      </c>
      <c r="P106" t="str">
        <f t="shared" si="13"/>
        <v>GISTEX GARMEN INDONESIA</v>
      </c>
      <c r="Q106" t="str">
        <f t="shared" si="14"/>
        <v>OGURA KENJI / HASHIMOTO KIMIE</v>
      </c>
      <c r="R106" t="str">
        <f t="shared" si="15"/>
        <v>MARUBENI FASHION LINK, LTD</v>
      </c>
    </row>
    <row r="107" spans="1:18" x14ac:dyDescent="0.25">
      <c r="A107">
        <f>ROW()</f>
        <v>107</v>
      </c>
      <c r="B107" t="s">
        <v>320</v>
      </c>
      <c r="C107" t="s">
        <v>321</v>
      </c>
      <c r="D107" t="s">
        <v>36</v>
      </c>
      <c r="E107" t="s">
        <v>37</v>
      </c>
      <c r="J107" t="str">
        <f>IF(A107&lt;WORKSHEET!$R$2,WORKSHEET!$C$2,IF(B107="Air Waybill Number",C107,J106))</f>
        <v>774582826496</v>
      </c>
      <c r="K107" t="str">
        <f t="shared" si="8"/>
        <v>870138342</v>
      </c>
      <c r="L107" t="str">
        <f t="shared" si="9"/>
        <v>05 Jan 2024</v>
      </c>
      <c r="M107" t="str">
        <f t="shared" si="10"/>
        <v/>
      </c>
      <c r="N107" t="str">
        <f t="shared" si="11"/>
        <v>12/29/2023</v>
      </c>
      <c r="O107" t="str">
        <f t="shared" si="12"/>
        <v/>
      </c>
      <c r="P107" t="str">
        <f t="shared" si="13"/>
        <v/>
      </c>
      <c r="Q107" t="str">
        <f t="shared" si="14"/>
        <v/>
      </c>
      <c r="R107" t="str">
        <f t="shared" si="15"/>
        <v/>
      </c>
    </row>
    <row r="108" spans="1:18" x14ac:dyDescent="0.25">
      <c r="A108">
        <f>ROW()</f>
        <v>108</v>
      </c>
      <c r="B108" t="s">
        <v>232</v>
      </c>
      <c r="C108" t="s">
        <v>50</v>
      </c>
      <c r="D108" t="s">
        <v>41</v>
      </c>
      <c r="E108" t="s">
        <v>39</v>
      </c>
      <c r="J108" t="str">
        <f>IF(A108&lt;WORKSHEET!$R$2,WORKSHEET!$C$2,IF(B108="Air Waybill Number",C108,J107))</f>
        <v>774632987514</v>
      </c>
      <c r="K108" t="str">
        <f t="shared" si="8"/>
        <v>870138342</v>
      </c>
      <c r="L108" t="str">
        <f t="shared" si="9"/>
        <v>05 Jan 2024</v>
      </c>
      <c r="M108" t="str">
        <f t="shared" si="10"/>
        <v>774632987514-1</v>
      </c>
      <c r="N108" t="str">
        <f t="shared" si="11"/>
        <v>12/29/2023</v>
      </c>
      <c r="O108" t="str">
        <f t="shared" si="12"/>
        <v/>
      </c>
      <c r="P108" t="str">
        <f t="shared" si="13"/>
        <v/>
      </c>
      <c r="Q108" t="str">
        <f t="shared" si="14"/>
        <v/>
      </c>
      <c r="R108" t="str">
        <f t="shared" si="15"/>
        <v/>
      </c>
    </row>
    <row r="109" spans="1:18" x14ac:dyDescent="0.25">
      <c r="A109">
        <f>ROW()</f>
        <v>109</v>
      </c>
      <c r="B109" t="s">
        <v>233</v>
      </c>
      <c r="C109" t="s">
        <v>322</v>
      </c>
      <c r="D109" t="s">
        <v>293</v>
      </c>
      <c r="E109" t="s">
        <v>294</v>
      </c>
      <c r="J109" t="str">
        <f>IF(A109&lt;WORKSHEET!$R$2,WORKSHEET!$C$2,IF(B109="Air Waybill Number",C109,J108))</f>
        <v>774632987514</v>
      </c>
      <c r="K109" t="str">
        <f t="shared" si="8"/>
        <v>870138342</v>
      </c>
      <c r="L109" t="str">
        <f t="shared" si="9"/>
        <v>05 Jan 2024</v>
      </c>
      <c r="M109" t="str">
        <f t="shared" si="10"/>
        <v/>
      </c>
      <c r="N109" t="str">
        <f t="shared" si="11"/>
        <v>12/29/2023</v>
      </c>
      <c r="O109" t="str">
        <f t="shared" si="12"/>
        <v/>
      </c>
      <c r="P109" t="str">
        <f t="shared" si="13"/>
        <v/>
      </c>
      <c r="Q109" t="str">
        <f t="shared" si="14"/>
        <v/>
      </c>
      <c r="R109" t="str">
        <f t="shared" si="15"/>
        <v/>
      </c>
    </row>
    <row r="110" spans="1:18" x14ac:dyDescent="0.25">
      <c r="A110">
        <f>ROW()</f>
        <v>110</v>
      </c>
      <c r="B110" t="s">
        <v>237</v>
      </c>
      <c r="C110" t="s">
        <v>238</v>
      </c>
      <c r="D110" t="s">
        <v>296</v>
      </c>
      <c r="E110" t="s">
        <v>297</v>
      </c>
      <c r="F110" t="s">
        <v>298</v>
      </c>
      <c r="J110" t="str">
        <f>IF(A110&lt;WORKSHEET!$R$2,WORKSHEET!$C$2,IF(B110="Air Waybill Number",C110,J109))</f>
        <v>774632987514</v>
      </c>
      <c r="K110" t="str">
        <f t="shared" si="8"/>
        <v>870138342</v>
      </c>
      <c r="L110" t="str">
        <f t="shared" si="9"/>
        <v>05 Jan 2024</v>
      </c>
      <c r="M110" t="str">
        <f t="shared" si="10"/>
        <v/>
      </c>
      <c r="N110" t="str">
        <f t="shared" si="11"/>
        <v>12/29/2023</v>
      </c>
      <c r="O110" t="str">
        <f t="shared" si="12"/>
        <v/>
      </c>
      <c r="P110" t="str">
        <f t="shared" si="13"/>
        <v/>
      </c>
      <c r="Q110" t="str">
        <f t="shared" si="14"/>
        <v/>
      </c>
      <c r="R110" t="str">
        <f t="shared" si="15"/>
        <v/>
      </c>
    </row>
    <row r="111" spans="1:18" x14ac:dyDescent="0.25">
      <c r="A111">
        <f>ROW()</f>
        <v>111</v>
      </c>
      <c r="B111" t="s">
        <v>241</v>
      </c>
      <c r="C111" t="s">
        <v>323</v>
      </c>
      <c r="D111" t="s">
        <v>300</v>
      </c>
      <c r="J111" t="str">
        <f>IF(A111&lt;WORKSHEET!$R$2,WORKSHEET!$C$2,IF(B111="Air Waybill Number",C111,J110))</f>
        <v>774632987514</v>
      </c>
      <c r="K111" t="str">
        <f t="shared" si="8"/>
        <v>870138342</v>
      </c>
      <c r="L111" t="str">
        <f t="shared" si="9"/>
        <v>05 Jan 2024</v>
      </c>
      <c r="M111" t="str">
        <f t="shared" si="10"/>
        <v/>
      </c>
      <c r="N111" t="str">
        <f t="shared" si="11"/>
        <v>12/29/2023</v>
      </c>
      <c r="O111" t="str">
        <f t="shared" si="12"/>
        <v/>
      </c>
      <c r="P111" t="str">
        <f t="shared" si="13"/>
        <v/>
      </c>
      <c r="Q111" t="str">
        <f t="shared" si="14"/>
        <v/>
      </c>
      <c r="R111" t="str">
        <f t="shared" si="15"/>
        <v/>
      </c>
    </row>
    <row r="112" spans="1:18" x14ac:dyDescent="0.25">
      <c r="A112">
        <f>ROW()</f>
        <v>112</v>
      </c>
      <c r="B112" t="s">
        <v>245</v>
      </c>
      <c r="C112" t="s">
        <v>299</v>
      </c>
      <c r="J112" t="str">
        <f>IF(A112&lt;WORKSHEET!$R$2,WORKSHEET!$C$2,IF(B112="Air Waybill Number",C112,J111))</f>
        <v>774632987514</v>
      </c>
      <c r="K112" t="str">
        <f t="shared" si="8"/>
        <v>870138342</v>
      </c>
      <c r="L112" t="str">
        <f t="shared" si="9"/>
        <v>05 Jan 2024</v>
      </c>
      <c r="M112" t="str">
        <f t="shared" si="10"/>
        <v/>
      </c>
      <c r="N112" t="str">
        <f t="shared" si="11"/>
        <v>12/29/2023</v>
      </c>
      <c r="O112" t="str">
        <f t="shared" si="12"/>
        <v/>
      </c>
      <c r="P112" t="str">
        <f t="shared" si="13"/>
        <v/>
      </c>
      <c r="Q112" t="str">
        <f t="shared" si="14"/>
        <v/>
      </c>
      <c r="R112" t="str">
        <f t="shared" si="15"/>
        <v/>
      </c>
    </row>
    <row r="113" spans="1:18" x14ac:dyDescent="0.25">
      <c r="A113">
        <f>ROW()</f>
        <v>113</v>
      </c>
      <c r="B113" t="s">
        <v>247</v>
      </c>
      <c r="C113" t="s">
        <v>324</v>
      </c>
      <c r="D113" t="s">
        <v>254</v>
      </c>
      <c r="E113" t="s">
        <v>325</v>
      </c>
      <c r="F113" t="s">
        <v>326</v>
      </c>
      <c r="J113" t="str">
        <f>IF(A113&lt;WORKSHEET!$R$2,WORKSHEET!$C$2,IF(B113="Air Waybill Number",C113,J112))</f>
        <v>774632987514</v>
      </c>
      <c r="K113" t="str">
        <f t="shared" si="8"/>
        <v>870138342</v>
      </c>
      <c r="L113" t="str">
        <f t="shared" si="9"/>
        <v>05 Jan 2024</v>
      </c>
      <c r="M113" t="str">
        <f t="shared" si="10"/>
        <v/>
      </c>
      <c r="N113" t="str">
        <f t="shared" si="11"/>
        <v>12/29/2023</v>
      </c>
      <c r="O113" t="str">
        <f t="shared" si="12"/>
        <v/>
      </c>
      <c r="P113" t="str">
        <f t="shared" si="13"/>
        <v/>
      </c>
      <c r="Q113" t="str">
        <f t="shared" si="14"/>
        <v/>
      </c>
      <c r="R113" t="str">
        <f t="shared" si="15"/>
        <v/>
      </c>
    </row>
    <row r="114" spans="1:18" x14ac:dyDescent="0.25">
      <c r="A114">
        <f>ROW()</f>
        <v>114</v>
      </c>
      <c r="B114" t="s">
        <v>249</v>
      </c>
      <c r="C114" t="s">
        <v>327</v>
      </c>
      <c r="D114" t="s">
        <v>254</v>
      </c>
      <c r="E114" t="s">
        <v>328</v>
      </c>
      <c r="F114" t="s">
        <v>329</v>
      </c>
      <c r="J114" t="str">
        <f>IF(A114&lt;WORKSHEET!$R$2,WORKSHEET!$C$2,IF(B114="Air Waybill Number",C114,J113))</f>
        <v>774632987514</v>
      </c>
      <c r="K114" t="str">
        <f t="shared" si="8"/>
        <v>870138342</v>
      </c>
      <c r="L114" t="str">
        <f t="shared" si="9"/>
        <v>05 Jan 2024</v>
      </c>
      <c r="M114" t="str">
        <f t="shared" si="10"/>
        <v/>
      </c>
      <c r="N114" t="str">
        <f t="shared" si="11"/>
        <v>12/29/2023</v>
      </c>
      <c r="O114" t="str">
        <f t="shared" si="12"/>
        <v/>
      </c>
      <c r="P114" t="str">
        <f t="shared" si="13"/>
        <v/>
      </c>
      <c r="Q114" t="str">
        <f t="shared" si="14"/>
        <v/>
      </c>
      <c r="R114" t="str">
        <f t="shared" si="15"/>
        <v/>
      </c>
    </row>
    <row r="115" spans="1:18" x14ac:dyDescent="0.25">
      <c r="A115">
        <f>ROW()</f>
        <v>115</v>
      </c>
      <c r="D115" t="s">
        <v>261</v>
      </c>
      <c r="F115" t="s">
        <v>330</v>
      </c>
      <c r="J115" t="str">
        <f>IF(A115&lt;WORKSHEET!$R$2,WORKSHEET!$C$2,IF(B115="Air Waybill Number",C115,J114))</f>
        <v>774632987514</v>
      </c>
      <c r="K115" t="str">
        <f t="shared" si="8"/>
        <v>870138342</v>
      </c>
      <c r="L115" t="str">
        <f t="shared" si="9"/>
        <v>05 Jan 2024</v>
      </c>
      <c r="M115" t="str">
        <f t="shared" si="10"/>
        <v/>
      </c>
      <c r="N115" t="str">
        <f t="shared" si="11"/>
        <v>12/29/2023</v>
      </c>
      <c r="O115" t="str">
        <f t="shared" si="12"/>
        <v/>
      </c>
      <c r="P115" t="str">
        <f t="shared" si="13"/>
        <v/>
      </c>
      <c r="Q115" t="str">
        <f t="shared" si="14"/>
        <v/>
      </c>
      <c r="R115" t="str">
        <f t="shared" si="15"/>
        <v/>
      </c>
    </row>
    <row r="116" spans="1:18" x14ac:dyDescent="0.25">
      <c r="A116">
        <f>ROW()</f>
        <v>116</v>
      </c>
      <c r="B116" t="s">
        <v>331</v>
      </c>
      <c r="C116" t="s">
        <v>332</v>
      </c>
      <c r="D116" t="s">
        <v>14</v>
      </c>
      <c r="F116" t="s">
        <v>333</v>
      </c>
      <c r="J116" t="str">
        <f>IF(A116&lt;WORKSHEET!$R$2,WORKSHEET!$C$2,IF(B116="Air Waybill Number",C116,J115))</f>
        <v>774632987514</v>
      </c>
      <c r="K116" t="str">
        <f t="shared" si="8"/>
        <v>870138342</v>
      </c>
      <c r="L116" t="str">
        <f t="shared" si="9"/>
        <v>05 Jan 2024</v>
      </c>
      <c r="M116" t="str">
        <f t="shared" si="10"/>
        <v/>
      </c>
      <c r="N116" t="str">
        <f t="shared" si="11"/>
        <v>12/29/2023</v>
      </c>
      <c r="O116" t="str">
        <f t="shared" si="12"/>
        <v/>
      </c>
      <c r="P116" t="str">
        <f t="shared" si="13"/>
        <v/>
      </c>
      <c r="Q116" t="str">
        <f t="shared" si="14"/>
        <v/>
      </c>
      <c r="R116" t="str">
        <f t="shared" si="15"/>
        <v/>
      </c>
    </row>
    <row r="117" spans="1:18" x14ac:dyDescent="0.25">
      <c r="A117">
        <f>ROW()</f>
        <v>117</v>
      </c>
      <c r="B117" t="s">
        <v>221</v>
      </c>
      <c r="C117" t="s">
        <v>51</v>
      </c>
      <c r="J117" t="str">
        <f>IF(A117&lt;WORKSHEET!$R$2,WORKSHEET!$C$2,IF(B117="Air Waybill Number",C117,J116))</f>
        <v>774632987514</v>
      </c>
      <c r="K117" t="str">
        <f t="shared" si="8"/>
        <v>870138343</v>
      </c>
      <c r="L117" t="str">
        <f t="shared" si="9"/>
        <v>05 Jan 2024</v>
      </c>
      <c r="M117" t="str">
        <f t="shared" si="10"/>
        <v/>
      </c>
      <c r="N117" t="str">
        <f t="shared" si="11"/>
        <v>12/29/2023</v>
      </c>
      <c r="O117" t="str">
        <f t="shared" si="12"/>
        <v/>
      </c>
      <c r="P117" t="str">
        <f t="shared" si="13"/>
        <v/>
      </c>
      <c r="Q117" t="str">
        <f t="shared" si="14"/>
        <v/>
      </c>
      <c r="R117" t="str">
        <f t="shared" si="15"/>
        <v/>
      </c>
    </row>
    <row r="118" spans="1:18" x14ac:dyDescent="0.25">
      <c r="A118">
        <f>ROW()</f>
        <v>118</v>
      </c>
      <c r="B118" t="s">
        <v>222</v>
      </c>
      <c r="C118" t="s">
        <v>318</v>
      </c>
      <c r="J118" t="str">
        <f>IF(A118&lt;WORKSHEET!$R$2,WORKSHEET!$C$2,IF(B118="Air Waybill Number",C118,J117))</f>
        <v>774632987514</v>
      </c>
      <c r="K118" t="str">
        <f t="shared" si="8"/>
        <v>870138343</v>
      </c>
      <c r="L118" t="str">
        <f t="shared" si="9"/>
        <v>05 Jan 2024</v>
      </c>
      <c r="M118" t="str">
        <f t="shared" si="10"/>
        <v/>
      </c>
      <c r="N118" t="str">
        <f t="shared" si="11"/>
        <v>12/29/2023</v>
      </c>
      <c r="O118" t="str">
        <f t="shared" si="12"/>
        <v/>
      </c>
      <c r="P118" t="str">
        <f t="shared" si="13"/>
        <v/>
      </c>
      <c r="Q118" t="str">
        <f t="shared" si="14"/>
        <v/>
      </c>
      <c r="R118" t="str">
        <f t="shared" si="15"/>
        <v/>
      </c>
    </row>
    <row r="119" spans="1:18" x14ac:dyDescent="0.25">
      <c r="A119">
        <f>ROW()</f>
        <v>119</v>
      </c>
      <c r="B119" t="s">
        <v>224</v>
      </c>
      <c r="C119" t="s">
        <v>225</v>
      </c>
      <c r="J119" t="str">
        <f>IF(A119&lt;WORKSHEET!$R$2,WORKSHEET!$C$2,IF(B119="Air Waybill Number",C119,J118))</f>
        <v>774632987514</v>
      </c>
      <c r="K119" t="str">
        <f t="shared" si="8"/>
        <v>870138343</v>
      </c>
      <c r="L119" t="str">
        <f t="shared" si="9"/>
        <v>05 Jan 2024</v>
      </c>
      <c r="M119" t="str">
        <f t="shared" si="10"/>
        <v/>
      </c>
      <c r="N119" t="str">
        <f t="shared" si="11"/>
        <v>12/29/2023</v>
      </c>
      <c r="O119" t="str">
        <f t="shared" si="12"/>
        <v/>
      </c>
      <c r="P119" t="str">
        <f t="shared" si="13"/>
        <v/>
      </c>
      <c r="Q119" t="str">
        <f t="shared" si="14"/>
        <v/>
      </c>
      <c r="R119" t="str">
        <f t="shared" si="15"/>
        <v/>
      </c>
    </row>
    <row r="120" spans="1:18" x14ac:dyDescent="0.25">
      <c r="A120">
        <f>ROW()</f>
        <v>120</v>
      </c>
      <c r="B120" t="s">
        <v>226</v>
      </c>
      <c r="C120" t="s">
        <v>334</v>
      </c>
      <c r="D120" t="s">
        <v>335</v>
      </c>
      <c r="F120" t="s">
        <v>229</v>
      </c>
      <c r="J120" t="str">
        <f>IF(A120&lt;WORKSHEET!$R$2,WORKSHEET!$C$2,IF(B120="Air Waybill Number",C120,J119))</f>
        <v>774632987514</v>
      </c>
      <c r="K120" t="str">
        <f t="shared" si="8"/>
        <v>870138343</v>
      </c>
      <c r="L120" t="str">
        <f t="shared" si="9"/>
        <v>05 Jan 2024</v>
      </c>
      <c r="M120" t="str">
        <f t="shared" si="10"/>
        <v/>
      </c>
      <c r="N120" t="str">
        <f t="shared" si="11"/>
        <v>12/18/2023</v>
      </c>
      <c r="O120" t="str">
        <f t="shared" si="12"/>
        <v>FION LEUNG</v>
      </c>
      <c r="P120" t="str">
        <f t="shared" si="13"/>
        <v>J-LONG LTD</v>
      </c>
      <c r="Q120" t="str">
        <f t="shared" si="14"/>
        <v>NUNING</v>
      </c>
      <c r="R120" t="str">
        <f t="shared" si="15"/>
        <v>PT. GISTEX GARMEN INDONESIA</v>
      </c>
    </row>
    <row r="121" spans="1:18" x14ac:dyDescent="0.25">
      <c r="A121">
        <f>ROW()</f>
        <v>121</v>
      </c>
      <c r="B121" t="s">
        <v>320</v>
      </c>
      <c r="C121" t="s">
        <v>321</v>
      </c>
      <c r="D121" t="s">
        <v>52</v>
      </c>
      <c r="F121" t="s">
        <v>25</v>
      </c>
      <c r="J121" t="str">
        <f>IF(A121&lt;WORKSHEET!$R$2,WORKSHEET!$C$2,IF(B121="Air Waybill Number",C121,J120))</f>
        <v>774632987514</v>
      </c>
      <c r="K121" t="str">
        <f t="shared" si="8"/>
        <v>870138343</v>
      </c>
      <c r="L121" t="str">
        <f t="shared" si="9"/>
        <v>05 Jan 2024</v>
      </c>
      <c r="M121" t="str">
        <f t="shared" si="10"/>
        <v/>
      </c>
      <c r="N121" t="str">
        <f t="shared" si="11"/>
        <v>12/18/2023</v>
      </c>
      <c r="O121" t="str">
        <f t="shared" si="12"/>
        <v/>
      </c>
      <c r="P121" t="str">
        <f t="shared" si="13"/>
        <v/>
      </c>
      <c r="Q121" t="str">
        <f t="shared" si="14"/>
        <v/>
      </c>
      <c r="R121" t="str">
        <f t="shared" si="15"/>
        <v/>
      </c>
    </row>
    <row r="122" spans="1:18" x14ac:dyDescent="0.25">
      <c r="A122">
        <f>ROW()</f>
        <v>122</v>
      </c>
      <c r="B122" t="s">
        <v>232</v>
      </c>
      <c r="C122" t="s">
        <v>53</v>
      </c>
      <c r="D122" t="s">
        <v>54</v>
      </c>
      <c r="F122" t="s">
        <v>38</v>
      </c>
      <c r="J122" t="str">
        <f>IF(A122&lt;WORKSHEET!$R$2,WORKSHEET!$C$2,IF(B122="Air Waybill Number",C122,J121))</f>
        <v>774514292670</v>
      </c>
      <c r="K122" t="str">
        <f t="shared" si="8"/>
        <v>870138343</v>
      </c>
      <c r="L122" t="str">
        <f t="shared" si="9"/>
        <v>05 Jan 2024</v>
      </c>
      <c r="M122" t="str">
        <f t="shared" si="10"/>
        <v>774514292670-1</v>
      </c>
      <c r="N122" t="str">
        <f t="shared" si="11"/>
        <v>12/18/2023</v>
      </c>
      <c r="O122" t="str">
        <f t="shared" si="12"/>
        <v/>
      </c>
      <c r="P122" t="str">
        <f t="shared" si="13"/>
        <v/>
      </c>
      <c r="Q122" t="str">
        <f t="shared" si="14"/>
        <v/>
      </c>
      <c r="R122" t="str">
        <f t="shared" si="15"/>
        <v/>
      </c>
    </row>
    <row r="123" spans="1:18" x14ac:dyDescent="0.25">
      <c r="A123">
        <f>ROW()</f>
        <v>123</v>
      </c>
      <c r="B123" t="s">
        <v>233</v>
      </c>
      <c r="C123" t="s">
        <v>322</v>
      </c>
      <c r="D123" t="s">
        <v>336</v>
      </c>
      <c r="F123" t="s">
        <v>337</v>
      </c>
      <c r="J123" t="str">
        <f>IF(A123&lt;WORKSHEET!$R$2,WORKSHEET!$C$2,IF(B123="Air Waybill Number",C123,J122))</f>
        <v>774514292670</v>
      </c>
      <c r="K123" t="str">
        <f t="shared" si="8"/>
        <v>870138343</v>
      </c>
      <c r="L123" t="str">
        <f t="shared" si="9"/>
        <v>05 Jan 2024</v>
      </c>
      <c r="M123" t="str">
        <f t="shared" si="10"/>
        <v/>
      </c>
      <c r="N123" t="str">
        <f t="shared" si="11"/>
        <v>12/18/2023</v>
      </c>
      <c r="O123" t="str">
        <f t="shared" si="12"/>
        <v/>
      </c>
      <c r="P123" t="str">
        <f t="shared" si="13"/>
        <v/>
      </c>
      <c r="Q123" t="str">
        <f t="shared" si="14"/>
        <v/>
      </c>
      <c r="R123" t="str">
        <f t="shared" si="15"/>
        <v/>
      </c>
    </row>
    <row r="124" spans="1:18" x14ac:dyDescent="0.25">
      <c r="A124">
        <f>ROW()</f>
        <v>124</v>
      </c>
      <c r="B124" t="s">
        <v>237</v>
      </c>
      <c r="C124" t="s">
        <v>338</v>
      </c>
      <c r="D124" t="s">
        <v>339</v>
      </c>
      <c r="F124" t="s">
        <v>340</v>
      </c>
      <c r="J124" t="str">
        <f>IF(A124&lt;WORKSHEET!$R$2,WORKSHEET!$C$2,IF(B124="Air Waybill Number",C124,J123))</f>
        <v>774514292670</v>
      </c>
      <c r="K124" t="str">
        <f t="shared" si="8"/>
        <v>870138343</v>
      </c>
      <c r="L124" t="str">
        <f t="shared" si="9"/>
        <v>05 Jan 2024</v>
      </c>
      <c r="M124" t="str">
        <f t="shared" si="10"/>
        <v/>
      </c>
      <c r="N124" t="str">
        <f t="shared" si="11"/>
        <v>12/18/2023</v>
      </c>
      <c r="O124" t="str">
        <f t="shared" si="12"/>
        <v/>
      </c>
      <c r="P124" t="str">
        <f t="shared" si="13"/>
        <v/>
      </c>
      <c r="Q124" t="str">
        <f t="shared" si="14"/>
        <v/>
      </c>
      <c r="R124" t="str">
        <f t="shared" si="15"/>
        <v/>
      </c>
    </row>
    <row r="125" spans="1:18" x14ac:dyDescent="0.25">
      <c r="A125">
        <f>ROW()</f>
        <v>125</v>
      </c>
      <c r="B125" t="s">
        <v>241</v>
      </c>
      <c r="C125" t="s">
        <v>341</v>
      </c>
      <c r="D125" t="s">
        <v>342</v>
      </c>
      <c r="E125" t="s">
        <v>343</v>
      </c>
      <c r="F125" t="s">
        <v>243</v>
      </c>
      <c r="G125" t="s">
        <v>244</v>
      </c>
      <c r="J125" t="str">
        <f>IF(A125&lt;WORKSHEET!$R$2,WORKSHEET!$C$2,IF(B125="Air Waybill Number",C125,J124))</f>
        <v>774514292670</v>
      </c>
      <c r="K125" t="str">
        <f t="shared" si="8"/>
        <v>870138343</v>
      </c>
      <c r="L125" t="str">
        <f t="shared" si="9"/>
        <v>05 Jan 2024</v>
      </c>
      <c r="M125" t="str">
        <f t="shared" si="10"/>
        <v/>
      </c>
      <c r="N125" t="str">
        <f t="shared" si="11"/>
        <v>12/18/2023</v>
      </c>
      <c r="O125" t="str">
        <f t="shared" si="12"/>
        <v/>
      </c>
      <c r="P125" t="str">
        <f t="shared" si="13"/>
        <v/>
      </c>
      <c r="Q125" t="str">
        <f t="shared" si="14"/>
        <v/>
      </c>
      <c r="R125" t="str">
        <f t="shared" si="15"/>
        <v/>
      </c>
    </row>
    <row r="126" spans="1:18" x14ac:dyDescent="0.25">
      <c r="A126">
        <f>ROW()</f>
        <v>126</v>
      </c>
      <c r="B126" t="s">
        <v>344</v>
      </c>
      <c r="C126" t="s">
        <v>246</v>
      </c>
      <c r="D126" t="s">
        <v>254</v>
      </c>
      <c r="F126" t="s">
        <v>345</v>
      </c>
      <c r="G126" t="s">
        <v>346</v>
      </c>
      <c r="J126" t="str">
        <f>IF(A126&lt;WORKSHEET!$R$2,WORKSHEET!$C$2,IF(B126="Air Waybill Number",C126,J125))</f>
        <v>774514292670</v>
      </c>
      <c r="K126" t="str">
        <f t="shared" si="8"/>
        <v>870138343</v>
      </c>
      <c r="L126" t="str">
        <f t="shared" si="9"/>
        <v>05 Jan 2024</v>
      </c>
      <c r="M126" t="str">
        <f t="shared" si="10"/>
        <v/>
      </c>
      <c r="N126" t="str">
        <f t="shared" si="11"/>
        <v>12/18/2023</v>
      </c>
      <c r="O126" t="str">
        <f t="shared" si="12"/>
        <v/>
      </c>
      <c r="P126" t="str">
        <f t="shared" si="13"/>
        <v/>
      </c>
      <c r="Q126" t="str">
        <f t="shared" si="14"/>
        <v/>
      </c>
      <c r="R126" t="str">
        <f t="shared" si="15"/>
        <v/>
      </c>
    </row>
    <row r="127" spans="1:18" x14ac:dyDescent="0.25">
      <c r="A127">
        <f>ROW()</f>
        <v>127</v>
      </c>
      <c r="D127" t="s">
        <v>254</v>
      </c>
      <c r="F127" t="s">
        <v>347</v>
      </c>
      <c r="G127" t="s">
        <v>348</v>
      </c>
      <c r="J127" t="str">
        <f>IF(A127&lt;WORKSHEET!$R$2,WORKSHEET!$C$2,IF(B127="Air Waybill Number",C127,J126))</f>
        <v>774514292670</v>
      </c>
      <c r="K127" t="str">
        <f t="shared" si="8"/>
        <v>870138343</v>
      </c>
      <c r="L127" t="str">
        <f t="shared" si="9"/>
        <v>05 Jan 2024</v>
      </c>
      <c r="M127" t="str">
        <f t="shared" si="10"/>
        <v/>
      </c>
      <c r="N127" t="str">
        <f t="shared" si="11"/>
        <v>12/18/2023</v>
      </c>
      <c r="O127" t="str">
        <f t="shared" si="12"/>
        <v/>
      </c>
      <c r="P127" t="str">
        <f t="shared" si="13"/>
        <v/>
      </c>
      <c r="Q127" t="str">
        <f t="shared" si="14"/>
        <v/>
      </c>
      <c r="R127" t="str">
        <f t="shared" si="15"/>
        <v/>
      </c>
    </row>
    <row r="128" spans="1:18" x14ac:dyDescent="0.25">
      <c r="A128">
        <f>ROW()</f>
        <v>128</v>
      </c>
      <c r="D128" t="s">
        <v>254</v>
      </c>
      <c r="F128" t="s">
        <v>349</v>
      </c>
      <c r="G128" t="s">
        <v>350</v>
      </c>
      <c r="J128" t="str">
        <f>IF(A128&lt;WORKSHEET!$R$2,WORKSHEET!$C$2,IF(B128="Air Waybill Number",C128,J127))</f>
        <v>774514292670</v>
      </c>
      <c r="K128" t="str">
        <f t="shared" si="8"/>
        <v>870138343</v>
      </c>
      <c r="L128" t="str">
        <f t="shared" si="9"/>
        <v>05 Jan 2024</v>
      </c>
      <c r="M128" t="str">
        <f t="shared" si="10"/>
        <v/>
      </c>
      <c r="N128" t="str">
        <f t="shared" si="11"/>
        <v>12/18/2023</v>
      </c>
      <c r="O128" t="str">
        <f t="shared" si="12"/>
        <v/>
      </c>
      <c r="P128" t="str">
        <f t="shared" si="13"/>
        <v/>
      </c>
      <c r="Q128" t="str">
        <f t="shared" si="14"/>
        <v/>
      </c>
      <c r="R128" t="str">
        <f t="shared" si="15"/>
        <v/>
      </c>
    </row>
    <row r="129" spans="1:18" x14ac:dyDescent="0.25">
      <c r="A129">
        <f>ROW()</f>
        <v>129</v>
      </c>
      <c r="B129" t="s">
        <v>331</v>
      </c>
      <c r="C129" t="s">
        <v>351</v>
      </c>
      <c r="D129" t="s">
        <v>254</v>
      </c>
      <c r="F129" t="s">
        <v>328</v>
      </c>
      <c r="G129" t="s">
        <v>352</v>
      </c>
      <c r="J129" t="str">
        <f>IF(A129&lt;WORKSHEET!$R$2,WORKSHEET!$C$2,IF(B129="Air Waybill Number",C129,J128))</f>
        <v>774514292670</v>
      </c>
      <c r="K129" t="str">
        <f t="shared" si="8"/>
        <v>870138343</v>
      </c>
      <c r="L129" t="str">
        <f t="shared" si="9"/>
        <v>05 Jan 2024</v>
      </c>
      <c r="M129" t="str">
        <f t="shared" si="10"/>
        <v/>
      </c>
      <c r="N129" t="str">
        <f t="shared" si="11"/>
        <v>12/18/2023</v>
      </c>
      <c r="O129" t="str">
        <f t="shared" si="12"/>
        <v/>
      </c>
      <c r="P129" t="str">
        <f t="shared" si="13"/>
        <v/>
      </c>
      <c r="Q129" t="str">
        <f t="shared" si="14"/>
        <v/>
      </c>
      <c r="R129" t="str">
        <f t="shared" si="15"/>
        <v/>
      </c>
    </row>
    <row r="130" spans="1:18" x14ac:dyDescent="0.25">
      <c r="A130">
        <f>ROW()</f>
        <v>130</v>
      </c>
      <c r="D130" t="s">
        <v>261</v>
      </c>
      <c r="G130" t="s">
        <v>353</v>
      </c>
      <c r="J130" t="str">
        <f>IF(A130&lt;WORKSHEET!$R$2,WORKSHEET!$C$2,IF(B130="Air Waybill Number",C130,J129))</f>
        <v>774514292670</v>
      </c>
      <c r="K130" t="str">
        <f t="shared" ref="K130:K193" si="16">IF(B130="Invoice Number:",C130,K129)</f>
        <v>870138343</v>
      </c>
      <c r="L130" t="str">
        <f t="shared" ref="L130:L193" si="17">IF(B130="Invoice Date:",C130,L129)</f>
        <v>05 Jan 2024</v>
      </c>
      <c r="M130" t="str">
        <f t="shared" ref="M130:M193" si="18">IF(B130="Air Waybill Number",J130&amp;"-1","")</f>
        <v/>
      </c>
      <c r="N130" t="str">
        <f t="shared" ref="N130:N193" si="19">IF(B130="Ship Date",C130,N129)</f>
        <v>12/18/2023</v>
      </c>
      <c r="O130" t="str">
        <f t="shared" ref="O130:O193" si="20">IF(LEFT(D130,6)="Sender",D131,IF(LEFT(E130,6)="Sender",E131,""))</f>
        <v/>
      </c>
      <c r="P130" t="str">
        <f t="shared" ref="P130:P193" si="21">IF(LEFT(D130,6)="Sender",D132,IF(LEFT(E130,6)="Sender",D132,""))</f>
        <v/>
      </c>
      <c r="Q130" t="str">
        <f t="shared" ref="Q130:Q193" si="22">IF(LEFT(E130,9)="Recipient",E131&amp;F131,IF(LEFT(F130,9)="Recipient",F131,IF(LEFT(G130,9)="Recipient",G131,IF(LEFT(H130,9)="Recipient",H131,""))))</f>
        <v/>
      </c>
      <c r="R130" t="str">
        <f t="shared" ref="R130:R193" si="23">IF(LEFT(E130,9)="Recipient",E132&amp;F132,IF(LEFT(F130,9)="Recipient",F132,IF(LEFT(G130,9)="Recipient",G132,IF(LEFT(H130,9)="Recipient",H132,""))))</f>
        <v/>
      </c>
    </row>
    <row r="131" spans="1:18" x14ac:dyDescent="0.25">
      <c r="A131">
        <f>ROW()</f>
        <v>131</v>
      </c>
      <c r="D131" t="s">
        <v>14</v>
      </c>
      <c r="G131" t="s">
        <v>354</v>
      </c>
      <c r="J131" t="str">
        <f>IF(A131&lt;WORKSHEET!$R$2,WORKSHEET!$C$2,IF(B131="Air Waybill Number",C131,J130))</f>
        <v>774514292670</v>
      </c>
      <c r="K131" t="str">
        <f t="shared" si="16"/>
        <v>870138343</v>
      </c>
      <c r="L131" t="str">
        <f t="shared" si="17"/>
        <v>05 Jan 2024</v>
      </c>
      <c r="M131" t="str">
        <f t="shared" si="18"/>
        <v/>
      </c>
      <c r="N131" t="str">
        <f t="shared" si="19"/>
        <v>12/18/2023</v>
      </c>
      <c r="O131" t="str">
        <f t="shared" si="20"/>
        <v/>
      </c>
      <c r="P131" t="str">
        <f t="shared" si="21"/>
        <v/>
      </c>
      <c r="Q131" t="str">
        <f t="shared" si="22"/>
        <v/>
      </c>
      <c r="R131" t="str">
        <f t="shared" si="23"/>
        <v/>
      </c>
    </row>
    <row r="132" spans="1:18" x14ac:dyDescent="0.25">
      <c r="A132">
        <f>ROW()</f>
        <v>132</v>
      </c>
      <c r="B132" t="s">
        <v>221</v>
      </c>
      <c r="C132" t="s">
        <v>55</v>
      </c>
      <c r="J132" t="str">
        <f>IF(A132&lt;WORKSHEET!$R$2,WORKSHEET!$C$2,IF(B132="Air Waybill Number",C132,J131))</f>
        <v>774514292670</v>
      </c>
      <c r="K132" t="str">
        <f t="shared" si="16"/>
        <v>870048771</v>
      </c>
      <c r="L132" t="str">
        <f t="shared" si="17"/>
        <v>05 Jan 2024</v>
      </c>
      <c r="M132" t="str">
        <f t="shared" si="18"/>
        <v/>
      </c>
      <c r="N132" t="str">
        <f t="shared" si="19"/>
        <v>12/18/2023</v>
      </c>
      <c r="O132" t="str">
        <f t="shared" si="20"/>
        <v/>
      </c>
      <c r="P132" t="str">
        <f t="shared" si="21"/>
        <v/>
      </c>
      <c r="Q132" t="str">
        <f t="shared" si="22"/>
        <v/>
      </c>
      <c r="R132" t="str">
        <f t="shared" si="23"/>
        <v/>
      </c>
    </row>
    <row r="133" spans="1:18" x14ac:dyDescent="0.25">
      <c r="A133">
        <f>ROW()</f>
        <v>133</v>
      </c>
      <c r="B133" t="s">
        <v>222</v>
      </c>
      <c r="C133" t="s">
        <v>355</v>
      </c>
      <c r="J133" t="str">
        <f>IF(A133&lt;WORKSHEET!$R$2,WORKSHEET!$C$2,IF(B133="Air Waybill Number",C133,J132))</f>
        <v>774514292670</v>
      </c>
      <c r="K133" t="str">
        <f t="shared" si="16"/>
        <v>870048771</v>
      </c>
      <c r="L133" t="str">
        <f t="shared" si="17"/>
        <v>06 Dec 2023</v>
      </c>
      <c r="M133" t="str">
        <f t="shared" si="18"/>
        <v/>
      </c>
      <c r="N133" t="str">
        <f t="shared" si="19"/>
        <v>12/18/2023</v>
      </c>
      <c r="O133" t="str">
        <f t="shared" si="20"/>
        <v/>
      </c>
      <c r="P133" t="str">
        <f t="shared" si="21"/>
        <v/>
      </c>
      <c r="Q133" t="str">
        <f t="shared" si="22"/>
        <v/>
      </c>
      <c r="R133" t="str">
        <f t="shared" si="23"/>
        <v/>
      </c>
    </row>
    <row r="134" spans="1:18" x14ac:dyDescent="0.25">
      <c r="A134">
        <f>ROW()</f>
        <v>134</v>
      </c>
      <c r="B134" t="s">
        <v>224</v>
      </c>
      <c r="C134" t="s">
        <v>225</v>
      </c>
      <c r="J134" t="str">
        <f>IF(A134&lt;WORKSHEET!$R$2,WORKSHEET!$C$2,IF(B134="Air Waybill Number",C134,J133))</f>
        <v>774514292670</v>
      </c>
      <c r="K134" t="str">
        <f t="shared" si="16"/>
        <v>870048771</v>
      </c>
      <c r="L134" t="str">
        <f t="shared" si="17"/>
        <v>06 Dec 2023</v>
      </c>
      <c r="M134" t="str">
        <f t="shared" si="18"/>
        <v/>
      </c>
      <c r="N134" t="str">
        <f t="shared" si="19"/>
        <v>12/18/2023</v>
      </c>
      <c r="O134" t="str">
        <f t="shared" si="20"/>
        <v/>
      </c>
      <c r="P134" t="str">
        <f t="shared" si="21"/>
        <v/>
      </c>
      <c r="Q134" t="str">
        <f t="shared" si="22"/>
        <v/>
      </c>
      <c r="R134" t="str">
        <f t="shared" si="23"/>
        <v/>
      </c>
    </row>
    <row r="135" spans="1:18" x14ac:dyDescent="0.25">
      <c r="A135">
        <f>ROW()</f>
        <v>135</v>
      </c>
      <c r="B135" t="s">
        <v>226</v>
      </c>
      <c r="C135" t="s">
        <v>356</v>
      </c>
      <c r="D135" t="s">
        <v>357</v>
      </c>
      <c r="E135" t="s">
        <v>229</v>
      </c>
      <c r="J135" t="str">
        <f>IF(A135&lt;WORKSHEET!$R$2,WORKSHEET!$C$2,IF(B135="Air Waybill Number",C135,J134))</f>
        <v>774514292670</v>
      </c>
      <c r="K135" t="str">
        <f t="shared" si="16"/>
        <v>870048771</v>
      </c>
      <c r="L135" t="str">
        <f t="shared" si="17"/>
        <v>06 Dec 2023</v>
      </c>
      <c r="M135" t="str">
        <f t="shared" si="18"/>
        <v/>
      </c>
      <c r="N135" t="str">
        <f t="shared" si="19"/>
        <v>11/23/2023</v>
      </c>
      <c r="O135" t="str">
        <f t="shared" si="20"/>
        <v>SHENYANG</v>
      </c>
      <c r="P135" t="str">
        <f t="shared" si="21"/>
        <v>JIANGSU</v>
      </c>
      <c r="Q135" t="str">
        <f t="shared" si="22"/>
        <v>MERCY /SUMI/GITA</v>
      </c>
      <c r="R135" t="str">
        <f t="shared" si="23"/>
        <v>PT GISTEX GARMEN INDONESIA</v>
      </c>
    </row>
    <row r="136" spans="1:18" x14ac:dyDescent="0.25">
      <c r="A136">
        <f>ROW()</f>
        <v>136</v>
      </c>
      <c r="B136" t="s">
        <v>230</v>
      </c>
      <c r="C136" t="s">
        <v>358</v>
      </c>
      <c r="D136" t="s">
        <v>56</v>
      </c>
      <c r="E136" t="s">
        <v>359</v>
      </c>
      <c r="F136" t="s">
        <v>360</v>
      </c>
      <c r="J136" t="str">
        <f>IF(A136&lt;WORKSHEET!$R$2,WORKSHEET!$C$2,IF(B136="Air Waybill Number",C136,J135))</f>
        <v>774514292670</v>
      </c>
      <c r="K136" t="str">
        <f t="shared" si="16"/>
        <v>870048771</v>
      </c>
      <c r="L136" t="str">
        <f t="shared" si="17"/>
        <v>06 Dec 2023</v>
      </c>
      <c r="M136" t="str">
        <f t="shared" si="18"/>
        <v/>
      </c>
      <c r="N136" t="str">
        <f t="shared" si="19"/>
        <v>11/23/2023</v>
      </c>
      <c r="O136" t="str">
        <f t="shared" si="20"/>
        <v/>
      </c>
      <c r="P136" t="str">
        <f t="shared" si="21"/>
        <v/>
      </c>
      <c r="Q136" t="str">
        <f t="shared" si="22"/>
        <v/>
      </c>
      <c r="R136" t="str">
        <f t="shared" si="23"/>
        <v/>
      </c>
    </row>
    <row r="137" spans="1:18" x14ac:dyDescent="0.25">
      <c r="A137">
        <f>ROW()</f>
        <v>137</v>
      </c>
      <c r="B137" t="s">
        <v>232</v>
      </c>
      <c r="C137" t="s">
        <v>57</v>
      </c>
      <c r="D137" t="s">
        <v>58</v>
      </c>
      <c r="E137" t="s">
        <v>23</v>
      </c>
      <c r="J137" t="str">
        <f>IF(A137&lt;WORKSHEET!$R$2,WORKSHEET!$C$2,IF(B137="Air Waybill Number",C137,J136))</f>
        <v>774194576473</v>
      </c>
      <c r="K137" t="str">
        <f t="shared" si="16"/>
        <v>870048771</v>
      </c>
      <c r="L137" t="str">
        <f t="shared" si="17"/>
        <v>06 Dec 2023</v>
      </c>
      <c r="M137" t="str">
        <f t="shared" si="18"/>
        <v>774194576473-1</v>
      </c>
      <c r="N137" t="str">
        <f t="shared" si="19"/>
        <v>11/23/2023</v>
      </c>
      <c r="O137" t="str">
        <f t="shared" si="20"/>
        <v/>
      </c>
      <c r="P137" t="str">
        <f t="shared" si="21"/>
        <v/>
      </c>
      <c r="Q137" t="str">
        <f t="shared" si="22"/>
        <v/>
      </c>
      <c r="R137" t="str">
        <f t="shared" si="23"/>
        <v/>
      </c>
    </row>
    <row r="138" spans="1:18" x14ac:dyDescent="0.25">
      <c r="A138">
        <f>ROW()</f>
        <v>138</v>
      </c>
      <c r="B138" t="s">
        <v>233</v>
      </c>
      <c r="C138" t="s">
        <v>279</v>
      </c>
      <c r="D138" t="s">
        <v>361</v>
      </c>
      <c r="E138" t="s">
        <v>362</v>
      </c>
      <c r="J138" t="str">
        <f>IF(A138&lt;WORKSHEET!$R$2,WORKSHEET!$C$2,IF(B138="Air Waybill Number",C138,J137))</f>
        <v>774194576473</v>
      </c>
      <c r="K138" t="str">
        <f t="shared" si="16"/>
        <v>870048771</v>
      </c>
      <c r="L138" t="str">
        <f t="shared" si="17"/>
        <v>06 Dec 2023</v>
      </c>
      <c r="M138" t="str">
        <f t="shared" si="18"/>
        <v/>
      </c>
      <c r="N138" t="str">
        <f t="shared" si="19"/>
        <v>11/23/2023</v>
      </c>
      <c r="O138" t="str">
        <f t="shared" si="20"/>
        <v/>
      </c>
      <c r="P138" t="str">
        <f t="shared" si="21"/>
        <v/>
      </c>
      <c r="Q138" t="str">
        <f t="shared" si="22"/>
        <v/>
      </c>
      <c r="R138" t="str">
        <f t="shared" si="23"/>
        <v/>
      </c>
    </row>
    <row r="139" spans="1:18" x14ac:dyDescent="0.25">
      <c r="A139">
        <f>ROW()</f>
        <v>139</v>
      </c>
      <c r="B139" t="s">
        <v>237</v>
      </c>
      <c r="C139" t="s">
        <v>238</v>
      </c>
      <c r="D139" t="s">
        <v>363</v>
      </c>
      <c r="E139" t="s">
        <v>364</v>
      </c>
      <c r="J139" t="str">
        <f>IF(A139&lt;WORKSHEET!$R$2,WORKSHEET!$C$2,IF(B139="Air Waybill Number",C139,J138))</f>
        <v>774194576473</v>
      </c>
      <c r="K139" t="str">
        <f t="shared" si="16"/>
        <v>870048771</v>
      </c>
      <c r="L139" t="str">
        <f t="shared" si="17"/>
        <v>06 Dec 2023</v>
      </c>
      <c r="M139" t="str">
        <f t="shared" si="18"/>
        <v/>
      </c>
      <c r="N139" t="str">
        <f t="shared" si="19"/>
        <v>11/23/2023</v>
      </c>
      <c r="O139" t="str">
        <f t="shared" si="20"/>
        <v/>
      </c>
      <c r="P139" t="str">
        <f t="shared" si="21"/>
        <v/>
      </c>
      <c r="Q139" t="str">
        <f t="shared" si="22"/>
        <v/>
      </c>
      <c r="R139" t="str">
        <f t="shared" si="23"/>
        <v/>
      </c>
    </row>
    <row r="140" spans="1:18" x14ac:dyDescent="0.25">
      <c r="A140">
        <f>ROW()</f>
        <v>140</v>
      </c>
      <c r="B140" t="s">
        <v>241</v>
      </c>
      <c r="C140" t="s">
        <v>285</v>
      </c>
      <c r="D140" t="s">
        <v>365</v>
      </c>
      <c r="E140" t="s">
        <v>274</v>
      </c>
      <c r="F140" t="s">
        <v>284</v>
      </c>
      <c r="J140" t="str">
        <f>IF(A140&lt;WORKSHEET!$R$2,WORKSHEET!$C$2,IF(B140="Air Waybill Number",C140,J139))</f>
        <v>774194576473</v>
      </c>
      <c r="K140" t="str">
        <f t="shared" si="16"/>
        <v>870048771</v>
      </c>
      <c r="L140" t="str">
        <f t="shared" si="17"/>
        <v>06 Dec 2023</v>
      </c>
      <c r="M140" t="str">
        <f t="shared" si="18"/>
        <v/>
      </c>
      <c r="N140" t="str">
        <f t="shared" si="19"/>
        <v>11/23/2023</v>
      </c>
      <c r="O140" t="str">
        <f t="shared" si="20"/>
        <v/>
      </c>
      <c r="P140" t="str">
        <f t="shared" si="21"/>
        <v/>
      </c>
      <c r="Q140" t="str">
        <f t="shared" si="22"/>
        <v/>
      </c>
      <c r="R140" t="str">
        <f t="shared" si="23"/>
        <v/>
      </c>
    </row>
    <row r="141" spans="1:18" x14ac:dyDescent="0.25">
      <c r="A141">
        <f>ROW()</f>
        <v>141</v>
      </c>
      <c r="B141" t="s">
        <v>245</v>
      </c>
      <c r="C141" t="s">
        <v>246</v>
      </c>
      <c r="J141" t="str">
        <f>IF(A141&lt;WORKSHEET!$R$2,WORKSHEET!$C$2,IF(B141="Air Waybill Number",C141,J140))</f>
        <v>774194576473</v>
      </c>
      <c r="K141" t="str">
        <f t="shared" si="16"/>
        <v>870048771</v>
      </c>
      <c r="L141" t="str">
        <f t="shared" si="17"/>
        <v>06 Dec 2023</v>
      </c>
      <c r="M141" t="str">
        <f t="shared" si="18"/>
        <v/>
      </c>
      <c r="N141" t="str">
        <f t="shared" si="19"/>
        <v>11/23/2023</v>
      </c>
      <c r="O141" t="str">
        <f t="shared" si="20"/>
        <v/>
      </c>
      <c r="P141" t="str">
        <f t="shared" si="21"/>
        <v/>
      </c>
      <c r="Q141" t="str">
        <f t="shared" si="22"/>
        <v/>
      </c>
      <c r="R141" t="str">
        <f t="shared" si="23"/>
        <v/>
      </c>
    </row>
    <row r="142" spans="1:18" x14ac:dyDescent="0.25">
      <c r="A142">
        <f>ROW()</f>
        <v>142</v>
      </c>
      <c r="B142" t="s">
        <v>247</v>
      </c>
      <c r="D142" t="s">
        <v>248</v>
      </c>
      <c r="G142">
        <v>700000</v>
      </c>
      <c r="J142" t="str">
        <f>IF(A142&lt;WORKSHEET!$R$2,WORKSHEET!$C$2,IF(B142="Air Waybill Number",C142,J141))</f>
        <v>774194576473</v>
      </c>
      <c r="K142" t="str">
        <f t="shared" si="16"/>
        <v>870048771</v>
      </c>
      <c r="L142" t="str">
        <f t="shared" si="17"/>
        <v>06 Dec 2023</v>
      </c>
      <c r="M142" t="str">
        <f t="shared" si="18"/>
        <v/>
      </c>
      <c r="N142" t="str">
        <f t="shared" si="19"/>
        <v>11/23/2023</v>
      </c>
      <c r="O142" t="str">
        <f t="shared" si="20"/>
        <v/>
      </c>
      <c r="P142" t="str">
        <f t="shared" si="21"/>
        <v/>
      </c>
      <c r="Q142" t="str">
        <f t="shared" si="22"/>
        <v/>
      </c>
      <c r="R142" t="str">
        <f t="shared" si="23"/>
        <v/>
      </c>
    </row>
    <row r="143" spans="1:18" x14ac:dyDescent="0.25">
      <c r="A143">
        <f>ROW()</f>
        <v>143</v>
      </c>
      <c r="B143" t="s">
        <v>249</v>
      </c>
      <c r="C143" t="s">
        <v>366</v>
      </c>
      <c r="D143" t="s">
        <v>251</v>
      </c>
      <c r="E143" t="s">
        <v>252</v>
      </c>
      <c r="G143">
        <v>-520240</v>
      </c>
      <c r="J143" t="str">
        <f>IF(A143&lt;WORKSHEET!$R$2,WORKSHEET!$C$2,IF(B143="Air Waybill Number",C143,J142))</f>
        <v>774194576473</v>
      </c>
      <c r="K143" t="str">
        <f t="shared" si="16"/>
        <v>870048771</v>
      </c>
      <c r="L143" t="str">
        <f t="shared" si="17"/>
        <v>06 Dec 2023</v>
      </c>
      <c r="M143" t="str">
        <f t="shared" si="18"/>
        <v/>
      </c>
      <c r="N143" t="str">
        <f t="shared" si="19"/>
        <v>11/23/2023</v>
      </c>
      <c r="O143" t="str">
        <f t="shared" si="20"/>
        <v/>
      </c>
      <c r="P143" t="str">
        <f t="shared" si="21"/>
        <v/>
      </c>
      <c r="Q143" t="str">
        <f t="shared" si="22"/>
        <v/>
      </c>
      <c r="R143" t="str">
        <f t="shared" si="23"/>
        <v/>
      </c>
    </row>
    <row r="144" spans="1:18" x14ac:dyDescent="0.25">
      <c r="A144">
        <f>ROW()</f>
        <v>144</v>
      </c>
      <c r="C144" t="s">
        <v>277</v>
      </c>
      <c r="D144" t="s">
        <v>254</v>
      </c>
      <c r="E144" t="s">
        <v>12</v>
      </c>
      <c r="G144">
        <v>59706</v>
      </c>
      <c r="J144" t="str">
        <f>IF(A144&lt;WORKSHEET!$R$2,WORKSHEET!$C$2,IF(B144="Air Waybill Number",C144,J143))</f>
        <v>774194576473</v>
      </c>
      <c r="K144" t="str">
        <f t="shared" si="16"/>
        <v>870048771</v>
      </c>
      <c r="L144" t="str">
        <f t="shared" si="17"/>
        <v>06 Dec 2023</v>
      </c>
      <c r="M144" t="str">
        <f t="shared" si="18"/>
        <v/>
      </c>
      <c r="N144" t="str">
        <f t="shared" si="19"/>
        <v>11/23/2023</v>
      </c>
      <c r="O144" t="str">
        <f t="shared" si="20"/>
        <v/>
      </c>
      <c r="P144" t="str">
        <f t="shared" si="21"/>
        <v/>
      </c>
      <c r="Q144" t="str">
        <f t="shared" si="22"/>
        <v/>
      </c>
      <c r="R144" t="str">
        <f t="shared" si="23"/>
        <v/>
      </c>
    </row>
    <row r="145" spans="1:18" x14ac:dyDescent="0.25">
      <c r="A145">
        <f>ROW()</f>
        <v>145</v>
      </c>
      <c r="D145" t="s">
        <v>254</v>
      </c>
      <c r="E145" t="s">
        <v>260</v>
      </c>
      <c r="G145">
        <v>16000</v>
      </c>
      <c r="J145" t="str">
        <f>IF(A145&lt;WORKSHEET!$R$2,WORKSHEET!$C$2,IF(B145="Air Waybill Number",C145,J144))</f>
        <v>774194576473</v>
      </c>
      <c r="K145" t="str">
        <f t="shared" si="16"/>
        <v>870048771</v>
      </c>
      <c r="L145" t="str">
        <f t="shared" si="17"/>
        <v>06 Dec 2023</v>
      </c>
      <c r="M145" t="str">
        <f t="shared" si="18"/>
        <v/>
      </c>
      <c r="N145" t="str">
        <f t="shared" si="19"/>
        <v>11/23/2023</v>
      </c>
      <c r="O145" t="str">
        <f t="shared" si="20"/>
        <v/>
      </c>
      <c r="P145" t="str">
        <f t="shared" si="21"/>
        <v/>
      </c>
      <c r="Q145" t="str">
        <f t="shared" si="22"/>
        <v/>
      </c>
      <c r="R145" t="str">
        <f t="shared" si="23"/>
        <v/>
      </c>
    </row>
    <row r="146" spans="1:18" x14ac:dyDescent="0.25">
      <c r="A146">
        <f>ROW()</f>
        <v>146</v>
      </c>
      <c r="D146" t="s">
        <v>261</v>
      </c>
      <c r="G146">
        <v>2810</v>
      </c>
      <c r="J146" t="str">
        <f>IF(A146&lt;WORKSHEET!$R$2,WORKSHEET!$C$2,IF(B146="Air Waybill Number",C146,J145))</f>
        <v>774194576473</v>
      </c>
      <c r="K146" t="str">
        <f t="shared" si="16"/>
        <v>870048771</v>
      </c>
      <c r="L146" t="str">
        <f t="shared" si="17"/>
        <v>06 Dec 2023</v>
      </c>
      <c r="M146" t="str">
        <f t="shared" si="18"/>
        <v/>
      </c>
      <c r="N146" t="str">
        <f t="shared" si="19"/>
        <v>11/23/2023</v>
      </c>
      <c r="O146" t="str">
        <f t="shared" si="20"/>
        <v/>
      </c>
      <c r="P146" t="str">
        <f t="shared" si="21"/>
        <v/>
      </c>
      <c r="Q146" t="str">
        <f t="shared" si="22"/>
        <v/>
      </c>
      <c r="R146" t="str">
        <f t="shared" si="23"/>
        <v/>
      </c>
    </row>
    <row r="147" spans="1:18" x14ac:dyDescent="0.25">
      <c r="A147">
        <f>ROW()</f>
        <v>147</v>
      </c>
      <c r="D147" t="s">
        <v>14</v>
      </c>
      <c r="G147">
        <v>258276</v>
      </c>
      <c r="J147" t="str">
        <f>IF(A147&lt;WORKSHEET!$R$2,WORKSHEET!$C$2,IF(B147="Air Waybill Number",C147,J146))</f>
        <v>774194576473</v>
      </c>
      <c r="K147" t="str">
        <f t="shared" si="16"/>
        <v>870048771</v>
      </c>
      <c r="L147" t="str">
        <f t="shared" si="17"/>
        <v>06 Dec 2023</v>
      </c>
      <c r="M147" t="str">
        <f t="shared" si="18"/>
        <v/>
      </c>
      <c r="N147" t="str">
        <f t="shared" si="19"/>
        <v>11/23/2023</v>
      </c>
      <c r="O147" t="str">
        <f t="shared" si="20"/>
        <v/>
      </c>
      <c r="P147" t="str">
        <f t="shared" si="21"/>
        <v/>
      </c>
      <c r="Q147" t="str">
        <f t="shared" si="22"/>
        <v/>
      </c>
      <c r="R147" t="str">
        <f t="shared" si="23"/>
        <v/>
      </c>
    </row>
    <row r="148" spans="1:18" x14ac:dyDescent="0.25">
      <c r="A148">
        <f>ROW()</f>
        <v>148</v>
      </c>
      <c r="D148" t="s">
        <v>367</v>
      </c>
      <c r="J148" t="str">
        <f>IF(A148&lt;WORKSHEET!$R$2,WORKSHEET!$C$2,IF(B148="Air Waybill Number",C148,J147))</f>
        <v>774194576473</v>
      </c>
      <c r="K148" t="str">
        <f t="shared" si="16"/>
        <v>870048771</v>
      </c>
      <c r="L148" t="str">
        <f t="shared" si="17"/>
        <v>06 Dec 2023</v>
      </c>
      <c r="M148" t="str">
        <f t="shared" si="18"/>
        <v/>
      </c>
      <c r="N148" t="str">
        <f t="shared" si="19"/>
        <v>11/23/2023</v>
      </c>
      <c r="O148" t="str">
        <f t="shared" si="20"/>
        <v/>
      </c>
      <c r="P148" t="str">
        <f t="shared" si="21"/>
        <v/>
      </c>
      <c r="Q148" t="str">
        <f t="shared" si="22"/>
        <v/>
      </c>
      <c r="R148" t="str">
        <f t="shared" si="23"/>
        <v/>
      </c>
    </row>
    <row r="149" spans="1:18" x14ac:dyDescent="0.25">
      <c r="A149">
        <f>ROW()</f>
        <v>149</v>
      </c>
      <c r="B149" t="s">
        <v>226</v>
      </c>
      <c r="C149" t="s">
        <v>368</v>
      </c>
      <c r="D149" t="s">
        <v>357</v>
      </c>
      <c r="E149" t="s">
        <v>229</v>
      </c>
      <c r="J149" t="str">
        <f>IF(A149&lt;WORKSHEET!$R$2,WORKSHEET!$C$2,IF(B149="Air Waybill Number",C149,J148))</f>
        <v>774194576473</v>
      </c>
      <c r="K149" t="str">
        <f t="shared" si="16"/>
        <v>870048771</v>
      </c>
      <c r="L149" t="str">
        <f t="shared" si="17"/>
        <v>06 Dec 2023</v>
      </c>
      <c r="M149" t="str">
        <f t="shared" si="18"/>
        <v/>
      </c>
      <c r="N149" t="str">
        <f t="shared" si="19"/>
        <v>11/25/2023</v>
      </c>
      <c r="O149" t="str">
        <f t="shared" si="20"/>
        <v>SHENYANG</v>
      </c>
      <c r="P149" t="str">
        <f t="shared" si="21"/>
        <v>JIANGSU</v>
      </c>
      <c r="Q149" t="str">
        <f t="shared" si="22"/>
        <v>MERCY /SUMI/GITA</v>
      </c>
      <c r="R149" t="str">
        <f t="shared" si="23"/>
        <v>PT GISTEX GARMEN INDONESIA</v>
      </c>
    </row>
    <row r="150" spans="1:18" x14ac:dyDescent="0.25">
      <c r="A150">
        <f>ROW()</f>
        <v>150</v>
      </c>
      <c r="B150" t="s">
        <v>230</v>
      </c>
      <c r="C150" t="s">
        <v>369</v>
      </c>
      <c r="D150" t="s">
        <v>56</v>
      </c>
      <c r="E150" t="s">
        <v>359</v>
      </c>
      <c r="F150" t="s">
        <v>360</v>
      </c>
      <c r="J150" t="str">
        <f>IF(A150&lt;WORKSHEET!$R$2,WORKSHEET!$C$2,IF(B150="Air Waybill Number",C150,J149))</f>
        <v>774194576473</v>
      </c>
      <c r="K150" t="str">
        <f t="shared" si="16"/>
        <v>870048771</v>
      </c>
      <c r="L150" t="str">
        <f t="shared" si="17"/>
        <v>06 Dec 2023</v>
      </c>
      <c r="M150" t="str">
        <f t="shared" si="18"/>
        <v/>
      </c>
      <c r="N150" t="str">
        <f t="shared" si="19"/>
        <v>11/25/2023</v>
      </c>
      <c r="O150" t="str">
        <f t="shared" si="20"/>
        <v/>
      </c>
      <c r="P150" t="str">
        <f t="shared" si="21"/>
        <v/>
      </c>
      <c r="Q150" t="str">
        <f t="shared" si="22"/>
        <v/>
      </c>
      <c r="R150" t="str">
        <f t="shared" si="23"/>
        <v/>
      </c>
    </row>
    <row r="151" spans="1:18" x14ac:dyDescent="0.25">
      <c r="A151">
        <f>ROW()</f>
        <v>151</v>
      </c>
      <c r="B151" t="s">
        <v>232</v>
      </c>
      <c r="C151" t="s">
        <v>59</v>
      </c>
      <c r="D151" t="s">
        <v>58</v>
      </c>
      <c r="E151" t="s">
        <v>23</v>
      </c>
      <c r="J151" t="str">
        <f>IF(A151&lt;WORKSHEET!$R$2,WORKSHEET!$C$2,IF(B151="Air Waybill Number",C151,J150))</f>
        <v>774216971908</v>
      </c>
      <c r="K151" t="str">
        <f t="shared" si="16"/>
        <v>870048771</v>
      </c>
      <c r="L151" t="str">
        <f t="shared" si="17"/>
        <v>06 Dec 2023</v>
      </c>
      <c r="M151" t="str">
        <f t="shared" si="18"/>
        <v>774216971908-1</v>
      </c>
      <c r="N151" t="str">
        <f t="shared" si="19"/>
        <v>11/25/2023</v>
      </c>
      <c r="O151" t="str">
        <f t="shared" si="20"/>
        <v/>
      </c>
      <c r="P151" t="str">
        <f t="shared" si="21"/>
        <v/>
      </c>
      <c r="Q151" t="str">
        <f t="shared" si="22"/>
        <v/>
      </c>
      <c r="R151" t="str">
        <f t="shared" si="23"/>
        <v/>
      </c>
    </row>
    <row r="152" spans="1:18" x14ac:dyDescent="0.25">
      <c r="A152">
        <f>ROW()</f>
        <v>152</v>
      </c>
      <c r="B152" t="s">
        <v>233</v>
      </c>
      <c r="C152" t="s">
        <v>279</v>
      </c>
      <c r="D152" t="s">
        <v>361</v>
      </c>
      <c r="E152" t="s">
        <v>362</v>
      </c>
      <c r="J152" t="str">
        <f>IF(A152&lt;WORKSHEET!$R$2,WORKSHEET!$C$2,IF(B152="Air Waybill Number",C152,J151))</f>
        <v>774216971908</v>
      </c>
      <c r="K152" t="str">
        <f t="shared" si="16"/>
        <v>870048771</v>
      </c>
      <c r="L152" t="str">
        <f t="shared" si="17"/>
        <v>06 Dec 2023</v>
      </c>
      <c r="M152" t="str">
        <f t="shared" si="18"/>
        <v/>
      </c>
      <c r="N152" t="str">
        <f t="shared" si="19"/>
        <v>11/25/2023</v>
      </c>
      <c r="O152" t="str">
        <f t="shared" si="20"/>
        <v/>
      </c>
      <c r="P152" t="str">
        <f t="shared" si="21"/>
        <v/>
      </c>
      <c r="Q152" t="str">
        <f t="shared" si="22"/>
        <v/>
      </c>
      <c r="R152" t="str">
        <f t="shared" si="23"/>
        <v/>
      </c>
    </row>
    <row r="153" spans="1:18" x14ac:dyDescent="0.25">
      <c r="A153">
        <f>ROW()</f>
        <v>153</v>
      </c>
      <c r="B153" t="s">
        <v>237</v>
      </c>
      <c r="C153" t="s">
        <v>238</v>
      </c>
      <c r="D153" t="s">
        <v>363</v>
      </c>
      <c r="E153" t="s">
        <v>364</v>
      </c>
      <c r="J153" t="str">
        <f>IF(A153&lt;WORKSHEET!$R$2,WORKSHEET!$C$2,IF(B153="Air Waybill Number",C153,J152))</f>
        <v>774216971908</v>
      </c>
      <c r="K153" t="str">
        <f t="shared" si="16"/>
        <v>870048771</v>
      </c>
      <c r="L153" t="str">
        <f t="shared" si="17"/>
        <v>06 Dec 2023</v>
      </c>
      <c r="M153" t="str">
        <f t="shared" si="18"/>
        <v/>
      </c>
      <c r="N153" t="str">
        <f t="shared" si="19"/>
        <v>11/25/2023</v>
      </c>
      <c r="O153" t="str">
        <f t="shared" si="20"/>
        <v/>
      </c>
      <c r="P153" t="str">
        <f t="shared" si="21"/>
        <v/>
      </c>
      <c r="Q153" t="str">
        <f t="shared" si="22"/>
        <v/>
      </c>
      <c r="R153" t="str">
        <f t="shared" si="23"/>
        <v/>
      </c>
    </row>
    <row r="154" spans="1:18" x14ac:dyDescent="0.25">
      <c r="A154">
        <f>ROW()</f>
        <v>154</v>
      </c>
      <c r="B154" t="s">
        <v>241</v>
      </c>
      <c r="C154" t="s">
        <v>370</v>
      </c>
      <c r="D154" t="s">
        <v>365</v>
      </c>
      <c r="E154" t="s">
        <v>274</v>
      </c>
      <c r="F154" t="s">
        <v>284</v>
      </c>
      <c r="J154" t="str">
        <f>IF(A154&lt;WORKSHEET!$R$2,WORKSHEET!$C$2,IF(B154="Air Waybill Number",C154,J153))</f>
        <v>774216971908</v>
      </c>
      <c r="K154" t="str">
        <f t="shared" si="16"/>
        <v>870048771</v>
      </c>
      <c r="L154" t="str">
        <f t="shared" si="17"/>
        <v>06 Dec 2023</v>
      </c>
      <c r="M154" t="str">
        <f t="shared" si="18"/>
        <v/>
      </c>
      <c r="N154" t="str">
        <f t="shared" si="19"/>
        <v>11/25/2023</v>
      </c>
      <c r="O154" t="str">
        <f t="shared" si="20"/>
        <v/>
      </c>
      <c r="P154" t="str">
        <f t="shared" si="21"/>
        <v/>
      </c>
      <c r="Q154" t="str">
        <f t="shared" si="22"/>
        <v/>
      </c>
      <c r="R154" t="str">
        <f t="shared" si="23"/>
        <v/>
      </c>
    </row>
    <row r="155" spans="1:18" x14ac:dyDescent="0.25">
      <c r="A155">
        <f>ROW()</f>
        <v>155</v>
      </c>
      <c r="B155" t="s">
        <v>245</v>
      </c>
      <c r="C155" t="s">
        <v>246</v>
      </c>
      <c r="J155" t="str">
        <f>IF(A155&lt;WORKSHEET!$R$2,WORKSHEET!$C$2,IF(B155="Air Waybill Number",C155,J154))</f>
        <v>774216971908</v>
      </c>
      <c r="K155" t="str">
        <f t="shared" si="16"/>
        <v>870048771</v>
      </c>
      <c r="L155" t="str">
        <f t="shared" si="17"/>
        <v>06 Dec 2023</v>
      </c>
      <c r="M155" t="str">
        <f t="shared" si="18"/>
        <v/>
      </c>
      <c r="N155" t="str">
        <f t="shared" si="19"/>
        <v>11/25/2023</v>
      </c>
      <c r="O155" t="str">
        <f t="shared" si="20"/>
        <v/>
      </c>
      <c r="P155" t="str">
        <f t="shared" si="21"/>
        <v/>
      </c>
      <c r="Q155" t="str">
        <f t="shared" si="22"/>
        <v/>
      </c>
      <c r="R155" t="str">
        <f t="shared" si="23"/>
        <v/>
      </c>
    </row>
    <row r="156" spans="1:18" x14ac:dyDescent="0.25">
      <c r="A156">
        <f>ROW()</f>
        <v>156</v>
      </c>
      <c r="B156" t="s">
        <v>247</v>
      </c>
      <c r="D156" t="s">
        <v>248</v>
      </c>
      <c r="G156">
        <v>1762000</v>
      </c>
      <c r="J156" t="str">
        <f>IF(A156&lt;WORKSHEET!$R$2,WORKSHEET!$C$2,IF(B156="Air Waybill Number",C156,J155))</f>
        <v>774216971908</v>
      </c>
      <c r="K156" t="str">
        <f t="shared" si="16"/>
        <v>870048771</v>
      </c>
      <c r="L156" t="str">
        <f t="shared" si="17"/>
        <v>06 Dec 2023</v>
      </c>
      <c r="M156" t="str">
        <f t="shared" si="18"/>
        <v/>
      </c>
      <c r="N156" t="str">
        <f t="shared" si="19"/>
        <v>11/25/2023</v>
      </c>
      <c r="O156" t="str">
        <f t="shared" si="20"/>
        <v/>
      </c>
      <c r="P156" t="str">
        <f t="shared" si="21"/>
        <v/>
      </c>
      <c r="Q156" t="str">
        <f t="shared" si="22"/>
        <v/>
      </c>
      <c r="R156" t="str">
        <f t="shared" si="23"/>
        <v/>
      </c>
    </row>
    <row r="157" spans="1:18" x14ac:dyDescent="0.25">
      <c r="A157">
        <f>ROW()</f>
        <v>157</v>
      </c>
      <c r="B157" t="s">
        <v>249</v>
      </c>
      <c r="C157" t="s">
        <v>371</v>
      </c>
      <c r="D157" t="s">
        <v>251</v>
      </c>
      <c r="E157" t="s">
        <v>252</v>
      </c>
      <c r="G157">
        <v>-1309518</v>
      </c>
      <c r="J157" t="str">
        <f>IF(A157&lt;WORKSHEET!$R$2,WORKSHEET!$C$2,IF(B157="Air Waybill Number",C157,J156))</f>
        <v>774216971908</v>
      </c>
      <c r="K157" t="str">
        <f t="shared" si="16"/>
        <v>870048771</v>
      </c>
      <c r="L157" t="str">
        <f t="shared" si="17"/>
        <v>06 Dec 2023</v>
      </c>
      <c r="M157" t="str">
        <f t="shared" si="18"/>
        <v/>
      </c>
      <c r="N157" t="str">
        <f t="shared" si="19"/>
        <v>11/25/2023</v>
      </c>
      <c r="O157" t="str">
        <f t="shared" si="20"/>
        <v/>
      </c>
      <c r="P157" t="str">
        <f t="shared" si="21"/>
        <v/>
      </c>
      <c r="Q157" t="str">
        <f t="shared" si="22"/>
        <v/>
      </c>
      <c r="R157" t="str">
        <f t="shared" si="23"/>
        <v/>
      </c>
    </row>
    <row r="158" spans="1:18" x14ac:dyDescent="0.25">
      <c r="A158">
        <f>ROW()</f>
        <v>158</v>
      </c>
      <c r="C158" t="s">
        <v>277</v>
      </c>
      <c r="D158" t="s">
        <v>254</v>
      </c>
      <c r="E158" t="s">
        <v>12</v>
      </c>
      <c r="G158">
        <v>150207</v>
      </c>
      <c r="J158" t="str">
        <f>IF(A158&lt;WORKSHEET!$R$2,WORKSHEET!$C$2,IF(B158="Air Waybill Number",C158,J157))</f>
        <v>774216971908</v>
      </c>
      <c r="K158" t="str">
        <f t="shared" si="16"/>
        <v>870048771</v>
      </c>
      <c r="L158" t="str">
        <f t="shared" si="17"/>
        <v>06 Dec 2023</v>
      </c>
      <c r="M158" t="str">
        <f t="shared" si="18"/>
        <v/>
      </c>
      <c r="N158" t="str">
        <f t="shared" si="19"/>
        <v>11/25/2023</v>
      </c>
      <c r="O158" t="str">
        <f t="shared" si="20"/>
        <v/>
      </c>
      <c r="P158" t="str">
        <f t="shared" si="21"/>
        <v/>
      </c>
      <c r="Q158" t="str">
        <f t="shared" si="22"/>
        <v/>
      </c>
      <c r="R158" t="str">
        <f t="shared" si="23"/>
        <v/>
      </c>
    </row>
    <row r="159" spans="1:18" x14ac:dyDescent="0.25">
      <c r="A159">
        <f>ROW()</f>
        <v>159</v>
      </c>
      <c r="D159" t="s">
        <v>254</v>
      </c>
      <c r="E159" t="s">
        <v>260</v>
      </c>
      <c r="G159">
        <v>40000</v>
      </c>
      <c r="J159" t="str">
        <f>IF(A159&lt;WORKSHEET!$R$2,WORKSHEET!$C$2,IF(B159="Air Waybill Number",C159,J158))</f>
        <v>774216971908</v>
      </c>
      <c r="K159" t="str">
        <f t="shared" si="16"/>
        <v>870048771</v>
      </c>
      <c r="L159" t="str">
        <f t="shared" si="17"/>
        <v>06 Dec 2023</v>
      </c>
      <c r="M159" t="str">
        <f t="shared" si="18"/>
        <v/>
      </c>
      <c r="N159" t="str">
        <f t="shared" si="19"/>
        <v>11/25/2023</v>
      </c>
      <c r="O159" t="str">
        <f t="shared" si="20"/>
        <v/>
      </c>
      <c r="P159" t="str">
        <f t="shared" si="21"/>
        <v/>
      </c>
      <c r="Q159" t="str">
        <f t="shared" si="22"/>
        <v/>
      </c>
      <c r="R159" t="str">
        <f t="shared" si="23"/>
        <v/>
      </c>
    </row>
    <row r="160" spans="1:18" x14ac:dyDescent="0.25">
      <c r="A160">
        <f>ROW()</f>
        <v>160</v>
      </c>
      <c r="D160" t="s">
        <v>261</v>
      </c>
      <c r="G160">
        <v>7069</v>
      </c>
      <c r="J160" t="str">
        <f>IF(A160&lt;WORKSHEET!$R$2,WORKSHEET!$C$2,IF(B160="Air Waybill Number",C160,J159))</f>
        <v>774216971908</v>
      </c>
      <c r="K160" t="str">
        <f t="shared" si="16"/>
        <v>870048771</v>
      </c>
      <c r="L160" t="str">
        <f t="shared" si="17"/>
        <v>06 Dec 2023</v>
      </c>
      <c r="M160" t="str">
        <f t="shared" si="18"/>
        <v/>
      </c>
      <c r="N160" t="str">
        <f t="shared" si="19"/>
        <v>11/25/2023</v>
      </c>
      <c r="O160" t="str">
        <f t="shared" si="20"/>
        <v/>
      </c>
      <c r="P160" t="str">
        <f t="shared" si="21"/>
        <v/>
      </c>
      <c r="Q160" t="str">
        <f t="shared" si="22"/>
        <v/>
      </c>
      <c r="R160" t="str">
        <f t="shared" si="23"/>
        <v/>
      </c>
    </row>
    <row r="161" spans="1:18" x14ac:dyDescent="0.25">
      <c r="A161">
        <f>ROW()</f>
        <v>161</v>
      </c>
      <c r="D161" t="s">
        <v>14</v>
      </c>
      <c r="G161">
        <v>649758</v>
      </c>
      <c r="J161" t="str">
        <f>IF(A161&lt;WORKSHEET!$R$2,WORKSHEET!$C$2,IF(B161="Air Waybill Number",C161,J160))</f>
        <v>774216971908</v>
      </c>
      <c r="K161" t="str">
        <f t="shared" si="16"/>
        <v>870048771</v>
      </c>
      <c r="L161" t="str">
        <f t="shared" si="17"/>
        <v>06 Dec 2023</v>
      </c>
      <c r="M161" t="str">
        <f t="shared" si="18"/>
        <v/>
      </c>
      <c r="N161" t="str">
        <f t="shared" si="19"/>
        <v>11/25/2023</v>
      </c>
      <c r="O161" t="str">
        <f t="shared" si="20"/>
        <v/>
      </c>
      <c r="P161" t="str">
        <f t="shared" si="21"/>
        <v/>
      </c>
      <c r="Q161" t="str">
        <f t="shared" si="22"/>
        <v/>
      </c>
      <c r="R161" t="str">
        <f t="shared" si="23"/>
        <v/>
      </c>
    </row>
    <row r="162" spans="1:18" x14ac:dyDescent="0.25">
      <c r="A162">
        <f>ROW()</f>
        <v>162</v>
      </c>
      <c r="B162" t="s">
        <v>221</v>
      </c>
      <c r="C162" t="s">
        <v>60</v>
      </c>
      <c r="J162" t="str">
        <f>IF(A162&lt;WORKSHEET!$R$2,WORKSHEET!$C$2,IF(B162="Air Waybill Number",C162,J161))</f>
        <v>774216971908</v>
      </c>
      <c r="K162" t="str">
        <f t="shared" si="16"/>
        <v>869971222</v>
      </c>
      <c r="L162" t="str">
        <f t="shared" si="17"/>
        <v>06 Dec 2023</v>
      </c>
      <c r="M162" t="str">
        <f t="shared" si="18"/>
        <v/>
      </c>
      <c r="N162" t="str">
        <f t="shared" si="19"/>
        <v>11/25/2023</v>
      </c>
      <c r="O162" t="str">
        <f t="shared" si="20"/>
        <v/>
      </c>
      <c r="P162" t="str">
        <f t="shared" si="21"/>
        <v/>
      </c>
      <c r="Q162" t="str">
        <f t="shared" si="22"/>
        <v/>
      </c>
      <c r="R162" t="str">
        <f t="shared" si="23"/>
        <v/>
      </c>
    </row>
    <row r="163" spans="1:18" x14ac:dyDescent="0.25">
      <c r="A163">
        <f>ROW()</f>
        <v>163</v>
      </c>
      <c r="B163" t="s">
        <v>222</v>
      </c>
      <c r="C163" t="s">
        <v>372</v>
      </c>
      <c r="J163" t="str">
        <f>IF(A163&lt;WORKSHEET!$R$2,WORKSHEET!$C$2,IF(B163="Air Waybill Number",C163,J162))</f>
        <v>774216971908</v>
      </c>
      <c r="K163" t="str">
        <f t="shared" si="16"/>
        <v>869971222</v>
      </c>
      <c r="L163" t="str">
        <f t="shared" si="17"/>
        <v>08 Nov 2023</v>
      </c>
      <c r="M163" t="str">
        <f t="shared" si="18"/>
        <v/>
      </c>
      <c r="N163" t="str">
        <f t="shared" si="19"/>
        <v>11/25/2023</v>
      </c>
      <c r="O163" t="str">
        <f t="shared" si="20"/>
        <v/>
      </c>
      <c r="P163" t="str">
        <f t="shared" si="21"/>
        <v/>
      </c>
      <c r="Q163" t="str">
        <f t="shared" si="22"/>
        <v/>
      </c>
      <c r="R163" t="str">
        <f t="shared" si="23"/>
        <v/>
      </c>
    </row>
    <row r="164" spans="1:18" x14ac:dyDescent="0.25">
      <c r="A164">
        <f>ROW()</f>
        <v>164</v>
      </c>
      <c r="B164" t="s">
        <v>224</v>
      </c>
      <c r="C164" t="s">
        <v>225</v>
      </c>
      <c r="J164" t="str">
        <f>IF(A164&lt;WORKSHEET!$R$2,WORKSHEET!$C$2,IF(B164="Air Waybill Number",C164,J163))</f>
        <v>774216971908</v>
      </c>
      <c r="K164" t="str">
        <f t="shared" si="16"/>
        <v>869971222</v>
      </c>
      <c r="L164" t="str">
        <f t="shared" si="17"/>
        <v>08 Nov 2023</v>
      </c>
      <c r="M164" t="str">
        <f t="shared" si="18"/>
        <v/>
      </c>
      <c r="N164" t="str">
        <f t="shared" si="19"/>
        <v>11/25/2023</v>
      </c>
      <c r="O164" t="str">
        <f t="shared" si="20"/>
        <v/>
      </c>
      <c r="P164" t="str">
        <f t="shared" si="21"/>
        <v/>
      </c>
      <c r="Q164" t="str">
        <f t="shared" si="22"/>
        <v/>
      </c>
      <c r="R164" t="str">
        <f t="shared" si="23"/>
        <v/>
      </c>
    </row>
    <row r="165" spans="1:18" x14ac:dyDescent="0.25">
      <c r="A165">
        <f>ROW()</f>
        <v>165</v>
      </c>
      <c r="B165" t="s">
        <v>226</v>
      </c>
      <c r="C165" t="s">
        <v>373</v>
      </c>
      <c r="D165" t="s">
        <v>357</v>
      </c>
      <c r="E165" t="s">
        <v>229</v>
      </c>
      <c r="J165" t="str">
        <f>IF(A165&lt;WORKSHEET!$R$2,WORKSHEET!$C$2,IF(B165="Air Waybill Number",C165,J164))</f>
        <v>774216971908</v>
      </c>
      <c r="K165" t="str">
        <f t="shared" si="16"/>
        <v>869971222</v>
      </c>
      <c r="L165" t="str">
        <f t="shared" si="17"/>
        <v>08 Nov 2023</v>
      </c>
      <c r="M165" t="str">
        <f t="shared" si="18"/>
        <v/>
      </c>
      <c r="N165" t="str">
        <f t="shared" si="19"/>
        <v>10/27/2023</v>
      </c>
      <c r="O165" t="str">
        <f t="shared" si="20"/>
        <v>SHENYANG</v>
      </c>
      <c r="P165" t="str">
        <f t="shared" si="21"/>
        <v>JIANGSU</v>
      </c>
      <c r="Q165" t="str">
        <f t="shared" si="22"/>
        <v>MERCY /SUMI/GITA</v>
      </c>
      <c r="R165" t="str">
        <f t="shared" si="23"/>
        <v>PT GISTEX GARMEN INDONESIA</v>
      </c>
    </row>
    <row r="166" spans="1:18" x14ac:dyDescent="0.25">
      <c r="A166">
        <f>ROW()</f>
        <v>166</v>
      </c>
      <c r="B166" t="s">
        <v>230</v>
      </c>
      <c r="C166" t="s">
        <v>374</v>
      </c>
      <c r="D166" t="s">
        <v>56</v>
      </c>
      <c r="E166" t="s">
        <v>359</v>
      </c>
      <c r="F166" t="s">
        <v>360</v>
      </c>
      <c r="J166" t="str">
        <f>IF(A166&lt;WORKSHEET!$R$2,WORKSHEET!$C$2,IF(B166="Air Waybill Number",C166,J165))</f>
        <v>774216971908</v>
      </c>
      <c r="K166" t="str">
        <f t="shared" si="16"/>
        <v>869971222</v>
      </c>
      <c r="L166" t="str">
        <f t="shared" si="17"/>
        <v>08 Nov 2023</v>
      </c>
      <c r="M166" t="str">
        <f t="shared" si="18"/>
        <v/>
      </c>
      <c r="N166" t="str">
        <f t="shared" si="19"/>
        <v>10/27/2023</v>
      </c>
      <c r="O166" t="str">
        <f t="shared" si="20"/>
        <v/>
      </c>
      <c r="P166" t="str">
        <f t="shared" si="21"/>
        <v/>
      </c>
      <c r="Q166" t="str">
        <f t="shared" si="22"/>
        <v/>
      </c>
      <c r="R166" t="str">
        <f t="shared" si="23"/>
        <v/>
      </c>
    </row>
    <row r="167" spans="1:18" x14ac:dyDescent="0.25">
      <c r="A167">
        <f>ROW()</f>
        <v>167</v>
      </c>
      <c r="B167" t="s">
        <v>232</v>
      </c>
      <c r="C167" t="s">
        <v>61</v>
      </c>
      <c r="D167" t="s">
        <v>58</v>
      </c>
      <c r="E167" t="s">
        <v>23</v>
      </c>
      <c r="J167" t="str">
        <f>IF(A167&lt;WORKSHEET!$R$2,WORKSHEET!$C$2,IF(B167="Air Waybill Number",C167,J166))</f>
        <v>773869351020</v>
      </c>
      <c r="K167" t="str">
        <f t="shared" si="16"/>
        <v>869971222</v>
      </c>
      <c r="L167" t="str">
        <f t="shared" si="17"/>
        <v>08 Nov 2023</v>
      </c>
      <c r="M167" t="str">
        <f t="shared" si="18"/>
        <v>773869351020-1</v>
      </c>
      <c r="N167" t="str">
        <f t="shared" si="19"/>
        <v>10/27/2023</v>
      </c>
      <c r="O167" t="str">
        <f t="shared" si="20"/>
        <v/>
      </c>
      <c r="P167" t="str">
        <f t="shared" si="21"/>
        <v/>
      </c>
      <c r="Q167" t="str">
        <f t="shared" si="22"/>
        <v/>
      </c>
      <c r="R167" t="str">
        <f t="shared" si="23"/>
        <v/>
      </c>
    </row>
    <row r="168" spans="1:18" x14ac:dyDescent="0.25">
      <c r="A168">
        <f>ROW()</f>
        <v>168</v>
      </c>
      <c r="B168" t="s">
        <v>233</v>
      </c>
      <c r="C168" t="s">
        <v>375</v>
      </c>
      <c r="D168" t="s">
        <v>361</v>
      </c>
      <c r="E168" t="s">
        <v>362</v>
      </c>
      <c r="J168" t="str">
        <f>IF(A168&lt;WORKSHEET!$R$2,WORKSHEET!$C$2,IF(B168="Air Waybill Number",C168,J167))</f>
        <v>773869351020</v>
      </c>
      <c r="K168" t="str">
        <f t="shared" si="16"/>
        <v>869971222</v>
      </c>
      <c r="L168" t="str">
        <f t="shared" si="17"/>
        <v>08 Nov 2023</v>
      </c>
      <c r="M168" t="str">
        <f t="shared" si="18"/>
        <v/>
      </c>
      <c r="N168" t="str">
        <f t="shared" si="19"/>
        <v>10/27/2023</v>
      </c>
      <c r="O168" t="str">
        <f t="shared" si="20"/>
        <v/>
      </c>
      <c r="P168" t="str">
        <f t="shared" si="21"/>
        <v/>
      </c>
      <c r="Q168" t="str">
        <f t="shared" si="22"/>
        <v/>
      </c>
      <c r="R168" t="str">
        <f t="shared" si="23"/>
        <v/>
      </c>
    </row>
    <row r="169" spans="1:18" x14ac:dyDescent="0.25">
      <c r="A169">
        <f>ROW()</f>
        <v>169</v>
      </c>
      <c r="B169" t="s">
        <v>237</v>
      </c>
      <c r="C169" t="s">
        <v>238</v>
      </c>
      <c r="D169" t="s">
        <v>363</v>
      </c>
      <c r="E169" t="s">
        <v>364</v>
      </c>
      <c r="J169" t="str">
        <f>IF(A169&lt;WORKSHEET!$R$2,WORKSHEET!$C$2,IF(B169="Air Waybill Number",C169,J168))</f>
        <v>773869351020</v>
      </c>
      <c r="K169" t="str">
        <f t="shared" si="16"/>
        <v>869971222</v>
      </c>
      <c r="L169" t="str">
        <f t="shared" si="17"/>
        <v>08 Nov 2023</v>
      </c>
      <c r="M169" t="str">
        <f t="shared" si="18"/>
        <v/>
      </c>
      <c r="N169" t="str">
        <f t="shared" si="19"/>
        <v>10/27/2023</v>
      </c>
      <c r="O169" t="str">
        <f t="shared" si="20"/>
        <v/>
      </c>
      <c r="P169" t="str">
        <f t="shared" si="21"/>
        <v/>
      </c>
      <c r="Q169" t="str">
        <f t="shared" si="22"/>
        <v/>
      </c>
      <c r="R169" t="str">
        <f t="shared" si="23"/>
        <v/>
      </c>
    </row>
    <row r="170" spans="1:18" x14ac:dyDescent="0.25">
      <c r="A170">
        <f>ROW()</f>
        <v>170</v>
      </c>
      <c r="B170" t="s">
        <v>241</v>
      </c>
      <c r="C170" t="s">
        <v>285</v>
      </c>
      <c r="D170" t="s">
        <v>365</v>
      </c>
      <c r="E170" t="s">
        <v>274</v>
      </c>
      <c r="F170" t="s">
        <v>284</v>
      </c>
      <c r="J170" t="str">
        <f>IF(A170&lt;WORKSHEET!$R$2,WORKSHEET!$C$2,IF(B170="Air Waybill Number",C170,J169))</f>
        <v>773869351020</v>
      </c>
      <c r="K170" t="str">
        <f t="shared" si="16"/>
        <v>869971222</v>
      </c>
      <c r="L170" t="str">
        <f t="shared" si="17"/>
        <v>08 Nov 2023</v>
      </c>
      <c r="M170" t="str">
        <f t="shared" si="18"/>
        <v/>
      </c>
      <c r="N170" t="str">
        <f t="shared" si="19"/>
        <v>10/27/2023</v>
      </c>
      <c r="O170" t="str">
        <f t="shared" si="20"/>
        <v/>
      </c>
      <c r="P170" t="str">
        <f t="shared" si="21"/>
        <v/>
      </c>
      <c r="Q170" t="str">
        <f t="shared" si="22"/>
        <v/>
      </c>
      <c r="R170" t="str">
        <f t="shared" si="23"/>
        <v/>
      </c>
    </row>
    <row r="171" spans="1:18" x14ac:dyDescent="0.25">
      <c r="A171">
        <f>ROW()</f>
        <v>171</v>
      </c>
      <c r="B171" t="s">
        <v>245</v>
      </c>
      <c r="C171" t="s">
        <v>246</v>
      </c>
      <c r="J171" t="str">
        <f>IF(A171&lt;WORKSHEET!$R$2,WORKSHEET!$C$2,IF(B171="Air Waybill Number",C171,J170))</f>
        <v>773869351020</v>
      </c>
      <c r="K171" t="str">
        <f t="shared" si="16"/>
        <v>869971222</v>
      </c>
      <c r="L171" t="str">
        <f t="shared" si="17"/>
        <v>08 Nov 2023</v>
      </c>
      <c r="M171" t="str">
        <f t="shared" si="18"/>
        <v/>
      </c>
      <c r="N171" t="str">
        <f t="shared" si="19"/>
        <v>10/27/2023</v>
      </c>
      <c r="O171" t="str">
        <f t="shared" si="20"/>
        <v/>
      </c>
      <c r="P171" t="str">
        <f t="shared" si="21"/>
        <v/>
      </c>
      <c r="Q171" t="str">
        <f t="shared" si="22"/>
        <v/>
      </c>
      <c r="R171" t="str">
        <f t="shared" si="23"/>
        <v/>
      </c>
    </row>
    <row r="172" spans="1:18" x14ac:dyDescent="0.25">
      <c r="A172">
        <f>ROW()</f>
        <v>172</v>
      </c>
      <c r="B172" t="s">
        <v>247</v>
      </c>
      <c r="D172" t="s">
        <v>248</v>
      </c>
      <c r="G172">
        <v>1448000</v>
      </c>
      <c r="J172" t="str">
        <f>IF(A172&lt;WORKSHEET!$R$2,WORKSHEET!$C$2,IF(B172="Air Waybill Number",C172,J171))</f>
        <v>773869351020</v>
      </c>
      <c r="K172" t="str">
        <f t="shared" si="16"/>
        <v>869971222</v>
      </c>
      <c r="L172" t="str">
        <f t="shared" si="17"/>
        <v>08 Nov 2023</v>
      </c>
      <c r="M172" t="str">
        <f t="shared" si="18"/>
        <v/>
      </c>
      <c r="N172" t="str">
        <f t="shared" si="19"/>
        <v>10/27/2023</v>
      </c>
      <c r="O172" t="str">
        <f t="shared" si="20"/>
        <v/>
      </c>
      <c r="P172" t="str">
        <f t="shared" si="21"/>
        <v/>
      </c>
      <c r="Q172" t="str">
        <f t="shared" si="22"/>
        <v/>
      </c>
      <c r="R172" t="str">
        <f t="shared" si="23"/>
        <v/>
      </c>
    </row>
    <row r="173" spans="1:18" x14ac:dyDescent="0.25">
      <c r="A173">
        <f>ROW()</f>
        <v>173</v>
      </c>
      <c r="B173" t="s">
        <v>249</v>
      </c>
      <c r="C173" t="s">
        <v>376</v>
      </c>
      <c r="D173" t="s">
        <v>251</v>
      </c>
      <c r="E173" t="s">
        <v>252</v>
      </c>
      <c r="G173">
        <v>-1194600</v>
      </c>
      <c r="J173" t="str">
        <f>IF(A173&lt;WORKSHEET!$R$2,WORKSHEET!$C$2,IF(B173="Air Waybill Number",C173,J172))</f>
        <v>773869351020</v>
      </c>
      <c r="K173" t="str">
        <f t="shared" si="16"/>
        <v>869971222</v>
      </c>
      <c r="L173" t="str">
        <f t="shared" si="17"/>
        <v>08 Nov 2023</v>
      </c>
      <c r="M173" t="str">
        <f t="shared" si="18"/>
        <v/>
      </c>
      <c r="N173" t="str">
        <f t="shared" si="19"/>
        <v>10/27/2023</v>
      </c>
      <c r="O173" t="str">
        <f t="shared" si="20"/>
        <v/>
      </c>
      <c r="P173" t="str">
        <f t="shared" si="21"/>
        <v/>
      </c>
      <c r="Q173" t="str">
        <f t="shared" si="22"/>
        <v/>
      </c>
      <c r="R173" t="str">
        <f t="shared" si="23"/>
        <v/>
      </c>
    </row>
    <row r="174" spans="1:18" x14ac:dyDescent="0.25">
      <c r="A174">
        <f>ROW()</f>
        <v>174</v>
      </c>
      <c r="C174" t="s">
        <v>277</v>
      </c>
      <c r="D174" t="s">
        <v>254</v>
      </c>
      <c r="E174" t="s">
        <v>12</v>
      </c>
      <c r="G174">
        <v>80820</v>
      </c>
      <c r="J174" t="str">
        <f>IF(A174&lt;WORKSHEET!$R$2,WORKSHEET!$C$2,IF(B174="Air Waybill Number",C174,J173))</f>
        <v>773869351020</v>
      </c>
      <c r="K174" t="str">
        <f t="shared" si="16"/>
        <v>869971222</v>
      </c>
      <c r="L174" t="str">
        <f t="shared" si="17"/>
        <v>08 Nov 2023</v>
      </c>
      <c r="M174" t="str">
        <f t="shared" si="18"/>
        <v/>
      </c>
      <c r="N174" t="str">
        <f t="shared" si="19"/>
        <v>10/27/2023</v>
      </c>
      <c r="O174" t="str">
        <f t="shared" si="20"/>
        <v/>
      </c>
      <c r="P174" t="str">
        <f t="shared" si="21"/>
        <v/>
      </c>
      <c r="Q174" t="str">
        <f t="shared" si="22"/>
        <v/>
      </c>
      <c r="R174" t="str">
        <f t="shared" si="23"/>
        <v/>
      </c>
    </row>
    <row r="175" spans="1:18" x14ac:dyDescent="0.25">
      <c r="A175">
        <f>ROW()</f>
        <v>175</v>
      </c>
      <c r="D175" t="s">
        <v>254</v>
      </c>
      <c r="E175" t="s">
        <v>260</v>
      </c>
      <c r="G175">
        <v>16000</v>
      </c>
      <c r="J175" t="str">
        <f>IF(A175&lt;WORKSHEET!$R$2,WORKSHEET!$C$2,IF(B175="Air Waybill Number",C175,J174))</f>
        <v>773869351020</v>
      </c>
      <c r="K175" t="str">
        <f t="shared" si="16"/>
        <v>869971222</v>
      </c>
      <c r="L175" t="str">
        <f t="shared" si="17"/>
        <v>08 Nov 2023</v>
      </c>
      <c r="M175" t="str">
        <f t="shared" si="18"/>
        <v/>
      </c>
      <c r="N175" t="str">
        <f t="shared" si="19"/>
        <v>10/27/2023</v>
      </c>
      <c r="O175" t="str">
        <f t="shared" si="20"/>
        <v/>
      </c>
      <c r="P175" t="str">
        <f t="shared" si="21"/>
        <v/>
      </c>
      <c r="Q175" t="str">
        <f t="shared" si="22"/>
        <v/>
      </c>
      <c r="R175" t="str">
        <f t="shared" si="23"/>
        <v/>
      </c>
    </row>
    <row r="176" spans="1:18" x14ac:dyDescent="0.25">
      <c r="A176">
        <f>ROW()</f>
        <v>176</v>
      </c>
      <c r="D176" t="s">
        <v>261</v>
      </c>
      <c r="G176">
        <v>3852</v>
      </c>
      <c r="J176" t="str">
        <f>IF(A176&lt;WORKSHEET!$R$2,WORKSHEET!$C$2,IF(B176="Air Waybill Number",C176,J175))</f>
        <v>773869351020</v>
      </c>
      <c r="K176" t="str">
        <f t="shared" si="16"/>
        <v>869971222</v>
      </c>
      <c r="L176" t="str">
        <f t="shared" si="17"/>
        <v>08 Nov 2023</v>
      </c>
      <c r="M176" t="str">
        <f t="shared" si="18"/>
        <v/>
      </c>
      <c r="N176" t="str">
        <f t="shared" si="19"/>
        <v>10/27/2023</v>
      </c>
      <c r="O176" t="str">
        <f t="shared" si="20"/>
        <v/>
      </c>
      <c r="P176" t="str">
        <f t="shared" si="21"/>
        <v/>
      </c>
      <c r="Q176" t="str">
        <f t="shared" si="22"/>
        <v/>
      </c>
      <c r="R176" t="str">
        <f t="shared" si="23"/>
        <v/>
      </c>
    </row>
    <row r="177" spans="1:18" x14ac:dyDescent="0.25">
      <c r="A177">
        <f>ROW()</f>
        <v>177</v>
      </c>
      <c r="D177" t="s">
        <v>14</v>
      </c>
      <c r="G177">
        <v>354072</v>
      </c>
      <c r="J177" t="str">
        <f>IF(A177&lt;WORKSHEET!$R$2,WORKSHEET!$C$2,IF(B177="Air Waybill Number",C177,J176))</f>
        <v>773869351020</v>
      </c>
      <c r="K177" t="str">
        <f t="shared" si="16"/>
        <v>869971222</v>
      </c>
      <c r="L177" t="str">
        <f t="shared" si="17"/>
        <v>08 Nov 2023</v>
      </c>
      <c r="M177" t="str">
        <f t="shared" si="18"/>
        <v/>
      </c>
      <c r="N177" t="str">
        <f t="shared" si="19"/>
        <v>10/27/2023</v>
      </c>
      <c r="O177" t="str">
        <f t="shared" si="20"/>
        <v/>
      </c>
      <c r="P177" t="str">
        <f t="shared" si="21"/>
        <v/>
      </c>
      <c r="Q177" t="str">
        <f t="shared" si="22"/>
        <v/>
      </c>
      <c r="R177" t="str">
        <f t="shared" si="23"/>
        <v/>
      </c>
    </row>
    <row r="178" spans="1:18" x14ac:dyDescent="0.25">
      <c r="A178">
        <f>ROW()</f>
        <v>178</v>
      </c>
      <c r="D178" t="s">
        <v>377</v>
      </c>
      <c r="J178" t="str">
        <f>IF(A178&lt;WORKSHEET!$R$2,WORKSHEET!$C$2,IF(B178="Air Waybill Number",C178,J177))</f>
        <v>773869351020</v>
      </c>
      <c r="K178" t="str">
        <f t="shared" si="16"/>
        <v>869971222</v>
      </c>
      <c r="L178" t="str">
        <f t="shared" si="17"/>
        <v>08 Nov 2023</v>
      </c>
      <c r="M178" t="str">
        <f t="shared" si="18"/>
        <v/>
      </c>
      <c r="N178" t="str">
        <f t="shared" si="19"/>
        <v>10/27/2023</v>
      </c>
      <c r="O178" t="str">
        <f t="shared" si="20"/>
        <v/>
      </c>
      <c r="P178" t="str">
        <f t="shared" si="21"/>
        <v/>
      </c>
      <c r="Q178" t="str">
        <f t="shared" si="22"/>
        <v/>
      </c>
      <c r="R178" t="str">
        <f t="shared" si="23"/>
        <v/>
      </c>
    </row>
    <row r="179" spans="1:18" x14ac:dyDescent="0.25">
      <c r="A179">
        <f>ROW()</f>
        <v>179</v>
      </c>
      <c r="B179" t="s">
        <v>226</v>
      </c>
      <c r="C179" t="s">
        <v>373</v>
      </c>
      <c r="D179" t="s">
        <v>378</v>
      </c>
      <c r="E179" t="s">
        <v>229</v>
      </c>
      <c r="J179" t="str">
        <f>IF(A179&lt;WORKSHEET!$R$2,WORKSHEET!$C$2,IF(B179="Air Waybill Number",C179,J178))</f>
        <v>773869351020</v>
      </c>
      <c r="K179" t="str">
        <f t="shared" si="16"/>
        <v>869971222</v>
      </c>
      <c r="L179" t="str">
        <f t="shared" si="17"/>
        <v>08 Nov 2023</v>
      </c>
      <c r="M179" t="str">
        <f t="shared" si="18"/>
        <v/>
      </c>
      <c r="N179" t="str">
        <f t="shared" si="19"/>
        <v>10/27/2023</v>
      </c>
      <c r="O179" t="str">
        <f t="shared" si="20"/>
        <v>CISSY</v>
      </c>
      <c r="P179" t="str">
        <f t="shared" si="21"/>
        <v>JIANGSU GOLDEN AUTUMN ELASTIC</v>
      </c>
      <c r="Q179" t="str">
        <f t="shared" si="22"/>
        <v>SRI BUDIARTI</v>
      </c>
      <c r="R179" t="str">
        <f t="shared" si="23"/>
        <v>PT. GISTEX GARMEN INDONESIA</v>
      </c>
    </row>
    <row r="180" spans="1:18" x14ac:dyDescent="0.25">
      <c r="A180">
        <f>ROW()</f>
        <v>180</v>
      </c>
      <c r="B180" t="s">
        <v>230</v>
      </c>
      <c r="C180" t="s">
        <v>374</v>
      </c>
      <c r="D180" t="s">
        <v>62</v>
      </c>
      <c r="E180" t="s">
        <v>63</v>
      </c>
      <c r="J180" t="str">
        <f>IF(A180&lt;WORKSHEET!$R$2,WORKSHEET!$C$2,IF(B180="Air Waybill Number",C180,J179))</f>
        <v>773869351020</v>
      </c>
      <c r="K180" t="str">
        <f t="shared" si="16"/>
        <v>869971222</v>
      </c>
      <c r="L180" t="str">
        <f t="shared" si="17"/>
        <v>08 Nov 2023</v>
      </c>
      <c r="M180" t="str">
        <f t="shared" si="18"/>
        <v/>
      </c>
      <c r="N180" t="str">
        <f t="shared" si="19"/>
        <v>10/27/2023</v>
      </c>
      <c r="O180" t="str">
        <f t="shared" si="20"/>
        <v/>
      </c>
      <c r="P180" t="str">
        <f t="shared" si="21"/>
        <v/>
      </c>
      <c r="Q180" t="str">
        <f t="shared" si="22"/>
        <v/>
      </c>
      <c r="R180" t="str">
        <f t="shared" si="23"/>
        <v/>
      </c>
    </row>
    <row r="181" spans="1:18" x14ac:dyDescent="0.25">
      <c r="A181">
        <f>ROW()</f>
        <v>181</v>
      </c>
      <c r="B181" t="s">
        <v>232</v>
      </c>
      <c r="C181" t="s">
        <v>64</v>
      </c>
      <c r="D181" t="s">
        <v>65</v>
      </c>
      <c r="E181" t="s">
        <v>38</v>
      </c>
      <c r="J181" t="str">
        <f>IF(A181&lt;WORKSHEET!$R$2,WORKSHEET!$C$2,IF(B181="Air Waybill Number",C181,J180))</f>
        <v>773870191217</v>
      </c>
      <c r="K181" t="str">
        <f t="shared" si="16"/>
        <v>869971222</v>
      </c>
      <c r="L181" t="str">
        <f t="shared" si="17"/>
        <v>08 Nov 2023</v>
      </c>
      <c r="M181" t="str">
        <f t="shared" si="18"/>
        <v>773870191217-1</v>
      </c>
      <c r="N181" t="str">
        <f t="shared" si="19"/>
        <v>10/27/2023</v>
      </c>
      <c r="O181" t="str">
        <f t="shared" si="20"/>
        <v/>
      </c>
      <c r="P181" t="str">
        <f t="shared" si="21"/>
        <v/>
      </c>
      <c r="Q181" t="str">
        <f t="shared" si="22"/>
        <v/>
      </c>
      <c r="R181" t="str">
        <f t="shared" si="23"/>
        <v/>
      </c>
    </row>
    <row r="182" spans="1:18" x14ac:dyDescent="0.25">
      <c r="A182">
        <f>ROW()</f>
        <v>182</v>
      </c>
      <c r="B182" t="s">
        <v>233</v>
      </c>
      <c r="C182" t="s">
        <v>279</v>
      </c>
      <c r="D182" t="s">
        <v>379</v>
      </c>
      <c r="E182" t="s">
        <v>380</v>
      </c>
      <c r="J182" t="str">
        <f>IF(A182&lt;WORKSHEET!$R$2,WORKSHEET!$C$2,IF(B182="Air Waybill Number",C182,J181))</f>
        <v>773870191217</v>
      </c>
      <c r="K182" t="str">
        <f t="shared" si="16"/>
        <v>869971222</v>
      </c>
      <c r="L182" t="str">
        <f t="shared" si="17"/>
        <v>08 Nov 2023</v>
      </c>
      <c r="M182" t="str">
        <f t="shared" si="18"/>
        <v/>
      </c>
      <c r="N182" t="str">
        <f t="shared" si="19"/>
        <v>10/27/2023</v>
      </c>
      <c r="O182" t="str">
        <f t="shared" si="20"/>
        <v/>
      </c>
      <c r="P182" t="str">
        <f t="shared" si="21"/>
        <v/>
      </c>
      <c r="Q182" t="str">
        <f t="shared" si="22"/>
        <v/>
      </c>
      <c r="R182" t="str">
        <f t="shared" si="23"/>
        <v/>
      </c>
    </row>
    <row r="183" spans="1:18" x14ac:dyDescent="0.25">
      <c r="A183">
        <f>ROW()</f>
        <v>183</v>
      </c>
      <c r="B183" t="s">
        <v>237</v>
      </c>
      <c r="C183" t="s">
        <v>238</v>
      </c>
      <c r="D183" t="s">
        <v>381</v>
      </c>
      <c r="E183" t="s">
        <v>271</v>
      </c>
      <c r="J183" t="str">
        <f>IF(A183&lt;WORKSHEET!$R$2,WORKSHEET!$C$2,IF(B183="Air Waybill Number",C183,J182))</f>
        <v>773870191217</v>
      </c>
      <c r="K183" t="str">
        <f t="shared" si="16"/>
        <v>869971222</v>
      </c>
      <c r="L183" t="str">
        <f t="shared" si="17"/>
        <v>08 Nov 2023</v>
      </c>
      <c r="M183" t="str">
        <f t="shared" si="18"/>
        <v/>
      </c>
      <c r="N183" t="str">
        <f t="shared" si="19"/>
        <v>10/27/2023</v>
      </c>
      <c r="O183" t="str">
        <f t="shared" si="20"/>
        <v/>
      </c>
      <c r="P183" t="str">
        <f t="shared" si="21"/>
        <v/>
      </c>
      <c r="Q183" t="str">
        <f t="shared" si="22"/>
        <v/>
      </c>
      <c r="R183" t="str">
        <f t="shared" si="23"/>
        <v/>
      </c>
    </row>
    <row r="184" spans="1:18" x14ac:dyDescent="0.25">
      <c r="A184">
        <f>ROW()</f>
        <v>184</v>
      </c>
      <c r="B184" t="s">
        <v>241</v>
      </c>
      <c r="C184" t="s">
        <v>295</v>
      </c>
      <c r="E184" t="s">
        <v>274</v>
      </c>
      <c r="F184" t="s">
        <v>275</v>
      </c>
      <c r="J184" t="str">
        <f>IF(A184&lt;WORKSHEET!$R$2,WORKSHEET!$C$2,IF(B184="Air Waybill Number",C184,J183))</f>
        <v>773870191217</v>
      </c>
      <c r="K184" t="str">
        <f t="shared" si="16"/>
        <v>869971222</v>
      </c>
      <c r="L184" t="str">
        <f t="shared" si="17"/>
        <v>08 Nov 2023</v>
      </c>
      <c r="M184" t="str">
        <f t="shared" si="18"/>
        <v/>
      </c>
      <c r="N184" t="str">
        <f t="shared" si="19"/>
        <v>10/27/2023</v>
      </c>
      <c r="O184" t="str">
        <f t="shared" si="20"/>
        <v/>
      </c>
      <c r="P184" t="str">
        <f t="shared" si="21"/>
        <v/>
      </c>
      <c r="Q184" t="str">
        <f t="shared" si="22"/>
        <v/>
      </c>
      <c r="R184" t="str">
        <f t="shared" si="23"/>
        <v/>
      </c>
    </row>
    <row r="185" spans="1:18" x14ac:dyDescent="0.25">
      <c r="A185">
        <f>ROW()</f>
        <v>185</v>
      </c>
      <c r="B185" t="s">
        <v>245</v>
      </c>
      <c r="C185" t="s">
        <v>246</v>
      </c>
      <c r="J185" t="str">
        <f>IF(A185&lt;WORKSHEET!$R$2,WORKSHEET!$C$2,IF(B185="Air Waybill Number",C185,J184))</f>
        <v>773870191217</v>
      </c>
      <c r="K185" t="str">
        <f t="shared" si="16"/>
        <v>869971222</v>
      </c>
      <c r="L185" t="str">
        <f t="shared" si="17"/>
        <v>08 Nov 2023</v>
      </c>
      <c r="M185" t="str">
        <f t="shared" si="18"/>
        <v/>
      </c>
      <c r="N185" t="str">
        <f t="shared" si="19"/>
        <v>10/27/2023</v>
      </c>
      <c r="O185" t="str">
        <f t="shared" si="20"/>
        <v/>
      </c>
      <c r="P185" t="str">
        <f t="shared" si="21"/>
        <v/>
      </c>
      <c r="Q185" t="str">
        <f t="shared" si="22"/>
        <v/>
      </c>
      <c r="R185" t="str">
        <f t="shared" si="23"/>
        <v/>
      </c>
    </row>
    <row r="186" spans="1:18" x14ac:dyDescent="0.25">
      <c r="A186">
        <f>ROW()</f>
        <v>186</v>
      </c>
      <c r="B186" t="s">
        <v>247</v>
      </c>
      <c r="D186" t="s">
        <v>248</v>
      </c>
      <c r="G186">
        <v>700000</v>
      </c>
      <c r="J186" t="str">
        <f>IF(A186&lt;WORKSHEET!$R$2,WORKSHEET!$C$2,IF(B186="Air Waybill Number",C186,J185))</f>
        <v>773870191217</v>
      </c>
      <c r="K186" t="str">
        <f t="shared" si="16"/>
        <v>869971222</v>
      </c>
      <c r="L186" t="str">
        <f t="shared" si="17"/>
        <v>08 Nov 2023</v>
      </c>
      <c r="M186" t="str">
        <f t="shared" si="18"/>
        <v/>
      </c>
      <c r="N186" t="str">
        <f t="shared" si="19"/>
        <v>10/27/2023</v>
      </c>
      <c r="O186" t="str">
        <f t="shared" si="20"/>
        <v/>
      </c>
      <c r="P186" t="str">
        <f t="shared" si="21"/>
        <v/>
      </c>
      <c r="Q186" t="str">
        <f t="shared" si="22"/>
        <v/>
      </c>
      <c r="R186" t="str">
        <f t="shared" si="23"/>
        <v/>
      </c>
    </row>
    <row r="187" spans="1:18" x14ac:dyDescent="0.25">
      <c r="A187">
        <f>ROW()</f>
        <v>187</v>
      </c>
      <c r="B187" t="s">
        <v>249</v>
      </c>
      <c r="C187" t="s">
        <v>376</v>
      </c>
      <c r="D187" t="s">
        <v>251</v>
      </c>
      <c r="E187" t="s">
        <v>252</v>
      </c>
      <c r="G187">
        <v>-520240</v>
      </c>
      <c r="J187" t="str">
        <f>IF(A187&lt;WORKSHEET!$R$2,WORKSHEET!$C$2,IF(B187="Air Waybill Number",C187,J186))</f>
        <v>773870191217</v>
      </c>
      <c r="K187" t="str">
        <f t="shared" si="16"/>
        <v>869971222</v>
      </c>
      <c r="L187" t="str">
        <f t="shared" si="17"/>
        <v>08 Nov 2023</v>
      </c>
      <c r="M187" t="str">
        <f t="shared" si="18"/>
        <v/>
      </c>
      <c r="N187" t="str">
        <f t="shared" si="19"/>
        <v>10/27/2023</v>
      </c>
      <c r="O187" t="str">
        <f t="shared" si="20"/>
        <v/>
      </c>
      <c r="P187" t="str">
        <f t="shared" si="21"/>
        <v/>
      </c>
      <c r="Q187" t="str">
        <f t="shared" si="22"/>
        <v/>
      </c>
      <c r="R187" t="str">
        <f t="shared" si="23"/>
        <v/>
      </c>
    </row>
    <row r="188" spans="1:18" x14ac:dyDescent="0.25">
      <c r="A188">
        <f>ROW()</f>
        <v>188</v>
      </c>
      <c r="C188" t="s">
        <v>277</v>
      </c>
      <c r="D188" t="s">
        <v>254</v>
      </c>
      <c r="E188" t="s">
        <v>12</v>
      </c>
      <c r="G188">
        <v>58728</v>
      </c>
      <c r="J188" t="str">
        <f>IF(A188&lt;WORKSHEET!$R$2,WORKSHEET!$C$2,IF(B188="Air Waybill Number",C188,J187))</f>
        <v>773870191217</v>
      </c>
      <c r="K188" t="str">
        <f t="shared" si="16"/>
        <v>869971222</v>
      </c>
      <c r="L188" t="str">
        <f t="shared" si="17"/>
        <v>08 Nov 2023</v>
      </c>
      <c r="M188" t="str">
        <f t="shared" si="18"/>
        <v/>
      </c>
      <c r="N188" t="str">
        <f t="shared" si="19"/>
        <v>10/27/2023</v>
      </c>
      <c r="O188" t="str">
        <f t="shared" si="20"/>
        <v/>
      </c>
      <c r="P188" t="str">
        <f t="shared" si="21"/>
        <v/>
      </c>
      <c r="Q188" t="str">
        <f t="shared" si="22"/>
        <v/>
      </c>
      <c r="R188" t="str">
        <f t="shared" si="23"/>
        <v/>
      </c>
    </row>
    <row r="189" spans="1:18" x14ac:dyDescent="0.25">
      <c r="A189">
        <f>ROW()</f>
        <v>189</v>
      </c>
      <c r="D189" t="s">
        <v>254</v>
      </c>
      <c r="E189" t="s">
        <v>260</v>
      </c>
      <c r="G189">
        <v>16000</v>
      </c>
      <c r="J189" t="str">
        <f>IF(A189&lt;WORKSHEET!$R$2,WORKSHEET!$C$2,IF(B189="Air Waybill Number",C189,J188))</f>
        <v>773870191217</v>
      </c>
      <c r="K189" t="str">
        <f t="shared" si="16"/>
        <v>869971222</v>
      </c>
      <c r="L189" t="str">
        <f t="shared" si="17"/>
        <v>08 Nov 2023</v>
      </c>
      <c r="M189" t="str">
        <f t="shared" si="18"/>
        <v/>
      </c>
      <c r="N189" t="str">
        <f t="shared" si="19"/>
        <v>10/27/2023</v>
      </c>
      <c r="O189" t="str">
        <f t="shared" si="20"/>
        <v/>
      </c>
      <c r="P189" t="str">
        <f t="shared" si="21"/>
        <v/>
      </c>
      <c r="Q189" t="str">
        <f t="shared" si="22"/>
        <v/>
      </c>
      <c r="R189" t="str">
        <f t="shared" si="23"/>
        <v/>
      </c>
    </row>
    <row r="190" spans="1:18" x14ac:dyDescent="0.25">
      <c r="A190">
        <f>ROW()</f>
        <v>190</v>
      </c>
      <c r="D190" t="s">
        <v>261</v>
      </c>
      <c r="G190">
        <v>2799</v>
      </c>
      <c r="J190" t="str">
        <f>IF(A190&lt;WORKSHEET!$R$2,WORKSHEET!$C$2,IF(B190="Air Waybill Number",C190,J189))</f>
        <v>773870191217</v>
      </c>
      <c r="K190" t="str">
        <f t="shared" si="16"/>
        <v>869971222</v>
      </c>
      <c r="L190" t="str">
        <f t="shared" si="17"/>
        <v>08 Nov 2023</v>
      </c>
      <c r="M190" t="str">
        <f t="shared" si="18"/>
        <v/>
      </c>
      <c r="N190" t="str">
        <f t="shared" si="19"/>
        <v>10/27/2023</v>
      </c>
      <c r="O190" t="str">
        <f t="shared" si="20"/>
        <v/>
      </c>
      <c r="P190" t="str">
        <f t="shared" si="21"/>
        <v/>
      </c>
      <c r="Q190" t="str">
        <f t="shared" si="22"/>
        <v/>
      </c>
      <c r="R190" t="str">
        <f t="shared" si="23"/>
        <v/>
      </c>
    </row>
    <row r="191" spans="1:18" x14ac:dyDescent="0.25">
      <c r="A191">
        <f>ROW()</f>
        <v>191</v>
      </c>
      <c r="D191" t="s">
        <v>14</v>
      </c>
      <c r="G191">
        <v>257287</v>
      </c>
      <c r="J191" t="str">
        <f>IF(A191&lt;WORKSHEET!$R$2,WORKSHEET!$C$2,IF(B191="Air Waybill Number",C191,J190))</f>
        <v>773870191217</v>
      </c>
      <c r="K191" t="str">
        <f t="shared" si="16"/>
        <v>869971222</v>
      </c>
      <c r="L191" t="str">
        <f t="shared" si="17"/>
        <v>08 Nov 2023</v>
      </c>
      <c r="M191" t="str">
        <f t="shared" si="18"/>
        <v/>
      </c>
      <c r="N191" t="str">
        <f t="shared" si="19"/>
        <v>10/27/2023</v>
      </c>
      <c r="O191" t="str">
        <f t="shared" si="20"/>
        <v/>
      </c>
      <c r="P191" t="str">
        <f t="shared" si="21"/>
        <v/>
      </c>
      <c r="Q191" t="str">
        <f t="shared" si="22"/>
        <v/>
      </c>
      <c r="R191" t="str">
        <f t="shared" si="23"/>
        <v/>
      </c>
    </row>
    <row r="192" spans="1:18" x14ac:dyDescent="0.25">
      <c r="A192">
        <f>ROW()</f>
        <v>192</v>
      </c>
      <c r="D192" t="s">
        <v>377</v>
      </c>
      <c r="J192" t="str">
        <f>IF(A192&lt;WORKSHEET!$R$2,WORKSHEET!$C$2,IF(B192="Air Waybill Number",C192,J191))</f>
        <v>773870191217</v>
      </c>
      <c r="K192" t="str">
        <f t="shared" si="16"/>
        <v>869971222</v>
      </c>
      <c r="L192" t="str">
        <f t="shared" si="17"/>
        <v>08 Nov 2023</v>
      </c>
      <c r="M192" t="str">
        <f t="shared" si="18"/>
        <v/>
      </c>
      <c r="N192" t="str">
        <f t="shared" si="19"/>
        <v>10/27/2023</v>
      </c>
      <c r="O192" t="str">
        <f t="shared" si="20"/>
        <v/>
      </c>
      <c r="P192" t="str">
        <f t="shared" si="21"/>
        <v/>
      </c>
      <c r="Q192" t="str">
        <f t="shared" si="22"/>
        <v/>
      </c>
      <c r="R192" t="str">
        <f t="shared" si="23"/>
        <v/>
      </c>
    </row>
    <row r="193" spans="1:18" x14ac:dyDescent="0.25">
      <c r="A193">
        <f>ROW()</f>
        <v>193</v>
      </c>
      <c r="B193" t="s">
        <v>226</v>
      </c>
      <c r="C193" t="s">
        <v>382</v>
      </c>
      <c r="D193" t="s">
        <v>357</v>
      </c>
      <c r="E193" t="s">
        <v>229</v>
      </c>
      <c r="J193" t="str">
        <f>IF(A193&lt;WORKSHEET!$R$2,WORKSHEET!$C$2,IF(B193="Air Waybill Number",C193,J192))</f>
        <v>773870191217</v>
      </c>
      <c r="K193" t="str">
        <f t="shared" si="16"/>
        <v>869971222</v>
      </c>
      <c r="L193" t="str">
        <f t="shared" si="17"/>
        <v>08 Nov 2023</v>
      </c>
      <c r="M193" t="str">
        <f t="shared" si="18"/>
        <v/>
      </c>
      <c r="N193" t="str">
        <f t="shared" si="19"/>
        <v>10/28/2023</v>
      </c>
      <c r="O193" t="str">
        <f t="shared" si="20"/>
        <v>SHENYANG</v>
      </c>
      <c r="P193" t="str">
        <f t="shared" si="21"/>
        <v>JIANGSU</v>
      </c>
      <c r="Q193" t="str">
        <f t="shared" si="22"/>
        <v>MERCY/SUMI</v>
      </c>
      <c r="R193" t="str">
        <f t="shared" si="23"/>
        <v>PT GISTEX GARMEN INDONESIA</v>
      </c>
    </row>
    <row r="194" spans="1:18" x14ac:dyDescent="0.25">
      <c r="A194">
        <f>ROW()</f>
        <v>194</v>
      </c>
      <c r="B194" t="s">
        <v>230</v>
      </c>
      <c r="C194" t="s">
        <v>373</v>
      </c>
      <c r="D194" t="s">
        <v>56</v>
      </c>
      <c r="E194" t="s">
        <v>66</v>
      </c>
      <c r="J194" t="str">
        <f>IF(A194&lt;WORKSHEET!$R$2,WORKSHEET!$C$2,IF(B194="Air Waybill Number",C194,J193))</f>
        <v>773870191217</v>
      </c>
      <c r="K194" t="str">
        <f t="shared" ref="K194:K257" si="24">IF(B194="Invoice Number:",C194,K193)</f>
        <v>869971222</v>
      </c>
      <c r="L194" t="str">
        <f t="shared" ref="L194:L257" si="25">IF(B194="Invoice Date:",C194,L193)</f>
        <v>08 Nov 2023</v>
      </c>
      <c r="M194" t="str">
        <f t="shared" ref="M194:M257" si="26">IF(B194="Air Waybill Number",J194&amp;"-1","")</f>
        <v/>
      </c>
      <c r="N194" t="str">
        <f t="shared" ref="N194:N257" si="27">IF(B194="Ship Date",C194,N193)</f>
        <v>10/28/2023</v>
      </c>
      <c r="O194" t="str">
        <f t="shared" ref="O194:O257" si="28">IF(LEFT(D194,6)="Sender",D195,IF(LEFT(E194,6)="Sender",E195,""))</f>
        <v/>
      </c>
      <c r="P194" t="str">
        <f t="shared" ref="P194:P257" si="29">IF(LEFT(D194,6)="Sender",D196,IF(LEFT(E194,6)="Sender",D196,""))</f>
        <v/>
      </c>
      <c r="Q194" t="str">
        <f t="shared" ref="Q194:Q257" si="30">IF(LEFT(E194,9)="Recipient",E195&amp;F195,IF(LEFT(F194,9)="Recipient",F195,IF(LEFT(G194,9)="Recipient",G195,IF(LEFT(H194,9)="Recipient",H195,""))))</f>
        <v/>
      </c>
      <c r="R194" t="str">
        <f t="shared" ref="R194:R257" si="31">IF(LEFT(E194,9)="Recipient",E196&amp;F196,IF(LEFT(F194,9)="Recipient",F196,IF(LEFT(G194,9)="Recipient",G196,IF(LEFT(H194,9)="Recipient",H196,""))))</f>
        <v/>
      </c>
    </row>
    <row r="195" spans="1:18" x14ac:dyDescent="0.25">
      <c r="A195">
        <f>ROW()</f>
        <v>195</v>
      </c>
      <c r="B195" t="s">
        <v>232</v>
      </c>
      <c r="C195" t="s">
        <v>67</v>
      </c>
      <c r="D195" t="s">
        <v>58</v>
      </c>
      <c r="E195" t="s">
        <v>23</v>
      </c>
      <c r="J195" t="str">
        <f>IF(A195&lt;WORKSHEET!$R$2,WORKSHEET!$C$2,IF(B195="Air Waybill Number",C195,J194))</f>
        <v>773884693621</v>
      </c>
      <c r="K195" t="str">
        <f t="shared" si="24"/>
        <v>869971222</v>
      </c>
      <c r="L195" t="str">
        <f t="shared" si="25"/>
        <v>08 Nov 2023</v>
      </c>
      <c r="M195" t="str">
        <f t="shared" si="26"/>
        <v>773884693621-1</v>
      </c>
      <c r="N195" t="str">
        <f t="shared" si="27"/>
        <v>10/28/2023</v>
      </c>
      <c r="O195" t="str">
        <f t="shared" si="28"/>
        <v/>
      </c>
      <c r="P195" t="str">
        <f t="shared" si="29"/>
        <v/>
      </c>
      <c r="Q195" t="str">
        <f t="shared" si="30"/>
        <v/>
      </c>
      <c r="R195" t="str">
        <f t="shared" si="31"/>
        <v/>
      </c>
    </row>
    <row r="196" spans="1:18" x14ac:dyDescent="0.25">
      <c r="A196">
        <f>ROW()</f>
        <v>196</v>
      </c>
      <c r="B196" t="s">
        <v>233</v>
      </c>
      <c r="C196" t="s">
        <v>383</v>
      </c>
      <c r="D196" t="s">
        <v>361</v>
      </c>
      <c r="E196" t="s">
        <v>384</v>
      </c>
      <c r="J196" t="str">
        <f>IF(A196&lt;WORKSHEET!$R$2,WORKSHEET!$C$2,IF(B196="Air Waybill Number",C196,J195))</f>
        <v>773884693621</v>
      </c>
      <c r="K196" t="str">
        <f t="shared" si="24"/>
        <v>869971222</v>
      </c>
      <c r="L196" t="str">
        <f t="shared" si="25"/>
        <v>08 Nov 2023</v>
      </c>
      <c r="M196" t="str">
        <f t="shared" si="26"/>
        <v/>
      </c>
      <c r="N196" t="str">
        <f t="shared" si="27"/>
        <v>10/28/2023</v>
      </c>
      <c r="O196" t="str">
        <f t="shared" si="28"/>
        <v/>
      </c>
      <c r="P196" t="str">
        <f t="shared" si="29"/>
        <v/>
      </c>
      <c r="Q196" t="str">
        <f t="shared" si="30"/>
        <v/>
      </c>
      <c r="R196" t="str">
        <f t="shared" si="31"/>
        <v/>
      </c>
    </row>
    <row r="197" spans="1:18" x14ac:dyDescent="0.25">
      <c r="A197">
        <f>ROW()</f>
        <v>197</v>
      </c>
      <c r="B197" t="s">
        <v>237</v>
      </c>
      <c r="C197" t="s">
        <v>238</v>
      </c>
      <c r="D197" t="s">
        <v>363</v>
      </c>
      <c r="E197" t="s">
        <v>364</v>
      </c>
      <c r="F197" t="s">
        <v>385</v>
      </c>
      <c r="J197" t="str">
        <f>IF(A197&lt;WORKSHEET!$R$2,WORKSHEET!$C$2,IF(B197="Air Waybill Number",C197,J196))</f>
        <v>773884693621</v>
      </c>
      <c r="K197" t="str">
        <f t="shared" si="24"/>
        <v>869971222</v>
      </c>
      <c r="L197" t="str">
        <f t="shared" si="25"/>
        <v>08 Nov 2023</v>
      </c>
      <c r="M197" t="str">
        <f t="shared" si="26"/>
        <v/>
      </c>
      <c r="N197" t="str">
        <f t="shared" si="27"/>
        <v>10/28/2023</v>
      </c>
      <c r="O197" t="str">
        <f t="shared" si="28"/>
        <v/>
      </c>
      <c r="P197" t="str">
        <f t="shared" si="29"/>
        <v/>
      </c>
      <c r="Q197" t="str">
        <f t="shared" si="30"/>
        <v/>
      </c>
      <c r="R197" t="str">
        <f t="shared" si="31"/>
        <v/>
      </c>
    </row>
    <row r="198" spans="1:18" x14ac:dyDescent="0.25">
      <c r="A198">
        <f>ROW()</f>
        <v>198</v>
      </c>
      <c r="B198" t="s">
        <v>241</v>
      </c>
      <c r="C198" t="s">
        <v>285</v>
      </c>
      <c r="D198" t="s">
        <v>365</v>
      </c>
      <c r="E198" t="s">
        <v>274</v>
      </c>
      <c r="F198" t="s">
        <v>284</v>
      </c>
      <c r="J198" t="str">
        <f>IF(A198&lt;WORKSHEET!$R$2,WORKSHEET!$C$2,IF(B198="Air Waybill Number",C198,J197))</f>
        <v>773884693621</v>
      </c>
      <c r="K198" t="str">
        <f t="shared" si="24"/>
        <v>869971222</v>
      </c>
      <c r="L198" t="str">
        <f t="shared" si="25"/>
        <v>08 Nov 2023</v>
      </c>
      <c r="M198" t="str">
        <f t="shared" si="26"/>
        <v/>
      </c>
      <c r="N198" t="str">
        <f t="shared" si="27"/>
        <v>10/28/2023</v>
      </c>
      <c r="O198" t="str">
        <f t="shared" si="28"/>
        <v/>
      </c>
      <c r="P198" t="str">
        <f t="shared" si="29"/>
        <v/>
      </c>
      <c r="Q198" t="str">
        <f t="shared" si="30"/>
        <v/>
      </c>
      <c r="R198" t="str">
        <f t="shared" si="31"/>
        <v/>
      </c>
    </row>
    <row r="199" spans="1:18" x14ac:dyDescent="0.25">
      <c r="A199">
        <f>ROW()</f>
        <v>199</v>
      </c>
      <c r="B199" t="s">
        <v>245</v>
      </c>
      <c r="C199" t="s">
        <v>246</v>
      </c>
      <c r="J199" t="str">
        <f>IF(A199&lt;WORKSHEET!$R$2,WORKSHEET!$C$2,IF(B199="Air Waybill Number",C199,J198))</f>
        <v>773884693621</v>
      </c>
      <c r="K199" t="str">
        <f t="shared" si="24"/>
        <v>869971222</v>
      </c>
      <c r="L199" t="str">
        <f t="shared" si="25"/>
        <v>08 Nov 2023</v>
      </c>
      <c r="M199" t="str">
        <f t="shared" si="26"/>
        <v/>
      </c>
      <c r="N199" t="str">
        <f t="shared" si="27"/>
        <v>10/28/2023</v>
      </c>
      <c r="O199" t="str">
        <f t="shared" si="28"/>
        <v/>
      </c>
      <c r="P199" t="str">
        <f t="shared" si="29"/>
        <v/>
      </c>
      <c r="Q199" t="str">
        <f t="shared" si="30"/>
        <v/>
      </c>
      <c r="R199" t="str">
        <f t="shared" si="31"/>
        <v/>
      </c>
    </row>
    <row r="200" spans="1:18" x14ac:dyDescent="0.25">
      <c r="A200">
        <f>ROW()</f>
        <v>200</v>
      </c>
      <c r="B200" t="s">
        <v>247</v>
      </c>
      <c r="D200" t="s">
        <v>248</v>
      </c>
      <c r="G200">
        <v>1448000</v>
      </c>
      <c r="J200" t="str">
        <f>IF(A200&lt;WORKSHEET!$R$2,WORKSHEET!$C$2,IF(B200="Air Waybill Number",C200,J199))</f>
        <v>773884693621</v>
      </c>
      <c r="K200" t="str">
        <f t="shared" si="24"/>
        <v>869971222</v>
      </c>
      <c r="L200" t="str">
        <f t="shared" si="25"/>
        <v>08 Nov 2023</v>
      </c>
      <c r="M200" t="str">
        <f t="shared" si="26"/>
        <v/>
      </c>
      <c r="N200" t="str">
        <f t="shared" si="27"/>
        <v>10/28/2023</v>
      </c>
      <c r="O200" t="str">
        <f t="shared" si="28"/>
        <v/>
      </c>
      <c r="P200" t="str">
        <f t="shared" si="29"/>
        <v/>
      </c>
      <c r="Q200" t="str">
        <f t="shared" si="30"/>
        <v/>
      </c>
      <c r="R200" t="str">
        <f t="shared" si="31"/>
        <v/>
      </c>
    </row>
    <row r="201" spans="1:18" x14ac:dyDescent="0.25">
      <c r="A201">
        <f>ROW()</f>
        <v>201</v>
      </c>
      <c r="B201" t="s">
        <v>249</v>
      </c>
      <c r="C201" t="s">
        <v>386</v>
      </c>
      <c r="D201" t="s">
        <v>251</v>
      </c>
      <c r="E201" t="s">
        <v>252</v>
      </c>
      <c r="G201">
        <v>-1194600</v>
      </c>
      <c r="J201" t="str">
        <f>IF(A201&lt;WORKSHEET!$R$2,WORKSHEET!$C$2,IF(B201="Air Waybill Number",C201,J200))</f>
        <v>773884693621</v>
      </c>
      <c r="K201" t="str">
        <f t="shared" si="24"/>
        <v>869971222</v>
      </c>
      <c r="L201" t="str">
        <f t="shared" si="25"/>
        <v>08 Nov 2023</v>
      </c>
      <c r="M201" t="str">
        <f t="shared" si="26"/>
        <v/>
      </c>
      <c r="N201" t="str">
        <f t="shared" si="27"/>
        <v>10/28/2023</v>
      </c>
      <c r="O201" t="str">
        <f t="shared" si="28"/>
        <v/>
      </c>
      <c r="P201" t="str">
        <f t="shared" si="29"/>
        <v/>
      </c>
      <c r="Q201" t="str">
        <f t="shared" si="30"/>
        <v/>
      </c>
      <c r="R201" t="str">
        <f t="shared" si="31"/>
        <v/>
      </c>
    </row>
    <row r="202" spans="1:18" x14ac:dyDescent="0.25">
      <c r="A202">
        <f>ROW()</f>
        <v>202</v>
      </c>
      <c r="C202" t="s">
        <v>288</v>
      </c>
      <c r="D202" t="s">
        <v>254</v>
      </c>
      <c r="E202" t="s">
        <v>12</v>
      </c>
      <c r="G202">
        <v>80820</v>
      </c>
      <c r="J202" t="str">
        <f>IF(A202&lt;WORKSHEET!$R$2,WORKSHEET!$C$2,IF(B202="Air Waybill Number",C202,J201))</f>
        <v>773884693621</v>
      </c>
      <c r="K202" t="str">
        <f t="shared" si="24"/>
        <v>869971222</v>
      </c>
      <c r="L202" t="str">
        <f t="shared" si="25"/>
        <v>08 Nov 2023</v>
      </c>
      <c r="M202" t="str">
        <f t="shared" si="26"/>
        <v/>
      </c>
      <c r="N202" t="str">
        <f t="shared" si="27"/>
        <v>10/28/2023</v>
      </c>
      <c r="O202" t="str">
        <f t="shared" si="28"/>
        <v/>
      </c>
      <c r="P202" t="str">
        <f t="shared" si="29"/>
        <v/>
      </c>
      <c r="Q202" t="str">
        <f t="shared" si="30"/>
        <v/>
      </c>
      <c r="R202" t="str">
        <f t="shared" si="31"/>
        <v/>
      </c>
    </row>
    <row r="203" spans="1:18" x14ac:dyDescent="0.25">
      <c r="A203">
        <f>ROW()</f>
        <v>203</v>
      </c>
      <c r="D203" t="s">
        <v>254</v>
      </c>
      <c r="E203" t="s">
        <v>260</v>
      </c>
      <c r="G203">
        <v>16000</v>
      </c>
      <c r="J203" t="str">
        <f>IF(A203&lt;WORKSHEET!$R$2,WORKSHEET!$C$2,IF(B203="Air Waybill Number",C203,J202))</f>
        <v>773884693621</v>
      </c>
      <c r="K203" t="str">
        <f t="shared" si="24"/>
        <v>869971222</v>
      </c>
      <c r="L203" t="str">
        <f t="shared" si="25"/>
        <v>08 Nov 2023</v>
      </c>
      <c r="M203" t="str">
        <f t="shared" si="26"/>
        <v/>
      </c>
      <c r="N203" t="str">
        <f t="shared" si="27"/>
        <v>10/28/2023</v>
      </c>
      <c r="O203" t="str">
        <f t="shared" si="28"/>
        <v/>
      </c>
      <c r="P203" t="str">
        <f t="shared" si="29"/>
        <v/>
      </c>
      <c r="Q203" t="str">
        <f t="shared" si="30"/>
        <v/>
      </c>
      <c r="R203" t="str">
        <f t="shared" si="31"/>
        <v/>
      </c>
    </row>
    <row r="204" spans="1:18" x14ac:dyDescent="0.25">
      <c r="A204">
        <f>ROW()</f>
        <v>204</v>
      </c>
      <c r="D204" t="s">
        <v>261</v>
      </c>
      <c r="G204">
        <v>3852</v>
      </c>
      <c r="J204" t="str">
        <f>IF(A204&lt;WORKSHEET!$R$2,WORKSHEET!$C$2,IF(B204="Air Waybill Number",C204,J203))</f>
        <v>773884693621</v>
      </c>
      <c r="K204" t="str">
        <f t="shared" si="24"/>
        <v>869971222</v>
      </c>
      <c r="L204" t="str">
        <f t="shared" si="25"/>
        <v>08 Nov 2023</v>
      </c>
      <c r="M204" t="str">
        <f t="shared" si="26"/>
        <v/>
      </c>
      <c r="N204" t="str">
        <f t="shared" si="27"/>
        <v>10/28/2023</v>
      </c>
      <c r="O204" t="str">
        <f t="shared" si="28"/>
        <v/>
      </c>
      <c r="P204" t="str">
        <f t="shared" si="29"/>
        <v/>
      </c>
      <c r="Q204" t="str">
        <f t="shared" si="30"/>
        <v/>
      </c>
      <c r="R204" t="str">
        <f t="shared" si="31"/>
        <v/>
      </c>
    </row>
    <row r="205" spans="1:18" x14ac:dyDescent="0.25">
      <c r="A205">
        <f>ROW()</f>
        <v>205</v>
      </c>
      <c r="D205" t="s">
        <v>14</v>
      </c>
      <c r="G205">
        <v>354072</v>
      </c>
      <c r="J205" t="str">
        <f>IF(A205&lt;WORKSHEET!$R$2,WORKSHEET!$C$2,IF(B205="Air Waybill Number",C205,J204))</f>
        <v>773884693621</v>
      </c>
      <c r="K205" t="str">
        <f t="shared" si="24"/>
        <v>869971222</v>
      </c>
      <c r="L205" t="str">
        <f t="shared" si="25"/>
        <v>08 Nov 2023</v>
      </c>
      <c r="M205" t="str">
        <f t="shared" si="26"/>
        <v/>
      </c>
      <c r="N205" t="str">
        <f t="shared" si="27"/>
        <v>10/28/2023</v>
      </c>
      <c r="O205" t="str">
        <f t="shared" si="28"/>
        <v/>
      </c>
      <c r="P205" t="str">
        <f t="shared" si="29"/>
        <v/>
      </c>
      <c r="Q205" t="str">
        <f t="shared" si="30"/>
        <v/>
      </c>
      <c r="R205" t="str">
        <f t="shared" si="31"/>
        <v/>
      </c>
    </row>
    <row r="206" spans="1:18" x14ac:dyDescent="0.25">
      <c r="A206">
        <f>ROW()</f>
        <v>206</v>
      </c>
      <c r="D206" t="s">
        <v>377</v>
      </c>
      <c r="J206" t="str">
        <f>IF(A206&lt;WORKSHEET!$R$2,WORKSHEET!$C$2,IF(B206="Air Waybill Number",C206,J205))</f>
        <v>773884693621</v>
      </c>
      <c r="K206" t="str">
        <f t="shared" si="24"/>
        <v>869971222</v>
      </c>
      <c r="L206" t="str">
        <f t="shared" si="25"/>
        <v>08 Nov 2023</v>
      </c>
      <c r="M206" t="str">
        <f t="shared" si="26"/>
        <v/>
      </c>
      <c r="N206" t="str">
        <f t="shared" si="27"/>
        <v>10/28/2023</v>
      </c>
      <c r="O206" t="str">
        <f t="shared" si="28"/>
        <v/>
      </c>
      <c r="P206" t="str">
        <f t="shared" si="29"/>
        <v/>
      </c>
      <c r="Q206" t="str">
        <f t="shared" si="30"/>
        <v/>
      </c>
      <c r="R206" t="str">
        <f t="shared" si="31"/>
        <v/>
      </c>
    </row>
    <row r="207" spans="1:18" x14ac:dyDescent="0.25">
      <c r="A207">
        <f>ROW()</f>
        <v>207</v>
      </c>
      <c r="B207" t="s">
        <v>226</v>
      </c>
      <c r="C207" t="s">
        <v>387</v>
      </c>
      <c r="D207" t="s">
        <v>357</v>
      </c>
      <c r="E207" t="s">
        <v>229</v>
      </c>
      <c r="J207" t="str">
        <f>IF(A207&lt;WORKSHEET!$R$2,WORKSHEET!$C$2,IF(B207="Air Waybill Number",C207,J206))</f>
        <v>773884693621</v>
      </c>
      <c r="K207" t="str">
        <f t="shared" si="24"/>
        <v>869971222</v>
      </c>
      <c r="L207" t="str">
        <f t="shared" si="25"/>
        <v>08 Nov 2023</v>
      </c>
      <c r="M207" t="str">
        <f t="shared" si="26"/>
        <v/>
      </c>
      <c r="N207" t="str">
        <f t="shared" si="27"/>
        <v>11/01/2023</v>
      </c>
      <c r="O207" t="str">
        <f t="shared" si="28"/>
        <v>SHENYANG</v>
      </c>
      <c r="P207" t="str">
        <f t="shared" si="29"/>
        <v>JIANGSU</v>
      </c>
      <c r="Q207" t="str">
        <f t="shared" si="30"/>
        <v>MERCY /SUMI/GITA</v>
      </c>
      <c r="R207" t="str">
        <f t="shared" si="31"/>
        <v>PT GISTEX GARMEN INDONESIA</v>
      </c>
    </row>
    <row r="208" spans="1:18" x14ac:dyDescent="0.25">
      <c r="A208">
        <f>ROW()</f>
        <v>208</v>
      </c>
      <c r="B208" t="s">
        <v>230</v>
      </c>
      <c r="C208" t="s">
        <v>388</v>
      </c>
      <c r="D208" t="s">
        <v>56</v>
      </c>
      <c r="E208" t="s">
        <v>359</v>
      </c>
      <c r="F208" t="s">
        <v>360</v>
      </c>
      <c r="J208" t="str">
        <f>IF(A208&lt;WORKSHEET!$R$2,WORKSHEET!$C$2,IF(B208="Air Waybill Number",C208,J207))</f>
        <v>773884693621</v>
      </c>
      <c r="K208" t="str">
        <f t="shared" si="24"/>
        <v>869971222</v>
      </c>
      <c r="L208" t="str">
        <f t="shared" si="25"/>
        <v>08 Nov 2023</v>
      </c>
      <c r="M208" t="str">
        <f t="shared" si="26"/>
        <v/>
      </c>
      <c r="N208" t="str">
        <f t="shared" si="27"/>
        <v>11/01/2023</v>
      </c>
      <c r="O208" t="str">
        <f t="shared" si="28"/>
        <v/>
      </c>
      <c r="P208" t="str">
        <f t="shared" si="29"/>
        <v/>
      </c>
      <c r="Q208" t="str">
        <f t="shared" si="30"/>
        <v/>
      </c>
      <c r="R208" t="str">
        <f t="shared" si="31"/>
        <v/>
      </c>
    </row>
    <row r="209" spans="1:18" x14ac:dyDescent="0.25">
      <c r="A209">
        <f>ROW()</f>
        <v>209</v>
      </c>
      <c r="B209" t="s">
        <v>232</v>
      </c>
      <c r="C209" t="s">
        <v>68</v>
      </c>
      <c r="D209" t="s">
        <v>58</v>
      </c>
      <c r="E209" t="s">
        <v>23</v>
      </c>
      <c r="J209" t="str">
        <f>IF(A209&lt;WORKSHEET!$R$2,WORKSHEET!$C$2,IF(B209="Air Waybill Number",C209,J208))</f>
        <v>785740476670</v>
      </c>
      <c r="K209" t="str">
        <f t="shared" si="24"/>
        <v>869971222</v>
      </c>
      <c r="L209" t="str">
        <f t="shared" si="25"/>
        <v>08 Nov 2023</v>
      </c>
      <c r="M209" t="str">
        <f t="shared" si="26"/>
        <v>785740476670-1</v>
      </c>
      <c r="N209" t="str">
        <f t="shared" si="27"/>
        <v>11/01/2023</v>
      </c>
      <c r="O209" t="str">
        <f t="shared" si="28"/>
        <v/>
      </c>
      <c r="P209" t="str">
        <f t="shared" si="29"/>
        <v/>
      </c>
      <c r="Q209" t="str">
        <f t="shared" si="30"/>
        <v/>
      </c>
      <c r="R209" t="str">
        <f t="shared" si="31"/>
        <v/>
      </c>
    </row>
    <row r="210" spans="1:18" x14ac:dyDescent="0.25">
      <c r="A210">
        <f>ROW()</f>
        <v>210</v>
      </c>
      <c r="B210" t="s">
        <v>233</v>
      </c>
      <c r="C210" t="s">
        <v>292</v>
      </c>
      <c r="D210" t="s">
        <v>361</v>
      </c>
      <c r="E210" t="s">
        <v>362</v>
      </c>
      <c r="J210" t="str">
        <f>IF(A210&lt;WORKSHEET!$R$2,WORKSHEET!$C$2,IF(B210="Air Waybill Number",C210,J209))</f>
        <v>785740476670</v>
      </c>
      <c r="K210" t="str">
        <f t="shared" si="24"/>
        <v>869971222</v>
      </c>
      <c r="L210" t="str">
        <f t="shared" si="25"/>
        <v>08 Nov 2023</v>
      </c>
      <c r="M210" t="str">
        <f t="shared" si="26"/>
        <v/>
      </c>
      <c r="N210" t="str">
        <f t="shared" si="27"/>
        <v>11/01/2023</v>
      </c>
      <c r="O210" t="str">
        <f t="shared" si="28"/>
        <v/>
      </c>
      <c r="P210" t="str">
        <f t="shared" si="29"/>
        <v/>
      </c>
      <c r="Q210" t="str">
        <f t="shared" si="30"/>
        <v/>
      </c>
      <c r="R210" t="str">
        <f t="shared" si="31"/>
        <v/>
      </c>
    </row>
    <row r="211" spans="1:18" x14ac:dyDescent="0.25">
      <c r="A211">
        <f>ROW()</f>
        <v>211</v>
      </c>
      <c r="B211" t="s">
        <v>237</v>
      </c>
      <c r="C211" t="s">
        <v>238</v>
      </c>
      <c r="D211" t="s">
        <v>363</v>
      </c>
      <c r="E211" t="s">
        <v>364</v>
      </c>
      <c r="J211" t="str">
        <f>IF(A211&lt;WORKSHEET!$R$2,WORKSHEET!$C$2,IF(B211="Air Waybill Number",C211,J210))</f>
        <v>785740476670</v>
      </c>
      <c r="K211" t="str">
        <f t="shared" si="24"/>
        <v>869971222</v>
      </c>
      <c r="L211" t="str">
        <f t="shared" si="25"/>
        <v>08 Nov 2023</v>
      </c>
      <c r="M211" t="str">
        <f t="shared" si="26"/>
        <v/>
      </c>
      <c r="N211" t="str">
        <f t="shared" si="27"/>
        <v>11/01/2023</v>
      </c>
      <c r="O211" t="str">
        <f t="shared" si="28"/>
        <v/>
      </c>
      <c r="P211" t="str">
        <f t="shared" si="29"/>
        <v/>
      </c>
      <c r="Q211" t="str">
        <f t="shared" si="30"/>
        <v/>
      </c>
      <c r="R211" t="str">
        <f t="shared" si="31"/>
        <v/>
      </c>
    </row>
    <row r="212" spans="1:18" x14ac:dyDescent="0.25">
      <c r="A212">
        <f>ROW()</f>
        <v>212</v>
      </c>
      <c r="B212" t="s">
        <v>241</v>
      </c>
      <c r="C212" t="s">
        <v>285</v>
      </c>
      <c r="D212" t="s">
        <v>365</v>
      </c>
      <c r="E212" t="s">
        <v>274</v>
      </c>
      <c r="F212" t="s">
        <v>284</v>
      </c>
      <c r="J212" t="str">
        <f>IF(A212&lt;WORKSHEET!$R$2,WORKSHEET!$C$2,IF(B212="Air Waybill Number",C212,J211))</f>
        <v>785740476670</v>
      </c>
      <c r="K212" t="str">
        <f t="shared" si="24"/>
        <v>869971222</v>
      </c>
      <c r="L212" t="str">
        <f t="shared" si="25"/>
        <v>08 Nov 2023</v>
      </c>
      <c r="M212" t="str">
        <f t="shared" si="26"/>
        <v/>
      </c>
      <c r="N212" t="str">
        <f t="shared" si="27"/>
        <v>11/01/2023</v>
      </c>
      <c r="O212" t="str">
        <f t="shared" si="28"/>
        <v/>
      </c>
      <c r="P212" t="str">
        <f t="shared" si="29"/>
        <v/>
      </c>
      <c r="Q212" t="str">
        <f t="shared" si="30"/>
        <v/>
      </c>
      <c r="R212" t="str">
        <f t="shared" si="31"/>
        <v/>
      </c>
    </row>
    <row r="213" spans="1:18" x14ac:dyDescent="0.25">
      <c r="A213">
        <f>ROW()</f>
        <v>213</v>
      </c>
      <c r="B213" t="s">
        <v>245</v>
      </c>
      <c r="C213" t="s">
        <v>246</v>
      </c>
      <c r="J213" t="str">
        <f>IF(A213&lt;WORKSHEET!$R$2,WORKSHEET!$C$2,IF(B213="Air Waybill Number",C213,J212))</f>
        <v>785740476670</v>
      </c>
      <c r="K213" t="str">
        <f t="shared" si="24"/>
        <v>869971222</v>
      </c>
      <c r="L213" t="str">
        <f t="shared" si="25"/>
        <v>08 Nov 2023</v>
      </c>
      <c r="M213" t="str">
        <f t="shared" si="26"/>
        <v/>
      </c>
      <c r="N213" t="str">
        <f t="shared" si="27"/>
        <v>11/01/2023</v>
      </c>
      <c r="O213" t="str">
        <f t="shared" si="28"/>
        <v/>
      </c>
      <c r="P213" t="str">
        <f t="shared" si="29"/>
        <v/>
      </c>
      <c r="Q213" t="str">
        <f t="shared" si="30"/>
        <v/>
      </c>
      <c r="R213" t="str">
        <f t="shared" si="31"/>
        <v/>
      </c>
    </row>
    <row r="214" spans="1:18" x14ac:dyDescent="0.25">
      <c r="A214">
        <f>ROW()</f>
        <v>214</v>
      </c>
      <c r="B214" t="s">
        <v>247</v>
      </c>
      <c r="D214" t="s">
        <v>248</v>
      </c>
      <c r="G214">
        <v>656000</v>
      </c>
      <c r="J214" t="str">
        <f>IF(A214&lt;WORKSHEET!$R$2,WORKSHEET!$C$2,IF(B214="Air Waybill Number",C214,J213))</f>
        <v>785740476670</v>
      </c>
      <c r="K214" t="str">
        <f t="shared" si="24"/>
        <v>869971222</v>
      </c>
      <c r="L214" t="str">
        <f t="shared" si="25"/>
        <v>08 Nov 2023</v>
      </c>
      <c r="M214" t="str">
        <f t="shared" si="26"/>
        <v/>
      </c>
      <c r="N214" t="str">
        <f t="shared" si="27"/>
        <v>11/01/2023</v>
      </c>
      <c r="O214" t="str">
        <f t="shared" si="28"/>
        <v/>
      </c>
      <c r="P214" t="str">
        <f t="shared" si="29"/>
        <v/>
      </c>
      <c r="Q214" t="str">
        <f t="shared" si="30"/>
        <v/>
      </c>
      <c r="R214" t="str">
        <f t="shared" si="31"/>
        <v/>
      </c>
    </row>
    <row r="215" spans="1:18" x14ac:dyDescent="0.25">
      <c r="A215">
        <f>ROW()</f>
        <v>215</v>
      </c>
      <c r="B215" t="s">
        <v>249</v>
      </c>
      <c r="C215" t="s">
        <v>389</v>
      </c>
      <c r="D215" t="s">
        <v>251</v>
      </c>
      <c r="E215" t="s">
        <v>252</v>
      </c>
      <c r="G215">
        <v>-470417</v>
      </c>
      <c r="J215" t="str">
        <f>IF(A215&lt;WORKSHEET!$R$2,WORKSHEET!$C$2,IF(B215="Air Waybill Number",C215,J214))</f>
        <v>785740476670</v>
      </c>
      <c r="K215" t="str">
        <f t="shared" si="24"/>
        <v>869971222</v>
      </c>
      <c r="L215" t="str">
        <f t="shared" si="25"/>
        <v>08 Nov 2023</v>
      </c>
      <c r="M215" t="str">
        <f t="shared" si="26"/>
        <v/>
      </c>
      <c r="N215" t="str">
        <f t="shared" si="27"/>
        <v>11/01/2023</v>
      </c>
      <c r="O215" t="str">
        <f t="shared" si="28"/>
        <v/>
      </c>
      <c r="P215" t="str">
        <f t="shared" si="29"/>
        <v/>
      </c>
      <c r="Q215" t="str">
        <f t="shared" si="30"/>
        <v/>
      </c>
      <c r="R215" t="str">
        <f t="shared" si="31"/>
        <v/>
      </c>
    </row>
    <row r="216" spans="1:18" x14ac:dyDescent="0.25">
      <c r="A216">
        <f>ROW()</f>
        <v>216</v>
      </c>
      <c r="C216" t="s">
        <v>288</v>
      </c>
      <c r="D216" t="s">
        <v>254</v>
      </c>
      <c r="E216" t="s">
        <v>12</v>
      </c>
      <c r="G216">
        <v>61482</v>
      </c>
      <c r="J216" t="str">
        <f>IF(A216&lt;WORKSHEET!$R$2,WORKSHEET!$C$2,IF(B216="Air Waybill Number",C216,J215))</f>
        <v>785740476670</v>
      </c>
      <c r="K216" t="str">
        <f t="shared" si="24"/>
        <v>869971222</v>
      </c>
      <c r="L216" t="str">
        <f t="shared" si="25"/>
        <v>08 Nov 2023</v>
      </c>
      <c r="M216" t="str">
        <f t="shared" si="26"/>
        <v/>
      </c>
      <c r="N216" t="str">
        <f t="shared" si="27"/>
        <v>11/01/2023</v>
      </c>
      <c r="O216" t="str">
        <f t="shared" si="28"/>
        <v/>
      </c>
      <c r="P216" t="str">
        <f t="shared" si="29"/>
        <v/>
      </c>
      <c r="Q216" t="str">
        <f t="shared" si="30"/>
        <v/>
      </c>
      <c r="R216" t="str">
        <f t="shared" si="31"/>
        <v/>
      </c>
    </row>
    <row r="217" spans="1:18" x14ac:dyDescent="0.25">
      <c r="A217">
        <f>ROW()</f>
        <v>217</v>
      </c>
      <c r="D217" t="s">
        <v>254</v>
      </c>
      <c r="E217" t="s">
        <v>260</v>
      </c>
      <c r="G217">
        <v>16000</v>
      </c>
      <c r="J217" t="str">
        <f>IF(A217&lt;WORKSHEET!$R$2,WORKSHEET!$C$2,IF(B217="Air Waybill Number",C217,J216))</f>
        <v>785740476670</v>
      </c>
      <c r="K217" t="str">
        <f t="shared" si="24"/>
        <v>869971222</v>
      </c>
      <c r="L217" t="str">
        <f t="shared" si="25"/>
        <v>08 Nov 2023</v>
      </c>
      <c r="M217" t="str">
        <f t="shared" si="26"/>
        <v/>
      </c>
      <c r="N217" t="str">
        <f t="shared" si="27"/>
        <v>11/01/2023</v>
      </c>
      <c r="O217" t="str">
        <f t="shared" si="28"/>
        <v/>
      </c>
      <c r="P217" t="str">
        <f t="shared" si="29"/>
        <v/>
      </c>
      <c r="Q217" t="str">
        <f t="shared" si="30"/>
        <v/>
      </c>
      <c r="R217" t="str">
        <f t="shared" si="31"/>
        <v/>
      </c>
    </row>
    <row r="218" spans="1:18" x14ac:dyDescent="0.25">
      <c r="A218">
        <f>ROW()</f>
        <v>218</v>
      </c>
      <c r="D218" t="s">
        <v>261</v>
      </c>
      <c r="G218">
        <v>2893</v>
      </c>
      <c r="J218" t="str">
        <f>IF(A218&lt;WORKSHEET!$R$2,WORKSHEET!$C$2,IF(B218="Air Waybill Number",C218,J217))</f>
        <v>785740476670</v>
      </c>
      <c r="K218" t="str">
        <f t="shared" si="24"/>
        <v>869971222</v>
      </c>
      <c r="L218" t="str">
        <f t="shared" si="25"/>
        <v>08 Nov 2023</v>
      </c>
      <c r="M218" t="str">
        <f t="shared" si="26"/>
        <v/>
      </c>
      <c r="N218" t="str">
        <f t="shared" si="27"/>
        <v>11/01/2023</v>
      </c>
      <c r="O218" t="str">
        <f t="shared" si="28"/>
        <v/>
      </c>
      <c r="P218" t="str">
        <f t="shared" si="29"/>
        <v/>
      </c>
      <c r="Q218" t="str">
        <f t="shared" si="30"/>
        <v/>
      </c>
      <c r="R218" t="str">
        <f t="shared" si="31"/>
        <v/>
      </c>
    </row>
    <row r="219" spans="1:18" x14ac:dyDescent="0.25">
      <c r="A219">
        <f>ROW()</f>
        <v>219</v>
      </c>
      <c r="D219" t="s">
        <v>14</v>
      </c>
      <c r="G219">
        <v>265958</v>
      </c>
      <c r="J219" t="str">
        <f>IF(A219&lt;WORKSHEET!$R$2,WORKSHEET!$C$2,IF(B219="Air Waybill Number",C219,J218))</f>
        <v>785740476670</v>
      </c>
      <c r="K219" t="str">
        <f t="shared" si="24"/>
        <v>869971222</v>
      </c>
      <c r="L219" t="str">
        <f t="shared" si="25"/>
        <v>08 Nov 2023</v>
      </c>
      <c r="M219" t="str">
        <f t="shared" si="26"/>
        <v/>
      </c>
      <c r="N219" t="str">
        <f t="shared" si="27"/>
        <v>11/01/2023</v>
      </c>
      <c r="O219" t="str">
        <f t="shared" si="28"/>
        <v/>
      </c>
      <c r="P219" t="str">
        <f t="shared" si="29"/>
        <v/>
      </c>
      <c r="Q219" t="str">
        <f t="shared" si="30"/>
        <v/>
      </c>
      <c r="R219" t="str">
        <f t="shared" si="31"/>
        <v/>
      </c>
    </row>
    <row r="220" spans="1:18" x14ac:dyDescent="0.25">
      <c r="A220">
        <f>ROW()</f>
        <v>220</v>
      </c>
      <c r="B220" t="s">
        <v>221</v>
      </c>
      <c r="C220" t="s">
        <v>69</v>
      </c>
      <c r="J220" t="str">
        <f>IF(A220&lt;WORKSHEET!$R$2,WORKSHEET!$C$2,IF(B220="Air Waybill Number",C220,J219))</f>
        <v>785740476670</v>
      </c>
      <c r="K220" t="str">
        <f t="shared" si="24"/>
        <v>870148463</v>
      </c>
      <c r="L220" t="str">
        <f t="shared" si="25"/>
        <v>08 Nov 2023</v>
      </c>
      <c r="M220" t="str">
        <f t="shared" si="26"/>
        <v/>
      </c>
      <c r="N220" t="str">
        <f t="shared" si="27"/>
        <v>11/01/2023</v>
      </c>
      <c r="O220" t="str">
        <f t="shared" si="28"/>
        <v/>
      </c>
      <c r="P220" t="str">
        <f t="shared" si="29"/>
        <v/>
      </c>
      <c r="Q220" t="str">
        <f t="shared" si="30"/>
        <v/>
      </c>
      <c r="R220" t="str">
        <f t="shared" si="31"/>
        <v/>
      </c>
    </row>
    <row r="221" spans="1:18" x14ac:dyDescent="0.25">
      <c r="A221">
        <f>ROW()</f>
        <v>221</v>
      </c>
      <c r="B221" t="s">
        <v>222</v>
      </c>
      <c r="C221" t="s">
        <v>390</v>
      </c>
      <c r="J221" t="str">
        <f>IF(A221&lt;WORKSHEET!$R$2,WORKSHEET!$C$2,IF(B221="Air Waybill Number",C221,J220))</f>
        <v>785740476670</v>
      </c>
      <c r="K221" t="str">
        <f t="shared" si="24"/>
        <v>870148463</v>
      </c>
      <c r="L221" t="str">
        <f t="shared" si="25"/>
        <v>10 Jan 2024</v>
      </c>
      <c r="M221" t="str">
        <f t="shared" si="26"/>
        <v/>
      </c>
      <c r="N221" t="str">
        <f t="shared" si="27"/>
        <v>11/01/2023</v>
      </c>
      <c r="O221" t="str">
        <f t="shared" si="28"/>
        <v/>
      </c>
      <c r="P221" t="str">
        <f t="shared" si="29"/>
        <v/>
      </c>
      <c r="Q221" t="str">
        <f t="shared" si="30"/>
        <v/>
      </c>
      <c r="R221" t="str">
        <f t="shared" si="31"/>
        <v/>
      </c>
    </row>
    <row r="222" spans="1:18" x14ac:dyDescent="0.25">
      <c r="A222">
        <f>ROW()</f>
        <v>222</v>
      </c>
      <c r="B222" t="s">
        <v>224</v>
      </c>
      <c r="C222" t="s">
        <v>225</v>
      </c>
      <c r="J222" t="str">
        <f>IF(A222&lt;WORKSHEET!$R$2,WORKSHEET!$C$2,IF(B222="Air Waybill Number",C222,J221))</f>
        <v>785740476670</v>
      </c>
      <c r="K222" t="str">
        <f t="shared" si="24"/>
        <v>870148463</v>
      </c>
      <c r="L222" t="str">
        <f t="shared" si="25"/>
        <v>10 Jan 2024</v>
      </c>
      <c r="M222" t="str">
        <f t="shared" si="26"/>
        <v/>
      </c>
      <c r="N222" t="str">
        <f t="shared" si="27"/>
        <v>11/01/2023</v>
      </c>
      <c r="O222" t="str">
        <f t="shared" si="28"/>
        <v/>
      </c>
      <c r="P222" t="str">
        <f t="shared" si="29"/>
        <v/>
      </c>
      <c r="Q222" t="str">
        <f t="shared" si="30"/>
        <v/>
      </c>
      <c r="R222" t="str">
        <f t="shared" si="31"/>
        <v/>
      </c>
    </row>
    <row r="223" spans="1:18" x14ac:dyDescent="0.25">
      <c r="A223">
        <f>ROW()</f>
        <v>223</v>
      </c>
      <c r="B223" t="s">
        <v>226</v>
      </c>
      <c r="C223" t="s">
        <v>391</v>
      </c>
      <c r="E223" t="s">
        <v>392</v>
      </c>
      <c r="G223" t="s">
        <v>229</v>
      </c>
      <c r="J223" t="str">
        <f>IF(A223&lt;WORKSHEET!$R$2,WORKSHEET!$C$2,IF(B223="Air Waybill Number",C223,J222))</f>
        <v>785740476670</v>
      </c>
      <c r="K223" t="str">
        <f t="shared" si="24"/>
        <v>870148463</v>
      </c>
      <c r="L223" t="str">
        <f t="shared" si="25"/>
        <v>10 Jan 2024</v>
      </c>
      <c r="M223" t="str">
        <f t="shared" si="26"/>
        <v/>
      </c>
      <c r="N223" t="str">
        <f t="shared" si="27"/>
        <v>12/15/2023</v>
      </c>
      <c r="O223" t="str">
        <f t="shared" si="28"/>
        <v>HANFRIEND COLTD</v>
      </c>
      <c r="P223">
        <f t="shared" si="29"/>
        <v>0</v>
      </c>
      <c r="Q223" t="str">
        <f t="shared" si="30"/>
        <v>ULI</v>
      </c>
      <c r="R223" t="str">
        <f t="shared" si="31"/>
        <v>PT. GISTEX GARMEN INDONESIA II</v>
      </c>
    </row>
    <row r="224" spans="1:18" x14ac:dyDescent="0.25">
      <c r="A224">
        <f>ROW()</f>
        <v>224</v>
      </c>
      <c r="B224" t="s">
        <v>232</v>
      </c>
      <c r="C224" t="s">
        <v>70</v>
      </c>
      <c r="E224" t="s">
        <v>71</v>
      </c>
      <c r="G224" t="s">
        <v>72</v>
      </c>
      <c r="J224" t="str">
        <f>IF(A224&lt;WORKSHEET!$R$2,WORKSHEET!$C$2,IF(B224="Air Waybill Number",C224,J223))</f>
        <v>774492822021</v>
      </c>
      <c r="K224" t="str">
        <f t="shared" si="24"/>
        <v>870148463</v>
      </c>
      <c r="L224" t="str">
        <f t="shared" si="25"/>
        <v>10 Jan 2024</v>
      </c>
      <c r="M224" t="str">
        <f t="shared" si="26"/>
        <v>774492822021-1</v>
      </c>
      <c r="N224" t="str">
        <f t="shared" si="27"/>
        <v>12/15/2023</v>
      </c>
      <c r="O224" t="str">
        <f t="shared" si="28"/>
        <v/>
      </c>
      <c r="P224" t="str">
        <f t="shared" si="29"/>
        <v/>
      </c>
      <c r="Q224" t="str">
        <f t="shared" si="30"/>
        <v/>
      </c>
      <c r="R224" t="str">
        <f t="shared" si="31"/>
        <v/>
      </c>
    </row>
    <row r="225" spans="1:18" x14ac:dyDescent="0.25">
      <c r="A225">
        <f>ROW()</f>
        <v>225</v>
      </c>
      <c r="B225" t="s">
        <v>233</v>
      </c>
      <c r="C225" t="s">
        <v>234</v>
      </c>
      <c r="G225" t="s">
        <v>73</v>
      </c>
      <c r="J225" t="str">
        <f>IF(A225&lt;WORKSHEET!$R$2,WORKSHEET!$C$2,IF(B225="Air Waybill Number",C225,J224))</f>
        <v>774492822021</v>
      </c>
      <c r="K225" t="str">
        <f t="shared" si="24"/>
        <v>870148463</v>
      </c>
      <c r="L225" t="str">
        <f t="shared" si="25"/>
        <v>10 Jan 2024</v>
      </c>
      <c r="M225" t="str">
        <f t="shared" si="26"/>
        <v/>
      </c>
      <c r="N225" t="str">
        <f t="shared" si="27"/>
        <v>12/15/2023</v>
      </c>
      <c r="O225" t="str">
        <f t="shared" si="28"/>
        <v/>
      </c>
      <c r="P225" t="str">
        <f t="shared" si="29"/>
        <v/>
      </c>
      <c r="Q225" t="str">
        <f t="shared" si="30"/>
        <v/>
      </c>
      <c r="R225" t="str">
        <f t="shared" si="31"/>
        <v/>
      </c>
    </row>
    <row r="226" spans="1:18" x14ac:dyDescent="0.25">
      <c r="A226">
        <f>ROW()</f>
        <v>226</v>
      </c>
      <c r="B226" t="s">
        <v>237</v>
      </c>
      <c r="C226" t="s">
        <v>393</v>
      </c>
      <c r="E226" t="s">
        <v>394</v>
      </c>
      <c r="G226" t="s">
        <v>395</v>
      </c>
      <c r="J226" t="str">
        <f>IF(A226&lt;WORKSHEET!$R$2,WORKSHEET!$C$2,IF(B226="Air Waybill Number",C226,J225))</f>
        <v>774492822021</v>
      </c>
      <c r="K226" t="str">
        <f t="shared" si="24"/>
        <v>870148463</v>
      </c>
      <c r="L226" t="str">
        <f t="shared" si="25"/>
        <v>10 Jan 2024</v>
      </c>
      <c r="M226" t="str">
        <f t="shared" si="26"/>
        <v/>
      </c>
      <c r="N226" t="str">
        <f t="shared" si="27"/>
        <v>12/15/2023</v>
      </c>
      <c r="O226" t="str">
        <f t="shared" si="28"/>
        <v/>
      </c>
      <c r="P226" t="str">
        <f t="shared" si="29"/>
        <v/>
      </c>
      <c r="Q226" t="str">
        <f t="shared" si="30"/>
        <v/>
      </c>
      <c r="R226" t="str">
        <f t="shared" si="31"/>
        <v/>
      </c>
    </row>
    <row r="227" spans="1:18" x14ac:dyDescent="0.25">
      <c r="A227">
        <f>ROW()</f>
        <v>227</v>
      </c>
      <c r="B227" t="s">
        <v>241</v>
      </c>
      <c r="C227" t="s">
        <v>396</v>
      </c>
      <c r="E227" t="s">
        <v>397</v>
      </c>
      <c r="G227" t="s">
        <v>398</v>
      </c>
      <c r="J227" t="str">
        <f>IF(A227&lt;WORKSHEET!$R$2,WORKSHEET!$C$2,IF(B227="Air Waybill Number",C227,J226))</f>
        <v>774492822021</v>
      </c>
      <c r="K227" t="str">
        <f t="shared" si="24"/>
        <v>870148463</v>
      </c>
      <c r="L227" t="str">
        <f t="shared" si="25"/>
        <v>10 Jan 2024</v>
      </c>
      <c r="M227" t="str">
        <f t="shared" si="26"/>
        <v/>
      </c>
      <c r="N227" t="str">
        <f t="shared" si="27"/>
        <v>12/15/2023</v>
      </c>
      <c r="O227" t="str">
        <f t="shared" si="28"/>
        <v/>
      </c>
      <c r="P227" t="str">
        <f t="shared" si="29"/>
        <v/>
      </c>
      <c r="Q227" t="str">
        <f t="shared" si="30"/>
        <v/>
      </c>
      <c r="R227" t="str">
        <f t="shared" si="31"/>
        <v/>
      </c>
    </row>
    <row r="228" spans="1:18" x14ac:dyDescent="0.25">
      <c r="A228">
        <f>ROW()</f>
        <v>228</v>
      </c>
      <c r="B228" t="s">
        <v>286</v>
      </c>
      <c r="C228" t="s">
        <v>246</v>
      </c>
      <c r="E228" t="s">
        <v>399</v>
      </c>
      <c r="G228" t="s">
        <v>243</v>
      </c>
      <c r="H228" t="s">
        <v>244</v>
      </c>
      <c r="J228" t="str">
        <f>IF(A228&lt;WORKSHEET!$R$2,WORKSHEET!$C$2,IF(B228="Air Waybill Number",C228,J227))</f>
        <v>774492822021</v>
      </c>
      <c r="K228" t="str">
        <f t="shared" si="24"/>
        <v>870148463</v>
      </c>
      <c r="L228" t="str">
        <f t="shared" si="25"/>
        <v>10 Jan 2024</v>
      </c>
      <c r="M228" t="str">
        <f t="shared" si="26"/>
        <v/>
      </c>
      <c r="N228" t="str">
        <f t="shared" si="27"/>
        <v>12/15/2023</v>
      </c>
      <c r="O228" t="str">
        <f t="shared" si="28"/>
        <v/>
      </c>
      <c r="P228" t="str">
        <f t="shared" si="29"/>
        <v/>
      </c>
      <c r="Q228" t="str">
        <f t="shared" si="30"/>
        <v/>
      </c>
      <c r="R228" t="str">
        <f t="shared" si="31"/>
        <v/>
      </c>
    </row>
    <row r="229" spans="1:18" x14ac:dyDescent="0.25">
      <c r="A229">
        <f>ROW()</f>
        <v>229</v>
      </c>
      <c r="B229" t="s">
        <v>249</v>
      </c>
      <c r="C229" t="s">
        <v>400</v>
      </c>
      <c r="E229" t="s">
        <v>248</v>
      </c>
      <c r="I229">
        <v>17034000</v>
      </c>
      <c r="J229" t="str">
        <f>IF(A229&lt;WORKSHEET!$R$2,WORKSHEET!$C$2,IF(B229="Air Waybill Number",C229,J228))</f>
        <v>774492822021</v>
      </c>
      <c r="K229" t="str">
        <f t="shared" si="24"/>
        <v>870148463</v>
      </c>
      <c r="L229" t="str">
        <f t="shared" si="25"/>
        <v>10 Jan 2024</v>
      </c>
      <c r="M229" t="str">
        <f t="shared" si="26"/>
        <v/>
      </c>
      <c r="N229" t="str">
        <f t="shared" si="27"/>
        <v>12/15/2023</v>
      </c>
      <c r="O229" t="str">
        <f t="shared" si="28"/>
        <v/>
      </c>
      <c r="P229" t="str">
        <f t="shared" si="29"/>
        <v/>
      </c>
      <c r="Q229" t="str">
        <f t="shared" si="30"/>
        <v/>
      </c>
      <c r="R229" t="str">
        <f t="shared" si="31"/>
        <v/>
      </c>
    </row>
    <row r="230" spans="1:18" x14ac:dyDescent="0.25">
      <c r="A230">
        <f>ROW()</f>
        <v>230</v>
      </c>
      <c r="E230" t="s">
        <v>401</v>
      </c>
      <c r="I230">
        <v>-13978100</v>
      </c>
      <c r="J230" t="str">
        <f>IF(A230&lt;WORKSHEET!$R$2,WORKSHEET!$C$2,IF(B230="Air Waybill Number",C230,J229))</f>
        <v>774492822021</v>
      </c>
      <c r="K230" t="str">
        <f t="shared" si="24"/>
        <v>870148463</v>
      </c>
      <c r="L230" t="str">
        <f t="shared" si="25"/>
        <v>10 Jan 2024</v>
      </c>
      <c r="M230" t="str">
        <f t="shared" si="26"/>
        <v/>
      </c>
      <c r="N230" t="str">
        <f t="shared" si="27"/>
        <v>12/15/2023</v>
      </c>
      <c r="O230" t="str">
        <f t="shared" si="28"/>
        <v/>
      </c>
      <c r="P230" t="str">
        <f t="shared" si="29"/>
        <v/>
      </c>
      <c r="Q230" t="str">
        <f t="shared" si="30"/>
        <v/>
      </c>
      <c r="R230" t="str">
        <f t="shared" si="31"/>
        <v/>
      </c>
    </row>
    <row r="231" spans="1:18" x14ac:dyDescent="0.25">
      <c r="A231">
        <f>ROW()</f>
        <v>231</v>
      </c>
      <c r="E231" t="s">
        <v>254</v>
      </c>
      <c r="G231" t="s">
        <v>258</v>
      </c>
      <c r="I231">
        <v>295000</v>
      </c>
      <c r="J231" t="str">
        <f>IF(A231&lt;WORKSHEET!$R$2,WORKSHEET!$C$2,IF(B231="Air Waybill Number",C231,J230))</f>
        <v>774492822021</v>
      </c>
      <c r="K231" t="str">
        <f t="shared" si="24"/>
        <v>870148463</v>
      </c>
      <c r="L231" t="str">
        <f t="shared" si="25"/>
        <v>10 Jan 2024</v>
      </c>
      <c r="M231" t="str">
        <f t="shared" si="26"/>
        <v/>
      </c>
      <c r="N231" t="str">
        <f t="shared" si="27"/>
        <v>12/15/2023</v>
      </c>
      <c r="O231" t="str">
        <f t="shared" si="28"/>
        <v/>
      </c>
      <c r="P231" t="str">
        <f t="shared" si="29"/>
        <v/>
      </c>
      <c r="Q231" t="str">
        <f t="shared" si="30"/>
        <v/>
      </c>
      <c r="R231" t="str">
        <f t="shared" si="31"/>
        <v/>
      </c>
    </row>
    <row r="232" spans="1:18" x14ac:dyDescent="0.25">
      <c r="A232">
        <f>ROW()</f>
        <v>232</v>
      </c>
      <c r="E232" t="s">
        <v>402</v>
      </c>
      <c r="I232">
        <v>1187566</v>
      </c>
      <c r="J232" t="str">
        <f>IF(A232&lt;WORKSHEET!$R$2,WORKSHEET!$C$2,IF(B232="Air Waybill Number",C232,J231))</f>
        <v>774492822021</v>
      </c>
      <c r="K232" t="str">
        <f t="shared" si="24"/>
        <v>870148463</v>
      </c>
      <c r="L232" t="str">
        <f t="shared" si="25"/>
        <v>10 Jan 2024</v>
      </c>
      <c r="M232" t="str">
        <f t="shared" si="26"/>
        <v/>
      </c>
      <c r="N232" t="str">
        <f t="shared" si="27"/>
        <v>12/15/2023</v>
      </c>
      <c r="O232" t="str">
        <f t="shared" si="28"/>
        <v/>
      </c>
      <c r="P232" t="str">
        <f t="shared" si="29"/>
        <v/>
      </c>
      <c r="Q232" t="str">
        <f t="shared" si="30"/>
        <v/>
      </c>
      <c r="R232" t="str">
        <f t="shared" si="31"/>
        <v/>
      </c>
    </row>
    <row r="233" spans="1:18" x14ac:dyDescent="0.25">
      <c r="A233">
        <f>ROW()</f>
        <v>233</v>
      </c>
      <c r="E233" t="s">
        <v>254</v>
      </c>
      <c r="G233" t="s">
        <v>260</v>
      </c>
      <c r="I233">
        <v>816000</v>
      </c>
      <c r="J233" t="str">
        <f>IF(A233&lt;WORKSHEET!$R$2,WORKSHEET!$C$2,IF(B233="Air Waybill Number",C233,J232))</f>
        <v>774492822021</v>
      </c>
      <c r="K233" t="str">
        <f t="shared" si="24"/>
        <v>870148463</v>
      </c>
      <c r="L233" t="str">
        <f t="shared" si="25"/>
        <v>10 Jan 2024</v>
      </c>
      <c r="M233" t="str">
        <f t="shared" si="26"/>
        <v/>
      </c>
      <c r="N233" t="str">
        <f t="shared" si="27"/>
        <v>12/15/2023</v>
      </c>
      <c r="O233" t="str">
        <f t="shared" si="28"/>
        <v/>
      </c>
      <c r="P233" t="str">
        <f t="shared" si="29"/>
        <v/>
      </c>
      <c r="Q233" t="str">
        <f t="shared" si="30"/>
        <v/>
      </c>
      <c r="R233" t="str">
        <f t="shared" si="31"/>
        <v/>
      </c>
    </row>
    <row r="234" spans="1:18" x14ac:dyDescent="0.25">
      <c r="A234">
        <f>ROW()</f>
        <v>234</v>
      </c>
      <c r="E234" t="s">
        <v>261</v>
      </c>
      <c r="I234">
        <v>58899</v>
      </c>
      <c r="J234" t="str">
        <f>IF(A234&lt;WORKSHEET!$R$2,WORKSHEET!$C$2,IF(B234="Air Waybill Number",C234,J233))</f>
        <v>774492822021</v>
      </c>
      <c r="K234" t="str">
        <f t="shared" si="24"/>
        <v>870148463</v>
      </c>
      <c r="L234" t="str">
        <f t="shared" si="25"/>
        <v>10 Jan 2024</v>
      </c>
      <c r="M234" t="str">
        <f t="shared" si="26"/>
        <v/>
      </c>
      <c r="N234" t="str">
        <f t="shared" si="27"/>
        <v>12/15/2023</v>
      </c>
      <c r="O234" t="str">
        <f t="shared" si="28"/>
        <v/>
      </c>
      <c r="P234" t="str">
        <f t="shared" si="29"/>
        <v/>
      </c>
      <c r="Q234" t="str">
        <f t="shared" si="30"/>
        <v/>
      </c>
      <c r="R234" t="str">
        <f t="shared" si="31"/>
        <v/>
      </c>
    </row>
    <row r="235" spans="1:18" x14ac:dyDescent="0.25">
      <c r="A235">
        <f>ROW()</f>
        <v>235</v>
      </c>
      <c r="E235" t="s">
        <v>14</v>
      </c>
      <c r="I235">
        <v>5413365</v>
      </c>
      <c r="J235" t="str">
        <f>IF(A235&lt;WORKSHEET!$R$2,WORKSHEET!$C$2,IF(B235="Air Waybill Number",C235,J234))</f>
        <v>774492822021</v>
      </c>
      <c r="K235" t="str">
        <f t="shared" si="24"/>
        <v>870148463</v>
      </c>
      <c r="L235" t="str">
        <f t="shared" si="25"/>
        <v>10 Jan 2024</v>
      </c>
      <c r="M235" t="str">
        <f t="shared" si="26"/>
        <v/>
      </c>
      <c r="N235" t="str">
        <f t="shared" si="27"/>
        <v>12/15/2023</v>
      </c>
      <c r="O235" t="str">
        <f t="shared" si="28"/>
        <v/>
      </c>
      <c r="P235" t="str">
        <f t="shared" si="29"/>
        <v/>
      </c>
      <c r="Q235" t="str">
        <f t="shared" si="30"/>
        <v/>
      </c>
      <c r="R235" t="str">
        <f t="shared" si="31"/>
        <v/>
      </c>
    </row>
    <row r="236" spans="1:18" x14ac:dyDescent="0.25">
      <c r="A236">
        <f>ROW()</f>
        <v>236</v>
      </c>
      <c r="B236" t="s">
        <v>262</v>
      </c>
      <c r="J236" t="str">
        <f>IF(A236&lt;WORKSHEET!$R$2,WORKSHEET!$C$2,IF(B236="Air Waybill Number",C236,J235))</f>
        <v>774492822021</v>
      </c>
      <c r="K236" t="str">
        <f t="shared" si="24"/>
        <v>870148463</v>
      </c>
      <c r="L236" t="str">
        <f t="shared" si="25"/>
        <v>10 Jan 2024</v>
      </c>
      <c r="M236" t="str">
        <f t="shared" si="26"/>
        <v/>
      </c>
      <c r="N236" t="str">
        <f t="shared" si="27"/>
        <v>12/15/2023</v>
      </c>
      <c r="O236" t="str">
        <f t="shared" si="28"/>
        <v/>
      </c>
      <c r="P236" t="str">
        <f t="shared" si="29"/>
        <v/>
      </c>
      <c r="Q236" t="str">
        <f t="shared" si="30"/>
        <v/>
      </c>
      <c r="R236" t="str">
        <f t="shared" si="31"/>
        <v/>
      </c>
    </row>
    <row r="237" spans="1:18" x14ac:dyDescent="0.25">
      <c r="A237">
        <f>ROW()</f>
        <v>237</v>
      </c>
      <c r="B237" t="s">
        <v>403</v>
      </c>
      <c r="J237" t="str">
        <f>IF(A237&lt;WORKSHEET!$R$2,WORKSHEET!$C$2,IF(B237="Air Waybill Number",C237,J236))</f>
        <v>774492822021</v>
      </c>
      <c r="K237" t="str">
        <f t="shared" si="24"/>
        <v>870148463</v>
      </c>
      <c r="L237" t="str">
        <f t="shared" si="25"/>
        <v>10 Jan 2024</v>
      </c>
      <c r="M237" t="str">
        <f t="shared" si="26"/>
        <v/>
      </c>
      <c r="N237" t="str">
        <f t="shared" si="27"/>
        <v>12/15/2023</v>
      </c>
      <c r="O237" t="str">
        <f t="shared" si="28"/>
        <v/>
      </c>
      <c r="P237" t="str">
        <f t="shared" si="29"/>
        <v/>
      </c>
      <c r="Q237" t="str">
        <f t="shared" si="30"/>
        <v/>
      </c>
      <c r="R237" t="str">
        <f t="shared" si="31"/>
        <v/>
      </c>
    </row>
    <row r="238" spans="1:18" x14ac:dyDescent="0.25">
      <c r="A238">
        <f>ROW()</f>
        <v>238</v>
      </c>
      <c r="B238" t="s">
        <v>404</v>
      </c>
      <c r="C238" t="s">
        <v>405</v>
      </c>
      <c r="D238" t="s">
        <v>406</v>
      </c>
      <c r="F238" t="s">
        <v>404</v>
      </c>
      <c r="G238" t="s">
        <v>405</v>
      </c>
      <c r="H238" t="s">
        <v>406</v>
      </c>
      <c r="J238" t="str">
        <f>IF(A238&lt;WORKSHEET!$R$2,WORKSHEET!$C$2,IF(B238="Air Waybill Number",C238,J237))</f>
        <v>774492822021</v>
      </c>
      <c r="K238" t="str">
        <f t="shared" si="24"/>
        <v>870148463</v>
      </c>
      <c r="L238" t="str">
        <f t="shared" si="25"/>
        <v>10 Jan 2024</v>
      </c>
      <c r="M238" t="str">
        <f t="shared" si="26"/>
        <v/>
      </c>
      <c r="N238" t="str">
        <f t="shared" si="27"/>
        <v>12/15/2023</v>
      </c>
      <c r="O238" t="str">
        <f t="shared" si="28"/>
        <v/>
      </c>
      <c r="P238" t="str">
        <f t="shared" si="29"/>
        <v/>
      </c>
      <c r="Q238" t="str">
        <f t="shared" si="30"/>
        <v/>
      </c>
      <c r="R238" t="str">
        <f t="shared" si="31"/>
        <v/>
      </c>
    </row>
    <row r="239" spans="1:18" x14ac:dyDescent="0.25">
      <c r="A239">
        <f>ROW()</f>
        <v>239</v>
      </c>
      <c r="B239" t="s">
        <v>70</v>
      </c>
      <c r="C239" t="s">
        <v>407</v>
      </c>
      <c r="D239" t="s">
        <v>408</v>
      </c>
      <c r="F239" t="s">
        <v>409</v>
      </c>
      <c r="G239" t="s">
        <v>410</v>
      </c>
      <c r="H239" t="s">
        <v>408</v>
      </c>
      <c r="J239" t="str">
        <f>IF(A239&lt;WORKSHEET!$R$2,WORKSHEET!$C$2,IF(B239="Air Waybill Number",C239,J238))</f>
        <v>774492822021</v>
      </c>
      <c r="K239" t="str">
        <f t="shared" si="24"/>
        <v>870148463</v>
      </c>
      <c r="L239" t="str">
        <f t="shared" si="25"/>
        <v>10 Jan 2024</v>
      </c>
      <c r="M239" t="str">
        <f t="shared" si="26"/>
        <v/>
      </c>
      <c r="N239" t="str">
        <f t="shared" si="27"/>
        <v>12/15/2023</v>
      </c>
      <c r="O239" t="str">
        <f t="shared" si="28"/>
        <v/>
      </c>
      <c r="P239" t="str">
        <f t="shared" si="29"/>
        <v/>
      </c>
      <c r="Q239" t="str">
        <f t="shared" si="30"/>
        <v/>
      </c>
      <c r="R239" t="str">
        <f t="shared" si="31"/>
        <v/>
      </c>
    </row>
    <row r="240" spans="1:18" x14ac:dyDescent="0.25">
      <c r="A240">
        <f>ROW()</f>
        <v>240</v>
      </c>
      <c r="B240" t="s">
        <v>411</v>
      </c>
      <c r="C240" t="s">
        <v>410</v>
      </c>
      <c r="D240" t="s">
        <v>408</v>
      </c>
      <c r="F240" t="s">
        <v>412</v>
      </c>
      <c r="G240" t="s">
        <v>413</v>
      </c>
      <c r="H240" t="s">
        <v>408</v>
      </c>
      <c r="J240" t="str">
        <f>IF(A240&lt;WORKSHEET!$R$2,WORKSHEET!$C$2,IF(B240="Air Waybill Number",C240,J239))</f>
        <v>774492822021</v>
      </c>
      <c r="K240" t="str">
        <f t="shared" si="24"/>
        <v>870148463</v>
      </c>
      <c r="L240" t="str">
        <f t="shared" si="25"/>
        <v>10 Jan 2024</v>
      </c>
      <c r="M240" t="str">
        <f t="shared" si="26"/>
        <v/>
      </c>
      <c r="N240" t="str">
        <f t="shared" si="27"/>
        <v>12/15/2023</v>
      </c>
      <c r="O240" t="str">
        <f t="shared" si="28"/>
        <v/>
      </c>
      <c r="P240" t="str">
        <f t="shared" si="29"/>
        <v/>
      </c>
      <c r="Q240" t="str">
        <f t="shared" si="30"/>
        <v/>
      </c>
      <c r="R240" t="str">
        <f t="shared" si="31"/>
        <v/>
      </c>
    </row>
    <row r="241" spans="1:18" x14ac:dyDescent="0.25">
      <c r="A241">
        <f>ROW()</f>
        <v>241</v>
      </c>
      <c r="B241" t="s">
        <v>226</v>
      </c>
      <c r="C241" t="s">
        <v>391</v>
      </c>
      <c r="E241" t="s">
        <v>414</v>
      </c>
      <c r="G241" t="s">
        <v>229</v>
      </c>
      <c r="J241" t="str">
        <f>IF(A241&lt;WORKSHEET!$R$2,WORKSHEET!$C$2,IF(B241="Air Waybill Number",C241,J240))</f>
        <v>774492822021</v>
      </c>
      <c r="K241" t="str">
        <f t="shared" si="24"/>
        <v>870148463</v>
      </c>
      <c r="L241" t="str">
        <f t="shared" si="25"/>
        <v>10 Jan 2024</v>
      </c>
      <c r="M241" t="str">
        <f t="shared" si="26"/>
        <v/>
      </c>
      <c r="N241" t="str">
        <f t="shared" si="27"/>
        <v>12/15/2023</v>
      </c>
      <c r="O241" t="str">
        <f t="shared" si="28"/>
        <v>MAXIMILIAN OBERHOFF</v>
      </c>
      <c r="P241">
        <f t="shared" si="29"/>
        <v>0</v>
      </c>
      <c r="Q241" t="str">
        <f t="shared" si="30"/>
        <v>ATTN: NUNING / SRI</v>
      </c>
      <c r="R241" t="str">
        <f t="shared" si="31"/>
        <v>P.T. GISTEX GARMEN INDONESIA</v>
      </c>
    </row>
    <row r="242" spans="1:18" x14ac:dyDescent="0.25">
      <c r="A242">
        <f>ROW()</f>
        <v>242</v>
      </c>
      <c r="B242" t="s">
        <v>232</v>
      </c>
      <c r="C242" t="s">
        <v>74</v>
      </c>
      <c r="E242" t="s">
        <v>75</v>
      </c>
      <c r="G242" t="s">
        <v>76</v>
      </c>
      <c r="J242" t="str">
        <f>IF(A242&lt;WORKSHEET!$R$2,WORKSHEET!$C$2,IF(B242="Air Waybill Number",C242,J241))</f>
        <v>774496252273</v>
      </c>
      <c r="K242" t="str">
        <f t="shared" si="24"/>
        <v>870148463</v>
      </c>
      <c r="L242" t="str">
        <f t="shared" si="25"/>
        <v>10 Jan 2024</v>
      </c>
      <c r="M242" t="str">
        <f t="shared" si="26"/>
        <v>774496252273-1</v>
      </c>
      <c r="N242" t="str">
        <f t="shared" si="27"/>
        <v>12/15/2023</v>
      </c>
      <c r="O242" t="str">
        <f t="shared" si="28"/>
        <v/>
      </c>
      <c r="P242" t="str">
        <f t="shared" si="29"/>
        <v/>
      </c>
      <c r="Q242" t="str">
        <f t="shared" si="30"/>
        <v/>
      </c>
      <c r="R242" t="str">
        <f t="shared" si="31"/>
        <v/>
      </c>
    </row>
    <row r="243" spans="1:18" x14ac:dyDescent="0.25">
      <c r="A243">
        <f>ROW()</f>
        <v>243</v>
      </c>
      <c r="B243" t="s">
        <v>233</v>
      </c>
      <c r="C243" t="s">
        <v>322</v>
      </c>
      <c r="G243" t="s">
        <v>77</v>
      </c>
      <c r="J243" t="str">
        <f>IF(A243&lt;WORKSHEET!$R$2,WORKSHEET!$C$2,IF(B243="Air Waybill Number",C243,J242))</f>
        <v>774496252273</v>
      </c>
      <c r="K243" t="str">
        <f t="shared" si="24"/>
        <v>870148463</v>
      </c>
      <c r="L243" t="str">
        <f t="shared" si="25"/>
        <v>10 Jan 2024</v>
      </c>
      <c r="M243" t="str">
        <f t="shared" si="26"/>
        <v/>
      </c>
      <c r="N243" t="str">
        <f t="shared" si="27"/>
        <v>12/15/2023</v>
      </c>
      <c r="O243" t="str">
        <f t="shared" si="28"/>
        <v/>
      </c>
      <c r="P243" t="str">
        <f t="shared" si="29"/>
        <v/>
      </c>
      <c r="Q243" t="str">
        <f t="shared" si="30"/>
        <v/>
      </c>
      <c r="R243" t="str">
        <f t="shared" si="31"/>
        <v/>
      </c>
    </row>
    <row r="244" spans="1:18" x14ac:dyDescent="0.25">
      <c r="A244">
        <f>ROW()</f>
        <v>244</v>
      </c>
      <c r="B244" t="s">
        <v>237</v>
      </c>
      <c r="C244" t="s">
        <v>393</v>
      </c>
      <c r="E244" t="s">
        <v>415</v>
      </c>
      <c r="G244" t="s">
        <v>380</v>
      </c>
      <c r="J244" t="str">
        <f>IF(A244&lt;WORKSHEET!$R$2,WORKSHEET!$C$2,IF(B244="Air Waybill Number",C244,J243))</f>
        <v>774496252273</v>
      </c>
      <c r="K244" t="str">
        <f t="shared" si="24"/>
        <v>870148463</v>
      </c>
      <c r="L244" t="str">
        <f t="shared" si="25"/>
        <v>10 Jan 2024</v>
      </c>
      <c r="M244" t="str">
        <f t="shared" si="26"/>
        <v/>
      </c>
      <c r="N244" t="str">
        <f t="shared" si="27"/>
        <v>12/15/2023</v>
      </c>
      <c r="O244" t="str">
        <f t="shared" si="28"/>
        <v/>
      </c>
      <c r="P244" t="str">
        <f t="shared" si="29"/>
        <v/>
      </c>
      <c r="Q244" t="str">
        <f t="shared" si="30"/>
        <v/>
      </c>
      <c r="R244" t="str">
        <f t="shared" si="31"/>
        <v/>
      </c>
    </row>
    <row r="245" spans="1:18" x14ac:dyDescent="0.25">
      <c r="A245">
        <f>ROW()</f>
        <v>245</v>
      </c>
      <c r="B245" t="s">
        <v>241</v>
      </c>
      <c r="C245" t="s">
        <v>416</v>
      </c>
      <c r="E245" t="s">
        <v>417</v>
      </c>
      <c r="G245" t="s">
        <v>418</v>
      </c>
      <c r="J245" t="str">
        <f>IF(A245&lt;WORKSHEET!$R$2,WORKSHEET!$C$2,IF(B245="Air Waybill Number",C245,J244))</f>
        <v>774496252273</v>
      </c>
      <c r="K245" t="str">
        <f t="shared" si="24"/>
        <v>870148463</v>
      </c>
      <c r="L245" t="str">
        <f t="shared" si="25"/>
        <v>10 Jan 2024</v>
      </c>
      <c r="M245" t="str">
        <f t="shared" si="26"/>
        <v/>
      </c>
      <c r="N245" t="str">
        <f t="shared" si="27"/>
        <v>12/15/2023</v>
      </c>
      <c r="O245" t="str">
        <f t="shared" si="28"/>
        <v/>
      </c>
      <c r="P245" t="str">
        <f t="shared" si="29"/>
        <v/>
      </c>
      <c r="Q245" t="str">
        <f t="shared" si="30"/>
        <v/>
      </c>
      <c r="R245" t="str">
        <f t="shared" si="31"/>
        <v/>
      </c>
    </row>
    <row r="246" spans="1:18" x14ac:dyDescent="0.25">
      <c r="A246">
        <f>ROW()</f>
        <v>246</v>
      </c>
      <c r="B246" t="s">
        <v>245</v>
      </c>
      <c r="C246" t="s">
        <v>246</v>
      </c>
      <c r="G246" t="s">
        <v>300</v>
      </c>
      <c r="J246" t="str">
        <f>IF(A246&lt;WORKSHEET!$R$2,WORKSHEET!$C$2,IF(B246="Air Waybill Number",C246,J245))</f>
        <v>774496252273</v>
      </c>
      <c r="K246" t="str">
        <f t="shared" si="24"/>
        <v>870148463</v>
      </c>
      <c r="L246" t="str">
        <f t="shared" si="25"/>
        <v>10 Jan 2024</v>
      </c>
      <c r="M246" t="str">
        <f t="shared" si="26"/>
        <v/>
      </c>
      <c r="N246" t="str">
        <f t="shared" si="27"/>
        <v>12/15/2023</v>
      </c>
      <c r="O246" t="str">
        <f t="shared" si="28"/>
        <v/>
      </c>
      <c r="P246" t="str">
        <f t="shared" si="29"/>
        <v/>
      </c>
      <c r="Q246" t="str">
        <f t="shared" si="30"/>
        <v/>
      </c>
      <c r="R246" t="str">
        <f t="shared" si="31"/>
        <v/>
      </c>
    </row>
    <row r="247" spans="1:18" x14ac:dyDescent="0.25">
      <c r="A247">
        <f>ROW()</f>
        <v>247</v>
      </c>
      <c r="B247" t="s">
        <v>419</v>
      </c>
      <c r="C247" t="s">
        <v>420</v>
      </c>
      <c r="E247" t="s">
        <v>248</v>
      </c>
      <c r="I247">
        <v>23838000</v>
      </c>
      <c r="J247" t="str">
        <f>IF(A247&lt;WORKSHEET!$R$2,WORKSHEET!$C$2,IF(B247="Air Waybill Number",C247,J246))</f>
        <v>774496252273</v>
      </c>
      <c r="K247" t="str">
        <f t="shared" si="24"/>
        <v>870148463</v>
      </c>
      <c r="L247" t="str">
        <f t="shared" si="25"/>
        <v>10 Jan 2024</v>
      </c>
      <c r="M247" t="str">
        <f t="shared" si="26"/>
        <v/>
      </c>
      <c r="N247" t="str">
        <f t="shared" si="27"/>
        <v>12/15/2023</v>
      </c>
      <c r="O247" t="str">
        <f t="shared" si="28"/>
        <v/>
      </c>
      <c r="P247" t="str">
        <f t="shared" si="29"/>
        <v/>
      </c>
      <c r="Q247" t="str">
        <f t="shared" si="30"/>
        <v/>
      </c>
      <c r="R247" t="str">
        <f t="shared" si="31"/>
        <v/>
      </c>
    </row>
    <row r="248" spans="1:18" x14ac:dyDescent="0.25">
      <c r="A248">
        <f>ROW()</f>
        <v>248</v>
      </c>
      <c r="E248" t="s">
        <v>251</v>
      </c>
      <c r="F248" t="s">
        <v>252</v>
      </c>
      <c r="I248">
        <v>-21113316</v>
      </c>
      <c r="J248" t="str">
        <f>IF(A248&lt;WORKSHEET!$R$2,WORKSHEET!$C$2,IF(B248="Air Waybill Number",C248,J247))</f>
        <v>774496252273</v>
      </c>
      <c r="K248" t="str">
        <f t="shared" si="24"/>
        <v>870148463</v>
      </c>
      <c r="L248" t="str">
        <f t="shared" si="25"/>
        <v>10 Jan 2024</v>
      </c>
      <c r="M248" t="str">
        <f t="shared" si="26"/>
        <v/>
      </c>
      <c r="N248" t="str">
        <f t="shared" si="27"/>
        <v>12/15/2023</v>
      </c>
      <c r="O248" t="str">
        <f t="shared" si="28"/>
        <v/>
      </c>
      <c r="P248" t="str">
        <f t="shared" si="29"/>
        <v/>
      </c>
      <c r="Q248" t="str">
        <f t="shared" si="30"/>
        <v/>
      </c>
      <c r="R248" t="str">
        <f t="shared" si="31"/>
        <v/>
      </c>
    </row>
    <row r="249" spans="1:18" x14ac:dyDescent="0.25">
      <c r="A249">
        <f>ROW()</f>
        <v>249</v>
      </c>
      <c r="E249" t="s">
        <v>254</v>
      </c>
      <c r="F249" t="s">
        <v>12</v>
      </c>
      <c r="I249">
        <v>826124</v>
      </c>
      <c r="J249" t="str">
        <f>IF(A249&lt;WORKSHEET!$R$2,WORKSHEET!$C$2,IF(B249="Air Waybill Number",C249,J248))</f>
        <v>774496252273</v>
      </c>
      <c r="K249" t="str">
        <f t="shared" si="24"/>
        <v>870148463</v>
      </c>
      <c r="L249" t="str">
        <f t="shared" si="25"/>
        <v>10 Jan 2024</v>
      </c>
      <c r="M249" t="str">
        <f t="shared" si="26"/>
        <v/>
      </c>
      <c r="N249" t="str">
        <f t="shared" si="27"/>
        <v>12/15/2023</v>
      </c>
      <c r="O249" t="str">
        <f t="shared" si="28"/>
        <v/>
      </c>
      <c r="P249" t="str">
        <f t="shared" si="29"/>
        <v/>
      </c>
      <c r="Q249" t="str">
        <f t="shared" si="30"/>
        <v/>
      </c>
      <c r="R249" t="str">
        <f t="shared" si="31"/>
        <v/>
      </c>
    </row>
    <row r="250" spans="1:18" x14ac:dyDescent="0.25">
      <c r="A250">
        <f>ROW()</f>
        <v>250</v>
      </c>
      <c r="E250" t="s">
        <v>254</v>
      </c>
      <c r="G250" t="s">
        <v>260</v>
      </c>
      <c r="I250">
        <v>174000</v>
      </c>
      <c r="J250" t="str">
        <f>IF(A250&lt;WORKSHEET!$R$2,WORKSHEET!$C$2,IF(B250="Air Waybill Number",C250,J249))</f>
        <v>774496252273</v>
      </c>
      <c r="K250" t="str">
        <f t="shared" si="24"/>
        <v>870148463</v>
      </c>
      <c r="L250" t="str">
        <f t="shared" si="25"/>
        <v>10 Jan 2024</v>
      </c>
      <c r="M250" t="str">
        <f t="shared" si="26"/>
        <v/>
      </c>
      <c r="N250" t="str">
        <f t="shared" si="27"/>
        <v>12/15/2023</v>
      </c>
      <c r="O250" t="str">
        <f t="shared" si="28"/>
        <v/>
      </c>
      <c r="P250" t="str">
        <f t="shared" si="29"/>
        <v/>
      </c>
      <c r="Q250" t="str">
        <f t="shared" si="30"/>
        <v/>
      </c>
      <c r="R250" t="str">
        <f t="shared" si="31"/>
        <v/>
      </c>
    </row>
    <row r="251" spans="1:18" x14ac:dyDescent="0.25">
      <c r="A251">
        <f>ROW()</f>
        <v>251</v>
      </c>
      <c r="E251" t="s">
        <v>261</v>
      </c>
      <c r="I251">
        <v>40972</v>
      </c>
      <c r="J251" t="str">
        <f>IF(A251&lt;WORKSHEET!$R$2,WORKSHEET!$C$2,IF(B251="Air Waybill Number",C251,J250))</f>
        <v>774496252273</v>
      </c>
      <c r="K251" t="str">
        <f t="shared" si="24"/>
        <v>870148463</v>
      </c>
      <c r="L251" t="str">
        <f t="shared" si="25"/>
        <v>10 Jan 2024</v>
      </c>
      <c r="M251" t="str">
        <f t="shared" si="26"/>
        <v/>
      </c>
      <c r="N251" t="str">
        <f t="shared" si="27"/>
        <v>12/15/2023</v>
      </c>
      <c r="O251" t="str">
        <f t="shared" si="28"/>
        <v/>
      </c>
      <c r="P251" t="str">
        <f t="shared" si="29"/>
        <v/>
      </c>
      <c r="Q251" t="str">
        <f t="shared" si="30"/>
        <v/>
      </c>
      <c r="R251" t="str">
        <f t="shared" si="31"/>
        <v/>
      </c>
    </row>
    <row r="252" spans="1:18" x14ac:dyDescent="0.25">
      <c r="A252">
        <f>ROW()</f>
        <v>252</v>
      </c>
      <c r="E252" t="s">
        <v>14</v>
      </c>
      <c r="I252">
        <v>3765780</v>
      </c>
      <c r="J252" t="str">
        <f>IF(A252&lt;WORKSHEET!$R$2,WORKSHEET!$C$2,IF(B252="Air Waybill Number",C252,J251))</f>
        <v>774496252273</v>
      </c>
      <c r="K252" t="str">
        <f t="shared" si="24"/>
        <v>870148463</v>
      </c>
      <c r="L252" t="str">
        <f t="shared" si="25"/>
        <v>10 Jan 2024</v>
      </c>
      <c r="M252" t="str">
        <f t="shared" si="26"/>
        <v/>
      </c>
      <c r="N252" t="str">
        <f t="shared" si="27"/>
        <v>12/15/2023</v>
      </c>
      <c r="O252" t="str">
        <f t="shared" si="28"/>
        <v/>
      </c>
      <c r="P252" t="str">
        <f t="shared" si="29"/>
        <v/>
      </c>
      <c r="Q252" t="str">
        <f t="shared" si="30"/>
        <v/>
      </c>
      <c r="R252" t="str">
        <f t="shared" si="31"/>
        <v/>
      </c>
    </row>
    <row r="253" spans="1:18" x14ac:dyDescent="0.25">
      <c r="A253">
        <f>ROW()</f>
        <v>253</v>
      </c>
      <c r="B253" t="s">
        <v>262</v>
      </c>
      <c r="J253" t="str">
        <f>IF(A253&lt;WORKSHEET!$R$2,WORKSHEET!$C$2,IF(B253="Air Waybill Number",C253,J252))</f>
        <v>774496252273</v>
      </c>
      <c r="K253" t="str">
        <f t="shared" si="24"/>
        <v>870148463</v>
      </c>
      <c r="L253" t="str">
        <f t="shared" si="25"/>
        <v>10 Jan 2024</v>
      </c>
      <c r="M253" t="str">
        <f t="shared" si="26"/>
        <v/>
      </c>
      <c r="N253" t="str">
        <f t="shared" si="27"/>
        <v>12/15/2023</v>
      </c>
      <c r="O253" t="str">
        <f t="shared" si="28"/>
        <v/>
      </c>
      <c r="P253" t="str">
        <f t="shared" si="29"/>
        <v/>
      </c>
      <c r="Q253" t="str">
        <f t="shared" si="30"/>
        <v/>
      </c>
      <c r="R253" t="str">
        <f t="shared" si="31"/>
        <v/>
      </c>
    </row>
    <row r="254" spans="1:18" x14ac:dyDescent="0.25">
      <c r="A254">
        <f>ROW()</f>
        <v>254</v>
      </c>
      <c r="B254" t="s">
        <v>403</v>
      </c>
      <c r="J254" t="str">
        <f>IF(A254&lt;WORKSHEET!$R$2,WORKSHEET!$C$2,IF(B254="Air Waybill Number",C254,J253))</f>
        <v>774496252273</v>
      </c>
      <c r="K254" t="str">
        <f t="shared" si="24"/>
        <v>870148463</v>
      </c>
      <c r="L254" t="str">
        <f t="shared" si="25"/>
        <v>10 Jan 2024</v>
      </c>
      <c r="M254" t="str">
        <f t="shared" si="26"/>
        <v/>
      </c>
      <c r="N254" t="str">
        <f t="shared" si="27"/>
        <v>12/15/2023</v>
      </c>
      <c r="O254" t="str">
        <f t="shared" si="28"/>
        <v/>
      </c>
      <c r="P254" t="str">
        <f t="shared" si="29"/>
        <v/>
      </c>
      <c r="Q254" t="str">
        <f t="shared" si="30"/>
        <v/>
      </c>
      <c r="R254" t="str">
        <f t="shared" si="31"/>
        <v/>
      </c>
    </row>
    <row r="255" spans="1:18" x14ac:dyDescent="0.25">
      <c r="A255">
        <f>ROW()</f>
        <v>255</v>
      </c>
      <c r="B255" t="s">
        <v>404</v>
      </c>
      <c r="C255" t="s">
        <v>405</v>
      </c>
      <c r="D255" t="s">
        <v>406</v>
      </c>
      <c r="F255" t="s">
        <v>404</v>
      </c>
      <c r="G255" t="s">
        <v>405</v>
      </c>
      <c r="H255" t="s">
        <v>406</v>
      </c>
      <c r="J255" t="str">
        <f>IF(A255&lt;WORKSHEET!$R$2,WORKSHEET!$C$2,IF(B255="Air Waybill Number",C255,J254))</f>
        <v>774496252273</v>
      </c>
      <c r="K255" t="str">
        <f t="shared" si="24"/>
        <v>870148463</v>
      </c>
      <c r="L255" t="str">
        <f t="shared" si="25"/>
        <v>10 Jan 2024</v>
      </c>
      <c r="M255" t="str">
        <f t="shared" si="26"/>
        <v/>
      </c>
      <c r="N255" t="str">
        <f t="shared" si="27"/>
        <v>12/15/2023</v>
      </c>
      <c r="O255" t="str">
        <f t="shared" si="28"/>
        <v/>
      </c>
      <c r="P255" t="str">
        <f t="shared" si="29"/>
        <v/>
      </c>
      <c r="Q255" t="str">
        <f t="shared" si="30"/>
        <v/>
      </c>
      <c r="R255" t="str">
        <f t="shared" si="31"/>
        <v/>
      </c>
    </row>
    <row r="256" spans="1:18" x14ac:dyDescent="0.25">
      <c r="A256">
        <f>ROW()</f>
        <v>256</v>
      </c>
      <c r="B256" t="s">
        <v>74</v>
      </c>
      <c r="C256" t="s">
        <v>421</v>
      </c>
      <c r="D256" t="s">
        <v>408</v>
      </c>
      <c r="F256" t="s">
        <v>422</v>
      </c>
      <c r="G256" t="s">
        <v>423</v>
      </c>
      <c r="H256" t="s">
        <v>408</v>
      </c>
      <c r="J256" t="str">
        <f>IF(A256&lt;WORKSHEET!$R$2,WORKSHEET!$C$2,IF(B256="Air Waybill Number",C256,J255))</f>
        <v>774496252273</v>
      </c>
      <c r="K256" t="str">
        <f t="shared" si="24"/>
        <v>870148463</v>
      </c>
      <c r="L256" t="str">
        <f t="shared" si="25"/>
        <v>10 Jan 2024</v>
      </c>
      <c r="M256" t="str">
        <f t="shared" si="26"/>
        <v/>
      </c>
      <c r="N256" t="str">
        <f t="shared" si="27"/>
        <v>12/15/2023</v>
      </c>
      <c r="O256" t="str">
        <f t="shared" si="28"/>
        <v/>
      </c>
      <c r="P256" t="str">
        <f t="shared" si="29"/>
        <v/>
      </c>
      <c r="Q256" t="str">
        <f t="shared" si="30"/>
        <v/>
      </c>
      <c r="R256" t="str">
        <f t="shared" si="31"/>
        <v/>
      </c>
    </row>
    <row r="257" spans="1:18" x14ac:dyDescent="0.25">
      <c r="A257">
        <f>ROW()</f>
        <v>257</v>
      </c>
      <c r="B257" t="s">
        <v>424</v>
      </c>
      <c r="C257" t="s">
        <v>425</v>
      </c>
      <c r="D257" t="s">
        <v>408</v>
      </c>
      <c r="F257" t="s">
        <v>426</v>
      </c>
      <c r="G257" t="s">
        <v>427</v>
      </c>
      <c r="H257" t="s">
        <v>408</v>
      </c>
      <c r="J257" t="str">
        <f>IF(A257&lt;WORKSHEET!$R$2,WORKSHEET!$C$2,IF(B257="Air Waybill Number",C257,J256))</f>
        <v>774496252273</v>
      </c>
      <c r="K257" t="str">
        <f t="shared" si="24"/>
        <v>870148463</v>
      </c>
      <c r="L257" t="str">
        <f t="shared" si="25"/>
        <v>10 Jan 2024</v>
      </c>
      <c r="M257" t="str">
        <f t="shared" si="26"/>
        <v/>
      </c>
      <c r="N257" t="str">
        <f t="shared" si="27"/>
        <v>12/15/2023</v>
      </c>
      <c r="O257" t="str">
        <f t="shared" si="28"/>
        <v/>
      </c>
      <c r="P257" t="str">
        <f t="shared" si="29"/>
        <v/>
      </c>
      <c r="Q257" t="str">
        <f t="shared" si="30"/>
        <v/>
      </c>
      <c r="R257" t="str">
        <f t="shared" si="31"/>
        <v/>
      </c>
    </row>
    <row r="258" spans="1:18" x14ac:dyDescent="0.25">
      <c r="A258">
        <f>ROW()</f>
        <v>258</v>
      </c>
      <c r="B258" t="s">
        <v>226</v>
      </c>
      <c r="C258" t="s">
        <v>334</v>
      </c>
      <c r="E258" t="s">
        <v>335</v>
      </c>
      <c r="G258" t="s">
        <v>229</v>
      </c>
      <c r="J258" t="str">
        <f>IF(A258&lt;WORKSHEET!$R$2,WORKSHEET!$C$2,IF(B258="Air Waybill Number",C258,J257))</f>
        <v>774496252273</v>
      </c>
      <c r="K258" t="str">
        <f t="shared" ref="K258:K321" si="32">IF(B258="Invoice Number:",C258,K257)</f>
        <v>870148463</v>
      </c>
      <c r="L258" t="str">
        <f t="shared" ref="L258:L321" si="33">IF(B258="Invoice Date:",C258,L257)</f>
        <v>10 Jan 2024</v>
      </c>
      <c r="M258" t="str">
        <f t="shared" ref="M258:M321" si="34">IF(B258="Air Waybill Number",J258&amp;"-1","")</f>
        <v/>
      </c>
      <c r="N258" t="str">
        <f t="shared" ref="N258:N321" si="35">IF(B258="Ship Date",C258,N257)</f>
        <v>12/18/2023</v>
      </c>
      <c r="O258" t="str">
        <f t="shared" ref="O258:O321" si="36">IF(LEFT(D258,6)="Sender",D259,IF(LEFT(E258,6)="Sender",E259,""))</f>
        <v>FION LEUNG</v>
      </c>
      <c r="P258">
        <f t="shared" ref="P258:P321" si="37">IF(LEFT(D258,6)="Sender",D260,IF(LEFT(E258,6)="Sender",D260,""))</f>
        <v>0</v>
      </c>
      <c r="Q258" t="str">
        <f t="shared" ref="Q258:Q321" si="38">IF(LEFT(E258,9)="Recipient",E259&amp;F259,IF(LEFT(F258,9)="Recipient",F259,IF(LEFT(G258,9)="Recipient",G259,IF(LEFT(H258,9)="Recipient",H259,""))))</f>
        <v>NUNING</v>
      </c>
      <c r="R258" t="str">
        <f t="shared" ref="R258:R321" si="39">IF(LEFT(E258,9)="Recipient",E260&amp;F260,IF(LEFT(F258,9)="Recipient",F260,IF(LEFT(G258,9)="Recipient",G260,IF(LEFT(H258,9)="Recipient",H260,""))))</f>
        <v>PT. GISTEX GARMEN INDONESIA</v>
      </c>
    </row>
    <row r="259" spans="1:18" x14ac:dyDescent="0.25">
      <c r="A259">
        <f>ROW()</f>
        <v>259</v>
      </c>
      <c r="B259" t="s">
        <v>232</v>
      </c>
      <c r="C259" t="s">
        <v>53</v>
      </c>
      <c r="E259" t="s">
        <v>52</v>
      </c>
      <c r="G259" t="s">
        <v>25</v>
      </c>
      <c r="J259" t="str">
        <f>IF(A259&lt;WORKSHEET!$R$2,WORKSHEET!$C$2,IF(B259="Air Waybill Number",C259,J258))</f>
        <v>774514292670</v>
      </c>
      <c r="K259" t="str">
        <f t="shared" si="32"/>
        <v>870148463</v>
      </c>
      <c r="L259" t="str">
        <f t="shared" si="33"/>
        <v>10 Jan 2024</v>
      </c>
      <c r="M259" t="str">
        <f t="shared" si="34"/>
        <v>774514292670-1</v>
      </c>
      <c r="N259" t="str">
        <f t="shared" si="35"/>
        <v>12/18/2023</v>
      </c>
      <c r="O259" t="str">
        <f t="shared" si="36"/>
        <v/>
      </c>
      <c r="P259" t="str">
        <f t="shared" si="37"/>
        <v/>
      </c>
      <c r="Q259" t="str">
        <f t="shared" si="38"/>
        <v/>
      </c>
      <c r="R259" t="str">
        <f t="shared" si="39"/>
        <v/>
      </c>
    </row>
    <row r="260" spans="1:18" x14ac:dyDescent="0.25">
      <c r="A260">
        <f>ROW()</f>
        <v>260</v>
      </c>
      <c r="B260" t="s">
        <v>233</v>
      </c>
      <c r="C260" t="s">
        <v>322</v>
      </c>
      <c r="E260" t="s">
        <v>54</v>
      </c>
      <c r="G260" t="s">
        <v>38</v>
      </c>
      <c r="J260" t="str">
        <f>IF(A260&lt;WORKSHEET!$R$2,WORKSHEET!$C$2,IF(B260="Air Waybill Number",C260,J259))</f>
        <v>774514292670</v>
      </c>
      <c r="K260" t="str">
        <f t="shared" si="32"/>
        <v>870148463</v>
      </c>
      <c r="L260" t="str">
        <f t="shared" si="33"/>
        <v>10 Jan 2024</v>
      </c>
      <c r="M260" t="str">
        <f t="shared" si="34"/>
        <v/>
      </c>
      <c r="N260" t="str">
        <f t="shared" si="35"/>
        <v>12/18/2023</v>
      </c>
      <c r="O260" t="str">
        <f t="shared" si="36"/>
        <v/>
      </c>
      <c r="P260" t="str">
        <f t="shared" si="37"/>
        <v/>
      </c>
      <c r="Q260" t="str">
        <f t="shared" si="38"/>
        <v/>
      </c>
      <c r="R260" t="str">
        <f t="shared" si="39"/>
        <v/>
      </c>
    </row>
    <row r="261" spans="1:18" x14ac:dyDescent="0.25">
      <c r="A261">
        <f>ROW()</f>
        <v>261</v>
      </c>
      <c r="B261" t="s">
        <v>237</v>
      </c>
      <c r="C261" t="s">
        <v>338</v>
      </c>
      <c r="E261" t="s">
        <v>336</v>
      </c>
      <c r="G261" t="s">
        <v>337</v>
      </c>
      <c r="J261" t="str">
        <f>IF(A261&lt;WORKSHEET!$R$2,WORKSHEET!$C$2,IF(B261="Air Waybill Number",C261,J260))</f>
        <v>774514292670</v>
      </c>
      <c r="K261" t="str">
        <f t="shared" si="32"/>
        <v>870148463</v>
      </c>
      <c r="L261" t="str">
        <f t="shared" si="33"/>
        <v>10 Jan 2024</v>
      </c>
      <c r="M261" t="str">
        <f t="shared" si="34"/>
        <v/>
      </c>
      <c r="N261" t="str">
        <f t="shared" si="35"/>
        <v>12/18/2023</v>
      </c>
      <c r="O261" t="str">
        <f t="shared" si="36"/>
        <v/>
      </c>
      <c r="P261" t="str">
        <f t="shared" si="37"/>
        <v/>
      </c>
      <c r="Q261" t="str">
        <f t="shared" si="38"/>
        <v/>
      </c>
      <c r="R261" t="str">
        <f t="shared" si="39"/>
        <v/>
      </c>
    </row>
    <row r="262" spans="1:18" x14ac:dyDescent="0.25">
      <c r="A262">
        <f>ROW()</f>
        <v>262</v>
      </c>
      <c r="B262" t="s">
        <v>241</v>
      </c>
      <c r="C262" t="s">
        <v>341</v>
      </c>
      <c r="E262" t="s">
        <v>339</v>
      </c>
      <c r="G262" t="s">
        <v>340</v>
      </c>
      <c r="J262" t="str">
        <f>IF(A262&lt;WORKSHEET!$R$2,WORKSHEET!$C$2,IF(B262="Air Waybill Number",C262,J261))</f>
        <v>774514292670</v>
      </c>
      <c r="K262" t="str">
        <f t="shared" si="32"/>
        <v>870148463</v>
      </c>
      <c r="L262" t="str">
        <f t="shared" si="33"/>
        <v>10 Jan 2024</v>
      </c>
      <c r="M262" t="str">
        <f t="shared" si="34"/>
        <v/>
      </c>
      <c r="N262" t="str">
        <f t="shared" si="35"/>
        <v>12/18/2023</v>
      </c>
      <c r="O262" t="str">
        <f t="shared" si="36"/>
        <v/>
      </c>
      <c r="P262" t="str">
        <f t="shared" si="37"/>
        <v/>
      </c>
      <c r="Q262" t="str">
        <f t="shared" si="38"/>
        <v/>
      </c>
      <c r="R262" t="str">
        <f t="shared" si="39"/>
        <v/>
      </c>
    </row>
    <row r="263" spans="1:18" x14ac:dyDescent="0.25">
      <c r="A263">
        <f>ROW()</f>
        <v>263</v>
      </c>
      <c r="B263" t="s">
        <v>286</v>
      </c>
      <c r="C263" t="s">
        <v>246</v>
      </c>
      <c r="E263" t="s">
        <v>342</v>
      </c>
      <c r="F263" t="s">
        <v>343</v>
      </c>
      <c r="G263" t="s">
        <v>243</v>
      </c>
      <c r="H263" t="s">
        <v>244</v>
      </c>
      <c r="J263" t="str">
        <f>IF(A263&lt;WORKSHEET!$R$2,WORKSHEET!$C$2,IF(B263="Air Waybill Number",C263,J262))</f>
        <v>774514292670</v>
      </c>
      <c r="K263" t="str">
        <f t="shared" si="32"/>
        <v>870148463</v>
      </c>
      <c r="L263" t="str">
        <f t="shared" si="33"/>
        <v>10 Jan 2024</v>
      </c>
      <c r="M263" t="str">
        <f t="shared" si="34"/>
        <v/>
      </c>
      <c r="N263" t="str">
        <f t="shared" si="35"/>
        <v>12/18/2023</v>
      </c>
      <c r="O263" t="str">
        <f t="shared" si="36"/>
        <v/>
      </c>
      <c r="P263" t="str">
        <f t="shared" si="37"/>
        <v/>
      </c>
      <c r="Q263" t="str">
        <f t="shared" si="38"/>
        <v/>
      </c>
      <c r="R263" t="str">
        <f t="shared" si="39"/>
        <v/>
      </c>
    </row>
    <row r="264" spans="1:18" x14ac:dyDescent="0.25">
      <c r="A264">
        <f>ROW()</f>
        <v>264</v>
      </c>
      <c r="B264" t="s">
        <v>249</v>
      </c>
      <c r="E264" t="s">
        <v>248</v>
      </c>
      <c r="I264">
        <v>41496000</v>
      </c>
      <c r="J264" t="str">
        <f>IF(A264&lt;WORKSHEET!$R$2,WORKSHEET!$C$2,IF(B264="Air Waybill Number",C264,J263))</f>
        <v>774514292670</v>
      </c>
      <c r="K264" t="str">
        <f t="shared" si="32"/>
        <v>870148463</v>
      </c>
      <c r="L264" t="str">
        <f t="shared" si="33"/>
        <v>10 Jan 2024</v>
      </c>
      <c r="M264" t="str">
        <f t="shared" si="34"/>
        <v/>
      </c>
      <c r="N264" t="str">
        <f t="shared" si="35"/>
        <v>12/18/2023</v>
      </c>
      <c r="O264" t="str">
        <f t="shared" si="36"/>
        <v/>
      </c>
      <c r="P264" t="str">
        <f t="shared" si="37"/>
        <v/>
      </c>
      <c r="Q264" t="str">
        <f t="shared" si="38"/>
        <v/>
      </c>
      <c r="R264" t="str">
        <f t="shared" si="39"/>
        <v/>
      </c>
    </row>
    <row r="265" spans="1:18" x14ac:dyDescent="0.25">
      <c r="A265">
        <f>ROW()</f>
        <v>265</v>
      </c>
      <c r="E265" t="s">
        <v>251</v>
      </c>
      <c r="F265" t="s">
        <v>252</v>
      </c>
      <c r="I265">
        <v>-32628304</v>
      </c>
      <c r="J265" t="str">
        <f>IF(A265&lt;WORKSHEET!$R$2,WORKSHEET!$C$2,IF(B265="Air Waybill Number",C265,J264))</f>
        <v>774514292670</v>
      </c>
      <c r="K265" t="str">
        <f t="shared" si="32"/>
        <v>870148463</v>
      </c>
      <c r="L265" t="str">
        <f t="shared" si="33"/>
        <v>10 Jan 2024</v>
      </c>
      <c r="M265" t="str">
        <f t="shared" si="34"/>
        <v/>
      </c>
      <c r="N265" t="str">
        <f t="shared" si="35"/>
        <v>12/18/2023</v>
      </c>
      <c r="O265" t="str">
        <f t="shared" si="36"/>
        <v/>
      </c>
      <c r="P265" t="str">
        <f t="shared" si="37"/>
        <v/>
      </c>
      <c r="Q265" t="str">
        <f t="shared" si="38"/>
        <v/>
      </c>
      <c r="R265" t="str">
        <f t="shared" si="39"/>
        <v/>
      </c>
    </row>
    <row r="266" spans="1:18" x14ac:dyDescent="0.25">
      <c r="A266">
        <f>ROW()</f>
        <v>266</v>
      </c>
      <c r="E266" t="s">
        <v>254</v>
      </c>
      <c r="G266" t="s">
        <v>258</v>
      </c>
      <c r="I266">
        <v>780000</v>
      </c>
      <c r="J266" t="str">
        <f>IF(A266&lt;WORKSHEET!$R$2,WORKSHEET!$C$2,IF(B266="Air Waybill Number",C266,J265))</f>
        <v>774514292670</v>
      </c>
      <c r="K266" t="str">
        <f t="shared" si="32"/>
        <v>870148463</v>
      </c>
      <c r="L266" t="str">
        <f t="shared" si="33"/>
        <v>10 Jan 2024</v>
      </c>
      <c r="M266" t="str">
        <f t="shared" si="34"/>
        <v/>
      </c>
      <c r="N266" t="str">
        <f t="shared" si="35"/>
        <v>12/18/2023</v>
      </c>
      <c r="O266" t="str">
        <f t="shared" si="36"/>
        <v/>
      </c>
      <c r="P266" t="str">
        <f t="shared" si="37"/>
        <v/>
      </c>
      <c r="Q266" t="str">
        <f t="shared" si="38"/>
        <v/>
      </c>
      <c r="R266" t="str">
        <f t="shared" si="39"/>
        <v/>
      </c>
    </row>
    <row r="267" spans="1:18" x14ac:dyDescent="0.25">
      <c r="A267">
        <f>ROW()</f>
        <v>267</v>
      </c>
      <c r="E267" t="s">
        <v>254</v>
      </c>
      <c r="F267" t="s">
        <v>12</v>
      </c>
      <c r="I267">
        <v>3278797</v>
      </c>
      <c r="J267" t="str">
        <f>IF(A267&lt;WORKSHEET!$R$2,WORKSHEET!$C$2,IF(B267="Air Waybill Number",C267,J266))</f>
        <v>774514292670</v>
      </c>
      <c r="K267" t="str">
        <f t="shared" si="32"/>
        <v>870148463</v>
      </c>
      <c r="L267" t="str">
        <f t="shared" si="33"/>
        <v>10 Jan 2024</v>
      </c>
      <c r="M267" t="str">
        <f t="shared" si="34"/>
        <v/>
      </c>
      <c r="N267" t="str">
        <f t="shared" si="35"/>
        <v>12/18/2023</v>
      </c>
      <c r="O267" t="str">
        <f t="shared" si="36"/>
        <v/>
      </c>
      <c r="P267" t="str">
        <f t="shared" si="37"/>
        <v/>
      </c>
      <c r="Q267" t="str">
        <f t="shared" si="38"/>
        <v/>
      </c>
      <c r="R267" t="str">
        <f t="shared" si="39"/>
        <v/>
      </c>
    </row>
    <row r="268" spans="1:18" x14ac:dyDescent="0.25">
      <c r="A268">
        <f>ROW()</f>
        <v>268</v>
      </c>
      <c r="E268" t="s">
        <v>254</v>
      </c>
      <c r="G268" t="s">
        <v>260</v>
      </c>
      <c r="I268">
        <v>2496000</v>
      </c>
      <c r="J268" t="str">
        <f>IF(A268&lt;WORKSHEET!$R$2,WORKSHEET!$C$2,IF(B268="Air Waybill Number",C268,J267))</f>
        <v>774514292670</v>
      </c>
      <c r="K268" t="str">
        <f t="shared" si="32"/>
        <v>870148463</v>
      </c>
      <c r="L268" t="str">
        <f t="shared" si="33"/>
        <v>10 Jan 2024</v>
      </c>
      <c r="M268" t="str">
        <f t="shared" si="34"/>
        <v/>
      </c>
      <c r="N268" t="str">
        <f t="shared" si="35"/>
        <v>12/18/2023</v>
      </c>
      <c r="O268" t="str">
        <f t="shared" si="36"/>
        <v/>
      </c>
      <c r="P268" t="str">
        <f t="shared" si="37"/>
        <v/>
      </c>
      <c r="Q268" t="str">
        <f t="shared" si="38"/>
        <v/>
      </c>
      <c r="R268" t="str">
        <f t="shared" si="39"/>
        <v/>
      </c>
    </row>
    <row r="269" spans="1:18" x14ac:dyDescent="0.25">
      <c r="A269">
        <f>ROW()</f>
        <v>269</v>
      </c>
      <c r="E269" t="s">
        <v>261</v>
      </c>
      <c r="I269">
        <v>169647</v>
      </c>
      <c r="J269" t="str">
        <f>IF(A269&lt;WORKSHEET!$R$2,WORKSHEET!$C$2,IF(B269="Air Waybill Number",C269,J268))</f>
        <v>774514292670</v>
      </c>
      <c r="K269" t="str">
        <f t="shared" si="32"/>
        <v>870148463</v>
      </c>
      <c r="L269" t="str">
        <f t="shared" si="33"/>
        <v>10 Jan 2024</v>
      </c>
      <c r="M269" t="str">
        <f t="shared" si="34"/>
        <v/>
      </c>
      <c r="N269" t="str">
        <f t="shared" si="35"/>
        <v>12/18/2023</v>
      </c>
      <c r="O269" t="str">
        <f t="shared" si="36"/>
        <v/>
      </c>
      <c r="P269" t="str">
        <f t="shared" si="37"/>
        <v/>
      </c>
      <c r="Q269" t="str">
        <f t="shared" si="38"/>
        <v/>
      </c>
      <c r="R269" t="str">
        <f t="shared" si="39"/>
        <v/>
      </c>
    </row>
    <row r="270" spans="1:18" x14ac:dyDescent="0.25">
      <c r="A270">
        <f>ROW()</f>
        <v>270</v>
      </c>
      <c r="E270" t="s">
        <v>14</v>
      </c>
      <c r="I270">
        <v>15592140</v>
      </c>
      <c r="J270" t="str">
        <f>IF(A270&lt;WORKSHEET!$R$2,WORKSHEET!$C$2,IF(B270="Air Waybill Number",C270,J269))</f>
        <v>774514292670</v>
      </c>
      <c r="K270" t="str">
        <f t="shared" si="32"/>
        <v>870148463</v>
      </c>
      <c r="L270" t="str">
        <f t="shared" si="33"/>
        <v>10 Jan 2024</v>
      </c>
      <c r="M270" t="str">
        <f t="shared" si="34"/>
        <v/>
      </c>
      <c r="N270" t="str">
        <f t="shared" si="35"/>
        <v>12/18/2023</v>
      </c>
      <c r="O270" t="str">
        <f t="shared" si="36"/>
        <v/>
      </c>
      <c r="P270" t="str">
        <f t="shared" si="37"/>
        <v/>
      </c>
      <c r="Q270" t="str">
        <f t="shared" si="38"/>
        <v/>
      </c>
      <c r="R270" t="str">
        <f t="shared" si="39"/>
        <v/>
      </c>
    </row>
    <row r="271" spans="1:18" x14ac:dyDescent="0.25">
      <c r="A271">
        <f>ROW()</f>
        <v>271</v>
      </c>
      <c r="B271" t="s">
        <v>226</v>
      </c>
      <c r="C271" t="s">
        <v>428</v>
      </c>
      <c r="D271" t="s">
        <v>278</v>
      </c>
      <c r="G271" t="s">
        <v>229</v>
      </c>
      <c r="J271" t="str">
        <f>IF(A271&lt;WORKSHEET!$R$2,WORKSHEET!$C$2,IF(B271="Air Waybill Number",C271,J270))</f>
        <v>774514292670</v>
      </c>
      <c r="K271" t="str">
        <f t="shared" si="32"/>
        <v>870148463</v>
      </c>
      <c r="L271" t="str">
        <f t="shared" si="33"/>
        <v>10 Jan 2024</v>
      </c>
      <c r="M271" t="str">
        <f t="shared" si="34"/>
        <v/>
      </c>
      <c r="N271" t="str">
        <f t="shared" si="35"/>
        <v>12/28/2023</v>
      </c>
      <c r="O271" t="str">
        <f t="shared" si="36"/>
        <v>STELLA</v>
      </c>
      <c r="P271" t="str">
        <f t="shared" si="37"/>
        <v>NINGBO TWO BIRDS INDUSTRY CO.,</v>
      </c>
      <c r="Q271" t="str">
        <f t="shared" si="38"/>
        <v>BAYU</v>
      </c>
      <c r="R271" t="str">
        <f t="shared" si="39"/>
        <v>PT.GISTEX GARMEN LNDONESIA</v>
      </c>
    </row>
    <row r="272" spans="1:18" x14ac:dyDescent="0.25">
      <c r="A272">
        <f>ROW()</f>
        <v>272</v>
      </c>
      <c r="B272" t="s">
        <v>230</v>
      </c>
      <c r="C272" t="s">
        <v>429</v>
      </c>
      <c r="D272" t="s">
        <v>29</v>
      </c>
      <c r="G272" t="s">
        <v>78</v>
      </c>
      <c r="J272" t="str">
        <f>IF(A272&lt;WORKSHEET!$R$2,WORKSHEET!$C$2,IF(B272="Air Waybill Number",C272,J271))</f>
        <v>774514292670</v>
      </c>
      <c r="K272" t="str">
        <f t="shared" si="32"/>
        <v>870148463</v>
      </c>
      <c r="L272" t="str">
        <f t="shared" si="33"/>
        <v>10 Jan 2024</v>
      </c>
      <c r="M272" t="str">
        <f t="shared" si="34"/>
        <v/>
      </c>
      <c r="N272" t="str">
        <f t="shared" si="35"/>
        <v>12/28/2023</v>
      </c>
      <c r="O272" t="str">
        <f t="shared" si="36"/>
        <v/>
      </c>
      <c r="P272" t="str">
        <f t="shared" si="37"/>
        <v/>
      </c>
      <c r="Q272" t="str">
        <f t="shared" si="38"/>
        <v/>
      </c>
      <c r="R272" t="str">
        <f t="shared" si="39"/>
        <v/>
      </c>
    </row>
    <row r="273" spans="1:18" x14ac:dyDescent="0.25">
      <c r="A273">
        <f>ROW()</f>
        <v>273</v>
      </c>
      <c r="B273" t="s">
        <v>232</v>
      </c>
      <c r="C273" t="s">
        <v>79</v>
      </c>
      <c r="D273" t="s">
        <v>32</v>
      </c>
      <c r="G273" t="s">
        <v>33</v>
      </c>
      <c r="J273" t="str">
        <f>IF(A273&lt;WORKSHEET!$R$2,WORKSHEET!$C$2,IF(B273="Air Waybill Number",C273,J272))</f>
        <v>774608947549</v>
      </c>
      <c r="K273" t="str">
        <f t="shared" si="32"/>
        <v>870148463</v>
      </c>
      <c r="L273" t="str">
        <f t="shared" si="33"/>
        <v>10 Jan 2024</v>
      </c>
      <c r="M273" t="str">
        <f t="shared" si="34"/>
        <v>774608947549-1</v>
      </c>
      <c r="N273" t="str">
        <f t="shared" si="35"/>
        <v>12/28/2023</v>
      </c>
      <c r="O273" t="str">
        <f t="shared" si="36"/>
        <v/>
      </c>
      <c r="P273" t="str">
        <f t="shared" si="37"/>
        <v/>
      </c>
      <c r="Q273" t="str">
        <f t="shared" si="38"/>
        <v/>
      </c>
      <c r="R273" t="str">
        <f t="shared" si="39"/>
        <v/>
      </c>
    </row>
    <row r="274" spans="1:18" x14ac:dyDescent="0.25">
      <c r="A274">
        <f>ROW()</f>
        <v>274</v>
      </c>
      <c r="B274" t="s">
        <v>233</v>
      </c>
      <c r="C274" t="s">
        <v>279</v>
      </c>
      <c r="D274" t="s">
        <v>280</v>
      </c>
      <c r="G274" t="s">
        <v>281</v>
      </c>
      <c r="J274" t="str">
        <f>IF(A274&lt;WORKSHEET!$R$2,WORKSHEET!$C$2,IF(B274="Air Waybill Number",C274,J273))</f>
        <v>774608947549</v>
      </c>
      <c r="K274" t="str">
        <f t="shared" si="32"/>
        <v>870148463</v>
      </c>
      <c r="L274" t="str">
        <f t="shared" si="33"/>
        <v>10 Jan 2024</v>
      </c>
      <c r="M274" t="str">
        <f t="shared" si="34"/>
        <v/>
      </c>
      <c r="N274" t="str">
        <f t="shared" si="35"/>
        <v>12/28/2023</v>
      </c>
      <c r="O274" t="str">
        <f t="shared" si="36"/>
        <v/>
      </c>
      <c r="P274" t="str">
        <f t="shared" si="37"/>
        <v/>
      </c>
      <c r="Q274" t="str">
        <f t="shared" si="38"/>
        <v/>
      </c>
      <c r="R274" t="str">
        <f t="shared" si="39"/>
        <v/>
      </c>
    </row>
    <row r="275" spans="1:18" x14ac:dyDescent="0.25">
      <c r="A275">
        <f>ROW()</f>
        <v>275</v>
      </c>
      <c r="B275" t="s">
        <v>237</v>
      </c>
      <c r="C275" t="s">
        <v>238</v>
      </c>
      <c r="D275" t="s">
        <v>282</v>
      </c>
      <c r="E275" t="s">
        <v>283</v>
      </c>
      <c r="G275" t="s">
        <v>274</v>
      </c>
      <c r="H275" t="s">
        <v>284</v>
      </c>
      <c r="J275" t="str">
        <f>IF(A275&lt;WORKSHEET!$R$2,WORKSHEET!$C$2,IF(B275="Air Waybill Number",C275,J274))</f>
        <v>774608947549</v>
      </c>
      <c r="K275" t="str">
        <f t="shared" si="32"/>
        <v>870148463</v>
      </c>
      <c r="L275" t="str">
        <f t="shared" si="33"/>
        <v>10 Jan 2024</v>
      </c>
      <c r="M275" t="str">
        <f t="shared" si="34"/>
        <v/>
      </c>
      <c r="N275" t="str">
        <f t="shared" si="35"/>
        <v>12/28/2023</v>
      </c>
      <c r="O275" t="str">
        <f t="shared" si="36"/>
        <v/>
      </c>
      <c r="P275" t="str">
        <f t="shared" si="37"/>
        <v/>
      </c>
      <c r="Q275" t="str">
        <f t="shared" si="38"/>
        <v/>
      </c>
      <c r="R275" t="str">
        <f t="shared" si="39"/>
        <v/>
      </c>
    </row>
    <row r="276" spans="1:18" x14ac:dyDescent="0.25">
      <c r="A276">
        <f>ROW()</f>
        <v>276</v>
      </c>
      <c r="B276" t="s">
        <v>241</v>
      </c>
      <c r="C276" t="s">
        <v>285</v>
      </c>
      <c r="J276" t="str">
        <f>IF(A276&lt;WORKSHEET!$R$2,WORKSHEET!$C$2,IF(B276="Air Waybill Number",C276,J275))</f>
        <v>774608947549</v>
      </c>
      <c r="K276" t="str">
        <f t="shared" si="32"/>
        <v>870148463</v>
      </c>
      <c r="L276" t="str">
        <f t="shared" si="33"/>
        <v>10 Jan 2024</v>
      </c>
      <c r="M276" t="str">
        <f t="shared" si="34"/>
        <v/>
      </c>
      <c r="N276" t="str">
        <f t="shared" si="35"/>
        <v>12/28/2023</v>
      </c>
      <c r="O276" t="str">
        <f t="shared" si="36"/>
        <v/>
      </c>
      <c r="P276" t="str">
        <f t="shared" si="37"/>
        <v/>
      </c>
      <c r="Q276" t="str">
        <f t="shared" si="38"/>
        <v/>
      </c>
      <c r="R276" t="str">
        <f t="shared" si="39"/>
        <v/>
      </c>
    </row>
    <row r="277" spans="1:18" x14ac:dyDescent="0.25">
      <c r="A277">
        <f>ROW()</f>
        <v>277</v>
      </c>
      <c r="B277" t="s">
        <v>286</v>
      </c>
      <c r="C277" t="s">
        <v>246</v>
      </c>
      <c r="D277" t="s">
        <v>248</v>
      </c>
      <c r="I277">
        <v>700000</v>
      </c>
      <c r="J277" t="str">
        <f>IF(A277&lt;WORKSHEET!$R$2,WORKSHEET!$C$2,IF(B277="Air Waybill Number",C277,J276))</f>
        <v>774608947549</v>
      </c>
      <c r="K277" t="str">
        <f t="shared" si="32"/>
        <v>870148463</v>
      </c>
      <c r="L277" t="str">
        <f t="shared" si="33"/>
        <v>10 Jan 2024</v>
      </c>
      <c r="M277" t="str">
        <f t="shared" si="34"/>
        <v/>
      </c>
      <c r="N277" t="str">
        <f t="shared" si="35"/>
        <v>12/28/2023</v>
      </c>
      <c r="O277" t="str">
        <f t="shared" si="36"/>
        <v/>
      </c>
      <c r="P277" t="str">
        <f t="shared" si="37"/>
        <v/>
      </c>
      <c r="Q277" t="str">
        <f t="shared" si="38"/>
        <v/>
      </c>
      <c r="R277" t="str">
        <f t="shared" si="39"/>
        <v/>
      </c>
    </row>
    <row r="278" spans="1:18" x14ac:dyDescent="0.25">
      <c r="A278">
        <f>ROW()</f>
        <v>278</v>
      </c>
      <c r="D278" t="s">
        <v>251</v>
      </c>
      <c r="G278" t="s">
        <v>252</v>
      </c>
      <c r="I278">
        <v>-520240</v>
      </c>
      <c r="J278" t="str">
        <f>IF(A278&lt;WORKSHEET!$R$2,WORKSHEET!$C$2,IF(B278="Air Waybill Number",C278,J277))</f>
        <v>774608947549</v>
      </c>
      <c r="K278" t="str">
        <f t="shared" si="32"/>
        <v>870148463</v>
      </c>
      <c r="L278" t="str">
        <f t="shared" si="33"/>
        <v>10 Jan 2024</v>
      </c>
      <c r="M278" t="str">
        <f t="shared" si="34"/>
        <v/>
      </c>
      <c r="N278" t="str">
        <f t="shared" si="35"/>
        <v>12/28/2023</v>
      </c>
      <c r="O278" t="str">
        <f t="shared" si="36"/>
        <v/>
      </c>
      <c r="P278" t="str">
        <f t="shared" si="37"/>
        <v/>
      </c>
      <c r="Q278" t="str">
        <f t="shared" si="38"/>
        <v/>
      </c>
      <c r="R278" t="str">
        <f t="shared" si="39"/>
        <v/>
      </c>
    </row>
    <row r="279" spans="1:18" x14ac:dyDescent="0.25">
      <c r="A279">
        <f>ROW()</f>
        <v>279</v>
      </c>
      <c r="B279" t="s">
        <v>249</v>
      </c>
      <c r="C279" t="s">
        <v>430</v>
      </c>
      <c r="D279" t="s">
        <v>254</v>
      </c>
      <c r="G279" t="s">
        <v>12</v>
      </c>
      <c r="I279">
        <v>51876</v>
      </c>
      <c r="J279" t="str">
        <f>IF(A279&lt;WORKSHEET!$R$2,WORKSHEET!$C$2,IF(B279="Air Waybill Number",C279,J278))</f>
        <v>774608947549</v>
      </c>
      <c r="K279" t="str">
        <f t="shared" si="32"/>
        <v>870148463</v>
      </c>
      <c r="L279" t="str">
        <f t="shared" si="33"/>
        <v>10 Jan 2024</v>
      </c>
      <c r="M279" t="str">
        <f t="shared" si="34"/>
        <v/>
      </c>
      <c r="N279" t="str">
        <f t="shared" si="35"/>
        <v>12/28/2023</v>
      </c>
      <c r="O279" t="str">
        <f t="shared" si="36"/>
        <v/>
      </c>
      <c r="P279" t="str">
        <f t="shared" si="37"/>
        <v/>
      </c>
      <c r="Q279" t="str">
        <f t="shared" si="38"/>
        <v/>
      </c>
      <c r="R279" t="str">
        <f t="shared" si="39"/>
        <v/>
      </c>
    </row>
    <row r="280" spans="1:18" x14ac:dyDescent="0.25">
      <c r="A280">
        <f>ROW()</f>
        <v>280</v>
      </c>
      <c r="C280" t="s">
        <v>288</v>
      </c>
      <c r="D280" t="s">
        <v>254</v>
      </c>
      <c r="G280" t="s">
        <v>260</v>
      </c>
      <c r="I280">
        <v>16000</v>
      </c>
      <c r="J280" t="str">
        <f>IF(A280&lt;WORKSHEET!$R$2,WORKSHEET!$C$2,IF(B280="Air Waybill Number",C280,J279))</f>
        <v>774608947549</v>
      </c>
      <c r="K280" t="str">
        <f t="shared" si="32"/>
        <v>870148463</v>
      </c>
      <c r="L280" t="str">
        <f t="shared" si="33"/>
        <v>10 Jan 2024</v>
      </c>
      <c r="M280" t="str">
        <f t="shared" si="34"/>
        <v/>
      </c>
      <c r="N280" t="str">
        <f t="shared" si="35"/>
        <v>12/28/2023</v>
      </c>
      <c r="O280" t="str">
        <f t="shared" si="36"/>
        <v/>
      </c>
      <c r="P280" t="str">
        <f t="shared" si="37"/>
        <v/>
      </c>
      <c r="Q280" t="str">
        <f t="shared" si="38"/>
        <v/>
      </c>
      <c r="R280" t="str">
        <f t="shared" si="39"/>
        <v/>
      </c>
    </row>
    <row r="281" spans="1:18" x14ac:dyDescent="0.25">
      <c r="A281">
        <f>ROW()</f>
        <v>281</v>
      </c>
      <c r="D281" t="s">
        <v>261</v>
      </c>
      <c r="I281">
        <v>2723</v>
      </c>
      <c r="J281" t="str">
        <f>IF(A281&lt;WORKSHEET!$R$2,WORKSHEET!$C$2,IF(B281="Air Waybill Number",C281,J280))</f>
        <v>774608947549</v>
      </c>
      <c r="K281" t="str">
        <f t="shared" si="32"/>
        <v>870148463</v>
      </c>
      <c r="L281" t="str">
        <f t="shared" si="33"/>
        <v>10 Jan 2024</v>
      </c>
      <c r="M281" t="str">
        <f t="shared" si="34"/>
        <v/>
      </c>
      <c r="N281" t="str">
        <f t="shared" si="35"/>
        <v>12/28/2023</v>
      </c>
      <c r="O281" t="str">
        <f t="shared" si="36"/>
        <v/>
      </c>
      <c r="P281" t="str">
        <f t="shared" si="37"/>
        <v/>
      </c>
      <c r="Q281" t="str">
        <f t="shared" si="38"/>
        <v/>
      </c>
      <c r="R281" t="str">
        <f t="shared" si="39"/>
        <v/>
      </c>
    </row>
    <row r="282" spans="1:18" x14ac:dyDescent="0.25">
      <c r="A282">
        <f>ROW()</f>
        <v>282</v>
      </c>
      <c r="D282" t="s">
        <v>14</v>
      </c>
      <c r="I282">
        <v>250359</v>
      </c>
      <c r="J282" t="str">
        <f>IF(A282&lt;WORKSHEET!$R$2,WORKSHEET!$C$2,IF(B282="Air Waybill Number",C282,J281))</f>
        <v>774608947549</v>
      </c>
      <c r="K282" t="str">
        <f t="shared" si="32"/>
        <v>870148463</v>
      </c>
      <c r="L282" t="str">
        <f t="shared" si="33"/>
        <v>10 Jan 2024</v>
      </c>
      <c r="M282" t="str">
        <f t="shared" si="34"/>
        <v/>
      </c>
      <c r="N282" t="str">
        <f t="shared" si="35"/>
        <v>12/28/2023</v>
      </c>
      <c r="O282" t="str">
        <f t="shared" si="36"/>
        <v/>
      </c>
      <c r="P282" t="str">
        <f t="shared" si="37"/>
        <v/>
      </c>
      <c r="Q282" t="str">
        <f t="shared" si="38"/>
        <v/>
      </c>
      <c r="R282" t="str">
        <f t="shared" si="39"/>
        <v/>
      </c>
    </row>
    <row r="283" spans="1:18" x14ac:dyDescent="0.25">
      <c r="A283">
        <f>ROW()</f>
        <v>283</v>
      </c>
      <c r="D283" t="s">
        <v>431</v>
      </c>
      <c r="J283" t="str">
        <f>IF(A283&lt;WORKSHEET!$R$2,WORKSHEET!$C$2,IF(B283="Air Waybill Number",C283,J282))</f>
        <v>774608947549</v>
      </c>
      <c r="K283" t="str">
        <f t="shared" si="32"/>
        <v>870148463</v>
      </c>
      <c r="L283" t="str">
        <f t="shared" si="33"/>
        <v>10 Jan 2024</v>
      </c>
      <c r="M283" t="str">
        <f t="shared" si="34"/>
        <v/>
      </c>
      <c r="N283" t="str">
        <f t="shared" si="35"/>
        <v>12/28/2023</v>
      </c>
      <c r="O283" t="str">
        <f t="shared" si="36"/>
        <v/>
      </c>
      <c r="P283" t="str">
        <f t="shared" si="37"/>
        <v/>
      </c>
      <c r="Q283" t="str">
        <f t="shared" si="38"/>
        <v/>
      </c>
      <c r="R283" t="str">
        <f t="shared" si="39"/>
        <v/>
      </c>
    </row>
    <row r="284" spans="1:18" x14ac:dyDescent="0.25">
      <c r="A284">
        <f>ROW()</f>
        <v>284</v>
      </c>
      <c r="B284" t="s">
        <v>226</v>
      </c>
      <c r="C284" t="s">
        <v>319</v>
      </c>
      <c r="D284" t="s">
        <v>432</v>
      </c>
      <c r="G284" t="s">
        <v>229</v>
      </c>
      <c r="J284" t="str">
        <f>IF(A284&lt;WORKSHEET!$R$2,WORKSHEET!$C$2,IF(B284="Air Waybill Number",C284,J283))</f>
        <v>774608947549</v>
      </c>
      <c r="K284" t="str">
        <f t="shared" si="32"/>
        <v>870148463</v>
      </c>
      <c r="L284" t="str">
        <f t="shared" si="33"/>
        <v>10 Jan 2024</v>
      </c>
      <c r="M284" t="str">
        <f t="shared" si="34"/>
        <v/>
      </c>
      <c r="N284" t="str">
        <f t="shared" si="35"/>
        <v>12/29/2023</v>
      </c>
      <c r="O284" t="str">
        <f t="shared" si="36"/>
        <v>TONY WONG</v>
      </c>
      <c r="P284" t="str">
        <f t="shared" si="37"/>
        <v>AVERY DENNISON (HONG KONG) LTD</v>
      </c>
      <c r="Q284" t="str">
        <f t="shared" si="38"/>
        <v>SRI BUDIARTI</v>
      </c>
      <c r="R284" t="str">
        <f t="shared" si="39"/>
        <v>PT GISTEX GARMEN INDONESIA</v>
      </c>
    </row>
    <row r="285" spans="1:18" x14ac:dyDescent="0.25">
      <c r="A285">
        <f>ROW()</f>
        <v>285</v>
      </c>
      <c r="B285" t="s">
        <v>232</v>
      </c>
      <c r="C285" t="s">
        <v>80</v>
      </c>
      <c r="D285" t="s">
        <v>81</v>
      </c>
      <c r="G285" t="s">
        <v>63</v>
      </c>
      <c r="J285" t="str">
        <f>IF(A285&lt;WORKSHEET!$R$2,WORKSHEET!$C$2,IF(B285="Air Waybill Number",C285,J284))</f>
        <v>538683301873</v>
      </c>
      <c r="K285" t="str">
        <f t="shared" si="32"/>
        <v>870148463</v>
      </c>
      <c r="L285" t="str">
        <f t="shared" si="33"/>
        <v>10 Jan 2024</v>
      </c>
      <c r="M285" t="str">
        <f t="shared" si="34"/>
        <v>538683301873-1</v>
      </c>
      <c r="N285" t="str">
        <f t="shared" si="35"/>
        <v>12/29/2023</v>
      </c>
      <c r="O285" t="str">
        <f t="shared" si="36"/>
        <v/>
      </c>
      <c r="P285" t="str">
        <f t="shared" si="37"/>
        <v/>
      </c>
      <c r="Q285" t="str">
        <f t="shared" si="38"/>
        <v/>
      </c>
      <c r="R285" t="str">
        <f t="shared" si="39"/>
        <v/>
      </c>
    </row>
    <row r="286" spans="1:18" x14ac:dyDescent="0.25">
      <c r="A286">
        <f>ROW()</f>
        <v>286</v>
      </c>
      <c r="B286" t="s">
        <v>233</v>
      </c>
      <c r="C286" t="s">
        <v>322</v>
      </c>
      <c r="D286" t="s">
        <v>82</v>
      </c>
      <c r="G286" t="s">
        <v>23</v>
      </c>
      <c r="J286" t="str">
        <f>IF(A286&lt;WORKSHEET!$R$2,WORKSHEET!$C$2,IF(B286="Air Waybill Number",C286,J285))</f>
        <v>538683301873</v>
      </c>
      <c r="K286" t="str">
        <f t="shared" si="32"/>
        <v>870148463</v>
      </c>
      <c r="L286" t="str">
        <f t="shared" si="33"/>
        <v>10 Jan 2024</v>
      </c>
      <c r="M286" t="str">
        <f t="shared" si="34"/>
        <v/>
      </c>
      <c r="N286" t="str">
        <f t="shared" si="35"/>
        <v>12/29/2023</v>
      </c>
      <c r="O286" t="str">
        <f t="shared" si="36"/>
        <v/>
      </c>
      <c r="P286" t="str">
        <f t="shared" si="37"/>
        <v/>
      </c>
      <c r="Q286" t="str">
        <f t="shared" si="38"/>
        <v/>
      </c>
      <c r="R286" t="str">
        <f t="shared" si="39"/>
        <v/>
      </c>
    </row>
    <row r="287" spans="1:18" x14ac:dyDescent="0.25">
      <c r="A287">
        <f>ROW()</f>
        <v>287</v>
      </c>
      <c r="B287" t="s">
        <v>237</v>
      </c>
      <c r="C287" t="s">
        <v>238</v>
      </c>
      <c r="D287" t="s">
        <v>433</v>
      </c>
      <c r="G287" t="s">
        <v>434</v>
      </c>
      <c r="J287" t="str">
        <f>IF(A287&lt;WORKSHEET!$R$2,WORKSHEET!$C$2,IF(B287="Air Waybill Number",C287,J286))</f>
        <v>538683301873</v>
      </c>
      <c r="K287" t="str">
        <f t="shared" si="32"/>
        <v>870148463</v>
      </c>
      <c r="L287" t="str">
        <f t="shared" si="33"/>
        <v>10 Jan 2024</v>
      </c>
      <c r="M287" t="str">
        <f t="shared" si="34"/>
        <v/>
      </c>
      <c r="N287" t="str">
        <f t="shared" si="35"/>
        <v>12/29/2023</v>
      </c>
      <c r="O287" t="str">
        <f t="shared" si="36"/>
        <v/>
      </c>
      <c r="P287" t="str">
        <f t="shared" si="37"/>
        <v/>
      </c>
      <c r="Q287" t="str">
        <f t="shared" si="38"/>
        <v/>
      </c>
      <c r="R287" t="str">
        <f t="shared" si="39"/>
        <v/>
      </c>
    </row>
    <row r="288" spans="1:18" x14ac:dyDescent="0.25">
      <c r="A288">
        <f>ROW()</f>
        <v>288</v>
      </c>
      <c r="B288" t="s">
        <v>241</v>
      </c>
      <c r="C288" t="s">
        <v>435</v>
      </c>
      <c r="D288" t="s">
        <v>436</v>
      </c>
      <c r="G288" t="s">
        <v>296</v>
      </c>
      <c r="J288" t="str">
        <f>IF(A288&lt;WORKSHEET!$R$2,WORKSHEET!$C$2,IF(B288="Air Waybill Number",C288,J287))</f>
        <v>538683301873</v>
      </c>
      <c r="K288" t="str">
        <f t="shared" si="32"/>
        <v>870148463</v>
      </c>
      <c r="L288" t="str">
        <f t="shared" si="33"/>
        <v>10 Jan 2024</v>
      </c>
      <c r="M288" t="str">
        <f t="shared" si="34"/>
        <v/>
      </c>
      <c r="N288" t="str">
        <f t="shared" si="35"/>
        <v>12/29/2023</v>
      </c>
      <c r="O288" t="str">
        <f t="shared" si="36"/>
        <v/>
      </c>
      <c r="P288" t="str">
        <f t="shared" si="37"/>
        <v/>
      </c>
      <c r="Q288" t="str">
        <f t="shared" si="38"/>
        <v/>
      </c>
      <c r="R288" t="str">
        <f t="shared" si="39"/>
        <v/>
      </c>
    </row>
    <row r="289" spans="1:18" x14ac:dyDescent="0.25">
      <c r="A289">
        <f>ROW()</f>
        <v>289</v>
      </c>
      <c r="B289" t="s">
        <v>245</v>
      </c>
      <c r="C289" t="s">
        <v>246</v>
      </c>
      <c r="D289" t="s">
        <v>437</v>
      </c>
      <c r="F289" t="s">
        <v>438</v>
      </c>
      <c r="G289" t="s">
        <v>274</v>
      </c>
      <c r="H289" t="s">
        <v>284</v>
      </c>
      <c r="J289" t="str">
        <f>IF(A289&lt;WORKSHEET!$R$2,WORKSHEET!$C$2,IF(B289="Air Waybill Number",C289,J288))</f>
        <v>538683301873</v>
      </c>
      <c r="K289" t="str">
        <f t="shared" si="32"/>
        <v>870148463</v>
      </c>
      <c r="L289" t="str">
        <f t="shared" si="33"/>
        <v>10 Jan 2024</v>
      </c>
      <c r="M289" t="str">
        <f t="shared" si="34"/>
        <v/>
      </c>
      <c r="N289" t="str">
        <f t="shared" si="35"/>
        <v>12/29/2023</v>
      </c>
      <c r="O289" t="str">
        <f t="shared" si="36"/>
        <v/>
      </c>
      <c r="P289" t="str">
        <f t="shared" si="37"/>
        <v/>
      </c>
      <c r="Q289" t="str">
        <f t="shared" si="38"/>
        <v/>
      </c>
      <c r="R289" t="str">
        <f t="shared" si="39"/>
        <v/>
      </c>
    </row>
    <row r="290" spans="1:18" x14ac:dyDescent="0.25">
      <c r="A290">
        <f>ROW()</f>
        <v>290</v>
      </c>
      <c r="B290" t="s">
        <v>247</v>
      </c>
      <c r="C290" t="s">
        <v>439</v>
      </c>
      <c r="J290" t="str">
        <f>IF(A290&lt;WORKSHEET!$R$2,WORKSHEET!$C$2,IF(B290="Air Waybill Number",C290,J289))</f>
        <v>538683301873</v>
      </c>
      <c r="K290" t="str">
        <f t="shared" si="32"/>
        <v>870148463</v>
      </c>
      <c r="L290" t="str">
        <f t="shared" si="33"/>
        <v>10 Jan 2024</v>
      </c>
      <c r="M290" t="str">
        <f t="shared" si="34"/>
        <v/>
      </c>
      <c r="N290" t="str">
        <f t="shared" si="35"/>
        <v>12/29/2023</v>
      </c>
      <c r="O290" t="str">
        <f t="shared" si="36"/>
        <v/>
      </c>
      <c r="P290" t="str">
        <f t="shared" si="37"/>
        <v/>
      </c>
      <c r="Q290" t="str">
        <f t="shared" si="38"/>
        <v/>
      </c>
      <c r="R290" t="str">
        <f t="shared" si="39"/>
        <v/>
      </c>
    </row>
    <row r="291" spans="1:18" x14ac:dyDescent="0.25">
      <c r="A291">
        <f>ROW()</f>
        <v>291</v>
      </c>
      <c r="B291" t="s">
        <v>249</v>
      </c>
      <c r="C291" t="s">
        <v>440</v>
      </c>
      <c r="D291" t="s">
        <v>248</v>
      </c>
      <c r="I291">
        <v>1555000</v>
      </c>
      <c r="J291" t="str">
        <f>IF(A291&lt;WORKSHEET!$R$2,WORKSHEET!$C$2,IF(B291="Air Waybill Number",C291,J290))</f>
        <v>538683301873</v>
      </c>
      <c r="K291" t="str">
        <f t="shared" si="32"/>
        <v>870148463</v>
      </c>
      <c r="L291" t="str">
        <f t="shared" si="33"/>
        <v>10 Jan 2024</v>
      </c>
      <c r="M291" t="str">
        <f t="shared" si="34"/>
        <v/>
      </c>
      <c r="N291" t="str">
        <f t="shared" si="35"/>
        <v>12/29/2023</v>
      </c>
      <c r="O291" t="str">
        <f t="shared" si="36"/>
        <v/>
      </c>
      <c r="P291" t="str">
        <f t="shared" si="37"/>
        <v/>
      </c>
      <c r="Q291" t="str">
        <f t="shared" si="38"/>
        <v/>
      </c>
      <c r="R291" t="str">
        <f t="shared" si="39"/>
        <v/>
      </c>
    </row>
    <row r="292" spans="1:18" x14ac:dyDescent="0.25">
      <c r="A292">
        <f>ROW()</f>
        <v>292</v>
      </c>
      <c r="D292" t="s">
        <v>251</v>
      </c>
      <c r="G292" t="s">
        <v>252</v>
      </c>
      <c r="I292">
        <v>-1218964</v>
      </c>
      <c r="J292" t="str">
        <f>IF(A292&lt;WORKSHEET!$R$2,WORKSHEET!$C$2,IF(B292="Air Waybill Number",C292,J291))</f>
        <v>538683301873</v>
      </c>
      <c r="K292" t="str">
        <f t="shared" si="32"/>
        <v>870148463</v>
      </c>
      <c r="L292" t="str">
        <f t="shared" si="33"/>
        <v>10 Jan 2024</v>
      </c>
      <c r="M292" t="str">
        <f t="shared" si="34"/>
        <v/>
      </c>
      <c r="N292" t="str">
        <f t="shared" si="35"/>
        <v>12/29/2023</v>
      </c>
      <c r="O292" t="str">
        <f t="shared" si="36"/>
        <v/>
      </c>
      <c r="P292" t="str">
        <f t="shared" si="37"/>
        <v/>
      </c>
      <c r="Q292" t="str">
        <f t="shared" si="38"/>
        <v/>
      </c>
      <c r="R292" t="str">
        <f t="shared" si="39"/>
        <v/>
      </c>
    </row>
    <row r="293" spans="1:18" x14ac:dyDescent="0.25">
      <c r="A293">
        <f>ROW()</f>
        <v>293</v>
      </c>
      <c r="B293" t="s">
        <v>256</v>
      </c>
      <c r="C293" t="s">
        <v>441</v>
      </c>
      <c r="D293" t="s">
        <v>254</v>
      </c>
      <c r="G293" t="s">
        <v>12</v>
      </c>
      <c r="I293">
        <v>95409</v>
      </c>
      <c r="J293" t="str">
        <f>IF(A293&lt;WORKSHEET!$R$2,WORKSHEET!$C$2,IF(B293="Air Waybill Number",C293,J292))</f>
        <v>538683301873</v>
      </c>
      <c r="K293" t="str">
        <f t="shared" si="32"/>
        <v>870148463</v>
      </c>
      <c r="L293" t="str">
        <f t="shared" si="33"/>
        <v>10 Jan 2024</v>
      </c>
      <c r="M293" t="str">
        <f t="shared" si="34"/>
        <v/>
      </c>
      <c r="N293" t="str">
        <f t="shared" si="35"/>
        <v>12/29/2023</v>
      </c>
      <c r="O293" t="str">
        <f t="shared" si="36"/>
        <v/>
      </c>
      <c r="P293" t="str">
        <f t="shared" si="37"/>
        <v/>
      </c>
      <c r="Q293" t="str">
        <f t="shared" si="38"/>
        <v/>
      </c>
      <c r="R293" t="str">
        <f t="shared" si="39"/>
        <v/>
      </c>
    </row>
    <row r="294" spans="1:18" x14ac:dyDescent="0.25">
      <c r="A294">
        <f>ROW()</f>
        <v>294</v>
      </c>
      <c r="D294" t="s">
        <v>254</v>
      </c>
      <c r="G294" t="s">
        <v>260</v>
      </c>
      <c r="I294">
        <v>24000</v>
      </c>
      <c r="J294" t="str">
        <f>IF(A294&lt;WORKSHEET!$R$2,WORKSHEET!$C$2,IF(B294="Air Waybill Number",C294,J293))</f>
        <v>538683301873</v>
      </c>
      <c r="K294" t="str">
        <f t="shared" si="32"/>
        <v>870148463</v>
      </c>
      <c r="L294" t="str">
        <f t="shared" si="33"/>
        <v>10 Jan 2024</v>
      </c>
      <c r="M294" t="str">
        <f t="shared" si="34"/>
        <v/>
      </c>
      <c r="N294" t="str">
        <f t="shared" si="35"/>
        <v>12/29/2023</v>
      </c>
      <c r="O294" t="str">
        <f t="shared" si="36"/>
        <v/>
      </c>
      <c r="P294" t="str">
        <f t="shared" si="37"/>
        <v/>
      </c>
      <c r="Q294" t="str">
        <f t="shared" si="38"/>
        <v/>
      </c>
      <c r="R294" t="str">
        <f t="shared" si="39"/>
        <v/>
      </c>
    </row>
    <row r="295" spans="1:18" x14ac:dyDescent="0.25">
      <c r="A295">
        <f>ROW()</f>
        <v>295</v>
      </c>
      <c r="D295" t="s">
        <v>261</v>
      </c>
      <c r="I295">
        <v>5009</v>
      </c>
      <c r="J295" t="str">
        <f>IF(A295&lt;WORKSHEET!$R$2,WORKSHEET!$C$2,IF(B295="Air Waybill Number",C295,J294))</f>
        <v>538683301873</v>
      </c>
      <c r="K295" t="str">
        <f t="shared" si="32"/>
        <v>870148463</v>
      </c>
      <c r="L295" t="str">
        <f t="shared" si="33"/>
        <v>10 Jan 2024</v>
      </c>
      <c r="M295" t="str">
        <f t="shared" si="34"/>
        <v/>
      </c>
      <c r="N295" t="str">
        <f t="shared" si="35"/>
        <v>12/29/2023</v>
      </c>
      <c r="O295" t="str">
        <f t="shared" si="36"/>
        <v/>
      </c>
      <c r="P295" t="str">
        <f t="shared" si="37"/>
        <v/>
      </c>
      <c r="Q295" t="str">
        <f t="shared" si="38"/>
        <v/>
      </c>
      <c r="R295" t="str">
        <f t="shared" si="39"/>
        <v/>
      </c>
    </row>
    <row r="296" spans="1:18" x14ac:dyDescent="0.25">
      <c r="A296">
        <f>ROW()</f>
        <v>296</v>
      </c>
      <c r="D296" t="s">
        <v>14</v>
      </c>
      <c r="I296">
        <v>460454</v>
      </c>
      <c r="J296" t="str">
        <f>IF(A296&lt;WORKSHEET!$R$2,WORKSHEET!$C$2,IF(B296="Air Waybill Number",C296,J295))</f>
        <v>538683301873</v>
      </c>
      <c r="K296" t="str">
        <f t="shared" si="32"/>
        <v>870148463</v>
      </c>
      <c r="L296" t="str">
        <f t="shared" si="33"/>
        <v>10 Jan 2024</v>
      </c>
      <c r="M296" t="str">
        <f t="shared" si="34"/>
        <v/>
      </c>
      <c r="N296" t="str">
        <f t="shared" si="35"/>
        <v>12/29/2023</v>
      </c>
      <c r="O296" t="str">
        <f t="shared" si="36"/>
        <v/>
      </c>
      <c r="P296" t="str">
        <f t="shared" si="37"/>
        <v/>
      </c>
      <c r="Q296" t="str">
        <f t="shared" si="38"/>
        <v/>
      </c>
      <c r="R296" t="str">
        <f t="shared" si="39"/>
        <v/>
      </c>
    </row>
    <row r="297" spans="1:18" x14ac:dyDescent="0.25">
      <c r="A297">
        <f>ROW()</f>
        <v>297</v>
      </c>
      <c r="D297" t="s">
        <v>431</v>
      </c>
      <c r="J297" t="str">
        <f>IF(A297&lt;WORKSHEET!$R$2,WORKSHEET!$C$2,IF(B297="Air Waybill Number",C297,J296))</f>
        <v>538683301873</v>
      </c>
      <c r="K297" t="str">
        <f t="shared" si="32"/>
        <v>870148463</v>
      </c>
      <c r="L297" t="str">
        <f t="shared" si="33"/>
        <v>10 Jan 2024</v>
      </c>
      <c r="M297" t="str">
        <f t="shared" si="34"/>
        <v/>
      </c>
      <c r="N297" t="str">
        <f t="shared" si="35"/>
        <v>12/29/2023</v>
      </c>
      <c r="O297" t="str">
        <f t="shared" si="36"/>
        <v/>
      </c>
      <c r="P297" t="str">
        <f t="shared" si="37"/>
        <v/>
      </c>
      <c r="Q297" t="str">
        <f t="shared" si="38"/>
        <v/>
      </c>
      <c r="R297" t="str">
        <f t="shared" si="39"/>
        <v/>
      </c>
    </row>
    <row r="298" spans="1:18" x14ac:dyDescent="0.25">
      <c r="A298">
        <f>ROW()</f>
        <v>298</v>
      </c>
      <c r="D298" t="s">
        <v>442</v>
      </c>
      <c r="J298" t="str">
        <f>IF(A298&lt;WORKSHEET!$R$2,WORKSHEET!$C$2,IF(B298="Air Waybill Number",C298,J297))</f>
        <v>538683301873</v>
      </c>
      <c r="K298" t="str">
        <f t="shared" si="32"/>
        <v>870148463</v>
      </c>
      <c r="L298" t="str">
        <f t="shared" si="33"/>
        <v>10 Jan 2024</v>
      </c>
      <c r="M298" t="str">
        <f t="shared" si="34"/>
        <v/>
      </c>
      <c r="N298" t="str">
        <f t="shared" si="35"/>
        <v>12/29/2023</v>
      </c>
      <c r="O298" t="str">
        <f t="shared" si="36"/>
        <v/>
      </c>
      <c r="P298" t="str">
        <f t="shared" si="37"/>
        <v/>
      </c>
      <c r="Q298" t="str">
        <f t="shared" si="38"/>
        <v/>
      </c>
      <c r="R298" t="str">
        <f t="shared" si="39"/>
        <v/>
      </c>
    </row>
    <row r="299" spans="1:18" x14ac:dyDescent="0.25">
      <c r="A299">
        <f>ROW()</f>
        <v>299</v>
      </c>
      <c r="B299" t="s">
        <v>226</v>
      </c>
      <c r="C299" t="s">
        <v>443</v>
      </c>
      <c r="D299" t="s">
        <v>278</v>
      </c>
      <c r="G299" t="s">
        <v>229</v>
      </c>
      <c r="J299" t="str">
        <f>IF(A299&lt;WORKSHEET!$R$2,WORKSHEET!$C$2,IF(B299="Air Waybill Number",C299,J298))</f>
        <v>538683301873</v>
      </c>
      <c r="K299" t="str">
        <f t="shared" si="32"/>
        <v>870148463</v>
      </c>
      <c r="L299" t="str">
        <f t="shared" si="33"/>
        <v>10 Jan 2024</v>
      </c>
      <c r="M299" t="str">
        <f t="shared" si="34"/>
        <v/>
      </c>
      <c r="N299" t="str">
        <f t="shared" si="35"/>
        <v>12/30/2023</v>
      </c>
      <c r="O299" t="str">
        <f t="shared" si="36"/>
        <v>STELLA</v>
      </c>
      <c r="P299" t="str">
        <f t="shared" si="37"/>
        <v>NINGBO TWO BIRDS INDUSTRY CO.,</v>
      </c>
      <c r="Q299" t="str">
        <f t="shared" si="38"/>
        <v>EKA</v>
      </c>
      <c r="R299" t="str">
        <f t="shared" si="39"/>
        <v>PT.GISTEX GARMEN LNDONESIA</v>
      </c>
    </row>
    <row r="300" spans="1:18" x14ac:dyDescent="0.25">
      <c r="A300">
        <f>ROW()</f>
        <v>300</v>
      </c>
      <c r="B300" t="s">
        <v>230</v>
      </c>
      <c r="C300" t="s">
        <v>319</v>
      </c>
      <c r="D300" t="s">
        <v>29</v>
      </c>
      <c r="G300" t="s">
        <v>30</v>
      </c>
      <c r="J300" t="str">
        <f>IF(A300&lt;WORKSHEET!$R$2,WORKSHEET!$C$2,IF(B300="Air Waybill Number",C300,J299))</f>
        <v>538683301873</v>
      </c>
      <c r="K300" t="str">
        <f t="shared" si="32"/>
        <v>870148463</v>
      </c>
      <c r="L300" t="str">
        <f t="shared" si="33"/>
        <v>10 Jan 2024</v>
      </c>
      <c r="M300" t="str">
        <f t="shared" si="34"/>
        <v/>
      </c>
      <c r="N300" t="str">
        <f t="shared" si="35"/>
        <v>12/30/2023</v>
      </c>
      <c r="O300" t="str">
        <f t="shared" si="36"/>
        <v/>
      </c>
      <c r="P300" t="str">
        <f t="shared" si="37"/>
        <v/>
      </c>
      <c r="Q300" t="str">
        <f t="shared" si="38"/>
        <v/>
      </c>
      <c r="R300" t="str">
        <f t="shared" si="39"/>
        <v/>
      </c>
    </row>
    <row r="301" spans="1:18" x14ac:dyDescent="0.25">
      <c r="A301">
        <f>ROW()</f>
        <v>301</v>
      </c>
      <c r="B301" t="s">
        <v>232</v>
      </c>
      <c r="C301" t="s">
        <v>83</v>
      </c>
      <c r="D301" t="s">
        <v>32</v>
      </c>
      <c r="G301" t="s">
        <v>33</v>
      </c>
      <c r="J301" t="str">
        <f>IF(A301&lt;WORKSHEET!$R$2,WORKSHEET!$C$2,IF(B301="Air Waybill Number",C301,J300))</f>
        <v>774634331161</v>
      </c>
      <c r="K301" t="str">
        <f t="shared" si="32"/>
        <v>870148463</v>
      </c>
      <c r="L301" t="str">
        <f t="shared" si="33"/>
        <v>10 Jan 2024</v>
      </c>
      <c r="M301" t="str">
        <f t="shared" si="34"/>
        <v>774634331161-1</v>
      </c>
      <c r="N301" t="str">
        <f t="shared" si="35"/>
        <v>12/30/2023</v>
      </c>
      <c r="O301" t="str">
        <f t="shared" si="36"/>
        <v/>
      </c>
      <c r="P301" t="str">
        <f t="shared" si="37"/>
        <v/>
      </c>
      <c r="Q301" t="str">
        <f t="shared" si="38"/>
        <v/>
      </c>
      <c r="R301" t="str">
        <f t="shared" si="39"/>
        <v/>
      </c>
    </row>
    <row r="302" spans="1:18" x14ac:dyDescent="0.25">
      <c r="A302">
        <f>ROW()</f>
        <v>302</v>
      </c>
      <c r="B302" t="s">
        <v>233</v>
      </c>
      <c r="C302" t="s">
        <v>279</v>
      </c>
      <c r="D302" t="s">
        <v>280</v>
      </c>
      <c r="G302" t="s">
        <v>281</v>
      </c>
      <c r="J302" t="str">
        <f>IF(A302&lt;WORKSHEET!$R$2,WORKSHEET!$C$2,IF(B302="Air Waybill Number",C302,J301))</f>
        <v>774634331161</v>
      </c>
      <c r="K302" t="str">
        <f t="shared" si="32"/>
        <v>870148463</v>
      </c>
      <c r="L302" t="str">
        <f t="shared" si="33"/>
        <v>10 Jan 2024</v>
      </c>
      <c r="M302" t="str">
        <f t="shared" si="34"/>
        <v/>
      </c>
      <c r="N302" t="str">
        <f t="shared" si="35"/>
        <v>12/30/2023</v>
      </c>
      <c r="O302" t="str">
        <f t="shared" si="36"/>
        <v/>
      </c>
      <c r="P302" t="str">
        <f t="shared" si="37"/>
        <v/>
      </c>
      <c r="Q302" t="str">
        <f t="shared" si="38"/>
        <v/>
      </c>
      <c r="R302" t="str">
        <f t="shared" si="39"/>
        <v/>
      </c>
    </row>
    <row r="303" spans="1:18" x14ac:dyDescent="0.25">
      <c r="A303">
        <f>ROW()</f>
        <v>303</v>
      </c>
      <c r="B303" t="s">
        <v>237</v>
      </c>
      <c r="C303" t="s">
        <v>238</v>
      </c>
      <c r="D303" t="s">
        <v>282</v>
      </c>
      <c r="E303" t="s">
        <v>283</v>
      </c>
      <c r="G303" t="s">
        <v>274</v>
      </c>
      <c r="H303" t="s">
        <v>284</v>
      </c>
      <c r="J303" t="str">
        <f>IF(A303&lt;WORKSHEET!$R$2,WORKSHEET!$C$2,IF(B303="Air Waybill Number",C303,J302))</f>
        <v>774634331161</v>
      </c>
      <c r="K303" t="str">
        <f t="shared" si="32"/>
        <v>870148463</v>
      </c>
      <c r="L303" t="str">
        <f t="shared" si="33"/>
        <v>10 Jan 2024</v>
      </c>
      <c r="M303" t="str">
        <f t="shared" si="34"/>
        <v/>
      </c>
      <c r="N303" t="str">
        <f t="shared" si="35"/>
        <v>12/30/2023</v>
      </c>
      <c r="O303" t="str">
        <f t="shared" si="36"/>
        <v/>
      </c>
      <c r="P303" t="str">
        <f t="shared" si="37"/>
        <v/>
      </c>
      <c r="Q303" t="str">
        <f t="shared" si="38"/>
        <v/>
      </c>
      <c r="R303" t="str">
        <f t="shared" si="39"/>
        <v/>
      </c>
    </row>
    <row r="304" spans="1:18" x14ac:dyDescent="0.25">
      <c r="A304">
        <f>ROW()</f>
        <v>304</v>
      </c>
      <c r="B304" t="s">
        <v>241</v>
      </c>
      <c r="C304" t="s">
        <v>285</v>
      </c>
      <c r="J304" t="str">
        <f>IF(A304&lt;WORKSHEET!$R$2,WORKSHEET!$C$2,IF(B304="Air Waybill Number",C304,J303))</f>
        <v>774634331161</v>
      </c>
      <c r="K304" t="str">
        <f t="shared" si="32"/>
        <v>870148463</v>
      </c>
      <c r="L304" t="str">
        <f t="shared" si="33"/>
        <v>10 Jan 2024</v>
      </c>
      <c r="M304" t="str">
        <f t="shared" si="34"/>
        <v/>
      </c>
      <c r="N304" t="str">
        <f t="shared" si="35"/>
        <v>12/30/2023</v>
      </c>
      <c r="O304" t="str">
        <f t="shared" si="36"/>
        <v/>
      </c>
      <c r="P304" t="str">
        <f t="shared" si="37"/>
        <v/>
      </c>
      <c r="Q304" t="str">
        <f t="shared" si="38"/>
        <v/>
      </c>
      <c r="R304" t="str">
        <f t="shared" si="39"/>
        <v/>
      </c>
    </row>
    <row r="305" spans="1:18" x14ac:dyDescent="0.25">
      <c r="A305">
        <f>ROW()</f>
        <v>305</v>
      </c>
      <c r="B305" t="s">
        <v>286</v>
      </c>
      <c r="C305" t="s">
        <v>246</v>
      </c>
      <c r="D305" t="s">
        <v>248</v>
      </c>
      <c r="I305">
        <v>700000</v>
      </c>
      <c r="J305" t="str">
        <f>IF(A305&lt;WORKSHEET!$R$2,WORKSHEET!$C$2,IF(B305="Air Waybill Number",C305,J304))</f>
        <v>774634331161</v>
      </c>
      <c r="K305" t="str">
        <f t="shared" si="32"/>
        <v>870148463</v>
      </c>
      <c r="L305" t="str">
        <f t="shared" si="33"/>
        <v>10 Jan 2024</v>
      </c>
      <c r="M305" t="str">
        <f t="shared" si="34"/>
        <v/>
      </c>
      <c r="N305" t="str">
        <f t="shared" si="35"/>
        <v>12/30/2023</v>
      </c>
      <c r="O305" t="str">
        <f t="shared" si="36"/>
        <v/>
      </c>
      <c r="P305" t="str">
        <f t="shared" si="37"/>
        <v/>
      </c>
      <c r="Q305" t="str">
        <f t="shared" si="38"/>
        <v/>
      </c>
      <c r="R305" t="str">
        <f t="shared" si="39"/>
        <v/>
      </c>
    </row>
    <row r="306" spans="1:18" x14ac:dyDescent="0.25">
      <c r="A306">
        <f>ROW()</f>
        <v>306</v>
      </c>
      <c r="D306" t="s">
        <v>251</v>
      </c>
      <c r="G306" t="s">
        <v>252</v>
      </c>
      <c r="I306">
        <v>-520240</v>
      </c>
      <c r="J306" t="str">
        <f>IF(A306&lt;WORKSHEET!$R$2,WORKSHEET!$C$2,IF(B306="Air Waybill Number",C306,J305))</f>
        <v>774634331161</v>
      </c>
      <c r="K306" t="str">
        <f t="shared" si="32"/>
        <v>870148463</v>
      </c>
      <c r="L306" t="str">
        <f t="shared" si="33"/>
        <v>10 Jan 2024</v>
      </c>
      <c r="M306" t="str">
        <f t="shared" si="34"/>
        <v/>
      </c>
      <c r="N306" t="str">
        <f t="shared" si="35"/>
        <v>12/30/2023</v>
      </c>
      <c r="O306" t="str">
        <f t="shared" si="36"/>
        <v/>
      </c>
      <c r="P306" t="str">
        <f t="shared" si="37"/>
        <v/>
      </c>
      <c r="Q306" t="str">
        <f t="shared" si="38"/>
        <v/>
      </c>
      <c r="R306" t="str">
        <f t="shared" si="39"/>
        <v/>
      </c>
    </row>
    <row r="307" spans="1:18" x14ac:dyDescent="0.25">
      <c r="A307">
        <f>ROW()</f>
        <v>307</v>
      </c>
      <c r="B307" t="s">
        <v>249</v>
      </c>
      <c r="C307" t="s">
        <v>444</v>
      </c>
      <c r="D307" t="s">
        <v>254</v>
      </c>
      <c r="G307" t="s">
        <v>12</v>
      </c>
      <c r="I307">
        <v>51876</v>
      </c>
      <c r="J307" t="str">
        <f>IF(A307&lt;WORKSHEET!$R$2,WORKSHEET!$C$2,IF(B307="Air Waybill Number",C307,J306))</f>
        <v>774634331161</v>
      </c>
      <c r="K307" t="str">
        <f t="shared" si="32"/>
        <v>870148463</v>
      </c>
      <c r="L307" t="str">
        <f t="shared" si="33"/>
        <v>10 Jan 2024</v>
      </c>
      <c r="M307" t="str">
        <f t="shared" si="34"/>
        <v/>
      </c>
      <c r="N307" t="str">
        <f t="shared" si="35"/>
        <v>12/30/2023</v>
      </c>
      <c r="O307" t="str">
        <f t="shared" si="36"/>
        <v/>
      </c>
      <c r="P307" t="str">
        <f t="shared" si="37"/>
        <v/>
      </c>
      <c r="Q307" t="str">
        <f t="shared" si="38"/>
        <v/>
      </c>
      <c r="R307" t="str">
        <f t="shared" si="39"/>
        <v/>
      </c>
    </row>
    <row r="308" spans="1:18" x14ac:dyDescent="0.25">
      <c r="A308">
        <f>ROW()</f>
        <v>308</v>
      </c>
      <c r="C308" t="s">
        <v>288</v>
      </c>
      <c r="D308" t="s">
        <v>254</v>
      </c>
      <c r="G308" t="s">
        <v>260</v>
      </c>
      <c r="I308">
        <v>16000</v>
      </c>
      <c r="J308" t="str">
        <f>IF(A308&lt;WORKSHEET!$R$2,WORKSHEET!$C$2,IF(B308="Air Waybill Number",C308,J307))</f>
        <v>774634331161</v>
      </c>
      <c r="K308" t="str">
        <f t="shared" si="32"/>
        <v>870148463</v>
      </c>
      <c r="L308" t="str">
        <f t="shared" si="33"/>
        <v>10 Jan 2024</v>
      </c>
      <c r="M308" t="str">
        <f t="shared" si="34"/>
        <v/>
      </c>
      <c r="N308" t="str">
        <f t="shared" si="35"/>
        <v>12/30/2023</v>
      </c>
      <c r="O308" t="str">
        <f t="shared" si="36"/>
        <v/>
      </c>
      <c r="P308" t="str">
        <f t="shared" si="37"/>
        <v/>
      </c>
      <c r="Q308" t="str">
        <f t="shared" si="38"/>
        <v/>
      </c>
      <c r="R308" t="str">
        <f t="shared" si="39"/>
        <v/>
      </c>
    </row>
    <row r="309" spans="1:18" x14ac:dyDescent="0.25">
      <c r="A309">
        <f>ROW()</f>
        <v>309</v>
      </c>
      <c r="D309" t="s">
        <v>261</v>
      </c>
      <c r="I309">
        <v>2723</v>
      </c>
      <c r="J309" t="str">
        <f>IF(A309&lt;WORKSHEET!$R$2,WORKSHEET!$C$2,IF(B309="Air Waybill Number",C309,J308))</f>
        <v>774634331161</v>
      </c>
      <c r="K309" t="str">
        <f t="shared" si="32"/>
        <v>870148463</v>
      </c>
      <c r="L309" t="str">
        <f t="shared" si="33"/>
        <v>10 Jan 2024</v>
      </c>
      <c r="M309" t="str">
        <f t="shared" si="34"/>
        <v/>
      </c>
      <c r="N309" t="str">
        <f t="shared" si="35"/>
        <v>12/30/2023</v>
      </c>
      <c r="O309" t="str">
        <f t="shared" si="36"/>
        <v/>
      </c>
      <c r="P309" t="str">
        <f t="shared" si="37"/>
        <v/>
      </c>
      <c r="Q309" t="str">
        <f t="shared" si="38"/>
        <v/>
      </c>
      <c r="R309" t="str">
        <f t="shared" si="39"/>
        <v/>
      </c>
    </row>
    <row r="310" spans="1:18" x14ac:dyDescent="0.25">
      <c r="A310">
        <f>ROW()</f>
        <v>310</v>
      </c>
      <c r="D310" t="s">
        <v>14</v>
      </c>
      <c r="I310">
        <v>250359</v>
      </c>
      <c r="J310" t="str">
        <f>IF(A310&lt;WORKSHEET!$R$2,WORKSHEET!$C$2,IF(B310="Air Waybill Number",C310,J309))</f>
        <v>774634331161</v>
      </c>
      <c r="K310" t="str">
        <f t="shared" si="32"/>
        <v>870148463</v>
      </c>
      <c r="L310" t="str">
        <f t="shared" si="33"/>
        <v>10 Jan 2024</v>
      </c>
      <c r="M310" t="str">
        <f t="shared" si="34"/>
        <v/>
      </c>
      <c r="N310" t="str">
        <f t="shared" si="35"/>
        <v>12/30/2023</v>
      </c>
      <c r="O310" t="str">
        <f t="shared" si="36"/>
        <v/>
      </c>
      <c r="P310" t="str">
        <f t="shared" si="37"/>
        <v/>
      </c>
      <c r="Q310" t="str">
        <f t="shared" si="38"/>
        <v/>
      </c>
      <c r="R310" t="str">
        <f t="shared" si="39"/>
        <v/>
      </c>
    </row>
    <row r="311" spans="1:18" x14ac:dyDescent="0.25">
      <c r="A311">
        <f>ROW()</f>
        <v>311</v>
      </c>
      <c r="B311" t="s">
        <v>221</v>
      </c>
      <c r="C311" t="s">
        <v>84</v>
      </c>
      <c r="J311" t="str">
        <f>IF(A311&lt;WORKSHEET!$R$2,WORKSHEET!$C$2,IF(B311="Air Waybill Number",C311,J310))</f>
        <v>774634331161</v>
      </c>
      <c r="K311" t="str">
        <f t="shared" si="32"/>
        <v>870148464</v>
      </c>
      <c r="L311" t="str">
        <f t="shared" si="33"/>
        <v>10 Jan 2024</v>
      </c>
      <c r="M311" t="str">
        <f t="shared" si="34"/>
        <v/>
      </c>
      <c r="N311" t="str">
        <f t="shared" si="35"/>
        <v>12/30/2023</v>
      </c>
      <c r="O311" t="str">
        <f t="shared" si="36"/>
        <v/>
      </c>
      <c r="P311" t="str">
        <f t="shared" si="37"/>
        <v/>
      </c>
      <c r="Q311" t="str">
        <f t="shared" si="38"/>
        <v/>
      </c>
      <c r="R311" t="str">
        <f t="shared" si="39"/>
        <v/>
      </c>
    </row>
    <row r="312" spans="1:18" x14ac:dyDescent="0.25">
      <c r="A312">
        <f>ROW()</f>
        <v>312</v>
      </c>
      <c r="B312" t="s">
        <v>222</v>
      </c>
      <c r="C312" t="s">
        <v>390</v>
      </c>
      <c r="J312" t="str">
        <f>IF(A312&lt;WORKSHEET!$R$2,WORKSHEET!$C$2,IF(B312="Air Waybill Number",C312,J311))</f>
        <v>774634331161</v>
      </c>
      <c r="K312" t="str">
        <f t="shared" si="32"/>
        <v>870148464</v>
      </c>
      <c r="L312" t="str">
        <f t="shared" si="33"/>
        <v>10 Jan 2024</v>
      </c>
      <c r="M312" t="str">
        <f t="shared" si="34"/>
        <v/>
      </c>
      <c r="N312" t="str">
        <f t="shared" si="35"/>
        <v>12/30/2023</v>
      </c>
      <c r="O312" t="str">
        <f t="shared" si="36"/>
        <v/>
      </c>
      <c r="P312" t="str">
        <f t="shared" si="37"/>
        <v/>
      </c>
      <c r="Q312" t="str">
        <f t="shared" si="38"/>
        <v/>
      </c>
      <c r="R312" t="str">
        <f t="shared" si="39"/>
        <v/>
      </c>
    </row>
    <row r="313" spans="1:18" x14ac:dyDescent="0.25">
      <c r="A313">
        <f>ROW()</f>
        <v>313</v>
      </c>
      <c r="B313" t="s">
        <v>224</v>
      </c>
      <c r="C313" t="s">
        <v>225</v>
      </c>
      <c r="J313" t="str">
        <f>IF(A313&lt;WORKSHEET!$R$2,WORKSHEET!$C$2,IF(B313="Air Waybill Number",C313,J312))</f>
        <v>774634331161</v>
      </c>
      <c r="K313" t="str">
        <f t="shared" si="32"/>
        <v>870148464</v>
      </c>
      <c r="L313" t="str">
        <f t="shared" si="33"/>
        <v>10 Jan 2024</v>
      </c>
      <c r="M313" t="str">
        <f t="shared" si="34"/>
        <v/>
      </c>
      <c r="N313" t="str">
        <f t="shared" si="35"/>
        <v>12/30/2023</v>
      </c>
      <c r="O313" t="str">
        <f t="shared" si="36"/>
        <v/>
      </c>
      <c r="P313" t="str">
        <f t="shared" si="37"/>
        <v/>
      </c>
      <c r="Q313" t="str">
        <f t="shared" si="38"/>
        <v/>
      </c>
      <c r="R313" t="str">
        <f t="shared" si="39"/>
        <v/>
      </c>
    </row>
    <row r="314" spans="1:18" x14ac:dyDescent="0.25">
      <c r="A314">
        <f>ROW()</f>
        <v>314</v>
      </c>
      <c r="B314" t="s">
        <v>226</v>
      </c>
      <c r="C314" t="s">
        <v>429</v>
      </c>
      <c r="D314" t="s">
        <v>290</v>
      </c>
      <c r="E314" t="s">
        <v>291</v>
      </c>
      <c r="J314" t="str">
        <f>IF(A314&lt;WORKSHEET!$R$2,WORKSHEET!$C$2,IF(B314="Air Waybill Number",C314,J313))</f>
        <v>774634331161</v>
      </c>
      <c r="K314" t="str">
        <f t="shared" si="32"/>
        <v>870148464</v>
      </c>
      <c r="L314" t="str">
        <f t="shared" si="33"/>
        <v>10 Jan 2024</v>
      </c>
      <c r="M314" t="str">
        <f t="shared" si="34"/>
        <v/>
      </c>
      <c r="N314" t="str">
        <f t="shared" si="35"/>
        <v>12/27/2023</v>
      </c>
      <c r="O314" t="str">
        <f t="shared" si="36"/>
        <v>EKA / BAYU</v>
      </c>
      <c r="P314" t="str">
        <f t="shared" si="37"/>
        <v>GISTEX GARMEN INDONESIA</v>
      </c>
      <c r="Q314" t="str">
        <f t="shared" si="38"/>
        <v>OGURA KENJI / HASHIMOTO KIMIE</v>
      </c>
      <c r="R314" t="str">
        <f t="shared" si="39"/>
        <v>MARUBENI FASHION LINK, LTD</v>
      </c>
    </row>
    <row r="315" spans="1:18" x14ac:dyDescent="0.25">
      <c r="A315">
        <f>ROW()</f>
        <v>315</v>
      </c>
      <c r="B315" t="s">
        <v>232</v>
      </c>
      <c r="C315" t="s">
        <v>85</v>
      </c>
      <c r="D315" t="s">
        <v>36</v>
      </c>
      <c r="E315" t="s">
        <v>37</v>
      </c>
      <c r="J315" t="str">
        <f>IF(A315&lt;WORKSHEET!$R$2,WORKSHEET!$C$2,IF(B315="Air Waybill Number",C315,J314))</f>
        <v>774609920571</v>
      </c>
      <c r="K315" t="str">
        <f t="shared" si="32"/>
        <v>870148464</v>
      </c>
      <c r="L315" t="str">
        <f t="shared" si="33"/>
        <v>10 Jan 2024</v>
      </c>
      <c r="M315" t="str">
        <f t="shared" si="34"/>
        <v>774609920571-1</v>
      </c>
      <c r="N315" t="str">
        <f t="shared" si="35"/>
        <v>12/27/2023</v>
      </c>
      <c r="O315" t="str">
        <f t="shared" si="36"/>
        <v/>
      </c>
      <c r="P315" t="str">
        <f t="shared" si="37"/>
        <v/>
      </c>
      <c r="Q315" t="str">
        <f t="shared" si="38"/>
        <v/>
      </c>
      <c r="R315" t="str">
        <f t="shared" si="39"/>
        <v/>
      </c>
    </row>
    <row r="316" spans="1:18" x14ac:dyDescent="0.25">
      <c r="A316">
        <f>ROW()</f>
        <v>316</v>
      </c>
      <c r="B316" t="s">
        <v>233</v>
      </c>
      <c r="C316" t="s">
        <v>279</v>
      </c>
      <c r="D316" t="s">
        <v>41</v>
      </c>
      <c r="E316" t="s">
        <v>39</v>
      </c>
      <c r="J316" t="str">
        <f>IF(A316&lt;WORKSHEET!$R$2,WORKSHEET!$C$2,IF(B316="Air Waybill Number",C316,J315))</f>
        <v>774609920571</v>
      </c>
      <c r="K316" t="str">
        <f t="shared" si="32"/>
        <v>870148464</v>
      </c>
      <c r="L316" t="str">
        <f t="shared" si="33"/>
        <v>10 Jan 2024</v>
      </c>
      <c r="M316" t="str">
        <f t="shared" si="34"/>
        <v/>
      </c>
      <c r="N316" t="str">
        <f t="shared" si="35"/>
        <v>12/27/2023</v>
      </c>
      <c r="O316" t="str">
        <f t="shared" si="36"/>
        <v/>
      </c>
      <c r="P316" t="str">
        <f t="shared" si="37"/>
        <v/>
      </c>
      <c r="Q316" t="str">
        <f t="shared" si="38"/>
        <v/>
      </c>
      <c r="R316" t="str">
        <f t="shared" si="39"/>
        <v/>
      </c>
    </row>
    <row r="317" spans="1:18" x14ac:dyDescent="0.25">
      <c r="A317">
        <f>ROW()</f>
        <v>317</v>
      </c>
      <c r="B317" t="s">
        <v>237</v>
      </c>
      <c r="C317" t="s">
        <v>238</v>
      </c>
      <c r="D317" t="s">
        <v>293</v>
      </c>
      <c r="E317" t="s">
        <v>294</v>
      </c>
      <c r="J317" t="str">
        <f>IF(A317&lt;WORKSHEET!$R$2,WORKSHEET!$C$2,IF(B317="Air Waybill Number",C317,J316))</f>
        <v>774609920571</v>
      </c>
      <c r="K317" t="str">
        <f t="shared" si="32"/>
        <v>870148464</v>
      </c>
      <c r="L317" t="str">
        <f t="shared" si="33"/>
        <v>10 Jan 2024</v>
      </c>
      <c r="M317" t="str">
        <f t="shared" si="34"/>
        <v/>
      </c>
      <c r="N317" t="str">
        <f t="shared" si="35"/>
        <v>12/27/2023</v>
      </c>
      <c r="O317" t="str">
        <f t="shared" si="36"/>
        <v/>
      </c>
      <c r="P317" t="str">
        <f t="shared" si="37"/>
        <v/>
      </c>
      <c r="Q317" t="str">
        <f t="shared" si="38"/>
        <v/>
      </c>
      <c r="R317" t="str">
        <f t="shared" si="39"/>
        <v/>
      </c>
    </row>
    <row r="318" spans="1:18" x14ac:dyDescent="0.25">
      <c r="A318">
        <f>ROW()</f>
        <v>318</v>
      </c>
      <c r="B318" t="s">
        <v>241</v>
      </c>
      <c r="C318" t="s">
        <v>295</v>
      </c>
      <c r="D318" t="s">
        <v>296</v>
      </c>
      <c r="E318" t="s">
        <v>297</v>
      </c>
      <c r="F318" t="s">
        <v>298</v>
      </c>
      <c r="J318" t="str">
        <f>IF(A318&lt;WORKSHEET!$R$2,WORKSHEET!$C$2,IF(B318="Air Waybill Number",C318,J317))</f>
        <v>774609920571</v>
      </c>
      <c r="K318" t="str">
        <f t="shared" si="32"/>
        <v>870148464</v>
      </c>
      <c r="L318" t="str">
        <f t="shared" si="33"/>
        <v>10 Jan 2024</v>
      </c>
      <c r="M318" t="str">
        <f t="shared" si="34"/>
        <v/>
      </c>
      <c r="N318" t="str">
        <f t="shared" si="35"/>
        <v>12/27/2023</v>
      </c>
      <c r="O318" t="str">
        <f t="shared" si="36"/>
        <v/>
      </c>
      <c r="P318" t="str">
        <f t="shared" si="37"/>
        <v/>
      </c>
      <c r="Q318" t="str">
        <f t="shared" si="38"/>
        <v/>
      </c>
      <c r="R318" t="str">
        <f t="shared" si="39"/>
        <v/>
      </c>
    </row>
    <row r="319" spans="1:18" x14ac:dyDescent="0.25">
      <c r="A319">
        <f>ROW()</f>
        <v>319</v>
      </c>
      <c r="B319" t="s">
        <v>245</v>
      </c>
      <c r="C319" t="s">
        <v>299</v>
      </c>
      <c r="D319" t="s">
        <v>300</v>
      </c>
      <c r="J319" t="str">
        <f>IF(A319&lt;WORKSHEET!$R$2,WORKSHEET!$C$2,IF(B319="Air Waybill Number",C319,J318))</f>
        <v>774609920571</v>
      </c>
      <c r="K319" t="str">
        <f t="shared" si="32"/>
        <v>870148464</v>
      </c>
      <c r="L319" t="str">
        <f t="shared" si="33"/>
        <v>10 Jan 2024</v>
      </c>
      <c r="M319" t="str">
        <f t="shared" si="34"/>
        <v/>
      </c>
      <c r="N319" t="str">
        <f t="shared" si="35"/>
        <v>12/27/2023</v>
      </c>
      <c r="O319" t="str">
        <f t="shared" si="36"/>
        <v/>
      </c>
      <c r="P319" t="str">
        <f t="shared" si="37"/>
        <v/>
      </c>
      <c r="Q319" t="str">
        <f t="shared" si="38"/>
        <v/>
      </c>
      <c r="R319" t="str">
        <f t="shared" si="39"/>
        <v/>
      </c>
    </row>
    <row r="320" spans="1:18" x14ac:dyDescent="0.25">
      <c r="A320">
        <f>ROW()</f>
        <v>320</v>
      </c>
      <c r="B320" t="s">
        <v>419</v>
      </c>
      <c r="C320" t="s">
        <v>445</v>
      </c>
      <c r="D320" t="s">
        <v>248</v>
      </c>
      <c r="G320">
        <v>738000</v>
      </c>
      <c r="J320" t="str">
        <f>IF(A320&lt;WORKSHEET!$R$2,WORKSHEET!$C$2,IF(B320="Air Waybill Number",C320,J319))</f>
        <v>774609920571</v>
      </c>
      <c r="K320" t="str">
        <f t="shared" si="32"/>
        <v>870148464</v>
      </c>
      <c r="L320" t="str">
        <f t="shared" si="33"/>
        <v>10 Jan 2024</v>
      </c>
      <c r="M320" t="str">
        <f t="shared" si="34"/>
        <v/>
      </c>
      <c r="N320" t="str">
        <f t="shared" si="35"/>
        <v>12/27/2023</v>
      </c>
      <c r="O320" t="str">
        <f t="shared" si="36"/>
        <v/>
      </c>
      <c r="P320" t="str">
        <f t="shared" si="37"/>
        <v/>
      </c>
      <c r="Q320" t="str">
        <f t="shared" si="38"/>
        <v/>
      </c>
      <c r="R320" t="str">
        <f t="shared" si="39"/>
        <v/>
      </c>
    </row>
    <row r="321" spans="1:18" x14ac:dyDescent="0.25">
      <c r="A321">
        <f>ROW()</f>
        <v>321</v>
      </c>
      <c r="D321" t="s">
        <v>251</v>
      </c>
      <c r="E321" t="s">
        <v>252</v>
      </c>
      <c r="G321">
        <v>-549293</v>
      </c>
      <c r="J321" t="str">
        <f>IF(A321&lt;WORKSHEET!$R$2,WORKSHEET!$C$2,IF(B321="Air Waybill Number",C321,J320))</f>
        <v>774609920571</v>
      </c>
      <c r="K321" t="str">
        <f t="shared" si="32"/>
        <v>870148464</v>
      </c>
      <c r="L321" t="str">
        <f t="shared" si="33"/>
        <v>10 Jan 2024</v>
      </c>
      <c r="M321" t="str">
        <f t="shared" si="34"/>
        <v/>
      </c>
      <c r="N321" t="str">
        <f t="shared" si="35"/>
        <v>12/27/2023</v>
      </c>
      <c r="O321" t="str">
        <f t="shared" si="36"/>
        <v/>
      </c>
      <c r="P321" t="str">
        <f t="shared" si="37"/>
        <v/>
      </c>
      <c r="Q321" t="str">
        <f t="shared" si="38"/>
        <v/>
      </c>
      <c r="R321" t="str">
        <f t="shared" si="39"/>
        <v/>
      </c>
    </row>
    <row r="322" spans="1:18" x14ac:dyDescent="0.25">
      <c r="A322">
        <f>ROW()</f>
        <v>322</v>
      </c>
      <c r="D322" t="s">
        <v>254</v>
      </c>
      <c r="E322" t="s">
        <v>12</v>
      </c>
      <c r="G322">
        <v>54247</v>
      </c>
      <c r="J322" t="str">
        <f>IF(A322&lt;WORKSHEET!$R$2,WORKSHEET!$C$2,IF(B322="Air Waybill Number",C322,J321))</f>
        <v>774609920571</v>
      </c>
      <c r="K322" t="str">
        <f t="shared" ref="K322:K385" si="40">IF(B322="Invoice Number:",C322,K321)</f>
        <v>870148464</v>
      </c>
      <c r="L322" t="str">
        <f t="shared" ref="L322:L385" si="41">IF(B322="Invoice Date:",C322,L321)</f>
        <v>10 Jan 2024</v>
      </c>
      <c r="M322" t="str">
        <f t="shared" ref="M322:M385" si="42">IF(B322="Air Waybill Number",J322&amp;"-1","")</f>
        <v/>
      </c>
      <c r="N322" t="str">
        <f t="shared" ref="N322:N385" si="43">IF(B322="Ship Date",C322,N321)</f>
        <v>12/27/2023</v>
      </c>
      <c r="O322" t="str">
        <f t="shared" ref="O322:O385" si="44">IF(LEFT(D322,6)="Sender",D323,IF(LEFT(E322,6)="Sender",E323,""))</f>
        <v/>
      </c>
      <c r="P322" t="str">
        <f t="shared" ref="P322:P385" si="45">IF(LEFT(D322,6)="Sender",D324,IF(LEFT(E322,6)="Sender",D324,""))</f>
        <v/>
      </c>
      <c r="Q322" t="str">
        <f t="shared" ref="Q322:Q385" si="46">IF(LEFT(E322,9)="Recipient",E323&amp;F323,IF(LEFT(F322,9)="Recipient",F323,IF(LEFT(G322,9)="Recipient",G323,IF(LEFT(H322,9)="Recipient",H323,""))))</f>
        <v/>
      </c>
      <c r="R322" t="str">
        <f t="shared" ref="R322:R385" si="47">IF(LEFT(E322,9)="Recipient",E324&amp;F324,IF(LEFT(F322,9)="Recipient",F324,IF(LEFT(G322,9)="Recipient",G324,IF(LEFT(H322,9)="Recipient",H324,""))))</f>
        <v/>
      </c>
    </row>
    <row r="323" spans="1:18" x14ac:dyDescent="0.25">
      <c r="A323">
        <f>ROW()</f>
        <v>323</v>
      </c>
      <c r="D323" t="s">
        <v>254</v>
      </c>
      <c r="E323" t="s">
        <v>260</v>
      </c>
      <c r="G323">
        <v>16000</v>
      </c>
      <c r="J323" t="str">
        <f>IF(A323&lt;WORKSHEET!$R$2,WORKSHEET!$C$2,IF(B323="Air Waybill Number",C323,J322))</f>
        <v>774609920571</v>
      </c>
      <c r="K323" t="str">
        <f t="shared" si="40"/>
        <v>870148464</v>
      </c>
      <c r="L323" t="str">
        <f t="shared" si="41"/>
        <v>10 Jan 2024</v>
      </c>
      <c r="M323" t="str">
        <f t="shared" si="42"/>
        <v/>
      </c>
      <c r="N323" t="str">
        <f t="shared" si="43"/>
        <v>12/27/2023</v>
      </c>
      <c r="O323" t="str">
        <f t="shared" si="44"/>
        <v/>
      </c>
      <c r="P323" t="str">
        <f t="shared" si="45"/>
        <v/>
      </c>
      <c r="Q323" t="str">
        <f t="shared" si="46"/>
        <v/>
      </c>
      <c r="R323" t="str">
        <f t="shared" si="47"/>
        <v/>
      </c>
    </row>
    <row r="324" spans="1:18" x14ac:dyDescent="0.25">
      <c r="A324">
        <f>ROW()</f>
        <v>324</v>
      </c>
      <c r="D324" t="s">
        <v>261</v>
      </c>
      <c r="G324">
        <v>2848</v>
      </c>
      <c r="J324" t="str">
        <f>IF(A324&lt;WORKSHEET!$R$2,WORKSHEET!$C$2,IF(B324="Air Waybill Number",C324,J323))</f>
        <v>774609920571</v>
      </c>
      <c r="K324" t="str">
        <f t="shared" si="40"/>
        <v>870148464</v>
      </c>
      <c r="L324" t="str">
        <f t="shared" si="41"/>
        <v>10 Jan 2024</v>
      </c>
      <c r="M324" t="str">
        <f t="shared" si="42"/>
        <v/>
      </c>
      <c r="N324" t="str">
        <f t="shared" si="43"/>
        <v>12/27/2023</v>
      </c>
      <c r="O324" t="str">
        <f t="shared" si="44"/>
        <v/>
      </c>
      <c r="P324" t="str">
        <f t="shared" si="45"/>
        <v/>
      </c>
      <c r="Q324" t="str">
        <f t="shared" si="46"/>
        <v/>
      </c>
      <c r="R324" t="str">
        <f t="shared" si="47"/>
        <v/>
      </c>
    </row>
    <row r="325" spans="1:18" x14ac:dyDescent="0.25">
      <c r="A325">
        <f>ROW()</f>
        <v>325</v>
      </c>
      <c r="D325" t="s">
        <v>14</v>
      </c>
      <c r="G325">
        <v>261802</v>
      </c>
      <c r="J325" t="str">
        <f>IF(A325&lt;WORKSHEET!$R$2,WORKSHEET!$C$2,IF(B325="Air Waybill Number",C325,J324))</f>
        <v>774609920571</v>
      </c>
      <c r="K325" t="str">
        <f t="shared" si="40"/>
        <v>870148464</v>
      </c>
      <c r="L325" t="str">
        <f t="shared" si="41"/>
        <v>10 Jan 2024</v>
      </c>
      <c r="M325" t="str">
        <f t="shared" si="42"/>
        <v/>
      </c>
      <c r="N325" t="str">
        <f t="shared" si="43"/>
        <v>12/27/2023</v>
      </c>
      <c r="O325" t="str">
        <f t="shared" si="44"/>
        <v/>
      </c>
      <c r="P325" t="str">
        <f t="shared" si="45"/>
        <v/>
      </c>
      <c r="Q325" t="str">
        <f t="shared" si="46"/>
        <v/>
      </c>
      <c r="R325" t="str">
        <f t="shared" si="47"/>
        <v/>
      </c>
    </row>
    <row r="326" spans="1:18" x14ac:dyDescent="0.25">
      <c r="A326">
        <f>ROW()</f>
        <v>326</v>
      </c>
      <c r="D326" t="s">
        <v>431</v>
      </c>
      <c r="J326" t="str">
        <f>IF(A326&lt;WORKSHEET!$R$2,WORKSHEET!$C$2,IF(B326="Air Waybill Number",C326,J325))</f>
        <v>774609920571</v>
      </c>
      <c r="K326" t="str">
        <f t="shared" si="40"/>
        <v>870148464</v>
      </c>
      <c r="L326" t="str">
        <f t="shared" si="41"/>
        <v>10 Jan 2024</v>
      </c>
      <c r="M326" t="str">
        <f t="shared" si="42"/>
        <v/>
      </c>
      <c r="N326" t="str">
        <f t="shared" si="43"/>
        <v>12/27/2023</v>
      </c>
      <c r="O326" t="str">
        <f t="shared" si="44"/>
        <v/>
      </c>
      <c r="P326" t="str">
        <f t="shared" si="45"/>
        <v/>
      </c>
      <c r="Q326" t="str">
        <f t="shared" si="46"/>
        <v/>
      </c>
      <c r="R326" t="str">
        <f t="shared" si="47"/>
        <v/>
      </c>
    </row>
    <row r="327" spans="1:18" x14ac:dyDescent="0.25">
      <c r="A327">
        <f>ROW()</f>
        <v>327</v>
      </c>
      <c r="B327" t="s">
        <v>226</v>
      </c>
      <c r="C327" t="s">
        <v>319</v>
      </c>
      <c r="D327" t="s">
        <v>290</v>
      </c>
      <c r="E327" t="s">
        <v>291</v>
      </c>
      <c r="J327" t="str">
        <f>IF(A327&lt;WORKSHEET!$R$2,WORKSHEET!$C$2,IF(B327="Air Waybill Number",C327,J326))</f>
        <v>774609920571</v>
      </c>
      <c r="K327" t="str">
        <f t="shared" si="40"/>
        <v>870148464</v>
      </c>
      <c r="L327" t="str">
        <f t="shared" si="41"/>
        <v>10 Jan 2024</v>
      </c>
      <c r="M327" t="str">
        <f t="shared" si="42"/>
        <v/>
      </c>
      <c r="N327" t="str">
        <f t="shared" si="43"/>
        <v>12/29/2023</v>
      </c>
      <c r="O327" t="str">
        <f t="shared" si="44"/>
        <v>EKA / BAYU</v>
      </c>
      <c r="P327" t="str">
        <f t="shared" si="45"/>
        <v>GISTEX GARMEN INDONESIA</v>
      </c>
      <c r="Q327" t="str">
        <f t="shared" si="46"/>
        <v>OGURA KENJI / HASHIMOTO KIMIE</v>
      </c>
      <c r="R327" t="str">
        <f t="shared" si="47"/>
        <v>MARUBENI FASHION LINK, LTD</v>
      </c>
    </row>
    <row r="328" spans="1:18" x14ac:dyDescent="0.25">
      <c r="A328">
        <f>ROW()</f>
        <v>328</v>
      </c>
      <c r="B328" t="s">
        <v>232</v>
      </c>
      <c r="C328" t="s">
        <v>50</v>
      </c>
      <c r="D328" t="s">
        <v>36</v>
      </c>
      <c r="E328" t="s">
        <v>37</v>
      </c>
      <c r="J328" t="str">
        <f>IF(A328&lt;WORKSHEET!$R$2,WORKSHEET!$C$2,IF(B328="Air Waybill Number",C328,J327))</f>
        <v>774632987514</v>
      </c>
      <c r="K328" t="str">
        <f t="shared" si="40"/>
        <v>870148464</v>
      </c>
      <c r="L328" t="str">
        <f t="shared" si="41"/>
        <v>10 Jan 2024</v>
      </c>
      <c r="M328" t="str">
        <f t="shared" si="42"/>
        <v>774632987514-1</v>
      </c>
      <c r="N328" t="str">
        <f t="shared" si="43"/>
        <v>12/29/2023</v>
      </c>
      <c r="O328" t="str">
        <f t="shared" si="44"/>
        <v/>
      </c>
      <c r="P328" t="str">
        <f t="shared" si="45"/>
        <v/>
      </c>
      <c r="Q328" t="str">
        <f t="shared" si="46"/>
        <v/>
      </c>
      <c r="R328" t="str">
        <f t="shared" si="47"/>
        <v/>
      </c>
    </row>
    <row r="329" spans="1:18" x14ac:dyDescent="0.25">
      <c r="A329">
        <f>ROW()</f>
        <v>329</v>
      </c>
      <c r="B329" t="s">
        <v>233</v>
      </c>
      <c r="C329" t="s">
        <v>322</v>
      </c>
      <c r="D329" t="s">
        <v>41</v>
      </c>
      <c r="E329" t="s">
        <v>39</v>
      </c>
      <c r="J329" t="str">
        <f>IF(A329&lt;WORKSHEET!$R$2,WORKSHEET!$C$2,IF(B329="Air Waybill Number",C329,J328))</f>
        <v>774632987514</v>
      </c>
      <c r="K329" t="str">
        <f t="shared" si="40"/>
        <v>870148464</v>
      </c>
      <c r="L329" t="str">
        <f t="shared" si="41"/>
        <v>10 Jan 2024</v>
      </c>
      <c r="M329" t="str">
        <f t="shared" si="42"/>
        <v/>
      </c>
      <c r="N329" t="str">
        <f t="shared" si="43"/>
        <v>12/29/2023</v>
      </c>
      <c r="O329" t="str">
        <f t="shared" si="44"/>
        <v/>
      </c>
      <c r="P329" t="str">
        <f t="shared" si="45"/>
        <v/>
      </c>
      <c r="Q329" t="str">
        <f t="shared" si="46"/>
        <v/>
      </c>
      <c r="R329" t="str">
        <f t="shared" si="47"/>
        <v/>
      </c>
    </row>
    <row r="330" spans="1:18" x14ac:dyDescent="0.25">
      <c r="A330">
        <f>ROW()</f>
        <v>330</v>
      </c>
      <c r="B330" t="s">
        <v>237</v>
      </c>
      <c r="C330" t="s">
        <v>238</v>
      </c>
      <c r="D330" t="s">
        <v>293</v>
      </c>
      <c r="E330" t="s">
        <v>294</v>
      </c>
      <c r="J330" t="str">
        <f>IF(A330&lt;WORKSHEET!$R$2,WORKSHEET!$C$2,IF(B330="Air Waybill Number",C330,J329))</f>
        <v>774632987514</v>
      </c>
      <c r="K330" t="str">
        <f t="shared" si="40"/>
        <v>870148464</v>
      </c>
      <c r="L330" t="str">
        <f t="shared" si="41"/>
        <v>10 Jan 2024</v>
      </c>
      <c r="M330" t="str">
        <f t="shared" si="42"/>
        <v/>
      </c>
      <c r="N330" t="str">
        <f t="shared" si="43"/>
        <v>12/29/2023</v>
      </c>
      <c r="O330" t="str">
        <f t="shared" si="44"/>
        <v/>
      </c>
      <c r="P330" t="str">
        <f t="shared" si="45"/>
        <v/>
      </c>
      <c r="Q330" t="str">
        <f t="shared" si="46"/>
        <v/>
      </c>
      <c r="R330" t="str">
        <f t="shared" si="47"/>
        <v/>
      </c>
    </row>
    <row r="331" spans="1:18" x14ac:dyDescent="0.25">
      <c r="A331">
        <f>ROW()</f>
        <v>331</v>
      </c>
      <c r="B331" t="s">
        <v>241</v>
      </c>
      <c r="C331" t="s">
        <v>323</v>
      </c>
      <c r="D331" t="s">
        <v>296</v>
      </c>
      <c r="E331" t="s">
        <v>297</v>
      </c>
      <c r="F331" t="s">
        <v>298</v>
      </c>
      <c r="J331" t="str">
        <f>IF(A331&lt;WORKSHEET!$R$2,WORKSHEET!$C$2,IF(B331="Air Waybill Number",C331,J330))</f>
        <v>774632987514</v>
      </c>
      <c r="K331" t="str">
        <f t="shared" si="40"/>
        <v>870148464</v>
      </c>
      <c r="L331" t="str">
        <f t="shared" si="41"/>
        <v>10 Jan 2024</v>
      </c>
      <c r="M331" t="str">
        <f t="shared" si="42"/>
        <v/>
      </c>
      <c r="N331" t="str">
        <f t="shared" si="43"/>
        <v>12/29/2023</v>
      </c>
      <c r="O331" t="str">
        <f t="shared" si="44"/>
        <v/>
      </c>
      <c r="P331" t="str">
        <f t="shared" si="45"/>
        <v/>
      </c>
      <c r="Q331" t="str">
        <f t="shared" si="46"/>
        <v/>
      </c>
      <c r="R331" t="str">
        <f t="shared" si="47"/>
        <v/>
      </c>
    </row>
    <row r="332" spans="1:18" x14ac:dyDescent="0.25">
      <c r="A332">
        <f>ROW()</f>
        <v>332</v>
      </c>
      <c r="B332" t="s">
        <v>245</v>
      </c>
      <c r="C332" t="s">
        <v>299</v>
      </c>
      <c r="D332" t="s">
        <v>300</v>
      </c>
      <c r="J332" t="str">
        <f>IF(A332&lt;WORKSHEET!$R$2,WORKSHEET!$C$2,IF(B332="Air Waybill Number",C332,J331))</f>
        <v>774632987514</v>
      </c>
      <c r="K332" t="str">
        <f t="shared" si="40"/>
        <v>870148464</v>
      </c>
      <c r="L332" t="str">
        <f t="shared" si="41"/>
        <v>10 Jan 2024</v>
      </c>
      <c r="M332" t="str">
        <f t="shared" si="42"/>
        <v/>
      </c>
      <c r="N332" t="str">
        <f t="shared" si="43"/>
        <v>12/29/2023</v>
      </c>
      <c r="O332" t="str">
        <f t="shared" si="44"/>
        <v/>
      </c>
      <c r="P332" t="str">
        <f t="shared" si="45"/>
        <v/>
      </c>
      <c r="Q332" t="str">
        <f t="shared" si="46"/>
        <v/>
      </c>
      <c r="R332" t="str">
        <f t="shared" si="47"/>
        <v/>
      </c>
    </row>
    <row r="333" spans="1:18" x14ac:dyDescent="0.25">
      <c r="A333">
        <f>ROW()</f>
        <v>333</v>
      </c>
      <c r="B333" t="s">
        <v>247</v>
      </c>
      <c r="C333" t="s">
        <v>324</v>
      </c>
      <c r="J333" t="str">
        <f>IF(A333&lt;WORKSHEET!$R$2,WORKSHEET!$C$2,IF(B333="Air Waybill Number",C333,J332))</f>
        <v>774632987514</v>
      </c>
      <c r="K333" t="str">
        <f t="shared" si="40"/>
        <v>870148464</v>
      </c>
      <c r="L333" t="str">
        <f t="shared" si="41"/>
        <v>10 Jan 2024</v>
      </c>
      <c r="M333" t="str">
        <f t="shared" si="42"/>
        <v/>
      </c>
      <c r="N333" t="str">
        <f t="shared" si="43"/>
        <v>12/29/2023</v>
      </c>
      <c r="O333" t="str">
        <f t="shared" si="44"/>
        <v/>
      </c>
      <c r="P333" t="str">
        <f t="shared" si="45"/>
        <v/>
      </c>
      <c r="Q333" t="str">
        <f t="shared" si="46"/>
        <v/>
      </c>
      <c r="R333" t="str">
        <f t="shared" si="47"/>
        <v/>
      </c>
    </row>
    <row r="334" spans="1:18" x14ac:dyDescent="0.25">
      <c r="A334">
        <f>ROW()</f>
        <v>334</v>
      </c>
      <c r="B334" t="s">
        <v>249</v>
      </c>
      <c r="C334" t="s">
        <v>446</v>
      </c>
      <c r="D334" t="s">
        <v>248</v>
      </c>
      <c r="G334">
        <v>11718000</v>
      </c>
      <c r="J334" t="str">
        <f>IF(A334&lt;WORKSHEET!$R$2,WORKSHEET!$C$2,IF(B334="Air Waybill Number",C334,J333))</f>
        <v>774632987514</v>
      </c>
      <c r="K334" t="str">
        <f t="shared" si="40"/>
        <v>870148464</v>
      </c>
      <c r="L334" t="str">
        <f t="shared" si="41"/>
        <v>10 Jan 2024</v>
      </c>
      <c r="M334" t="str">
        <f t="shared" si="42"/>
        <v/>
      </c>
      <c r="N334" t="str">
        <f t="shared" si="43"/>
        <v>12/29/2023</v>
      </c>
      <c r="O334" t="str">
        <f t="shared" si="44"/>
        <v/>
      </c>
      <c r="P334" t="str">
        <f t="shared" si="45"/>
        <v/>
      </c>
      <c r="Q334" t="str">
        <f t="shared" si="46"/>
        <v/>
      </c>
      <c r="R334" t="str">
        <f t="shared" si="47"/>
        <v/>
      </c>
    </row>
    <row r="335" spans="1:18" x14ac:dyDescent="0.25">
      <c r="A335">
        <f>ROW()</f>
        <v>335</v>
      </c>
      <c r="D335" t="s">
        <v>251</v>
      </c>
      <c r="E335" t="s">
        <v>252</v>
      </c>
      <c r="G335">
        <v>-10322386</v>
      </c>
      <c r="J335" t="str">
        <f>IF(A335&lt;WORKSHEET!$R$2,WORKSHEET!$C$2,IF(B335="Air Waybill Number",C335,J334))</f>
        <v>774632987514</v>
      </c>
      <c r="K335" t="str">
        <f t="shared" si="40"/>
        <v>870148464</v>
      </c>
      <c r="L335" t="str">
        <f t="shared" si="41"/>
        <v>10 Jan 2024</v>
      </c>
      <c r="M335" t="str">
        <f t="shared" si="42"/>
        <v/>
      </c>
      <c r="N335" t="str">
        <f t="shared" si="43"/>
        <v>12/29/2023</v>
      </c>
      <c r="O335" t="str">
        <f t="shared" si="44"/>
        <v/>
      </c>
      <c r="P335" t="str">
        <f t="shared" si="45"/>
        <v/>
      </c>
      <c r="Q335" t="str">
        <f t="shared" si="46"/>
        <v/>
      </c>
      <c r="R335" t="str">
        <f t="shared" si="47"/>
        <v/>
      </c>
    </row>
    <row r="336" spans="1:18" x14ac:dyDescent="0.25">
      <c r="A336">
        <f>ROW()</f>
        <v>336</v>
      </c>
      <c r="B336" t="s">
        <v>256</v>
      </c>
      <c r="C336" t="s">
        <v>447</v>
      </c>
      <c r="D336" t="s">
        <v>254</v>
      </c>
      <c r="E336" t="s">
        <v>12</v>
      </c>
      <c r="G336">
        <v>458877</v>
      </c>
      <c r="J336" t="str">
        <f>IF(A336&lt;WORKSHEET!$R$2,WORKSHEET!$C$2,IF(B336="Air Waybill Number",C336,J335))</f>
        <v>774632987514</v>
      </c>
      <c r="K336" t="str">
        <f t="shared" si="40"/>
        <v>870148464</v>
      </c>
      <c r="L336" t="str">
        <f t="shared" si="41"/>
        <v>10 Jan 2024</v>
      </c>
      <c r="M336" t="str">
        <f t="shared" si="42"/>
        <v/>
      </c>
      <c r="N336" t="str">
        <f t="shared" si="43"/>
        <v>12/29/2023</v>
      </c>
      <c r="O336" t="str">
        <f t="shared" si="44"/>
        <v/>
      </c>
      <c r="P336" t="str">
        <f t="shared" si="45"/>
        <v/>
      </c>
      <c r="Q336" t="str">
        <f t="shared" si="46"/>
        <v/>
      </c>
      <c r="R336" t="str">
        <f t="shared" si="47"/>
        <v/>
      </c>
    </row>
    <row r="337" spans="1:18" x14ac:dyDescent="0.25">
      <c r="A337">
        <f>ROW()</f>
        <v>337</v>
      </c>
      <c r="D337" t="s">
        <v>254</v>
      </c>
      <c r="E337" t="s">
        <v>260</v>
      </c>
      <c r="G337">
        <v>336000</v>
      </c>
      <c r="J337" t="str">
        <f>IF(A337&lt;WORKSHEET!$R$2,WORKSHEET!$C$2,IF(B337="Air Waybill Number",C337,J336))</f>
        <v>774632987514</v>
      </c>
      <c r="K337" t="str">
        <f t="shared" si="40"/>
        <v>870148464</v>
      </c>
      <c r="L337" t="str">
        <f t="shared" si="41"/>
        <v>10 Jan 2024</v>
      </c>
      <c r="M337" t="str">
        <f t="shared" si="42"/>
        <v/>
      </c>
      <c r="N337" t="str">
        <f t="shared" si="43"/>
        <v>12/29/2023</v>
      </c>
      <c r="O337" t="str">
        <f t="shared" si="44"/>
        <v/>
      </c>
      <c r="P337" t="str">
        <f t="shared" si="45"/>
        <v/>
      </c>
      <c r="Q337" t="str">
        <f t="shared" si="46"/>
        <v/>
      </c>
      <c r="R337" t="str">
        <f t="shared" si="47"/>
        <v/>
      </c>
    </row>
    <row r="338" spans="1:18" x14ac:dyDescent="0.25">
      <c r="A338">
        <f>ROW()</f>
        <v>338</v>
      </c>
      <c r="D338" t="s">
        <v>261</v>
      </c>
      <c r="G338">
        <v>24095</v>
      </c>
      <c r="J338" t="str">
        <f>IF(A338&lt;WORKSHEET!$R$2,WORKSHEET!$C$2,IF(B338="Air Waybill Number",C338,J337))</f>
        <v>774632987514</v>
      </c>
      <c r="K338" t="str">
        <f t="shared" si="40"/>
        <v>870148464</v>
      </c>
      <c r="L338" t="str">
        <f t="shared" si="41"/>
        <v>10 Jan 2024</v>
      </c>
      <c r="M338" t="str">
        <f t="shared" si="42"/>
        <v/>
      </c>
      <c r="N338" t="str">
        <f t="shared" si="43"/>
        <v>12/29/2023</v>
      </c>
      <c r="O338" t="str">
        <f t="shared" si="44"/>
        <v/>
      </c>
      <c r="P338" t="str">
        <f t="shared" si="45"/>
        <v/>
      </c>
      <c r="Q338" t="str">
        <f t="shared" si="46"/>
        <v/>
      </c>
      <c r="R338" t="str">
        <f t="shared" si="47"/>
        <v/>
      </c>
    </row>
    <row r="339" spans="1:18" x14ac:dyDescent="0.25">
      <c r="A339">
        <f>ROW()</f>
        <v>339</v>
      </c>
      <c r="D339" t="s">
        <v>14</v>
      </c>
      <c r="G339">
        <v>2214586</v>
      </c>
      <c r="J339" t="str">
        <f>IF(A339&lt;WORKSHEET!$R$2,WORKSHEET!$C$2,IF(B339="Air Waybill Number",C339,J338))</f>
        <v>774632987514</v>
      </c>
      <c r="K339" t="str">
        <f t="shared" si="40"/>
        <v>870148464</v>
      </c>
      <c r="L339" t="str">
        <f t="shared" si="41"/>
        <v>10 Jan 2024</v>
      </c>
      <c r="M339" t="str">
        <f t="shared" si="42"/>
        <v/>
      </c>
      <c r="N339" t="str">
        <f t="shared" si="43"/>
        <v>12/29/2023</v>
      </c>
      <c r="O339" t="str">
        <f t="shared" si="44"/>
        <v/>
      </c>
      <c r="P339" t="str">
        <f t="shared" si="45"/>
        <v/>
      </c>
      <c r="Q339" t="str">
        <f t="shared" si="46"/>
        <v/>
      </c>
      <c r="R339" t="str">
        <f t="shared" si="47"/>
        <v/>
      </c>
    </row>
    <row r="340" spans="1:18" x14ac:dyDescent="0.25">
      <c r="A340">
        <f>ROW()</f>
        <v>340</v>
      </c>
      <c r="D340" t="s">
        <v>431</v>
      </c>
      <c r="J340" t="str">
        <f>IF(A340&lt;WORKSHEET!$R$2,WORKSHEET!$C$2,IF(B340="Air Waybill Number",C340,J339))</f>
        <v>774632987514</v>
      </c>
      <c r="K340" t="str">
        <f t="shared" si="40"/>
        <v>870148464</v>
      </c>
      <c r="L340" t="str">
        <f t="shared" si="41"/>
        <v>10 Jan 2024</v>
      </c>
      <c r="M340" t="str">
        <f t="shared" si="42"/>
        <v/>
      </c>
      <c r="N340" t="str">
        <f t="shared" si="43"/>
        <v>12/29/2023</v>
      </c>
      <c r="O340" t="str">
        <f t="shared" si="44"/>
        <v/>
      </c>
      <c r="P340" t="str">
        <f t="shared" si="45"/>
        <v/>
      </c>
      <c r="Q340" t="str">
        <f t="shared" si="46"/>
        <v/>
      </c>
      <c r="R340" t="str">
        <f t="shared" si="47"/>
        <v/>
      </c>
    </row>
    <row r="341" spans="1:18" x14ac:dyDescent="0.25">
      <c r="A341">
        <f>ROW()</f>
        <v>341</v>
      </c>
      <c r="D341" t="s">
        <v>448</v>
      </c>
      <c r="J341" t="str">
        <f>IF(A341&lt;WORKSHEET!$R$2,WORKSHEET!$C$2,IF(B341="Air Waybill Number",C341,J340))</f>
        <v>774632987514</v>
      </c>
      <c r="K341" t="str">
        <f t="shared" si="40"/>
        <v>870148464</v>
      </c>
      <c r="L341" t="str">
        <f t="shared" si="41"/>
        <v>10 Jan 2024</v>
      </c>
      <c r="M341" t="str">
        <f t="shared" si="42"/>
        <v/>
      </c>
      <c r="N341" t="str">
        <f t="shared" si="43"/>
        <v>12/29/2023</v>
      </c>
      <c r="O341" t="str">
        <f t="shared" si="44"/>
        <v/>
      </c>
      <c r="P341" t="str">
        <f t="shared" si="45"/>
        <v/>
      </c>
      <c r="Q341" t="str">
        <f t="shared" si="46"/>
        <v/>
      </c>
      <c r="R341" t="str">
        <f t="shared" si="47"/>
        <v/>
      </c>
    </row>
    <row r="342" spans="1:18" x14ac:dyDescent="0.25">
      <c r="A342">
        <f>ROW()</f>
        <v>342</v>
      </c>
      <c r="B342" t="s">
        <v>226</v>
      </c>
      <c r="C342" t="s">
        <v>319</v>
      </c>
      <c r="D342" t="s">
        <v>290</v>
      </c>
      <c r="E342" t="s">
        <v>291</v>
      </c>
      <c r="J342" t="str">
        <f>IF(A342&lt;WORKSHEET!$R$2,WORKSHEET!$C$2,IF(B342="Air Waybill Number",C342,J341))</f>
        <v>774632987514</v>
      </c>
      <c r="K342" t="str">
        <f t="shared" si="40"/>
        <v>870148464</v>
      </c>
      <c r="L342" t="str">
        <f t="shared" si="41"/>
        <v>10 Jan 2024</v>
      </c>
      <c r="M342" t="str">
        <f t="shared" si="42"/>
        <v/>
      </c>
      <c r="N342" t="str">
        <f t="shared" si="43"/>
        <v>12/29/2023</v>
      </c>
      <c r="O342" t="str">
        <f t="shared" si="44"/>
        <v>EKA / BAYU</v>
      </c>
      <c r="P342" t="str">
        <f t="shared" si="45"/>
        <v>GISTEX GARMEN INDONESIA</v>
      </c>
      <c r="Q342" t="str">
        <f t="shared" si="46"/>
        <v>OGURA KENJI / HASHIMOTO KIMIE</v>
      </c>
      <c r="R342" t="str">
        <f t="shared" si="47"/>
        <v>MARUBENI FASHION LINK, LTD</v>
      </c>
    </row>
    <row r="343" spans="1:18" x14ac:dyDescent="0.25">
      <c r="A343">
        <f>ROW()</f>
        <v>343</v>
      </c>
      <c r="B343" t="s">
        <v>232</v>
      </c>
      <c r="C343" t="s">
        <v>86</v>
      </c>
      <c r="D343" t="s">
        <v>36</v>
      </c>
      <c r="E343" t="s">
        <v>37</v>
      </c>
      <c r="J343" t="str">
        <f>IF(A343&lt;WORKSHEET!$R$2,WORKSHEET!$C$2,IF(B343="Air Waybill Number",C343,J342))</f>
        <v>774598274869</v>
      </c>
      <c r="K343" t="str">
        <f t="shared" si="40"/>
        <v>870148464</v>
      </c>
      <c r="L343" t="str">
        <f t="shared" si="41"/>
        <v>10 Jan 2024</v>
      </c>
      <c r="M343" t="str">
        <f t="shared" si="42"/>
        <v>774598274869-1</v>
      </c>
      <c r="N343" t="str">
        <f t="shared" si="43"/>
        <v>12/29/2023</v>
      </c>
      <c r="O343" t="str">
        <f t="shared" si="44"/>
        <v/>
      </c>
      <c r="P343" t="str">
        <f t="shared" si="45"/>
        <v/>
      </c>
      <c r="Q343" t="str">
        <f t="shared" si="46"/>
        <v/>
      </c>
      <c r="R343" t="str">
        <f t="shared" si="47"/>
        <v/>
      </c>
    </row>
    <row r="344" spans="1:18" x14ac:dyDescent="0.25">
      <c r="A344">
        <f>ROW()</f>
        <v>344</v>
      </c>
      <c r="B344" t="s">
        <v>233</v>
      </c>
      <c r="C344" t="s">
        <v>279</v>
      </c>
      <c r="D344" t="s">
        <v>41</v>
      </c>
      <c r="E344" t="s">
        <v>39</v>
      </c>
      <c r="J344" t="str">
        <f>IF(A344&lt;WORKSHEET!$R$2,WORKSHEET!$C$2,IF(B344="Air Waybill Number",C344,J343))</f>
        <v>774598274869</v>
      </c>
      <c r="K344" t="str">
        <f t="shared" si="40"/>
        <v>870148464</v>
      </c>
      <c r="L344" t="str">
        <f t="shared" si="41"/>
        <v>10 Jan 2024</v>
      </c>
      <c r="M344" t="str">
        <f t="shared" si="42"/>
        <v/>
      </c>
      <c r="N344" t="str">
        <f t="shared" si="43"/>
        <v>12/29/2023</v>
      </c>
      <c r="O344" t="str">
        <f t="shared" si="44"/>
        <v/>
      </c>
      <c r="P344" t="str">
        <f t="shared" si="45"/>
        <v/>
      </c>
      <c r="Q344" t="str">
        <f t="shared" si="46"/>
        <v/>
      </c>
      <c r="R344" t="str">
        <f t="shared" si="47"/>
        <v/>
      </c>
    </row>
    <row r="345" spans="1:18" x14ac:dyDescent="0.25">
      <c r="A345">
        <f>ROW()</f>
        <v>345</v>
      </c>
      <c r="B345" t="s">
        <v>237</v>
      </c>
      <c r="C345" t="s">
        <v>238</v>
      </c>
      <c r="D345" t="s">
        <v>293</v>
      </c>
      <c r="E345" t="s">
        <v>294</v>
      </c>
      <c r="J345" t="str">
        <f>IF(A345&lt;WORKSHEET!$R$2,WORKSHEET!$C$2,IF(B345="Air Waybill Number",C345,J344))</f>
        <v>774598274869</v>
      </c>
      <c r="K345" t="str">
        <f t="shared" si="40"/>
        <v>870148464</v>
      </c>
      <c r="L345" t="str">
        <f t="shared" si="41"/>
        <v>10 Jan 2024</v>
      </c>
      <c r="M345" t="str">
        <f t="shared" si="42"/>
        <v/>
      </c>
      <c r="N345" t="str">
        <f t="shared" si="43"/>
        <v>12/29/2023</v>
      </c>
      <c r="O345" t="str">
        <f t="shared" si="44"/>
        <v/>
      </c>
      <c r="P345" t="str">
        <f t="shared" si="45"/>
        <v/>
      </c>
      <c r="Q345" t="str">
        <f t="shared" si="46"/>
        <v/>
      </c>
      <c r="R345" t="str">
        <f t="shared" si="47"/>
        <v/>
      </c>
    </row>
    <row r="346" spans="1:18" x14ac:dyDescent="0.25">
      <c r="A346">
        <f>ROW()</f>
        <v>346</v>
      </c>
      <c r="B346" t="s">
        <v>241</v>
      </c>
      <c r="C346" t="s">
        <v>285</v>
      </c>
      <c r="D346" t="s">
        <v>296</v>
      </c>
      <c r="E346" t="s">
        <v>297</v>
      </c>
      <c r="F346" t="s">
        <v>298</v>
      </c>
      <c r="J346" t="str">
        <f>IF(A346&lt;WORKSHEET!$R$2,WORKSHEET!$C$2,IF(B346="Air Waybill Number",C346,J345))</f>
        <v>774598274869</v>
      </c>
      <c r="K346" t="str">
        <f t="shared" si="40"/>
        <v>870148464</v>
      </c>
      <c r="L346" t="str">
        <f t="shared" si="41"/>
        <v>10 Jan 2024</v>
      </c>
      <c r="M346" t="str">
        <f t="shared" si="42"/>
        <v/>
      </c>
      <c r="N346" t="str">
        <f t="shared" si="43"/>
        <v>12/29/2023</v>
      </c>
      <c r="O346" t="str">
        <f t="shared" si="44"/>
        <v/>
      </c>
      <c r="P346" t="str">
        <f t="shared" si="45"/>
        <v/>
      </c>
      <c r="Q346" t="str">
        <f t="shared" si="46"/>
        <v/>
      </c>
      <c r="R346" t="str">
        <f t="shared" si="47"/>
        <v/>
      </c>
    </row>
    <row r="347" spans="1:18" x14ac:dyDescent="0.25">
      <c r="A347">
        <f>ROW()</f>
        <v>347</v>
      </c>
      <c r="B347" t="s">
        <v>245</v>
      </c>
      <c r="C347" t="s">
        <v>299</v>
      </c>
      <c r="D347" t="s">
        <v>300</v>
      </c>
      <c r="J347" t="str">
        <f>IF(A347&lt;WORKSHEET!$R$2,WORKSHEET!$C$2,IF(B347="Air Waybill Number",C347,J346))</f>
        <v>774598274869</v>
      </c>
      <c r="K347" t="str">
        <f t="shared" si="40"/>
        <v>870148464</v>
      </c>
      <c r="L347" t="str">
        <f t="shared" si="41"/>
        <v>10 Jan 2024</v>
      </c>
      <c r="M347" t="str">
        <f t="shared" si="42"/>
        <v/>
      </c>
      <c r="N347" t="str">
        <f t="shared" si="43"/>
        <v>12/29/2023</v>
      </c>
      <c r="O347" t="str">
        <f t="shared" si="44"/>
        <v/>
      </c>
      <c r="P347" t="str">
        <f t="shared" si="45"/>
        <v/>
      </c>
      <c r="Q347" t="str">
        <f t="shared" si="46"/>
        <v/>
      </c>
      <c r="R347" t="str">
        <f t="shared" si="47"/>
        <v/>
      </c>
    </row>
    <row r="348" spans="1:18" x14ac:dyDescent="0.25">
      <c r="A348">
        <f>ROW()</f>
        <v>348</v>
      </c>
      <c r="B348" t="s">
        <v>419</v>
      </c>
      <c r="C348" t="s">
        <v>449</v>
      </c>
      <c r="D348" t="s">
        <v>248</v>
      </c>
      <c r="G348">
        <v>738000</v>
      </c>
      <c r="J348" t="str">
        <f>IF(A348&lt;WORKSHEET!$R$2,WORKSHEET!$C$2,IF(B348="Air Waybill Number",C348,J347))</f>
        <v>774598274869</v>
      </c>
      <c r="K348" t="str">
        <f t="shared" si="40"/>
        <v>870148464</v>
      </c>
      <c r="L348" t="str">
        <f t="shared" si="41"/>
        <v>10 Jan 2024</v>
      </c>
      <c r="M348" t="str">
        <f t="shared" si="42"/>
        <v/>
      </c>
      <c r="N348" t="str">
        <f t="shared" si="43"/>
        <v>12/29/2023</v>
      </c>
      <c r="O348" t="str">
        <f t="shared" si="44"/>
        <v/>
      </c>
      <c r="P348" t="str">
        <f t="shared" si="45"/>
        <v/>
      </c>
      <c r="Q348" t="str">
        <f t="shared" si="46"/>
        <v/>
      </c>
      <c r="R348" t="str">
        <f t="shared" si="47"/>
        <v/>
      </c>
    </row>
    <row r="349" spans="1:18" x14ac:dyDescent="0.25">
      <c r="A349">
        <f>ROW()</f>
        <v>349</v>
      </c>
      <c r="D349" t="s">
        <v>251</v>
      </c>
      <c r="E349" t="s">
        <v>252</v>
      </c>
      <c r="G349">
        <v>-549293</v>
      </c>
      <c r="J349" t="str">
        <f>IF(A349&lt;WORKSHEET!$R$2,WORKSHEET!$C$2,IF(B349="Air Waybill Number",C349,J348))</f>
        <v>774598274869</v>
      </c>
      <c r="K349" t="str">
        <f t="shared" si="40"/>
        <v>870148464</v>
      </c>
      <c r="L349" t="str">
        <f t="shared" si="41"/>
        <v>10 Jan 2024</v>
      </c>
      <c r="M349" t="str">
        <f t="shared" si="42"/>
        <v/>
      </c>
      <c r="N349" t="str">
        <f t="shared" si="43"/>
        <v>12/29/2023</v>
      </c>
      <c r="O349" t="str">
        <f t="shared" si="44"/>
        <v/>
      </c>
      <c r="P349" t="str">
        <f t="shared" si="45"/>
        <v/>
      </c>
      <c r="Q349" t="str">
        <f t="shared" si="46"/>
        <v/>
      </c>
      <c r="R349" t="str">
        <f t="shared" si="47"/>
        <v/>
      </c>
    </row>
    <row r="350" spans="1:18" x14ac:dyDescent="0.25">
      <c r="A350">
        <f>ROW()</f>
        <v>350</v>
      </c>
      <c r="D350" t="s">
        <v>254</v>
      </c>
      <c r="E350" t="s">
        <v>12</v>
      </c>
      <c r="G350">
        <v>54247</v>
      </c>
      <c r="J350" t="str">
        <f>IF(A350&lt;WORKSHEET!$R$2,WORKSHEET!$C$2,IF(B350="Air Waybill Number",C350,J349))</f>
        <v>774598274869</v>
      </c>
      <c r="K350" t="str">
        <f t="shared" si="40"/>
        <v>870148464</v>
      </c>
      <c r="L350" t="str">
        <f t="shared" si="41"/>
        <v>10 Jan 2024</v>
      </c>
      <c r="M350" t="str">
        <f t="shared" si="42"/>
        <v/>
      </c>
      <c r="N350" t="str">
        <f t="shared" si="43"/>
        <v>12/29/2023</v>
      </c>
      <c r="O350" t="str">
        <f t="shared" si="44"/>
        <v/>
      </c>
      <c r="P350" t="str">
        <f t="shared" si="45"/>
        <v/>
      </c>
      <c r="Q350" t="str">
        <f t="shared" si="46"/>
        <v/>
      </c>
      <c r="R350" t="str">
        <f t="shared" si="47"/>
        <v/>
      </c>
    </row>
    <row r="351" spans="1:18" x14ac:dyDescent="0.25">
      <c r="A351">
        <f>ROW()</f>
        <v>351</v>
      </c>
      <c r="D351" t="s">
        <v>254</v>
      </c>
      <c r="E351" t="s">
        <v>260</v>
      </c>
      <c r="G351">
        <v>16000</v>
      </c>
      <c r="J351" t="str">
        <f>IF(A351&lt;WORKSHEET!$R$2,WORKSHEET!$C$2,IF(B351="Air Waybill Number",C351,J350))</f>
        <v>774598274869</v>
      </c>
      <c r="K351" t="str">
        <f t="shared" si="40"/>
        <v>870148464</v>
      </c>
      <c r="L351" t="str">
        <f t="shared" si="41"/>
        <v>10 Jan 2024</v>
      </c>
      <c r="M351" t="str">
        <f t="shared" si="42"/>
        <v/>
      </c>
      <c r="N351" t="str">
        <f t="shared" si="43"/>
        <v>12/29/2023</v>
      </c>
      <c r="O351" t="str">
        <f t="shared" si="44"/>
        <v/>
      </c>
      <c r="P351" t="str">
        <f t="shared" si="45"/>
        <v/>
      </c>
      <c r="Q351" t="str">
        <f t="shared" si="46"/>
        <v/>
      </c>
      <c r="R351" t="str">
        <f t="shared" si="47"/>
        <v/>
      </c>
    </row>
    <row r="352" spans="1:18" x14ac:dyDescent="0.25">
      <c r="A352">
        <f>ROW()</f>
        <v>352</v>
      </c>
      <c r="D352" t="s">
        <v>261</v>
      </c>
      <c r="G352">
        <v>2848</v>
      </c>
      <c r="J352" t="str">
        <f>IF(A352&lt;WORKSHEET!$R$2,WORKSHEET!$C$2,IF(B352="Air Waybill Number",C352,J351))</f>
        <v>774598274869</v>
      </c>
      <c r="K352" t="str">
        <f t="shared" si="40"/>
        <v>870148464</v>
      </c>
      <c r="L352" t="str">
        <f t="shared" si="41"/>
        <v>10 Jan 2024</v>
      </c>
      <c r="M352" t="str">
        <f t="shared" si="42"/>
        <v/>
      </c>
      <c r="N352" t="str">
        <f t="shared" si="43"/>
        <v>12/29/2023</v>
      </c>
      <c r="O352" t="str">
        <f t="shared" si="44"/>
        <v/>
      </c>
      <c r="P352" t="str">
        <f t="shared" si="45"/>
        <v/>
      </c>
      <c r="Q352" t="str">
        <f t="shared" si="46"/>
        <v/>
      </c>
      <c r="R352" t="str">
        <f t="shared" si="47"/>
        <v/>
      </c>
    </row>
    <row r="353" spans="1:18" x14ac:dyDescent="0.25">
      <c r="A353">
        <f>ROW()</f>
        <v>353</v>
      </c>
      <c r="D353" t="s">
        <v>14</v>
      </c>
      <c r="G353">
        <v>261802</v>
      </c>
      <c r="J353" t="str">
        <f>IF(A353&lt;WORKSHEET!$R$2,WORKSHEET!$C$2,IF(B353="Air Waybill Number",C353,J352))</f>
        <v>774598274869</v>
      </c>
      <c r="K353" t="str">
        <f t="shared" si="40"/>
        <v>870148464</v>
      </c>
      <c r="L353" t="str">
        <f t="shared" si="41"/>
        <v>10 Jan 2024</v>
      </c>
      <c r="M353" t="str">
        <f t="shared" si="42"/>
        <v/>
      </c>
      <c r="N353" t="str">
        <f t="shared" si="43"/>
        <v>12/29/2023</v>
      </c>
      <c r="O353" t="str">
        <f t="shared" si="44"/>
        <v/>
      </c>
      <c r="P353" t="str">
        <f t="shared" si="45"/>
        <v/>
      </c>
      <c r="Q353" t="str">
        <f t="shared" si="46"/>
        <v/>
      </c>
      <c r="R353" t="str">
        <f t="shared" si="47"/>
        <v/>
      </c>
    </row>
    <row r="354" spans="1:18" x14ac:dyDescent="0.25">
      <c r="A354">
        <f>ROW()</f>
        <v>354</v>
      </c>
      <c r="D354" t="s">
        <v>431</v>
      </c>
      <c r="J354" t="str">
        <f>IF(A354&lt;WORKSHEET!$R$2,WORKSHEET!$C$2,IF(B354="Air Waybill Number",C354,J353))</f>
        <v>774598274869</v>
      </c>
      <c r="K354" t="str">
        <f t="shared" si="40"/>
        <v>870148464</v>
      </c>
      <c r="L354" t="str">
        <f t="shared" si="41"/>
        <v>10 Jan 2024</v>
      </c>
      <c r="M354" t="str">
        <f t="shared" si="42"/>
        <v/>
      </c>
      <c r="N354" t="str">
        <f t="shared" si="43"/>
        <v>12/29/2023</v>
      </c>
      <c r="O354" t="str">
        <f t="shared" si="44"/>
        <v/>
      </c>
      <c r="P354" t="str">
        <f t="shared" si="45"/>
        <v/>
      </c>
      <c r="Q354" t="str">
        <f t="shared" si="46"/>
        <v/>
      </c>
      <c r="R354" t="str">
        <f t="shared" si="47"/>
        <v/>
      </c>
    </row>
    <row r="355" spans="1:18" x14ac:dyDescent="0.25">
      <c r="A355">
        <f>ROW()</f>
        <v>355</v>
      </c>
      <c r="B355" t="s">
        <v>226</v>
      </c>
      <c r="C355" t="s">
        <v>319</v>
      </c>
      <c r="D355" t="s">
        <v>290</v>
      </c>
      <c r="E355" t="s">
        <v>450</v>
      </c>
      <c r="J355" t="str">
        <f>IF(A355&lt;WORKSHEET!$R$2,WORKSHEET!$C$2,IF(B355="Air Waybill Number",C355,J354))</f>
        <v>774598274869</v>
      </c>
      <c r="K355" t="str">
        <f t="shared" si="40"/>
        <v>870148464</v>
      </c>
      <c r="L355" t="str">
        <f t="shared" si="41"/>
        <v>10 Jan 2024</v>
      </c>
      <c r="M355" t="str">
        <f t="shared" si="42"/>
        <v/>
      </c>
      <c r="N355" t="str">
        <f t="shared" si="43"/>
        <v>12/29/2023</v>
      </c>
      <c r="O355" t="str">
        <f t="shared" si="44"/>
        <v>MS. MERCY</v>
      </c>
      <c r="P355" t="str">
        <f t="shared" si="45"/>
        <v>GISTEX GARMEN INDONESIA</v>
      </c>
      <c r="Q355" t="str">
        <f t="shared" si="46"/>
        <v>MS.SHIRLY FANG</v>
      </c>
      <c r="R355" t="str">
        <f t="shared" si="47"/>
        <v>SHAOXING YMYSI IMPORTEXPORT</v>
      </c>
    </row>
    <row r="356" spans="1:18" x14ac:dyDescent="0.25">
      <c r="A356">
        <f>ROW()</f>
        <v>356</v>
      </c>
      <c r="B356" t="s">
        <v>232</v>
      </c>
      <c r="C356" t="s">
        <v>87</v>
      </c>
      <c r="D356" t="s">
        <v>43</v>
      </c>
      <c r="E356" t="s">
        <v>88</v>
      </c>
      <c r="J356" t="str">
        <f>IF(A356&lt;WORKSHEET!$R$2,WORKSHEET!$C$2,IF(B356="Air Waybill Number",C356,J355))</f>
        <v>774634936230</v>
      </c>
      <c r="K356" t="str">
        <f t="shared" si="40"/>
        <v>870148464</v>
      </c>
      <c r="L356" t="str">
        <f t="shared" si="41"/>
        <v>10 Jan 2024</v>
      </c>
      <c r="M356" t="str">
        <f t="shared" si="42"/>
        <v>774634936230-1</v>
      </c>
      <c r="N356" t="str">
        <f t="shared" si="43"/>
        <v>12/29/2023</v>
      </c>
      <c r="O356" t="str">
        <f t="shared" si="44"/>
        <v/>
      </c>
      <c r="P356" t="str">
        <f t="shared" si="45"/>
        <v/>
      </c>
      <c r="Q356" t="str">
        <f t="shared" si="46"/>
        <v/>
      </c>
      <c r="R356" t="str">
        <f t="shared" si="47"/>
        <v/>
      </c>
    </row>
    <row r="357" spans="1:18" x14ac:dyDescent="0.25">
      <c r="A357">
        <f>ROW()</f>
        <v>357</v>
      </c>
      <c r="B357" t="s">
        <v>233</v>
      </c>
      <c r="C357" t="s">
        <v>292</v>
      </c>
      <c r="D357" t="s">
        <v>41</v>
      </c>
      <c r="E357" t="s">
        <v>451</v>
      </c>
      <c r="F357" t="s">
        <v>452</v>
      </c>
      <c r="J357" t="str">
        <f>IF(A357&lt;WORKSHEET!$R$2,WORKSHEET!$C$2,IF(B357="Air Waybill Number",C357,J356))</f>
        <v>774634936230</v>
      </c>
      <c r="K357" t="str">
        <f t="shared" si="40"/>
        <v>870148464</v>
      </c>
      <c r="L357" t="str">
        <f t="shared" si="41"/>
        <v>10 Jan 2024</v>
      </c>
      <c r="M357" t="str">
        <f t="shared" si="42"/>
        <v/>
      </c>
      <c r="N357" t="str">
        <f t="shared" si="43"/>
        <v>12/29/2023</v>
      </c>
      <c r="O357" t="str">
        <f t="shared" si="44"/>
        <v/>
      </c>
      <c r="P357" t="str">
        <f t="shared" si="45"/>
        <v/>
      </c>
      <c r="Q357" t="str">
        <f t="shared" si="46"/>
        <v/>
      </c>
      <c r="R357" t="str">
        <f t="shared" si="47"/>
        <v/>
      </c>
    </row>
    <row r="358" spans="1:18" x14ac:dyDescent="0.25">
      <c r="A358">
        <f>ROW()</f>
        <v>358</v>
      </c>
      <c r="B358" t="s">
        <v>237</v>
      </c>
      <c r="C358" t="s">
        <v>238</v>
      </c>
      <c r="D358" t="s">
        <v>293</v>
      </c>
      <c r="E358" t="s">
        <v>453</v>
      </c>
      <c r="J358" t="str">
        <f>IF(A358&lt;WORKSHEET!$R$2,WORKSHEET!$C$2,IF(B358="Air Waybill Number",C358,J357))</f>
        <v>774634936230</v>
      </c>
      <c r="K358" t="str">
        <f t="shared" si="40"/>
        <v>870148464</v>
      </c>
      <c r="L358" t="str">
        <f t="shared" si="41"/>
        <v>10 Jan 2024</v>
      </c>
      <c r="M358" t="str">
        <f t="shared" si="42"/>
        <v/>
      </c>
      <c r="N358" t="str">
        <f t="shared" si="43"/>
        <v>12/29/2023</v>
      </c>
      <c r="O358" t="str">
        <f t="shared" si="44"/>
        <v/>
      </c>
      <c r="P358" t="str">
        <f t="shared" si="45"/>
        <v/>
      </c>
      <c r="Q358" t="str">
        <f t="shared" si="46"/>
        <v/>
      </c>
      <c r="R358" t="str">
        <f t="shared" si="47"/>
        <v/>
      </c>
    </row>
    <row r="359" spans="1:18" x14ac:dyDescent="0.25">
      <c r="A359">
        <f>ROW()</f>
        <v>359</v>
      </c>
      <c r="B359" t="s">
        <v>241</v>
      </c>
      <c r="C359" t="s">
        <v>295</v>
      </c>
      <c r="D359" t="s">
        <v>296</v>
      </c>
      <c r="E359" t="s">
        <v>454</v>
      </c>
      <c r="J359" t="str">
        <f>IF(A359&lt;WORKSHEET!$R$2,WORKSHEET!$C$2,IF(B359="Air Waybill Number",C359,J358))</f>
        <v>774634936230</v>
      </c>
      <c r="K359" t="str">
        <f t="shared" si="40"/>
        <v>870148464</v>
      </c>
      <c r="L359" t="str">
        <f t="shared" si="41"/>
        <v>10 Jan 2024</v>
      </c>
      <c r="M359" t="str">
        <f t="shared" si="42"/>
        <v/>
      </c>
      <c r="N359" t="str">
        <f t="shared" si="43"/>
        <v>12/29/2023</v>
      </c>
      <c r="O359" t="str">
        <f t="shared" si="44"/>
        <v/>
      </c>
      <c r="P359" t="str">
        <f t="shared" si="45"/>
        <v/>
      </c>
      <c r="Q359" t="str">
        <f t="shared" si="46"/>
        <v/>
      </c>
      <c r="R359" t="str">
        <f t="shared" si="47"/>
        <v/>
      </c>
    </row>
    <row r="360" spans="1:18" x14ac:dyDescent="0.25">
      <c r="A360">
        <f>ROW()</f>
        <v>360</v>
      </c>
      <c r="B360" t="s">
        <v>286</v>
      </c>
      <c r="C360" t="s">
        <v>299</v>
      </c>
      <c r="D360" t="s">
        <v>300</v>
      </c>
      <c r="E360" t="s">
        <v>455</v>
      </c>
      <c r="F360" t="s">
        <v>456</v>
      </c>
      <c r="J360" t="str">
        <f>IF(A360&lt;WORKSHEET!$R$2,WORKSHEET!$C$2,IF(B360="Air Waybill Number",C360,J359))</f>
        <v>774634936230</v>
      </c>
      <c r="K360" t="str">
        <f t="shared" si="40"/>
        <v>870148464</v>
      </c>
      <c r="L360" t="str">
        <f t="shared" si="41"/>
        <v>10 Jan 2024</v>
      </c>
      <c r="M360" t="str">
        <f t="shared" si="42"/>
        <v/>
      </c>
      <c r="N360" t="str">
        <f t="shared" si="43"/>
        <v>12/29/2023</v>
      </c>
      <c r="O360" t="str">
        <f t="shared" si="44"/>
        <v/>
      </c>
      <c r="P360" t="str">
        <f t="shared" si="45"/>
        <v/>
      </c>
      <c r="Q360" t="str">
        <f t="shared" si="46"/>
        <v/>
      </c>
      <c r="R360" t="str">
        <f t="shared" si="47"/>
        <v/>
      </c>
    </row>
    <row r="361" spans="1:18" x14ac:dyDescent="0.25">
      <c r="A361">
        <f>ROW()</f>
        <v>361</v>
      </c>
      <c r="B361" t="s">
        <v>249</v>
      </c>
      <c r="C361" t="s">
        <v>457</v>
      </c>
      <c r="D361" t="s">
        <v>248</v>
      </c>
      <c r="G361">
        <v>570000</v>
      </c>
      <c r="J361" t="str">
        <f>IF(A361&lt;WORKSHEET!$R$2,WORKSHEET!$C$2,IF(B361="Air Waybill Number",C361,J360))</f>
        <v>774634936230</v>
      </c>
      <c r="K361" t="str">
        <f t="shared" si="40"/>
        <v>870148464</v>
      </c>
      <c r="L361" t="str">
        <f t="shared" si="41"/>
        <v>10 Jan 2024</v>
      </c>
      <c r="M361" t="str">
        <f t="shared" si="42"/>
        <v/>
      </c>
      <c r="N361" t="str">
        <f t="shared" si="43"/>
        <v>12/29/2023</v>
      </c>
      <c r="O361" t="str">
        <f t="shared" si="44"/>
        <v/>
      </c>
      <c r="P361" t="str">
        <f t="shared" si="45"/>
        <v/>
      </c>
      <c r="Q361" t="str">
        <f t="shared" si="46"/>
        <v/>
      </c>
      <c r="R361" t="str">
        <f t="shared" si="47"/>
        <v/>
      </c>
    </row>
    <row r="362" spans="1:18" x14ac:dyDescent="0.25">
      <c r="A362">
        <f>ROW()</f>
        <v>362</v>
      </c>
      <c r="D362" t="s">
        <v>251</v>
      </c>
      <c r="E362" t="s">
        <v>252</v>
      </c>
      <c r="G362">
        <v>-406866</v>
      </c>
      <c r="J362" t="str">
        <f>IF(A362&lt;WORKSHEET!$R$2,WORKSHEET!$C$2,IF(B362="Air Waybill Number",C362,J361))</f>
        <v>774634936230</v>
      </c>
      <c r="K362" t="str">
        <f t="shared" si="40"/>
        <v>870148464</v>
      </c>
      <c r="L362" t="str">
        <f t="shared" si="41"/>
        <v>10 Jan 2024</v>
      </c>
      <c r="M362" t="str">
        <f t="shared" si="42"/>
        <v/>
      </c>
      <c r="N362" t="str">
        <f t="shared" si="43"/>
        <v>12/29/2023</v>
      </c>
      <c r="O362" t="str">
        <f t="shared" si="44"/>
        <v/>
      </c>
      <c r="P362" t="str">
        <f t="shared" si="45"/>
        <v/>
      </c>
      <c r="Q362" t="str">
        <f t="shared" si="46"/>
        <v/>
      </c>
      <c r="R362" t="str">
        <f t="shared" si="47"/>
        <v/>
      </c>
    </row>
    <row r="363" spans="1:18" x14ac:dyDescent="0.25">
      <c r="A363">
        <f>ROW()</f>
        <v>363</v>
      </c>
      <c r="D363" t="s">
        <v>254</v>
      </c>
      <c r="E363" t="s">
        <v>12</v>
      </c>
      <c r="G363">
        <v>47470</v>
      </c>
      <c r="J363" t="str">
        <f>IF(A363&lt;WORKSHEET!$R$2,WORKSHEET!$C$2,IF(B363="Air Waybill Number",C363,J362))</f>
        <v>774634936230</v>
      </c>
      <c r="K363" t="str">
        <f t="shared" si="40"/>
        <v>870148464</v>
      </c>
      <c r="L363" t="str">
        <f t="shared" si="41"/>
        <v>10 Jan 2024</v>
      </c>
      <c r="M363" t="str">
        <f t="shared" si="42"/>
        <v/>
      </c>
      <c r="N363" t="str">
        <f t="shared" si="43"/>
        <v>12/29/2023</v>
      </c>
      <c r="O363" t="str">
        <f t="shared" si="44"/>
        <v/>
      </c>
      <c r="P363" t="str">
        <f t="shared" si="45"/>
        <v/>
      </c>
      <c r="Q363" t="str">
        <f t="shared" si="46"/>
        <v/>
      </c>
      <c r="R363" t="str">
        <f t="shared" si="47"/>
        <v/>
      </c>
    </row>
    <row r="364" spans="1:18" x14ac:dyDescent="0.25">
      <c r="A364">
        <f>ROW()</f>
        <v>364</v>
      </c>
      <c r="D364" t="s">
        <v>254</v>
      </c>
      <c r="E364" t="s">
        <v>260</v>
      </c>
      <c r="G364">
        <v>16000</v>
      </c>
      <c r="J364" t="str">
        <f>IF(A364&lt;WORKSHEET!$R$2,WORKSHEET!$C$2,IF(B364="Air Waybill Number",C364,J363))</f>
        <v>774634936230</v>
      </c>
      <c r="K364" t="str">
        <f t="shared" si="40"/>
        <v>870148464</v>
      </c>
      <c r="L364" t="str">
        <f t="shared" si="41"/>
        <v>10 Jan 2024</v>
      </c>
      <c r="M364" t="str">
        <f t="shared" si="42"/>
        <v/>
      </c>
      <c r="N364" t="str">
        <f t="shared" si="43"/>
        <v>12/29/2023</v>
      </c>
      <c r="O364" t="str">
        <f t="shared" si="44"/>
        <v/>
      </c>
      <c r="P364" t="str">
        <f t="shared" si="45"/>
        <v/>
      </c>
      <c r="Q364" t="str">
        <f t="shared" si="46"/>
        <v/>
      </c>
      <c r="R364" t="str">
        <f t="shared" si="47"/>
        <v/>
      </c>
    </row>
    <row r="365" spans="1:18" x14ac:dyDescent="0.25">
      <c r="A365">
        <f>ROW()</f>
        <v>365</v>
      </c>
      <c r="D365" t="s">
        <v>261</v>
      </c>
      <c r="G365">
        <v>2492</v>
      </c>
      <c r="J365" t="str">
        <f>IF(A365&lt;WORKSHEET!$R$2,WORKSHEET!$C$2,IF(B365="Air Waybill Number",C365,J364))</f>
        <v>774634936230</v>
      </c>
      <c r="K365" t="str">
        <f t="shared" si="40"/>
        <v>870148464</v>
      </c>
      <c r="L365" t="str">
        <f t="shared" si="41"/>
        <v>10 Jan 2024</v>
      </c>
      <c r="M365" t="str">
        <f t="shared" si="42"/>
        <v/>
      </c>
      <c r="N365" t="str">
        <f t="shared" si="43"/>
        <v>12/29/2023</v>
      </c>
      <c r="O365" t="str">
        <f t="shared" si="44"/>
        <v/>
      </c>
      <c r="P365" t="str">
        <f t="shared" si="45"/>
        <v/>
      </c>
      <c r="Q365" t="str">
        <f t="shared" si="46"/>
        <v/>
      </c>
      <c r="R365" t="str">
        <f t="shared" si="47"/>
        <v/>
      </c>
    </row>
    <row r="366" spans="1:18" x14ac:dyDescent="0.25">
      <c r="A366">
        <f>ROW()</f>
        <v>366</v>
      </c>
      <c r="D366" t="s">
        <v>14</v>
      </c>
      <c r="G366">
        <v>229096</v>
      </c>
      <c r="J366" t="str">
        <f>IF(A366&lt;WORKSHEET!$R$2,WORKSHEET!$C$2,IF(B366="Air Waybill Number",C366,J365))</f>
        <v>774634936230</v>
      </c>
      <c r="K366" t="str">
        <f t="shared" si="40"/>
        <v>870148464</v>
      </c>
      <c r="L366" t="str">
        <f t="shared" si="41"/>
        <v>10 Jan 2024</v>
      </c>
      <c r="M366" t="str">
        <f t="shared" si="42"/>
        <v/>
      </c>
      <c r="N366" t="str">
        <f t="shared" si="43"/>
        <v>12/29/2023</v>
      </c>
      <c r="O366" t="str">
        <f t="shared" si="44"/>
        <v/>
      </c>
      <c r="P366" t="str">
        <f t="shared" si="45"/>
        <v/>
      </c>
      <c r="Q366" t="str">
        <f t="shared" si="46"/>
        <v/>
      </c>
      <c r="R366" t="str">
        <f t="shared" si="47"/>
        <v/>
      </c>
    </row>
    <row r="367" spans="1:18" x14ac:dyDescent="0.25">
      <c r="A367">
        <f>ROW()</f>
        <v>367</v>
      </c>
      <c r="B367" t="s">
        <v>226</v>
      </c>
      <c r="C367" t="s">
        <v>319</v>
      </c>
      <c r="D367" t="s">
        <v>290</v>
      </c>
      <c r="E367" t="s">
        <v>306</v>
      </c>
      <c r="J367" t="str">
        <f>IF(A367&lt;WORKSHEET!$R$2,WORKSHEET!$C$2,IF(B367="Air Waybill Number",C367,J366))</f>
        <v>774634936230</v>
      </c>
      <c r="K367" t="str">
        <f t="shared" si="40"/>
        <v>870148464</v>
      </c>
      <c r="L367" t="str">
        <f t="shared" si="41"/>
        <v>10 Jan 2024</v>
      </c>
      <c r="M367" t="str">
        <f t="shared" si="42"/>
        <v/>
      </c>
      <c r="N367" t="str">
        <f t="shared" si="43"/>
        <v>12/29/2023</v>
      </c>
      <c r="O367" t="str">
        <f t="shared" si="44"/>
        <v>MS. MERCY</v>
      </c>
      <c r="P367" t="str">
        <f t="shared" si="45"/>
        <v>GISTEX GARMEN INDONESIA</v>
      </c>
      <c r="Q367" t="str">
        <f t="shared" si="46"/>
        <v>MR SHEN YANG / MS ROSE</v>
      </c>
      <c r="R367" t="str">
        <f t="shared" si="47"/>
        <v>JIANGSU TEXTILE INDUSTRY</v>
      </c>
    </row>
    <row r="368" spans="1:18" x14ac:dyDescent="0.25">
      <c r="A368">
        <f>ROW()</f>
        <v>368</v>
      </c>
      <c r="B368" t="s">
        <v>232</v>
      </c>
      <c r="C368" t="s">
        <v>89</v>
      </c>
      <c r="D368" t="s">
        <v>43</v>
      </c>
      <c r="E368" t="s">
        <v>44</v>
      </c>
      <c r="J368" t="str">
        <f>IF(A368&lt;WORKSHEET!$R$2,WORKSHEET!$C$2,IF(B368="Air Waybill Number",C368,J367))</f>
        <v>774634958738</v>
      </c>
      <c r="K368" t="str">
        <f t="shared" si="40"/>
        <v>870148464</v>
      </c>
      <c r="L368" t="str">
        <f t="shared" si="41"/>
        <v>10 Jan 2024</v>
      </c>
      <c r="M368" t="str">
        <f t="shared" si="42"/>
        <v>774634958738-1</v>
      </c>
      <c r="N368" t="str">
        <f t="shared" si="43"/>
        <v>12/29/2023</v>
      </c>
      <c r="O368" t="str">
        <f t="shared" si="44"/>
        <v/>
      </c>
      <c r="P368" t="str">
        <f t="shared" si="45"/>
        <v/>
      </c>
      <c r="Q368" t="str">
        <f t="shared" si="46"/>
        <v/>
      </c>
      <c r="R368" t="str">
        <f t="shared" si="47"/>
        <v/>
      </c>
    </row>
    <row r="369" spans="1:18" x14ac:dyDescent="0.25">
      <c r="A369">
        <f>ROW()</f>
        <v>369</v>
      </c>
      <c r="B369" t="s">
        <v>233</v>
      </c>
      <c r="C369" t="s">
        <v>292</v>
      </c>
      <c r="D369" t="s">
        <v>41</v>
      </c>
      <c r="E369" t="s">
        <v>45</v>
      </c>
      <c r="J369" t="str">
        <f>IF(A369&lt;WORKSHEET!$R$2,WORKSHEET!$C$2,IF(B369="Air Waybill Number",C369,J368))</f>
        <v>774634958738</v>
      </c>
      <c r="K369" t="str">
        <f t="shared" si="40"/>
        <v>870148464</v>
      </c>
      <c r="L369" t="str">
        <f t="shared" si="41"/>
        <v>10 Jan 2024</v>
      </c>
      <c r="M369" t="str">
        <f t="shared" si="42"/>
        <v/>
      </c>
      <c r="N369" t="str">
        <f t="shared" si="43"/>
        <v>12/29/2023</v>
      </c>
      <c r="O369" t="str">
        <f t="shared" si="44"/>
        <v/>
      </c>
      <c r="P369" t="str">
        <f t="shared" si="45"/>
        <v/>
      </c>
      <c r="Q369" t="str">
        <f t="shared" si="46"/>
        <v/>
      </c>
      <c r="R369" t="str">
        <f t="shared" si="47"/>
        <v/>
      </c>
    </row>
    <row r="370" spans="1:18" x14ac:dyDescent="0.25">
      <c r="A370">
        <f>ROW()</f>
        <v>370</v>
      </c>
      <c r="B370" t="s">
        <v>237</v>
      </c>
      <c r="C370" t="s">
        <v>238</v>
      </c>
      <c r="D370" t="s">
        <v>293</v>
      </c>
      <c r="E370" t="s">
        <v>307</v>
      </c>
      <c r="J370" t="str">
        <f>IF(A370&lt;WORKSHEET!$R$2,WORKSHEET!$C$2,IF(B370="Air Waybill Number",C370,J369))</f>
        <v>774634958738</v>
      </c>
      <c r="K370" t="str">
        <f t="shared" si="40"/>
        <v>870148464</v>
      </c>
      <c r="L370" t="str">
        <f t="shared" si="41"/>
        <v>10 Jan 2024</v>
      </c>
      <c r="M370" t="str">
        <f t="shared" si="42"/>
        <v/>
      </c>
      <c r="N370" t="str">
        <f t="shared" si="43"/>
        <v>12/29/2023</v>
      </c>
      <c r="O370" t="str">
        <f t="shared" si="44"/>
        <v/>
      </c>
      <c r="P370" t="str">
        <f t="shared" si="45"/>
        <v/>
      </c>
      <c r="Q370" t="str">
        <f t="shared" si="46"/>
        <v/>
      </c>
      <c r="R370" t="str">
        <f t="shared" si="47"/>
        <v/>
      </c>
    </row>
    <row r="371" spans="1:18" x14ac:dyDescent="0.25">
      <c r="A371">
        <f>ROW()</f>
        <v>371</v>
      </c>
      <c r="B371" t="s">
        <v>241</v>
      </c>
      <c r="C371" t="s">
        <v>295</v>
      </c>
      <c r="D371" t="s">
        <v>296</v>
      </c>
      <c r="E371" t="s">
        <v>308</v>
      </c>
      <c r="J371" t="str">
        <f>IF(A371&lt;WORKSHEET!$R$2,WORKSHEET!$C$2,IF(B371="Air Waybill Number",C371,J370))</f>
        <v>774634958738</v>
      </c>
      <c r="K371" t="str">
        <f t="shared" si="40"/>
        <v>870148464</v>
      </c>
      <c r="L371" t="str">
        <f t="shared" si="41"/>
        <v>10 Jan 2024</v>
      </c>
      <c r="M371" t="str">
        <f t="shared" si="42"/>
        <v/>
      </c>
      <c r="N371" t="str">
        <f t="shared" si="43"/>
        <v>12/29/2023</v>
      </c>
      <c r="O371" t="str">
        <f t="shared" si="44"/>
        <v/>
      </c>
      <c r="P371" t="str">
        <f t="shared" si="45"/>
        <v/>
      </c>
      <c r="Q371" t="str">
        <f t="shared" si="46"/>
        <v/>
      </c>
      <c r="R371" t="str">
        <f t="shared" si="47"/>
        <v/>
      </c>
    </row>
    <row r="372" spans="1:18" x14ac:dyDescent="0.25">
      <c r="A372">
        <f>ROW()</f>
        <v>372</v>
      </c>
      <c r="B372" t="s">
        <v>286</v>
      </c>
      <c r="C372" t="s">
        <v>299</v>
      </c>
      <c r="D372" t="s">
        <v>300</v>
      </c>
      <c r="E372" t="s">
        <v>309</v>
      </c>
      <c r="F372" t="s">
        <v>310</v>
      </c>
      <c r="J372" t="str">
        <f>IF(A372&lt;WORKSHEET!$R$2,WORKSHEET!$C$2,IF(B372="Air Waybill Number",C372,J371))</f>
        <v>774634958738</v>
      </c>
      <c r="K372" t="str">
        <f t="shared" si="40"/>
        <v>870148464</v>
      </c>
      <c r="L372" t="str">
        <f t="shared" si="41"/>
        <v>10 Jan 2024</v>
      </c>
      <c r="M372" t="str">
        <f t="shared" si="42"/>
        <v/>
      </c>
      <c r="N372" t="str">
        <f t="shared" si="43"/>
        <v>12/29/2023</v>
      </c>
      <c r="O372" t="str">
        <f t="shared" si="44"/>
        <v/>
      </c>
      <c r="P372" t="str">
        <f t="shared" si="45"/>
        <v/>
      </c>
      <c r="Q372" t="str">
        <f t="shared" si="46"/>
        <v/>
      </c>
      <c r="R372" t="str">
        <f t="shared" si="47"/>
        <v/>
      </c>
    </row>
    <row r="373" spans="1:18" x14ac:dyDescent="0.25">
      <c r="A373">
        <f>ROW()</f>
        <v>373</v>
      </c>
      <c r="B373" t="s">
        <v>249</v>
      </c>
      <c r="C373" t="s">
        <v>458</v>
      </c>
      <c r="D373" t="s">
        <v>248</v>
      </c>
      <c r="G373">
        <v>570000</v>
      </c>
      <c r="J373" t="str">
        <f>IF(A373&lt;WORKSHEET!$R$2,WORKSHEET!$C$2,IF(B373="Air Waybill Number",C373,J372))</f>
        <v>774634958738</v>
      </c>
      <c r="K373" t="str">
        <f t="shared" si="40"/>
        <v>870148464</v>
      </c>
      <c r="L373" t="str">
        <f t="shared" si="41"/>
        <v>10 Jan 2024</v>
      </c>
      <c r="M373" t="str">
        <f t="shared" si="42"/>
        <v/>
      </c>
      <c r="N373" t="str">
        <f t="shared" si="43"/>
        <v>12/29/2023</v>
      </c>
      <c r="O373" t="str">
        <f t="shared" si="44"/>
        <v/>
      </c>
      <c r="P373" t="str">
        <f t="shared" si="45"/>
        <v/>
      </c>
      <c r="Q373" t="str">
        <f t="shared" si="46"/>
        <v/>
      </c>
      <c r="R373" t="str">
        <f t="shared" si="47"/>
        <v/>
      </c>
    </row>
    <row r="374" spans="1:18" x14ac:dyDescent="0.25">
      <c r="A374">
        <f>ROW()</f>
        <v>374</v>
      </c>
      <c r="D374" t="s">
        <v>251</v>
      </c>
      <c r="E374" t="s">
        <v>252</v>
      </c>
      <c r="G374">
        <v>-406866</v>
      </c>
      <c r="J374" t="str">
        <f>IF(A374&lt;WORKSHEET!$R$2,WORKSHEET!$C$2,IF(B374="Air Waybill Number",C374,J373))</f>
        <v>774634958738</v>
      </c>
      <c r="K374" t="str">
        <f t="shared" si="40"/>
        <v>870148464</v>
      </c>
      <c r="L374" t="str">
        <f t="shared" si="41"/>
        <v>10 Jan 2024</v>
      </c>
      <c r="M374" t="str">
        <f t="shared" si="42"/>
        <v/>
      </c>
      <c r="N374" t="str">
        <f t="shared" si="43"/>
        <v>12/29/2023</v>
      </c>
      <c r="O374" t="str">
        <f t="shared" si="44"/>
        <v/>
      </c>
      <c r="P374" t="str">
        <f t="shared" si="45"/>
        <v/>
      </c>
      <c r="Q374" t="str">
        <f t="shared" si="46"/>
        <v/>
      </c>
      <c r="R374" t="str">
        <f t="shared" si="47"/>
        <v/>
      </c>
    </row>
    <row r="375" spans="1:18" x14ac:dyDescent="0.25">
      <c r="A375">
        <f>ROW()</f>
        <v>375</v>
      </c>
      <c r="D375" t="s">
        <v>254</v>
      </c>
      <c r="E375" t="s">
        <v>12</v>
      </c>
      <c r="G375">
        <v>47470</v>
      </c>
      <c r="J375" t="str">
        <f>IF(A375&lt;WORKSHEET!$R$2,WORKSHEET!$C$2,IF(B375="Air Waybill Number",C375,J374))</f>
        <v>774634958738</v>
      </c>
      <c r="K375" t="str">
        <f t="shared" si="40"/>
        <v>870148464</v>
      </c>
      <c r="L375" t="str">
        <f t="shared" si="41"/>
        <v>10 Jan 2024</v>
      </c>
      <c r="M375" t="str">
        <f t="shared" si="42"/>
        <v/>
      </c>
      <c r="N375" t="str">
        <f t="shared" si="43"/>
        <v>12/29/2023</v>
      </c>
      <c r="O375" t="str">
        <f t="shared" si="44"/>
        <v/>
      </c>
      <c r="P375" t="str">
        <f t="shared" si="45"/>
        <v/>
      </c>
      <c r="Q375" t="str">
        <f t="shared" si="46"/>
        <v/>
      </c>
      <c r="R375" t="str">
        <f t="shared" si="47"/>
        <v/>
      </c>
    </row>
    <row r="376" spans="1:18" x14ac:dyDescent="0.25">
      <c r="A376">
        <f>ROW()</f>
        <v>376</v>
      </c>
      <c r="D376" t="s">
        <v>254</v>
      </c>
      <c r="E376" t="s">
        <v>260</v>
      </c>
      <c r="G376">
        <v>16000</v>
      </c>
      <c r="J376" t="str">
        <f>IF(A376&lt;WORKSHEET!$R$2,WORKSHEET!$C$2,IF(B376="Air Waybill Number",C376,J375))</f>
        <v>774634958738</v>
      </c>
      <c r="K376" t="str">
        <f t="shared" si="40"/>
        <v>870148464</v>
      </c>
      <c r="L376" t="str">
        <f t="shared" si="41"/>
        <v>10 Jan 2024</v>
      </c>
      <c r="M376" t="str">
        <f t="shared" si="42"/>
        <v/>
      </c>
      <c r="N376" t="str">
        <f t="shared" si="43"/>
        <v>12/29/2023</v>
      </c>
      <c r="O376" t="str">
        <f t="shared" si="44"/>
        <v/>
      </c>
      <c r="P376" t="str">
        <f t="shared" si="45"/>
        <v/>
      </c>
      <c r="Q376" t="str">
        <f t="shared" si="46"/>
        <v/>
      </c>
      <c r="R376" t="str">
        <f t="shared" si="47"/>
        <v/>
      </c>
    </row>
    <row r="377" spans="1:18" x14ac:dyDescent="0.25">
      <c r="A377">
        <f>ROW()</f>
        <v>377</v>
      </c>
      <c r="D377" t="s">
        <v>261</v>
      </c>
      <c r="G377">
        <v>2492</v>
      </c>
      <c r="J377" t="str">
        <f>IF(A377&lt;WORKSHEET!$R$2,WORKSHEET!$C$2,IF(B377="Air Waybill Number",C377,J376))</f>
        <v>774634958738</v>
      </c>
      <c r="K377" t="str">
        <f t="shared" si="40"/>
        <v>870148464</v>
      </c>
      <c r="L377" t="str">
        <f t="shared" si="41"/>
        <v>10 Jan 2024</v>
      </c>
      <c r="M377" t="str">
        <f t="shared" si="42"/>
        <v/>
      </c>
      <c r="N377" t="str">
        <f t="shared" si="43"/>
        <v>12/29/2023</v>
      </c>
      <c r="O377" t="str">
        <f t="shared" si="44"/>
        <v/>
      </c>
      <c r="P377" t="str">
        <f t="shared" si="45"/>
        <v/>
      </c>
      <c r="Q377" t="str">
        <f t="shared" si="46"/>
        <v/>
      </c>
      <c r="R377" t="str">
        <f t="shared" si="47"/>
        <v/>
      </c>
    </row>
    <row r="378" spans="1:18" x14ac:dyDescent="0.25">
      <c r="A378">
        <f>ROW()</f>
        <v>378</v>
      </c>
      <c r="D378" t="s">
        <v>14</v>
      </c>
      <c r="G378">
        <v>229096</v>
      </c>
      <c r="J378" t="str">
        <f>IF(A378&lt;WORKSHEET!$R$2,WORKSHEET!$C$2,IF(B378="Air Waybill Number",C378,J377))</f>
        <v>774634958738</v>
      </c>
      <c r="K378" t="str">
        <f t="shared" si="40"/>
        <v>870148464</v>
      </c>
      <c r="L378" t="str">
        <f t="shared" si="41"/>
        <v>10 Jan 2024</v>
      </c>
      <c r="M378" t="str">
        <f t="shared" si="42"/>
        <v/>
      </c>
      <c r="N378" t="str">
        <f t="shared" si="43"/>
        <v>12/29/2023</v>
      </c>
      <c r="O378" t="str">
        <f t="shared" si="44"/>
        <v/>
      </c>
      <c r="P378" t="str">
        <f t="shared" si="45"/>
        <v/>
      </c>
      <c r="Q378" t="str">
        <f t="shared" si="46"/>
        <v/>
      </c>
      <c r="R378" t="str">
        <f t="shared" si="47"/>
        <v/>
      </c>
    </row>
    <row r="379" spans="1:18" x14ac:dyDescent="0.25">
      <c r="A379">
        <f>ROW()</f>
        <v>379</v>
      </c>
      <c r="B379" t="s">
        <v>221</v>
      </c>
      <c r="C379" t="s">
        <v>90</v>
      </c>
      <c r="J379" t="str">
        <f>IF(A379&lt;WORKSHEET!$R$2,WORKSHEET!$C$2,IF(B379="Air Waybill Number",C379,J378))</f>
        <v>774634958738</v>
      </c>
      <c r="K379" t="str">
        <f t="shared" si="40"/>
        <v>870069727</v>
      </c>
      <c r="L379" t="str">
        <f t="shared" si="41"/>
        <v>10 Jan 2024</v>
      </c>
      <c r="M379" t="str">
        <f t="shared" si="42"/>
        <v/>
      </c>
      <c r="N379" t="str">
        <f t="shared" si="43"/>
        <v>12/29/2023</v>
      </c>
      <c r="O379" t="str">
        <f t="shared" si="44"/>
        <v/>
      </c>
      <c r="P379" t="str">
        <f t="shared" si="45"/>
        <v/>
      </c>
      <c r="Q379" t="str">
        <f t="shared" si="46"/>
        <v/>
      </c>
      <c r="R379" t="str">
        <f t="shared" si="47"/>
        <v/>
      </c>
    </row>
    <row r="380" spans="1:18" x14ac:dyDescent="0.25">
      <c r="A380">
        <f>ROW()</f>
        <v>380</v>
      </c>
      <c r="B380" t="s">
        <v>222</v>
      </c>
      <c r="C380" t="s">
        <v>459</v>
      </c>
      <c r="J380" t="str">
        <f>IF(A380&lt;WORKSHEET!$R$2,WORKSHEET!$C$2,IF(B380="Air Waybill Number",C380,J379))</f>
        <v>774634958738</v>
      </c>
      <c r="K380" t="str">
        <f t="shared" si="40"/>
        <v>870069727</v>
      </c>
      <c r="L380" t="str">
        <f t="shared" si="41"/>
        <v>13 Dec 2023</v>
      </c>
      <c r="M380" t="str">
        <f t="shared" si="42"/>
        <v/>
      </c>
      <c r="N380" t="str">
        <f t="shared" si="43"/>
        <v>12/29/2023</v>
      </c>
      <c r="O380" t="str">
        <f t="shared" si="44"/>
        <v/>
      </c>
      <c r="P380" t="str">
        <f t="shared" si="45"/>
        <v/>
      </c>
      <c r="Q380" t="str">
        <f t="shared" si="46"/>
        <v/>
      </c>
      <c r="R380" t="str">
        <f t="shared" si="47"/>
        <v/>
      </c>
    </row>
    <row r="381" spans="1:18" x14ac:dyDescent="0.25">
      <c r="A381">
        <f>ROW()</f>
        <v>381</v>
      </c>
      <c r="B381" t="s">
        <v>224</v>
      </c>
      <c r="C381" t="s">
        <v>225</v>
      </c>
      <c r="J381" t="str">
        <f>IF(A381&lt;WORKSHEET!$R$2,WORKSHEET!$C$2,IF(B381="Air Waybill Number",C381,J380))</f>
        <v>774634958738</v>
      </c>
      <c r="K381" t="str">
        <f t="shared" si="40"/>
        <v>870069727</v>
      </c>
      <c r="L381" t="str">
        <f t="shared" si="41"/>
        <v>13 Dec 2023</v>
      </c>
      <c r="M381" t="str">
        <f t="shared" si="42"/>
        <v/>
      </c>
      <c r="N381" t="str">
        <f t="shared" si="43"/>
        <v>12/29/2023</v>
      </c>
      <c r="O381" t="str">
        <f t="shared" si="44"/>
        <v/>
      </c>
      <c r="P381" t="str">
        <f t="shared" si="45"/>
        <v/>
      </c>
      <c r="Q381" t="str">
        <f t="shared" si="46"/>
        <v/>
      </c>
      <c r="R381" t="str">
        <f t="shared" si="47"/>
        <v/>
      </c>
    </row>
    <row r="382" spans="1:18" x14ac:dyDescent="0.25">
      <c r="A382">
        <f>ROW()</f>
        <v>382</v>
      </c>
      <c r="B382" t="s">
        <v>226</v>
      </c>
      <c r="C382" t="s">
        <v>460</v>
      </c>
      <c r="D382" t="s">
        <v>290</v>
      </c>
      <c r="F382" t="s">
        <v>461</v>
      </c>
      <c r="J382" t="str">
        <f>IF(A382&lt;WORKSHEET!$R$2,WORKSHEET!$C$2,IF(B382="Air Waybill Number",C382,J381))</f>
        <v>774634958738</v>
      </c>
      <c r="K382" t="str">
        <f t="shared" si="40"/>
        <v>870069727</v>
      </c>
      <c r="L382" t="str">
        <f t="shared" si="41"/>
        <v>13 Dec 2023</v>
      </c>
      <c r="M382" t="str">
        <f t="shared" si="42"/>
        <v/>
      </c>
      <c r="N382" t="str">
        <f t="shared" si="43"/>
        <v>11/29/2023</v>
      </c>
      <c r="O382" t="str">
        <f t="shared" si="44"/>
        <v>AGUSTINA FUNG FUNG/MERY/VIOLA</v>
      </c>
      <c r="P382" t="str">
        <f t="shared" si="45"/>
        <v>GISTEX GARMEN INDONESIA</v>
      </c>
      <c r="Q382" t="str">
        <f t="shared" si="46"/>
        <v>PAUL OLSON</v>
      </c>
      <c r="R382" t="str">
        <f t="shared" si="47"/>
        <v>RED WING SHOE COMPANY</v>
      </c>
    </row>
    <row r="383" spans="1:18" x14ac:dyDescent="0.25">
      <c r="A383">
        <f>ROW()</f>
        <v>383</v>
      </c>
      <c r="B383" t="s">
        <v>232</v>
      </c>
      <c r="C383" t="s">
        <v>91</v>
      </c>
      <c r="D383" t="s">
        <v>92</v>
      </c>
      <c r="F383" t="s">
        <v>93</v>
      </c>
      <c r="J383" t="str">
        <f>IF(A383&lt;WORKSHEET!$R$2,WORKSHEET!$C$2,IF(B383="Air Waybill Number",C383,J382))</f>
        <v>774251360505</v>
      </c>
      <c r="K383" t="str">
        <f t="shared" si="40"/>
        <v>870069727</v>
      </c>
      <c r="L383" t="str">
        <f t="shared" si="41"/>
        <v>13 Dec 2023</v>
      </c>
      <c r="M383" t="str">
        <f t="shared" si="42"/>
        <v>774251360505-1</v>
      </c>
      <c r="N383" t="str">
        <f t="shared" si="43"/>
        <v>11/29/2023</v>
      </c>
      <c r="O383" t="str">
        <f t="shared" si="44"/>
        <v/>
      </c>
      <c r="P383" t="str">
        <f t="shared" si="45"/>
        <v/>
      </c>
      <c r="Q383" t="str">
        <f t="shared" si="46"/>
        <v/>
      </c>
      <c r="R383" t="str">
        <f t="shared" si="47"/>
        <v/>
      </c>
    </row>
    <row r="384" spans="1:18" x14ac:dyDescent="0.25">
      <c r="A384">
        <f>ROW()</f>
        <v>384</v>
      </c>
      <c r="B384" t="s">
        <v>233</v>
      </c>
      <c r="C384" t="s">
        <v>462</v>
      </c>
      <c r="D384" t="s">
        <v>41</v>
      </c>
      <c r="F384" t="s">
        <v>94</v>
      </c>
      <c r="J384" t="str">
        <f>IF(A384&lt;WORKSHEET!$R$2,WORKSHEET!$C$2,IF(B384="Air Waybill Number",C384,J383))</f>
        <v>774251360505</v>
      </c>
      <c r="K384" t="str">
        <f t="shared" si="40"/>
        <v>870069727</v>
      </c>
      <c r="L384" t="str">
        <f t="shared" si="41"/>
        <v>13 Dec 2023</v>
      </c>
      <c r="M384" t="str">
        <f t="shared" si="42"/>
        <v/>
      </c>
      <c r="N384" t="str">
        <f t="shared" si="43"/>
        <v>11/29/2023</v>
      </c>
      <c r="O384" t="str">
        <f t="shared" si="44"/>
        <v/>
      </c>
      <c r="P384" t="str">
        <f t="shared" si="45"/>
        <v/>
      </c>
      <c r="Q384" t="str">
        <f t="shared" si="46"/>
        <v/>
      </c>
      <c r="R384" t="str">
        <f t="shared" si="47"/>
        <v/>
      </c>
    </row>
    <row r="385" spans="1:18" x14ac:dyDescent="0.25">
      <c r="A385">
        <f>ROW()</f>
        <v>385</v>
      </c>
      <c r="B385" t="s">
        <v>237</v>
      </c>
      <c r="C385" t="s">
        <v>338</v>
      </c>
      <c r="D385" t="s">
        <v>293</v>
      </c>
      <c r="F385" t="s">
        <v>463</v>
      </c>
      <c r="J385" t="str">
        <f>IF(A385&lt;WORKSHEET!$R$2,WORKSHEET!$C$2,IF(B385="Air Waybill Number",C385,J384))</f>
        <v>774251360505</v>
      </c>
      <c r="K385" t="str">
        <f t="shared" si="40"/>
        <v>870069727</v>
      </c>
      <c r="L385" t="str">
        <f t="shared" si="41"/>
        <v>13 Dec 2023</v>
      </c>
      <c r="M385" t="str">
        <f t="shared" si="42"/>
        <v/>
      </c>
      <c r="N385" t="str">
        <f t="shared" si="43"/>
        <v>11/29/2023</v>
      </c>
      <c r="O385" t="str">
        <f t="shared" si="44"/>
        <v/>
      </c>
      <c r="P385" t="str">
        <f t="shared" si="45"/>
        <v/>
      </c>
      <c r="Q385" t="str">
        <f t="shared" si="46"/>
        <v/>
      </c>
      <c r="R385" t="str">
        <f t="shared" si="47"/>
        <v/>
      </c>
    </row>
    <row r="386" spans="1:18" x14ac:dyDescent="0.25">
      <c r="A386">
        <f>ROW()</f>
        <v>386</v>
      </c>
      <c r="B386" t="s">
        <v>241</v>
      </c>
      <c r="C386" t="s">
        <v>464</v>
      </c>
      <c r="D386" t="s">
        <v>296</v>
      </c>
      <c r="F386" t="s">
        <v>465</v>
      </c>
      <c r="J386" t="str">
        <f>IF(A386&lt;WORKSHEET!$R$2,WORKSHEET!$C$2,IF(B386="Air Waybill Number",C386,J385))</f>
        <v>774251360505</v>
      </c>
      <c r="K386" t="str">
        <f t="shared" ref="K386:K449" si="48">IF(B386="Invoice Number:",C386,K385)</f>
        <v>870069727</v>
      </c>
      <c r="L386" t="str">
        <f t="shared" ref="L386:L449" si="49">IF(B386="Invoice Date:",C386,L385)</f>
        <v>13 Dec 2023</v>
      </c>
      <c r="M386" t="str">
        <f t="shared" ref="M386:M449" si="50">IF(B386="Air Waybill Number",J386&amp;"-1","")</f>
        <v/>
      </c>
      <c r="N386" t="str">
        <f t="shared" ref="N386:N449" si="51">IF(B386="Ship Date",C386,N385)</f>
        <v>11/29/2023</v>
      </c>
      <c r="O386" t="str">
        <f t="shared" ref="O386:O449" si="52">IF(LEFT(D386,6)="Sender",D387,IF(LEFT(E386,6)="Sender",E387,""))</f>
        <v/>
      </c>
      <c r="P386" t="str">
        <f t="shared" ref="P386:P449" si="53">IF(LEFT(D386,6)="Sender",D388,IF(LEFT(E386,6)="Sender",D388,""))</f>
        <v/>
      </c>
      <c r="Q386" t="str">
        <f t="shared" ref="Q386:Q449" si="54">IF(LEFT(E386,9)="Recipient",E387&amp;F387,IF(LEFT(F386,9)="Recipient",F387,IF(LEFT(G386,9)="Recipient",G387,IF(LEFT(H386,9)="Recipient",H387,""))))</f>
        <v/>
      </c>
      <c r="R386" t="str">
        <f t="shared" ref="R386:R449" si="55">IF(LEFT(E386,9)="Recipient",E388&amp;F388,IF(LEFT(F386,9)="Recipient",F388,IF(LEFT(G386,9)="Recipient",G388,IF(LEFT(H386,9)="Recipient",H388,""))))</f>
        <v/>
      </c>
    </row>
    <row r="387" spans="1:18" x14ac:dyDescent="0.25">
      <c r="A387">
        <f>ROW()</f>
        <v>387</v>
      </c>
      <c r="B387" t="s">
        <v>286</v>
      </c>
      <c r="C387" t="s">
        <v>299</v>
      </c>
      <c r="D387" t="s">
        <v>300</v>
      </c>
      <c r="F387" t="s">
        <v>466</v>
      </c>
      <c r="J387" t="str">
        <f>IF(A387&lt;WORKSHEET!$R$2,WORKSHEET!$C$2,IF(B387="Air Waybill Number",C387,J386))</f>
        <v>774251360505</v>
      </c>
      <c r="K387" t="str">
        <f t="shared" si="48"/>
        <v>870069727</v>
      </c>
      <c r="L387" t="str">
        <f t="shared" si="49"/>
        <v>13 Dec 2023</v>
      </c>
      <c r="M387" t="str">
        <f t="shared" si="50"/>
        <v/>
      </c>
      <c r="N387" t="str">
        <f t="shared" si="51"/>
        <v>11/29/2023</v>
      </c>
      <c r="O387" t="str">
        <f t="shared" si="52"/>
        <v/>
      </c>
      <c r="P387" t="str">
        <f t="shared" si="53"/>
        <v/>
      </c>
      <c r="Q387" t="str">
        <f t="shared" si="54"/>
        <v/>
      </c>
      <c r="R387" t="str">
        <f t="shared" si="55"/>
        <v/>
      </c>
    </row>
    <row r="388" spans="1:18" x14ac:dyDescent="0.25">
      <c r="A388">
        <f>ROW()</f>
        <v>388</v>
      </c>
      <c r="B388" t="s">
        <v>249</v>
      </c>
      <c r="C388" t="s">
        <v>467</v>
      </c>
      <c r="D388" t="s">
        <v>248</v>
      </c>
      <c r="G388" t="s">
        <v>468</v>
      </c>
      <c r="J388" t="str">
        <f>IF(A388&lt;WORKSHEET!$R$2,WORKSHEET!$C$2,IF(B388="Air Waybill Number",C388,J387))</f>
        <v>774251360505</v>
      </c>
      <c r="K388" t="str">
        <f t="shared" si="48"/>
        <v>870069727</v>
      </c>
      <c r="L388" t="str">
        <f t="shared" si="49"/>
        <v>13 Dec 2023</v>
      </c>
      <c r="M388" t="str">
        <f t="shared" si="50"/>
        <v/>
      </c>
      <c r="N388" t="str">
        <f t="shared" si="51"/>
        <v>11/29/2023</v>
      </c>
      <c r="O388" t="str">
        <f t="shared" si="52"/>
        <v/>
      </c>
      <c r="P388" t="str">
        <f t="shared" si="53"/>
        <v/>
      </c>
      <c r="Q388" t="str">
        <f t="shared" si="54"/>
        <v/>
      </c>
      <c r="R388" t="str">
        <f t="shared" si="55"/>
        <v/>
      </c>
    </row>
    <row r="389" spans="1:18" x14ac:dyDescent="0.25">
      <c r="A389">
        <f>ROW()</f>
        <v>389</v>
      </c>
      <c r="D389" t="s">
        <v>251</v>
      </c>
      <c r="E389" t="s">
        <v>252</v>
      </c>
      <c r="G389" t="s">
        <v>469</v>
      </c>
      <c r="J389" t="str">
        <f>IF(A389&lt;WORKSHEET!$R$2,WORKSHEET!$C$2,IF(B389="Air Waybill Number",C389,J388))</f>
        <v>774251360505</v>
      </c>
      <c r="K389" t="str">
        <f t="shared" si="48"/>
        <v>870069727</v>
      </c>
      <c r="L389" t="str">
        <f t="shared" si="49"/>
        <v>13 Dec 2023</v>
      </c>
      <c r="M389" t="str">
        <f t="shared" si="50"/>
        <v/>
      </c>
      <c r="N389" t="str">
        <f t="shared" si="51"/>
        <v>11/29/2023</v>
      </c>
      <c r="O389" t="str">
        <f t="shared" si="52"/>
        <v/>
      </c>
      <c r="P389" t="str">
        <f t="shared" si="53"/>
        <v/>
      </c>
      <c r="Q389" t="str">
        <f t="shared" si="54"/>
        <v/>
      </c>
      <c r="R389" t="str">
        <f t="shared" si="55"/>
        <v/>
      </c>
    </row>
    <row r="390" spans="1:18" x14ac:dyDescent="0.25">
      <c r="A390">
        <f>ROW()</f>
        <v>390</v>
      </c>
      <c r="D390" t="s">
        <v>254</v>
      </c>
      <c r="E390" t="s">
        <v>12</v>
      </c>
      <c r="G390" t="s">
        <v>470</v>
      </c>
      <c r="J390" t="str">
        <f>IF(A390&lt;WORKSHEET!$R$2,WORKSHEET!$C$2,IF(B390="Air Waybill Number",C390,J389))</f>
        <v>774251360505</v>
      </c>
      <c r="K390" t="str">
        <f t="shared" si="48"/>
        <v>870069727</v>
      </c>
      <c r="L390" t="str">
        <f t="shared" si="49"/>
        <v>13 Dec 2023</v>
      </c>
      <c r="M390" t="str">
        <f t="shared" si="50"/>
        <v/>
      </c>
      <c r="N390" t="str">
        <f t="shared" si="51"/>
        <v>11/29/2023</v>
      </c>
      <c r="O390" t="str">
        <f t="shared" si="52"/>
        <v/>
      </c>
      <c r="P390" t="str">
        <f t="shared" si="53"/>
        <v/>
      </c>
      <c r="Q390" t="str">
        <f t="shared" si="54"/>
        <v/>
      </c>
      <c r="R390" t="str">
        <f t="shared" si="55"/>
        <v/>
      </c>
    </row>
    <row r="391" spans="1:18" x14ac:dyDescent="0.25">
      <c r="A391">
        <f>ROW()</f>
        <v>391</v>
      </c>
      <c r="D391" t="s">
        <v>254</v>
      </c>
      <c r="F391" t="s">
        <v>260</v>
      </c>
      <c r="G391" t="s">
        <v>471</v>
      </c>
      <c r="J391" t="str">
        <f>IF(A391&lt;WORKSHEET!$R$2,WORKSHEET!$C$2,IF(B391="Air Waybill Number",C391,J390))</f>
        <v>774251360505</v>
      </c>
      <c r="K391" t="str">
        <f t="shared" si="48"/>
        <v>870069727</v>
      </c>
      <c r="L391" t="str">
        <f t="shared" si="49"/>
        <v>13 Dec 2023</v>
      </c>
      <c r="M391" t="str">
        <f t="shared" si="50"/>
        <v/>
      </c>
      <c r="N391" t="str">
        <f t="shared" si="51"/>
        <v>11/29/2023</v>
      </c>
      <c r="O391" t="str">
        <f t="shared" si="52"/>
        <v/>
      </c>
      <c r="P391" t="str">
        <f t="shared" si="53"/>
        <v/>
      </c>
      <c r="Q391" t="str">
        <f t="shared" si="54"/>
        <v/>
      </c>
      <c r="R391" t="str">
        <f t="shared" si="55"/>
        <v/>
      </c>
    </row>
    <row r="392" spans="1:18" x14ac:dyDescent="0.25">
      <c r="A392">
        <f>ROW()</f>
        <v>392</v>
      </c>
      <c r="D392" t="s">
        <v>261</v>
      </c>
      <c r="G392" t="s">
        <v>472</v>
      </c>
      <c r="J392" t="str">
        <f>IF(A392&lt;WORKSHEET!$R$2,WORKSHEET!$C$2,IF(B392="Air Waybill Number",C392,J391))</f>
        <v>774251360505</v>
      </c>
      <c r="K392" t="str">
        <f t="shared" si="48"/>
        <v>870069727</v>
      </c>
      <c r="L392" t="str">
        <f t="shared" si="49"/>
        <v>13 Dec 2023</v>
      </c>
      <c r="M392" t="str">
        <f t="shared" si="50"/>
        <v/>
      </c>
      <c r="N392" t="str">
        <f t="shared" si="51"/>
        <v>11/29/2023</v>
      </c>
      <c r="O392" t="str">
        <f t="shared" si="52"/>
        <v/>
      </c>
      <c r="P392" t="str">
        <f t="shared" si="53"/>
        <v/>
      </c>
      <c r="Q392" t="str">
        <f t="shared" si="54"/>
        <v/>
      </c>
      <c r="R392" t="str">
        <f t="shared" si="55"/>
        <v/>
      </c>
    </row>
    <row r="393" spans="1:18" x14ac:dyDescent="0.25">
      <c r="A393">
        <f>ROW()</f>
        <v>393</v>
      </c>
      <c r="D393" t="s">
        <v>14</v>
      </c>
      <c r="G393" t="s">
        <v>473</v>
      </c>
      <c r="J393" t="str">
        <f>IF(A393&lt;WORKSHEET!$R$2,WORKSHEET!$C$2,IF(B393="Air Waybill Number",C393,J392))</f>
        <v>774251360505</v>
      </c>
      <c r="K393" t="str">
        <f t="shared" si="48"/>
        <v>870069727</v>
      </c>
      <c r="L393" t="str">
        <f t="shared" si="49"/>
        <v>13 Dec 2023</v>
      </c>
      <c r="M393" t="str">
        <f t="shared" si="50"/>
        <v/>
      </c>
      <c r="N393" t="str">
        <f t="shared" si="51"/>
        <v>11/29/2023</v>
      </c>
      <c r="O393" t="str">
        <f t="shared" si="52"/>
        <v/>
      </c>
      <c r="P393" t="str">
        <f t="shared" si="53"/>
        <v/>
      </c>
      <c r="Q393" t="str">
        <f t="shared" si="54"/>
        <v/>
      </c>
      <c r="R393" t="str">
        <f t="shared" si="55"/>
        <v/>
      </c>
    </row>
    <row r="394" spans="1:18" x14ac:dyDescent="0.25">
      <c r="A394">
        <f>ROW()</f>
        <v>394</v>
      </c>
      <c r="D394" t="s">
        <v>367</v>
      </c>
      <c r="J394" t="str">
        <f>IF(A394&lt;WORKSHEET!$R$2,WORKSHEET!$C$2,IF(B394="Air Waybill Number",C394,J393))</f>
        <v>774251360505</v>
      </c>
      <c r="K394" t="str">
        <f t="shared" si="48"/>
        <v>870069727</v>
      </c>
      <c r="L394" t="str">
        <f t="shared" si="49"/>
        <v>13 Dec 2023</v>
      </c>
      <c r="M394" t="str">
        <f t="shared" si="50"/>
        <v/>
      </c>
      <c r="N394" t="str">
        <f t="shared" si="51"/>
        <v>11/29/2023</v>
      </c>
      <c r="O394" t="str">
        <f t="shared" si="52"/>
        <v/>
      </c>
      <c r="P394" t="str">
        <f t="shared" si="53"/>
        <v/>
      </c>
      <c r="Q394" t="str">
        <f t="shared" si="54"/>
        <v/>
      </c>
      <c r="R394" t="str">
        <f t="shared" si="55"/>
        <v/>
      </c>
    </row>
    <row r="395" spans="1:18" x14ac:dyDescent="0.25">
      <c r="A395">
        <f>ROW()</f>
        <v>395</v>
      </c>
      <c r="B395" t="s">
        <v>403</v>
      </c>
      <c r="J395" t="str">
        <f>IF(A395&lt;WORKSHEET!$R$2,WORKSHEET!$C$2,IF(B395="Air Waybill Number",C395,J394))</f>
        <v>774251360505</v>
      </c>
      <c r="K395" t="str">
        <f t="shared" si="48"/>
        <v>870069727</v>
      </c>
      <c r="L395" t="str">
        <f t="shared" si="49"/>
        <v>13 Dec 2023</v>
      </c>
      <c r="M395" t="str">
        <f t="shared" si="50"/>
        <v/>
      </c>
      <c r="N395" t="str">
        <f t="shared" si="51"/>
        <v>11/29/2023</v>
      </c>
      <c r="O395" t="str">
        <f t="shared" si="52"/>
        <v/>
      </c>
      <c r="P395" t="str">
        <f t="shared" si="53"/>
        <v/>
      </c>
      <c r="Q395" t="str">
        <f t="shared" si="54"/>
        <v/>
      </c>
      <c r="R395" t="str">
        <f t="shared" si="55"/>
        <v/>
      </c>
    </row>
    <row r="396" spans="1:18" x14ac:dyDescent="0.25">
      <c r="A396">
        <f>ROW()</f>
        <v>396</v>
      </c>
      <c r="B396" t="s">
        <v>404</v>
      </c>
      <c r="C396" t="s">
        <v>405</v>
      </c>
      <c r="D396" t="s">
        <v>406</v>
      </c>
      <c r="E396" t="s">
        <v>404</v>
      </c>
      <c r="F396" t="s">
        <v>405</v>
      </c>
      <c r="G396" t="s">
        <v>406</v>
      </c>
      <c r="J396" t="str">
        <f>IF(A396&lt;WORKSHEET!$R$2,WORKSHEET!$C$2,IF(B396="Air Waybill Number",C396,J395))</f>
        <v>774251360505</v>
      </c>
      <c r="K396" t="str">
        <f t="shared" si="48"/>
        <v>870069727</v>
      </c>
      <c r="L396" t="str">
        <f t="shared" si="49"/>
        <v>13 Dec 2023</v>
      </c>
      <c r="M396" t="str">
        <f t="shared" si="50"/>
        <v/>
      </c>
      <c r="N396" t="str">
        <f t="shared" si="51"/>
        <v>11/29/2023</v>
      </c>
      <c r="O396" t="str">
        <f t="shared" si="52"/>
        <v/>
      </c>
      <c r="P396" t="str">
        <f t="shared" si="53"/>
        <v/>
      </c>
      <c r="Q396" t="str">
        <f t="shared" si="54"/>
        <v/>
      </c>
      <c r="R396" t="str">
        <f t="shared" si="55"/>
        <v/>
      </c>
    </row>
    <row r="397" spans="1:18" x14ac:dyDescent="0.25">
      <c r="A397">
        <f>ROW()</f>
        <v>397</v>
      </c>
      <c r="B397" t="s">
        <v>91</v>
      </c>
      <c r="C397" t="s">
        <v>435</v>
      </c>
      <c r="D397" t="s">
        <v>474</v>
      </c>
      <c r="E397" t="s">
        <v>475</v>
      </c>
      <c r="F397" t="s">
        <v>435</v>
      </c>
      <c r="G397" t="s">
        <v>474</v>
      </c>
      <c r="J397" t="str">
        <f>IF(A397&lt;WORKSHEET!$R$2,WORKSHEET!$C$2,IF(B397="Air Waybill Number",C397,J396))</f>
        <v>774251360505</v>
      </c>
      <c r="K397" t="str">
        <f t="shared" si="48"/>
        <v>870069727</v>
      </c>
      <c r="L397" t="str">
        <f t="shared" si="49"/>
        <v>13 Dec 2023</v>
      </c>
      <c r="M397" t="str">
        <f t="shared" si="50"/>
        <v/>
      </c>
      <c r="N397" t="str">
        <f t="shared" si="51"/>
        <v>11/29/2023</v>
      </c>
      <c r="O397" t="str">
        <f t="shared" si="52"/>
        <v/>
      </c>
      <c r="P397" t="str">
        <f t="shared" si="53"/>
        <v/>
      </c>
      <c r="Q397" t="str">
        <f t="shared" si="54"/>
        <v/>
      </c>
      <c r="R397" t="str">
        <f t="shared" si="55"/>
        <v/>
      </c>
    </row>
    <row r="398" spans="1:18" x14ac:dyDescent="0.25">
      <c r="A398">
        <f>ROW()</f>
        <v>398</v>
      </c>
      <c r="B398" t="s">
        <v>476</v>
      </c>
      <c r="C398" t="s">
        <v>285</v>
      </c>
      <c r="D398" t="s">
        <v>408</v>
      </c>
      <c r="E398" t="s">
        <v>477</v>
      </c>
      <c r="F398" t="s">
        <v>435</v>
      </c>
      <c r="G398" t="s">
        <v>474</v>
      </c>
      <c r="J398" t="str">
        <f>IF(A398&lt;WORKSHEET!$R$2,WORKSHEET!$C$2,IF(B398="Air Waybill Number",C398,J397))</f>
        <v>774251360505</v>
      </c>
      <c r="K398" t="str">
        <f t="shared" si="48"/>
        <v>870069727</v>
      </c>
      <c r="L398" t="str">
        <f t="shared" si="49"/>
        <v>13 Dec 2023</v>
      </c>
      <c r="M398" t="str">
        <f t="shared" si="50"/>
        <v/>
      </c>
      <c r="N398" t="str">
        <f t="shared" si="51"/>
        <v>11/29/2023</v>
      </c>
      <c r="O398" t="str">
        <f t="shared" si="52"/>
        <v/>
      </c>
      <c r="P398" t="str">
        <f t="shared" si="53"/>
        <v/>
      </c>
      <c r="Q398" t="str">
        <f t="shared" si="54"/>
        <v/>
      </c>
      <c r="R398" t="str">
        <f t="shared" si="55"/>
        <v/>
      </c>
    </row>
    <row r="399" spans="1:18" x14ac:dyDescent="0.25">
      <c r="A399">
        <f>ROW()</f>
        <v>399</v>
      </c>
      <c r="B399" t="s">
        <v>478</v>
      </c>
      <c r="C399" t="s">
        <v>370</v>
      </c>
      <c r="D399" t="s">
        <v>479</v>
      </c>
      <c r="E399" t="s">
        <v>480</v>
      </c>
      <c r="F399" t="s">
        <v>435</v>
      </c>
      <c r="G399" t="s">
        <v>408</v>
      </c>
      <c r="J399" t="str">
        <f>IF(A399&lt;WORKSHEET!$R$2,WORKSHEET!$C$2,IF(B399="Air Waybill Number",C399,J398))</f>
        <v>774251360505</v>
      </c>
      <c r="K399" t="str">
        <f t="shared" si="48"/>
        <v>870069727</v>
      </c>
      <c r="L399" t="str">
        <f t="shared" si="49"/>
        <v>13 Dec 2023</v>
      </c>
      <c r="M399" t="str">
        <f t="shared" si="50"/>
        <v/>
      </c>
      <c r="N399" t="str">
        <f t="shared" si="51"/>
        <v>11/29/2023</v>
      </c>
      <c r="O399" t="str">
        <f t="shared" si="52"/>
        <v/>
      </c>
      <c r="P399" t="str">
        <f t="shared" si="53"/>
        <v/>
      </c>
      <c r="Q399" t="str">
        <f t="shared" si="54"/>
        <v/>
      </c>
      <c r="R399" t="str">
        <f t="shared" si="55"/>
        <v/>
      </c>
    </row>
    <row r="400" spans="1:18" x14ac:dyDescent="0.25">
      <c r="A400">
        <f>ROW()</f>
        <v>400</v>
      </c>
      <c r="B400" t="s">
        <v>226</v>
      </c>
      <c r="C400" t="s">
        <v>460</v>
      </c>
      <c r="D400" t="s">
        <v>290</v>
      </c>
      <c r="F400" t="s">
        <v>481</v>
      </c>
      <c r="J400" t="str">
        <f>IF(A400&lt;WORKSHEET!$R$2,WORKSHEET!$C$2,IF(B400="Air Waybill Number",C400,J399))</f>
        <v>774251360505</v>
      </c>
      <c r="K400" t="str">
        <f t="shared" si="48"/>
        <v>870069727</v>
      </c>
      <c r="L400" t="str">
        <f t="shared" si="49"/>
        <v>13 Dec 2023</v>
      </c>
      <c r="M400" t="str">
        <f t="shared" si="50"/>
        <v/>
      </c>
      <c r="N400" t="str">
        <f t="shared" si="51"/>
        <v>11/29/2023</v>
      </c>
      <c r="O400" t="str">
        <f t="shared" si="52"/>
        <v>WINTA</v>
      </c>
      <c r="P400" t="str">
        <f t="shared" si="53"/>
        <v>GISTEX GARMEN INDONESIA</v>
      </c>
      <c r="Q400" t="str">
        <f t="shared" si="54"/>
        <v>WINNIE CHOW</v>
      </c>
      <c r="R400" t="str">
        <f t="shared" si="55"/>
        <v>HEXAPOLE COMPANY LIMITED</v>
      </c>
    </row>
    <row r="401" spans="1:18" x14ac:dyDescent="0.25">
      <c r="A401">
        <f>ROW()</f>
        <v>401</v>
      </c>
      <c r="B401" t="s">
        <v>232</v>
      </c>
      <c r="C401" t="s">
        <v>95</v>
      </c>
      <c r="D401" t="s">
        <v>96</v>
      </c>
      <c r="F401" t="s">
        <v>97</v>
      </c>
      <c r="J401" t="str">
        <f>IF(A401&lt;WORKSHEET!$R$2,WORKSHEET!$C$2,IF(B401="Air Waybill Number",C401,J400))</f>
        <v>774271975344</v>
      </c>
      <c r="K401" t="str">
        <f t="shared" si="48"/>
        <v>870069727</v>
      </c>
      <c r="L401" t="str">
        <f t="shared" si="49"/>
        <v>13 Dec 2023</v>
      </c>
      <c r="M401" t="str">
        <f t="shared" si="50"/>
        <v>774271975344-1</v>
      </c>
      <c r="N401" t="str">
        <f t="shared" si="51"/>
        <v>11/29/2023</v>
      </c>
      <c r="O401" t="str">
        <f t="shared" si="52"/>
        <v/>
      </c>
      <c r="P401" t="str">
        <f t="shared" si="53"/>
        <v/>
      </c>
      <c r="Q401" t="str">
        <f t="shared" si="54"/>
        <v/>
      </c>
      <c r="R401" t="str">
        <f t="shared" si="55"/>
        <v/>
      </c>
    </row>
    <row r="402" spans="1:18" x14ac:dyDescent="0.25">
      <c r="A402">
        <f>ROW()</f>
        <v>402</v>
      </c>
      <c r="B402" t="s">
        <v>233</v>
      </c>
      <c r="C402" t="s">
        <v>482</v>
      </c>
      <c r="D402" t="s">
        <v>41</v>
      </c>
      <c r="F402" t="s">
        <v>98</v>
      </c>
      <c r="J402" t="str">
        <f>IF(A402&lt;WORKSHEET!$R$2,WORKSHEET!$C$2,IF(B402="Air Waybill Number",C402,J401))</f>
        <v>774271975344</v>
      </c>
      <c r="K402" t="str">
        <f t="shared" si="48"/>
        <v>870069727</v>
      </c>
      <c r="L402" t="str">
        <f t="shared" si="49"/>
        <v>13 Dec 2023</v>
      </c>
      <c r="M402" t="str">
        <f t="shared" si="50"/>
        <v/>
      </c>
      <c r="N402" t="str">
        <f t="shared" si="51"/>
        <v>11/29/2023</v>
      </c>
      <c r="O402" t="str">
        <f t="shared" si="52"/>
        <v/>
      </c>
      <c r="P402" t="str">
        <f t="shared" si="53"/>
        <v/>
      </c>
      <c r="Q402" t="str">
        <f t="shared" si="54"/>
        <v/>
      </c>
      <c r="R402" t="str">
        <f t="shared" si="55"/>
        <v/>
      </c>
    </row>
    <row r="403" spans="1:18" x14ac:dyDescent="0.25">
      <c r="A403">
        <f>ROW()</f>
        <v>403</v>
      </c>
      <c r="B403" t="s">
        <v>237</v>
      </c>
      <c r="C403" t="s">
        <v>238</v>
      </c>
      <c r="D403" t="s">
        <v>293</v>
      </c>
      <c r="F403" t="s">
        <v>483</v>
      </c>
      <c r="J403" t="str">
        <f>IF(A403&lt;WORKSHEET!$R$2,WORKSHEET!$C$2,IF(B403="Air Waybill Number",C403,J402))</f>
        <v>774271975344</v>
      </c>
      <c r="K403" t="str">
        <f t="shared" si="48"/>
        <v>870069727</v>
      </c>
      <c r="L403" t="str">
        <f t="shared" si="49"/>
        <v>13 Dec 2023</v>
      </c>
      <c r="M403" t="str">
        <f t="shared" si="50"/>
        <v/>
      </c>
      <c r="N403" t="str">
        <f t="shared" si="51"/>
        <v>11/29/2023</v>
      </c>
      <c r="O403" t="str">
        <f t="shared" si="52"/>
        <v/>
      </c>
      <c r="P403" t="str">
        <f t="shared" si="53"/>
        <v/>
      </c>
      <c r="Q403" t="str">
        <f t="shared" si="54"/>
        <v/>
      </c>
      <c r="R403" t="str">
        <f t="shared" si="55"/>
        <v/>
      </c>
    </row>
    <row r="404" spans="1:18" x14ac:dyDescent="0.25">
      <c r="A404">
        <f>ROW()</f>
        <v>404</v>
      </c>
      <c r="B404" t="s">
        <v>241</v>
      </c>
      <c r="C404" t="s">
        <v>285</v>
      </c>
      <c r="D404" t="s">
        <v>296</v>
      </c>
      <c r="F404" t="s">
        <v>484</v>
      </c>
      <c r="J404" t="str">
        <f>IF(A404&lt;WORKSHEET!$R$2,WORKSHEET!$C$2,IF(B404="Air Waybill Number",C404,J403))</f>
        <v>774271975344</v>
      </c>
      <c r="K404" t="str">
        <f t="shared" si="48"/>
        <v>870069727</v>
      </c>
      <c r="L404" t="str">
        <f t="shared" si="49"/>
        <v>13 Dec 2023</v>
      </c>
      <c r="M404" t="str">
        <f t="shared" si="50"/>
        <v/>
      </c>
      <c r="N404" t="str">
        <f t="shared" si="51"/>
        <v>11/29/2023</v>
      </c>
      <c r="O404" t="str">
        <f t="shared" si="52"/>
        <v/>
      </c>
      <c r="P404" t="str">
        <f t="shared" si="53"/>
        <v/>
      </c>
      <c r="Q404" t="str">
        <f t="shared" si="54"/>
        <v/>
      </c>
      <c r="R404" t="str">
        <f t="shared" si="55"/>
        <v/>
      </c>
    </row>
    <row r="405" spans="1:18" x14ac:dyDescent="0.25">
      <c r="A405">
        <f>ROW()</f>
        <v>405</v>
      </c>
      <c r="B405" t="s">
        <v>286</v>
      </c>
      <c r="C405" t="s">
        <v>299</v>
      </c>
      <c r="D405" t="s">
        <v>300</v>
      </c>
      <c r="F405" t="s">
        <v>485</v>
      </c>
      <c r="J405" t="str">
        <f>IF(A405&lt;WORKSHEET!$R$2,WORKSHEET!$C$2,IF(B405="Air Waybill Number",C405,J404))</f>
        <v>774271975344</v>
      </c>
      <c r="K405" t="str">
        <f t="shared" si="48"/>
        <v>870069727</v>
      </c>
      <c r="L405" t="str">
        <f t="shared" si="49"/>
        <v>13 Dec 2023</v>
      </c>
      <c r="M405" t="str">
        <f t="shared" si="50"/>
        <v/>
      </c>
      <c r="N405" t="str">
        <f t="shared" si="51"/>
        <v>11/29/2023</v>
      </c>
      <c r="O405" t="str">
        <f t="shared" si="52"/>
        <v/>
      </c>
      <c r="P405" t="str">
        <f t="shared" si="53"/>
        <v/>
      </c>
      <c r="Q405" t="str">
        <f t="shared" si="54"/>
        <v/>
      </c>
      <c r="R405" t="str">
        <f t="shared" si="55"/>
        <v/>
      </c>
    </row>
    <row r="406" spans="1:18" x14ac:dyDescent="0.25">
      <c r="A406">
        <f>ROW()</f>
        <v>406</v>
      </c>
      <c r="B406" t="s">
        <v>249</v>
      </c>
      <c r="C406" t="s">
        <v>486</v>
      </c>
      <c r="D406" t="s">
        <v>248</v>
      </c>
      <c r="F406" t="s">
        <v>487</v>
      </c>
      <c r="J406" t="str">
        <f>IF(A406&lt;WORKSHEET!$R$2,WORKSHEET!$C$2,IF(B406="Air Waybill Number",C406,J405))</f>
        <v>774271975344</v>
      </c>
      <c r="K406" t="str">
        <f t="shared" si="48"/>
        <v>870069727</v>
      </c>
      <c r="L406" t="str">
        <f t="shared" si="49"/>
        <v>13 Dec 2023</v>
      </c>
      <c r="M406" t="str">
        <f t="shared" si="50"/>
        <v/>
      </c>
      <c r="N406" t="str">
        <f t="shared" si="51"/>
        <v>11/29/2023</v>
      </c>
      <c r="O406" t="str">
        <f t="shared" si="52"/>
        <v/>
      </c>
      <c r="P406" t="str">
        <f t="shared" si="53"/>
        <v/>
      </c>
      <c r="Q406" t="str">
        <f t="shared" si="54"/>
        <v/>
      </c>
      <c r="R406" t="str">
        <f t="shared" si="55"/>
        <v/>
      </c>
    </row>
    <row r="407" spans="1:18" x14ac:dyDescent="0.25">
      <c r="A407">
        <f>ROW()</f>
        <v>407</v>
      </c>
      <c r="D407" t="s">
        <v>251</v>
      </c>
      <c r="E407" t="s">
        <v>252</v>
      </c>
      <c r="F407" t="s">
        <v>488</v>
      </c>
      <c r="J407" t="str">
        <f>IF(A407&lt;WORKSHEET!$R$2,WORKSHEET!$C$2,IF(B407="Air Waybill Number",C407,J406))</f>
        <v>774271975344</v>
      </c>
      <c r="K407" t="str">
        <f t="shared" si="48"/>
        <v>870069727</v>
      </c>
      <c r="L407" t="str">
        <f t="shared" si="49"/>
        <v>13 Dec 2023</v>
      </c>
      <c r="M407" t="str">
        <f t="shared" si="50"/>
        <v/>
      </c>
      <c r="N407" t="str">
        <f t="shared" si="51"/>
        <v>11/29/2023</v>
      </c>
      <c r="O407" t="str">
        <f t="shared" si="52"/>
        <v/>
      </c>
      <c r="P407" t="str">
        <f t="shared" si="53"/>
        <v/>
      </c>
      <c r="Q407" t="str">
        <f t="shared" si="54"/>
        <v/>
      </c>
      <c r="R407" t="str">
        <f t="shared" si="55"/>
        <v/>
      </c>
    </row>
    <row r="408" spans="1:18" x14ac:dyDescent="0.25">
      <c r="A408">
        <f>ROW()</f>
        <v>408</v>
      </c>
      <c r="D408" t="s">
        <v>254</v>
      </c>
      <c r="E408" t="s">
        <v>12</v>
      </c>
      <c r="F408" t="s">
        <v>489</v>
      </c>
      <c r="J408" t="str">
        <f>IF(A408&lt;WORKSHEET!$R$2,WORKSHEET!$C$2,IF(B408="Air Waybill Number",C408,J407))</f>
        <v>774271975344</v>
      </c>
      <c r="K408" t="str">
        <f t="shared" si="48"/>
        <v>870069727</v>
      </c>
      <c r="L408" t="str">
        <f t="shared" si="49"/>
        <v>13 Dec 2023</v>
      </c>
      <c r="M408" t="str">
        <f t="shared" si="50"/>
        <v/>
      </c>
      <c r="N408" t="str">
        <f t="shared" si="51"/>
        <v>11/29/2023</v>
      </c>
      <c r="O408" t="str">
        <f t="shared" si="52"/>
        <v/>
      </c>
      <c r="P408" t="str">
        <f t="shared" si="53"/>
        <v/>
      </c>
      <c r="Q408" t="str">
        <f t="shared" si="54"/>
        <v/>
      </c>
      <c r="R408" t="str">
        <f t="shared" si="55"/>
        <v/>
      </c>
    </row>
    <row r="409" spans="1:18" x14ac:dyDescent="0.25">
      <c r="A409">
        <f>ROW()</f>
        <v>409</v>
      </c>
      <c r="D409" t="s">
        <v>254</v>
      </c>
      <c r="F409" t="s">
        <v>490</v>
      </c>
      <c r="J409" t="str">
        <f>IF(A409&lt;WORKSHEET!$R$2,WORKSHEET!$C$2,IF(B409="Air Waybill Number",C409,J408))</f>
        <v>774271975344</v>
      </c>
      <c r="K409" t="str">
        <f t="shared" si="48"/>
        <v>870069727</v>
      </c>
      <c r="L409" t="str">
        <f t="shared" si="49"/>
        <v>13 Dec 2023</v>
      </c>
      <c r="M409" t="str">
        <f t="shared" si="50"/>
        <v/>
      </c>
      <c r="N409" t="str">
        <f t="shared" si="51"/>
        <v>11/29/2023</v>
      </c>
      <c r="O409" t="str">
        <f t="shared" si="52"/>
        <v/>
      </c>
      <c r="P409" t="str">
        <f t="shared" si="53"/>
        <v/>
      </c>
      <c r="Q409" t="str">
        <f t="shared" si="54"/>
        <v/>
      </c>
      <c r="R409" t="str">
        <f t="shared" si="55"/>
        <v/>
      </c>
    </row>
    <row r="410" spans="1:18" x14ac:dyDescent="0.25">
      <c r="A410">
        <f>ROW()</f>
        <v>410</v>
      </c>
      <c r="D410" t="s">
        <v>261</v>
      </c>
      <c r="F410" t="s">
        <v>491</v>
      </c>
      <c r="J410" t="str">
        <f>IF(A410&lt;WORKSHEET!$R$2,WORKSHEET!$C$2,IF(B410="Air Waybill Number",C410,J409))</f>
        <v>774271975344</v>
      </c>
      <c r="K410" t="str">
        <f t="shared" si="48"/>
        <v>870069727</v>
      </c>
      <c r="L410" t="str">
        <f t="shared" si="49"/>
        <v>13 Dec 2023</v>
      </c>
      <c r="M410" t="str">
        <f t="shared" si="50"/>
        <v/>
      </c>
      <c r="N410" t="str">
        <f t="shared" si="51"/>
        <v>11/29/2023</v>
      </c>
      <c r="O410" t="str">
        <f t="shared" si="52"/>
        <v/>
      </c>
      <c r="P410" t="str">
        <f t="shared" si="53"/>
        <v/>
      </c>
      <c r="Q410" t="str">
        <f t="shared" si="54"/>
        <v/>
      </c>
      <c r="R410" t="str">
        <f t="shared" si="55"/>
        <v/>
      </c>
    </row>
    <row r="411" spans="1:18" x14ac:dyDescent="0.25">
      <c r="A411">
        <f>ROW()</f>
        <v>411</v>
      </c>
      <c r="D411" t="s">
        <v>14</v>
      </c>
      <c r="G411" t="s">
        <v>492</v>
      </c>
      <c r="J411" t="str">
        <f>IF(A411&lt;WORKSHEET!$R$2,WORKSHEET!$C$2,IF(B411="Air Waybill Number",C411,J410))</f>
        <v>774271975344</v>
      </c>
      <c r="K411" t="str">
        <f t="shared" si="48"/>
        <v>870069727</v>
      </c>
      <c r="L411" t="str">
        <f t="shared" si="49"/>
        <v>13 Dec 2023</v>
      </c>
      <c r="M411" t="str">
        <f t="shared" si="50"/>
        <v/>
      </c>
      <c r="N411" t="str">
        <f t="shared" si="51"/>
        <v>11/29/2023</v>
      </c>
      <c r="O411" t="str">
        <f t="shared" si="52"/>
        <v/>
      </c>
      <c r="P411" t="str">
        <f t="shared" si="53"/>
        <v/>
      </c>
      <c r="Q411" t="str">
        <f t="shared" si="54"/>
        <v/>
      </c>
      <c r="R411" t="str">
        <f t="shared" si="55"/>
        <v/>
      </c>
    </row>
    <row r="412" spans="1:18" x14ac:dyDescent="0.25">
      <c r="A412">
        <f>ROW()</f>
        <v>412</v>
      </c>
      <c r="D412" t="s">
        <v>367</v>
      </c>
      <c r="J412" t="str">
        <f>IF(A412&lt;WORKSHEET!$R$2,WORKSHEET!$C$2,IF(B412="Air Waybill Number",C412,J411))</f>
        <v>774271975344</v>
      </c>
      <c r="K412" t="str">
        <f t="shared" si="48"/>
        <v>870069727</v>
      </c>
      <c r="L412" t="str">
        <f t="shared" si="49"/>
        <v>13 Dec 2023</v>
      </c>
      <c r="M412" t="str">
        <f t="shared" si="50"/>
        <v/>
      </c>
      <c r="N412" t="str">
        <f t="shared" si="51"/>
        <v>11/29/2023</v>
      </c>
      <c r="O412" t="str">
        <f t="shared" si="52"/>
        <v/>
      </c>
      <c r="P412" t="str">
        <f t="shared" si="53"/>
        <v/>
      </c>
      <c r="Q412" t="str">
        <f t="shared" si="54"/>
        <v/>
      </c>
      <c r="R412" t="str">
        <f t="shared" si="55"/>
        <v/>
      </c>
    </row>
    <row r="413" spans="1:18" x14ac:dyDescent="0.25">
      <c r="A413">
        <f>ROW()</f>
        <v>413</v>
      </c>
      <c r="B413" t="s">
        <v>226</v>
      </c>
      <c r="C413" t="s">
        <v>460</v>
      </c>
      <c r="D413" t="s">
        <v>290</v>
      </c>
      <c r="F413" t="s">
        <v>493</v>
      </c>
      <c r="J413" t="str">
        <f>IF(A413&lt;WORKSHEET!$R$2,WORKSHEET!$C$2,IF(B413="Air Waybill Number",C413,J412))</f>
        <v>774271975344</v>
      </c>
      <c r="K413" t="str">
        <f t="shared" si="48"/>
        <v>870069727</v>
      </c>
      <c r="L413" t="str">
        <f t="shared" si="49"/>
        <v>13 Dec 2023</v>
      </c>
      <c r="M413" t="str">
        <f t="shared" si="50"/>
        <v/>
      </c>
      <c r="N413" t="str">
        <f t="shared" si="51"/>
        <v>11/29/2023</v>
      </c>
      <c r="O413" t="str">
        <f t="shared" si="52"/>
        <v>MS. MERCY</v>
      </c>
      <c r="P413" t="str">
        <f t="shared" si="53"/>
        <v>GISTEX GARMEN INDONESIA</v>
      </c>
      <c r="Q413" t="str">
        <f t="shared" si="54"/>
        <v>ASANO/ YAMAZAKI</v>
      </c>
      <c r="R413" t="str">
        <f t="shared" si="55"/>
        <v>MIYAMORI CO., LTD</v>
      </c>
    </row>
    <row r="414" spans="1:18" x14ac:dyDescent="0.25">
      <c r="A414">
        <f>ROW()</f>
        <v>414</v>
      </c>
      <c r="B414" t="s">
        <v>232</v>
      </c>
      <c r="C414" t="s">
        <v>99</v>
      </c>
      <c r="D414" t="s">
        <v>43</v>
      </c>
      <c r="F414" t="s">
        <v>100</v>
      </c>
      <c r="J414" t="str">
        <f>IF(A414&lt;WORKSHEET!$R$2,WORKSHEET!$C$2,IF(B414="Air Waybill Number",C414,J413))</f>
        <v>774274161080</v>
      </c>
      <c r="K414" t="str">
        <f t="shared" si="48"/>
        <v>870069727</v>
      </c>
      <c r="L414" t="str">
        <f t="shared" si="49"/>
        <v>13 Dec 2023</v>
      </c>
      <c r="M414" t="str">
        <f t="shared" si="50"/>
        <v>774274161080-1</v>
      </c>
      <c r="N414" t="str">
        <f t="shared" si="51"/>
        <v>11/29/2023</v>
      </c>
      <c r="O414" t="str">
        <f t="shared" si="52"/>
        <v/>
      </c>
      <c r="P414" t="str">
        <f t="shared" si="53"/>
        <v/>
      </c>
      <c r="Q414" t="str">
        <f t="shared" si="54"/>
        <v/>
      </c>
      <c r="R414" t="str">
        <f t="shared" si="55"/>
        <v/>
      </c>
    </row>
    <row r="415" spans="1:18" x14ac:dyDescent="0.25">
      <c r="A415">
        <f>ROW()</f>
        <v>415</v>
      </c>
      <c r="B415" t="s">
        <v>233</v>
      </c>
      <c r="C415" t="s">
        <v>279</v>
      </c>
      <c r="D415" t="s">
        <v>41</v>
      </c>
      <c r="F415" t="s">
        <v>101</v>
      </c>
      <c r="J415" t="str">
        <f>IF(A415&lt;WORKSHEET!$R$2,WORKSHEET!$C$2,IF(B415="Air Waybill Number",C415,J414))</f>
        <v>774274161080</v>
      </c>
      <c r="K415" t="str">
        <f t="shared" si="48"/>
        <v>870069727</v>
      </c>
      <c r="L415" t="str">
        <f t="shared" si="49"/>
        <v>13 Dec 2023</v>
      </c>
      <c r="M415" t="str">
        <f t="shared" si="50"/>
        <v/>
      </c>
      <c r="N415" t="str">
        <f t="shared" si="51"/>
        <v>11/29/2023</v>
      </c>
      <c r="O415" t="str">
        <f t="shared" si="52"/>
        <v/>
      </c>
      <c r="P415" t="str">
        <f t="shared" si="53"/>
        <v/>
      </c>
      <c r="Q415" t="str">
        <f t="shared" si="54"/>
        <v/>
      </c>
      <c r="R415" t="str">
        <f t="shared" si="55"/>
        <v/>
      </c>
    </row>
    <row r="416" spans="1:18" x14ac:dyDescent="0.25">
      <c r="A416">
        <f>ROW()</f>
        <v>416</v>
      </c>
      <c r="B416" t="s">
        <v>237</v>
      </c>
      <c r="C416" t="s">
        <v>238</v>
      </c>
      <c r="D416" t="s">
        <v>293</v>
      </c>
      <c r="F416" t="s">
        <v>494</v>
      </c>
      <c r="J416" t="str">
        <f>IF(A416&lt;WORKSHEET!$R$2,WORKSHEET!$C$2,IF(B416="Air Waybill Number",C416,J415))</f>
        <v>774274161080</v>
      </c>
      <c r="K416" t="str">
        <f t="shared" si="48"/>
        <v>870069727</v>
      </c>
      <c r="L416" t="str">
        <f t="shared" si="49"/>
        <v>13 Dec 2023</v>
      </c>
      <c r="M416" t="str">
        <f t="shared" si="50"/>
        <v/>
      </c>
      <c r="N416" t="str">
        <f t="shared" si="51"/>
        <v>11/29/2023</v>
      </c>
      <c r="O416" t="str">
        <f t="shared" si="52"/>
        <v/>
      </c>
      <c r="P416" t="str">
        <f t="shared" si="53"/>
        <v/>
      </c>
      <c r="Q416" t="str">
        <f t="shared" si="54"/>
        <v/>
      </c>
      <c r="R416" t="str">
        <f t="shared" si="55"/>
        <v/>
      </c>
    </row>
    <row r="417" spans="1:18" x14ac:dyDescent="0.25">
      <c r="A417">
        <f>ROW()</f>
        <v>417</v>
      </c>
      <c r="B417" t="s">
        <v>241</v>
      </c>
      <c r="C417" t="s">
        <v>285</v>
      </c>
      <c r="D417" t="s">
        <v>296</v>
      </c>
      <c r="F417" t="s">
        <v>495</v>
      </c>
      <c r="J417" t="str">
        <f>IF(A417&lt;WORKSHEET!$R$2,WORKSHEET!$C$2,IF(B417="Air Waybill Number",C417,J416))</f>
        <v>774274161080</v>
      </c>
      <c r="K417" t="str">
        <f t="shared" si="48"/>
        <v>870069727</v>
      </c>
      <c r="L417" t="str">
        <f t="shared" si="49"/>
        <v>13 Dec 2023</v>
      </c>
      <c r="M417" t="str">
        <f t="shared" si="50"/>
        <v/>
      </c>
      <c r="N417" t="str">
        <f t="shared" si="51"/>
        <v>11/29/2023</v>
      </c>
      <c r="O417" t="str">
        <f t="shared" si="52"/>
        <v/>
      </c>
      <c r="P417" t="str">
        <f t="shared" si="53"/>
        <v/>
      </c>
      <c r="Q417" t="str">
        <f t="shared" si="54"/>
        <v/>
      </c>
      <c r="R417" t="str">
        <f t="shared" si="55"/>
        <v/>
      </c>
    </row>
    <row r="418" spans="1:18" x14ac:dyDescent="0.25">
      <c r="A418">
        <f>ROW()</f>
        <v>418</v>
      </c>
      <c r="B418" t="s">
        <v>286</v>
      </c>
      <c r="C418" t="s">
        <v>299</v>
      </c>
      <c r="D418" t="s">
        <v>300</v>
      </c>
      <c r="F418" t="s">
        <v>496</v>
      </c>
      <c r="J418" t="str">
        <f>IF(A418&lt;WORKSHEET!$R$2,WORKSHEET!$C$2,IF(B418="Air Waybill Number",C418,J417))</f>
        <v>774274161080</v>
      </c>
      <c r="K418" t="str">
        <f t="shared" si="48"/>
        <v>870069727</v>
      </c>
      <c r="L418" t="str">
        <f t="shared" si="49"/>
        <v>13 Dec 2023</v>
      </c>
      <c r="M418" t="str">
        <f t="shared" si="50"/>
        <v/>
      </c>
      <c r="N418" t="str">
        <f t="shared" si="51"/>
        <v>11/29/2023</v>
      </c>
      <c r="O418" t="str">
        <f t="shared" si="52"/>
        <v/>
      </c>
      <c r="P418" t="str">
        <f t="shared" si="53"/>
        <v/>
      </c>
      <c r="Q418" t="str">
        <f t="shared" si="54"/>
        <v/>
      </c>
      <c r="R418" t="str">
        <f t="shared" si="55"/>
        <v/>
      </c>
    </row>
    <row r="419" spans="1:18" x14ac:dyDescent="0.25">
      <c r="A419">
        <f>ROW()</f>
        <v>419</v>
      </c>
      <c r="B419" t="s">
        <v>249</v>
      </c>
      <c r="C419" t="s">
        <v>497</v>
      </c>
      <c r="D419" t="s">
        <v>248</v>
      </c>
      <c r="F419" t="s">
        <v>498</v>
      </c>
      <c r="J419" t="str">
        <f>IF(A419&lt;WORKSHEET!$R$2,WORKSHEET!$C$2,IF(B419="Air Waybill Number",C419,J418))</f>
        <v>774274161080</v>
      </c>
      <c r="K419" t="str">
        <f t="shared" si="48"/>
        <v>870069727</v>
      </c>
      <c r="L419" t="str">
        <f t="shared" si="49"/>
        <v>13 Dec 2023</v>
      </c>
      <c r="M419" t="str">
        <f t="shared" si="50"/>
        <v/>
      </c>
      <c r="N419" t="str">
        <f t="shared" si="51"/>
        <v>11/29/2023</v>
      </c>
      <c r="O419" t="str">
        <f t="shared" si="52"/>
        <v/>
      </c>
      <c r="P419" t="str">
        <f t="shared" si="53"/>
        <v/>
      </c>
      <c r="Q419" t="str">
        <f t="shared" si="54"/>
        <v/>
      </c>
      <c r="R419" t="str">
        <f t="shared" si="55"/>
        <v/>
      </c>
    </row>
    <row r="420" spans="1:18" x14ac:dyDescent="0.25">
      <c r="A420">
        <f>ROW()</f>
        <v>420</v>
      </c>
      <c r="C420" t="s">
        <v>499</v>
      </c>
      <c r="D420" t="s">
        <v>251</v>
      </c>
      <c r="E420" t="s">
        <v>252</v>
      </c>
      <c r="F420" t="s">
        <v>500</v>
      </c>
      <c r="J420" t="str">
        <f>IF(A420&lt;WORKSHEET!$R$2,WORKSHEET!$C$2,IF(B420="Air Waybill Number",C420,J419))</f>
        <v>774274161080</v>
      </c>
      <c r="K420" t="str">
        <f t="shared" si="48"/>
        <v>870069727</v>
      </c>
      <c r="L420" t="str">
        <f t="shared" si="49"/>
        <v>13 Dec 2023</v>
      </c>
      <c r="M420" t="str">
        <f t="shared" si="50"/>
        <v/>
      </c>
      <c r="N420" t="str">
        <f t="shared" si="51"/>
        <v>11/29/2023</v>
      </c>
      <c r="O420" t="str">
        <f t="shared" si="52"/>
        <v/>
      </c>
      <c r="P420" t="str">
        <f t="shared" si="53"/>
        <v/>
      </c>
      <c r="Q420" t="str">
        <f t="shared" si="54"/>
        <v/>
      </c>
      <c r="R420" t="str">
        <f t="shared" si="55"/>
        <v/>
      </c>
    </row>
    <row r="421" spans="1:18" x14ac:dyDescent="0.25">
      <c r="A421">
        <f>ROW()</f>
        <v>421</v>
      </c>
      <c r="D421" t="s">
        <v>254</v>
      </c>
      <c r="F421" t="s">
        <v>501</v>
      </c>
      <c r="J421" t="str">
        <f>IF(A421&lt;WORKSHEET!$R$2,WORKSHEET!$C$2,IF(B421="Air Waybill Number",C421,J420))</f>
        <v>774274161080</v>
      </c>
      <c r="K421" t="str">
        <f t="shared" si="48"/>
        <v>870069727</v>
      </c>
      <c r="L421" t="str">
        <f t="shared" si="49"/>
        <v>13 Dec 2023</v>
      </c>
      <c r="M421" t="str">
        <f t="shared" si="50"/>
        <v/>
      </c>
      <c r="N421" t="str">
        <f t="shared" si="51"/>
        <v>11/29/2023</v>
      </c>
      <c r="O421" t="str">
        <f t="shared" si="52"/>
        <v/>
      </c>
      <c r="P421" t="str">
        <f t="shared" si="53"/>
        <v/>
      </c>
      <c r="Q421" t="str">
        <f t="shared" si="54"/>
        <v/>
      </c>
      <c r="R421" t="str">
        <f t="shared" si="55"/>
        <v/>
      </c>
    </row>
    <row r="422" spans="1:18" x14ac:dyDescent="0.25">
      <c r="A422">
        <f>ROW()</f>
        <v>422</v>
      </c>
      <c r="D422" t="s">
        <v>254</v>
      </c>
      <c r="E422" t="s">
        <v>12</v>
      </c>
      <c r="G422" t="s">
        <v>502</v>
      </c>
      <c r="J422" t="str">
        <f>IF(A422&lt;WORKSHEET!$R$2,WORKSHEET!$C$2,IF(B422="Air Waybill Number",C422,J421))</f>
        <v>774274161080</v>
      </c>
      <c r="K422" t="str">
        <f t="shared" si="48"/>
        <v>870069727</v>
      </c>
      <c r="L422" t="str">
        <f t="shared" si="49"/>
        <v>13 Dec 2023</v>
      </c>
      <c r="M422" t="str">
        <f t="shared" si="50"/>
        <v/>
      </c>
      <c r="N422" t="str">
        <f t="shared" si="51"/>
        <v>11/29/2023</v>
      </c>
      <c r="O422" t="str">
        <f t="shared" si="52"/>
        <v/>
      </c>
      <c r="P422" t="str">
        <f t="shared" si="53"/>
        <v/>
      </c>
      <c r="Q422" t="str">
        <f t="shared" si="54"/>
        <v/>
      </c>
      <c r="R422" t="str">
        <f t="shared" si="55"/>
        <v/>
      </c>
    </row>
    <row r="423" spans="1:18" x14ac:dyDescent="0.25">
      <c r="A423">
        <f>ROW()</f>
        <v>423</v>
      </c>
      <c r="D423" t="s">
        <v>254</v>
      </c>
      <c r="F423" t="s">
        <v>260</v>
      </c>
      <c r="G423" t="s">
        <v>503</v>
      </c>
      <c r="J423" t="str">
        <f>IF(A423&lt;WORKSHEET!$R$2,WORKSHEET!$C$2,IF(B423="Air Waybill Number",C423,J422))</f>
        <v>774274161080</v>
      </c>
      <c r="K423" t="str">
        <f t="shared" si="48"/>
        <v>870069727</v>
      </c>
      <c r="L423" t="str">
        <f t="shared" si="49"/>
        <v>13 Dec 2023</v>
      </c>
      <c r="M423" t="str">
        <f t="shared" si="50"/>
        <v/>
      </c>
      <c r="N423" t="str">
        <f t="shared" si="51"/>
        <v>11/29/2023</v>
      </c>
      <c r="O423" t="str">
        <f t="shared" si="52"/>
        <v/>
      </c>
      <c r="P423" t="str">
        <f t="shared" si="53"/>
        <v/>
      </c>
      <c r="Q423" t="str">
        <f t="shared" si="54"/>
        <v/>
      </c>
      <c r="R423" t="str">
        <f t="shared" si="55"/>
        <v/>
      </c>
    </row>
    <row r="424" spans="1:18" x14ac:dyDescent="0.25">
      <c r="A424">
        <f>ROW()</f>
        <v>424</v>
      </c>
      <c r="D424" t="s">
        <v>261</v>
      </c>
      <c r="G424" t="s">
        <v>504</v>
      </c>
      <c r="J424" t="str">
        <f>IF(A424&lt;WORKSHEET!$R$2,WORKSHEET!$C$2,IF(B424="Air Waybill Number",C424,J423))</f>
        <v>774274161080</v>
      </c>
      <c r="K424" t="str">
        <f t="shared" si="48"/>
        <v>870069727</v>
      </c>
      <c r="L424" t="str">
        <f t="shared" si="49"/>
        <v>13 Dec 2023</v>
      </c>
      <c r="M424" t="str">
        <f t="shared" si="50"/>
        <v/>
      </c>
      <c r="N424" t="str">
        <f t="shared" si="51"/>
        <v>11/29/2023</v>
      </c>
      <c r="O424" t="str">
        <f t="shared" si="52"/>
        <v/>
      </c>
      <c r="P424" t="str">
        <f t="shared" si="53"/>
        <v/>
      </c>
      <c r="Q424" t="str">
        <f t="shared" si="54"/>
        <v/>
      </c>
      <c r="R424" t="str">
        <f t="shared" si="55"/>
        <v/>
      </c>
    </row>
    <row r="425" spans="1:18" x14ac:dyDescent="0.25">
      <c r="A425">
        <f>ROW()</f>
        <v>425</v>
      </c>
      <c r="D425" t="s">
        <v>14</v>
      </c>
      <c r="G425" t="s">
        <v>505</v>
      </c>
      <c r="J425" t="str">
        <f>IF(A425&lt;WORKSHEET!$R$2,WORKSHEET!$C$2,IF(B425="Air Waybill Number",C425,J424))</f>
        <v>774274161080</v>
      </c>
      <c r="K425" t="str">
        <f t="shared" si="48"/>
        <v>870069727</v>
      </c>
      <c r="L425" t="str">
        <f t="shared" si="49"/>
        <v>13 Dec 2023</v>
      </c>
      <c r="M425" t="str">
        <f t="shared" si="50"/>
        <v/>
      </c>
      <c r="N425" t="str">
        <f t="shared" si="51"/>
        <v>11/29/2023</v>
      </c>
      <c r="O425" t="str">
        <f t="shared" si="52"/>
        <v/>
      </c>
      <c r="P425" t="str">
        <f t="shared" si="53"/>
        <v/>
      </c>
      <c r="Q425" t="str">
        <f t="shared" si="54"/>
        <v/>
      </c>
      <c r="R425" t="str">
        <f t="shared" si="55"/>
        <v/>
      </c>
    </row>
    <row r="426" spans="1:18" x14ac:dyDescent="0.25">
      <c r="A426">
        <f>ROW()</f>
        <v>426</v>
      </c>
      <c r="D426" t="s">
        <v>367</v>
      </c>
      <c r="J426" t="str">
        <f>IF(A426&lt;WORKSHEET!$R$2,WORKSHEET!$C$2,IF(B426="Air Waybill Number",C426,J425))</f>
        <v>774274161080</v>
      </c>
      <c r="K426" t="str">
        <f t="shared" si="48"/>
        <v>870069727</v>
      </c>
      <c r="L426" t="str">
        <f t="shared" si="49"/>
        <v>13 Dec 2023</v>
      </c>
      <c r="M426" t="str">
        <f t="shared" si="50"/>
        <v/>
      </c>
      <c r="N426" t="str">
        <f t="shared" si="51"/>
        <v>11/29/2023</v>
      </c>
      <c r="O426" t="str">
        <f t="shared" si="52"/>
        <v/>
      </c>
      <c r="P426" t="str">
        <f t="shared" si="53"/>
        <v/>
      </c>
      <c r="Q426" t="str">
        <f t="shared" si="54"/>
        <v/>
      </c>
      <c r="R426" t="str">
        <f t="shared" si="55"/>
        <v/>
      </c>
    </row>
    <row r="427" spans="1:18" x14ac:dyDescent="0.25">
      <c r="A427">
        <f>ROW()</f>
        <v>427</v>
      </c>
      <c r="B427" t="s">
        <v>226</v>
      </c>
      <c r="C427" t="s">
        <v>460</v>
      </c>
      <c r="D427" t="s">
        <v>290</v>
      </c>
      <c r="F427" t="s">
        <v>291</v>
      </c>
      <c r="J427" t="str">
        <f>IF(A427&lt;WORKSHEET!$R$2,WORKSHEET!$C$2,IF(B427="Air Waybill Number",C427,J426))</f>
        <v>774274161080</v>
      </c>
      <c r="K427" t="str">
        <f t="shared" si="48"/>
        <v>870069727</v>
      </c>
      <c r="L427" t="str">
        <f t="shared" si="49"/>
        <v>13 Dec 2023</v>
      </c>
      <c r="M427" t="str">
        <f t="shared" si="50"/>
        <v/>
      </c>
      <c r="N427" t="str">
        <f t="shared" si="51"/>
        <v>11/29/2023</v>
      </c>
      <c r="O427" t="str">
        <f t="shared" si="52"/>
        <v>EKA / BAYU</v>
      </c>
      <c r="P427" t="str">
        <f t="shared" si="53"/>
        <v>GISTEX GARMEN INDONESIA</v>
      </c>
      <c r="Q427" t="str">
        <f t="shared" si="54"/>
        <v>OGURA KENJI / HASHIMOTO KIMIE</v>
      </c>
      <c r="R427" t="str">
        <f t="shared" si="55"/>
        <v>MARUBENI FASHION LINK, LTD</v>
      </c>
    </row>
    <row r="428" spans="1:18" x14ac:dyDescent="0.25">
      <c r="A428">
        <f>ROW()</f>
        <v>428</v>
      </c>
      <c r="B428" t="s">
        <v>232</v>
      </c>
      <c r="C428" t="s">
        <v>102</v>
      </c>
      <c r="D428" t="s">
        <v>36</v>
      </c>
      <c r="F428" t="s">
        <v>37</v>
      </c>
      <c r="J428" t="str">
        <f>IF(A428&lt;WORKSHEET!$R$2,WORKSHEET!$C$2,IF(B428="Air Waybill Number",C428,J427))</f>
        <v>774271459653</v>
      </c>
      <c r="K428" t="str">
        <f t="shared" si="48"/>
        <v>870069727</v>
      </c>
      <c r="L428" t="str">
        <f t="shared" si="49"/>
        <v>13 Dec 2023</v>
      </c>
      <c r="M428" t="str">
        <f t="shared" si="50"/>
        <v>774271459653-1</v>
      </c>
      <c r="N428" t="str">
        <f t="shared" si="51"/>
        <v>11/29/2023</v>
      </c>
      <c r="O428" t="str">
        <f t="shared" si="52"/>
        <v/>
      </c>
      <c r="P428" t="str">
        <f t="shared" si="53"/>
        <v/>
      </c>
      <c r="Q428" t="str">
        <f t="shared" si="54"/>
        <v/>
      </c>
      <c r="R428" t="str">
        <f t="shared" si="55"/>
        <v/>
      </c>
    </row>
    <row r="429" spans="1:18" x14ac:dyDescent="0.25">
      <c r="A429">
        <f>ROW()</f>
        <v>429</v>
      </c>
      <c r="B429" t="s">
        <v>233</v>
      </c>
      <c r="C429" t="s">
        <v>506</v>
      </c>
      <c r="D429" t="s">
        <v>41</v>
      </c>
      <c r="F429" t="s">
        <v>39</v>
      </c>
      <c r="J429" t="str">
        <f>IF(A429&lt;WORKSHEET!$R$2,WORKSHEET!$C$2,IF(B429="Air Waybill Number",C429,J428))</f>
        <v>774271459653</v>
      </c>
      <c r="K429" t="str">
        <f t="shared" si="48"/>
        <v>870069727</v>
      </c>
      <c r="L429" t="str">
        <f t="shared" si="49"/>
        <v>13 Dec 2023</v>
      </c>
      <c r="M429" t="str">
        <f t="shared" si="50"/>
        <v/>
      </c>
      <c r="N429" t="str">
        <f t="shared" si="51"/>
        <v>11/29/2023</v>
      </c>
      <c r="O429" t="str">
        <f t="shared" si="52"/>
        <v/>
      </c>
      <c r="P429" t="str">
        <f t="shared" si="53"/>
        <v/>
      </c>
      <c r="Q429" t="str">
        <f t="shared" si="54"/>
        <v/>
      </c>
      <c r="R429" t="str">
        <f t="shared" si="55"/>
        <v/>
      </c>
    </row>
    <row r="430" spans="1:18" x14ac:dyDescent="0.25">
      <c r="A430">
        <f>ROW()</f>
        <v>430</v>
      </c>
      <c r="B430" t="s">
        <v>237</v>
      </c>
      <c r="C430" t="s">
        <v>238</v>
      </c>
      <c r="D430" t="s">
        <v>293</v>
      </c>
      <c r="F430" t="s">
        <v>294</v>
      </c>
      <c r="J430" t="str">
        <f>IF(A430&lt;WORKSHEET!$R$2,WORKSHEET!$C$2,IF(B430="Air Waybill Number",C430,J429))</f>
        <v>774271459653</v>
      </c>
      <c r="K430" t="str">
        <f t="shared" si="48"/>
        <v>870069727</v>
      </c>
      <c r="L430" t="str">
        <f t="shared" si="49"/>
        <v>13 Dec 2023</v>
      </c>
      <c r="M430" t="str">
        <f t="shared" si="50"/>
        <v/>
      </c>
      <c r="N430" t="str">
        <f t="shared" si="51"/>
        <v>11/29/2023</v>
      </c>
      <c r="O430" t="str">
        <f t="shared" si="52"/>
        <v/>
      </c>
      <c r="P430" t="str">
        <f t="shared" si="53"/>
        <v/>
      </c>
      <c r="Q430" t="str">
        <f t="shared" si="54"/>
        <v/>
      </c>
      <c r="R430" t="str">
        <f t="shared" si="55"/>
        <v/>
      </c>
    </row>
    <row r="431" spans="1:18" x14ac:dyDescent="0.25">
      <c r="A431">
        <f>ROW()</f>
        <v>431</v>
      </c>
      <c r="B431" t="s">
        <v>241</v>
      </c>
      <c r="C431" t="s">
        <v>507</v>
      </c>
      <c r="D431" t="s">
        <v>296</v>
      </c>
      <c r="F431" t="s">
        <v>297</v>
      </c>
      <c r="G431" t="s">
        <v>298</v>
      </c>
      <c r="J431" t="str">
        <f>IF(A431&lt;WORKSHEET!$R$2,WORKSHEET!$C$2,IF(B431="Air Waybill Number",C431,J430))</f>
        <v>774271459653</v>
      </c>
      <c r="K431" t="str">
        <f t="shared" si="48"/>
        <v>870069727</v>
      </c>
      <c r="L431" t="str">
        <f t="shared" si="49"/>
        <v>13 Dec 2023</v>
      </c>
      <c r="M431" t="str">
        <f t="shared" si="50"/>
        <v/>
      </c>
      <c r="N431" t="str">
        <f t="shared" si="51"/>
        <v>11/29/2023</v>
      </c>
      <c r="O431" t="str">
        <f t="shared" si="52"/>
        <v/>
      </c>
      <c r="P431" t="str">
        <f t="shared" si="53"/>
        <v/>
      </c>
      <c r="Q431" t="str">
        <f t="shared" si="54"/>
        <v/>
      </c>
      <c r="R431" t="str">
        <f t="shared" si="55"/>
        <v/>
      </c>
    </row>
    <row r="432" spans="1:18" x14ac:dyDescent="0.25">
      <c r="A432">
        <f>ROW()</f>
        <v>432</v>
      </c>
      <c r="B432" t="s">
        <v>245</v>
      </c>
      <c r="C432" t="s">
        <v>299</v>
      </c>
      <c r="D432" t="s">
        <v>300</v>
      </c>
      <c r="J432" t="str">
        <f>IF(A432&lt;WORKSHEET!$R$2,WORKSHEET!$C$2,IF(B432="Air Waybill Number",C432,J431))</f>
        <v>774271459653</v>
      </c>
      <c r="K432" t="str">
        <f t="shared" si="48"/>
        <v>870069727</v>
      </c>
      <c r="L432" t="str">
        <f t="shared" si="49"/>
        <v>13 Dec 2023</v>
      </c>
      <c r="M432" t="str">
        <f t="shared" si="50"/>
        <v/>
      </c>
      <c r="N432" t="str">
        <f t="shared" si="51"/>
        <v>11/29/2023</v>
      </c>
      <c r="O432" t="str">
        <f t="shared" si="52"/>
        <v/>
      </c>
      <c r="P432" t="str">
        <f t="shared" si="53"/>
        <v/>
      </c>
      <c r="Q432" t="str">
        <f t="shared" si="54"/>
        <v/>
      </c>
      <c r="R432" t="str">
        <f t="shared" si="55"/>
        <v/>
      </c>
    </row>
    <row r="433" spans="1:18" x14ac:dyDescent="0.25">
      <c r="A433">
        <f>ROW()</f>
        <v>433</v>
      </c>
      <c r="B433" t="s">
        <v>419</v>
      </c>
      <c r="C433" t="s">
        <v>508</v>
      </c>
      <c r="D433" t="s">
        <v>248</v>
      </c>
      <c r="G433" t="s">
        <v>509</v>
      </c>
      <c r="J433" t="str">
        <f>IF(A433&lt;WORKSHEET!$R$2,WORKSHEET!$C$2,IF(B433="Air Waybill Number",C433,J432))</f>
        <v>774271459653</v>
      </c>
      <c r="K433" t="str">
        <f t="shared" si="48"/>
        <v>870069727</v>
      </c>
      <c r="L433" t="str">
        <f t="shared" si="49"/>
        <v>13 Dec 2023</v>
      </c>
      <c r="M433" t="str">
        <f t="shared" si="50"/>
        <v/>
      </c>
      <c r="N433" t="str">
        <f t="shared" si="51"/>
        <v>11/29/2023</v>
      </c>
      <c r="O433" t="str">
        <f t="shared" si="52"/>
        <v/>
      </c>
      <c r="P433" t="str">
        <f t="shared" si="53"/>
        <v/>
      </c>
      <c r="Q433" t="str">
        <f t="shared" si="54"/>
        <v/>
      </c>
      <c r="R433" t="str">
        <f t="shared" si="55"/>
        <v/>
      </c>
    </row>
    <row r="434" spans="1:18" x14ac:dyDescent="0.25">
      <c r="A434">
        <f>ROW()</f>
        <v>434</v>
      </c>
      <c r="D434" t="s">
        <v>251</v>
      </c>
      <c r="E434" t="s">
        <v>252</v>
      </c>
      <c r="G434" t="s">
        <v>510</v>
      </c>
      <c r="J434" t="str">
        <f>IF(A434&lt;WORKSHEET!$R$2,WORKSHEET!$C$2,IF(B434="Air Waybill Number",C434,J433))</f>
        <v>774271459653</v>
      </c>
      <c r="K434" t="str">
        <f t="shared" si="48"/>
        <v>870069727</v>
      </c>
      <c r="L434" t="str">
        <f t="shared" si="49"/>
        <v>13 Dec 2023</v>
      </c>
      <c r="M434" t="str">
        <f t="shared" si="50"/>
        <v/>
      </c>
      <c r="N434" t="str">
        <f t="shared" si="51"/>
        <v>11/29/2023</v>
      </c>
      <c r="O434" t="str">
        <f t="shared" si="52"/>
        <v/>
      </c>
      <c r="P434" t="str">
        <f t="shared" si="53"/>
        <v/>
      </c>
      <c r="Q434" t="str">
        <f t="shared" si="54"/>
        <v/>
      </c>
      <c r="R434" t="str">
        <f t="shared" si="55"/>
        <v/>
      </c>
    </row>
    <row r="435" spans="1:18" x14ac:dyDescent="0.25">
      <c r="A435">
        <f>ROW()</f>
        <v>435</v>
      </c>
      <c r="B435" t="s">
        <v>256</v>
      </c>
      <c r="C435" t="s">
        <v>511</v>
      </c>
      <c r="D435" t="s">
        <v>254</v>
      </c>
      <c r="E435" t="s">
        <v>12</v>
      </c>
      <c r="G435" t="s">
        <v>512</v>
      </c>
      <c r="J435" t="str">
        <f>IF(A435&lt;WORKSHEET!$R$2,WORKSHEET!$C$2,IF(B435="Air Waybill Number",C435,J434))</f>
        <v>774271459653</v>
      </c>
      <c r="K435" t="str">
        <f t="shared" si="48"/>
        <v>870069727</v>
      </c>
      <c r="L435" t="str">
        <f t="shared" si="49"/>
        <v>13 Dec 2023</v>
      </c>
      <c r="M435" t="str">
        <f t="shared" si="50"/>
        <v/>
      </c>
      <c r="N435" t="str">
        <f t="shared" si="51"/>
        <v>11/29/2023</v>
      </c>
      <c r="O435" t="str">
        <f t="shared" si="52"/>
        <v/>
      </c>
      <c r="P435" t="str">
        <f t="shared" si="53"/>
        <v/>
      </c>
      <c r="Q435" t="str">
        <f t="shared" si="54"/>
        <v/>
      </c>
      <c r="R435" t="str">
        <f t="shared" si="55"/>
        <v/>
      </c>
    </row>
    <row r="436" spans="1:18" x14ac:dyDescent="0.25">
      <c r="A436">
        <f>ROW()</f>
        <v>436</v>
      </c>
      <c r="D436" t="s">
        <v>254</v>
      </c>
      <c r="F436" t="s">
        <v>260</v>
      </c>
      <c r="G436" t="s">
        <v>513</v>
      </c>
      <c r="J436" t="str">
        <f>IF(A436&lt;WORKSHEET!$R$2,WORKSHEET!$C$2,IF(B436="Air Waybill Number",C436,J435))</f>
        <v>774271459653</v>
      </c>
      <c r="K436" t="str">
        <f t="shared" si="48"/>
        <v>870069727</v>
      </c>
      <c r="L436" t="str">
        <f t="shared" si="49"/>
        <v>13 Dec 2023</v>
      </c>
      <c r="M436" t="str">
        <f t="shared" si="50"/>
        <v/>
      </c>
      <c r="N436" t="str">
        <f t="shared" si="51"/>
        <v>11/29/2023</v>
      </c>
      <c r="O436" t="str">
        <f t="shared" si="52"/>
        <v/>
      </c>
      <c r="P436" t="str">
        <f t="shared" si="53"/>
        <v/>
      </c>
      <c r="Q436" t="str">
        <f t="shared" si="54"/>
        <v/>
      </c>
      <c r="R436" t="str">
        <f t="shared" si="55"/>
        <v/>
      </c>
    </row>
    <row r="437" spans="1:18" x14ac:dyDescent="0.25">
      <c r="A437">
        <f>ROW()</f>
        <v>437</v>
      </c>
      <c r="D437" t="s">
        <v>261</v>
      </c>
      <c r="G437" t="s">
        <v>514</v>
      </c>
      <c r="J437" t="str">
        <f>IF(A437&lt;WORKSHEET!$R$2,WORKSHEET!$C$2,IF(B437="Air Waybill Number",C437,J436))</f>
        <v>774271459653</v>
      </c>
      <c r="K437" t="str">
        <f t="shared" si="48"/>
        <v>870069727</v>
      </c>
      <c r="L437" t="str">
        <f t="shared" si="49"/>
        <v>13 Dec 2023</v>
      </c>
      <c r="M437" t="str">
        <f t="shared" si="50"/>
        <v/>
      </c>
      <c r="N437" t="str">
        <f t="shared" si="51"/>
        <v>11/29/2023</v>
      </c>
      <c r="O437" t="str">
        <f t="shared" si="52"/>
        <v/>
      </c>
      <c r="P437" t="str">
        <f t="shared" si="53"/>
        <v/>
      </c>
      <c r="Q437" t="str">
        <f t="shared" si="54"/>
        <v/>
      </c>
      <c r="R437" t="str">
        <f t="shared" si="55"/>
        <v/>
      </c>
    </row>
    <row r="438" spans="1:18" x14ac:dyDescent="0.25">
      <c r="A438">
        <f>ROW()</f>
        <v>438</v>
      </c>
      <c r="D438" t="s">
        <v>14</v>
      </c>
      <c r="G438" t="s">
        <v>515</v>
      </c>
      <c r="J438" t="str">
        <f>IF(A438&lt;WORKSHEET!$R$2,WORKSHEET!$C$2,IF(B438="Air Waybill Number",C438,J437))</f>
        <v>774271459653</v>
      </c>
      <c r="K438" t="str">
        <f t="shared" si="48"/>
        <v>870069727</v>
      </c>
      <c r="L438" t="str">
        <f t="shared" si="49"/>
        <v>13 Dec 2023</v>
      </c>
      <c r="M438" t="str">
        <f t="shared" si="50"/>
        <v/>
      </c>
      <c r="N438" t="str">
        <f t="shared" si="51"/>
        <v>11/29/2023</v>
      </c>
      <c r="O438" t="str">
        <f t="shared" si="52"/>
        <v/>
      </c>
      <c r="P438" t="str">
        <f t="shared" si="53"/>
        <v/>
      </c>
      <c r="Q438" t="str">
        <f t="shared" si="54"/>
        <v/>
      </c>
      <c r="R438" t="str">
        <f t="shared" si="55"/>
        <v/>
      </c>
    </row>
    <row r="439" spans="1:18" x14ac:dyDescent="0.25">
      <c r="A439">
        <f>ROW()</f>
        <v>439</v>
      </c>
      <c r="B439" t="s">
        <v>226</v>
      </c>
      <c r="C439" t="s">
        <v>516</v>
      </c>
      <c r="D439" t="s">
        <v>290</v>
      </c>
      <c r="E439" t="s">
        <v>291</v>
      </c>
      <c r="J439" t="str">
        <f>IF(A439&lt;WORKSHEET!$R$2,WORKSHEET!$C$2,IF(B439="Air Waybill Number",C439,J438))</f>
        <v>774271459653</v>
      </c>
      <c r="K439" t="str">
        <f t="shared" si="48"/>
        <v>870069727</v>
      </c>
      <c r="L439" t="str">
        <f t="shared" si="49"/>
        <v>13 Dec 2023</v>
      </c>
      <c r="M439" t="str">
        <f t="shared" si="50"/>
        <v/>
      </c>
      <c r="N439" t="str">
        <f t="shared" si="51"/>
        <v>11/30/2023</v>
      </c>
      <c r="O439" t="str">
        <f t="shared" si="52"/>
        <v>EKA / BAYU</v>
      </c>
      <c r="P439" t="str">
        <f t="shared" si="53"/>
        <v>GISTEX GARMEN INDONESIA</v>
      </c>
      <c r="Q439" t="str">
        <f t="shared" si="54"/>
        <v>OGURA KENJI / HASHIMOTO KIMIE</v>
      </c>
      <c r="R439" t="str">
        <f t="shared" si="55"/>
        <v>MARUBENI FASHION LINK, LTD</v>
      </c>
    </row>
    <row r="440" spans="1:18" x14ac:dyDescent="0.25">
      <c r="A440">
        <f>ROW()</f>
        <v>440</v>
      </c>
      <c r="B440" t="s">
        <v>232</v>
      </c>
      <c r="C440" t="s">
        <v>103</v>
      </c>
      <c r="D440" t="s">
        <v>36</v>
      </c>
      <c r="E440" t="s">
        <v>37</v>
      </c>
      <c r="J440" t="str">
        <f>IF(A440&lt;WORKSHEET!$R$2,WORKSHEET!$C$2,IF(B440="Air Waybill Number",C440,J439))</f>
        <v>774291589065</v>
      </c>
      <c r="K440" t="str">
        <f t="shared" si="48"/>
        <v>870069727</v>
      </c>
      <c r="L440" t="str">
        <f t="shared" si="49"/>
        <v>13 Dec 2023</v>
      </c>
      <c r="M440" t="str">
        <f t="shared" si="50"/>
        <v>774291589065-1</v>
      </c>
      <c r="N440" t="str">
        <f t="shared" si="51"/>
        <v>11/30/2023</v>
      </c>
      <c r="O440" t="str">
        <f t="shared" si="52"/>
        <v/>
      </c>
      <c r="P440" t="str">
        <f t="shared" si="53"/>
        <v/>
      </c>
      <c r="Q440" t="str">
        <f t="shared" si="54"/>
        <v/>
      </c>
      <c r="R440" t="str">
        <f t="shared" si="55"/>
        <v/>
      </c>
    </row>
    <row r="441" spans="1:18" x14ac:dyDescent="0.25">
      <c r="A441">
        <f>ROW()</f>
        <v>441</v>
      </c>
      <c r="B441" t="s">
        <v>233</v>
      </c>
      <c r="C441" t="s">
        <v>292</v>
      </c>
      <c r="D441" t="s">
        <v>41</v>
      </c>
      <c r="E441" t="s">
        <v>39</v>
      </c>
      <c r="J441" t="str">
        <f>IF(A441&lt;WORKSHEET!$R$2,WORKSHEET!$C$2,IF(B441="Air Waybill Number",C441,J440))</f>
        <v>774291589065</v>
      </c>
      <c r="K441" t="str">
        <f t="shared" si="48"/>
        <v>870069727</v>
      </c>
      <c r="L441" t="str">
        <f t="shared" si="49"/>
        <v>13 Dec 2023</v>
      </c>
      <c r="M441" t="str">
        <f t="shared" si="50"/>
        <v/>
      </c>
      <c r="N441" t="str">
        <f t="shared" si="51"/>
        <v>11/30/2023</v>
      </c>
      <c r="O441" t="str">
        <f t="shared" si="52"/>
        <v/>
      </c>
      <c r="P441" t="str">
        <f t="shared" si="53"/>
        <v/>
      </c>
      <c r="Q441" t="str">
        <f t="shared" si="54"/>
        <v/>
      </c>
      <c r="R441" t="str">
        <f t="shared" si="55"/>
        <v/>
      </c>
    </row>
    <row r="442" spans="1:18" x14ac:dyDescent="0.25">
      <c r="A442">
        <f>ROW()</f>
        <v>442</v>
      </c>
      <c r="B442" t="s">
        <v>237</v>
      </c>
      <c r="C442" t="s">
        <v>238</v>
      </c>
      <c r="D442" t="s">
        <v>293</v>
      </c>
      <c r="E442" t="s">
        <v>294</v>
      </c>
      <c r="J442" t="str">
        <f>IF(A442&lt;WORKSHEET!$R$2,WORKSHEET!$C$2,IF(B442="Air Waybill Number",C442,J441))</f>
        <v>774291589065</v>
      </c>
      <c r="K442" t="str">
        <f t="shared" si="48"/>
        <v>870069727</v>
      </c>
      <c r="L442" t="str">
        <f t="shared" si="49"/>
        <v>13 Dec 2023</v>
      </c>
      <c r="M442" t="str">
        <f t="shared" si="50"/>
        <v/>
      </c>
      <c r="N442" t="str">
        <f t="shared" si="51"/>
        <v>11/30/2023</v>
      </c>
      <c r="O442" t="str">
        <f t="shared" si="52"/>
        <v/>
      </c>
      <c r="P442" t="str">
        <f t="shared" si="53"/>
        <v/>
      </c>
      <c r="Q442" t="str">
        <f t="shared" si="54"/>
        <v/>
      </c>
      <c r="R442" t="str">
        <f t="shared" si="55"/>
        <v/>
      </c>
    </row>
    <row r="443" spans="1:18" x14ac:dyDescent="0.25">
      <c r="A443">
        <f>ROW()</f>
        <v>443</v>
      </c>
      <c r="B443" t="s">
        <v>241</v>
      </c>
      <c r="C443" t="s">
        <v>295</v>
      </c>
      <c r="D443" t="s">
        <v>296</v>
      </c>
      <c r="E443" t="s">
        <v>297</v>
      </c>
      <c r="F443" t="s">
        <v>298</v>
      </c>
      <c r="J443" t="str">
        <f>IF(A443&lt;WORKSHEET!$R$2,WORKSHEET!$C$2,IF(B443="Air Waybill Number",C443,J442))</f>
        <v>774291589065</v>
      </c>
      <c r="K443" t="str">
        <f t="shared" si="48"/>
        <v>870069727</v>
      </c>
      <c r="L443" t="str">
        <f t="shared" si="49"/>
        <v>13 Dec 2023</v>
      </c>
      <c r="M443" t="str">
        <f t="shared" si="50"/>
        <v/>
      </c>
      <c r="N443" t="str">
        <f t="shared" si="51"/>
        <v>11/30/2023</v>
      </c>
      <c r="O443" t="str">
        <f t="shared" si="52"/>
        <v/>
      </c>
      <c r="P443" t="str">
        <f t="shared" si="53"/>
        <v/>
      </c>
      <c r="Q443" t="str">
        <f t="shared" si="54"/>
        <v/>
      </c>
      <c r="R443" t="str">
        <f t="shared" si="55"/>
        <v/>
      </c>
    </row>
    <row r="444" spans="1:18" x14ac:dyDescent="0.25">
      <c r="A444">
        <f>ROW()</f>
        <v>444</v>
      </c>
      <c r="B444" t="s">
        <v>245</v>
      </c>
      <c r="C444" t="s">
        <v>299</v>
      </c>
      <c r="D444" t="s">
        <v>300</v>
      </c>
      <c r="J444" t="str">
        <f>IF(A444&lt;WORKSHEET!$R$2,WORKSHEET!$C$2,IF(B444="Air Waybill Number",C444,J443))</f>
        <v>774291589065</v>
      </c>
      <c r="K444" t="str">
        <f t="shared" si="48"/>
        <v>870069727</v>
      </c>
      <c r="L444" t="str">
        <f t="shared" si="49"/>
        <v>13 Dec 2023</v>
      </c>
      <c r="M444" t="str">
        <f t="shared" si="50"/>
        <v/>
      </c>
      <c r="N444" t="str">
        <f t="shared" si="51"/>
        <v>11/30/2023</v>
      </c>
      <c r="O444" t="str">
        <f t="shared" si="52"/>
        <v/>
      </c>
      <c r="P444" t="str">
        <f t="shared" si="53"/>
        <v/>
      </c>
      <c r="Q444" t="str">
        <f t="shared" si="54"/>
        <v/>
      </c>
      <c r="R444" t="str">
        <f t="shared" si="55"/>
        <v/>
      </c>
    </row>
    <row r="445" spans="1:18" x14ac:dyDescent="0.25">
      <c r="A445">
        <f>ROW()</f>
        <v>445</v>
      </c>
      <c r="B445" t="s">
        <v>419</v>
      </c>
      <c r="C445" t="s">
        <v>517</v>
      </c>
      <c r="D445" t="s">
        <v>248</v>
      </c>
      <c r="G445">
        <v>570000</v>
      </c>
      <c r="J445" t="str">
        <f>IF(A445&lt;WORKSHEET!$R$2,WORKSHEET!$C$2,IF(B445="Air Waybill Number",C445,J444))</f>
        <v>774291589065</v>
      </c>
      <c r="K445" t="str">
        <f t="shared" si="48"/>
        <v>870069727</v>
      </c>
      <c r="L445" t="str">
        <f t="shared" si="49"/>
        <v>13 Dec 2023</v>
      </c>
      <c r="M445" t="str">
        <f t="shared" si="50"/>
        <v/>
      </c>
      <c r="N445" t="str">
        <f t="shared" si="51"/>
        <v>11/30/2023</v>
      </c>
      <c r="O445" t="str">
        <f t="shared" si="52"/>
        <v/>
      </c>
      <c r="P445" t="str">
        <f t="shared" si="53"/>
        <v/>
      </c>
      <c r="Q445" t="str">
        <f t="shared" si="54"/>
        <v/>
      </c>
      <c r="R445" t="str">
        <f t="shared" si="55"/>
        <v/>
      </c>
    </row>
    <row r="446" spans="1:18" x14ac:dyDescent="0.25">
      <c r="A446">
        <f>ROW()</f>
        <v>446</v>
      </c>
      <c r="D446" t="s">
        <v>251</v>
      </c>
      <c r="E446" t="s">
        <v>252</v>
      </c>
      <c r="G446">
        <v>-381330</v>
      </c>
      <c r="J446" t="str">
        <f>IF(A446&lt;WORKSHEET!$R$2,WORKSHEET!$C$2,IF(B446="Air Waybill Number",C446,J445))</f>
        <v>774291589065</v>
      </c>
      <c r="K446" t="str">
        <f t="shared" si="48"/>
        <v>870069727</v>
      </c>
      <c r="L446" t="str">
        <f t="shared" si="49"/>
        <v>13 Dec 2023</v>
      </c>
      <c r="M446" t="str">
        <f t="shared" si="50"/>
        <v/>
      </c>
      <c r="N446" t="str">
        <f t="shared" si="51"/>
        <v>11/30/2023</v>
      </c>
      <c r="O446" t="str">
        <f t="shared" si="52"/>
        <v/>
      </c>
      <c r="P446" t="str">
        <f t="shared" si="53"/>
        <v/>
      </c>
      <c r="Q446" t="str">
        <f t="shared" si="54"/>
        <v/>
      </c>
      <c r="R446" t="str">
        <f t="shared" si="55"/>
        <v/>
      </c>
    </row>
    <row r="447" spans="1:18" x14ac:dyDescent="0.25">
      <c r="A447">
        <f>ROW()</f>
        <v>447</v>
      </c>
      <c r="D447" t="s">
        <v>254</v>
      </c>
      <c r="E447" t="s">
        <v>12</v>
      </c>
      <c r="G447">
        <v>62424</v>
      </c>
      <c r="J447" t="str">
        <f>IF(A447&lt;WORKSHEET!$R$2,WORKSHEET!$C$2,IF(B447="Air Waybill Number",C447,J446))</f>
        <v>774291589065</v>
      </c>
      <c r="K447" t="str">
        <f t="shared" si="48"/>
        <v>870069727</v>
      </c>
      <c r="L447" t="str">
        <f t="shared" si="49"/>
        <v>13 Dec 2023</v>
      </c>
      <c r="M447" t="str">
        <f t="shared" si="50"/>
        <v/>
      </c>
      <c r="N447" t="str">
        <f t="shared" si="51"/>
        <v>11/30/2023</v>
      </c>
      <c r="O447" t="str">
        <f t="shared" si="52"/>
        <v/>
      </c>
      <c r="P447" t="str">
        <f t="shared" si="53"/>
        <v/>
      </c>
      <c r="Q447" t="str">
        <f t="shared" si="54"/>
        <v/>
      </c>
      <c r="R447" t="str">
        <f t="shared" si="55"/>
        <v/>
      </c>
    </row>
    <row r="448" spans="1:18" x14ac:dyDescent="0.25">
      <c r="A448">
        <f>ROW()</f>
        <v>448</v>
      </c>
      <c r="D448" t="s">
        <v>254</v>
      </c>
      <c r="E448" t="s">
        <v>260</v>
      </c>
      <c r="G448">
        <v>16000</v>
      </c>
      <c r="J448" t="str">
        <f>IF(A448&lt;WORKSHEET!$R$2,WORKSHEET!$C$2,IF(B448="Air Waybill Number",C448,J447))</f>
        <v>774291589065</v>
      </c>
      <c r="K448" t="str">
        <f t="shared" si="48"/>
        <v>870069727</v>
      </c>
      <c r="L448" t="str">
        <f t="shared" si="49"/>
        <v>13 Dec 2023</v>
      </c>
      <c r="M448" t="str">
        <f t="shared" si="50"/>
        <v/>
      </c>
      <c r="N448" t="str">
        <f t="shared" si="51"/>
        <v>11/30/2023</v>
      </c>
      <c r="O448" t="str">
        <f t="shared" si="52"/>
        <v/>
      </c>
      <c r="P448" t="str">
        <f t="shared" si="53"/>
        <v/>
      </c>
      <c r="Q448" t="str">
        <f t="shared" si="54"/>
        <v/>
      </c>
      <c r="R448" t="str">
        <f t="shared" si="55"/>
        <v/>
      </c>
    </row>
    <row r="449" spans="1:18" x14ac:dyDescent="0.25">
      <c r="A449">
        <f>ROW()</f>
        <v>449</v>
      </c>
      <c r="D449" t="s">
        <v>261</v>
      </c>
      <c r="G449">
        <v>2938</v>
      </c>
      <c r="J449" t="str">
        <f>IF(A449&lt;WORKSHEET!$R$2,WORKSHEET!$C$2,IF(B449="Air Waybill Number",C449,J448))</f>
        <v>774291589065</v>
      </c>
      <c r="K449" t="str">
        <f t="shared" si="48"/>
        <v>870069727</v>
      </c>
      <c r="L449" t="str">
        <f t="shared" si="49"/>
        <v>13 Dec 2023</v>
      </c>
      <c r="M449" t="str">
        <f t="shared" si="50"/>
        <v/>
      </c>
      <c r="N449" t="str">
        <f t="shared" si="51"/>
        <v>11/30/2023</v>
      </c>
      <c r="O449" t="str">
        <f t="shared" si="52"/>
        <v/>
      </c>
      <c r="P449" t="str">
        <f t="shared" si="53"/>
        <v/>
      </c>
      <c r="Q449" t="str">
        <f t="shared" si="54"/>
        <v/>
      </c>
      <c r="R449" t="str">
        <f t="shared" si="55"/>
        <v/>
      </c>
    </row>
    <row r="450" spans="1:18" x14ac:dyDescent="0.25">
      <c r="A450">
        <f>ROW()</f>
        <v>450</v>
      </c>
      <c r="D450" t="s">
        <v>14</v>
      </c>
      <c r="G450">
        <v>270032</v>
      </c>
      <c r="J450" t="str">
        <f>IF(A450&lt;WORKSHEET!$R$2,WORKSHEET!$C$2,IF(B450="Air Waybill Number",C450,J449))</f>
        <v>774291589065</v>
      </c>
      <c r="K450" t="str">
        <f t="shared" ref="K450:K513" si="56">IF(B450="Invoice Number:",C450,K449)</f>
        <v>870069727</v>
      </c>
      <c r="L450" t="str">
        <f t="shared" ref="L450:L513" si="57">IF(B450="Invoice Date:",C450,L449)</f>
        <v>13 Dec 2023</v>
      </c>
      <c r="M450" t="str">
        <f t="shared" ref="M450:M513" si="58">IF(B450="Air Waybill Number",J450&amp;"-1","")</f>
        <v/>
      </c>
      <c r="N450" t="str">
        <f t="shared" ref="N450:N513" si="59">IF(B450="Ship Date",C450,N449)</f>
        <v>11/30/2023</v>
      </c>
      <c r="O450" t="str">
        <f t="shared" ref="O450:O513" si="60">IF(LEFT(D450,6)="Sender",D451,IF(LEFT(E450,6)="Sender",E451,""))</f>
        <v/>
      </c>
      <c r="P450" t="str">
        <f t="shared" ref="P450:P513" si="61">IF(LEFT(D450,6)="Sender",D452,IF(LEFT(E450,6)="Sender",D452,""))</f>
        <v/>
      </c>
      <c r="Q450" t="str">
        <f t="shared" ref="Q450:Q513" si="62">IF(LEFT(E450,9)="Recipient",E451&amp;F451,IF(LEFT(F450,9)="Recipient",F451,IF(LEFT(G450,9)="Recipient",G451,IF(LEFT(H450,9)="Recipient",H451,""))))</f>
        <v/>
      </c>
      <c r="R450" t="str">
        <f t="shared" ref="R450:R513" si="63">IF(LEFT(E450,9)="Recipient",E452&amp;F452,IF(LEFT(F450,9)="Recipient",F452,IF(LEFT(G450,9)="Recipient",G452,IF(LEFT(H450,9)="Recipient",H452,""))))</f>
        <v/>
      </c>
    </row>
    <row r="451" spans="1:18" x14ac:dyDescent="0.25">
      <c r="A451">
        <f>ROW()</f>
        <v>451</v>
      </c>
      <c r="D451" t="s">
        <v>367</v>
      </c>
      <c r="J451" t="str">
        <f>IF(A451&lt;WORKSHEET!$R$2,WORKSHEET!$C$2,IF(B451="Air Waybill Number",C451,J450))</f>
        <v>774291589065</v>
      </c>
      <c r="K451" t="str">
        <f t="shared" si="56"/>
        <v>870069727</v>
      </c>
      <c r="L451" t="str">
        <f t="shared" si="57"/>
        <v>13 Dec 2023</v>
      </c>
      <c r="M451" t="str">
        <f t="shared" si="58"/>
        <v/>
      </c>
      <c r="N451" t="str">
        <f t="shared" si="59"/>
        <v>11/30/2023</v>
      </c>
      <c r="O451" t="str">
        <f t="shared" si="60"/>
        <v/>
      </c>
      <c r="P451" t="str">
        <f t="shared" si="61"/>
        <v/>
      </c>
      <c r="Q451" t="str">
        <f t="shared" si="62"/>
        <v/>
      </c>
      <c r="R451" t="str">
        <f t="shared" si="63"/>
        <v/>
      </c>
    </row>
    <row r="452" spans="1:18" x14ac:dyDescent="0.25">
      <c r="A452">
        <f>ROW()</f>
        <v>452</v>
      </c>
      <c r="B452" t="s">
        <v>226</v>
      </c>
      <c r="C452" t="s">
        <v>518</v>
      </c>
      <c r="D452" t="s">
        <v>290</v>
      </c>
      <c r="E452" t="s">
        <v>481</v>
      </c>
      <c r="J452" t="str">
        <f>IF(A452&lt;WORKSHEET!$R$2,WORKSHEET!$C$2,IF(B452="Air Waybill Number",C452,J451))</f>
        <v>774291589065</v>
      </c>
      <c r="K452" t="str">
        <f t="shared" si="56"/>
        <v>870069727</v>
      </c>
      <c r="L452" t="str">
        <f t="shared" si="57"/>
        <v>13 Dec 2023</v>
      </c>
      <c r="M452" t="str">
        <f t="shared" si="58"/>
        <v/>
      </c>
      <c r="N452" t="str">
        <f t="shared" si="59"/>
        <v>12/01/2023</v>
      </c>
      <c r="O452" t="str">
        <f t="shared" si="60"/>
        <v>WINTA</v>
      </c>
      <c r="P452" t="str">
        <f t="shared" si="61"/>
        <v>GISTEX GARMEN INDONESIA</v>
      </c>
      <c r="Q452" t="str">
        <f t="shared" si="62"/>
        <v>WINNIE CHOW</v>
      </c>
      <c r="R452" t="str">
        <f t="shared" si="63"/>
        <v>HEXAPOLE COMPANY LIMITED</v>
      </c>
    </row>
    <row r="453" spans="1:18" x14ac:dyDescent="0.25">
      <c r="A453">
        <f>ROW()</f>
        <v>453</v>
      </c>
      <c r="B453" t="s">
        <v>232</v>
      </c>
      <c r="C453" t="s">
        <v>104</v>
      </c>
      <c r="D453" t="s">
        <v>96</v>
      </c>
      <c r="E453" t="s">
        <v>97</v>
      </c>
      <c r="J453" t="str">
        <f>IF(A453&lt;WORKSHEET!$R$2,WORKSHEET!$C$2,IF(B453="Air Waybill Number",C453,J452))</f>
        <v>774306660341</v>
      </c>
      <c r="K453" t="str">
        <f t="shared" si="56"/>
        <v>870069727</v>
      </c>
      <c r="L453" t="str">
        <f t="shared" si="57"/>
        <v>13 Dec 2023</v>
      </c>
      <c r="M453" t="str">
        <f t="shared" si="58"/>
        <v>774306660341-1</v>
      </c>
      <c r="N453" t="str">
        <f t="shared" si="59"/>
        <v>12/01/2023</v>
      </c>
      <c r="O453" t="str">
        <f t="shared" si="60"/>
        <v/>
      </c>
      <c r="P453" t="str">
        <f t="shared" si="61"/>
        <v/>
      </c>
      <c r="Q453" t="str">
        <f t="shared" si="62"/>
        <v/>
      </c>
      <c r="R453" t="str">
        <f t="shared" si="63"/>
        <v/>
      </c>
    </row>
    <row r="454" spans="1:18" x14ac:dyDescent="0.25">
      <c r="A454">
        <f>ROW()</f>
        <v>454</v>
      </c>
      <c r="B454" t="s">
        <v>233</v>
      </c>
      <c r="C454" t="s">
        <v>482</v>
      </c>
      <c r="D454" t="s">
        <v>41</v>
      </c>
      <c r="E454" t="s">
        <v>98</v>
      </c>
      <c r="J454" t="str">
        <f>IF(A454&lt;WORKSHEET!$R$2,WORKSHEET!$C$2,IF(B454="Air Waybill Number",C454,J453))</f>
        <v>774306660341</v>
      </c>
      <c r="K454" t="str">
        <f t="shared" si="56"/>
        <v>870069727</v>
      </c>
      <c r="L454" t="str">
        <f t="shared" si="57"/>
        <v>13 Dec 2023</v>
      </c>
      <c r="M454" t="str">
        <f t="shared" si="58"/>
        <v/>
      </c>
      <c r="N454" t="str">
        <f t="shared" si="59"/>
        <v>12/01/2023</v>
      </c>
      <c r="O454" t="str">
        <f t="shared" si="60"/>
        <v/>
      </c>
      <c r="P454" t="str">
        <f t="shared" si="61"/>
        <v/>
      </c>
      <c r="Q454" t="str">
        <f t="shared" si="62"/>
        <v/>
      </c>
      <c r="R454" t="str">
        <f t="shared" si="63"/>
        <v/>
      </c>
    </row>
    <row r="455" spans="1:18" x14ac:dyDescent="0.25">
      <c r="A455">
        <f>ROW()</f>
        <v>455</v>
      </c>
      <c r="B455" t="s">
        <v>237</v>
      </c>
      <c r="C455" t="s">
        <v>238</v>
      </c>
      <c r="D455" t="s">
        <v>293</v>
      </c>
      <c r="E455" t="s">
        <v>483</v>
      </c>
      <c r="J455" t="str">
        <f>IF(A455&lt;WORKSHEET!$R$2,WORKSHEET!$C$2,IF(B455="Air Waybill Number",C455,J454))</f>
        <v>774306660341</v>
      </c>
      <c r="K455" t="str">
        <f t="shared" si="56"/>
        <v>870069727</v>
      </c>
      <c r="L455" t="str">
        <f t="shared" si="57"/>
        <v>13 Dec 2023</v>
      </c>
      <c r="M455" t="str">
        <f t="shared" si="58"/>
        <v/>
      </c>
      <c r="N455" t="str">
        <f t="shared" si="59"/>
        <v>12/01/2023</v>
      </c>
      <c r="O455" t="str">
        <f t="shared" si="60"/>
        <v/>
      </c>
      <c r="P455" t="str">
        <f t="shared" si="61"/>
        <v/>
      </c>
      <c r="Q455" t="str">
        <f t="shared" si="62"/>
        <v/>
      </c>
      <c r="R455" t="str">
        <f t="shared" si="63"/>
        <v/>
      </c>
    </row>
    <row r="456" spans="1:18" x14ac:dyDescent="0.25">
      <c r="A456">
        <f>ROW()</f>
        <v>456</v>
      </c>
      <c r="B456" t="s">
        <v>241</v>
      </c>
      <c r="C456" t="s">
        <v>519</v>
      </c>
      <c r="D456" t="s">
        <v>296</v>
      </c>
      <c r="E456" t="s">
        <v>484</v>
      </c>
      <c r="J456" t="str">
        <f>IF(A456&lt;WORKSHEET!$R$2,WORKSHEET!$C$2,IF(B456="Air Waybill Number",C456,J455))</f>
        <v>774306660341</v>
      </c>
      <c r="K456" t="str">
        <f t="shared" si="56"/>
        <v>870069727</v>
      </c>
      <c r="L456" t="str">
        <f t="shared" si="57"/>
        <v>13 Dec 2023</v>
      </c>
      <c r="M456" t="str">
        <f t="shared" si="58"/>
        <v/>
      </c>
      <c r="N456" t="str">
        <f t="shared" si="59"/>
        <v>12/01/2023</v>
      </c>
      <c r="O456" t="str">
        <f t="shared" si="60"/>
        <v/>
      </c>
      <c r="P456" t="str">
        <f t="shared" si="61"/>
        <v/>
      </c>
      <c r="Q456" t="str">
        <f t="shared" si="62"/>
        <v/>
      </c>
      <c r="R456" t="str">
        <f t="shared" si="63"/>
        <v/>
      </c>
    </row>
    <row r="457" spans="1:18" x14ac:dyDescent="0.25">
      <c r="A457">
        <f>ROW()</f>
        <v>457</v>
      </c>
      <c r="B457" t="s">
        <v>286</v>
      </c>
      <c r="C457" t="s">
        <v>299</v>
      </c>
      <c r="D457" t="s">
        <v>300</v>
      </c>
      <c r="E457" t="s">
        <v>520</v>
      </c>
      <c r="F457" t="s">
        <v>343</v>
      </c>
      <c r="J457" t="str">
        <f>IF(A457&lt;WORKSHEET!$R$2,WORKSHEET!$C$2,IF(B457="Air Waybill Number",C457,J456))</f>
        <v>774306660341</v>
      </c>
      <c r="K457" t="str">
        <f t="shared" si="56"/>
        <v>870069727</v>
      </c>
      <c r="L457" t="str">
        <f t="shared" si="57"/>
        <v>13 Dec 2023</v>
      </c>
      <c r="M457" t="str">
        <f t="shared" si="58"/>
        <v/>
      </c>
      <c r="N457" t="str">
        <f t="shared" si="59"/>
        <v>12/01/2023</v>
      </c>
      <c r="O457" t="str">
        <f t="shared" si="60"/>
        <v/>
      </c>
      <c r="P457" t="str">
        <f t="shared" si="61"/>
        <v/>
      </c>
      <c r="Q457" t="str">
        <f t="shared" si="62"/>
        <v/>
      </c>
      <c r="R457" t="str">
        <f t="shared" si="63"/>
        <v/>
      </c>
    </row>
    <row r="458" spans="1:18" x14ac:dyDescent="0.25">
      <c r="A458">
        <f>ROW()</f>
        <v>458</v>
      </c>
      <c r="B458" t="s">
        <v>249</v>
      </c>
      <c r="C458" t="s">
        <v>521</v>
      </c>
      <c r="D458" t="s">
        <v>248</v>
      </c>
      <c r="G458">
        <v>1160000</v>
      </c>
      <c r="J458" t="str">
        <f>IF(A458&lt;WORKSHEET!$R$2,WORKSHEET!$C$2,IF(B458="Air Waybill Number",C458,J457))</f>
        <v>774306660341</v>
      </c>
      <c r="K458" t="str">
        <f t="shared" si="56"/>
        <v>870069727</v>
      </c>
      <c r="L458" t="str">
        <f t="shared" si="57"/>
        <v>13 Dec 2023</v>
      </c>
      <c r="M458" t="str">
        <f t="shared" si="58"/>
        <v/>
      </c>
      <c r="N458" t="str">
        <f t="shared" si="59"/>
        <v>12/01/2023</v>
      </c>
      <c r="O458" t="str">
        <f t="shared" si="60"/>
        <v/>
      </c>
      <c r="P458" t="str">
        <f t="shared" si="61"/>
        <v/>
      </c>
      <c r="Q458" t="str">
        <f t="shared" si="62"/>
        <v/>
      </c>
      <c r="R458" t="str">
        <f t="shared" si="63"/>
        <v/>
      </c>
    </row>
    <row r="459" spans="1:18" x14ac:dyDescent="0.25">
      <c r="A459">
        <f>ROW()</f>
        <v>459</v>
      </c>
      <c r="D459" t="s">
        <v>251</v>
      </c>
      <c r="E459" t="s">
        <v>252</v>
      </c>
      <c r="G459">
        <v>-944588</v>
      </c>
      <c r="J459" t="str">
        <f>IF(A459&lt;WORKSHEET!$R$2,WORKSHEET!$C$2,IF(B459="Air Waybill Number",C459,J458))</f>
        <v>774306660341</v>
      </c>
      <c r="K459" t="str">
        <f t="shared" si="56"/>
        <v>870069727</v>
      </c>
      <c r="L459" t="str">
        <f t="shared" si="57"/>
        <v>13 Dec 2023</v>
      </c>
      <c r="M459" t="str">
        <f t="shared" si="58"/>
        <v/>
      </c>
      <c r="N459" t="str">
        <f t="shared" si="59"/>
        <v>12/01/2023</v>
      </c>
      <c r="O459" t="str">
        <f t="shared" si="60"/>
        <v/>
      </c>
      <c r="P459" t="str">
        <f t="shared" si="61"/>
        <v/>
      </c>
      <c r="Q459" t="str">
        <f t="shared" si="62"/>
        <v/>
      </c>
      <c r="R459" t="str">
        <f t="shared" si="63"/>
        <v/>
      </c>
    </row>
    <row r="460" spans="1:18" x14ac:dyDescent="0.25">
      <c r="A460">
        <f>ROW()</f>
        <v>460</v>
      </c>
      <c r="D460" t="s">
        <v>254</v>
      </c>
      <c r="E460" t="s">
        <v>12</v>
      </c>
      <c r="G460">
        <v>73020</v>
      </c>
      <c r="J460" t="str">
        <f>IF(A460&lt;WORKSHEET!$R$2,WORKSHEET!$C$2,IF(B460="Air Waybill Number",C460,J459))</f>
        <v>774306660341</v>
      </c>
      <c r="K460" t="str">
        <f t="shared" si="56"/>
        <v>870069727</v>
      </c>
      <c r="L460" t="str">
        <f t="shared" si="57"/>
        <v>13 Dec 2023</v>
      </c>
      <c r="M460" t="str">
        <f t="shared" si="58"/>
        <v/>
      </c>
      <c r="N460" t="str">
        <f t="shared" si="59"/>
        <v>12/01/2023</v>
      </c>
      <c r="O460" t="str">
        <f t="shared" si="60"/>
        <v/>
      </c>
      <c r="P460" t="str">
        <f t="shared" si="61"/>
        <v/>
      </c>
      <c r="Q460" t="str">
        <f t="shared" si="62"/>
        <v/>
      </c>
      <c r="R460" t="str">
        <f t="shared" si="63"/>
        <v/>
      </c>
    </row>
    <row r="461" spans="1:18" x14ac:dyDescent="0.25">
      <c r="A461">
        <f>ROW()</f>
        <v>461</v>
      </c>
      <c r="D461" t="s">
        <v>254</v>
      </c>
      <c r="E461" t="s">
        <v>260</v>
      </c>
      <c r="G461">
        <v>24000</v>
      </c>
      <c r="J461" t="str">
        <f>IF(A461&lt;WORKSHEET!$R$2,WORKSHEET!$C$2,IF(B461="Air Waybill Number",C461,J460))</f>
        <v>774306660341</v>
      </c>
      <c r="K461" t="str">
        <f t="shared" si="56"/>
        <v>870069727</v>
      </c>
      <c r="L461" t="str">
        <f t="shared" si="57"/>
        <v>13 Dec 2023</v>
      </c>
      <c r="M461" t="str">
        <f t="shared" si="58"/>
        <v/>
      </c>
      <c r="N461" t="str">
        <f t="shared" si="59"/>
        <v>12/01/2023</v>
      </c>
      <c r="O461" t="str">
        <f t="shared" si="60"/>
        <v/>
      </c>
      <c r="P461" t="str">
        <f t="shared" si="61"/>
        <v/>
      </c>
      <c r="Q461" t="str">
        <f t="shared" si="62"/>
        <v/>
      </c>
      <c r="R461" t="str">
        <f t="shared" si="63"/>
        <v/>
      </c>
    </row>
    <row r="462" spans="1:18" x14ac:dyDescent="0.25">
      <c r="A462">
        <f>ROW()</f>
        <v>462</v>
      </c>
      <c r="D462" t="s">
        <v>261</v>
      </c>
      <c r="G462">
        <v>3436</v>
      </c>
      <c r="J462" t="str">
        <f>IF(A462&lt;WORKSHEET!$R$2,WORKSHEET!$C$2,IF(B462="Air Waybill Number",C462,J461))</f>
        <v>774306660341</v>
      </c>
      <c r="K462" t="str">
        <f t="shared" si="56"/>
        <v>870069727</v>
      </c>
      <c r="L462" t="str">
        <f t="shared" si="57"/>
        <v>13 Dec 2023</v>
      </c>
      <c r="M462" t="str">
        <f t="shared" si="58"/>
        <v/>
      </c>
      <c r="N462" t="str">
        <f t="shared" si="59"/>
        <v>12/01/2023</v>
      </c>
      <c r="O462" t="str">
        <f t="shared" si="60"/>
        <v/>
      </c>
      <c r="P462" t="str">
        <f t="shared" si="61"/>
        <v/>
      </c>
      <c r="Q462" t="str">
        <f t="shared" si="62"/>
        <v/>
      </c>
      <c r="R462" t="str">
        <f t="shared" si="63"/>
        <v/>
      </c>
    </row>
    <row r="463" spans="1:18" x14ac:dyDescent="0.25">
      <c r="A463">
        <f>ROW()</f>
        <v>463</v>
      </c>
      <c r="D463" t="s">
        <v>14</v>
      </c>
      <c r="G463">
        <v>315868</v>
      </c>
      <c r="J463" t="str">
        <f>IF(A463&lt;WORKSHEET!$R$2,WORKSHEET!$C$2,IF(B463="Air Waybill Number",C463,J462))</f>
        <v>774306660341</v>
      </c>
      <c r="K463" t="str">
        <f t="shared" si="56"/>
        <v>870069727</v>
      </c>
      <c r="L463" t="str">
        <f t="shared" si="57"/>
        <v>13 Dec 2023</v>
      </c>
      <c r="M463" t="str">
        <f t="shared" si="58"/>
        <v/>
      </c>
      <c r="N463" t="str">
        <f t="shared" si="59"/>
        <v>12/01/2023</v>
      </c>
      <c r="O463" t="str">
        <f t="shared" si="60"/>
        <v/>
      </c>
      <c r="P463" t="str">
        <f t="shared" si="61"/>
        <v/>
      </c>
      <c r="Q463" t="str">
        <f t="shared" si="62"/>
        <v/>
      </c>
      <c r="R463" t="str">
        <f t="shared" si="63"/>
        <v/>
      </c>
    </row>
    <row r="464" spans="1:18" x14ac:dyDescent="0.25">
      <c r="A464">
        <f>ROW()</f>
        <v>464</v>
      </c>
      <c r="D464" t="s">
        <v>367</v>
      </c>
      <c r="J464" t="str">
        <f>IF(A464&lt;WORKSHEET!$R$2,WORKSHEET!$C$2,IF(B464="Air Waybill Number",C464,J463))</f>
        <v>774306660341</v>
      </c>
      <c r="K464" t="str">
        <f t="shared" si="56"/>
        <v>870069727</v>
      </c>
      <c r="L464" t="str">
        <f t="shared" si="57"/>
        <v>13 Dec 2023</v>
      </c>
      <c r="M464" t="str">
        <f t="shared" si="58"/>
        <v/>
      </c>
      <c r="N464" t="str">
        <f t="shared" si="59"/>
        <v>12/01/2023</v>
      </c>
      <c r="O464" t="str">
        <f t="shared" si="60"/>
        <v/>
      </c>
      <c r="P464" t="str">
        <f t="shared" si="61"/>
        <v/>
      </c>
      <c r="Q464" t="str">
        <f t="shared" si="62"/>
        <v/>
      </c>
      <c r="R464" t="str">
        <f t="shared" si="63"/>
        <v/>
      </c>
    </row>
    <row r="465" spans="1:18" x14ac:dyDescent="0.25">
      <c r="A465">
        <f>ROW()</f>
        <v>465</v>
      </c>
      <c r="B465" t="s">
        <v>226</v>
      </c>
      <c r="C465" t="s">
        <v>518</v>
      </c>
      <c r="D465" t="s">
        <v>290</v>
      </c>
      <c r="E465" t="s">
        <v>522</v>
      </c>
      <c r="J465" t="str">
        <f>IF(A465&lt;WORKSHEET!$R$2,WORKSHEET!$C$2,IF(B465="Air Waybill Number",C465,J464))</f>
        <v>774306660341</v>
      </c>
      <c r="K465" t="str">
        <f t="shared" si="56"/>
        <v>870069727</v>
      </c>
      <c r="L465" t="str">
        <f t="shared" si="57"/>
        <v>13 Dec 2023</v>
      </c>
      <c r="M465" t="str">
        <f t="shared" si="58"/>
        <v/>
      </c>
      <c r="N465" t="str">
        <f t="shared" si="59"/>
        <v>12/01/2023</v>
      </c>
      <c r="O465" t="str">
        <f t="shared" si="60"/>
        <v>DIANA / LINDA</v>
      </c>
      <c r="P465" t="str">
        <f t="shared" si="61"/>
        <v>GISTEX GARMEN INDONESIA</v>
      </c>
      <c r="Q465" t="str">
        <f t="shared" si="62"/>
        <v>MS. MIYAMURA</v>
      </c>
      <c r="R465" t="str">
        <f t="shared" si="63"/>
        <v>SUNRICH MODE INC.</v>
      </c>
    </row>
    <row r="466" spans="1:18" x14ac:dyDescent="0.25">
      <c r="A466">
        <f>ROW()</f>
        <v>466</v>
      </c>
      <c r="B466" t="s">
        <v>232</v>
      </c>
      <c r="C466" t="s">
        <v>105</v>
      </c>
      <c r="D466" t="s">
        <v>106</v>
      </c>
      <c r="E466" t="s">
        <v>107</v>
      </c>
      <c r="J466" t="str">
        <f>IF(A466&lt;WORKSHEET!$R$2,WORKSHEET!$C$2,IF(B466="Air Waybill Number",C466,J465))</f>
        <v>774306099460</v>
      </c>
      <c r="K466" t="str">
        <f t="shared" si="56"/>
        <v>870069727</v>
      </c>
      <c r="L466" t="str">
        <f t="shared" si="57"/>
        <v>13 Dec 2023</v>
      </c>
      <c r="M466" t="str">
        <f t="shared" si="58"/>
        <v>774306099460-1</v>
      </c>
      <c r="N466" t="str">
        <f t="shared" si="59"/>
        <v>12/01/2023</v>
      </c>
      <c r="O466" t="str">
        <f t="shared" si="60"/>
        <v/>
      </c>
      <c r="P466" t="str">
        <f t="shared" si="61"/>
        <v/>
      </c>
      <c r="Q466" t="str">
        <f t="shared" si="62"/>
        <v/>
      </c>
      <c r="R466" t="str">
        <f t="shared" si="63"/>
        <v/>
      </c>
    </row>
    <row r="467" spans="1:18" x14ac:dyDescent="0.25">
      <c r="A467">
        <f>ROW()</f>
        <v>467</v>
      </c>
      <c r="B467" t="s">
        <v>233</v>
      </c>
      <c r="C467" t="s">
        <v>322</v>
      </c>
      <c r="D467" t="s">
        <v>41</v>
      </c>
      <c r="E467" t="s">
        <v>108</v>
      </c>
      <c r="J467" t="str">
        <f>IF(A467&lt;WORKSHEET!$R$2,WORKSHEET!$C$2,IF(B467="Air Waybill Number",C467,J466))</f>
        <v>774306099460</v>
      </c>
      <c r="K467" t="str">
        <f t="shared" si="56"/>
        <v>870069727</v>
      </c>
      <c r="L467" t="str">
        <f t="shared" si="57"/>
        <v>13 Dec 2023</v>
      </c>
      <c r="M467" t="str">
        <f t="shared" si="58"/>
        <v/>
      </c>
      <c r="N467" t="str">
        <f t="shared" si="59"/>
        <v>12/01/2023</v>
      </c>
      <c r="O467" t="str">
        <f t="shared" si="60"/>
        <v/>
      </c>
      <c r="P467" t="str">
        <f t="shared" si="61"/>
        <v/>
      </c>
      <c r="Q467" t="str">
        <f t="shared" si="62"/>
        <v/>
      </c>
      <c r="R467" t="str">
        <f t="shared" si="63"/>
        <v/>
      </c>
    </row>
    <row r="468" spans="1:18" x14ac:dyDescent="0.25">
      <c r="A468">
        <f>ROW()</f>
        <v>468</v>
      </c>
      <c r="B468" t="s">
        <v>237</v>
      </c>
      <c r="C468" t="s">
        <v>238</v>
      </c>
      <c r="D468" t="s">
        <v>293</v>
      </c>
      <c r="E468" t="s">
        <v>523</v>
      </c>
      <c r="J468" t="str">
        <f>IF(A468&lt;WORKSHEET!$R$2,WORKSHEET!$C$2,IF(B468="Air Waybill Number",C468,J467))</f>
        <v>774306099460</v>
      </c>
      <c r="K468" t="str">
        <f t="shared" si="56"/>
        <v>870069727</v>
      </c>
      <c r="L468" t="str">
        <f t="shared" si="57"/>
        <v>13 Dec 2023</v>
      </c>
      <c r="M468" t="str">
        <f t="shared" si="58"/>
        <v/>
      </c>
      <c r="N468" t="str">
        <f t="shared" si="59"/>
        <v>12/01/2023</v>
      </c>
      <c r="O468" t="str">
        <f t="shared" si="60"/>
        <v/>
      </c>
      <c r="P468" t="str">
        <f t="shared" si="61"/>
        <v/>
      </c>
      <c r="Q468" t="str">
        <f t="shared" si="62"/>
        <v/>
      </c>
      <c r="R468" t="str">
        <f t="shared" si="63"/>
        <v/>
      </c>
    </row>
    <row r="469" spans="1:18" x14ac:dyDescent="0.25">
      <c r="A469">
        <f>ROW()</f>
        <v>469</v>
      </c>
      <c r="B469" t="s">
        <v>241</v>
      </c>
      <c r="C469" t="s">
        <v>524</v>
      </c>
      <c r="D469" t="s">
        <v>296</v>
      </c>
      <c r="E469" t="s">
        <v>525</v>
      </c>
      <c r="J469" t="str">
        <f>IF(A469&lt;WORKSHEET!$R$2,WORKSHEET!$C$2,IF(B469="Air Waybill Number",C469,J468))</f>
        <v>774306099460</v>
      </c>
      <c r="K469" t="str">
        <f t="shared" si="56"/>
        <v>870069727</v>
      </c>
      <c r="L469" t="str">
        <f t="shared" si="57"/>
        <v>13 Dec 2023</v>
      </c>
      <c r="M469" t="str">
        <f t="shared" si="58"/>
        <v/>
      </c>
      <c r="N469" t="str">
        <f t="shared" si="59"/>
        <v>12/01/2023</v>
      </c>
      <c r="O469" t="str">
        <f t="shared" si="60"/>
        <v/>
      </c>
      <c r="P469" t="str">
        <f t="shared" si="61"/>
        <v/>
      </c>
      <c r="Q469" t="str">
        <f t="shared" si="62"/>
        <v/>
      </c>
      <c r="R469" t="str">
        <f t="shared" si="63"/>
        <v/>
      </c>
    </row>
    <row r="470" spans="1:18" x14ac:dyDescent="0.25">
      <c r="A470">
        <f>ROW()</f>
        <v>470</v>
      </c>
      <c r="B470" t="s">
        <v>286</v>
      </c>
      <c r="C470" t="s">
        <v>299</v>
      </c>
      <c r="D470" t="s">
        <v>300</v>
      </c>
      <c r="E470" t="s">
        <v>526</v>
      </c>
      <c r="F470" t="s">
        <v>527</v>
      </c>
      <c r="J470" t="str">
        <f>IF(A470&lt;WORKSHEET!$R$2,WORKSHEET!$C$2,IF(B470="Air Waybill Number",C470,J469))</f>
        <v>774306099460</v>
      </c>
      <c r="K470" t="str">
        <f t="shared" si="56"/>
        <v>870069727</v>
      </c>
      <c r="L470" t="str">
        <f t="shared" si="57"/>
        <v>13 Dec 2023</v>
      </c>
      <c r="M470" t="str">
        <f t="shared" si="58"/>
        <v/>
      </c>
      <c r="N470" t="str">
        <f t="shared" si="59"/>
        <v>12/01/2023</v>
      </c>
      <c r="O470" t="str">
        <f t="shared" si="60"/>
        <v/>
      </c>
      <c r="P470" t="str">
        <f t="shared" si="61"/>
        <v/>
      </c>
      <c r="Q470" t="str">
        <f t="shared" si="62"/>
        <v/>
      </c>
      <c r="R470" t="str">
        <f t="shared" si="63"/>
        <v/>
      </c>
    </row>
    <row r="471" spans="1:18" x14ac:dyDescent="0.25">
      <c r="A471">
        <f>ROW()</f>
        <v>471</v>
      </c>
      <c r="B471" t="s">
        <v>249</v>
      </c>
      <c r="C471" t="s">
        <v>528</v>
      </c>
      <c r="D471" t="s">
        <v>248</v>
      </c>
      <c r="G471">
        <v>1847000</v>
      </c>
      <c r="J471" t="str">
        <f>IF(A471&lt;WORKSHEET!$R$2,WORKSHEET!$C$2,IF(B471="Air Waybill Number",C471,J470))</f>
        <v>774306099460</v>
      </c>
      <c r="K471" t="str">
        <f t="shared" si="56"/>
        <v>870069727</v>
      </c>
      <c r="L471" t="str">
        <f t="shared" si="57"/>
        <v>13 Dec 2023</v>
      </c>
      <c r="M471" t="str">
        <f t="shared" si="58"/>
        <v/>
      </c>
      <c r="N471" t="str">
        <f t="shared" si="59"/>
        <v>12/01/2023</v>
      </c>
      <c r="O471" t="str">
        <f t="shared" si="60"/>
        <v/>
      </c>
      <c r="P471" t="str">
        <f t="shared" si="61"/>
        <v/>
      </c>
      <c r="Q471" t="str">
        <f t="shared" si="62"/>
        <v/>
      </c>
      <c r="R471" t="str">
        <f t="shared" si="63"/>
        <v/>
      </c>
    </row>
    <row r="472" spans="1:18" x14ac:dyDescent="0.25">
      <c r="A472">
        <f>ROW()</f>
        <v>472</v>
      </c>
      <c r="D472" t="s">
        <v>251</v>
      </c>
      <c r="E472" t="s">
        <v>252</v>
      </c>
      <c r="G472">
        <v>-1451187</v>
      </c>
      <c r="J472" t="str">
        <f>IF(A472&lt;WORKSHEET!$R$2,WORKSHEET!$C$2,IF(B472="Air Waybill Number",C472,J471))</f>
        <v>774306099460</v>
      </c>
      <c r="K472" t="str">
        <f t="shared" si="56"/>
        <v>870069727</v>
      </c>
      <c r="L472" t="str">
        <f t="shared" si="57"/>
        <v>13 Dec 2023</v>
      </c>
      <c r="M472" t="str">
        <f t="shared" si="58"/>
        <v/>
      </c>
      <c r="N472" t="str">
        <f t="shared" si="59"/>
        <v>12/01/2023</v>
      </c>
      <c r="O472" t="str">
        <f t="shared" si="60"/>
        <v/>
      </c>
      <c r="P472" t="str">
        <f t="shared" si="61"/>
        <v/>
      </c>
      <c r="Q472" t="str">
        <f t="shared" si="62"/>
        <v/>
      </c>
      <c r="R472" t="str">
        <f t="shared" si="63"/>
        <v/>
      </c>
    </row>
    <row r="473" spans="1:18" x14ac:dyDescent="0.25">
      <c r="A473">
        <f>ROW()</f>
        <v>473</v>
      </c>
      <c r="B473" t="s">
        <v>256</v>
      </c>
      <c r="C473" t="s">
        <v>529</v>
      </c>
      <c r="D473" t="s">
        <v>254</v>
      </c>
      <c r="E473" t="s">
        <v>12</v>
      </c>
      <c r="G473">
        <v>130482</v>
      </c>
      <c r="J473" t="str">
        <f>IF(A473&lt;WORKSHEET!$R$2,WORKSHEET!$C$2,IF(B473="Air Waybill Number",C473,J472))</f>
        <v>774306099460</v>
      </c>
      <c r="K473" t="str">
        <f t="shared" si="56"/>
        <v>870069727</v>
      </c>
      <c r="L473" t="str">
        <f t="shared" si="57"/>
        <v>13 Dec 2023</v>
      </c>
      <c r="M473" t="str">
        <f t="shared" si="58"/>
        <v/>
      </c>
      <c r="N473" t="str">
        <f t="shared" si="59"/>
        <v>12/01/2023</v>
      </c>
      <c r="O473" t="str">
        <f t="shared" si="60"/>
        <v/>
      </c>
      <c r="P473" t="str">
        <f t="shared" si="61"/>
        <v/>
      </c>
      <c r="Q473" t="str">
        <f t="shared" si="62"/>
        <v/>
      </c>
      <c r="R473" t="str">
        <f t="shared" si="63"/>
        <v/>
      </c>
    </row>
    <row r="474" spans="1:18" x14ac:dyDescent="0.25">
      <c r="A474">
        <f>ROW()</f>
        <v>474</v>
      </c>
      <c r="D474" t="s">
        <v>254</v>
      </c>
      <c r="E474" t="s">
        <v>260</v>
      </c>
      <c r="G474">
        <v>32000</v>
      </c>
      <c r="J474" t="str">
        <f>IF(A474&lt;WORKSHEET!$R$2,WORKSHEET!$C$2,IF(B474="Air Waybill Number",C474,J473))</f>
        <v>774306099460</v>
      </c>
      <c r="K474" t="str">
        <f t="shared" si="56"/>
        <v>870069727</v>
      </c>
      <c r="L474" t="str">
        <f t="shared" si="57"/>
        <v>13 Dec 2023</v>
      </c>
      <c r="M474" t="str">
        <f t="shared" si="58"/>
        <v/>
      </c>
      <c r="N474" t="str">
        <f t="shared" si="59"/>
        <v>12/01/2023</v>
      </c>
      <c r="O474" t="str">
        <f t="shared" si="60"/>
        <v/>
      </c>
      <c r="P474" t="str">
        <f t="shared" si="61"/>
        <v/>
      </c>
      <c r="Q474" t="str">
        <f t="shared" si="62"/>
        <v/>
      </c>
      <c r="R474" t="str">
        <f t="shared" si="63"/>
        <v/>
      </c>
    </row>
    <row r="475" spans="1:18" x14ac:dyDescent="0.25">
      <c r="A475">
        <f>ROW()</f>
        <v>475</v>
      </c>
      <c r="D475" t="s">
        <v>261</v>
      </c>
      <c r="G475">
        <v>6141</v>
      </c>
      <c r="J475" t="str">
        <f>IF(A475&lt;WORKSHEET!$R$2,WORKSHEET!$C$2,IF(B475="Air Waybill Number",C475,J474))</f>
        <v>774306099460</v>
      </c>
      <c r="K475" t="str">
        <f t="shared" si="56"/>
        <v>870069727</v>
      </c>
      <c r="L475" t="str">
        <f t="shared" si="57"/>
        <v>13 Dec 2023</v>
      </c>
      <c r="M475" t="str">
        <f t="shared" si="58"/>
        <v/>
      </c>
      <c r="N475" t="str">
        <f t="shared" si="59"/>
        <v>12/01/2023</v>
      </c>
      <c r="O475" t="str">
        <f t="shared" si="60"/>
        <v/>
      </c>
      <c r="P475" t="str">
        <f t="shared" si="61"/>
        <v/>
      </c>
      <c r="Q475" t="str">
        <f t="shared" si="62"/>
        <v/>
      </c>
      <c r="R475" t="str">
        <f t="shared" si="63"/>
        <v/>
      </c>
    </row>
    <row r="476" spans="1:18" x14ac:dyDescent="0.25">
      <c r="A476">
        <f>ROW()</f>
        <v>476</v>
      </c>
      <c r="D476" t="s">
        <v>14</v>
      </c>
      <c r="G476">
        <v>564436</v>
      </c>
      <c r="J476" t="str">
        <f>IF(A476&lt;WORKSHEET!$R$2,WORKSHEET!$C$2,IF(B476="Air Waybill Number",C476,J475))</f>
        <v>774306099460</v>
      </c>
      <c r="K476" t="str">
        <f t="shared" si="56"/>
        <v>870069727</v>
      </c>
      <c r="L476" t="str">
        <f t="shared" si="57"/>
        <v>13 Dec 2023</v>
      </c>
      <c r="M476" t="str">
        <f t="shared" si="58"/>
        <v/>
      </c>
      <c r="N476" t="str">
        <f t="shared" si="59"/>
        <v>12/01/2023</v>
      </c>
      <c r="O476" t="str">
        <f t="shared" si="60"/>
        <v/>
      </c>
      <c r="P476" t="str">
        <f t="shared" si="61"/>
        <v/>
      </c>
      <c r="Q476" t="str">
        <f t="shared" si="62"/>
        <v/>
      </c>
      <c r="R476" t="str">
        <f t="shared" si="63"/>
        <v/>
      </c>
    </row>
    <row r="477" spans="1:18" x14ac:dyDescent="0.25">
      <c r="A477">
        <f>ROW()</f>
        <v>477</v>
      </c>
      <c r="D477" t="s">
        <v>367</v>
      </c>
      <c r="J477" t="str">
        <f>IF(A477&lt;WORKSHEET!$R$2,WORKSHEET!$C$2,IF(B477="Air Waybill Number",C477,J476))</f>
        <v>774306099460</v>
      </c>
      <c r="K477" t="str">
        <f t="shared" si="56"/>
        <v>870069727</v>
      </c>
      <c r="L477" t="str">
        <f t="shared" si="57"/>
        <v>13 Dec 2023</v>
      </c>
      <c r="M477" t="str">
        <f t="shared" si="58"/>
        <v/>
      </c>
      <c r="N477" t="str">
        <f t="shared" si="59"/>
        <v>12/01/2023</v>
      </c>
      <c r="O477" t="str">
        <f t="shared" si="60"/>
        <v/>
      </c>
      <c r="P477" t="str">
        <f t="shared" si="61"/>
        <v/>
      </c>
      <c r="Q477" t="str">
        <f t="shared" si="62"/>
        <v/>
      </c>
      <c r="R477" t="str">
        <f t="shared" si="63"/>
        <v/>
      </c>
    </row>
    <row r="478" spans="1:18" x14ac:dyDescent="0.25">
      <c r="A478">
        <f>ROW()</f>
        <v>478</v>
      </c>
      <c r="D478" t="s">
        <v>530</v>
      </c>
      <c r="J478" t="str">
        <f>IF(A478&lt;WORKSHEET!$R$2,WORKSHEET!$C$2,IF(B478="Air Waybill Number",C478,J477))</f>
        <v>774306099460</v>
      </c>
      <c r="K478" t="str">
        <f t="shared" si="56"/>
        <v>870069727</v>
      </c>
      <c r="L478" t="str">
        <f t="shared" si="57"/>
        <v>13 Dec 2023</v>
      </c>
      <c r="M478" t="str">
        <f t="shared" si="58"/>
        <v/>
      </c>
      <c r="N478" t="str">
        <f t="shared" si="59"/>
        <v>12/01/2023</v>
      </c>
      <c r="O478" t="str">
        <f t="shared" si="60"/>
        <v/>
      </c>
      <c r="P478" t="str">
        <f t="shared" si="61"/>
        <v/>
      </c>
      <c r="Q478" t="str">
        <f t="shared" si="62"/>
        <v/>
      </c>
      <c r="R478" t="str">
        <f t="shared" si="63"/>
        <v/>
      </c>
    </row>
    <row r="479" spans="1:18" x14ac:dyDescent="0.25">
      <c r="A479">
        <f>ROW()</f>
        <v>479</v>
      </c>
      <c r="B479" t="s">
        <v>226</v>
      </c>
      <c r="C479" t="s">
        <v>518</v>
      </c>
      <c r="D479" t="s">
        <v>290</v>
      </c>
      <c r="E479" t="s">
        <v>450</v>
      </c>
      <c r="J479" t="str">
        <f>IF(A479&lt;WORKSHEET!$R$2,WORKSHEET!$C$2,IF(B479="Air Waybill Number",C479,J478))</f>
        <v>774306099460</v>
      </c>
      <c r="K479" t="str">
        <f t="shared" si="56"/>
        <v>870069727</v>
      </c>
      <c r="L479" t="str">
        <f t="shared" si="57"/>
        <v>13 Dec 2023</v>
      </c>
      <c r="M479" t="str">
        <f t="shared" si="58"/>
        <v/>
      </c>
      <c r="N479" t="str">
        <f t="shared" si="59"/>
        <v>12/01/2023</v>
      </c>
      <c r="O479" t="str">
        <f t="shared" si="60"/>
        <v>MS. MERCY</v>
      </c>
      <c r="P479" t="str">
        <f t="shared" si="61"/>
        <v>GISTEX GARMEN INDONESIA</v>
      </c>
      <c r="Q479" t="str">
        <f t="shared" si="62"/>
        <v>DEREK SHANG</v>
      </c>
      <c r="R479" t="str">
        <f t="shared" si="63"/>
        <v>SHAOXING RAYSAR TEXTILE CO.,LT</v>
      </c>
    </row>
    <row r="480" spans="1:18" x14ac:dyDescent="0.25">
      <c r="A480">
        <f>ROW()</f>
        <v>480</v>
      </c>
      <c r="B480" t="s">
        <v>232</v>
      </c>
      <c r="C480" t="s">
        <v>109</v>
      </c>
      <c r="D480" t="s">
        <v>43</v>
      </c>
      <c r="E480" t="s">
        <v>110</v>
      </c>
      <c r="J480" t="str">
        <f>IF(A480&lt;WORKSHEET!$R$2,WORKSHEET!$C$2,IF(B480="Air Waybill Number",C480,J479))</f>
        <v>774273481327</v>
      </c>
      <c r="K480" t="str">
        <f t="shared" si="56"/>
        <v>870069727</v>
      </c>
      <c r="L480" t="str">
        <f t="shared" si="57"/>
        <v>13 Dec 2023</v>
      </c>
      <c r="M480" t="str">
        <f t="shared" si="58"/>
        <v>774273481327-1</v>
      </c>
      <c r="N480" t="str">
        <f t="shared" si="59"/>
        <v>12/01/2023</v>
      </c>
      <c r="O480" t="str">
        <f t="shared" si="60"/>
        <v/>
      </c>
      <c r="P480" t="str">
        <f t="shared" si="61"/>
        <v/>
      </c>
      <c r="Q480" t="str">
        <f t="shared" si="62"/>
        <v/>
      </c>
      <c r="R480" t="str">
        <f t="shared" si="63"/>
        <v/>
      </c>
    </row>
    <row r="481" spans="1:18" x14ac:dyDescent="0.25">
      <c r="A481">
        <f>ROW()</f>
        <v>481</v>
      </c>
      <c r="B481" t="s">
        <v>233</v>
      </c>
      <c r="C481" t="s">
        <v>292</v>
      </c>
      <c r="D481" t="s">
        <v>41</v>
      </c>
      <c r="E481" t="s">
        <v>111</v>
      </c>
      <c r="J481" t="str">
        <f>IF(A481&lt;WORKSHEET!$R$2,WORKSHEET!$C$2,IF(B481="Air Waybill Number",C481,J480))</f>
        <v>774273481327</v>
      </c>
      <c r="K481" t="str">
        <f t="shared" si="56"/>
        <v>870069727</v>
      </c>
      <c r="L481" t="str">
        <f t="shared" si="57"/>
        <v>13 Dec 2023</v>
      </c>
      <c r="M481" t="str">
        <f t="shared" si="58"/>
        <v/>
      </c>
      <c r="N481" t="str">
        <f t="shared" si="59"/>
        <v>12/01/2023</v>
      </c>
      <c r="O481" t="str">
        <f t="shared" si="60"/>
        <v/>
      </c>
      <c r="P481" t="str">
        <f t="shared" si="61"/>
        <v/>
      </c>
      <c r="Q481" t="str">
        <f t="shared" si="62"/>
        <v/>
      </c>
      <c r="R481" t="str">
        <f t="shared" si="63"/>
        <v/>
      </c>
    </row>
    <row r="482" spans="1:18" x14ac:dyDescent="0.25">
      <c r="A482">
        <f>ROW()</f>
        <v>482</v>
      </c>
      <c r="B482" t="s">
        <v>237</v>
      </c>
      <c r="C482" t="s">
        <v>238</v>
      </c>
      <c r="D482" t="s">
        <v>293</v>
      </c>
      <c r="E482" t="s">
        <v>531</v>
      </c>
      <c r="J482" t="str">
        <f>IF(A482&lt;WORKSHEET!$R$2,WORKSHEET!$C$2,IF(B482="Air Waybill Number",C482,J481))</f>
        <v>774273481327</v>
      </c>
      <c r="K482" t="str">
        <f t="shared" si="56"/>
        <v>870069727</v>
      </c>
      <c r="L482" t="str">
        <f t="shared" si="57"/>
        <v>13 Dec 2023</v>
      </c>
      <c r="M482" t="str">
        <f t="shared" si="58"/>
        <v/>
      </c>
      <c r="N482" t="str">
        <f t="shared" si="59"/>
        <v>12/01/2023</v>
      </c>
      <c r="O482" t="str">
        <f t="shared" si="60"/>
        <v/>
      </c>
      <c r="P482" t="str">
        <f t="shared" si="61"/>
        <v/>
      </c>
      <c r="Q482" t="str">
        <f t="shared" si="62"/>
        <v/>
      </c>
      <c r="R482" t="str">
        <f t="shared" si="63"/>
        <v/>
      </c>
    </row>
    <row r="483" spans="1:18" x14ac:dyDescent="0.25">
      <c r="A483">
        <f>ROW()</f>
        <v>483</v>
      </c>
      <c r="B483" t="s">
        <v>241</v>
      </c>
      <c r="C483" t="s">
        <v>295</v>
      </c>
      <c r="D483" t="s">
        <v>296</v>
      </c>
      <c r="E483" t="s">
        <v>532</v>
      </c>
      <c r="J483" t="str">
        <f>IF(A483&lt;WORKSHEET!$R$2,WORKSHEET!$C$2,IF(B483="Air Waybill Number",C483,J482))</f>
        <v>774273481327</v>
      </c>
      <c r="K483" t="str">
        <f t="shared" si="56"/>
        <v>870069727</v>
      </c>
      <c r="L483" t="str">
        <f t="shared" si="57"/>
        <v>13 Dec 2023</v>
      </c>
      <c r="M483" t="str">
        <f t="shared" si="58"/>
        <v/>
      </c>
      <c r="N483" t="str">
        <f t="shared" si="59"/>
        <v>12/01/2023</v>
      </c>
      <c r="O483" t="str">
        <f t="shared" si="60"/>
        <v/>
      </c>
      <c r="P483" t="str">
        <f t="shared" si="61"/>
        <v/>
      </c>
      <c r="Q483" t="str">
        <f t="shared" si="62"/>
        <v/>
      </c>
      <c r="R483" t="str">
        <f t="shared" si="63"/>
        <v/>
      </c>
    </row>
    <row r="484" spans="1:18" x14ac:dyDescent="0.25">
      <c r="A484">
        <f>ROW()</f>
        <v>484</v>
      </c>
      <c r="B484" t="s">
        <v>286</v>
      </c>
      <c r="C484" t="s">
        <v>299</v>
      </c>
      <c r="D484" t="s">
        <v>300</v>
      </c>
      <c r="E484" t="s">
        <v>533</v>
      </c>
      <c r="F484" t="s">
        <v>534</v>
      </c>
      <c r="J484" t="str">
        <f>IF(A484&lt;WORKSHEET!$R$2,WORKSHEET!$C$2,IF(B484="Air Waybill Number",C484,J483))</f>
        <v>774273481327</v>
      </c>
      <c r="K484" t="str">
        <f t="shared" si="56"/>
        <v>870069727</v>
      </c>
      <c r="L484" t="str">
        <f t="shared" si="57"/>
        <v>13 Dec 2023</v>
      </c>
      <c r="M484" t="str">
        <f t="shared" si="58"/>
        <v/>
      </c>
      <c r="N484" t="str">
        <f t="shared" si="59"/>
        <v>12/01/2023</v>
      </c>
      <c r="O484" t="str">
        <f t="shared" si="60"/>
        <v/>
      </c>
      <c r="P484" t="str">
        <f t="shared" si="61"/>
        <v/>
      </c>
      <c r="Q484" t="str">
        <f t="shared" si="62"/>
        <v/>
      </c>
      <c r="R484" t="str">
        <f t="shared" si="63"/>
        <v/>
      </c>
    </row>
    <row r="485" spans="1:18" x14ac:dyDescent="0.25">
      <c r="A485">
        <f>ROW()</f>
        <v>485</v>
      </c>
      <c r="B485" t="s">
        <v>249</v>
      </c>
      <c r="C485" t="s">
        <v>535</v>
      </c>
      <c r="D485" t="s">
        <v>248</v>
      </c>
      <c r="G485">
        <v>570000</v>
      </c>
      <c r="J485" t="str">
        <f>IF(A485&lt;WORKSHEET!$R$2,WORKSHEET!$C$2,IF(B485="Air Waybill Number",C485,J484))</f>
        <v>774273481327</v>
      </c>
      <c r="K485" t="str">
        <f t="shared" si="56"/>
        <v>870069727</v>
      </c>
      <c r="L485" t="str">
        <f t="shared" si="57"/>
        <v>13 Dec 2023</v>
      </c>
      <c r="M485" t="str">
        <f t="shared" si="58"/>
        <v/>
      </c>
      <c r="N485" t="str">
        <f t="shared" si="59"/>
        <v>12/01/2023</v>
      </c>
      <c r="O485" t="str">
        <f t="shared" si="60"/>
        <v/>
      </c>
      <c r="P485" t="str">
        <f t="shared" si="61"/>
        <v/>
      </c>
      <c r="Q485" t="str">
        <f t="shared" si="62"/>
        <v/>
      </c>
      <c r="R485" t="str">
        <f t="shared" si="63"/>
        <v/>
      </c>
    </row>
    <row r="486" spans="1:18" x14ac:dyDescent="0.25">
      <c r="A486">
        <f>ROW()</f>
        <v>486</v>
      </c>
      <c r="C486" t="s">
        <v>536</v>
      </c>
      <c r="D486" t="s">
        <v>251</v>
      </c>
      <c r="E486" t="s">
        <v>252</v>
      </c>
      <c r="G486">
        <v>-406866</v>
      </c>
      <c r="J486" t="str">
        <f>IF(A486&lt;WORKSHEET!$R$2,WORKSHEET!$C$2,IF(B486="Air Waybill Number",C486,J485))</f>
        <v>774273481327</v>
      </c>
      <c r="K486" t="str">
        <f t="shared" si="56"/>
        <v>870069727</v>
      </c>
      <c r="L486" t="str">
        <f t="shared" si="57"/>
        <v>13 Dec 2023</v>
      </c>
      <c r="M486" t="str">
        <f t="shared" si="58"/>
        <v/>
      </c>
      <c r="N486" t="str">
        <f t="shared" si="59"/>
        <v>12/01/2023</v>
      </c>
      <c r="O486" t="str">
        <f t="shared" si="60"/>
        <v/>
      </c>
      <c r="P486" t="str">
        <f t="shared" si="61"/>
        <v/>
      </c>
      <c r="Q486" t="str">
        <f t="shared" si="62"/>
        <v/>
      </c>
      <c r="R486" t="str">
        <f t="shared" si="63"/>
        <v/>
      </c>
    </row>
    <row r="487" spans="1:18" x14ac:dyDescent="0.25">
      <c r="A487">
        <f>ROW()</f>
        <v>487</v>
      </c>
      <c r="D487" t="s">
        <v>254</v>
      </c>
      <c r="E487" t="s">
        <v>12</v>
      </c>
      <c r="G487">
        <v>54635</v>
      </c>
      <c r="J487" t="str">
        <f>IF(A487&lt;WORKSHEET!$R$2,WORKSHEET!$C$2,IF(B487="Air Waybill Number",C487,J486))</f>
        <v>774273481327</v>
      </c>
      <c r="K487" t="str">
        <f t="shared" si="56"/>
        <v>870069727</v>
      </c>
      <c r="L487" t="str">
        <f t="shared" si="57"/>
        <v>13 Dec 2023</v>
      </c>
      <c r="M487" t="str">
        <f t="shared" si="58"/>
        <v/>
      </c>
      <c r="N487" t="str">
        <f t="shared" si="59"/>
        <v>12/01/2023</v>
      </c>
      <c r="O487" t="str">
        <f t="shared" si="60"/>
        <v/>
      </c>
      <c r="P487" t="str">
        <f t="shared" si="61"/>
        <v/>
      </c>
      <c r="Q487" t="str">
        <f t="shared" si="62"/>
        <v/>
      </c>
      <c r="R487" t="str">
        <f t="shared" si="63"/>
        <v/>
      </c>
    </row>
    <row r="488" spans="1:18" x14ac:dyDescent="0.25">
      <c r="A488">
        <f>ROW()</f>
        <v>488</v>
      </c>
      <c r="D488" t="s">
        <v>254</v>
      </c>
      <c r="E488" t="s">
        <v>260</v>
      </c>
      <c r="G488">
        <v>16000</v>
      </c>
      <c r="J488" t="str">
        <f>IF(A488&lt;WORKSHEET!$R$2,WORKSHEET!$C$2,IF(B488="Air Waybill Number",C488,J487))</f>
        <v>774273481327</v>
      </c>
      <c r="K488" t="str">
        <f t="shared" si="56"/>
        <v>870069727</v>
      </c>
      <c r="L488" t="str">
        <f t="shared" si="57"/>
        <v>13 Dec 2023</v>
      </c>
      <c r="M488" t="str">
        <f t="shared" si="58"/>
        <v/>
      </c>
      <c r="N488" t="str">
        <f t="shared" si="59"/>
        <v>12/01/2023</v>
      </c>
      <c r="O488" t="str">
        <f t="shared" si="60"/>
        <v/>
      </c>
      <c r="P488" t="str">
        <f t="shared" si="61"/>
        <v/>
      </c>
      <c r="Q488" t="str">
        <f t="shared" si="62"/>
        <v/>
      </c>
      <c r="R488" t="str">
        <f t="shared" si="63"/>
        <v/>
      </c>
    </row>
    <row r="489" spans="1:18" x14ac:dyDescent="0.25">
      <c r="A489">
        <f>ROW()</f>
        <v>489</v>
      </c>
      <c r="D489" t="s">
        <v>261</v>
      </c>
      <c r="G489">
        <v>2571</v>
      </c>
      <c r="J489" t="str">
        <f>IF(A489&lt;WORKSHEET!$R$2,WORKSHEET!$C$2,IF(B489="Air Waybill Number",C489,J488))</f>
        <v>774273481327</v>
      </c>
      <c r="K489" t="str">
        <f t="shared" si="56"/>
        <v>870069727</v>
      </c>
      <c r="L489" t="str">
        <f t="shared" si="57"/>
        <v>13 Dec 2023</v>
      </c>
      <c r="M489" t="str">
        <f t="shared" si="58"/>
        <v/>
      </c>
      <c r="N489" t="str">
        <f t="shared" si="59"/>
        <v>12/01/2023</v>
      </c>
      <c r="O489" t="str">
        <f t="shared" si="60"/>
        <v/>
      </c>
      <c r="P489" t="str">
        <f t="shared" si="61"/>
        <v/>
      </c>
      <c r="Q489" t="str">
        <f t="shared" si="62"/>
        <v/>
      </c>
      <c r="R489" t="str">
        <f t="shared" si="63"/>
        <v/>
      </c>
    </row>
    <row r="490" spans="1:18" x14ac:dyDescent="0.25">
      <c r="A490">
        <f>ROW()</f>
        <v>490</v>
      </c>
      <c r="D490" t="s">
        <v>14</v>
      </c>
      <c r="G490">
        <v>236340</v>
      </c>
      <c r="J490" t="str">
        <f>IF(A490&lt;WORKSHEET!$R$2,WORKSHEET!$C$2,IF(B490="Air Waybill Number",C490,J489))</f>
        <v>774273481327</v>
      </c>
      <c r="K490" t="str">
        <f t="shared" si="56"/>
        <v>870069727</v>
      </c>
      <c r="L490" t="str">
        <f t="shared" si="57"/>
        <v>13 Dec 2023</v>
      </c>
      <c r="M490" t="str">
        <f t="shared" si="58"/>
        <v/>
      </c>
      <c r="N490" t="str">
        <f t="shared" si="59"/>
        <v>12/01/2023</v>
      </c>
      <c r="O490" t="str">
        <f t="shared" si="60"/>
        <v/>
      </c>
      <c r="P490" t="str">
        <f t="shared" si="61"/>
        <v/>
      </c>
      <c r="Q490" t="str">
        <f t="shared" si="62"/>
        <v/>
      </c>
      <c r="R490" t="str">
        <f t="shared" si="63"/>
        <v/>
      </c>
    </row>
    <row r="491" spans="1:18" x14ac:dyDescent="0.25">
      <c r="A491">
        <f>ROW()</f>
        <v>491</v>
      </c>
      <c r="B491" t="s">
        <v>226</v>
      </c>
      <c r="C491" t="s">
        <v>537</v>
      </c>
      <c r="D491" t="s">
        <v>290</v>
      </c>
      <c r="E491" t="s">
        <v>481</v>
      </c>
      <c r="J491" t="str">
        <f>IF(A491&lt;WORKSHEET!$R$2,WORKSHEET!$C$2,IF(B491="Air Waybill Number",C491,J490))</f>
        <v>774273481327</v>
      </c>
      <c r="K491" t="str">
        <f t="shared" si="56"/>
        <v>870069727</v>
      </c>
      <c r="L491" t="str">
        <f t="shared" si="57"/>
        <v>13 Dec 2023</v>
      </c>
      <c r="M491" t="str">
        <f t="shared" si="58"/>
        <v/>
      </c>
      <c r="N491" t="str">
        <f t="shared" si="59"/>
        <v>12/05/2023</v>
      </c>
      <c r="O491" t="str">
        <f t="shared" si="60"/>
        <v>WINTA</v>
      </c>
      <c r="P491" t="str">
        <f t="shared" si="61"/>
        <v>GISTEX GARMEN INDONESIA</v>
      </c>
      <c r="Q491" t="str">
        <f t="shared" si="62"/>
        <v>WINNIE CHOW</v>
      </c>
      <c r="R491" t="str">
        <f t="shared" si="63"/>
        <v>HEXAPOLE COMPANY LIMITED</v>
      </c>
    </row>
    <row r="492" spans="1:18" x14ac:dyDescent="0.25">
      <c r="A492">
        <f>ROW()</f>
        <v>492</v>
      </c>
      <c r="B492" t="s">
        <v>232</v>
      </c>
      <c r="C492" t="s">
        <v>112</v>
      </c>
      <c r="D492" t="s">
        <v>96</v>
      </c>
      <c r="E492" t="s">
        <v>97</v>
      </c>
      <c r="J492" t="str">
        <f>IF(A492&lt;WORKSHEET!$R$2,WORKSHEET!$C$2,IF(B492="Air Waybill Number",C492,J491))</f>
        <v>774346736332</v>
      </c>
      <c r="K492" t="str">
        <f t="shared" si="56"/>
        <v>870069727</v>
      </c>
      <c r="L492" t="str">
        <f t="shared" si="57"/>
        <v>13 Dec 2023</v>
      </c>
      <c r="M492" t="str">
        <f t="shared" si="58"/>
        <v>774346736332-1</v>
      </c>
      <c r="N492" t="str">
        <f t="shared" si="59"/>
        <v>12/05/2023</v>
      </c>
      <c r="O492" t="str">
        <f t="shared" si="60"/>
        <v/>
      </c>
      <c r="P492" t="str">
        <f t="shared" si="61"/>
        <v/>
      </c>
      <c r="Q492" t="str">
        <f t="shared" si="62"/>
        <v/>
      </c>
      <c r="R492" t="str">
        <f t="shared" si="63"/>
        <v/>
      </c>
    </row>
    <row r="493" spans="1:18" x14ac:dyDescent="0.25">
      <c r="A493">
        <f>ROW()</f>
        <v>493</v>
      </c>
      <c r="B493" t="s">
        <v>233</v>
      </c>
      <c r="C493" t="s">
        <v>482</v>
      </c>
      <c r="D493" t="s">
        <v>41</v>
      </c>
      <c r="E493" t="s">
        <v>98</v>
      </c>
      <c r="J493" t="str">
        <f>IF(A493&lt;WORKSHEET!$R$2,WORKSHEET!$C$2,IF(B493="Air Waybill Number",C493,J492))</f>
        <v>774346736332</v>
      </c>
      <c r="K493" t="str">
        <f t="shared" si="56"/>
        <v>870069727</v>
      </c>
      <c r="L493" t="str">
        <f t="shared" si="57"/>
        <v>13 Dec 2023</v>
      </c>
      <c r="M493" t="str">
        <f t="shared" si="58"/>
        <v/>
      </c>
      <c r="N493" t="str">
        <f t="shared" si="59"/>
        <v>12/05/2023</v>
      </c>
      <c r="O493" t="str">
        <f t="shared" si="60"/>
        <v/>
      </c>
      <c r="P493" t="str">
        <f t="shared" si="61"/>
        <v/>
      </c>
      <c r="Q493" t="str">
        <f t="shared" si="62"/>
        <v/>
      </c>
      <c r="R493" t="str">
        <f t="shared" si="63"/>
        <v/>
      </c>
    </row>
    <row r="494" spans="1:18" x14ac:dyDescent="0.25">
      <c r="A494">
        <f>ROW()</f>
        <v>494</v>
      </c>
      <c r="B494" t="s">
        <v>237</v>
      </c>
      <c r="C494" t="s">
        <v>238</v>
      </c>
      <c r="D494" t="s">
        <v>293</v>
      </c>
      <c r="E494" t="s">
        <v>483</v>
      </c>
      <c r="J494" t="str">
        <f>IF(A494&lt;WORKSHEET!$R$2,WORKSHEET!$C$2,IF(B494="Air Waybill Number",C494,J493))</f>
        <v>774346736332</v>
      </c>
      <c r="K494" t="str">
        <f t="shared" si="56"/>
        <v>870069727</v>
      </c>
      <c r="L494" t="str">
        <f t="shared" si="57"/>
        <v>13 Dec 2023</v>
      </c>
      <c r="M494" t="str">
        <f t="shared" si="58"/>
        <v/>
      </c>
      <c r="N494" t="str">
        <f t="shared" si="59"/>
        <v>12/05/2023</v>
      </c>
      <c r="O494" t="str">
        <f t="shared" si="60"/>
        <v/>
      </c>
      <c r="P494" t="str">
        <f t="shared" si="61"/>
        <v/>
      </c>
      <c r="Q494" t="str">
        <f t="shared" si="62"/>
        <v/>
      </c>
      <c r="R494" t="str">
        <f t="shared" si="63"/>
        <v/>
      </c>
    </row>
    <row r="495" spans="1:18" x14ac:dyDescent="0.25">
      <c r="A495">
        <f>ROW()</f>
        <v>495</v>
      </c>
      <c r="B495" t="s">
        <v>241</v>
      </c>
      <c r="C495" t="s">
        <v>538</v>
      </c>
      <c r="D495" t="s">
        <v>296</v>
      </c>
      <c r="E495" t="s">
        <v>484</v>
      </c>
      <c r="J495" t="str">
        <f>IF(A495&lt;WORKSHEET!$R$2,WORKSHEET!$C$2,IF(B495="Air Waybill Number",C495,J494))</f>
        <v>774346736332</v>
      </c>
      <c r="K495" t="str">
        <f t="shared" si="56"/>
        <v>870069727</v>
      </c>
      <c r="L495" t="str">
        <f t="shared" si="57"/>
        <v>13 Dec 2023</v>
      </c>
      <c r="M495" t="str">
        <f t="shared" si="58"/>
        <v/>
      </c>
      <c r="N495" t="str">
        <f t="shared" si="59"/>
        <v>12/05/2023</v>
      </c>
      <c r="O495" t="str">
        <f t="shared" si="60"/>
        <v/>
      </c>
      <c r="P495" t="str">
        <f t="shared" si="61"/>
        <v/>
      </c>
      <c r="Q495" t="str">
        <f t="shared" si="62"/>
        <v/>
      </c>
      <c r="R495" t="str">
        <f t="shared" si="63"/>
        <v/>
      </c>
    </row>
    <row r="496" spans="1:18" x14ac:dyDescent="0.25">
      <c r="A496">
        <f>ROW()</f>
        <v>496</v>
      </c>
      <c r="B496" t="s">
        <v>286</v>
      </c>
      <c r="C496" t="s">
        <v>299</v>
      </c>
      <c r="D496" t="s">
        <v>300</v>
      </c>
      <c r="E496" t="s">
        <v>520</v>
      </c>
      <c r="F496" t="s">
        <v>343</v>
      </c>
      <c r="J496" t="str">
        <f>IF(A496&lt;WORKSHEET!$R$2,WORKSHEET!$C$2,IF(B496="Air Waybill Number",C496,J495))</f>
        <v>774346736332</v>
      </c>
      <c r="K496" t="str">
        <f t="shared" si="56"/>
        <v>870069727</v>
      </c>
      <c r="L496" t="str">
        <f t="shared" si="57"/>
        <v>13 Dec 2023</v>
      </c>
      <c r="M496" t="str">
        <f t="shared" si="58"/>
        <v/>
      </c>
      <c r="N496" t="str">
        <f t="shared" si="59"/>
        <v>12/05/2023</v>
      </c>
      <c r="O496" t="str">
        <f t="shared" si="60"/>
        <v/>
      </c>
      <c r="P496" t="str">
        <f t="shared" si="61"/>
        <v/>
      </c>
      <c r="Q496" t="str">
        <f t="shared" si="62"/>
        <v/>
      </c>
      <c r="R496" t="str">
        <f t="shared" si="63"/>
        <v/>
      </c>
    </row>
    <row r="497" spans="1:18" x14ac:dyDescent="0.25">
      <c r="A497">
        <f>ROW()</f>
        <v>497</v>
      </c>
      <c r="B497" t="s">
        <v>249</v>
      </c>
      <c r="C497" t="s">
        <v>539</v>
      </c>
      <c r="D497" t="s">
        <v>248</v>
      </c>
      <c r="H497">
        <v>1635000</v>
      </c>
      <c r="J497" t="str">
        <f>IF(A497&lt;WORKSHEET!$R$2,WORKSHEET!$C$2,IF(B497="Air Waybill Number",C497,J496))</f>
        <v>774346736332</v>
      </c>
      <c r="K497" t="str">
        <f t="shared" si="56"/>
        <v>870069727</v>
      </c>
      <c r="L497" t="str">
        <f t="shared" si="57"/>
        <v>13 Dec 2023</v>
      </c>
      <c r="M497" t="str">
        <f t="shared" si="58"/>
        <v/>
      </c>
      <c r="N497" t="str">
        <f t="shared" si="59"/>
        <v>12/05/2023</v>
      </c>
      <c r="O497" t="str">
        <f t="shared" si="60"/>
        <v/>
      </c>
      <c r="P497" t="str">
        <f t="shared" si="61"/>
        <v/>
      </c>
      <c r="Q497" t="str">
        <f t="shared" si="62"/>
        <v/>
      </c>
      <c r="R497" t="str">
        <f t="shared" si="63"/>
        <v/>
      </c>
    </row>
    <row r="498" spans="1:18" x14ac:dyDescent="0.25">
      <c r="A498">
        <f>ROW()</f>
        <v>498</v>
      </c>
      <c r="D498" t="s">
        <v>251</v>
      </c>
      <c r="E498" t="s">
        <v>252</v>
      </c>
      <c r="H498">
        <v>-1331380</v>
      </c>
      <c r="J498" t="str">
        <f>IF(A498&lt;WORKSHEET!$R$2,WORKSHEET!$C$2,IF(B498="Air Waybill Number",C498,J497))</f>
        <v>774346736332</v>
      </c>
      <c r="K498" t="str">
        <f t="shared" si="56"/>
        <v>870069727</v>
      </c>
      <c r="L498" t="str">
        <f t="shared" si="57"/>
        <v>13 Dec 2023</v>
      </c>
      <c r="M498" t="str">
        <f t="shared" si="58"/>
        <v/>
      </c>
      <c r="N498" t="str">
        <f t="shared" si="59"/>
        <v>12/05/2023</v>
      </c>
      <c r="O498" t="str">
        <f t="shared" si="60"/>
        <v/>
      </c>
      <c r="P498" t="str">
        <f t="shared" si="61"/>
        <v/>
      </c>
      <c r="Q498" t="str">
        <f t="shared" si="62"/>
        <v/>
      </c>
      <c r="R498" t="str">
        <f t="shared" si="63"/>
        <v/>
      </c>
    </row>
    <row r="499" spans="1:18" x14ac:dyDescent="0.25">
      <c r="A499">
        <f>ROW()</f>
        <v>499</v>
      </c>
      <c r="D499" t="s">
        <v>254</v>
      </c>
      <c r="E499" t="s">
        <v>12</v>
      </c>
      <c r="H499">
        <v>101367</v>
      </c>
      <c r="J499" t="str">
        <f>IF(A499&lt;WORKSHEET!$R$2,WORKSHEET!$C$2,IF(B499="Air Waybill Number",C499,J498))</f>
        <v>774346736332</v>
      </c>
      <c r="K499" t="str">
        <f t="shared" si="56"/>
        <v>870069727</v>
      </c>
      <c r="L499" t="str">
        <f t="shared" si="57"/>
        <v>13 Dec 2023</v>
      </c>
      <c r="M499" t="str">
        <f t="shared" si="58"/>
        <v/>
      </c>
      <c r="N499" t="str">
        <f t="shared" si="59"/>
        <v>12/05/2023</v>
      </c>
      <c r="O499" t="str">
        <f t="shared" si="60"/>
        <v/>
      </c>
      <c r="P499" t="str">
        <f t="shared" si="61"/>
        <v/>
      </c>
      <c r="Q499" t="str">
        <f t="shared" si="62"/>
        <v/>
      </c>
      <c r="R499" t="str">
        <f t="shared" si="63"/>
        <v/>
      </c>
    </row>
    <row r="500" spans="1:18" x14ac:dyDescent="0.25">
      <c r="A500">
        <f>ROW()</f>
        <v>500</v>
      </c>
      <c r="D500" t="s">
        <v>254</v>
      </c>
      <c r="E500" t="s">
        <v>260</v>
      </c>
      <c r="H500">
        <v>40000</v>
      </c>
      <c r="J500" t="str">
        <f>IF(A500&lt;WORKSHEET!$R$2,WORKSHEET!$C$2,IF(B500="Air Waybill Number",C500,J499))</f>
        <v>774346736332</v>
      </c>
      <c r="K500" t="str">
        <f t="shared" si="56"/>
        <v>870069727</v>
      </c>
      <c r="L500" t="str">
        <f t="shared" si="57"/>
        <v>13 Dec 2023</v>
      </c>
      <c r="M500" t="str">
        <f t="shared" si="58"/>
        <v/>
      </c>
      <c r="N500" t="str">
        <f t="shared" si="59"/>
        <v>12/05/2023</v>
      </c>
      <c r="O500" t="str">
        <f t="shared" si="60"/>
        <v/>
      </c>
      <c r="P500" t="str">
        <f t="shared" si="61"/>
        <v/>
      </c>
      <c r="Q500" t="str">
        <f t="shared" si="62"/>
        <v/>
      </c>
      <c r="R500" t="str">
        <f t="shared" si="63"/>
        <v/>
      </c>
    </row>
    <row r="501" spans="1:18" x14ac:dyDescent="0.25">
      <c r="A501">
        <f>ROW()</f>
        <v>501</v>
      </c>
      <c r="D501" t="s">
        <v>261</v>
      </c>
      <c r="H501">
        <v>4894</v>
      </c>
      <c r="J501" t="str">
        <f>IF(A501&lt;WORKSHEET!$R$2,WORKSHEET!$C$2,IF(B501="Air Waybill Number",C501,J500))</f>
        <v>774346736332</v>
      </c>
      <c r="K501" t="str">
        <f t="shared" si="56"/>
        <v>870069727</v>
      </c>
      <c r="L501" t="str">
        <f t="shared" si="57"/>
        <v>13 Dec 2023</v>
      </c>
      <c r="M501" t="str">
        <f t="shared" si="58"/>
        <v/>
      </c>
      <c r="N501" t="str">
        <f t="shared" si="59"/>
        <v>12/05/2023</v>
      </c>
      <c r="O501" t="str">
        <f t="shared" si="60"/>
        <v/>
      </c>
      <c r="P501" t="str">
        <f t="shared" si="61"/>
        <v/>
      </c>
      <c r="Q501" t="str">
        <f t="shared" si="62"/>
        <v/>
      </c>
      <c r="R501" t="str">
        <f t="shared" si="63"/>
        <v/>
      </c>
    </row>
    <row r="502" spans="1:18" x14ac:dyDescent="0.25">
      <c r="A502">
        <f>ROW()</f>
        <v>502</v>
      </c>
      <c r="D502" t="s">
        <v>14</v>
      </c>
      <c r="H502">
        <v>449881</v>
      </c>
      <c r="J502" t="str">
        <f>IF(A502&lt;WORKSHEET!$R$2,WORKSHEET!$C$2,IF(B502="Air Waybill Number",C502,J501))</f>
        <v>774346736332</v>
      </c>
      <c r="K502" t="str">
        <f t="shared" si="56"/>
        <v>870069727</v>
      </c>
      <c r="L502" t="str">
        <f t="shared" si="57"/>
        <v>13 Dec 2023</v>
      </c>
      <c r="M502" t="str">
        <f t="shared" si="58"/>
        <v/>
      </c>
      <c r="N502" t="str">
        <f t="shared" si="59"/>
        <v>12/05/2023</v>
      </c>
      <c r="O502" t="str">
        <f t="shared" si="60"/>
        <v/>
      </c>
      <c r="P502" t="str">
        <f t="shared" si="61"/>
        <v/>
      </c>
      <c r="Q502" t="str">
        <f t="shared" si="62"/>
        <v/>
      </c>
      <c r="R502" t="str">
        <f t="shared" si="63"/>
        <v/>
      </c>
    </row>
    <row r="503" spans="1:18" x14ac:dyDescent="0.25">
      <c r="A503">
        <f>ROW()</f>
        <v>503</v>
      </c>
      <c r="D503" t="s">
        <v>540</v>
      </c>
      <c r="J503" t="str">
        <f>IF(A503&lt;WORKSHEET!$R$2,WORKSHEET!$C$2,IF(B503="Air Waybill Number",C503,J502))</f>
        <v>774346736332</v>
      </c>
      <c r="K503" t="str">
        <f t="shared" si="56"/>
        <v>870069727</v>
      </c>
      <c r="L503" t="str">
        <f t="shared" si="57"/>
        <v>13 Dec 2023</v>
      </c>
      <c r="M503" t="str">
        <f t="shared" si="58"/>
        <v/>
      </c>
      <c r="N503" t="str">
        <f t="shared" si="59"/>
        <v>12/05/2023</v>
      </c>
      <c r="O503" t="str">
        <f t="shared" si="60"/>
        <v/>
      </c>
      <c r="P503" t="str">
        <f t="shared" si="61"/>
        <v/>
      </c>
      <c r="Q503" t="str">
        <f t="shared" si="62"/>
        <v/>
      </c>
      <c r="R503" t="str">
        <f t="shared" si="63"/>
        <v/>
      </c>
    </row>
    <row r="504" spans="1:18" x14ac:dyDescent="0.25">
      <c r="A504">
        <f>ROW()</f>
        <v>504</v>
      </c>
      <c r="B504" t="s">
        <v>226</v>
      </c>
      <c r="C504" t="s">
        <v>537</v>
      </c>
      <c r="D504" t="s">
        <v>290</v>
      </c>
      <c r="E504" t="s">
        <v>291</v>
      </c>
      <c r="J504" t="str">
        <f>IF(A504&lt;WORKSHEET!$R$2,WORKSHEET!$C$2,IF(B504="Air Waybill Number",C504,J503))</f>
        <v>774346736332</v>
      </c>
      <c r="K504" t="str">
        <f t="shared" si="56"/>
        <v>870069727</v>
      </c>
      <c r="L504" t="str">
        <f t="shared" si="57"/>
        <v>13 Dec 2023</v>
      </c>
      <c r="M504" t="str">
        <f t="shared" si="58"/>
        <v/>
      </c>
      <c r="N504" t="str">
        <f t="shared" si="59"/>
        <v>12/05/2023</v>
      </c>
      <c r="O504" t="str">
        <f t="shared" si="60"/>
        <v>EKA / BAYU</v>
      </c>
      <c r="P504" t="str">
        <f t="shared" si="61"/>
        <v>GISTEX GARMEN INDONESIA</v>
      </c>
      <c r="Q504" t="str">
        <f t="shared" si="62"/>
        <v>OGURA KENJI / HASHIMOTO KIMIE</v>
      </c>
      <c r="R504" t="str">
        <f t="shared" si="63"/>
        <v>MARUBENI FASHION LINK, LTD</v>
      </c>
    </row>
    <row r="505" spans="1:18" x14ac:dyDescent="0.25">
      <c r="A505">
        <f>ROW()</f>
        <v>505</v>
      </c>
      <c r="B505" t="s">
        <v>232</v>
      </c>
      <c r="C505" t="s">
        <v>113</v>
      </c>
      <c r="D505" t="s">
        <v>36</v>
      </c>
      <c r="E505" t="s">
        <v>37</v>
      </c>
      <c r="J505" t="str">
        <f>IF(A505&lt;WORKSHEET!$R$2,WORKSHEET!$C$2,IF(B505="Air Waybill Number",C505,J504))</f>
        <v>774345930609</v>
      </c>
      <c r="K505" t="str">
        <f t="shared" si="56"/>
        <v>870069727</v>
      </c>
      <c r="L505" t="str">
        <f t="shared" si="57"/>
        <v>13 Dec 2023</v>
      </c>
      <c r="M505" t="str">
        <f t="shared" si="58"/>
        <v>774345930609-1</v>
      </c>
      <c r="N505" t="str">
        <f t="shared" si="59"/>
        <v>12/05/2023</v>
      </c>
      <c r="O505" t="str">
        <f t="shared" si="60"/>
        <v/>
      </c>
      <c r="P505" t="str">
        <f t="shared" si="61"/>
        <v/>
      </c>
      <c r="Q505" t="str">
        <f t="shared" si="62"/>
        <v/>
      </c>
      <c r="R505" t="str">
        <f t="shared" si="63"/>
        <v/>
      </c>
    </row>
    <row r="506" spans="1:18" x14ac:dyDescent="0.25">
      <c r="A506">
        <f>ROW()</f>
        <v>506</v>
      </c>
      <c r="B506" t="s">
        <v>233</v>
      </c>
      <c r="C506" t="s">
        <v>279</v>
      </c>
      <c r="D506" t="s">
        <v>41</v>
      </c>
      <c r="E506" t="s">
        <v>39</v>
      </c>
      <c r="J506" t="str">
        <f>IF(A506&lt;WORKSHEET!$R$2,WORKSHEET!$C$2,IF(B506="Air Waybill Number",C506,J505))</f>
        <v>774345930609</v>
      </c>
      <c r="K506" t="str">
        <f t="shared" si="56"/>
        <v>870069727</v>
      </c>
      <c r="L506" t="str">
        <f t="shared" si="57"/>
        <v>13 Dec 2023</v>
      </c>
      <c r="M506" t="str">
        <f t="shared" si="58"/>
        <v/>
      </c>
      <c r="N506" t="str">
        <f t="shared" si="59"/>
        <v>12/05/2023</v>
      </c>
      <c r="O506" t="str">
        <f t="shared" si="60"/>
        <v/>
      </c>
      <c r="P506" t="str">
        <f t="shared" si="61"/>
        <v/>
      </c>
      <c r="Q506" t="str">
        <f t="shared" si="62"/>
        <v/>
      </c>
      <c r="R506" t="str">
        <f t="shared" si="63"/>
        <v/>
      </c>
    </row>
    <row r="507" spans="1:18" x14ac:dyDescent="0.25">
      <c r="A507">
        <f>ROW()</f>
        <v>507</v>
      </c>
      <c r="B507" t="s">
        <v>237</v>
      </c>
      <c r="C507" t="s">
        <v>238</v>
      </c>
      <c r="D507" t="s">
        <v>293</v>
      </c>
      <c r="E507" t="s">
        <v>294</v>
      </c>
      <c r="J507" t="str">
        <f>IF(A507&lt;WORKSHEET!$R$2,WORKSHEET!$C$2,IF(B507="Air Waybill Number",C507,J506))</f>
        <v>774345930609</v>
      </c>
      <c r="K507" t="str">
        <f t="shared" si="56"/>
        <v>870069727</v>
      </c>
      <c r="L507" t="str">
        <f t="shared" si="57"/>
        <v>13 Dec 2023</v>
      </c>
      <c r="M507" t="str">
        <f t="shared" si="58"/>
        <v/>
      </c>
      <c r="N507" t="str">
        <f t="shared" si="59"/>
        <v>12/05/2023</v>
      </c>
      <c r="O507" t="str">
        <f t="shared" si="60"/>
        <v/>
      </c>
      <c r="P507" t="str">
        <f t="shared" si="61"/>
        <v/>
      </c>
      <c r="Q507" t="str">
        <f t="shared" si="62"/>
        <v/>
      </c>
      <c r="R507" t="str">
        <f t="shared" si="63"/>
        <v/>
      </c>
    </row>
    <row r="508" spans="1:18" x14ac:dyDescent="0.25">
      <c r="A508">
        <f>ROW()</f>
        <v>508</v>
      </c>
      <c r="B508" t="s">
        <v>241</v>
      </c>
      <c r="C508" t="s">
        <v>285</v>
      </c>
      <c r="D508" t="s">
        <v>296</v>
      </c>
      <c r="E508" t="s">
        <v>297</v>
      </c>
      <c r="G508" t="s">
        <v>298</v>
      </c>
      <c r="J508" t="str">
        <f>IF(A508&lt;WORKSHEET!$R$2,WORKSHEET!$C$2,IF(B508="Air Waybill Number",C508,J507))</f>
        <v>774345930609</v>
      </c>
      <c r="K508" t="str">
        <f t="shared" si="56"/>
        <v>870069727</v>
      </c>
      <c r="L508" t="str">
        <f t="shared" si="57"/>
        <v>13 Dec 2023</v>
      </c>
      <c r="M508" t="str">
        <f t="shared" si="58"/>
        <v/>
      </c>
      <c r="N508" t="str">
        <f t="shared" si="59"/>
        <v>12/05/2023</v>
      </c>
      <c r="O508" t="str">
        <f t="shared" si="60"/>
        <v/>
      </c>
      <c r="P508" t="str">
        <f t="shared" si="61"/>
        <v/>
      </c>
      <c r="Q508" t="str">
        <f t="shared" si="62"/>
        <v/>
      </c>
      <c r="R508" t="str">
        <f t="shared" si="63"/>
        <v/>
      </c>
    </row>
    <row r="509" spans="1:18" x14ac:dyDescent="0.25">
      <c r="A509">
        <f>ROW()</f>
        <v>509</v>
      </c>
      <c r="B509" t="s">
        <v>245</v>
      </c>
      <c r="C509" t="s">
        <v>299</v>
      </c>
      <c r="D509" t="s">
        <v>300</v>
      </c>
      <c r="J509" t="str">
        <f>IF(A509&lt;WORKSHEET!$R$2,WORKSHEET!$C$2,IF(B509="Air Waybill Number",C509,J508))</f>
        <v>774345930609</v>
      </c>
      <c r="K509" t="str">
        <f t="shared" si="56"/>
        <v>870069727</v>
      </c>
      <c r="L509" t="str">
        <f t="shared" si="57"/>
        <v>13 Dec 2023</v>
      </c>
      <c r="M509" t="str">
        <f t="shared" si="58"/>
        <v/>
      </c>
      <c r="N509" t="str">
        <f t="shared" si="59"/>
        <v>12/05/2023</v>
      </c>
      <c r="O509" t="str">
        <f t="shared" si="60"/>
        <v/>
      </c>
      <c r="P509" t="str">
        <f t="shared" si="61"/>
        <v/>
      </c>
      <c r="Q509" t="str">
        <f t="shared" si="62"/>
        <v/>
      </c>
      <c r="R509" t="str">
        <f t="shared" si="63"/>
        <v/>
      </c>
    </row>
    <row r="510" spans="1:18" x14ac:dyDescent="0.25">
      <c r="A510">
        <f>ROW()</f>
        <v>510</v>
      </c>
      <c r="B510" t="s">
        <v>247</v>
      </c>
      <c r="C510" t="s">
        <v>324</v>
      </c>
      <c r="J510" t="str">
        <f>IF(A510&lt;WORKSHEET!$R$2,WORKSHEET!$C$2,IF(B510="Air Waybill Number",C510,J509))</f>
        <v>774345930609</v>
      </c>
      <c r="K510" t="str">
        <f t="shared" si="56"/>
        <v>870069727</v>
      </c>
      <c r="L510" t="str">
        <f t="shared" si="57"/>
        <v>13 Dec 2023</v>
      </c>
      <c r="M510" t="str">
        <f t="shared" si="58"/>
        <v/>
      </c>
      <c r="N510" t="str">
        <f t="shared" si="59"/>
        <v>12/05/2023</v>
      </c>
      <c r="O510" t="str">
        <f t="shared" si="60"/>
        <v/>
      </c>
      <c r="P510" t="str">
        <f t="shared" si="61"/>
        <v/>
      </c>
      <c r="Q510" t="str">
        <f t="shared" si="62"/>
        <v/>
      </c>
      <c r="R510" t="str">
        <f t="shared" si="63"/>
        <v/>
      </c>
    </row>
    <row r="511" spans="1:18" x14ac:dyDescent="0.25">
      <c r="A511">
        <f>ROW()</f>
        <v>511</v>
      </c>
      <c r="B511" t="s">
        <v>249</v>
      </c>
      <c r="C511" t="s">
        <v>541</v>
      </c>
      <c r="D511" t="s">
        <v>248</v>
      </c>
      <c r="H511">
        <v>738000</v>
      </c>
      <c r="J511" t="str">
        <f>IF(A511&lt;WORKSHEET!$R$2,WORKSHEET!$C$2,IF(B511="Air Waybill Number",C511,J510))</f>
        <v>774345930609</v>
      </c>
      <c r="K511" t="str">
        <f t="shared" si="56"/>
        <v>870069727</v>
      </c>
      <c r="L511" t="str">
        <f t="shared" si="57"/>
        <v>13 Dec 2023</v>
      </c>
      <c r="M511" t="str">
        <f t="shared" si="58"/>
        <v/>
      </c>
      <c r="N511" t="str">
        <f t="shared" si="59"/>
        <v>12/05/2023</v>
      </c>
      <c r="O511" t="str">
        <f t="shared" si="60"/>
        <v/>
      </c>
      <c r="P511" t="str">
        <f t="shared" si="61"/>
        <v/>
      </c>
      <c r="Q511" t="str">
        <f t="shared" si="62"/>
        <v/>
      </c>
      <c r="R511" t="str">
        <f t="shared" si="63"/>
        <v/>
      </c>
    </row>
    <row r="512" spans="1:18" x14ac:dyDescent="0.25">
      <c r="A512">
        <f>ROW()</f>
        <v>512</v>
      </c>
      <c r="D512" t="s">
        <v>251</v>
      </c>
      <c r="E512" t="s">
        <v>252</v>
      </c>
      <c r="H512">
        <v>-549293</v>
      </c>
      <c r="J512" t="str">
        <f>IF(A512&lt;WORKSHEET!$R$2,WORKSHEET!$C$2,IF(B512="Air Waybill Number",C512,J511))</f>
        <v>774345930609</v>
      </c>
      <c r="K512" t="str">
        <f t="shared" si="56"/>
        <v>870069727</v>
      </c>
      <c r="L512" t="str">
        <f t="shared" si="57"/>
        <v>13 Dec 2023</v>
      </c>
      <c r="M512" t="str">
        <f t="shared" si="58"/>
        <v/>
      </c>
      <c r="N512" t="str">
        <f t="shared" si="59"/>
        <v>12/05/2023</v>
      </c>
      <c r="O512" t="str">
        <f t="shared" si="60"/>
        <v/>
      </c>
      <c r="P512" t="str">
        <f t="shared" si="61"/>
        <v/>
      </c>
      <c r="Q512" t="str">
        <f t="shared" si="62"/>
        <v/>
      </c>
      <c r="R512" t="str">
        <f t="shared" si="63"/>
        <v/>
      </c>
    </row>
    <row r="513" spans="1:18" x14ac:dyDescent="0.25">
      <c r="A513">
        <f>ROW()</f>
        <v>513</v>
      </c>
      <c r="D513" t="s">
        <v>254</v>
      </c>
      <c r="E513" t="s">
        <v>12</v>
      </c>
      <c r="H513">
        <v>60388</v>
      </c>
      <c r="J513" t="str">
        <f>IF(A513&lt;WORKSHEET!$R$2,WORKSHEET!$C$2,IF(B513="Air Waybill Number",C513,J512))</f>
        <v>774345930609</v>
      </c>
      <c r="K513" t="str">
        <f t="shared" si="56"/>
        <v>870069727</v>
      </c>
      <c r="L513" t="str">
        <f t="shared" si="57"/>
        <v>13 Dec 2023</v>
      </c>
      <c r="M513" t="str">
        <f t="shared" si="58"/>
        <v/>
      </c>
      <c r="N513" t="str">
        <f t="shared" si="59"/>
        <v>12/05/2023</v>
      </c>
      <c r="O513" t="str">
        <f t="shared" si="60"/>
        <v/>
      </c>
      <c r="P513" t="str">
        <f t="shared" si="61"/>
        <v/>
      </c>
      <c r="Q513" t="str">
        <f t="shared" si="62"/>
        <v/>
      </c>
      <c r="R513" t="str">
        <f t="shared" si="63"/>
        <v/>
      </c>
    </row>
    <row r="514" spans="1:18" x14ac:dyDescent="0.25">
      <c r="A514">
        <f>ROW()</f>
        <v>514</v>
      </c>
      <c r="D514" t="s">
        <v>254</v>
      </c>
      <c r="E514" t="s">
        <v>260</v>
      </c>
      <c r="H514">
        <v>16000</v>
      </c>
      <c r="J514" t="str">
        <f>IF(A514&lt;WORKSHEET!$R$2,WORKSHEET!$C$2,IF(B514="Air Waybill Number",C514,J513))</f>
        <v>774345930609</v>
      </c>
      <c r="K514" t="str">
        <f t="shared" ref="K514:K577" si="64">IF(B514="Invoice Number:",C514,K513)</f>
        <v>870069727</v>
      </c>
      <c r="L514" t="str">
        <f t="shared" ref="L514:L577" si="65">IF(B514="Invoice Date:",C514,L513)</f>
        <v>13 Dec 2023</v>
      </c>
      <c r="M514" t="str">
        <f t="shared" ref="M514:M577" si="66">IF(B514="Air Waybill Number",J514&amp;"-1","")</f>
        <v/>
      </c>
      <c r="N514" t="str">
        <f t="shared" ref="N514:N577" si="67">IF(B514="Ship Date",C514,N513)</f>
        <v>12/05/2023</v>
      </c>
      <c r="O514" t="str">
        <f t="shared" ref="O514:O577" si="68">IF(LEFT(D514,6)="Sender",D515,IF(LEFT(E514,6)="Sender",E515,""))</f>
        <v/>
      </c>
      <c r="P514" t="str">
        <f t="shared" ref="P514:P577" si="69">IF(LEFT(D514,6)="Sender",D516,IF(LEFT(E514,6)="Sender",D516,""))</f>
        <v/>
      </c>
      <c r="Q514" t="str">
        <f t="shared" ref="Q514:Q577" si="70">IF(LEFT(E514,9)="Recipient",E515&amp;F515,IF(LEFT(F514,9)="Recipient",F515,IF(LEFT(G514,9)="Recipient",G515,IF(LEFT(H514,9)="Recipient",H515,""))))</f>
        <v/>
      </c>
      <c r="R514" t="str">
        <f t="shared" ref="R514:R577" si="71">IF(LEFT(E514,9)="Recipient",E516&amp;F516,IF(LEFT(F514,9)="Recipient",F516,IF(LEFT(G514,9)="Recipient",G516,IF(LEFT(H514,9)="Recipient",H516,""))))</f>
        <v/>
      </c>
    </row>
    <row r="515" spans="1:18" x14ac:dyDescent="0.25">
      <c r="A515">
        <f>ROW()</f>
        <v>515</v>
      </c>
      <c r="D515" t="s">
        <v>261</v>
      </c>
      <c r="H515">
        <v>2916</v>
      </c>
      <c r="J515" t="str">
        <f>IF(A515&lt;WORKSHEET!$R$2,WORKSHEET!$C$2,IF(B515="Air Waybill Number",C515,J514))</f>
        <v>774345930609</v>
      </c>
      <c r="K515" t="str">
        <f t="shared" si="64"/>
        <v>870069727</v>
      </c>
      <c r="L515" t="str">
        <f t="shared" si="65"/>
        <v>13 Dec 2023</v>
      </c>
      <c r="M515" t="str">
        <f t="shared" si="66"/>
        <v/>
      </c>
      <c r="N515" t="str">
        <f t="shared" si="67"/>
        <v>12/05/2023</v>
      </c>
      <c r="O515" t="str">
        <f t="shared" si="68"/>
        <v/>
      </c>
      <c r="P515" t="str">
        <f t="shared" si="69"/>
        <v/>
      </c>
      <c r="Q515" t="str">
        <f t="shared" si="70"/>
        <v/>
      </c>
      <c r="R515" t="str">
        <f t="shared" si="71"/>
        <v/>
      </c>
    </row>
    <row r="516" spans="1:18" x14ac:dyDescent="0.25">
      <c r="A516">
        <f>ROW()</f>
        <v>516</v>
      </c>
      <c r="D516" t="s">
        <v>14</v>
      </c>
      <c r="H516">
        <v>268011</v>
      </c>
      <c r="J516" t="str">
        <f>IF(A516&lt;WORKSHEET!$R$2,WORKSHEET!$C$2,IF(B516="Air Waybill Number",C516,J515))</f>
        <v>774345930609</v>
      </c>
      <c r="K516" t="str">
        <f t="shared" si="64"/>
        <v>870069727</v>
      </c>
      <c r="L516" t="str">
        <f t="shared" si="65"/>
        <v>13 Dec 2023</v>
      </c>
      <c r="M516" t="str">
        <f t="shared" si="66"/>
        <v/>
      </c>
      <c r="N516" t="str">
        <f t="shared" si="67"/>
        <v>12/05/2023</v>
      </c>
      <c r="O516" t="str">
        <f t="shared" si="68"/>
        <v/>
      </c>
      <c r="P516" t="str">
        <f t="shared" si="69"/>
        <v/>
      </c>
      <c r="Q516" t="str">
        <f t="shared" si="70"/>
        <v/>
      </c>
      <c r="R516" t="str">
        <f t="shared" si="71"/>
        <v/>
      </c>
    </row>
    <row r="517" spans="1:18" x14ac:dyDescent="0.25">
      <c r="A517">
        <f>ROW()</f>
        <v>517</v>
      </c>
      <c r="B517" t="s">
        <v>221</v>
      </c>
      <c r="C517" t="s">
        <v>114</v>
      </c>
      <c r="J517" t="str">
        <f>IF(A517&lt;WORKSHEET!$R$2,WORKSHEET!$C$2,IF(B517="Air Waybill Number",C517,J516))</f>
        <v>774345930609</v>
      </c>
      <c r="K517" t="str">
        <f t="shared" si="64"/>
        <v>870069728</v>
      </c>
      <c r="L517" t="str">
        <f t="shared" si="65"/>
        <v>13 Dec 2023</v>
      </c>
      <c r="M517" t="str">
        <f t="shared" si="66"/>
        <v/>
      </c>
      <c r="N517" t="str">
        <f t="shared" si="67"/>
        <v>12/05/2023</v>
      </c>
      <c r="O517" t="str">
        <f t="shared" si="68"/>
        <v/>
      </c>
      <c r="P517" t="str">
        <f t="shared" si="69"/>
        <v/>
      </c>
      <c r="Q517" t="str">
        <f t="shared" si="70"/>
        <v/>
      </c>
      <c r="R517" t="str">
        <f t="shared" si="71"/>
        <v/>
      </c>
    </row>
    <row r="518" spans="1:18" x14ac:dyDescent="0.25">
      <c r="A518">
        <f>ROW()</f>
        <v>518</v>
      </c>
      <c r="B518" t="s">
        <v>222</v>
      </c>
      <c r="C518" t="s">
        <v>459</v>
      </c>
      <c r="J518" t="str">
        <f>IF(A518&lt;WORKSHEET!$R$2,WORKSHEET!$C$2,IF(B518="Air Waybill Number",C518,J517))</f>
        <v>774345930609</v>
      </c>
      <c r="K518" t="str">
        <f t="shared" si="64"/>
        <v>870069728</v>
      </c>
      <c r="L518" t="str">
        <f t="shared" si="65"/>
        <v>13 Dec 2023</v>
      </c>
      <c r="M518" t="str">
        <f t="shared" si="66"/>
        <v/>
      </c>
      <c r="N518" t="str">
        <f t="shared" si="67"/>
        <v>12/05/2023</v>
      </c>
      <c r="O518" t="str">
        <f t="shared" si="68"/>
        <v/>
      </c>
      <c r="P518" t="str">
        <f t="shared" si="69"/>
        <v/>
      </c>
      <c r="Q518" t="str">
        <f t="shared" si="70"/>
        <v/>
      </c>
      <c r="R518" t="str">
        <f t="shared" si="71"/>
        <v/>
      </c>
    </row>
    <row r="519" spans="1:18" x14ac:dyDescent="0.25">
      <c r="A519">
        <f>ROW()</f>
        <v>519</v>
      </c>
      <c r="B519" t="s">
        <v>224</v>
      </c>
      <c r="C519" t="s">
        <v>225</v>
      </c>
      <c r="J519" t="str">
        <f>IF(A519&lt;WORKSHEET!$R$2,WORKSHEET!$C$2,IF(B519="Air Waybill Number",C519,J518))</f>
        <v>774345930609</v>
      </c>
      <c r="K519" t="str">
        <f t="shared" si="64"/>
        <v>870069728</v>
      </c>
      <c r="L519" t="str">
        <f t="shared" si="65"/>
        <v>13 Dec 2023</v>
      </c>
      <c r="M519" t="str">
        <f t="shared" si="66"/>
        <v/>
      </c>
      <c r="N519" t="str">
        <f t="shared" si="67"/>
        <v>12/05/2023</v>
      </c>
      <c r="O519" t="str">
        <f t="shared" si="68"/>
        <v/>
      </c>
      <c r="P519" t="str">
        <f t="shared" si="69"/>
        <v/>
      </c>
      <c r="Q519" t="str">
        <f t="shared" si="70"/>
        <v/>
      </c>
      <c r="R519" t="str">
        <f t="shared" si="71"/>
        <v/>
      </c>
    </row>
    <row r="520" spans="1:18" x14ac:dyDescent="0.25">
      <c r="A520">
        <f>ROW()</f>
        <v>520</v>
      </c>
      <c r="B520" t="s">
        <v>226</v>
      </c>
      <c r="C520" t="s">
        <v>537</v>
      </c>
      <c r="D520" t="s">
        <v>357</v>
      </c>
      <c r="E520" t="s">
        <v>229</v>
      </c>
      <c r="J520" t="str">
        <f>IF(A520&lt;WORKSHEET!$R$2,WORKSHEET!$C$2,IF(B520="Air Waybill Number",C520,J519))</f>
        <v>774345930609</v>
      </c>
      <c r="K520" t="str">
        <f t="shared" si="64"/>
        <v>870069728</v>
      </c>
      <c r="L520" t="str">
        <f t="shared" si="65"/>
        <v>13 Dec 2023</v>
      </c>
      <c r="M520" t="str">
        <f t="shared" si="66"/>
        <v/>
      </c>
      <c r="N520" t="str">
        <f t="shared" si="67"/>
        <v>12/05/2023</v>
      </c>
      <c r="O520" t="str">
        <f t="shared" si="68"/>
        <v>SHENYANG</v>
      </c>
      <c r="P520" t="str">
        <f t="shared" si="69"/>
        <v>JIANGSU</v>
      </c>
      <c r="Q520" t="str">
        <f t="shared" si="70"/>
        <v>MERCY /SUMI/GITA</v>
      </c>
      <c r="R520" t="str">
        <f t="shared" si="71"/>
        <v>PT GISTEX GARMEN INDONESIA</v>
      </c>
    </row>
    <row r="521" spans="1:18" x14ac:dyDescent="0.25">
      <c r="A521">
        <f>ROW()</f>
        <v>521</v>
      </c>
      <c r="B521" t="s">
        <v>230</v>
      </c>
      <c r="C521" t="s">
        <v>542</v>
      </c>
      <c r="D521" t="s">
        <v>56</v>
      </c>
      <c r="E521" t="s">
        <v>359</v>
      </c>
      <c r="F521" t="s">
        <v>360</v>
      </c>
      <c r="J521" t="str">
        <f>IF(A521&lt;WORKSHEET!$R$2,WORKSHEET!$C$2,IF(B521="Air Waybill Number",C521,J520))</f>
        <v>774345930609</v>
      </c>
      <c r="K521" t="str">
        <f t="shared" si="64"/>
        <v>870069728</v>
      </c>
      <c r="L521" t="str">
        <f t="shared" si="65"/>
        <v>13 Dec 2023</v>
      </c>
      <c r="M521" t="str">
        <f t="shared" si="66"/>
        <v/>
      </c>
      <c r="N521" t="str">
        <f t="shared" si="67"/>
        <v>12/05/2023</v>
      </c>
      <c r="O521" t="str">
        <f t="shared" si="68"/>
        <v/>
      </c>
      <c r="P521" t="str">
        <f t="shared" si="69"/>
        <v/>
      </c>
      <c r="Q521" t="str">
        <f t="shared" si="70"/>
        <v/>
      </c>
      <c r="R521" t="str">
        <f t="shared" si="71"/>
        <v/>
      </c>
    </row>
    <row r="522" spans="1:18" x14ac:dyDescent="0.25">
      <c r="A522">
        <f>ROW()</f>
        <v>522</v>
      </c>
      <c r="B522" t="s">
        <v>232</v>
      </c>
      <c r="C522" t="s">
        <v>115</v>
      </c>
      <c r="D522" t="s">
        <v>58</v>
      </c>
      <c r="E522" t="s">
        <v>23</v>
      </c>
      <c r="J522" t="str">
        <f>IF(A522&lt;WORKSHEET!$R$2,WORKSHEET!$C$2,IF(B522="Air Waybill Number",C522,J521))</f>
        <v>774327903444</v>
      </c>
      <c r="K522" t="str">
        <f t="shared" si="64"/>
        <v>870069728</v>
      </c>
      <c r="L522" t="str">
        <f t="shared" si="65"/>
        <v>13 Dec 2023</v>
      </c>
      <c r="M522" t="str">
        <f t="shared" si="66"/>
        <v>774327903444-1</v>
      </c>
      <c r="N522" t="str">
        <f t="shared" si="67"/>
        <v>12/05/2023</v>
      </c>
      <c r="O522" t="str">
        <f t="shared" si="68"/>
        <v/>
      </c>
      <c r="P522" t="str">
        <f t="shared" si="69"/>
        <v/>
      </c>
      <c r="Q522" t="str">
        <f t="shared" si="70"/>
        <v/>
      </c>
      <c r="R522" t="str">
        <f t="shared" si="71"/>
        <v/>
      </c>
    </row>
    <row r="523" spans="1:18" x14ac:dyDescent="0.25">
      <c r="A523">
        <f>ROW()</f>
        <v>523</v>
      </c>
      <c r="B523" t="s">
        <v>233</v>
      </c>
      <c r="C523" t="s">
        <v>292</v>
      </c>
      <c r="D523" t="s">
        <v>361</v>
      </c>
      <c r="E523" t="s">
        <v>362</v>
      </c>
      <c r="J523" t="str">
        <f>IF(A523&lt;WORKSHEET!$R$2,WORKSHEET!$C$2,IF(B523="Air Waybill Number",C523,J522))</f>
        <v>774327903444</v>
      </c>
      <c r="K523" t="str">
        <f t="shared" si="64"/>
        <v>870069728</v>
      </c>
      <c r="L523" t="str">
        <f t="shared" si="65"/>
        <v>13 Dec 2023</v>
      </c>
      <c r="M523" t="str">
        <f t="shared" si="66"/>
        <v/>
      </c>
      <c r="N523" t="str">
        <f t="shared" si="67"/>
        <v>12/05/2023</v>
      </c>
      <c r="O523" t="str">
        <f t="shared" si="68"/>
        <v/>
      </c>
      <c r="P523" t="str">
        <f t="shared" si="69"/>
        <v/>
      </c>
      <c r="Q523" t="str">
        <f t="shared" si="70"/>
        <v/>
      </c>
      <c r="R523" t="str">
        <f t="shared" si="71"/>
        <v/>
      </c>
    </row>
    <row r="524" spans="1:18" x14ac:dyDescent="0.25">
      <c r="A524">
        <f>ROW()</f>
        <v>524</v>
      </c>
      <c r="B524" t="s">
        <v>237</v>
      </c>
      <c r="C524" t="s">
        <v>238</v>
      </c>
      <c r="D524" t="s">
        <v>363</v>
      </c>
      <c r="E524" t="s">
        <v>364</v>
      </c>
      <c r="J524" t="str">
        <f>IF(A524&lt;WORKSHEET!$R$2,WORKSHEET!$C$2,IF(B524="Air Waybill Number",C524,J523))</f>
        <v>774327903444</v>
      </c>
      <c r="K524" t="str">
        <f t="shared" si="64"/>
        <v>870069728</v>
      </c>
      <c r="L524" t="str">
        <f t="shared" si="65"/>
        <v>13 Dec 2023</v>
      </c>
      <c r="M524" t="str">
        <f t="shared" si="66"/>
        <v/>
      </c>
      <c r="N524" t="str">
        <f t="shared" si="67"/>
        <v>12/05/2023</v>
      </c>
      <c r="O524" t="str">
        <f t="shared" si="68"/>
        <v/>
      </c>
      <c r="P524" t="str">
        <f t="shared" si="69"/>
        <v/>
      </c>
      <c r="Q524" t="str">
        <f t="shared" si="70"/>
        <v/>
      </c>
      <c r="R524" t="str">
        <f t="shared" si="71"/>
        <v/>
      </c>
    </row>
    <row r="525" spans="1:18" x14ac:dyDescent="0.25">
      <c r="A525">
        <f>ROW()</f>
        <v>525</v>
      </c>
      <c r="B525" t="s">
        <v>241</v>
      </c>
      <c r="C525" t="s">
        <v>285</v>
      </c>
      <c r="D525" t="s">
        <v>365</v>
      </c>
      <c r="E525" t="s">
        <v>274</v>
      </c>
      <c r="F525" t="s">
        <v>284</v>
      </c>
      <c r="J525" t="str">
        <f>IF(A525&lt;WORKSHEET!$R$2,WORKSHEET!$C$2,IF(B525="Air Waybill Number",C525,J524))</f>
        <v>774327903444</v>
      </c>
      <c r="K525" t="str">
        <f t="shared" si="64"/>
        <v>870069728</v>
      </c>
      <c r="L525" t="str">
        <f t="shared" si="65"/>
        <v>13 Dec 2023</v>
      </c>
      <c r="M525" t="str">
        <f t="shared" si="66"/>
        <v/>
      </c>
      <c r="N525" t="str">
        <f t="shared" si="67"/>
        <v>12/05/2023</v>
      </c>
      <c r="O525" t="str">
        <f t="shared" si="68"/>
        <v/>
      </c>
      <c r="P525" t="str">
        <f t="shared" si="69"/>
        <v/>
      </c>
      <c r="Q525" t="str">
        <f t="shared" si="70"/>
        <v/>
      </c>
      <c r="R525" t="str">
        <f t="shared" si="71"/>
        <v/>
      </c>
    </row>
    <row r="526" spans="1:18" x14ac:dyDescent="0.25">
      <c r="A526">
        <f>ROW()</f>
        <v>526</v>
      </c>
      <c r="B526" t="s">
        <v>245</v>
      </c>
      <c r="C526" t="s">
        <v>246</v>
      </c>
      <c r="J526" t="str">
        <f>IF(A526&lt;WORKSHEET!$R$2,WORKSHEET!$C$2,IF(B526="Air Waybill Number",C526,J525))</f>
        <v>774327903444</v>
      </c>
      <c r="K526" t="str">
        <f t="shared" si="64"/>
        <v>870069728</v>
      </c>
      <c r="L526" t="str">
        <f t="shared" si="65"/>
        <v>13 Dec 2023</v>
      </c>
      <c r="M526" t="str">
        <f t="shared" si="66"/>
        <v/>
      </c>
      <c r="N526" t="str">
        <f t="shared" si="67"/>
        <v>12/05/2023</v>
      </c>
      <c r="O526" t="str">
        <f t="shared" si="68"/>
        <v/>
      </c>
      <c r="P526" t="str">
        <f t="shared" si="69"/>
        <v/>
      </c>
      <c r="Q526" t="str">
        <f t="shared" si="70"/>
        <v/>
      </c>
      <c r="R526" t="str">
        <f t="shared" si="71"/>
        <v/>
      </c>
    </row>
    <row r="527" spans="1:18" x14ac:dyDescent="0.25">
      <c r="A527">
        <f>ROW()</f>
        <v>527</v>
      </c>
      <c r="B527" t="s">
        <v>247</v>
      </c>
      <c r="D527" t="s">
        <v>248</v>
      </c>
      <c r="G527">
        <v>656000</v>
      </c>
      <c r="J527" t="str">
        <f>IF(A527&lt;WORKSHEET!$R$2,WORKSHEET!$C$2,IF(B527="Air Waybill Number",C527,J526))</f>
        <v>774327903444</v>
      </c>
      <c r="K527" t="str">
        <f t="shared" si="64"/>
        <v>870069728</v>
      </c>
      <c r="L527" t="str">
        <f t="shared" si="65"/>
        <v>13 Dec 2023</v>
      </c>
      <c r="M527" t="str">
        <f t="shared" si="66"/>
        <v/>
      </c>
      <c r="N527" t="str">
        <f t="shared" si="67"/>
        <v>12/05/2023</v>
      </c>
      <c r="O527" t="str">
        <f t="shared" si="68"/>
        <v/>
      </c>
      <c r="P527" t="str">
        <f t="shared" si="69"/>
        <v/>
      </c>
      <c r="Q527" t="str">
        <f t="shared" si="70"/>
        <v/>
      </c>
      <c r="R527" t="str">
        <f t="shared" si="71"/>
        <v/>
      </c>
    </row>
    <row r="528" spans="1:18" x14ac:dyDescent="0.25">
      <c r="A528">
        <f>ROW()</f>
        <v>528</v>
      </c>
      <c r="B528" t="s">
        <v>249</v>
      </c>
      <c r="C528" t="s">
        <v>543</v>
      </c>
      <c r="D528" t="s">
        <v>251</v>
      </c>
      <c r="E528" t="s">
        <v>252</v>
      </c>
      <c r="G528">
        <v>-470417</v>
      </c>
      <c r="J528" t="str">
        <f>IF(A528&lt;WORKSHEET!$R$2,WORKSHEET!$C$2,IF(B528="Air Waybill Number",C528,J527))</f>
        <v>774327903444</v>
      </c>
      <c r="K528" t="str">
        <f t="shared" si="64"/>
        <v>870069728</v>
      </c>
      <c r="L528" t="str">
        <f t="shared" si="65"/>
        <v>13 Dec 2023</v>
      </c>
      <c r="M528" t="str">
        <f t="shared" si="66"/>
        <v/>
      </c>
      <c r="N528" t="str">
        <f t="shared" si="67"/>
        <v>12/05/2023</v>
      </c>
      <c r="O528" t="str">
        <f t="shared" si="68"/>
        <v/>
      </c>
      <c r="P528" t="str">
        <f t="shared" si="69"/>
        <v/>
      </c>
      <c r="Q528" t="str">
        <f t="shared" si="70"/>
        <v/>
      </c>
      <c r="R528" t="str">
        <f t="shared" si="71"/>
        <v/>
      </c>
    </row>
    <row r="529" spans="1:18" x14ac:dyDescent="0.25">
      <c r="A529">
        <f>ROW()</f>
        <v>529</v>
      </c>
      <c r="C529" t="s">
        <v>277</v>
      </c>
      <c r="D529" t="s">
        <v>254</v>
      </c>
      <c r="E529" t="s">
        <v>12</v>
      </c>
      <c r="G529">
        <v>59466</v>
      </c>
      <c r="J529" t="str">
        <f>IF(A529&lt;WORKSHEET!$R$2,WORKSHEET!$C$2,IF(B529="Air Waybill Number",C529,J528))</f>
        <v>774327903444</v>
      </c>
      <c r="K529" t="str">
        <f t="shared" si="64"/>
        <v>870069728</v>
      </c>
      <c r="L529" t="str">
        <f t="shared" si="65"/>
        <v>13 Dec 2023</v>
      </c>
      <c r="M529" t="str">
        <f t="shared" si="66"/>
        <v/>
      </c>
      <c r="N529" t="str">
        <f t="shared" si="67"/>
        <v>12/05/2023</v>
      </c>
      <c r="O529" t="str">
        <f t="shared" si="68"/>
        <v/>
      </c>
      <c r="P529" t="str">
        <f t="shared" si="69"/>
        <v/>
      </c>
      <c r="Q529" t="str">
        <f t="shared" si="70"/>
        <v/>
      </c>
      <c r="R529" t="str">
        <f t="shared" si="71"/>
        <v/>
      </c>
    </row>
    <row r="530" spans="1:18" x14ac:dyDescent="0.25">
      <c r="A530">
        <f>ROW()</f>
        <v>530</v>
      </c>
      <c r="D530" t="s">
        <v>254</v>
      </c>
      <c r="E530" t="s">
        <v>260</v>
      </c>
      <c r="G530">
        <v>16000</v>
      </c>
      <c r="J530" t="str">
        <f>IF(A530&lt;WORKSHEET!$R$2,WORKSHEET!$C$2,IF(B530="Air Waybill Number",C530,J529))</f>
        <v>774327903444</v>
      </c>
      <c r="K530" t="str">
        <f t="shared" si="64"/>
        <v>870069728</v>
      </c>
      <c r="L530" t="str">
        <f t="shared" si="65"/>
        <v>13 Dec 2023</v>
      </c>
      <c r="M530" t="str">
        <f t="shared" si="66"/>
        <v/>
      </c>
      <c r="N530" t="str">
        <f t="shared" si="67"/>
        <v>12/05/2023</v>
      </c>
      <c r="O530" t="str">
        <f t="shared" si="68"/>
        <v/>
      </c>
      <c r="P530" t="str">
        <f t="shared" si="69"/>
        <v/>
      </c>
      <c r="Q530" t="str">
        <f t="shared" si="70"/>
        <v/>
      </c>
      <c r="R530" t="str">
        <f t="shared" si="71"/>
        <v/>
      </c>
    </row>
    <row r="531" spans="1:18" x14ac:dyDescent="0.25">
      <c r="A531">
        <f>ROW()</f>
        <v>531</v>
      </c>
      <c r="D531" t="s">
        <v>261</v>
      </c>
      <c r="G531">
        <v>2871</v>
      </c>
      <c r="J531" t="str">
        <f>IF(A531&lt;WORKSHEET!$R$2,WORKSHEET!$C$2,IF(B531="Air Waybill Number",C531,J530))</f>
        <v>774327903444</v>
      </c>
      <c r="K531" t="str">
        <f t="shared" si="64"/>
        <v>870069728</v>
      </c>
      <c r="L531" t="str">
        <f t="shared" si="65"/>
        <v>13 Dec 2023</v>
      </c>
      <c r="M531" t="str">
        <f t="shared" si="66"/>
        <v/>
      </c>
      <c r="N531" t="str">
        <f t="shared" si="67"/>
        <v>12/05/2023</v>
      </c>
      <c r="O531" t="str">
        <f t="shared" si="68"/>
        <v/>
      </c>
      <c r="P531" t="str">
        <f t="shared" si="69"/>
        <v/>
      </c>
      <c r="Q531" t="str">
        <f t="shared" si="70"/>
        <v/>
      </c>
      <c r="R531" t="str">
        <f t="shared" si="71"/>
        <v/>
      </c>
    </row>
    <row r="532" spans="1:18" x14ac:dyDescent="0.25">
      <c r="A532">
        <f>ROW()</f>
        <v>532</v>
      </c>
      <c r="D532" t="s">
        <v>14</v>
      </c>
      <c r="G532">
        <v>263920</v>
      </c>
      <c r="J532" t="str">
        <f>IF(A532&lt;WORKSHEET!$R$2,WORKSHEET!$C$2,IF(B532="Air Waybill Number",C532,J531))</f>
        <v>774327903444</v>
      </c>
      <c r="K532" t="str">
        <f t="shared" si="64"/>
        <v>870069728</v>
      </c>
      <c r="L532" t="str">
        <f t="shared" si="65"/>
        <v>13 Dec 2023</v>
      </c>
      <c r="M532" t="str">
        <f t="shared" si="66"/>
        <v/>
      </c>
      <c r="N532" t="str">
        <f t="shared" si="67"/>
        <v>12/05/2023</v>
      </c>
      <c r="O532" t="str">
        <f t="shared" si="68"/>
        <v/>
      </c>
      <c r="P532" t="str">
        <f t="shared" si="69"/>
        <v/>
      </c>
      <c r="Q532" t="str">
        <f t="shared" si="70"/>
        <v/>
      </c>
      <c r="R532" t="str">
        <f t="shared" si="71"/>
        <v/>
      </c>
    </row>
    <row r="533" spans="1:18" x14ac:dyDescent="0.25">
      <c r="A533">
        <f>ROW()</f>
        <v>533</v>
      </c>
      <c r="B533" t="s">
        <v>221</v>
      </c>
      <c r="C533" t="s">
        <v>116</v>
      </c>
      <c r="J533" t="str">
        <f>IF(A533&lt;WORKSHEET!$R$2,WORKSHEET!$C$2,IF(B533="Air Waybill Number",C533,J532))</f>
        <v>774327903444</v>
      </c>
      <c r="K533" t="str">
        <f t="shared" si="64"/>
        <v>870072442</v>
      </c>
      <c r="L533" t="str">
        <f t="shared" si="65"/>
        <v>13 Dec 2023</v>
      </c>
      <c r="M533" t="str">
        <f t="shared" si="66"/>
        <v/>
      </c>
      <c r="N533" t="str">
        <f t="shared" si="67"/>
        <v>12/05/2023</v>
      </c>
      <c r="O533" t="str">
        <f t="shared" si="68"/>
        <v/>
      </c>
      <c r="P533" t="str">
        <f t="shared" si="69"/>
        <v/>
      </c>
      <c r="Q533" t="str">
        <f t="shared" si="70"/>
        <v/>
      </c>
      <c r="R533" t="str">
        <f t="shared" si="71"/>
        <v/>
      </c>
    </row>
    <row r="534" spans="1:18" x14ac:dyDescent="0.25">
      <c r="A534">
        <f>ROW()</f>
        <v>534</v>
      </c>
      <c r="B534" t="s">
        <v>222</v>
      </c>
      <c r="C534" t="s">
        <v>459</v>
      </c>
      <c r="J534" t="str">
        <f>IF(A534&lt;WORKSHEET!$R$2,WORKSHEET!$C$2,IF(B534="Air Waybill Number",C534,J533))</f>
        <v>774327903444</v>
      </c>
      <c r="K534" t="str">
        <f t="shared" si="64"/>
        <v>870072442</v>
      </c>
      <c r="L534" t="str">
        <f t="shared" si="65"/>
        <v>13 Dec 2023</v>
      </c>
      <c r="M534" t="str">
        <f t="shared" si="66"/>
        <v/>
      </c>
      <c r="N534" t="str">
        <f t="shared" si="67"/>
        <v>12/05/2023</v>
      </c>
      <c r="O534" t="str">
        <f t="shared" si="68"/>
        <v/>
      </c>
      <c r="P534" t="str">
        <f t="shared" si="69"/>
        <v/>
      </c>
      <c r="Q534" t="str">
        <f t="shared" si="70"/>
        <v/>
      </c>
      <c r="R534" t="str">
        <f t="shared" si="71"/>
        <v/>
      </c>
    </row>
    <row r="535" spans="1:18" x14ac:dyDescent="0.25">
      <c r="A535">
        <f>ROW()</f>
        <v>535</v>
      </c>
      <c r="B535" t="s">
        <v>224</v>
      </c>
      <c r="C535" t="s">
        <v>225</v>
      </c>
      <c r="J535" t="str">
        <f>IF(A535&lt;WORKSHEET!$R$2,WORKSHEET!$C$2,IF(B535="Air Waybill Number",C535,J534))</f>
        <v>774327903444</v>
      </c>
      <c r="K535" t="str">
        <f t="shared" si="64"/>
        <v>870072442</v>
      </c>
      <c r="L535" t="str">
        <f t="shared" si="65"/>
        <v>13 Dec 2023</v>
      </c>
      <c r="M535" t="str">
        <f t="shared" si="66"/>
        <v/>
      </c>
      <c r="N535" t="str">
        <f t="shared" si="67"/>
        <v>12/05/2023</v>
      </c>
      <c r="O535" t="str">
        <f t="shared" si="68"/>
        <v/>
      </c>
      <c r="P535" t="str">
        <f t="shared" si="69"/>
        <v/>
      </c>
      <c r="Q535" t="str">
        <f t="shared" si="70"/>
        <v/>
      </c>
      <c r="R535" t="str">
        <f t="shared" si="71"/>
        <v/>
      </c>
    </row>
    <row r="536" spans="1:18" x14ac:dyDescent="0.25">
      <c r="A536">
        <f>ROW()</f>
        <v>536</v>
      </c>
      <c r="B536" t="s">
        <v>226</v>
      </c>
      <c r="C536" t="s">
        <v>544</v>
      </c>
      <c r="D536" t="s">
        <v>290</v>
      </c>
      <c r="E536" t="s">
        <v>291</v>
      </c>
      <c r="J536" t="str">
        <f>IF(A536&lt;WORKSHEET!$R$2,WORKSHEET!$C$2,IF(B536="Air Waybill Number",C536,J535))</f>
        <v>774327903444</v>
      </c>
      <c r="K536" t="str">
        <f t="shared" si="64"/>
        <v>870072442</v>
      </c>
      <c r="L536" t="str">
        <f t="shared" si="65"/>
        <v>13 Dec 2023</v>
      </c>
      <c r="M536" t="str">
        <f t="shared" si="66"/>
        <v/>
      </c>
      <c r="N536" t="str">
        <f t="shared" si="67"/>
        <v>12/08/2023</v>
      </c>
      <c r="O536" t="str">
        <f t="shared" si="68"/>
        <v>EKA / BAYU</v>
      </c>
      <c r="P536" t="str">
        <f t="shared" si="69"/>
        <v>GISTEX GARMEN INDONESIA</v>
      </c>
      <c r="Q536" t="str">
        <f t="shared" si="70"/>
        <v>OGURA KENJI / HASHIMOTO KIMIE</v>
      </c>
      <c r="R536" t="str">
        <f t="shared" si="71"/>
        <v>MARUBENI FASHION LINK, LTD</v>
      </c>
    </row>
    <row r="537" spans="1:18" x14ac:dyDescent="0.25">
      <c r="A537">
        <f>ROW()</f>
        <v>537</v>
      </c>
      <c r="B537" t="s">
        <v>320</v>
      </c>
      <c r="C537" t="s">
        <v>545</v>
      </c>
      <c r="D537" t="s">
        <v>36</v>
      </c>
      <c r="E537" t="s">
        <v>37</v>
      </c>
      <c r="J537" t="str">
        <f>IF(A537&lt;WORKSHEET!$R$2,WORKSHEET!$C$2,IF(B537="Air Waybill Number",C537,J536))</f>
        <v>774327903444</v>
      </c>
      <c r="K537" t="str">
        <f t="shared" si="64"/>
        <v>870072442</v>
      </c>
      <c r="L537" t="str">
        <f t="shared" si="65"/>
        <v>13 Dec 2023</v>
      </c>
      <c r="M537" t="str">
        <f t="shared" si="66"/>
        <v/>
      </c>
      <c r="N537" t="str">
        <f t="shared" si="67"/>
        <v>12/08/2023</v>
      </c>
      <c r="O537" t="str">
        <f t="shared" si="68"/>
        <v/>
      </c>
      <c r="P537" t="str">
        <f t="shared" si="69"/>
        <v/>
      </c>
      <c r="Q537" t="str">
        <f t="shared" si="70"/>
        <v/>
      </c>
      <c r="R537" t="str">
        <f t="shared" si="71"/>
        <v/>
      </c>
    </row>
    <row r="538" spans="1:18" x14ac:dyDescent="0.25">
      <c r="A538">
        <f>ROW()</f>
        <v>538</v>
      </c>
      <c r="B538" t="s">
        <v>232</v>
      </c>
      <c r="C538" t="s">
        <v>117</v>
      </c>
      <c r="D538" t="s">
        <v>41</v>
      </c>
      <c r="E538" t="s">
        <v>39</v>
      </c>
      <c r="J538" t="str">
        <f>IF(A538&lt;WORKSHEET!$R$2,WORKSHEET!$C$2,IF(B538="Air Waybill Number",C538,J537))</f>
        <v>774398472980</v>
      </c>
      <c r="K538" t="str">
        <f t="shared" si="64"/>
        <v>870072442</v>
      </c>
      <c r="L538" t="str">
        <f t="shared" si="65"/>
        <v>13 Dec 2023</v>
      </c>
      <c r="M538" t="str">
        <f t="shared" si="66"/>
        <v>774398472980-1</v>
      </c>
      <c r="N538" t="str">
        <f t="shared" si="67"/>
        <v>12/08/2023</v>
      </c>
      <c r="O538" t="str">
        <f t="shared" si="68"/>
        <v/>
      </c>
      <c r="P538" t="str">
        <f t="shared" si="69"/>
        <v/>
      </c>
      <c r="Q538" t="str">
        <f t="shared" si="70"/>
        <v/>
      </c>
      <c r="R538" t="str">
        <f t="shared" si="71"/>
        <v/>
      </c>
    </row>
    <row r="539" spans="1:18" x14ac:dyDescent="0.25">
      <c r="A539">
        <f>ROW()</f>
        <v>539</v>
      </c>
      <c r="B539" t="s">
        <v>233</v>
      </c>
      <c r="C539" t="s">
        <v>506</v>
      </c>
      <c r="D539" t="s">
        <v>293</v>
      </c>
      <c r="E539" t="s">
        <v>294</v>
      </c>
      <c r="J539" t="str">
        <f>IF(A539&lt;WORKSHEET!$R$2,WORKSHEET!$C$2,IF(B539="Air Waybill Number",C539,J538))</f>
        <v>774398472980</v>
      </c>
      <c r="K539" t="str">
        <f t="shared" si="64"/>
        <v>870072442</v>
      </c>
      <c r="L539" t="str">
        <f t="shared" si="65"/>
        <v>13 Dec 2023</v>
      </c>
      <c r="M539" t="str">
        <f t="shared" si="66"/>
        <v/>
      </c>
      <c r="N539" t="str">
        <f t="shared" si="67"/>
        <v>12/08/2023</v>
      </c>
      <c r="O539" t="str">
        <f t="shared" si="68"/>
        <v/>
      </c>
      <c r="P539" t="str">
        <f t="shared" si="69"/>
        <v/>
      </c>
      <c r="Q539" t="str">
        <f t="shared" si="70"/>
        <v/>
      </c>
      <c r="R539" t="str">
        <f t="shared" si="71"/>
        <v/>
      </c>
    </row>
    <row r="540" spans="1:18" x14ac:dyDescent="0.25">
      <c r="A540">
        <f>ROW()</f>
        <v>540</v>
      </c>
      <c r="B540" t="s">
        <v>237</v>
      </c>
      <c r="C540" t="s">
        <v>238</v>
      </c>
      <c r="D540" t="s">
        <v>296</v>
      </c>
      <c r="E540" t="s">
        <v>297</v>
      </c>
      <c r="F540" t="s">
        <v>298</v>
      </c>
      <c r="J540" t="str">
        <f>IF(A540&lt;WORKSHEET!$R$2,WORKSHEET!$C$2,IF(B540="Air Waybill Number",C540,J539))</f>
        <v>774398472980</v>
      </c>
      <c r="K540" t="str">
        <f t="shared" si="64"/>
        <v>870072442</v>
      </c>
      <c r="L540" t="str">
        <f t="shared" si="65"/>
        <v>13 Dec 2023</v>
      </c>
      <c r="M540" t="str">
        <f t="shared" si="66"/>
        <v/>
      </c>
      <c r="N540" t="str">
        <f t="shared" si="67"/>
        <v>12/08/2023</v>
      </c>
      <c r="O540" t="str">
        <f t="shared" si="68"/>
        <v/>
      </c>
      <c r="P540" t="str">
        <f t="shared" si="69"/>
        <v/>
      </c>
      <c r="Q540" t="str">
        <f t="shared" si="70"/>
        <v/>
      </c>
      <c r="R540" t="str">
        <f t="shared" si="71"/>
        <v/>
      </c>
    </row>
    <row r="541" spans="1:18" x14ac:dyDescent="0.25">
      <c r="A541">
        <f>ROW()</f>
        <v>541</v>
      </c>
      <c r="B541" t="s">
        <v>241</v>
      </c>
      <c r="C541" t="s">
        <v>546</v>
      </c>
      <c r="D541" t="s">
        <v>300</v>
      </c>
      <c r="J541" t="str">
        <f>IF(A541&lt;WORKSHEET!$R$2,WORKSHEET!$C$2,IF(B541="Air Waybill Number",C541,J540))</f>
        <v>774398472980</v>
      </c>
      <c r="K541" t="str">
        <f t="shared" si="64"/>
        <v>870072442</v>
      </c>
      <c r="L541" t="str">
        <f t="shared" si="65"/>
        <v>13 Dec 2023</v>
      </c>
      <c r="M541" t="str">
        <f t="shared" si="66"/>
        <v/>
      </c>
      <c r="N541" t="str">
        <f t="shared" si="67"/>
        <v>12/08/2023</v>
      </c>
      <c r="O541" t="str">
        <f t="shared" si="68"/>
        <v/>
      </c>
      <c r="P541" t="str">
        <f t="shared" si="69"/>
        <v/>
      </c>
      <c r="Q541" t="str">
        <f t="shared" si="70"/>
        <v/>
      </c>
      <c r="R541" t="str">
        <f t="shared" si="71"/>
        <v/>
      </c>
    </row>
    <row r="542" spans="1:18" x14ac:dyDescent="0.25">
      <c r="A542">
        <f>ROW()</f>
        <v>542</v>
      </c>
      <c r="B542" t="s">
        <v>245</v>
      </c>
      <c r="C542" t="s">
        <v>299</v>
      </c>
      <c r="J542" t="str">
        <f>IF(A542&lt;WORKSHEET!$R$2,WORKSHEET!$C$2,IF(B542="Air Waybill Number",C542,J541))</f>
        <v>774398472980</v>
      </c>
      <c r="K542" t="str">
        <f t="shared" si="64"/>
        <v>870072442</v>
      </c>
      <c r="L542" t="str">
        <f t="shared" si="65"/>
        <v>13 Dec 2023</v>
      </c>
      <c r="M542" t="str">
        <f t="shared" si="66"/>
        <v/>
      </c>
      <c r="N542" t="str">
        <f t="shared" si="67"/>
        <v>12/08/2023</v>
      </c>
      <c r="O542" t="str">
        <f t="shared" si="68"/>
        <v/>
      </c>
      <c r="P542" t="str">
        <f t="shared" si="69"/>
        <v/>
      </c>
      <c r="Q542" t="str">
        <f t="shared" si="70"/>
        <v/>
      </c>
      <c r="R542" t="str">
        <f t="shared" si="71"/>
        <v/>
      </c>
    </row>
    <row r="543" spans="1:18" x14ac:dyDescent="0.25">
      <c r="A543">
        <f>ROW()</f>
        <v>543</v>
      </c>
      <c r="B543" t="s">
        <v>419</v>
      </c>
      <c r="C543" t="s">
        <v>324</v>
      </c>
      <c r="D543" t="s">
        <v>254</v>
      </c>
      <c r="E543" t="s">
        <v>345</v>
      </c>
      <c r="F543" t="s">
        <v>547</v>
      </c>
      <c r="J543" t="str">
        <f>IF(A543&lt;WORKSHEET!$R$2,WORKSHEET!$C$2,IF(B543="Air Waybill Number",C543,J542))</f>
        <v>774398472980</v>
      </c>
      <c r="K543" t="str">
        <f t="shared" si="64"/>
        <v>870072442</v>
      </c>
      <c r="L543" t="str">
        <f t="shared" si="65"/>
        <v>13 Dec 2023</v>
      </c>
      <c r="M543" t="str">
        <f t="shared" si="66"/>
        <v/>
      </c>
      <c r="N543" t="str">
        <f t="shared" si="67"/>
        <v>12/08/2023</v>
      </c>
      <c r="O543" t="str">
        <f t="shared" si="68"/>
        <v/>
      </c>
      <c r="P543" t="str">
        <f t="shared" si="69"/>
        <v/>
      </c>
      <c r="Q543" t="str">
        <f t="shared" si="70"/>
        <v/>
      </c>
      <c r="R543" t="str">
        <f t="shared" si="71"/>
        <v/>
      </c>
    </row>
    <row r="544" spans="1:18" x14ac:dyDescent="0.25">
      <c r="A544">
        <f>ROW()</f>
        <v>544</v>
      </c>
      <c r="D544" t="s">
        <v>254</v>
      </c>
      <c r="E544" t="s">
        <v>325</v>
      </c>
      <c r="F544" t="s">
        <v>547</v>
      </c>
      <c r="J544" t="str">
        <f>IF(A544&lt;WORKSHEET!$R$2,WORKSHEET!$C$2,IF(B544="Air Waybill Number",C544,J543))</f>
        <v>774398472980</v>
      </c>
      <c r="K544" t="str">
        <f t="shared" si="64"/>
        <v>870072442</v>
      </c>
      <c r="L544" t="str">
        <f t="shared" si="65"/>
        <v>13 Dec 2023</v>
      </c>
      <c r="M544" t="str">
        <f t="shared" si="66"/>
        <v/>
      </c>
      <c r="N544" t="str">
        <f t="shared" si="67"/>
        <v>12/08/2023</v>
      </c>
      <c r="O544" t="str">
        <f t="shared" si="68"/>
        <v/>
      </c>
      <c r="P544" t="str">
        <f t="shared" si="69"/>
        <v/>
      </c>
      <c r="Q544" t="str">
        <f t="shared" si="70"/>
        <v/>
      </c>
      <c r="R544" t="str">
        <f t="shared" si="71"/>
        <v/>
      </c>
    </row>
    <row r="545" spans="1:18" x14ac:dyDescent="0.25">
      <c r="A545">
        <f>ROW()</f>
        <v>545</v>
      </c>
      <c r="D545" t="s">
        <v>254</v>
      </c>
      <c r="E545" t="s">
        <v>328</v>
      </c>
      <c r="F545" t="s">
        <v>547</v>
      </c>
      <c r="J545" t="str">
        <f>IF(A545&lt;WORKSHEET!$R$2,WORKSHEET!$C$2,IF(B545="Air Waybill Number",C545,J544))</f>
        <v>774398472980</v>
      </c>
      <c r="K545" t="str">
        <f t="shared" si="64"/>
        <v>870072442</v>
      </c>
      <c r="L545" t="str">
        <f t="shared" si="65"/>
        <v>13 Dec 2023</v>
      </c>
      <c r="M545" t="str">
        <f t="shared" si="66"/>
        <v/>
      </c>
      <c r="N545" t="str">
        <f t="shared" si="67"/>
        <v>12/08/2023</v>
      </c>
      <c r="O545" t="str">
        <f t="shared" si="68"/>
        <v/>
      </c>
      <c r="P545" t="str">
        <f t="shared" si="69"/>
        <v/>
      </c>
      <c r="Q545" t="str">
        <f t="shared" si="70"/>
        <v/>
      </c>
      <c r="R545" t="str">
        <f t="shared" si="71"/>
        <v/>
      </c>
    </row>
    <row r="546" spans="1:18" x14ac:dyDescent="0.25">
      <c r="A546">
        <f>ROW()</f>
        <v>546</v>
      </c>
      <c r="B546" t="s">
        <v>331</v>
      </c>
      <c r="C546" t="s">
        <v>548</v>
      </c>
      <c r="D546" t="s">
        <v>261</v>
      </c>
      <c r="F546" t="s">
        <v>549</v>
      </c>
      <c r="J546" t="str">
        <f>IF(A546&lt;WORKSHEET!$R$2,WORKSHEET!$C$2,IF(B546="Air Waybill Number",C546,J545))</f>
        <v>774398472980</v>
      </c>
      <c r="K546" t="str">
        <f t="shared" si="64"/>
        <v>870072442</v>
      </c>
      <c r="L546" t="str">
        <f t="shared" si="65"/>
        <v>13 Dec 2023</v>
      </c>
      <c r="M546" t="str">
        <f t="shared" si="66"/>
        <v/>
      </c>
      <c r="N546" t="str">
        <f t="shared" si="67"/>
        <v>12/08/2023</v>
      </c>
      <c r="O546" t="str">
        <f t="shared" si="68"/>
        <v/>
      </c>
      <c r="P546" t="str">
        <f t="shared" si="69"/>
        <v/>
      </c>
      <c r="Q546" t="str">
        <f t="shared" si="70"/>
        <v/>
      </c>
      <c r="R546" t="str">
        <f t="shared" si="71"/>
        <v/>
      </c>
    </row>
    <row r="547" spans="1:18" x14ac:dyDescent="0.25">
      <c r="A547">
        <f>ROW()</f>
        <v>547</v>
      </c>
      <c r="D547" t="s">
        <v>14</v>
      </c>
      <c r="F547" t="s">
        <v>550</v>
      </c>
      <c r="J547" t="str">
        <f>IF(A547&lt;WORKSHEET!$R$2,WORKSHEET!$C$2,IF(B547="Air Waybill Number",C547,J546))</f>
        <v>774398472980</v>
      </c>
      <c r="K547" t="str">
        <f t="shared" si="64"/>
        <v>870072442</v>
      </c>
      <c r="L547" t="str">
        <f t="shared" si="65"/>
        <v>13 Dec 2023</v>
      </c>
      <c r="M547" t="str">
        <f t="shared" si="66"/>
        <v/>
      </c>
      <c r="N547" t="str">
        <f t="shared" si="67"/>
        <v>12/08/2023</v>
      </c>
      <c r="O547" t="str">
        <f t="shared" si="68"/>
        <v/>
      </c>
      <c r="P547" t="str">
        <f t="shared" si="69"/>
        <v/>
      </c>
      <c r="Q547" t="str">
        <f t="shared" si="70"/>
        <v/>
      </c>
      <c r="R547" t="str">
        <f t="shared" si="71"/>
        <v/>
      </c>
    </row>
    <row r="548" spans="1:18" x14ac:dyDescent="0.25">
      <c r="A548">
        <f>ROW()</f>
        <v>548</v>
      </c>
      <c r="B548" t="s">
        <v>221</v>
      </c>
      <c r="C548" t="s">
        <v>118</v>
      </c>
      <c r="J548" t="str">
        <f>IF(A548&lt;WORKSHEET!$R$2,WORKSHEET!$C$2,IF(B548="Air Waybill Number",C548,J547))</f>
        <v>774398472980</v>
      </c>
      <c r="K548" t="str">
        <f t="shared" si="64"/>
        <v>870159593</v>
      </c>
      <c r="L548" t="str">
        <f t="shared" si="65"/>
        <v>13 Dec 2023</v>
      </c>
      <c r="M548" t="str">
        <f t="shared" si="66"/>
        <v/>
      </c>
      <c r="N548" t="str">
        <f t="shared" si="67"/>
        <v>12/08/2023</v>
      </c>
      <c r="O548" t="str">
        <f t="shared" si="68"/>
        <v/>
      </c>
      <c r="P548" t="str">
        <f t="shared" si="69"/>
        <v/>
      </c>
      <c r="Q548" t="str">
        <f t="shared" si="70"/>
        <v/>
      </c>
      <c r="R548" t="str">
        <f t="shared" si="71"/>
        <v/>
      </c>
    </row>
    <row r="549" spans="1:18" x14ac:dyDescent="0.25">
      <c r="A549">
        <f>ROW()</f>
        <v>549</v>
      </c>
      <c r="B549" t="s">
        <v>222</v>
      </c>
      <c r="C549" t="s">
        <v>551</v>
      </c>
      <c r="J549" t="str">
        <f>IF(A549&lt;WORKSHEET!$R$2,WORKSHEET!$C$2,IF(B549="Air Waybill Number",C549,J548))</f>
        <v>774398472980</v>
      </c>
      <c r="K549" t="str">
        <f t="shared" si="64"/>
        <v>870159593</v>
      </c>
      <c r="L549" t="str">
        <f t="shared" si="65"/>
        <v>15 Jan 2024</v>
      </c>
      <c r="M549" t="str">
        <f t="shared" si="66"/>
        <v/>
      </c>
      <c r="N549" t="str">
        <f t="shared" si="67"/>
        <v>12/08/2023</v>
      </c>
      <c r="O549" t="str">
        <f t="shared" si="68"/>
        <v/>
      </c>
      <c r="P549" t="str">
        <f t="shared" si="69"/>
        <v/>
      </c>
      <c r="Q549" t="str">
        <f t="shared" si="70"/>
        <v/>
      </c>
      <c r="R549" t="str">
        <f t="shared" si="71"/>
        <v/>
      </c>
    </row>
    <row r="550" spans="1:18" x14ac:dyDescent="0.25">
      <c r="A550">
        <f>ROW()</f>
        <v>550</v>
      </c>
      <c r="B550" t="s">
        <v>224</v>
      </c>
      <c r="C550" t="s">
        <v>225</v>
      </c>
      <c r="J550" t="str">
        <f>IF(A550&lt;WORKSHEET!$R$2,WORKSHEET!$C$2,IF(B550="Air Waybill Number",C550,J549))</f>
        <v>774398472980</v>
      </c>
      <c r="K550" t="str">
        <f t="shared" si="64"/>
        <v>870159593</v>
      </c>
      <c r="L550" t="str">
        <f t="shared" si="65"/>
        <v>15 Jan 2024</v>
      </c>
      <c r="M550" t="str">
        <f t="shared" si="66"/>
        <v/>
      </c>
      <c r="N550" t="str">
        <f t="shared" si="67"/>
        <v>12/08/2023</v>
      </c>
      <c r="O550" t="str">
        <f t="shared" si="68"/>
        <v/>
      </c>
      <c r="P550" t="str">
        <f t="shared" si="69"/>
        <v/>
      </c>
      <c r="Q550" t="str">
        <f t="shared" si="70"/>
        <v/>
      </c>
      <c r="R550" t="str">
        <f t="shared" si="71"/>
        <v/>
      </c>
    </row>
    <row r="551" spans="1:18" x14ac:dyDescent="0.25">
      <c r="A551">
        <f>ROW()</f>
        <v>551</v>
      </c>
      <c r="B551" t="s">
        <v>226</v>
      </c>
      <c r="C551" t="s">
        <v>552</v>
      </c>
      <c r="D551" t="s">
        <v>290</v>
      </c>
      <c r="E551" t="s">
        <v>291</v>
      </c>
      <c r="J551" t="str">
        <f>IF(A551&lt;WORKSHEET!$R$2,WORKSHEET!$C$2,IF(B551="Air Waybill Number",C551,J550))</f>
        <v>774398472980</v>
      </c>
      <c r="K551" t="str">
        <f t="shared" si="64"/>
        <v>870159593</v>
      </c>
      <c r="L551" t="str">
        <f t="shared" si="65"/>
        <v>15 Jan 2024</v>
      </c>
      <c r="M551" t="str">
        <f t="shared" si="66"/>
        <v/>
      </c>
      <c r="N551" t="str">
        <f t="shared" si="67"/>
        <v>01/08/2024</v>
      </c>
      <c r="O551" t="str">
        <f t="shared" si="68"/>
        <v>EKA / BAYU</v>
      </c>
      <c r="P551" t="str">
        <f t="shared" si="69"/>
        <v>PT.GISTEX GARMEN INDONESIA</v>
      </c>
      <c r="Q551" t="str">
        <f t="shared" si="70"/>
        <v>OGURA KENJI / HASHIMOTO KIMIE</v>
      </c>
      <c r="R551" t="str">
        <f t="shared" si="71"/>
        <v>MARUBENI FASHION LINK, LTD</v>
      </c>
    </row>
    <row r="552" spans="1:18" x14ac:dyDescent="0.25">
      <c r="A552">
        <f>ROW()</f>
        <v>552</v>
      </c>
      <c r="B552" t="s">
        <v>320</v>
      </c>
      <c r="C552" t="s">
        <v>553</v>
      </c>
      <c r="D552" t="s">
        <v>36</v>
      </c>
      <c r="E552" t="s">
        <v>37</v>
      </c>
      <c r="J552" t="str">
        <f>IF(A552&lt;WORKSHEET!$R$2,WORKSHEET!$C$2,IF(B552="Air Waybill Number",C552,J551))</f>
        <v>774398472980</v>
      </c>
      <c r="K552" t="str">
        <f t="shared" si="64"/>
        <v>870159593</v>
      </c>
      <c r="L552" t="str">
        <f t="shared" si="65"/>
        <v>15 Jan 2024</v>
      </c>
      <c r="M552" t="str">
        <f t="shared" si="66"/>
        <v/>
      </c>
      <c r="N552" t="str">
        <f t="shared" si="67"/>
        <v>01/08/2024</v>
      </c>
      <c r="O552" t="str">
        <f t="shared" si="68"/>
        <v/>
      </c>
      <c r="P552" t="str">
        <f t="shared" si="69"/>
        <v/>
      </c>
      <c r="Q552" t="str">
        <f t="shared" si="70"/>
        <v/>
      </c>
      <c r="R552" t="str">
        <f t="shared" si="71"/>
        <v/>
      </c>
    </row>
    <row r="553" spans="1:18" x14ac:dyDescent="0.25">
      <c r="A553">
        <f>ROW()</f>
        <v>553</v>
      </c>
      <c r="B553" t="s">
        <v>232</v>
      </c>
      <c r="C553" t="s">
        <v>119</v>
      </c>
      <c r="D553" t="s">
        <v>120</v>
      </c>
      <c r="E553" t="s">
        <v>39</v>
      </c>
      <c r="J553" t="str">
        <f>IF(A553&lt;WORKSHEET!$R$2,WORKSHEET!$C$2,IF(B553="Air Waybill Number",C553,J552))</f>
        <v>774713825922</v>
      </c>
      <c r="K553" t="str">
        <f t="shared" si="64"/>
        <v>870159593</v>
      </c>
      <c r="L553" t="str">
        <f t="shared" si="65"/>
        <v>15 Jan 2024</v>
      </c>
      <c r="M553" t="str">
        <f t="shared" si="66"/>
        <v>774713825922-1</v>
      </c>
      <c r="N553" t="str">
        <f t="shared" si="67"/>
        <v>01/08/2024</v>
      </c>
      <c r="O553" t="str">
        <f t="shared" si="68"/>
        <v/>
      </c>
      <c r="P553" t="str">
        <f t="shared" si="69"/>
        <v/>
      </c>
      <c r="Q553" t="str">
        <f t="shared" si="70"/>
        <v/>
      </c>
      <c r="R553" t="str">
        <f t="shared" si="71"/>
        <v/>
      </c>
    </row>
    <row r="554" spans="1:18" x14ac:dyDescent="0.25">
      <c r="A554">
        <f>ROW()</f>
        <v>554</v>
      </c>
      <c r="B554" t="s">
        <v>233</v>
      </c>
      <c r="C554" t="s">
        <v>322</v>
      </c>
      <c r="D554" t="s">
        <v>293</v>
      </c>
      <c r="E554" t="s">
        <v>294</v>
      </c>
      <c r="J554" t="str">
        <f>IF(A554&lt;WORKSHEET!$R$2,WORKSHEET!$C$2,IF(B554="Air Waybill Number",C554,J553))</f>
        <v>774713825922</v>
      </c>
      <c r="K554" t="str">
        <f t="shared" si="64"/>
        <v>870159593</v>
      </c>
      <c r="L554" t="str">
        <f t="shared" si="65"/>
        <v>15 Jan 2024</v>
      </c>
      <c r="M554" t="str">
        <f t="shared" si="66"/>
        <v/>
      </c>
      <c r="N554" t="str">
        <f t="shared" si="67"/>
        <v>01/08/2024</v>
      </c>
      <c r="O554" t="str">
        <f t="shared" si="68"/>
        <v/>
      </c>
      <c r="P554" t="str">
        <f t="shared" si="69"/>
        <v/>
      </c>
      <c r="Q554" t="str">
        <f t="shared" si="70"/>
        <v/>
      </c>
      <c r="R554" t="str">
        <f t="shared" si="71"/>
        <v/>
      </c>
    </row>
    <row r="555" spans="1:18" x14ac:dyDescent="0.25">
      <c r="A555">
        <f>ROW()</f>
        <v>555</v>
      </c>
      <c r="B555" t="s">
        <v>237</v>
      </c>
      <c r="C555" t="s">
        <v>238</v>
      </c>
      <c r="D555" t="s">
        <v>296</v>
      </c>
      <c r="E555" t="s">
        <v>297</v>
      </c>
      <c r="F555" t="s">
        <v>298</v>
      </c>
      <c r="J555" t="str">
        <f>IF(A555&lt;WORKSHEET!$R$2,WORKSHEET!$C$2,IF(B555="Air Waybill Number",C555,J554))</f>
        <v>774713825922</v>
      </c>
      <c r="K555" t="str">
        <f t="shared" si="64"/>
        <v>870159593</v>
      </c>
      <c r="L555" t="str">
        <f t="shared" si="65"/>
        <v>15 Jan 2024</v>
      </c>
      <c r="M555" t="str">
        <f t="shared" si="66"/>
        <v/>
      </c>
      <c r="N555" t="str">
        <f t="shared" si="67"/>
        <v>01/08/2024</v>
      </c>
      <c r="O555" t="str">
        <f t="shared" si="68"/>
        <v/>
      </c>
      <c r="P555" t="str">
        <f t="shared" si="69"/>
        <v/>
      </c>
      <c r="Q555" t="str">
        <f t="shared" si="70"/>
        <v/>
      </c>
      <c r="R555" t="str">
        <f t="shared" si="71"/>
        <v/>
      </c>
    </row>
    <row r="556" spans="1:18" x14ac:dyDescent="0.25">
      <c r="A556">
        <f>ROW()</f>
        <v>556</v>
      </c>
      <c r="B556" t="s">
        <v>241</v>
      </c>
      <c r="C556" t="s">
        <v>554</v>
      </c>
      <c r="D556" t="s">
        <v>555</v>
      </c>
      <c r="J556" t="str">
        <f>IF(A556&lt;WORKSHEET!$R$2,WORKSHEET!$C$2,IF(B556="Air Waybill Number",C556,J555))</f>
        <v>774713825922</v>
      </c>
      <c r="K556" t="str">
        <f t="shared" si="64"/>
        <v>870159593</v>
      </c>
      <c r="L556" t="str">
        <f t="shared" si="65"/>
        <v>15 Jan 2024</v>
      </c>
      <c r="M556" t="str">
        <f t="shared" si="66"/>
        <v/>
      </c>
      <c r="N556" t="str">
        <f t="shared" si="67"/>
        <v>01/08/2024</v>
      </c>
      <c r="O556" t="str">
        <f t="shared" si="68"/>
        <v/>
      </c>
      <c r="P556" t="str">
        <f t="shared" si="69"/>
        <v/>
      </c>
      <c r="Q556" t="str">
        <f t="shared" si="70"/>
        <v/>
      </c>
      <c r="R556" t="str">
        <f t="shared" si="71"/>
        <v/>
      </c>
    </row>
    <row r="557" spans="1:18" x14ac:dyDescent="0.25">
      <c r="A557">
        <f>ROW()</f>
        <v>557</v>
      </c>
      <c r="B557" t="s">
        <v>245</v>
      </c>
      <c r="C557" t="s">
        <v>299</v>
      </c>
      <c r="J557" t="str">
        <f>IF(A557&lt;WORKSHEET!$R$2,WORKSHEET!$C$2,IF(B557="Air Waybill Number",C557,J556))</f>
        <v>774713825922</v>
      </c>
      <c r="K557" t="str">
        <f t="shared" si="64"/>
        <v>870159593</v>
      </c>
      <c r="L557" t="str">
        <f t="shared" si="65"/>
        <v>15 Jan 2024</v>
      </c>
      <c r="M557" t="str">
        <f t="shared" si="66"/>
        <v/>
      </c>
      <c r="N557" t="str">
        <f t="shared" si="67"/>
        <v>01/08/2024</v>
      </c>
      <c r="O557" t="str">
        <f t="shared" si="68"/>
        <v/>
      </c>
      <c r="P557" t="str">
        <f t="shared" si="69"/>
        <v/>
      </c>
      <c r="Q557" t="str">
        <f t="shared" si="70"/>
        <v/>
      </c>
      <c r="R557" t="str">
        <f t="shared" si="71"/>
        <v/>
      </c>
    </row>
    <row r="558" spans="1:18" x14ac:dyDescent="0.25">
      <c r="A558">
        <f>ROW()</f>
        <v>558</v>
      </c>
      <c r="B558" t="s">
        <v>247</v>
      </c>
      <c r="D558" t="s">
        <v>254</v>
      </c>
      <c r="E558" t="s">
        <v>345</v>
      </c>
      <c r="F558" t="s">
        <v>556</v>
      </c>
      <c r="J558" t="str">
        <f>IF(A558&lt;WORKSHEET!$R$2,WORKSHEET!$C$2,IF(B558="Air Waybill Number",C558,J557))</f>
        <v>774713825922</v>
      </c>
      <c r="K558" t="str">
        <f t="shared" si="64"/>
        <v>870159593</v>
      </c>
      <c r="L558" t="str">
        <f t="shared" si="65"/>
        <v>15 Jan 2024</v>
      </c>
      <c r="M558" t="str">
        <f t="shared" si="66"/>
        <v/>
      </c>
      <c r="N558" t="str">
        <f t="shared" si="67"/>
        <v>01/08/2024</v>
      </c>
      <c r="O558" t="str">
        <f t="shared" si="68"/>
        <v/>
      </c>
      <c r="P558" t="str">
        <f t="shared" si="69"/>
        <v/>
      </c>
      <c r="Q558" t="str">
        <f t="shared" si="70"/>
        <v/>
      </c>
      <c r="R558" t="str">
        <f t="shared" si="71"/>
        <v/>
      </c>
    </row>
    <row r="559" spans="1:18" x14ac:dyDescent="0.25">
      <c r="A559">
        <f>ROW()</f>
        <v>559</v>
      </c>
      <c r="B559" t="s">
        <v>249</v>
      </c>
      <c r="C559" t="s">
        <v>557</v>
      </c>
      <c r="D559" t="s">
        <v>254</v>
      </c>
      <c r="E559" t="s">
        <v>325</v>
      </c>
      <c r="F559" t="s">
        <v>556</v>
      </c>
      <c r="J559" t="str">
        <f>IF(A559&lt;WORKSHEET!$R$2,WORKSHEET!$C$2,IF(B559="Air Waybill Number",C559,J558))</f>
        <v>774713825922</v>
      </c>
      <c r="K559" t="str">
        <f t="shared" si="64"/>
        <v>870159593</v>
      </c>
      <c r="L559" t="str">
        <f t="shared" si="65"/>
        <v>15 Jan 2024</v>
      </c>
      <c r="M559" t="str">
        <f t="shared" si="66"/>
        <v/>
      </c>
      <c r="N559" t="str">
        <f t="shared" si="67"/>
        <v>01/08/2024</v>
      </c>
      <c r="O559" t="str">
        <f t="shared" si="68"/>
        <v/>
      </c>
      <c r="P559" t="str">
        <f t="shared" si="69"/>
        <v/>
      </c>
      <c r="Q559" t="str">
        <f t="shared" si="70"/>
        <v/>
      </c>
      <c r="R559" t="str">
        <f t="shared" si="71"/>
        <v/>
      </c>
    </row>
    <row r="560" spans="1:18" x14ac:dyDescent="0.25">
      <c r="A560">
        <f>ROW()</f>
        <v>560</v>
      </c>
      <c r="D560" t="s">
        <v>254</v>
      </c>
      <c r="E560" t="s">
        <v>328</v>
      </c>
      <c r="F560" t="s">
        <v>558</v>
      </c>
      <c r="J560" t="str">
        <f>IF(A560&lt;WORKSHEET!$R$2,WORKSHEET!$C$2,IF(B560="Air Waybill Number",C560,J559))</f>
        <v>774713825922</v>
      </c>
      <c r="K560" t="str">
        <f t="shared" si="64"/>
        <v>870159593</v>
      </c>
      <c r="L560" t="str">
        <f t="shared" si="65"/>
        <v>15 Jan 2024</v>
      </c>
      <c r="M560" t="str">
        <f t="shared" si="66"/>
        <v/>
      </c>
      <c r="N560" t="str">
        <f t="shared" si="67"/>
        <v>01/08/2024</v>
      </c>
      <c r="O560" t="str">
        <f t="shared" si="68"/>
        <v/>
      </c>
      <c r="P560" t="str">
        <f t="shared" si="69"/>
        <v/>
      </c>
      <c r="Q560" t="str">
        <f t="shared" si="70"/>
        <v/>
      </c>
      <c r="R560" t="str">
        <f t="shared" si="71"/>
        <v/>
      </c>
    </row>
    <row r="561" spans="1:18" x14ac:dyDescent="0.25">
      <c r="A561">
        <f>ROW()</f>
        <v>561</v>
      </c>
      <c r="B561" t="s">
        <v>331</v>
      </c>
      <c r="C561" t="s">
        <v>559</v>
      </c>
      <c r="D561" t="s">
        <v>261</v>
      </c>
      <c r="F561" t="s">
        <v>560</v>
      </c>
      <c r="J561" t="str">
        <f>IF(A561&lt;WORKSHEET!$R$2,WORKSHEET!$C$2,IF(B561="Air Waybill Number",C561,J560))</f>
        <v>774713825922</v>
      </c>
      <c r="K561" t="str">
        <f t="shared" si="64"/>
        <v>870159593</v>
      </c>
      <c r="L561" t="str">
        <f t="shared" si="65"/>
        <v>15 Jan 2024</v>
      </c>
      <c r="M561" t="str">
        <f t="shared" si="66"/>
        <v/>
      </c>
      <c r="N561" t="str">
        <f t="shared" si="67"/>
        <v>01/08/2024</v>
      </c>
      <c r="O561" t="str">
        <f t="shared" si="68"/>
        <v/>
      </c>
      <c r="P561" t="str">
        <f t="shared" si="69"/>
        <v/>
      </c>
      <c r="Q561" t="str">
        <f t="shared" si="70"/>
        <v/>
      </c>
      <c r="R561" t="str">
        <f t="shared" si="71"/>
        <v/>
      </c>
    </row>
    <row r="562" spans="1:18" x14ac:dyDescent="0.25">
      <c r="A562">
        <f>ROW()</f>
        <v>562</v>
      </c>
      <c r="D562" t="s">
        <v>14</v>
      </c>
      <c r="F562" t="s">
        <v>561</v>
      </c>
      <c r="J562" t="str">
        <f>IF(A562&lt;WORKSHEET!$R$2,WORKSHEET!$C$2,IF(B562="Air Waybill Number",C562,J561))</f>
        <v>774713825922</v>
      </c>
      <c r="K562" t="str">
        <f t="shared" si="64"/>
        <v>870159593</v>
      </c>
      <c r="L562" t="str">
        <f t="shared" si="65"/>
        <v>15 Jan 2024</v>
      </c>
      <c r="M562" t="str">
        <f t="shared" si="66"/>
        <v/>
      </c>
      <c r="N562" t="str">
        <f t="shared" si="67"/>
        <v>01/08/2024</v>
      </c>
      <c r="O562" t="str">
        <f t="shared" si="68"/>
        <v/>
      </c>
      <c r="P562" t="str">
        <f t="shared" si="69"/>
        <v/>
      </c>
      <c r="Q562" t="str">
        <f t="shared" si="70"/>
        <v/>
      </c>
      <c r="R562" t="str">
        <f t="shared" si="71"/>
        <v/>
      </c>
    </row>
    <row r="563" spans="1:18" x14ac:dyDescent="0.25">
      <c r="A563">
        <f>ROW()</f>
        <v>563</v>
      </c>
      <c r="B563" t="s">
        <v>221</v>
      </c>
      <c r="C563" t="s">
        <v>121</v>
      </c>
      <c r="J563" t="str">
        <f>IF(A563&lt;WORKSHEET!$R$2,WORKSHEET!$C$2,IF(B563="Air Waybill Number",C563,J562))</f>
        <v>774713825922</v>
      </c>
      <c r="K563" t="str">
        <f t="shared" si="64"/>
        <v>870085656</v>
      </c>
      <c r="L563" t="str">
        <f t="shared" si="65"/>
        <v>15 Jan 2024</v>
      </c>
      <c r="M563" t="str">
        <f t="shared" si="66"/>
        <v/>
      </c>
      <c r="N563" t="str">
        <f t="shared" si="67"/>
        <v>01/08/2024</v>
      </c>
      <c r="O563" t="str">
        <f t="shared" si="68"/>
        <v/>
      </c>
      <c r="P563" t="str">
        <f t="shared" si="69"/>
        <v/>
      </c>
      <c r="Q563" t="str">
        <f t="shared" si="70"/>
        <v/>
      </c>
      <c r="R563" t="str">
        <f t="shared" si="71"/>
        <v/>
      </c>
    </row>
    <row r="564" spans="1:18" x14ac:dyDescent="0.25">
      <c r="A564">
        <f>ROW()</f>
        <v>564</v>
      </c>
      <c r="B564" t="s">
        <v>222</v>
      </c>
      <c r="C564" t="s">
        <v>562</v>
      </c>
      <c r="J564" t="str">
        <f>IF(A564&lt;WORKSHEET!$R$2,WORKSHEET!$C$2,IF(B564="Air Waybill Number",C564,J563))</f>
        <v>774713825922</v>
      </c>
      <c r="K564" t="str">
        <f t="shared" si="64"/>
        <v>870085656</v>
      </c>
      <c r="L564" t="str">
        <f t="shared" si="65"/>
        <v>18 Dec 2023</v>
      </c>
      <c r="M564" t="str">
        <f t="shared" si="66"/>
        <v/>
      </c>
      <c r="N564" t="str">
        <f t="shared" si="67"/>
        <v>01/08/2024</v>
      </c>
      <c r="O564" t="str">
        <f t="shared" si="68"/>
        <v/>
      </c>
      <c r="P564" t="str">
        <f t="shared" si="69"/>
        <v/>
      </c>
      <c r="Q564" t="str">
        <f t="shared" si="70"/>
        <v/>
      </c>
      <c r="R564" t="str">
        <f t="shared" si="71"/>
        <v/>
      </c>
    </row>
    <row r="565" spans="1:18" x14ac:dyDescent="0.25">
      <c r="A565">
        <f>ROW()</f>
        <v>565</v>
      </c>
      <c r="B565" t="s">
        <v>224</v>
      </c>
      <c r="C565" t="s">
        <v>225</v>
      </c>
      <c r="J565" t="str">
        <f>IF(A565&lt;WORKSHEET!$R$2,WORKSHEET!$C$2,IF(B565="Air Waybill Number",C565,J564))</f>
        <v>774713825922</v>
      </c>
      <c r="K565" t="str">
        <f t="shared" si="64"/>
        <v>870085656</v>
      </c>
      <c r="L565" t="str">
        <f t="shared" si="65"/>
        <v>18 Dec 2023</v>
      </c>
      <c r="M565" t="str">
        <f t="shared" si="66"/>
        <v/>
      </c>
      <c r="N565" t="str">
        <f t="shared" si="67"/>
        <v>01/08/2024</v>
      </c>
      <c r="O565" t="str">
        <f t="shared" si="68"/>
        <v/>
      </c>
      <c r="P565" t="str">
        <f t="shared" si="69"/>
        <v/>
      </c>
      <c r="Q565" t="str">
        <f t="shared" si="70"/>
        <v/>
      </c>
      <c r="R565" t="str">
        <f t="shared" si="71"/>
        <v/>
      </c>
    </row>
    <row r="566" spans="1:18" x14ac:dyDescent="0.25">
      <c r="A566">
        <f>ROW()</f>
        <v>566</v>
      </c>
      <c r="B566" t="s">
        <v>226</v>
      </c>
      <c r="C566" t="s">
        <v>563</v>
      </c>
      <c r="D566" t="s">
        <v>392</v>
      </c>
      <c r="E566" t="s">
        <v>229</v>
      </c>
      <c r="J566" t="str">
        <f>IF(A566&lt;WORKSHEET!$R$2,WORKSHEET!$C$2,IF(B566="Air Waybill Number",C566,J565))</f>
        <v>774713825922</v>
      </c>
      <c r="K566" t="str">
        <f t="shared" si="64"/>
        <v>870085656</v>
      </c>
      <c r="L566" t="str">
        <f t="shared" si="65"/>
        <v>18 Dec 2023</v>
      </c>
      <c r="M566" t="str">
        <f t="shared" si="66"/>
        <v/>
      </c>
      <c r="N566" t="str">
        <f t="shared" si="67"/>
        <v>12/07/2023</v>
      </c>
      <c r="O566" t="str">
        <f t="shared" si="68"/>
        <v>HANFRIEND COLTD</v>
      </c>
      <c r="P566">
        <f t="shared" si="69"/>
        <v>0</v>
      </c>
      <c r="Q566" t="str">
        <f t="shared" si="70"/>
        <v>ULI</v>
      </c>
      <c r="R566" t="str">
        <f t="shared" si="71"/>
        <v>PT. GISTEX GARMEN INDONESIA II</v>
      </c>
    </row>
    <row r="567" spans="1:18" x14ac:dyDescent="0.25">
      <c r="A567">
        <f>ROW()</f>
        <v>567</v>
      </c>
      <c r="B567" t="s">
        <v>320</v>
      </c>
      <c r="C567" t="s">
        <v>391</v>
      </c>
      <c r="D567" t="s">
        <v>71</v>
      </c>
      <c r="E567" t="s">
        <v>72</v>
      </c>
      <c r="J567" t="str">
        <f>IF(A567&lt;WORKSHEET!$R$2,WORKSHEET!$C$2,IF(B567="Air Waybill Number",C567,J566))</f>
        <v>774713825922</v>
      </c>
      <c r="K567" t="str">
        <f t="shared" si="64"/>
        <v>870085656</v>
      </c>
      <c r="L567" t="str">
        <f t="shared" si="65"/>
        <v>18 Dec 2023</v>
      </c>
      <c r="M567" t="str">
        <f t="shared" si="66"/>
        <v/>
      </c>
      <c r="N567" t="str">
        <f t="shared" si="67"/>
        <v>12/07/2023</v>
      </c>
      <c r="O567" t="str">
        <f t="shared" si="68"/>
        <v/>
      </c>
      <c r="P567" t="str">
        <f t="shared" si="69"/>
        <v/>
      </c>
      <c r="Q567" t="str">
        <f t="shared" si="70"/>
        <v/>
      </c>
      <c r="R567" t="str">
        <f t="shared" si="71"/>
        <v/>
      </c>
    </row>
    <row r="568" spans="1:18" x14ac:dyDescent="0.25">
      <c r="A568">
        <f>ROW()</f>
        <v>568</v>
      </c>
      <c r="B568" t="s">
        <v>232</v>
      </c>
      <c r="C568" t="s">
        <v>122</v>
      </c>
      <c r="E568" t="s">
        <v>73</v>
      </c>
      <c r="J568" t="str">
        <f>IF(A568&lt;WORKSHEET!$R$2,WORKSHEET!$C$2,IF(B568="Air Waybill Number",C568,J567))</f>
        <v>774381618321</v>
      </c>
      <c r="K568" t="str">
        <f t="shared" si="64"/>
        <v>870085656</v>
      </c>
      <c r="L568" t="str">
        <f t="shared" si="65"/>
        <v>18 Dec 2023</v>
      </c>
      <c r="M568" t="str">
        <f t="shared" si="66"/>
        <v>774381618321-1</v>
      </c>
      <c r="N568" t="str">
        <f t="shared" si="67"/>
        <v>12/07/2023</v>
      </c>
      <c r="O568" t="str">
        <f t="shared" si="68"/>
        <v/>
      </c>
      <c r="P568" t="str">
        <f t="shared" si="69"/>
        <v/>
      </c>
      <c r="Q568" t="str">
        <f t="shared" si="70"/>
        <v/>
      </c>
      <c r="R568" t="str">
        <f t="shared" si="71"/>
        <v/>
      </c>
    </row>
    <row r="569" spans="1:18" x14ac:dyDescent="0.25">
      <c r="A569">
        <f>ROW()</f>
        <v>569</v>
      </c>
      <c r="B569" t="s">
        <v>233</v>
      </c>
      <c r="C569" t="s">
        <v>279</v>
      </c>
      <c r="D569" t="s">
        <v>394</v>
      </c>
      <c r="E569" t="s">
        <v>395</v>
      </c>
      <c r="J569" t="str">
        <f>IF(A569&lt;WORKSHEET!$R$2,WORKSHEET!$C$2,IF(B569="Air Waybill Number",C569,J568))</f>
        <v>774381618321</v>
      </c>
      <c r="K569" t="str">
        <f t="shared" si="64"/>
        <v>870085656</v>
      </c>
      <c r="L569" t="str">
        <f t="shared" si="65"/>
        <v>18 Dec 2023</v>
      </c>
      <c r="M569" t="str">
        <f t="shared" si="66"/>
        <v/>
      </c>
      <c r="N569" t="str">
        <f t="shared" si="67"/>
        <v>12/07/2023</v>
      </c>
      <c r="O569" t="str">
        <f t="shared" si="68"/>
        <v/>
      </c>
      <c r="P569" t="str">
        <f t="shared" si="69"/>
        <v/>
      </c>
      <c r="Q569" t="str">
        <f t="shared" si="70"/>
        <v/>
      </c>
      <c r="R569" t="str">
        <f t="shared" si="71"/>
        <v/>
      </c>
    </row>
    <row r="570" spans="1:18" x14ac:dyDescent="0.25">
      <c r="A570">
        <f>ROW()</f>
        <v>570</v>
      </c>
      <c r="B570" t="s">
        <v>237</v>
      </c>
      <c r="C570" t="s">
        <v>238</v>
      </c>
      <c r="D570" t="s">
        <v>397</v>
      </c>
      <c r="E570" t="s">
        <v>398</v>
      </c>
      <c r="J570" t="str">
        <f>IF(A570&lt;WORKSHEET!$R$2,WORKSHEET!$C$2,IF(B570="Air Waybill Number",C570,J569))</f>
        <v>774381618321</v>
      </c>
      <c r="K570" t="str">
        <f t="shared" si="64"/>
        <v>870085656</v>
      </c>
      <c r="L570" t="str">
        <f t="shared" si="65"/>
        <v>18 Dec 2023</v>
      </c>
      <c r="M570" t="str">
        <f t="shared" si="66"/>
        <v/>
      </c>
      <c r="N570" t="str">
        <f t="shared" si="67"/>
        <v>12/07/2023</v>
      </c>
      <c r="O570" t="str">
        <f t="shared" si="68"/>
        <v/>
      </c>
      <c r="P570" t="str">
        <f t="shared" si="69"/>
        <v/>
      </c>
      <c r="Q570" t="str">
        <f t="shared" si="70"/>
        <v/>
      </c>
      <c r="R570" t="str">
        <f t="shared" si="71"/>
        <v/>
      </c>
    </row>
    <row r="571" spans="1:18" x14ac:dyDescent="0.25">
      <c r="A571">
        <f>ROW()</f>
        <v>571</v>
      </c>
      <c r="B571" t="s">
        <v>241</v>
      </c>
      <c r="C571" t="s">
        <v>564</v>
      </c>
      <c r="D571" t="s">
        <v>399</v>
      </c>
      <c r="E571" t="s">
        <v>565</v>
      </c>
      <c r="J571" t="str">
        <f>IF(A571&lt;WORKSHEET!$R$2,WORKSHEET!$C$2,IF(B571="Air Waybill Number",C571,J570))</f>
        <v>774381618321</v>
      </c>
      <c r="K571" t="str">
        <f t="shared" si="64"/>
        <v>870085656</v>
      </c>
      <c r="L571" t="str">
        <f t="shared" si="65"/>
        <v>18 Dec 2023</v>
      </c>
      <c r="M571" t="str">
        <f t="shared" si="66"/>
        <v/>
      </c>
      <c r="N571" t="str">
        <f t="shared" si="67"/>
        <v>12/07/2023</v>
      </c>
      <c r="O571" t="str">
        <f t="shared" si="68"/>
        <v/>
      </c>
      <c r="P571" t="str">
        <f t="shared" si="69"/>
        <v/>
      </c>
      <c r="Q571" t="str">
        <f t="shared" si="70"/>
        <v/>
      </c>
      <c r="R571" t="str">
        <f t="shared" si="71"/>
        <v/>
      </c>
    </row>
    <row r="572" spans="1:18" x14ac:dyDescent="0.25">
      <c r="A572">
        <f>ROW()</f>
        <v>572</v>
      </c>
      <c r="B572" t="s">
        <v>245</v>
      </c>
      <c r="C572" t="s">
        <v>246</v>
      </c>
      <c r="J572" t="str">
        <f>IF(A572&lt;WORKSHEET!$R$2,WORKSHEET!$C$2,IF(B572="Air Waybill Number",C572,J571))</f>
        <v>774381618321</v>
      </c>
      <c r="K572" t="str">
        <f t="shared" si="64"/>
        <v>870085656</v>
      </c>
      <c r="L572" t="str">
        <f t="shared" si="65"/>
        <v>18 Dec 2023</v>
      </c>
      <c r="M572" t="str">
        <f t="shared" si="66"/>
        <v/>
      </c>
      <c r="N572" t="str">
        <f t="shared" si="67"/>
        <v>12/07/2023</v>
      </c>
      <c r="O572" t="str">
        <f t="shared" si="68"/>
        <v/>
      </c>
      <c r="P572" t="str">
        <f t="shared" si="69"/>
        <v/>
      </c>
      <c r="Q572" t="str">
        <f t="shared" si="70"/>
        <v/>
      </c>
      <c r="R572" t="str">
        <f t="shared" si="71"/>
        <v/>
      </c>
    </row>
    <row r="573" spans="1:18" x14ac:dyDescent="0.25">
      <c r="A573">
        <f>ROW()</f>
        <v>573</v>
      </c>
      <c r="B573" t="s">
        <v>247</v>
      </c>
      <c r="D573" t="s">
        <v>254</v>
      </c>
      <c r="E573" t="s">
        <v>566</v>
      </c>
      <c r="J573" t="str">
        <f>IF(A573&lt;WORKSHEET!$R$2,WORKSHEET!$C$2,IF(B573="Air Waybill Number",C573,J572))</f>
        <v>774381618321</v>
      </c>
      <c r="K573" t="str">
        <f t="shared" si="64"/>
        <v>870085656</v>
      </c>
      <c r="L573" t="str">
        <f t="shared" si="65"/>
        <v>18 Dec 2023</v>
      </c>
      <c r="M573" t="str">
        <f t="shared" si="66"/>
        <v/>
      </c>
      <c r="N573" t="str">
        <f t="shared" si="67"/>
        <v>12/07/2023</v>
      </c>
      <c r="O573" t="str">
        <f t="shared" si="68"/>
        <v/>
      </c>
      <c r="P573" t="str">
        <f t="shared" si="69"/>
        <v/>
      </c>
      <c r="Q573" t="str">
        <f t="shared" si="70"/>
        <v/>
      </c>
      <c r="R573" t="str">
        <f t="shared" si="71"/>
        <v/>
      </c>
    </row>
    <row r="574" spans="1:18" x14ac:dyDescent="0.25">
      <c r="A574">
        <f>ROW()</f>
        <v>574</v>
      </c>
      <c r="B574" t="s">
        <v>249</v>
      </c>
      <c r="C574" t="s">
        <v>567</v>
      </c>
      <c r="D574" t="s">
        <v>254</v>
      </c>
      <c r="E574" t="s">
        <v>568</v>
      </c>
      <c r="J574" t="str">
        <f>IF(A574&lt;WORKSHEET!$R$2,WORKSHEET!$C$2,IF(B574="Air Waybill Number",C574,J573))</f>
        <v>774381618321</v>
      </c>
      <c r="K574" t="str">
        <f t="shared" si="64"/>
        <v>870085656</v>
      </c>
      <c r="L574" t="str">
        <f t="shared" si="65"/>
        <v>18 Dec 2023</v>
      </c>
      <c r="M574" t="str">
        <f t="shared" si="66"/>
        <v/>
      </c>
      <c r="N574" t="str">
        <f t="shared" si="67"/>
        <v>12/07/2023</v>
      </c>
      <c r="O574" t="str">
        <f t="shared" si="68"/>
        <v/>
      </c>
      <c r="P574" t="str">
        <f t="shared" si="69"/>
        <v/>
      </c>
      <c r="Q574" t="str">
        <f t="shared" si="70"/>
        <v/>
      </c>
      <c r="R574" t="str">
        <f t="shared" si="71"/>
        <v/>
      </c>
    </row>
    <row r="575" spans="1:18" x14ac:dyDescent="0.25">
      <c r="A575">
        <f>ROW()</f>
        <v>575</v>
      </c>
      <c r="C575" t="s">
        <v>569</v>
      </c>
      <c r="D575" t="s">
        <v>254</v>
      </c>
      <c r="E575" t="s">
        <v>570</v>
      </c>
      <c r="J575" t="str">
        <f>IF(A575&lt;WORKSHEET!$R$2,WORKSHEET!$C$2,IF(B575="Air Waybill Number",C575,J574))</f>
        <v>774381618321</v>
      </c>
      <c r="K575" t="str">
        <f t="shared" si="64"/>
        <v>870085656</v>
      </c>
      <c r="L575" t="str">
        <f t="shared" si="65"/>
        <v>18 Dec 2023</v>
      </c>
      <c r="M575" t="str">
        <f t="shared" si="66"/>
        <v/>
      </c>
      <c r="N575" t="str">
        <f t="shared" si="67"/>
        <v>12/07/2023</v>
      </c>
      <c r="O575" t="str">
        <f t="shared" si="68"/>
        <v/>
      </c>
      <c r="P575" t="str">
        <f t="shared" si="69"/>
        <v/>
      </c>
      <c r="Q575" t="str">
        <f t="shared" si="70"/>
        <v/>
      </c>
      <c r="R575" t="str">
        <f t="shared" si="71"/>
        <v/>
      </c>
    </row>
    <row r="576" spans="1:18" x14ac:dyDescent="0.25">
      <c r="A576">
        <f>ROW()</f>
        <v>576</v>
      </c>
      <c r="B576" t="s">
        <v>331</v>
      </c>
      <c r="C576" t="s">
        <v>571</v>
      </c>
      <c r="D576" t="s">
        <v>261</v>
      </c>
      <c r="E576" t="s">
        <v>572</v>
      </c>
      <c r="J576" t="str">
        <f>IF(A576&lt;WORKSHEET!$R$2,WORKSHEET!$C$2,IF(B576="Air Waybill Number",C576,J575))</f>
        <v>774381618321</v>
      </c>
      <c r="K576" t="str">
        <f t="shared" si="64"/>
        <v>870085656</v>
      </c>
      <c r="L576" t="str">
        <f t="shared" si="65"/>
        <v>18 Dec 2023</v>
      </c>
      <c r="M576" t="str">
        <f t="shared" si="66"/>
        <v/>
      </c>
      <c r="N576" t="str">
        <f t="shared" si="67"/>
        <v>12/07/2023</v>
      </c>
      <c r="O576" t="str">
        <f t="shared" si="68"/>
        <v/>
      </c>
      <c r="P576" t="str">
        <f t="shared" si="69"/>
        <v/>
      </c>
      <c r="Q576" t="str">
        <f t="shared" si="70"/>
        <v/>
      </c>
      <c r="R576" t="str">
        <f t="shared" si="71"/>
        <v/>
      </c>
    </row>
    <row r="577" spans="1:18" x14ac:dyDescent="0.25">
      <c r="A577">
        <f>ROW()</f>
        <v>577</v>
      </c>
      <c r="D577" t="s">
        <v>14</v>
      </c>
      <c r="F577">
        <v>570628</v>
      </c>
      <c r="J577" t="str">
        <f>IF(A577&lt;WORKSHEET!$R$2,WORKSHEET!$C$2,IF(B577="Air Waybill Number",C577,J576))</f>
        <v>774381618321</v>
      </c>
      <c r="K577" t="str">
        <f t="shared" si="64"/>
        <v>870085656</v>
      </c>
      <c r="L577" t="str">
        <f t="shared" si="65"/>
        <v>18 Dec 2023</v>
      </c>
      <c r="M577" t="str">
        <f t="shared" si="66"/>
        <v/>
      </c>
      <c r="N577" t="str">
        <f t="shared" si="67"/>
        <v>12/07/2023</v>
      </c>
      <c r="O577" t="str">
        <f t="shared" si="68"/>
        <v/>
      </c>
      <c r="P577" t="str">
        <f t="shared" si="69"/>
        <v/>
      </c>
      <c r="Q577" t="str">
        <f t="shared" si="70"/>
        <v/>
      </c>
      <c r="R577" t="str">
        <f t="shared" si="71"/>
        <v/>
      </c>
    </row>
    <row r="578" spans="1:18" x14ac:dyDescent="0.25">
      <c r="A578">
        <f>ROW()</f>
        <v>578</v>
      </c>
      <c r="B578" t="s">
        <v>221</v>
      </c>
      <c r="C578" t="s">
        <v>123</v>
      </c>
      <c r="J578" t="str">
        <f>IF(A578&lt;WORKSHEET!$R$2,WORKSHEET!$C$2,IF(B578="Air Waybill Number",C578,J577))</f>
        <v>774381618321</v>
      </c>
      <c r="K578" t="str">
        <f t="shared" ref="K578:K641" si="72">IF(B578="Invoice Number:",C578,K577)</f>
        <v>870163300</v>
      </c>
      <c r="L578" t="str">
        <f t="shared" ref="L578:L641" si="73">IF(B578="Invoice Date:",C578,L577)</f>
        <v>18 Dec 2023</v>
      </c>
      <c r="M578" t="str">
        <f t="shared" ref="M578:M641" si="74">IF(B578="Air Waybill Number",J578&amp;"-1","")</f>
        <v/>
      </c>
      <c r="N578" t="str">
        <f t="shared" ref="N578:N641" si="75">IF(B578="Ship Date",C578,N577)</f>
        <v>12/07/2023</v>
      </c>
      <c r="O578" t="str">
        <f t="shared" ref="O578:O641" si="76">IF(LEFT(D578,6)="Sender",D579,IF(LEFT(E578,6)="Sender",E579,""))</f>
        <v/>
      </c>
      <c r="P578" t="str">
        <f t="shared" ref="P578:P641" si="77">IF(LEFT(D578,6)="Sender",D580,IF(LEFT(E578,6)="Sender",D580,""))</f>
        <v/>
      </c>
      <c r="Q578" t="str">
        <f t="shared" ref="Q578:Q641" si="78">IF(LEFT(E578,9)="Recipient",E579&amp;F579,IF(LEFT(F578,9)="Recipient",F579,IF(LEFT(G578,9)="Recipient",G579,IF(LEFT(H578,9)="Recipient",H579,""))))</f>
        <v/>
      </c>
      <c r="R578" t="str">
        <f t="shared" ref="R578:R641" si="79">IF(LEFT(E578,9)="Recipient",E580&amp;F580,IF(LEFT(F578,9)="Recipient",F580,IF(LEFT(G578,9)="Recipient",G580,IF(LEFT(H578,9)="Recipient",H580,""))))</f>
        <v/>
      </c>
    </row>
    <row r="579" spans="1:18" x14ac:dyDescent="0.25">
      <c r="A579">
        <f>ROW()</f>
        <v>579</v>
      </c>
      <c r="B579" t="s">
        <v>222</v>
      </c>
      <c r="C579" t="s">
        <v>573</v>
      </c>
      <c r="J579" t="str">
        <f>IF(A579&lt;WORKSHEET!$R$2,WORKSHEET!$C$2,IF(B579="Air Waybill Number",C579,J578))</f>
        <v>774381618321</v>
      </c>
      <c r="K579" t="str">
        <f t="shared" si="72"/>
        <v>870163300</v>
      </c>
      <c r="L579" t="str">
        <f t="shared" si="73"/>
        <v>17 Jan 2024</v>
      </c>
      <c r="M579" t="str">
        <f t="shared" si="74"/>
        <v/>
      </c>
      <c r="N579" t="str">
        <f t="shared" si="75"/>
        <v>12/07/2023</v>
      </c>
      <c r="O579" t="str">
        <f t="shared" si="76"/>
        <v/>
      </c>
      <c r="P579" t="str">
        <f t="shared" si="77"/>
        <v/>
      </c>
      <c r="Q579" t="str">
        <f t="shared" si="78"/>
        <v/>
      </c>
      <c r="R579" t="str">
        <f t="shared" si="79"/>
        <v/>
      </c>
    </row>
    <row r="580" spans="1:18" x14ac:dyDescent="0.25">
      <c r="A580">
        <f>ROW()</f>
        <v>580</v>
      </c>
      <c r="B580" t="s">
        <v>224</v>
      </c>
      <c r="C580" t="s">
        <v>225</v>
      </c>
      <c r="J580" t="str">
        <f>IF(A580&lt;WORKSHEET!$R$2,WORKSHEET!$C$2,IF(B580="Air Waybill Number",C580,J579))</f>
        <v>774381618321</v>
      </c>
      <c r="K580" t="str">
        <f t="shared" si="72"/>
        <v>870163300</v>
      </c>
      <c r="L580" t="str">
        <f t="shared" si="73"/>
        <v>17 Jan 2024</v>
      </c>
      <c r="M580" t="str">
        <f t="shared" si="74"/>
        <v/>
      </c>
      <c r="N580" t="str">
        <f t="shared" si="75"/>
        <v>12/07/2023</v>
      </c>
      <c r="O580" t="str">
        <f t="shared" si="76"/>
        <v/>
      </c>
      <c r="P580" t="str">
        <f t="shared" si="77"/>
        <v/>
      </c>
      <c r="Q580" t="str">
        <f t="shared" si="78"/>
        <v/>
      </c>
      <c r="R580" t="str">
        <f t="shared" si="79"/>
        <v/>
      </c>
    </row>
    <row r="581" spans="1:18" x14ac:dyDescent="0.25">
      <c r="A581">
        <f>ROW()</f>
        <v>581</v>
      </c>
      <c r="B581" t="s">
        <v>226</v>
      </c>
      <c r="C581" t="s">
        <v>574</v>
      </c>
      <c r="D581" t="s">
        <v>290</v>
      </c>
      <c r="E581" t="s">
        <v>481</v>
      </c>
      <c r="J581" t="str">
        <f>IF(A581&lt;WORKSHEET!$R$2,WORKSHEET!$C$2,IF(B581="Air Waybill Number",C581,J580))</f>
        <v>774381618321</v>
      </c>
      <c r="K581" t="str">
        <f t="shared" si="72"/>
        <v>870163300</v>
      </c>
      <c r="L581" t="str">
        <f t="shared" si="73"/>
        <v>17 Jan 2024</v>
      </c>
      <c r="M581" t="str">
        <f t="shared" si="74"/>
        <v/>
      </c>
      <c r="N581" t="str">
        <f t="shared" si="75"/>
        <v>01/05/2024</v>
      </c>
      <c r="O581" t="str">
        <f t="shared" si="76"/>
        <v>WINTA</v>
      </c>
      <c r="P581" t="str">
        <f t="shared" si="77"/>
        <v>GISTEX GARMEN INDONESIA</v>
      </c>
      <c r="Q581" t="str">
        <f t="shared" si="78"/>
        <v>WINNIE CHOW</v>
      </c>
      <c r="R581" t="str">
        <f t="shared" si="79"/>
        <v>HEXAPOLE COMPANY LIMITED</v>
      </c>
    </row>
    <row r="582" spans="1:18" x14ac:dyDescent="0.25">
      <c r="A582">
        <f>ROW()</f>
        <v>582</v>
      </c>
      <c r="B582" t="s">
        <v>232</v>
      </c>
      <c r="C582" t="s">
        <v>124</v>
      </c>
      <c r="D582" t="s">
        <v>96</v>
      </c>
      <c r="E582" t="s">
        <v>97</v>
      </c>
      <c r="J582" t="str">
        <f>IF(A582&lt;WORKSHEET!$R$2,WORKSHEET!$C$2,IF(B582="Air Waybill Number",C582,J581))</f>
        <v>774695421533</v>
      </c>
      <c r="K582" t="str">
        <f t="shared" si="72"/>
        <v>870163300</v>
      </c>
      <c r="L582" t="str">
        <f t="shared" si="73"/>
        <v>17 Jan 2024</v>
      </c>
      <c r="M582" t="str">
        <f t="shared" si="74"/>
        <v>774695421533-1</v>
      </c>
      <c r="N582" t="str">
        <f t="shared" si="75"/>
        <v>01/05/2024</v>
      </c>
      <c r="O582" t="str">
        <f t="shared" si="76"/>
        <v/>
      </c>
      <c r="P582" t="str">
        <f t="shared" si="77"/>
        <v/>
      </c>
      <c r="Q582" t="str">
        <f t="shared" si="78"/>
        <v/>
      </c>
      <c r="R582" t="str">
        <f t="shared" si="79"/>
        <v/>
      </c>
    </row>
    <row r="583" spans="1:18" x14ac:dyDescent="0.25">
      <c r="A583">
        <f>ROW()</f>
        <v>583</v>
      </c>
      <c r="B583" t="s">
        <v>233</v>
      </c>
      <c r="C583" t="s">
        <v>322</v>
      </c>
      <c r="D583" t="s">
        <v>41</v>
      </c>
      <c r="E583" t="s">
        <v>98</v>
      </c>
      <c r="J583" t="str">
        <f>IF(A583&lt;WORKSHEET!$R$2,WORKSHEET!$C$2,IF(B583="Air Waybill Number",C583,J582))</f>
        <v>774695421533</v>
      </c>
      <c r="K583" t="str">
        <f t="shared" si="72"/>
        <v>870163300</v>
      </c>
      <c r="L583" t="str">
        <f t="shared" si="73"/>
        <v>17 Jan 2024</v>
      </c>
      <c r="M583" t="str">
        <f t="shared" si="74"/>
        <v/>
      </c>
      <c r="N583" t="str">
        <f t="shared" si="75"/>
        <v>01/05/2024</v>
      </c>
      <c r="O583" t="str">
        <f t="shared" si="76"/>
        <v/>
      </c>
      <c r="P583" t="str">
        <f t="shared" si="77"/>
        <v/>
      </c>
      <c r="Q583" t="str">
        <f t="shared" si="78"/>
        <v/>
      </c>
      <c r="R583" t="str">
        <f t="shared" si="79"/>
        <v/>
      </c>
    </row>
    <row r="584" spans="1:18" x14ac:dyDescent="0.25">
      <c r="A584">
        <f>ROW()</f>
        <v>584</v>
      </c>
      <c r="B584" t="s">
        <v>237</v>
      </c>
      <c r="C584" t="s">
        <v>238</v>
      </c>
      <c r="D584" t="s">
        <v>293</v>
      </c>
      <c r="E584" t="s">
        <v>483</v>
      </c>
      <c r="J584" t="str">
        <f>IF(A584&lt;WORKSHEET!$R$2,WORKSHEET!$C$2,IF(B584="Air Waybill Number",C584,J583))</f>
        <v>774695421533</v>
      </c>
      <c r="K584" t="str">
        <f t="shared" si="72"/>
        <v>870163300</v>
      </c>
      <c r="L584" t="str">
        <f t="shared" si="73"/>
        <v>17 Jan 2024</v>
      </c>
      <c r="M584" t="str">
        <f t="shared" si="74"/>
        <v/>
      </c>
      <c r="N584" t="str">
        <f t="shared" si="75"/>
        <v>01/05/2024</v>
      </c>
      <c r="O584" t="str">
        <f t="shared" si="76"/>
        <v/>
      </c>
      <c r="P584" t="str">
        <f t="shared" si="77"/>
        <v/>
      </c>
      <c r="Q584" t="str">
        <f t="shared" si="78"/>
        <v/>
      </c>
      <c r="R584" t="str">
        <f t="shared" si="79"/>
        <v/>
      </c>
    </row>
    <row r="585" spans="1:18" x14ac:dyDescent="0.25">
      <c r="A585">
        <f>ROW()</f>
        <v>585</v>
      </c>
      <c r="B585" t="s">
        <v>241</v>
      </c>
      <c r="C585" t="s">
        <v>575</v>
      </c>
      <c r="D585" t="s">
        <v>296</v>
      </c>
      <c r="E585" t="s">
        <v>484</v>
      </c>
      <c r="J585" t="str">
        <f>IF(A585&lt;WORKSHEET!$R$2,WORKSHEET!$C$2,IF(B585="Air Waybill Number",C585,J584))</f>
        <v>774695421533</v>
      </c>
      <c r="K585" t="str">
        <f t="shared" si="72"/>
        <v>870163300</v>
      </c>
      <c r="L585" t="str">
        <f t="shared" si="73"/>
        <v>17 Jan 2024</v>
      </c>
      <c r="M585" t="str">
        <f t="shared" si="74"/>
        <v/>
      </c>
      <c r="N585" t="str">
        <f t="shared" si="75"/>
        <v>01/05/2024</v>
      </c>
      <c r="O585" t="str">
        <f t="shared" si="76"/>
        <v/>
      </c>
      <c r="P585" t="str">
        <f t="shared" si="77"/>
        <v/>
      </c>
      <c r="Q585" t="str">
        <f t="shared" si="78"/>
        <v/>
      </c>
      <c r="R585" t="str">
        <f t="shared" si="79"/>
        <v/>
      </c>
    </row>
    <row r="586" spans="1:18" x14ac:dyDescent="0.25">
      <c r="A586">
        <f>ROW()</f>
        <v>586</v>
      </c>
      <c r="B586" t="s">
        <v>286</v>
      </c>
      <c r="C586" t="s">
        <v>299</v>
      </c>
      <c r="D586" t="s">
        <v>300</v>
      </c>
      <c r="E586" t="s">
        <v>520</v>
      </c>
      <c r="F586" t="s">
        <v>343</v>
      </c>
      <c r="J586" t="str">
        <f>IF(A586&lt;WORKSHEET!$R$2,WORKSHEET!$C$2,IF(B586="Air Waybill Number",C586,J585))</f>
        <v>774695421533</v>
      </c>
      <c r="K586" t="str">
        <f t="shared" si="72"/>
        <v>870163300</v>
      </c>
      <c r="L586" t="str">
        <f t="shared" si="73"/>
        <v>17 Jan 2024</v>
      </c>
      <c r="M586" t="str">
        <f t="shared" si="74"/>
        <v/>
      </c>
      <c r="N586" t="str">
        <f t="shared" si="75"/>
        <v>01/05/2024</v>
      </c>
      <c r="O586" t="str">
        <f t="shared" si="76"/>
        <v/>
      </c>
      <c r="P586" t="str">
        <f t="shared" si="77"/>
        <v/>
      </c>
      <c r="Q586" t="str">
        <f t="shared" si="78"/>
        <v/>
      </c>
      <c r="R586" t="str">
        <f t="shared" si="79"/>
        <v/>
      </c>
    </row>
    <row r="587" spans="1:18" x14ac:dyDescent="0.25">
      <c r="A587">
        <f>ROW()</f>
        <v>587</v>
      </c>
      <c r="B587" t="s">
        <v>249</v>
      </c>
      <c r="C587" t="s">
        <v>576</v>
      </c>
      <c r="D587" t="s">
        <v>248</v>
      </c>
      <c r="H587">
        <v>2753000</v>
      </c>
      <c r="J587" t="str">
        <f>IF(A587&lt;WORKSHEET!$R$2,WORKSHEET!$C$2,IF(B587="Air Waybill Number",C587,J586))</f>
        <v>774695421533</v>
      </c>
      <c r="K587" t="str">
        <f t="shared" si="72"/>
        <v>870163300</v>
      </c>
      <c r="L587" t="str">
        <f t="shared" si="73"/>
        <v>17 Jan 2024</v>
      </c>
      <c r="M587" t="str">
        <f t="shared" si="74"/>
        <v/>
      </c>
      <c r="N587" t="str">
        <f t="shared" si="75"/>
        <v>01/05/2024</v>
      </c>
      <c r="O587" t="str">
        <f t="shared" si="76"/>
        <v/>
      </c>
      <c r="P587" t="str">
        <f t="shared" si="77"/>
        <v/>
      </c>
      <c r="Q587" t="str">
        <f t="shared" si="78"/>
        <v/>
      </c>
      <c r="R587" t="str">
        <f t="shared" si="79"/>
        <v/>
      </c>
    </row>
    <row r="588" spans="1:18" x14ac:dyDescent="0.25">
      <c r="A588">
        <f>ROW()</f>
        <v>588</v>
      </c>
      <c r="D588" t="s">
        <v>251</v>
      </c>
      <c r="E588" t="s">
        <v>252</v>
      </c>
      <c r="H588">
        <v>-2346106</v>
      </c>
      <c r="J588" t="str">
        <f>IF(A588&lt;WORKSHEET!$R$2,WORKSHEET!$C$2,IF(B588="Air Waybill Number",C588,J587))</f>
        <v>774695421533</v>
      </c>
      <c r="K588" t="str">
        <f t="shared" si="72"/>
        <v>870163300</v>
      </c>
      <c r="L588" t="str">
        <f t="shared" si="73"/>
        <v>17 Jan 2024</v>
      </c>
      <c r="M588" t="str">
        <f t="shared" si="74"/>
        <v/>
      </c>
      <c r="N588" t="str">
        <f t="shared" si="75"/>
        <v>01/05/2024</v>
      </c>
      <c r="O588" t="str">
        <f t="shared" si="76"/>
        <v/>
      </c>
      <c r="P588" t="str">
        <f t="shared" si="77"/>
        <v/>
      </c>
      <c r="Q588" t="str">
        <f t="shared" si="78"/>
        <v/>
      </c>
      <c r="R588" t="str">
        <f t="shared" si="79"/>
        <v/>
      </c>
    </row>
    <row r="589" spans="1:18" x14ac:dyDescent="0.25">
      <c r="A589">
        <f>ROW()</f>
        <v>589</v>
      </c>
      <c r="B589" t="s">
        <v>256</v>
      </c>
      <c r="C589" t="s">
        <v>577</v>
      </c>
      <c r="D589" t="s">
        <v>254</v>
      </c>
      <c r="E589" t="s">
        <v>12</v>
      </c>
      <c r="H589">
        <v>134204</v>
      </c>
      <c r="J589" t="str">
        <f>IF(A589&lt;WORKSHEET!$R$2,WORKSHEET!$C$2,IF(B589="Air Waybill Number",C589,J588))</f>
        <v>774695421533</v>
      </c>
      <c r="K589" t="str">
        <f t="shared" si="72"/>
        <v>870163300</v>
      </c>
      <c r="L589" t="str">
        <f t="shared" si="73"/>
        <v>17 Jan 2024</v>
      </c>
      <c r="M589" t="str">
        <f t="shared" si="74"/>
        <v/>
      </c>
      <c r="N589" t="str">
        <f t="shared" si="75"/>
        <v>01/05/2024</v>
      </c>
      <c r="O589" t="str">
        <f t="shared" si="76"/>
        <v/>
      </c>
      <c r="P589" t="str">
        <f t="shared" si="77"/>
        <v/>
      </c>
      <c r="Q589" t="str">
        <f t="shared" si="78"/>
        <v/>
      </c>
      <c r="R589" t="str">
        <f t="shared" si="79"/>
        <v/>
      </c>
    </row>
    <row r="590" spans="1:18" x14ac:dyDescent="0.25">
      <c r="A590">
        <f>ROW()</f>
        <v>590</v>
      </c>
      <c r="D590" t="s">
        <v>254</v>
      </c>
      <c r="E590" t="s">
        <v>260</v>
      </c>
      <c r="H590">
        <v>64000</v>
      </c>
      <c r="J590" t="str">
        <f>IF(A590&lt;WORKSHEET!$R$2,WORKSHEET!$C$2,IF(B590="Air Waybill Number",C590,J589))</f>
        <v>774695421533</v>
      </c>
      <c r="K590" t="str">
        <f t="shared" si="72"/>
        <v>870163300</v>
      </c>
      <c r="L590" t="str">
        <f t="shared" si="73"/>
        <v>17 Jan 2024</v>
      </c>
      <c r="M590" t="str">
        <f t="shared" si="74"/>
        <v/>
      </c>
      <c r="N590" t="str">
        <f t="shared" si="75"/>
        <v>01/05/2024</v>
      </c>
      <c r="O590" t="str">
        <f t="shared" si="76"/>
        <v/>
      </c>
      <c r="P590" t="str">
        <f t="shared" si="77"/>
        <v/>
      </c>
      <c r="Q590" t="str">
        <f t="shared" si="78"/>
        <v/>
      </c>
      <c r="R590" t="str">
        <f t="shared" si="79"/>
        <v/>
      </c>
    </row>
    <row r="591" spans="1:18" x14ac:dyDescent="0.25">
      <c r="A591">
        <f>ROW()</f>
        <v>591</v>
      </c>
      <c r="D591" t="s">
        <v>261</v>
      </c>
      <c r="H591">
        <v>6656</v>
      </c>
      <c r="J591" t="str">
        <f>IF(A591&lt;WORKSHEET!$R$2,WORKSHEET!$C$2,IF(B591="Air Waybill Number",C591,J590))</f>
        <v>774695421533</v>
      </c>
      <c r="K591" t="str">
        <f t="shared" si="72"/>
        <v>870163300</v>
      </c>
      <c r="L591" t="str">
        <f t="shared" si="73"/>
        <v>17 Jan 2024</v>
      </c>
      <c r="M591" t="str">
        <f t="shared" si="74"/>
        <v/>
      </c>
      <c r="N591" t="str">
        <f t="shared" si="75"/>
        <v>01/05/2024</v>
      </c>
      <c r="O591" t="str">
        <f t="shared" si="76"/>
        <v/>
      </c>
      <c r="P591" t="str">
        <f t="shared" si="77"/>
        <v/>
      </c>
      <c r="Q591" t="str">
        <f t="shared" si="78"/>
        <v/>
      </c>
      <c r="R591" t="str">
        <f t="shared" si="79"/>
        <v/>
      </c>
    </row>
    <row r="592" spans="1:18" x14ac:dyDescent="0.25">
      <c r="A592">
        <f>ROW()</f>
        <v>592</v>
      </c>
      <c r="D592" t="s">
        <v>14</v>
      </c>
      <c r="H592">
        <v>611754</v>
      </c>
      <c r="J592" t="str">
        <f>IF(A592&lt;WORKSHEET!$R$2,WORKSHEET!$C$2,IF(B592="Air Waybill Number",C592,J591))</f>
        <v>774695421533</v>
      </c>
      <c r="K592" t="str">
        <f t="shared" si="72"/>
        <v>870163300</v>
      </c>
      <c r="L592" t="str">
        <f t="shared" si="73"/>
        <v>17 Jan 2024</v>
      </c>
      <c r="M592" t="str">
        <f t="shared" si="74"/>
        <v/>
      </c>
      <c r="N592" t="str">
        <f t="shared" si="75"/>
        <v>01/05/2024</v>
      </c>
      <c r="O592" t="str">
        <f t="shared" si="76"/>
        <v/>
      </c>
      <c r="P592" t="str">
        <f t="shared" si="77"/>
        <v/>
      </c>
      <c r="Q592" t="str">
        <f t="shared" si="78"/>
        <v/>
      </c>
      <c r="R592" t="str">
        <f t="shared" si="79"/>
        <v/>
      </c>
    </row>
    <row r="593" spans="1:18" x14ac:dyDescent="0.25">
      <c r="A593">
        <f>ROW()</f>
        <v>593</v>
      </c>
      <c r="D593" t="s">
        <v>262</v>
      </c>
      <c r="J593" t="str">
        <f>IF(A593&lt;WORKSHEET!$R$2,WORKSHEET!$C$2,IF(B593="Air Waybill Number",C593,J592))</f>
        <v>774695421533</v>
      </c>
      <c r="K593" t="str">
        <f t="shared" si="72"/>
        <v>870163300</v>
      </c>
      <c r="L593" t="str">
        <f t="shared" si="73"/>
        <v>17 Jan 2024</v>
      </c>
      <c r="M593" t="str">
        <f t="shared" si="74"/>
        <v/>
      </c>
      <c r="N593" t="str">
        <f t="shared" si="75"/>
        <v>01/05/2024</v>
      </c>
      <c r="O593" t="str">
        <f t="shared" si="76"/>
        <v/>
      </c>
      <c r="P593" t="str">
        <f t="shared" si="77"/>
        <v/>
      </c>
      <c r="Q593" t="str">
        <f t="shared" si="78"/>
        <v/>
      </c>
      <c r="R593" t="str">
        <f t="shared" si="79"/>
        <v/>
      </c>
    </row>
    <row r="594" spans="1:18" x14ac:dyDescent="0.25">
      <c r="A594">
        <f>ROW()</f>
        <v>594</v>
      </c>
      <c r="D594" t="s">
        <v>578</v>
      </c>
      <c r="J594" t="str">
        <f>IF(A594&lt;WORKSHEET!$R$2,WORKSHEET!$C$2,IF(B594="Air Waybill Number",C594,J593))</f>
        <v>774695421533</v>
      </c>
      <c r="K594" t="str">
        <f t="shared" si="72"/>
        <v>870163300</v>
      </c>
      <c r="L594" t="str">
        <f t="shared" si="73"/>
        <v>17 Jan 2024</v>
      </c>
      <c r="M594" t="str">
        <f t="shared" si="74"/>
        <v/>
      </c>
      <c r="N594" t="str">
        <f t="shared" si="75"/>
        <v>01/05/2024</v>
      </c>
      <c r="O594" t="str">
        <f t="shared" si="76"/>
        <v/>
      </c>
      <c r="P594" t="str">
        <f t="shared" si="77"/>
        <v/>
      </c>
      <c r="Q594" t="str">
        <f t="shared" si="78"/>
        <v/>
      </c>
      <c r="R594" t="str">
        <f t="shared" si="79"/>
        <v/>
      </c>
    </row>
    <row r="595" spans="1:18" x14ac:dyDescent="0.25">
      <c r="A595">
        <f>ROW()</f>
        <v>595</v>
      </c>
      <c r="B595" t="s">
        <v>226</v>
      </c>
      <c r="C595" t="s">
        <v>574</v>
      </c>
      <c r="D595" t="s">
        <v>290</v>
      </c>
      <c r="E595" t="s">
        <v>291</v>
      </c>
      <c r="J595" t="str">
        <f>IF(A595&lt;WORKSHEET!$R$2,WORKSHEET!$C$2,IF(B595="Air Waybill Number",C595,J594))</f>
        <v>774695421533</v>
      </c>
      <c r="K595" t="str">
        <f t="shared" si="72"/>
        <v>870163300</v>
      </c>
      <c r="L595" t="str">
        <f t="shared" si="73"/>
        <v>17 Jan 2024</v>
      </c>
      <c r="M595" t="str">
        <f t="shared" si="74"/>
        <v/>
      </c>
      <c r="N595" t="str">
        <f t="shared" si="75"/>
        <v>01/05/2024</v>
      </c>
      <c r="O595" t="str">
        <f t="shared" si="76"/>
        <v>EKA / BAYU</v>
      </c>
      <c r="P595" t="str">
        <f t="shared" si="77"/>
        <v>GISTEX GARMEN INDONESIA</v>
      </c>
      <c r="Q595" t="str">
        <f t="shared" si="78"/>
        <v>OGURA KENJI / HASHIMOTO KIMIE</v>
      </c>
      <c r="R595" t="str">
        <f t="shared" si="79"/>
        <v>MARUBENI FASHION LINK, LTD</v>
      </c>
    </row>
    <row r="596" spans="1:18" x14ac:dyDescent="0.25">
      <c r="A596">
        <f>ROW()</f>
        <v>596</v>
      </c>
      <c r="B596" t="s">
        <v>232</v>
      </c>
      <c r="C596" t="s">
        <v>125</v>
      </c>
      <c r="D596" t="s">
        <v>36</v>
      </c>
      <c r="E596" t="s">
        <v>37</v>
      </c>
      <c r="J596" t="str">
        <f>IF(A596&lt;WORKSHEET!$R$2,WORKSHEET!$C$2,IF(B596="Air Waybill Number",C596,J595))</f>
        <v>774649725891</v>
      </c>
      <c r="K596" t="str">
        <f t="shared" si="72"/>
        <v>870163300</v>
      </c>
      <c r="L596" t="str">
        <f t="shared" si="73"/>
        <v>17 Jan 2024</v>
      </c>
      <c r="M596" t="str">
        <f t="shared" si="74"/>
        <v>774649725891-1</v>
      </c>
      <c r="N596" t="str">
        <f t="shared" si="75"/>
        <v>01/05/2024</v>
      </c>
      <c r="O596" t="str">
        <f t="shared" si="76"/>
        <v/>
      </c>
      <c r="P596" t="str">
        <f t="shared" si="77"/>
        <v/>
      </c>
      <c r="Q596" t="str">
        <f t="shared" si="78"/>
        <v/>
      </c>
      <c r="R596" t="str">
        <f t="shared" si="79"/>
        <v/>
      </c>
    </row>
    <row r="597" spans="1:18" x14ac:dyDescent="0.25">
      <c r="A597">
        <f>ROW()</f>
        <v>597</v>
      </c>
      <c r="B597" t="s">
        <v>233</v>
      </c>
      <c r="C597" t="s">
        <v>279</v>
      </c>
      <c r="D597" t="s">
        <v>41</v>
      </c>
      <c r="E597" t="s">
        <v>39</v>
      </c>
      <c r="J597" t="str">
        <f>IF(A597&lt;WORKSHEET!$R$2,WORKSHEET!$C$2,IF(B597="Air Waybill Number",C597,J596))</f>
        <v>774649725891</v>
      </c>
      <c r="K597" t="str">
        <f t="shared" si="72"/>
        <v>870163300</v>
      </c>
      <c r="L597" t="str">
        <f t="shared" si="73"/>
        <v>17 Jan 2024</v>
      </c>
      <c r="M597" t="str">
        <f t="shared" si="74"/>
        <v/>
      </c>
      <c r="N597" t="str">
        <f t="shared" si="75"/>
        <v>01/05/2024</v>
      </c>
      <c r="O597" t="str">
        <f t="shared" si="76"/>
        <v/>
      </c>
      <c r="P597" t="str">
        <f t="shared" si="77"/>
        <v/>
      </c>
      <c r="Q597" t="str">
        <f t="shared" si="78"/>
        <v/>
      </c>
      <c r="R597" t="str">
        <f t="shared" si="79"/>
        <v/>
      </c>
    </row>
    <row r="598" spans="1:18" x14ac:dyDescent="0.25">
      <c r="A598">
        <f>ROW()</f>
        <v>598</v>
      </c>
      <c r="B598" t="s">
        <v>237</v>
      </c>
      <c r="C598" t="s">
        <v>238</v>
      </c>
      <c r="D598" t="s">
        <v>293</v>
      </c>
      <c r="E598" t="s">
        <v>294</v>
      </c>
      <c r="J598" t="str">
        <f>IF(A598&lt;WORKSHEET!$R$2,WORKSHEET!$C$2,IF(B598="Air Waybill Number",C598,J597))</f>
        <v>774649725891</v>
      </c>
      <c r="K598" t="str">
        <f t="shared" si="72"/>
        <v>870163300</v>
      </c>
      <c r="L598" t="str">
        <f t="shared" si="73"/>
        <v>17 Jan 2024</v>
      </c>
      <c r="M598" t="str">
        <f t="shared" si="74"/>
        <v/>
      </c>
      <c r="N598" t="str">
        <f t="shared" si="75"/>
        <v>01/05/2024</v>
      </c>
      <c r="O598" t="str">
        <f t="shared" si="76"/>
        <v/>
      </c>
      <c r="P598" t="str">
        <f t="shared" si="77"/>
        <v/>
      </c>
      <c r="Q598" t="str">
        <f t="shared" si="78"/>
        <v/>
      </c>
      <c r="R598" t="str">
        <f t="shared" si="79"/>
        <v/>
      </c>
    </row>
    <row r="599" spans="1:18" x14ac:dyDescent="0.25">
      <c r="A599">
        <f>ROW()</f>
        <v>599</v>
      </c>
      <c r="B599" t="s">
        <v>241</v>
      </c>
      <c r="C599" t="s">
        <v>285</v>
      </c>
      <c r="D599" t="s">
        <v>296</v>
      </c>
      <c r="E599" t="s">
        <v>297</v>
      </c>
      <c r="G599" t="s">
        <v>298</v>
      </c>
      <c r="J599" t="str">
        <f>IF(A599&lt;WORKSHEET!$R$2,WORKSHEET!$C$2,IF(B599="Air Waybill Number",C599,J598))</f>
        <v>774649725891</v>
      </c>
      <c r="K599" t="str">
        <f t="shared" si="72"/>
        <v>870163300</v>
      </c>
      <c r="L599" t="str">
        <f t="shared" si="73"/>
        <v>17 Jan 2024</v>
      </c>
      <c r="M599" t="str">
        <f t="shared" si="74"/>
        <v/>
      </c>
      <c r="N599" t="str">
        <f t="shared" si="75"/>
        <v>01/05/2024</v>
      </c>
      <c r="O599" t="str">
        <f t="shared" si="76"/>
        <v/>
      </c>
      <c r="P599" t="str">
        <f t="shared" si="77"/>
        <v/>
      </c>
      <c r="Q599" t="str">
        <f t="shared" si="78"/>
        <v/>
      </c>
      <c r="R599" t="str">
        <f t="shared" si="79"/>
        <v/>
      </c>
    </row>
    <row r="600" spans="1:18" x14ac:dyDescent="0.25">
      <c r="A600">
        <f>ROW()</f>
        <v>600</v>
      </c>
      <c r="B600" t="s">
        <v>245</v>
      </c>
      <c r="C600" t="s">
        <v>299</v>
      </c>
      <c r="D600" t="s">
        <v>300</v>
      </c>
      <c r="J600" t="str">
        <f>IF(A600&lt;WORKSHEET!$R$2,WORKSHEET!$C$2,IF(B600="Air Waybill Number",C600,J599))</f>
        <v>774649725891</v>
      </c>
      <c r="K600" t="str">
        <f t="shared" si="72"/>
        <v>870163300</v>
      </c>
      <c r="L600" t="str">
        <f t="shared" si="73"/>
        <v>17 Jan 2024</v>
      </c>
      <c r="M600" t="str">
        <f t="shared" si="74"/>
        <v/>
      </c>
      <c r="N600" t="str">
        <f t="shared" si="75"/>
        <v>01/05/2024</v>
      </c>
      <c r="O600" t="str">
        <f t="shared" si="76"/>
        <v/>
      </c>
      <c r="P600" t="str">
        <f t="shared" si="77"/>
        <v/>
      </c>
      <c r="Q600" t="str">
        <f t="shared" si="78"/>
        <v/>
      </c>
      <c r="R600" t="str">
        <f t="shared" si="79"/>
        <v/>
      </c>
    </row>
    <row r="601" spans="1:18" x14ac:dyDescent="0.25">
      <c r="A601">
        <f>ROW()</f>
        <v>601</v>
      </c>
      <c r="B601" t="s">
        <v>419</v>
      </c>
      <c r="C601" t="s">
        <v>579</v>
      </c>
      <c r="D601" t="s">
        <v>248</v>
      </c>
      <c r="H601">
        <v>788000</v>
      </c>
      <c r="J601" t="str">
        <f>IF(A601&lt;WORKSHEET!$R$2,WORKSHEET!$C$2,IF(B601="Air Waybill Number",C601,J600))</f>
        <v>774649725891</v>
      </c>
      <c r="K601" t="str">
        <f t="shared" si="72"/>
        <v>870163300</v>
      </c>
      <c r="L601" t="str">
        <f t="shared" si="73"/>
        <v>17 Jan 2024</v>
      </c>
      <c r="M601" t="str">
        <f t="shared" si="74"/>
        <v/>
      </c>
      <c r="N601" t="str">
        <f t="shared" si="75"/>
        <v>01/05/2024</v>
      </c>
      <c r="O601" t="str">
        <f t="shared" si="76"/>
        <v/>
      </c>
      <c r="P601" t="str">
        <f t="shared" si="77"/>
        <v/>
      </c>
      <c r="Q601" t="str">
        <f t="shared" si="78"/>
        <v/>
      </c>
      <c r="R601" t="str">
        <f t="shared" si="79"/>
        <v/>
      </c>
    </row>
    <row r="602" spans="1:18" x14ac:dyDescent="0.25">
      <c r="A602">
        <f>ROW()</f>
        <v>602</v>
      </c>
      <c r="D602" t="s">
        <v>251</v>
      </c>
      <c r="E602" t="s">
        <v>252</v>
      </c>
      <c r="H602">
        <v>-586508</v>
      </c>
      <c r="J602" t="str">
        <f>IF(A602&lt;WORKSHEET!$R$2,WORKSHEET!$C$2,IF(B602="Air Waybill Number",C602,J601))</f>
        <v>774649725891</v>
      </c>
      <c r="K602" t="str">
        <f t="shared" si="72"/>
        <v>870163300</v>
      </c>
      <c r="L602" t="str">
        <f t="shared" si="73"/>
        <v>17 Jan 2024</v>
      </c>
      <c r="M602" t="str">
        <f t="shared" si="74"/>
        <v/>
      </c>
      <c r="N602" t="str">
        <f t="shared" si="75"/>
        <v>01/05/2024</v>
      </c>
      <c r="O602" t="str">
        <f t="shared" si="76"/>
        <v/>
      </c>
      <c r="P602" t="str">
        <f t="shared" si="77"/>
        <v/>
      </c>
      <c r="Q602" t="str">
        <f t="shared" si="78"/>
        <v/>
      </c>
      <c r="R602" t="str">
        <f t="shared" si="79"/>
        <v/>
      </c>
    </row>
    <row r="603" spans="1:18" x14ac:dyDescent="0.25">
      <c r="A603">
        <f>ROW()</f>
        <v>603</v>
      </c>
      <c r="D603" t="s">
        <v>254</v>
      </c>
      <c r="E603" t="s">
        <v>12</v>
      </c>
      <c r="H603">
        <v>61985</v>
      </c>
      <c r="J603" t="str">
        <f>IF(A603&lt;WORKSHEET!$R$2,WORKSHEET!$C$2,IF(B603="Air Waybill Number",C603,J602))</f>
        <v>774649725891</v>
      </c>
      <c r="K603" t="str">
        <f t="shared" si="72"/>
        <v>870163300</v>
      </c>
      <c r="L603" t="str">
        <f t="shared" si="73"/>
        <v>17 Jan 2024</v>
      </c>
      <c r="M603" t="str">
        <f t="shared" si="74"/>
        <v/>
      </c>
      <c r="N603" t="str">
        <f t="shared" si="75"/>
        <v>01/05/2024</v>
      </c>
      <c r="O603" t="str">
        <f t="shared" si="76"/>
        <v/>
      </c>
      <c r="P603" t="str">
        <f t="shared" si="77"/>
        <v/>
      </c>
      <c r="Q603" t="str">
        <f t="shared" si="78"/>
        <v/>
      </c>
      <c r="R603" t="str">
        <f t="shared" si="79"/>
        <v/>
      </c>
    </row>
    <row r="604" spans="1:18" x14ac:dyDescent="0.25">
      <c r="A604">
        <f>ROW()</f>
        <v>604</v>
      </c>
      <c r="D604" t="s">
        <v>254</v>
      </c>
      <c r="E604" t="s">
        <v>260</v>
      </c>
      <c r="H604">
        <v>16000</v>
      </c>
      <c r="J604" t="str">
        <f>IF(A604&lt;WORKSHEET!$R$2,WORKSHEET!$C$2,IF(B604="Air Waybill Number",C604,J603))</f>
        <v>774649725891</v>
      </c>
      <c r="K604" t="str">
        <f t="shared" si="72"/>
        <v>870163300</v>
      </c>
      <c r="L604" t="str">
        <f t="shared" si="73"/>
        <v>17 Jan 2024</v>
      </c>
      <c r="M604" t="str">
        <f t="shared" si="74"/>
        <v/>
      </c>
      <c r="N604" t="str">
        <f t="shared" si="75"/>
        <v>01/05/2024</v>
      </c>
      <c r="O604" t="str">
        <f t="shared" si="76"/>
        <v/>
      </c>
      <c r="P604" t="str">
        <f t="shared" si="77"/>
        <v/>
      </c>
      <c r="Q604" t="str">
        <f t="shared" si="78"/>
        <v/>
      </c>
      <c r="R604" t="str">
        <f t="shared" si="79"/>
        <v/>
      </c>
    </row>
    <row r="605" spans="1:18" x14ac:dyDescent="0.25">
      <c r="A605">
        <f>ROW()</f>
        <v>605</v>
      </c>
      <c r="D605" t="s">
        <v>261</v>
      </c>
      <c r="H605">
        <v>3074</v>
      </c>
      <c r="J605" t="str">
        <f>IF(A605&lt;WORKSHEET!$R$2,WORKSHEET!$C$2,IF(B605="Air Waybill Number",C605,J604))</f>
        <v>774649725891</v>
      </c>
      <c r="K605" t="str">
        <f t="shared" si="72"/>
        <v>870163300</v>
      </c>
      <c r="L605" t="str">
        <f t="shared" si="73"/>
        <v>17 Jan 2024</v>
      </c>
      <c r="M605" t="str">
        <f t="shared" si="74"/>
        <v/>
      </c>
      <c r="N605" t="str">
        <f t="shared" si="75"/>
        <v>01/05/2024</v>
      </c>
      <c r="O605" t="str">
        <f t="shared" si="76"/>
        <v/>
      </c>
      <c r="P605" t="str">
        <f t="shared" si="77"/>
        <v/>
      </c>
      <c r="Q605" t="str">
        <f t="shared" si="78"/>
        <v/>
      </c>
      <c r="R605" t="str">
        <f t="shared" si="79"/>
        <v/>
      </c>
    </row>
    <row r="606" spans="1:18" x14ac:dyDescent="0.25">
      <c r="A606">
        <f>ROW()</f>
        <v>606</v>
      </c>
      <c r="D606" t="s">
        <v>14</v>
      </c>
      <c r="H606">
        <v>282551</v>
      </c>
      <c r="J606" t="str">
        <f>IF(A606&lt;WORKSHEET!$R$2,WORKSHEET!$C$2,IF(B606="Air Waybill Number",C606,J605))</f>
        <v>774649725891</v>
      </c>
      <c r="K606" t="str">
        <f t="shared" si="72"/>
        <v>870163300</v>
      </c>
      <c r="L606" t="str">
        <f t="shared" si="73"/>
        <v>17 Jan 2024</v>
      </c>
      <c r="M606" t="str">
        <f t="shared" si="74"/>
        <v/>
      </c>
      <c r="N606" t="str">
        <f t="shared" si="75"/>
        <v>01/05/2024</v>
      </c>
      <c r="O606" t="str">
        <f t="shared" si="76"/>
        <v/>
      </c>
      <c r="P606" t="str">
        <f t="shared" si="77"/>
        <v/>
      </c>
      <c r="Q606" t="str">
        <f t="shared" si="78"/>
        <v/>
      </c>
      <c r="R606" t="str">
        <f t="shared" si="79"/>
        <v/>
      </c>
    </row>
    <row r="607" spans="1:18" x14ac:dyDescent="0.25">
      <c r="A607">
        <f>ROW()</f>
        <v>607</v>
      </c>
      <c r="D607" t="s">
        <v>262</v>
      </c>
      <c r="J607" t="str">
        <f>IF(A607&lt;WORKSHEET!$R$2,WORKSHEET!$C$2,IF(B607="Air Waybill Number",C607,J606))</f>
        <v>774649725891</v>
      </c>
      <c r="K607" t="str">
        <f t="shared" si="72"/>
        <v>870163300</v>
      </c>
      <c r="L607" t="str">
        <f t="shared" si="73"/>
        <v>17 Jan 2024</v>
      </c>
      <c r="M607" t="str">
        <f t="shared" si="74"/>
        <v/>
      </c>
      <c r="N607" t="str">
        <f t="shared" si="75"/>
        <v>01/05/2024</v>
      </c>
      <c r="O607" t="str">
        <f t="shared" si="76"/>
        <v/>
      </c>
      <c r="P607" t="str">
        <f t="shared" si="77"/>
        <v/>
      </c>
      <c r="Q607" t="str">
        <f t="shared" si="78"/>
        <v/>
      </c>
      <c r="R607" t="str">
        <f t="shared" si="79"/>
        <v/>
      </c>
    </row>
    <row r="608" spans="1:18" x14ac:dyDescent="0.25">
      <c r="A608">
        <f>ROW()</f>
        <v>608</v>
      </c>
      <c r="B608" t="s">
        <v>226</v>
      </c>
      <c r="C608" t="s">
        <v>552</v>
      </c>
      <c r="D608" t="s">
        <v>290</v>
      </c>
      <c r="E608" t="s">
        <v>291</v>
      </c>
      <c r="J608" t="str">
        <f>IF(A608&lt;WORKSHEET!$R$2,WORKSHEET!$C$2,IF(B608="Air Waybill Number",C608,J607))</f>
        <v>774649725891</v>
      </c>
      <c r="K608" t="str">
        <f t="shared" si="72"/>
        <v>870163300</v>
      </c>
      <c r="L608" t="str">
        <f t="shared" si="73"/>
        <v>17 Jan 2024</v>
      </c>
      <c r="M608" t="str">
        <f t="shared" si="74"/>
        <v/>
      </c>
      <c r="N608" t="str">
        <f t="shared" si="75"/>
        <v>01/08/2024</v>
      </c>
      <c r="O608" t="str">
        <f t="shared" si="76"/>
        <v>EKA / BAYU</v>
      </c>
      <c r="P608" t="str">
        <f t="shared" si="77"/>
        <v>PT.GISTEX GARMEN INDONESIA</v>
      </c>
      <c r="Q608" t="str">
        <f t="shared" si="78"/>
        <v>OGURA KENJI / HASHIMOTO KIMIE</v>
      </c>
      <c r="R608" t="str">
        <f t="shared" si="79"/>
        <v>MARUBENI FASHION LINK, LTD</v>
      </c>
    </row>
    <row r="609" spans="1:18" x14ac:dyDescent="0.25">
      <c r="A609">
        <f>ROW()</f>
        <v>609</v>
      </c>
      <c r="B609" t="s">
        <v>232</v>
      </c>
      <c r="C609" t="s">
        <v>119</v>
      </c>
      <c r="D609" t="s">
        <v>36</v>
      </c>
      <c r="E609" t="s">
        <v>37</v>
      </c>
      <c r="J609" t="str">
        <f>IF(A609&lt;WORKSHEET!$R$2,WORKSHEET!$C$2,IF(B609="Air Waybill Number",C609,J608))</f>
        <v>774713825922</v>
      </c>
      <c r="K609" t="str">
        <f t="shared" si="72"/>
        <v>870163300</v>
      </c>
      <c r="L609" t="str">
        <f t="shared" si="73"/>
        <v>17 Jan 2024</v>
      </c>
      <c r="M609" t="str">
        <f t="shared" si="74"/>
        <v>774713825922-1</v>
      </c>
      <c r="N609" t="str">
        <f t="shared" si="75"/>
        <v>01/08/2024</v>
      </c>
      <c r="O609" t="str">
        <f t="shared" si="76"/>
        <v/>
      </c>
      <c r="P609" t="str">
        <f t="shared" si="77"/>
        <v/>
      </c>
      <c r="Q609" t="str">
        <f t="shared" si="78"/>
        <v/>
      </c>
      <c r="R609" t="str">
        <f t="shared" si="79"/>
        <v/>
      </c>
    </row>
    <row r="610" spans="1:18" x14ac:dyDescent="0.25">
      <c r="A610">
        <f>ROW()</f>
        <v>610</v>
      </c>
      <c r="B610" t="s">
        <v>233</v>
      </c>
      <c r="C610" t="s">
        <v>322</v>
      </c>
      <c r="D610" t="s">
        <v>120</v>
      </c>
      <c r="E610" t="s">
        <v>39</v>
      </c>
      <c r="J610" t="str">
        <f>IF(A610&lt;WORKSHEET!$R$2,WORKSHEET!$C$2,IF(B610="Air Waybill Number",C610,J609))</f>
        <v>774713825922</v>
      </c>
      <c r="K610" t="str">
        <f t="shared" si="72"/>
        <v>870163300</v>
      </c>
      <c r="L610" t="str">
        <f t="shared" si="73"/>
        <v>17 Jan 2024</v>
      </c>
      <c r="M610" t="str">
        <f t="shared" si="74"/>
        <v/>
      </c>
      <c r="N610" t="str">
        <f t="shared" si="75"/>
        <v>01/08/2024</v>
      </c>
      <c r="O610" t="str">
        <f t="shared" si="76"/>
        <v/>
      </c>
      <c r="P610" t="str">
        <f t="shared" si="77"/>
        <v/>
      </c>
      <c r="Q610" t="str">
        <f t="shared" si="78"/>
        <v/>
      </c>
      <c r="R610" t="str">
        <f t="shared" si="79"/>
        <v/>
      </c>
    </row>
    <row r="611" spans="1:18" x14ac:dyDescent="0.25">
      <c r="A611">
        <f>ROW()</f>
        <v>611</v>
      </c>
      <c r="B611" t="s">
        <v>237</v>
      </c>
      <c r="C611" t="s">
        <v>238</v>
      </c>
      <c r="D611" t="s">
        <v>293</v>
      </c>
      <c r="E611" t="s">
        <v>294</v>
      </c>
      <c r="J611" t="str">
        <f>IF(A611&lt;WORKSHEET!$R$2,WORKSHEET!$C$2,IF(B611="Air Waybill Number",C611,J610))</f>
        <v>774713825922</v>
      </c>
      <c r="K611" t="str">
        <f t="shared" si="72"/>
        <v>870163300</v>
      </c>
      <c r="L611" t="str">
        <f t="shared" si="73"/>
        <v>17 Jan 2024</v>
      </c>
      <c r="M611" t="str">
        <f t="shared" si="74"/>
        <v/>
      </c>
      <c r="N611" t="str">
        <f t="shared" si="75"/>
        <v>01/08/2024</v>
      </c>
      <c r="O611" t="str">
        <f t="shared" si="76"/>
        <v/>
      </c>
      <c r="P611" t="str">
        <f t="shared" si="77"/>
        <v/>
      </c>
      <c r="Q611" t="str">
        <f t="shared" si="78"/>
        <v/>
      </c>
      <c r="R611" t="str">
        <f t="shared" si="79"/>
        <v/>
      </c>
    </row>
    <row r="612" spans="1:18" x14ac:dyDescent="0.25">
      <c r="A612">
        <f>ROW()</f>
        <v>612</v>
      </c>
      <c r="B612" t="s">
        <v>241</v>
      </c>
      <c r="C612" t="s">
        <v>554</v>
      </c>
      <c r="D612" t="s">
        <v>296</v>
      </c>
      <c r="E612" t="s">
        <v>297</v>
      </c>
      <c r="G612" t="s">
        <v>298</v>
      </c>
      <c r="J612" t="str">
        <f>IF(A612&lt;WORKSHEET!$R$2,WORKSHEET!$C$2,IF(B612="Air Waybill Number",C612,J611))</f>
        <v>774713825922</v>
      </c>
      <c r="K612" t="str">
        <f t="shared" si="72"/>
        <v>870163300</v>
      </c>
      <c r="L612" t="str">
        <f t="shared" si="73"/>
        <v>17 Jan 2024</v>
      </c>
      <c r="M612" t="str">
        <f t="shared" si="74"/>
        <v/>
      </c>
      <c r="N612" t="str">
        <f t="shared" si="75"/>
        <v>01/08/2024</v>
      </c>
      <c r="O612" t="str">
        <f t="shared" si="76"/>
        <v/>
      </c>
      <c r="P612" t="str">
        <f t="shared" si="77"/>
        <v/>
      </c>
      <c r="Q612" t="str">
        <f t="shared" si="78"/>
        <v/>
      </c>
      <c r="R612" t="str">
        <f t="shared" si="79"/>
        <v/>
      </c>
    </row>
    <row r="613" spans="1:18" x14ac:dyDescent="0.25">
      <c r="A613">
        <f>ROW()</f>
        <v>613</v>
      </c>
      <c r="B613" t="s">
        <v>286</v>
      </c>
      <c r="C613" t="s">
        <v>299</v>
      </c>
      <c r="D613" t="s">
        <v>555</v>
      </c>
      <c r="J613" t="str">
        <f>IF(A613&lt;WORKSHEET!$R$2,WORKSHEET!$C$2,IF(B613="Air Waybill Number",C613,J612))</f>
        <v>774713825922</v>
      </c>
      <c r="K613" t="str">
        <f t="shared" si="72"/>
        <v>870163300</v>
      </c>
      <c r="L613" t="str">
        <f t="shared" si="73"/>
        <v>17 Jan 2024</v>
      </c>
      <c r="M613" t="str">
        <f t="shared" si="74"/>
        <v/>
      </c>
      <c r="N613" t="str">
        <f t="shared" si="75"/>
        <v>01/08/2024</v>
      </c>
      <c r="O613" t="str">
        <f t="shared" si="76"/>
        <v/>
      </c>
      <c r="P613" t="str">
        <f t="shared" si="77"/>
        <v/>
      </c>
      <c r="Q613" t="str">
        <f t="shared" si="78"/>
        <v/>
      </c>
      <c r="R613" t="str">
        <f t="shared" si="79"/>
        <v/>
      </c>
    </row>
    <row r="614" spans="1:18" x14ac:dyDescent="0.25">
      <c r="A614">
        <f>ROW()</f>
        <v>614</v>
      </c>
      <c r="B614" t="s">
        <v>249</v>
      </c>
      <c r="C614" t="s">
        <v>580</v>
      </c>
      <c r="D614" t="s">
        <v>248</v>
      </c>
      <c r="H614">
        <v>7656000</v>
      </c>
      <c r="J614" t="str">
        <f>IF(A614&lt;WORKSHEET!$R$2,WORKSHEET!$C$2,IF(B614="Air Waybill Number",C614,J613))</f>
        <v>774713825922</v>
      </c>
      <c r="K614" t="str">
        <f t="shared" si="72"/>
        <v>870163300</v>
      </c>
      <c r="L614" t="str">
        <f t="shared" si="73"/>
        <v>17 Jan 2024</v>
      </c>
      <c r="M614" t="str">
        <f t="shared" si="74"/>
        <v/>
      </c>
      <c r="N614" t="str">
        <f t="shared" si="75"/>
        <v>01/08/2024</v>
      </c>
      <c r="O614" t="str">
        <f t="shared" si="76"/>
        <v/>
      </c>
      <c r="P614" t="str">
        <f t="shared" si="77"/>
        <v/>
      </c>
      <c r="Q614" t="str">
        <f t="shared" si="78"/>
        <v/>
      </c>
      <c r="R614" t="str">
        <f t="shared" si="79"/>
        <v/>
      </c>
    </row>
    <row r="615" spans="1:18" x14ac:dyDescent="0.25">
      <c r="A615">
        <f>ROW()</f>
        <v>615</v>
      </c>
      <c r="D615" t="s">
        <v>251</v>
      </c>
      <c r="E615" t="s">
        <v>252</v>
      </c>
      <c r="H615">
        <v>-6373620</v>
      </c>
      <c r="J615" t="str">
        <f>IF(A615&lt;WORKSHEET!$R$2,WORKSHEET!$C$2,IF(B615="Air Waybill Number",C615,J614))</f>
        <v>774713825922</v>
      </c>
      <c r="K615" t="str">
        <f t="shared" si="72"/>
        <v>870163300</v>
      </c>
      <c r="L615" t="str">
        <f t="shared" si="73"/>
        <v>17 Jan 2024</v>
      </c>
      <c r="M615" t="str">
        <f t="shared" si="74"/>
        <v/>
      </c>
      <c r="N615" t="str">
        <f t="shared" si="75"/>
        <v>01/08/2024</v>
      </c>
      <c r="O615" t="str">
        <f t="shared" si="76"/>
        <v/>
      </c>
      <c r="P615" t="str">
        <f t="shared" si="77"/>
        <v/>
      </c>
      <c r="Q615" t="str">
        <f t="shared" si="78"/>
        <v/>
      </c>
      <c r="R615" t="str">
        <f t="shared" si="79"/>
        <v/>
      </c>
    </row>
    <row r="616" spans="1:18" x14ac:dyDescent="0.25">
      <c r="A616">
        <f>ROW()</f>
        <v>616</v>
      </c>
      <c r="B616" t="s">
        <v>256</v>
      </c>
      <c r="C616" t="s">
        <v>581</v>
      </c>
      <c r="D616" t="s">
        <v>254</v>
      </c>
      <c r="E616" t="s">
        <v>12</v>
      </c>
      <c r="H616">
        <v>405454</v>
      </c>
      <c r="J616" t="str">
        <f>IF(A616&lt;WORKSHEET!$R$2,WORKSHEET!$C$2,IF(B616="Air Waybill Number",C616,J615))</f>
        <v>774713825922</v>
      </c>
      <c r="K616" t="str">
        <f t="shared" si="72"/>
        <v>870163300</v>
      </c>
      <c r="L616" t="str">
        <f t="shared" si="73"/>
        <v>17 Jan 2024</v>
      </c>
      <c r="M616" t="str">
        <f t="shared" si="74"/>
        <v/>
      </c>
      <c r="N616" t="str">
        <f t="shared" si="75"/>
        <v>01/08/2024</v>
      </c>
      <c r="O616" t="str">
        <f t="shared" si="76"/>
        <v/>
      </c>
      <c r="P616" t="str">
        <f t="shared" si="77"/>
        <v/>
      </c>
      <c r="Q616" t="str">
        <f t="shared" si="78"/>
        <v/>
      </c>
      <c r="R616" t="str">
        <f t="shared" si="79"/>
        <v/>
      </c>
    </row>
    <row r="617" spans="1:18" x14ac:dyDescent="0.25">
      <c r="A617">
        <f>ROW()</f>
        <v>617</v>
      </c>
      <c r="D617" t="s">
        <v>254</v>
      </c>
      <c r="E617" t="s">
        <v>260</v>
      </c>
      <c r="H617">
        <v>192000</v>
      </c>
      <c r="J617" t="str">
        <f>IF(A617&lt;WORKSHEET!$R$2,WORKSHEET!$C$2,IF(B617="Air Waybill Number",C617,J616))</f>
        <v>774713825922</v>
      </c>
      <c r="K617" t="str">
        <f t="shared" si="72"/>
        <v>870163300</v>
      </c>
      <c r="L617" t="str">
        <f t="shared" si="73"/>
        <v>17 Jan 2024</v>
      </c>
      <c r="M617" t="str">
        <f t="shared" si="74"/>
        <v/>
      </c>
      <c r="N617" t="str">
        <f t="shared" si="75"/>
        <v>01/08/2024</v>
      </c>
      <c r="O617" t="str">
        <f t="shared" si="76"/>
        <v/>
      </c>
      <c r="P617" t="str">
        <f t="shared" si="77"/>
        <v/>
      </c>
      <c r="Q617" t="str">
        <f t="shared" si="78"/>
        <v/>
      </c>
      <c r="R617" t="str">
        <f t="shared" si="79"/>
        <v/>
      </c>
    </row>
    <row r="618" spans="1:18" x14ac:dyDescent="0.25">
      <c r="A618">
        <f>ROW()</f>
        <v>618</v>
      </c>
      <c r="D618" t="s">
        <v>261</v>
      </c>
      <c r="H618">
        <v>20678</v>
      </c>
      <c r="J618" t="str">
        <f>IF(A618&lt;WORKSHEET!$R$2,WORKSHEET!$C$2,IF(B618="Air Waybill Number",C618,J617))</f>
        <v>774713825922</v>
      </c>
      <c r="K618" t="str">
        <f t="shared" si="72"/>
        <v>870163300</v>
      </c>
      <c r="L618" t="str">
        <f t="shared" si="73"/>
        <v>17 Jan 2024</v>
      </c>
      <c r="M618" t="str">
        <f t="shared" si="74"/>
        <v/>
      </c>
      <c r="N618" t="str">
        <f t="shared" si="75"/>
        <v>01/08/2024</v>
      </c>
      <c r="O618" t="str">
        <f t="shared" si="76"/>
        <v/>
      </c>
      <c r="P618" t="str">
        <f t="shared" si="77"/>
        <v/>
      </c>
      <c r="Q618" t="str">
        <f t="shared" si="78"/>
        <v/>
      </c>
      <c r="R618" t="str">
        <f t="shared" si="79"/>
        <v/>
      </c>
    </row>
    <row r="619" spans="1:18" x14ac:dyDescent="0.25">
      <c r="A619">
        <f>ROW()</f>
        <v>619</v>
      </c>
      <c r="D619" t="s">
        <v>14</v>
      </c>
      <c r="H619">
        <v>1900512</v>
      </c>
      <c r="J619" t="str">
        <f>IF(A619&lt;WORKSHEET!$R$2,WORKSHEET!$C$2,IF(B619="Air Waybill Number",C619,J618))</f>
        <v>774713825922</v>
      </c>
      <c r="K619" t="str">
        <f t="shared" si="72"/>
        <v>870163300</v>
      </c>
      <c r="L619" t="str">
        <f t="shared" si="73"/>
        <v>17 Jan 2024</v>
      </c>
      <c r="M619" t="str">
        <f t="shared" si="74"/>
        <v/>
      </c>
      <c r="N619" t="str">
        <f t="shared" si="75"/>
        <v>01/08/2024</v>
      </c>
      <c r="O619" t="str">
        <f t="shared" si="76"/>
        <v/>
      </c>
      <c r="P619" t="str">
        <f t="shared" si="77"/>
        <v/>
      </c>
      <c r="Q619" t="str">
        <f t="shared" si="78"/>
        <v/>
      </c>
      <c r="R619" t="str">
        <f t="shared" si="79"/>
        <v/>
      </c>
    </row>
    <row r="620" spans="1:18" x14ac:dyDescent="0.25">
      <c r="A620">
        <f>ROW()</f>
        <v>620</v>
      </c>
      <c r="B620" t="s">
        <v>221</v>
      </c>
      <c r="C620" t="s">
        <v>126</v>
      </c>
      <c r="J620" t="str">
        <f>IF(A620&lt;WORKSHEET!$R$2,WORKSHEET!$C$2,IF(B620="Air Waybill Number",C620,J619))</f>
        <v>774713825922</v>
      </c>
      <c r="K620" t="str">
        <f t="shared" si="72"/>
        <v>870163301</v>
      </c>
      <c r="L620" t="str">
        <f t="shared" si="73"/>
        <v>17 Jan 2024</v>
      </c>
      <c r="M620" t="str">
        <f t="shared" si="74"/>
        <v/>
      </c>
      <c r="N620" t="str">
        <f t="shared" si="75"/>
        <v>01/08/2024</v>
      </c>
      <c r="O620" t="str">
        <f t="shared" si="76"/>
        <v/>
      </c>
      <c r="P620" t="str">
        <f t="shared" si="77"/>
        <v/>
      </c>
      <c r="Q620" t="str">
        <f t="shared" si="78"/>
        <v/>
      </c>
      <c r="R620" t="str">
        <f t="shared" si="79"/>
        <v/>
      </c>
    </row>
    <row r="621" spans="1:18" x14ac:dyDescent="0.25">
      <c r="A621">
        <f>ROW()</f>
        <v>621</v>
      </c>
      <c r="B621" t="s">
        <v>222</v>
      </c>
      <c r="C621" t="s">
        <v>573</v>
      </c>
      <c r="J621" t="str">
        <f>IF(A621&lt;WORKSHEET!$R$2,WORKSHEET!$C$2,IF(B621="Air Waybill Number",C621,J620))</f>
        <v>774713825922</v>
      </c>
      <c r="K621" t="str">
        <f t="shared" si="72"/>
        <v>870163301</v>
      </c>
      <c r="L621" t="str">
        <f t="shared" si="73"/>
        <v>17 Jan 2024</v>
      </c>
      <c r="M621" t="str">
        <f t="shared" si="74"/>
        <v/>
      </c>
      <c r="N621" t="str">
        <f t="shared" si="75"/>
        <v>01/08/2024</v>
      </c>
      <c r="O621" t="str">
        <f t="shared" si="76"/>
        <v/>
      </c>
      <c r="P621" t="str">
        <f t="shared" si="77"/>
        <v/>
      </c>
      <c r="Q621" t="str">
        <f t="shared" si="78"/>
        <v/>
      </c>
      <c r="R621" t="str">
        <f t="shared" si="79"/>
        <v/>
      </c>
    </row>
    <row r="622" spans="1:18" x14ac:dyDescent="0.25">
      <c r="A622">
        <f>ROW()</f>
        <v>622</v>
      </c>
      <c r="B622" t="s">
        <v>224</v>
      </c>
      <c r="C622" t="s">
        <v>225</v>
      </c>
      <c r="J622" t="str">
        <f>IF(A622&lt;WORKSHEET!$R$2,WORKSHEET!$C$2,IF(B622="Air Waybill Number",C622,J621))</f>
        <v>774713825922</v>
      </c>
      <c r="K622" t="str">
        <f t="shared" si="72"/>
        <v>870163301</v>
      </c>
      <c r="L622" t="str">
        <f t="shared" si="73"/>
        <v>17 Jan 2024</v>
      </c>
      <c r="M622" t="str">
        <f t="shared" si="74"/>
        <v/>
      </c>
      <c r="N622" t="str">
        <f t="shared" si="75"/>
        <v>01/08/2024</v>
      </c>
      <c r="O622" t="str">
        <f t="shared" si="76"/>
        <v/>
      </c>
      <c r="P622" t="str">
        <f t="shared" si="77"/>
        <v/>
      </c>
      <c r="Q622" t="str">
        <f t="shared" si="78"/>
        <v/>
      </c>
      <c r="R622" t="str">
        <f t="shared" si="79"/>
        <v/>
      </c>
    </row>
    <row r="623" spans="1:18" x14ac:dyDescent="0.25">
      <c r="A623">
        <f>ROW()</f>
        <v>623</v>
      </c>
      <c r="B623" t="s">
        <v>226</v>
      </c>
      <c r="C623" t="s">
        <v>574</v>
      </c>
      <c r="D623" t="s">
        <v>228</v>
      </c>
      <c r="E623" t="s">
        <v>229</v>
      </c>
      <c r="J623" t="str">
        <f>IF(A623&lt;WORKSHEET!$R$2,WORKSHEET!$C$2,IF(B623="Air Waybill Number",C623,J622))</f>
        <v>774713825922</v>
      </c>
      <c r="K623" t="str">
        <f t="shared" si="72"/>
        <v>870163301</v>
      </c>
      <c r="L623" t="str">
        <f t="shared" si="73"/>
        <v>17 Jan 2024</v>
      </c>
      <c r="M623" t="str">
        <f t="shared" si="74"/>
        <v/>
      </c>
      <c r="N623" t="str">
        <f t="shared" si="75"/>
        <v>01/05/2024</v>
      </c>
      <c r="O623" t="str">
        <f t="shared" si="76"/>
        <v>KIRSTIN SHENG</v>
      </c>
      <c r="P623" t="str">
        <f t="shared" si="77"/>
        <v>CHANGSHU BAOFENG SPECIAL FIBER</v>
      </c>
      <c r="Q623" t="str">
        <f t="shared" si="78"/>
        <v>AGUSTINA FUNG FUNG / YULI HART</v>
      </c>
      <c r="R623" t="str">
        <f t="shared" si="79"/>
        <v>PT.GISTEX GARMEN INDONESIA</v>
      </c>
    </row>
    <row r="624" spans="1:18" x14ac:dyDescent="0.25">
      <c r="A624">
        <f>ROW()</f>
        <v>624</v>
      </c>
      <c r="B624" t="s">
        <v>230</v>
      </c>
      <c r="C624" t="s">
        <v>321</v>
      </c>
      <c r="D624" t="s">
        <v>127</v>
      </c>
      <c r="E624" t="s">
        <v>128</v>
      </c>
      <c r="J624" t="str">
        <f>IF(A624&lt;WORKSHEET!$R$2,WORKSHEET!$C$2,IF(B624="Air Waybill Number",C624,J623))</f>
        <v>774713825922</v>
      </c>
      <c r="K624" t="str">
        <f t="shared" si="72"/>
        <v>870163301</v>
      </c>
      <c r="L624" t="str">
        <f t="shared" si="73"/>
        <v>17 Jan 2024</v>
      </c>
      <c r="M624" t="str">
        <f t="shared" si="74"/>
        <v/>
      </c>
      <c r="N624" t="str">
        <f t="shared" si="75"/>
        <v>01/05/2024</v>
      </c>
      <c r="O624" t="str">
        <f t="shared" si="76"/>
        <v/>
      </c>
      <c r="P624" t="str">
        <f t="shared" si="77"/>
        <v/>
      </c>
      <c r="Q624" t="str">
        <f t="shared" si="78"/>
        <v/>
      </c>
      <c r="R624" t="str">
        <f t="shared" si="79"/>
        <v/>
      </c>
    </row>
    <row r="625" spans="1:18" x14ac:dyDescent="0.25">
      <c r="A625">
        <f>ROW()</f>
        <v>625</v>
      </c>
      <c r="B625" t="s">
        <v>232</v>
      </c>
      <c r="C625" t="s">
        <v>129</v>
      </c>
      <c r="D625" t="s">
        <v>130</v>
      </c>
      <c r="E625" t="s">
        <v>120</v>
      </c>
      <c r="J625" t="str">
        <f>IF(A625&lt;WORKSHEET!$R$2,WORKSHEET!$C$2,IF(B625="Air Waybill Number",C625,J624))</f>
        <v>774679939072</v>
      </c>
      <c r="K625" t="str">
        <f t="shared" si="72"/>
        <v>870163301</v>
      </c>
      <c r="L625" t="str">
        <f t="shared" si="73"/>
        <v>17 Jan 2024</v>
      </c>
      <c r="M625" t="str">
        <f t="shared" si="74"/>
        <v>774679939072-1</v>
      </c>
      <c r="N625" t="str">
        <f t="shared" si="75"/>
        <v>01/05/2024</v>
      </c>
      <c r="O625" t="str">
        <f t="shared" si="76"/>
        <v/>
      </c>
      <c r="P625" t="str">
        <f t="shared" si="77"/>
        <v/>
      </c>
      <c r="Q625" t="str">
        <f t="shared" si="78"/>
        <v/>
      </c>
      <c r="R625" t="str">
        <f t="shared" si="79"/>
        <v/>
      </c>
    </row>
    <row r="626" spans="1:18" x14ac:dyDescent="0.25">
      <c r="A626">
        <f>ROW()</f>
        <v>626</v>
      </c>
      <c r="B626" t="s">
        <v>233</v>
      </c>
      <c r="C626" t="s">
        <v>234</v>
      </c>
      <c r="D626" t="s">
        <v>582</v>
      </c>
      <c r="E626" t="s">
        <v>380</v>
      </c>
      <c r="J626" t="str">
        <f>IF(A626&lt;WORKSHEET!$R$2,WORKSHEET!$C$2,IF(B626="Air Waybill Number",C626,J625))</f>
        <v>774679939072</v>
      </c>
      <c r="K626" t="str">
        <f t="shared" si="72"/>
        <v>870163301</v>
      </c>
      <c r="L626" t="str">
        <f t="shared" si="73"/>
        <v>17 Jan 2024</v>
      </c>
      <c r="M626" t="str">
        <f t="shared" si="74"/>
        <v/>
      </c>
      <c r="N626" t="str">
        <f t="shared" si="75"/>
        <v>01/05/2024</v>
      </c>
      <c r="O626" t="str">
        <f t="shared" si="76"/>
        <v/>
      </c>
      <c r="P626" t="str">
        <f t="shared" si="77"/>
        <v/>
      </c>
      <c r="Q626" t="str">
        <f t="shared" si="78"/>
        <v/>
      </c>
      <c r="R626" t="str">
        <f t="shared" si="79"/>
        <v/>
      </c>
    </row>
    <row r="627" spans="1:18" x14ac:dyDescent="0.25">
      <c r="A627">
        <f>ROW()</f>
        <v>627</v>
      </c>
      <c r="B627" t="s">
        <v>237</v>
      </c>
      <c r="C627" t="s">
        <v>583</v>
      </c>
      <c r="D627" t="s">
        <v>584</v>
      </c>
      <c r="E627" t="s">
        <v>585</v>
      </c>
      <c r="J627" t="str">
        <f>IF(A627&lt;WORKSHEET!$R$2,WORKSHEET!$C$2,IF(B627="Air Waybill Number",C627,J626))</f>
        <v>774679939072</v>
      </c>
      <c r="K627" t="str">
        <f t="shared" si="72"/>
        <v>870163301</v>
      </c>
      <c r="L627" t="str">
        <f t="shared" si="73"/>
        <v>17 Jan 2024</v>
      </c>
      <c r="M627" t="str">
        <f t="shared" si="74"/>
        <v/>
      </c>
      <c r="N627" t="str">
        <f t="shared" si="75"/>
        <v>01/05/2024</v>
      </c>
      <c r="O627" t="str">
        <f t="shared" si="76"/>
        <v/>
      </c>
      <c r="P627" t="str">
        <f t="shared" si="77"/>
        <v/>
      </c>
      <c r="Q627" t="str">
        <f t="shared" si="78"/>
        <v/>
      </c>
      <c r="R627" t="str">
        <f t="shared" si="79"/>
        <v/>
      </c>
    </row>
    <row r="628" spans="1:18" x14ac:dyDescent="0.25">
      <c r="A628">
        <f>ROW()</f>
        <v>628</v>
      </c>
      <c r="B628" t="s">
        <v>241</v>
      </c>
      <c r="C628" t="s">
        <v>586</v>
      </c>
      <c r="D628" t="s">
        <v>587</v>
      </c>
      <c r="E628" t="s">
        <v>274</v>
      </c>
      <c r="F628" t="s">
        <v>275</v>
      </c>
      <c r="J628" t="str">
        <f>IF(A628&lt;WORKSHEET!$R$2,WORKSHEET!$C$2,IF(B628="Air Waybill Number",C628,J627))</f>
        <v>774679939072</v>
      </c>
      <c r="K628" t="str">
        <f t="shared" si="72"/>
        <v>870163301</v>
      </c>
      <c r="L628" t="str">
        <f t="shared" si="73"/>
        <v>17 Jan 2024</v>
      </c>
      <c r="M628" t="str">
        <f t="shared" si="74"/>
        <v/>
      </c>
      <c r="N628" t="str">
        <f t="shared" si="75"/>
        <v>01/05/2024</v>
      </c>
      <c r="O628" t="str">
        <f t="shared" si="76"/>
        <v/>
      </c>
      <c r="P628" t="str">
        <f t="shared" si="77"/>
        <v/>
      </c>
      <c r="Q628" t="str">
        <f t="shared" si="78"/>
        <v/>
      </c>
      <c r="R628" t="str">
        <f t="shared" si="79"/>
        <v/>
      </c>
    </row>
    <row r="629" spans="1:18" x14ac:dyDescent="0.25">
      <c r="A629">
        <f>ROW()</f>
        <v>629</v>
      </c>
      <c r="B629" t="s">
        <v>245</v>
      </c>
      <c r="C629" t="s">
        <v>246</v>
      </c>
      <c r="J629" t="str">
        <f>IF(A629&lt;WORKSHEET!$R$2,WORKSHEET!$C$2,IF(B629="Air Waybill Number",C629,J628))</f>
        <v>774679939072</v>
      </c>
      <c r="K629" t="str">
        <f t="shared" si="72"/>
        <v>870163301</v>
      </c>
      <c r="L629" t="str">
        <f t="shared" si="73"/>
        <v>17 Jan 2024</v>
      </c>
      <c r="M629" t="str">
        <f t="shared" si="74"/>
        <v/>
      </c>
      <c r="N629" t="str">
        <f t="shared" si="75"/>
        <v>01/05/2024</v>
      </c>
      <c r="O629" t="str">
        <f t="shared" si="76"/>
        <v/>
      </c>
      <c r="P629" t="str">
        <f t="shared" si="77"/>
        <v/>
      </c>
      <c r="Q629" t="str">
        <f t="shared" si="78"/>
        <v/>
      </c>
      <c r="R629" t="str">
        <f t="shared" si="79"/>
        <v/>
      </c>
    </row>
    <row r="630" spans="1:18" x14ac:dyDescent="0.25">
      <c r="A630">
        <f>ROW()</f>
        <v>630</v>
      </c>
      <c r="B630" t="s">
        <v>247</v>
      </c>
      <c r="D630" t="s">
        <v>248</v>
      </c>
      <c r="F630" t="s">
        <v>588</v>
      </c>
      <c r="J630" t="str">
        <f>IF(A630&lt;WORKSHEET!$R$2,WORKSHEET!$C$2,IF(B630="Air Waybill Number",C630,J629))</f>
        <v>774679939072</v>
      </c>
      <c r="K630" t="str">
        <f t="shared" si="72"/>
        <v>870163301</v>
      </c>
      <c r="L630" t="str">
        <f t="shared" si="73"/>
        <v>17 Jan 2024</v>
      </c>
      <c r="M630" t="str">
        <f t="shared" si="74"/>
        <v/>
      </c>
      <c r="N630" t="str">
        <f t="shared" si="75"/>
        <v>01/05/2024</v>
      </c>
      <c r="O630" t="str">
        <f t="shared" si="76"/>
        <v/>
      </c>
      <c r="P630" t="str">
        <f t="shared" si="77"/>
        <v/>
      </c>
      <c r="Q630" t="str">
        <f t="shared" si="78"/>
        <v/>
      </c>
      <c r="R630" t="str">
        <f t="shared" si="79"/>
        <v/>
      </c>
    </row>
    <row r="631" spans="1:18" x14ac:dyDescent="0.25">
      <c r="A631">
        <f>ROW()</f>
        <v>631</v>
      </c>
      <c r="B631" t="s">
        <v>249</v>
      </c>
      <c r="C631" t="s">
        <v>589</v>
      </c>
      <c r="D631" t="s">
        <v>251</v>
      </c>
      <c r="E631" t="s">
        <v>252</v>
      </c>
      <c r="F631" t="s">
        <v>590</v>
      </c>
      <c r="J631" t="str">
        <f>IF(A631&lt;WORKSHEET!$R$2,WORKSHEET!$C$2,IF(B631="Air Waybill Number",C631,J630))</f>
        <v>774679939072</v>
      </c>
      <c r="K631" t="str">
        <f t="shared" si="72"/>
        <v>870163301</v>
      </c>
      <c r="L631" t="str">
        <f t="shared" si="73"/>
        <v>17 Jan 2024</v>
      </c>
      <c r="M631" t="str">
        <f t="shared" si="74"/>
        <v/>
      </c>
      <c r="N631" t="str">
        <f t="shared" si="75"/>
        <v>01/05/2024</v>
      </c>
      <c r="O631" t="str">
        <f t="shared" si="76"/>
        <v/>
      </c>
      <c r="P631" t="str">
        <f t="shared" si="77"/>
        <v/>
      </c>
      <c r="Q631" t="str">
        <f t="shared" si="78"/>
        <v/>
      </c>
      <c r="R631" t="str">
        <f t="shared" si="79"/>
        <v/>
      </c>
    </row>
    <row r="632" spans="1:18" x14ac:dyDescent="0.25">
      <c r="A632">
        <f>ROW()</f>
        <v>632</v>
      </c>
      <c r="C632" t="s">
        <v>277</v>
      </c>
      <c r="D632" t="s">
        <v>254</v>
      </c>
      <c r="E632" t="s">
        <v>12</v>
      </c>
      <c r="F632" t="s">
        <v>591</v>
      </c>
      <c r="J632" t="str">
        <f>IF(A632&lt;WORKSHEET!$R$2,WORKSHEET!$C$2,IF(B632="Air Waybill Number",C632,J631))</f>
        <v>774679939072</v>
      </c>
      <c r="K632" t="str">
        <f t="shared" si="72"/>
        <v>870163301</v>
      </c>
      <c r="L632" t="str">
        <f t="shared" si="73"/>
        <v>17 Jan 2024</v>
      </c>
      <c r="M632" t="str">
        <f t="shared" si="74"/>
        <v/>
      </c>
      <c r="N632" t="str">
        <f t="shared" si="75"/>
        <v>01/05/2024</v>
      </c>
      <c r="O632" t="str">
        <f t="shared" si="76"/>
        <v/>
      </c>
      <c r="P632" t="str">
        <f t="shared" si="77"/>
        <v/>
      </c>
      <c r="Q632" t="str">
        <f t="shared" si="78"/>
        <v/>
      </c>
      <c r="R632" t="str">
        <f t="shared" si="79"/>
        <v/>
      </c>
    </row>
    <row r="633" spans="1:18" x14ac:dyDescent="0.25">
      <c r="A633">
        <f>ROW()</f>
        <v>633</v>
      </c>
      <c r="D633" t="s">
        <v>254</v>
      </c>
      <c r="E633" t="s">
        <v>260</v>
      </c>
      <c r="F633" t="s">
        <v>592</v>
      </c>
      <c r="J633" t="str">
        <f>IF(A633&lt;WORKSHEET!$R$2,WORKSHEET!$C$2,IF(B633="Air Waybill Number",C633,J632))</f>
        <v>774679939072</v>
      </c>
      <c r="K633" t="str">
        <f t="shared" si="72"/>
        <v>870163301</v>
      </c>
      <c r="L633" t="str">
        <f t="shared" si="73"/>
        <v>17 Jan 2024</v>
      </c>
      <c r="M633" t="str">
        <f t="shared" si="74"/>
        <v/>
      </c>
      <c r="N633" t="str">
        <f t="shared" si="75"/>
        <v>01/05/2024</v>
      </c>
      <c r="O633" t="str">
        <f t="shared" si="76"/>
        <v/>
      </c>
      <c r="P633" t="str">
        <f t="shared" si="77"/>
        <v/>
      </c>
      <c r="Q633" t="str">
        <f t="shared" si="78"/>
        <v/>
      </c>
      <c r="R633" t="str">
        <f t="shared" si="79"/>
        <v/>
      </c>
    </row>
    <row r="634" spans="1:18" x14ac:dyDescent="0.25">
      <c r="A634">
        <f>ROW()</f>
        <v>634</v>
      </c>
      <c r="D634" t="s">
        <v>261</v>
      </c>
      <c r="F634" t="s">
        <v>593</v>
      </c>
      <c r="J634" t="str">
        <f>IF(A634&lt;WORKSHEET!$R$2,WORKSHEET!$C$2,IF(B634="Air Waybill Number",C634,J633))</f>
        <v>774679939072</v>
      </c>
      <c r="K634" t="str">
        <f t="shared" si="72"/>
        <v>870163301</v>
      </c>
      <c r="L634" t="str">
        <f t="shared" si="73"/>
        <v>17 Jan 2024</v>
      </c>
      <c r="M634" t="str">
        <f t="shared" si="74"/>
        <v/>
      </c>
      <c r="N634" t="str">
        <f t="shared" si="75"/>
        <v>01/05/2024</v>
      </c>
      <c r="O634" t="str">
        <f t="shared" si="76"/>
        <v/>
      </c>
      <c r="P634" t="str">
        <f t="shared" si="77"/>
        <v/>
      </c>
      <c r="Q634" t="str">
        <f t="shared" si="78"/>
        <v/>
      </c>
      <c r="R634" t="str">
        <f t="shared" si="79"/>
        <v/>
      </c>
    </row>
    <row r="635" spans="1:18" x14ac:dyDescent="0.25">
      <c r="A635">
        <f>ROW()</f>
        <v>635</v>
      </c>
      <c r="D635" t="s">
        <v>14</v>
      </c>
      <c r="F635" t="s">
        <v>594</v>
      </c>
      <c r="J635" t="str">
        <f>IF(A635&lt;WORKSHEET!$R$2,WORKSHEET!$C$2,IF(B635="Air Waybill Number",C635,J634))</f>
        <v>774679939072</v>
      </c>
      <c r="K635" t="str">
        <f t="shared" si="72"/>
        <v>870163301</v>
      </c>
      <c r="L635" t="str">
        <f t="shared" si="73"/>
        <v>17 Jan 2024</v>
      </c>
      <c r="M635" t="str">
        <f t="shared" si="74"/>
        <v/>
      </c>
      <c r="N635" t="str">
        <f t="shared" si="75"/>
        <v>01/05/2024</v>
      </c>
      <c r="O635" t="str">
        <f t="shared" si="76"/>
        <v/>
      </c>
      <c r="P635" t="str">
        <f t="shared" si="77"/>
        <v/>
      </c>
      <c r="Q635" t="str">
        <f t="shared" si="78"/>
        <v/>
      </c>
      <c r="R635" t="str">
        <f t="shared" si="79"/>
        <v/>
      </c>
    </row>
    <row r="636" spans="1:18" x14ac:dyDescent="0.25">
      <c r="A636">
        <f>ROW()</f>
        <v>636</v>
      </c>
      <c r="B636" t="s">
        <v>221</v>
      </c>
      <c r="C636" t="s">
        <v>131</v>
      </c>
      <c r="J636" t="str">
        <f>IF(A636&lt;WORKSHEET!$R$2,WORKSHEET!$C$2,IF(B636="Air Waybill Number",C636,J635))</f>
        <v>774679939072</v>
      </c>
      <c r="K636" t="str">
        <f t="shared" si="72"/>
        <v>870091402</v>
      </c>
      <c r="L636" t="str">
        <f t="shared" si="73"/>
        <v>17 Jan 2024</v>
      </c>
      <c r="M636" t="str">
        <f t="shared" si="74"/>
        <v/>
      </c>
      <c r="N636" t="str">
        <f t="shared" si="75"/>
        <v>01/05/2024</v>
      </c>
      <c r="O636" t="str">
        <f t="shared" si="76"/>
        <v/>
      </c>
      <c r="P636" t="str">
        <f t="shared" si="77"/>
        <v/>
      </c>
      <c r="Q636" t="str">
        <f t="shared" si="78"/>
        <v/>
      </c>
      <c r="R636" t="str">
        <f t="shared" si="79"/>
        <v/>
      </c>
    </row>
    <row r="637" spans="1:18" x14ac:dyDescent="0.25">
      <c r="A637">
        <f>ROW()</f>
        <v>637</v>
      </c>
      <c r="B637" t="s">
        <v>222</v>
      </c>
      <c r="C637" t="s">
        <v>595</v>
      </c>
      <c r="J637" t="str">
        <f>IF(A637&lt;WORKSHEET!$R$2,WORKSHEET!$C$2,IF(B637="Air Waybill Number",C637,J636))</f>
        <v>774679939072</v>
      </c>
      <c r="K637" t="str">
        <f t="shared" si="72"/>
        <v>870091402</v>
      </c>
      <c r="L637" t="str">
        <f t="shared" si="73"/>
        <v>20 Dec 2023</v>
      </c>
      <c r="M637" t="str">
        <f t="shared" si="74"/>
        <v/>
      </c>
      <c r="N637" t="str">
        <f t="shared" si="75"/>
        <v>01/05/2024</v>
      </c>
      <c r="O637" t="str">
        <f t="shared" si="76"/>
        <v/>
      </c>
      <c r="P637" t="str">
        <f t="shared" si="77"/>
        <v/>
      </c>
      <c r="Q637" t="str">
        <f t="shared" si="78"/>
        <v/>
      </c>
      <c r="R637" t="str">
        <f t="shared" si="79"/>
        <v/>
      </c>
    </row>
    <row r="638" spans="1:18" x14ac:dyDescent="0.25">
      <c r="A638">
        <f>ROW()</f>
        <v>638</v>
      </c>
      <c r="B638" t="s">
        <v>224</v>
      </c>
      <c r="C638" t="s">
        <v>225</v>
      </c>
      <c r="J638" t="str">
        <f>IF(A638&lt;WORKSHEET!$R$2,WORKSHEET!$C$2,IF(B638="Air Waybill Number",C638,J637))</f>
        <v>774679939072</v>
      </c>
      <c r="K638" t="str">
        <f t="shared" si="72"/>
        <v>870091402</v>
      </c>
      <c r="L638" t="str">
        <f t="shared" si="73"/>
        <v>20 Dec 2023</v>
      </c>
      <c r="M638" t="str">
        <f t="shared" si="74"/>
        <v/>
      </c>
      <c r="N638" t="str">
        <f t="shared" si="75"/>
        <v>01/05/2024</v>
      </c>
      <c r="O638" t="str">
        <f t="shared" si="76"/>
        <v/>
      </c>
      <c r="P638" t="str">
        <f t="shared" si="77"/>
        <v/>
      </c>
      <c r="Q638" t="str">
        <f t="shared" si="78"/>
        <v/>
      </c>
      <c r="R638" t="str">
        <f t="shared" si="79"/>
        <v/>
      </c>
    </row>
    <row r="639" spans="1:18" x14ac:dyDescent="0.25">
      <c r="A639">
        <f>ROW()</f>
        <v>639</v>
      </c>
      <c r="B639" t="s">
        <v>226</v>
      </c>
      <c r="C639" t="s">
        <v>596</v>
      </c>
      <c r="D639" t="s">
        <v>392</v>
      </c>
      <c r="F639" t="s">
        <v>229</v>
      </c>
      <c r="J639" t="str">
        <f>IF(A639&lt;WORKSHEET!$R$2,WORKSHEET!$C$2,IF(B639="Air Waybill Number",C639,J638))</f>
        <v>774679939072</v>
      </c>
      <c r="K639" t="str">
        <f t="shared" si="72"/>
        <v>870091402</v>
      </c>
      <c r="L639" t="str">
        <f t="shared" si="73"/>
        <v>20 Dec 2023</v>
      </c>
      <c r="M639" t="str">
        <f t="shared" si="74"/>
        <v/>
      </c>
      <c r="N639" t="str">
        <f t="shared" si="75"/>
        <v>09/27/2023</v>
      </c>
      <c r="O639" t="str">
        <f t="shared" si="76"/>
        <v>HANFRIEND COLTD</v>
      </c>
      <c r="P639">
        <f t="shared" si="77"/>
        <v>0</v>
      </c>
      <c r="Q639">
        <f t="shared" si="78"/>
        <v>0</v>
      </c>
      <c r="R639" t="str">
        <f t="shared" si="79"/>
        <v>GISTEX GARMEN INDONESIA PT</v>
      </c>
    </row>
    <row r="640" spans="1:18" x14ac:dyDescent="0.25">
      <c r="A640">
        <f>ROW()</f>
        <v>640</v>
      </c>
      <c r="B640" t="s">
        <v>232</v>
      </c>
      <c r="C640" t="s">
        <v>132</v>
      </c>
      <c r="D640" t="s">
        <v>71</v>
      </c>
      <c r="J640" t="str">
        <f>IF(A640&lt;WORKSHEET!$R$2,WORKSHEET!$C$2,IF(B640="Air Waybill Number",C640,J639))</f>
        <v>773550803405</v>
      </c>
      <c r="K640" t="str">
        <f t="shared" si="72"/>
        <v>870091402</v>
      </c>
      <c r="L640" t="str">
        <f t="shared" si="73"/>
        <v>20 Dec 2023</v>
      </c>
      <c r="M640" t="str">
        <f t="shared" si="74"/>
        <v>773550803405-1</v>
      </c>
      <c r="N640" t="str">
        <f t="shared" si="75"/>
        <v>09/27/2023</v>
      </c>
      <c r="O640" t="str">
        <f t="shared" si="76"/>
        <v/>
      </c>
      <c r="P640" t="str">
        <f t="shared" si="77"/>
        <v/>
      </c>
      <c r="Q640" t="str">
        <f t="shared" si="78"/>
        <v/>
      </c>
      <c r="R640" t="str">
        <f t="shared" si="79"/>
        <v/>
      </c>
    </row>
    <row r="641" spans="1:18" x14ac:dyDescent="0.25">
      <c r="A641">
        <f>ROW()</f>
        <v>641</v>
      </c>
      <c r="B641" t="s">
        <v>233</v>
      </c>
      <c r="C641" t="s">
        <v>234</v>
      </c>
      <c r="F641" t="s">
        <v>133</v>
      </c>
      <c r="J641" t="str">
        <f>IF(A641&lt;WORKSHEET!$R$2,WORKSHEET!$C$2,IF(B641="Air Waybill Number",C641,J640))</f>
        <v>773550803405</v>
      </c>
      <c r="K641" t="str">
        <f t="shared" si="72"/>
        <v>870091402</v>
      </c>
      <c r="L641" t="str">
        <f t="shared" si="73"/>
        <v>20 Dec 2023</v>
      </c>
      <c r="M641" t="str">
        <f t="shared" si="74"/>
        <v/>
      </c>
      <c r="N641" t="str">
        <f t="shared" si="75"/>
        <v>09/27/2023</v>
      </c>
      <c r="O641" t="str">
        <f t="shared" si="76"/>
        <v/>
      </c>
      <c r="P641" t="str">
        <f t="shared" si="77"/>
        <v/>
      </c>
      <c r="Q641" t="str">
        <f t="shared" si="78"/>
        <v/>
      </c>
      <c r="R641" t="str">
        <f t="shared" si="79"/>
        <v/>
      </c>
    </row>
    <row r="642" spans="1:18" x14ac:dyDescent="0.25">
      <c r="A642">
        <f>ROW()</f>
        <v>642</v>
      </c>
      <c r="B642" t="s">
        <v>237</v>
      </c>
      <c r="C642" t="s">
        <v>597</v>
      </c>
      <c r="D642" t="s">
        <v>394</v>
      </c>
      <c r="F642" t="s">
        <v>598</v>
      </c>
      <c r="J642" t="str">
        <f>IF(A642&lt;WORKSHEET!$R$2,WORKSHEET!$C$2,IF(B642="Air Waybill Number",C642,J641))</f>
        <v>773550803405</v>
      </c>
      <c r="K642" t="str">
        <f t="shared" ref="K642:K705" si="80">IF(B642="Invoice Number:",C642,K641)</f>
        <v>870091402</v>
      </c>
      <c r="L642" t="str">
        <f t="shared" ref="L642:L705" si="81">IF(B642="Invoice Date:",C642,L641)</f>
        <v>20 Dec 2023</v>
      </c>
      <c r="M642" t="str">
        <f t="shared" ref="M642:M705" si="82">IF(B642="Air Waybill Number",J642&amp;"-1","")</f>
        <v/>
      </c>
      <c r="N642" t="str">
        <f t="shared" ref="N642:N705" si="83">IF(B642="Ship Date",C642,N641)</f>
        <v>09/27/2023</v>
      </c>
      <c r="O642" t="str">
        <f t="shared" ref="O642:O705" si="84">IF(LEFT(D642,6)="Sender",D643,IF(LEFT(E642,6)="Sender",E643,""))</f>
        <v/>
      </c>
      <c r="P642" t="str">
        <f t="shared" ref="P642:P705" si="85">IF(LEFT(D642,6)="Sender",D644,IF(LEFT(E642,6)="Sender",D644,""))</f>
        <v/>
      </c>
      <c r="Q642" t="str">
        <f t="shared" ref="Q642:Q705" si="86">IF(LEFT(E642,9)="Recipient",E643&amp;F643,IF(LEFT(F642,9)="Recipient",F643,IF(LEFT(G642,9)="Recipient",G643,IF(LEFT(H642,9)="Recipient",H643,""))))</f>
        <v/>
      </c>
      <c r="R642" t="str">
        <f t="shared" ref="R642:R705" si="87">IF(LEFT(E642,9)="Recipient",E644&amp;F644,IF(LEFT(F642,9)="Recipient",F644,IF(LEFT(G642,9)="Recipient",G644,IF(LEFT(H642,9)="Recipient",H644,""))))</f>
        <v/>
      </c>
    </row>
    <row r="643" spans="1:18" x14ac:dyDescent="0.25">
      <c r="A643">
        <f>ROW()</f>
        <v>643</v>
      </c>
      <c r="B643" t="s">
        <v>241</v>
      </c>
      <c r="C643" t="s">
        <v>599</v>
      </c>
      <c r="D643" t="s">
        <v>397</v>
      </c>
      <c r="F643" t="s">
        <v>600</v>
      </c>
      <c r="J643" t="str">
        <f>IF(A643&lt;WORKSHEET!$R$2,WORKSHEET!$C$2,IF(B643="Air Waybill Number",C643,J642))</f>
        <v>773550803405</v>
      </c>
      <c r="K643" t="str">
        <f t="shared" si="80"/>
        <v>870091402</v>
      </c>
      <c r="L643" t="str">
        <f t="shared" si="81"/>
        <v>20 Dec 2023</v>
      </c>
      <c r="M643" t="str">
        <f t="shared" si="82"/>
        <v/>
      </c>
      <c r="N643" t="str">
        <f t="shared" si="83"/>
        <v>09/27/2023</v>
      </c>
      <c r="O643" t="str">
        <f t="shared" si="84"/>
        <v/>
      </c>
      <c r="P643" t="str">
        <f t="shared" si="85"/>
        <v/>
      </c>
      <c r="Q643" t="str">
        <f t="shared" si="86"/>
        <v/>
      </c>
      <c r="R643" t="str">
        <f t="shared" si="87"/>
        <v/>
      </c>
    </row>
    <row r="644" spans="1:18" x14ac:dyDescent="0.25">
      <c r="A644">
        <f>ROW()</f>
        <v>644</v>
      </c>
      <c r="B644" t="s">
        <v>286</v>
      </c>
      <c r="C644" t="s">
        <v>246</v>
      </c>
      <c r="D644" t="s">
        <v>399</v>
      </c>
      <c r="F644" t="s">
        <v>274</v>
      </c>
      <c r="G644" t="s">
        <v>601</v>
      </c>
      <c r="J644" t="str">
        <f>IF(A644&lt;WORKSHEET!$R$2,WORKSHEET!$C$2,IF(B644="Air Waybill Number",C644,J643))</f>
        <v>773550803405</v>
      </c>
      <c r="K644" t="str">
        <f t="shared" si="80"/>
        <v>870091402</v>
      </c>
      <c r="L644" t="str">
        <f t="shared" si="81"/>
        <v>20 Dec 2023</v>
      </c>
      <c r="M644" t="str">
        <f t="shared" si="82"/>
        <v/>
      </c>
      <c r="N644" t="str">
        <f t="shared" si="83"/>
        <v>09/27/2023</v>
      </c>
      <c r="O644" t="str">
        <f t="shared" si="84"/>
        <v/>
      </c>
      <c r="P644" t="str">
        <f t="shared" si="85"/>
        <v/>
      </c>
      <c r="Q644" t="str">
        <f t="shared" si="86"/>
        <v/>
      </c>
      <c r="R644" t="str">
        <f t="shared" si="87"/>
        <v/>
      </c>
    </row>
    <row r="645" spans="1:18" x14ac:dyDescent="0.25">
      <c r="A645">
        <f>ROW()</f>
        <v>645</v>
      </c>
      <c r="B645" t="s">
        <v>249</v>
      </c>
      <c r="C645" t="s">
        <v>602</v>
      </c>
      <c r="D645" t="s">
        <v>248</v>
      </c>
      <c r="H645">
        <v>38962000</v>
      </c>
      <c r="J645" t="str">
        <f>IF(A645&lt;WORKSHEET!$R$2,WORKSHEET!$C$2,IF(B645="Air Waybill Number",C645,J644))</f>
        <v>773550803405</v>
      </c>
      <c r="K645" t="str">
        <f t="shared" si="80"/>
        <v>870091402</v>
      </c>
      <c r="L645" t="str">
        <f t="shared" si="81"/>
        <v>20 Dec 2023</v>
      </c>
      <c r="M645" t="str">
        <f t="shared" si="82"/>
        <v/>
      </c>
      <c r="N645" t="str">
        <f t="shared" si="83"/>
        <v>09/27/2023</v>
      </c>
      <c r="O645" t="str">
        <f t="shared" si="84"/>
        <v/>
      </c>
      <c r="P645" t="str">
        <f t="shared" si="85"/>
        <v/>
      </c>
      <c r="Q645" t="str">
        <f t="shared" si="86"/>
        <v/>
      </c>
      <c r="R645" t="str">
        <f t="shared" si="87"/>
        <v/>
      </c>
    </row>
    <row r="646" spans="1:18" x14ac:dyDescent="0.25">
      <c r="A646">
        <f>ROW()</f>
        <v>646</v>
      </c>
      <c r="D646" t="s">
        <v>401</v>
      </c>
      <c r="H646">
        <v>-32513789</v>
      </c>
      <c r="J646" t="str">
        <f>IF(A646&lt;WORKSHEET!$R$2,WORKSHEET!$C$2,IF(B646="Air Waybill Number",C646,J645))</f>
        <v>773550803405</v>
      </c>
      <c r="K646" t="str">
        <f t="shared" si="80"/>
        <v>870091402</v>
      </c>
      <c r="L646" t="str">
        <f t="shared" si="81"/>
        <v>20 Dec 2023</v>
      </c>
      <c r="M646" t="str">
        <f t="shared" si="82"/>
        <v/>
      </c>
      <c r="N646" t="str">
        <f t="shared" si="83"/>
        <v>09/27/2023</v>
      </c>
      <c r="O646" t="str">
        <f t="shared" si="84"/>
        <v/>
      </c>
      <c r="P646" t="str">
        <f t="shared" si="85"/>
        <v/>
      </c>
      <c r="Q646" t="str">
        <f t="shared" si="86"/>
        <v/>
      </c>
      <c r="R646" t="str">
        <f t="shared" si="87"/>
        <v/>
      </c>
    </row>
    <row r="647" spans="1:18" x14ac:dyDescent="0.25">
      <c r="A647">
        <f>ROW()</f>
        <v>647</v>
      </c>
      <c r="B647" t="s">
        <v>603</v>
      </c>
      <c r="C647" t="s">
        <v>604</v>
      </c>
      <c r="D647" t="s">
        <v>402</v>
      </c>
      <c r="H647">
        <v>2724868</v>
      </c>
      <c r="J647" t="str">
        <f>IF(A647&lt;WORKSHEET!$R$2,WORKSHEET!$C$2,IF(B647="Air Waybill Number",C647,J646))</f>
        <v>773550803405</v>
      </c>
      <c r="K647" t="str">
        <f t="shared" si="80"/>
        <v>870091402</v>
      </c>
      <c r="L647" t="str">
        <f t="shared" si="81"/>
        <v>20 Dec 2023</v>
      </c>
      <c r="M647" t="str">
        <f t="shared" si="82"/>
        <v/>
      </c>
      <c r="N647" t="str">
        <f t="shared" si="83"/>
        <v>09/27/2023</v>
      </c>
      <c r="O647" t="str">
        <f t="shared" si="84"/>
        <v/>
      </c>
      <c r="P647" t="str">
        <f t="shared" si="85"/>
        <v/>
      </c>
      <c r="Q647" t="str">
        <f t="shared" si="86"/>
        <v/>
      </c>
      <c r="R647" t="str">
        <f t="shared" si="87"/>
        <v/>
      </c>
    </row>
    <row r="648" spans="1:18" x14ac:dyDescent="0.25">
      <c r="A648">
        <f>ROW()</f>
        <v>648</v>
      </c>
      <c r="D648" t="s">
        <v>254</v>
      </c>
      <c r="F648" t="s">
        <v>260</v>
      </c>
      <c r="H648">
        <v>1936000</v>
      </c>
      <c r="J648" t="str">
        <f>IF(A648&lt;WORKSHEET!$R$2,WORKSHEET!$C$2,IF(B648="Air Waybill Number",C648,J647))</f>
        <v>773550803405</v>
      </c>
      <c r="K648" t="str">
        <f t="shared" si="80"/>
        <v>870091402</v>
      </c>
      <c r="L648" t="str">
        <f t="shared" si="81"/>
        <v>20 Dec 2023</v>
      </c>
      <c r="M648" t="str">
        <f t="shared" si="82"/>
        <v/>
      </c>
      <c r="N648" t="str">
        <f t="shared" si="83"/>
        <v>09/27/2023</v>
      </c>
      <c r="O648" t="str">
        <f t="shared" si="84"/>
        <v/>
      </c>
      <c r="P648" t="str">
        <f t="shared" si="85"/>
        <v/>
      </c>
      <c r="Q648" t="str">
        <f t="shared" si="86"/>
        <v/>
      </c>
      <c r="R648" t="str">
        <f t="shared" si="87"/>
        <v/>
      </c>
    </row>
    <row r="649" spans="1:18" x14ac:dyDescent="0.25">
      <c r="A649">
        <f>ROW()</f>
        <v>649</v>
      </c>
      <c r="D649" t="s">
        <v>261</v>
      </c>
      <c r="H649">
        <v>122199</v>
      </c>
      <c r="J649" t="str">
        <f>IF(A649&lt;WORKSHEET!$R$2,WORKSHEET!$C$2,IF(B649="Air Waybill Number",C649,J648))</f>
        <v>773550803405</v>
      </c>
      <c r="K649" t="str">
        <f t="shared" si="80"/>
        <v>870091402</v>
      </c>
      <c r="L649" t="str">
        <f t="shared" si="81"/>
        <v>20 Dec 2023</v>
      </c>
      <c r="M649" t="str">
        <f t="shared" si="82"/>
        <v/>
      </c>
      <c r="N649" t="str">
        <f t="shared" si="83"/>
        <v>09/27/2023</v>
      </c>
      <c r="O649" t="str">
        <f t="shared" si="84"/>
        <v/>
      </c>
      <c r="P649" t="str">
        <f t="shared" si="85"/>
        <v/>
      </c>
      <c r="Q649" t="str">
        <f t="shared" si="86"/>
        <v/>
      </c>
      <c r="R649" t="str">
        <f t="shared" si="87"/>
        <v/>
      </c>
    </row>
    <row r="650" spans="1:18" x14ac:dyDescent="0.25">
      <c r="A650">
        <f>ROW()</f>
        <v>650</v>
      </c>
      <c r="D650" t="s">
        <v>14</v>
      </c>
      <c r="H650">
        <v>11231278</v>
      </c>
      <c r="J650" t="str">
        <f>IF(A650&lt;WORKSHEET!$R$2,WORKSHEET!$C$2,IF(B650="Air Waybill Number",C650,J649))</f>
        <v>773550803405</v>
      </c>
      <c r="K650" t="str">
        <f t="shared" si="80"/>
        <v>870091402</v>
      </c>
      <c r="L650" t="str">
        <f t="shared" si="81"/>
        <v>20 Dec 2023</v>
      </c>
      <c r="M650" t="str">
        <f t="shared" si="82"/>
        <v/>
      </c>
      <c r="N650" t="str">
        <f t="shared" si="83"/>
        <v>09/27/2023</v>
      </c>
      <c r="O650" t="str">
        <f t="shared" si="84"/>
        <v/>
      </c>
      <c r="P650" t="str">
        <f t="shared" si="85"/>
        <v/>
      </c>
      <c r="Q650" t="str">
        <f t="shared" si="86"/>
        <v/>
      </c>
      <c r="R650" t="str">
        <f t="shared" si="87"/>
        <v/>
      </c>
    </row>
    <row r="651" spans="1:18" x14ac:dyDescent="0.25">
      <c r="A651">
        <f>ROW()</f>
        <v>651</v>
      </c>
      <c r="D651" t="s">
        <v>605</v>
      </c>
      <c r="J651" t="str">
        <f>IF(A651&lt;WORKSHEET!$R$2,WORKSHEET!$C$2,IF(B651="Air Waybill Number",C651,J650))</f>
        <v>773550803405</v>
      </c>
      <c r="K651" t="str">
        <f t="shared" si="80"/>
        <v>870091402</v>
      </c>
      <c r="L651" t="str">
        <f t="shared" si="81"/>
        <v>20 Dec 2023</v>
      </c>
      <c r="M651" t="str">
        <f t="shared" si="82"/>
        <v/>
      </c>
      <c r="N651" t="str">
        <f t="shared" si="83"/>
        <v>09/27/2023</v>
      </c>
      <c r="O651" t="str">
        <f t="shared" si="84"/>
        <v/>
      </c>
      <c r="P651" t="str">
        <f t="shared" si="85"/>
        <v/>
      </c>
      <c r="Q651" t="str">
        <f t="shared" si="86"/>
        <v/>
      </c>
      <c r="R651" t="str">
        <f t="shared" si="87"/>
        <v/>
      </c>
    </row>
    <row r="652" spans="1:18" x14ac:dyDescent="0.25">
      <c r="A652">
        <f>ROW()</f>
        <v>652</v>
      </c>
      <c r="B652" t="s">
        <v>403</v>
      </c>
      <c r="J652" t="str">
        <f>IF(A652&lt;WORKSHEET!$R$2,WORKSHEET!$C$2,IF(B652="Air Waybill Number",C652,J651))</f>
        <v>773550803405</v>
      </c>
      <c r="K652" t="str">
        <f t="shared" si="80"/>
        <v>870091402</v>
      </c>
      <c r="L652" t="str">
        <f t="shared" si="81"/>
        <v>20 Dec 2023</v>
      </c>
      <c r="M652" t="str">
        <f t="shared" si="82"/>
        <v/>
      </c>
      <c r="N652" t="str">
        <f t="shared" si="83"/>
        <v>09/27/2023</v>
      </c>
      <c r="O652" t="str">
        <f t="shared" si="84"/>
        <v/>
      </c>
      <c r="P652" t="str">
        <f t="shared" si="85"/>
        <v/>
      </c>
      <c r="Q652" t="str">
        <f t="shared" si="86"/>
        <v/>
      </c>
      <c r="R652" t="str">
        <f t="shared" si="87"/>
        <v/>
      </c>
    </row>
    <row r="653" spans="1:18" x14ac:dyDescent="0.25">
      <c r="A653">
        <f>ROW()</f>
        <v>653</v>
      </c>
      <c r="B653" t="s">
        <v>404</v>
      </c>
      <c r="C653" t="s">
        <v>405</v>
      </c>
      <c r="D653" t="s">
        <v>406</v>
      </c>
      <c r="E653" t="s">
        <v>404</v>
      </c>
      <c r="F653" t="s">
        <v>405</v>
      </c>
      <c r="G653" t="s">
        <v>406</v>
      </c>
      <c r="J653" t="str">
        <f>IF(A653&lt;WORKSHEET!$R$2,WORKSHEET!$C$2,IF(B653="Air Waybill Number",C653,J652))</f>
        <v>773550803405</v>
      </c>
      <c r="K653" t="str">
        <f t="shared" si="80"/>
        <v>870091402</v>
      </c>
      <c r="L653" t="str">
        <f t="shared" si="81"/>
        <v>20 Dec 2023</v>
      </c>
      <c r="M653" t="str">
        <f t="shared" si="82"/>
        <v/>
      </c>
      <c r="N653" t="str">
        <f t="shared" si="83"/>
        <v>09/27/2023</v>
      </c>
      <c r="O653" t="str">
        <f t="shared" si="84"/>
        <v/>
      </c>
      <c r="P653" t="str">
        <f t="shared" si="85"/>
        <v/>
      </c>
      <c r="Q653" t="str">
        <f t="shared" si="86"/>
        <v/>
      </c>
      <c r="R653" t="str">
        <f t="shared" si="87"/>
        <v/>
      </c>
    </row>
    <row r="654" spans="1:18" x14ac:dyDescent="0.25">
      <c r="A654">
        <f>ROW()</f>
        <v>654</v>
      </c>
      <c r="B654" t="s">
        <v>132</v>
      </c>
      <c r="C654" t="s">
        <v>606</v>
      </c>
      <c r="D654" t="s">
        <v>408</v>
      </c>
      <c r="E654" t="s">
        <v>607</v>
      </c>
      <c r="F654" t="s">
        <v>608</v>
      </c>
      <c r="G654" t="s">
        <v>408</v>
      </c>
      <c r="J654" t="str">
        <f>IF(A654&lt;WORKSHEET!$R$2,WORKSHEET!$C$2,IF(B654="Air Waybill Number",C654,J653))</f>
        <v>773550803405</v>
      </c>
      <c r="K654" t="str">
        <f t="shared" si="80"/>
        <v>870091402</v>
      </c>
      <c r="L654" t="str">
        <f t="shared" si="81"/>
        <v>20 Dec 2023</v>
      </c>
      <c r="M654" t="str">
        <f t="shared" si="82"/>
        <v/>
      </c>
      <c r="N654" t="str">
        <f t="shared" si="83"/>
        <v>09/27/2023</v>
      </c>
      <c r="O654" t="str">
        <f t="shared" si="84"/>
        <v/>
      </c>
      <c r="P654" t="str">
        <f t="shared" si="85"/>
        <v/>
      </c>
      <c r="Q654" t="str">
        <f t="shared" si="86"/>
        <v/>
      </c>
      <c r="R654" t="str">
        <f t="shared" si="87"/>
        <v/>
      </c>
    </row>
    <row r="655" spans="1:18" x14ac:dyDescent="0.25">
      <c r="A655">
        <f>ROW()</f>
        <v>655</v>
      </c>
      <c r="B655" t="s">
        <v>609</v>
      </c>
      <c r="C655" t="s">
        <v>610</v>
      </c>
      <c r="D655" t="s">
        <v>408</v>
      </c>
      <c r="E655" t="s">
        <v>611</v>
      </c>
      <c r="F655" t="s">
        <v>612</v>
      </c>
      <c r="G655" t="s">
        <v>408</v>
      </c>
      <c r="J655" t="str">
        <f>IF(A655&lt;WORKSHEET!$R$2,WORKSHEET!$C$2,IF(B655="Air Waybill Number",C655,J654))</f>
        <v>773550803405</v>
      </c>
      <c r="K655" t="str">
        <f t="shared" si="80"/>
        <v>870091402</v>
      </c>
      <c r="L655" t="str">
        <f t="shared" si="81"/>
        <v>20 Dec 2023</v>
      </c>
      <c r="M655" t="str">
        <f t="shared" si="82"/>
        <v/>
      </c>
      <c r="N655" t="str">
        <f t="shared" si="83"/>
        <v>09/27/2023</v>
      </c>
      <c r="O655" t="str">
        <f t="shared" si="84"/>
        <v/>
      </c>
      <c r="P655" t="str">
        <f t="shared" si="85"/>
        <v/>
      </c>
      <c r="Q655" t="str">
        <f t="shared" si="86"/>
        <v/>
      </c>
      <c r="R655" t="str">
        <f t="shared" si="87"/>
        <v/>
      </c>
    </row>
    <row r="656" spans="1:18" x14ac:dyDescent="0.25">
      <c r="A656">
        <f>ROW()</f>
        <v>656</v>
      </c>
      <c r="B656" t="s">
        <v>613</v>
      </c>
      <c r="C656" t="s">
        <v>614</v>
      </c>
      <c r="D656" t="s">
        <v>408</v>
      </c>
      <c r="E656" t="s">
        <v>615</v>
      </c>
      <c r="F656" t="s">
        <v>616</v>
      </c>
      <c r="G656" t="s">
        <v>408</v>
      </c>
      <c r="J656" t="str">
        <f>IF(A656&lt;WORKSHEET!$R$2,WORKSHEET!$C$2,IF(B656="Air Waybill Number",C656,J655))</f>
        <v>773550803405</v>
      </c>
      <c r="K656" t="str">
        <f t="shared" si="80"/>
        <v>870091402</v>
      </c>
      <c r="L656" t="str">
        <f t="shared" si="81"/>
        <v>20 Dec 2023</v>
      </c>
      <c r="M656" t="str">
        <f t="shared" si="82"/>
        <v/>
      </c>
      <c r="N656" t="str">
        <f t="shared" si="83"/>
        <v>09/27/2023</v>
      </c>
      <c r="O656" t="str">
        <f t="shared" si="84"/>
        <v/>
      </c>
      <c r="P656" t="str">
        <f t="shared" si="85"/>
        <v/>
      </c>
      <c r="Q656" t="str">
        <f t="shared" si="86"/>
        <v/>
      </c>
      <c r="R656" t="str">
        <f t="shared" si="87"/>
        <v/>
      </c>
    </row>
    <row r="657" spans="1:18" x14ac:dyDescent="0.25">
      <c r="A657">
        <f>ROW()</f>
        <v>657</v>
      </c>
      <c r="B657" t="s">
        <v>617</v>
      </c>
      <c r="C657" t="s">
        <v>618</v>
      </c>
      <c r="D657" t="s">
        <v>408</v>
      </c>
      <c r="J657" t="str">
        <f>IF(A657&lt;WORKSHEET!$R$2,WORKSHEET!$C$2,IF(B657="Air Waybill Number",C657,J656))</f>
        <v>773550803405</v>
      </c>
      <c r="K657" t="str">
        <f t="shared" si="80"/>
        <v>870091402</v>
      </c>
      <c r="L657" t="str">
        <f t="shared" si="81"/>
        <v>20 Dec 2023</v>
      </c>
      <c r="M657" t="str">
        <f t="shared" si="82"/>
        <v/>
      </c>
      <c r="N657" t="str">
        <f t="shared" si="83"/>
        <v>09/27/2023</v>
      </c>
      <c r="O657" t="str">
        <f t="shared" si="84"/>
        <v/>
      </c>
      <c r="P657" t="str">
        <f t="shared" si="85"/>
        <v/>
      </c>
      <c r="Q657" t="str">
        <f t="shared" si="86"/>
        <v/>
      </c>
      <c r="R657" t="str">
        <f t="shared" si="87"/>
        <v/>
      </c>
    </row>
    <row r="658" spans="1:18" x14ac:dyDescent="0.25">
      <c r="A658">
        <f>ROW()</f>
        <v>658</v>
      </c>
      <c r="B658" t="s">
        <v>226</v>
      </c>
      <c r="C658" t="s">
        <v>619</v>
      </c>
      <c r="D658" t="s">
        <v>335</v>
      </c>
      <c r="F658" t="s">
        <v>229</v>
      </c>
      <c r="J658" t="str">
        <f>IF(A658&lt;WORKSHEET!$R$2,WORKSHEET!$C$2,IF(B658="Air Waybill Number",C658,J657))</f>
        <v>773550803405</v>
      </c>
      <c r="K658" t="str">
        <f t="shared" si="80"/>
        <v>870091402</v>
      </c>
      <c r="L658" t="str">
        <f t="shared" si="81"/>
        <v>20 Dec 2023</v>
      </c>
      <c r="M658" t="str">
        <f t="shared" si="82"/>
        <v/>
      </c>
      <c r="N658" t="str">
        <f t="shared" si="83"/>
        <v>12/06/2023</v>
      </c>
      <c r="O658" t="str">
        <f t="shared" si="84"/>
        <v>FION LEUNG</v>
      </c>
      <c r="P658" t="str">
        <f t="shared" si="85"/>
        <v>J-LONG LTD</v>
      </c>
      <c r="Q658" t="str">
        <f t="shared" si="86"/>
        <v>SRI/NUNING</v>
      </c>
      <c r="R658" t="str">
        <f t="shared" si="87"/>
        <v>P.T. GISTEX GARMEN INDONESIA</v>
      </c>
    </row>
    <row r="659" spans="1:18" x14ac:dyDescent="0.25">
      <c r="A659">
        <f>ROW()</f>
        <v>659</v>
      </c>
      <c r="B659" t="s">
        <v>232</v>
      </c>
      <c r="C659" t="s">
        <v>134</v>
      </c>
      <c r="D659" t="s">
        <v>52</v>
      </c>
      <c r="F659" t="s">
        <v>135</v>
      </c>
      <c r="J659" t="str">
        <f>IF(A659&lt;WORKSHEET!$R$2,WORKSHEET!$C$2,IF(B659="Air Waybill Number",C659,J658))</f>
        <v>774365555030</v>
      </c>
      <c r="K659" t="str">
        <f t="shared" si="80"/>
        <v>870091402</v>
      </c>
      <c r="L659" t="str">
        <f t="shared" si="81"/>
        <v>20 Dec 2023</v>
      </c>
      <c r="M659" t="str">
        <f t="shared" si="82"/>
        <v>774365555030-1</v>
      </c>
      <c r="N659" t="str">
        <f t="shared" si="83"/>
        <v>12/06/2023</v>
      </c>
      <c r="O659" t="str">
        <f t="shared" si="84"/>
        <v/>
      </c>
      <c r="P659" t="str">
        <f t="shared" si="85"/>
        <v/>
      </c>
      <c r="Q659" t="str">
        <f t="shared" si="86"/>
        <v/>
      </c>
      <c r="R659" t="str">
        <f t="shared" si="87"/>
        <v/>
      </c>
    </row>
    <row r="660" spans="1:18" x14ac:dyDescent="0.25">
      <c r="A660">
        <f>ROW()</f>
        <v>660</v>
      </c>
      <c r="B660" t="s">
        <v>233</v>
      </c>
      <c r="C660" t="s">
        <v>322</v>
      </c>
      <c r="D660" t="s">
        <v>54</v>
      </c>
      <c r="F660" t="s">
        <v>77</v>
      </c>
      <c r="J660" t="str">
        <f>IF(A660&lt;WORKSHEET!$R$2,WORKSHEET!$C$2,IF(B660="Air Waybill Number",C660,J659))</f>
        <v>774365555030</v>
      </c>
      <c r="K660" t="str">
        <f t="shared" si="80"/>
        <v>870091402</v>
      </c>
      <c r="L660" t="str">
        <f t="shared" si="81"/>
        <v>20 Dec 2023</v>
      </c>
      <c r="M660" t="str">
        <f t="shared" si="82"/>
        <v/>
      </c>
      <c r="N660" t="str">
        <f t="shared" si="83"/>
        <v>12/06/2023</v>
      </c>
      <c r="O660" t="str">
        <f t="shared" si="84"/>
        <v/>
      </c>
      <c r="P660" t="str">
        <f t="shared" si="85"/>
        <v/>
      </c>
      <c r="Q660" t="str">
        <f t="shared" si="86"/>
        <v/>
      </c>
      <c r="R660" t="str">
        <f t="shared" si="87"/>
        <v/>
      </c>
    </row>
    <row r="661" spans="1:18" x14ac:dyDescent="0.25">
      <c r="A661">
        <f>ROW()</f>
        <v>661</v>
      </c>
      <c r="B661" t="s">
        <v>237</v>
      </c>
      <c r="C661" t="s">
        <v>620</v>
      </c>
      <c r="D661" t="s">
        <v>336</v>
      </c>
      <c r="F661" t="s">
        <v>337</v>
      </c>
      <c r="J661" t="str">
        <f>IF(A661&lt;WORKSHEET!$R$2,WORKSHEET!$C$2,IF(B661="Air Waybill Number",C661,J660))</f>
        <v>774365555030</v>
      </c>
      <c r="K661" t="str">
        <f t="shared" si="80"/>
        <v>870091402</v>
      </c>
      <c r="L661" t="str">
        <f t="shared" si="81"/>
        <v>20 Dec 2023</v>
      </c>
      <c r="M661" t="str">
        <f t="shared" si="82"/>
        <v/>
      </c>
      <c r="N661" t="str">
        <f t="shared" si="83"/>
        <v>12/06/2023</v>
      </c>
      <c r="O661" t="str">
        <f t="shared" si="84"/>
        <v/>
      </c>
      <c r="P661" t="str">
        <f t="shared" si="85"/>
        <v/>
      </c>
      <c r="Q661" t="str">
        <f t="shared" si="86"/>
        <v/>
      </c>
      <c r="R661" t="str">
        <f t="shared" si="87"/>
        <v/>
      </c>
    </row>
    <row r="662" spans="1:18" x14ac:dyDescent="0.25">
      <c r="A662">
        <f>ROW()</f>
        <v>662</v>
      </c>
      <c r="B662" t="s">
        <v>241</v>
      </c>
      <c r="C662" t="s">
        <v>621</v>
      </c>
      <c r="D662" t="s">
        <v>339</v>
      </c>
      <c r="F662" t="s">
        <v>340</v>
      </c>
      <c r="J662" t="str">
        <f>IF(A662&lt;WORKSHEET!$R$2,WORKSHEET!$C$2,IF(B662="Air Waybill Number",C662,J661))</f>
        <v>774365555030</v>
      </c>
      <c r="K662" t="str">
        <f t="shared" si="80"/>
        <v>870091402</v>
      </c>
      <c r="L662" t="str">
        <f t="shared" si="81"/>
        <v>20 Dec 2023</v>
      </c>
      <c r="M662" t="str">
        <f t="shared" si="82"/>
        <v/>
      </c>
      <c r="N662" t="str">
        <f t="shared" si="83"/>
        <v>12/06/2023</v>
      </c>
      <c r="O662" t="str">
        <f t="shared" si="84"/>
        <v/>
      </c>
      <c r="P662" t="str">
        <f t="shared" si="85"/>
        <v/>
      </c>
      <c r="Q662" t="str">
        <f t="shared" si="86"/>
        <v/>
      </c>
      <c r="R662" t="str">
        <f t="shared" si="87"/>
        <v/>
      </c>
    </row>
    <row r="663" spans="1:18" x14ac:dyDescent="0.25">
      <c r="A663">
        <f>ROW()</f>
        <v>663</v>
      </c>
      <c r="B663" t="s">
        <v>245</v>
      </c>
      <c r="C663" t="s">
        <v>246</v>
      </c>
      <c r="D663" t="s">
        <v>342</v>
      </c>
      <c r="E663" t="s">
        <v>343</v>
      </c>
      <c r="F663" t="s">
        <v>243</v>
      </c>
      <c r="G663" t="s">
        <v>244</v>
      </c>
      <c r="J663" t="str">
        <f>IF(A663&lt;WORKSHEET!$R$2,WORKSHEET!$C$2,IF(B663="Air Waybill Number",C663,J662))</f>
        <v>774365555030</v>
      </c>
      <c r="K663" t="str">
        <f t="shared" si="80"/>
        <v>870091402</v>
      </c>
      <c r="L663" t="str">
        <f t="shared" si="81"/>
        <v>20 Dec 2023</v>
      </c>
      <c r="M663" t="str">
        <f t="shared" si="82"/>
        <v/>
      </c>
      <c r="N663" t="str">
        <f t="shared" si="83"/>
        <v>12/06/2023</v>
      </c>
      <c r="O663" t="str">
        <f t="shared" si="84"/>
        <v/>
      </c>
      <c r="P663" t="str">
        <f t="shared" si="85"/>
        <v/>
      </c>
      <c r="Q663" t="str">
        <f t="shared" si="86"/>
        <v/>
      </c>
      <c r="R663" t="str">
        <f t="shared" si="87"/>
        <v/>
      </c>
    </row>
    <row r="664" spans="1:18" x14ac:dyDescent="0.25">
      <c r="A664">
        <f>ROW()</f>
        <v>664</v>
      </c>
      <c r="B664" t="s">
        <v>419</v>
      </c>
      <c r="C664" t="s">
        <v>622</v>
      </c>
      <c r="D664" t="s">
        <v>248</v>
      </c>
      <c r="H664">
        <v>20368000</v>
      </c>
      <c r="J664" t="str">
        <f>IF(A664&lt;WORKSHEET!$R$2,WORKSHEET!$C$2,IF(B664="Air Waybill Number",C664,J663))</f>
        <v>774365555030</v>
      </c>
      <c r="K664" t="str">
        <f t="shared" si="80"/>
        <v>870091402</v>
      </c>
      <c r="L664" t="str">
        <f t="shared" si="81"/>
        <v>20 Dec 2023</v>
      </c>
      <c r="M664" t="str">
        <f t="shared" si="82"/>
        <v/>
      </c>
      <c r="N664" t="str">
        <f t="shared" si="83"/>
        <v>12/06/2023</v>
      </c>
      <c r="O664" t="str">
        <f t="shared" si="84"/>
        <v/>
      </c>
      <c r="P664" t="str">
        <f t="shared" si="85"/>
        <v/>
      </c>
      <c r="Q664" t="str">
        <f t="shared" si="86"/>
        <v/>
      </c>
      <c r="R664" t="str">
        <f t="shared" si="87"/>
        <v/>
      </c>
    </row>
    <row r="665" spans="1:18" x14ac:dyDescent="0.25">
      <c r="A665">
        <f>ROW()</f>
        <v>665</v>
      </c>
      <c r="C665" t="s">
        <v>288</v>
      </c>
      <c r="D665" t="s">
        <v>251</v>
      </c>
      <c r="E665" t="s">
        <v>252</v>
      </c>
      <c r="H665">
        <v>-16033689</v>
      </c>
      <c r="J665" t="str">
        <f>IF(A665&lt;WORKSHEET!$R$2,WORKSHEET!$C$2,IF(B665="Air Waybill Number",C665,J664))</f>
        <v>774365555030</v>
      </c>
      <c r="K665" t="str">
        <f t="shared" si="80"/>
        <v>870091402</v>
      </c>
      <c r="L665" t="str">
        <f t="shared" si="81"/>
        <v>20 Dec 2023</v>
      </c>
      <c r="M665" t="str">
        <f t="shared" si="82"/>
        <v/>
      </c>
      <c r="N665" t="str">
        <f t="shared" si="83"/>
        <v>12/06/2023</v>
      </c>
      <c r="O665" t="str">
        <f t="shared" si="84"/>
        <v/>
      </c>
      <c r="P665" t="str">
        <f t="shared" si="85"/>
        <v/>
      </c>
      <c r="Q665" t="str">
        <f t="shared" si="86"/>
        <v/>
      </c>
      <c r="R665" t="str">
        <f t="shared" si="87"/>
        <v/>
      </c>
    </row>
    <row r="666" spans="1:18" x14ac:dyDescent="0.25">
      <c r="A666">
        <f>ROW()</f>
        <v>666</v>
      </c>
      <c r="D666" t="s">
        <v>254</v>
      </c>
      <c r="F666" t="s">
        <v>258</v>
      </c>
      <c r="H666">
        <v>380000</v>
      </c>
      <c r="J666" t="str">
        <f>IF(A666&lt;WORKSHEET!$R$2,WORKSHEET!$C$2,IF(B666="Air Waybill Number",C666,J665))</f>
        <v>774365555030</v>
      </c>
      <c r="K666" t="str">
        <f t="shared" si="80"/>
        <v>870091402</v>
      </c>
      <c r="L666" t="str">
        <f t="shared" si="81"/>
        <v>20 Dec 2023</v>
      </c>
      <c r="M666" t="str">
        <f t="shared" si="82"/>
        <v/>
      </c>
      <c r="N666" t="str">
        <f t="shared" si="83"/>
        <v>12/06/2023</v>
      </c>
      <c r="O666" t="str">
        <f t="shared" si="84"/>
        <v/>
      </c>
      <c r="P666" t="str">
        <f t="shared" si="85"/>
        <v/>
      </c>
      <c r="Q666" t="str">
        <f t="shared" si="86"/>
        <v/>
      </c>
      <c r="R666" t="str">
        <f t="shared" si="87"/>
        <v/>
      </c>
    </row>
    <row r="667" spans="1:18" x14ac:dyDescent="0.25">
      <c r="A667">
        <f>ROW()</f>
        <v>667</v>
      </c>
      <c r="D667" t="s">
        <v>254</v>
      </c>
      <c r="E667" t="s">
        <v>12</v>
      </c>
      <c r="H667">
        <v>1749441</v>
      </c>
      <c r="J667" t="str">
        <f>IF(A667&lt;WORKSHEET!$R$2,WORKSHEET!$C$2,IF(B667="Air Waybill Number",C667,J666))</f>
        <v>774365555030</v>
      </c>
      <c r="K667" t="str">
        <f t="shared" si="80"/>
        <v>870091402</v>
      </c>
      <c r="L667" t="str">
        <f t="shared" si="81"/>
        <v>20 Dec 2023</v>
      </c>
      <c r="M667" t="str">
        <f t="shared" si="82"/>
        <v/>
      </c>
      <c r="N667" t="str">
        <f t="shared" si="83"/>
        <v>12/06/2023</v>
      </c>
      <c r="O667" t="str">
        <f t="shared" si="84"/>
        <v/>
      </c>
      <c r="P667" t="str">
        <f t="shared" si="85"/>
        <v/>
      </c>
      <c r="Q667" t="str">
        <f t="shared" si="86"/>
        <v/>
      </c>
      <c r="R667" t="str">
        <f t="shared" si="87"/>
        <v/>
      </c>
    </row>
    <row r="668" spans="1:18" x14ac:dyDescent="0.25">
      <c r="A668">
        <f>ROW()</f>
        <v>668</v>
      </c>
      <c r="D668" t="s">
        <v>254</v>
      </c>
      <c r="F668" t="s">
        <v>260</v>
      </c>
      <c r="H668">
        <v>1216000</v>
      </c>
      <c r="J668" t="str">
        <f>IF(A668&lt;WORKSHEET!$R$2,WORKSHEET!$C$2,IF(B668="Air Waybill Number",C668,J667))</f>
        <v>774365555030</v>
      </c>
      <c r="K668" t="str">
        <f t="shared" si="80"/>
        <v>870091402</v>
      </c>
      <c r="L668" t="str">
        <f t="shared" si="81"/>
        <v>20 Dec 2023</v>
      </c>
      <c r="M668" t="str">
        <f t="shared" si="82"/>
        <v/>
      </c>
      <c r="N668" t="str">
        <f t="shared" si="83"/>
        <v>12/06/2023</v>
      </c>
      <c r="O668" t="str">
        <f t="shared" si="84"/>
        <v/>
      </c>
      <c r="P668" t="str">
        <f t="shared" si="85"/>
        <v/>
      </c>
      <c r="Q668" t="str">
        <f t="shared" si="86"/>
        <v/>
      </c>
      <c r="R668" t="str">
        <f t="shared" si="87"/>
        <v/>
      </c>
    </row>
    <row r="669" spans="1:18" x14ac:dyDescent="0.25">
      <c r="A669">
        <f>ROW()</f>
        <v>669</v>
      </c>
      <c r="D669" t="s">
        <v>261</v>
      </c>
      <c r="H669">
        <v>84477</v>
      </c>
      <c r="J669" t="str">
        <f>IF(A669&lt;WORKSHEET!$R$2,WORKSHEET!$C$2,IF(B669="Air Waybill Number",C669,J668))</f>
        <v>774365555030</v>
      </c>
      <c r="K669" t="str">
        <f t="shared" si="80"/>
        <v>870091402</v>
      </c>
      <c r="L669" t="str">
        <f t="shared" si="81"/>
        <v>20 Dec 2023</v>
      </c>
      <c r="M669" t="str">
        <f t="shared" si="82"/>
        <v/>
      </c>
      <c r="N669" t="str">
        <f t="shared" si="83"/>
        <v>12/06/2023</v>
      </c>
      <c r="O669" t="str">
        <f t="shared" si="84"/>
        <v/>
      </c>
      <c r="P669" t="str">
        <f t="shared" si="85"/>
        <v/>
      </c>
      <c r="Q669" t="str">
        <f t="shared" si="86"/>
        <v/>
      </c>
      <c r="R669" t="str">
        <f t="shared" si="87"/>
        <v/>
      </c>
    </row>
    <row r="670" spans="1:18" x14ac:dyDescent="0.25">
      <c r="A670">
        <f>ROW()</f>
        <v>670</v>
      </c>
      <c r="D670" t="s">
        <v>14</v>
      </c>
      <c r="H670">
        <v>7764229</v>
      </c>
      <c r="J670" t="str">
        <f>IF(A670&lt;WORKSHEET!$R$2,WORKSHEET!$C$2,IF(B670="Air Waybill Number",C670,J669))</f>
        <v>774365555030</v>
      </c>
      <c r="K670" t="str">
        <f t="shared" si="80"/>
        <v>870091402</v>
      </c>
      <c r="L670" t="str">
        <f t="shared" si="81"/>
        <v>20 Dec 2023</v>
      </c>
      <c r="M670" t="str">
        <f t="shared" si="82"/>
        <v/>
      </c>
      <c r="N670" t="str">
        <f t="shared" si="83"/>
        <v>12/06/2023</v>
      </c>
      <c r="O670" t="str">
        <f t="shared" si="84"/>
        <v/>
      </c>
      <c r="P670" t="str">
        <f t="shared" si="85"/>
        <v/>
      </c>
      <c r="Q670" t="str">
        <f t="shared" si="86"/>
        <v/>
      </c>
      <c r="R670" t="str">
        <f t="shared" si="87"/>
        <v/>
      </c>
    </row>
    <row r="671" spans="1:18" x14ac:dyDescent="0.25">
      <c r="A671">
        <f>ROW()</f>
        <v>671</v>
      </c>
      <c r="D671" t="s">
        <v>540</v>
      </c>
      <c r="J671" t="str">
        <f>IF(A671&lt;WORKSHEET!$R$2,WORKSHEET!$C$2,IF(B671="Air Waybill Number",C671,J670))</f>
        <v>774365555030</v>
      </c>
      <c r="K671" t="str">
        <f t="shared" si="80"/>
        <v>870091402</v>
      </c>
      <c r="L671" t="str">
        <f t="shared" si="81"/>
        <v>20 Dec 2023</v>
      </c>
      <c r="M671" t="str">
        <f t="shared" si="82"/>
        <v/>
      </c>
      <c r="N671" t="str">
        <f t="shared" si="83"/>
        <v>12/06/2023</v>
      </c>
      <c r="O671" t="str">
        <f t="shared" si="84"/>
        <v/>
      </c>
      <c r="P671" t="str">
        <f t="shared" si="85"/>
        <v/>
      </c>
      <c r="Q671" t="str">
        <f t="shared" si="86"/>
        <v/>
      </c>
      <c r="R671" t="str">
        <f t="shared" si="87"/>
        <v/>
      </c>
    </row>
    <row r="672" spans="1:18" x14ac:dyDescent="0.25">
      <c r="A672">
        <f>ROW()</f>
        <v>672</v>
      </c>
      <c r="B672" t="s">
        <v>403</v>
      </c>
      <c r="J672" t="str">
        <f>IF(A672&lt;WORKSHEET!$R$2,WORKSHEET!$C$2,IF(B672="Air Waybill Number",C672,J671))</f>
        <v>774365555030</v>
      </c>
      <c r="K672" t="str">
        <f t="shared" si="80"/>
        <v>870091402</v>
      </c>
      <c r="L672" t="str">
        <f t="shared" si="81"/>
        <v>20 Dec 2023</v>
      </c>
      <c r="M672" t="str">
        <f t="shared" si="82"/>
        <v/>
      </c>
      <c r="N672" t="str">
        <f t="shared" si="83"/>
        <v>12/06/2023</v>
      </c>
      <c r="O672" t="str">
        <f t="shared" si="84"/>
        <v/>
      </c>
      <c r="P672" t="str">
        <f t="shared" si="85"/>
        <v/>
      </c>
      <c r="Q672" t="str">
        <f t="shared" si="86"/>
        <v/>
      </c>
      <c r="R672" t="str">
        <f t="shared" si="87"/>
        <v/>
      </c>
    </row>
    <row r="673" spans="1:18" x14ac:dyDescent="0.25">
      <c r="A673">
        <f>ROW()</f>
        <v>673</v>
      </c>
      <c r="B673" t="s">
        <v>404</v>
      </c>
      <c r="C673" t="s">
        <v>405</v>
      </c>
      <c r="D673" t="s">
        <v>406</v>
      </c>
      <c r="E673" t="s">
        <v>404</v>
      </c>
      <c r="F673" t="s">
        <v>405</v>
      </c>
      <c r="G673" t="s">
        <v>406</v>
      </c>
      <c r="J673" t="str">
        <f>IF(A673&lt;WORKSHEET!$R$2,WORKSHEET!$C$2,IF(B673="Air Waybill Number",C673,J672))</f>
        <v>774365555030</v>
      </c>
      <c r="K673" t="str">
        <f t="shared" si="80"/>
        <v>870091402</v>
      </c>
      <c r="L673" t="str">
        <f t="shared" si="81"/>
        <v>20 Dec 2023</v>
      </c>
      <c r="M673" t="str">
        <f t="shared" si="82"/>
        <v/>
      </c>
      <c r="N673" t="str">
        <f t="shared" si="83"/>
        <v>12/06/2023</v>
      </c>
      <c r="O673" t="str">
        <f t="shared" si="84"/>
        <v/>
      </c>
      <c r="P673" t="str">
        <f t="shared" si="85"/>
        <v/>
      </c>
      <c r="Q673" t="str">
        <f t="shared" si="86"/>
        <v/>
      </c>
      <c r="R673" t="str">
        <f t="shared" si="87"/>
        <v/>
      </c>
    </row>
    <row r="674" spans="1:18" x14ac:dyDescent="0.25">
      <c r="A674">
        <f>ROW()</f>
        <v>674</v>
      </c>
      <c r="B674" t="s">
        <v>134</v>
      </c>
      <c r="C674" t="s">
        <v>623</v>
      </c>
      <c r="D674" t="s">
        <v>408</v>
      </c>
      <c r="E674" t="s">
        <v>624</v>
      </c>
      <c r="F674" t="s">
        <v>625</v>
      </c>
      <c r="G674" t="s">
        <v>408</v>
      </c>
      <c r="J674" t="str">
        <f>IF(A674&lt;WORKSHEET!$R$2,WORKSHEET!$C$2,IF(B674="Air Waybill Number",C674,J673))</f>
        <v>774365555030</v>
      </c>
      <c r="K674" t="str">
        <f t="shared" si="80"/>
        <v>870091402</v>
      </c>
      <c r="L674" t="str">
        <f t="shared" si="81"/>
        <v>20 Dec 2023</v>
      </c>
      <c r="M674" t="str">
        <f t="shared" si="82"/>
        <v/>
      </c>
      <c r="N674" t="str">
        <f t="shared" si="83"/>
        <v>12/06/2023</v>
      </c>
      <c r="O674" t="str">
        <f t="shared" si="84"/>
        <v/>
      </c>
      <c r="P674" t="str">
        <f t="shared" si="85"/>
        <v/>
      </c>
      <c r="Q674" t="str">
        <f t="shared" si="86"/>
        <v/>
      </c>
      <c r="R674" t="str">
        <f t="shared" si="87"/>
        <v/>
      </c>
    </row>
    <row r="675" spans="1:18" x14ac:dyDescent="0.25">
      <c r="A675">
        <f>ROW()</f>
        <v>675</v>
      </c>
      <c r="B675" t="s">
        <v>626</v>
      </c>
      <c r="C675" t="s">
        <v>625</v>
      </c>
      <c r="D675" t="s">
        <v>408</v>
      </c>
      <c r="J675" t="str">
        <f>IF(A675&lt;WORKSHEET!$R$2,WORKSHEET!$C$2,IF(B675="Air Waybill Number",C675,J674))</f>
        <v>774365555030</v>
      </c>
      <c r="K675" t="str">
        <f t="shared" si="80"/>
        <v>870091402</v>
      </c>
      <c r="L675" t="str">
        <f t="shared" si="81"/>
        <v>20 Dec 2023</v>
      </c>
      <c r="M675" t="str">
        <f t="shared" si="82"/>
        <v/>
      </c>
      <c r="N675" t="str">
        <f t="shared" si="83"/>
        <v>12/06/2023</v>
      </c>
      <c r="O675" t="str">
        <f t="shared" si="84"/>
        <v/>
      </c>
      <c r="P675" t="str">
        <f t="shared" si="85"/>
        <v/>
      </c>
      <c r="Q675" t="str">
        <f t="shared" si="86"/>
        <v/>
      </c>
      <c r="R675" t="str">
        <f t="shared" si="87"/>
        <v/>
      </c>
    </row>
    <row r="676" spans="1:18" x14ac:dyDescent="0.25">
      <c r="A676">
        <f>ROW()</f>
        <v>676</v>
      </c>
      <c r="B676" t="s">
        <v>226</v>
      </c>
      <c r="C676" t="s">
        <v>563</v>
      </c>
      <c r="D676" t="s">
        <v>392</v>
      </c>
      <c r="F676" t="s">
        <v>229</v>
      </c>
      <c r="J676" t="str">
        <f>IF(A676&lt;WORKSHEET!$R$2,WORKSHEET!$C$2,IF(B676="Air Waybill Number",C676,J675))</f>
        <v>774365555030</v>
      </c>
      <c r="K676" t="str">
        <f t="shared" si="80"/>
        <v>870091402</v>
      </c>
      <c r="L676" t="str">
        <f t="shared" si="81"/>
        <v>20 Dec 2023</v>
      </c>
      <c r="M676" t="str">
        <f t="shared" si="82"/>
        <v/>
      </c>
      <c r="N676" t="str">
        <f t="shared" si="83"/>
        <v>12/07/2023</v>
      </c>
      <c r="O676" t="str">
        <f t="shared" si="84"/>
        <v>HANFRIEND COLTD</v>
      </c>
      <c r="P676">
        <f t="shared" si="85"/>
        <v>0</v>
      </c>
      <c r="Q676" t="str">
        <f t="shared" si="86"/>
        <v>ULI</v>
      </c>
      <c r="R676" t="str">
        <f t="shared" si="87"/>
        <v>PT. GISTEX GARMEN INDONESIA II</v>
      </c>
    </row>
    <row r="677" spans="1:18" x14ac:dyDescent="0.25">
      <c r="A677">
        <f>ROW()</f>
        <v>677</v>
      </c>
      <c r="B677" t="s">
        <v>232</v>
      </c>
      <c r="C677" t="s">
        <v>122</v>
      </c>
      <c r="D677" t="s">
        <v>71</v>
      </c>
      <c r="F677" t="s">
        <v>72</v>
      </c>
      <c r="J677" t="str">
        <f>IF(A677&lt;WORKSHEET!$R$2,WORKSHEET!$C$2,IF(B677="Air Waybill Number",C677,J676))</f>
        <v>774381618321</v>
      </c>
      <c r="K677" t="str">
        <f t="shared" si="80"/>
        <v>870091402</v>
      </c>
      <c r="L677" t="str">
        <f t="shared" si="81"/>
        <v>20 Dec 2023</v>
      </c>
      <c r="M677" t="str">
        <f t="shared" si="82"/>
        <v>774381618321-1</v>
      </c>
      <c r="N677" t="str">
        <f t="shared" si="83"/>
        <v>12/07/2023</v>
      </c>
      <c r="O677" t="str">
        <f t="shared" si="84"/>
        <v/>
      </c>
      <c r="P677" t="str">
        <f t="shared" si="85"/>
        <v/>
      </c>
      <c r="Q677" t="str">
        <f t="shared" si="86"/>
        <v/>
      </c>
      <c r="R677" t="str">
        <f t="shared" si="87"/>
        <v/>
      </c>
    </row>
    <row r="678" spans="1:18" x14ac:dyDescent="0.25">
      <c r="A678">
        <f>ROW()</f>
        <v>678</v>
      </c>
      <c r="B678" t="s">
        <v>233</v>
      </c>
      <c r="C678" t="s">
        <v>279</v>
      </c>
      <c r="F678" t="s">
        <v>73</v>
      </c>
      <c r="J678" t="str">
        <f>IF(A678&lt;WORKSHEET!$R$2,WORKSHEET!$C$2,IF(B678="Air Waybill Number",C678,J677))</f>
        <v>774381618321</v>
      </c>
      <c r="K678" t="str">
        <f t="shared" si="80"/>
        <v>870091402</v>
      </c>
      <c r="L678" t="str">
        <f t="shared" si="81"/>
        <v>20 Dec 2023</v>
      </c>
      <c r="M678" t="str">
        <f t="shared" si="82"/>
        <v/>
      </c>
      <c r="N678" t="str">
        <f t="shared" si="83"/>
        <v>12/07/2023</v>
      </c>
      <c r="O678" t="str">
        <f t="shared" si="84"/>
        <v/>
      </c>
      <c r="P678" t="str">
        <f t="shared" si="85"/>
        <v/>
      </c>
      <c r="Q678" t="str">
        <f t="shared" si="86"/>
        <v/>
      </c>
      <c r="R678" t="str">
        <f t="shared" si="87"/>
        <v/>
      </c>
    </row>
    <row r="679" spans="1:18" x14ac:dyDescent="0.25">
      <c r="A679">
        <f>ROW()</f>
        <v>679</v>
      </c>
      <c r="B679" t="s">
        <v>237</v>
      </c>
      <c r="C679" t="s">
        <v>238</v>
      </c>
      <c r="D679" t="s">
        <v>394</v>
      </c>
      <c r="F679" t="s">
        <v>395</v>
      </c>
      <c r="J679" t="str">
        <f>IF(A679&lt;WORKSHEET!$R$2,WORKSHEET!$C$2,IF(B679="Air Waybill Number",C679,J678))</f>
        <v>774381618321</v>
      </c>
      <c r="K679" t="str">
        <f t="shared" si="80"/>
        <v>870091402</v>
      </c>
      <c r="L679" t="str">
        <f t="shared" si="81"/>
        <v>20 Dec 2023</v>
      </c>
      <c r="M679" t="str">
        <f t="shared" si="82"/>
        <v/>
      </c>
      <c r="N679" t="str">
        <f t="shared" si="83"/>
        <v>12/07/2023</v>
      </c>
      <c r="O679" t="str">
        <f t="shared" si="84"/>
        <v/>
      </c>
      <c r="P679" t="str">
        <f t="shared" si="85"/>
        <v/>
      </c>
      <c r="Q679" t="str">
        <f t="shared" si="86"/>
        <v/>
      </c>
      <c r="R679" t="str">
        <f t="shared" si="87"/>
        <v/>
      </c>
    </row>
    <row r="680" spans="1:18" x14ac:dyDescent="0.25">
      <c r="A680">
        <f>ROW()</f>
        <v>680</v>
      </c>
      <c r="B680" t="s">
        <v>241</v>
      </c>
      <c r="C680" t="s">
        <v>564</v>
      </c>
      <c r="D680" t="s">
        <v>397</v>
      </c>
      <c r="F680" t="s">
        <v>398</v>
      </c>
      <c r="J680" t="str">
        <f>IF(A680&lt;WORKSHEET!$R$2,WORKSHEET!$C$2,IF(B680="Air Waybill Number",C680,J679))</f>
        <v>774381618321</v>
      </c>
      <c r="K680" t="str">
        <f t="shared" si="80"/>
        <v>870091402</v>
      </c>
      <c r="L680" t="str">
        <f t="shared" si="81"/>
        <v>20 Dec 2023</v>
      </c>
      <c r="M680" t="str">
        <f t="shared" si="82"/>
        <v/>
      </c>
      <c r="N680" t="str">
        <f t="shared" si="83"/>
        <v>12/07/2023</v>
      </c>
      <c r="O680" t="str">
        <f t="shared" si="84"/>
        <v/>
      </c>
      <c r="P680" t="str">
        <f t="shared" si="85"/>
        <v/>
      </c>
      <c r="Q680" t="str">
        <f t="shared" si="86"/>
        <v/>
      </c>
      <c r="R680" t="str">
        <f t="shared" si="87"/>
        <v/>
      </c>
    </row>
    <row r="681" spans="1:18" x14ac:dyDescent="0.25">
      <c r="A681">
        <f>ROW()</f>
        <v>681</v>
      </c>
      <c r="B681" t="s">
        <v>286</v>
      </c>
      <c r="C681" t="s">
        <v>246</v>
      </c>
      <c r="D681" t="s">
        <v>399</v>
      </c>
      <c r="F681" t="s">
        <v>243</v>
      </c>
      <c r="G681" t="s">
        <v>244</v>
      </c>
      <c r="J681" t="str">
        <f>IF(A681&lt;WORKSHEET!$R$2,WORKSHEET!$C$2,IF(B681="Air Waybill Number",C681,J680))</f>
        <v>774381618321</v>
      </c>
      <c r="K681" t="str">
        <f t="shared" si="80"/>
        <v>870091402</v>
      </c>
      <c r="L681" t="str">
        <f t="shared" si="81"/>
        <v>20 Dec 2023</v>
      </c>
      <c r="M681" t="str">
        <f t="shared" si="82"/>
        <v/>
      </c>
      <c r="N681" t="str">
        <f t="shared" si="83"/>
        <v>12/07/2023</v>
      </c>
      <c r="O681" t="str">
        <f t="shared" si="84"/>
        <v/>
      </c>
      <c r="P681" t="str">
        <f t="shared" si="85"/>
        <v/>
      </c>
      <c r="Q681" t="str">
        <f t="shared" si="86"/>
        <v/>
      </c>
      <c r="R681" t="str">
        <f t="shared" si="87"/>
        <v/>
      </c>
    </row>
    <row r="682" spans="1:18" x14ac:dyDescent="0.25">
      <c r="A682">
        <f>ROW()</f>
        <v>682</v>
      </c>
      <c r="B682" t="s">
        <v>249</v>
      </c>
      <c r="C682" t="s">
        <v>567</v>
      </c>
      <c r="D682" t="s">
        <v>248</v>
      </c>
      <c r="H682">
        <v>971000</v>
      </c>
      <c r="J682" t="str">
        <f>IF(A682&lt;WORKSHEET!$R$2,WORKSHEET!$C$2,IF(B682="Air Waybill Number",C682,J681))</f>
        <v>774381618321</v>
      </c>
      <c r="K682" t="str">
        <f t="shared" si="80"/>
        <v>870091402</v>
      </c>
      <c r="L682" t="str">
        <f t="shared" si="81"/>
        <v>20 Dec 2023</v>
      </c>
      <c r="M682" t="str">
        <f t="shared" si="82"/>
        <v/>
      </c>
      <c r="N682" t="str">
        <f t="shared" si="83"/>
        <v>12/07/2023</v>
      </c>
      <c r="O682" t="str">
        <f t="shared" si="84"/>
        <v/>
      </c>
      <c r="P682" t="str">
        <f t="shared" si="85"/>
        <v/>
      </c>
      <c r="Q682" t="str">
        <f t="shared" si="86"/>
        <v/>
      </c>
      <c r="R682" t="str">
        <f t="shared" si="87"/>
        <v/>
      </c>
    </row>
    <row r="683" spans="1:18" x14ac:dyDescent="0.25">
      <c r="A683">
        <f>ROW()</f>
        <v>683</v>
      </c>
      <c r="C683" t="s">
        <v>569</v>
      </c>
      <c r="D683" t="s">
        <v>401</v>
      </c>
      <c r="H683">
        <v>-669990</v>
      </c>
      <c r="J683" t="str">
        <f>IF(A683&lt;WORKSHEET!$R$2,WORKSHEET!$C$2,IF(B683="Air Waybill Number",C683,J682))</f>
        <v>774381618321</v>
      </c>
      <c r="K683" t="str">
        <f t="shared" si="80"/>
        <v>870091402</v>
      </c>
      <c r="L683" t="str">
        <f t="shared" si="81"/>
        <v>20 Dec 2023</v>
      </c>
      <c r="M683" t="str">
        <f t="shared" si="82"/>
        <v/>
      </c>
      <c r="N683" t="str">
        <f t="shared" si="83"/>
        <v>12/07/2023</v>
      </c>
      <c r="O683" t="str">
        <f t="shared" si="84"/>
        <v/>
      </c>
      <c r="P683" t="str">
        <f t="shared" si="85"/>
        <v/>
      </c>
      <c r="Q683" t="str">
        <f t="shared" si="86"/>
        <v/>
      </c>
      <c r="R683" t="str">
        <f t="shared" si="87"/>
        <v/>
      </c>
    </row>
    <row r="684" spans="1:18" x14ac:dyDescent="0.25">
      <c r="A684">
        <f>ROW()</f>
        <v>684</v>
      </c>
      <c r="D684" t="s">
        <v>254</v>
      </c>
      <c r="F684" t="s">
        <v>258</v>
      </c>
      <c r="H684">
        <v>295000</v>
      </c>
      <c r="J684" t="str">
        <f>IF(A684&lt;WORKSHEET!$R$2,WORKSHEET!$C$2,IF(B684="Air Waybill Number",C684,J683))</f>
        <v>774381618321</v>
      </c>
      <c r="K684" t="str">
        <f t="shared" si="80"/>
        <v>870091402</v>
      </c>
      <c r="L684" t="str">
        <f t="shared" si="81"/>
        <v>20 Dec 2023</v>
      </c>
      <c r="M684" t="str">
        <f t="shared" si="82"/>
        <v/>
      </c>
      <c r="N684" t="str">
        <f t="shared" si="83"/>
        <v>12/07/2023</v>
      </c>
      <c r="O684" t="str">
        <f t="shared" si="84"/>
        <v/>
      </c>
      <c r="P684" t="str">
        <f t="shared" si="85"/>
        <v/>
      </c>
      <c r="Q684" t="str">
        <f t="shared" si="86"/>
        <v/>
      </c>
      <c r="R684" t="str">
        <f t="shared" si="87"/>
        <v/>
      </c>
    </row>
    <row r="685" spans="1:18" x14ac:dyDescent="0.25">
      <c r="A685">
        <f>ROW()</f>
        <v>685</v>
      </c>
      <c r="D685" t="s">
        <v>402</v>
      </c>
      <c r="H685">
        <v>180542</v>
      </c>
      <c r="J685" t="str">
        <f>IF(A685&lt;WORKSHEET!$R$2,WORKSHEET!$C$2,IF(B685="Air Waybill Number",C685,J684))</f>
        <v>774381618321</v>
      </c>
      <c r="K685" t="str">
        <f t="shared" si="80"/>
        <v>870091402</v>
      </c>
      <c r="L685" t="str">
        <f t="shared" si="81"/>
        <v>20 Dec 2023</v>
      </c>
      <c r="M685" t="str">
        <f t="shared" si="82"/>
        <v/>
      </c>
      <c r="N685" t="str">
        <f t="shared" si="83"/>
        <v>12/07/2023</v>
      </c>
      <c r="O685" t="str">
        <f t="shared" si="84"/>
        <v/>
      </c>
      <c r="P685" t="str">
        <f t="shared" si="85"/>
        <v/>
      </c>
      <c r="Q685" t="str">
        <f t="shared" si="86"/>
        <v/>
      </c>
      <c r="R685" t="str">
        <f t="shared" si="87"/>
        <v/>
      </c>
    </row>
    <row r="686" spans="1:18" x14ac:dyDescent="0.25">
      <c r="A686">
        <f>ROW()</f>
        <v>686</v>
      </c>
      <c r="D686" t="s">
        <v>254</v>
      </c>
      <c r="F686" t="s">
        <v>260</v>
      </c>
      <c r="H686">
        <v>16000</v>
      </c>
      <c r="J686" t="str">
        <f>IF(A686&lt;WORKSHEET!$R$2,WORKSHEET!$C$2,IF(B686="Air Waybill Number",C686,J685))</f>
        <v>774381618321</v>
      </c>
      <c r="K686" t="str">
        <f t="shared" si="80"/>
        <v>870091402</v>
      </c>
      <c r="L686" t="str">
        <f t="shared" si="81"/>
        <v>20 Dec 2023</v>
      </c>
      <c r="M686" t="str">
        <f t="shared" si="82"/>
        <v/>
      </c>
      <c r="N686" t="str">
        <f t="shared" si="83"/>
        <v>12/07/2023</v>
      </c>
      <c r="O686" t="str">
        <f t="shared" si="84"/>
        <v/>
      </c>
      <c r="P686" t="str">
        <f t="shared" si="85"/>
        <v/>
      </c>
      <c r="Q686" t="str">
        <f t="shared" si="86"/>
        <v/>
      </c>
      <c r="R686" t="str">
        <f t="shared" si="87"/>
        <v/>
      </c>
    </row>
    <row r="687" spans="1:18" x14ac:dyDescent="0.25">
      <c r="A687">
        <f>ROW()</f>
        <v>687</v>
      </c>
      <c r="D687" t="s">
        <v>261</v>
      </c>
      <c r="H687">
        <v>8718</v>
      </c>
      <c r="J687" t="str">
        <f>IF(A687&lt;WORKSHEET!$R$2,WORKSHEET!$C$2,IF(B687="Air Waybill Number",C687,J686))</f>
        <v>774381618321</v>
      </c>
      <c r="K687" t="str">
        <f t="shared" si="80"/>
        <v>870091402</v>
      </c>
      <c r="L687" t="str">
        <f t="shared" si="81"/>
        <v>20 Dec 2023</v>
      </c>
      <c r="M687" t="str">
        <f t="shared" si="82"/>
        <v/>
      </c>
      <c r="N687" t="str">
        <f t="shared" si="83"/>
        <v>12/07/2023</v>
      </c>
      <c r="O687" t="str">
        <f t="shared" si="84"/>
        <v/>
      </c>
      <c r="P687" t="str">
        <f t="shared" si="85"/>
        <v/>
      </c>
      <c r="Q687" t="str">
        <f t="shared" si="86"/>
        <v/>
      </c>
      <c r="R687" t="str">
        <f t="shared" si="87"/>
        <v/>
      </c>
    </row>
    <row r="688" spans="1:18" x14ac:dyDescent="0.25">
      <c r="A688">
        <f>ROW()</f>
        <v>688</v>
      </c>
      <c r="D688" t="s">
        <v>14</v>
      </c>
      <c r="H688">
        <v>801270</v>
      </c>
      <c r="J688" t="str">
        <f>IF(A688&lt;WORKSHEET!$R$2,WORKSHEET!$C$2,IF(B688="Air Waybill Number",C688,J687))</f>
        <v>774381618321</v>
      </c>
      <c r="K688" t="str">
        <f t="shared" si="80"/>
        <v>870091402</v>
      </c>
      <c r="L688" t="str">
        <f t="shared" si="81"/>
        <v>20 Dec 2023</v>
      </c>
      <c r="M688" t="str">
        <f t="shared" si="82"/>
        <v/>
      </c>
      <c r="N688" t="str">
        <f t="shared" si="83"/>
        <v>12/07/2023</v>
      </c>
      <c r="O688" t="str">
        <f t="shared" si="84"/>
        <v/>
      </c>
      <c r="P688" t="str">
        <f t="shared" si="85"/>
        <v/>
      </c>
      <c r="Q688" t="str">
        <f t="shared" si="86"/>
        <v/>
      </c>
      <c r="R688" t="str">
        <f t="shared" si="87"/>
        <v/>
      </c>
    </row>
    <row r="689" spans="1:18" x14ac:dyDescent="0.25">
      <c r="A689">
        <f>ROW()</f>
        <v>689</v>
      </c>
      <c r="B689" t="s">
        <v>221</v>
      </c>
      <c r="C689" t="s">
        <v>136</v>
      </c>
      <c r="J689" t="str">
        <f>IF(A689&lt;WORKSHEET!$R$2,WORKSHEET!$C$2,IF(B689="Air Waybill Number",C689,J688))</f>
        <v>774381618321</v>
      </c>
      <c r="K689" t="str">
        <f t="shared" si="80"/>
        <v>870091403</v>
      </c>
      <c r="L689" t="str">
        <f t="shared" si="81"/>
        <v>20 Dec 2023</v>
      </c>
      <c r="M689" t="str">
        <f t="shared" si="82"/>
        <v/>
      </c>
      <c r="N689" t="str">
        <f t="shared" si="83"/>
        <v>12/07/2023</v>
      </c>
      <c r="O689" t="str">
        <f t="shared" si="84"/>
        <v/>
      </c>
      <c r="P689" t="str">
        <f t="shared" si="85"/>
        <v/>
      </c>
      <c r="Q689" t="str">
        <f t="shared" si="86"/>
        <v/>
      </c>
      <c r="R689" t="str">
        <f t="shared" si="87"/>
        <v/>
      </c>
    </row>
    <row r="690" spans="1:18" x14ac:dyDescent="0.25">
      <c r="A690">
        <f>ROW()</f>
        <v>690</v>
      </c>
      <c r="B690" t="s">
        <v>222</v>
      </c>
      <c r="C690" t="s">
        <v>595</v>
      </c>
      <c r="J690" t="str">
        <f>IF(A690&lt;WORKSHEET!$R$2,WORKSHEET!$C$2,IF(B690="Air Waybill Number",C690,J689))</f>
        <v>774381618321</v>
      </c>
      <c r="K690" t="str">
        <f t="shared" si="80"/>
        <v>870091403</v>
      </c>
      <c r="L690" t="str">
        <f t="shared" si="81"/>
        <v>20 Dec 2023</v>
      </c>
      <c r="M690" t="str">
        <f t="shared" si="82"/>
        <v/>
      </c>
      <c r="N690" t="str">
        <f t="shared" si="83"/>
        <v>12/07/2023</v>
      </c>
      <c r="O690" t="str">
        <f t="shared" si="84"/>
        <v/>
      </c>
      <c r="P690" t="str">
        <f t="shared" si="85"/>
        <v/>
      </c>
      <c r="Q690" t="str">
        <f t="shared" si="86"/>
        <v/>
      </c>
      <c r="R690" t="str">
        <f t="shared" si="87"/>
        <v/>
      </c>
    </row>
    <row r="691" spans="1:18" x14ac:dyDescent="0.25">
      <c r="A691">
        <f>ROW()</f>
        <v>691</v>
      </c>
      <c r="B691" t="s">
        <v>224</v>
      </c>
      <c r="C691" t="s">
        <v>225</v>
      </c>
      <c r="J691" t="str">
        <f>IF(A691&lt;WORKSHEET!$R$2,WORKSHEET!$C$2,IF(B691="Air Waybill Number",C691,J690))</f>
        <v>774381618321</v>
      </c>
      <c r="K691" t="str">
        <f t="shared" si="80"/>
        <v>870091403</v>
      </c>
      <c r="L691" t="str">
        <f t="shared" si="81"/>
        <v>20 Dec 2023</v>
      </c>
      <c r="M691" t="str">
        <f t="shared" si="82"/>
        <v/>
      </c>
      <c r="N691" t="str">
        <f t="shared" si="83"/>
        <v>12/07/2023</v>
      </c>
      <c r="O691" t="str">
        <f t="shared" si="84"/>
        <v/>
      </c>
      <c r="P691" t="str">
        <f t="shared" si="85"/>
        <v/>
      </c>
      <c r="Q691" t="str">
        <f t="shared" si="86"/>
        <v/>
      </c>
      <c r="R691" t="str">
        <f t="shared" si="87"/>
        <v/>
      </c>
    </row>
    <row r="692" spans="1:18" x14ac:dyDescent="0.25">
      <c r="A692">
        <f>ROW()</f>
        <v>692</v>
      </c>
      <c r="B692" t="s">
        <v>226</v>
      </c>
      <c r="C692" t="s">
        <v>619</v>
      </c>
      <c r="D692" t="s">
        <v>290</v>
      </c>
      <c r="E692" t="s">
        <v>291</v>
      </c>
      <c r="J692" t="str">
        <f>IF(A692&lt;WORKSHEET!$R$2,WORKSHEET!$C$2,IF(B692="Air Waybill Number",C692,J691))</f>
        <v>774381618321</v>
      </c>
      <c r="K692" t="str">
        <f t="shared" si="80"/>
        <v>870091403</v>
      </c>
      <c r="L692" t="str">
        <f t="shared" si="81"/>
        <v>20 Dec 2023</v>
      </c>
      <c r="M692" t="str">
        <f t="shared" si="82"/>
        <v/>
      </c>
      <c r="N692" t="str">
        <f t="shared" si="83"/>
        <v>12/06/2023</v>
      </c>
      <c r="O692" t="str">
        <f t="shared" si="84"/>
        <v>EKA / BAYU</v>
      </c>
      <c r="P692" t="str">
        <f t="shared" si="85"/>
        <v>GISTEX GARMEN INDONESIA</v>
      </c>
      <c r="Q692" t="str">
        <f t="shared" si="86"/>
        <v>OGURA KENJI / HASHIMOTO KIMIE</v>
      </c>
      <c r="R692" t="str">
        <f t="shared" si="87"/>
        <v>MARUBENI FASHION LINK, LTD</v>
      </c>
    </row>
    <row r="693" spans="1:18" x14ac:dyDescent="0.25">
      <c r="A693">
        <f>ROW()</f>
        <v>693</v>
      </c>
      <c r="B693" t="s">
        <v>232</v>
      </c>
      <c r="C693" t="s">
        <v>137</v>
      </c>
      <c r="D693" t="s">
        <v>36</v>
      </c>
      <c r="E693" t="s">
        <v>37</v>
      </c>
      <c r="J693" t="str">
        <f>IF(A693&lt;WORKSHEET!$R$2,WORKSHEET!$C$2,IF(B693="Air Waybill Number",C693,J692))</f>
        <v>774366065088</v>
      </c>
      <c r="K693" t="str">
        <f t="shared" si="80"/>
        <v>870091403</v>
      </c>
      <c r="L693" t="str">
        <f t="shared" si="81"/>
        <v>20 Dec 2023</v>
      </c>
      <c r="M693" t="str">
        <f t="shared" si="82"/>
        <v>774366065088-1</v>
      </c>
      <c r="N693" t="str">
        <f t="shared" si="83"/>
        <v>12/06/2023</v>
      </c>
      <c r="O693" t="str">
        <f t="shared" si="84"/>
        <v/>
      </c>
      <c r="P693" t="str">
        <f t="shared" si="85"/>
        <v/>
      </c>
      <c r="Q693" t="str">
        <f t="shared" si="86"/>
        <v/>
      </c>
      <c r="R693" t="str">
        <f t="shared" si="87"/>
        <v/>
      </c>
    </row>
    <row r="694" spans="1:18" x14ac:dyDescent="0.25">
      <c r="A694">
        <f>ROW()</f>
        <v>694</v>
      </c>
      <c r="B694" t="s">
        <v>233</v>
      </c>
      <c r="C694" t="s">
        <v>292</v>
      </c>
      <c r="D694" t="s">
        <v>41</v>
      </c>
      <c r="E694" t="s">
        <v>39</v>
      </c>
      <c r="J694" t="str">
        <f>IF(A694&lt;WORKSHEET!$R$2,WORKSHEET!$C$2,IF(B694="Air Waybill Number",C694,J693))</f>
        <v>774366065088</v>
      </c>
      <c r="K694" t="str">
        <f t="shared" si="80"/>
        <v>870091403</v>
      </c>
      <c r="L694" t="str">
        <f t="shared" si="81"/>
        <v>20 Dec 2023</v>
      </c>
      <c r="M694" t="str">
        <f t="shared" si="82"/>
        <v/>
      </c>
      <c r="N694" t="str">
        <f t="shared" si="83"/>
        <v>12/06/2023</v>
      </c>
      <c r="O694" t="str">
        <f t="shared" si="84"/>
        <v/>
      </c>
      <c r="P694" t="str">
        <f t="shared" si="85"/>
        <v/>
      </c>
      <c r="Q694" t="str">
        <f t="shared" si="86"/>
        <v/>
      </c>
      <c r="R694" t="str">
        <f t="shared" si="87"/>
        <v/>
      </c>
    </row>
    <row r="695" spans="1:18" x14ac:dyDescent="0.25">
      <c r="A695">
        <f>ROW()</f>
        <v>695</v>
      </c>
      <c r="B695" t="s">
        <v>237</v>
      </c>
      <c r="C695" t="s">
        <v>238</v>
      </c>
      <c r="D695" t="s">
        <v>293</v>
      </c>
      <c r="E695" t="s">
        <v>294</v>
      </c>
      <c r="J695" t="str">
        <f>IF(A695&lt;WORKSHEET!$R$2,WORKSHEET!$C$2,IF(B695="Air Waybill Number",C695,J694))</f>
        <v>774366065088</v>
      </c>
      <c r="K695" t="str">
        <f t="shared" si="80"/>
        <v>870091403</v>
      </c>
      <c r="L695" t="str">
        <f t="shared" si="81"/>
        <v>20 Dec 2023</v>
      </c>
      <c r="M695" t="str">
        <f t="shared" si="82"/>
        <v/>
      </c>
      <c r="N695" t="str">
        <f t="shared" si="83"/>
        <v>12/06/2023</v>
      </c>
      <c r="O695" t="str">
        <f t="shared" si="84"/>
        <v/>
      </c>
      <c r="P695" t="str">
        <f t="shared" si="85"/>
        <v/>
      </c>
      <c r="Q695" t="str">
        <f t="shared" si="86"/>
        <v/>
      </c>
      <c r="R695" t="str">
        <f t="shared" si="87"/>
        <v/>
      </c>
    </row>
    <row r="696" spans="1:18" x14ac:dyDescent="0.25">
      <c r="A696">
        <f>ROW()</f>
        <v>696</v>
      </c>
      <c r="B696" t="s">
        <v>241</v>
      </c>
      <c r="C696" t="s">
        <v>295</v>
      </c>
      <c r="D696" t="s">
        <v>296</v>
      </c>
      <c r="E696" t="s">
        <v>297</v>
      </c>
      <c r="F696" t="s">
        <v>298</v>
      </c>
      <c r="J696" t="str">
        <f>IF(A696&lt;WORKSHEET!$R$2,WORKSHEET!$C$2,IF(B696="Air Waybill Number",C696,J695))</f>
        <v>774366065088</v>
      </c>
      <c r="K696" t="str">
        <f t="shared" si="80"/>
        <v>870091403</v>
      </c>
      <c r="L696" t="str">
        <f t="shared" si="81"/>
        <v>20 Dec 2023</v>
      </c>
      <c r="M696" t="str">
        <f t="shared" si="82"/>
        <v/>
      </c>
      <c r="N696" t="str">
        <f t="shared" si="83"/>
        <v>12/06/2023</v>
      </c>
      <c r="O696" t="str">
        <f t="shared" si="84"/>
        <v/>
      </c>
      <c r="P696" t="str">
        <f t="shared" si="85"/>
        <v/>
      </c>
      <c r="Q696" t="str">
        <f t="shared" si="86"/>
        <v/>
      </c>
      <c r="R696" t="str">
        <f t="shared" si="87"/>
        <v/>
      </c>
    </row>
    <row r="697" spans="1:18" x14ac:dyDescent="0.25">
      <c r="A697">
        <f>ROW()</f>
        <v>697</v>
      </c>
      <c r="B697" t="s">
        <v>245</v>
      </c>
      <c r="C697" t="s">
        <v>299</v>
      </c>
      <c r="D697" t="s">
        <v>300</v>
      </c>
      <c r="J697" t="str">
        <f>IF(A697&lt;WORKSHEET!$R$2,WORKSHEET!$C$2,IF(B697="Air Waybill Number",C697,J696))</f>
        <v>774366065088</v>
      </c>
      <c r="K697" t="str">
        <f t="shared" si="80"/>
        <v>870091403</v>
      </c>
      <c r="L697" t="str">
        <f t="shared" si="81"/>
        <v>20 Dec 2023</v>
      </c>
      <c r="M697" t="str">
        <f t="shared" si="82"/>
        <v/>
      </c>
      <c r="N697" t="str">
        <f t="shared" si="83"/>
        <v>12/06/2023</v>
      </c>
      <c r="O697" t="str">
        <f t="shared" si="84"/>
        <v/>
      </c>
      <c r="P697" t="str">
        <f t="shared" si="85"/>
        <v/>
      </c>
      <c r="Q697" t="str">
        <f t="shared" si="86"/>
        <v/>
      </c>
      <c r="R697" t="str">
        <f t="shared" si="87"/>
        <v/>
      </c>
    </row>
    <row r="698" spans="1:18" x14ac:dyDescent="0.25">
      <c r="A698">
        <f>ROW()</f>
        <v>698</v>
      </c>
      <c r="B698" t="s">
        <v>419</v>
      </c>
      <c r="C698" t="s">
        <v>627</v>
      </c>
      <c r="D698" t="s">
        <v>248</v>
      </c>
      <c r="G698">
        <v>570000</v>
      </c>
      <c r="J698" t="str">
        <f>IF(A698&lt;WORKSHEET!$R$2,WORKSHEET!$C$2,IF(B698="Air Waybill Number",C698,J697))</f>
        <v>774366065088</v>
      </c>
      <c r="K698" t="str">
        <f t="shared" si="80"/>
        <v>870091403</v>
      </c>
      <c r="L698" t="str">
        <f t="shared" si="81"/>
        <v>20 Dec 2023</v>
      </c>
      <c r="M698" t="str">
        <f t="shared" si="82"/>
        <v/>
      </c>
      <c r="N698" t="str">
        <f t="shared" si="83"/>
        <v>12/06/2023</v>
      </c>
      <c r="O698" t="str">
        <f t="shared" si="84"/>
        <v/>
      </c>
      <c r="P698" t="str">
        <f t="shared" si="85"/>
        <v/>
      </c>
      <c r="Q698" t="str">
        <f t="shared" si="86"/>
        <v/>
      </c>
      <c r="R698" t="str">
        <f t="shared" si="87"/>
        <v/>
      </c>
    </row>
    <row r="699" spans="1:18" x14ac:dyDescent="0.25">
      <c r="A699">
        <f>ROW()</f>
        <v>699</v>
      </c>
      <c r="D699" t="s">
        <v>251</v>
      </c>
      <c r="E699" t="s">
        <v>252</v>
      </c>
      <c r="G699">
        <v>-381330</v>
      </c>
      <c r="J699" t="str">
        <f>IF(A699&lt;WORKSHEET!$R$2,WORKSHEET!$C$2,IF(B699="Air Waybill Number",C699,J698))</f>
        <v>774366065088</v>
      </c>
      <c r="K699" t="str">
        <f t="shared" si="80"/>
        <v>870091403</v>
      </c>
      <c r="L699" t="str">
        <f t="shared" si="81"/>
        <v>20 Dec 2023</v>
      </c>
      <c r="M699" t="str">
        <f t="shared" si="82"/>
        <v/>
      </c>
      <c r="N699" t="str">
        <f t="shared" si="83"/>
        <v>12/06/2023</v>
      </c>
      <c r="O699" t="str">
        <f t="shared" si="84"/>
        <v/>
      </c>
      <c r="P699" t="str">
        <f t="shared" si="85"/>
        <v/>
      </c>
      <c r="Q699" t="str">
        <f t="shared" si="86"/>
        <v/>
      </c>
      <c r="R699" t="str">
        <f t="shared" si="87"/>
        <v/>
      </c>
    </row>
    <row r="700" spans="1:18" x14ac:dyDescent="0.25">
      <c r="A700">
        <f>ROW()</f>
        <v>700</v>
      </c>
      <c r="D700" t="s">
        <v>254</v>
      </c>
      <c r="E700" t="s">
        <v>12</v>
      </c>
      <c r="G700">
        <v>60377</v>
      </c>
      <c r="J700" t="str">
        <f>IF(A700&lt;WORKSHEET!$R$2,WORKSHEET!$C$2,IF(B700="Air Waybill Number",C700,J699))</f>
        <v>774366065088</v>
      </c>
      <c r="K700" t="str">
        <f t="shared" si="80"/>
        <v>870091403</v>
      </c>
      <c r="L700" t="str">
        <f t="shared" si="81"/>
        <v>20 Dec 2023</v>
      </c>
      <c r="M700" t="str">
        <f t="shared" si="82"/>
        <v/>
      </c>
      <c r="N700" t="str">
        <f t="shared" si="83"/>
        <v>12/06/2023</v>
      </c>
      <c r="O700" t="str">
        <f t="shared" si="84"/>
        <v/>
      </c>
      <c r="P700" t="str">
        <f t="shared" si="85"/>
        <v/>
      </c>
      <c r="Q700" t="str">
        <f t="shared" si="86"/>
        <v/>
      </c>
      <c r="R700" t="str">
        <f t="shared" si="87"/>
        <v/>
      </c>
    </row>
    <row r="701" spans="1:18" x14ac:dyDescent="0.25">
      <c r="A701">
        <f>ROW()</f>
        <v>701</v>
      </c>
      <c r="D701" t="s">
        <v>254</v>
      </c>
      <c r="E701" t="s">
        <v>260</v>
      </c>
      <c r="G701">
        <v>16000</v>
      </c>
      <c r="J701" t="str">
        <f>IF(A701&lt;WORKSHEET!$R$2,WORKSHEET!$C$2,IF(B701="Air Waybill Number",C701,J700))</f>
        <v>774366065088</v>
      </c>
      <c r="K701" t="str">
        <f t="shared" si="80"/>
        <v>870091403</v>
      </c>
      <c r="L701" t="str">
        <f t="shared" si="81"/>
        <v>20 Dec 2023</v>
      </c>
      <c r="M701" t="str">
        <f t="shared" si="82"/>
        <v/>
      </c>
      <c r="N701" t="str">
        <f t="shared" si="83"/>
        <v>12/06/2023</v>
      </c>
      <c r="O701" t="str">
        <f t="shared" si="84"/>
        <v/>
      </c>
      <c r="P701" t="str">
        <f t="shared" si="85"/>
        <v/>
      </c>
      <c r="Q701" t="str">
        <f t="shared" si="86"/>
        <v/>
      </c>
      <c r="R701" t="str">
        <f t="shared" si="87"/>
        <v/>
      </c>
    </row>
    <row r="702" spans="1:18" x14ac:dyDescent="0.25">
      <c r="A702">
        <f>ROW()</f>
        <v>702</v>
      </c>
      <c r="D702" t="s">
        <v>261</v>
      </c>
      <c r="G702">
        <v>2915</v>
      </c>
      <c r="J702" t="str">
        <f>IF(A702&lt;WORKSHEET!$R$2,WORKSHEET!$C$2,IF(B702="Air Waybill Number",C702,J701))</f>
        <v>774366065088</v>
      </c>
      <c r="K702" t="str">
        <f t="shared" si="80"/>
        <v>870091403</v>
      </c>
      <c r="L702" t="str">
        <f t="shared" si="81"/>
        <v>20 Dec 2023</v>
      </c>
      <c r="M702" t="str">
        <f t="shared" si="82"/>
        <v/>
      </c>
      <c r="N702" t="str">
        <f t="shared" si="83"/>
        <v>12/06/2023</v>
      </c>
      <c r="O702" t="str">
        <f t="shared" si="84"/>
        <v/>
      </c>
      <c r="P702" t="str">
        <f t="shared" si="85"/>
        <v/>
      </c>
      <c r="Q702" t="str">
        <f t="shared" si="86"/>
        <v/>
      </c>
      <c r="R702" t="str">
        <f t="shared" si="87"/>
        <v/>
      </c>
    </row>
    <row r="703" spans="1:18" x14ac:dyDescent="0.25">
      <c r="A703">
        <f>ROW()</f>
        <v>703</v>
      </c>
      <c r="D703" t="s">
        <v>14</v>
      </c>
      <c r="G703">
        <v>267962</v>
      </c>
      <c r="J703" t="str">
        <f>IF(A703&lt;WORKSHEET!$R$2,WORKSHEET!$C$2,IF(B703="Air Waybill Number",C703,J702))</f>
        <v>774366065088</v>
      </c>
      <c r="K703" t="str">
        <f t="shared" si="80"/>
        <v>870091403</v>
      </c>
      <c r="L703" t="str">
        <f t="shared" si="81"/>
        <v>20 Dec 2023</v>
      </c>
      <c r="M703" t="str">
        <f t="shared" si="82"/>
        <v/>
      </c>
      <c r="N703" t="str">
        <f t="shared" si="83"/>
        <v>12/06/2023</v>
      </c>
      <c r="O703" t="str">
        <f t="shared" si="84"/>
        <v/>
      </c>
      <c r="P703" t="str">
        <f t="shared" si="85"/>
        <v/>
      </c>
      <c r="Q703" t="str">
        <f t="shared" si="86"/>
        <v/>
      </c>
      <c r="R703" t="str">
        <f t="shared" si="87"/>
        <v/>
      </c>
    </row>
    <row r="704" spans="1:18" x14ac:dyDescent="0.25">
      <c r="A704">
        <f>ROW()</f>
        <v>704</v>
      </c>
      <c r="D704" t="s">
        <v>540</v>
      </c>
      <c r="J704" t="str">
        <f>IF(A704&lt;WORKSHEET!$R$2,WORKSHEET!$C$2,IF(B704="Air Waybill Number",C704,J703))</f>
        <v>774366065088</v>
      </c>
      <c r="K704" t="str">
        <f t="shared" si="80"/>
        <v>870091403</v>
      </c>
      <c r="L704" t="str">
        <f t="shared" si="81"/>
        <v>20 Dec 2023</v>
      </c>
      <c r="M704" t="str">
        <f t="shared" si="82"/>
        <v/>
      </c>
      <c r="N704" t="str">
        <f t="shared" si="83"/>
        <v>12/06/2023</v>
      </c>
      <c r="O704" t="str">
        <f t="shared" si="84"/>
        <v/>
      </c>
      <c r="P704" t="str">
        <f t="shared" si="85"/>
        <v/>
      </c>
      <c r="Q704" t="str">
        <f t="shared" si="86"/>
        <v/>
      </c>
      <c r="R704" t="str">
        <f t="shared" si="87"/>
        <v/>
      </c>
    </row>
    <row r="705" spans="1:18" x14ac:dyDescent="0.25">
      <c r="A705">
        <f>ROW()</f>
        <v>705</v>
      </c>
      <c r="B705" t="s">
        <v>226</v>
      </c>
      <c r="C705" t="s">
        <v>619</v>
      </c>
      <c r="D705" t="s">
        <v>290</v>
      </c>
      <c r="E705" t="s">
        <v>450</v>
      </c>
      <c r="J705" t="str">
        <f>IF(A705&lt;WORKSHEET!$R$2,WORKSHEET!$C$2,IF(B705="Air Waybill Number",C705,J704))</f>
        <v>774366065088</v>
      </c>
      <c r="K705" t="str">
        <f t="shared" si="80"/>
        <v>870091403</v>
      </c>
      <c r="L705" t="str">
        <f t="shared" si="81"/>
        <v>20 Dec 2023</v>
      </c>
      <c r="M705" t="str">
        <f t="shared" si="82"/>
        <v/>
      </c>
      <c r="N705" t="str">
        <f t="shared" si="83"/>
        <v>12/06/2023</v>
      </c>
      <c r="O705" t="str">
        <f t="shared" si="84"/>
        <v>MS. MERCY</v>
      </c>
      <c r="P705" t="str">
        <f t="shared" si="85"/>
        <v>GISTEX GARMEN INDONESIA</v>
      </c>
      <c r="Q705" t="str">
        <f t="shared" si="86"/>
        <v>MS.SHIRLY FANG</v>
      </c>
      <c r="R705" t="str">
        <f t="shared" si="87"/>
        <v>SHAOXING YMYSI IMPORTEXPORT</v>
      </c>
    </row>
    <row r="706" spans="1:18" x14ac:dyDescent="0.25">
      <c r="A706">
        <f>ROW()</f>
        <v>706</v>
      </c>
      <c r="B706" t="s">
        <v>232</v>
      </c>
      <c r="C706" t="s">
        <v>138</v>
      </c>
      <c r="D706" t="s">
        <v>43</v>
      </c>
      <c r="E706" t="s">
        <v>88</v>
      </c>
      <c r="J706" t="str">
        <f>IF(A706&lt;WORKSHEET!$R$2,WORKSHEET!$C$2,IF(B706="Air Waybill Number",C706,J705))</f>
        <v>774366629259</v>
      </c>
      <c r="K706" t="str">
        <f t="shared" ref="K706:K769" si="88">IF(B706="Invoice Number:",C706,K705)</f>
        <v>870091403</v>
      </c>
      <c r="L706" t="str">
        <f t="shared" ref="L706:L769" si="89">IF(B706="Invoice Date:",C706,L705)</f>
        <v>20 Dec 2023</v>
      </c>
      <c r="M706" t="str">
        <f t="shared" ref="M706:M769" si="90">IF(B706="Air Waybill Number",J706&amp;"-1","")</f>
        <v>774366629259-1</v>
      </c>
      <c r="N706" t="str">
        <f t="shared" ref="N706:N769" si="91">IF(B706="Ship Date",C706,N705)</f>
        <v>12/06/2023</v>
      </c>
      <c r="O706" t="str">
        <f t="shared" ref="O706:O769" si="92">IF(LEFT(D706,6)="Sender",D707,IF(LEFT(E706,6)="Sender",E707,""))</f>
        <v/>
      </c>
      <c r="P706" t="str">
        <f t="shared" ref="P706:P769" si="93">IF(LEFT(D706,6)="Sender",D708,IF(LEFT(E706,6)="Sender",D708,""))</f>
        <v/>
      </c>
      <c r="Q706" t="str">
        <f t="shared" ref="Q706:Q769" si="94">IF(LEFT(E706,9)="Recipient",E707&amp;F707,IF(LEFT(F706,9)="Recipient",F707,IF(LEFT(G706,9)="Recipient",G707,IF(LEFT(H706,9)="Recipient",H707,""))))</f>
        <v/>
      </c>
      <c r="R706" t="str">
        <f t="shared" ref="R706:R769" si="95">IF(LEFT(E706,9)="Recipient",E708&amp;F708,IF(LEFT(F706,9)="Recipient",F708,IF(LEFT(G706,9)="Recipient",G708,IF(LEFT(H706,9)="Recipient",H708,""))))</f>
        <v/>
      </c>
    </row>
    <row r="707" spans="1:18" x14ac:dyDescent="0.25">
      <c r="A707">
        <f>ROW()</f>
        <v>707</v>
      </c>
      <c r="B707" t="s">
        <v>233</v>
      </c>
      <c r="C707" t="s">
        <v>292</v>
      </c>
      <c r="D707" t="s">
        <v>41</v>
      </c>
      <c r="E707" t="s">
        <v>451</v>
      </c>
      <c r="F707" t="s">
        <v>452</v>
      </c>
      <c r="J707" t="str">
        <f>IF(A707&lt;WORKSHEET!$R$2,WORKSHEET!$C$2,IF(B707="Air Waybill Number",C707,J706))</f>
        <v>774366629259</v>
      </c>
      <c r="K707" t="str">
        <f t="shared" si="88"/>
        <v>870091403</v>
      </c>
      <c r="L707" t="str">
        <f t="shared" si="89"/>
        <v>20 Dec 2023</v>
      </c>
      <c r="M707" t="str">
        <f t="shared" si="90"/>
        <v/>
      </c>
      <c r="N707" t="str">
        <f t="shared" si="91"/>
        <v>12/06/2023</v>
      </c>
      <c r="O707" t="str">
        <f t="shared" si="92"/>
        <v/>
      </c>
      <c r="P707" t="str">
        <f t="shared" si="93"/>
        <v/>
      </c>
      <c r="Q707" t="str">
        <f t="shared" si="94"/>
        <v/>
      </c>
      <c r="R707" t="str">
        <f t="shared" si="95"/>
        <v/>
      </c>
    </row>
    <row r="708" spans="1:18" x14ac:dyDescent="0.25">
      <c r="A708">
        <f>ROW()</f>
        <v>708</v>
      </c>
      <c r="B708" t="s">
        <v>237</v>
      </c>
      <c r="C708" t="s">
        <v>238</v>
      </c>
      <c r="D708" t="s">
        <v>293</v>
      </c>
      <c r="E708" t="s">
        <v>453</v>
      </c>
      <c r="J708" t="str">
        <f>IF(A708&lt;WORKSHEET!$R$2,WORKSHEET!$C$2,IF(B708="Air Waybill Number",C708,J707))</f>
        <v>774366629259</v>
      </c>
      <c r="K708" t="str">
        <f t="shared" si="88"/>
        <v>870091403</v>
      </c>
      <c r="L708" t="str">
        <f t="shared" si="89"/>
        <v>20 Dec 2023</v>
      </c>
      <c r="M708" t="str">
        <f t="shared" si="90"/>
        <v/>
      </c>
      <c r="N708" t="str">
        <f t="shared" si="91"/>
        <v>12/06/2023</v>
      </c>
      <c r="O708" t="str">
        <f t="shared" si="92"/>
        <v/>
      </c>
      <c r="P708" t="str">
        <f t="shared" si="93"/>
        <v/>
      </c>
      <c r="Q708" t="str">
        <f t="shared" si="94"/>
        <v/>
      </c>
      <c r="R708" t="str">
        <f t="shared" si="95"/>
        <v/>
      </c>
    </row>
    <row r="709" spans="1:18" x14ac:dyDescent="0.25">
      <c r="A709">
        <f>ROW()</f>
        <v>709</v>
      </c>
      <c r="B709" t="s">
        <v>241</v>
      </c>
      <c r="C709" t="s">
        <v>285</v>
      </c>
      <c r="D709" t="s">
        <v>296</v>
      </c>
      <c r="E709" t="s">
        <v>454</v>
      </c>
      <c r="J709" t="str">
        <f>IF(A709&lt;WORKSHEET!$R$2,WORKSHEET!$C$2,IF(B709="Air Waybill Number",C709,J708))</f>
        <v>774366629259</v>
      </c>
      <c r="K709" t="str">
        <f t="shared" si="88"/>
        <v>870091403</v>
      </c>
      <c r="L709" t="str">
        <f t="shared" si="89"/>
        <v>20 Dec 2023</v>
      </c>
      <c r="M709" t="str">
        <f t="shared" si="90"/>
        <v/>
      </c>
      <c r="N709" t="str">
        <f t="shared" si="91"/>
        <v>12/06/2023</v>
      </c>
      <c r="O709" t="str">
        <f t="shared" si="92"/>
        <v/>
      </c>
      <c r="P709" t="str">
        <f t="shared" si="93"/>
        <v/>
      </c>
      <c r="Q709" t="str">
        <f t="shared" si="94"/>
        <v/>
      </c>
      <c r="R709" t="str">
        <f t="shared" si="95"/>
        <v/>
      </c>
    </row>
    <row r="710" spans="1:18" x14ac:dyDescent="0.25">
      <c r="A710">
        <f>ROW()</f>
        <v>710</v>
      </c>
      <c r="B710" t="s">
        <v>286</v>
      </c>
      <c r="C710" t="s">
        <v>299</v>
      </c>
      <c r="D710" t="s">
        <v>300</v>
      </c>
      <c r="E710" t="s">
        <v>455</v>
      </c>
      <c r="F710" t="s">
        <v>456</v>
      </c>
      <c r="J710" t="str">
        <f>IF(A710&lt;WORKSHEET!$R$2,WORKSHEET!$C$2,IF(B710="Air Waybill Number",C710,J709))</f>
        <v>774366629259</v>
      </c>
      <c r="K710" t="str">
        <f t="shared" si="88"/>
        <v>870091403</v>
      </c>
      <c r="L710" t="str">
        <f t="shared" si="89"/>
        <v>20 Dec 2023</v>
      </c>
      <c r="M710" t="str">
        <f t="shared" si="90"/>
        <v/>
      </c>
      <c r="N710" t="str">
        <f t="shared" si="91"/>
        <v>12/06/2023</v>
      </c>
      <c r="O710" t="str">
        <f t="shared" si="92"/>
        <v/>
      </c>
      <c r="P710" t="str">
        <f t="shared" si="93"/>
        <v/>
      </c>
      <c r="Q710" t="str">
        <f t="shared" si="94"/>
        <v/>
      </c>
      <c r="R710" t="str">
        <f t="shared" si="95"/>
        <v/>
      </c>
    </row>
    <row r="711" spans="1:18" x14ac:dyDescent="0.25">
      <c r="A711">
        <f>ROW()</f>
        <v>711</v>
      </c>
      <c r="B711" t="s">
        <v>249</v>
      </c>
      <c r="C711" t="s">
        <v>628</v>
      </c>
      <c r="D711" t="s">
        <v>248</v>
      </c>
      <c r="G711">
        <v>570000</v>
      </c>
      <c r="J711" t="str">
        <f>IF(A711&lt;WORKSHEET!$R$2,WORKSHEET!$C$2,IF(B711="Air Waybill Number",C711,J710))</f>
        <v>774366629259</v>
      </c>
      <c r="K711" t="str">
        <f t="shared" si="88"/>
        <v>870091403</v>
      </c>
      <c r="L711" t="str">
        <f t="shared" si="89"/>
        <v>20 Dec 2023</v>
      </c>
      <c r="M711" t="str">
        <f t="shared" si="90"/>
        <v/>
      </c>
      <c r="N711" t="str">
        <f t="shared" si="91"/>
        <v>12/06/2023</v>
      </c>
      <c r="O711" t="str">
        <f t="shared" si="92"/>
        <v/>
      </c>
      <c r="P711" t="str">
        <f t="shared" si="93"/>
        <v/>
      </c>
      <c r="Q711" t="str">
        <f t="shared" si="94"/>
        <v/>
      </c>
      <c r="R711" t="str">
        <f t="shared" si="95"/>
        <v/>
      </c>
    </row>
    <row r="712" spans="1:18" x14ac:dyDescent="0.25">
      <c r="A712">
        <f>ROW()</f>
        <v>712</v>
      </c>
      <c r="D712" t="s">
        <v>251</v>
      </c>
      <c r="E712" t="s">
        <v>252</v>
      </c>
      <c r="G712">
        <v>-406866</v>
      </c>
      <c r="J712" t="str">
        <f>IF(A712&lt;WORKSHEET!$R$2,WORKSHEET!$C$2,IF(B712="Air Waybill Number",C712,J711))</f>
        <v>774366629259</v>
      </c>
      <c r="K712" t="str">
        <f t="shared" si="88"/>
        <v>870091403</v>
      </c>
      <c r="L712" t="str">
        <f t="shared" si="89"/>
        <v>20 Dec 2023</v>
      </c>
      <c r="M712" t="str">
        <f t="shared" si="90"/>
        <v/>
      </c>
      <c r="N712" t="str">
        <f t="shared" si="91"/>
        <v>12/06/2023</v>
      </c>
      <c r="O712" t="str">
        <f t="shared" si="92"/>
        <v/>
      </c>
      <c r="P712" t="str">
        <f t="shared" si="93"/>
        <v/>
      </c>
      <c r="Q712" t="str">
        <f t="shared" si="94"/>
        <v/>
      </c>
      <c r="R712" t="str">
        <f t="shared" si="95"/>
        <v/>
      </c>
    </row>
    <row r="713" spans="1:18" x14ac:dyDescent="0.25">
      <c r="A713">
        <f>ROW()</f>
        <v>713</v>
      </c>
      <c r="D713" t="s">
        <v>254</v>
      </c>
      <c r="E713" t="s">
        <v>12</v>
      </c>
      <c r="G713">
        <v>52844</v>
      </c>
      <c r="J713" t="str">
        <f>IF(A713&lt;WORKSHEET!$R$2,WORKSHEET!$C$2,IF(B713="Air Waybill Number",C713,J712))</f>
        <v>774366629259</v>
      </c>
      <c r="K713" t="str">
        <f t="shared" si="88"/>
        <v>870091403</v>
      </c>
      <c r="L713" t="str">
        <f t="shared" si="89"/>
        <v>20 Dec 2023</v>
      </c>
      <c r="M713" t="str">
        <f t="shared" si="90"/>
        <v/>
      </c>
      <c r="N713" t="str">
        <f t="shared" si="91"/>
        <v>12/06/2023</v>
      </c>
      <c r="O713" t="str">
        <f t="shared" si="92"/>
        <v/>
      </c>
      <c r="P713" t="str">
        <f t="shared" si="93"/>
        <v/>
      </c>
      <c r="Q713" t="str">
        <f t="shared" si="94"/>
        <v/>
      </c>
      <c r="R713" t="str">
        <f t="shared" si="95"/>
        <v/>
      </c>
    </row>
    <row r="714" spans="1:18" x14ac:dyDescent="0.25">
      <c r="A714">
        <f>ROW()</f>
        <v>714</v>
      </c>
      <c r="D714" t="s">
        <v>254</v>
      </c>
      <c r="E714" t="s">
        <v>260</v>
      </c>
      <c r="G714">
        <v>16000</v>
      </c>
      <c r="J714" t="str">
        <f>IF(A714&lt;WORKSHEET!$R$2,WORKSHEET!$C$2,IF(B714="Air Waybill Number",C714,J713))</f>
        <v>774366629259</v>
      </c>
      <c r="K714" t="str">
        <f t="shared" si="88"/>
        <v>870091403</v>
      </c>
      <c r="L714" t="str">
        <f t="shared" si="89"/>
        <v>20 Dec 2023</v>
      </c>
      <c r="M714" t="str">
        <f t="shared" si="90"/>
        <v/>
      </c>
      <c r="N714" t="str">
        <f t="shared" si="91"/>
        <v>12/06/2023</v>
      </c>
      <c r="O714" t="str">
        <f t="shared" si="92"/>
        <v/>
      </c>
      <c r="P714" t="str">
        <f t="shared" si="93"/>
        <v/>
      </c>
      <c r="Q714" t="str">
        <f t="shared" si="94"/>
        <v/>
      </c>
      <c r="R714" t="str">
        <f t="shared" si="95"/>
        <v/>
      </c>
    </row>
    <row r="715" spans="1:18" x14ac:dyDescent="0.25">
      <c r="A715">
        <f>ROW()</f>
        <v>715</v>
      </c>
      <c r="D715" t="s">
        <v>261</v>
      </c>
      <c r="G715">
        <v>2551</v>
      </c>
      <c r="J715" t="str">
        <f>IF(A715&lt;WORKSHEET!$R$2,WORKSHEET!$C$2,IF(B715="Air Waybill Number",C715,J714))</f>
        <v>774366629259</v>
      </c>
      <c r="K715" t="str">
        <f t="shared" si="88"/>
        <v>870091403</v>
      </c>
      <c r="L715" t="str">
        <f t="shared" si="89"/>
        <v>20 Dec 2023</v>
      </c>
      <c r="M715" t="str">
        <f t="shared" si="90"/>
        <v/>
      </c>
      <c r="N715" t="str">
        <f t="shared" si="91"/>
        <v>12/06/2023</v>
      </c>
      <c r="O715" t="str">
        <f t="shared" si="92"/>
        <v/>
      </c>
      <c r="P715" t="str">
        <f t="shared" si="93"/>
        <v/>
      </c>
      <c r="Q715" t="str">
        <f t="shared" si="94"/>
        <v/>
      </c>
      <c r="R715" t="str">
        <f t="shared" si="95"/>
        <v/>
      </c>
    </row>
    <row r="716" spans="1:18" x14ac:dyDescent="0.25">
      <c r="A716">
        <f>ROW()</f>
        <v>716</v>
      </c>
      <c r="D716" t="s">
        <v>14</v>
      </c>
      <c r="G716">
        <v>234529</v>
      </c>
      <c r="J716" t="str">
        <f>IF(A716&lt;WORKSHEET!$R$2,WORKSHEET!$C$2,IF(B716="Air Waybill Number",C716,J715))</f>
        <v>774366629259</v>
      </c>
      <c r="K716" t="str">
        <f t="shared" si="88"/>
        <v>870091403</v>
      </c>
      <c r="L716" t="str">
        <f t="shared" si="89"/>
        <v>20 Dec 2023</v>
      </c>
      <c r="M716" t="str">
        <f t="shared" si="90"/>
        <v/>
      </c>
      <c r="N716" t="str">
        <f t="shared" si="91"/>
        <v>12/06/2023</v>
      </c>
      <c r="O716" t="str">
        <f t="shared" si="92"/>
        <v/>
      </c>
      <c r="P716" t="str">
        <f t="shared" si="93"/>
        <v/>
      </c>
      <c r="Q716" t="str">
        <f t="shared" si="94"/>
        <v/>
      </c>
      <c r="R716" t="str">
        <f t="shared" si="95"/>
        <v/>
      </c>
    </row>
    <row r="717" spans="1:18" x14ac:dyDescent="0.25">
      <c r="A717">
        <f>ROW()</f>
        <v>717</v>
      </c>
      <c r="D717" t="s">
        <v>540</v>
      </c>
      <c r="J717" t="str">
        <f>IF(A717&lt;WORKSHEET!$R$2,WORKSHEET!$C$2,IF(B717="Air Waybill Number",C717,J716))</f>
        <v>774366629259</v>
      </c>
      <c r="K717" t="str">
        <f t="shared" si="88"/>
        <v>870091403</v>
      </c>
      <c r="L717" t="str">
        <f t="shared" si="89"/>
        <v>20 Dec 2023</v>
      </c>
      <c r="M717" t="str">
        <f t="shared" si="90"/>
        <v/>
      </c>
      <c r="N717" t="str">
        <f t="shared" si="91"/>
        <v>12/06/2023</v>
      </c>
      <c r="O717" t="str">
        <f t="shared" si="92"/>
        <v/>
      </c>
      <c r="P717" t="str">
        <f t="shared" si="93"/>
        <v/>
      </c>
      <c r="Q717" t="str">
        <f t="shared" si="94"/>
        <v/>
      </c>
      <c r="R717" t="str">
        <f t="shared" si="95"/>
        <v/>
      </c>
    </row>
    <row r="718" spans="1:18" x14ac:dyDescent="0.25">
      <c r="A718">
        <f>ROW()</f>
        <v>718</v>
      </c>
      <c r="B718" t="s">
        <v>226</v>
      </c>
      <c r="C718" t="s">
        <v>544</v>
      </c>
      <c r="D718" t="s">
        <v>290</v>
      </c>
      <c r="E718" t="s">
        <v>481</v>
      </c>
      <c r="J718" t="str">
        <f>IF(A718&lt;WORKSHEET!$R$2,WORKSHEET!$C$2,IF(B718="Air Waybill Number",C718,J717))</f>
        <v>774366629259</v>
      </c>
      <c r="K718" t="str">
        <f t="shared" si="88"/>
        <v>870091403</v>
      </c>
      <c r="L718" t="str">
        <f t="shared" si="89"/>
        <v>20 Dec 2023</v>
      </c>
      <c r="M718" t="str">
        <f t="shared" si="90"/>
        <v/>
      </c>
      <c r="N718" t="str">
        <f t="shared" si="91"/>
        <v>12/08/2023</v>
      </c>
      <c r="O718" t="str">
        <f t="shared" si="92"/>
        <v>WINTA</v>
      </c>
      <c r="P718" t="str">
        <f t="shared" si="93"/>
        <v>GISTEX GARMEN INDONESIA</v>
      </c>
      <c r="Q718" t="str">
        <f t="shared" si="94"/>
        <v>WINNIE CHOW</v>
      </c>
      <c r="R718" t="str">
        <f t="shared" si="95"/>
        <v>HEXAPOLE COMPANY LIMITED</v>
      </c>
    </row>
    <row r="719" spans="1:18" x14ac:dyDescent="0.25">
      <c r="A719">
        <f>ROW()</f>
        <v>719</v>
      </c>
      <c r="B719" t="s">
        <v>232</v>
      </c>
      <c r="C719" t="s">
        <v>139</v>
      </c>
      <c r="D719" t="s">
        <v>96</v>
      </c>
      <c r="E719" t="s">
        <v>97</v>
      </c>
      <c r="J719" t="str">
        <f>IF(A719&lt;WORKSHEET!$R$2,WORKSHEET!$C$2,IF(B719="Air Waybill Number",C719,J718))</f>
        <v>774398794300</v>
      </c>
      <c r="K719" t="str">
        <f t="shared" si="88"/>
        <v>870091403</v>
      </c>
      <c r="L719" t="str">
        <f t="shared" si="89"/>
        <v>20 Dec 2023</v>
      </c>
      <c r="M719" t="str">
        <f t="shared" si="90"/>
        <v>774398794300-1</v>
      </c>
      <c r="N719" t="str">
        <f t="shared" si="91"/>
        <v>12/08/2023</v>
      </c>
      <c r="O719" t="str">
        <f t="shared" si="92"/>
        <v/>
      </c>
      <c r="P719" t="str">
        <f t="shared" si="93"/>
        <v/>
      </c>
      <c r="Q719" t="str">
        <f t="shared" si="94"/>
        <v/>
      </c>
      <c r="R719" t="str">
        <f t="shared" si="95"/>
        <v/>
      </c>
    </row>
    <row r="720" spans="1:18" x14ac:dyDescent="0.25">
      <c r="A720">
        <f>ROW()</f>
        <v>720</v>
      </c>
      <c r="B720" t="s">
        <v>233</v>
      </c>
      <c r="C720" t="s">
        <v>482</v>
      </c>
      <c r="D720" t="s">
        <v>41</v>
      </c>
      <c r="E720" t="s">
        <v>98</v>
      </c>
      <c r="J720" t="str">
        <f>IF(A720&lt;WORKSHEET!$R$2,WORKSHEET!$C$2,IF(B720="Air Waybill Number",C720,J719))</f>
        <v>774398794300</v>
      </c>
      <c r="K720" t="str">
        <f t="shared" si="88"/>
        <v>870091403</v>
      </c>
      <c r="L720" t="str">
        <f t="shared" si="89"/>
        <v>20 Dec 2023</v>
      </c>
      <c r="M720" t="str">
        <f t="shared" si="90"/>
        <v/>
      </c>
      <c r="N720" t="str">
        <f t="shared" si="91"/>
        <v>12/08/2023</v>
      </c>
      <c r="O720" t="str">
        <f t="shared" si="92"/>
        <v/>
      </c>
      <c r="P720" t="str">
        <f t="shared" si="93"/>
        <v/>
      </c>
      <c r="Q720" t="str">
        <f t="shared" si="94"/>
        <v/>
      </c>
      <c r="R720" t="str">
        <f t="shared" si="95"/>
        <v/>
      </c>
    </row>
    <row r="721" spans="1:18" x14ac:dyDescent="0.25">
      <c r="A721">
        <f>ROW()</f>
        <v>721</v>
      </c>
      <c r="B721" t="s">
        <v>237</v>
      </c>
      <c r="C721" t="s">
        <v>238</v>
      </c>
      <c r="D721" t="s">
        <v>293</v>
      </c>
      <c r="E721" t="s">
        <v>483</v>
      </c>
      <c r="J721" t="str">
        <f>IF(A721&lt;WORKSHEET!$R$2,WORKSHEET!$C$2,IF(B721="Air Waybill Number",C721,J720))</f>
        <v>774398794300</v>
      </c>
      <c r="K721" t="str">
        <f t="shared" si="88"/>
        <v>870091403</v>
      </c>
      <c r="L721" t="str">
        <f t="shared" si="89"/>
        <v>20 Dec 2023</v>
      </c>
      <c r="M721" t="str">
        <f t="shared" si="90"/>
        <v/>
      </c>
      <c r="N721" t="str">
        <f t="shared" si="91"/>
        <v>12/08/2023</v>
      </c>
      <c r="O721" t="str">
        <f t="shared" si="92"/>
        <v/>
      </c>
      <c r="P721" t="str">
        <f t="shared" si="93"/>
        <v/>
      </c>
      <c r="Q721" t="str">
        <f t="shared" si="94"/>
        <v/>
      </c>
      <c r="R721" t="str">
        <f t="shared" si="95"/>
        <v/>
      </c>
    </row>
    <row r="722" spans="1:18" x14ac:dyDescent="0.25">
      <c r="A722">
        <f>ROW()</f>
        <v>722</v>
      </c>
      <c r="B722" t="s">
        <v>241</v>
      </c>
      <c r="C722" t="s">
        <v>629</v>
      </c>
      <c r="D722" t="s">
        <v>296</v>
      </c>
      <c r="E722" t="s">
        <v>484</v>
      </c>
      <c r="J722" t="str">
        <f>IF(A722&lt;WORKSHEET!$R$2,WORKSHEET!$C$2,IF(B722="Air Waybill Number",C722,J721))</f>
        <v>774398794300</v>
      </c>
      <c r="K722" t="str">
        <f t="shared" si="88"/>
        <v>870091403</v>
      </c>
      <c r="L722" t="str">
        <f t="shared" si="89"/>
        <v>20 Dec 2023</v>
      </c>
      <c r="M722" t="str">
        <f t="shared" si="90"/>
        <v/>
      </c>
      <c r="N722" t="str">
        <f t="shared" si="91"/>
        <v>12/08/2023</v>
      </c>
      <c r="O722" t="str">
        <f t="shared" si="92"/>
        <v/>
      </c>
      <c r="P722" t="str">
        <f t="shared" si="93"/>
        <v/>
      </c>
      <c r="Q722" t="str">
        <f t="shared" si="94"/>
        <v/>
      </c>
      <c r="R722" t="str">
        <f t="shared" si="95"/>
        <v/>
      </c>
    </row>
    <row r="723" spans="1:18" x14ac:dyDescent="0.25">
      <c r="A723">
        <f>ROW()</f>
        <v>723</v>
      </c>
      <c r="B723" t="s">
        <v>286</v>
      </c>
      <c r="C723" t="s">
        <v>299</v>
      </c>
      <c r="D723" t="s">
        <v>300</v>
      </c>
      <c r="E723" t="s">
        <v>520</v>
      </c>
      <c r="F723" t="s">
        <v>343</v>
      </c>
      <c r="J723" t="str">
        <f>IF(A723&lt;WORKSHEET!$R$2,WORKSHEET!$C$2,IF(B723="Air Waybill Number",C723,J722))</f>
        <v>774398794300</v>
      </c>
      <c r="K723" t="str">
        <f t="shared" si="88"/>
        <v>870091403</v>
      </c>
      <c r="L723" t="str">
        <f t="shared" si="89"/>
        <v>20 Dec 2023</v>
      </c>
      <c r="M723" t="str">
        <f t="shared" si="90"/>
        <v/>
      </c>
      <c r="N723" t="str">
        <f t="shared" si="91"/>
        <v>12/08/2023</v>
      </c>
      <c r="O723" t="str">
        <f t="shared" si="92"/>
        <v/>
      </c>
      <c r="P723" t="str">
        <f t="shared" si="93"/>
        <v/>
      </c>
      <c r="Q723" t="str">
        <f t="shared" si="94"/>
        <v/>
      </c>
      <c r="R723" t="str">
        <f t="shared" si="95"/>
        <v/>
      </c>
    </row>
    <row r="724" spans="1:18" x14ac:dyDescent="0.25">
      <c r="A724">
        <f>ROW()</f>
        <v>724</v>
      </c>
      <c r="B724" t="s">
        <v>249</v>
      </c>
      <c r="C724" t="s">
        <v>630</v>
      </c>
      <c r="D724" t="s">
        <v>248</v>
      </c>
      <c r="G724">
        <v>1160000</v>
      </c>
      <c r="J724" t="str">
        <f>IF(A724&lt;WORKSHEET!$R$2,WORKSHEET!$C$2,IF(B724="Air Waybill Number",C724,J723))</f>
        <v>774398794300</v>
      </c>
      <c r="K724" t="str">
        <f t="shared" si="88"/>
        <v>870091403</v>
      </c>
      <c r="L724" t="str">
        <f t="shared" si="89"/>
        <v>20 Dec 2023</v>
      </c>
      <c r="M724" t="str">
        <f t="shared" si="90"/>
        <v/>
      </c>
      <c r="N724" t="str">
        <f t="shared" si="91"/>
        <v>12/08/2023</v>
      </c>
      <c r="O724" t="str">
        <f t="shared" si="92"/>
        <v/>
      </c>
      <c r="P724" t="str">
        <f t="shared" si="93"/>
        <v/>
      </c>
      <c r="Q724" t="str">
        <f t="shared" si="94"/>
        <v/>
      </c>
      <c r="R724" t="str">
        <f t="shared" si="95"/>
        <v/>
      </c>
    </row>
    <row r="725" spans="1:18" x14ac:dyDescent="0.25">
      <c r="A725">
        <f>ROW()</f>
        <v>725</v>
      </c>
      <c r="D725" t="s">
        <v>251</v>
      </c>
      <c r="E725" t="s">
        <v>252</v>
      </c>
      <c r="G725">
        <v>-944588</v>
      </c>
      <c r="J725" t="str">
        <f>IF(A725&lt;WORKSHEET!$R$2,WORKSHEET!$C$2,IF(B725="Air Waybill Number",C725,J724))</f>
        <v>774398794300</v>
      </c>
      <c r="K725" t="str">
        <f t="shared" si="88"/>
        <v>870091403</v>
      </c>
      <c r="L725" t="str">
        <f t="shared" si="89"/>
        <v>20 Dec 2023</v>
      </c>
      <c r="M725" t="str">
        <f t="shared" si="90"/>
        <v/>
      </c>
      <c r="N725" t="str">
        <f t="shared" si="91"/>
        <v>12/08/2023</v>
      </c>
      <c r="O725" t="str">
        <f t="shared" si="92"/>
        <v/>
      </c>
      <c r="P725" t="str">
        <f t="shared" si="93"/>
        <v/>
      </c>
      <c r="Q725" t="str">
        <f t="shared" si="94"/>
        <v/>
      </c>
      <c r="R725" t="str">
        <f t="shared" si="95"/>
        <v/>
      </c>
    </row>
    <row r="726" spans="1:18" x14ac:dyDescent="0.25">
      <c r="A726">
        <f>ROW()</f>
        <v>726</v>
      </c>
      <c r="D726" t="s">
        <v>254</v>
      </c>
      <c r="E726" t="s">
        <v>12</v>
      </c>
      <c r="G726">
        <v>70626</v>
      </c>
      <c r="J726" t="str">
        <f>IF(A726&lt;WORKSHEET!$R$2,WORKSHEET!$C$2,IF(B726="Air Waybill Number",C726,J725))</f>
        <v>774398794300</v>
      </c>
      <c r="K726" t="str">
        <f t="shared" si="88"/>
        <v>870091403</v>
      </c>
      <c r="L726" t="str">
        <f t="shared" si="89"/>
        <v>20 Dec 2023</v>
      </c>
      <c r="M726" t="str">
        <f t="shared" si="90"/>
        <v/>
      </c>
      <c r="N726" t="str">
        <f t="shared" si="91"/>
        <v>12/08/2023</v>
      </c>
      <c r="O726" t="str">
        <f t="shared" si="92"/>
        <v/>
      </c>
      <c r="P726" t="str">
        <f t="shared" si="93"/>
        <v/>
      </c>
      <c r="Q726" t="str">
        <f t="shared" si="94"/>
        <v/>
      </c>
      <c r="R726" t="str">
        <f t="shared" si="95"/>
        <v/>
      </c>
    </row>
    <row r="727" spans="1:18" x14ac:dyDescent="0.25">
      <c r="A727">
        <f>ROW()</f>
        <v>727</v>
      </c>
      <c r="D727" t="s">
        <v>254</v>
      </c>
      <c r="E727" t="s">
        <v>260</v>
      </c>
      <c r="G727">
        <v>24000</v>
      </c>
      <c r="J727" t="str">
        <f>IF(A727&lt;WORKSHEET!$R$2,WORKSHEET!$C$2,IF(B727="Air Waybill Number",C727,J726))</f>
        <v>774398794300</v>
      </c>
      <c r="K727" t="str">
        <f t="shared" si="88"/>
        <v>870091403</v>
      </c>
      <c r="L727" t="str">
        <f t="shared" si="89"/>
        <v>20 Dec 2023</v>
      </c>
      <c r="M727" t="str">
        <f t="shared" si="90"/>
        <v/>
      </c>
      <c r="N727" t="str">
        <f t="shared" si="91"/>
        <v>12/08/2023</v>
      </c>
      <c r="O727" t="str">
        <f t="shared" si="92"/>
        <v/>
      </c>
      <c r="P727" t="str">
        <f t="shared" si="93"/>
        <v/>
      </c>
      <c r="Q727" t="str">
        <f t="shared" si="94"/>
        <v/>
      </c>
      <c r="R727" t="str">
        <f t="shared" si="95"/>
        <v/>
      </c>
    </row>
    <row r="728" spans="1:18" x14ac:dyDescent="0.25">
      <c r="A728">
        <f>ROW()</f>
        <v>728</v>
      </c>
      <c r="D728" t="s">
        <v>261</v>
      </c>
      <c r="G728">
        <v>3410</v>
      </c>
      <c r="J728" t="str">
        <f>IF(A728&lt;WORKSHEET!$R$2,WORKSHEET!$C$2,IF(B728="Air Waybill Number",C728,J727))</f>
        <v>774398794300</v>
      </c>
      <c r="K728" t="str">
        <f t="shared" si="88"/>
        <v>870091403</v>
      </c>
      <c r="L728" t="str">
        <f t="shared" si="89"/>
        <v>20 Dec 2023</v>
      </c>
      <c r="M728" t="str">
        <f t="shared" si="90"/>
        <v/>
      </c>
      <c r="N728" t="str">
        <f t="shared" si="91"/>
        <v>12/08/2023</v>
      </c>
      <c r="O728" t="str">
        <f t="shared" si="92"/>
        <v/>
      </c>
      <c r="P728" t="str">
        <f t="shared" si="93"/>
        <v/>
      </c>
      <c r="Q728" t="str">
        <f t="shared" si="94"/>
        <v/>
      </c>
      <c r="R728" t="str">
        <f t="shared" si="95"/>
        <v/>
      </c>
    </row>
    <row r="729" spans="1:18" x14ac:dyDescent="0.25">
      <c r="A729">
        <f>ROW()</f>
        <v>729</v>
      </c>
      <c r="D729" t="s">
        <v>14</v>
      </c>
      <c r="G729">
        <v>313448</v>
      </c>
      <c r="J729" t="str">
        <f>IF(A729&lt;WORKSHEET!$R$2,WORKSHEET!$C$2,IF(B729="Air Waybill Number",C729,J728))</f>
        <v>774398794300</v>
      </c>
      <c r="K729" t="str">
        <f t="shared" si="88"/>
        <v>870091403</v>
      </c>
      <c r="L729" t="str">
        <f t="shared" si="89"/>
        <v>20 Dec 2023</v>
      </c>
      <c r="M729" t="str">
        <f t="shared" si="90"/>
        <v/>
      </c>
      <c r="N729" t="str">
        <f t="shared" si="91"/>
        <v>12/08/2023</v>
      </c>
      <c r="O729" t="str">
        <f t="shared" si="92"/>
        <v/>
      </c>
      <c r="P729" t="str">
        <f t="shared" si="93"/>
        <v/>
      </c>
      <c r="Q729" t="str">
        <f t="shared" si="94"/>
        <v/>
      </c>
      <c r="R729" t="str">
        <f t="shared" si="95"/>
        <v/>
      </c>
    </row>
    <row r="730" spans="1:18" x14ac:dyDescent="0.25">
      <c r="A730">
        <f>ROW()</f>
        <v>730</v>
      </c>
      <c r="D730" t="s">
        <v>540</v>
      </c>
      <c r="J730" t="str">
        <f>IF(A730&lt;WORKSHEET!$R$2,WORKSHEET!$C$2,IF(B730="Air Waybill Number",C730,J729))</f>
        <v>774398794300</v>
      </c>
      <c r="K730" t="str">
        <f t="shared" si="88"/>
        <v>870091403</v>
      </c>
      <c r="L730" t="str">
        <f t="shared" si="89"/>
        <v>20 Dec 2023</v>
      </c>
      <c r="M730" t="str">
        <f t="shared" si="90"/>
        <v/>
      </c>
      <c r="N730" t="str">
        <f t="shared" si="91"/>
        <v>12/08/2023</v>
      </c>
      <c r="O730" t="str">
        <f t="shared" si="92"/>
        <v/>
      </c>
      <c r="P730" t="str">
        <f t="shared" si="93"/>
        <v/>
      </c>
      <c r="Q730" t="str">
        <f t="shared" si="94"/>
        <v/>
      </c>
      <c r="R730" t="str">
        <f t="shared" si="95"/>
        <v/>
      </c>
    </row>
    <row r="731" spans="1:18" x14ac:dyDescent="0.25">
      <c r="A731">
        <f>ROW()</f>
        <v>731</v>
      </c>
      <c r="B731" t="s">
        <v>226</v>
      </c>
      <c r="C731" t="s">
        <v>544</v>
      </c>
      <c r="D731" t="s">
        <v>290</v>
      </c>
      <c r="E731" t="s">
        <v>631</v>
      </c>
      <c r="J731" t="str">
        <f>IF(A731&lt;WORKSHEET!$R$2,WORKSHEET!$C$2,IF(B731="Air Waybill Number",C731,J730))</f>
        <v>774398794300</v>
      </c>
      <c r="K731" t="str">
        <f t="shared" si="88"/>
        <v>870091403</v>
      </c>
      <c r="L731" t="str">
        <f t="shared" si="89"/>
        <v>20 Dec 2023</v>
      </c>
      <c r="M731" t="str">
        <f t="shared" si="90"/>
        <v/>
      </c>
      <c r="N731" t="str">
        <f t="shared" si="91"/>
        <v>12/08/2023</v>
      </c>
      <c r="O731" t="str">
        <f t="shared" si="92"/>
        <v>AGUSTINA FUNG FUNG/MERY/VIOLA</v>
      </c>
      <c r="P731" t="str">
        <f t="shared" si="93"/>
        <v>GISTEX GARMEN INDONESIA</v>
      </c>
      <c r="Q731" t="str">
        <f t="shared" si="94"/>
        <v>TODD GANSLUCKNER</v>
      </c>
      <c r="R731" t="str">
        <f t="shared" si="95"/>
        <v/>
      </c>
    </row>
    <row r="732" spans="1:18" x14ac:dyDescent="0.25">
      <c r="A732">
        <f>ROW()</f>
        <v>732</v>
      </c>
      <c r="B732" t="s">
        <v>232</v>
      </c>
      <c r="C732" t="s">
        <v>140</v>
      </c>
      <c r="D732" t="s">
        <v>92</v>
      </c>
      <c r="E732" t="s">
        <v>141</v>
      </c>
      <c r="J732" t="str">
        <f>IF(A732&lt;WORKSHEET!$R$2,WORKSHEET!$C$2,IF(B732="Air Waybill Number",C732,J731))</f>
        <v>774365282079</v>
      </c>
      <c r="K732" t="str">
        <f t="shared" si="88"/>
        <v>870091403</v>
      </c>
      <c r="L732" t="str">
        <f t="shared" si="89"/>
        <v>20 Dec 2023</v>
      </c>
      <c r="M732" t="str">
        <f t="shared" si="90"/>
        <v>774365282079-1</v>
      </c>
      <c r="N732" t="str">
        <f t="shared" si="91"/>
        <v>12/08/2023</v>
      </c>
      <c r="O732" t="str">
        <f t="shared" si="92"/>
        <v/>
      </c>
      <c r="P732" t="str">
        <f t="shared" si="93"/>
        <v/>
      </c>
      <c r="Q732" t="str">
        <f t="shared" si="94"/>
        <v/>
      </c>
      <c r="R732" t="str">
        <f t="shared" si="95"/>
        <v/>
      </c>
    </row>
    <row r="733" spans="1:18" x14ac:dyDescent="0.25">
      <c r="A733">
        <f>ROW()</f>
        <v>733</v>
      </c>
      <c r="B733" t="s">
        <v>233</v>
      </c>
      <c r="C733" t="s">
        <v>279</v>
      </c>
      <c r="D733" t="s">
        <v>41</v>
      </c>
      <c r="J733" t="str">
        <f>IF(A733&lt;WORKSHEET!$R$2,WORKSHEET!$C$2,IF(B733="Air Waybill Number",C733,J732))</f>
        <v>774365282079</v>
      </c>
      <c r="K733" t="str">
        <f t="shared" si="88"/>
        <v>870091403</v>
      </c>
      <c r="L733" t="str">
        <f t="shared" si="89"/>
        <v>20 Dec 2023</v>
      </c>
      <c r="M733" t="str">
        <f t="shared" si="90"/>
        <v/>
      </c>
      <c r="N733" t="str">
        <f t="shared" si="91"/>
        <v>12/08/2023</v>
      </c>
      <c r="O733" t="str">
        <f t="shared" si="92"/>
        <v/>
      </c>
      <c r="P733" t="str">
        <f t="shared" si="93"/>
        <v/>
      </c>
      <c r="Q733" t="str">
        <f t="shared" si="94"/>
        <v/>
      </c>
      <c r="R733" t="str">
        <f t="shared" si="95"/>
        <v/>
      </c>
    </row>
    <row r="734" spans="1:18" x14ac:dyDescent="0.25">
      <c r="A734">
        <f>ROW()</f>
        <v>734</v>
      </c>
      <c r="B734" t="s">
        <v>237</v>
      </c>
      <c r="C734" t="s">
        <v>238</v>
      </c>
      <c r="D734" t="s">
        <v>293</v>
      </c>
      <c r="E734" t="s">
        <v>632</v>
      </c>
      <c r="J734" t="str">
        <f>IF(A734&lt;WORKSHEET!$R$2,WORKSHEET!$C$2,IF(B734="Air Waybill Number",C734,J733))</f>
        <v>774365282079</v>
      </c>
      <c r="K734" t="str">
        <f t="shared" si="88"/>
        <v>870091403</v>
      </c>
      <c r="L734" t="str">
        <f t="shared" si="89"/>
        <v>20 Dec 2023</v>
      </c>
      <c r="M734" t="str">
        <f t="shared" si="90"/>
        <v/>
      </c>
      <c r="N734" t="str">
        <f t="shared" si="91"/>
        <v>12/08/2023</v>
      </c>
      <c r="O734" t="str">
        <f t="shared" si="92"/>
        <v/>
      </c>
      <c r="P734" t="str">
        <f t="shared" si="93"/>
        <v/>
      </c>
      <c r="Q734" t="str">
        <f t="shared" si="94"/>
        <v/>
      </c>
      <c r="R734" t="str">
        <f t="shared" si="95"/>
        <v/>
      </c>
    </row>
    <row r="735" spans="1:18" x14ac:dyDescent="0.25">
      <c r="A735">
        <f>ROW()</f>
        <v>735</v>
      </c>
      <c r="B735" t="s">
        <v>241</v>
      </c>
      <c r="C735" t="s">
        <v>524</v>
      </c>
      <c r="D735" t="s">
        <v>296</v>
      </c>
      <c r="E735" t="s">
        <v>633</v>
      </c>
      <c r="J735" t="str">
        <f>IF(A735&lt;WORKSHEET!$R$2,WORKSHEET!$C$2,IF(B735="Air Waybill Number",C735,J734))</f>
        <v>774365282079</v>
      </c>
      <c r="K735" t="str">
        <f t="shared" si="88"/>
        <v>870091403</v>
      </c>
      <c r="L735" t="str">
        <f t="shared" si="89"/>
        <v>20 Dec 2023</v>
      </c>
      <c r="M735" t="str">
        <f t="shared" si="90"/>
        <v/>
      </c>
      <c r="N735" t="str">
        <f t="shared" si="91"/>
        <v>12/08/2023</v>
      </c>
      <c r="O735" t="str">
        <f t="shared" si="92"/>
        <v/>
      </c>
      <c r="P735" t="str">
        <f t="shared" si="93"/>
        <v/>
      </c>
      <c r="Q735" t="str">
        <f t="shared" si="94"/>
        <v/>
      </c>
      <c r="R735" t="str">
        <f t="shared" si="95"/>
        <v/>
      </c>
    </row>
    <row r="736" spans="1:18" x14ac:dyDescent="0.25">
      <c r="A736">
        <f>ROW()</f>
        <v>736</v>
      </c>
      <c r="B736" t="s">
        <v>286</v>
      </c>
      <c r="C736" t="s">
        <v>299</v>
      </c>
      <c r="D736" t="s">
        <v>300</v>
      </c>
      <c r="E736" t="s">
        <v>634</v>
      </c>
      <c r="J736" t="str">
        <f>IF(A736&lt;WORKSHEET!$R$2,WORKSHEET!$C$2,IF(B736="Air Waybill Number",C736,J735))</f>
        <v>774365282079</v>
      </c>
      <c r="K736" t="str">
        <f t="shared" si="88"/>
        <v>870091403</v>
      </c>
      <c r="L736" t="str">
        <f t="shared" si="89"/>
        <v>20 Dec 2023</v>
      </c>
      <c r="M736" t="str">
        <f t="shared" si="90"/>
        <v/>
      </c>
      <c r="N736" t="str">
        <f t="shared" si="91"/>
        <v>12/08/2023</v>
      </c>
      <c r="O736" t="str">
        <f t="shared" si="92"/>
        <v/>
      </c>
      <c r="P736" t="str">
        <f t="shared" si="93"/>
        <v/>
      </c>
      <c r="Q736" t="str">
        <f t="shared" si="94"/>
        <v/>
      </c>
      <c r="R736" t="str">
        <f t="shared" si="95"/>
        <v/>
      </c>
    </row>
    <row r="737" spans="1:18" x14ac:dyDescent="0.25">
      <c r="A737">
        <f>ROW()</f>
        <v>737</v>
      </c>
      <c r="B737" t="s">
        <v>249</v>
      </c>
      <c r="C737" t="s">
        <v>635</v>
      </c>
      <c r="D737" t="s">
        <v>248</v>
      </c>
      <c r="G737">
        <v>2406000</v>
      </c>
      <c r="J737" t="str">
        <f>IF(A737&lt;WORKSHEET!$R$2,WORKSHEET!$C$2,IF(B737="Air Waybill Number",C737,J736))</f>
        <v>774365282079</v>
      </c>
      <c r="K737" t="str">
        <f t="shared" si="88"/>
        <v>870091403</v>
      </c>
      <c r="L737" t="str">
        <f t="shared" si="89"/>
        <v>20 Dec 2023</v>
      </c>
      <c r="M737" t="str">
        <f t="shared" si="90"/>
        <v/>
      </c>
      <c r="N737" t="str">
        <f t="shared" si="91"/>
        <v>12/08/2023</v>
      </c>
      <c r="O737" t="str">
        <f t="shared" si="92"/>
        <v/>
      </c>
      <c r="P737" t="str">
        <f t="shared" si="93"/>
        <v/>
      </c>
      <c r="Q737" t="str">
        <f t="shared" si="94"/>
        <v/>
      </c>
      <c r="R737" t="str">
        <f t="shared" si="95"/>
        <v/>
      </c>
    </row>
    <row r="738" spans="1:18" x14ac:dyDescent="0.25">
      <c r="A738">
        <f>ROW()</f>
        <v>738</v>
      </c>
      <c r="D738" t="s">
        <v>251</v>
      </c>
      <c r="E738" t="s">
        <v>252</v>
      </c>
      <c r="G738">
        <v>-1916138</v>
      </c>
      <c r="J738" t="str">
        <f>IF(A738&lt;WORKSHEET!$R$2,WORKSHEET!$C$2,IF(B738="Air Waybill Number",C738,J737))</f>
        <v>774365282079</v>
      </c>
      <c r="K738" t="str">
        <f t="shared" si="88"/>
        <v>870091403</v>
      </c>
      <c r="L738" t="str">
        <f t="shared" si="89"/>
        <v>20 Dec 2023</v>
      </c>
      <c r="M738" t="str">
        <f t="shared" si="90"/>
        <v/>
      </c>
      <c r="N738" t="str">
        <f t="shared" si="91"/>
        <v>12/08/2023</v>
      </c>
      <c r="O738" t="str">
        <f t="shared" si="92"/>
        <v/>
      </c>
      <c r="P738" t="str">
        <f t="shared" si="93"/>
        <v/>
      </c>
      <c r="Q738" t="str">
        <f t="shared" si="94"/>
        <v/>
      </c>
      <c r="R738" t="str">
        <f t="shared" si="95"/>
        <v/>
      </c>
    </row>
    <row r="739" spans="1:18" x14ac:dyDescent="0.25">
      <c r="A739">
        <f>ROW()</f>
        <v>739</v>
      </c>
      <c r="D739" t="s">
        <v>254</v>
      </c>
      <c r="E739" t="s">
        <v>12</v>
      </c>
      <c r="G739">
        <v>169289</v>
      </c>
      <c r="J739" t="str">
        <f>IF(A739&lt;WORKSHEET!$R$2,WORKSHEET!$C$2,IF(B739="Air Waybill Number",C739,J738))</f>
        <v>774365282079</v>
      </c>
      <c r="K739" t="str">
        <f t="shared" si="88"/>
        <v>870091403</v>
      </c>
      <c r="L739" t="str">
        <f t="shared" si="89"/>
        <v>20 Dec 2023</v>
      </c>
      <c r="M739" t="str">
        <f t="shared" si="90"/>
        <v/>
      </c>
      <c r="N739" t="str">
        <f t="shared" si="91"/>
        <v>12/08/2023</v>
      </c>
      <c r="O739" t="str">
        <f t="shared" si="92"/>
        <v/>
      </c>
      <c r="P739" t="str">
        <f t="shared" si="93"/>
        <v/>
      </c>
      <c r="Q739" t="str">
        <f t="shared" si="94"/>
        <v/>
      </c>
      <c r="R739" t="str">
        <f t="shared" si="95"/>
        <v/>
      </c>
    </row>
    <row r="740" spans="1:18" x14ac:dyDescent="0.25">
      <c r="A740">
        <f>ROW()</f>
        <v>740</v>
      </c>
      <c r="D740" t="s">
        <v>254</v>
      </c>
      <c r="E740" t="s">
        <v>260</v>
      </c>
      <c r="G740">
        <v>32000</v>
      </c>
      <c r="J740" t="str">
        <f>IF(A740&lt;WORKSHEET!$R$2,WORKSHEET!$C$2,IF(B740="Air Waybill Number",C740,J739))</f>
        <v>774365282079</v>
      </c>
      <c r="K740" t="str">
        <f t="shared" si="88"/>
        <v>870091403</v>
      </c>
      <c r="L740" t="str">
        <f t="shared" si="89"/>
        <v>20 Dec 2023</v>
      </c>
      <c r="M740" t="str">
        <f t="shared" si="90"/>
        <v/>
      </c>
      <c r="N740" t="str">
        <f t="shared" si="91"/>
        <v>12/08/2023</v>
      </c>
      <c r="O740" t="str">
        <f t="shared" si="92"/>
        <v/>
      </c>
      <c r="P740" t="str">
        <f t="shared" si="93"/>
        <v/>
      </c>
      <c r="Q740" t="str">
        <f t="shared" si="94"/>
        <v/>
      </c>
      <c r="R740" t="str">
        <f t="shared" si="95"/>
        <v/>
      </c>
    </row>
    <row r="741" spans="1:18" x14ac:dyDescent="0.25">
      <c r="A741">
        <f>ROW()</f>
        <v>741</v>
      </c>
      <c r="D741" t="s">
        <v>254</v>
      </c>
      <c r="E741" t="s">
        <v>636</v>
      </c>
      <c r="G741">
        <v>52000</v>
      </c>
      <c r="J741" t="str">
        <f>IF(A741&lt;WORKSHEET!$R$2,WORKSHEET!$C$2,IF(B741="Air Waybill Number",C741,J740))</f>
        <v>774365282079</v>
      </c>
      <c r="K741" t="str">
        <f t="shared" si="88"/>
        <v>870091403</v>
      </c>
      <c r="L741" t="str">
        <f t="shared" si="89"/>
        <v>20 Dec 2023</v>
      </c>
      <c r="M741" t="str">
        <f t="shared" si="90"/>
        <v/>
      </c>
      <c r="N741" t="str">
        <f t="shared" si="91"/>
        <v>12/08/2023</v>
      </c>
      <c r="O741" t="str">
        <f t="shared" si="92"/>
        <v/>
      </c>
      <c r="P741" t="str">
        <f t="shared" si="93"/>
        <v/>
      </c>
      <c r="Q741" t="str">
        <f t="shared" si="94"/>
        <v/>
      </c>
      <c r="R741" t="str">
        <f t="shared" si="95"/>
        <v/>
      </c>
    </row>
    <row r="742" spans="1:18" x14ac:dyDescent="0.25">
      <c r="A742">
        <f>ROW()</f>
        <v>742</v>
      </c>
      <c r="D742" t="s">
        <v>261</v>
      </c>
      <c r="G742">
        <v>8174</v>
      </c>
      <c r="J742" t="str">
        <f>IF(A742&lt;WORKSHEET!$R$2,WORKSHEET!$C$2,IF(B742="Air Waybill Number",C742,J741))</f>
        <v>774365282079</v>
      </c>
      <c r="K742" t="str">
        <f t="shared" si="88"/>
        <v>870091403</v>
      </c>
      <c r="L742" t="str">
        <f t="shared" si="89"/>
        <v>20 Dec 2023</v>
      </c>
      <c r="M742" t="str">
        <f t="shared" si="90"/>
        <v/>
      </c>
      <c r="N742" t="str">
        <f t="shared" si="91"/>
        <v>12/08/2023</v>
      </c>
      <c r="O742" t="str">
        <f t="shared" si="92"/>
        <v/>
      </c>
      <c r="P742" t="str">
        <f t="shared" si="93"/>
        <v/>
      </c>
      <c r="Q742" t="str">
        <f t="shared" si="94"/>
        <v/>
      </c>
      <c r="R742" t="str">
        <f t="shared" si="95"/>
        <v/>
      </c>
    </row>
    <row r="743" spans="1:18" x14ac:dyDescent="0.25">
      <c r="A743">
        <f>ROW()</f>
        <v>743</v>
      </c>
      <c r="D743" t="s">
        <v>14</v>
      </c>
      <c r="G743">
        <v>751325</v>
      </c>
      <c r="J743" t="str">
        <f>IF(A743&lt;WORKSHEET!$R$2,WORKSHEET!$C$2,IF(B743="Air Waybill Number",C743,J742))</f>
        <v>774365282079</v>
      </c>
      <c r="K743" t="str">
        <f t="shared" si="88"/>
        <v>870091403</v>
      </c>
      <c r="L743" t="str">
        <f t="shared" si="89"/>
        <v>20 Dec 2023</v>
      </c>
      <c r="M743" t="str">
        <f t="shared" si="90"/>
        <v/>
      </c>
      <c r="N743" t="str">
        <f t="shared" si="91"/>
        <v>12/08/2023</v>
      </c>
      <c r="O743" t="str">
        <f t="shared" si="92"/>
        <v/>
      </c>
      <c r="P743" t="str">
        <f t="shared" si="93"/>
        <v/>
      </c>
      <c r="Q743" t="str">
        <f t="shared" si="94"/>
        <v/>
      </c>
      <c r="R743" t="str">
        <f t="shared" si="95"/>
        <v/>
      </c>
    </row>
    <row r="744" spans="1:18" x14ac:dyDescent="0.25">
      <c r="A744">
        <f>ROW()</f>
        <v>744</v>
      </c>
      <c r="B744" t="s">
        <v>226</v>
      </c>
      <c r="C744" t="s">
        <v>544</v>
      </c>
      <c r="D744" t="s">
        <v>290</v>
      </c>
      <c r="E744" t="s">
        <v>291</v>
      </c>
      <c r="J744" t="str">
        <f>IF(A744&lt;WORKSHEET!$R$2,WORKSHEET!$C$2,IF(B744="Air Waybill Number",C744,J743))</f>
        <v>774365282079</v>
      </c>
      <c r="K744" t="str">
        <f t="shared" si="88"/>
        <v>870091403</v>
      </c>
      <c r="L744" t="str">
        <f t="shared" si="89"/>
        <v>20 Dec 2023</v>
      </c>
      <c r="M744" t="str">
        <f t="shared" si="90"/>
        <v/>
      </c>
      <c r="N744" t="str">
        <f t="shared" si="91"/>
        <v>12/08/2023</v>
      </c>
      <c r="O744" t="str">
        <f t="shared" si="92"/>
        <v>EKA / BAYU</v>
      </c>
      <c r="P744" t="str">
        <f t="shared" si="93"/>
        <v>GISTEX GARMEN INDONESIA</v>
      </c>
      <c r="Q744" t="str">
        <f t="shared" si="94"/>
        <v>OGURA KENJI / HASHIMOTO KIMIE</v>
      </c>
      <c r="R744" t="str">
        <f t="shared" si="95"/>
        <v>MARUBENI FASHION LINK, LTD</v>
      </c>
    </row>
    <row r="745" spans="1:18" x14ac:dyDescent="0.25">
      <c r="A745">
        <f>ROW()</f>
        <v>745</v>
      </c>
      <c r="B745" t="s">
        <v>232</v>
      </c>
      <c r="C745" t="s">
        <v>142</v>
      </c>
      <c r="D745" t="s">
        <v>36</v>
      </c>
      <c r="E745" t="s">
        <v>37</v>
      </c>
      <c r="J745" t="str">
        <f>IF(A745&lt;WORKSHEET!$R$2,WORKSHEET!$C$2,IF(B745="Air Waybill Number",C745,J744))</f>
        <v>774397920487</v>
      </c>
      <c r="K745" t="str">
        <f t="shared" si="88"/>
        <v>870091403</v>
      </c>
      <c r="L745" t="str">
        <f t="shared" si="89"/>
        <v>20 Dec 2023</v>
      </c>
      <c r="M745" t="str">
        <f t="shared" si="90"/>
        <v>774397920487-1</v>
      </c>
      <c r="N745" t="str">
        <f t="shared" si="91"/>
        <v>12/08/2023</v>
      </c>
      <c r="O745" t="str">
        <f t="shared" si="92"/>
        <v/>
      </c>
      <c r="P745" t="str">
        <f t="shared" si="93"/>
        <v/>
      </c>
      <c r="Q745" t="str">
        <f t="shared" si="94"/>
        <v/>
      </c>
      <c r="R745" t="str">
        <f t="shared" si="95"/>
        <v/>
      </c>
    </row>
    <row r="746" spans="1:18" x14ac:dyDescent="0.25">
      <c r="A746">
        <f>ROW()</f>
        <v>746</v>
      </c>
      <c r="B746" t="s">
        <v>233</v>
      </c>
      <c r="C746" t="s">
        <v>279</v>
      </c>
      <c r="D746" t="s">
        <v>41</v>
      </c>
      <c r="E746" t="s">
        <v>39</v>
      </c>
      <c r="J746" t="str">
        <f>IF(A746&lt;WORKSHEET!$R$2,WORKSHEET!$C$2,IF(B746="Air Waybill Number",C746,J745))</f>
        <v>774397920487</v>
      </c>
      <c r="K746" t="str">
        <f t="shared" si="88"/>
        <v>870091403</v>
      </c>
      <c r="L746" t="str">
        <f t="shared" si="89"/>
        <v>20 Dec 2023</v>
      </c>
      <c r="M746" t="str">
        <f t="shared" si="90"/>
        <v/>
      </c>
      <c r="N746" t="str">
        <f t="shared" si="91"/>
        <v>12/08/2023</v>
      </c>
      <c r="O746" t="str">
        <f t="shared" si="92"/>
        <v/>
      </c>
      <c r="P746" t="str">
        <f t="shared" si="93"/>
        <v/>
      </c>
      <c r="Q746" t="str">
        <f t="shared" si="94"/>
        <v/>
      </c>
      <c r="R746" t="str">
        <f t="shared" si="95"/>
        <v/>
      </c>
    </row>
    <row r="747" spans="1:18" x14ac:dyDescent="0.25">
      <c r="A747">
        <f>ROW()</f>
        <v>747</v>
      </c>
      <c r="B747" t="s">
        <v>237</v>
      </c>
      <c r="C747" t="s">
        <v>238</v>
      </c>
      <c r="D747" t="s">
        <v>293</v>
      </c>
      <c r="E747" t="s">
        <v>294</v>
      </c>
      <c r="J747" t="str">
        <f>IF(A747&lt;WORKSHEET!$R$2,WORKSHEET!$C$2,IF(B747="Air Waybill Number",C747,J746))</f>
        <v>774397920487</v>
      </c>
      <c r="K747" t="str">
        <f t="shared" si="88"/>
        <v>870091403</v>
      </c>
      <c r="L747" t="str">
        <f t="shared" si="89"/>
        <v>20 Dec 2023</v>
      </c>
      <c r="M747" t="str">
        <f t="shared" si="90"/>
        <v/>
      </c>
      <c r="N747" t="str">
        <f t="shared" si="91"/>
        <v>12/08/2023</v>
      </c>
      <c r="O747" t="str">
        <f t="shared" si="92"/>
        <v/>
      </c>
      <c r="P747" t="str">
        <f t="shared" si="93"/>
        <v/>
      </c>
      <c r="Q747" t="str">
        <f t="shared" si="94"/>
        <v/>
      </c>
      <c r="R747" t="str">
        <f t="shared" si="95"/>
        <v/>
      </c>
    </row>
    <row r="748" spans="1:18" x14ac:dyDescent="0.25">
      <c r="A748">
        <f>ROW()</f>
        <v>748</v>
      </c>
      <c r="B748" t="s">
        <v>241</v>
      </c>
      <c r="C748" t="s">
        <v>637</v>
      </c>
      <c r="D748" t="s">
        <v>296</v>
      </c>
      <c r="E748" t="s">
        <v>297</v>
      </c>
      <c r="F748" t="s">
        <v>298</v>
      </c>
      <c r="J748" t="str">
        <f>IF(A748&lt;WORKSHEET!$R$2,WORKSHEET!$C$2,IF(B748="Air Waybill Number",C748,J747))</f>
        <v>774397920487</v>
      </c>
      <c r="K748" t="str">
        <f t="shared" si="88"/>
        <v>870091403</v>
      </c>
      <c r="L748" t="str">
        <f t="shared" si="89"/>
        <v>20 Dec 2023</v>
      </c>
      <c r="M748" t="str">
        <f t="shared" si="90"/>
        <v/>
      </c>
      <c r="N748" t="str">
        <f t="shared" si="91"/>
        <v>12/08/2023</v>
      </c>
      <c r="O748" t="str">
        <f t="shared" si="92"/>
        <v/>
      </c>
      <c r="P748" t="str">
        <f t="shared" si="93"/>
        <v/>
      </c>
      <c r="Q748" t="str">
        <f t="shared" si="94"/>
        <v/>
      </c>
      <c r="R748" t="str">
        <f t="shared" si="95"/>
        <v/>
      </c>
    </row>
    <row r="749" spans="1:18" x14ac:dyDescent="0.25">
      <c r="A749">
        <f>ROW()</f>
        <v>749</v>
      </c>
      <c r="B749" t="s">
        <v>245</v>
      </c>
      <c r="C749" t="s">
        <v>299</v>
      </c>
      <c r="D749" t="s">
        <v>300</v>
      </c>
      <c r="J749" t="str">
        <f>IF(A749&lt;WORKSHEET!$R$2,WORKSHEET!$C$2,IF(B749="Air Waybill Number",C749,J748))</f>
        <v>774397920487</v>
      </c>
      <c r="K749" t="str">
        <f t="shared" si="88"/>
        <v>870091403</v>
      </c>
      <c r="L749" t="str">
        <f t="shared" si="89"/>
        <v>20 Dec 2023</v>
      </c>
      <c r="M749" t="str">
        <f t="shared" si="90"/>
        <v/>
      </c>
      <c r="N749" t="str">
        <f t="shared" si="91"/>
        <v>12/08/2023</v>
      </c>
      <c r="O749" t="str">
        <f t="shared" si="92"/>
        <v/>
      </c>
      <c r="P749" t="str">
        <f t="shared" si="93"/>
        <v/>
      </c>
      <c r="Q749" t="str">
        <f t="shared" si="94"/>
        <v/>
      </c>
      <c r="R749" t="str">
        <f t="shared" si="95"/>
        <v/>
      </c>
    </row>
    <row r="750" spans="1:18" x14ac:dyDescent="0.25">
      <c r="A750">
        <f>ROW()</f>
        <v>750</v>
      </c>
      <c r="B750" t="s">
        <v>419</v>
      </c>
      <c r="C750" t="s">
        <v>638</v>
      </c>
      <c r="D750" t="s">
        <v>248</v>
      </c>
      <c r="G750">
        <v>1348000</v>
      </c>
      <c r="J750" t="str">
        <f>IF(A750&lt;WORKSHEET!$R$2,WORKSHEET!$C$2,IF(B750="Air Waybill Number",C750,J749))</f>
        <v>774397920487</v>
      </c>
      <c r="K750" t="str">
        <f t="shared" si="88"/>
        <v>870091403</v>
      </c>
      <c r="L750" t="str">
        <f t="shared" si="89"/>
        <v>20 Dec 2023</v>
      </c>
      <c r="M750" t="str">
        <f t="shared" si="90"/>
        <v/>
      </c>
      <c r="N750" t="str">
        <f t="shared" si="91"/>
        <v>12/08/2023</v>
      </c>
      <c r="O750" t="str">
        <f t="shared" si="92"/>
        <v/>
      </c>
      <c r="P750" t="str">
        <f t="shared" si="93"/>
        <v/>
      </c>
      <c r="Q750" t="str">
        <f t="shared" si="94"/>
        <v/>
      </c>
      <c r="R750" t="str">
        <f t="shared" si="95"/>
        <v/>
      </c>
    </row>
    <row r="751" spans="1:18" x14ac:dyDescent="0.25">
      <c r="A751">
        <f>ROW()</f>
        <v>751</v>
      </c>
      <c r="D751" t="s">
        <v>251</v>
      </c>
      <c r="E751" t="s">
        <v>252</v>
      </c>
      <c r="G751">
        <v>-1003316</v>
      </c>
      <c r="J751" t="str">
        <f>IF(A751&lt;WORKSHEET!$R$2,WORKSHEET!$C$2,IF(B751="Air Waybill Number",C751,J750))</f>
        <v>774397920487</v>
      </c>
      <c r="K751" t="str">
        <f t="shared" si="88"/>
        <v>870091403</v>
      </c>
      <c r="L751" t="str">
        <f t="shared" si="89"/>
        <v>20 Dec 2023</v>
      </c>
      <c r="M751" t="str">
        <f t="shared" si="90"/>
        <v/>
      </c>
      <c r="N751" t="str">
        <f t="shared" si="91"/>
        <v>12/08/2023</v>
      </c>
      <c r="O751" t="str">
        <f t="shared" si="92"/>
        <v/>
      </c>
      <c r="P751" t="str">
        <f t="shared" si="93"/>
        <v/>
      </c>
      <c r="Q751" t="str">
        <f t="shared" si="94"/>
        <v/>
      </c>
      <c r="R751" t="str">
        <f t="shared" si="95"/>
        <v/>
      </c>
    </row>
    <row r="752" spans="1:18" x14ac:dyDescent="0.25">
      <c r="A752">
        <f>ROW()</f>
        <v>752</v>
      </c>
      <c r="D752" t="s">
        <v>254</v>
      </c>
      <c r="E752" t="s">
        <v>12</v>
      </c>
      <c r="G752">
        <v>108761</v>
      </c>
      <c r="J752" t="str">
        <f>IF(A752&lt;WORKSHEET!$R$2,WORKSHEET!$C$2,IF(B752="Air Waybill Number",C752,J751))</f>
        <v>774397920487</v>
      </c>
      <c r="K752" t="str">
        <f t="shared" si="88"/>
        <v>870091403</v>
      </c>
      <c r="L752" t="str">
        <f t="shared" si="89"/>
        <v>20 Dec 2023</v>
      </c>
      <c r="M752" t="str">
        <f t="shared" si="90"/>
        <v/>
      </c>
      <c r="N752" t="str">
        <f t="shared" si="91"/>
        <v>12/08/2023</v>
      </c>
      <c r="O752" t="str">
        <f t="shared" si="92"/>
        <v/>
      </c>
      <c r="P752" t="str">
        <f t="shared" si="93"/>
        <v/>
      </c>
      <c r="Q752" t="str">
        <f t="shared" si="94"/>
        <v/>
      </c>
      <c r="R752" t="str">
        <f t="shared" si="95"/>
        <v/>
      </c>
    </row>
    <row r="753" spans="1:18" x14ac:dyDescent="0.25">
      <c r="A753">
        <f>ROW()</f>
        <v>753</v>
      </c>
      <c r="D753" t="s">
        <v>254</v>
      </c>
      <c r="E753" t="s">
        <v>260</v>
      </c>
      <c r="G753">
        <v>24000</v>
      </c>
      <c r="J753" t="str">
        <f>IF(A753&lt;WORKSHEET!$R$2,WORKSHEET!$C$2,IF(B753="Air Waybill Number",C753,J752))</f>
        <v>774397920487</v>
      </c>
      <c r="K753" t="str">
        <f t="shared" si="88"/>
        <v>870091403</v>
      </c>
      <c r="L753" t="str">
        <f t="shared" si="89"/>
        <v>20 Dec 2023</v>
      </c>
      <c r="M753" t="str">
        <f t="shared" si="90"/>
        <v/>
      </c>
      <c r="N753" t="str">
        <f t="shared" si="91"/>
        <v>12/08/2023</v>
      </c>
      <c r="O753" t="str">
        <f t="shared" si="92"/>
        <v/>
      </c>
      <c r="P753" t="str">
        <f t="shared" si="93"/>
        <v/>
      </c>
      <c r="Q753" t="str">
        <f t="shared" si="94"/>
        <v/>
      </c>
      <c r="R753" t="str">
        <f t="shared" si="95"/>
        <v/>
      </c>
    </row>
    <row r="754" spans="1:18" x14ac:dyDescent="0.25">
      <c r="A754">
        <f>ROW()</f>
        <v>754</v>
      </c>
      <c r="D754" t="s">
        <v>261</v>
      </c>
      <c r="G754">
        <v>5251</v>
      </c>
      <c r="J754" t="str">
        <f>IF(A754&lt;WORKSHEET!$R$2,WORKSHEET!$C$2,IF(B754="Air Waybill Number",C754,J753))</f>
        <v>774397920487</v>
      </c>
      <c r="K754" t="str">
        <f t="shared" si="88"/>
        <v>870091403</v>
      </c>
      <c r="L754" t="str">
        <f t="shared" si="89"/>
        <v>20 Dec 2023</v>
      </c>
      <c r="M754" t="str">
        <f t="shared" si="90"/>
        <v/>
      </c>
      <c r="N754" t="str">
        <f t="shared" si="91"/>
        <v>12/08/2023</v>
      </c>
      <c r="O754" t="str">
        <f t="shared" si="92"/>
        <v/>
      </c>
      <c r="P754" t="str">
        <f t="shared" si="93"/>
        <v/>
      </c>
      <c r="Q754" t="str">
        <f t="shared" si="94"/>
        <v/>
      </c>
      <c r="R754" t="str">
        <f t="shared" si="95"/>
        <v/>
      </c>
    </row>
    <row r="755" spans="1:18" x14ac:dyDescent="0.25">
      <c r="A755">
        <f>ROW()</f>
        <v>755</v>
      </c>
      <c r="D755" t="s">
        <v>14</v>
      </c>
      <c r="G755">
        <v>482696</v>
      </c>
      <c r="J755" t="str">
        <f>IF(A755&lt;WORKSHEET!$R$2,WORKSHEET!$C$2,IF(B755="Air Waybill Number",C755,J754))</f>
        <v>774397920487</v>
      </c>
      <c r="K755" t="str">
        <f t="shared" si="88"/>
        <v>870091403</v>
      </c>
      <c r="L755" t="str">
        <f t="shared" si="89"/>
        <v>20 Dec 2023</v>
      </c>
      <c r="M755" t="str">
        <f t="shared" si="90"/>
        <v/>
      </c>
      <c r="N755" t="str">
        <f t="shared" si="91"/>
        <v>12/08/2023</v>
      </c>
      <c r="O755" t="str">
        <f t="shared" si="92"/>
        <v/>
      </c>
      <c r="P755" t="str">
        <f t="shared" si="93"/>
        <v/>
      </c>
      <c r="Q755" t="str">
        <f t="shared" si="94"/>
        <v/>
      </c>
      <c r="R755" t="str">
        <f t="shared" si="95"/>
        <v/>
      </c>
    </row>
    <row r="756" spans="1:18" x14ac:dyDescent="0.25">
      <c r="A756">
        <f>ROW()</f>
        <v>756</v>
      </c>
      <c r="D756" t="s">
        <v>540</v>
      </c>
      <c r="J756" t="str">
        <f>IF(A756&lt;WORKSHEET!$R$2,WORKSHEET!$C$2,IF(B756="Air Waybill Number",C756,J755))</f>
        <v>774397920487</v>
      </c>
      <c r="K756" t="str">
        <f t="shared" si="88"/>
        <v>870091403</v>
      </c>
      <c r="L756" t="str">
        <f t="shared" si="89"/>
        <v>20 Dec 2023</v>
      </c>
      <c r="M756" t="str">
        <f t="shared" si="90"/>
        <v/>
      </c>
      <c r="N756" t="str">
        <f t="shared" si="91"/>
        <v>12/08/2023</v>
      </c>
      <c r="O756" t="str">
        <f t="shared" si="92"/>
        <v/>
      </c>
      <c r="P756" t="str">
        <f t="shared" si="93"/>
        <v/>
      </c>
      <c r="Q756" t="str">
        <f t="shared" si="94"/>
        <v/>
      </c>
      <c r="R756" t="str">
        <f t="shared" si="95"/>
        <v/>
      </c>
    </row>
    <row r="757" spans="1:18" x14ac:dyDescent="0.25">
      <c r="A757">
        <f>ROW()</f>
        <v>757</v>
      </c>
      <c r="B757" t="s">
        <v>226</v>
      </c>
      <c r="C757" t="s">
        <v>544</v>
      </c>
      <c r="D757" t="s">
        <v>290</v>
      </c>
      <c r="E757" t="s">
        <v>291</v>
      </c>
      <c r="J757" t="str">
        <f>IF(A757&lt;WORKSHEET!$R$2,WORKSHEET!$C$2,IF(B757="Air Waybill Number",C757,J756))</f>
        <v>774397920487</v>
      </c>
      <c r="K757" t="str">
        <f t="shared" si="88"/>
        <v>870091403</v>
      </c>
      <c r="L757" t="str">
        <f t="shared" si="89"/>
        <v>20 Dec 2023</v>
      </c>
      <c r="M757" t="str">
        <f t="shared" si="90"/>
        <v/>
      </c>
      <c r="N757" t="str">
        <f t="shared" si="91"/>
        <v>12/08/2023</v>
      </c>
      <c r="O757" t="str">
        <f t="shared" si="92"/>
        <v>EKA / BAYU</v>
      </c>
      <c r="P757" t="str">
        <f t="shared" si="93"/>
        <v>GISTEX GARMEN INDONESIA</v>
      </c>
      <c r="Q757" t="str">
        <f t="shared" si="94"/>
        <v>OGURA KENJI / HASHIMOTO KIMIE</v>
      </c>
      <c r="R757" t="str">
        <f t="shared" si="95"/>
        <v>MARUBENI FASHION LINK, LTD</v>
      </c>
    </row>
    <row r="758" spans="1:18" x14ac:dyDescent="0.25">
      <c r="A758">
        <f>ROW()</f>
        <v>758</v>
      </c>
      <c r="B758" t="s">
        <v>232</v>
      </c>
      <c r="C758" t="s">
        <v>117</v>
      </c>
      <c r="D758" t="s">
        <v>36</v>
      </c>
      <c r="E758" t="s">
        <v>37</v>
      </c>
      <c r="J758" t="str">
        <f>IF(A758&lt;WORKSHEET!$R$2,WORKSHEET!$C$2,IF(B758="Air Waybill Number",C758,J757))</f>
        <v>774398472980</v>
      </c>
      <c r="K758" t="str">
        <f t="shared" si="88"/>
        <v>870091403</v>
      </c>
      <c r="L758" t="str">
        <f t="shared" si="89"/>
        <v>20 Dec 2023</v>
      </c>
      <c r="M758" t="str">
        <f t="shared" si="90"/>
        <v>774398472980-1</v>
      </c>
      <c r="N758" t="str">
        <f t="shared" si="91"/>
        <v>12/08/2023</v>
      </c>
      <c r="O758" t="str">
        <f t="shared" si="92"/>
        <v/>
      </c>
      <c r="P758" t="str">
        <f t="shared" si="93"/>
        <v/>
      </c>
      <c r="Q758" t="str">
        <f t="shared" si="94"/>
        <v/>
      </c>
      <c r="R758" t="str">
        <f t="shared" si="95"/>
        <v/>
      </c>
    </row>
    <row r="759" spans="1:18" x14ac:dyDescent="0.25">
      <c r="A759">
        <f>ROW()</f>
        <v>759</v>
      </c>
      <c r="B759" t="s">
        <v>233</v>
      </c>
      <c r="C759" t="s">
        <v>506</v>
      </c>
      <c r="D759" t="s">
        <v>41</v>
      </c>
      <c r="E759" t="s">
        <v>39</v>
      </c>
      <c r="J759" t="str">
        <f>IF(A759&lt;WORKSHEET!$R$2,WORKSHEET!$C$2,IF(B759="Air Waybill Number",C759,J758))</f>
        <v>774398472980</v>
      </c>
      <c r="K759" t="str">
        <f t="shared" si="88"/>
        <v>870091403</v>
      </c>
      <c r="L759" t="str">
        <f t="shared" si="89"/>
        <v>20 Dec 2023</v>
      </c>
      <c r="M759" t="str">
        <f t="shared" si="90"/>
        <v/>
      </c>
      <c r="N759" t="str">
        <f t="shared" si="91"/>
        <v>12/08/2023</v>
      </c>
      <c r="O759" t="str">
        <f t="shared" si="92"/>
        <v/>
      </c>
      <c r="P759" t="str">
        <f t="shared" si="93"/>
        <v/>
      </c>
      <c r="Q759" t="str">
        <f t="shared" si="94"/>
        <v/>
      </c>
      <c r="R759" t="str">
        <f t="shared" si="95"/>
        <v/>
      </c>
    </row>
    <row r="760" spans="1:18" x14ac:dyDescent="0.25">
      <c r="A760">
        <f>ROW()</f>
        <v>760</v>
      </c>
      <c r="B760" t="s">
        <v>237</v>
      </c>
      <c r="C760" t="s">
        <v>238</v>
      </c>
      <c r="D760" t="s">
        <v>293</v>
      </c>
      <c r="E760" t="s">
        <v>294</v>
      </c>
      <c r="J760" t="str">
        <f>IF(A760&lt;WORKSHEET!$R$2,WORKSHEET!$C$2,IF(B760="Air Waybill Number",C760,J759))</f>
        <v>774398472980</v>
      </c>
      <c r="K760" t="str">
        <f t="shared" si="88"/>
        <v>870091403</v>
      </c>
      <c r="L760" t="str">
        <f t="shared" si="89"/>
        <v>20 Dec 2023</v>
      </c>
      <c r="M760" t="str">
        <f t="shared" si="90"/>
        <v/>
      </c>
      <c r="N760" t="str">
        <f t="shared" si="91"/>
        <v>12/08/2023</v>
      </c>
      <c r="O760" t="str">
        <f t="shared" si="92"/>
        <v/>
      </c>
      <c r="P760" t="str">
        <f t="shared" si="93"/>
        <v/>
      </c>
      <c r="Q760" t="str">
        <f t="shared" si="94"/>
        <v/>
      </c>
      <c r="R760" t="str">
        <f t="shared" si="95"/>
        <v/>
      </c>
    </row>
    <row r="761" spans="1:18" x14ac:dyDescent="0.25">
      <c r="A761">
        <f>ROW()</f>
        <v>761</v>
      </c>
      <c r="B761" t="s">
        <v>241</v>
      </c>
      <c r="C761" t="s">
        <v>639</v>
      </c>
      <c r="D761" t="s">
        <v>296</v>
      </c>
      <c r="E761" t="s">
        <v>297</v>
      </c>
      <c r="F761" t="s">
        <v>298</v>
      </c>
      <c r="J761" t="str">
        <f>IF(A761&lt;WORKSHEET!$R$2,WORKSHEET!$C$2,IF(B761="Air Waybill Number",C761,J760))</f>
        <v>774398472980</v>
      </c>
      <c r="K761" t="str">
        <f t="shared" si="88"/>
        <v>870091403</v>
      </c>
      <c r="L761" t="str">
        <f t="shared" si="89"/>
        <v>20 Dec 2023</v>
      </c>
      <c r="M761" t="str">
        <f t="shared" si="90"/>
        <v/>
      </c>
      <c r="N761" t="str">
        <f t="shared" si="91"/>
        <v>12/08/2023</v>
      </c>
      <c r="O761" t="str">
        <f t="shared" si="92"/>
        <v/>
      </c>
      <c r="P761" t="str">
        <f t="shared" si="93"/>
        <v/>
      </c>
      <c r="Q761" t="str">
        <f t="shared" si="94"/>
        <v/>
      </c>
      <c r="R761" t="str">
        <f t="shared" si="95"/>
        <v/>
      </c>
    </row>
    <row r="762" spans="1:18" x14ac:dyDescent="0.25">
      <c r="A762">
        <f>ROW()</f>
        <v>762</v>
      </c>
      <c r="B762" t="s">
        <v>245</v>
      </c>
      <c r="C762" t="s">
        <v>299</v>
      </c>
      <c r="D762" t="s">
        <v>300</v>
      </c>
      <c r="J762" t="str">
        <f>IF(A762&lt;WORKSHEET!$R$2,WORKSHEET!$C$2,IF(B762="Air Waybill Number",C762,J761))</f>
        <v>774398472980</v>
      </c>
      <c r="K762" t="str">
        <f t="shared" si="88"/>
        <v>870091403</v>
      </c>
      <c r="L762" t="str">
        <f t="shared" si="89"/>
        <v>20 Dec 2023</v>
      </c>
      <c r="M762" t="str">
        <f t="shared" si="90"/>
        <v/>
      </c>
      <c r="N762" t="str">
        <f t="shared" si="91"/>
        <v>12/08/2023</v>
      </c>
      <c r="O762" t="str">
        <f t="shared" si="92"/>
        <v/>
      </c>
      <c r="P762" t="str">
        <f t="shared" si="93"/>
        <v/>
      </c>
      <c r="Q762" t="str">
        <f t="shared" si="94"/>
        <v/>
      </c>
      <c r="R762" t="str">
        <f t="shared" si="95"/>
        <v/>
      </c>
    </row>
    <row r="763" spans="1:18" x14ac:dyDescent="0.25">
      <c r="A763">
        <f>ROW()</f>
        <v>763</v>
      </c>
      <c r="B763" t="s">
        <v>247</v>
      </c>
      <c r="C763" t="s">
        <v>324</v>
      </c>
      <c r="J763" t="str">
        <f>IF(A763&lt;WORKSHEET!$R$2,WORKSHEET!$C$2,IF(B763="Air Waybill Number",C763,J762))</f>
        <v>774398472980</v>
      </c>
      <c r="K763" t="str">
        <f t="shared" si="88"/>
        <v>870091403</v>
      </c>
      <c r="L763" t="str">
        <f t="shared" si="89"/>
        <v>20 Dec 2023</v>
      </c>
      <c r="M763" t="str">
        <f t="shared" si="90"/>
        <v/>
      </c>
      <c r="N763" t="str">
        <f t="shared" si="91"/>
        <v>12/08/2023</v>
      </c>
      <c r="O763" t="str">
        <f t="shared" si="92"/>
        <v/>
      </c>
      <c r="P763" t="str">
        <f t="shared" si="93"/>
        <v/>
      </c>
      <c r="Q763" t="str">
        <f t="shared" si="94"/>
        <v/>
      </c>
      <c r="R763" t="str">
        <f t="shared" si="95"/>
        <v/>
      </c>
    </row>
    <row r="764" spans="1:18" x14ac:dyDescent="0.25">
      <c r="A764">
        <f>ROW()</f>
        <v>764</v>
      </c>
      <c r="B764" t="s">
        <v>249</v>
      </c>
      <c r="C764" t="s">
        <v>640</v>
      </c>
      <c r="D764" t="s">
        <v>248</v>
      </c>
      <c r="G764">
        <v>7673000</v>
      </c>
      <c r="J764" t="str">
        <f>IF(A764&lt;WORKSHEET!$R$2,WORKSHEET!$C$2,IF(B764="Air Waybill Number",C764,J763))</f>
        <v>774398472980</v>
      </c>
      <c r="K764" t="str">
        <f t="shared" si="88"/>
        <v>870091403</v>
      </c>
      <c r="L764" t="str">
        <f t="shared" si="89"/>
        <v>20 Dec 2023</v>
      </c>
      <c r="M764" t="str">
        <f t="shared" si="90"/>
        <v/>
      </c>
      <c r="N764" t="str">
        <f t="shared" si="91"/>
        <v>12/08/2023</v>
      </c>
      <c r="O764" t="str">
        <f t="shared" si="92"/>
        <v/>
      </c>
      <c r="P764" t="str">
        <f t="shared" si="93"/>
        <v/>
      </c>
      <c r="Q764" t="str">
        <f t="shared" si="94"/>
        <v/>
      </c>
      <c r="R764" t="str">
        <f t="shared" si="95"/>
        <v/>
      </c>
    </row>
    <row r="765" spans="1:18" x14ac:dyDescent="0.25">
      <c r="A765">
        <f>ROW()</f>
        <v>765</v>
      </c>
      <c r="D765" t="s">
        <v>251</v>
      </c>
      <c r="E765" t="s">
        <v>252</v>
      </c>
      <c r="G765">
        <v>-6387772</v>
      </c>
      <c r="J765" t="str">
        <f>IF(A765&lt;WORKSHEET!$R$2,WORKSHEET!$C$2,IF(B765="Air Waybill Number",C765,J764))</f>
        <v>774398472980</v>
      </c>
      <c r="K765" t="str">
        <f t="shared" si="88"/>
        <v>870091403</v>
      </c>
      <c r="L765" t="str">
        <f t="shared" si="89"/>
        <v>20 Dec 2023</v>
      </c>
      <c r="M765" t="str">
        <f t="shared" si="90"/>
        <v/>
      </c>
      <c r="N765" t="str">
        <f t="shared" si="91"/>
        <v>12/08/2023</v>
      </c>
      <c r="O765" t="str">
        <f t="shared" si="92"/>
        <v/>
      </c>
      <c r="P765" t="str">
        <f t="shared" si="93"/>
        <v/>
      </c>
      <c r="Q765" t="str">
        <f t="shared" si="94"/>
        <v/>
      </c>
      <c r="R765" t="str">
        <f t="shared" si="95"/>
        <v/>
      </c>
    </row>
    <row r="766" spans="1:18" x14ac:dyDescent="0.25">
      <c r="A766">
        <f>ROW()</f>
        <v>766</v>
      </c>
      <c r="B766" t="s">
        <v>256</v>
      </c>
      <c r="C766" t="s">
        <v>641</v>
      </c>
      <c r="D766" t="s">
        <v>254</v>
      </c>
      <c r="E766" t="s">
        <v>12</v>
      </c>
      <c r="G766">
        <v>442862</v>
      </c>
      <c r="J766" t="str">
        <f>IF(A766&lt;WORKSHEET!$R$2,WORKSHEET!$C$2,IF(B766="Air Waybill Number",C766,J765))</f>
        <v>774398472980</v>
      </c>
      <c r="K766" t="str">
        <f t="shared" si="88"/>
        <v>870091403</v>
      </c>
      <c r="L766" t="str">
        <f t="shared" si="89"/>
        <v>20 Dec 2023</v>
      </c>
      <c r="M766" t="str">
        <f t="shared" si="90"/>
        <v/>
      </c>
      <c r="N766" t="str">
        <f t="shared" si="91"/>
        <v>12/08/2023</v>
      </c>
      <c r="O766" t="str">
        <f t="shared" si="92"/>
        <v/>
      </c>
      <c r="P766" t="str">
        <f t="shared" si="93"/>
        <v/>
      </c>
      <c r="Q766" t="str">
        <f t="shared" si="94"/>
        <v/>
      </c>
      <c r="R766" t="str">
        <f t="shared" si="95"/>
        <v/>
      </c>
    </row>
    <row r="767" spans="1:18" x14ac:dyDescent="0.25">
      <c r="A767">
        <f>ROW()</f>
        <v>767</v>
      </c>
      <c r="D767" t="s">
        <v>254</v>
      </c>
      <c r="E767" t="s">
        <v>260</v>
      </c>
      <c r="G767">
        <v>216000</v>
      </c>
      <c r="J767" t="str">
        <f>IF(A767&lt;WORKSHEET!$R$2,WORKSHEET!$C$2,IF(B767="Air Waybill Number",C767,J766))</f>
        <v>774398472980</v>
      </c>
      <c r="K767" t="str">
        <f t="shared" si="88"/>
        <v>870091403</v>
      </c>
      <c r="L767" t="str">
        <f t="shared" si="89"/>
        <v>20 Dec 2023</v>
      </c>
      <c r="M767" t="str">
        <f t="shared" si="90"/>
        <v/>
      </c>
      <c r="N767" t="str">
        <f t="shared" si="91"/>
        <v>12/08/2023</v>
      </c>
      <c r="O767" t="str">
        <f t="shared" si="92"/>
        <v/>
      </c>
      <c r="P767" t="str">
        <f t="shared" si="93"/>
        <v/>
      </c>
      <c r="Q767" t="str">
        <f t="shared" si="94"/>
        <v/>
      </c>
      <c r="R767" t="str">
        <f t="shared" si="95"/>
        <v/>
      </c>
    </row>
    <row r="768" spans="1:18" x14ac:dyDescent="0.25">
      <c r="A768">
        <f>ROW()</f>
        <v>768</v>
      </c>
      <c r="D768" t="s">
        <v>261</v>
      </c>
      <c r="G768">
        <v>21384</v>
      </c>
      <c r="J768" t="str">
        <f>IF(A768&lt;WORKSHEET!$R$2,WORKSHEET!$C$2,IF(B768="Air Waybill Number",C768,J767))</f>
        <v>774398472980</v>
      </c>
      <c r="K768" t="str">
        <f t="shared" si="88"/>
        <v>870091403</v>
      </c>
      <c r="L768" t="str">
        <f t="shared" si="89"/>
        <v>20 Dec 2023</v>
      </c>
      <c r="M768" t="str">
        <f t="shared" si="90"/>
        <v/>
      </c>
      <c r="N768" t="str">
        <f t="shared" si="91"/>
        <v>12/08/2023</v>
      </c>
      <c r="O768" t="str">
        <f t="shared" si="92"/>
        <v/>
      </c>
      <c r="P768" t="str">
        <f t="shared" si="93"/>
        <v/>
      </c>
      <c r="Q768" t="str">
        <f t="shared" si="94"/>
        <v/>
      </c>
      <c r="R768" t="str">
        <f t="shared" si="95"/>
        <v/>
      </c>
    </row>
    <row r="769" spans="1:18" x14ac:dyDescent="0.25">
      <c r="A769">
        <f>ROW()</f>
        <v>769</v>
      </c>
      <c r="D769" t="s">
        <v>14</v>
      </c>
      <c r="G769">
        <v>1965474</v>
      </c>
      <c r="J769" t="str">
        <f>IF(A769&lt;WORKSHEET!$R$2,WORKSHEET!$C$2,IF(B769="Air Waybill Number",C769,J768))</f>
        <v>774398472980</v>
      </c>
      <c r="K769" t="str">
        <f t="shared" si="88"/>
        <v>870091403</v>
      </c>
      <c r="L769" t="str">
        <f t="shared" si="89"/>
        <v>20 Dec 2023</v>
      </c>
      <c r="M769" t="str">
        <f t="shared" si="90"/>
        <v/>
      </c>
      <c r="N769" t="str">
        <f t="shared" si="91"/>
        <v>12/08/2023</v>
      </c>
      <c r="O769" t="str">
        <f t="shared" si="92"/>
        <v/>
      </c>
      <c r="P769" t="str">
        <f t="shared" si="93"/>
        <v/>
      </c>
      <c r="Q769" t="str">
        <f t="shared" si="94"/>
        <v/>
      </c>
      <c r="R769" t="str">
        <f t="shared" si="95"/>
        <v/>
      </c>
    </row>
    <row r="770" spans="1:18" x14ac:dyDescent="0.25">
      <c r="A770">
        <f>ROW()</f>
        <v>770</v>
      </c>
      <c r="D770" t="s">
        <v>540</v>
      </c>
      <c r="J770" t="str">
        <f>IF(A770&lt;WORKSHEET!$R$2,WORKSHEET!$C$2,IF(B770="Air Waybill Number",C770,J769))</f>
        <v>774398472980</v>
      </c>
      <c r="K770" t="str">
        <f t="shared" ref="K770:K833" si="96">IF(B770="Invoice Number:",C770,K769)</f>
        <v>870091403</v>
      </c>
      <c r="L770" t="str">
        <f t="shared" ref="L770:L833" si="97">IF(B770="Invoice Date:",C770,L769)</f>
        <v>20 Dec 2023</v>
      </c>
      <c r="M770" t="str">
        <f t="shared" ref="M770:M833" si="98">IF(B770="Air Waybill Number",J770&amp;"-1","")</f>
        <v/>
      </c>
      <c r="N770" t="str">
        <f t="shared" ref="N770:N833" si="99">IF(B770="Ship Date",C770,N769)</f>
        <v>12/08/2023</v>
      </c>
      <c r="O770" t="str">
        <f t="shared" ref="O770:O833" si="100">IF(LEFT(D770,6)="Sender",D771,IF(LEFT(E770,6)="Sender",E771,""))</f>
        <v/>
      </c>
      <c r="P770" t="str">
        <f t="shared" ref="P770:P833" si="101">IF(LEFT(D770,6)="Sender",D772,IF(LEFT(E770,6)="Sender",D772,""))</f>
        <v/>
      </c>
      <c r="Q770" t="str">
        <f t="shared" ref="Q770:Q833" si="102">IF(LEFT(E770,9)="Recipient",E771&amp;F771,IF(LEFT(F770,9)="Recipient",F771,IF(LEFT(G770,9)="Recipient",G771,IF(LEFT(H770,9)="Recipient",H771,""))))</f>
        <v/>
      </c>
      <c r="R770" t="str">
        <f t="shared" ref="R770:R833" si="103">IF(LEFT(E770,9)="Recipient",E772&amp;F772,IF(LEFT(F770,9)="Recipient",F772,IF(LEFT(G770,9)="Recipient",G772,IF(LEFT(H770,9)="Recipient",H772,""))))</f>
        <v/>
      </c>
    </row>
    <row r="771" spans="1:18" x14ac:dyDescent="0.25">
      <c r="A771">
        <f>ROW()</f>
        <v>771</v>
      </c>
      <c r="D771" t="s">
        <v>642</v>
      </c>
      <c r="J771" t="str">
        <f>IF(A771&lt;WORKSHEET!$R$2,WORKSHEET!$C$2,IF(B771="Air Waybill Number",C771,J770))</f>
        <v>774398472980</v>
      </c>
      <c r="K771" t="str">
        <f t="shared" si="96"/>
        <v>870091403</v>
      </c>
      <c r="L771" t="str">
        <f t="shared" si="97"/>
        <v>20 Dec 2023</v>
      </c>
      <c r="M771" t="str">
        <f t="shared" si="98"/>
        <v/>
      </c>
      <c r="N771" t="str">
        <f t="shared" si="99"/>
        <v>12/08/2023</v>
      </c>
      <c r="O771" t="str">
        <f t="shared" si="100"/>
        <v/>
      </c>
      <c r="P771" t="str">
        <f t="shared" si="101"/>
        <v/>
      </c>
      <c r="Q771" t="str">
        <f t="shared" si="102"/>
        <v/>
      </c>
      <c r="R771" t="str">
        <f t="shared" si="103"/>
        <v/>
      </c>
    </row>
    <row r="772" spans="1:18" x14ac:dyDescent="0.25">
      <c r="A772">
        <f>ROW()</f>
        <v>772</v>
      </c>
      <c r="B772" t="s">
        <v>226</v>
      </c>
      <c r="C772" t="s">
        <v>544</v>
      </c>
      <c r="D772" t="s">
        <v>290</v>
      </c>
      <c r="E772" t="s">
        <v>450</v>
      </c>
      <c r="J772" t="str">
        <f>IF(A772&lt;WORKSHEET!$R$2,WORKSHEET!$C$2,IF(B772="Air Waybill Number",C772,J771))</f>
        <v>774398472980</v>
      </c>
      <c r="K772" t="str">
        <f t="shared" si="96"/>
        <v>870091403</v>
      </c>
      <c r="L772" t="str">
        <f t="shared" si="97"/>
        <v>20 Dec 2023</v>
      </c>
      <c r="M772" t="str">
        <f t="shared" si="98"/>
        <v/>
      </c>
      <c r="N772" t="str">
        <f t="shared" si="99"/>
        <v>12/08/2023</v>
      </c>
      <c r="O772" t="str">
        <f t="shared" si="100"/>
        <v>MS. MERCY</v>
      </c>
      <c r="P772" t="str">
        <f t="shared" si="101"/>
        <v>GISTEX GARMEN INDONESIA</v>
      </c>
      <c r="Q772" t="str">
        <f t="shared" si="102"/>
        <v>MS.SHIRLY FANG</v>
      </c>
      <c r="R772" t="str">
        <f t="shared" si="103"/>
        <v>SHAOXING YMYSI IMPORTEXPORT</v>
      </c>
    </row>
    <row r="773" spans="1:18" x14ac:dyDescent="0.25">
      <c r="A773">
        <f>ROW()</f>
        <v>773</v>
      </c>
      <c r="B773" t="s">
        <v>232</v>
      </c>
      <c r="C773" t="s">
        <v>143</v>
      </c>
      <c r="D773" t="s">
        <v>43</v>
      </c>
      <c r="E773" t="s">
        <v>88</v>
      </c>
      <c r="J773" t="str">
        <f>IF(A773&lt;WORKSHEET!$R$2,WORKSHEET!$C$2,IF(B773="Air Waybill Number",C773,J772))</f>
        <v>774399685776</v>
      </c>
      <c r="K773" t="str">
        <f t="shared" si="96"/>
        <v>870091403</v>
      </c>
      <c r="L773" t="str">
        <f t="shared" si="97"/>
        <v>20 Dec 2023</v>
      </c>
      <c r="M773" t="str">
        <f t="shared" si="98"/>
        <v>774399685776-1</v>
      </c>
      <c r="N773" t="str">
        <f t="shared" si="99"/>
        <v>12/08/2023</v>
      </c>
      <c r="O773" t="str">
        <f t="shared" si="100"/>
        <v/>
      </c>
      <c r="P773" t="str">
        <f t="shared" si="101"/>
        <v/>
      </c>
      <c r="Q773" t="str">
        <f t="shared" si="102"/>
        <v/>
      </c>
      <c r="R773" t="str">
        <f t="shared" si="103"/>
        <v/>
      </c>
    </row>
    <row r="774" spans="1:18" x14ac:dyDescent="0.25">
      <c r="A774">
        <f>ROW()</f>
        <v>774</v>
      </c>
      <c r="B774" t="s">
        <v>233</v>
      </c>
      <c r="C774" t="s">
        <v>292</v>
      </c>
      <c r="D774" t="s">
        <v>41</v>
      </c>
      <c r="E774" t="s">
        <v>451</v>
      </c>
      <c r="F774" t="s">
        <v>452</v>
      </c>
      <c r="J774" t="str">
        <f>IF(A774&lt;WORKSHEET!$R$2,WORKSHEET!$C$2,IF(B774="Air Waybill Number",C774,J773))</f>
        <v>774399685776</v>
      </c>
      <c r="K774" t="str">
        <f t="shared" si="96"/>
        <v>870091403</v>
      </c>
      <c r="L774" t="str">
        <f t="shared" si="97"/>
        <v>20 Dec 2023</v>
      </c>
      <c r="M774" t="str">
        <f t="shared" si="98"/>
        <v/>
      </c>
      <c r="N774" t="str">
        <f t="shared" si="99"/>
        <v>12/08/2023</v>
      </c>
      <c r="O774" t="str">
        <f t="shared" si="100"/>
        <v/>
      </c>
      <c r="P774" t="str">
        <f t="shared" si="101"/>
        <v/>
      </c>
      <c r="Q774" t="str">
        <f t="shared" si="102"/>
        <v/>
      </c>
      <c r="R774" t="str">
        <f t="shared" si="103"/>
        <v/>
      </c>
    </row>
    <row r="775" spans="1:18" x14ac:dyDescent="0.25">
      <c r="A775">
        <f>ROW()</f>
        <v>775</v>
      </c>
      <c r="B775" t="s">
        <v>237</v>
      </c>
      <c r="C775" t="s">
        <v>238</v>
      </c>
      <c r="D775" t="s">
        <v>293</v>
      </c>
      <c r="E775" t="s">
        <v>453</v>
      </c>
      <c r="J775" t="str">
        <f>IF(A775&lt;WORKSHEET!$R$2,WORKSHEET!$C$2,IF(B775="Air Waybill Number",C775,J774))</f>
        <v>774399685776</v>
      </c>
      <c r="K775" t="str">
        <f t="shared" si="96"/>
        <v>870091403</v>
      </c>
      <c r="L775" t="str">
        <f t="shared" si="97"/>
        <v>20 Dec 2023</v>
      </c>
      <c r="M775" t="str">
        <f t="shared" si="98"/>
        <v/>
      </c>
      <c r="N775" t="str">
        <f t="shared" si="99"/>
        <v>12/08/2023</v>
      </c>
      <c r="O775" t="str">
        <f t="shared" si="100"/>
        <v/>
      </c>
      <c r="P775" t="str">
        <f t="shared" si="101"/>
        <v/>
      </c>
      <c r="Q775" t="str">
        <f t="shared" si="102"/>
        <v/>
      </c>
      <c r="R775" t="str">
        <f t="shared" si="103"/>
        <v/>
      </c>
    </row>
    <row r="776" spans="1:18" x14ac:dyDescent="0.25">
      <c r="A776">
        <f>ROW()</f>
        <v>776</v>
      </c>
      <c r="B776" t="s">
        <v>241</v>
      </c>
      <c r="C776" t="s">
        <v>643</v>
      </c>
      <c r="D776" t="s">
        <v>296</v>
      </c>
      <c r="E776" t="s">
        <v>454</v>
      </c>
      <c r="J776" t="str">
        <f>IF(A776&lt;WORKSHEET!$R$2,WORKSHEET!$C$2,IF(B776="Air Waybill Number",C776,J775))</f>
        <v>774399685776</v>
      </c>
      <c r="K776" t="str">
        <f t="shared" si="96"/>
        <v>870091403</v>
      </c>
      <c r="L776" t="str">
        <f t="shared" si="97"/>
        <v>20 Dec 2023</v>
      </c>
      <c r="M776" t="str">
        <f t="shared" si="98"/>
        <v/>
      </c>
      <c r="N776" t="str">
        <f t="shared" si="99"/>
        <v>12/08/2023</v>
      </c>
      <c r="O776" t="str">
        <f t="shared" si="100"/>
        <v/>
      </c>
      <c r="P776" t="str">
        <f t="shared" si="101"/>
        <v/>
      </c>
      <c r="Q776" t="str">
        <f t="shared" si="102"/>
        <v/>
      </c>
      <c r="R776" t="str">
        <f t="shared" si="103"/>
        <v/>
      </c>
    </row>
    <row r="777" spans="1:18" x14ac:dyDescent="0.25">
      <c r="A777">
        <f>ROW()</f>
        <v>777</v>
      </c>
      <c r="B777" t="s">
        <v>286</v>
      </c>
      <c r="C777" t="s">
        <v>299</v>
      </c>
      <c r="D777" t="s">
        <v>300</v>
      </c>
      <c r="E777" t="s">
        <v>455</v>
      </c>
      <c r="F777" t="s">
        <v>456</v>
      </c>
      <c r="J777" t="str">
        <f>IF(A777&lt;WORKSHEET!$R$2,WORKSHEET!$C$2,IF(B777="Air Waybill Number",C777,J776))</f>
        <v>774399685776</v>
      </c>
      <c r="K777" t="str">
        <f t="shared" si="96"/>
        <v>870091403</v>
      </c>
      <c r="L777" t="str">
        <f t="shared" si="97"/>
        <v>20 Dec 2023</v>
      </c>
      <c r="M777" t="str">
        <f t="shared" si="98"/>
        <v/>
      </c>
      <c r="N777" t="str">
        <f t="shared" si="99"/>
        <v>12/08/2023</v>
      </c>
      <c r="O777" t="str">
        <f t="shared" si="100"/>
        <v/>
      </c>
      <c r="P777" t="str">
        <f t="shared" si="101"/>
        <v/>
      </c>
      <c r="Q777" t="str">
        <f t="shared" si="102"/>
        <v/>
      </c>
      <c r="R777" t="str">
        <f t="shared" si="103"/>
        <v/>
      </c>
    </row>
    <row r="778" spans="1:18" x14ac:dyDescent="0.25">
      <c r="A778">
        <f>ROW()</f>
        <v>778</v>
      </c>
      <c r="B778" t="s">
        <v>249</v>
      </c>
      <c r="C778" t="s">
        <v>644</v>
      </c>
      <c r="D778" t="s">
        <v>248</v>
      </c>
      <c r="G778">
        <v>570000</v>
      </c>
      <c r="J778" t="str">
        <f>IF(A778&lt;WORKSHEET!$R$2,WORKSHEET!$C$2,IF(B778="Air Waybill Number",C778,J777))</f>
        <v>774399685776</v>
      </c>
      <c r="K778" t="str">
        <f t="shared" si="96"/>
        <v>870091403</v>
      </c>
      <c r="L778" t="str">
        <f t="shared" si="97"/>
        <v>20 Dec 2023</v>
      </c>
      <c r="M778" t="str">
        <f t="shared" si="98"/>
        <v/>
      </c>
      <c r="N778" t="str">
        <f t="shared" si="99"/>
        <v>12/08/2023</v>
      </c>
      <c r="O778" t="str">
        <f t="shared" si="100"/>
        <v/>
      </c>
      <c r="P778" t="str">
        <f t="shared" si="101"/>
        <v/>
      </c>
      <c r="Q778" t="str">
        <f t="shared" si="102"/>
        <v/>
      </c>
      <c r="R778" t="str">
        <f t="shared" si="103"/>
        <v/>
      </c>
    </row>
    <row r="779" spans="1:18" x14ac:dyDescent="0.25">
      <c r="A779">
        <f>ROW()</f>
        <v>779</v>
      </c>
      <c r="D779" t="s">
        <v>251</v>
      </c>
      <c r="E779" t="s">
        <v>252</v>
      </c>
      <c r="G779">
        <v>-406866</v>
      </c>
      <c r="J779" t="str">
        <f>IF(A779&lt;WORKSHEET!$R$2,WORKSHEET!$C$2,IF(B779="Air Waybill Number",C779,J778))</f>
        <v>774399685776</v>
      </c>
      <c r="K779" t="str">
        <f t="shared" si="96"/>
        <v>870091403</v>
      </c>
      <c r="L779" t="str">
        <f t="shared" si="97"/>
        <v>20 Dec 2023</v>
      </c>
      <c r="M779" t="str">
        <f t="shared" si="98"/>
        <v/>
      </c>
      <c r="N779" t="str">
        <f t="shared" si="99"/>
        <v>12/08/2023</v>
      </c>
      <c r="O779" t="str">
        <f t="shared" si="100"/>
        <v/>
      </c>
      <c r="P779" t="str">
        <f t="shared" si="101"/>
        <v/>
      </c>
      <c r="Q779" t="str">
        <f t="shared" si="102"/>
        <v/>
      </c>
      <c r="R779" t="str">
        <f t="shared" si="103"/>
        <v/>
      </c>
    </row>
    <row r="780" spans="1:18" x14ac:dyDescent="0.25">
      <c r="A780">
        <f>ROW()</f>
        <v>780</v>
      </c>
      <c r="D780" t="s">
        <v>254</v>
      </c>
      <c r="E780" t="s">
        <v>12</v>
      </c>
      <c r="G780">
        <v>52844</v>
      </c>
      <c r="J780" t="str">
        <f>IF(A780&lt;WORKSHEET!$R$2,WORKSHEET!$C$2,IF(B780="Air Waybill Number",C780,J779))</f>
        <v>774399685776</v>
      </c>
      <c r="K780" t="str">
        <f t="shared" si="96"/>
        <v>870091403</v>
      </c>
      <c r="L780" t="str">
        <f t="shared" si="97"/>
        <v>20 Dec 2023</v>
      </c>
      <c r="M780" t="str">
        <f t="shared" si="98"/>
        <v/>
      </c>
      <c r="N780" t="str">
        <f t="shared" si="99"/>
        <v>12/08/2023</v>
      </c>
      <c r="O780" t="str">
        <f t="shared" si="100"/>
        <v/>
      </c>
      <c r="P780" t="str">
        <f t="shared" si="101"/>
        <v/>
      </c>
      <c r="Q780" t="str">
        <f t="shared" si="102"/>
        <v/>
      </c>
      <c r="R780" t="str">
        <f t="shared" si="103"/>
        <v/>
      </c>
    </row>
    <row r="781" spans="1:18" x14ac:dyDescent="0.25">
      <c r="A781">
        <f>ROW()</f>
        <v>781</v>
      </c>
      <c r="D781" t="s">
        <v>254</v>
      </c>
      <c r="E781" t="s">
        <v>260</v>
      </c>
      <c r="G781">
        <v>16000</v>
      </c>
      <c r="J781" t="str">
        <f>IF(A781&lt;WORKSHEET!$R$2,WORKSHEET!$C$2,IF(B781="Air Waybill Number",C781,J780))</f>
        <v>774399685776</v>
      </c>
      <c r="K781" t="str">
        <f t="shared" si="96"/>
        <v>870091403</v>
      </c>
      <c r="L781" t="str">
        <f t="shared" si="97"/>
        <v>20 Dec 2023</v>
      </c>
      <c r="M781" t="str">
        <f t="shared" si="98"/>
        <v/>
      </c>
      <c r="N781" t="str">
        <f t="shared" si="99"/>
        <v>12/08/2023</v>
      </c>
      <c r="O781" t="str">
        <f t="shared" si="100"/>
        <v/>
      </c>
      <c r="P781" t="str">
        <f t="shared" si="101"/>
        <v/>
      </c>
      <c r="Q781" t="str">
        <f t="shared" si="102"/>
        <v/>
      </c>
      <c r="R781" t="str">
        <f t="shared" si="103"/>
        <v/>
      </c>
    </row>
    <row r="782" spans="1:18" x14ac:dyDescent="0.25">
      <c r="A782">
        <f>ROW()</f>
        <v>782</v>
      </c>
      <c r="D782" t="s">
        <v>261</v>
      </c>
      <c r="G782">
        <v>2551</v>
      </c>
      <c r="J782" t="str">
        <f>IF(A782&lt;WORKSHEET!$R$2,WORKSHEET!$C$2,IF(B782="Air Waybill Number",C782,J781))</f>
        <v>774399685776</v>
      </c>
      <c r="K782" t="str">
        <f t="shared" si="96"/>
        <v>870091403</v>
      </c>
      <c r="L782" t="str">
        <f t="shared" si="97"/>
        <v>20 Dec 2023</v>
      </c>
      <c r="M782" t="str">
        <f t="shared" si="98"/>
        <v/>
      </c>
      <c r="N782" t="str">
        <f t="shared" si="99"/>
        <v>12/08/2023</v>
      </c>
      <c r="O782" t="str">
        <f t="shared" si="100"/>
        <v/>
      </c>
      <c r="P782" t="str">
        <f t="shared" si="101"/>
        <v/>
      </c>
      <c r="Q782" t="str">
        <f t="shared" si="102"/>
        <v/>
      </c>
      <c r="R782" t="str">
        <f t="shared" si="103"/>
        <v/>
      </c>
    </row>
    <row r="783" spans="1:18" x14ac:dyDescent="0.25">
      <c r="A783">
        <f>ROW()</f>
        <v>783</v>
      </c>
      <c r="D783" t="s">
        <v>14</v>
      </c>
      <c r="G783">
        <v>234529</v>
      </c>
      <c r="J783" t="str">
        <f>IF(A783&lt;WORKSHEET!$R$2,WORKSHEET!$C$2,IF(B783="Air Waybill Number",C783,J782))</f>
        <v>774399685776</v>
      </c>
      <c r="K783" t="str">
        <f t="shared" si="96"/>
        <v>870091403</v>
      </c>
      <c r="L783" t="str">
        <f t="shared" si="97"/>
        <v>20 Dec 2023</v>
      </c>
      <c r="M783" t="str">
        <f t="shared" si="98"/>
        <v/>
      </c>
      <c r="N783" t="str">
        <f t="shared" si="99"/>
        <v>12/08/2023</v>
      </c>
      <c r="O783" t="str">
        <f t="shared" si="100"/>
        <v/>
      </c>
      <c r="P783" t="str">
        <f t="shared" si="101"/>
        <v/>
      </c>
      <c r="Q783" t="str">
        <f t="shared" si="102"/>
        <v/>
      </c>
      <c r="R783" t="str">
        <f t="shared" si="103"/>
        <v/>
      </c>
    </row>
    <row r="784" spans="1:18" x14ac:dyDescent="0.25">
      <c r="A784">
        <f>ROW()</f>
        <v>784</v>
      </c>
      <c r="D784" t="s">
        <v>540</v>
      </c>
      <c r="J784" t="str">
        <f>IF(A784&lt;WORKSHEET!$R$2,WORKSHEET!$C$2,IF(B784="Air Waybill Number",C784,J783))</f>
        <v>774399685776</v>
      </c>
      <c r="K784" t="str">
        <f t="shared" si="96"/>
        <v>870091403</v>
      </c>
      <c r="L784" t="str">
        <f t="shared" si="97"/>
        <v>20 Dec 2023</v>
      </c>
      <c r="M784" t="str">
        <f t="shared" si="98"/>
        <v/>
      </c>
      <c r="N784" t="str">
        <f t="shared" si="99"/>
        <v>12/08/2023</v>
      </c>
      <c r="O784" t="str">
        <f t="shared" si="100"/>
        <v/>
      </c>
      <c r="P784" t="str">
        <f t="shared" si="101"/>
        <v/>
      </c>
      <c r="Q784" t="str">
        <f t="shared" si="102"/>
        <v/>
      </c>
      <c r="R784" t="str">
        <f t="shared" si="103"/>
        <v/>
      </c>
    </row>
    <row r="785" spans="1:18" x14ac:dyDescent="0.25">
      <c r="A785">
        <f>ROW()</f>
        <v>785</v>
      </c>
      <c r="B785" t="s">
        <v>226</v>
      </c>
      <c r="C785" t="s">
        <v>545</v>
      </c>
      <c r="D785" t="s">
        <v>290</v>
      </c>
      <c r="E785" t="s">
        <v>291</v>
      </c>
      <c r="J785" t="str">
        <f>IF(A785&lt;WORKSHEET!$R$2,WORKSHEET!$C$2,IF(B785="Air Waybill Number",C785,J784))</f>
        <v>774399685776</v>
      </c>
      <c r="K785" t="str">
        <f t="shared" si="96"/>
        <v>870091403</v>
      </c>
      <c r="L785" t="str">
        <f t="shared" si="97"/>
        <v>20 Dec 2023</v>
      </c>
      <c r="M785" t="str">
        <f t="shared" si="98"/>
        <v/>
      </c>
      <c r="N785" t="str">
        <f t="shared" si="99"/>
        <v>12/11/2023</v>
      </c>
      <c r="O785" t="str">
        <f t="shared" si="100"/>
        <v>EKA / BAYU</v>
      </c>
      <c r="P785" t="str">
        <f t="shared" si="101"/>
        <v>GISTEX GARMEN INDONESIA</v>
      </c>
      <c r="Q785" t="str">
        <f t="shared" si="102"/>
        <v>OGURA KENJI / HASHIMOTO KIMIE</v>
      </c>
      <c r="R785" t="str">
        <f t="shared" si="103"/>
        <v>MARUBENI FASHION LINK, LTD</v>
      </c>
    </row>
    <row r="786" spans="1:18" x14ac:dyDescent="0.25">
      <c r="A786">
        <f>ROW()</f>
        <v>786</v>
      </c>
      <c r="B786" t="s">
        <v>232</v>
      </c>
      <c r="C786" t="s">
        <v>144</v>
      </c>
      <c r="D786" t="s">
        <v>36</v>
      </c>
      <c r="E786" t="s">
        <v>37</v>
      </c>
      <c r="J786" t="str">
        <f>IF(A786&lt;WORKSHEET!$R$2,WORKSHEET!$C$2,IF(B786="Air Waybill Number",C786,J785))</f>
        <v>774421829468</v>
      </c>
      <c r="K786" t="str">
        <f t="shared" si="96"/>
        <v>870091403</v>
      </c>
      <c r="L786" t="str">
        <f t="shared" si="97"/>
        <v>20 Dec 2023</v>
      </c>
      <c r="M786" t="str">
        <f t="shared" si="98"/>
        <v>774421829468-1</v>
      </c>
      <c r="N786" t="str">
        <f t="shared" si="99"/>
        <v>12/11/2023</v>
      </c>
      <c r="O786" t="str">
        <f t="shared" si="100"/>
        <v/>
      </c>
      <c r="P786" t="str">
        <f t="shared" si="101"/>
        <v/>
      </c>
      <c r="Q786" t="str">
        <f t="shared" si="102"/>
        <v/>
      </c>
      <c r="R786" t="str">
        <f t="shared" si="103"/>
        <v/>
      </c>
    </row>
    <row r="787" spans="1:18" x14ac:dyDescent="0.25">
      <c r="A787">
        <f>ROW()</f>
        <v>787</v>
      </c>
      <c r="B787" t="s">
        <v>233</v>
      </c>
      <c r="C787" t="s">
        <v>292</v>
      </c>
      <c r="D787" t="s">
        <v>41</v>
      </c>
      <c r="E787" t="s">
        <v>39</v>
      </c>
      <c r="J787" t="str">
        <f>IF(A787&lt;WORKSHEET!$R$2,WORKSHEET!$C$2,IF(B787="Air Waybill Number",C787,J786))</f>
        <v>774421829468</v>
      </c>
      <c r="K787" t="str">
        <f t="shared" si="96"/>
        <v>870091403</v>
      </c>
      <c r="L787" t="str">
        <f t="shared" si="97"/>
        <v>20 Dec 2023</v>
      </c>
      <c r="M787" t="str">
        <f t="shared" si="98"/>
        <v/>
      </c>
      <c r="N787" t="str">
        <f t="shared" si="99"/>
        <v>12/11/2023</v>
      </c>
      <c r="O787" t="str">
        <f t="shared" si="100"/>
        <v/>
      </c>
      <c r="P787" t="str">
        <f t="shared" si="101"/>
        <v/>
      </c>
      <c r="Q787" t="str">
        <f t="shared" si="102"/>
        <v/>
      </c>
      <c r="R787" t="str">
        <f t="shared" si="103"/>
        <v/>
      </c>
    </row>
    <row r="788" spans="1:18" x14ac:dyDescent="0.25">
      <c r="A788">
        <f>ROW()</f>
        <v>788</v>
      </c>
      <c r="B788" t="s">
        <v>237</v>
      </c>
      <c r="C788" t="s">
        <v>238</v>
      </c>
      <c r="D788" t="s">
        <v>293</v>
      </c>
      <c r="E788" t="s">
        <v>294</v>
      </c>
      <c r="J788" t="str">
        <f>IF(A788&lt;WORKSHEET!$R$2,WORKSHEET!$C$2,IF(B788="Air Waybill Number",C788,J787))</f>
        <v>774421829468</v>
      </c>
      <c r="K788" t="str">
        <f t="shared" si="96"/>
        <v>870091403</v>
      </c>
      <c r="L788" t="str">
        <f t="shared" si="97"/>
        <v>20 Dec 2023</v>
      </c>
      <c r="M788" t="str">
        <f t="shared" si="98"/>
        <v/>
      </c>
      <c r="N788" t="str">
        <f t="shared" si="99"/>
        <v>12/11/2023</v>
      </c>
      <c r="O788" t="str">
        <f t="shared" si="100"/>
        <v/>
      </c>
      <c r="P788" t="str">
        <f t="shared" si="101"/>
        <v/>
      </c>
      <c r="Q788" t="str">
        <f t="shared" si="102"/>
        <v/>
      </c>
      <c r="R788" t="str">
        <f t="shared" si="103"/>
        <v/>
      </c>
    </row>
    <row r="789" spans="1:18" x14ac:dyDescent="0.25">
      <c r="A789">
        <f>ROW()</f>
        <v>789</v>
      </c>
      <c r="B789" t="s">
        <v>241</v>
      </c>
      <c r="C789" t="s">
        <v>295</v>
      </c>
      <c r="D789" t="s">
        <v>296</v>
      </c>
      <c r="E789" t="s">
        <v>297</v>
      </c>
      <c r="F789" t="s">
        <v>298</v>
      </c>
      <c r="J789" t="str">
        <f>IF(A789&lt;WORKSHEET!$R$2,WORKSHEET!$C$2,IF(B789="Air Waybill Number",C789,J788))</f>
        <v>774421829468</v>
      </c>
      <c r="K789" t="str">
        <f t="shared" si="96"/>
        <v>870091403</v>
      </c>
      <c r="L789" t="str">
        <f t="shared" si="97"/>
        <v>20 Dec 2023</v>
      </c>
      <c r="M789" t="str">
        <f t="shared" si="98"/>
        <v/>
      </c>
      <c r="N789" t="str">
        <f t="shared" si="99"/>
        <v>12/11/2023</v>
      </c>
      <c r="O789" t="str">
        <f t="shared" si="100"/>
        <v/>
      </c>
      <c r="P789" t="str">
        <f t="shared" si="101"/>
        <v/>
      </c>
      <c r="Q789" t="str">
        <f t="shared" si="102"/>
        <v/>
      </c>
      <c r="R789" t="str">
        <f t="shared" si="103"/>
        <v/>
      </c>
    </row>
    <row r="790" spans="1:18" x14ac:dyDescent="0.25">
      <c r="A790">
        <f>ROW()</f>
        <v>790</v>
      </c>
      <c r="B790" t="s">
        <v>245</v>
      </c>
      <c r="C790" t="s">
        <v>299</v>
      </c>
      <c r="D790" t="s">
        <v>300</v>
      </c>
      <c r="J790" t="str">
        <f>IF(A790&lt;WORKSHEET!$R$2,WORKSHEET!$C$2,IF(B790="Air Waybill Number",C790,J789))</f>
        <v>774421829468</v>
      </c>
      <c r="K790" t="str">
        <f t="shared" si="96"/>
        <v>870091403</v>
      </c>
      <c r="L790" t="str">
        <f t="shared" si="97"/>
        <v>20 Dec 2023</v>
      </c>
      <c r="M790" t="str">
        <f t="shared" si="98"/>
        <v/>
      </c>
      <c r="N790" t="str">
        <f t="shared" si="99"/>
        <v>12/11/2023</v>
      </c>
      <c r="O790" t="str">
        <f t="shared" si="100"/>
        <v/>
      </c>
      <c r="P790" t="str">
        <f t="shared" si="101"/>
        <v/>
      </c>
      <c r="Q790" t="str">
        <f t="shared" si="102"/>
        <v/>
      </c>
      <c r="R790" t="str">
        <f t="shared" si="103"/>
        <v/>
      </c>
    </row>
    <row r="791" spans="1:18" x14ac:dyDescent="0.25">
      <c r="A791">
        <f>ROW()</f>
        <v>791</v>
      </c>
      <c r="B791" t="s">
        <v>419</v>
      </c>
      <c r="C791" t="s">
        <v>645</v>
      </c>
      <c r="D791" t="s">
        <v>248</v>
      </c>
      <c r="G791">
        <v>570000</v>
      </c>
      <c r="J791" t="str">
        <f>IF(A791&lt;WORKSHEET!$R$2,WORKSHEET!$C$2,IF(B791="Air Waybill Number",C791,J790))</f>
        <v>774421829468</v>
      </c>
      <c r="K791" t="str">
        <f t="shared" si="96"/>
        <v>870091403</v>
      </c>
      <c r="L791" t="str">
        <f t="shared" si="97"/>
        <v>20 Dec 2023</v>
      </c>
      <c r="M791" t="str">
        <f t="shared" si="98"/>
        <v/>
      </c>
      <c r="N791" t="str">
        <f t="shared" si="99"/>
        <v>12/11/2023</v>
      </c>
      <c r="O791" t="str">
        <f t="shared" si="100"/>
        <v/>
      </c>
      <c r="P791" t="str">
        <f t="shared" si="101"/>
        <v/>
      </c>
      <c r="Q791" t="str">
        <f t="shared" si="102"/>
        <v/>
      </c>
      <c r="R791" t="str">
        <f t="shared" si="103"/>
        <v/>
      </c>
    </row>
    <row r="792" spans="1:18" x14ac:dyDescent="0.25">
      <c r="A792">
        <f>ROW()</f>
        <v>792</v>
      </c>
      <c r="D792" t="s">
        <v>251</v>
      </c>
      <c r="E792" t="s">
        <v>252</v>
      </c>
      <c r="G792">
        <v>-381330</v>
      </c>
      <c r="J792" t="str">
        <f>IF(A792&lt;WORKSHEET!$R$2,WORKSHEET!$C$2,IF(B792="Air Waybill Number",C792,J791))</f>
        <v>774421829468</v>
      </c>
      <c r="K792" t="str">
        <f t="shared" si="96"/>
        <v>870091403</v>
      </c>
      <c r="L792" t="str">
        <f t="shared" si="97"/>
        <v>20 Dec 2023</v>
      </c>
      <c r="M792" t="str">
        <f t="shared" si="98"/>
        <v/>
      </c>
      <c r="N792" t="str">
        <f t="shared" si="99"/>
        <v>12/11/2023</v>
      </c>
      <c r="O792" t="str">
        <f t="shared" si="100"/>
        <v/>
      </c>
      <c r="P792" t="str">
        <f t="shared" si="101"/>
        <v/>
      </c>
      <c r="Q792" t="str">
        <f t="shared" si="102"/>
        <v/>
      </c>
      <c r="R792" t="str">
        <f t="shared" si="103"/>
        <v/>
      </c>
    </row>
    <row r="793" spans="1:18" x14ac:dyDescent="0.25">
      <c r="A793">
        <f>ROW()</f>
        <v>793</v>
      </c>
      <c r="D793" t="s">
        <v>254</v>
      </c>
      <c r="E793" t="s">
        <v>12</v>
      </c>
      <c r="G793">
        <v>58330</v>
      </c>
      <c r="J793" t="str">
        <f>IF(A793&lt;WORKSHEET!$R$2,WORKSHEET!$C$2,IF(B793="Air Waybill Number",C793,J792))</f>
        <v>774421829468</v>
      </c>
      <c r="K793" t="str">
        <f t="shared" si="96"/>
        <v>870091403</v>
      </c>
      <c r="L793" t="str">
        <f t="shared" si="97"/>
        <v>20 Dec 2023</v>
      </c>
      <c r="M793" t="str">
        <f t="shared" si="98"/>
        <v/>
      </c>
      <c r="N793" t="str">
        <f t="shared" si="99"/>
        <v>12/11/2023</v>
      </c>
      <c r="O793" t="str">
        <f t="shared" si="100"/>
        <v/>
      </c>
      <c r="P793" t="str">
        <f t="shared" si="101"/>
        <v/>
      </c>
      <c r="Q793" t="str">
        <f t="shared" si="102"/>
        <v/>
      </c>
      <c r="R793" t="str">
        <f t="shared" si="103"/>
        <v/>
      </c>
    </row>
    <row r="794" spans="1:18" x14ac:dyDescent="0.25">
      <c r="A794">
        <f>ROW()</f>
        <v>794</v>
      </c>
      <c r="D794" t="s">
        <v>254</v>
      </c>
      <c r="E794" t="s">
        <v>260</v>
      </c>
      <c r="G794">
        <v>16000</v>
      </c>
      <c r="J794" t="str">
        <f>IF(A794&lt;WORKSHEET!$R$2,WORKSHEET!$C$2,IF(B794="Air Waybill Number",C794,J793))</f>
        <v>774421829468</v>
      </c>
      <c r="K794" t="str">
        <f t="shared" si="96"/>
        <v>870091403</v>
      </c>
      <c r="L794" t="str">
        <f t="shared" si="97"/>
        <v>20 Dec 2023</v>
      </c>
      <c r="M794" t="str">
        <f t="shared" si="98"/>
        <v/>
      </c>
      <c r="N794" t="str">
        <f t="shared" si="99"/>
        <v>12/11/2023</v>
      </c>
      <c r="O794" t="str">
        <f t="shared" si="100"/>
        <v/>
      </c>
      <c r="P794" t="str">
        <f t="shared" si="101"/>
        <v/>
      </c>
      <c r="Q794" t="str">
        <f t="shared" si="102"/>
        <v/>
      </c>
      <c r="R794" t="str">
        <f t="shared" si="103"/>
        <v/>
      </c>
    </row>
    <row r="795" spans="1:18" x14ac:dyDescent="0.25">
      <c r="A795">
        <f>ROW()</f>
        <v>795</v>
      </c>
      <c r="D795" t="s">
        <v>261</v>
      </c>
      <c r="G795">
        <v>2893</v>
      </c>
      <c r="J795" t="str">
        <f>IF(A795&lt;WORKSHEET!$R$2,WORKSHEET!$C$2,IF(B795="Air Waybill Number",C795,J794))</f>
        <v>774421829468</v>
      </c>
      <c r="K795" t="str">
        <f t="shared" si="96"/>
        <v>870091403</v>
      </c>
      <c r="L795" t="str">
        <f t="shared" si="97"/>
        <v>20 Dec 2023</v>
      </c>
      <c r="M795" t="str">
        <f t="shared" si="98"/>
        <v/>
      </c>
      <c r="N795" t="str">
        <f t="shared" si="99"/>
        <v>12/11/2023</v>
      </c>
      <c r="O795" t="str">
        <f t="shared" si="100"/>
        <v/>
      </c>
      <c r="P795" t="str">
        <f t="shared" si="101"/>
        <v/>
      </c>
      <c r="Q795" t="str">
        <f t="shared" si="102"/>
        <v/>
      </c>
      <c r="R795" t="str">
        <f t="shared" si="103"/>
        <v/>
      </c>
    </row>
    <row r="796" spans="1:18" x14ac:dyDescent="0.25">
      <c r="A796">
        <f>ROW()</f>
        <v>796</v>
      </c>
      <c r="D796" t="s">
        <v>14</v>
      </c>
      <c r="G796">
        <v>265893</v>
      </c>
      <c r="J796" t="str">
        <f>IF(A796&lt;WORKSHEET!$R$2,WORKSHEET!$C$2,IF(B796="Air Waybill Number",C796,J795))</f>
        <v>774421829468</v>
      </c>
      <c r="K796" t="str">
        <f t="shared" si="96"/>
        <v>870091403</v>
      </c>
      <c r="L796" t="str">
        <f t="shared" si="97"/>
        <v>20 Dec 2023</v>
      </c>
      <c r="M796" t="str">
        <f t="shared" si="98"/>
        <v/>
      </c>
      <c r="N796" t="str">
        <f t="shared" si="99"/>
        <v>12/11/2023</v>
      </c>
      <c r="O796" t="str">
        <f t="shared" si="100"/>
        <v/>
      </c>
      <c r="P796" t="str">
        <f t="shared" si="101"/>
        <v/>
      </c>
      <c r="Q796" t="str">
        <f t="shared" si="102"/>
        <v/>
      </c>
      <c r="R796" t="str">
        <f t="shared" si="103"/>
        <v/>
      </c>
    </row>
    <row r="797" spans="1:18" x14ac:dyDescent="0.25">
      <c r="A797">
        <f>ROW()</f>
        <v>797</v>
      </c>
      <c r="B797" t="s">
        <v>221</v>
      </c>
      <c r="C797" t="s">
        <v>145</v>
      </c>
      <c r="J797" t="str">
        <f>IF(A797&lt;WORKSHEET!$R$2,WORKSHEET!$C$2,IF(B797="Air Waybill Number",C797,J796))</f>
        <v>774421829468</v>
      </c>
      <c r="K797" t="str">
        <f t="shared" si="96"/>
        <v>870093989</v>
      </c>
      <c r="L797" t="str">
        <f t="shared" si="97"/>
        <v>20 Dec 2023</v>
      </c>
      <c r="M797" t="str">
        <f t="shared" si="98"/>
        <v/>
      </c>
      <c r="N797" t="str">
        <f t="shared" si="99"/>
        <v>12/11/2023</v>
      </c>
      <c r="O797" t="str">
        <f t="shared" si="100"/>
        <v/>
      </c>
      <c r="P797" t="str">
        <f t="shared" si="101"/>
        <v/>
      </c>
      <c r="Q797" t="str">
        <f t="shared" si="102"/>
        <v/>
      </c>
      <c r="R797" t="str">
        <f t="shared" si="103"/>
        <v/>
      </c>
    </row>
    <row r="798" spans="1:18" x14ac:dyDescent="0.25">
      <c r="A798">
        <f>ROW()</f>
        <v>798</v>
      </c>
      <c r="B798" t="s">
        <v>222</v>
      </c>
      <c r="C798" t="s">
        <v>595</v>
      </c>
      <c r="J798" t="str">
        <f>IF(A798&lt;WORKSHEET!$R$2,WORKSHEET!$C$2,IF(B798="Air Waybill Number",C798,J797))</f>
        <v>774421829468</v>
      </c>
      <c r="K798" t="str">
        <f t="shared" si="96"/>
        <v>870093989</v>
      </c>
      <c r="L798" t="str">
        <f t="shared" si="97"/>
        <v>20 Dec 2023</v>
      </c>
      <c r="M798" t="str">
        <f t="shared" si="98"/>
        <v/>
      </c>
      <c r="N798" t="str">
        <f t="shared" si="99"/>
        <v>12/11/2023</v>
      </c>
      <c r="O798" t="str">
        <f t="shared" si="100"/>
        <v/>
      </c>
      <c r="P798" t="str">
        <f t="shared" si="101"/>
        <v/>
      </c>
      <c r="Q798" t="str">
        <f t="shared" si="102"/>
        <v/>
      </c>
      <c r="R798" t="str">
        <f t="shared" si="103"/>
        <v/>
      </c>
    </row>
    <row r="799" spans="1:18" x14ac:dyDescent="0.25">
      <c r="A799">
        <f>ROW()</f>
        <v>799</v>
      </c>
      <c r="B799" t="s">
        <v>224</v>
      </c>
      <c r="C799" t="s">
        <v>225</v>
      </c>
      <c r="J799" t="str">
        <f>IF(A799&lt;WORKSHEET!$R$2,WORKSHEET!$C$2,IF(B799="Air Waybill Number",C799,J798))</f>
        <v>774421829468</v>
      </c>
      <c r="K799" t="str">
        <f t="shared" si="96"/>
        <v>870093989</v>
      </c>
      <c r="L799" t="str">
        <f t="shared" si="97"/>
        <v>20 Dec 2023</v>
      </c>
      <c r="M799" t="str">
        <f t="shared" si="98"/>
        <v/>
      </c>
      <c r="N799" t="str">
        <f t="shared" si="99"/>
        <v>12/11/2023</v>
      </c>
      <c r="O799" t="str">
        <f t="shared" si="100"/>
        <v/>
      </c>
      <c r="P799" t="str">
        <f t="shared" si="101"/>
        <v/>
      </c>
      <c r="Q799" t="str">
        <f t="shared" si="102"/>
        <v/>
      </c>
      <c r="R799" t="str">
        <f t="shared" si="103"/>
        <v/>
      </c>
    </row>
    <row r="800" spans="1:18" x14ac:dyDescent="0.25">
      <c r="A800">
        <f>ROW()</f>
        <v>800</v>
      </c>
      <c r="B800" t="s">
        <v>226</v>
      </c>
      <c r="C800" t="s">
        <v>619</v>
      </c>
      <c r="D800" t="s">
        <v>335</v>
      </c>
      <c r="F800" t="s">
        <v>229</v>
      </c>
      <c r="J800" t="str">
        <f>IF(A800&lt;WORKSHEET!$R$2,WORKSHEET!$C$2,IF(B800="Air Waybill Number",C800,J799))</f>
        <v>774421829468</v>
      </c>
      <c r="K800" t="str">
        <f t="shared" si="96"/>
        <v>870093989</v>
      </c>
      <c r="L800" t="str">
        <f t="shared" si="97"/>
        <v>20 Dec 2023</v>
      </c>
      <c r="M800" t="str">
        <f t="shared" si="98"/>
        <v/>
      </c>
      <c r="N800" t="str">
        <f t="shared" si="99"/>
        <v>12/06/2023</v>
      </c>
      <c r="O800" t="str">
        <f t="shared" si="100"/>
        <v>FION LEUNG</v>
      </c>
      <c r="P800" t="str">
        <f t="shared" si="101"/>
        <v>J-LONG LTD</v>
      </c>
      <c r="Q800" t="str">
        <f t="shared" si="102"/>
        <v>SRI/NUNING</v>
      </c>
      <c r="R800" t="str">
        <f t="shared" si="103"/>
        <v>P.T. GISTEX GARMEN INDONESIA</v>
      </c>
    </row>
    <row r="801" spans="1:18" x14ac:dyDescent="0.25">
      <c r="A801">
        <f>ROW()</f>
        <v>801</v>
      </c>
      <c r="B801" t="s">
        <v>320</v>
      </c>
      <c r="C801" t="s">
        <v>646</v>
      </c>
      <c r="D801" t="s">
        <v>52</v>
      </c>
      <c r="F801" t="s">
        <v>135</v>
      </c>
      <c r="J801" t="str">
        <f>IF(A801&lt;WORKSHEET!$R$2,WORKSHEET!$C$2,IF(B801="Air Waybill Number",C801,J800))</f>
        <v>774421829468</v>
      </c>
      <c r="K801" t="str">
        <f t="shared" si="96"/>
        <v>870093989</v>
      </c>
      <c r="L801" t="str">
        <f t="shared" si="97"/>
        <v>20 Dec 2023</v>
      </c>
      <c r="M801" t="str">
        <f t="shared" si="98"/>
        <v/>
      </c>
      <c r="N801" t="str">
        <f t="shared" si="99"/>
        <v>12/06/2023</v>
      </c>
      <c r="O801" t="str">
        <f t="shared" si="100"/>
        <v/>
      </c>
      <c r="P801" t="str">
        <f t="shared" si="101"/>
        <v/>
      </c>
      <c r="Q801" t="str">
        <f t="shared" si="102"/>
        <v/>
      </c>
      <c r="R801" t="str">
        <f t="shared" si="103"/>
        <v/>
      </c>
    </row>
    <row r="802" spans="1:18" x14ac:dyDescent="0.25">
      <c r="A802">
        <f>ROW()</f>
        <v>802</v>
      </c>
      <c r="B802" t="s">
        <v>232</v>
      </c>
      <c r="C802" t="s">
        <v>134</v>
      </c>
      <c r="D802" t="s">
        <v>54</v>
      </c>
      <c r="F802" t="s">
        <v>77</v>
      </c>
      <c r="J802" t="str">
        <f>IF(A802&lt;WORKSHEET!$R$2,WORKSHEET!$C$2,IF(B802="Air Waybill Number",C802,J801))</f>
        <v>774365555030</v>
      </c>
      <c r="K802" t="str">
        <f t="shared" si="96"/>
        <v>870093989</v>
      </c>
      <c r="L802" t="str">
        <f t="shared" si="97"/>
        <v>20 Dec 2023</v>
      </c>
      <c r="M802" t="str">
        <f t="shared" si="98"/>
        <v>774365555030-1</v>
      </c>
      <c r="N802" t="str">
        <f t="shared" si="99"/>
        <v>12/06/2023</v>
      </c>
      <c r="O802" t="str">
        <f t="shared" si="100"/>
        <v/>
      </c>
      <c r="P802" t="str">
        <f t="shared" si="101"/>
        <v/>
      </c>
      <c r="Q802" t="str">
        <f t="shared" si="102"/>
        <v/>
      </c>
      <c r="R802" t="str">
        <f t="shared" si="103"/>
        <v/>
      </c>
    </row>
    <row r="803" spans="1:18" x14ac:dyDescent="0.25">
      <c r="A803">
        <f>ROW()</f>
        <v>803</v>
      </c>
      <c r="B803" t="s">
        <v>233</v>
      </c>
      <c r="C803" t="s">
        <v>322</v>
      </c>
      <c r="D803" t="s">
        <v>336</v>
      </c>
      <c r="F803" t="s">
        <v>337</v>
      </c>
      <c r="J803" t="str">
        <f>IF(A803&lt;WORKSHEET!$R$2,WORKSHEET!$C$2,IF(B803="Air Waybill Number",C803,J802))</f>
        <v>774365555030</v>
      </c>
      <c r="K803" t="str">
        <f t="shared" si="96"/>
        <v>870093989</v>
      </c>
      <c r="L803" t="str">
        <f t="shared" si="97"/>
        <v>20 Dec 2023</v>
      </c>
      <c r="M803" t="str">
        <f t="shared" si="98"/>
        <v/>
      </c>
      <c r="N803" t="str">
        <f t="shared" si="99"/>
        <v>12/06/2023</v>
      </c>
      <c r="O803" t="str">
        <f t="shared" si="100"/>
        <v/>
      </c>
      <c r="P803" t="str">
        <f t="shared" si="101"/>
        <v/>
      </c>
      <c r="Q803" t="str">
        <f t="shared" si="102"/>
        <v/>
      </c>
      <c r="R803" t="str">
        <f t="shared" si="103"/>
        <v/>
      </c>
    </row>
    <row r="804" spans="1:18" x14ac:dyDescent="0.25">
      <c r="A804">
        <f>ROW()</f>
        <v>804</v>
      </c>
      <c r="B804" t="s">
        <v>237</v>
      </c>
      <c r="C804" t="s">
        <v>620</v>
      </c>
      <c r="D804" t="s">
        <v>339</v>
      </c>
      <c r="F804" t="s">
        <v>340</v>
      </c>
      <c r="J804" t="str">
        <f>IF(A804&lt;WORKSHEET!$R$2,WORKSHEET!$C$2,IF(B804="Air Waybill Number",C804,J803))</f>
        <v>774365555030</v>
      </c>
      <c r="K804" t="str">
        <f t="shared" si="96"/>
        <v>870093989</v>
      </c>
      <c r="L804" t="str">
        <f t="shared" si="97"/>
        <v>20 Dec 2023</v>
      </c>
      <c r="M804" t="str">
        <f t="shared" si="98"/>
        <v/>
      </c>
      <c r="N804" t="str">
        <f t="shared" si="99"/>
        <v>12/06/2023</v>
      </c>
      <c r="O804" t="str">
        <f t="shared" si="100"/>
        <v/>
      </c>
      <c r="P804" t="str">
        <f t="shared" si="101"/>
        <v/>
      </c>
      <c r="Q804" t="str">
        <f t="shared" si="102"/>
        <v/>
      </c>
      <c r="R804" t="str">
        <f t="shared" si="103"/>
        <v/>
      </c>
    </row>
    <row r="805" spans="1:18" x14ac:dyDescent="0.25">
      <c r="A805">
        <f>ROW()</f>
        <v>805</v>
      </c>
      <c r="B805" t="s">
        <v>241</v>
      </c>
      <c r="C805" t="s">
        <v>621</v>
      </c>
      <c r="D805" t="s">
        <v>342</v>
      </c>
      <c r="E805" t="s">
        <v>343</v>
      </c>
      <c r="F805" t="s">
        <v>243</v>
      </c>
      <c r="G805" t="s">
        <v>244</v>
      </c>
      <c r="J805" t="str">
        <f>IF(A805&lt;WORKSHEET!$R$2,WORKSHEET!$C$2,IF(B805="Air Waybill Number",C805,J804))</f>
        <v>774365555030</v>
      </c>
      <c r="K805" t="str">
        <f t="shared" si="96"/>
        <v>870093989</v>
      </c>
      <c r="L805" t="str">
        <f t="shared" si="97"/>
        <v>20 Dec 2023</v>
      </c>
      <c r="M805" t="str">
        <f t="shared" si="98"/>
        <v/>
      </c>
      <c r="N805" t="str">
        <f t="shared" si="99"/>
        <v>12/06/2023</v>
      </c>
      <c r="O805" t="str">
        <f t="shared" si="100"/>
        <v/>
      </c>
      <c r="P805" t="str">
        <f t="shared" si="101"/>
        <v/>
      </c>
      <c r="Q805" t="str">
        <f t="shared" si="102"/>
        <v/>
      </c>
      <c r="R805" t="str">
        <f t="shared" si="103"/>
        <v/>
      </c>
    </row>
    <row r="806" spans="1:18" x14ac:dyDescent="0.25">
      <c r="A806">
        <f>ROW()</f>
        <v>806</v>
      </c>
      <c r="B806" t="s">
        <v>245</v>
      </c>
      <c r="C806" t="s">
        <v>246</v>
      </c>
      <c r="J806" t="str">
        <f>IF(A806&lt;WORKSHEET!$R$2,WORKSHEET!$C$2,IF(B806="Air Waybill Number",C806,J805))</f>
        <v>774365555030</v>
      </c>
      <c r="K806" t="str">
        <f t="shared" si="96"/>
        <v>870093989</v>
      </c>
      <c r="L806" t="str">
        <f t="shared" si="97"/>
        <v>20 Dec 2023</v>
      </c>
      <c r="M806" t="str">
        <f t="shared" si="98"/>
        <v/>
      </c>
      <c r="N806" t="str">
        <f t="shared" si="99"/>
        <v>12/06/2023</v>
      </c>
      <c r="O806" t="str">
        <f t="shared" si="100"/>
        <v/>
      </c>
      <c r="P806" t="str">
        <f t="shared" si="101"/>
        <v/>
      </c>
      <c r="Q806" t="str">
        <f t="shared" si="102"/>
        <v/>
      </c>
      <c r="R806" t="str">
        <f t="shared" si="103"/>
        <v/>
      </c>
    </row>
    <row r="807" spans="1:18" x14ac:dyDescent="0.25">
      <c r="A807">
        <f>ROW()</f>
        <v>807</v>
      </c>
      <c r="B807" t="s">
        <v>247</v>
      </c>
      <c r="D807" t="s">
        <v>254</v>
      </c>
      <c r="F807" t="s">
        <v>345</v>
      </c>
      <c r="G807" t="s">
        <v>647</v>
      </c>
      <c r="J807" t="str">
        <f>IF(A807&lt;WORKSHEET!$R$2,WORKSHEET!$C$2,IF(B807="Air Waybill Number",C807,J806))</f>
        <v>774365555030</v>
      </c>
      <c r="K807" t="str">
        <f t="shared" si="96"/>
        <v>870093989</v>
      </c>
      <c r="L807" t="str">
        <f t="shared" si="97"/>
        <v>20 Dec 2023</v>
      </c>
      <c r="M807" t="str">
        <f t="shared" si="98"/>
        <v/>
      </c>
      <c r="N807" t="str">
        <f t="shared" si="99"/>
        <v>12/06/2023</v>
      </c>
      <c r="O807" t="str">
        <f t="shared" si="100"/>
        <v/>
      </c>
      <c r="P807" t="str">
        <f t="shared" si="101"/>
        <v/>
      </c>
      <c r="Q807" t="str">
        <f t="shared" si="102"/>
        <v/>
      </c>
      <c r="R807" t="str">
        <f t="shared" si="103"/>
        <v/>
      </c>
    </row>
    <row r="808" spans="1:18" x14ac:dyDescent="0.25">
      <c r="A808">
        <f>ROW()</f>
        <v>808</v>
      </c>
      <c r="B808" t="s">
        <v>249</v>
      </c>
      <c r="C808" t="s">
        <v>622</v>
      </c>
      <c r="D808" t="s">
        <v>254</v>
      </c>
      <c r="F808" t="s">
        <v>347</v>
      </c>
      <c r="G808" t="s">
        <v>648</v>
      </c>
      <c r="J808" t="str">
        <f>IF(A808&lt;WORKSHEET!$R$2,WORKSHEET!$C$2,IF(B808="Air Waybill Number",C808,J807))</f>
        <v>774365555030</v>
      </c>
      <c r="K808" t="str">
        <f t="shared" si="96"/>
        <v>870093989</v>
      </c>
      <c r="L808" t="str">
        <f t="shared" si="97"/>
        <v>20 Dec 2023</v>
      </c>
      <c r="M808" t="str">
        <f t="shared" si="98"/>
        <v/>
      </c>
      <c r="N808" t="str">
        <f t="shared" si="99"/>
        <v>12/06/2023</v>
      </c>
      <c r="O808" t="str">
        <f t="shared" si="100"/>
        <v/>
      </c>
      <c r="P808" t="str">
        <f t="shared" si="101"/>
        <v/>
      </c>
      <c r="Q808" t="str">
        <f t="shared" si="102"/>
        <v/>
      </c>
      <c r="R808" t="str">
        <f t="shared" si="103"/>
        <v/>
      </c>
    </row>
    <row r="809" spans="1:18" x14ac:dyDescent="0.25">
      <c r="A809">
        <f>ROW()</f>
        <v>809</v>
      </c>
      <c r="C809" t="s">
        <v>288</v>
      </c>
      <c r="D809" t="s">
        <v>254</v>
      </c>
      <c r="F809" t="s">
        <v>349</v>
      </c>
      <c r="G809" t="s">
        <v>350</v>
      </c>
      <c r="J809" t="str">
        <f>IF(A809&lt;WORKSHEET!$R$2,WORKSHEET!$C$2,IF(B809="Air Waybill Number",C809,J808))</f>
        <v>774365555030</v>
      </c>
      <c r="K809" t="str">
        <f t="shared" si="96"/>
        <v>870093989</v>
      </c>
      <c r="L809" t="str">
        <f t="shared" si="97"/>
        <v>20 Dec 2023</v>
      </c>
      <c r="M809" t="str">
        <f t="shared" si="98"/>
        <v/>
      </c>
      <c r="N809" t="str">
        <f t="shared" si="99"/>
        <v>12/06/2023</v>
      </c>
      <c r="O809" t="str">
        <f t="shared" si="100"/>
        <v/>
      </c>
      <c r="P809" t="str">
        <f t="shared" si="101"/>
        <v/>
      </c>
      <c r="Q809" t="str">
        <f t="shared" si="102"/>
        <v/>
      </c>
      <c r="R809" t="str">
        <f t="shared" si="103"/>
        <v/>
      </c>
    </row>
    <row r="810" spans="1:18" x14ac:dyDescent="0.25">
      <c r="A810">
        <f>ROW()</f>
        <v>810</v>
      </c>
      <c r="B810" t="s">
        <v>331</v>
      </c>
      <c r="C810" t="s">
        <v>649</v>
      </c>
      <c r="D810" t="s">
        <v>254</v>
      </c>
      <c r="F810" t="s">
        <v>328</v>
      </c>
      <c r="G810" t="s">
        <v>650</v>
      </c>
      <c r="J810" t="str">
        <f>IF(A810&lt;WORKSHEET!$R$2,WORKSHEET!$C$2,IF(B810="Air Waybill Number",C810,J809))</f>
        <v>774365555030</v>
      </c>
      <c r="K810" t="str">
        <f t="shared" si="96"/>
        <v>870093989</v>
      </c>
      <c r="L810" t="str">
        <f t="shared" si="97"/>
        <v>20 Dec 2023</v>
      </c>
      <c r="M810" t="str">
        <f t="shared" si="98"/>
        <v/>
      </c>
      <c r="N810" t="str">
        <f t="shared" si="99"/>
        <v>12/06/2023</v>
      </c>
      <c r="O810" t="str">
        <f t="shared" si="100"/>
        <v/>
      </c>
      <c r="P810" t="str">
        <f t="shared" si="101"/>
        <v/>
      </c>
      <c r="Q810" t="str">
        <f t="shared" si="102"/>
        <v/>
      </c>
      <c r="R810" t="str">
        <f t="shared" si="103"/>
        <v/>
      </c>
    </row>
    <row r="811" spans="1:18" x14ac:dyDescent="0.25">
      <c r="A811">
        <f>ROW()</f>
        <v>811</v>
      </c>
      <c r="D811" t="s">
        <v>261</v>
      </c>
      <c r="G811" t="s">
        <v>651</v>
      </c>
      <c r="J811" t="str">
        <f>IF(A811&lt;WORKSHEET!$R$2,WORKSHEET!$C$2,IF(B811="Air Waybill Number",C811,J810))</f>
        <v>774365555030</v>
      </c>
      <c r="K811" t="str">
        <f t="shared" si="96"/>
        <v>870093989</v>
      </c>
      <c r="L811" t="str">
        <f t="shared" si="97"/>
        <v>20 Dec 2023</v>
      </c>
      <c r="M811" t="str">
        <f t="shared" si="98"/>
        <v/>
      </c>
      <c r="N811" t="str">
        <f t="shared" si="99"/>
        <v>12/06/2023</v>
      </c>
      <c r="O811" t="str">
        <f t="shared" si="100"/>
        <v/>
      </c>
      <c r="P811" t="str">
        <f t="shared" si="101"/>
        <v/>
      </c>
      <c r="Q811" t="str">
        <f t="shared" si="102"/>
        <v/>
      </c>
      <c r="R811" t="str">
        <f t="shared" si="103"/>
        <v/>
      </c>
    </row>
    <row r="812" spans="1:18" x14ac:dyDescent="0.25">
      <c r="A812">
        <f>ROW()</f>
        <v>812</v>
      </c>
      <c r="D812" t="s">
        <v>14</v>
      </c>
      <c r="G812" t="s">
        <v>652</v>
      </c>
      <c r="J812" t="str">
        <f>IF(A812&lt;WORKSHEET!$R$2,WORKSHEET!$C$2,IF(B812="Air Waybill Number",C812,J811))</f>
        <v>774365555030</v>
      </c>
      <c r="K812" t="str">
        <f t="shared" si="96"/>
        <v>870093989</v>
      </c>
      <c r="L812" t="str">
        <f t="shared" si="97"/>
        <v>20 Dec 2023</v>
      </c>
      <c r="M812" t="str">
        <f t="shared" si="98"/>
        <v/>
      </c>
      <c r="N812" t="str">
        <f t="shared" si="99"/>
        <v>12/06/2023</v>
      </c>
      <c r="O812" t="str">
        <f t="shared" si="100"/>
        <v/>
      </c>
      <c r="P812" t="str">
        <f t="shared" si="101"/>
        <v/>
      </c>
      <c r="Q812" t="str">
        <f t="shared" si="102"/>
        <v/>
      </c>
      <c r="R812" t="str">
        <f t="shared" si="103"/>
        <v/>
      </c>
    </row>
    <row r="813" spans="1:18" x14ac:dyDescent="0.25">
      <c r="A813">
        <f>ROW()</f>
        <v>813</v>
      </c>
      <c r="B813" t="s">
        <v>221</v>
      </c>
      <c r="C813" t="s">
        <v>146</v>
      </c>
      <c r="J813" t="str">
        <f>IF(A813&lt;WORKSHEET!$R$2,WORKSHEET!$C$2,IF(B813="Air Waybill Number",C813,J812))</f>
        <v>774365555030</v>
      </c>
      <c r="K813" t="str">
        <f t="shared" si="96"/>
        <v>870111817</v>
      </c>
      <c r="L813" t="str">
        <f t="shared" si="97"/>
        <v>20 Dec 2023</v>
      </c>
      <c r="M813" t="str">
        <f t="shared" si="98"/>
        <v/>
      </c>
      <c r="N813" t="str">
        <f t="shared" si="99"/>
        <v>12/06/2023</v>
      </c>
      <c r="O813" t="str">
        <f t="shared" si="100"/>
        <v/>
      </c>
      <c r="P813" t="str">
        <f t="shared" si="101"/>
        <v/>
      </c>
      <c r="Q813" t="str">
        <f t="shared" si="102"/>
        <v/>
      </c>
      <c r="R813" t="str">
        <f t="shared" si="103"/>
        <v/>
      </c>
    </row>
    <row r="814" spans="1:18" x14ac:dyDescent="0.25">
      <c r="A814">
        <f>ROW()</f>
        <v>814</v>
      </c>
      <c r="B814" t="s">
        <v>222</v>
      </c>
      <c r="C814" t="s">
        <v>653</v>
      </c>
      <c r="J814" t="str">
        <f>IF(A814&lt;WORKSHEET!$R$2,WORKSHEET!$C$2,IF(B814="Air Waybill Number",C814,J813))</f>
        <v>774365555030</v>
      </c>
      <c r="K814" t="str">
        <f t="shared" si="96"/>
        <v>870111817</v>
      </c>
      <c r="L814" t="str">
        <f t="shared" si="97"/>
        <v>27 Dec 2023</v>
      </c>
      <c r="M814" t="str">
        <f t="shared" si="98"/>
        <v/>
      </c>
      <c r="N814" t="str">
        <f t="shared" si="99"/>
        <v>12/06/2023</v>
      </c>
      <c r="O814" t="str">
        <f t="shared" si="100"/>
        <v/>
      </c>
      <c r="P814" t="str">
        <f t="shared" si="101"/>
        <v/>
      </c>
      <c r="Q814" t="str">
        <f t="shared" si="102"/>
        <v/>
      </c>
      <c r="R814" t="str">
        <f t="shared" si="103"/>
        <v/>
      </c>
    </row>
    <row r="815" spans="1:18" x14ac:dyDescent="0.25">
      <c r="A815">
        <f>ROW()</f>
        <v>815</v>
      </c>
      <c r="B815" t="s">
        <v>224</v>
      </c>
      <c r="C815" t="s">
        <v>225</v>
      </c>
      <c r="J815" t="str">
        <f>IF(A815&lt;WORKSHEET!$R$2,WORKSHEET!$C$2,IF(B815="Air Waybill Number",C815,J814))</f>
        <v>774365555030</v>
      </c>
      <c r="K815" t="str">
        <f t="shared" si="96"/>
        <v>870111817</v>
      </c>
      <c r="L815" t="str">
        <f t="shared" si="97"/>
        <v>27 Dec 2023</v>
      </c>
      <c r="M815" t="str">
        <f t="shared" si="98"/>
        <v/>
      </c>
      <c r="N815" t="str">
        <f t="shared" si="99"/>
        <v>12/06/2023</v>
      </c>
      <c r="O815" t="str">
        <f t="shared" si="100"/>
        <v/>
      </c>
      <c r="P815" t="str">
        <f t="shared" si="101"/>
        <v/>
      </c>
      <c r="Q815" t="str">
        <f t="shared" si="102"/>
        <v/>
      </c>
      <c r="R815" t="str">
        <f t="shared" si="103"/>
        <v/>
      </c>
    </row>
    <row r="816" spans="1:18" x14ac:dyDescent="0.25">
      <c r="A816">
        <f>ROW()</f>
        <v>816</v>
      </c>
      <c r="B816" t="s">
        <v>226</v>
      </c>
      <c r="C816" t="s">
        <v>391</v>
      </c>
      <c r="D816" t="s">
        <v>357</v>
      </c>
      <c r="E816" t="s">
        <v>229</v>
      </c>
      <c r="J816" t="str">
        <f>IF(A816&lt;WORKSHEET!$R$2,WORKSHEET!$C$2,IF(B816="Air Waybill Number",C816,J815))</f>
        <v>774365555030</v>
      </c>
      <c r="K816" t="str">
        <f t="shared" si="96"/>
        <v>870111817</v>
      </c>
      <c r="L816" t="str">
        <f t="shared" si="97"/>
        <v>27 Dec 2023</v>
      </c>
      <c r="M816" t="str">
        <f t="shared" si="98"/>
        <v/>
      </c>
      <c r="N816" t="str">
        <f t="shared" si="99"/>
        <v>12/15/2023</v>
      </c>
      <c r="O816" t="str">
        <f t="shared" si="100"/>
        <v>SHENYANG</v>
      </c>
      <c r="P816" t="str">
        <f t="shared" si="101"/>
        <v>JIANGSU</v>
      </c>
      <c r="Q816" t="str">
        <f t="shared" si="102"/>
        <v>MERCY /SUMI/GITA</v>
      </c>
      <c r="R816" t="str">
        <f t="shared" si="103"/>
        <v>PT GISTEX GARMEN INDONESIA</v>
      </c>
    </row>
    <row r="817" spans="1:18" x14ac:dyDescent="0.25">
      <c r="A817">
        <f>ROW()</f>
        <v>817</v>
      </c>
      <c r="B817" t="s">
        <v>230</v>
      </c>
      <c r="C817" t="s">
        <v>654</v>
      </c>
      <c r="D817" t="s">
        <v>56</v>
      </c>
      <c r="E817" t="s">
        <v>359</v>
      </c>
      <c r="F817" t="s">
        <v>360</v>
      </c>
      <c r="J817" t="str">
        <f>IF(A817&lt;WORKSHEET!$R$2,WORKSHEET!$C$2,IF(B817="Air Waybill Number",C817,J816))</f>
        <v>774365555030</v>
      </c>
      <c r="K817" t="str">
        <f t="shared" si="96"/>
        <v>870111817</v>
      </c>
      <c r="L817" t="str">
        <f t="shared" si="97"/>
        <v>27 Dec 2023</v>
      </c>
      <c r="M817" t="str">
        <f t="shared" si="98"/>
        <v/>
      </c>
      <c r="N817" t="str">
        <f t="shared" si="99"/>
        <v>12/15/2023</v>
      </c>
      <c r="O817" t="str">
        <f t="shared" si="100"/>
        <v/>
      </c>
      <c r="P817" t="str">
        <f t="shared" si="101"/>
        <v/>
      </c>
      <c r="Q817" t="str">
        <f t="shared" si="102"/>
        <v/>
      </c>
      <c r="R817" t="str">
        <f t="shared" si="103"/>
        <v/>
      </c>
    </row>
    <row r="818" spans="1:18" x14ac:dyDescent="0.25">
      <c r="A818">
        <f>ROW()</f>
        <v>818</v>
      </c>
      <c r="B818" t="s">
        <v>232</v>
      </c>
      <c r="C818" t="s">
        <v>147</v>
      </c>
      <c r="D818" t="s">
        <v>58</v>
      </c>
      <c r="E818" t="s">
        <v>23</v>
      </c>
      <c r="J818" t="str">
        <f>IF(A818&lt;WORKSHEET!$R$2,WORKSHEET!$C$2,IF(B818="Air Waybill Number",C818,J817))</f>
        <v>774475073999</v>
      </c>
      <c r="K818" t="str">
        <f t="shared" si="96"/>
        <v>870111817</v>
      </c>
      <c r="L818" t="str">
        <f t="shared" si="97"/>
        <v>27 Dec 2023</v>
      </c>
      <c r="M818" t="str">
        <f t="shared" si="98"/>
        <v>774475073999-1</v>
      </c>
      <c r="N818" t="str">
        <f t="shared" si="99"/>
        <v>12/15/2023</v>
      </c>
      <c r="O818" t="str">
        <f t="shared" si="100"/>
        <v/>
      </c>
      <c r="P818" t="str">
        <f t="shared" si="101"/>
        <v/>
      </c>
      <c r="Q818" t="str">
        <f t="shared" si="102"/>
        <v/>
      </c>
      <c r="R818" t="str">
        <f t="shared" si="103"/>
        <v/>
      </c>
    </row>
    <row r="819" spans="1:18" x14ac:dyDescent="0.25">
      <c r="A819">
        <f>ROW()</f>
        <v>819</v>
      </c>
      <c r="B819" t="s">
        <v>233</v>
      </c>
      <c r="C819" t="s">
        <v>279</v>
      </c>
      <c r="D819" t="s">
        <v>361</v>
      </c>
      <c r="E819" t="s">
        <v>362</v>
      </c>
      <c r="J819" t="str">
        <f>IF(A819&lt;WORKSHEET!$R$2,WORKSHEET!$C$2,IF(B819="Air Waybill Number",C819,J818))</f>
        <v>774475073999</v>
      </c>
      <c r="K819" t="str">
        <f t="shared" si="96"/>
        <v>870111817</v>
      </c>
      <c r="L819" t="str">
        <f t="shared" si="97"/>
        <v>27 Dec 2023</v>
      </c>
      <c r="M819" t="str">
        <f t="shared" si="98"/>
        <v/>
      </c>
      <c r="N819" t="str">
        <f t="shared" si="99"/>
        <v>12/15/2023</v>
      </c>
      <c r="O819" t="str">
        <f t="shared" si="100"/>
        <v/>
      </c>
      <c r="P819" t="str">
        <f t="shared" si="101"/>
        <v/>
      </c>
      <c r="Q819" t="str">
        <f t="shared" si="102"/>
        <v/>
      </c>
      <c r="R819" t="str">
        <f t="shared" si="103"/>
        <v/>
      </c>
    </row>
    <row r="820" spans="1:18" x14ac:dyDescent="0.25">
      <c r="A820">
        <f>ROW()</f>
        <v>820</v>
      </c>
      <c r="B820" t="s">
        <v>237</v>
      </c>
      <c r="C820" t="s">
        <v>238</v>
      </c>
      <c r="D820" t="s">
        <v>363</v>
      </c>
      <c r="E820" t="s">
        <v>364</v>
      </c>
      <c r="J820" t="str">
        <f>IF(A820&lt;WORKSHEET!$R$2,WORKSHEET!$C$2,IF(B820="Air Waybill Number",C820,J819))</f>
        <v>774475073999</v>
      </c>
      <c r="K820" t="str">
        <f t="shared" si="96"/>
        <v>870111817</v>
      </c>
      <c r="L820" t="str">
        <f t="shared" si="97"/>
        <v>27 Dec 2023</v>
      </c>
      <c r="M820" t="str">
        <f t="shared" si="98"/>
        <v/>
      </c>
      <c r="N820" t="str">
        <f t="shared" si="99"/>
        <v>12/15/2023</v>
      </c>
      <c r="O820" t="str">
        <f t="shared" si="100"/>
        <v/>
      </c>
      <c r="P820" t="str">
        <f t="shared" si="101"/>
        <v/>
      </c>
      <c r="Q820" t="str">
        <f t="shared" si="102"/>
        <v/>
      </c>
      <c r="R820" t="str">
        <f t="shared" si="103"/>
        <v/>
      </c>
    </row>
    <row r="821" spans="1:18" x14ac:dyDescent="0.25">
      <c r="A821">
        <f>ROW()</f>
        <v>821</v>
      </c>
      <c r="B821" t="s">
        <v>241</v>
      </c>
      <c r="C821" t="s">
        <v>655</v>
      </c>
      <c r="D821" t="s">
        <v>365</v>
      </c>
      <c r="E821" t="s">
        <v>274</v>
      </c>
      <c r="F821" t="s">
        <v>284</v>
      </c>
      <c r="J821" t="str">
        <f>IF(A821&lt;WORKSHEET!$R$2,WORKSHEET!$C$2,IF(B821="Air Waybill Number",C821,J820))</f>
        <v>774475073999</v>
      </c>
      <c r="K821" t="str">
        <f t="shared" si="96"/>
        <v>870111817</v>
      </c>
      <c r="L821" t="str">
        <f t="shared" si="97"/>
        <v>27 Dec 2023</v>
      </c>
      <c r="M821" t="str">
        <f t="shared" si="98"/>
        <v/>
      </c>
      <c r="N821" t="str">
        <f t="shared" si="99"/>
        <v>12/15/2023</v>
      </c>
      <c r="O821" t="str">
        <f t="shared" si="100"/>
        <v/>
      </c>
      <c r="P821" t="str">
        <f t="shared" si="101"/>
        <v/>
      </c>
      <c r="Q821" t="str">
        <f t="shared" si="102"/>
        <v/>
      </c>
      <c r="R821" t="str">
        <f t="shared" si="103"/>
        <v/>
      </c>
    </row>
    <row r="822" spans="1:18" x14ac:dyDescent="0.25">
      <c r="A822">
        <f>ROW()</f>
        <v>822</v>
      </c>
      <c r="B822" t="s">
        <v>245</v>
      </c>
      <c r="C822" t="s">
        <v>246</v>
      </c>
      <c r="J822" t="str">
        <f>IF(A822&lt;WORKSHEET!$R$2,WORKSHEET!$C$2,IF(B822="Air Waybill Number",C822,J821))</f>
        <v>774475073999</v>
      </c>
      <c r="K822" t="str">
        <f t="shared" si="96"/>
        <v>870111817</v>
      </c>
      <c r="L822" t="str">
        <f t="shared" si="97"/>
        <v>27 Dec 2023</v>
      </c>
      <c r="M822" t="str">
        <f t="shared" si="98"/>
        <v/>
      </c>
      <c r="N822" t="str">
        <f t="shared" si="99"/>
        <v>12/15/2023</v>
      </c>
      <c r="O822" t="str">
        <f t="shared" si="100"/>
        <v/>
      </c>
      <c r="P822" t="str">
        <f t="shared" si="101"/>
        <v/>
      </c>
      <c r="Q822" t="str">
        <f t="shared" si="102"/>
        <v/>
      </c>
      <c r="R822" t="str">
        <f t="shared" si="103"/>
        <v/>
      </c>
    </row>
    <row r="823" spans="1:18" x14ac:dyDescent="0.25">
      <c r="A823">
        <f>ROW()</f>
        <v>823</v>
      </c>
      <c r="B823" t="s">
        <v>247</v>
      </c>
      <c r="D823" t="s">
        <v>248</v>
      </c>
      <c r="F823" t="s">
        <v>656</v>
      </c>
      <c r="J823" t="str">
        <f>IF(A823&lt;WORKSHEET!$R$2,WORKSHEET!$C$2,IF(B823="Air Waybill Number",C823,J822))</f>
        <v>774475073999</v>
      </c>
      <c r="K823" t="str">
        <f t="shared" si="96"/>
        <v>870111817</v>
      </c>
      <c r="L823" t="str">
        <f t="shared" si="97"/>
        <v>27 Dec 2023</v>
      </c>
      <c r="M823" t="str">
        <f t="shared" si="98"/>
        <v/>
      </c>
      <c r="N823" t="str">
        <f t="shared" si="99"/>
        <v>12/15/2023</v>
      </c>
      <c r="O823" t="str">
        <f t="shared" si="100"/>
        <v/>
      </c>
      <c r="P823" t="str">
        <f t="shared" si="101"/>
        <v/>
      </c>
      <c r="Q823" t="str">
        <f t="shared" si="102"/>
        <v/>
      </c>
      <c r="R823" t="str">
        <f t="shared" si="103"/>
        <v/>
      </c>
    </row>
    <row r="824" spans="1:18" x14ac:dyDescent="0.25">
      <c r="A824">
        <f>ROW()</f>
        <v>824</v>
      </c>
      <c r="B824" t="s">
        <v>249</v>
      </c>
      <c r="C824" t="s">
        <v>657</v>
      </c>
      <c r="D824" t="s">
        <v>251</v>
      </c>
      <c r="E824" t="s">
        <v>252</v>
      </c>
      <c r="F824" t="s">
        <v>658</v>
      </c>
      <c r="J824" t="str">
        <f>IF(A824&lt;WORKSHEET!$R$2,WORKSHEET!$C$2,IF(B824="Air Waybill Number",C824,J823))</f>
        <v>774475073999</v>
      </c>
      <c r="K824" t="str">
        <f t="shared" si="96"/>
        <v>870111817</v>
      </c>
      <c r="L824" t="str">
        <f t="shared" si="97"/>
        <v>27 Dec 2023</v>
      </c>
      <c r="M824" t="str">
        <f t="shared" si="98"/>
        <v/>
      </c>
      <c r="N824" t="str">
        <f t="shared" si="99"/>
        <v>12/15/2023</v>
      </c>
      <c r="O824" t="str">
        <f t="shared" si="100"/>
        <v/>
      </c>
      <c r="P824" t="str">
        <f t="shared" si="101"/>
        <v/>
      </c>
      <c r="Q824" t="str">
        <f t="shared" si="102"/>
        <v/>
      </c>
      <c r="R824" t="str">
        <f t="shared" si="103"/>
        <v/>
      </c>
    </row>
    <row r="825" spans="1:18" x14ac:dyDescent="0.25">
      <c r="A825">
        <f>ROW()</f>
        <v>825</v>
      </c>
      <c r="C825" t="s">
        <v>659</v>
      </c>
      <c r="D825" t="s">
        <v>254</v>
      </c>
      <c r="E825" t="s">
        <v>12</v>
      </c>
      <c r="F825" t="s">
        <v>660</v>
      </c>
      <c r="J825" t="str">
        <f>IF(A825&lt;WORKSHEET!$R$2,WORKSHEET!$C$2,IF(B825="Air Waybill Number",C825,J824))</f>
        <v>774475073999</v>
      </c>
      <c r="K825" t="str">
        <f t="shared" si="96"/>
        <v>870111817</v>
      </c>
      <c r="L825" t="str">
        <f t="shared" si="97"/>
        <v>27 Dec 2023</v>
      </c>
      <c r="M825" t="str">
        <f t="shared" si="98"/>
        <v/>
      </c>
      <c r="N825" t="str">
        <f t="shared" si="99"/>
        <v>12/15/2023</v>
      </c>
      <c r="O825" t="str">
        <f t="shared" si="100"/>
        <v/>
      </c>
      <c r="P825" t="str">
        <f t="shared" si="101"/>
        <v/>
      </c>
      <c r="Q825" t="str">
        <f t="shared" si="102"/>
        <v/>
      </c>
      <c r="R825" t="str">
        <f t="shared" si="103"/>
        <v/>
      </c>
    </row>
    <row r="826" spans="1:18" x14ac:dyDescent="0.25">
      <c r="A826">
        <f>ROW()</f>
        <v>826</v>
      </c>
      <c r="D826" t="s">
        <v>254</v>
      </c>
      <c r="E826" t="s">
        <v>260</v>
      </c>
      <c r="F826" t="s">
        <v>661</v>
      </c>
      <c r="J826" t="str">
        <f>IF(A826&lt;WORKSHEET!$R$2,WORKSHEET!$C$2,IF(B826="Air Waybill Number",C826,J825))</f>
        <v>774475073999</v>
      </c>
      <c r="K826" t="str">
        <f t="shared" si="96"/>
        <v>870111817</v>
      </c>
      <c r="L826" t="str">
        <f t="shared" si="97"/>
        <v>27 Dec 2023</v>
      </c>
      <c r="M826" t="str">
        <f t="shared" si="98"/>
        <v/>
      </c>
      <c r="N826" t="str">
        <f t="shared" si="99"/>
        <v>12/15/2023</v>
      </c>
      <c r="O826" t="str">
        <f t="shared" si="100"/>
        <v/>
      </c>
      <c r="P826" t="str">
        <f t="shared" si="101"/>
        <v/>
      </c>
      <c r="Q826" t="str">
        <f t="shared" si="102"/>
        <v/>
      </c>
      <c r="R826" t="str">
        <f t="shared" si="103"/>
        <v/>
      </c>
    </row>
    <row r="827" spans="1:18" x14ac:dyDescent="0.25">
      <c r="A827">
        <f>ROW()</f>
        <v>827</v>
      </c>
      <c r="D827" t="s">
        <v>261</v>
      </c>
      <c r="F827" t="s">
        <v>662</v>
      </c>
      <c r="J827" t="str">
        <f>IF(A827&lt;WORKSHEET!$R$2,WORKSHEET!$C$2,IF(B827="Air Waybill Number",C827,J826))</f>
        <v>774475073999</v>
      </c>
      <c r="K827" t="str">
        <f t="shared" si="96"/>
        <v>870111817</v>
      </c>
      <c r="L827" t="str">
        <f t="shared" si="97"/>
        <v>27 Dec 2023</v>
      </c>
      <c r="M827" t="str">
        <f t="shared" si="98"/>
        <v/>
      </c>
      <c r="N827" t="str">
        <f t="shared" si="99"/>
        <v>12/15/2023</v>
      </c>
      <c r="O827" t="str">
        <f t="shared" si="100"/>
        <v/>
      </c>
      <c r="P827" t="str">
        <f t="shared" si="101"/>
        <v/>
      </c>
      <c r="Q827" t="str">
        <f t="shared" si="102"/>
        <v/>
      </c>
      <c r="R827" t="str">
        <f t="shared" si="103"/>
        <v/>
      </c>
    </row>
    <row r="828" spans="1:18" x14ac:dyDescent="0.25">
      <c r="A828">
        <f>ROW()</f>
        <v>828</v>
      </c>
      <c r="D828" t="s">
        <v>14</v>
      </c>
      <c r="F828" t="s">
        <v>663</v>
      </c>
      <c r="J828" t="str">
        <f>IF(A828&lt;WORKSHEET!$R$2,WORKSHEET!$C$2,IF(B828="Air Waybill Number",C828,J827))</f>
        <v>774475073999</v>
      </c>
      <c r="K828" t="str">
        <f t="shared" si="96"/>
        <v>870111817</v>
      </c>
      <c r="L828" t="str">
        <f t="shared" si="97"/>
        <v>27 Dec 2023</v>
      </c>
      <c r="M828" t="str">
        <f t="shared" si="98"/>
        <v/>
      </c>
      <c r="N828" t="str">
        <f t="shared" si="99"/>
        <v>12/15/2023</v>
      </c>
      <c r="O828" t="str">
        <f t="shared" si="100"/>
        <v/>
      </c>
      <c r="P828" t="str">
        <f t="shared" si="101"/>
        <v/>
      </c>
      <c r="Q828" t="str">
        <f t="shared" si="102"/>
        <v/>
      </c>
      <c r="R828" t="str">
        <f t="shared" si="103"/>
        <v/>
      </c>
    </row>
    <row r="829" spans="1:18" x14ac:dyDescent="0.25">
      <c r="A829">
        <f>ROW()</f>
        <v>829</v>
      </c>
      <c r="B829" t="s">
        <v>221</v>
      </c>
      <c r="C829" t="s">
        <v>148</v>
      </c>
      <c r="J829" t="str">
        <f>IF(A829&lt;WORKSHEET!$R$2,WORKSHEET!$C$2,IF(B829="Air Waybill Number",C829,J828))</f>
        <v>774475073999</v>
      </c>
      <c r="K829" t="str">
        <f t="shared" si="96"/>
        <v>870111818</v>
      </c>
      <c r="L829" t="str">
        <f t="shared" si="97"/>
        <v>27 Dec 2023</v>
      </c>
      <c r="M829" t="str">
        <f t="shared" si="98"/>
        <v/>
      </c>
      <c r="N829" t="str">
        <f t="shared" si="99"/>
        <v>12/15/2023</v>
      </c>
      <c r="O829" t="str">
        <f t="shared" si="100"/>
        <v/>
      </c>
      <c r="P829" t="str">
        <f t="shared" si="101"/>
        <v/>
      </c>
      <c r="Q829" t="str">
        <f t="shared" si="102"/>
        <v/>
      </c>
      <c r="R829" t="str">
        <f t="shared" si="103"/>
        <v/>
      </c>
    </row>
    <row r="830" spans="1:18" x14ac:dyDescent="0.25">
      <c r="A830">
        <f>ROW()</f>
        <v>830</v>
      </c>
      <c r="B830" t="s">
        <v>222</v>
      </c>
      <c r="C830" t="s">
        <v>653</v>
      </c>
      <c r="J830" t="str">
        <f>IF(A830&lt;WORKSHEET!$R$2,WORKSHEET!$C$2,IF(B830="Air Waybill Number",C830,J829))</f>
        <v>774475073999</v>
      </c>
      <c r="K830" t="str">
        <f t="shared" si="96"/>
        <v>870111818</v>
      </c>
      <c r="L830" t="str">
        <f t="shared" si="97"/>
        <v>27 Dec 2023</v>
      </c>
      <c r="M830" t="str">
        <f t="shared" si="98"/>
        <v/>
      </c>
      <c r="N830" t="str">
        <f t="shared" si="99"/>
        <v>12/15/2023</v>
      </c>
      <c r="O830" t="str">
        <f t="shared" si="100"/>
        <v/>
      </c>
      <c r="P830" t="str">
        <f t="shared" si="101"/>
        <v/>
      </c>
      <c r="Q830" t="str">
        <f t="shared" si="102"/>
        <v/>
      </c>
      <c r="R830" t="str">
        <f t="shared" si="103"/>
        <v/>
      </c>
    </row>
    <row r="831" spans="1:18" x14ac:dyDescent="0.25">
      <c r="A831">
        <f>ROW()</f>
        <v>831</v>
      </c>
      <c r="B831" t="s">
        <v>224</v>
      </c>
      <c r="C831" t="s">
        <v>225</v>
      </c>
      <c r="J831" t="str">
        <f>IF(A831&lt;WORKSHEET!$R$2,WORKSHEET!$C$2,IF(B831="Air Waybill Number",C831,J830))</f>
        <v>774475073999</v>
      </c>
      <c r="K831" t="str">
        <f t="shared" si="96"/>
        <v>870111818</v>
      </c>
      <c r="L831" t="str">
        <f t="shared" si="97"/>
        <v>27 Dec 2023</v>
      </c>
      <c r="M831" t="str">
        <f t="shared" si="98"/>
        <v/>
      </c>
      <c r="N831" t="str">
        <f t="shared" si="99"/>
        <v>12/15/2023</v>
      </c>
      <c r="O831" t="str">
        <f t="shared" si="100"/>
        <v/>
      </c>
      <c r="P831" t="str">
        <f t="shared" si="101"/>
        <v/>
      </c>
      <c r="Q831" t="str">
        <f t="shared" si="102"/>
        <v/>
      </c>
      <c r="R831" t="str">
        <f t="shared" si="103"/>
        <v/>
      </c>
    </row>
    <row r="832" spans="1:18" x14ac:dyDescent="0.25">
      <c r="A832">
        <f>ROW()</f>
        <v>832</v>
      </c>
      <c r="B832" t="s">
        <v>226</v>
      </c>
      <c r="C832" t="s">
        <v>227</v>
      </c>
      <c r="D832" t="s">
        <v>290</v>
      </c>
      <c r="E832" t="s">
        <v>312</v>
      </c>
      <c r="J832" t="str">
        <f>IF(A832&lt;WORKSHEET!$R$2,WORKSHEET!$C$2,IF(B832="Air Waybill Number",C832,J831))</f>
        <v>774475073999</v>
      </c>
      <c r="K832" t="str">
        <f t="shared" si="96"/>
        <v>870111818</v>
      </c>
      <c r="L832" t="str">
        <f t="shared" si="97"/>
        <v>27 Dec 2023</v>
      </c>
      <c r="M832" t="str">
        <f t="shared" si="98"/>
        <v/>
      </c>
      <c r="N832" t="str">
        <f t="shared" si="99"/>
        <v>12/13/2023</v>
      </c>
      <c r="O832" t="str">
        <f t="shared" si="100"/>
        <v>MS. MERCY</v>
      </c>
      <c r="P832" t="str">
        <f t="shared" si="101"/>
        <v>GISTEX GARMEN INDONESIA</v>
      </c>
      <c r="Q832" t="str">
        <f t="shared" si="102"/>
        <v>SARAH</v>
      </c>
      <c r="R832" t="str">
        <f t="shared" si="103"/>
        <v>NINGBO SOCO TEXTILE STOCK CORP</v>
      </c>
    </row>
    <row r="833" spans="1:18" x14ac:dyDescent="0.25">
      <c r="A833">
        <f>ROW()</f>
        <v>833</v>
      </c>
      <c r="B833" t="s">
        <v>232</v>
      </c>
      <c r="C833" t="s">
        <v>149</v>
      </c>
      <c r="D833" t="s">
        <v>43</v>
      </c>
      <c r="E833" t="s">
        <v>47</v>
      </c>
      <c r="J833" t="str">
        <f>IF(A833&lt;WORKSHEET!$R$2,WORKSHEET!$C$2,IF(B833="Air Waybill Number",C833,J832))</f>
        <v>774458508594</v>
      </c>
      <c r="K833" t="str">
        <f t="shared" si="96"/>
        <v>870111818</v>
      </c>
      <c r="L833" t="str">
        <f t="shared" si="97"/>
        <v>27 Dec 2023</v>
      </c>
      <c r="M833" t="str">
        <f t="shared" si="98"/>
        <v>774458508594-1</v>
      </c>
      <c r="N833" t="str">
        <f t="shared" si="99"/>
        <v>12/13/2023</v>
      </c>
      <c r="O833" t="str">
        <f t="shared" si="100"/>
        <v/>
      </c>
      <c r="P833" t="str">
        <f t="shared" si="101"/>
        <v/>
      </c>
      <c r="Q833" t="str">
        <f t="shared" si="102"/>
        <v/>
      </c>
      <c r="R833" t="str">
        <f t="shared" si="103"/>
        <v/>
      </c>
    </row>
    <row r="834" spans="1:18" x14ac:dyDescent="0.25">
      <c r="A834">
        <f>ROW()</f>
        <v>834</v>
      </c>
      <c r="B834" t="s">
        <v>233</v>
      </c>
      <c r="C834" t="s">
        <v>292</v>
      </c>
      <c r="D834" t="s">
        <v>41</v>
      </c>
      <c r="E834" t="s">
        <v>48</v>
      </c>
      <c r="J834" t="str">
        <f>IF(A834&lt;WORKSHEET!$R$2,WORKSHEET!$C$2,IF(B834="Air Waybill Number",C834,J833))</f>
        <v>774458508594</v>
      </c>
      <c r="K834" t="str">
        <f t="shared" ref="K834:K897" si="104">IF(B834="Invoice Number:",C834,K833)</f>
        <v>870111818</v>
      </c>
      <c r="L834" t="str">
        <f t="shared" ref="L834:L897" si="105">IF(B834="Invoice Date:",C834,L833)</f>
        <v>27 Dec 2023</v>
      </c>
      <c r="M834" t="str">
        <f t="shared" ref="M834:M897" si="106">IF(B834="Air Waybill Number",J834&amp;"-1","")</f>
        <v/>
      </c>
      <c r="N834" t="str">
        <f t="shared" ref="N834:N897" si="107">IF(B834="Ship Date",C834,N833)</f>
        <v>12/13/2023</v>
      </c>
      <c r="O834" t="str">
        <f t="shared" ref="O834:O897" si="108">IF(LEFT(D834,6)="Sender",D835,IF(LEFT(E834,6)="Sender",E835,""))</f>
        <v/>
      </c>
      <c r="P834" t="str">
        <f t="shared" ref="P834:P897" si="109">IF(LEFT(D834,6)="Sender",D836,IF(LEFT(E834,6)="Sender",D836,""))</f>
        <v/>
      </c>
      <c r="Q834" t="str">
        <f t="shared" ref="Q834:Q897" si="110">IF(LEFT(E834,9)="Recipient",E835&amp;F835,IF(LEFT(F834,9)="Recipient",F835,IF(LEFT(G834,9)="Recipient",G835,IF(LEFT(H834,9)="Recipient",H835,""))))</f>
        <v/>
      </c>
      <c r="R834" t="str">
        <f t="shared" ref="R834:R897" si="111">IF(LEFT(E834,9)="Recipient",E836&amp;F836,IF(LEFT(F834,9)="Recipient",F836,IF(LEFT(G834,9)="Recipient",G836,IF(LEFT(H834,9)="Recipient",H836,""))))</f>
        <v/>
      </c>
    </row>
    <row r="835" spans="1:18" x14ac:dyDescent="0.25">
      <c r="A835">
        <f>ROW()</f>
        <v>835</v>
      </c>
      <c r="B835" t="s">
        <v>237</v>
      </c>
      <c r="C835" t="s">
        <v>238</v>
      </c>
      <c r="D835" t="s">
        <v>293</v>
      </c>
      <c r="E835" t="s">
        <v>313</v>
      </c>
      <c r="J835" t="str">
        <f>IF(A835&lt;WORKSHEET!$R$2,WORKSHEET!$C$2,IF(B835="Air Waybill Number",C835,J834))</f>
        <v>774458508594</v>
      </c>
      <c r="K835" t="str">
        <f t="shared" si="104"/>
        <v>870111818</v>
      </c>
      <c r="L835" t="str">
        <f t="shared" si="105"/>
        <v>27 Dec 2023</v>
      </c>
      <c r="M835" t="str">
        <f t="shared" si="106"/>
        <v/>
      </c>
      <c r="N835" t="str">
        <f t="shared" si="107"/>
        <v>12/13/2023</v>
      </c>
      <c r="O835" t="str">
        <f t="shared" si="108"/>
        <v/>
      </c>
      <c r="P835" t="str">
        <f t="shared" si="109"/>
        <v/>
      </c>
      <c r="Q835" t="str">
        <f t="shared" si="110"/>
        <v/>
      </c>
      <c r="R835" t="str">
        <f t="shared" si="111"/>
        <v/>
      </c>
    </row>
    <row r="836" spans="1:18" x14ac:dyDescent="0.25">
      <c r="A836">
        <f>ROW()</f>
        <v>836</v>
      </c>
      <c r="B836" t="s">
        <v>241</v>
      </c>
      <c r="C836" t="s">
        <v>295</v>
      </c>
      <c r="D836" t="s">
        <v>296</v>
      </c>
      <c r="E836" t="s">
        <v>314</v>
      </c>
      <c r="J836" t="str">
        <f>IF(A836&lt;WORKSHEET!$R$2,WORKSHEET!$C$2,IF(B836="Air Waybill Number",C836,J835))</f>
        <v>774458508594</v>
      </c>
      <c r="K836" t="str">
        <f t="shared" si="104"/>
        <v>870111818</v>
      </c>
      <c r="L836" t="str">
        <f t="shared" si="105"/>
        <v>27 Dec 2023</v>
      </c>
      <c r="M836" t="str">
        <f t="shared" si="106"/>
        <v/>
      </c>
      <c r="N836" t="str">
        <f t="shared" si="107"/>
        <v>12/13/2023</v>
      </c>
      <c r="O836" t="str">
        <f t="shared" si="108"/>
        <v/>
      </c>
      <c r="P836" t="str">
        <f t="shared" si="109"/>
        <v/>
      </c>
      <c r="Q836" t="str">
        <f t="shared" si="110"/>
        <v/>
      </c>
      <c r="R836" t="str">
        <f t="shared" si="111"/>
        <v/>
      </c>
    </row>
    <row r="837" spans="1:18" x14ac:dyDescent="0.25">
      <c r="A837">
        <f>ROW()</f>
        <v>837</v>
      </c>
      <c r="B837" t="s">
        <v>286</v>
      </c>
      <c r="C837" t="s">
        <v>299</v>
      </c>
      <c r="D837" t="s">
        <v>300</v>
      </c>
      <c r="E837" t="s">
        <v>282</v>
      </c>
      <c r="F837" t="s">
        <v>315</v>
      </c>
      <c r="J837" t="str">
        <f>IF(A837&lt;WORKSHEET!$R$2,WORKSHEET!$C$2,IF(B837="Air Waybill Number",C837,J836))</f>
        <v>774458508594</v>
      </c>
      <c r="K837" t="str">
        <f t="shared" si="104"/>
        <v>870111818</v>
      </c>
      <c r="L837" t="str">
        <f t="shared" si="105"/>
        <v>27 Dec 2023</v>
      </c>
      <c r="M837" t="str">
        <f t="shared" si="106"/>
        <v/>
      </c>
      <c r="N837" t="str">
        <f t="shared" si="107"/>
        <v>12/13/2023</v>
      </c>
      <c r="O837" t="str">
        <f t="shared" si="108"/>
        <v/>
      </c>
      <c r="P837" t="str">
        <f t="shared" si="109"/>
        <v/>
      </c>
      <c r="Q837" t="str">
        <f t="shared" si="110"/>
        <v/>
      </c>
      <c r="R837" t="str">
        <f t="shared" si="111"/>
        <v/>
      </c>
    </row>
    <row r="838" spans="1:18" x14ac:dyDescent="0.25">
      <c r="A838">
        <f>ROW()</f>
        <v>838</v>
      </c>
      <c r="B838" t="s">
        <v>249</v>
      </c>
      <c r="C838" t="s">
        <v>664</v>
      </c>
      <c r="D838" t="s">
        <v>248</v>
      </c>
      <c r="G838">
        <v>570000</v>
      </c>
      <c r="J838" t="str">
        <f>IF(A838&lt;WORKSHEET!$R$2,WORKSHEET!$C$2,IF(B838="Air Waybill Number",C838,J837))</f>
        <v>774458508594</v>
      </c>
      <c r="K838" t="str">
        <f t="shared" si="104"/>
        <v>870111818</v>
      </c>
      <c r="L838" t="str">
        <f t="shared" si="105"/>
        <v>27 Dec 2023</v>
      </c>
      <c r="M838" t="str">
        <f t="shared" si="106"/>
        <v/>
      </c>
      <c r="N838" t="str">
        <f t="shared" si="107"/>
        <v>12/13/2023</v>
      </c>
      <c r="O838" t="str">
        <f t="shared" si="108"/>
        <v/>
      </c>
      <c r="P838" t="str">
        <f t="shared" si="109"/>
        <v/>
      </c>
      <c r="Q838" t="str">
        <f t="shared" si="110"/>
        <v/>
      </c>
      <c r="R838" t="str">
        <f t="shared" si="111"/>
        <v/>
      </c>
    </row>
    <row r="839" spans="1:18" x14ac:dyDescent="0.25">
      <c r="A839">
        <f>ROW()</f>
        <v>839</v>
      </c>
      <c r="D839" t="s">
        <v>251</v>
      </c>
      <c r="E839" t="s">
        <v>252</v>
      </c>
      <c r="G839">
        <v>-406866</v>
      </c>
      <c r="J839" t="str">
        <f>IF(A839&lt;WORKSHEET!$R$2,WORKSHEET!$C$2,IF(B839="Air Waybill Number",C839,J838))</f>
        <v>774458508594</v>
      </c>
      <c r="K839" t="str">
        <f t="shared" si="104"/>
        <v>870111818</v>
      </c>
      <c r="L839" t="str">
        <f t="shared" si="105"/>
        <v>27 Dec 2023</v>
      </c>
      <c r="M839" t="str">
        <f t="shared" si="106"/>
        <v/>
      </c>
      <c r="N839" t="str">
        <f t="shared" si="107"/>
        <v>12/13/2023</v>
      </c>
      <c r="O839" t="str">
        <f t="shared" si="108"/>
        <v/>
      </c>
      <c r="P839" t="str">
        <f t="shared" si="109"/>
        <v/>
      </c>
      <c r="Q839" t="str">
        <f t="shared" si="110"/>
        <v/>
      </c>
      <c r="R839" t="str">
        <f t="shared" si="111"/>
        <v/>
      </c>
    </row>
    <row r="840" spans="1:18" x14ac:dyDescent="0.25">
      <c r="A840">
        <f>ROW()</f>
        <v>840</v>
      </c>
      <c r="D840" t="s">
        <v>254</v>
      </c>
      <c r="E840" t="s">
        <v>12</v>
      </c>
      <c r="G840">
        <v>51053</v>
      </c>
      <c r="J840" t="str">
        <f>IF(A840&lt;WORKSHEET!$R$2,WORKSHEET!$C$2,IF(B840="Air Waybill Number",C840,J839))</f>
        <v>774458508594</v>
      </c>
      <c r="K840" t="str">
        <f t="shared" si="104"/>
        <v>870111818</v>
      </c>
      <c r="L840" t="str">
        <f t="shared" si="105"/>
        <v>27 Dec 2023</v>
      </c>
      <c r="M840" t="str">
        <f t="shared" si="106"/>
        <v/>
      </c>
      <c r="N840" t="str">
        <f t="shared" si="107"/>
        <v>12/13/2023</v>
      </c>
      <c r="O840" t="str">
        <f t="shared" si="108"/>
        <v/>
      </c>
      <c r="P840" t="str">
        <f t="shared" si="109"/>
        <v/>
      </c>
      <c r="Q840" t="str">
        <f t="shared" si="110"/>
        <v/>
      </c>
      <c r="R840" t="str">
        <f t="shared" si="111"/>
        <v/>
      </c>
    </row>
    <row r="841" spans="1:18" x14ac:dyDescent="0.25">
      <c r="A841">
        <f>ROW()</f>
        <v>841</v>
      </c>
      <c r="D841" t="s">
        <v>254</v>
      </c>
      <c r="E841" t="s">
        <v>260</v>
      </c>
      <c r="G841">
        <v>16000</v>
      </c>
      <c r="J841" t="str">
        <f>IF(A841&lt;WORKSHEET!$R$2,WORKSHEET!$C$2,IF(B841="Air Waybill Number",C841,J840))</f>
        <v>774458508594</v>
      </c>
      <c r="K841" t="str">
        <f t="shared" si="104"/>
        <v>870111818</v>
      </c>
      <c r="L841" t="str">
        <f t="shared" si="105"/>
        <v>27 Dec 2023</v>
      </c>
      <c r="M841" t="str">
        <f t="shared" si="106"/>
        <v/>
      </c>
      <c r="N841" t="str">
        <f t="shared" si="107"/>
        <v>12/13/2023</v>
      </c>
      <c r="O841" t="str">
        <f t="shared" si="108"/>
        <v/>
      </c>
      <c r="P841" t="str">
        <f t="shared" si="109"/>
        <v/>
      </c>
      <c r="Q841" t="str">
        <f t="shared" si="110"/>
        <v/>
      </c>
      <c r="R841" t="str">
        <f t="shared" si="111"/>
        <v/>
      </c>
    </row>
    <row r="842" spans="1:18" x14ac:dyDescent="0.25">
      <c r="A842">
        <f>ROW()</f>
        <v>842</v>
      </c>
      <c r="D842" t="s">
        <v>261</v>
      </c>
      <c r="G842">
        <v>2532</v>
      </c>
      <c r="J842" t="str">
        <f>IF(A842&lt;WORKSHEET!$R$2,WORKSHEET!$C$2,IF(B842="Air Waybill Number",C842,J841))</f>
        <v>774458508594</v>
      </c>
      <c r="K842" t="str">
        <f t="shared" si="104"/>
        <v>870111818</v>
      </c>
      <c r="L842" t="str">
        <f t="shared" si="105"/>
        <v>27 Dec 2023</v>
      </c>
      <c r="M842" t="str">
        <f t="shared" si="106"/>
        <v/>
      </c>
      <c r="N842" t="str">
        <f t="shared" si="107"/>
        <v>12/13/2023</v>
      </c>
      <c r="O842" t="str">
        <f t="shared" si="108"/>
        <v/>
      </c>
      <c r="P842" t="str">
        <f t="shared" si="109"/>
        <v/>
      </c>
      <c r="Q842" t="str">
        <f t="shared" si="110"/>
        <v/>
      </c>
      <c r="R842" t="str">
        <f t="shared" si="111"/>
        <v/>
      </c>
    </row>
    <row r="843" spans="1:18" x14ac:dyDescent="0.25">
      <c r="A843">
        <f>ROW()</f>
        <v>843</v>
      </c>
      <c r="D843" t="s">
        <v>14</v>
      </c>
      <c r="G843">
        <v>232719</v>
      </c>
      <c r="J843" t="str">
        <f>IF(A843&lt;WORKSHEET!$R$2,WORKSHEET!$C$2,IF(B843="Air Waybill Number",C843,J842))</f>
        <v>774458508594</v>
      </c>
      <c r="K843" t="str">
        <f t="shared" si="104"/>
        <v>870111818</v>
      </c>
      <c r="L843" t="str">
        <f t="shared" si="105"/>
        <v>27 Dec 2023</v>
      </c>
      <c r="M843" t="str">
        <f t="shared" si="106"/>
        <v/>
      </c>
      <c r="N843" t="str">
        <f t="shared" si="107"/>
        <v>12/13/2023</v>
      </c>
      <c r="O843" t="str">
        <f t="shared" si="108"/>
        <v/>
      </c>
      <c r="P843" t="str">
        <f t="shared" si="109"/>
        <v/>
      </c>
      <c r="Q843" t="str">
        <f t="shared" si="110"/>
        <v/>
      </c>
      <c r="R843" t="str">
        <f t="shared" si="111"/>
        <v/>
      </c>
    </row>
    <row r="844" spans="1:18" x14ac:dyDescent="0.25">
      <c r="A844">
        <f>ROW()</f>
        <v>844</v>
      </c>
      <c r="D844" t="s">
        <v>262</v>
      </c>
      <c r="J844" t="str">
        <f>IF(A844&lt;WORKSHEET!$R$2,WORKSHEET!$C$2,IF(B844="Air Waybill Number",C844,J843))</f>
        <v>774458508594</v>
      </c>
      <c r="K844" t="str">
        <f t="shared" si="104"/>
        <v>870111818</v>
      </c>
      <c r="L844" t="str">
        <f t="shared" si="105"/>
        <v>27 Dec 2023</v>
      </c>
      <c r="M844" t="str">
        <f t="shared" si="106"/>
        <v/>
      </c>
      <c r="N844" t="str">
        <f t="shared" si="107"/>
        <v>12/13/2023</v>
      </c>
      <c r="O844" t="str">
        <f t="shared" si="108"/>
        <v/>
      </c>
      <c r="P844" t="str">
        <f t="shared" si="109"/>
        <v/>
      </c>
      <c r="Q844" t="str">
        <f t="shared" si="110"/>
        <v/>
      </c>
      <c r="R844" t="str">
        <f t="shared" si="111"/>
        <v/>
      </c>
    </row>
    <row r="845" spans="1:18" x14ac:dyDescent="0.25">
      <c r="A845">
        <f>ROW()</f>
        <v>845</v>
      </c>
      <c r="B845" t="s">
        <v>226</v>
      </c>
      <c r="C845" t="s">
        <v>654</v>
      </c>
      <c r="D845" t="s">
        <v>290</v>
      </c>
      <c r="E845" t="s">
        <v>291</v>
      </c>
      <c r="J845" t="str">
        <f>IF(A845&lt;WORKSHEET!$R$2,WORKSHEET!$C$2,IF(B845="Air Waybill Number",C845,J844))</f>
        <v>774458508594</v>
      </c>
      <c r="K845" t="str">
        <f t="shared" si="104"/>
        <v>870111818</v>
      </c>
      <c r="L845" t="str">
        <f t="shared" si="105"/>
        <v>27 Dec 2023</v>
      </c>
      <c r="M845" t="str">
        <f t="shared" si="106"/>
        <v/>
      </c>
      <c r="N845" t="str">
        <f t="shared" si="107"/>
        <v>12/14/2023</v>
      </c>
      <c r="O845" t="str">
        <f t="shared" si="108"/>
        <v>EKA / BAYU</v>
      </c>
      <c r="P845" t="str">
        <f t="shared" si="109"/>
        <v>GISTEX GARMEN INDONESIA</v>
      </c>
      <c r="Q845" t="str">
        <f t="shared" si="110"/>
        <v>OGURA KENJI / HASHIMOTO KIMIE</v>
      </c>
      <c r="R845" t="str">
        <f t="shared" si="111"/>
        <v>MARUBENI FASHION LINK, LTD</v>
      </c>
    </row>
    <row r="846" spans="1:18" x14ac:dyDescent="0.25">
      <c r="A846">
        <f>ROW()</f>
        <v>846</v>
      </c>
      <c r="B846" t="s">
        <v>232</v>
      </c>
      <c r="C846" t="s">
        <v>150</v>
      </c>
      <c r="D846" t="s">
        <v>36</v>
      </c>
      <c r="E846" t="s">
        <v>37</v>
      </c>
      <c r="J846" t="str">
        <f>IF(A846&lt;WORKSHEET!$R$2,WORKSHEET!$C$2,IF(B846="Air Waybill Number",C846,J845))</f>
        <v>774456317101</v>
      </c>
      <c r="K846" t="str">
        <f t="shared" si="104"/>
        <v>870111818</v>
      </c>
      <c r="L846" t="str">
        <f t="shared" si="105"/>
        <v>27 Dec 2023</v>
      </c>
      <c r="M846" t="str">
        <f t="shared" si="106"/>
        <v>774456317101-1</v>
      </c>
      <c r="N846" t="str">
        <f t="shared" si="107"/>
        <v>12/14/2023</v>
      </c>
      <c r="O846" t="str">
        <f t="shared" si="108"/>
        <v/>
      </c>
      <c r="P846" t="str">
        <f t="shared" si="109"/>
        <v/>
      </c>
      <c r="Q846" t="str">
        <f t="shared" si="110"/>
        <v/>
      </c>
      <c r="R846" t="str">
        <f t="shared" si="111"/>
        <v/>
      </c>
    </row>
    <row r="847" spans="1:18" x14ac:dyDescent="0.25">
      <c r="A847">
        <f>ROW()</f>
        <v>847</v>
      </c>
      <c r="B847" t="s">
        <v>233</v>
      </c>
      <c r="C847" t="s">
        <v>279</v>
      </c>
      <c r="D847" t="s">
        <v>41</v>
      </c>
      <c r="E847" t="s">
        <v>39</v>
      </c>
      <c r="J847" t="str">
        <f>IF(A847&lt;WORKSHEET!$R$2,WORKSHEET!$C$2,IF(B847="Air Waybill Number",C847,J846))</f>
        <v>774456317101</v>
      </c>
      <c r="K847" t="str">
        <f t="shared" si="104"/>
        <v>870111818</v>
      </c>
      <c r="L847" t="str">
        <f t="shared" si="105"/>
        <v>27 Dec 2023</v>
      </c>
      <c r="M847" t="str">
        <f t="shared" si="106"/>
        <v/>
      </c>
      <c r="N847" t="str">
        <f t="shared" si="107"/>
        <v>12/14/2023</v>
      </c>
      <c r="O847" t="str">
        <f t="shared" si="108"/>
        <v/>
      </c>
      <c r="P847" t="str">
        <f t="shared" si="109"/>
        <v/>
      </c>
      <c r="Q847" t="str">
        <f t="shared" si="110"/>
        <v/>
      </c>
      <c r="R847" t="str">
        <f t="shared" si="111"/>
        <v/>
      </c>
    </row>
    <row r="848" spans="1:18" x14ac:dyDescent="0.25">
      <c r="A848">
        <f>ROW()</f>
        <v>848</v>
      </c>
      <c r="B848" t="s">
        <v>237</v>
      </c>
      <c r="C848" t="s">
        <v>238</v>
      </c>
      <c r="D848" t="s">
        <v>293</v>
      </c>
      <c r="E848" t="s">
        <v>294</v>
      </c>
      <c r="J848" t="str">
        <f>IF(A848&lt;WORKSHEET!$R$2,WORKSHEET!$C$2,IF(B848="Air Waybill Number",C848,J847))</f>
        <v>774456317101</v>
      </c>
      <c r="K848" t="str">
        <f t="shared" si="104"/>
        <v>870111818</v>
      </c>
      <c r="L848" t="str">
        <f t="shared" si="105"/>
        <v>27 Dec 2023</v>
      </c>
      <c r="M848" t="str">
        <f t="shared" si="106"/>
        <v/>
      </c>
      <c r="N848" t="str">
        <f t="shared" si="107"/>
        <v>12/14/2023</v>
      </c>
      <c r="O848" t="str">
        <f t="shared" si="108"/>
        <v/>
      </c>
      <c r="P848" t="str">
        <f t="shared" si="109"/>
        <v/>
      </c>
      <c r="Q848" t="str">
        <f t="shared" si="110"/>
        <v/>
      </c>
      <c r="R848" t="str">
        <f t="shared" si="111"/>
        <v/>
      </c>
    </row>
    <row r="849" spans="1:18" x14ac:dyDescent="0.25">
      <c r="A849">
        <f>ROW()</f>
        <v>849</v>
      </c>
      <c r="B849" t="s">
        <v>241</v>
      </c>
      <c r="C849" t="s">
        <v>285</v>
      </c>
      <c r="D849" t="s">
        <v>296</v>
      </c>
      <c r="E849" t="s">
        <v>297</v>
      </c>
      <c r="F849" t="s">
        <v>298</v>
      </c>
      <c r="J849" t="str">
        <f>IF(A849&lt;WORKSHEET!$R$2,WORKSHEET!$C$2,IF(B849="Air Waybill Number",C849,J848))</f>
        <v>774456317101</v>
      </c>
      <c r="K849" t="str">
        <f t="shared" si="104"/>
        <v>870111818</v>
      </c>
      <c r="L849" t="str">
        <f t="shared" si="105"/>
        <v>27 Dec 2023</v>
      </c>
      <c r="M849" t="str">
        <f t="shared" si="106"/>
        <v/>
      </c>
      <c r="N849" t="str">
        <f t="shared" si="107"/>
        <v>12/14/2023</v>
      </c>
      <c r="O849" t="str">
        <f t="shared" si="108"/>
        <v/>
      </c>
      <c r="P849" t="str">
        <f t="shared" si="109"/>
        <v/>
      </c>
      <c r="Q849" t="str">
        <f t="shared" si="110"/>
        <v/>
      </c>
      <c r="R849" t="str">
        <f t="shared" si="111"/>
        <v/>
      </c>
    </row>
    <row r="850" spans="1:18" x14ac:dyDescent="0.25">
      <c r="A850">
        <f>ROW()</f>
        <v>850</v>
      </c>
      <c r="B850" t="s">
        <v>245</v>
      </c>
      <c r="C850" t="s">
        <v>299</v>
      </c>
      <c r="D850" t="s">
        <v>300</v>
      </c>
      <c r="J850" t="str">
        <f>IF(A850&lt;WORKSHEET!$R$2,WORKSHEET!$C$2,IF(B850="Air Waybill Number",C850,J849))</f>
        <v>774456317101</v>
      </c>
      <c r="K850" t="str">
        <f t="shared" si="104"/>
        <v>870111818</v>
      </c>
      <c r="L850" t="str">
        <f t="shared" si="105"/>
        <v>27 Dec 2023</v>
      </c>
      <c r="M850" t="str">
        <f t="shared" si="106"/>
        <v/>
      </c>
      <c r="N850" t="str">
        <f t="shared" si="107"/>
        <v>12/14/2023</v>
      </c>
      <c r="O850" t="str">
        <f t="shared" si="108"/>
        <v/>
      </c>
      <c r="P850" t="str">
        <f t="shared" si="109"/>
        <v/>
      </c>
      <c r="Q850" t="str">
        <f t="shared" si="110"/>
        <v/>
      </c>
      <c r="R850" t="str">
        <f t="shared" si="111"/>
        <v/>
      </c>
    </row>
    <row r="851" spans="1:18" x14ac:dyDescent="0.25">
      <c r="A851">
        <f>ROW()</f>
        <v>851</v>
      </c>
      <c r="B851" t="s">
        <v>247</v>
      </c>
      <c r="C851" t="s">
        <v>324</v>
      </c>
      <c r="J851" t="str">
        <f>IF(A851&lt;WORKSHEET!$R$2,WORKSHEET!$C$2,IF(B851="Air Waybill Number",C851,J850))</f>
        <v>774456317101</v>
      </c>
      <c r="K851" t="str">
        <f t="shared" si="104"/>
        <v>870111818</v>
      </c>
      <c r="L851" t="str">
        <f t="shared" si="105"/>
        <v>27 Dec 2023</v>
      </c>
      <c r="M851" t="str">
        <f t="shared" si="106"/>
        <v/>
      </c>
      <c r="N851" t="str">
        <f t="shared" si="107"/>
        <v>12/14/2023</v>
      </c>
      <c r="O851" t="str">
        <f t="shared" si="108"/>
        <v/>
      </c>
      <c r="P851" t="str">
        <f t="shared" si="109"/>
        <v/>
      </c>
      <c r="Q851" t="str">
        <f t="shared" si="110"/>
        <v/>
      </c>
      <c r="R851" t="str">
        <f t="shared" si="111"/>
        <v/>
      </c>
    </row>
    <row r="852" spans="1:18" x14ac:dyDescent="0.25">
      <c r="A852">
        <f>ROW()</f>
        <v>852</v>
      </c>
      <c r="B852" t="s">
        <v>249</v>
      </c>
      <c r="C852" t="s">
        <v>665</v>
      </c>
      <c r="D852" t="s">
        <v>248</v>
      </c>
      <c r="G852">
        <v>738000</v>
      </c>
      <c r="J852" t="str">
        <f>IF(A852&lt;WORKSHEET!$R$2,WORKSHEET!$C$2,IF(B852="Air Waybill Number",C852,J851))</f>
        <v>774456317101</v>
      </c>
      <c r="K852" t="str">
        <f t="shared" si="104"/>
        <v>870111818</v>
      </c>
      <c r="L852" t="str">
        <f t="shared" si="105"/>
        <v>27 Dec 2023</v>
      </c>
      <c r="M852" t="str">
        <f t="shared" si="106"/>
        <v/>
      </c>
      <c r="N852" t="str">
        <f t="shared" si="107"/>
        <v>12/14/2023</v>
      </c>
      <c r="O852" t="str">
        <f t="shared" si="108"/>
        <v/>
      </c>
      <c r="P852" t="str">
        <f t="shared" si="109"/>
        <v/>
      </c>
      <c r="Q852" t="str">
        <f t="shared" si="110"/>
        <v/>
      </c>
      <c r="R852" t="str">
        <f t="shared" si="111"/>
        <v/>
      </c>
    </row>
    <row r="853" spans="1:18" x14ac:dyDescent="0.25">
      <c r="A853">
        <f>ROW()</f>
        <v>853</v>
      </c>
      <c r="D853" t="s">
        <v>251</v>
      </c>
      <c r="E853" t="s">
        <v>252</v>
      </c>
      <c r="G853">
        <v>-549293</v>
      </c>
      <c r="J853" t="str">
        <f>IF(A853&lt;WORKSHEET!$R$2,WORKSHEET!$C$2,IF(B853="Air Waybill Number",C853,J852))</f>
        <v>774456317101</v>
      </c>
      <c r="K853" t="str">
        <f t="shared" si="104"/>
        <v>870111818</v>
      </c>
      <c r="L853" t="str">
        <f t="shared" si="105"/>
        <v>27 Dec 2023</v>
      </c>
      <c r="M853" t="str">
        <f t="shared" si="106"/>
        <v/>
      </c>
      <c r="N853" t="str">
        <f t="shared" si="107"/>
        <v>12/14/2023</v>
      </c>
      <c r="O853" t="str">
        <f t="shared" si="108"/>
        <v/>
      </c>
      <c r="P853" t="str">
        <f t="shared" si="109"/>
        <v/>
      </c>
      <c r="Q853" t="str">
        <f t="shared" si="110"/>
        <v/>
      </c>
      <c r="R853" t="str">
        <f t="shared" si="111"/>
        <v/>
      </c>
    </row>
    <row r="854" spans="1:18" x14ac:dyDescent="0.25">
      <c r="A854">
        <f>ROW()</f>
        <v>854</v>
      </c>
      <c r="D854" t="s">
        <v>254</v>
      </c>
      <c r="E854" t="s">
        <v>12</v>
      </c>
      <c r="G854">
        <v>58341</v>
      </c>
      <c r="J854" t="str">
        <f>IF(A854&lt;WORKSHEET!$R$2,WORKSHEET!$C$2,IF(B854="Air Waybill Number",C854,J853))</f>
        <v>774456317101</v>
      </c>
      <c r="K854" t="str">
        <f t="shared" si="104"/>
        <v>870111818</v>
      </c>
      <c r="L854" t="str">
        <f t="shared" si="105"/>
        <v>27 Dec 2023</v>
      </c>
      <c r="M854" t="str">
        <f t="shared" si="106"/>
        <v/>
      </c>
      <c r="N854" t="str">
        <f t="shared" si="107"/>
        <v>12/14/2023</v>
      </c>
      <c r="O854" t="str">
        <f t="shared" si="108"/>
        <v/>
      </c>
      <c r="P854" t="str">
        <f t="shared" si="109"/>
        <v/>
      </c>
      <c r="Q854" t="str">
        <f t="shared" si="110"/>
        <v/>
      </c>
      <c r="R854" t="str">
        <f t="shared" si="111"/>
        <v/>
      </c>
    </row>
    <row r="855" spans="1:18" x14ac:dyDescent="0.25">
      <c r="A855">
        <f>ROW()</f>
        <v>855</v>
      </c>
      <c r="D855" t="s">
        <v>254</v>
      </c>
      <c r="E855" t="s">
        <v>260</v>
      </c>
      <c r="G855">
        <v>16000</v>
      </c>
      <c r="J855" t="str">
        <f>IF(A855&lt;WORKSHEET!$R$2,WORKSHEET!$C$2,IF(B855="Air Waybill Number",C855,J854))</f>
        <v>774456317101</v>
      </c>
      <c r="K855" t="str">
        <f t="shared" si="104"/>
        <v>870111818</v>
      </c>
      <c r="L855" t="str">
        <f t="shared" si="105"/>
        <v>27 Dec 2023</v>
      </c>
      <c r="M855" t="str">
        <f t="shared" si="106"/>
        <v/>
      </c>
      <c r="N855" t="str">
        <f t="shared" si="107"/>
        <v>12/14/2023</v>
      </c>
      <c r="O855" t="str">
        <f t="shared" si="108"/>
        <v/>
      </c>
      <c r="P855" t="str">
        <f t="shared" si="109"/>
        <v/>
      </c>
      <c r="Q855" t="str">
        <f t="shared" si="110"/>
        <v/>
      </c>
      <c r="R855" t="str">
        <f t="shared" si="111"/>
        <v/>
      </c>
    </row>
    <row r="856" spans="1:18" x14ac:dyDescent="0.25">
      <c r="A856">
        <f>ROW()</f>
        <v>856</v>
      </c>
      <c r="D856" t="s">
        <v>261</v>
      </c>
      <c r="G856">
        <v>2893</v>
      </c>
      <c r="J856" t="str">
        <f>IF(A856&lt;WORKSHEET!$R$2,WORKSHEET!$C$2,IF(B856="Air Waybill Number",C856,J855))</f>
        <v>774456317101</v>
      </c>
      <c r="K856" t="str">
        <f t="shared" si="104"/>
        <v>870111818</v>
      </c>
      <c r="L856" t="str">
        <f t="shared" si="105"/>
        <v>27 Dec 2023</v>
      </c>
      <c r="M856" t="str">
        <f t="shared" si="106"/>
        <v/>
      </c>
      <c r="N856" t="str">
        <f t="shared" si="107"/>
        <v>12/14/2023</v>
      </c>
      <c r="O856" t="str">
        <f t="shared" si="108"/>
        <v/>
      </c>
      <c r="P856" t="str">
        <f t="shared" si="109"/>
        <v/>
      </c>
      <c r="Q856" t="str">
        <f t="shared" si="110"/>
        <v/>
      </c>
      <c r="R856" t="str">
        <f t="shared" si="111"/>
        <v/>
      </c>
    </row>
    <row r="857" spans="1:18" x14ac:dyDescent="0.25">
      <c r="A857">
        <f>ROW()</f>
        <v>857</v>
      </c>
      <c r="D857" t="s">
        <v>14</v>
      </c>
      <c r="G857">
        <v>265941</v>
      </c>
      <c r="J857" t="str">
        <f>IF(A857&lt;WORKSHEET!$R$2,WORKSHEET!$C$2,IF(B857="Air Waybill Number",C857,J856))</f>
        <v>774456317101</v>
      </c>
      <c r="K857" t="str">
        <f t="shared" si="104"/>
        <v>870111818</v>
      </c>
      <c r="L857" t="str">
        <f t="shared" si="105"/>
        <v>27 Dec 2023</v>
      </c>
      <c r="M857" t="str">
        <f t="shared" si="106"/>
        <v/>
      </c>
      <c r="N857" t="str">
        <f t="shared" si="107"/>
        <v>12/14/2023</v>
      </c>
      <c r="O857" t="str">
        <f t="shared" si="108"/>
        <v/>
      </c>
      <c r="P857" t="str">
        <f t="shared" si="109"/>
        <v/>
      </c>
      <c r="Q857" t="str">
        <f t="shared" si="110"/>
        <v/>
      </c>
      <c r="R857" t="str">
        <f t="shared" si="111"/>
        <v/>
      </c>
    </row>
    <row r="858" spans="1:18" x14ac:dyDescent="0.25">
      <c r="A858">
        <f>ROW()</f>
        <v>858</v>
      </c>
      <c r="D858" t="s">
        <v>262</v>
      </c>
      <c r="J858" t="str">
        <f>IF(A858&lt;WORKSHEET!$R$2,WORKSHEET!$C$2,IF(B858="Air Waybill Number",C858,J857))</f>
        <v>774456317101</v>
      </c>
      <c r="K858" t="str">
        <f t="shared" si="104"/>
        <v>870111818</v>
      </c>
      <c r="L858" t="str">
        <f t="shared" si="105"/>
        <v>27 Dec 2023</v>
      </c>
      <c r="M858" t="str">
        <f t="shared" si="106"/>
        <v/>
      </c>
      <c r="N858" t="str">
        <f t="shared" si="107"/>
        <v>12/14/2023</v>
      </c>
      <c r="O858" t="str">
        <f t="shared" si="108"/>
        <v/>
      </c>
      <c r="P858" t="str">
        <f t="shared" si="109"/>
        <v/>
      </c>
      <c r="Q858" t="str">
        <f t="shared" si="110"/>
        <v/>
      </c>
      <c r="R858" t="str">
        <f t="shared" si="111"/>
        <v/>
      </c>
    </row>
    <row r="859" spans="1:18" x14ac:dyDescent="0.25">
      <c r="A859">
        <f>ROW()</f>
        <v>859</v>
      </c>
      <c r="B859" t="s">
        <v>226</v>
      </c>
      <c r="C859" t="s">
        <v>654</v>
      </c>
      <c r="D859" t="s">
        <v>290</v>
      </c>
      <c r="E859" t="s">
        <v>450</v>
      </c>
      <c r="J859" t="str">
        <f>IF(A859&lt;WORKSHEET!$R$2,WORKSHEET!$C$2,IF(B859="Air Waybill Number",C859,J858))</f>
        <v>774456317101</v>
      </c>
      <c r="K859" t="str">
        <f t="shared" si="104"/>
        <v>870111818</v>
      </c>
      <c r="L859" t="str">
        <f t="shared" si="105"/>
        <v>27 Dec 2023</v>
      </c>
      <c r="M859" t="str">
        <f t="shared" si="106"/>
        <v/>
      </c>
      <c r="N859" t="str">
        <f t="shared" si="107"/>
        <v>12/14/2023</v>
      </c>
      <c r="O859" t="str">
        <f t="shared" si="108"/>
        <v>MS. MERCY</v>
      </c>
      <c r="P859" t="str">
        <f t="shared" si="109"/>
        <v>GISTEX GARMEN INDONESIA</v>
      </c>
      <c r="Q859" t="str">
        <f t="shared" si="110"/>
        <v>MS.SHIRLY FANG</v>
      </c>
      <c r="R859" t="str">
        <f t="shared" si="111"/>
        <v>SHAOXING YMYSI IMPORTEXPORT</v>
      </c>
    </row>
    <row r="860" spans="1:18" x14ac:dyDescent="0.25">
      <c r="A860">
        <f>ROW()</f>
        <v>860</v>
      </c>
      <c r="B860" t="s">
        <v>232</v>
      </c>
      <c r="C860" t="s">
        <v>151</v>
      </c>
      <c r="D860" t="s">
        <v>43</v>
      </c>
      <c r="E860" t="s">
        <v>88</v>
      </c>
      <c r="J860" t="str">
        <f>IF(A860&lt;WORKSHEET!$R$2,WORKSHEET!$C$2,IF(B860="Air Waybill Number",C860,J859))</f>
        <v>787993428533</v>
      </c>
      <c r="K860" t="str">
        <f t="shared" si="104"/>
        <v>870111818</v>
      </c>
      <c r="L860" t="str">
        <f t="shared" si="105"/>
        <v>27 Dec 2023</v>
      </c>
      <c r="M860" t="str">
        <f t="shared" si="106"/>
        <v>787993428533-1</v>
      </c>
      <c r="N860" t="str">
        <f t="shared" si="107"/>
        <v>12/14/2023</v>
      </c>
      <c r="O860" t="str">
        <f t="shared" si="108"/>
        <v/>
      </c>
      <c r="P860" t="str">
        <f t="shared" si="109"/>
        <v/>
      </c>
      <c r="Q860" t="str">
        <f t="shared" si="110"/>
        <v/>
      </c>
      <c r="R860" t="str">
        <f t="shared" si="111"/>
        <v/>
      </c>
    </row>
    <row r="861" spans="1:18" x14ac:dyDescent="0.25">
      <c r="A861">
        <f>ROW()</f>
        <v>861</v>
      </c>
      <c r="B861" t="s">
        <v>233</v>
      </c>
      <c r="C861" t="s">
        <v>292</v>
      </c>
      <c r="D861" t="s">
        <v>41</v>
      </c>
      <c r="E861" t="s">
        <v>451</v>
      </c>
      <c r="F861" t="s">
        <v>452</v>
      </c>
      <c r="J861" t="str">
        <f>IF(A861&lt;WORKSHEET!$R$2,WORKSHEET!$C$2,IF(B861="Air Waybill Number",C861,J860))</f>
        <v>787993428533</v>
      </c>
      <c r="K861" t="str">
        <f t="shared" si="104"/>
        <v>870111818</v>
      </c>
      <c r="L861" t="str">
        <f t="shared" si="105"/>
        <v>27 Dec 2023</v>
      </c>
      <c r="M861" t="str">
        <f t="shared" si="106"/>
        <v/>
      </c>
      <c r="N861" t="str">
        <f t="shared" si="107"/>
        <v>12/14/2023</v>
      </c>
      <c r="O861" t="str">
        <f t="shared" si="108"/>
        <v/>
      </c>
      <c r="P861" t="str">
        <f t="shared" si="109"/>
        <v/>
      </c>
      <c r="Q861" t="str">
        <f t="shared" si="110"/>
        <v/>
      </c>
      <c r="R861" t="str">
        <f t="shared" si="111"/>
        <v/>
      </c>
    </row>
    <row r="862" spans="1:18" x14ac:dyDescent="0.25">
      <c r="A862">
        <f>ROW()</f>
        <v>862</v>
      </c>
      <c r="B862" t="s">
        <v>237</v>
      </c>
      <c r="C862" t="s">
        <v>238</v>
      </c>
      <c r="D862" t="s">
        <v>293</v>
      </c>
      <c r="E862" t="s">
        <v>453</v>
      </c>
      <c r="J862" t="str">
        <f>IF(A862&lt;WORKSHEET!$R$2,WORKSHEET!$C$2,IF(B862="Air Waybill Number",C862,J861))</f>
        <v>787993428533</v>
      </c>
      <c r="K862" t="str">
        <f t="shared" si="104"/>
        <v>870111818</v>
      </c>
      <c r="L862" t="str">
        <f t="shared" si="105"/>
        <v>27 Dec 2023</v>
      </c>
      <c r="M862" t="str">
        <f t="shared" si="106"/>
        <v/>
      </c>
      <c r="N862" t="str">
        <f t="shared" si="107"/>
        <v>12/14/2023</v>
      </c>
      <c r="O862" t="str">
        <f t="shared" si="108"/>
        <v/>
      </c>
      <c r="P862" t="str">
        <f t="shared" si="109"/>
        <v/>
      </c>
      <c r="Q862" t="str">
        <f t="shared" si="110"/>
        <v/>
      </c>
      <c r="R862" t="str">
        <f t="shared" si="111"/>
        <v/>
      </c>
    </row>
    <row r="863" spans="1:18" x14ac:dyDescent="0.25">
      <c r="A863">
        <f>ROW()</f>
        <v>863</v>
      </c>
      <c r="B863" t="s">
        <v>241</v>
      </c>
      <c r="C863" t="s">
        <v>643</v>
      </c>
      <c r="D863" t="s">
        <v>296</v>
      </c>
      <c r="E863" t="s">
        <v>454</v>
      </c>
      <c r="J863" t="str">
        <f>IF(A863&lt;WORKSHEET!$R$2,WORKSHEET!$C$2,IF(B863="Air Waybill Number",C863,J862))</f>
        <v>787993428533</v>
      </c>
      <c r="K863" t="str">
        <f t="shared" si="104"/>
        <v>870111818</v>
      </c>
      <c r="L863" t="str">
        <f t="shared" si="105"/>
        <v>27 Dec 2023</v>
      </c>
      <c r="M863" t="str">
        <f t="shared" si="106"/>
        <v/>
      </c>
      <c r="N863" t="str">
        <f t="shared" si="107"/>
        <v>12/14/2023</v>
      </c>
      <c r="O863" t="str">
        <f t="shared" si="108"/>
        <v/>
      </c>
      <c r="P863" t="str">
        <f t="shared" si="109"/>
        <v/>
      </c>
      <c r="Q863" t="str">
        <f t="shared" si="110"/>
        <v/>
      </c>
      <c r="R863" t="str">
        <f t="shared" si="111"/>
        <v/>
      </c>
    </row>
    <row r="864" spans="1:18" x14ac:dyDescent="0.25">
      <c r="A864">
        <f>ROW()</f>
        <v>864</v>
      </c>
      <c r="B864" t="s">
        <v>286</v>
      </c>
      <c r="C864" t="s">
        <v>299</v>
      </c>
      <c r="D864" t="s">
        <v>300</v>
      </c>
      <c r="E864" t="s">
        <v>455</v>
      </c>
      <c r="F864" t="s">
        <v>456</v>
      </c>
      <c r="J864" t="str">
        <f>IF(A864&lt;WORKSHEET!$R$2,WORKSHEET!$C$2,IF(B864="Air Waybill Number",C864,J863))</f>
        <v>787993428533</v>
      </c>
      <c r="K864" t="str">
        <f t="shared" si="104"/>
        <v>870111818</v>
      </c>
      <c r="L864" t="str">
        <f t="shared" si="105"/>
        <v>27 Dec 2023</v>
      </c>
      <c r="M864" t="str">
        <f t="shared" si="106"/>
        <v/>
      </c>
      <c r="N864" t="str">
        <f t="shared" si="107"/>
        <v>12/14/2023</v>
      </c>
      <c r="O864" t="str">
        <f t="shared" si="108"/>
        <v/>
      </c>
      <c r="P864" t="str">
        <f t="shared" si="109"/>
        <v/>
      </c>
      <c r="Q864" t="str">
        <f t="shared" si="110"/>
        <v/>
      </c>
      <c r="R864" t="str">
        <f t="shared" si="111"/>
        <v/>
      </c>
    </row>
    <row r="865" spans="1:18" x14ac:dyDescent="0.25">
      <c r="A865">
        <f>ROW()</f>
        <v>865</v>
      </c>
      <c r="B865" t="s">
        <v>249</v>
      </c>
      <c r="C865" t="s">
        <v>666</v>
      </c>
      <c r="D865" t="s">
        <v>248</v>
      </c>
      <c r="G865">
        <v>570000</v>
      </c>
      <c r="J865" t="str">
        <f>IF(A865&lt;WORKSHEET!$R$2,WORKSHEET!$C$2,IF(B865="Air Waybill Number",C865,J864))</f>
        <v>787993428533</v>
      </c>
      <c r="K865" t="str">
        <f t="shared" si="104"/>
        <v>870111818</v>
      </c>
      <c r="L865" t="str">
        <f t="shared" si="105"/>
        <v>27 Dec 2023</v>
      </c>
      <c r="M865" t="str">
        <f t="shared" si="106"/>
        <v/>
      </c>
      <c r="N865" t="str">
        <f t="shared" si="107"/>
        <v>12/14/2023</v>
      </c>
      <c r="O865" t="str">
        <f t="shared" si="108"/>
        <v/>
      </c>
      <c r="P865" t="str">
        <f t="shared" si="109"/>
        <v/>
      </c>
      <c r="Q865" t="str">
        <f t="shared" si="110"/>
        <v/>
      </c>
      <c r="R865" t="str">
        <f t="shared" si="111"/>
        <v/>
      </c>
    </row>
    <row r="866" spans="1:18" x14ac:dyDescent="0.25">
      <c r="A866">
        <f>ROW()</f>
        <v>866</v>
      </c>
      <c r="D866" t="s">
        <v>251</v>
      </c>
      <c r="E866" t="s">
        <v>252</v>
      </c>
      <c r="G866">
        <v>-406866</v>
      </c>
      <c r="J866" t="str">
        <f>IF(A866&lt;WORKSHEET!$R$2,WORKSHEET!$C$2,IF(B866="Air Waybill Number",C866,J865))</f>
        <v>787993428533</v>
      </c>
      <c r="K866" t="str">
        <f t="shared" si="104"/>
        <v>870111818</v>
      </c>
      <c r="L866" t="str">
        <f t="shared" si="105"/>
        <v>27 Dec 2023</v>
      </c>
      <c r="M866" t="str">
        <f t="shared" si="106"/>
        <v/>
      </c>
      <c r="N866" t="str">
        <f t="shared" si="107"/>
        <v>12/14/2023</v>
      </c>
      <c r="O866" t="str">
        <f t="shared" si="108"/>
        <v/>
      </c>
      <c r="P866" t="str">
        <f t="shared" si="109"/>
        <v/>
      </c>
      <c r="Q866" t="str">
        <f t="shared" si="110"/>
        <v/>
      </c>
      <c r="R866" t="str">
        <f t="shared" si="111"/>
        <v/>
      </c>
    </row>
    <row r="867" spans="1:18" x14ac:dyDescent="0.25">
      <c r="A867">
        <f>ROW()</f>
        <v>867</v>
      </c>
      <c r="D867" t="s">
        <v>254</v>
      </c>
      <c r="E867" t="s">
        <v>12</v>
      </c>
      <c r="G867">
        <v>51053</v>
      </c>
      <c r="J867" t="str">
        <f>IF(A867&lt;WORKSHEET!$R$2,WORKSHEET!$C$2,IF(B867="Air Waybill Number",C867,J866))</f>
        <v>787993428533</v>
      </c>
      <c r="K867" t="str">
        <f t="shared" si="104"/>
        <v>870111818</v>
      </c>
      <c r="L867" t="str">
        <f t="shared" si="105"/>
        <v>27 Dec 2023</v>
      </c>
      <c r="M867" t="str">
        <f t="shared" si="106"/>
        <v/>
      </c>
      <c r="N867" t="str">
        <f t="shared" si="107"/>
        <v>12/14/2023</v>
      </c>
      <c r="O867" t="str">
        <f t="shared" si="108"/>
        <v/>
      </c>
      <c r="P867" t="str">
        <f t="shared" si="109"/>
        <v/>
      </c>
      <c r="Q867" t="str">
        <f t="shared" si="110"/>
        <v/>
      </c>
      <c r="R867" t="str">
        <f t="shared" si="111"/>
        <v/>
      </c>
    </row>
    <row r="868" spans="1:18" x14ac:dyDescent="0.25">
      <c r="A868">
        <f>ROW()</f>
        <v>868</v>
      </c>
      <c r="D868" t="s">
        <v>254</v>
      </c>
      <c r="E868" t="s">
        <v>260</v>
      </c>
      <c r="G868">
        <v>16000</v>
      </c>
      <c r="J868" t="str">
        <f>IF(A868&lt;WORKSHEET!$R$2,WORKSHEET!$C$2,IF(B868="Air Waybill Number",C868,J867))</f>
        <v>787993428533</v>
      </c>
      <c r="K868" t="str">
        <f t="shared" si="104"/>
        <v>870111818</v>
      </c>
      <c r="L868" t="str">
        <f t="shared" si="105"/>
        <v>27 Dec 2023</v>
      </c>
      <c r="M868" t="str">
        <f t="shared" si="106"/>
        <v/>
      </c>
      <c r="N868" t="str">
        <f t="shared" si="107"/>
        <v>12/14/2023</v>
      </c>
      <c r="O868" t="str">
        <f t="shared" si="108"/>
        <v/>
      </c>
      <c r="P868" t="str">
        <f t="shared" si="109"/>
        <v/>
      </c>
      <c r="Q868" t="str">
        <f t="shared" si="110"/>
        <v/>
      </c>
      <c r="R868" t="str">
        <f t="shared" si="111"/>
        <v/>
      </c>
    </row>
    <row r="869" spans="1:18" x14ac:dyDescent="0.25">
      <c r="A869">
        <f>ROW()</f>
        <v>869</v>
      </c>
      <c r="D869" t="s">
        <v>261</v>
      </c>
      <c r="G869">
        <v>2532</v>
      </c>
      <c r="J869" t="str">
        <f>IF(A869&lt;WORKSHEET!$R$2,WORKSHEET!$C$2,IF(B869="Air Waybill Number",C869,J868))</f>
        <v>787993428533</v>
      </c>
      <c r="K869" t="str">
        <f t="shared" si="104"/>
        <v>870111818</v>
      </c>
      <c r="L869" t="str">
        <f t="shared" si="105"/>
        <v>27 Dec 2023</v>
      </c>
      <c r="M869" t="str">
        <f t="shared" si="106"/>
        <v/>
      </c>
      <c r="N869" t="str">
        <f t="shared" si="107"/>
        <v>12/14/2023</v>
      </c>
      <c r="O869" t="str">
        <f t="shared" si="108"/>
        <v/>
      </c>
      <c r="P869" t="str">
        <f t="shared" si="109"/>
        <v/>
      </c>
      <c r="Q869" t="str">
        <f t="shared" si="110"/>
        <v/>
      </c>
      <c r="R869" t="str">
        <f t="shared" si="111"/>
        <v/>
      </c>
    </row>
    <row r="870" spans="1:18" x14ac:dyDescent="0.25">
      <c r="A870">
        <f>ROW()</f>
        <v>870</v>
      </c>
      <c r="D870" t="s">
        <v>14</v>
      </c>
      <c r="G870">
        <v>232719</v>
      </c>
      <c r="J870" t="str">
        <f>IF(A870&lt;WORKSHEET!$R$2,WORKSHEET!$C$2,IF(B870="Air Waybill Number",C870,J869))</f>
        <v>787993428533</v>
      </c>
      <c r="K870" t="str">
        <f t="shared" si="104"/>
        <v>870111818</v>
      </c>
      <c r="L870" t="str">
        <f t="shared" si="105"/>
        <v>27 Dec 2023</v>
      </c>
      <c r="M870" t="str">
        <f t="shared" si="106"/>
        <v/>
      </c>
      <c r="N870" t="str">
        <f t="shared" si="107"/>
        <v>12/14/2023</v>
      </c>
      <c r="O870" t="str">
        <f t="shared" si="108"/>
        <v/>
      </c>
      <c r="P870" t="str">
        <f t="shared" si="109"/>
        <v/>
      </c>
      <c r="Q870" t="str">
        <f t="shared" si="110"/>
        <v/>
      </c>
      <c r="R870" t="str">
        <f t="shared" si="111"/>
        <v/>
      </c>
    </row>
    <row r="871" spans="1:18" x14ac:dyDescent="0.25">
      <c r="A871">
        <f>ROW()</f>
        <v>871</v>
      </c>
      <c r="D871" t="s">
        <v>262</v>
      </c>
      <c r="J871" t="str">
        <f>IF(A871&lt;WORKSHEET!$R$2,WORKSHEET!$C$2,IF(B871="Air Waybill Number",C871,J870))</f>
        <v>787993428533</v>
      </c>
      <c r="K871" t="str">
        <f t="shared" si="104"/>
        <v>870111818</v>
      </c>
      <c r="L871" t="str">
        <f t="shared" si="105"/>
        <v>27 Dec 2023</v>
      </c>
      <c r="M871" t="str">
        <f t="shared" si="106"/>
        <v/>
      </c>
      <c r="N871" t="str">
        <f t="shared" si="107"/>
        <v>12/14/2023</v>
      </c>
      <c r="O871" t="str">
        <f t="shared" si="108"/>
        <v/>
      </c>
      <c r="P871" t="str">
        <f t="shared" si="109"/>
        <v/>
      </c>
      <c r="Q871" t="str">
        <f t="shared" si="110"/>
        <v/>
      </c>
      <c r="R871" t="str">
        <f t="shared" si="111"/>
        <v/>
      </c>
    </row>
    <row r="872" spans="1:18" x14ac:dyDescent="0.25">
      <c r="A872">
        <f>ROW()</f>
        <v>872</v>
      </c>
      <c r="B872" t="s">
        <v>226</v>
      </c>
      <c r="C872" t="s">
        <v>391</v>
      </c>
      <c r="D872" t="s">
        <v>290</v>
      </c>
      <c r="E872" t="s">
        <v>481</v>
      </c>
      <c r="J872" t="str">
        <f>IF(A872&lt;WORKSHEET!$R$2,WORKSHEET!$C$2,IF(B872="Air Waybill Number",C872,J871))</f>
        <v>787993428533</v>
      </c>
      <c r="K872" t="str">
        <f t="shared" si="104"/>
        <v>870111818</v>
      </c>
      <c r="L872" t="str">
        <f t="shared" si="105"/>
        <v>27 Dec 2023</v>
      </c>
      <c r="M872" t="str">
        <f t="shared" si="106"/>
        <v/>
      </c>
      <c r="N872" t="str">
        <f t="shared" si="107"/>
        <v>12/15/2023</v>
      </c>
      <c r="O872" t="str">
        <f t="shared" si="108"/>
        <v>WINTA</v>
      </c>
      <c r="P872" t="str">
        <f t="shared" si="109"/>
        <v>GISTEX GARMEN INDONESIA</v>
      </c>
      <c r="Q872" t="str">
        <f t="shared" si="110"/>
        <v>WINNIE CHOW</v>
      </c>
      <c r="R872" t="str">
        <f t="shared" si="111"/>
        <v>HEXAPOLE COMPANY LIMITED</v>
      </c>
    </row>
    <row r="873" spans="1:18" x14ac:dyDescent="0.25">
      <c r="A873">
        <f>ROW()</f>
        <v>873</v>
      </c>
      <c r="B873" t="s">
        <v>232</v>
      </c>
      <c r="C873" t="s">
        <v>152</v>
      </c>
      <c r="D873" t="s">
        <v>96</v>
      </c>
      <c r="E873" t="s">
        <v>97</v>
      </c>
      <c r="J873" t="str">
        <f>IF(A873&lt;WORKSHEET!$R$2,WORKSHEET!$C$2,IF(B873="Air Waybill Number",C873,J872))</f>
        <v>774457287395</v>
      </c>
      <c r="K873" t="str">
        <f t="shared" si="104"/>
        <v>870111818</v>
      </c>
      <c r="L873" t="str">
        <f t="shared" si="105"/>
        <v>27 Dec 2023</v>
      </c>
      <c r="M873" t="str">
        <f t="shared" si="106"/>
        <v>774457287395-1</v>
      </c>
      <c r="N873" t="str">
        <f t="shared" si="107"/>
        <v>12/15/2023</v>
      </c>
      <c r="O873" t="str">
        <f t="shared" si="108"/>
        <v/>
      </c>
      <c r="P873" t="str">
        <f t="shared" si="109"/>
        <v/>
      </c>
      <c r="Q873" t="str">
        <f t="shared" si="110"/>
        <v/>
      </c>
      <c r="R873" t="str">
        <f t="shared" si="111"/>
        <v/>
      </c>
    </row>
    <row r="874" spans="1:18" x14ac:dyDescent="0.25">
      <c r="A874">
        <f>ROW()</f>
        <v>874</v>
      </c>
      <c r="B874" t="s">
        <v>233</v>
      </c>
      <c r="C874" t="s">
        <v>482</v>
      </c>
      <c r="D874" t="s">
        <v>41</v>
      </c>
      <c r="E874" t="s">
        <v>98</v>
      </c>
      <c r="J874" t="str">
        <f>IF(A874&lt;WORKSHEET!$R$2,WORKSHEET!$C$2,IF(B874="Air Waybill Number",C874,J873))</f>
        <v>774457287395</v>
      </c>
      <c r="K874" t="str">
        <f t="shared" si="104"/>
        <v>870111818</v>
      </c>
      <c r="L874" t="str">
        <f t="shared" si="105"/>
        <v>27 Dec 2023</v>
      </c>
      <c r="M874" t="str">
        <f t="shared" si="106"/>
        <v/>
      </c>
      <c r="N874" t="str">
        <f t="shared" si="107"/>
        <v>12/15/2023</v>
      </c>
      <c r="O874" t="str">
        <f t="shared" si="108"/>
        <v/>
      </c>
      <c r="P874" t="str">
        <f t="shared" si="109"/>
        <v/>
      </c>
      <c r="Q874" t="str">
        <f t="shared" si="110"/>
        <v/>
      </c>
      <c r="R874" t="str">
        <f t="shared" si="111"/>
        <v/>
      </c>
    </row>
    <row r="875" spans="1:18" x14ac:dyDescent="0.25">
      <c r="A875">
        <f>ROW()</f>
        <v>875</v>
      </c>
      <c r="B875" t="s">
        <v>237</v>
      </c>
      <c r="C875" t="s">
        <v>238</v>
      </c>
      <c r="D875" t="s">
        <v>293</v>
      </c>
      <c r="E875" t="s">
        <v>483</v>
      </c>
      <c r="J875" t="str">
        <f>IF(A875&lt;WORKSHEET!$R$2,WORKSHEET!$C$2,IF(B875="Air Waybill Number",C875,J874))</f>
        <v>774457287395</v>
      </c>
      <c r="K875" t="str">
        <f t="shared" si="104"/>
        <v>870111818</v>
      </c>
      <c r="L875" t="str">
        <f t="shared" si="105"/>
        <v>27 Dec 2023</v>
      </c>
      <c r="M875" t="str">
        <f t="shared" si="106"/>
        <v/>
      </c>
      <c r="N875" t="str">
        <f t="shared" si="107"/>
        <v>12/15/2023</v>
      </c>
      <c r="O875" t="str">
        <f t="shared" si="108"/>
        <v/>
      </c>
      <c r="P875" t="str">
        <f t="shared" si="109"/>
        <v/>
      </c>
      <c r="Q875" t="str">
        <f t="shared" si="110"/>
        <v/>
      </c>
      <c r="R875" t="str">
        <f t="shared" si="111"/>
        <v/>
      </c>
    </row>
    <row r="876" spans="1:18" x14ac:dyDescent="0.25">
      <c r="A876">
        <f>ROW()</f>
        <v>876</v>
      </c>
      <c r="B876" t="s">
        <v>241</v>
      </c>
      <c r="C876" t="s">
        <v>667</v>
      </c>
      <c r="D876" t="s">
        <v>296</v>
      </c>
      <c r="E876" t="s">
        <v>484</v>
      </c>
      <c r="J876" t="str">
        <f>IF(A876&lt;WORKSHEET!$R$2,WORKSHEET!$C$2,IF(B876="Air Waybill Number",C876,J875))</f>
        <v>774457287395</v>
      </c>
      <c r="K876" t="str">
        <f t="shared" si="104"/>
        <v>870111818</v>
      </c>
      <c r="L876" t="str">
        <f t="shared" si="105"/>
        <v>27 Dec 2023</v>
      </c>
      <c r="M876" t="str">
        <f t="shared" si="106"/>
        <v/>
      </c>
      <c r="N876" t="str">
        <f t="shared" si="107"/>
        <v>12/15/2023</v>
      </c>
      <c r="O876" t="str">
        <f t="shared" si="108"/>
        <v/>
      </c>
      <c r="P876" t="str">
        <f t="shared" si="109"/>
        <v/>
      </c>
      <c r="Q876" t="str">
        <f t="shared" si="110"/>
        <v/>
      </c>
      <c r="R876" t="str">
        <f t="shared" si="111"/>
        <v/>
      </c>
    </row>
    <row r="877" spans="1:18" x14ac:dyDescent="0.25">
      <c r="A877">
        <f>ROW()</f>
        <v>877</v>
      </c>
      <c r="B877" t="s">
        <v>286</v>
      </c>
      <c r="C877" t="s">
        <v>299</v>
      </c>
      <c r="D877" t="s">
        <v>300</v>
      </c>
      <c r="E877" t="s">
        <v>485</v>
      </c>
      <c r="J877" t="str">
        <f>IF(A877&lt;WORKSHEET!$R$2,WORKSHEET!$C$2,IF(B877="Air Waybill Number",C877,J876))</f>
        <v>774457287395</v>
      </c>
      <c r="K877" t="str">
        <f t="shared" si="104"/>
        <v>870111818</v>
      </c>
      <c r="L877" t="str">
        <f t="shared" si="105"/>
        <v>27 Dec 2023</v>
      </c>
      <c r="M877" t="str">
        <f t="shared" si="106"/>
        <v/>
      </c>
      <c r="N877" t="str">
        <f t="shared" si="107"/>
        <v>12/15/2023</v>
      </c>
      <c r="O877" t="str">
        <f t="shared" si="108"/>
        <v/>
      </c>
      <c r="P877" t="str">
        <f t="shared" si="109"/>
        <v/>
      </c>
      <c r="Q877" t="str">
        <f t="shared" si="110"/>
        <v/>
      </c>
      <c r="R877" t="str">
        <f t="shared" si="111"/>
        <v/>
      </c>
    </row>
    <row r="878" spans="1:18" x14ac:dyDescent="0.25">
      <c r="A878">
        <f>ROW()</f>
        <v>878</v>
      </c>
      <c r="B878" t="s">
        <v>249</v>
      </c>
      <c r="C878" t="s">
        <v>668</v>
      </c>
      <c r="D878" t="s">
        <v>248</v>
      </c>
      <c r="G878">
        <v>941000</v>
      </c>
      <c r="J878" t="str">
        <f>IF(A878&lt;WORKSHEET!$R$2,WORKSHEET!$C$2,IF(B878="Air Waybill Number",C878,J877))</f>
        <v>774457287395</v>
      </c>
      <c r="K878" t="str">
        <f t="shared" si="104"/>
        <v>870111818</v>
      </c>
      <c r="L878" t="str">
        <f t="shared" si="105"/>
        <v>27 Dec 2023</v>
      </c>
      <c r="M878" t="str">
        <f t="shared" si="106"/>
        <v/>
      </c>
      <c r="N878" t="str">
        <f t="shared" si="107"/>
        <v>12/15/2023</v>
      </c>
      <c r="O878" t="str">
        <f t="shared" si="108"/>
        <v/>
      </c>
      <c r="P878" t="str">
        <f t="shared" si="109"/>
        <v/>
      </c>
      <c r="Q878" t="str">
        <f t="shared" si="110"/>
        <v/>
      </c>
      <c r="R878" t="str">
        <f t="shared" si="111"/>
        <v/>
      </c>
    </row>
    <row r="879" spans="1:18" x14ac:dyDescent="0.25">
      <c r="A879">
        <f>ROW()</f>
        <v>879</v>
      </c>
      <c r="C879" t="s">
        <v>669</v>
      </c>
      <c r="D879" t="s">
        <v>251</v>
      </c>
      <c r="E879" t="s">
        <v>252</v>
      </c>
      <c r="G879">
        <v>-766256</v>
      </c>
      <c r="J879" t="str">
        <f>IF(A879&lt;WORKSHEET!$R$2,WORKSHEET!$C$2,IF(B879="Air Waybill Number",C879,J878))</f>
        <v>774457287395</v>
      </c>
      <c r="K879" t="str">
        <f t="shared" si="104"/>
        <v>870111818</v>
      </c>
      <c r="L879" t="str">
        <f t="shared" si="105"/>
        <v>27 Dec 2023</v>
      </c>
      <c r="M879" t="str">
        <f t="shared" si="106"/>
        <v/>
      </c>
      <c r="N879" t="str">
        <f t="shared" si="107"/>
        <v>12/15/2023</v>
      </c>
      <c r="O879" t="str">
        <f t="shared" si="108"/>
        <v/>
      </c>
      <c r="P879" t="str">
        <f t="shared" si="109"/>
        <v/>
      </c>
      <c r="Q879" t="str">
        <f t="shared" si="110"/>
        <v/>
      </c>
      <c r="R879" t="str">
        <f t="shared" si="111"/>
        <v/>
      </c>
    </row>
    <row r="880" spans="1:18" x14ac:dyDescent="0.25">
      <c r="A880">
        <f>ROW()</f>
        <v>880</v>
      </c>
      <c r="D880" t="s">
        <v>254</v>
      </c>
      <c r="E880" t="s">
        <v>12</v>
      </c>
      <c r="G880">
        <v>54362</v>
      </c>
      <c r="J880" t="str">
        <f>IF(A880&lt;WORKSHEET!$R$2,WORKSHEET!$C$2,IF(B880="Air Waybill Number",C880,J879))</f>
        <v>774457287395</v>
      </c>
      <c r="K880" t="str">
        <f t="shared" si="104"/>
        <v>870111818</v>
      </c>
      <c r="L880" t="str">
        <f t="shared" si="105"/>
        <v>27 Dec 2023</v>
      </c>
      <c r="M880" t="str">
        <f t="shared" si="106"/>
        <v/>
      </c>
      <c r="N880" t="str">
        <f t="shared" si="107"/>
        <v>12/15/2023</v>
      </c>
      <c r="O880" t="str">
        <f t="shared" si="108"/>
        <v/>
      </c>
      <c r="P880" t="str">
        <f t="shared" si="109"/>
        <v/>
      </c>
      <c r="Q880" t="str">
        <f t="shared" si="110"/>
        <v/>
      </c>
      <c r="R880" t="str">
        <f t="shared" si="111"/>
        <v/>
      </c>
    </row>
    <row r="881" spans="1:18" x14ac:dyDescent="0.25">
      <c r="A881">
        <f>ROW()</f>
        <v>881</v>
      </c>
      <c r="D881" t="s">
        <v>254</v>
      </c>
      <c r="E881" t="s">
        <v>260</v>
      </c>
      <c r="G881">
        <v>16000</v>
      </c>
      <c r="J881" t="str">
        <f>IF(A881&lt;WORKSHEET!$R$2,WORKSHEET!$C$2,IF(B881="Air Waybill Number",C881,J880))</f>
        <v>774457287395</v>
      </c>
      <c r="K881" t="str">
        <f t="shared" si="104"/>
        <v>870111818</v>
      </c>
      <c r="L881" t="str">
        <f t="shared" si="105"/>
        <v>27 Dec 2023</v>
      </c>
      <c r="M881" t="str">
        <f t="shared" si="106"/>
        <v/>
      </c>
      <c r="N881" t="str">
        <f t="shared" si="107"/>
        <v>12/15/2023</v>
      </c>
      <c r="O881" t="str">
        <f t="shared" si="108"/>
        <v/>
      </c>
      <c r="P881" t="str">
        <f t="shared" si="109"/>
        <v/>
      </c>
      <c r="Q881" t="str">
        <f t="shared" si="110"/>
        <v/>
      </c>
      <c r="R881" t="str">
        <f t="shared" si="111"/>
        <v/>
      </c>
    </row>
    <row r="882" spans="1:18" x14ac:dyDescent="0.25">
      <c r="A882">
        <f>ROW()</f>
        <v>882</v>
      </c>
      <c r="D882" t="s">
        <v>261</v>
      </c>
      <c r="G882">
        <v>2696</v>
      </c>
      <c r="J882" t="str">
        <f>IF(A882&lt;WORKSHEET!$R$2,WORKSHEET!$C$2,IF(B882="Air Waybill Number",C882,J881))</f>
        <v>774457287395</v>
      </c>
      <c r="K882" t="str">
        <f t="shared" si="104"/>
        <v>870111818</v>
      </c>
      <c r="L882" t="str">
        <f t="shared" si="105"/>
        <v>27 Dec 2023</v>
      </c>
      <c r="M882" t="str">
        <f t="shared" si="106"/>
        <v/>
      </c>
      <c r="N882" t="str">
        <f t="shared" si="107"/>
        <v>12/15/2023</v>
      </c>
      <c r="O882" t="str">
        <f t="shared" si="108"/>
        <v/>
      </c>
      <c r="P882" t="str">
        <f t="shared" si="109"/>
        <v/>
      </c>
      <c r="Q882" t="str">
        <f t="shared" si="110"/>
        <v/>
      </c>
      <c r="R882" t="str">
        <f t="shared" si="111"/>
        <v/>
      </c>
    </row>
    <row r="883" spans="1:18" x14ac:dyDescent="0.25">
      <c r="A883">
        <f>ROW()</f>
        <v>883</v>
      </c>
      <c r="D883" t="s">
        <v>14</v>
      </c>
      <c r="G883">
        <v>247802</v>
      </c>
      <c r="J883" t="str">
        <f>IF(A883&lt;WORKSHEET!$R$2,WORKSHEET!$C$2,IF(B883="Air Waybill Number",C883,J882))</f>
        <v>774457287395</v>
      </c>
      <c r="K883" t="str">
        <f t="shared" si="104"/>
        <v>870111818</v>
      </c>
      <c r="L883" t="str">
        <f t="shared" si="105"/>
        <v>27 Dec 2023</v>
      </c>
      <c r="M883" t="str">
        <f t="shared" si="106"/>
        <v/>
      </c>
      <c r="N883" t="str">
        <f t="shared" si="107"/>
        <v>12/15/2023</v>
      </c>
      <c r="O883" t="str">
        <f t="shared" si="108"/>
        <v/>
      </c>
      <c r="P883" t="str">
        <f t="shared" si="109"/>
        <v/>
      </c>
      <c r="Q883" t="str">
        <f t="shared" si="110"/>
        <v/>
      </c>
      <c r="R883" t="str">
        <f t="shared" si="111"/>
        <v/>
      </c>
    </row>
    <row r="884" spans="1:18" x14ac:dyDescent="0.25">
      <c r="A884">
        <f>ROW()</f>
        <v>884</v>
      </c>
      <c r="B884" t="s">
        <v>226</v>
      </c>
      <c r="C884" t="s">
        <v>391</v>
      </c>
      <c r="D884" t="s">
        <v>290</v>
      </c>
      <c r="E884" t="s">
        <v>450</v>
      </c>
      <c r="J884" t="str">
        <f>IF(A884&lt;WORKSHEET!$R$2,WORKSHEET!$C$2,IF(B884="Air Waybill Number",C884,J883))</f>
        <v>774457287395</v>
      </c>
      <c r="K884" t="str">
        <f t="shared" si="104"/>
        <v>870111818</v>
      </c>
      <c r="L884" t="str">
        <f t="shared" si="105"/>
        <v>27 Dec 2023</v>
      </c>
      <c r="M884" t="str">
        <f t="shared" si="106"/>
        <v/>
      </c>
      <c r="N884" t="str">
        <f t="shared" si="107"/>
        <v>12/15/2023</v>
      </c>
      <c r="O884" t="str">
        <f t="shared" si="108"/>
        <v>MS. MERCY</v>
      </c>
      <c r="P884" t="str">
        <f t="shared" si="109"/>
        <v>GISTEX GARMEN INDONESIA</v>
      </c>
      <c r="Q884" t="str">
        <f t="shared" si="110"/>
        <v>MS.SHIRLY FANG</v>
      </c>
      <c r="R884" t="str">
        <f t="shared" si="111"/>
        <v>SHAOXING YMYSI IMPORTEXPORT</v>
      </c>
    </row>
    <row r="885" spans="1:18" x14ac:dyDescent="0.25">
      <c r="A885">
        <f>ROW()</f>
        <v>885</v>
      </c>
      <c r="B885" t="s">
        <v>232</v>
      </c>
      <c r="C885" t="s">
        <v>153</v>
      </c>
      <c r="D885" t="s">
        <v>43</v>
      </c>
      <c r="E885" t="s">
        <v>88</v>
      </c>
      <c r="J885" t="str">
        <f>IF(A885&lt;WORKSHEET!$R$2,WORKSHEET!$C$2,IF(B885="Air Waybill Number",C885,J884))</f>
        <v>774494944135</v>
      </c>
      <c r="K885" t="str">
        <f t="shared" si="104"/>
        <v>870111818</v>
      </c>
      <c r="L885" t="str">
        <f t="shared" si="105"/>
        <v>27 Dec 2023</v>
      </c>
      <c r="M885" t="str">
        <f t="shared" si="106"/>
        <v>774494944135-1</v>
      </c>
      <c r="N885" t="str">
        <f t="shared" si="107"/>
        <v>12/15/2023</v>
      </c>
      <c r="O885" t="str">
        <f t="shared" si="108"/>
        <v/>
      </c>
      <c r="P885" t="str">
        <f t="shared" si="109"/>
        <v/>
      </c>
      <c r="Q885" t="str">
        <f t="shared" si="110"/>
        <v/>
      </c>
      <c r="R885" t="str">
        <f t="shared" si="111"/>
        <v/>
      </c>
    </row>
    <row r="886" spans="1:18" x14ac:dyDescent="0.25">
      <c r="A886">
        <f>ROW()</f>
        <v>886</v>
      </c>
      <c r="B886" t="s">
        <v>233</v>
      </c>
      <c r="C886" t="s">
        <v>292</v>
      </c>
      <c r="D886" t="s">
        <v>41</v>
      </c>
      <c r="E886" t="s">
        <v>451</v>
      </c>
      <c r="F886" t="s">
        <v>452</v>
      </c>
      <c r="J886" t="str">
        <f>IF(A886&lt;WORKSHEET!$R$2,WORKSHEET!$C$2,IF(B886="Air Waybill Number",C886,J885))</f>
        <v>774494944135</v>
      </c>
      <c r="K886" t="str">
        <f t="shared" si="104"/>
        <v>870111818</v>
      </c>
      <c r="L886" t="str">
        <f t="shared" si="105"/>
        <v>27 Dec 2023</v>
      </c>
      <c r="M886" t="str">
        <f t="shared" si="106"/>
        <v/>
      </c>
      <c r="N886" t="str">
        <f t="shared" si="107"/>
        <v>12/15/2023</v>
      </c>
      <c r="O886" t="str">
        <f t="shared" si="108"/>
        <v/>
      </c>
      <c r="P886" t="str">
        <f t="shared" si="109"/>
        <v/>
      </c>
      <c r="Q886" t="str">
        <f t="shared" si="110"/>
        <v/>
      </c>
      <c r="R886" t="str">
        <f t="shared" si="111"/>
        <v/>
      </c>
    </row>
    <row r="887" spans="1:18" x14ac:dyDescent="0.25">
      <c r="A887">
        <f>ROW()</f>
        <v>887</v>
      </c>
      <c r="B887" t="s">
        <v>237</v>
      </c>
      <c r="C887" t="s">
        <v>238</v>
      </c>
      <c r="D887" t="s">
        <v>293</v>
      </c>
      <c r="E887" t="s">
        <v>453</v>
      </c>
      <c r="J887" t="str">
        <f>IF(A887&lt;WORKSHEET!$R$2,WORKSHEET!$C$2,IF(B887="Air Waybill Number",C887,J886))</f>
        <v>774494944135</v>
      </c>
      <c r="K887" t="str">
        <f t="shared" si="104"/>
        <v>870111818</v>
      </c>
      <c r="L887" t="str">
        <f t="shared" si="105"/>
        <v>27 Dec 2023</v>
      </c>
      <c r="M887" t="str">
        <f t="shared" si="106"/>
        <v/>
      </c>
      <c r="N887" t="str">
        <f t="shared" si="107"/>
        <v>12/15/2023</v>
      </c>
      <c r="O887" t="str">
        <f t="shared" si="108"/>
        <v/>
      </c>
      <c r="P887" t="str">
        <f t="shared" si="109"/>
        <v/>
      </c>
      <c r="Q887" t="str">
        <f t="shared" si="110"/>
        <v/>
      </c>
      <c r="R887" t="str">
        <f t="shared" si="111"/>
        <v/>
      </c>
    </row>
    <row r="888" spans="1:18" x14ac:dyDescent="0.25">
      <c r="A888">
        <f>ROW()</f>
        <v>888</v>
      </c>
      <c r="B888" t="s">
        <v>241</v>
      </c>
      <c r="C888" t="s">
        <v>295</v>
      </c>
      <c r="D888" t="s">
        <v>296</v>
      </c>
      <c r="E888" t="s">
        <v>454</v>
      </c>
      <c r="J888" t="str">
        <f>IF(A888&lt;WORKSHEET!$R$2,WORKSHEET!$C$2,IF(B888="Air Waybill Number",C888,J887))</f>
        <v>774494944135</v>
      </c>
      <c r="K888" t="str">
        <f t="shared" si="104"/>
        <v>870111818</v>
      </c>
      <c r="L888" t="str">
        <f t="shared" si="105"/>
        <v>27 Dec 2023</v>
      </c>
      <c r="M888" t="str">
        <f t="shared" si="106"/>
        <v/>
      </c>
      <c r="N888" t="str">
        <f t="shared" si="107"/>
        <v>12/15/2023</v>
      </c>
      <c r="O888" t="str">
        <f t="shared" si="108"/>
        <v/>
      </c>
      <c r="P888" t="str">
        <f t="shared" si="109"/>
        <v/>
      </c>
      <c r="Q888" t="str">
        <f t="shared" si="110"/>
        <v/>
      </c>
      <c r="R888" t="str">
        <f t="shared" si="111"/>
        <v/>
      </c>
    </row>
    <row r="889" spans="1:18" x14ac:dyDescent="0.25">
      <c r="A889">
        <f>ROW()</f>
        <v>889</v>
      </c>
      <c r="B889" t="s">
        <v>286</v>
      </c>
      <c r="C889" t="s">
        <v>299</v>
      </c>
      <c r="D889" t="s">
        <v>300</v>
      </c>
      <c r="E889" t="s">
        <v>455</v>
      </c>
      <c r="F889" t="s">
        <v>456</v>
      </c>
      <c r="J889" t="str">
        <f>IF(A889&lt;WORKSHEET!$R$2,WORKSHEET!$C$2,IF(B889="Air Waybill Number",C889,J888))</f>
        <v>774494944135</v>
      </c>
      <c r="K889" t="str">
        <f t="shared" si="104"/>
        <v>870111818</v>
      </c>
      <c r="L889" t="str">
        <f t="shared" si="105"/>
        <v>27 Dec 2023</v>
      </c>
      <c r="M889" t="str">
        <f t="shared" si="106"/>
        <v/>
      </c>
      <c r="N889" t="str">
        <f t="shared" si="107"/>
        <v>12/15/2023</v>
      </c>
      <c r="O889" t="str">
        <f t="shared" si="108"/>
        <v/>
      </c>
      <c r="P889" t="str">
        <f t="shared" si="109"/>
        <v/>
      </c>
      <c r="Q889" t="str">
        <f t="shared" si="110"/>
        <v/>
      </c>
      <c r="R889" t="str">
        <f t="shared" si="111"/>
        <v/>
      </c>
    </row>
    <row r="890" spans="1:18" x14ac:dyDescent="0.25">
      <c r="A890">
        <f>ROW()</f>
        <v>890</v>
      </c>
      <c r="B890" t="s">
        <v>249</v>
      </c>
      <c r="C890" t="s">
        <v>670</v>
      </c>
      <c r="D890" t="s">
        <v>248</v>
      </c>
      <c r="G890">
        <v>570000</v>
      </c>
      <c r="J890" t="str">
        <f>IF(A890&lt;WORKSHEET!$R$2,WORKSHEET!$C$2,IF(B890="Air Waybill Number",C890,J889))</f>
        <v>774494944135</v>
      </c>
      <c r="K890" t="str">
        <f t="shared" si="104"/>
        <v>870111818</v>
      </c>
      <c r="L890" t="str">
        <f t="shared" si="105"/>
        <v>27 Dec 2023</v>
      </c>
      <c r="M890" t="str">
        <f t="shared" si="106"/>
        <v/>
      </c>
      <c r="N890" t="str">
        <f t="shared" si="107"/>
        <v>12/15/2023</v>
      </c>
      <c r="O890" t="str">
        <f t="shared" si="108"/>
        <v/>
      </c>
      <c r="P890" t="str">
        <f t="shared" si="109"/>
        <v/>
      </c>
      <c r="Q890" t="str">
        <f t="shared" si="110"/>
        <v/>
      </c>
      <c r="R890" t="str">
        <f t="shared" si="111"/>
        <v/>
      </c>
    </row>
    <row r="891" spans="1:18" x14ac:dyDescent="0.25">
      <c r="A891">
        <f>ROW()</f>
        <v>891</v>
      </c>
      <c r="D891" t="s">
        <v>251</v>
      </c>
      <c r="E891" t="s">
        <v>252</v>
      </c>
      <c r="G891">
        <v>-406866</v>
      </c>
      <c r="J891" t="str">
        <f>IF(A891&lt;WORKSHEET!$R$2,WORKSHEET!$C$2,IF(B891="Air Waybill Number",C891,J890))</f>
        <v>774494944135</v>
      </c>
      <c r="K891" t="str">
        <f t="shared" si="104"/>
        <v>870111818</v>
      </c>
      <c r="L891" t="str">
        <f t="shared" si="105"/>
        <v>27 Dec 2023</v>
      </c>
      <c r="M891" t="str">
        <f t="shared" si="106"/>
        <v/>
      </c>
      <c r="N891" t="str">
        <f t="shared" si="107"/>
        <v>12/15/2023</v>
      </c>
      <c r="O891" t="str">
        <f t="shared" si="108"/>
        <v/>
      </c>
      <c r="P891" t="str">
        <f t="shared" si="109"/>
        <v/>
      </c>
      <c r="Q891" t="str">
        <f t="shared" si="110"/>
        <v/>
      </c>
      <c r="R891" t="str">
        <f t="shared" si="111"/>
        <v/>
      </c>
    </row>
    <row r="892" spans="1:18" x14ac:dyDescent="0.25">
      <c r="A892">
        <f>ROW()</f>
        <v>892</v>
      </c>
      <c r="D892" t="s">
        <v>254</v>
      </c>
      <c r="E892" t="s">
        <v>12</v>
      </c>
      <c r="G892">
        <v>51053</v>
      </c>
      <c r="J892" t="str">
        <f>IF(A892&lt;WORKSHEET!$R$2,WORKSHEET!$C$2,IF(B892="Air Waybill Number",C892,J891))</f>
        <v>774494944135</v>
      </c>
      <c r="K892" t="str">
        <f t="shared" si="104"/>
        <v>870111818</v>
      </c>
      <c r="L892" t="str">
        <f t="shared" si="105"/>
        <v>27 Dec 2023</v>
      </c>
      <c r="M892" t="str">
        <f t="shared" si="106"/>
        <v/>
      </c>
      <c r="N892" t="str">
        <f t="shared" si="107"/>
        <v>12/15/2023</v>
      </c>
      <c r="O892" t="str">
        <f t="shared" si="108"/>
        <v/>
      </c>
      <c r="P892" t="str">
        <f t="shared" si="109"/>
        <v/>
      </c>
      <c r="Q892" t="str">
        <f t="shared" si="110"/>
        <v/>
      </c>
      <c r="R892" t="str">
        <f t="shared" si="111"/>
        <v/>
      </c>
    </row>
    <row r="893" spans="1:18" x14ac:dyDescent="0.25">
      <c r="A893">
        <f>ROW()</f>
        <v>893</v>
      </c>
      <c r="D893" t="s">
        <v>254</v>
      </c>
      <c r="E893" t="s">
        <v>260</v>
      </c>
      <c r="G893">
        <v>16000</v>
      </c>
      <c r="J893" t="str">
        <f>IF(A893&lt;WORKSHEET!$R$2,WORKSHEET!$C$2,IF(B893="Air Waybill Number",C893,J892))</f>
        <v>774494944135</v>
      </c>
      <c r="K893" t="str">
        <f t="shared" si="104"/>
        <v>870111818</v>
      </c>
      <c r="L893" t="str">
        <f t="shared" si="105"/>
        <v>27 Dec 2023</v>
      </c>
      <c r="M893" t="str">
        <f t="shared" si="106"/>
        <v/>
      </c>
      <c r="N893" t="str">
        <f t="shared" si="107"/>
        <v>12/15/2023</v>
      </c>
      <c r="O893" t="str">
        <f t="shared" si="108"/>
        <v/>
      </c>
      <c r="P893" t="str">
        <f t="shared" si="109"/>
        <v/>
      </c>
      <c r="Q893" t="str">
        <f t="shared" si="110"/>
        <v/>
      </c>
      <c r="R893" t="str">
        <f t="shared" si="111"/>
        <v/>
      </c>
    </row>
    <row r="894" spans="1:18" x14ac:dyDescent="0.25">
      <c r="A894">
        <f>ROW()</f>
        <v>894</v>
      </c>
      <c r="D894" t="s">
        <v>261</v>
      </c>
      <c r="G894">
        <v>2532</v>
      </c>
      <c r="J894" t="str">
        <f>IF(A894&lt;WORKSHEET!$R$2,WORKSHEET!$C$2,IF(B894="Air Waybill Number",C894,J893))</f>
        <v>774494944135</v>
      </c>
      <c r="K894" t="str">
        <f t="shared" si="104"/>
        <v>870111818</v>
      </c>
      <c r="L894" t="str">
        <f t="shared" si="105"/>
        <v>27 Dec 2023</v>
      </c>
      <c r="M894" t="str">
        <f t="shared" si="106"/>
        <v/>
      </c>
      <c r="N894" t="str">
        <f t="shared" si="107"/>
        <v>12/15/2023</v>
      </c>
      <c r="O894" t="str">
        <f t="shared" si="108"/>
        <v/>
      </c>
      <c r="P894" t="str">
        <f t="shared" si="109"/>
        <v/>
      </c>
      <c r="Q894" t="str">
        <f t="shared" si="110"/>
        <v/>
      </c>
      <c r="R894" t="str">
        <f t="shared" si="111"/>
        <v/>
      </c>
    </row>
    <row r="895" spans="1:18" x14ac:dyDescent="0.25">
      <c r="A895">
        <f>ROW()</f>
        <v>895</v>
      </c>
      <c r="D895" t="s">
        <v>14</v>
      </c>
      <c r="G895">
        <v>232719</v>
      </c>
      <c r="J895" t="str">
        <f>IF(A895&lt;WORKSHEET!$R$2,WORKSHEET!$C$2,IF(B895="Air Waybill Number",C895,J894))</f>
        <v>774494944135</v>
      </c>
      <c r="K895" t="str">
        <f t="shared" si="104"/>
        <v>870111818</v>
      </c>
      <c r="L895" t="str">
        <f t="shared" si="105"/>
        <v>27 Dec 2023</v>
      </c>
      <c r="M895" t="str">
        <f t="shared" si="106"/>
        <v/>
      </c>
      <c r="N895" t="str">
        <f t="shared" si="107"/>
        <v>12/15/2023</v>
      </c>
      <c r="O895" t="str">
        <f t="shared" si="108"/>
        <v/>
      </c>
      <c r="P895" t="str">
        <f t="shared" si="109"/>
        <v/>
      </c>
      <c r="Q895" t="str">
        <f t="shared" si="110"/>
        <v/>
      </c>
      <c r="R895" t="str">
        <f t="shared" si="111"/>
        <v/>
      </c>
    </row>
    <row r="896" spans="1:18" x14ac:dyDescent="0.25">
      <c r="A896">
        <f>ROW()</f>
        <v>896</v>
      </c>
      <c r="D896" t="s">
        <v>262</v>
      </c>
      <c r="J896" t="str">
        <f>IF(A896&lt;WORKSHEET!$R$2,WORKSHEET!$C$2,IF(B896="Air Waybill Number",C896,J895))</f>
        <v>774494944135</v>
      </c>
      <c r="K896" t="str">
        <f t="shared" si="104"/>
        <v>870111818</v>
      </c>
      <c r="L896" t="str">
        <f t="shared" si="105"/>
        <v>27 Dec 2023</v>
      </c>
      <c r="M896" t="str">
        <f t="shared" si="106"/>
        <v/>
      </c>
      <c r="N896" t="str">
        <f t="shared" si="107"/>
        <v>12/15/2023</v>
      </c>
      <c r="O896" t="str">
        <f t="shared" si="108"/>
        <v/>
      </c>
      <c r="P896" t="str">
        <f t="shared" si="109"/>
        <v/>
      </c>
      <c r="Q896" t="str">
        <f t="shared" si="110"/>
        <v/>
      </c>
      <c r="R896" t="str">
        <f t="shared" si="111"/>
        <v/>
      </c>
    </row>
    <row r="897" spans="1:18" x14ac:dyDescent="0.25">
      <c r="A897">
        <f>ROW()</f>
        <v>897</v>
      </c>
      <c r="B897" t="s">
        <v>226</v>
      </c>
      <c r="C897" t="s">
        <v>646</v>
      </c>
      <c r="D897" t="s">
        <v>290</v>
      </c>
      <c r="E897" t="s">
        <v>291</v>
      </c>
      <c r="J897" t="str">
        <f>IF(A897&lt;WORKSHEET!$R$2,WORKSHEET!$C$2,IF(B897="Air Waybill Number",C897,J896))</f>
        <v>774494944135</v>
      </c>
      <c r="K897" t="str">
        <f t="shared" si="104"/>
        <v>870111818</v>
      </c>
      <c r="L897" t="str">
        <f t="shared" si="105"/>
        <v>27 Dec 2023</v>
      </c>
      <c r="M897" t="str">
        <f t="shared" si="106"/>
        <v/>
      </c>
      <c r="N897" t="str">
        <f t="shared" si="107"/>
        <v>12/19/2023</v>
      </c>
      <c r="O897" t="str">
        <f t="shared" si="108"/>
        <v>EKA / BAYU</v>
      </c>
      <c r="P897" t="str">
        <f t="shared" si="109"/>
        <v>PT. GISTEX GARMEN INDONESIA</v>
      </c>
      <c r="Q897" t="str">
        <f t="shared" si="110"/>
        <v>OGURA KENJI / HASHIMOTO KIMIE</v>
      </c>
      <c r="R897" t="str">
        <f t="shared" si="111"/>
        <v>MARUBENI FASHION LINK, LTD</v>
      </c>
    </row>
    <row r="898" spans="1:18" x14ac:dyDescent="0.25">
      <c r="A898">
        <f>ROW()</f>
        <v>898</v>
      </c>
      <c r="B898" t="s">
        <v>232</v>
      </c>
      <c r="C898" t="s">
        <v>154</v>
      </c>
      <c r="D898" t="s">
        <v>36</v>
      </c>
      <c r="E898" t="s">
        <v>37</v>
      </c>
      <c r="J898" t="str">
        <f>IF(A898&lt;WORKSHEET!$R$2,WORKSHEET!$C$2,IF(B898="Air Waybill Number",C898,J897))</f>
        <v>774532877779</v>
      </c>
      <c r="K898" t="str">
        <f t="shared" ref="K898:K934" si="112">IF(B898="Invoice Number:",C898,K897)</f>
        <v>870111818</v>
      </c>
      <c r="L898" t="str">
        <f t="shared" ref="L898:L934" si="113">IF(B898="Invoice Date:",C898,L897)</f>
        <v>27 Dec 2023</v>
      </c>
      <c r="M898" t="str">
        <f t="shared" ref="M898:M934" si="114">IF(B898="Air Waybill Number",J898&amp;"-1","")</f>
        <v>774532877779-1</v>
      </c>
      <c r="N898" t="str">
        <f t="shared" ref="N898:N934" si="115">IF(B898="Ship Date",C898,N897)</f>
        <v>12/19/2023</v>
      </c>
      <c r="O898" t="str">
        <f t="shared" ref="O898:O934" si="116">IF(LEFT(D898,6)="Sender",D899,IF(LEFT(E898,6)="Sender",E899,""))</f>
        <v/>
      </c>
      <c r="P898" t="str">
        <f t="shared" ref="P898:P934" si="117">IF(LEFT(D898,6)="Sender",D900,IF(LEFT(E898,6)="Sender",D900,""))</f>
        <v/>
      </c>
      <c r="Q898" t="str">
        <f t="shared" ref="Q898:Q934" si="118">IF(LEFT(E898,9)="Recipient",E899&amp;F899,IF(LEFT(F898,9)="Recipient",F899,IF(LEFT(G898,9)="Recipient",G899,IF(LEFT(H898,9)="Recipient",H899,""))))</f>
        <v/>
      </c>
      <c r="R898" t="str">
        <f t="shared" ref="R898:R934" si="119">IF(LEFT(E898,9)="Recipient",E900&amp;F900,IF(LEFT(F898,9)="Recipient",F900,IF(LEFT(G898,9)="Recipient",G900,IF(LEFT(H898,9)="Recipient",H900,""))))</f>
        <v/>
      </c>
    </row>
    <row r="899" spans="1:18" x14ac:dyDescent="0.25">
      <c r="A899">
        <f>ROW()</f>
        <v>899</v>
      </c>
      <c r="B899" t="s">
        <v>233</v>
      </c>
      <c r="C899" t="s">
        <v>279</v>
      </c>
      <c r="D899" t="s">
        <v>38</v>
      </c>
      <c r="E899" t="s">
        <v>39</v>
      </c>
      <c r="J899" t="str">
        <f>IF(A899&lt;WORKSHEET!$R$2,WORKSHEET!$C$2,IF(B899="Air Waybill Number",C899,J898))</f>
        <v>774532877779</v>
      </c>
      <c r="K899" t="str">
        <f t="shared" si="112"/>
        <v>870111818</v>
      </c>
      <c r="L899" t="str">
        <f t="shared" si="113"/>
        <v>27 Dec 2023</v>
      </c>
      <c r="M899" t="str">
        <f t="shared" si="114"/>
        <v/>
      </c>
      <c r="N899" t="str">
        <f t="shared" si="115"/>
        <v>12/19/2023</v>
      </c>
      <c r="O899" t="str">
        <f t="shared" si="116"/>
        <v/>
      </c>
      <c r="P899" t="str">
        <f t="shared" si="117"/>
        <v/>
      </c>
      <c r="Q899" t="str">
        <f t="shared" si="118"/>
        <v/>
      </c>
      <c r="R899" t="str">
        <f t="shared" si="119"/>
        <v/>
      </c>
    </row>
    <row r="900" spans="1:18" x14ac:dyDescent="0.25">
      <c r="A900">
        <f>ROW()</f>
        <v>900</v>
      </c>
      <c r="B900" t="s">
        <v>237</v>
      </c>
      <c r="C900" t="s">
        <v>238</v>
      </c>
      <c r="D900" t="s">
        <v>293</v>
      </c>
      <c r="E900" t="s">
        <v>294</v>
      </c>
      <c r="J900" t="str">
        <f>IF(A900&lt;WORKSHEET!$R$2,WORKSHEET!$C$2,IF(B900="Air Waybill Number",C900,J899))</f>
        <v>774532877779</v>
      </c>
      <c r="K900" t="str">
        <f t="shared" si="112"/>
        <v>870111818</v>
      </c>
      <c r="L900" t="str">
        <f t="shared" si="113"/>
        <v>27 Dec 2023</v>
      </c>
      <c r="M900" t="str">
        <f t="shared" si="114"/>
        <v/>
      </c>
      <c r="N900" t="str">
        <f t="shared" si="115"/>
        <v>12/19/2023</v>
      </c>
      <c r="O900" t="str">
        <f t="shared" si="116"/>
        <v/>
      </c>
      <c r="P900" t="str">
        <f t="shared" si="117"/>
        <v/>
      </c>
      <c r="Q900" t="str">
        <f t="shared" si="118"/>
        <v/>
      </c>
      <c r="R900" t="str">
        <f t="shared" si="119"/>
        <v/>
      </c>
    </row>
    <row r="901" spans="1:18" x14ac:dyDescent="0.25">
      <c r="A901">
        <f>ROW()</f>
        <v>901</v>
      </c>
      <c r="B901" t="s">
        <v>241</v>
      </c>
      <c r="C901" t="s">
        <v>435</v>
      </c>
      <c r="D901" t="s">
        <v>296</v>
      </c>
      <c r="E901" t="s">
        <v>297</v>
      </c>
      <c r="F901" t="s">
        <v>298</v>
      </c>
      <c r="J901" t="str">
        <f>IF(A901&lt;WORKSHEET!$R$2,WORKSHEET!$C$2,IF(B901="Air Waybill Number",C901,J900))</f>
        <v>774532877779</v>
      </c>
      <c r="K901" t="str">
        <f t="shared" si="112"/>
        <v>870111818</v>
      </c>
      <c r="L901" t="str">
        <f t="shared" si="113"/>
        <v>27 Dec 2023</v>
      </c>
      <c r="M901" t="str">
        <f t="shared" si="114"/>
        <v/>
      </c>
      <c r="N901" t="str">
        <f t="shared" si="115"/>
        <v>12/19/2023</v>
      </c>
      <c r="O901" t="str">
        <f t="shared" si="116"/>
        <v/>
      </c>
      <c r="P901" t="str">
        <f t="shared" si="117"/>
        <v/>
      </c>
      <c r="Q901" t="str">
        <f t="shared" si="118"/>
        <v/>
      </c>
      <c r="R901" t="str">
        <f t="shared" si="119"/>
        <v/>
      </c>
    </row>
    <row r="902" spans="1:18" x14ac:dyDescent="0.25">
      <c r="A902">
        <f>ROW()</f>
        <v>902</v>
      </c>
      <c r="B902" t="s">
        <v>286</v>
      </c>
      <c r="C902" t="s">
        <v>299</v>
      </c>
      <c r="D902" t="s">
        <v>300</v>
      </c>
      <c r="J902" t="str">
        <f>IF(A902&lt;WORKSHEET!$R$2,WORKSHEET!$C$2,IF(B902="Air Waybill Number",C902,J901))</f>
        <v>774532877779</v>
      </c>
      <c r="K902" t="str">
        <f t="shared" si="112"/>
        <v>870111818</v>
      </c>
      <c r="L902" t="str">
        <f t="shared" si="113"/>
        <v>27 Dec 2023</v>
      </c>
      <c r="M902" t="str">
        <f t="shared" si="114"/>
        <v/>
      </c>
      <c r="N902" t="str">
        <f t="shared" si="115"/>
        <v>12/19/2023</v>
      </c>
      <c r="O902" t="str">
        <f t="shared" si="116"/>
        <v/>
      </c>
      <c r="P902" t="str">
        <f t="shared" si="117"/>
        <v/>
      </c>
      <c r="Q902" t="str">
        <f t="shared" si="118"/>
        <v/>
      </c>
      <c r="R902" t="str">
        <f t="shared" si="119"/>
        <v/>
      </c>
    </row>
    <row r="903" spans="1:18" x14ac:dyDescent="0.25">
      <c r="A903">
        <f>ROW()</f>
        <v>903</v>
      </c>
      <c r="B903" t="s">
        <v>249</v>
      </c>
      <c r="C903" t="s">
        <v>301</v>
      </c>
      <c r="D903" t="s">
        <v>248</v>
      </c>
      <c r="G903">
        <v>1348000</v>
      </c>
      <c r="J903" t="str">
        <f>IF(A903&lt;WORKSHEET!$R$2,WORKSHEET!$C$2,IF(B903="Air Waybill Number",C903,J902))</f>
        <v>774532877779</v>
      </c>
      <c r="K903" t="str">
        <f t="shared" si="112"/>
        <v>870111818</v>
      </c>
      <c r="L903" t="str">
        <f t="shared" si="113"/>
        <v>27 Dec 2023</v>
      </c>
      <c r="M903" t="str">
        <f t="shared" si="114"/>
        <v/>
      </c>
      <c r="N903" t="str">
        <f t="shared" si="115"/>
        <v>12/19/2023</v>
      </c>
      <c r="O903" t="str">
        <f t="shared" si="116"/>
        <v/>
      </c>
      <c r="P903" t="str">
        <f t="shared" si="117"/>
        <v/>
      </c>
      <c r="Q903" t="str">
        <f t="shared" si="118"/>
        <v/>
      </c>
      <c r="R903" t="str">
        <f t="shared" si="119"/>
        <v/>
      </c>
    </row>
    <row r="904" spans="1:18" x14ac:dyDescent="0.25">
      <c r="A904">
        <f>ROW()</f>
        <v>904</v>
      </c>
      <c r="D904" t="s">
        <v>251</v>
      </c>
      <c r="E904" t="s">
        <v>252</v>
      </c>
      <c r="G904">
        <v>-1003316</v>
      </c>
      <c r="J904" t="str">
        <f>IF(A904&lt;WORKSHEET!$R$2,WORKSHEET!$C$2,IF(B904="Air Waybill Number",C904,J903))</f>
        <v>774532877779</v>
      </c>
      <c r="K904" t="str">
        <f t="shared" si="112"/>
        <v>870111818</v>
      </c>
      <c r="L904" t="str">
        <f t="shared" si="113"/>
        <v>27 Dec 2023</v>
      </c>
      <c r="M904" t="str">
        <f t="shared" si="114"/>
        <v/>
      </c>
      <c r="N904" t="str">
        <f t="shared" si="115"/>
        <v>12/19/2023</v>
      </c>
      <c r="O904" t="str">
        <f t="shared" si="116"/>
        <v/>
      </c>
      <c r="P904" t="str">
        <f t="shared" si="117"/>
        <v/>
      </c>
      <c r="Q904" t="str">
        <f t="shared" si="118"/>
        <v/>
      </c>
      <c r="R904" t="str">
        <f t="shared" si="119"/>
        <v/>
      </c>
    </row>
    <row r="905" spans="1:18" x14ac:dyDescent="0.25">
      <c r="A905">
        <f>ROW()</f>
        <v>905</v>
      </c>
      <c r="D905" t="s">
        <v>254</v>
      </c>
      <c r="E905" t="s">
        <v>12</v>
      </c>
      <c r="G905">
        <v>99544</v>
      </c>
      <c r="J905" t="str">
        <f>IF(A905&lt;WORKSHEET!$R$2,WORKSHEET!$C$2,IF(B905="Air Waybill Number",C905,J904))</f>
        <v>774532877779</v>
      </c>
      <c r="K905" t="str">
        <f t="shared" si="112"/>
        <v>870111818</v>
      </c>
      <c r="L905" t="str">
        <f t="shared" si="113"/>
        <v>27 Dec 2023</v>
      </c>
      <c r="M905" t="str">
        <f t="shared" si="114"/>
        <v/>
      </c>
      <c r="N905" t="str">
        <f t="shared" si="115"/>
        <v>12/19/2023</v>
      </c>
      <c r="O905" t="str">
        <f t="shared" si="116"/>
        <v/>
      </c>
      <c r="P905" t="str">
        <f t="shared" si="117"/>
        <v/>
      </c>
      <c r="Q905" t="str">
        <f t="shared" si="118"/>
        <v/>
      </c>
      <c r="R905" t="str">
        <f t="shared" si="119"/>
        <v/>
      </c>
    </row>
    <row r="906" spans="1:18" x14ac:dyDescent="0.25">
      <c r="A906">
        <f>ROW()</f>
        <v>906</v>
      </c>
      <c r="D906" t="s">
        <v>254</v>
      </c>
      <c r="E906" t="s">
        <v>260</v>
      </c>
      <c r="G906">
        <v>24000</v>
      </c>
      <c r="J906" t="str">
        <f>IF(A906&lt;WORKSHEET!$R$2,WORKSHEET!$C$2,IF(B906="Air Waybill Number",C906,J905))</f>
        <v>774532877779</v>
      </c>
      <c r="K906" t="str">
        <f t="shared" si="112"/>
        <v>870111818</v>
      </c>
      <c r="L906" t="str">
        <f t="shared" si="113"/>
        <v>27 Dec 2023</v>
      </c>
      <c r="M906" t="str">
        <f t="shared" si="114"/>
        <v/>
      </c>
      <c r="N906" t="str">
        <f t="shared" si="115"/>
        <v>12/19/2023</v>
      </c>
      <c r="O906" t="str">
        <f t="shared" si="116"/>
        <v/>
      </c>
      <c r="P906" t="str">
        <f t="shared" si="117"/>
        <v/>
      </c>
      <c r="Q906" t="str">
        <f t="shared" si="118"/>
        <v/>
      </c>
      <c r="R906" t="str">
        <f t="shared" si="119"/>
        <v/>
      </c>
    </row>
    <row r="907" spans="1:18" x14ac:dyDescent="0.25">
      <c r="A907">
        <f>ROW()</f>
        <v>907</v>
      </c>
      <c r="D907" t="s">
        <v>261</v>
      </c>
      <c r="G907">
        <v>5150</v>
      </c>
      <c r="J907" t="str">
        <f>IF(A907&lt;WORKSHEET!$R$2,WORKSHEET!$C$2,IF(B907="Air Waybill Number",C907,J906))</f>
        <v>774532877779</v>
      </c>
      <c r="K907" t="str">
        <f t="shared" si="112"/>
        <v>870111818</v>
      </c>
      <c r="L907" t="str">
        <f t="shared" si="113"/>
        <v>27 Dec 2023</v>
      </c>
      <c r="M907" t="str">
        <f t="shared" si="114"/>
        <v/>
      </c>
      <c r="N907" t="str">
        <f t="shared" si="115"/>
        <v>12/19/2023</v>
      </c>
      <c r="O907" t="str">
        <f t="shared" si="116"/>
        <v/>
      </c>
      <c r="P907" t="str">
        <f t="shared" si="117"/>
        <v/>
      </c>
      <c r="Q907" t="str">
        <f t="shared" si="118"/>
        <v/>
      </c>
      <c r="R907" t="str">
        <f t="shared" si="119"/>
        <v/>
      </c>
    </row>
    <row r="908" spans="1:18" x14ac:dyDescent="0.25">
      <c r="A908">
        <f>ROW()</f>
        <v>908</v>
      </c>
      <c r="D908" t="s">
        <v>14</v>
      </c>
      <c r="G908">
        <v>473378</v>
      </c>
      <c r="J908" t="str">
        <f>IF(A908&lt;WORKSHEET!$R$2,WORKSHEET!$C$2,IF(B908="Air Waybill Number",C908,J907))</f>
        <v>774532877779</v>
      </c>
      <c r="K908" t="str">
        <f t="shared" si="112"/>
        <v>870111818</v>
      </c>
      <c r="L908" t="str">
        <f t="shared" si="113"/>
        <v>27 Dec 2023</v>
      </c>
      <c r="M908" t="str">
        <f t="shared" si="114"/>
        <v/>
      </c>
      <c r="N908" t="str">
        <f t="shared" si="115"/>
        <v>12/19/2023</v>
      </c>
      <c r="O908" t="str">
        <f t="shared" si="116"/>
        <v/>
      </c>
      <c r="P908" t="str">
        <f t="shared" si="117"/>
        <v/>
      </c>
      <c r="Q908" t="str">
        <f t="shared" si="118"/>
        <v/>
      </c>
      <c r="R908" t="str">
        <f t="shared" si="119"/>
        <v/>
      </c>
    </row>
    <row r="909" spans="1:18" x14ac:dyDescent="0.25">
      <c r="A909">
        <f>ROW()</f>
        <v>909</v>
      </c>
      <c r="D909" t="s">
        <v>302</v>
      </c>
      <c r="J909" t="str">
        <f>IF(A909&lt;WORKSHEET!$R$2,WORKSHEET!$C$2,IF(B909="Air Waybill Number",C909,J908))</f>
        <v>774532877779</v>
      </c>
      <c r="K909" t="str">
        <f t="shared" si="112"/>
        <v>870111818</v>
      </c>
      <c r="L909" t="str">
        <f t="shared" si="113"/>
        <v>27 Dec 2023</v>
      </c>
      <c r="M909" t="str">
        <f t="shared" si="114"/>
        <v/>
      </c>
      <c r="N909" t="str">
        <f t="shared" si="115"/>
        <v>12/19/2023</v>
      </c>
      <c r="O909" t="str">
        <f t="shared" si="116"/>
        <v/>
      </c>
      <c r="P909" t="str">
        <f t="shared" si="117"/>
        <v/>
      </c>
      <c r="Q909" t="str">
        <f t="shared" si="118"/>
        <v/>
      </c>
      <c r="R909" t="str">
        <f t="shared" si="119"/>
        <v/>
      </c>
    </row>
    <row r="910" spans="1:18" x14ac:dyDescent="0.25">
      <c r="A910">
        <f>ROW()</f>
        <v>910</v>
      </c>
      <c r="B910" t="s">
        <v>226</v>
      </c>
      <c r="C910" t="s">
        <v>646</v>
      </c>
      <c r="D910" t="s">
        <v>290</v>
      </c>
      <c r="E910" t="s">
        <v>450</v>
      </c>
      <c r="J910" t="str">
        <f>IF(A910&lt;WORKSHEET!$R$2,WORKSHEET!$C$2,IF(B910="Air Waybill Number",C910,J909))</f>
        <v>774532877779</v>
      </c>
      <c r="K910" t="str">
        <f t="shared" si="112"/>
        <v>870111818</v>
      </c>
      <c r="L910" t="str">
        <f t="shared" si="113"/>
        <v>27 Dec 2023</v>
      </c>
      <c r="M910" t="str">
        <f t="shared" si="114"/>
        <v/>
      </c>
      <c r="N910" t="str">
        <f t="shared" si="115"/>
        <v>12/19/2023</v>
      </c>
      <c r="O910" t="str">
        <f t="shared" si="116"/>
        <v>MS. MERCY</v>
      </c>
      <c r="P910" t="str">
        <f t="shared" si="117"/>
        <v>GISTEX GARMEN INDONESIA</v>
      </c>
      <c r="Q910" t="str">
        <f t="shared" si="118"/>
        <v>MS.SHIRLY FANG</v>
      </c>
      <c r="R910" t="str">
        <f t="shared" si="119"/>
        <v>SHAOXING YMYSI IMPORTEXPORT</v>
      </c>
    </row>
    <row r="911" spans="1:18" x14ac:dyDescent="0.25">
      <c r="A911">
        <f>ROW()</f>
        <v>911</v>
      </c>
      <c r="B911" t="s">
        <v>232</v>
      </c>
      <c r="C911" t="s">
        <v>155</v>
      </c>
      <c r="D911" t="s">
        <v>43</v>
      </c>
      <c r="E911" t="s">
        <v>88</v>
      </c>
      <c r="J911" t="str">
        <f>IF(A911&lt;WORKSHEET!$R$2,WORKSHEET!$C$2,IF(B911="Air Waybill Number",C911,J910))</f>
        <v>774535001793</v>
      </c>
      <c r="K911" t="str">
        <f t="shared" si="112"/>
        <v>870111818</v>
      </c>
      <c r="L911" t="str">
        <f t="shared" si="113"/>
        <v>27 Dec 2023</v>
      </c>
      <c r="M911" t="str">
        <f t="shared" si="114"/>
        <v>774535001793-1</v>
      </c>
      <c r="N911" t="str">
        <f t="shared" si="115"/>
        <v>12/19/2023</v>
      </c>
      <c r="O911" t="str">
        <f t="shared" si="116"/>
        <v/>
      </c>
      <c r="P911" t="str">
        <f t="shared" si="117"/>
        <v/>
      </c>
      <c r="Q911" t="str">
        <f t="shared" si="118"/>
        <v/>
      </c>
      <c r="R911" t="str">
        <f t="shared" si="119"/>
        <v/>
      </c>
    </row>
    <row r="912" spans="1:18" x14ac:dyDescent="0.25">
      <c r="A912">
        <f>ROW()</f>
        <v>912</v>
      </c>
      <c r="B912" t="s">
        <v>233</v>
      </c>
      <c r="C912" t="s">
        <v>292</v>
      </c>
      <c r="D912" t="s">
        <v>41</v>
      </c>
      <c r="E912" t="s">
        <v>451</v>
      </c>
      <c r="F912" t="s">
        <v>452</v>
      </c>
      <c r="J912" t="str">
        <f>IF(A912&lt;WORKSHEET!$R$2,WORKSHEET!$C$2,IF(B912="Air Waybill Number",C912,J911))</f>
        <v>774535001793</v>
      </c>
      <c r="K912" t="str">
        <f t="shared" si="112"/>
        <v>870111818</v>
      </c>
      <c r="L912" t="str">
        <f t="shared" si="113"/>
        <v>27 Dec 2023</v>
      </c>
      <c r="M912" t="str">
        <f t="shared" si="114"/>
        <v/>
      </c>
      <c r="N912" t="str">
        <f t="shared" si="115"/>
        <v>12/19/2023</v>
      </c>
      <c r="O912" t="str">
        <f t="shared" si="116"/>
        <v/>
      </c>
      <c r="P912" t="str">
        <f t="shared" si="117"/>
        <v/>
      </c>
      <c r="Q912" t="str">
        <f t="shared" si="118"/>
        <v/>
      </c>
      <c r="R912" t="str">
        <f t="shared" si="119"/>
        <v/>
      </c>
    </row>
    <row r="913" spans="1:18" x14ac:dyDescent="0.25">
      <c r="A913">
        <f>ROW()</f>
        <v>913</v>
      </c>
      <c r="B913" t="s">
        <v>237</v>
      </c>
      <c r="C913" t="s">
        <v>238</v>
      </c>
      <c r="D913" t="s">
        <v>293</v>
      </c>
      <c r="E913" t="s">
        <v>453</v>
      </c>
      <c r="J913" t="str">
        <f>IF(A913&lt;WORKSHEET!$R$2,WORKSHEET!$C$2,IF(B913="Air Waybill Number",C913,J912))</f>
        <v>774535001793</v>
      </c>
      <c r="K913" t="str">
        <f t="shared" si="112"/>
        <v>870111818</v>
      </c>
      <c r="L913" t="str">
        <f t="shared" si="113"/>
        <v>27 Dec 2023</v>
      </c>
      <c r="M913" t="str">
        <f t="shared" si="114"/>
        <v/>
      </c>
      <c r="N913" t="str">
        <f t="shared" si="115"/>
        <v>12/19/2023</v>
      </c>
      <c r="O913" t="str">
        <f t="shared" si="116"/>
        <v/>
      </c>
      <c r="P913" t="str">
        <f t="shared" si="117"/>
        <v/>
      </c>
      <c r="Q913" t="str">
        <f t="shared" si="118"/>
        <v/>
      </c>
      <c r="R913" t="str">
        <f t="shared" si="119"/>
        <v/>
      </c>
    </row>
    <row r="914" spans="1:18" x14ac:dyDescent="0.25">
      <c r="A914">
        <f>ROW()</f>
        <v>914</v>
      </c>
      <c r="B914" t="s">
        <v>241</v>
      </c>
      <c r="C914" t="s">
        <v>295</v>
      </c>
      <c r="D914" t="s">
        <v>296</v>
      </c>
      <c r="E914" t="s">
        <v>454</v>
      </c>
      <c r="J914" t="str">
        <f>IF(A914&lt;WORKSHEET!$R$2,WORKSHEET!$C$2,IF(B914="Air Waybill Number",C914,J913))</f>
        <v>774535001793</v>
      </c>
      <c r="K914" t="str">
        <f t="shared" si="112"/>
        <v>870111818</v>
      </c>
      <c r="L914" t="str">
        <f t="shared" si="113"/>
        <v>27 Dec 2023</v>
      </c>
      <c r="M914" t="str">
        <f t="shared" si="114"/>
        <v/>
      </c>
      <c r="N914" t="str">
        <f t="shared" si="115"/>
        <v>12/19/2023</v>
      </c>
      <c r="O914" t="str">
        <f t="shared" si="116"/>
        <v/>
      </c>
      <c r="P914" t="str">
        <f t="shared" si="117"/>
        <v/>
      </c>
      <c r="Q914" t="str">
        <f t="shared" si="118"/>
        <v/>
      </c>
      <c r="R914" t="str">
        <f t="shared" si="119"/>
        <v/>
      </c>
    </row>
    <row r="915" spans="1:18" x14ac:dyDescent="0.25">
      <c r="A915">
        <f>ROW()</f>
        <v>915</v>
      </c>
      <c r="B915" t="s">
        <v>286</v>
      </c>
      <c r="C915" t="s">
        <v>299</v>
      </c>
      <c r="D915" t="s">
        <v>300</v>
      </c>
      <c r="E915" t="s">
        <v>455</v>
      </c>
      <c r="F915" t="s">
        <v>456</v>
      </c>
      <c r="J915" t="str">
        <f>IF(A915&lt;WORKSHEET!$R$2,WORKSHEET!$C$2,IF(B915="Air Waybill Number",C915,J914))</f>
        <v>774535001793</v>
      </c>
      <c r="K915" t="str">
        <f t="shared" si="112"/>
        <v>870111818</v>
      </c>
      <c r="L915" t="str">
        <f t="shared" si="113"/>
        <v>27 Dec 2023</v>
      </c>
      <c r="M915" t="str">
        <f t="shared" si="114"/>
        <v/>
      </c>
      <c r="N915" t="str">
        <f t="shared" si="115"/>
        <v>12/19/2023</v>
      </c>
      <c r="O915" t="str">
        <f t="shared" si="116"/>
        <v/>
      </c>
      <c r="P915" t="str">
        <f t="shared" si="117"/>
        <v/>
      </c>
      <c r="Q915" t="str">
        <f t="shared" si="118"/>
        <v/>
      </c>
      <c r="R915" t="str">
        <f t="shared" si="119"/>
        <v/>
      </c>
    </row>
    <row r="916" spans="1:18" x14ac:dyDescent="0.25">
      <c r="A916">
        <f>ROW()</f>
        <v>916</v>
      </c>
      <c r="B916" t="s">
        <v>249</v>
      </c>
      <c r="C916" t="s">
        <v>671</v>
      </c>
      <c r="D916" t="s">
        <v>248</v>
      </c>
      <c r="G916">
        <v>570000</v>
      </c>
      <c r="J916" t="str">
        <f>IF(A916&lt;WORKSHEET!$R$2,WORKSHEET!$C$2,IF(B916="Air Waybill Number",C916,J915))</f>
        <v>774535001793</v>
      </c>
      <c r="K916" t="str">
        <f t="shared" si="112"/>
        <v>870111818</v>
      </c>
      <c r="L916" t="str">
        <f t="shared" si="113"/>
        <v>27 Dec 2023</v>
      </c>
      <c r="M916" t="str">
        <f t="shared" si="114"/>
        <v/>
      </c>
      <c r="N916" t="str">
        <f t="shared" si="115"/>
        <v>12/19/2023</v>
      </c>
      <c r="O916" t="str">
        <f t="shared" si="116"/>
        <v/>
      </c>
      <c r="P916" t="str">
        <f t="shared" si="117"/>
        <v/>
      </c>
      <c r="Q916" t="str">
        <f t="shared" si="118"/>
        <v/>
      </c>
      <c r="R916" t="str">
        <f t="shared" si="119"/>
        <v/>
      </c>
    </row>
    <row r="917" spans="1:18" x14ac:dyDescent="0.25">
      <c r="A917">
        <f>ROW()</f>
        <v>917</v>
      </c>
      <c r="D917" t="s">
        <v>251</v>
      </c>
      <c r="E917" t="s">
        <v>252</v>
      </c>
      <c r="G917">
        <v>-406866</v>
      </c>
      <c r="J917" t="str">
        <f>IF(A917&lt;WORKSHEET!$R$2,WORKSHEET!$C$2,IF(B917="Air Waybill Number",C917,J916))</f>
        <v>774535001793</v>
      </c>
      <c r="K917" t="str">
        <f t="shared" si="112"/>
        <v>870111818</v>
      </c>
      <c r="L917" t="str">
        <f t="shared" si="113"/>
        <v>27 Dec 2023</v>
      </c>
      <c r="M917" t="str">
        <f t="shared" si="114"/>
        <v/>
      </c>
      <c r="N917" t="str">
        <f t="shared" si="115"/>
        <v>12/19/2023</v>
      </c>
      <c r="O917" t="str">
        <f t="shared" si="116"/>
        <v/>
      </c>
      <c r="P917" t="str">
        <f t="shared" si="117"/>
        <v/>
      </c>
      <c r="Q917" t="str">
        <f t="shared" si="118"/>
        <v/>
      </c>
      <c r="R917" t="str">
        <f t="shared" si="119"/>
        <v/>
      </c>
    </row>
    <row r="918" spans="1:18" x14ac:dyDescent="0.25">
      <c r="A918">
        <f>ROW()</f>
        <v>918</v>
      </c>
      <c r="D918" t="s">
        <v>254</v>
      </c>
      <c r="E918" t="s">
        <v>12</v>
      </c>
      <c r="G918">
        <v>48366</v>
      </c>
      <c r="J918" t="str">
        <f>IF(A918&lt;WORKSHEET!$R$2,WORKSHEET!$C$2,IF(B918="Air Waybill Number",C918,J917))</f>
        <v>774535001793</v>
      </c>
      <c r="K918" t="str">
        <f t="shared" si="112"/>
        <v>870111818</v>
      </c>
      <c r="L918" t="str">
        <f t="shared" si="113"/>
        <v>27 Dec 2023</v>
      </c>
      <c r="M918" t="str">
        <f t="shared" si="114"/>
        <v/>
      </c>
      <c r="N918" t="str">
        <f t="shared" si="115"/>
        <v>12/19/2023</v>
      </c>
      <c r="O918" t="str">
        <f t="shared" si="116"/>
        <v/>
      </c>
      <c r="P918" t="str">
        <f t="shared" si="117"/>
        <v/>
      </c>
      <c r="Q918" t="str">
        <f t="shared" si="118"/>
        <v/>
      </c>
      <c r="R918" t="str">
        <f t="shared" si="119"/>
        <v/>
      </c>
    </row>
    <row r="919" spans="1:18" x14ac:dyDescent="0.25">
      <c r="A919">
        <f>ROW()</f>
        <v>919</v>
      </c>
      <c r="D919" t="s">
        <v>254</v>
      </c>
      <c r="E919" t="s">
        <v>260</v>
      </c>
      <c r="G919">
        <v>16000</v>
      </c>
      <c r="J919" t="str">
        <f>IF(A919&lt;WORKSHEET!$R$2,WORKSHEET!$C$2,IF(B919="Air Waybill Number",C919,J918))</f>
        <v>774535001793</v>
      </c>
      <c r="K919" t="str">
        <f t="shared" si="112"/>
        <v>870111818</v>
      </c>
      <c r="L919" t="str">
        <f t="shared" si="113"/>
        <v>27 Dec 2023</v>
      </c>
      <c r="M919" t="str">
        <f t="shared" si="114"/>
        <v/>
      </c>
      <c r="N919" t="str">
        <f t="shared" si="115"/>
        <v>12/19/2023</v>
      </c>
      <c r="O919" t="str">
        <f t="shared" si="116"/>
        <v/>
      </c>
      <c r="P919" t="str">
        <f t="shared" si="117"/>
        <v/>
      </c>
      <c r="Q919" t="str">
        <f t="shared" si="118"/>
        <v/>
      </c>
      <c r="R919" t="str">
        <f t="shared" si="119"/>
        <v/>
      </c>
    </row>
    <row r="920" spans="1:18" x14ac:dyDescent="0.25">
      <c r="A920">
        <f>ROW()</f>
        <v>920</v>
      </c>
      <c r="D920" t="s">
        <v>261</v>
      </c>
      <c r="G920">
        <v>2502</v>
      </c>
      <c r="J920" t="str">
        <f>IF(A920&lt;WORKSHEET!$R$2,WORKSHEET!$C$2,IF(B920="Air Waybill Number",C920,J919))</f>
        <v>774535001793</v>
      </c>
      <c r="K920" t="str">
        <f t="shared" si="112"/>
        <v>870111818</v>
      </c>
      <c r="L920" t="str">
        <f t="shared" si="113"/>
        <v>27 Dec 2023</v>
      </c>
      <c r="M920" t="str">
        <f t="shared" si="114"/>
        <v/>
      </c>
      <c r="N920" t="str">
        <f t="shared" si="115"/>
        <v>12/19/2023</v>
      </c>
      <c r="O920" t="str">
        <f t="shared" si="116"/>
        <v/>
      </c>
      <c r="P920" t="str">
        <f t="shared" si="117"/>
        <v/>
      </c>
      <c r="Q920" t="str">
        <f t="shared" si="118"/>
        <v/>
      </c>
      <c r="R920" t="str">
        <f t="shared" si="119"/>
        <v/>
      </c>
    </row>
    <row r="921" spans="1:18" x14ac:dyDescent="0.25">
      <c r="A921">
        <f>ROW()</f>
        <v>921</v>
      </c>
      <c r="D921" t="s">
        <v>14</v>
      </c>
      <c r="G921">
        <v>230002</v>
      </c>
      <c r="J921" t="str">
        <f>IF(A921&lt;WORKSHEET!$R$2,WORKSHEET!$C$2,IF(B921="Air Waybill Number",C921,J920))</f>
        <v>774535001793</v>
      </c>
      <c r="K921" t="str">
        <f t="shared" si="112"/>
        <v>870111818</v>
      </c>
      <c r="L921" t="str">
        <f t="shared" si="113"/>
        <v>27 Dec 2023</v>
      </c>
      <c r="M921" t="str">
        <f t="shared" si="114"/>
        <v/>
      </c>
      <c r="N921" t="str">
        <f t="shared" si="115"/>
        <v>12/19/2023</v>
      </c>
      <c r="O921" t="str">
        <f t="shared" si="116"/>
        <v/>
      </c>
      <c r="P921" t="str">
        <f t="shared" si="117"/>
        <v/>
      </c>
      <c r="Q921" t="str">
        <f t="shared" si="118"/>
        <v/>
      </c>
      <c r="R921" t="str">
        <f t="shared" si="119"/>
        <v/>
      </c>
    </row>
    <row r="922" spans="1:18" x14ac:dyDescent="0.25">
      <c r="A922">
        <f>ROW()</f>
        <v>922</v>
      </c>
      <c r="D922" t="s">
        <v>302</v>
      </c>
      <c r="J922" t="str">
        <f>IF(A922&lt;WORKSHEET!$R$2,WORKSHEET!$C$2,IF(B922="Air Waybill Number",C922,J921))</f>
        <v>774535001793</v>
      </c>
      <c r="K922" t="str">
        <f t="shared" si="112"/>
        <v>870111818</v>
      </c>
      <c r="L922" t="str">
        <f t="shared" si="113"/>
        <v>27 Dec 2023</v>
      </c>
      <c r="M922" t="str">
        <f t="shared" si="114"/>
        <v/>
      </c>
      <c r="N922" t="str">
        <f t="shared" si="115"/>
        <v>12/19/2023</v>
      </c>
      <c r="O922" t="str">
        <f t="shared" si="116"/>
        <v/>
      </c>
      <c r="P922" t="str">
        <f t="shared" si="117"/>
        <v/>
      </c>
      <c r="Q922" t="str">
        <f t="shared" si="118"/>
        <v/>
      </c>
      <c r="R922" t="str">
        <f t="shared" si="119"/>
        <v/>
      </c>
    </row>
    <row r="923" spans="1:18" x14ac:dyDescent="0.25">
      <c r="A923">
        <f>ROW()</f>
        <v>923</v>
      </c>
      <c r="B923" t="s">
        <v>226</v>
      </c>
      <c r="C923" t="s">
        <v>646</v>
      </c>
      <c r="D923" t="s">
        <v>290</v>
      </c>
      <c r="E923" t="s">
        <v>312</v>
      </c>
      <c r="J923" t="str">
        <f>IF(A923&lt;WORKSHEET!$R$2,WORKSHEET!$C$2,IF(B923="Air Waybill Number",C923,J922))</f>
        <v>774535001793</v>
      </c>
      <c r="K923" t="str">
        <f t="shared" si="112"/>
        <v>870111818</v>
      </c>
      <c r="L923" t="str">
        <f t="shared" si="113"/>
        <v>27 Dec 2023</v>
      </c>
      <c r="M923" t="str">
        <f t="shared" si="114"/>
        <v/>
      </c>
      <c r="N923" t="str">
        <f t="shared" si="115"/>
        <v>12/19/2023</v>
      </c>
      <c r="O923" t="str">
        <f t="shared" si="116"/>
        <v>MS. MERCY</v>
      </c>
      <c r="P923" t="str">
        <f t="shared" si="117"/>
        <v>GISTEX GARMEN INDONESIA</v>
      </c>
      <c r="Q923" t="str">
        <f t="shared" si="118"/>
        <v>STELLA GAO/LENA /CHERRY</v>
      </c>
      <c r="R923" t="str">
        <f t="shared" si="119"/>
        <v>NINGBO TWO BIRDS INDUSTRY CO.,</v>
      </c>
    </row>
    <row r="924" spans="1:18" x14ac:dyDescent="0.25">
      <c r="A924">
        <f>ROW()</f>
        <v>924</v>
      </c>
      <c r="B924" t="s">
        <v>232</v>
      </c>
      <c r="C924" t="s">
        <v>156</v>
      </c>
      <c r="D924" t="s">
        <v>43</v>
      </c>
      <c r="E924" t="s">
        <v>157</v>
      </c>
      <c r="J924" t="str">
        <f>IF(A924&lt;WORKSHEET!$R$2,WORKSHEET!$C$2,IF(B924="Air Waybill Number",C924,J923))</f>
        <v>774535060851</v>
      </c>
      <c r="K924" t="str">
        <f t="shared" si="112"/>
        <v>870111818</v>
      </c>
      <c r="L924" t="str">
        <f t="shared" si="113"/>
        <v>27 Dec 2023</v>
      </c>
      <c r="M924" t="str">
        <f t="shared" si="114"/>
        <v>774535060851-1</v>
      </c>
      <c r="N924" t="str">
        <f t="shared" si="115"/>
        <v>12/19/2023</v>
      </c>
      <c r="O924" t="str">
        <f t="shared" si="116"/>
        <v/>
      </c>
      <c r="P924" t="str">
        <f t="shared" si="117"/>
        <v/>
      </c>
      <c r="Q924" t="str">
        <f t="shared" si="118"/>
        <v/>
      </c>
      <c r="R924" t="str">
        <f t="shared" si="119"/>
        <v/>
      </c>
    </row>
    <row r="925" spans="1:18" x14ac:dyDescent="0.25">
      <c r="A925">
        <f>ROW()</f>
        <v>925</v>
      </c>
      <c r="B925" t="s">
        <v>233</v>
      </c>
      <c r="C925" t="s">
        <v>292</v>
      </c>
      <c r="D925" t="s">
        <v>41</v>
      </c>
      <c r="E925" t="s">
        <v>32</v>
      </c>
      <c r="J925" t="str">
        <f>IF(A925&lt;WORKSHEET!$R$2,WORKSHEET!$C$2,IF(B925="Air Waybill Number",C925,J924))</f>
        <v>774535060851</v>
      </c>
      <c r="K925" t="str">
        <f t="shared" si="112"/>
        <v>870111818</v>
      </c>
      <c r="L925" t="str">
        <f t="shared" si="113"/>
        <v>27 Dec 2023</v>
      </c>
      <c r="M925" t="str">
        <f t="shared" si="114"/>
        <v/>
      </c>
      <c r="N925" t="str">
        <f t="shared" si="115"/>
        <v>12/19/2023</v>
      </c>
      <c r="O925" t="str">
        <f t="shared" si="116"/>
        <v/>
      </c>
      <c r="P925" t="str">
        <f t="shared" si="117"/>
        <v/>
      </c>
      <c r="Q925" t="str">
        <f t="shared" si="118"/>
        <v/>
      </c>
      <c r="R925" t="str">
        <f t="shared" si="119"/>
        <v/>
      </c>
    </row>
    <row r="926" spans="1:18" x14ac:dyDescent="0.25">
      <c r="A926">
        <f>ROW()</f>
        <v>926</v>
      </c>
      <c r="B926" t="s">
        <v>237</v>
      </c>
      <c r="C926" t="s">
        <v>238</v>
      </c>
      <c r="D926" t="s">
        <v>293</v>
      </c>
      <c r="E926" t="s">
        <v>280</v>
      </c>
      <c r="J926" t="str">
        <f>IF(A926&lt;WORKSHEET!$R$2,WORKSHEET!$C$2,IF(B926="Air Waybill Number",C926,J925))</f>
        <v>774535060851</v>
      </c>
      <c r="K926" t="str">
        <f t="shared" si="112"/>
        <v>870111818</v>
      </c>
      <c r="L926" t="str">
        <f t="shared" si="113"/>
        <v>27 Dec 2023</v>
      </c>
      <c r="M926" t="str">
        <f t="shared" si="114"/>
        <v/>
      </c>
      <c r="N926" t="str">
        <f t="shared" si="115"/>
        <v>12/19/2023</v>
      </c>
      <c r="O926" t="str">
        <f t="shared" si="116"/>
        <v/>
      </c>
      <c r="P926" t="str">
        <f t="shared" si="117"/>
        <v/>
      </c>
      <c r="Q926" t="str">
        <f t="shared" si="118"/>
        <v/>
      </c>
      <c r="R926" t="str">
        <f t="shared" si="119"/>
        <v/>
      </c>
    </row>
    <row r="927" spans="1:18" x14ac:dyDescent="0.25">
      <c r="A927">
        <f>ROW()</f>
        <v>927</v>
      </c>
      <c r="B927" t="s">
        <v>241</v>
      </c>
      <c r="C927" t="s">
        <v>295</v>
      </c>
      <c r="D927" t="s">
        <v>296</v>
      </c>
      <c r="E927" t="s">
        <v>672</v>
      </c>
      <c r="J927" t="str">
        <f>IF(A927&lt;WORKSHEET!$R$2,WORKSHEET!$C$2,IF(B927="Air Waybill Number",C927,J926))</f>
        <v>774535060851</v>
      </c>
      <c r="K927" t="str">
        <f t="shared" si="112"/>
        <v>870111818</v>
      </c>
      <c r="L927" t="str">
        <f t="shared" si="113"/>
        <v>27 Dec 2023</v>
      </c>
      <c r="M927" t="str">
        <f t="shared" si="114"/>
        <v/>
      </c>
      <c r="N927" t="str">
        <f t="shared" si="115"/>
        <v>12/19/2023</v>
      </c>
      <c r="O927" t="str">
        <f t="shared" si="116"/>
        <v/>
      </c>
      <c r="P927" t="str">
        <f t="shared" si="117"/>
        <v/>
      </c>
      <c r="Q927" t="str">
        <f t="shared" si="118"/>
        <v/>
      </c>
      <c r="R927" t="str">
        <f t="shared" si="119"/>
        <v/>
      </c>
    </row>
    <row r="928" spans="1:18" x14ac:dyDescent="0.25">
      <c r="A928">
        <f>ROW()</f>
        <v>928</v>
      </c>
      <c r="B928" t="s">
        <v>286</v>
      </c>
      <c r="C928" t="s">
        <v>299</v>
      </c>
      <c r="D928" t="s">
        <v>300</v>
      </c>
      <c r="E928" t="s">
        <v>282</v>
      </c>
      <c r="F928" t="s">
        <v>283</v>
      </c>
      <c r="J928" t="str">
        <f>IF(A928&lt;WORKSHEET!$R$2,WORKSHEET!$C$2,IF(B928="Air Waybill Number",C928,J927))</f>
        <v>774535060851</v>
      </c>
      <c r="K928" t="str">
        <f t="shared" si="112"/>
        <v>870111818</v>
      </c>
      <c r="L928" t="str">
        <f t="shared" si="113"/>
        <v>27 Dec 2023</v>
      </c>
      <c r="M928" t="str">
        <f t="shared" si="114"/>
        <v/>
      </c>
      <c r="N928" t="str">
        <f t="shared" si="115"/>
        <v>12/19/2023</v>
      </c>
      <c r="O928" t="str">
        <f t="shared" si="116"/>
        <v/>
      </c>
      <c r="P928" t="str">
        <f t="shared" si="117"/>
        <v/>
      </c>
      <c r="Q928" t="str">
        <f t="shared" si="118"/>
        <v/>
      </c>
      <c r="R928" t="str">
        <f t="shared" si="119"/>
        <v/>
      </c>
    </row>
    <row r="929" spans="1:18" x14ac:dyDescent="0.25">
      <c r="A929">
        <f>ROW()</f>
        <v>929</v>
      </c>
      <c r="B929" t="s">
        <v>249</v>
      </c>
      <c r="C929" t="s">
        <v>673</v>
      </c>
      <c r="D929" t="s">
        <v>248</v>
      </c>
      <c r="G929">
        <v>570000</v>
      </c>
      <c r="J929" t="str">
        <f>IF(A929&lt;WORKSHEET!$R$2,WORKSHEET!$C$2,IF(B929="Air Waybill Number",C929,J928))</f>
        <v>774535060851</v>
      </c>
      <c r="K929" t="str">
        <f t="shared" si="112"/>
        <v>870111818</v>
      </c>
      <c r="L929" t="str">
        <f t="shared" si="113"/>
        <v>27 Dec 2023</v>
      </c>
      <c r="M929" t="str">
        <f t="shared" si="114"/>
        <v/>
      </c>
      <c r="N929" t="str">
        <f t="shared" si="115"/>
        <v>12/19/2023</v>
      </c>
      <c r="O929" t="str">
        <f t="shared" si="116"/>
        <v/>
      </c>
      <c r="P929" t="str">
        <f t="shared" si="117"/>
        <v/>
      </c>
      <c r="Q929" t="str">
        <f t="shared" si="118"/>
        <v/>
      </c>
      <c r="R929" t="str">
        <f t="shared" si="119"/>
        <v/>
      </c>
    </row>
    <row r="930" spans="1:18" x14ac:dyDescent="0.25">
      <c r="A930">
        <f>ROW()</f>
        <v>930</v>
      </c>
      <c r="C930" t="s">
        <v>674</v>
      </c>
      <c r="D930" t="s">
        <v>251</v>
      </c>
      <c r="E930" t="s">
        <v>252</v>
      </c>
      <c r="G930">
        <v>-406866</v>
      </c>
      <c r="J930" t="str">
        <f>IF(A930&lt;WORKSHEET!$R$2,WORKSHEET!$C$2,IF(B930="Air Waybill Number",C930,J929))</f>
        <v>774535060851</v>
      </c>
      <c r="K930" t="str">
        <f t="shared" si="112"/>
        <v>870111818</v>
      </c>
      <c r="L930" t="str">
        <f t="shared" si="113"/>
        <v>27 Dec 2023</v>
      </c>
      <c r="M930" t="str">
        <f t="shared" si="114"/>
        <v/>
      </c>
      <c r="N930" t="str">
        <f t="shared" si="115"/>
        <v>12/19/2023</v>
      </c>
      <c r="O930" t="str">
        <f t="shared" si="116"/>
        <v/>
      </c>
      <c r="P930" t="str">
        <f t="shared" si="117"/>
        <v/>
      </c>
      <c r="Q930" t="str">
        <f t="shared" si="118"/>
        <v/>
      </c>
      <c r="R930" t="str">
        <f t="shared" si="119"/>
        <v/>
      </c>
    </row>
    <row r="931" spans="1:18" x14ac:dyDescent="0.25">
      <c r="A931">
        <f>ROW()</f>
        <v>931</v>
      </c>
      <c r="D931" t="s">
        <v>254</v>
      </c>
      <c r="E931" t="s">
        <v>12</v>
      </c>
      <c r="G931">
        <v>48366</v>
      </c>
      <c r="J931" t="str">
        <f>IF(A931&lt;WORKSHEET!$R$2,WORKSHEET!$C$2,IF(B931="Air Waybill Number",C931,J930))</f>
        <v>774535060851</v>
      </c>
      <c r="K931" t="str">
        <f t="shared" si="112"/>
        <v>870111818</v>
      </c>
      <c r="L931" t="str">
        <f t="shared" si="113"/>
        <v>27 Dec 2023</v>
      </c>
      <c r="M931" t="str">
        <f t="shared" si="114"/>
        <v/>
      </c>
      <c r="N931" t="str">
        <f t="shared" si="115"/>
        <v>12/19/2023</v>
      </c>
      <c r="O931" t="str">
        <f t="shared" si="116"/>
        <v/>
      </c>
      <c r="P931" t="str">
        <f t="shared" si="117"/>
        <v/>
      </c>
      <c r="Q931" t="str">
        <f t="shared" si="118"/>
        <v/>
      </c>
      <c r="R931" t="str">
        <f t="shared" si="119"/>
        <v/>
      </c>
    </row>
    <row r="932" spans="1:18" x14ac:dyDescent="0.25">
      <c r="A932">
        <f>ROW()</f>
        <v>932</v>
      </c>
      <c r="D932" t="s">
        <v>254</v>
      </c>
      <c r="E932" t="s">
        <v>260</v>
      </c>
      <c r="G932">
        <v>16000</v>
      </c>
      <c r="J932" t="str">
        <f>IF(A932&lt;WORKSHEET!$R$2,WORKSHEET!$C$2,IF(B932="Air Waybill Number",C932,J931))</f>
        <v>774535060851</v>
      </c>
      <c r="K932" t="str">
        <f t="shared" si="112"/>
        <v>870111818</v>
      </c>
      <c r="L932" t="str">
        <f t="shared" si="113"/>
        <v>27 Dec 2023</v>
      </c>
      <c r="M932" t="str">
        <f t="shared" si="114"/>
        <v/>
      </c>
      <c r="N932" t="str">
        <f t="shared" si="115"/>
        <v>12/19/2023</v>
      </c>
      <c r="O932" t="str">
        <f t="shared" si="116"/>
        <v/>
      </c>
      <c r="P932" t="str">
        <f t="shared" si="117"/>
        <v/>
      </c>
      <c r="Q932" t="str">
        <f t="shared" si="118"/>
        <v/>
      </c>
      <c r="R932" t="str">
        <f t="shared" si="119"/>
        <v/>
      </c>
    </row>
    <row r="933" spans="1:18" x14ac:dyDescent="0.25">
      <c r="A933">
        <f>ROW()</f>
        <v>933</v>
      </c>
      <c r="D933" t="s">
        <v>261</v>
      </c>
      <c r="G933">
        <v>2502</v>
      </c>
      <c r="J933" t="str">
        <f>IF(A933&lt;WORKSHEET!$R$2,WORKSHEET!$C$2,IF(B933="Air Waybill Number",C933,J932))</f>
        <v>774535060851</v>
      </c>
      <c r="K933" t="str">
        <f t="shared" si="112"/>
        <v>870111818</v>
      </c>
      <c r="L933" t="str">
        <f t="shared" si="113"/>
        <v>27 Dec 2023</v>
      </c>
      <c r="M933" t="str">
        <f t="shared" si="114"/>
        <v/>
      </c>
      <c r="N933" t="str">
        <f t="shared" si="115"/>
        <v>12/19/2023</v>
      </c>
      <c r="O933" t="str">
        <f t="shared" si="116"/>
        <v/>
      </c>
      <c r="P933" t="str">
        <f t="shared" si="117"/>
        <v/>
      </c>
      <c r="Q933" t="str">
        <f t="shared" si="118"/>
        <v/>
      </c>
      <c r="R933" t="str">
        <f t="shared" si="119"/>
        <v/>
      </c>
    </row>
    <row r="934" spans="1:18" x14ac:dyDescent="0.25">
      <c r="A934">
        <f>ROW()</f>
        <v>934</v>
      </c>
      <c r="D934" t="s">
        <v>14</v>
      </c>
      <c r="G934">
        <v>230002</v>
      </c>
      <c r="J934" t="str">
        <f>IF(A934&lt;WORKSHEET!$R$2,WORKSHEET!$C$2,IF(B934="Air Waybill Number",C934,J933))</f>
        <v>774535060851</v>
      </c>
      <c r="K934" t="str">
        <f t="shared" si="112"/>
        <v>870111818</v>
      </c>
      <c r="L934" t="str">
        <f t="shared" si="113"/>
        <v>27 Dec 2023</v>
      </c>
      <c r="M934" t="str">
        <f t="shared" si="114"/>
        <v/>
      </c>
      <c r="N934" t="str">
        <f t="shared" si="115"/>
        <v>12/19/2023</v>
      </c>
      <c r="O934" t="str">
        <f t="shared" si="116"/>
        <v/>
      </c>
      <c r="P934" t="str">
        <f t="shared" si="117"/>
        <v/>
      </c>
      <c r="Q934" t="str">
        <f t="shared" si="118"/>
        <v/>
      </c>
      <c r="R934" t="str">
        <f t="shared" si="119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C1CF1-CB91-4BBA-9EAA-0CEF774EA657}">
  <sheetPr codeName="Sheet7">
    <tabColor theme="1" tint="0.14999847407452621"/>
  </sheetPr>
  <dimension ref="A1:C31"/>
  <sheetViews>
    <sheetView workbookViewId="0">
      <selection activeCell="B2" sqref="B2"/>
    </sheetView>
  </sheetViews>
  <sheetFormatPr defaultRowHeight="15" x14ac:dyDescent="0.25"/>
  <cols>
    <col min="1" max="2" width="10.42578125" customWidth="1"/>
    <col min="3" max="3" width="11.5703125" bestFit="1" customWidth="1"/>
  </cols>
  <sheetData>
    <row r="1" spans="1:3" x14ac:dyDescent="0.25">
      <c r="A1" s="27" t="s">
        <v>685</v>
      </c>
      <c r="B1" s="27" t="s">
        <v>713</v>
      </c>
      <c r="C1" s="27" t="s">
        <v>712</v>
      </c>
    </row>
    <row r="2" spans="1:3" x14ac:dyDescent="0.25">
      <c r="A2" t="s">
        <v>686</v>
      </c>
      <c r="B2" t="str">
        <f>LEFT(A2,3)</f>
        <v>Adj</v>
      </c>
      <c r="C2" s="1" t="s">
        <v>210</v>
      </c>
    </row>
    <row r="3" spans="1:3" x14ac:dyDescent="0.25">
      <c r="A3" t="s">
        <v>687</v>
      </c>
      <c r="B3" t="str">
        <f t="shared" ref="B3:B31" si="0">LEFT(A3,3)</f>
        <v>Ayu</v>
      </c>
      <c r="C3" s="1" t="s">
        <v>210</v>
      </c>
    </row>
    <row r="4" spans="1:3" x14ac:dyDescent="0.25">
      <c r="A4" t="s">
        <v>688</v>
      </c>
      <c r="B4" t="str">
        <f t="shared" si="0"/>
        <v>Bay</v>
      </c>
      <c r="C4" s="1" t="s">
        <v>210</v>
      </c>
    </row>
    <row r="5" spans="1:3" x14ac:dyDescent="0.25">
      <c r="A5" t="s">
        <v>689</v>
      </c>
      <c r="B5" t="str">
        <f t="shared" si="0"/>
        <v>Dia</v>
      </c>
      <c r="C5" s="1" t="s">
        <v>210</v>
      </c>
    </row>
    <row r="6" spans="1:3" x14ac:dyDescent="0.25">
      <c r="A6" t="s">
        <v>205</v>
      </c>
      <c r="B6" t="str">
        <f t="shared" si="0"/>
        <v>Eka</v>
      </c>
      <c r="C6" s="1" t="s">
        <v>210</v>
      </c>
    </row>
    <row r="7" spans="1:3" x14ac:dyDescent="0.25">
      <c r="A7" t="s">
        <v>690</v>
      </c>
      <c r="B7" t="str">
        <f t="shared" si="0"/>
        <v>Ern</v>
      </c>
      <c r="C7" s="1" t="s">
        <v>210</v>
      </c>
    </row>
    <row r="8" spans="1:3" x14ac:dyDescent="0.25">
      <c r="A8" t="s">
        <v>691</v>
      </c>
      <c r="B8" t="str">
        <f t="shared" si="0"/>
        <v>Git</v>
      </c>
      <c r="C8" s="1" t="s">
        <v>210</v>
      </c>
    </row>
    <row r="9" spans="1:3" x14ac:dyDescent="0.25">
      <c r="A9" t="s">
        <v>692</v>
      </c>
      <c r="B9" t="str">
        <f t="shared" si="0"/>
        <v>Hen</v>
      </c>
      <c r="C9" s="1" t="s">
        <v>210</v>
      </c>
    </row>
    <row r="10" spans="1:3" x14ac:dyDescent="0.25">
      <c r="A10" t="s">
        <v>693</v>
      </c>
      <c r="B10" t="str">
        <f t="shared" si="0"/>
        <v>Lil</v>
      </c>
      <c r="C10" s="1" t="s">
        <v>210</v>
      </c>
    </row>
    <row r="11" spans="1:3" x14ac:dyDescent="0.25">
      <c r="A11" t="s">
        <v>195</v>
      </c>
      <c r="B11" t="str">
        <f t="shared" si="0"/>
        <v>Lin</v>
      </c>
      <c r="C11" s="1" t="s">
        <v>210</v>
      </c>
    </row>
    <row r="12" spans="1:3" x14ac:dyDescent="0.25">
      <c r="A12" t="s">
        <v>694</v>
      </c>
      <c r="B12" t="str">
        <f t="shared" si="0"/>
        <v>Mar</v>
      </c>
      <c r="C12" s="1" t="s">
        <v>210</v>
      </c>
    </row>
    <row r="13" spans="1:3" x14ac:dyDescent="0.25">
      <c r="A13" t="s">
        <v>695</v>
      </c>
      <c r="B13" t="str">
        <f t="shared" si="0"/>
        <v>Mei</v>
      </c>
      <c r="C13" s="1" t="s">
        <v>210</v>
      </c>
    </row>
    <row r="14" spans="1:3" x14ac:dyDescent="0.25">
      <c r="A14" t="s">
        <v>196</v>
      </c>
      <c r="B14" t="str">
        <f t="shared" si="0"/>
        <v>Mer</v>
      </c>
      <c r="C14" s="1" t="s">
        <v>210</v>
      </c>
    </row>
    <row r="15" spans="1:3" x14ac:dyDescent="0.25">
      <c r="A15" t="s">
        <v>696</v>
      </c>
      <c r="B15" t="str">
        <f t="shared" si="0"/>
        <v>Mer</v>
      </c>
      <c r="C15" s="1" t="s">
        <v>210</v>
      </c>
    </row>
    <row r="16" spans="1:3" x14ac:dyDescent="0.25">
      <c r="A16" t="s">
        <v>697</v>
      </c>
      <c r="B16" t="str">
        <f t="shared" si="0"/>
        <v>Nun</v>
      </c>
      <c r="C16" s="1" t="s">
        <v>210</v>
      </c>
    </row>
    <row r="17" spans="1:3" x14ac:dyDescent="0.25">
      <c r="A17" t="s">
        <v>698</v>
      </c>
      <c r="B17" t="str">
        <f t="shared" si="0"/>
        <v>Riz</v>
      </c>
      <c r="C17" s="1" t="s">
        <v>210</v>
      </c>
    </row>
    <row r="18" spans="1:3" x14ac:dyDescent="0.25">
      <c r="A18" t="s">
        <v>699</v>
      </c>
      <c r="B18" t="str">
        <f t="shared" si="0"/>
        <v>Sar</v>
      </c>
      <c r="C18" s="1" t="s">
        <v>210</v>
      </c>
    </row>
    <row r="19" spans="1:3" x14ac:dyDescent="0.25">
      <c r="A19" t="s">
        <v>700</v>
      </c>
      <c r="B19" t="str">
        <f t="shared" si="0"/>
        <v>Sel</v>
      </c>
      <c r="C19" s="1" t="s">
        <v>210</v>
      </c>
    </row>
    <row r="20" spans="1:3" x14ac:dyDescent="0.25">
      <c r="A20" t="s">
        <v>701</v>
      </c>
      <c r="B20" t="str">
        <f t="shared" si="0"/>
        <v>Sil</v>
      </c>
      <c r="C20" s="1" t="s">
        <v>210</v>
      </c>
    </row>
    <row r="21" spans="1:3" x14ac:dyDescent="0.25">
      <c r="A21" t="s">
        <v>702</v>
      </c>
      <c r="B21" t="str">
        <f t="shared" si="0"/>
        <v>Suc</v>
      </c>
      <c r="C21" s="1" t="s">
        <v>210</v>
      </c>
    </row>
    <row r="22" spans="1:3" x14ac:dyDescent="0.25">
      <c r="A22" t="s">
        <v>703</v>
      </c>
      <c r="B22" t="str">
        <f t="shared" si="0"/>
        <v>Suh</v>
      </c>
      <c r="C22" s="1" t="s">
        <v>210</v>
      </c>
    </row>
    <row r="23" spans="1:3" x14ac:dyDescent="0.25">
      <c r="A23" t="s">
        <v>704</v>
      </c>
      <c r="B23" t="str">
        <f t="shared" si="0"/>
        <v>Sul</v>
      </c>
      <c r="C23" s="1" t="s">
        <v>210</v>
      </c>
    </row>
    <row r="24" spans="1:3" x14ac:dyDescent="0.25">
      <c r="A24" t="s">
        <v>705</v>
      </c>
      <c r="B24" t="str">
        <f t="shared" si="0"/>
        <v>Sum</v>
      </c>
      <c r="C24" s="1" t="s">
        <v>210</v>
      </c>
    </row>
    <row r="25" spans="1:3" x14ac:dyDescent="0.25">
      <c r="A25" t="s">
        <v>706</v>
      </c>
      <c r="B25" t="str">
        <f t="shared" si="0"/>
        <v>Suw</v>
      </c>
      <c r="C25" s="1" t="s">
        <v>210</v>
      </c>
    </row>
    <row r="26" spans="1:3" x14ac:dyDescent="0.25">
      <c r="A26" t="s">
        <v>194</v>
      </c>
      <c r="B26" t="str">
        <f t="shared" si="0"/>
        <v>Syn</v>
      </c>
      <c r="C26" s="1" t="s">
        <v>210</v>
      </c>
    </row>
    <row r="27" spans="1:3" x14ac:dyDescent="0.25">
      <c r="A27" t="s">
        <v>707</v>
      </c>
      <c r="B27" t="str">
        <f t="shared" si="0"/>
        <v>Vio</v>
      </c>
      <c r="C27" s="1" t="s">
        <v>210</v>
      </c>
    </row>
    <row r="28" spans="1:3" x14ac:dyDescent="0.25">
      <c r="A28" t="s">
        <v>708</v>
      </c>
      <c r="B28" t="str">
        <f t="shared" si="0"/>
        <v>Win</v>
      </c>
      <c r="C28" s="1" t="s">
        <v>210</v>
      </c>
    </row>
    <row r="29" spans="1:3" x14ac:dyDescent="0.25">
      <c r="A29" t="s">
        <v>709</v>
      </c>
      <c r="B29" t="str">
        <f t="shared" si="0"/>
        <v>Yul</v>
      </c>
      <c r="C29" s="1" t="s">
        <v>210</v>
      </c>
    </row>
    <row r="30" spans="1:3" x14ac:dyDescent="0.25">
      <c r="A30" t="s">
        <v>710</v>
      </c>
      <c r="B30" t="str">
        <f t="shared" si="0"/>
        <v>HAD</v>
      </c>
      <c r="C30" s="1" t="s">
        <v>210</v>
      </c>
    </row>
    <row r="31" spans="1:3" x14ac:dyDescent="0.25">
      <c r="A31" t="s">
        <v>711</v>
      </c>
      <c r="B31" t="str">
        <f t="shared" si="0"/>
        <v>CAR</v>
      </c>
      <c r="C31" s="1" t="s">
        <v>210</v>
      </c>
    </row>
  </sheetData>
  <phoneticPr fontId="1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3A1672-2B4A-49A5-A362-DBED218446F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SETTINGS</vt:lpstr>
      <vt:lpstr>WORKSHEET</vt:lpstr>
      <vt:lpstr>BACKUP</vt:lpstr>
      <vt:lpstr>Cache1</vt:lpstr>
      <vt:lpstr>Ref_Confirmer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dcterms:created xsi:type="dcterms:W3CDTF">2024-01-15T02:54:44Z</dcterms:created>
  <dcterms:modified xsi:type="dcterms:W3CDTF">2024-02-06T04:16:16Z</dcterms:modified>
</cp:coreProperties>
</file>