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di\Documents\!!!!!!!!!!!!!!!-LOCAL DISK-!!!!!!!!!!!!!!!\!MACRO PROJECTS\!!!!!ON PROGRESS\MACRO - Konfirmasi FEDEX\Macro\New folder (2)\"/>
    </mc:Choice>
  </mc:AlternateContent>
  <xr:revisionPtr revIDLastSave="0" documentId="13_ncr:1_{E3ABD9D8-899E-49F5-803D-36B3162A81EB}" xr6:coauthVersionLast="47" xr6:coauthVersionMax="47" xr10:uidLastSave="{00000000-0000-0000-0000-000000000000}"/>
  <bookViews>
    <workbookView xWindow="-120" yWindow="-120" windowWidth="20640" windowHeight="11160" xr2:uid="{C96677D9-A40F-45A9-B5A0-9B03A60B89D4}"/>
  </bookViews>
  <sheets>
    <sheet name="SETTINGS" sheetId="1" r:id="rId1"/>
    <sheet name="WORKSHEET" sheetId="3" r:id="rId2"/>
  </sheets>
  <definedNames>
    <definedName name="_xlnm._FilterDatabase" localSheetId="1" hidden="1">WORKSHEET!$A$1:$R$66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8" i="3" l="1"/>
  <c r="P16" i="3"/>
  <c r="P24" i="3"/>
  <c r="P32" i="3"/>
  <c r="P40" i="3"/>
  <c r="P48" i="3"/>
  <c r="P56" i="3"/>
  <c r="P64" i="3"/>
  <c r="O2" i="3"/>
  <c r="P2" i="3" s="1"/>
  <c r="O3" i="3"/>
  <c r="P3" i="3" s="1"/>
  <c r="O4" i="3"/>
  <c r="P4" i="3" s="1"/>
  <c r="O5" i="3"/>
  <c r="P5" i="3" s="1"/>
  <c r="O6" i="3"/>
  <c r="P6" i="3" s="1"/>
  <c r="O7" i="3"/>
  <c r="P7" i="3" s="1"/>
  <c r="O8" i="3"/>
  <c r="O9" i="3"/>
  <c r="P9" i="3" s="1"/>
  <c r="O10" i="3"/>
  <c r="P10" i="3" s="1"/>
  <c r="O11" i="3"/>
  <c r="P11" i="3" s="1"/>
  <c r="O12" i="3"/>
  <c r="P12" i="3" s="1"/>
  <c r="O13" i="3"/>
  <c r="P13" i="3" s="1"/>
  <c r="O14" i="3"/>
  <c r="P14" i="3" s="1"/>
  <c r="O15" i="3"/>
  <c r="P15" i="3" s="1"/>
  <c r="O16" i="3"/>
  <c r="O17" i="3"/>
  <c r="P17" i="3" s="1"/>
  <c r="O18" i="3"/>
  <c r="P18" i="3" s="1"/>
  <c r="O19" i="3"/>
  <c r="P19" i="3" s="1"/>
  <c r="O20" i="3"/>
  <c r="P20" i="3" s="1"/>
  <c r="O21" i="3"/>
  <c r="P21" i="3" s="1"/>
  <c r="O22" i="3"/>
  <c r="P22" i="3" s="1"/>
  <c r="O23" i="3"/>
  <c r="P23" i="3" s="1"/>
  <c r="O24" i="3"/>
  <c r="O25" i="3"/>
  <c r="P25" i="3" s="1"/>
  <c r="O26" i="3"/>
  <c r="P26" i="3" s="1"/>
  <c r="O27" i="3"/>
  <c r="P27" i="3" s="1"/>
  <c r="O28" i="3"/>
  <c r="P28" i="3" s="1"/>
  <c r="O29" i="3"/>
  <c r="P29" i="3" s="1"/>
  <c r="O30" i="3"/>
  <c r="P30" i="3" s="1"/>
  <c r="O31" i="3"/>
  <c r="P31" i="3" s="1"/>
  <c r="O32" i="3"/>
  <c r="O33" i="3"/>
  <c r="P33" i="3" s="1"/>
  <c r="O34" i="3"/>
  <c r="P34" i="3" s="1"/>
  <c r="O35" i="3"/>
  <c r="P35" i="3" s="1"/>
  <c r="O36" i="3"/>
  <c r="P36" i="3" s="1"/>
  <c r="O37" i="3"/>
  <c r="P37" i="3" s="1"/>
  <c r="O38" i="3"/>
  <c r="P38" i="3" s="1"/>
  <c r="O39" i="3"/>
  <c r="P39" i="3" s="1"/>
  <c r="O40" i="3"/>
  <c r="O41" i="3"/>
  <c r="P41" i="3" s="1"/>
  <c r="O42" i="3"/>
  <c r="P42" i="3" s="1"/>
  <c r="O43" i="3"/>
  <c r="P43" i="3" s="1"/>
  <c r="O44" i="3"/>
  <c r="P44" i="3" s="1"/>
  <c r="O45" i="3"/>
  <c r="P45" i="3" s="1"/>
  <c r="O46" i="3"/>
  <c r="P46" i="3" s="1"/>
  <c r="O47" i="3"/>
  <c r="P47" i="3" s="1"/>
  <c r="O48" i="3"/>
  <c r="O49" i="3"/>
  <c r="P49" i="3" s="1"/>
  <c r="O50" i="3"/>
  <c r="P50" i="3" s="1"/>
  <c r="O51" i="3"/>
  <c r="P51" i="3" s="1"/>
  <c r="O52" i="3"/>
  <c r="P52" i="3" s="1"/>
  <c r="O53" i="3"/>
  <c r="P53" i="3" s="1"/>
  <c r="O54" i="3"/>
  <c r="P54" i="3" s="1"/>
  <c r="O55" i="3"/>
  <c r="P55" i="3" s="1"/>
  <c r="O56" i="3"/>
  <c r="O57" i="3"/>
  <c r="P57" i="3" s="1"/>
  <c r="O58" i="3"/>
  <c r="P58" i="3" s="1"/>
  <c r="O59" i="3"/>
  <c r="P59" i="3" s="1"/>
  <c r="O60" i="3"/>
  <c r="P60" i="3" s="1"/>
  <c r="O61" i="3"/>
  <c r="P61" i="3" s="1"/>
  <c r="O62" i="3"/>
  <c r="P62" i="3" s="1"/>
  <c r="O63" i="3"/>
  <c r="P63" i="3" s="1"/>
  <c r="O64" i="3"/>
  <c r="O65" i="3"/>
  <c r="P65" i="3" s="1"/>
  <c r="O66" i="3"/>
  <c r="P66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8" authorId="0" shapeId="0" xr:uid="{20733AF5-6598-45D1-9700-0EDB34E1314D}">
      <text>
        <r>
          <rPr>
            <b/>
            <sz val="9"/>
            <color indexed="81"/>
            <rFont val="Tahoma"/>
            <family val="2"/>
          </rPr>
          <t xml:space="preserve">MTips:
</t>
        </r>
        <r>
          <rPr>
            <sz val="9"/>
            <color indexed="81"/>
            <rFont val="Tahoma"/>
            <family val="2"/>
          </rPr>
          <t>Hati2, datanya tertimpah</t>
        </r>
      </text>
    </comment>
    <comment ref="B9" authorId="0" shapeId="0" xr:uid="{C301E478-ED12-4C1D-BDF6-44AD73EE1CEA}">
      <text>
        <r>
          <rPr>
            <b/>
            <sz val="9"/>
            <color indexed="81"/>
            <rFont val="Tahoma"/>
            <family val="2"/>
          </rPr>
          <t xml:space="preserve">Mtips
</t>
        </r>
        <r>
          <rPr>
            <sz val="9"/>
            <color indexed="81"/>
            <rFont val="Tahoma"/>
            <family val="2"/>
          </rPr>
          <t xml:space="preserve">Diinput Oleh Macro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7888453-C1F4-4E36-9861-D9CF663A6EDF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63938206-ED4E-40B5-A290-ACFD709CEED4}" keepAlive="1" name="Query - Table001 (Page 1)" description="Connection to the 'Table001 (Page 1)' query in the workbook." type="5" refreshedVersion="0" background="1">
    <dbPr connection="Provider=Microsoft.Mashup.OleDb.1;Data Source=$Workbook$;Location=&quot;Table001 (Page 1)&quot;;Extended Properties=&quot;&quot;" command="SELECT * FROM [Table001 (Page 1)]"/>
  </connection>
  <connection id="3" xr16:uid="{BC43DD00-059A-46B3-A492-D50A911FB745}" keepAlive="1" name="Query - Table006 (Page 2)" description="Connection to the 'Table006 (Page 2)' query in the workbook." type="5" refreshedVersion="0" background="1">
    <dbPr connection="Provider=Microsoft.Mashup.OleDb.1;Data Source=$Workbook$;Location=&quot;Table006 (Page 2)&quot;;Extended Properties=&quot;&quot;" command="SELECT * FROM [Table006 (Page 2)]"/>
  </connection>
  <connection id="4" xr16:uid="{AAC08557-8CCB-4794-8666-D35140AC4484}" keepAlive="1" name="Query - Table008 (Page 3)" description="Connection to the 'Table008 (Page 3)' query in the workbook." type="5" refreshedVersion="0" background="1">
    <dbPr connection="Provider=Microsoft.Mashup.OleDb.1;Data Source=$Workbook$;Location=&quot;Table008 (Page 3)&quot;;Extended Properties=&quot;&quot;" command="SELECT * FROM [Table008 (Page 3)]"/>
  </connection>
</connections>
</file>

<file path=xl/sharedStrings.xml><?xml version="1.0" encoding="utf-8"?>
<sst xmlns="http://schemas.openxmlformats.org/spreadsheetml/2006/main" count="410" uniqueCount="167">
  <si>
    <t>INV Number</t>
  </si>
  <si>
    <t>Invoice Date</t>
  </si>
  <si>
    <t>AWB</t>
  </si>
  <si>
    <t>Shipment Date</t>
  </si>
  <si>
    <t>Name Origin</t>
  </si>
  <si>
    <t>Fty Origin</t>
  </si>
  <si>
    <t>Name Destination</t>
  </si>
  <si>
    <t>Fty Destination</t>
  </si>
  <si>
    <t>Account (BDOR 720400, BDOIR 631100)</t>
  </si>
  <si>
    <t>Standard Charge</t>
  </si>
  <si>
    <t>Oversize piece</t>
  </si>
  <si>
    <t>Emergency Situation</t>
  </si>
  <si>
    <t>Fuel Surcharge</t>
  </si>
  <si>
    <t>Insurance</t>
  </si>
  <si>
    <t>Total</t>
  </si>
  <si>
    <t>Incl VAT</t>
  </si>
  <si>
    <t>Checking Status</t>
  </si>
  <si>
    <t>ENTITY</t>
  </si>
  <si>
    <t>VALUE</t>
  </si>
  <si>
    <t>C:\Users\hadi\Documents\!!!!!!!!!!!!!!!-LOCAL DISK-!!!!!!!!!!!!!!!\!MACRO PROJECTS\!!!!!ON PROGRESS\MACRO - Konfirmasi FEDEX\.bahan\HasilExtract 2.xlsx</t>
  </si>
  <si>
    <t>870128687</t>
  </si>
  <si>
    <t>YAN LU</t>
  </si>
  <si>
    <t>SUMI/ MERCY / DIANA</t>
  </si>
  <si>
    <t>774438473160</t>
  </si>
  <si>
    <t>PT GISTEX GARMEN INDONESIA</t>
  </si>
  <si>
    <t>ZHONG</t>
  </si>
  <si>
    <t>NUNING</t>
  </si>
  <si>
    <t>774565991045</t>
  </si>
  <si>
    <t>LOXY SHANGHAI CO,,LTD</t>
  </si>
  <si>
    <t>PT. GISTEX GARMENT INDONESIA</t>
  </si>
  <si>
    <t>STELLA</t>
  </si>
  <si>
    <t>EKA</t>
  </si>
  <si>
    <t>774581911125</t>
  </si>
  <si>
    <t>NINGBO TWO BIRDS INDUSTRY CO.,</t>
  </si>
  <si>
    <t>PT.GISTEX GARMEN LNDONESIA</t>
  </si>
  <si>
    <t>870128688</t>
  </si>
  <si>
    <t>774552254122</t>
  </si>
  <si>
    <t>EKA / BAYU</t>
  </si>
  <si>
    <t>OGURA KENJI / HASHIMOTO KIMIE</t>
  </si>
  <si>
    <t>PT. GISTEX GARMEN INDONESIA</t>
  </si>
  <si>
    <t>MARUBENI FASHION LINK, LTD</t>
  </si>
  <si>
    <t>774580602869</t>
  </si>
  <si>
    <t>GISTEX GARMEN INDONESIA</t>
  </si>
  <si>
    <t>774582743257</t>
  </si>
  <si>
    <t>MS. MERCY</t>
  </si>
  <si>
    <t>MR SHEN YANG / MS ROSE</t>
  </si>
  <si>
    <t>JIANGSU TEXTILE INDUSTRY</t>
  </si>
  <si>
    <t>774582826496</t>
  </si>
  <si>
    <t>SARAH</t>
  </si>
  <si>
    <t>NINGBO SOCO TEXTILE STOCK CORP</t>
  </si>
  <si>
    <t>870138342</t>
  </si>
  <si>
    <t>774632987514</t>
  </si>
  <si>
    <t>870138343</t>
  </si>
  <si>
    <t>FION LEUNG</t>
  </si>
  <si>
    <t>774514292670</t>
  </si>
  <si>
    <t>J-LONG LTD</t>
  </si>
  <si>
    <t>870048771</t>
  </si>
  <si>
    <t>SHENYANG</t>
  </si>
  <si>
    <t>774194576473</t>
  </si>
  <si>
    <t>JIANGSU</t>
  </si>
  <si>
    <t>774216971908</t>
  </si>
  <si>
    <t>869971222</t>
  </si>
  <si>
    <t>773869351020</t>
  </si>
  <si>
    <t>CISSY</t>
  </si>
  <si>
    <t>SRI BUDIARTI</t>
  </si>
  <si>
    <t>773870191217</t>
  </si>
  <si>
    <t>JIANGSU GOLDEN AUTUMN ELASTIC</t>
  </si>
  <si>
    <t>MERCY/SUMI</t>
  </si>
  <si>
    <t>773884693621</t>
  </si>
  <si>
    <t>785740476670</t>
  </si>
  <si>
    <t>870148463</t>
  </si>
  <si>
    <t>774492822021</t>
  </si>
  <si>
    <t>HANFRIEND COLTD</t>
  </si>
  <si>
    <t>ULI</t>
  </si>
  <si>
    <t>PT. GISTEX GARMEN INDONESIA II</t>
  </si>
  <si>
    <t>774496252273</t>
  </si>
  <si>
    <t>MAXIMILIAN OBERHOFF</t>
  </si>
  <si>
    <t>ATTN: NUNING / SRI</t>
  </si>
  <si>
    <t>P.T. GISTEX GARMEN INDONESIA</t>
  </si>
  <si>
    <t>BAYU</t>
  </si>
  <si>
    <t>774608947549</t>
  </si>
  <si>
    <t>538683301873</t>
  </si>
  <si>
    <t>TONY WONG</t>
  </si>
  <si>
    <t>AVERY DENNISON (HONG KONG) LTD</t>
  </si>
  <si>
    <t>774634331161</t>
  </si>
  <si>
    <t>870148464</t>
  </si>
  <si>
    <t>774609920571</t>
  </si>
  <si>
    <t>774598274869</t>
  </si>
  <si>
    <t>774634936230</t>
  </si>
  <si>
    <t>MS.SHIRLY FANG</t>
  </si>
  <si>
    <t>774634958738</t>
  </si>
  <si>
    <t>870069727</t>
  </si>
  <si>
    <t>774251360505</t>
  </si>
  <si>
    <t>AGUSTINA FUNG FUNG/MERY/VIOLA</t>
  </si>
  <si>
    <t>PAUL OLSON</t>
  </si>
  <si>
    <t>RED WING SHOE COMPANY</t>
  </si>
  <si>
    <t>774271975344</t>
  </si>
  <si>
    <t>WINTA</t>
  </si>
  <si>
    <t>WINNIE CHOW</t>
  </si>
  <si>
    <t>HEXAPOLE COMPANY LIMITED</t>
  </si>
  <si>
    <t>774274161080</t>
  </si>
  <si>
    <t>ASANO/ YAMAZAKI</t>
  </si>
  <si>
    <t>MIYAMORI CO., LTD</t>
  </si>
  <si>
    <t>774271459653</t>
  </si>
  <si>
    <t>774291589065</t>
  </si>
  <si>
    <t>774306660341</t>
  </si>
  <si>
    <t>774306099460</t>
  </si>
  <si>
    <t>DIANA / LINDA</t>
  </si>
  <si>
    <t>MS. MIYAMURA</t>
  </si>
  <si>
    <t>SUNRICH MODE INC.</t>
  </si>
  <si>
    <t>774273481327</t>
  </si>
  <si>
    <t>DEREK SHANG</t>
  </si>
  <si>
    <t>SHAOXING RAYSAR TEXTILE CO.,LT</t>
  </si>
  <si>
    <t>774346736332</t>
  </si>
  <si>
    <t>774345930609</t>
  </si>
  <si>
    <t>870069728</t>
  </si>
  <si>
    <t>774327903444</t>
  </si>
  <si>
    <t>870072442</t>
  </si>
  <si>
    <t>774398472980</t>
  </si>
  <si>
    <t>870159593</t>
  </si>
  <si>
    <t>774713825922</t>
  </si>
  <si>
    <t>PT.GISTEX GARMEN INDONESIA</t>
  </si>
  <si>
    <t>870085656</t>
  </si>
  <si>
    <t>774381618321</t>
  </si>
  <si>
    <t>870163300</t>
  </si>
  <si>
    <t>774695421533</t>
  </si>
  <si>
    <t>774649725891</t>
  </si>
  <si>
    <t>870163301</t>
  </si>
  <si>
    <t>KIRSTIN SHENG</t>
  </si>
  <si>
    <t>AGUSTINA FUNG FUNG / YULI HART</t>
  </si>
  <si>
    <t>774679939072</t>
  </si>
  <si>
    <t>CHANGSHU BAOFENG SPECIAL FIBER</t>
  </si>
  <si>
    <t>870091402</t>
  </si>
  <si>
    <t>773550803405</t>
  </si>
  <si>
    <t>GISTEX GARMEN INDONESIA PT</t>
  </si>
  <si>
    <t>774365555030</t>
  </si>
  <si>
    <t>SRI/NUNING</t>
  </si>
  <si>
    <t>870091403</t>
  </si>
  <si>
    <t>774366065088</t>
  </si>
  <si>
    <t>774366629259</t>
  </si>
  <si>
    <t>774398794300</t>
  </si>
  <si>
    <t>774365282079</t>
  </si>
  <si>
    <t>TODD GANSLUCKNER</t>
  </si>
  <si>
    <t>774397920487</t>
  </si>
  <si>
    <t>774399685776</t>
  </si>
  <si>
    <t>774421829468</t>
  </si>
  <si>
    <t>870093989</t>
  </si>
  <si>
    <t>870111817</t>
  </si>
  <si>
    <t>774475073999</t>
  </si>
  <si>
    <t>870111818</t>
  </si>
  <si>
    <t>774458508594</t>
  </si>
  <si>
    <t>774456317101</t>
  </si>
  <si>
    <t>787993428533</t>
  </si>
  <si>
    <t>774457287395</t>
  </si>
  <si>
    <t>774494944135</t>
  </si>
  <si>
    <t>774532877779</t>
  </si>
  <si>
    <t>774535001793</t>
  </si>
  <si>
    <t>774535060851</t>
  </si>
  <si>
    <t>STELLA GAO/LENA /CHERRY</t>
  </si>
  <si>
    <t>MERCY /SUMI/GITA</t>
  </si>
  <si>
    <t>SHAOXING YMYSI IMPORTEXPORT</t>
  </si>
  <si>
    <t/>
  </si>
  <si>
    <t>FULL PATH (File Hasil Ekstrak)</t>
  </si>
  <si>
    <t>FULL PATH (Hasil Pengolahan Macro)</t>
  </si>
  <si>
    <t>LOKASI FOLDER  (Hasil Pengolahan Macro)</t>
  </si>
  <si>
    <t>C:\Users\hadi\Documents\!!!!!!!!!!!!!!!-LOCAL DISK-!!!!!!!!!!!!!!!\!MACRO PROJECTS\!!!!!ON PROGRESS\MACRO - Konfirmasi FEDEX\.bahan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</si>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</sst>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5" formatCode="mm\-dd\-yyyy"/>
    <numFmt numFmtId="166" formatCode="mm/dd/yyyy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rgb="FFC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3" tint="-0.499984740745262"/>
      <name val="Calibri"/>
      <family val="2"/>
      <scheme val="minor"/>
    </font>
    <font>
      <sz val="11"/>
      <color theme="3" tint="-0.49998474074526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quotePrefix="1"/>
    <xf numFmtId="0" fontId="2" fillId="2" borderId="1" xfId="0" applyFont="1" applyFill="1" applyBorder="1"/>
    <xf numFmtId="0" fontId="3" fillId="3" borderId="0" xfId="0" applyFont="1" applyFill="1"/>
    <xf numFmtId="0" fontId="3" fillId="0" borderId="0" xfId="0" applyFont="1"/>
    <xf numFmtId="49" fontId="0" fillId="0" borderId="0" xfId="0" applyNumberFormat="1"/>
    <xf numFmtId="49" fontId="3" fillId="3" borderId="0" xfId="0" applyNumberFormat="1" applyFont="1" applyFill="1"/>
    <xf numFmtId="0" fontId="0" fillId="4" borderId="0" xfId="0" quotePrefix="1" applyFill="1"/>
    <xf numFmtId="43" fontId="0" fillId="0" borderId="0" xfId="0" applyNumberFormat="1"/>
    <xf numFmtId="165" fontId="3" fillId="3" borderId="0" xfId="0" applyNumberFormat="1" applyFont="1" applyFill="1"/>
    <xf numFmtId="165" fontId="0" fillId="0" borderId="0" xfId="0" applyNumberFormat="1"/>
    <xf numFmtId="0" fontId="3" fillId="4" borderId="0" xfId="0" applyFont="1" applyFill="1"/>
    <xf numFmtId="43" fontId="0" fillId="0" borderId="0" xfId="1" applyNumberFormat="1" applyFont="1"/>
    <xf numFmtId="166" fontId="3" fillId="0" borderId="0" xfId="0" applyNumberFormat="1" applyFont="1"/>
    <xf numFmtId="166" fontId="0" fillId="0" borderId="0" xfId="0" applyNumberFormat="1"/>
    <xf numFmtId="15" fontId="0" fillId="0" borderId="0" xfId="0" applyNumberFormat="1"/>
    <xf numFmtId="0" fontId="0" fillId="0" borderId="0" xfId="0" applyFont="1"/>
    <xf numFmtId="0" fontId="5" fillId="0" borderId="0" xfId="2" applyFont="1"/>
    <xf numFmtId="0" fontId="2" fillId="2" borderId="2" xfId="0" applyFont="1" applyFill="1" applyBorder="1" applyAlignment="1">
      <alignment horizontal="left"/>
    </xf>
    <xf numFmtId="0" fontId="8" fillId="2" borderId="0" xfId="0" applyFont="1" applyFill="1" applyBorder="1" applyAlignment="1">
      <alignment horizontal="left"/>
    </xf>
    <xf numFmtId="0" fontId="9" fillId="2" borderId="0" xfId="0" applyFont="1" applyFill="1" applyBorder="1"/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hyperlink" Target="file:///\\10.8.0.35\Bersama\IT\RPA%20Extract%20DHL\Macro\Hasil%20Pengolahan%20Macro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746AA-495F-4EF4-9EB9-77B3A674C2E3}">
  <sheetPr codeName="Sheet1">
    <tabColor theme="3" tint="-0.499984740745262"/>
  </sheetPr>
  <dimension ref="A2:C9"/>
  <sheetViews>
    <sheetView tabSelected="1" workbookViewId="0">
      <selection activeCell="B12" sqref="B12"/>
    </sheetView>
  </sheetViews>
  <sheetFormatPr defaultRowHeight="15" x14ac:dyDescent="0.25"/>
  <cols>
    <col min="1" max="1" width="48.140625" customWidth="1"/>
    <col min="2" max="2" width="80" customWidth="1"/>
    <col min="3" max="3" width="1.7109375" bestFit="1" customWidth="1"/>
  </cols>
  <sheetData>
    <row r="2" spans="1:3" hidden="1" x14ac:dyDescent="0.25"/>
    <row r="3" spans="1:3" hidden="1" x14ac:dyDescent="0.25"/>
    <row r="5" spans="1:3" x14ac:dyDescent="0.25">
      <c r="A5" s="2" t="s">
        <v>17</v>
      </c>
      <c r="B5" s="18" t="s">
        <v>18</v>
      </c>
      <c r="C5" s="19"/>
    </row>
    <row r="6" spans="1:3" x14ac:dyDescent="0.25">
      <c r="A6" s="4" t="s">
        <v>162</v>
      </c>
      <c r="B6" t="s">
        <v>19</v>
      </c>
      <c r="C6" s="20" t="s">
        <v>166</v>
      </c>
    </row>
    <row r="7" spans="1:3" ht="3" customHeight="1" x14ac:dyDescent="0.25">
      <c r="A7" s="11"/>
      <c r="B7" s="7"/>
      <c r="C7" s="20" t="s">
        <v>166</v>
      </c>
    </row>
    <row r="8" spans="1:3" x14ac:dyDescent="0.25">
      <c r="A8" s="4" t="s">
        <v>164</v>
      </c>
      <c r="B8" s="17" t="s">
        <v>165</v>
      </c>
      <c r="C8" s="20" t="s">
        <v>166</v>
      </c>
    </row>
    <row r="9" spans="1:3" x14ac:dyDescent="0.25">
      <c r="A9" s="4" t="s">
        <v>163</v>
      </c>
      <c r="B9" s="16"/>
      <c r="C9" s="20" t="s">
        <v>166</v>
      </c>
    </row>
  </sheetData>
  <hyperlinks>
    <hyperlink ref="B8" r:id="rId1" display="\\10.8.0.35\Bersama\IT\RPA Extract DHL\Macro\Hasil Pengolahan Macro" xr:uid="{D43599E3-DD57-4296-9CCD-E6E016C58017}"/>
  </hyperlinks>
  <pageMargins left="0.7" right="0.7" top="0.75" bottom="0.75" header="0.3" footer="0.3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68BF1-5CEA-4325-ADF5-EF9D631D3200}">
  <sheetPr codeName="Sheet2">
    <tabColor theme="3" tint="-0.499984740745262"/>
  </sheetPr>
  <dimension ref="A1:V66"/>
  <sheetViews>
    <sheetView zoomScale="80" zoomScaleNormal="8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E12" sqref="E12"/>
    </sheetView>
  </sheetViews>
  <sheetFormatPr defaultRowHeight="15" x14ac:dyDescent="0.25"/>
  <cols>
    <col min="1" max="1" width="12.140625" bestFit="1" customWidth="1"/>
    <col min="2" max="2" width="12.28515625" style="10" bestFit="1" customWidth="1"/>
    <col min="3" max="3" width="14.28515625" style="5" customWidth="1"/>
    <col min="4" max="4" width="14.5703125" style="10" bestFit="1" customWidth="1"/>
    <col min="5" max="6" width="36" customWidth="1"/>
    <col min="7" max="8" width="35.140625" customWidth="1"/>
    <col min="9" max="9" width="37.42578125" bestFit="1" customWidth="1"/>
    <col min="10" max="10" width="15.85546875" bestFit="1" customWidth="1"/>
    <col min="11" max="11" width="14.28515625" bestFit="1" customWidth="1"/>
    <col min="12" max="12" width="19.85546875" bestFit="1" customWidth="1"/>
    <col min="13" max="13" width="14.42578125" bestFit="1" customWidth="1"/>
    <col min="14" max="14" width="10.28515625" customWidth="1"/>
    <col min="15" max="15" width="15.140625" customWidth="1"/>
    <col min="16" max="16" width="16" customWidth="1"/>
    <col min="17" max="17" width="16.7109375" customWidth="1"/>
    <col min="18" max="18" width="16.42578125" style="14" bestFit="1" customWidth="1"/>
    <col min="22" max="22" width="39.7109375" customWidth="1"/>
  </cols>
  <sheetData>
    <row r="1" spans="1:22" s="4" customFormat="1" x14ac:dyDescent="0.25">
      <c r="A1" s="3" t="s">
        <v>0</v>
      </c>
      <c r="B1" s="9" t="s">
        <v>1</v>
      </c>
      <c r="C1" s="6" t="s">
        <v>2</v>
      </c>
      <c r="D1" s="9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13"/>
    </row>
    <row r="2" spans="1:22" x14ac:dyDescent="0.25">
      <c r="A2" t="s">
        <v>20</v>
      </c>
      <c r="B2" s="10">
        <v>45294</v>
      </c>
      <c r="C2" s="5" t="s">
        <v>23</v>
      </c>
      <c r="D2" s="10">
        <v>45273</v>
      </c>
      <c r="E2" t="s">
        <v>21</v>
      </c>
      <c r="G2" t="s">
        <v>22</v>
      </c>
      <c r="H2" t="s">
        <v>24</v>
      </c>
      <c r="I2" s="1"/>
      <c r="J2" s="12">
        <v>7452339</v>
      </c>
      <c r="K2" s="12"/>
      <c r="L2" s="12"/>
      <c r="M2" s="12"/>
      <c r="N2" s="12"/>
      <c r="O2" s="8">
        <f t="shared" ref="O2:O33" si="0">SUM(J2:N2)</f>
        <v>7452339</v>
      </c>
      <c r="P2" s="8">
        <f t="shared" ref="P2:P33" si="1">ROUND(O2*1.01,0)</f>
        <v>7526862</v>
      </c>
      <c r="Q2">
        <v>0</v>
      </c>
      <c r="V2" s="15"/>
    </row>
    <row r="3" spans="1:22" x14ac:dyDescent="0.25">
      <c r="A3" t="s">
        <v>20</v>
      </c>
      <c r="B3" s="10">
        <v>45294</v>
      </c>
      <c r="C3" s="5" t="s">
        <v>27</v>
      </c>
      <c r="D3" s="10">
        <v>45283</v>
      </c>
      <c r="E3" t="s">
        <v>25</v>
      </c>
      <c r="F3" t="s">
        <v>28</v>
      </c>
      <c r="G3" t="s">
        <v>26</v>
      </c>
      <c r="H3" t="s">
        <v>29</v>
      </c>
      <c r="I3" s="1"/>
      <c r="J3" s="12">
        <v>13268509</v>
      </c>
      <c r="K3" s="8"/>
      <c r="L3" s="12"/>
      <c r="M3" s="12"/>
      <c r="N3" s="8"/>
      <c r="O3" s="8">
        <f t="shared" si="0"/>
        <v>13268509</v>
      </c>
      <c r="P3" s="8">
        <f t="shared" si="1"/>
        <v>13401194</v>
      </c>
      <c r="Q3">
        <v>0</v>
      </c>
    </row>
    <row r="4" spans="1:22" x14ac:dyDescent="0.25">
      <c r="A4" t="s">
        <v>20</v>
      </c>
      <c r="B4" s="10">
        <v>45294</v>
      </c>
      <c r="C4" s="5" t="s">
        <v>32</v>
      </c>
      <c r="D4" s="10">
        <v>45283</v>
      </c>
      <c r="E4" t="s">
        <v>30</v>
      </c>
      <c r="F4" t="s">
        <v>33</v>
      </c>
      <c r="G4" t="s">
        <v>31</v>
      </c>
      <c r="H4" t="s">
        <v>34</v>
      </c>
      <c r="I4" s="1"/>
      <c r="J4" s="12">
        <v>700000</v>
      </c>
      <c r="K4" s="8"/>
      <c r="L4" s="12"/>
      <c r="M4" s="12"/>
      <c r="N4" s="8"/>
      <c r="O4" s="8">
        <f t="shared" si="0"/>
        <v>700000</v>
      </c>
      <c r="P4" s="8">
        <f t="shared" si="1"/>
        <v>707000</v>
      </c>
      <c r="Q4">
        <v>0</v>
      </c>
    </row>
    <row r="5" spans="1:22" x14ac:dyDescent="0.25">
      <c r="A5" t="s">
        <v>35</v>
      </c>
      <c r="B5" s="10">
        <v>45294</v>
      </c>
      <c r="C5" s="5" t="s">
        <v>36</v>
      </c>
      <c r="D5" s="10">
        <v>45280</v>
      </c>
      <c r="E5" t="s">
        <v>37</v>
      </c>
      <c r="F5" t="s">
        <v>39</v>
      </c>
      <c r="G5" t="s">
        <v>38</v>
      </c>
      <c r="H5" t="s">
        <v>40</v>
      </c>
      <c r="I5" s="1"/>
      <c r="J5" s="12">
        <v>259930</v>
      </c>
      <c r="K5" s="8"/>
      <c r="L5" s="12"/>
      <c r="M5" s="12"/>
      <c r="N5" s="8"/>
      <c r="O5" s="8">
        <f t="shared" si="0"/>
        <v>259930</v>
      </c>
      <c r="P5" s="8">
        <f t="shared" si="1"/>
        <v>262529</v>
      </c>
      <c r="Q5">
        <v>0</v>
      </c>
    </row>
    <row r="6" spans="1:22" x14ac:dyDescent="0.25">
      <c r="A6" t="s">
        <v>35</v>
      </c>
      <c r="B6" s="10">
        <v>45294</v>
      </c>
      <c r="C6" s="5" t="s">
        <v>41</v>
      </c>
      <c r="D6" s="10">
        <v>45282</v>
      </c>
      <c r="E6" t="s">
        <v>37</v>
      </c>
      <c r="F6" t="s">
        <v>42</v>
      </c>
      <c r="G6" t="s">
        <v>38</v>
      </c>
      <c r="H6" t="s">
        <v>40</v>
      </c>
      <c r="I6" s="1"/>
      <c r="J6" s="12">
        <v>259977</v>
      </c>
      <c r="K6" s="8"/>
      <c r="L6" s="12"/>
      <c r="M6" s="12"/>
      <c r="N6" s="8"/>
      <c r="O6" s="8">
        <f t="shared" si="0"/>
        <v>259977</v>
      </c>
      <c r="P6" s="8">
        <f t="shared" si="1"/>
        <v>262577</v>
      </c>
      <c r="Q6">
        <v>0</v>
      </c>
    </row>
    <row r="7" spans="1:22" x14ac:dyDescent="0.25">
      <c r="A7" t="s">
        <v>35</v>
      </c>
      <c r="B7" s="10">
        <v>45294</v>
      </c>
      <c r="C7" s="5" t="s">
        <v>43</v>
      </c>
      <c r="D7" s="10">
        <v>45282</v>
      </c>
      <c r="E7" t="s">
        <v>44</v>
      </c>
      <c r="F7" t="s">
        <v>42</v>
      </c>
      <c r="G7" t="s">
        <v>45</v>
      </c>
      <c r="H7" t="s">
        <v>46</v>
      </c>
      <c r="I7" s="1"/>
      <c r="J7" s="12">
        <v>227500</v>
      </c>
      <c r="K7" s="8"/>
      <c r="L7" s="12"/>
      <c r="M7" s="12"/>
      <c r="N7" s="8"/>
      <c r="O7" s="8">
        <f t="shared" si="0"/>
        <v>227500</v>
      </c>
      <c r="P7" s="8">
        <f t="shared" si="1"/>
        <v>229775</v>
      </c>
      <c r="Q7">
        <v>0</v>
      </c>
    </row>
    <row r="8" spans="1:22" x14ac:dyDescent="0.25">
      <c r="A8" t="s">
        <v>35</v>
      </c>
      <c r="B8" s="10">
        <v>45294</v>
      </c>
      <c r="C8" s="5" t="s">
        <v>47</v>
      </c>
      <c r="D8" s="10">
        <v>45282</v>
      </c>
      <c r="E8" t="s">
        <v>44</v>
      </c>
      <c r="F8" t="s">
        <v>42</v>
      </c>
      <c r="G8" t="s">
        <v>48</v>
      </c>
      <c r="H8" t="s">
        <v>49</v>
      </c>
      <c r="J8" s="12">
        <v>227500</v>
      </c>
      <c r="K8" s="8"/>
      <c r="L8" s="12"/>
      <c r="M8" s="12"/>
      <c r="N8" s="8"/>
      <c r="O8" s="8">
        <f t="shared" si="0"/>
        <v>227500</v>
      </c>
      <c r="P8" s="8">
        <f t="shared" si="1"/>
        <v>229775</v>
      </c>
      <c r="Q8">
        <v>0</v>
      </c>
    </row>
    <row r="9" spans="1:22" x14ac:dyDescent="0.25">
      <c r="A9" t="s">
        <v>50</v>
      </c>
      <c r="B9" s="10">
        <v>45296</v>
      </c>
      <c r="C9" s="5" t="s">
        <v>51</v>
      </c>
      <c r="D9" s="10">
        <v>45289</v>
      </c>
      <c r="E9" t="s">
        <v>37</v>
      </c>
      <c r="F9" t="s">
        <v>42</v>
      </c>
      <c r="G9" t="s">
        <v>38</v>
      </c>
      <c r="H9" t="s">
        <v>40</v>
      </c>
      <c r="J9" s="12">
        <v>2713792</v>
      </c>
      <c r="K9" s="8"/>
      <c r="L9" s="12"/>
      <c r="M9" s="12"/>
      <c r="N9" s="8"/>
      <c r="O9" s="8">
        <f t="shared" si="0"/>
        <v>2713792</v>
      </c>
      <c r="P9" s="8">
        <f t="shared" si="1"/>
        <v>2740930</v>
      </c>
      <c r="Q9">
        <v>0</v>
      </c>
    </row>
    <row r="10" spans="1:22" x14ac:dyDescent="0.25">
      <c r="A10" t="s">
        <v>52</v>
      </c>
      <c r="B10" s="10">
        <v>45296</v>
      </c>
      <c r="C10" s="5" t="s">
        <v>54</v>
      </c>
      <c r="D10" s="10">
        <v>45278</v>
      </c>
      <c r="E10" t="s">
        <v>53</v>
      </c>
      <c r="F10" t="s">
        <v>55</v>
      </c>
      <c r="G10" t="s">
        <v>26</v>
      </c>
      <c r="H10" t="s">
        <v>39</v>
      </c>
      <c r="J10" s="12">
        <v>41496000</v>
      </c>
      <c r="K10" s="8"/>
      <c r="L10" s="12"/>
      <c r="M10" s="12"/>
      <c r="N10" s="8"/>
      <c r="O10" s="8">
        <f t="shared" si="0"/>
        <v>41496000</v>
      </c>
      <c r="P10" s="8">
        <f t="shared" si="1"/>
        <v>41910960</v>
      </c>
      <c r="Q10">
        <v>0</v>
      </c>
    </row>
    <row r="11" spans="1:22" x14ac:dyDescent="0.25">
      <c r="A11" t="s">
        <v>56</v>
      </c>
      <c r="B11" s="10">
        <v>45266</v>
      </c>
      <c r="C11" s="5" t="s">
        <v>58</v>
      </c>
      <c r="D11" s="10">
        <v>45253</v>
      </c>
      <c r="E11" t="s">
        <v>57</v>
      </c>
      <c r="F11" t="s">
        <v>59</v>
      </c>
      <c r="G11" t="s">
        <v>159</v>
      </c>
      <c r="H11" t="s">
        <v>24</v>
      </c>
      <c r="J11" s="12">
        <v>255466</v>
      </c>
      <c r="K11" s="8"/>
      <c r="L11" s="12"/>
      <c r="M11" s="12"/>
      <c r="N11" s="8"/>
      <c r="O11" s="8">
        <f t="shared" si="0"/>
        <v>255466</v>
      </c>
      <c r="P11" s="8">
        <f t="shared" si="1"/>
        <v>258021</v>
      </c>
      <c r="Q11">
        <v>0</v>
      </c>
    </row>
    <row r="12" spans="1:22" x14ac:dyDescent="0.25">
      <c r="A12" t="s">
        <v>56</v>
      </c>
      <c r="B12" s="10">
        <v>45266</v>
      </c>
      <c r="C12" s="5" t="s">
        <v>60</v>
      </c>
      <c r="D12" s="10">
        <v>45255</v>
      </c>
      <c r="E12" t="s">
        <v>57</v>
      </c>
      <c r="F12" t="s">
        <v>59</v>
      </c>
      <c r="G12" t="s">
        <v>159</v>
      </c>
      <c r="H12" t="s">
        <v>24</v>
      </c>
      <c r="J12" s="12">
        <v>642689</v>
      </c>
      <c r="K12" s="8"/>
      <c r="L12" s="12"/>
      <c r="M12" s="12"/>
      <c r="N12" s="8"/>
      <c r="O12" s="8">
        <f t="shared" si="0"/>
        <v>642689</v>
      </c>
      <c r="P12" s="8">
        <f t="shared" si="1"/>
        <v>649116</v>
      </c>
      <c r="Q12">
        <v>0</v>
      </c>
    </row>
    <row r="13" spans="1:22" x14ac:dyDescent="0.25">
      <c r="A13" t="s">
        <v>61</v>
      </c>
      <c r="B13" s="10">
        <v>45238</v>
      </c>
      <c r="C13" s="5" t="s">
        <v>62</v>
      </c>
      <c r="D13" s="10">
        <v>45226</v>
      </c>
      <c r="E13" t="s">
        <v>57</v>
      </c>
      <c r="F13" t="s">
        <v>59</v>
      </c>
      <c r="G13" t="s">
        <v>159</v>
      </c>
      <c r="H13" t="s">
        <v>24</v>
      </c>
      <c r="J13" s="12">
        <v>350220</v>
      </c>
      <c r="K13" s="8"/>
      <c r="L13" s="12"/>
      <c r="M13" s="12"/>
      <c r="N13" s="8"/>
      <c r="O13" s="8">
        <f t="shared" si="0"/>
        <v>350220</v>
      </c>
      <c r="P13" s="8">
        <f t="shared" si="1"/>
        <v>353722</v>
      </c>
      <c r="Q13">
        <v>0</v>
      </c>
    </row>
    <row r="14" spans="1:22" x14ac:dyDescent="0.25">
      <c r="A14" t="s">
        <v>61</v>
      </c>
      <c r="B14" s="10">
        <v>45238</v>
      </c>
      <c r="C14" s="5" t="s">
        <v>65</v>
      </c>
      <c r="D14" s="10">
        <v>45226</v>
      </c>
      <c r="E14" t="s">
        <v>63</v>
      </c>
      <c r="F14" t="s">
        <v>66</v>
      </c>
      <c r="G14" t="s">
        <v>64</v>
      </c>
      <c r="H14" t="s">
        <v>39</v>
      </c>
      <c r="I14" s="5"/>
      <c r="J14" s="12">
        <v>254488</v>
      </c>
      <c r="K14" s="8"/>
      <c r="L14" s="12"/>
      <c r="M14" s="12"/>
      <c r="N14" s="8"/>
      <c r="O14" s="8">
        <f t="shared" si="0"/>
        <v>254488</v>
      </c>
      <c r="P14" s="8">
        <f t="shared" si="1"/>
        <v>257033</v>
      </c>
      <c r="Q14">
        <v>0</v>
      </c>
    </row>
    <row r="15" spans="1:22" x14ac:dyDescent="0.25">
      <c r="A15" t="s">
        <v>61</v>
      </c>
      <c r="B15" s="10">
        <v>45238</v>
      </c>
      <c r="C15" s="5" t="s">
        <v>68</v>
      </c>
      <c r="D15" s="10">
        <v>45227</v>
      </c>
      <c r="E15" t="s">
        <v>57</v>
      </c>
      <c r="F15" t="s">
        <v>59</v>
      </c>
      <c r="G15" t="s">
        <v>67</v>
      </c>
      <c r="H15" t="s">
        <v>24</v>
      </c>
      <c r="J15" s="12">
        <v>350220</v>
      </c>
      <c r="K15" s="8"/>
      <c r="L15" s="12"/>
      <c r="M15" s="12"/>
      <c r="N15" s="8"/>
      <c r="O15" s="8">
        <f t="shared" si="0"/>
        <v>350220</v>
      </c>
      <c r="P15" s="8">
        <f t="shared" si="1"/>
        <v>353722</v>
      </c>
      <c r="Q15">
        <v>0</v>
      </c>
    </row>
    <row r="16" spans="1:22" x14ac:dyDescent="0.25">
      <c r="A16" t="s">
        <v>61</v>
      </c>
      <c r="B16" s="10">
        <v>45238</v>
      </c>
      <c r="C16" s="5" t="s">
        <v>69</v>
      </c>
      <c r="D16" s="10">
        <v>45231</v>
      </c>
      <c r="E16" t="s">
        <v>57</v>
      </c>
      <c r="F16" t="s">
        <v>59</v>
      </c>
      <c r="G16" t="s">
        <v>159</v>
      </c>
      <c r="H16" t="s">
        <v>24</v>
      </c>
      <c r="J16" s="12">
        <v>263065</v>
      </c>
      <c r="K16" s="8"/>
      <c r="L16" s="8"/>
      <c r="M16" s="8"/>
      <c r="N16" s="8"/>
      <c r="O16" s="8">
        <f t="shared" si="0"/>
        <v>263065</v>
      </c>
      <c r="P16" s="8">
        <f t="shared" si="1"/>
        <v>265696</v>
      </c>
      <c r="Q16">
        <v>0</v>
      </c>
    </row>
    <row r="17" spans="1:17" x14ac:dyDescent="0.25">
      <c r="A17" t="s">
        <v>70</v>
      </c>
      <c r="B17" s="10">
        <v>45301</v>
      </c>
      <c r="C17" s="5" t="s">
        <v>71</v>
      </c>
      <c r="D17" s="10">
        <v>45275</v>
      </c>
      <c r="E17" t="s">
        <v>72</v>
      </c>
      <c r="G17" t="s">
        <v>73</v>
      </c>
      <c r="H17" t="s">
        <v>74</v>
      </c>
      <c r="J17" s="12">
        <v>17034000</v>
      </c>
      <c r="K17" s="8"/>
      <c r="L17" s="8"/>
      <c r="M17" s="8"/>
      <c r="N17" s="8"/>
      <c r="O17" s="8">
        <f t="shared" si="0"/>
        <v>17034000</v>
      </c>
      <c r="P17" s="8">
        <f t="shared" si="1"/>
        <v>17204340</v>
      </c>
      <c r="Q17">
        <v>0</v>
      </c>
    </row>
    <row r="18" spans="1:17" x14ac:dyDescent="0.25">
      <c r="A18" t="s">
        <v>70</v>
      </c>
      <c r="B18" s="10">
        <v>45301</v>
      </c>
      <c r="C18" s="5" t="s">
        <v>75</v>
      </c>
      <c r="D18" s="10">
        <v>45275</v>
      </c>
      <c r="E18" t="s">
        <v>76</v>
      </c>
      <c r="G18" t="s">
        <v>77</v>
      </c>
      <c r="H18" t="s">
        <v>78</v>
      </c>
      <c r="J18" s="12">
        <v>23838000</v>
      </c>
      <c r="K18" s="8"/>
      <c r="L18" s="8"/>
      <c r="M18" s="8"/>
      <c r="N18" s="8"/>
      <c r="O18" s="8">
        <f t="shared" si="0"/>
        <v>23838000</v>
      </c>
      <c r="P18" s="8">
        <f t="shared" si="1"/>
        <v>24076380</v>
      </c>
      <c r="Q18">
        <v>0</v>
      </c>
    </row>
    <row r="19" spans="1:17" x14ac:dyDescent="0.25">
      <c r="A19" t="s">
        <v>70</v>
      </c>
      <c r="B19" s="10">
        <v>45301</v>
      </c>
      <c r="C19" s="5" t="s">
        <v>54</v>
      </c>
      <c r="D19" s="10">
        <v>45278</v>
      </c>
      <c r="E19" t="s">
        <v>53</v>
      </c>
      <c r="G19" t="s">
        <v>26</v>
      </c>
      <c r="H19" t="s">
        <v>39</v>
      </c>
      <c r="J19" s="12">
        <v>41496000</v>
      </c>
      <c r="K19" s="8"/>
      <c r="L19" s="8"/>
      <c r="M19" s="8"/>
      <c r="N19" s="8"/>
      <c r="O19" s="8">
        <f t="shared" si="0"/>
        <v>41496000</v>
      </c>
      <c r="P19" s="8">
        <f t="shared" si="1"/>
        <v>41910960</v>
      </c>
      <c r="Q19">
        <v>0</v>
      </c>
    </row>
    <row r="20" spans="1:17" x14ac:dyDescent="0.25">
      <c r="A20" t="s">
        <v>70</v>
      </c>
      <c r="B20" s="10">
        <v>45301</v>
      </c>
      <c r="C20" s="5" t="s">
        <v>80</v>
      </c>
      <c r="D20" s="10">
        <v>45288</v>
      </c>
      <c r="E20" t="s">
        <v>30</v>
      </c>
      <c r="F20" t="s">
        <v>33</v>
      </c>
      <c r="G20" t="s">
        <v>79</v>
      </c>
      <c r="H20" t="s">
        <v>34</v>
      </c>
      <c r="J20" s="12">
        <v>700000</v>
      </c>
      <c r="K20" s="8"/>
      <c r="L20" s="8"/>
      <c r="M20" s="8"/>
      <c r="N20" s="8"/>
      <c r="O20" s="8">
        <f t="shared" si="0"/>
        <v>700000</v>
      </c>
      <c r="P20" s="8">
        <f t="shared" si="1"/>
        <v>707000</v>
      </c>
      <c r="Q20">
        <v>0</v>
      </c>
    </row>
    <row r="21" spans="1:17" x14ac:dyDescent="0.25">
      <c r="A21" t="s">
        <v>70</v>
      </c>
      <c r="B21" s="10">
        <v>45301</v>
      </c>
      <c r="C21" s="5" t="s">
        <v>81</v>
      </c>
      <c r="D21" s="10">
        <v>45289</v>
      </c>
      <c r="E21" t="s">
        <v>82</v>
      </c>
      <c r="F21" t="s">
        <v>83</v>
      </c>
      <c r="G21" t="s">
        <v>64</v>
      </c>
      <c r="H21" t="s">
        <v>24</v>
      </c>
      <c r="J21" s="12">
        <v>1555000</v>
      </c>
      <c r="K21" s="8"/>
      <c r="L21" s="8"/>
      <c r="M21" s="8"/>
      <c r="N21" s="8"/>
      <c r="O21" s="8">
        <f t="shared" si="0"/>
        <v>1555000</v>
      </c>
      <c r="P21" s="8">
        <f t="shared" si="1"/>
        <v>1570550</v>
      </c>
      <c r="Q21">
        <v>0</v>
      </c>
    </row>
    <row r="22" spans="1:17" x14ac:dyDescent="0.25">
      <c r="A22" t="s">
        <v>70</v>
      </c>
      <c r="B22" s="10">
        <v>45301</v>
      </c>
      <c r="C22" s="5" t="s">
        <v>84</v>
      </c>
      <c r="D22" s="10">
        <v>45290</v>
      </c>
      <c r="E22" t="s">
        <v>30</v>
      </c>
      <c r="F22" t="s">
        <v>33</v>
      </c>
      <c r="G22" t="s">
        <v>31</v>
      </c>
      <c r="H22" t="s">
        <v>34</v>
      </c>
      <c r="J22" s="12">
        <v>700000</v>
      </c>
      <c r="K22" s="8"/>
      <c r="L22" s="8"/>
      <c r="M22" s="8"/>
      <c r="N22" s="8"/>
      <c r="O22" s="8">
        <f t="shared" si="0"/>
        <v>700000</v>
      </c>
      <c r="P22" s="8">
        <f t="shared" si="1"/>
        <v>707000</v>
      </c>
      <c r="Q22">
        <v>0</v>
      </c>
    </row>
    <row r="23" spans="1:17" x14ac:dyDescent="0.25">
      <c r="A23" t="s">
        <v>85</v>
      </c>
      <c r="B23" s="10">
        <v>45301</v>
      </c>
      <c r="C23" s="5" t="s">
        <v>86</v>
      </c>
      <c r="D23" s="10">
        <v>45287</v>
      </c>
      <c r="E23" t="s">
        <v>37</v>
      </c>
      <c r="F23" t="s">
        <v>42</v>
      </c>
      <c r="G23" t="s">
        <v>38</v>
      </c>
      <c r="H23" t="s">
        <v>40</v>
      </c>
      <c r="J23" s="12">
        <v>258954</v>
      </c>
      <c r="K23" s="8"/>
      <c r="L23" s="8"/>
      <c r="M23" s="8"/>
      <c r="N23" s="8"/>
      <c r="O23" s="8">
        <f t="shared" si="0"/>
        <v>258954</v>
      </c>
      <c r="P23" s="8">
        <f t="shared" si="1"/>
        <v>261544</v>
      </c>
      <c r="Q23">
        <v>0</v>
      </c>
    </row>
    <row r="24" spans="1:17" x14ac:dyDescent="0.25">
      <c r="A24" t="s">
        <v>85</v>
      </c>
      <c r="B24" s="10">
        <v>45301</v>
      </c>
      <c r="C24" s="5" t="s">
        <v>51</v>
      </c>
      <c r="D24" s="10">
        <v>45289</v>
      </c>
      <c r="E24" t="s">
        <v>37</v>
      </c>
      <c r="F24" t="s">
        <v>42</v>
      </c>
      <c r="G24" t="s">
        <v>38</v>
      </c>
      <c r="H24" t="s">
        <v>40</v>
      </c>
      <c r="J24" s="12">
        <v>2713792</v>
      </c>
      <c r="K24" s="8"/>
      <c r="L24" s="8"/>
      <c r="M24" s="8"/>
      <c r="N24" s="8"/>
      <c r="O24" s="8">
        <f t="shared" si="0"/>
        <v>2713792</v>
      </c>
      <c r="P24" s="8">
        <f t="shared" si="1"/>
        <v>2740930</v>
      </c>
      <c r="Q24">
        <v>0</v>
      </c>
    </row>
    <row r="25" spans="1:17" x14ac:dyDescent="0.25">
      <c r="A25" t="s">
        <v>85</v>
      </c>
      <c r="B25" s="10">
        <v>45301</v>
      </c>
      <c r="C25" s="5" t="s">
        <v>87</v>
      </c>
      <c r="D25" s="10">
        <v>45289</v>
      </c>
      <c r="E25" t="s">
        <v>37</v>
      </c>
      <c r="F25" t="s">
        <v>42</v>
      </c>
      <c r="G25" t="s">
        <v>38</v>
      </c>
      <c r="H25" t="s">
        <v>40</v>
      </c>
      <c r="J25" s="12">
        <v>258954</v>
      </c>
      <c r="K25" s="8"/>
      <c r="L25" s="8"/>
      <c r="M25" s="8"/>
      <c r="N25" s="8"/>
      <c r="O25" s="8">
        <f t="shared" si="0"/>
        <v>258954</v>
      </c>
      <c r="P25" s="8">
        <f t="shared" si="1"/>
        <v>261544</v>
      </c>
      <c r="Q25">
        <v>0</v>
      </c>
    </row>
    <row r="26" spans="1:17" x14ac:dyDescent="0.25">
      <c r="A26" t="s">
        <v>85</v>
      </c>
      <c r="B26" s="10">
        <v>45301</v>
      </c>
      <c r="C26" s="5" t="s">
        <v>88</v>
      </c>
      <c r="D26" s="10">
        <v>45289</v>
      </c>
      <c r="E26" t="s">
        <v>44</v>
      </c>
      <c r="F26" t="s">
        <v>42</v>
      </c>
      <c r="G26" t="s">
        <v>89</v>
      </c>
      <c r="H26" t="s">
        <v>160</v>
      </c>
      <c r="J26" s="12">
        <v>226604</v>
      </c>
      <c r="K26" s="8"/>
      <c r="L26" s="8"/>
      <c r="M26" s="8"/>
      <c r="N26" s="8"/>
      <c r="O26" s="8">
        <f t="shared" si="0"/>
        <v>226604</v>
      </c>
      <c r="P26" s="8">
        <f t="shared" si="1"/>
        <v>228870</v>
      </c>
      <c r="Q26">
        <v>0</v>
      </c>
    </row>
    <row r="27" spans="1:17" x14ac:dyDescent="0.25">
      <c r="A27" t="s">
        <v>85</v>
      </c>
      <c r="B27" s="10">
        <v>45301</v>
      </c>
      <c r="C27" s="5" t="s">
        <v>90</v>
      </c>
      <c r="D27" s="10">
        <v>45289</v>
      </c>
      <c r="E27" t="s">
        <v>44</v>
      </c>
      <c r="F27" t="s">
        <v>42</v>
      </c>
      <c r="G27" t="s">
        <v>45</v>
      </c>
      <c r="H27" t="s">
        <v>46</v>
      </c>
      <c r="J27" s="12">
        <v>226604</v>
      </c>
      <c r="K27" s="8"/>
      <c r="L27" s="8"/>
      <c r="M27" s="8"/>
      <c r="N27" s="8"/>
      <c r="O27" s="8">
        <f t="shared" si="0"/>
        <v>226604</v>
      </c>
      <c r="P27" s="8">
        <f t="shared" si="1"/>
        <v>228870</v>
      </c>
      <c r="Q27">
        <v>0</v>
      </c>
    </row>
    <row r="28" spans="1:17" x14ac:dyDescent="0.25">
      <c r="A28" t="s">
        <v>91</v>
      </c>
      <c r="B28" s="10">
        <v>45273</v>
      </c>
      <c r="C28" s="5" t="s">
        <v>92</v>
      </c>
      <c r="D28" s="10">
        <v>45259</v>
      </c>
      <c r="E28" t="s">
        <v>93</v>
      </c>
      <c r="F28" t="s">
        <v>42</v>
      </c>
      <c r="G28" t="s">
        <v>94</v>
      </c>
      <c r="H28" t="s">
        <v>95</v>
      </c>
      <c r="J28" s="12">
        <v>1623883</v>
      </c>
      <c r="K28" s="8"/>
      <c r="L28" s="8"/>
      <c r="M28" s="8"/>
      <c r="N28" s="8"/>
      <c r="O28" s="8">
        <f t="shared" si="0"/>
        <v>1623883</v>
      </c>
      <c r="P28" s="8">
        <f t="shared" si="1"/>
        <v>1640122</v>
      </c>
      <c r="Q28">
        <v>0</v>
      </c>
    </row>
    <row r="29" spans="1:17" x14ac:dyDescent="0.25">
      <c r="A29" t="s">
        <v>91</v>
      </c>
      <c r="B29" s="10">
        <v>45273</v>
      </c>
      <c r="C29" s="5" t="s">
        <v>96</v>
      </c>
      <c r="D29" s="10">
        <v>45259</v>
      </c>
      <c r="E29" t="s">
        <v>97</v>
      </c>
      <c r="F29" t="s">
        <v>42</v>
      </c>
      <c r="G29" t="s">
        <v>98</v>
      </c>
      <c r="H29" t="s">
        <v>99</v>
      </c>
      <c r="J29" s="12">
        <v>172579</v>
      </c>
      <c r="K29" s="8"/>
      <c r="L29" s="8"/>
      <c r="M29" s="8"/>
      <c r="N29" s="8"/>
      <c r="O29" s="8">
        <f t="shared" si="0"/>
        <v>172579</v>
      </c>
      <c r="P29" s="8">
        <f t="shared" si="1"/>
        <v>174305</v>
      </c>
      <c r="Q29">
        <v>0</v>
      </c>
    </row>
    <row r="30" spans="1:17" x14ac:dyDescent="0.25">
      <c r="A30" t="s">
        <v>91</v>
      </c>
      <c r="B30" s="10">
        <v>45273</v>
      </c>
      <c r="C30" s="5" t="s">
        <v>100</v>
      </c>
      <c r="D30" s="10">
        <v>45259</v>
      </c>
      <c r="E30" t="s">
        <v>44</v>
      </c>
      <c r="F30" t="s">
        <v>42</v>
      </c>
      <c r="G30" t="s">
        <v>101</v>
      </c>
      <c r="H30" t="s">
        <v>102</v>
      </c>
      <c r="J30" s="12">
        <v>341117</v>
      </c>
      <c r="K30" s="8"/>
      <c r="L30" s="8"/>
      <c r="M30" s="8"/>
      <c r="N30" s="8"/>
      <c r="O30" s="8">
        <f t="shared" si="0"/>
        <v>341117</v>
      </c>
      <c r="P30" s="8">
        <f t="shared" si="1"/>
        <v>344528</v>
      </c>
      <c r="Q30">
        <v>0</v>
      </c>
    </row>
    <row r="31" spans="1:17" x14ac:dyDescent="0.25">
      <c r="A31" t="s">
        <v>91</v>
      </c>
      <c r="B31" s="10">
        <v>45273</v>
      </c>
      <c r="C31" s="5" t="s">
        <v>103</v>
      </c>
      <c r="D31" s="10">
        <v>45259</v>
      </c>
      <c r="E31" t="s">
        <v>37</v>
      </c>
      <c r="F31" t="s">
        <v>42</v>
      </c>
      <c r="G31" t="s">
        <v>38</v>
      </c>
      <c r="H31" t="s">
        <v>40</v>
      </c>
      <c r="J31" s="12">
        <v>1662154</v>
      </c>
      <c r="K31" s="8"/>
      <c r="L31" s="8"/>
      <c r="M31" s="8"/>
      <c r="N31" s="8"/>
      <c r="O31" s="8">
        <f t="shared" si="0"/>
        <v>1662154</v>
      </c>
      <c r="P31" s="8">
        <f t="shared" si="1"/>
        <v>1678776</v>
      </c>
      <c r="Q31">
        <v>0</v>
      </c>
    </row>
    <row r="32" spans="1:17" x14ac:dyDescent="0.25">
      <c r="A32" t="s">
        <v>91</v>
      </c>
      <c r="B32" s="10">
        <v>45273</v>
      </c>
      <c r="C32" s="5" t="s">
        <v>104</v>
      </c>
      <c r="D32" s="10">
        <v>45260</v>
      </c>
      <c r="E32" t="s">
        <v>37</v>
      </c>
      <c r="F32" t="s">
        <v>42</v>
      </c>
      <c r="G32" t="s">
        <v>38</v>
      </c>
      <c r="H32" t="s">
        <v>40</v>
      </c>
      <c r="J32" s="12">
        <v>267094</v>
      </c>
      <c r="K32" s="8"/>
      <c r="L32" s="8"/>
      <c r="M32" s="8"/>
      <c r="N32" s="8"/>
      <c r="O32" s="8">
        <f t="shared" si="0"/>
        <v>267094</v>
      </c>
      <c r="P32" s="8">
        <f t="shared" si="1"/>
        <v>269765</v>
      </c>
      <c r="Q32">
        <v>0</v>
      </c>
    </row>
    <row r="33" spans="1:17" x14ac:dyDescent="0.25">
      <c r="A33" t="s">
        <v>91</v>
      </c>
      <c r="B33" s="10">
        <v>45273</v>
      </c>
      <c r="C33" s="5" t="s">
        <v>105</v>
      </c>
      <c r="D33" s="10">
        <v>45261</v>
      </c>
      <c r="E33" t="s">
        <v>97</v>
      </c>
      <c r="F33" t="s">
        <v>42</v>
      </c>
      <c r="G33" t="s">
        <v>98</v>
      </c>
      <c r="H33" t="s">
        <v>99</v>
      </c>
      <c r="J33" s="12">
        <v>312432</v>
      </c>
      <c r="K33" s="8"/>
      <c r="L33" s="8"/>
      <c r="M33" s="8"/>
      <c r="N33" s="8"/>
      <c r="O33" s="8">
        <f t="shared" si="0"/>
        <v>312432</v>
      </c>
      <c r="P33" s="8">
        <f t="shared" si="1"/>
        <v>315556</v>
      </c>
      <c r="Q33">
        <v>0</v>
      </c>
    </row>
    <row r="34" spans="1:17" x14ac:dyDescent="0.25">
      <c r="A34" t="s">
        <v>91</v>
      </c>
      <c r="B34" s="10">
        <v>45273</v>
      </c>
      <c r="C34" s="5" t="s">
        <v>106</v>
      </c>
      <c r="D34" s="10">
        <v>45261</v>
      </c>
      <c r="E34" t="s">
        <v>107</v>
      </c>
      <c r="F34" t="s">
        <v>42</v>
      </c>
      <c r="G34" t="s">
        <v>108</v>
      </c>
      <c r="H34" t="s">
        <v>109</v>
      </c>
      <c r="J34" s="12">
        <v>558295</v>
      </c>
      <c r="K34" s="8"/>
      <c r="L34" s="8"/>
      <c r="M34" s="8"/>
      <c r="N34" s="8"/>
      <c r="O34" s="8">
        <f t="shared" ref="O34:O65" si="2">SUM(J34:N34)</f>
        <v>558295</v>
      </c>
      <c r="P34" s="8">
        <f t="shared" ref="P34:P65" si="3">ROUND(O34*1.01,0)</f>
        <v>563878</v>
      </c>
      <c r="Q34">
        <v>0</v>
      </c>
    </row>
    <row r="35" spans="1:17" x14ac:dyDescent="0.25">
      <c r="A35" t="s">
        <v>91</v>
      </c>
      <c r="B35" s="10">
        <v>45273</v>
      </c>
      <c r="C35" s="5" t="s">
        <v>110</v>
      </c>
      <c r="D35" s="10">
        <v>45261</v>
      </c>
      <c r="E35" t="s">
        <v>44</v>
      </c>
      <c r="F35" t="s">
        <v>42</v>
      </c>
      <c r="G35" t="s">
        <v>111</v>
      </c>
      <c r="H35" t="s">
        <v>112</v>
      </c>
      <c r="J35" s="12">
        <v>233769</v>
      </c>
      <c r="K35" s="8"/>
      <c r="L35" s="8"/>
      <c r="M35" s="8"/>
      <c r="N35" s="8"/>
      <c r="O35" s="8">
        <f t="shared" si="2"/>
        <v>233769</v>
      </c>
      <c r="P35" s="8">
        <f t="shared" si="3"/>
        <v>236107</v>
      </c>
      <c r="Q35">
        <v>0</v>
      </c>
    </row>
    <row r="36" spans="1:17" x14ac:dyDescent="0.25">
      <c r="A36" t="s">
        <v>91</v>
      </c>
      <c r="B36" s="10">
        <v>45273</v>
      </c>
      <c r="C36" s="5" t="s">
        <v>113</v>
      </c>
      <c r="D36" s="10">
        <v>45265</v>
      </c>
      <c r="E36" t="s">
        <v>97</v>
      </c>
      <c r="F36" t="s">
        <v>42</v>
      </c>
      <c r="G36" t="s">
        <v>98</v>
      </c>
      <c r="H36" t="s">
        <v>99</v>
      </c>
      <c r="J36" s="12">
        <v>444987</v>
      </c>
      <c r="K36" s="8"/>
      <c r="L36" s="8"/>
      <c r="M36" s="8"/>
      <c r="N36" s="8"/>
      <c r="O36" s="8">
        <f t="shared" si="2"/>
        <v>444987</v>
      </c>
      <c r="P36" s="8">
        <f t="shared" si="3"/>
        <v>449437</v>
      </c>
      <c r="Q36">
        <v>0</v>
      </c>
    </row>
    <row r="37" spans="1:17" x14ac:dyDescent="0.25">
      <c r="A37" t="s">
        <v>91</v>
      </c>
      <c r="B37" s="10">
        <v>45273</v>
      </c>
      <c r="C37" s="5" t="s">
        <v>114</v>
      </c>
      <c r="D37" s="10">
        <v>45265</v>
      </c>
      <c r="E37" t="s">
        <v>37</v>
      </c>
      <c r="F37" t="s">
        <v>42</v>
      </c>
      <c r="G37" t="s">
        <v>38</v>
      </c>
      <c r="H37" t="s">
        <v>40</v>
      </c>
      <c r="J37" s="12">
        <v>265095</v>
      </c>
      <c r="K37" s="8"/>
      <c r="L37" s="8"/>
      <c r="M37" s="8"/>
      <c r="N37" s="8"/>
      <c r="O37" s="8">
        <f t="shared" si="2"/>
        <v>265095</v>
      </c>
      <c r="P37" s="8">
        <f t="shared" si="3"/>
        <v>267746</v>
      </c>
      <c r="Q37">
        <v>0</v>
      </c>
    </row>
    <row r="38" spans="1:17" x14ac:dyDescent="0.25">
      <c r="A38" t="s">
        <v>115</v>
      </c>
      <c r="B38" s="10">
        <v>45273</v>
      </c>
      <c r="C38" s="5" t="s">
        <v>116</v>
      </c>
      <c r="D38" s="10">
        <v>45265</v>
      </c>
      <c r="E38" t="s">
        <v>57</v>
      </c>
      <c r="F38" t="s">
        <v>59</v>
      </c>
      <c r="G38" t="s">
        <v>159</v>
      </c>
      <c r="H38" t="s">
        <v>24</v>
      </c>
      <c r="J38" s="12">
        <v>261049</v>
      </c>
      <c r="K38" s="8"/>
      <c r="L38" s="8"/>
      <c r="M38" s="8"/>
      <c r="N38" s="8"/>
      <c r="O38" s="8">
        <f t="shared" si="2"/>
        <v>261049</v>
      </c>
      <c r="P38" s="8">
        <f t="shared" si="3"/>
        <v>263659</v>
      </c>
      <c r="Q38">
        <v>0</v>
      </c>
    </row>
    <row r="39" spans="1:17" x14ac:dyDescent="0.25">
      <c r="A39" t="s">
        <v>117</v>
      </c>
      <c r="B39" s="10">
        <v>45273</v>
      </c>
      <c r="C39" s="5" t="s">
        <v>118</v>
      </c>
      <c r="D39" s="10">
        <v>45268</v>
      </c>
      <c r="E39" t="s">
        <v>37</v>
      </c>
      <c r="F39" t="s">
        <v>42</v>
      </c>
      <c r="G39" t="s">
        <v>38</v>
      </c>
      <c r="H39" t="s">
        <v>40</v>
      </c>
      <c r="J39" s="12">
        <v>2272707</v>
      </c>
      <c r="K39" s="8"/>
      <c r="L39" s="8"/>
      <c r="M39" s="8"/>
      <c r="N39" s="8"/>
      <c r="O39" s="8">
        <f t="shared" si="2"/>
        <v>2272707</v>
      </c>
      <c r="P39" s="8">
        <f t="shared" si="3"/>
        <v>2295434</v>
      </c>
      <c r="Q39">
        <v>0</v>
      </c>
    </row>
    <row r="40" spans="1:17" x14ac:dyDescent="0.25">
      <c r="A40" t="s">
        <v>119</v>
      </c>
      <c r="B40" s="10">
        <v>45306</v>
      </c>
      <c r="C40" s="5" t="s">
        <v>120</v>
      </c>
      <c r="D40" s="10">
        <v>45299</v>
      </c>
      <c r="E40" t="s">
        <v>37</v>
      </c>
      <c r="F40" t="s">
        <v>121</v>
      </c>
      <c r="G40" t="s">
        <v>38</v>
      </c>
      <c r="H40" t="s">
        <v>40</v>
      </c>
      <c r="J40" s="12">
        <v>2406022</v>
      </c>
      <c r="K40" s="8"/>
      <c r="L40" s="8"/>
      <c r="M40" s="8"/>
      <c r="N40" s="8"/>
      <c r="O40" s="8">
        <f t="shared" si="2"/>
        <v>2406022</v>
      </c>
      <c r="P40" s="8">
        <f t="shared" si="3"/>
        <v>2430082</v>
      </c>
      <c r="Q40">
        <v>0</v>
      </c>
    </row>
    <row r="41" spans="1:17" x14ac:dyDescent="0.25">
      <c r="A41" t="s">
        <v>122</v>
      </c>
      <c r="B41" s="10">
        <v>45278</v>
      </c>
      <c r="C41" s="5" t="s">
        <v>123</v>
      </c>
      <c r="D41" s="10">
        <v>45267</v>
      </c>
      <c r="E41" t="s">
        <v>72</v>
      </c>
      <c r="G41" t="s">
        <v>73</v>
      </c>
      <c r="H41" t="s">
        <v>74</v>
      </c>
      <c r="J41" s="12">
        <v>971000</v>
      </c>
      <c r="K41" s="8"/>
      <c r="L41" s="8"/>
      <c r="M41" s="8"/>
      <c r="N41" s="8"/>
      <c r="O41" s="8">
        <f t="shared" si="2"/>
        <v>971000</v>
      </c>
      <c r="P41" s="8">
        <f t="shared" si="3"/>
        <v>980710</v>
      </c>
      <c r="Q41">
        <v>0</v>
      </c>
    </row>
    <row r="42" spans="1:17" x14ac:dyDescent="0.25">
      <c r="A42" t="s">
        <v>124</v>
      </c>
      <c r="B42" s="10">
        <v>45308</v>
      </c>
      <c r="C42" s="5" t="s">
        <v>125</v>
      </c>
      <c r="D42" s="10">
        <v>45296</v>
      </c>
      <c r="E42" t="s">
        <v>97</v>
      </c>
      <c r="F42" t="s">
        <v>42</v>
      </c>
      <c r="G42" t="s">
        <v>98</v>
      </c>
      <c r="H42" t="s">
        <v>99</v>
      </c>
      <c r="J42" s="12">
        <v>605098</v>
      </c>
      <c r="K42" s="8"/>
      <c r="L42" s="8"/>
      <c r="M42" s="8"/>
      <c r="N42" s="8"/>
      <c r="O42" s="8">
        <f t="shared" si="2"/>
        <v>605098</v>
      </c>
      <c r="P42" s="8">
        <f t="shared" si="3"/>
        <v>611149</v>
      </c>
      <c r="Q42">
        <v>0</v>
      </c>
    </row>
    <row r="43" spans="1:17" x14ac:dyDescent="0.25">
      <c r="A43" t="s">
        <v>124</v>
      </c>
      <c r="B43" s="10">
        <v>45308</v>
      </c>
      <c r="C43" s="5" t="s">
        <v>126</v>
      </c>
      <c r="D43" s="10">
        <v>45296</v>
      </c>
      <c r="E43" t="s">
        <v>37</v>
      </c>
      <c r="F43" t="s">
        <v>42</v>
      </c>
      <c r="G43" t="s">
        <v>38</v>
      </c>
      <c r="H43" t="s">
        <v>40</v>
      </c>
      <c r="J43" s="12">
        <v>279477</v>
      </c>
      <c r="K43" s="8"/>
      <c r="L43" s="8"/>
      <c r="M43" s="8"/>
      <c r="N43" s="8"/>
      <c r="O43" s="8">
        <f t="shared" si="2"/>
        <v>279477</v>
      </c>
      <c r="P43" s="8">
        <f t="shared" si="3"/>
        <v>282272</v>
      </c>
      <c r="Q43">
        <v>0</v>
      </c>
    </row>
    <row r="44" spans="1:17" x14ac:dyDescent="0.25">
      <c r="A44" t="s">
        <v>124</v>
      </c>
      <c r="B44" s="10">
        <v>45308</v>
      </c>
      <c r="C44" s="5" t="s">
        <v>120</v>
      </c>
      <c r="D44" s="10">
        <v>45299</v>
      </c>
      <c r="E44" t="s">
        <v>37</v>
      </c>
      <c r="F44" t="s">
        <v>121</v>
      </c>
      <c r="G44" t="s">
        <v>38</v>
      </c>
      <c r="H44" t="s">
        <v>40</v>
      </c>
      <c r="J44" s="12">
        <v>2406022</v>
      </c>
      <c r="K44" s="8"/>
      <c r="L44" s="8"/>
      <c r="M44" s="8"/>
      <c r="N44" s="8"/>
      <c r="O44" s="8">
        <f t="shared" si="2"/>
        <v>2406022</v>
      </c>
      <c r="P44" s="8">
        <f t="shared" si="3"/>
        <v>2430082</v>
      </c>
      <c r="Q44">
        <v>0</v>
      </c>
    </row>
    <row r="45" spans="1:17" x14ac:dyDescent="0.25">
      <c r="A45" t="s">
        <v>127</v>
      </c>
      <c r="B45" s="10">
        <v>45308</v>
      </c>
      <c r="C45" s="5" t="s">
        <v>130</v>
      </c>
      <c r="D45" s="10">
        <v>45296</v>
      </c>
      <c r="E45" t="s">
        <v>128</v>
      </c>
      <c r="F45" t="s">
        <v>131</v>
      </c>
      <c r="G45" t="s">
        <v>129</v>
      </c>
      <c r="H45" t="s">
        <v>121</v>
      </c>
      <c r="J45" s="12">
        <v>3359514</v>
      </c>
      <c r="K45" s="8"/>
      <c r="L45" s="8"/>
      <c r="M45" s="8"/>
      <c r="N45" s="8"/>
      <c r="O45" s="8">
        <f t="shared" si="2"/>
        <v>3359514</v>
      </c>
      <c r="P45" s="8">
        <f t="shared" si="3"/>
        <v>3393109</v>
      </c>
      <c r="Q45">
        <v>0</v>
      </c>
    </row>
    <row r="46" spans="1:17" x14ac:dyDescent="0.25">
      <c r="A46" t="s">
        <v>132</v>
      </c>
      <c r="B46" s="10">
        <v>45280</v>
      </c>
      <c r="C46" s="5" t="s">
        <v>133</v>
      </c>
      <c r="D46" s="10">
        <v>45196</v>
      </c>
      <c r="E46" t="s">
        <v>72</v>
      </c>
      <c r="G46">
        <v>0</v>
      </c>
      <c r="H46" t="s">
        <v>134</v>
      </c>
      <c r="J46" s="12">
        <v>38962000</v>
      </c>
      <c r="K46" s="8"/>
      <c r="L46" s="8"/>
      <c r="M46" s="8"/>
      <c r="N46" s="8"/>
      <c r="O46" s="8">
        <f t="shared" si="2"/>
        <v>38962000</v>
      </c>
      <c r="P46" s="8">
        <f t="shared" si="3"/>
        <v>39351620</v>
      </c>
      <c r="Q46">
        <v>0</v>
      </c>
    </row>
    <row r="47" spans="1:17" x14ac:dyDescent="0.25">
      <c r="A47" t="s">
        <v>132</v>
      </c>
      <c r="B47" s="10">
        <v>45280</v>
      </c>
      <c r="C47" s="5" t="s">
        <v>135</v>
      </c>
      <c r="D47" s="10">
        <v>45266</v>
      </c>
      <c r="E47" t="s">
        <v>53</v>
      </c>
      <c r="F47" t="s">
        <v>55</v>
      </c>
      <c r="G47" t="s">
        <v>136</v>
      </c>
      <c r="H47" t="s">
        <v>78</v>
      </c>
      <c r="J47" s="12">
        <v>6083752</v>
      </c>
      <c r="K47" s="8"/>
      <c r="L47" s="8"/>
      <c r="M47" s="8"/>
      <c r="N47" s="8"/>
      <c r="O47" s="8">
        <f t="shared" si="2"/>
        <v>6083752</v>
      </c>
      <c r="P47" s="8">
        <f t="shared" si="3"/>
        <v>6144590</v>
      </c>
      <c r="Q47">
        <v>0</v>
      </c>
    </row>
    <row r="48" spans="1:17" x14ac:dyDescent="0.25">
      <c r="A48" t="s">
        <v>132</v>
      </c>
      <c r="B48" s="10">
        <v>45280</v>
      </c>
      <c r="C48" s="5" t="s">
        <v>123</v>
      </c>
      <c r="D48" s="10">
        <v>45267</v>
      </c>
      <c r="E48" t="s">
        <v>72</v>
      </c>
      <c r="G48" t="s">
        <v>73</v>
      </c>
      <c r="H48" t="s">
        <v>74</v>
      </c>
      <c r="J48" s="12">
        <v>971000</v>
      </c>
      <c r="K48" s="8"/>
      <c r="L48" s="8"/>
      <c r="M48" s="8"/>
      <c r="N48" s="8"/>
      <c r="O48" s="8">
        <f t="shared" si="2"/>
        <v>971000</v>
      </c>
      <c r="P48" s="8">
        <f t="shared" si="3"/>
        <v>980710</v>
      </c>
      <c r="Q48">
        <v>0</v>
      </c>
    </row>
    <row r="49" spans="1:17" x14ac:dyDescent="0.25">
      <c r="A49" t="s">
        <v>137</v>
      </c>
      <c r="B49" s="10">
        <v>45280</v>
      </c>
      <c r="C49" s="5" t="s">
        <v>138</v>
      </c>
      <c r="D49" s="10">
        <v>45266</v>
      </c>
      <c r="E49" t="s">
        <v>37</v>
      </c>
      <c r="F49" t="s">
        <v>42</v>
      </c>
      <c r="G49" t="s">
        <v>38</v>
      </c>
      <c r="H49" t="s">
        <v>40</v>
      </c>
      <c r="J49" s="12">
        <v>265047</v>
      </c>
      <c r="K49" s="8"/>
      <c r="L49" s="8"/>
      <c r="M49" s="8"/>
      <c r="N49" s="8"/>
      <c r="O49" s="8">
        <f t="shared" si="2"/>
        <v>265047</v>
      </c>
      <c r="P49" s="8">
        <f t="shared" si="3"/>
        <v>267697</v>
      </c>
      <c r="Q49">
        <v>0</v>
      </c>
    </row>
    <row r="50" spans="1:17" x14ac:dyDescent="0.25">
      <c r="A50" t="s">
        <v>137</v>
      </c>
      <c r="B50" s="10">
        <v>45280</v>
      </c>
      <c r="C50" s="5" t="s">
        <v>139</v>
      </c>
      <c r="D50" s="10">
        <v>45266</v>
      </c>
      <c r="E50" t="s">
        <v>44</v>
      </c>
      <c r="F50" t="s">
        <v>42</v>
      </c>
      <c r="G50" t="s">
        <v>89</v>
      </c>
      <c r="H50" t="s">
        <v>160</v>
      </c>
      <c r="J50" s="12">
        <v>231978</v>
      </c>
      <c r="K50" s="8"/>
      <c r="L50" s="8"/>
      <c r="M50" s="8"/>
      <c r="N50" s="8"/>
      <c r="O50" s="8">
        <f t="shared" si="2"/>
        <v>231978</v>
      </c>
      <c r="P50" s="8">
        <f t="shared" si="3"/>
        <v>234298</v>
      </c>
      <c r="Q50">
        <v>0</v>
      </c>
    </row>
    <row r="51" spans="1:17" x14ac:dyDescent="0.25">
      <c r="A51" t="s">
        <v>137</v>
      </c>
      <c r="B51" s="10">
        <v>45280</v>
      </c>
      <c r="C51" s="5" t="s">
        <v>140</v>
      </c>
      <c r="D51" s="10">
        <v>45268</v>
      </c>
      <c r="E51" t="s">
        <v>97</v>
      </c>
      <c r="F51" t="s">
        <v>42</v>
      </c>
      <c r="G51" t="s">
        <v>98</v>
      </c>
      <c r="H51" t="s">
        <v>99</v>
      </c>
      <c r="J51" s="12">
        <v>310038</v>
      </c>
      <c r="K51" s="8"/>
      <c r="L51" s="8"/>
      <c r="M51" s="8"/>
      <c r="N51" s="8"/>
      <c r="O51" s="8">
        <f t="shared" si="2"/>
        <v>310038</v>
      </c>
      <c r="P51" s="8">
        <f t="shared" si="3"/>
        <v>313138</v>
      </c>
      <c r="Q51">
        <v>0</v>
      </c>
    </row>
    <row r="52" spans="1:17" x14ac:dyDescent="0.25">
      <c r="A52" t="s">
        <v>137</v>
      </c>
      <c r="B52" s="10">
        <v>45280</v>
      </c>
      <c r="C52" s="5" t="s">
        <v>141</v>
      </c>
      <c r="D52" s="10">
        <v>45268</v>
      </c>
      <c r="E52" t="s">
        <v>93</v>
      </c>
      <c r="F52" t="s">
        <v>42</v>
      </c>
      <c r="G52" t="s">
        <v>142</v>
      </c>
      <c r="H52" t="s">
        <v>161</v>
      </c>
      <c r="J52" s="12">
        <v>743151</v>
      </c>
      <c r="K52" s="8"/>
      <c r="L52" s="8"/>
      <c r="M52" s="8"/>
      <c r="N52" s="8"/>
      <c r="O52" s="8">
        <f t="shared" si="2"/>
        <v>743151</v>
      </c>
      <c r="P52" s="8">
        <f t="shared" si="3"/>
        <v>750583</v>
      </c>
      <c r="Q52">
        <v>0</v>
      </c>
    </row>
    <row r="53" spans="1:17" x14ac:dyDescent="0.25">
      <c r="A53" t="s">
        <v>137</v>
      </c>
      <c r="B53" s="10">
        <v>45280</v>
      </c>
      <c r="C53" s="5" t="s">
        <v>143</v>
      </c>
      <c r="D53" s="10">
        <v>45268</v>
      </c>
      <c r="E53" t="s">
        <v>37</v>
      </c>
      <c r="F53" t="s">
        <v>42</v>
      </c>
      <c r="G53" t="s">
        <v>38</v>
      </c>
      <c r="H53" t="s">
        <v>40</v>
      </c>
      <c r="J53" s="12">
        <v>477445</v>
      </c>
      <c r="K53" s="8"/>
      <c r="L53" s="8"/>
      <c r="M53" s="8"/>
      <c r="N53" s="8"/>
      <c r="O53" s="8">
        <f t="shared" si="2"/>
        <v>477445</v>
      </c>
      <c r="P53" s="8">
        <f t="shared" si="3"/>
        <v>482219</v>
      </c>
      <c r="Q53">
        <v>0</v>
      </c>
    </row>
    <row r="54" spans="1:17" x14ac:dyDescent="0.25">
      <c r="A54" t="s">
        <v>137</v>
      </c>
      <c r="B54" s="10">
        <v>45280</v>
      </c>
      <c r="C54" s="5" t="s">
        <v>118</v>
      </c>
      <c r="D54" s="10">
        <v>45268</v>
      </c>
      <c r="E54" t="s">
        <v>37</v>
      </c>
      <c r="F54" t="s">
        <v>42</v>
      </c>
      <c r="G54" t="s">
        <v>38</v>
      </c>
      <c r="H54" t="s">
        <v>40</v>
      </c>
      <c r="J54" s="12">
        <v>2272707</v>
      </c>
      <c r="K54" s="8"/>
      <c r="L54" s="8"/>
      <c r="M54" s="8"/>
      <c r="N54" s="8"/>
      <c r="O54" s="8">
        <f t="shared" si="2"/>
        <v>2272707</v>
      </c>
      <c r="P54" s="8">
        <f t="shared" si="3"/>
        <v>2295434</v>
      </c>
      <c r="Q54">
        <v>0</v>
      </c>
    </row>
    <row r="55" spans="1:17" x14ac:dyDescent="0.25">
      <c r="A55" t="s">
        <v>137</v>
      </c>
      <c r="B55" s="10">
        <v>45280</v>
      </c>
      <c r="C55" s="5" t="s">
        <v>144</v>
      </c>
      <c r="D55" s="10">
        <v>45268</v>
      </c>
      <c r="E55" t="s">
        <v>44</v>
      </c>
      <c r="F55" t="s">
        <v>42</v>
      </c>
      <c r="G55" t="s">
        <v>89</v>
      </c>
      <c r="H55" t="s">
        <v>160</v>
      </c>
      <c r="J55" s="12">
        <v>231978</v>
      </c>
      <c r="K55" s="8"/>
      <c r="L55" s="8"/>
      <c r="M55" s="8"/>
      <c r="N55" s="8"/>
      <c r="O55" s="8">
        <f t="shared" si="2"/>
        <v>231978</v>
      </c>
      <c r="P55" s="8">
        <f t="shared" si="3"/>
        <v>234298</v>
      </c>
      <c r="Q55">
        <v>0</v>
      </c>
    </row>
    <row r="56" spans="1:17" x14ac:dyDescent="0.25">
      <c r="A56" t="s">
        <v>137</v>
      </c>
      <c r="B56" s="10">
        <v>45280</v>
      </c>
      <c r="C56" s="5" t="s">
        <v>145</v>
      </c>
      <c r="D56" s="10">
        <v>45271</v>
      </c>
      <c r="E56" t="s">
        <v>37</v>
      </c>
      <c r="F56" t="s">
        <v>42</v>
      </c>
      <c r="G56" t="s">
        <v>38</v>
      </c>
      <c r="H56" t="s">
        <v>40</v>
      </c>
      <c r="J56" s="12">
        <v>263000</v>
      </c>
      <c r="K56" s="8"/>
      <c r="L56" s="8"/>
      <c r="M56" s="8"/>
      <c r="N56" s="8"/>
      <c r="O56" s="8">
        <f t="shared" si="2"/>
        <v>263000</v>
      </c>
      <c r="P56" s="8">
        <f t="shared" si="3"/>
        <v>265630</v>
      </c>
      <c r="Q56">
        <v>0</v>
      </c>
    </row>
    <row r="57" spans="1:17" x14ac:dyDescent="0.25">
      <c r="A57" t="s">
        <v>146</v>
      </c>
      <c r="B57" s="10">
        <v>45280</v>
      </c>
      <c r="C57" s="5" t="s">
        <v>135</v>
      </c>
      <c r="D57" s="10">
        <v>45266</v>
      </c>
      <c r="E57" t="s">
        <v>53</v>
      </c>
      <c r="F57" t="s">
        <v>55</v>
      </c>
      <c r="G57" t="s">
        <v>136</v>
      </c>
      <c r="H57" t="s">
        <v>78</v>
      </c>
      <c r="J57" s="12">
        <v>6083752</v>
      </c>
      <c r="K57" s="8"/>
      <c r="L57" s="8"/>
      <c r="M57" s="8"/>
      <c r="N57" s="8"/>
      <c r="O57" s="8">
        <f t="shared" si="2"/>
        <v>6083752</v>
      </c>
      <c r="P57" s="8">
        <f t="shared" si="3"/>
        <v>6144590</v>
      </c>
      <c r="Q57">
        <v>0</v>
      </c>
    </row>
    <row r="58" spans="1:17" x14ac:dyDescent="0.25">
      <c r="A58" t="s">
        <v>147</v>
      </c>
      <c r="B58" s="10">
        <v>45287</v>
      </c>
      <c r="C58" s="5" t="s">
        <v>148</v>
      </c>
      <c r="D58" s="10">
        <v>45275</v>
      </c>
      <c r="E58" t="s">
        <v>57</v>
      </c>
      <c r="F58" t="s">
        <v>59</v>
      </c>
      <c r="G58" t="s">
        <v>159</v>
      </c>
      <c r="H58" t="s">
        <v>24</v>
      </c>
      <c r="J58" s="12">
        <v>632839</v>
      </c>
      <c r="K58" s="8"/>
      <c r="L58" s="8"/>
      <c r="M58" s="8"/>
      <c r="N58" s="8"/>
      <c r="O58" s="8">
        <f t="shared" si="2"/>
        <v>632839</v>
      </c>
      <c r="P58" s="8">
        <f t="shared" si="3"/>
        <v>639167</v>
      </c>
      <c r="Q58">
        <v>0</v>
      </c>
    </row>
    <row r="59" spans="1:17" x14ac:dyDescent="0.25">
      <c r="A59" t="s">
        <v>149</v>
      </c>
      <c r="B59" s="10">
        <v>45287</v>
      </c>
      <c r="C59" s="5" t="s">
        <v>150</v>
      </c>
      <c r="D59" s="10">
        <v>45273</v>
      </c>
      <c r="E59" t="s">
        <v>44</v>
      </c>
      <c r="F59" t="s">
        <v>42</v>
      </c>
      <c r="G59" t="s">
        <v>48</v>
      </c>
      <c r="H59" t="s">
        <v>49</v>
      </c>
      <c r="J59" s="12">
        <v>230187</v>
      </c>
      <c r="K59" s="8"/>
      <c r="L59" s="8"/>
      <c r="M59" s="8"/>
      <c r="N59" s="8"/>
      <c r="O59" s="8">
        <f t="shared" si="2"/>
        <v>230187</v>
      </c>
      <c r="P59" s="8">
        <f t="shared" si="3"/>
        <v>232489</v>
      </c>
      <c r="Q59">
        <v>0</v>
      </c>
    </row>
    <row r="60" spans="1:17" x14ac:dyDescent="0.25">
      <c r="A60" t="s">
        <v>149</v>
      </c>
      <c r="B60" s="10">
        <v>45287</v>
      </c>
      <c r="C60" s="5" t="s">
        <v>151</v>
      </c>
      <c r="D60" s="10">
        <v>45274</v>
      </c>
      <c r="E60" t="s">
        <v>37</v>
      </c>
      <c r="F60" t="s">
        <v>42</v>
      </c>
      <c r="G60" t="s">
        <v>38</v>
      </c>
      <c r="H60" t="s">
        <v>40</v>
      </c>
      <c r="J60" s="12">
        <v>263048</v>
      </c>
      <c r="K60" s="8"/>
      <c r="L60" s="8"/>
      <c r="M60" s="8"/>
      <c r="N60" s="8"/>
      <c r="O60" s="8">
        <f t="shared" si="2"/>
        <v>263048</v>
      </c>
      <c r="P60" s="8">
        <f t="shared" si="3"/>
        <v>265678</v>
      </c>
      <c r="Q60">
        <v>0</v>
      </c>
    </row>
    <row r="61" spans="1:17" x14ac:dyDescent="0.25">
      <c r="A61" t="s">
        <v>149</v>
      </c>
      <c r="B61" s="10">
        <v>45287</v>
      </c>
      <c r="C61" s="5" t="s">
        <v>152</v>
      </c>
      <c r="D61" s="10">
        <v>45274</v>
      </c>
      <c r="E61" t="s">
        <v>44</v>
      </c>
      <c r="F61" t="s">
        <v>42</v>
      </c>
      <c r="G61" t="s">
        <v>89</v>
      </c>
      <c r="H61" t="s">
        <v>160</v>
      </c>
      <c r="J61" s="12">
        <v>230187</v>
      </c>
      <c r="K61" s="8"/>
      <c r="L61" s="8"/>
      <c r="M61" s="8"/>
      <c r="N61" s="8"/>
      <c r="O61" s="8">
        <f t="shared" si="2"/>
        <v>230187</v>
      </c>
      <c r="P61" s="8">
        <f t="shared" si="3"/>
        <v>232489</v>
      </c>
      <c r="Q61">
        <v>0</v>
      </c>
    </row>
    <row r="62" spans="1:17" x14ac:dyDescent="0.25">
      <c r="A62" t="s">
        <v>149</v>
      </c>
      <c r="B62" s="10">
        <v>45287</v>
      </c>
      <c r="C62" s="5" t="s">
        <v>153</v>
      </c>
      <c r="D62" s="10">
        <v>45275</v>
      </c>
      <c r="E62" t="s">
        <v>97</v>
      </c>
      <c r="F62" t="s">
        <v>42</v>
      </c>
      <c r="G62" t="s">
        <v>98</v>
      </c>
      <c r="H62" t="s">
        <v>99</v>
      </c>
      <c r="J62" s="12">
        <v>245106</v>
      </c>
      <c r="K62" s="8"/>
      <c r="L62" s="8"/>
      <c r="M62" s="8"/>
      <c r="N62" s="8"/>
      <c r="O62" s="8">
        <f t="shared" si="2"/>
        <v>245106</v>
      </c>
      <c r="P62" s="8">
        <f t="shared" si="3"/>
        <v>247557</v>
      </c>
      <c r="Q62">
        <v>0</v>
      </c>
    </row>
    <row r="63" spans="1:17" x14ac:dyDescent="0.25">
      <c r="A63" t="s">
        <v>149</v>
      </c>
      <c r="B63" s="10">
        <v>45287</v>
      </c>
      <c r="C63" s="5" t="s">
        <v>154</v>
      </c>
      <c r="D63" s="10">
        <v>45275</v>
      </c>
      <c r="E63" t="s">
        <v>44</v>
      </c>
      <c r="F63" t="s">
        <v>42</v>
      </c>
      <c r="G63" t="s">
        <v>89</v>
      </c>
      <c r="H63" t="s">
        <v>160</v>
      </c>
      <c r="J63" s="12">
        <v>230187</v>
      </c>
      <c r="K63" s="8"/>
      <c r="L63" s="8"/>
      <c r="M63" s="8"/>
      <c r="N63" s="8"/>
      <c r="O63" s="8">
        <f t="shared" si="2"/>
        <v>230187</v>
      </c>
      <c r="P63" s="8">
        <f t="shared" si="3"/>
        <v>232489</v>
      </c>
      <c r="Q63">
        <v>0</v>
      </c>
    </row>
    <row r="64" spans="1:17" x14ac:dyDescent="0.25">
      <c r="A64" t="s">
        <v>149</v>
      </c>
      <c r="B64" s="10">
        <v>45287</v>
      </c>
      <c r="C64" s="5" t="s">
        <v>155</v>
      </c>
      <c r="D64" s="10">
        <v>45279</v>
      </c>
      <c r="E64" t="s">
        <v>37</v>
      </c>
      <c r="F64" t="s">
        <v>39</v>
      </c>
      <c r="G64" t="s">
        <v>38</v>
      </c>
      <c r="H64" t="s">
        <v>40</v>
      </c>
      <c r="J64" s="12">
        <v>468228</v>
      </c>
      <c r="K64" s="8"/>
      <c r="L64" s="8"/>
      <c r="M64" s="8"/>
      <c r="N64" s="8"/>
      <c r="O64" s="8">
        <f t="shared" si="2"/>
        <v>468228</v>
      </c>
      <c r="P64" s="8">
        <f t="shared" si="3"/>
        <v>472910</v>
      </c>
      <c r="Q64">
        <v>0</v>
      </c>
    </row>
    <row r="65" spans="1:17" x14ac:dyDescent="0.25">
      <c r="A65" t="s">
        <v>149</v>
      </c>
      <c r="B65" s="10">
        <v>45287</v>
      </c>
      <c r="C65" s="5" t="s">
        <v>156</v>
      </c>
      <c r="D65" s="10">
        <v>45279</v>
      </c>
      <c r="E65" t="s">
        <v>44</v>
      </c>
      <c r="F65" t="s">
        <v>42</v>
      </c>
      <c r="G65" t="s">
        <v>89</v>
      </c>
      <c r="H65" t="s">
        <v>160</v>
      </c>
      <c r="J65" s="12">
        <v>227500</v>
      </c>
      <c r="K65" s="8"/>
      <c r="L65" s="8"/>
      <c r="M65" s="8"/>
      <c r="N65" s="8"/>
      <c r="O65" s="8">
        <f t="shared" si="2"/>
        <v>227500</v>
      </c>
      <c r="P65" s="8">
        <f t="shared" si="3"/>
        <v>229775</v>
      </c>
      <c r="Q65">
        <v>0</v>
      </c>
    </row>
    <row r="66" spans="1:17" x14ac:dyDescent="0.25">
      <c r="A66" t="s">
        <v>149</v>
      </c>
      <c r="B66" s="10">
        <v>45287</v>
      </c>
      <c r="C66" s="5" t="s">
        <v>157</v>
      </c>
      <c r="D66" s="10">
        <v>45279</v>
      </c>
      <c r="E66" t="s">
        <v>44</v>
      </c>
      <c r="F66" t="s">
        <v>42</v>
      </c>
      <c r="G66" t="s">
        <v>158</v>
      </c>
      <c r="H66" t="s">
        <v>33</v>
      </c>
      <c r="J66" s="12">
        <v>227500</v>
      </c>
      <c r="K66" s="8"/>
      <c r="L66" s="8"/>
      <c r="M66" s="8"/>
      <c r="N66" s="8"/>
      <c r="O66" s="8">
        <f t="shared" ref="O66:O97" si="4">SUM(J66:N66)</f>
        <v>227500</v>
      </c>
      <c r="P66" s="8">
        <f t="shared" ref="P66:P97" si="5">ROUND(O66*1.01,0)</f>
        <v>229775</v>
      </c>
      <c r="Q66">
        <v>0</v>
      </c>
    </row>
  </sheetData>
  <dataValidations count="1">
    <dataValidation type="list" showInputMessage="1" showErrorMessage="1" sqref="Q2:Q66" xr:uid="{0E39FF49-918E-45B6-B38B-CC81773D4D61}">
      <formula1>"0,1"</formula1>
    </dataValidation>
  </dataValidations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3A1672-2B4A-49A5-A362-DBED218446F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SETTINGS</vt:lpstr>
      <vt:lpstr>WORKSHEET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hadi</cp:lastModifiedBy>
  <dcterms:created xsi:type="dcterms:W3CDTF">2024-01-15T02:54:44Z</dcterms:created>
  <dcterms:modified xsi:type="dcterms:W3CDTF">2024-01-22T03:13:10Z</dcterms:modified>
</cp:coreProperties>
</file>