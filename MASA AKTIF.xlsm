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18DB03D1-BFE1-41E9-AB96-9D7A0F3DC348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4" l="1" a="1"/>
  <c r="J4" i="4" s="1"/>
  <c r="F7" i="2"/>
  <c r="F12" i="2"/>
  <c r="G8" i="2"/>
  <c r="F5" i="2"/>
  <c r="F9" i="2" s="1"/>
  <c r="F22" i="2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 a="1"/>
  <c r="O28" i="4" s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 a="1"/>
  <c r="T27" i="4" s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 a="1"/>
  <c r="N27" i="4" s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 a="1"/>
  <c r="S26" i="4" s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 a="1"/>
  <c r="M26" i="4" s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 a="1"/>
  <c r="R25" i="4" s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 a="1"/>
  <c r="L25" i="4" s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 a="1"/>
  <c r="Q24" i="4" s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 a="1"/>
  <c r="K24" i="4" s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 a="1"/>
  <c r="P23" i="4" s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 a="1"/>
  <c r="J23" i="4" s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 a="1"/>
  <c r="O22" i="4" s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 a="1"/>
  <c r="T21" i="4" s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 a="1"/>
  <c r="N21" i="4" s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 a="1"/>
  <c r="S20" i="4" s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 a="1"/>
  <c r="M20" i="4" s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 a="1"/>
  <c r="R19" i="4" s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 a="1"/>
  <c r="L19" i="4" s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 a="1"/>
  <c r="Q18" i="4" s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 a="1"/>
  <c r="K18" i="4" s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 a="1"/>
  <c r="P17" i="4" s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 a="1"/>
  <c r="J17" i="4" s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 a="1"/>
  <c r="O16" i="4" s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 a="1"/>
  <c r="T15" i="4" s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 a="1"/>
  <c r="N15" i="4" s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8" i="2" l="1"/>
  <c r="F16" i="2"/>
  <c r="F19" i="2"/>
  <c r="C1" i="2"/>
  <c r="C2" i="2"/>
  <c r="C4" i="2"/>
  <c r="C7" i="2" l="1"/>
  <c r="B11" i="2" s="1"/>
  <c r="F6" i="2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<sst xmlns="http://schemas.openxmlformats.org/spreadsheetml/2006/main" count="182" uniqueCount="84">
  <si>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</si>
  <si>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</si>
  <si>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</si>
  <si>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</si>
  <si>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</si>
  <si>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</si>
  <si>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</si>
  <si>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</si>
  <si>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</si>
  <si>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</si>
  <si>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</si>
  <si>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</si>
  <si>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</si>
  <si>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</si>
  <si>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</si>
  <si>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</si>
  <si>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</si>
  <si>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</si>
  <si>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</si>
  <si>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</si>
  <si>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</si>
  <si>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</si>
  <si>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</si>
  <si>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</si>
  <si>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</si>
  <si>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</si>
  <si>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</si>
  <si>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</si>
  <si>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</si>
  <si>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</si>
  <si>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</si>
  <si>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</si>
  <si>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</si>
  <si>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</si>
  <si>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</si>
  <si>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</si>
  <si>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</si>
  <si>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</si>
  <si>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</si>
  <si>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</si>
  <si>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</si>
  <si>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</si>
  <si>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</si>
  <si>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</si>
  <si>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</si>
  <si>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</si>
  <si>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</si>
  <si>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</si>
  <si>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</si>
  <si>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</si>
  <si>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</si>
  <si>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</si>
  <si>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</si>
  <si>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</si>
  <si>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</si>
  <si>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</si>
  <si>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</si>
  <si>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</si>
  <si>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</si>
  <si>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</si>
  <si>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</si>
  <si>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</si>
  <si>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</si>
  <si>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</si>
  <si>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</si>
  <si>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</si>
  <si>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</si>
  <si>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</si>
  <si>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</si>
  <si>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</si>
  <si>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</si>
  <si>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</si>
  <si>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</si>
  <si>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</si>
  <si>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</si>
  <si>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</si>
  <si>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</si>
  <si>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</si>
  <si>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</si>
  <si>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</si>
  <si>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</si>
  <si>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</si>
  <si>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Tanggal Kontrak</t>
  </si>
  <si>
    <t>AWAL MASUK GISTEX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</si>
</sst>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C6" sqref="C6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9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11 bulan 29 hari</v>
      </c>
    </row>
    <row r="2" spans="2:10" x14ac:dyDescent="0.25">
      <c r="B2" t="s">
        <v>4</v>
      </c>
      <c r="C2" s="7">
        <f ca="1">DATE(YEAR(TODAY()),5+1,0)</f>
        <v>45443</v>
      </c>
      <c r="E2" t="s">
        <v>83</v>
      </c>
      <c r="F2" s="13">
        <v>45075</v>
      </c>
      <c r="G2" t="s">
        <v>80</v>
      </c>
    </row>
    <row r="3" spans="2:10" ht="15.75" x14ac:dyDescent="0.25">
      <c r="E3" t="s">
        <v>82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45440.689795949074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363</v>
      </c>
      <c r="E7" t="s">
        <v>7</v>
      </c>
      <c r="F7" s="13" t="str">
        <f ca="1">DATEDIF(F2,TODAY(),"m") &amp; " bulan " &amp; DATEDIF(F2,TODAY(),"md") &amp; " hari"</f>
        <v>11 bulan 29 hari</v>
      </c>
      <c r="J7" s="14" t="s">
        <v>15</v>
      </c>
    </row>
    <row r="8" spans="2:10" ht="15.75" x14ac:dyDescent="0.25">
      <c r="B8" t="s">
        <v>3</v>
      </c>
      <c r="C8" s="8">
        <f ca="1">C5-C4</f>
        <v>363.31020405092568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29 hari</v>
      </c>
      <c r="G8" s="13" t="str">
        <f ca="1">IF(DATEDIF(TODAY(), DATE(2024,5,29), "y") &gt; 0, DATEDIF(TODAY(), DATE(2024,5,29), "y") &amp; " tahun " &amp; DATEDIF(TODAY(), DATE(2024,5,29), "ym") &amp; " bulan " &amp; DATEDIF(TODAY(), DATE(2024,5,29), "md") &amp; " hari", IF(DATEDIF(TODAY(), DATE(2024,5,29), "m") &gt;= 1, DATEDIF(TODAY(), DATE(2024,5,29), "ym") &amp; " bulan " &amp; DATEDIF(TODAY(), DATE(2024,5,29), "md") &amp; " hari", DATEDIF(TODAY(), DATE(2024,5,29), "md") &amp; " hari"))</f>
        <v>1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29 hari</v>
      </c>
    </row>
    <row r="10" spans="2:10" x14ac:dyDescent="0.25">
      <c r="B10" s="9" t="s">
        <v>5</v>
      </c>
      <c r="C10" s="10" t="s">
        <v>6</v>
      </c>
      <c r="F10" s="13"/>
    </row>
    <row r="11" spans="2:10" ht="15.75" thickBot="1" x14ac:dyDescent="0.3">
      <c r="B11" s="11" t="str">
        <f ca="1">"  "&amp;C7&amp;" Hari"</f>
        <v xml:space="preserve">  363 Hari</v>
      </c>
      <c r="C11" s="12">
        <f ca="1">C8</f>
        <v>363.31020405092568</v>
      </c>
      <c r="E11" s="13"/>
    </row>
    <row r="12" spans="2:10" x14ac:dyDescent="0.25">
      <c r="F12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364</v>
      </c>
    </row>
    <row r="17" spans="6:6" x14ac:dyDescent="0.25">
      <c r="F17" s="32"/>
    </row>
    <row r="18" spans="6:6" x14ac:dyDescent="0.25">
      <c r="F18" s="32"/>
    </row>
    <row r="19" spans="6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29 hari</v>
      </c>
    </row>
    <row r="22" spans="6:6" x14ac:dyDescent="0.25">
      <c r="F22" t="str">
        <f ca="1">IF(
    DATEDIF(TODAY(), DATE(2024,5,29), "y") &gt; 0,
    DATEDIF(TODAY(), DATE(2024,5,29), "y") &amp; " tahun " &amp;
    DATEDIF(TODAY(), DATE(2024,5,29), "ym") &amp; " bulan " &amp;
    DATEDIF(TODAY(), DATE(2024,5,29), "md") &amp; " hari",
    IF(
        DATEDIF(TODAY(), DATE(2024,5,29), "m") &gt;= 1,
        DATEDIF(TODAY(), DATE(2024,5,29), "ym") &amp; " bulan " &amp;
        DATEDIF(TODAY(), DATE(2024,5,29), "md") &amp; " hari",
        DATEDIF(TODAY(), DATE(2024,5,29), "md") &amp; " hari"
    )
)</f>
        <v>1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:XFD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22</v>
      </c>
      <c r="B1" s="37"/>
      <c r="C1" s="37"/>
      <c r="D1" s="37"/>
      <c r="E1" s="37"/>
      <c r="F1" s="37"/>
      <c r="G1" s="37"/>
      <c r="H1" s="37"/>
      <c r="I1" s="37"/>
      <c r="P1" s="38" t="s">
        <v>22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G11" sqref="G11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61</v>
      </c>
      <c r="B1" s="34" t="s">
        <v>62</v>
      </c>
      <c r="C1" s="34" t="s">
        <v>20</v>
      </c>
      <c r="D1" s="34" t="s">
        <v>38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72</v>
      </c>
      <c r="C2" s="34" t="s">
        <v>79</v>
      </c>
      <c r="D2" s="34" t="s">
        <v>59</v>
      </c>
      <c r="I2" s="34"/>
      <c r="J2" s="36" t="s">
        <v>79</v>
      </c>
      <c r="K2" s="36" t="s">
        <v>78</v>
      </c>
      <c r="L2" s="36" t="s">
        <v>77</v>
      </c>
      <c r="M2" s="36" t="s">
        <v>75</v>
      </c>
      <c r="N2" s="36" t="s">
        <v>74</v>
      </c>
      <c r="O2" s="36" t="s">
        <v>73</v>
      </c>
      <c r="P2" s="36" t="s">
        <v>71</v>
      </c>
      <c r="Q2" s="36" t="s">
        <v>70</v>
      </c>
      <c r="R2" s="36" t="s">
        <v>67</v>
      </c>
      <c r="S2" s="36" t="s">
        <v>65</v>
      </c>
      <c r="T2" s="36" t="s">
        <v>60</v>
      </c>
      <c r="U2"/>
      <c r="V2"/>
    </row>
    <row r="3" spans="1:22" x14ac:dyDescent="0.25">
      <c r="A3" s="35">
        <v>45300</v>
      </c>
      <c r="B3" s="34" t="s">
        <v>68</v>
      </c>
      <c r="C3" s="34" t="s">
        <v>79</v>
      </c>
      <c r="D3" s="34" t="s">
        <v>58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66</v>
      </c>
      <c r="C4" s="34" t="s">
        <v>78</v>
      </c>
      <c r="D4" s="34" t="s">
        <v>57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64</v>
      </c>
      <c r="C5" s="34" t="s">
        <v>78</v>
      </c>
      <c r="D5" s="34" t="s">
        <v>56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68</v>
      </c>
      <c r="C6" s="34" t="s">
        <v>78</v>
      </c>
      <c r="D6" s="34" t="s">
        <v>43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63</v>
      </c>
      <c r="C7" s="34" t="s">
        <v>78</v>
      </c>
      <c r="D7" s="34" t="s">
        <v>42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66</v>
      </c>
      <c r="C8" s="34" t="s">
        <v>78</v>
      </c>
      <c r="D8" s="34" t="s">
        <v>41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64</v>
      </c>
      <c r="C9" s="34" t="s">
        <v>77</v>
      </c>
      <c r="D9" s="34" t="s">
        <v>40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72</v>
      </c>
      <c r="C10" s="34" t="s">
        <v>77</v>
      </c>
      <c r="D10" s="34" t="s">
        <v>55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76</v>
      </c>
      <c r="C11" s="34" t="s">
        <v>77</v>
      </c>
      <c r="D11" s="34" t="s">
        <v>54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63</v>
      </c>
      <c r="C12" s="34" t="s">
        <v>75</v>
      </c>
      <c r="D12" s="34" t="s">
        <v>53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66</v>
      </c>
      <c r="C13" s="34" t="s">
        <v>75</v>
      </c>
      <c r="D13" s="34" t="s">
        <v>53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63</v>
      </c>
      <c r="C14" s="34" t="s">
        <v>74</v>
      </c>
      <c r="D14" s="34" t="s">
        <v>52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66</v>
      </c>
      <c r="C15" s="34" t="s">
        <v>74</v>
      </c>
      <c r="D15" s="34" t="s">
        <v>51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66</v>
      </c>
      <c r="C16" s="34" t="s">
        <v>74</v>
      </c>
      <c r="D16" s="34" t="s">
        <v>50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64</v>
      </c>
      <c r="C17" s="34" t="s">
        <v>73</v>
      </c>
      <c r="D17" s="34" t="s">
        <v>49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72</v>
      </c>
      <c r="C18" s="34" t="s">
        <v>73</v>
      </c>
      <c r="D18" s="34" t="s">
        <v>48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69</v>
      </c>
      <c r="C19" s="34" t="s">
        <v>71</v>
      </c>
      <c r="D19" s="34" t="s">
        <v>47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64</v>
      </c>
      <c r="C20" s="34" t="s">
        <v>71</v>
      </c>
      <c r="D20" s="34" t="s">
        <v>46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64</v>
      </c>
      <c r="C21" s="34" t="s">
        <v>70</v>
      </c>
      <c r="D21" s="34" t="s">
        <v>45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69</v>
      </c>
      <c r="C22" s="34" t="s">
        <v>67</v>
      </c>
      <c r="D22" s="34" t="s">
        <v>44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68</v>
      </c>
      <c r="C23" s="34" t="s">
        <v>67</v>
      </c>
      <c r="D23" s="34" t="s">
        <v>43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63</v>
      </c>
      <c r="C24" s="34" t="s">
        <v>67</v>
      </c>
      <c r="D24" s="34" t="s">
        <v>42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66</v>
      </c>
      <c r="C25" s="34" t="s">
        <v>67</v>
      </c>
      <c r="D25" s="34" t="s">
        <v>41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64</v>
      </c>
      <c r="C26" s="34" t="s">
        <v>65</v>
      </c>
      <c r="D26" s="34" t="s">
        <v>40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63</v>
      </c>
      <c r="C27" s="34" t="s">
        <v>60</v>
      </c>
      <c r="D27" s="34" t="s">
        <v>39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2024-05-28T09:33:39Z</dcterms:modified>
</cp:coreProperties>
</file>