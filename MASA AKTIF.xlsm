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6B5A6EE1-7C0F-4BBF-8E54-C20BC8B9DF7C}" xr6:coauthVersionLast="47" xr6:coauthVersionMax="47" xr10:uidLastSave="{00000000-0000-0000-0000-000000000000}"/>
  <bookViews>
    <workbookView xWindow="-4365" yWindow="3120" windowWidth="10350" windowHeight="765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  <c r="F11" i="2"/>
  <c r="F6" i="2"/>
  <c r="F7" i="2"/>
  <c r="F4" i="2"/>
  <c r="F15" i="2" s="1"/>
  <c r="C1" i="2"/>
  <c r="C2" i="2"/>
  <c r="C4" i="2"/>
  <c r="F5" i="2" l="1"/>
  <c r="C7" i="2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<sst xmlns="http://schemas.openxmlformats.org/spreadsheetml/2006/main" count="170" uniqueCount="83">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</sst>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A758A"/>
      <color rgb="FF124C74"/>
      <color rgb="FF0E8BB2"/>
      <color rgb="FF0C507A"/>
      <color rgb="FF3DA2CF"/>
      <color rgb="FF275A85"/>
      <color rgb="FF2F6DA1"/>
      <color rgb="FF2E8DB8"/>
      <color rgb="FF12BA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I9" sqref="I9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 t="str">
        <f ca="1">TEXT(INT((DATE(2024,5,29)-NOW())*24), "00") &amp; ":" &amp; TEXT(MOD(INT((DATE(2024,5,29)-NOW())*24*60),60), "00") &amp; ":" &amp; TEXT(MOD(INT((DATE(2024,5,29)-NOW())*24*60*60),60), "00")</f>
        <v>1550:52:56</v>
      </c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7"/>
  <sheetViews>
    <sheetView topLeftCell="D1" workbookViewId="0">
      <selection activeCell="D1" sqref="D1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54.28515625" bestFit="1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9 bulan 25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G2" t="s">
        <v>81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45376.379902777779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F5" t="str">
        <f>"Berakhir Pada Hari " &amp; TEXT(F4,"[$-id-ID]dddd")&amp; ", Tanggal "&amp; TEXT(F4,"[$-id-ID]dd") &amp; ", Bulan "&amp; TEXT(F4,"[$-id-ID]mmmm")&amp; ", Tahun "&amp; TEXT(F4,"[$-id-ID]yyyy")</f>
        <v>Berakhir Pada Hari Rabu, Tanggal 29, Bulan Mei, Tahun 2024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9 bulan 25 hari</v>
      </c>
      <c r="J6" s="14" t="s">
        <v>16</v>
      </c>
    </row>
    <row r="7" spans="2:10" ht="15.75" x14ac:dyDescent="0.25">
      <c r="B7" t="s">
        <v>2</v>
      </c>
      <c r="C7">
        <f ca="1">ROUNDDOWN(C5-C4,0)</f>
        <v>66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6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66.620097222221375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66 Hari</v>
      </c>
      <c r="C11" s="12">
        <f ca="1">C8</f>
        <v>66.620097222221375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6 hari</v>
      </c>
    </row>
    <row r="12" spans="2:10" x14ac:dyDescent="0.25">
      <c r="G12" t="s">
        <v>18</v>
      </c>
    </row>
    <row r="13" spans="2:10" x14ac:dyDescent="0.25">
      <c r="G13" t="s">
        <v>19</v>
      </c>
    </row>
    <row r="14" spans="2:10" x14ac:dyDescent="0.25">
      <c r="F14" t="s">
        <v>82</v>
      </c>
    </row>
    <row r="15" spans="2:10" x14ac:dyDescent="0.25">
      <c r="F15" s="36">
        <f ca="1">DATEDIF(TODAY(),F4, "d")</f>
        <v>65</v>
      </c>
    </row>
    <row r="16" spans="2:10" x14ac:dyDescent="0.25">
      <c r="F16" s="33"/>
    </row>
    <row r="17" spans="6:6" x14ac:dyDescent="0.25">
      <c r="F17" s="33"/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/>
  <dimension ref="A1:X23"/>
  <sheetViews>
    <sheetView zoomScale="85" zoomScaleNormal="85" workbookViewId="0">
      <selection activeCell="E23" sqref="E2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16384" width="9.140625" style="1"/>
  </cols>
  <sheetData>
    <row r="1" spans="1:24" ht="23.25" customHeight="1" x14ac:dyDescent="0.25">
      <c r="A1" s="34" t="s">
        <v>23</v>
      </c>
      <c r="B1" s="34"/>
      <c r="C1" s="34"/>
      <c r="D1" s="34"/>
      <c r="E1" s="34"/>
      <c r="F1" s="34"/>
      <c r="G1" s="34"/>
      <c r="H1" s="34"/>
      <c r="I1" s="34"/>
      <c r="P1" s="35" t="s">
        <v>23</v>
      </c>
      <c r="Q1" s="35"/>
      <c r="R1" s="35"/>
      <c r="S1" s="35"/>
      <c r="T1" s="35"/>
      <c r="U1" s="35"/>
      <c r="V1" s="35"/>
      <c r="W1" s="35"/>
      <c r="X1" s="35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38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/>
  <dimension ref="A1:D27"/>
  <sheetViews>
    <sheetView workbookViewId="0">
      <selection activeCell="C12" sqref="C12"/>
    </sheetView>
  </sheetViews>
  <sheetFormatPr defaultRowHeight="15" x14ac:dyDescent="0.25"/>
  <cols>
    <col min="1" max="1" width="24.5703125" style="31" bestFit="1" customWidth="1"/>
    <col min="2" max="2" width="7.5703125" style="31" bestFit="1" customWidth="1"/>
    <col min="3" max="3" width="10.85546875" style="31" bestFit="1" customWidth="1"/>
    <col min="4" max="4" width="31" style="31" bestFit="1" customWidth="1"/>
    <col min="5" max="16384" width="9.140625" style="31"/>
  </cols>
  <sheetData>
    <row r="1" spans="1:4" x14ac:dyDescent="0.25">
      <c r="A1" s="31" t="s">
        <v>62</v>
      </c>
      <c r="B1" s="31" t="s">
        <v>63</v>
      </c>
      <c r="C1" s="31" t="s">
        <v>21</v>
      </c>
      <c r="D1" s="31" t="s">
        <v>39</v>
      </c>
    </row>
    <row r="2" spans="1:4" x14ac:dyDescent="0.25">
      <c r="A2" s="32">
        <v>45292</v>
      </c>
      <c r="B2" s="31" t="s">
        <v>73</v>
      </c>
      <c r="C2" s="31" t="s">
        <v>80</v>
      </c>
      <c r="D2" s="31" t="s">
        <v>60</v>
      </c>
    </row>
    <row r="3" spans="1:4" x14ac:dyDescent="0.25">
      <c r="A3" s="32">
        <v>45300</v>
      </c>
      <c r="B3" s="31" t="s">
        <v>69</v>
      </c>
      <c r="C3" s="31" t="s">
        <v>80</v>
      </c>
      <c r="D3" s="31" t="s">
        <v>59</v>
      </c>
    </row>
    <row r="4" spans="1:4" x14ac:dyDescent="0.25">
      <c r="A4" s="32">
        <v>45330</v>
      </c>
      <c r="B4" s="31" t="s">
        <v>67</v>
      </c>
      <c r="C4" s="31" t="s">
        <v>79</v>
      </c>
      <c r="D4" s="31" t="s">
        <v>58</v>
      </c>
    </row>
    <row r="5" spans="1:4" x14ac:dyDescent="0.25">
      <c r="A5" s="32">
        <v>45332</v>
      </c>
      <c r="B5" s="31" t="s">
        <v>65</v>
      </c>
      <c r="C5" s="31" t="s">
        <v>79</v>
      </c>
      <c r="D5" s="31" t="s">
        <v>57</v>
      </c>
    </row>
    <row r="6" spans="1:4" x14ac:dyDescent="0.25">
      <c r="A6" s="32">
        <v>45349</v>
      </c>
      <c r="B6" s="31" t="s">
        <v>69</v>
      </c>
      <c r="C6" s="31" t="s">
        <v>79</v>
      </c>
      <c r="D6" s="31" t="s">
        <v>44</v>
      </c>
    </row>
    <row r="7" spans="1:4" x14ac:dyDescent="0.25">
      <c r="A7" s="32">
        <v>45350</v>
      </c>
      <c r="B7" s="31" t="s">
        <v>64</v>
      </c>
      <c r="C7" s="31" t="s">
        <v>79</v>
      </c>
      <c r="D7" s="31" t="s">
        <v>43</v>
      </c>
    </row>
    <row r="8" spans="1:4" x14ac:dyDescent="0.25">
      <c r="A8" s="32">
        <v>45351</v>
      </c>
      <c r="B8" s="31" t="s">
        <v>67</v>
      </c>
      <c r="C8" s="31" t="s">
        <v>79</v>
      </c>
      <c r="D8" s="31" t="s">
        <v>42</v>
      </c>
    </row>
    <row r="9" spans="1:4" x14ac:dyDescent="0.25">
      <c r="A9" s="32">
        <v>45360</v>
      </c>
      <c r="B9" s="31" t="s">
        <v>65</v>
      </c>
      <c r="C9" s="31" t="s">
        <v>78</v>
      </c>
      <c r="D9" s="31" t="s">
        <v>41</v>
      </c>
    </row>
    <row r="10" spans="1:4" x14ac:dyDescent="0.25">
      <c r="A10" s="32">
        <v>45362</v>
      </c>
      <c r="B10" s="31" t="s">
        <v>73</v>
      </c>
      <c r="C10" s="31" t="s">
        <v>78</v>
      </c>
      <c r="D10" s="31" t="s">
        <v>56</v>
      </c>
    </row>
    <row r="11" spans="1:4" x14ac:dyDescent="0.25">
      <c r="A11" s="32">
        <v>45380</v>
      </c>
      <c r="B11" s="31" t="s">
        <v>77</v>
      </c>
      <c r="C11" s="31" t="s">
        <v>78</v>
      </c>
      <c r="D11" s="31" t="s">
        <v>55</v>
      </c>
    </row>
    <row r="12" spans="1:4" x14ac:dyDescent="0.25">
      <c r="A12" s="32">
        <v>45392</v>
      </c>
      <c r="B12" s="31" t="s">
        <v>64</v>
      </c>
      <c r="C12" s="31" t="s">
        <v>76</v>
      </c>
      <c r="D12" s="31" t="s">
        <v>54</v>
      </c>
    </row>
    <row r="13" spans="1:4" x14ac:dyDescent="0.25">
      <c r="A13" s="32">
        <v>45393</v>
      </c>
      <c r="B13" s="31" t="s">
        <v>67</v>
      </c>
      <c r="C13" s="31" t="s">
        <v>76</v>
      </c>
      <c r="D13" s="31" t="s">
        <v>54</v>
      </c>
    </row>
    <row r="14" spans="1:4" x14ac:dyDescent="0.25">
      <c r="A14" s="32">
        <v>45413</v>
      </c>
      <c r="B14" s="31" t="s">
        <v>64</v>
      </c>
      <c r="C14" s="31" t="s">
        <v>75</v>
      </c>
      <c r="D14" s="31" t="s">
        <v>53</v>
      </c>
    </row>
    <row r="15" spans="1:4" x14ac:dyDescent="0.25">
      <c r="A15" s="32">
        <v>45421</v>
      </c>
      <c r="B15" s="31" t="s">
        <v>67</v>
      </c>
      <c r="C15" s="31" t="s">
        <v>75</v>
      </c>
      <c r="D15" s="31" t="s">
        <v>52</v>
      </c>
    </row>
    <row r="16" spans="1:4" x14ac:dyDescent="0.25">
      <c r="A16" s="32">
        <v>45435</v>
      </c>
      <c r="B16" s="31" t="s">
        <v>67</v>
      </c>
      <c r="C16" s="31" t="s">
        <v>75</v>
      </c>
      <c r="D16" s="31" t="s">
        <v>51</v>
      </c>
    </row>
    <row r="17" spans="1:4" x14ac:dyDescent="0.25">
      <c r="A17" s="32">
        <v>45444</v>
      </c>
      <c r="B17" s="31" t="s">
        <v>65</v>
      </c>
      <c r="C17" s="31" t="s">
        <v>74</v>
      </c>
      <c r="D17" s="31" t="s">
        <v>50</v>
      </c>
    </row>
    <row r="18" spans="1:4" x14ac:dyDescent="0.25">
      <c r="A18" s="32">
        <v>45460</v>
      </c>
      <c r="B18" s="31" t="s">
        <v>73</v>
      </c>
      <c r="C18" s="31" t="s">
        <v>74</v>
      </c>
      <c r="D18" s="31" t="s">
        <v>49</v>
      </c>
    </row>
    <row r="19" spans="1:4" x14ac:dyDescent="0.25">
      <c r="A19" s="32">
        <v>45480</v>
      </c>
      <c r="B19" s="31" t="s">
        <v>70</v>
      </c>
      <c r="C19" s="31" t="s">
        <v>72</v>
      </c>
      <c r="D19" s="31" t="s">
        <v>48</v>
      </c>
    </row>
    <row r="20" spans="1:4" x14ac:dyDescent="0.25">
      <c r="A20" s="32">
        <v>45486</v>
      </c>
      <c r="B20" s="31" t="s">
        <v>65</v>
      </c>
      <c r="C20" s="31" t="s">
        <v>72</v>
      </c>
      <c r="D20" s="31" t="s">
        <v>47</v>
      </c>
    </row>
    <row r="21" spans="1:4" x14ac:dyDescent="0.25">
      <c r="A21" s="32">
        <v>45521</v>
      </c>
      <c r="B21" s="31" t="s">
        <v>65</v>
      </c>
      <c r="C21" s="31" t="s">
        <v>71</v>
      </c>
      <c r="D21" s="31" t="s">
        <v>46</v>
      </c>
    </row>
    <row r="22" spans="1:4" x14ac:dyDescent="0.25">
      <c r="A22" s="32">
        <v>45550</v>
      </c>
      <c r="B22" s="31" t="s">
        <v>70</v>
      </c>
      <c r="C22" s="31" t="s">
        <v>68</v>
      </c>
      <c r="D22" s="31" t="s">
        <v>45</v>
      </c>
    </row>
    <row r="23" spans="1:4" x14ac:dyDescent="0.25">
      <c r="A23" s="32">
        <v>45559</v>
      </c>
      <c r="B23" s="31" t="s">
        <v>69</v>
      </c>
      <c r="C23" s="31" t="s">
        <v>68</v>
      </c>
      <c r="D23" s="31" t="s">
        <v>44</v>
      </c>
    </row>
    <row r="24" spans="1:4" x14ac:dyDescent="0.25">
      <c r="A24" s="32">
        <v>45560</v>
      </c>
      <c r="B24" s="31" t="s">
        <v>64</v>
      </c>
      <c r="C24" s="31" t="s">
        <v>68</v>
      </c>
      <c r="D24" s="31" t="s">
        <v>43</v>
      </c>
    </row>
    <row r="25" spans="1:4" x14ac:dyDescent="0.25">
      <c r="A25" s="32">
        <v>45561</v>
      </c>
      <c r="B25" s="31" t="s">
        <v>67</v>
      </c>
      <c r="C25" s="31" t="s">
        <v>68</v>
      </c>
      <c r="D25" s="31" t="s">
        <v>42</v>
      </c>
    </row>
    <row r="26" spans="1:4" x14ac:dyDescent="0.25">
      <c r="A26" s="32">
        <v>45570</v>
      </c>
      <c r="B26" s="31" t="s">
        <v>65</v>
      </c>
      <c r="C26" s="31" t="s">
        <v>66</v>
      </c>
      <c r="D26" s="31" t="s">
        <v>41</v>
      </c>
    </row>
    <row r="27" spans="1:4" x14ac:dyDescent="0.25">
      <c r="A27" s="32">
        <v>45651</v>
      </c>
      <c r="B27" s="31" t="s">
        <v>64</v>
      </c>
      <c r="C27" s="31" t="s">
        <v>61</v>
      </c>
      <c r="D27" s="31" t="s">
        <v>40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2024-03-25T02:17:07Z</dcterms:modified>
</cp:coreProperties>
</file>