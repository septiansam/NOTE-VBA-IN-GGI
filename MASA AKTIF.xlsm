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49EAF141-9E35-4327-BFE8-970AB1A1E332}" xr6:coauthVersionLast="47" xr6:coauthVersionMax="47" xr10:uidLastSave="{00000000-0000-0000-0000-000000000000}"/>
  <bookViews>
    <workbookView xWindow="-120" yWindow="-120" windowWidth="20730" windowHeight="11160" activeTab="1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1" i="2" l="1"/>
  <c r="F8" i="2"/>
  <c r="F18" i="2"/>
  <c r="F4" i="2"/>
  <c r="F15" i="2" s="1"/>
  <c r="F7" i="2"/>
  <c r="F6" i="2"/>
  <c r="A31" i="4"/>
  <c r="T28" i="4" a="1"/>
  <c r="T28" i="4" s="1"/>
  <c r="S28" i="4" a="1"/>
  <c r="S28" i="4" s="1"/>
  <c r="R28" i="4" a="1"/>
  <c r="R28" i="4" s="1"/>
  <c r="Q28" i="4" a="1"/>
  <c r="Q28" i="4" s="1"/>
  <c r="P28" i="4" a="1"/>
  <c r="P28" i="4" s="1"/>
  <c r="O28" i="4"/>
  <c r="O28" i="4" a="1"/>
  <c r="N28" i="4" a="1"/>
  <c r="N28" i="4" s="1"/>
  <c r="M28" i="4" a="1"/>
  <c r="M28" i="4" s="1"/>
  <c r="L28" i="4" a="1"/>
  <c r="L28" i="4" s="1"/>
  <c r="K28" i="4" a="1"/>
  <c r="K28" i="4" s="1"/>
  <c r="J28" i="4" a="1"/>
  <c r="J28" i="4" s="1"/>
  <c r="T27" i="4"/>
  <c r="T27" i="4" a="1"/>
  <c r="S27" i="4" a="1"/>
  <c r="S27" i="4" s="1"/>
  <c r="R27" i="4" a="1"/>
  <c r="R27" i="4" s="1"/>
  <c r="Q27" i="4" a="1"/>
  <c r="Q27" i="4" s="1"/>
  <c r="P27" i="4" a="1"/>
  <c r="P27" i="4" s="1"/>
  <c r="O27" i="4" a="1"/>
  <c r="O27" i="4" s="1"/>
  <c r="N27" i="4"/>
  <c r="N27" i="4" a="1"/>
  <c r="M27" i="4" a="1"/>
  <c r="M27" i="4" s="1"/>
  <c r="L27" i="4" a="1"/>
  <c r="L27" i="4" s="1"/>
  <c r="K27" i="4" a="1"/>
  <c r="K27" i="4" s="1"/>
  <c r="J27" i="4" a="1"/>
  <c r="J27" i="4" s="1"/>
  <c r="T26" i="4" a="1"/>
  <c r="T26" i="4" s="1"/>
  <c r="S26" i="4"/>
  <c r="S26" i="4" a="1"/>
  <c r="R26" i="4" a="1"/>
  <c r="R26" i="4" s="1"/>
  <c r="Q26" i="4" a="1"/>
  <c r="Q26" i="4" s="1"/>
  <c r="P26" i="4" a="1"/>
  <c r="P26" i="4" s="1"/>
  <c r="O26" i="4" a="1"/>
  <c r="O26" i="4" s="1"/>
  <c r="N26" i="4" a="1"/>
  <c r="N26" i="4" s="1"/>
  <c r="M26" i="4"/>
  <c r="M26" i="4" a="1"/>
  <c r="L26" i="4" a="1"/>
  <c r="L26" i="4" s="1"/>
  <c r="K26" i="4" a="1"/>
  <c r="K26" i="4" s="1"/>
  <c r="J26" i="4" a="1"/>
  <c r="J26" i="4" s="1"/>
  <c r="T25" i="4" a="1"/>
  <c r="T25" i="4" s="1"/>
  <c r="S25" i="4" a="1"/>
  <c r="S25" i="4" s="1"/>
  <c r="R25" i="4"/>
  <c r="R25" i="4" a="1"/>
  <c r="Q25" i="4" a="1"/>
  <c r="Q25" i="4" s="1"/>
  <c r="P25" i="4" a="1"/>
  <c r="P25" i="4" s="1"/>
  <c r="O25" i="4" a="1"/>
  <c r="O25" i="4" s="1"/>
  <c r="N25" i="4" a="1"/>
  <c r="N25" i="4" s="1"/>
  <c r="M25" i="4" a="1"/>
  <c r="M25" i="4" s="1"/>
  <c r="L25" i="4"/>
  <c r="L25" i="4" a="1"/>
  <c r="K25" i="4" a="1"/>
  <c r="K25" i="4" s="1"/>
  <c r="J25" i="4" a="1"/>
  <c r="J25" i="4" s="1"/>
  <c r="T24" i="4" a="1"/>
  <c r="T24" i="4" s="1"/>
  <c r="S24" i="4" a="1"/>
  <c r="S24" i="4" s="1"/>
  <c r="R24" i="4" a="1"/>
  <c r="R24" i="4" s="1"/>
  <c r="Q24" i="4"/>
  <c r="Q24" i="4" a="1"/>
  <c r="P24" i="4" a="1"/>
  <c r="P24" i="4" s="1"/>
  <c r="O24" i="4" a="1"/>
  <c r="O24" i="4" s="1"/>
  <c r="N24" i="4" a="1"/>
  <c r="N24" i="4" s="1"/>
  <c r="M24" i="4" a="1"/>
  <c r="M24" i="4" s="1"/>
  <c r="L24" i="4" a="1"/>
  <c r="L24" i="4" s="1"/>
  <c r="K24" i="4"/>
  <c r="K24" i="4" a="1"/>
  <c r="J24" i="4" a="1"/>
  <c r="J24" i="4" s="1"/>
  <c r="T23" i="4" a="1"/>
  <c r="T23" i="4" s="1"/>
  <c r="S23" i="4" a="1"/>
  <c r="S23" i="4" s="1"/>
  <c r="R23" i="4" a="1"/>
  <c r="R23" i="4" s="1"/>
  <c r="Q23" i="4" a="1"/>
  <c r="Q23" i="4" s="1"/>
  <c r="P23" i="4"/>
  <c r="P23" i="4" a="1"/>
  <c r="O23" i="4" a="1"/>
  <c r="O23" i="4" s="1"/>
  <c r="N23" i="4" a="1"/>
  <c r="N23" i="4" s="1"/>
  <c r="M23" i="4" a="1"/>
  <c r="M23" i="4" s="1"/>
  <c r="L23" i="4" a="1"/>
  <c r="L23" i="4" s="1"/>
  <c r="K23" i="4" a="1"/>
  <c r="K23" i="4" s="1"/>
  <c r="J23" i="4"/>
  <c r="J23" i="4" a="1"/>
  <c r="T22" i="4" a="1"/>
  <c r="T22" i="4" s="1"/>
  <c r="S22" i="4" a="1"/>
  <c r="S22" i="4" s="1"/>
  <c r="R22" i="4" a="1"/>
  <c r="R22" i="4" s="1"/>
  <c r="Q22" i="4" a="1"/>
  <c r="Q22" i="4" s="1"/>
  <c r="P22" i="4" a="1"/>
  <c r="P22" i="4" s="1"/>
  <c r="O22" i="4"/>
  <c r="O22" i="4" a="1"/>
  <c r="N22" i="4" a="1"/>
  <c r="N22" i="4" s="1"/>
  <c r="M22" i="4" a="1"/>
  <c r="M22" i="4" s="1"/>
  <c r="L22" i="4" a="1"/>
  <c r="L22" i="4" s="1"/>
  <c r="K22" i="4" a="1"/>
  <c r="K22" i="4" s="1"/>
  <c r="J22" i="4" a="1"/>
  <c r="J22" i="4" s="1"/>
  <c r="T21" i="4"/>
  <c r="T21" i="4" a="1"/>
  <c r="S21" i="4" a="1"/>
  <c r="S21" i="4" s="1"/>
  <c r="R21" i="4" a="1"/>
  <c r="R21" i="4" s="1"/>
  <c r="Q21" i="4" a="1"/>
  <c r="Q21" i="4" s="1"/>
  <c r="P21" i="4" a="1"/>
  <c r="P21" i="4" s="1"/>
  <c r="O21" i="4" a="1"/>
  <c r="O21" i="4" s="1"/>
  <c r="N21" i="4"/>
  <c r="N21" i="4" a="1"/>
  <c r="M21" i="4" a="1"/>
  <c r="M21" i="4" s="1"/>
  <c r="L21" i="4" a="1"/>
  <c r="L21" i="4" s="1"/>
  <c r="K21" i="4" a="1"/>
  <c r="K21" i="4" s="1"/>
  <c r="J21" i="4" a="1"/>
  <c r="J21" i="4" s="1"/>
  <c r="T20" i="4" a="1"/>
  <c r="T20" i="4" s="1"/>
  <c r="S20" i="4"/>
  <c r="S20" i="4" a="1"/>
  <c r="R20" i="4" a="1"/>
  <c r="R20" i="4" s="1"/>
  <c r="Q20" i="4" a="1"/>
  <c r="Q20" i="4" s="1"/>
  <c r="P20" i="4" a="1"/>
  <c r="P20" i="4" s="1"/>
  <c r="O20" i="4" a="1"/>
  <c r="O20" i="4" s="1"/>
  <c r="N20" i="4" a="1"/>
  <c r="N20" i="4" s="1"/>
  <c r="M20" i="4"/>
  <c r="M20" i="4" a="1"/>
  <c r="L20" i="4" a="1"/>
  <c r="L20" i="4" s="1"/>
  <c r="K20" i="4" a="1"/>
  <c r="K20" i="4" s="1"/>
  <c r="J20" i="4" a="1"/>
  <c r="J20" i="4" s="1"/>
  <c r="T19" i="4" a="1"/>
  <c r="T19" i="4" s="1"/>
  <c r="S19" i="4" a="1"/>
  <c r="S19" i="4" s="1"/>
  <c r="R19" i="4"/>
  <c r="R19" i="4" a="1"/>
  <c r="Q19" i="4" a="1"/>
  <c r="Q19" i="4" s="1"/>
  <c r="P19" i="4" a="1"/>
  <c r="P19" i="4" s="1"/>
  <c r="O19" i="4" a="1"/>
  <c r="O19" i="4" s="1"/>
  <c r="N19" i="4" a="1"/>
  <c r="N19" i="4" s="1"/>
  <c r="M19" i="4" a="1"/>
  <c r="M19" i="4" s="1"/>
  <c r="L19" i="4"/>
  <c r="L19" i="4" a="1"/>
  <c r="K19" i="4" a="1"/>
  <c r="K19" i="4" s="1"/>
  <c r="J19" i="4" a="1"/>
  <c r="J19" i="4" s="1"/>
  <c r="T18" i="4" a="1"/>
  <c r="T18" i="4" s="1"/>
  <c r="S18" i="4" a="1"/>
  <c r="S18" i="4" s="1"/>
  <c r="R18" i="4" a="1"/>
  <c r="R18" i="4" s="1"/>
  <c r="Q18" i="4"/>
  <c r="Q18" i="4" a="1"/>
  <c r="P18" i="4" a="1"/>
  <c r="P18" i="4" s="1"/>
  <c r="O18" i="4" a="1"/>
  <c r="O18" i="4" s="1"/>
  <c r="N18" i="4" a="1"/>
  <c r="N18" i="4" s="1"/>
  <c r="M18" i="4" a="1"/>
  <c r="M18" i="4" s="1"/>
  <c r="L18" i="4" a="1"/>
  <c r="L18" i="4" s="1"/>
  <c r="K18" i="4"/>
  <c r="K18" i="4" a="1"/>
  <c r="J18" i="4" a="1"/>
  <c r="J18" i="4" s="1"/>
  <c r="T17" i="4" a="1"/>
  <c r="T17" i="4" s="1"/>
  <c r="S17" i="4" a="1"/>
  <c r="S17" i="4" s="1"/>
  <c r="R17" i="4" a="1"/>
  <c r="R17" i="4" s="1"/>
  <c r="Q17" i="4" a="1"/>
  <c r="Q17" i="4" s="1"/>
  <c r="P17" i="4"/>
  <c r="P17" i="4" a="1"/>
  <c r="O17" i="4" a="1"/>
  <c r="O17" i="4" s="1"/>
  <c r="N17" i="4" a="1"/>
  <c r="N17" i="4" s="1"/>
  <c r="M17" i="4" a="1"/>
  <c r="M17" i="4" s="1"/>
  <c r="L17" i="4" a="1"/>
  <c r="L17" i="4" s="1"/>
  <c r="K17" i="4" a="1"/>
  <c r="K17" i="4" s="1"/>
  <c r="J17" i="4"/>
  <c r="J17" i="4" a="1"/>
  <c r="T16" i="4" a="1"/>
  <c r="T16" i="4" s="1"/>
  <c r="S16" i="4" a="1"/>
  <c r="S16" i="4" s="1"/>
  <c r="R16" i="4" a="1"/>
  <c r="R16" i="4" s="1"/>
  <c r="Q16" i="4" a="1"/>
  <c r="Q16" i="4" s="1"/>
  <c r="P16" i="4" a="1"/>
  <c r="P16" i="4" s="1"/>
  <c r="O16" i="4"/>
  <c r="O16" i="4" a="1"/>
  <c r="N16" i="4" a="1"/>
  <c r="N16" i="4" s="1"/>
  <c r="M16" i="4" a="1"/>
  <c r="M16" i="4" s="1"/>
  <c r="L16" i="4" a="1"/>
  <c r="L16" i="4" s="1"/>
  <c r="K16" i="4" a="1"/>
  <c r="K16" i="4" s="1"/>
  <c r="J16" i="4" a="1"/>
  <c r="J16" i="4" s="1"/>
  <c r="T15" i="4"/>
  <c r="T15" i="4" a="1"/>
  <c r="S15" i="4" a="1"/>
  <c r="S15" i="4" s="1"/>
  <c r="R15" i="4" a="1"/>
  <c r="R15" i="4" s="1"/>
  <c r="Q15" i="4" a="1"/>
  <c r="Q15" i="4" s="1"/>
  <c r="P15" i="4" a="1"/>
  <c r="P15" i="4" s="1"/>
  <c r="O15" i="4" a="1"/>
  <c r="O15" i="4" s="1"/>
  <c r="N15" i="4"/>
  <c r="N15" i="4" a="1"/>
  <c r="M15" i="4" a="1"/>
  <c r="M15" i="4" s="1"/>
  <c r="L15" i="4" a="1"/>
  <c r="L15" i="4" s="1"/>
  <c r="K15" i="4" a="1"/>
  <c r="K15" i="4" s="1"/>
  <c r="J15" i="4" a="1"/>
  <c r="J15" i="4" s="1"/>
  <c r="T14" i="4" a="1"/>
  <c r="T14" i="4" s="1"/>
  <c r="S14" i="4" a="1"/>
  <c r="S14" i="4" s="1"/>
  <c r="R14" i="4" a="1"/>
  <c r="R14" i="4" s="1"/>
  <c r="Q14" i="4" a="1"/>
  <c r="Q14" i="4" s="1"/>
  <c r="P14" i="4" a="1"/>
  <c r="P14" i="4" s="1"/>
  <c r="O14" i="4" a="1"/>
  <c r="O14" i="4" s="1"/>
  <c r="N14" i="4" a="1"/>
  <c r="N14" i="4" s="1"/>
  <c r="M14" i="4" a="1"/>
  <c r="M14" i="4" s="1"/>
  <c r="L14" i="4" a="1"/>
  <c r="L14" i="4" s="1"/>
  <c r="K14" i="4" a="1"/>
  <c r="K14" i="4" s="1"/>
  <c r="J14" i="4" a="1"/>
  <c r="J14" i="4" s="1"/>
  <c r="T13" i="4" a="1"/>
  <c r="T13" i="4" s="1"/>
  <c r="S13" i="4" a="1"/>
  <c r="S13" i="4" s="1"/>
  <c r="R13" i="4" a="1"/>
  <c r="R13" i="4" s="1"/>
  <c r="Q13" i="4" a="1"/>
  <c r="Q13" i="4" s="1"/>
  <c r="P13" i="4" a="1"/>
  <c r="P13" i="4" s="1"/>
  <c r="O13" i="4" a="1"/>
  <c r="O13" i="4" s="1"/>
  <c r="N13" i="4" a="1"/>
  <c r="N13" i="4" s="1"/>
  <c r="M13" i="4" a="1"/>
  <c r="M13" i="4" s="1"/>
  <c r="L13" i="4" a="1"/>
  <c r="L13" i="4" s="1"/>
  <c r="K13" i="4" a="1"/>
  <c r="K13" i="4" s="1"/>
  <c r="J13" i="4" a="1"/>
  <c r="J13" i="4" s="1"/>
  <c r="T12" i="4" a="1"/>
  <c r="T12" i="4" s="1"/>
  <c r="S12" i="4" a="1"/>
  <c r="S12" i="4" s="1"/>
  <c r="R12" i="4" a="1"/>
  <c r="R12" i="4" s="1"/>
  <c r="Q12" i="4" a="1"/>
  <c r="Q12" i="4" s="1"/>
  <c r="P12" i="4" a="1"/>
  <c r="P12" i="4" s="1"/>
  <c r="O12" i="4" a="1"/>
  <c r="O12" i="4" s="1"/>
  <c r="N12" i="4" a="1"/>
  <c r="N12" i="4" s="1"/>
  <c r="M12" i="4" a="1"/>
  <c r="M12" i="4" s="1"/>
  <c r="L12" i="4" a="1"/>
  <c r="L12" i="4" s="1"/>
  <c r="K12" i="4" a="1"/>
  <c r="K12" i="4" s="1"/>
  <c r="J12" i="4" a="1"/>
  <c r="J12" i="4" s="1"/>
  <c r="T11" i="4" a="1"/>
  <c r="T11" i="4" s="1"/>
  <c r="S11" i="4" a="1"/>
  <c r="S11" i="4" s="1"/>
  <c r="R11" i="4" a="1"/>
  <c r="R11" i="4" s="1"/>
  <c r="Q11" i="4" a="1"/>
  <c r="Q11" i="4" s="1"/>
  <c r="P11" i="4" a="1"/>
  <c r="P11" i="4" s="1"/>
  <c r="O11" i="4" a="1"/>
  <c r="O11" i="4" s="1"/>
  <c r="N11" i="4" a="1"/>
  <c r="N11" i="4" s="1"/>
  <c r="M11" i="4" a="1"/>
  <c r="M11" i="4" s="1"/>
  <c r="L11" i="4" a="1"/>
  <c r="L11" i="4" s="1"/>
  <c r="K11" i="4" a="1"/>
  <c r="K11" i="4" s="1"/>
  <c r="J11" i="4" a="1"/>
  <c r="J11" i="4" s="1"/>
  <c r="T10" i="4" a="1"/>
  <c r="T10" i="4" s="1"/>
  <c r="S10" i="4" a="1"/>
  <c r="S10" i="4" s="1"/>
  <c r="R10" i="4" a="1"/>
  <c r="R10" i="4" s="1"/>
  <c r="Q10" i="4" a="1"/>
  <c r="Q10" i="4" s="1"/>
  <c r="P10" i="4" a="1"/>
  <c r="P10" i="4" s="1"/>
  <c r="O10" i="4" a="1"/>
  <c r="O10" i="4" s="1"/>
  <c r="N10" i="4" a="1"/>
  <c r="N10" i="4" s="1"/>
  <c r="M10" i="4" a="1"/>
  <c r="M10" i="4" s="1"/>
  <c r="L10" i="4" a="1"/>
  <c r="L10" i="4" s="1"/>
  <c r="K10" i="4" a="1"/>
  <c r="K10" i="4" s="1"/>
  <c r="J10" i="4" a="1"/>
  <c r="J10" i="4" s="1"/>
  <c r="T9" i="4" a="1"/>
  <c r="T9" i="4" s="1"/>
  <c r="S9" i="4" a="1"/>
  <c r="S9" i="4" s="1"/>
  <c r="R9" i="4" a="1"/>
  <c r="R9" i="4" s="1"/>
  <c r="Q9" i="4" a="1"/>
  <c r="Q9" i="4" s="1"/>
  <c r="P9" i="4" a="1"/>
  <c r="P9" i="4" s="1"/>
  <c r="O9" i="4" a="1"/>
  <c r="O9" i="4" s="1"/>
  <c r="N9" i="4" a="1"/>
  <c r="N9" i="4" s="1"/>
  <c r="M9" i="4" a="1"/>
  <c r="M9" i="4" s="1"/>
  <c r="L9" i="4" a="1"/>
  <c r="L9" i="4" s="1"/>
  <c r="K9" i="4" a="1"/>
  <c r="K9" i="4" s="1"/>
  <c r="J9" i="4" a="1"/>
  <c r="J9" i="4" s="1"/>
  <c r="T8" i="4" a="1"/>
  <c r="T8" i="4" s="1"/>
  <c r="S8" i="4" a="1"/>
  <c r="S8" i="4" s="1"/>
  <c r="R8" i="4" a="1"/>
  <c r="R8" i="4" s="1"/>
  <c r="Q8" i="4" a="1"/>
  <c r="Q8" i="4" s="1"/>
  <c r="P8" i="4" a="1"/>
  <c r="P8" i="4" s="1"/>
  <c r="O8" i="4" a="1"/>
  <c r="O8" i="4" s="1"/>
  <c r="N8" i="4" a="1"/>
  <c r="N8" i="4" s="1"/>
  <c r="M8" i="4" a="1"/>
  <c r="M8" i="4" s="1"/>
  <c r="L8" i="4" a="1"/>
  <c r="L8" i="4" s="1"/>
  <c r="K8" i="4" a="1"/>
  <c r="K8" i="4" s="1"/>
  <c r="J8" i="4" a="1"/>
  <c r="J8" i="4" s="1"/>
  <c r="T7" i="4" a="1"/>
  <c r="T7" i="4" s="1"/>
  <c r="S7" i="4" a="1"/>
  <c r="S7" i="4" s="1"/>
  <c r="R7" i="4" a="1"/>
  <c r="R7" i="4" s="1"/>
  <c r="Q7" i="4" a="1"/>
  <c r="Q7" i="4" s="1"/>
  <c r="P7" i="4" a="1"/>
  <c r="P7" i="4" s="1"/>
  <c r="O7" i="4" a="1"/>
  <c r="O7" i="4" s="1"/>
  <c r="N7" i="4" a="1"/>
  <c r="N7" i="4" s="1"/>
  <c r="M7" i="4" a="1"/>
  <c r="M7" i="4" s="1"/>
  <c r="L7" i="4" a="1"/>
  <c r="L7" i="4" s="1"/>
  <c r="K7" i="4" a="1"/>
  <c r="K7" i="4" s="1"/>
  <c r="J7" i="4" a="1"/>
  <c r="J7" i="4" s="1"/>
  <c r="T6" i="4" a="1"/>
  <c r="T6" i="4" s="1"/>
  <c r="S6" i="4" a="1"/>
  <c r="S6" i="4" s="1"/>
  <c r="R6" i="4" a="1"/>
  <c r="R6" i="4" s="1"/>
  <c r="Q6" i="4" a="1"/>
  <c r="Q6" i="4" s="1"/>
  <c r="P6" i="4" a="1"/>
  <c r="P6" i="4" s="1"/>
  <c r="O6" i="4" a="1"/>
  <c r="O6" i="4" s="1"/>
  <c r="N6" i="4" a="1"/>
  <c r="N6" i="4" s="1"/>
  <c r="M6" i="4" a="1"/>
  <c r="M6" i="4" s="1"/>
  <c r="L6" i="4" a="1"/>
  <c r="L6" i="4" s="1"/>
  <c r="K6" i="4" a="1"/>
  <c r="K6" i="4" s="1"/>
  <c r="J6" i="4" a="1"/>
  <c r="J6" i="4" s="1"/>
  <c r="T5" i="4" a="1"/>
  <c r="T5" i="4" s="1"/>
  <c r="S5" i="4" a="1"/>
  <c r="S5" i="4" s="1"/>
  <c r="R5" i="4" a="1"/>
  <c r="R5" i="4" s="1"/>
  <c r="Q5" i="4" a="1"/>
  <c r="Q5" i="4" s="1"/>
  <c r="P5" i="4" a="1"/>
  <c r="P5" i="4" s="1"/>
  <c r="O5" i="4" a="1"/>
  <c r="O5" i="4" s="1"/>
  <c r="N5" i="4" a="1"/>
  <c r="N5" i="4" s="1"/>
  <c r="M5" i="4" a="1"/>
  <c r="M5" i="4" s="1"/>
  <c r="L5" i="4" a="1"/>
  <c r="L5" i="4" s="1"/>
  <c r="K5" i="4" a="1"/>
  <c r="K5" i="4" s="1"/>
  <c r="J5" i="4" a="1"/>
  <c r="J5" i="4" s="1"/>
  <c r="T4" i="4" a="1"/>
  <c r="T4" i="4" s="1"/>
  <c r="S4" i="4" a="1"/>
  <c r="S4" i="4" s="1"/>
  <c r="R4" i="4" a="1"/>
  <c r="R4" i="4" s="1"/>
  <c r="Q4" i="4" a="1"/>
  <c r="Q4" i="4" s="1"/>
  <c r="P4" i="4" a="1"/>
  <c r="P4" i="4" s="1"/>
  <c r="O4" i="4" a="1"/>
  <c r="O4" i="4" s="1"/>
  <c r="N4" i="4" a="1"/>
  <c r="N4" i="4" s="1"/>
  <c r="M4" i="4" a="1"/>
  <c r="M4" i="4" s="1"/>
  <c r="L4" i="4" a="1"/>
  <c r="L4" i="4" s="1"/>
  <c r="K4" i="4" a="1"/>
  <c r="K4" i="4" s="1"/>
  <c r="J4" i="4" a="1"/>
  <c r="J4" i="4" s="1"/>
  <c r="T3" i="4" a="1"/>
  <c r="T3" i="4" s="1"/>
  <c r="S3" i="4" a="1"/>
  <c r="S3" i="4" s="1"/>
  <c r="R3" i="4" a="1"/>
  <c r="R3" i="4" s="1"/>
  <c r="Q3" i="4" a="1"/>
  <c r="Q3" i="4" s="1"/>
  <c r="P3" i="4" a="1"/>
  <c r="P3" i="4" s="1"/>
  <c r="O3" i="4" a="1"/>
  <c r="O3" i="4" s="1"/>
  <c r="N3" i="4" a="1"/>
  <c r="N3" i="4" s="1"/>
  <c r="M3" i="4" a="1"/>
  <c r="M3" i="4" s="1"/>
  <c r="L3" i="4" a="1"/>
  <c r="L3" i="4" s="1"/>
  <c r="K3" i="4" a="1"/>
  <c r="K3" i="4" s="1"/>
  <c r="J3" i="4" a="1"/>
  <c r="J3" i="4" s="1"/>
  <c r="F11" i="2" l="1"/>
  <c r="C1" i="2"/>
  <c r="C2" i="2"/>
  <c r="C4" i="2"/>
  <c r="C7" i="2" s="1"/>
  <c r="F5" i="2" l="1"/>
  <c r="B11" i="2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7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<sst xmlns="http://schemas.openxmlformats.org/spreadsheetml/2006/main" count="181" uniqueCount="83">
  <si>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</si>
  <si>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</si>
  <si>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</si>
  <si>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</si>
  <si>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</si>
  <si>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</si>
  <si>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</si>
  <si>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Masuk Kerja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</si>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</sst>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10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5" xfId="0" applyBorder="1"/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65D8E"/>
      <color rgb="FF12BAEE"/>
      <color rgb="FF0E8BB2"/>
      <color rgb="FFFF2525"/>
      <color rgb="FF1A758A"/>
      <color rgb="FF124C74"/>
      <color rgb="FF0C507A"/>
      <color rgb="FF3DA2CF"/>
      <color rgb="FF275A85"/>
      <color rgb="FF2F6D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2</xdr:col>
          <xdr:colOff>114300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workbookViewId="0">
      <selection activeCell="K17" sqref="K17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2</xdr:col>
                <xdr:colOff>114300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1"/>
  <sheetViews>
    <sheetView tabSelected="1" topLeftCell="F15" workbookViewId="0">
      <selection activeCell="F22" sqref="F22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5" max="5" width="12.85546875" bestFit="1" customWidth="1"/>
    <col min="6" max="6" width="54.28515625" bestFit="1" customWidth="1"/>
    <col min="7" max="7" width="9.7109375" bestFit="1" customWidth="1"/>
    <col min="10" max="10" width="72.28515625" bestFit="1" customWidth="1"/>
  </cols>
  <sheetData>
    <row r="1" spans="2:10" x14ac:dyDescent="0.25">
      <c r="B1" t="s">
        <v>9</v>
      </c>
      <c r="C1" t="str">
        <f ca="1">DATEDIF(DATE(2023,5,29),TODAY(),"m") &amp; " bulan " &amp; DATEDIF(DATE(2023,5,29),TODAY(),"md") &amp; " hari"</f>
        <v>10 bulan 6 hari</v>
      </c>
    </row>
    <row r="2" spans="2:10" ht="15.75" x14ac:dyDescent="0.25">
      <c r="B2" t="s">
        <v>4</v>
      </c>
      <c r="C2" s="7">
        <f ca="1">DATE(YEAR(TODAY()),5+1,0)</f>
        <v>45443</v>
      </c>
      <c r="E2" t="s">
        <v>7</v>
      </c>
      <c r="F2" s="13">
        <v>45075</v>
      </c>
      <c r="G2" t="s">
        <v>81</v>
      </c>
      <c r="I2" t="s">
        <v>11</v>
      </c>
      <c r="J2" s="14" t="s">
        <v>12</v>
      </c>
    </row>
    <row r="3" spans="2:10" ht="15.75" x14ac:dyDescent="0.25">
      <c r="E3" t="s">
        <v>20</v>
      </c>
      <c r="F3">
        <v>12</v>
      </c>
      <c r="G3" t="s">
        <v>21</v>
      </c>
      <c r="J3" s="14" t="s">
        <v>13</v>
      </c>
    </row>
    <row r="4" spans="2:10" ht="15.75" x14ac:dyDescent="0.25">
      <c r="B4" t="s">
        <v>0</v>
      </c>
      <c r="C4" s="7">
        <f ca="1">NOW()</f>
        <v>45386.658673032405</v>
      </c>
      <c r="E4" t="s">
        <v>22</v>
      </c>
      <c r="F4" s="13">
        <f>EDATE(F2, F3)</f>
        <v>45441</v>
      </c>
      <c r="J4" s="14" t="s">
        <v>14</v>
      </c>
    </row>
    <row r="5" spans="2:10" ht="15.75" x14ac:dyDescent="0.25">
      <c r="B5" t="s">
        <v>1</v>
      </c>
      <c r="C5" s="7">
        <v>45441</v>
      </c>
      <c r="F5" t="str">
        <f>"Berakhir Pada Hari " &amp; TEXT(F4,"[$-id-ID]dddd")&amp; ", Tanggal "&amp; TEXT(F4,"[$-id-ID]dd") &amp; ", Bulan "&amp; TEXT(F4,"[$-id-ID]mmmm")&amp; ", Tahun "&amp; TEXT(F4,"[$-id-ID]yyyy")</f>
        <v>Berakhir Pada Hari Rabu, Tanggal 29, Bulan Mei, Tahun 2024</v>
      </c>
      <c r="J5" s="14" t="s">
        <v>15</v>
      </c>
    </row>
    <row r="6" spans="2:10" ht="15.75" x14ac:dyDescent="0.25">
      <c r="E6" t="s">
        <v>8</v>
      </c>
      <c r="F6" s="13" t="str">
        <f ca="1">DATEDIF(F2,TODAY(),"m") &amp; " bulan " &amp; DATEDIF(F2,TODAY(),"md") &amp; " hari"</f>
        <v>10 bulan 6 hari</v>
      </c>
      <c r="J6" s="14" t="s">
        <v>16</v>
      </c>
    </row>
    <row r="7" spans="2:10" ht="15.75" x14ac:dyDescent="0.25">
      <c r="B7" t="s">
        <v>2</v>
      </c>
      <c r="C7">
        <f ca="1">ROUNDDOWN(C5-C4,0)</f>
        <v>54</v>
      </c>
      <c r="E7" t="s">
        <v>10</v>
      </c>
      <c r="F7" t="str">
        <f ca="1">IF(DATEDIF(TODAY(), DATE(2024,5,29), "y") &gt; 0, DATEDIF(TODAY(), DATE(2024,5,29), "y") &amp; " tahun " &amp; DATEDIF(TODAY(), DATE(2024,5,29), "ym") &amp; " bulan " &amp; DATEDIF(TODAY(), DATE(2024,5,29), "md") &amp; " hari", IF(DATEDIF(TODAY(), DATE(2024,5,29), "m") &gt;= 1, DATEDIF(TODAY(), DATE(2024,5,29), "ym") &amp; " bulan " &amp; DATEDIF(TODAY(), DATE(2024,5,29), "md") &amp; " hari", DATEDIF(TODAY(), DATE(2024,5,29), "md") &amp; " hari"))</f>
        <v>1 bulan 25 hari</v>
      </c>
      <c r="G7" s="13"/>
      <c r="J7" s="14" t="s">
        <v>17</v>
      </c>
    </row>
    <row r="8" spans="2:10" x14ac:dyDescent="0.25">
      <c r="B8" t="s">
        <v>3</v>
      </c>
      <c r="C8" s="8">
        <f ca="1">C5-C4</f>
        <v>54.341326967594796</v>
      </c>
      <c r="F8" t="str">
        <f ca="1">IF(DATEDIF(TODAY(), F4, "y") &gt; 0, DATEDIF(TODAY(), F4, "y") &amp; " tahun " &amp; DATEDIF(TODAY(),F4, "ym") &amp; " bulan " &amp; DATEDIF(TODAY(), F4, "md") &amp; " hari", IF(DATEDIF(TODAY(),F4, "m") &gt;= 1, DATEDIF(TODAY(), F4, "ym") &amp; " bulan " &amp; DATEDIF(TODAY(),F4, "md") &amp; " hari", DATEDIF(TODAY(),F4, "md") &amp; " hari"))</f>
        <v>1 bulan 25 hari</v>
      </c>
    </row>
    <row r="9" spans="2:10" ht="15.75" thickBot="1" x14ac:dyDescent="0.3"/>
    <row r="10" spans="2:10" x14ac:dyDescent="0.25">
      <c r="B10" s="9" t="s">
        <v>5</v>
      </c>
      <c r="C10" s="10" t="s">
        <v>6</v>
      </c>
      <c r="E10" s="13"/>
    </row>
    <row r="11" spans="2:10" ht="15.75" thickBot="1" x14ac:dyDescent="0.3">
      <c r="B11" s="11" t="str">
        <f ca="1">"  "&amp;C7&amp;" Hari"</f>
        <v xml:space="preserve">  54 Hari</v>
      </c>
      <c r="C11" s="12">
        <f ca="1">C8</f>
        <v>54.341326967594796</v>
      </c>
      <c r="F11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27 hari</v>
      </c>
    </row>
    <row r="12" spans="2:10" x14ac:dyDescent="0.25">
      <c r="G12" t="s">
        <v>18</v>
      </c>
    </row>
    <row r="13" spans="2:10" x14ac:dyDescent="0.25">
      <c r="G13" t="s">
        <v>19</v>
      </c>
    </row>
    <row r="14" spans="2:10" x14ac:dyDescent="0.25">
      <c r="F14" t="s">
        <v>82</v>
      </c>
    </row>
    <row r="15" spans="2:10" x14ac:dyDescent="0.25">
      <c r="F15" s="33">
        <f ca="1">DATEDIF(TODAY(),F4, "d")</f>
        <v>55</v>
      </c>
    </row>
    <row r="16" spans="2:10" x14ac:dyDescent="0.25">
      <c r="F16" s="32"/>
    </row>
    <row r="17" spans="6:6" x14ac:dyDescent="0.25">
      <c r="F17" s="32"/>
    </row>
    <row r="18" spans="6:6" x14ac:dyDescent="0.25">
      <c r="F18" t="str">
        <f ca="1">IF(DATEDIF(TODAY(), F4, "y") &gt; 0, DATEDIF(TODAY(), F4, "y") &amp; " tahun " &amp; DATEDIF(TODAY(),F4, "ym") &amp; " bulan " &amp; DATEDIF(TODAY(), F4, "md") &amp; " hari", IF(DATEDIF(TODAY(),F4, "m") &gt;= 1, DATEDIF(TODAY(), F4, "ym") &amp; " bulan " &amp; DATEDIF(TODAY(),F4, "md") &amp; " hari", DATEDIF(TODAY(),F4, "md") &amp; " hari"))</f>
        <v>1 bulan 25 hari</v>
      </c>
    </row>
    <row r="21" spans="6:6" x14ac:dyDescent="0.25">
      <c r="F21" t="str">
        <f ca="1">IF(
    DATEDIF(TODAY(), DATE(2024,5,29), "y") &gt; 0,
    DATEDIF(TODAY(), DATE(2024,5,29), "y") &amp; " tahun " &amp;
    DATEDIF(TODAY(), DATE(2024,5,29), "ym") &amp; " bulan " &amp;
    DATEDIF(TODAY(), DATE(2024,5,29), "md") &amp; " hari",
    IF(
        DATEDIF(TODAY(), DATE(2024,5,29), "m") &gt;= 1,
        DATEDIF(TODAY(), DATE(2024,5,29), "ym") &amp; " bulan " &amp;
        DATEDIF(TODAY(), DATE(2024,5,29), "md") &amp; " hari",
        DATEDIF(TODAY(), DATE(2024,5,29), "md") &amp; " hari"
    )
)</f>
        <v>1 bulan 25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A3" sqref="A3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37" t="s">
        <v>23</v>
      </c>
      <c r="B1" s="37"/>
      <c r="C1" s="37"/>
      <c r="D1" s="37"/>
      <c r="E1" s="37"/>
      <c r="F1" s="37"/>
      <c r="G1" s="37"/>
      <c r="H1" s="37"/>
      <c r="I1" s="37"/>
      <c r="P1" s="38" t="s">
        <v>23</v>
      </c>
      <c r="Q1" s="38"/>
      <c r="R1" s="38"/>
      <c r="S1" s="38"/>
      <c r="T1" s="38"/>
      <c r="U1" s="38"/>
      <c r="V1" s="38"/>
      <c r="W1" s="38"/>
      <c r="X1" s="38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24</v>
      </c>
      <c r="B3" s="23" t="s">
        <v>25</v>
      </c>
      <c r="C3" s="23" t="s">
        <v>26</v>
      </c>
      <c r="D3" s="23" t="s">
        <v>27</v>
      </c>
      <c r="E3" s="22" t="s">
        <v>28</v>
      </c>
      <c r="F3" s="23" t="s">
        <v>29</v>
      </c>
      <c r="G3" s="23" t="s">
        <v>30</v>
      </c>
      <c r="H3" s="23" t="s">
        <v>31</v>
      </c>
      <c r="I3" s="23" t="s">
        <v>32</v>
      </c>
      <c r="P3" s="15" t="s">
        <v>24</v>
      </c>
      <c r="Q3" s="15" t="s">
        <v>25</v>
      </c>
      <c r="R3" s="15" t="s">
        <v>26</v>
      </c>
      <c r="S3" s="15" t="s">
        <v>27</v>
      </c>
      <c r="T3" s="15" t="s">
        <v>28</v>
      </c>
      <c r="U3" s="15" t="s">
        <v>29</v>
      </c>
      <c r="V3" s="15" t="s">
        <v>30</v>
      </c>
      <c r="W3" s="15" t="s">
        <v>31</v>
      </c>
      <c r="X3" s="16" t="s">
        <v>32</v>
      </c>
    </row>
    <row r="4" spans="1:24" x14ac:dyDescent="0.25">
      <c r="A4" s="24">
        <v>181997</v>
      </c>
      <c r="B4" s="24" t="s">
        <v>33</v>
      </c>
      <c r="C4" s="24" t="s">
        <v>34</v>
      </c>
      <c r="D4" s="24">
        <v>290059</v>
      </c>
      <c r="E4" s="24" t="s">
        <v>35</v>
      </c>
      <c r="F4" s="26">
        <v>45364</v>
      </c>
      <c r="G4" s="24"/>
      <c r="H4" s="24">
        <v>21</v>
      </c>
      <c r="I4" s="27"/>
      <c r="P4" s="17">
        <v>181997</v>
      </c>
      <c r="Q4" s="17" t="s">
        <v>33</v>
      </c>
      <c r="R4" s="17" t="s">
        <v>34</v>
      </c>
      <c r="S4" s="17">
        <v>290059</v>
      </c>
      <c r="T4" s="17" t="s">
        <v>35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33</v>
      </c>
      <c r="C5" s="25" t="s">
        <v>34</v>
      </c>
      <c r="D5" s="25">
        <v>290061</v>
      </c>
      <c r="E5" s="25" t="s">
        <v>35</v>
      </c>
      <c r="F5" s="28">
        <v>45364</v>
      </c>
      <c r="G5" s="25"/>
      <c r="H5" s="25">
        <v>21</v>
      </c>
      <c r="I5" s="29"/>
      <c r="P5" s="17">
        <v>181997</v>
      </c>
      <c r="Q5" s="17" t="s">
        <v>33</v>
      </c>
      <c r="R5" s="17" t="s">
        <v>34</v>
      </c>
      <c r="S5" s="17">
        <v>290061</v>
      </c>
      <c r="T5" s="17" t="s">
        <v>35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33</v>
      </c>
      <c r="C6" s="24" t="s">
        <v>34</v>
      </c>
      <c r="D6" s="24">
        <v>290060</v>
      </c>
      <c r="E6" s="24" t="s">
        <v>35</v>
      </c>
      <c r="F6" s="26">
        <v>45364</v>
      </c>
      <c r="G6" s="24"/>
      <c r="H6" s="24">
        <v>21</v>
      </c>
      <c r="I6" s="27"/>
      <c r="P6" s="17">
        <v>181997</v>
      </c>
      <c r="Q6" s="17" t="s">
        <v>33</v>
      </c>
      <c r="R6" s="17" t="s">
        <v>34</v>
      </c>
      <c r="S6" s="17">
        <v>290060</v>
      </c>
      <c r="T6" s="17" t="s">
        <v>35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33</v>
      </c>
      <c r="C7" s="25" t="s">
        <v>36</v>
      </c>
      <c r="D7" s="25">
        <v>290059</v>
      </c>
      <c r="E7" s="25" t="s">
        <v>37</v>
      </c>
      <c r="F7" s="28">
        <v>45365</v>
      </c>
      <c r="G7" s="25"/>
      <c r="H7" s="25">
        <v>22</v>
      </c>
      <c r="I7" s="29"/>
      <c r="P7" s="17">
        <v>182000</v>
      </c>
      <c r="Q7" s="17" t="s">
        <v>33</v>
      </c>
      <c r="R7" s="17" t="s">
        <v>36</v>
      </c>
      <c r="S7" s="17">
        <v>290059</v>
      </c>
      <c r="T7" s="17" t="s">
        <v>37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33</v>
      </c>
      <c r="C8" s="24" t="s">
        <v>36</v>
      </c>
      <c r="D8" s="24">
        <v>290062</v>
      </c>
      <c r="E8" s="24" t="s">
        <v>37</v>
      </c>
      <c r="F8" s="26">
        <v>45365</v>
      </c>
      <c r="G8" s="24"/>
      <c r="H8" s="24">
        <v>22</v>
      </c>
      <c r="I8" s="27"/>
      <c r="P8" s="17">
        <v>182003</v>
      </c>
      <c r="Q8" s="17" t="s">
        <v>33</v>
      </c>
      <c r="R8" s="17" t="s">
        <v>36</v>
      </c>
      <c r="S8" s="17">
        <v>290062</v>
      </c>
      <c r="T8" s="17" t="s">
        <v>37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33</v>
      </c>
      <c r="C9" s="25" t="s">
        <v>36</v>
      </c>
      <c r="D9" s="25">
        <v>290063</v>
      </c>
      <c r="E9" s="25" t="s">
        <v>37</v>
      </c>
      <c r="F9" s="28">
        <v>45365</v>
      </c>
      <c r="G9" s="25"/>
      <c r="H9" s="25">
        <v>22</v>
      </c>
      <c r="I9" s="29"/>
      <c r="P9" s="17">
        <v>182003</v>
      </c>
      <c r="Q9" s="17" t="s">
        <v>33</v>
      </c>
      <c r="R9" s="17" t="s">
        <v>36</v>
      </c>
      <c r="S9" s="17">
        <v>290063</v>
      </c>
      <c r="T9" s="17" t="s">
        <v>37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33</v>
      </c>
      <c r="C10" s="24" t="s">
        <v>36</v>
      </c>
      <c r="D10" s="24">
        <v>290061</v>
      </c>
      <c r="E10" s="24" t="s">
        <v>37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33</v>
      </c>
      <c r="R10" s="17" t="s">
        <v>36</v>
      </c>
      <c r="S10" s="17">
        <v>290061</v>
      </c>
      <c r="T10" s="17" t="s">
        <v>37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38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V70"/>
  <sheetViews>
    <sheetView showGridLines="0" zoomScale="85" zoomScaleNormal="85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J16" sqref="J16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9.28515625" style="31" bestFit="1" customWidth="1"/>
    <col min="19" max="19" width="19.28515625" style="31" bestFit="1" customWidth="1"/>
    <col min="20" max="20" width="15.5703125" style="31" bestFit="1" customWidth="1"/>
    <col min="21" max="21" width="8.42578125" style="31" bestFit="1" customWidth="1"/>
    <col min="22" max="22" width="11.28515625" style="31" bestFit="1" customWidth="1"/>
    <col min="23" max="16384" width="9.140625" style="31"/>
  </cols>
  <sheetData>
    <row r="1" spans="1:22" x14ac:dyDescent="0.25">
      <c r="A1" s="34" t="s">
        <v>62</v>
      </c>
      <c r="B1" s="34" t="s">
        <v>63</v>
      </c>
      <c r="C1" s="34" t="s">
        <v>21</v>
      </c>
      <c r="D1" s="34" t="s">
        <v>39</v>
      </c>
      <c r="J1"/>
      <c r="K1"/>
      <c r="L1"/>
      <c r="M1"/>
      <c r="N1"/>
      <c r="O1"/>
      <c r="P1"/>
      <c r="Q1"/>
      <c r="R1"/>
      <c r="S1"/>
      <c r="T1"/>
      <c r="U1"/>
      <c r="V1"/>
    </row>
    <row r="2" spans="1:22" x14ac:dyDescent="0.25">
      <c r="A2" s="35">
        <v>45292</v>
      </c>
      <c r="B2" s="34" t="s">
        <v>73</v>
      </c>
      <c r="C2" s="34" t="s">
        <v>80</v>
      </c>
      <c r="D2" s="34" t="s">
        <v>60</v>
      </c>
      <c r="I2" s="34"/>
      <c r="J2" s="36" t="s">
        <v>80</v>
      </c>
      <c r="K2" s="36" t="s">
        <v>79</v>
      </c>
      <c r="L2" s="36" t="s">
        <v>78</v>
      </c>
      <c r="M2" s="36" t="s">
        <v>76</v>
      </c>
      <c r="N2" s="36" t="s">
        <v>75</v>
      </c>
      <c r="O2" s="36" t="s">
        <v>74</v>
      </c>
      <c r="P2" s="36" t="s">
        <v>72</v>
      </c>
      <c r="Q2" s="36" t="s">
        <v>71</v>
      </c>
      <c r="R2" s="36" t="s">
        <v>68</v>
      </c>
      <c r="S2" s="36" t="s">
        <v>66</v>
      </c>
      <c r="T2" s="36" t="s">
        <v>61</v>
      </c>
      <c r="U2"/>
      <c r="V2"/>
    </row>
    <row r="3" spans="1:22" x14ac:dyDescent="0.25">
      <c r="A3" s="35">
        <v>45300</v>
      </c>
      <c r="B3" s="34" t="s">
        <v>69</v>
      </c>
      <c r="C3" s="34" t="s">
        <v>80</v>
      </c>
      <c r="D3" s="34" t="s">
        <v>59</v>
      </c>
      <c r="I3" s="35">
        <v>45292</v>
      </c>
      <c r="J3" s="36" t="str" cm="1">
        <f t="array" ref="J3">IFERROR(INDEX($D$2:$D$27,MATCH(1,($I3=$A$2:$A$27)*(J$2=$C$2:$C$27),0)),"")</f>
        <v>Tahun Baru Masehi</v>
      </c>
      <c r="K3" s="36" t="str" cm="1">
        <f t="array" ref="K3">IFERROR(INDEX($D$2:$D$27,MATCH(1,($I3=$A$2:$A$27)*(K$2=$C$2:$C$27),0)),"")</f>
        <v/>
      </c>
      <c r="L3" s="36" t="str" cm="1">
        <f t="array" ref="L3">IFERROR(INDEX($D$2:$D$27,MATCH(1,($I3=$A$2:$A$27)*(L$2=$C$2:$C$27),0)),"")</f>
        <v/>
      </c>
      <c r="M3" s="36" t="str" cm="1">
        <f t="array" ref="M3">IFERROR(INDEX($D$2:$D$27,MATCH(1,($I3=$A$2:$A$27)*(M$2=$C$2:$C$27),0)),"")</f>
        <v/>
      </c>
      <c r="N3" s="36" t="str" cm="1">
        <f t="array" ref="N3">IFERROR(INDEX($D$2:$D$27,MATCH(1,($I3=$A$2:$A$27)*(N$2=$C$2:$C$27),0)),"")</f>
        <v/>
      </c>
      <c r="O3" s="36" t="str" cm="1">
        <f t="array" ref="O3">IFERROR(INDEX($D$2:$D$27,MATCH(1,($I3=$A$2:$A$27)*(O$2=$C$2:$C$27),0)),"")</f>
        <v/>
      </c>
      <c r="P3" s="36" t="str" cm="1">
        <f t="array" ref="P3">IFERROR(INDEX($D$2:$D$27,MATCH(1,($I3=$A$2:$A$27)*(P$2=$C$2:$C$27),0)),"")</f>
        <v/>
      </c>
      <c r="Q3" s="36" t="str" cm="1">
        <f t="array" ref="Q3">IFERROR(INDEX($D$2:$D$27,MATCH(1,($I3=$A$2:$A$27)*(Q$2=$C$2:$C$27),0)),"")</f>
        <v/>
      </c>
      <c r="R3" s="36" t="str" cm="1">
        <f t="array" ref="R3">IFERROR(INDEX($D$2:$D$27,MATCH(1,($I3=$A$2:$A$27)*(R$2=$C$2:$C$27),0)),"")</f>
        <v/>
      </c>
      <c r="S3" s="36" t="str" cm="1">
        <f t="array" ref="S3">IFERROR(INDEX($D$2:$D$27,MATCH(1,($I3=$A$2:$A$27)*(S$2=$C$2:$C$27),0)),"")</f>
        <v/>
      </c>
      <c r="T3" s="36" t="str" cm="1">
        <f t="array" ref="T3">IFERROR(INDEX($D$2:$D$27,MATCH(1,($I3=$A$2:$A$27)*(T$2=$C$2:$C$27),0)),"")</f>
        <v/>
      </c>
      <c r="U3"/>
      <c r="V3"/>
    </row>
    <row r="4" spans="1:22" x14ac:dyDescent="0.25">
      <c r="A4" s="35">
        <v>45330</v>
      </c>
      <c r="B4" s="34" t="s">
        <v>67</v>
      </c>
      <c r="C4" s="34" t="s">
        <v>79</v>
      </c>
      <c r="D4" s="34" t="s">
        <v>58</v>
      </c>
      <c r="I4" s="35">
        <v>45300</v>
      </c>
      <c r="J4" s="36" t="str" cm="1">
        <f t="array" ref="J4">IFERROR(INDEX($D$2:$D$27,MATCH(1,($I4=$A$2:$A$27)*(J$2=$C$2:$C$27),0)),"")</f>
        <v>Hari Siwa Ratri</v>
      </c>
      <c r="K4" s="36" t="str" cm="1">
        <f t="array" ref="K4">IFERROR(INDEX($D$2:$D$27,MATCH(1,($I4=$A$2:$A$27)*(K$2=$C$2:$C$27),0)),"")</f>
        <v/>
      </c>
      <c r="L4" s="36" t="str" cm="1">
        <f t="array" ref="L4">IFERROR(INDEX($D$2:$D$27,MATCH(1,($I4=$A$2:$A$27)*(L$2=$C$2:$C$27),0)),"")</f>
        <v/>
      </c>
      <c r="M4" s="36" t="str" cm="1">
        <f t="array" ref="M4">IFERROR(INDEX($D$2:$D$27,MATCH(1,($I4=$A$2:$A$27)*(M$2=$C$2:$C$27),0)),"")</f>
        <v/>
      </c>
      <c r="N4" s="36" t="str" cm="1">
        <f t="array" ref="N4">IFERROR(INDEX($D$2:$D$27,MATCH(1,($I4=$A$2:$A$27)*(N$2=$C$2:$C$27),0)),"")</f>
        <v/>
      </c>
      <c r="O4" s="36" t="str" cm="1">
        <f t="array" ref="O4">IFERROR(INDEX($D$2:$D$27,MATCH(1,($I4=$A$2:$A$27)*(O$2=$C$2:$C$27),0)),"")</f>
        <v/>
      </c>
      <c r="P4" s="36" t="str" cm="1">
        <f t="array" ref="P4">IFERROR(INDEX($D$2:$D$27,MATCH(1,($I4=$A$2:$A$27)*(P$2=$C$2:$C$27),0)),"")</f>
        <v/>
      </c>
      <c r="Q4" s="36" t="str" cm="1">
        <f t="array" ref="Q4">IFERROR(INDEX($D$2:$D$27,MATCH(1,($I4=$A$2:$A$27)*(Q$2=$C$2:$C$27),0)),"")</f>
        <v/>
      </c>
      <c r="R4" s="36" t="str" cm="1">
        <f t="array" ref="R4">IFERROR(INDEX($D$2:$D$27,MATCH(1,($I4=$A$2:$A$27)*(R$2=$C$2:$C$27),0)),"")</f>
        <v/>
      </c>
      <c r="S4" s="36" t="str" cm="1">
        <f t="array" ref="S4">IFERROR(INDEX($D$2:$D$27,MATCH(1,($I4=$A$2:$A$27)*(S$2=$C$2:$C$27),0)),"")</f>
        <v/>
      </c>
      <c r="T4" s="36" t="str" cm="1">
        <f t="array" ref="T4">IFERROR(INDEX($D$2:$D$27,MATCH(1,($I4=$A$2:$A$27)*(T$2=$C$2:$C$27),0)),"")</f>
        <v/>
      </c>
      <c r="U4"/>
      <c r="V4"/>
    </row>
    <row r="5" spans="1:22" x14ac:dyDescent="0.25">
      <c r="A5" s="35">
        <v>45332</v>
      </c>
      <c r="B5" s="34" t="s">
        <v>65</v>
      </c>
      <c r="C5" s="34" t="s">
        <v>79</v>
      </c>
      <c r="D5" s="34" t="s">
        <v>57</v>
      </c>
      <c r="I5" s="35">
        <v>45330</v>
      </c>
      <c r="J5" s="36" t="str" cm="1">
        <f t="array" ref="J5">IFERROR(INDEX($D$2:$D$27,MATCH(1,($I5=$A$2:$A$27)*(J$2=$C$2:$C$27),0)),"")</f>
        <v/>
      </c>
      <c r="K5" s="36" t="str" cm="1">
        <f t="array" ref="K5">IFERROR(INDEX($D$2:$D$27,MATCH(1,($I5=$A$2:$A$27)*(K$2=$C$2:$C$27),0)),"")</f>
        <v>Isra Mikraj Nabi Muhammad SAW</v>
      </c>
      <c r="L5" s="36" t="str" cm="1">
        <f t="array" ref="L5">IFERROR(INDEX($D$2:$D$27,MATCH(1,($I5=$A$2:$A$27)*(L$2=$C$2:$C$27),0)),"")</f>
        <v/>
      </c>
      <c r="M5" s="36" t="str" cm="1">
        <f t="array" ref="M5">IFERROR(INDEX($D$2:$D$27,MATCH(1,($I5=$A$2:$A$27)*(M$2=$C$2:$C$27),0)),"")</f>
        <v/>
      </c>
      <c r="N5" s="36" t="str" cm="1">
        <f t="array" ref="N5">IFERROR(INDEX($D$2:$D$27,MATCH(1,($I5=$A$2:$A$27)*(N$2=$C$2:$C$27),0)),"")</f>
        <v/>
      </c>
      <c r="O5" s="36" t="str" cm="1">
        <f t="array" ref="O5">IFERROR(INDEX($D$2:$D$27,MATCH(1,($I5=$A$2:$A$27)*(O$2=$C$2:$C$27),0)),"")</f>
        <v/>
      </c>
      <c r="P5" s="36" t="str" cm="1">
        <f t="array" ref="P5">IFERROR(INDEX($D$2:$D$27,MATCH(1,($I5=$A$2:$A$27)*(P$2=$C$2:$C$27),0)),"")</f>
        <v/>
      </c>
      <c r="Q5" s="36" t="str" cm="1">
        <f t="array" ref="Q5">IFERROR(INDEX($D$2:$D$27,MATCH(1,($I5=$A$2:$A$27)*(Q$2=$C$2:$C$27),0)),"")</f>
        <v/>
      </c>
      <c r="R5" s="36" t="str" cm="1">
        <f t="array" ref="R5">IFERROR(INDEX($D$2:$D$27,MATCH(1,($I5=$A$2:$A$27)*(R$2=$C$2:$C$27),0)),"")</f>
        <v/>
      </c>
      <c r="S5" s="36" t="str" cm="1">
        <f t="array" ref="S5">IFERROR(INDEX($D$2:$D$27,MATCH(1,($I5=$A$2:$A$27)*(S$2=$C$2:$C$27),0)),"")</f>
        <v/>
      </c>
      <c r="T5" s="36" t="str" cm="1">
        <f t="array" ref="T5">IFERROR(INDEX($D$2:$D$27,MATCH(1,($I5=$A$2:$A$27)*(T$2=$C$2:$C$27),0)),"")</f>
        <v/>
      </c>
      <c r="U5"/>
      <c r="V5"/>
    </row>
    <row r="6" spans="1:22" x14ac:dyDescent="0.25">
      <c r="A6" s="35">
        <v>45349</v>
      </c>
      <c r="B6" s="34" t="s">
        <v>69</v>
      </c>
      <c r="C6" s="34" t="s">
        <v>79</v>
      </c>
      <c r="D6" s="34" t="s">
        <v>44</v>
      </c>
      <c r="I6" s="35">
        <v>45332</v>
      </c>
      <c r="J6" s="36" t="str" cm="1">
        <f t="array" ref="J6">IFERROR(INDEX($D$2:$D$27,MATCH(1,($I6=$A$2:$A$27)*(J$2=$C$2:$C$27),0)),"")</f>
        <v/>
      </c>
      <c r="K6" s="36" t="str" cm="1">
        <f t="array" ref="K6">IFERROR(INDEX($D$2:$D$27,MATCH(1,($I6=$A$2:$A$27)*(K$2=$C$2:$C$27),0)),"")</f>
        <v>Tahun Baru Imlek 2575 Kongzili</v>
      </c>
      <c r="L6" s="36" t="str" cm="1">
        <f t="array" ref="L6">IFERROR(INDEX($D$2:$D$27,MATCH(1,($I6=$A$2:$A$27)*(L$2=$C$2:$C$27),0)),"")</f>
        <v/>
      </c>
      <c r="M6" s="36" t="str" cm="1">
        <f t="array" ref="M6">IFERROR(INDEX($D$2:$D$27,MATCH(1,($I6=$A$2:$A$27)*(M$2=$C$2:$C$27),0)),"")</f>
        <v/>
      </c>
      <c r="N6" s="36" t="str" cm="1">
        <f t="array" ref="N6">IFERROR(INDEX($D$2:$D$27,MATCH(1,($I6=$A$2:$A$27)*(N$2=$C$2:$C$27),0)),"")</f>
        <v/>
      </c>
      <c r="O6" s="36" t="str" cm="1">
        <f t="array" ref="O6">IFERROR(INDEX($D$2:$D$27,MATCH(1,($I6=$A$2:$A$27)*(O$2=$C$2:$C$27),0)),"")</f>
        <v/>
      </c>
      <c r="P6" s="36" t="str" cm="1">
        <f t="array" ref="P6">IFERROR(INDEX($D$2:$D$27,MATCH(1,($I6=$A$2:$A$27)*(P$2=$C$2:$C$27),0)),"")</f>
        <v/>
      </c>
      <c r="Q6" s="36" t="str" cm="1">
        <f t="array" ref="Q6">IFERROR(INDEX($D$2:$D$27,MATCH(1,($I6=$A$2:$A$27)*(Q$2=$C$2:$C$27),0)),"")</f>
        <v/>
      </c>
      <c r="R6" s="36" t="str" cm="1">
        <f t="array" ref="R6">IFERROR(INDEX($D$2:$D$27,MATCH(1,($I6=$A$2:$A$27)*(R$2=$C$2:$C$27),0)),"")</f>
        <v/>
      </c>
      <c r="S6" s="36" t="str" cm="1">
        <f t="array" ref="S6">IFERROR(INDEX($D$2:$D$27,MATCH(1,($I6=$A$2:$A$27)*(S$2=$C$2:$C$27),0)),"")</f>
        <v/>
      </c>
      <c r="T6" s="36" t="str" cm="1">
        <f t="array" ref="T6">IFERROR(INDEX($D$2:$D$27,MATCH(1,($I6=$A$2:$A$27)*(T$2=$C$2:$C$27),0)),"")</f>
        <v/>
      </c>
      <c r="U6"/>
      <c r="V6"/>
    </row>
    <row r="7" spans="1:22" x14ac:dyDescent="0.25">
      <c r="A7" s="35">
        <v>45350</v>
      </c>
      <c r="B7" s="34" t="s">
        <v>64</v>
      </c>
      <c r="C7" s="34" t="s">
        <v>79</v>
      </c>
      <c r="D7" s="34" t="s">
        <v>43</v>
      </c>
      <c r="I7" s="35">
        <v>45349</v>
      </c>
      <c r="J7" s="36" t="str" cm="1">
        <f t="array" ref="J7">IFERROR(INDEX($D$2:$D$27,MATCH(1,($I7=$A$2:$A$27)*(J$2=$C$2:$C$27),0)),"")</f>
        <v/>
      </c>
      <c r="K7" s="36" t="str" cm="1">
        <f t="array" ref="K7">IFERROR(INDEX($D$2:$D$27,MATCH(1,($I7=$A$2:$A$27)*(K$2=$C$2:$C$27),0)),"")</f>
        <v>Penampahan Galungan</v>
      </c>
      <c r="L7" s="36" t="str" cm="1">
        <f t="array" ref="L7">IFERROR(INDEX($D$2:$D$27,MATCH(1,($I7=$A$2:$A$27)*(L$2=$C$2:$C$27),0)),"")</f>
        <v/>
      </c>
      <c r="M7" s="36" t="str" cm="1">
        <f t="array" ref="M7">IFERROR(INDEX($D$2:$D$27,MATCH(1,($I7=$A$2:$A$27)*(M$2=$C$2:$C$27),0)),"")</f>
        <v/>
      </c>
      <c r="N7" s="36" t="str" cm="1">
        <f t="array" ref="N7">IFERROR(INDEX($D$2:$D$27,MATCH(1,($I7=$A$2:$A$27)*(N$2=$C$2:$C$27),0)),"")</f>
        <v/>
      </c>
      <c r="O7" s="36" t="str" cm="1">
        <f t="array" ref="O7">IFERROR(INDEX($D$2:$D$27,MATCH(1,($I7=$A$2:$A$27)*(O$2=$C$2:$C$27),0)),"")</f>
        <v/>
      </c>
      <c r="P7" s="36" t="str" cm="1">
        <f t="array" ref="P7">IFERROR(INDEX($D$2:$D$27,MATCH(1,($I7=$A$2:$A$27)*(P$2=$C$2:$C$27),0)),"")</f>
        <v/>
      </c>
      <c r="Q7" s="36" t="str" cm="1">
        <f t="array" ref="Q7">IFERROR(INDEX($D$2:$D$27,MATCH(1,($I7=$A$2:$A$27)*(Q$2=$C$2:$C$27),0)),"")</f>
        <v/>
      </c>
      <c r="R7" s="36" t="str" cm="1">
        <f t="array" ref="R7">IFERROR(INDEX($D$2:$D$27,MATCH(1,($I7=$A$2:$A$27)*(R$2=$C$2:$C$27),0)),"")</f>
        <v/>
      </c>
      <c r="S7" s="36" t="str" cm="1">
        <f t="array" ref="S7">IFERROR(INDEX($D$2:$D$27,MATCH(1,($I7=$A$2:$A$27)*(S$2=$C$2:$C$27),0)),"")</f>
        <v/>
      </c>
      <c r="T7" s="36" t="str" cm="1">
        <f t="array" ref="T7">IFERROR(INDEX($D$2:$D$27,MATCH(1,($I7=$A$2:$A$27)*(T$2=$C$2:$C$27),0)),"")</f>
        <v/>
      </c>
      <c r="U7"/>
      <c r="V7"/>
    </row>
    <row r="8" spans="1:22" x14ac:dyDescent="0.25">
      <c r="A8" s="35">
        <v>45351</v>
      </c>
      <c r="B8" s="34" t="s">
        <v>67</v>
      </c>
      <c r="C8" s="34" t="s">
        <v>79</v>
      </c>
      <c r="D8" s="34" t="s">
        <v>42</v>
      </c>
      <c r="I8" s="35">
        <v>45350</v>
      </c>
      <c r="J8" s="36" t="str" cm="1">
        <f t="array" ref="J8">IFERROR(INDEX($D$2:$D$27,MATCH(1,($I8=$A$2:$A$27)*(J$2=$C$2:$C$27),0)),"")</f>
        <v/>
      </c>
      <c r="K8" s="36" t="str" cm="1">
        <f t="array" ref="K8">IFERROR(INDEX($D$2:$D$27,MATCH(1,($I8=$A$2:$A$27)*(K$2=$C$2:$C$27),0)),"")</f>
        <v>Hari Raya Galungan</v>
      </c>
      <c r="L8" s="36" t="str" cm="1">
        <f t="array" ref="L8">IFERROR(INDEX($D$2:$D$27,MATCH(1,($I8=$A$2:$A$27)*(L$2=$C$2:$C$27),0)),"")</f>
        <v/>
      </c>
      <c r="M8" s="36" t="str" cm="1">
        <f t="array" ref="M8">IFERROR(INDEX($D$2:$D$27,MATCH(1,($I8=$A$2:$A$27)*(M$2=$C$2:$C$27),0)),"")</f>
        <v/>
      </c>
      <c r="N8" s="36" t="str" cm="1">
        <f t="array" ref="N8">IFERROR(INDEX($D$2:$D$27,MATCH(1,($I8=$A$2:$A$27)*(N$2=$C$2:$C$27),0)),"")</f>
        <v/>
      </c>
      <c r="O8" s="36" t="str" cm="1">
        <f t="array" ref="O8">IFERROR(INDEX($D$2:$D$27,MATCH(1,($I8=$A$2:$A$27)*(O$2=$C$2:$C$27),0)),"")</f>
        <v/>
      </c>
      <c r="P8" s="36" t="str" cm="1">
        <f t="array" ref="P8">IFERROR(INDEX($D$2:$D$27,MATCH(1,($I8=$A$2:$A$27)*(P$2=$C$2:$C$27),0)),"")</f>
        <v/>
      </c>
      <c r="Q8" s="36" t="str" cm="1">
        <f t="array" ref="Q8">IFERROR(INDEX($D$2:$D$27,MATCH(1,($I8=$A$2:$A$27)*(Q$2=$C$2:$C$27),0)),"")</f>
        <v/>
      </c>
      <c r="R8" s="36" t="str" cm="1">
        <f t="array" ref="R8">IFERROR(INDEX($D$2:$D$27,MATCH(1,($I8=$A$2:$A$27)*(R$2=$C$2:$C$27),0)),"")</f>
        <v/>
      </c>
      <c r="S8" s="36" t="str" cm="1">
        <f t="array" ref="S8">IFERROR(INDEX($D$2:$D$27,MATCH(1,($I8=$A$2:$A$27)*(S$2=$C$2:$C$27),0)),"")</f>
        <v/>
      </c>
      <c r="T8" s="36" t="str" cm="1">
        <f t="array" ref="T8">IFERROR(INDEX($D$2:$D$27,MATCH(1,($I8=$A$2:$A$27)*(T$2=$C$2:$C$27),0)),"")</f>
        <v/>
      </c>
      <c r="U8"/>
      <c r="V8"/>
    </row>
    <row r="9" spans="1:22" x14ac:dyDescent="0.25">
      <c r="A9" s="35">
        <v>45360</v>
      </c>
      <c r="B9" s="34" t="s">
        <v>65</v>
      </c>
      <c r="C9" s="34" t="s">
        <v>78</v>
      </c>
      <c r="D9" s="34" t="s">
        <v>41</v>
      </c>
      <c r="I9" s="35">
        <v>45351</v>
      </c>
      <c r="J9" s="36" t="str" cm="1">
        <f t="array" ref="J9">IFERROR(INDEX($D$2:$D$27,MATCH(1,($I9=$A$2:$A$27)*(J$2=$C$2:$C$27),0)),"")</f>
        <v/>
      </c>
      <c r="K9" s="36" t="str" cm="1">
        <f t="array" ref="K9">IFERROR(INDEX($D$2:$D$27,MATCH(1,($I9=$A$2:$A$27)*(K$2=$C$2:$C$27),0)),"")</f>
        <v>Umanis Galungan</v>
      </c>
      <c r="L9" s="36" t="str" cm="1">
        <f t="array" ref="L9">IFERROR(INDEX($D$2:$D$27,MATCH(1,($I9=$A$2:$A$27)*(L$2=$C$2:$C$27),0)),"")</f>
        <v/>
      </c>
      <c r="M9" s="36" t="str" cm="1">
        <f t="array" ref="M9">IFERROR(INDEX($D$2:$D$27,MATCH(1,($I9=$A$2:$A$27)*(M$2=$C$2:$C$27),0)),"")</f>
        <v/>
      </c>
      <c r="N9" s="36" t="str" cm="1">
        <f t="array" ref="N9">IFERROR(INDEX($D$2:$D$27,MATCH(1,($I9=$A$2:$A$27)*(N$2=$C$2:$C$27),0)),"")</f>
        <v/>
      </c>
      <c r="O9" s="36" t="str" cm="1">
        <f t="array" ref="O9">IFERROR(INDEX($D$2:$D$27,MATCH(1,($I9=$A$2:$A$27)*(O$2=$C$2:$C$27),0)),"")</f>
        <v/>
      </c>
      <c r="P9" s="36" t="str" cm="1">
        <f t="array" ref="P9">IFERROR(INDEX($D$2:$D$27,MATCH(1,($I9=$A$2:$A$27)*(P$2=$C$2:$C$27),0)),"")</f>
        <v/>
      </c>
      <c r="Q9" s="36" t="str" cm="1">
        <f t="array" ref="Q9">IFERROR(INDEX($D$2:$D$27,MATCH(1,($I9=$A$2:$A$27)*(Q$2=$C$2:$C$27),0)),"")</f>
        <v/>
      </c>
      <c r="R9" s="36" t="str" cm="1">
        <f t="array" ref="R9">IFERROR(INDEX($D$2:$D$27,MATCH(1,($I9=$A$2:$A$27)*(R$2=$C$2:$C$27),0)),"")</f>
        <v/>
      </c>
      <c r="S9" s="36" t="str" cm="1">
        <f t="array" ref="S9">IFERROR(INDEX($D$2:$D$27,MATCH(1,($I9=$A$2:$A$27)*(S$2=$C$2:$C$27),0)),"")</f>
        <v/>
      </c>
      <c r="T9" s="36" t="str" cm="1">
        <f t="array" ref="T9">IFERROR(INDEX($D$2:$D$27,MATCH(1,($I9=$A$2:$A$27)*(T$2=$C$2:$C$27),0)),"")</f>
        <v/>
      </c>
      <c r="U9"/>
      <c r="V9"/>
    </row>
    <row r="10" spans="1:22" x14ac:dyDescent="0.25">
      <c r="A10" s="35">
        <v>45362</v>
      </c>
      <c r="B10" s="34" t="s">
        <v>73</v>
      </c>
      <c r="C10" s="34" t="s">
        <v>78</v>
      </c>
      <c r="D10" s="34" t="s">
        <v>56</v>
      </c>
      <c r="I10" s="35">
        <v>45360</v>
      </c>
      <c r="J10" s="36" t="str" cm="1">
        <f t="array" ref="J10">IFERROR(INDEX($D$2:$D$27,MATCH(1,($I10=$A$2:$A$27)*(J$2=$C$2:$C$27),0)),"")</f>
        <v/>
      </c>
      <c r="K10" s="36" t="str" cm="1">
        <f t="array" ref="K10">IFERROR(INDEX($D$2:$D$27,MATCH(1,($I10=$A$2:$A$27)*(K$2=$C$2:$C$27),0)),"")</f>
        <v/>
      </c>
      <c r="L10" s="36" t="str" cm="1">
        <f t="array" ref="L10">IFERROR(INDEX($D$2:$D$27,MATCH(1,($I10=$A$2:$A$27)*(L$2=$C$2:$C$27),0)),"")</f>
        <v>Hari Raya Kuningan</v>
      </c>
      <c r="M10" s="36" t="str" cm="1">
        <f t="array" ref="M10">IFERROR(INDEX($D$2:$D$27,MATCH(1,($I10=$A$2:$A$27)*(M$2=$C$2:$C$27),0)),"")</f>
        <v/>
      </c>
      <c r="N10" s="36" t="str" cm="1">
        <f t="array" ref="N10">IFERROR(INDEX($D$2:$D$27,MATCH(1,($I10=$A$2:$A$27)*(N$2=$C$2:$C$27),0)),"")</f>
        <v/>
      </c>
      <c r="O10" s="36" t="str" cm="1">
        <f t="array" ref="O10">IFERROR(INDEX($D$2:$D$27,MATCH(1,($I10=$A$2:$A$27)*(O$2=$C$2:$C$27),0)),"")</f>
        <v/>
      </c>
      <c r="P10" s="36" t="str" cm="1">
        <f t="array" ref="P10">IFERROR(INDEX($D$2:$D$27,MATCH(1,($I10=$A$2:$A$27)*(P$2=$C$2:$C$27),0)),"")</f>
        <v/>
      </c>
      <c r="Q10" s="36" t="str" cm="1">
        <f t="array" ref="Q10">IFERROR(INDEX($D$2:$D$27,MATCH(1,($I10=$A$2:$A$27)*(Q$2=$C$2:$C$27),0)),"")</f>
        <v/>
      </c>
      <c r="R10" s="36" t="str" cm="1">
        <f t="array" ref="R10">IFERROR(INDEX($D$2:$D$27,MATCH(1,($I10=$A$2:$A$27)*(R$2=$C$2:$C$27),0)),"")</f>
        <v/>
      </c>
      <c r="S10" s="36" t="str" cm="1">
        <f t="array" ref="S10">IFERROR(INDEX($D$2:$D$27,MATCH(1,($I10=$A$2:$A$27)*(S$2=$C$2:$C$27),0)),"")</f>
        <v/>
      </c>
      <c r="T10" s="36" t="str" cm="1">
        <f t="array" ref="T10">IFERROR(INDEX($D$2:$D$27,MATCH(1,($I10=$A$2:$A$27)*(T$2=$C$2:$C$27),0)),"")</f>
        <v/>
      </c>
      <c r="U10"/>
      <c r="V10"/>
    </row>
    <row r="11" spans="1:22" x14ac:dyDescent="0.25">
      <c r="A11" s="35">
        <v>45380</v>
      </c>
      <c r="B11" s="34" t="s">
        <v>77</v>
      </c>
      <c r="C11" s="34" t="s">
        <v>78</v>
      </c>
      <c r="D11" s="34" t="s">
        <v>55</v>
      </c>
      <c r="I11" s="35">
        <v>45362</v>
      </c>
      <c r="J11" s="36" t="str" cm="1">
        <f t="array" ref="J11">IFERROR(INDEX($D$2:$D$27,MATCH(1,($I11=$A$2:$A$27)*(J$2=$C$2:$C$27),0)),"")</f>
        <v/>
      </c>
      <c r="K11" s="36" t="str" cm="1">
        <f t="array" ref="K11">IFERROR(INDEX($D$2:$D$27,MATCH(1,($I11=$A$2:$A$27)*(K$2=$C$2:$C$27),0)),"")</f>
        <v/>
      </c>
      <c r="L11" s="36" t="str" cm="1">
        <f t="array" ref="L11">IFERROR(INDEX($D$2:$D$27,MATCH(1,($I11=$A$2:$A$27)*(L$2=$C$2:$C$27),0)),"")</f>
        <v>Hari Raya Nyepi</v>
      </c>
      <c r="M11" s="36" t="str" cm="1">
        <f t="array" ref="M11">IFERROR(INDEX($D$2:$D$27,MATCH(1,($I11=$A$2:$A$27)*(M$2=$C$2:$C$27),0)),"")</f>
        <v/>
      </c>
      <c r="N11" s="36" t="str" cm="1">
        <f t="array" ref="N11">IFERROR(INDEX($D$2:$D$27,MATCH(1,($I11=$A$2:$A$27)*(N$2=$C$2:$C$27),0)),"")</f>
        <v/>
      </c>
      <c r="O11" s="36" t="str" cm="1">
        <f t="array" ref="O11">IFERROR(INDEX($D$2:$D$27,MATCH(1,($I11=$A$2:$A$27)*(O$2=$C$2:$C$27),0)),"")</f>
        <v/>
      </c>
      <c r="P11" s="36" t="str" cm="1">
        <f t="array" ref="P11">IFERROR(INDEX($D$2:$D$27,MATCH(1,($I11=$A$2:$A$27)*(P$2=$C$2:$C$27),0)),"")</f>
        <v/>
      </c>
      <c r="Q11" s="36" t="str" cm="1">
        <f t="array" ref="Q11">IFERROR(INDEX($D$2:$D$27,MATCH(1,($I11=$A$2:$A$27)*(Q$2=$C$2:$C$27),0)),"")</f>
        <v/>
      </c>
      <c r="R11" s="36" t="str" cm="1">
        <f t="array" ref="R11">IFERROR(INDEX($D$2:$D$27,MATCH(1,($I11=$A$2:$A$27)*(R$2=$C$2:$C$27),0)),"")</f>
        <v/>
      </c>
      <c r="S11" s="36" t="str" cm="1">
        <f t="array" ref="S11">IFERROR(INDEX($D$2:$D$27,MATCH(1,($I11=$A$2:$A$27)*(S$2=$C$2:$C$27),0)),"")</f>
        <v/>
      </c>
      <c r="T11" s="36" t="str" cm="1">
        <f t="array" ref="T11">IFERROR(INDEX($D$2:$D$27,MATCH(1,($I11=$A$2:$A$27)*(T$2=$C$2:$C$27),0)),"")</f>
        <v/>
      </c>
    </row>
    <row r="12" spans="1:22" x14ac:dyDescent="0.25">
      <c r="A12" s="35">
        <v>45392</v>
      </c>
      <c r="B12" s="34" t="s">
        <v>64</v>
      </c>
      <c r="C12" s="34" t="s">
        <v>76</v>
      </c>
      <c r="D12" s="34" t="s">
        <v>54</v>
      </c>
      <c r="I12" s="35">
        <v>45380</v>
      </c>
      <c r="J12" s="36" t="str" cm="1">
        <f t="array" ref="J12">IFERROR(INDEX($D$2:$D$27,MATCH(1,($I12=$A$2:$A$27)*(J$2=$C$2:$C$27),0)),"")</f>
        <v/>
      </c>
      <c r="K12" s="36" t="str" cm="1">
        <f t="array" ref="K12">IFERROR(INDEX($D$2:$D$27,MATCH(1,($I12=$A$2:$A$27)*(K$2=$C$2:$C$27),0)),"")</f>
        <v/>
      </c>
      <c r="L12" s="36" t="str" cm="1">
        <f t="array" ref="L12">IFERROR(INDEX($D$2:$D$27,MATCH(1,($I12=$A$2:$A$27)*(L$2=$C$2:$C$27),0)),"")</f>
        <v>Wafat Isa Al Masih</v>
      </c>
      <c r="M12" s="36" t="str" cm="1">
        <f t="array" ref="M12">IFERROR(INDEX($D$2:$D$27,MATCH(1,($I12=$A$2:$A$27)*(M$2=$C$2:$C$27),0)),"")</f>
        <v/>
      </c>
      <c r="N12" s="36" t="str" cm="1">
        <f t="array" ref="N12">IFERROR(INDEX($D$2:$D$27,MATCH(1,($I12=$A$2:$A$27)*(N$2=$C$2:$C$27),0)),"")</f>
        <v/>
      </c>
      <c r="O12" s="36" t="str" cm="1">
        <f t="array" ref="O12">IFERROR(INDEX($D$2:$D$27,MATCH(1,($I12=$A$2:$A$27)*(O$2=$C$2:$C$27),0)),"")</f>
        <v/>
      </c>
      <c r="P12" s="36" t="str" cm="1">
        <f t="array" ref="P12">IFERROR(INDEX($D$2:$D$27,MATCH(1,($I12=$A$2:$A$27)*(P$2=$C$2:$C$27),0)),"")</f>
        <v/>
      </c>
      <c r="Q12" s="36" t="str" cm="1">
        <f t="array" ref="Q12">IFERROR(INDEX($D$2:$D$27,MATCH(1,($I12=$A$2:$A$27)*(Q$2=$C$2:$C$27),0)),"")</f>
        <v/>
      </c>
      <c r="R12" s="36" t="str" cm="1">
        <f t="array" ref="R12">IFERROR(INDEX($D$2:$D$27,MATCH(1,($I12=$A$2:$A$27)*(R$2=$C$2:$C$27),0)),"")</f>
        <v/>
      </c>
      <c r="S12" s="36" t="str" cm="1">
        <f t="array" ref="S12">IFERROR(INDEX($D$2:$D$27,MATCH(1,($I12=$A$2:$A$27)*(S$2=$C$2:$C$27),0)),"")</f>
        <v/>
      </c>
      <c r="T12" s="36" t="str" cm="1">
        <f t="array" ref="T12">IFERROR(INDEX($D$2:$D$27,MATCH(1,($I12=$A$2:$A$27)*(T$2=$C$2:$C$27),0)),"")</f>
        <v/>
      </c>
    </row>
    <row r="13" spans="1:22" x14ac:dyDescent="0.25">
      <c r="A13" s="35">
        <v>45393</v>
      </c>
      <c r="B13" s="34" t="s">
        <v>67</v>
      </c>
      <c r="C13" s="34" t="s">
        <v>76</v>
      </c>
      <c r="D13" s="34" t="s">
        <v>54</v>
      </c>
      <c r="I13" s="35">
        <v>45392</v>
      </c>
      <c r="J13" s="36" t="str" cm="1">
        <f t="array" ref="J13">IFERROR(INDEX($D$2:$D$27,MATCH(1,($I13=$A$2:$A$27)*(J$2=$C$2:$C$27),0)),"")</f>
        <v/>
      </c>
      <c r="K13" s="36" t="str" cm="1">
        <f t="array" ref="K13">IFERROR(INDEX($D$2:$D$27,MATCH(1,($I13=$A$2:$A$27)*(K$2=$C$2:$C$27),0)),"")</f>
        <v/>
      </c>
      <c r="L13" s="36" t="str" cm="1">
        <f t="array" ref="L13">IFERROR(INDEX($D$2:$D$27,MATCH(1,($I13=$A$2:$A$27)*(L$2=$C$2:$C$27),0)),"")</f>
        <v/>
      </c>
      <c r="M13" s="36" t="str" cm="1">
        <f t="array" ref="M13">IFERROR(INDEX($D$2:$D$27,MATCH(1,($I13=$A$2:$A$27)*(M$2=$C$2:$C$27),0)),"")</f>
        <v>Hari Raya Idul Fitri 1445 Hijriyah</v>
      </c>
      <c r="N13" s="36" t="str" cm="1">
        <f t="array" ref="N13">IFERROR(INDEX($D$2:$D$27,MATCH(1,($I13=$A$2:$A$27)*(N$2=$C$2:$C$27),0)),"")</f>
        <v/>
      </c>
      <c r="O13" s="36" t="str" cm="1">
        <f t="array" ref="O13">IFERROR(INDEX($D$2:$D$27,MATCH(1,($I13=$A$2:$A$27)*(O$2=$C$2:$C$27),0)),"")</f>
        <v/>
      </c>
      <c r="P13" s="36" t="str" cm="1">
        <f t="array" ref="P13">IFERROR(INDEX($D$2:$D$27,MATCH(1,($I13=$A$2:$A$27)*(P$2=$C$2:$C$27),0)),"")</f>
        <v/>
      </c>
      <c r="Q13" s="36" t="str" cm="1">
        <f t="array" ref="Q13">IFERROR(INDEX($D$2:$D$27,MATCH(1,($I13=$A$2:$A$27)*(Q$2=$C$2:$C$27),0)),"")</f>
        <v/>
      </c>
      <c r="R13" s="36" t="str" cm="1">
        <f t="array" ref="R13">IFERROR(INDEX($D$2:$D$27,MATCH(1,($I13=$A$2:$A$27)*(R$2=$C$2:$C$27),0)),"")</f>
        <v/>
      </c>
      <c r="S13" s="36" t="str" cm="1">
        <f t="array" ref="S13">IFERROR(INDEX($D$2:$D$27,MATCH(1,($I13=$A$2:$A$27)*(S$2=$C$2:$C$27),0)),"")</f>
        <v/>
      </c>
      <c r="T13" s="36" t="str" cm="1">
        <f t="array" ref="T13">IFERROR(INDEX($D$2:$D$27,MATCH(1,($I13=$A$2:$A$27)*(T$2=$C$2:$C$27),0)),"")</f>
        <v/>
      </c>
    </row>
    <row r="14" spans="1:22" x14ac:dyDescent="0.25">
      <c r="A14" s="35">
        <v>45413</v>
      </c>
      <c r="B14" s="34" t="s">
        <v>64</v>
      </c>
      <c r="C14" s="34" t="s">
        <v>75</v>
      </c>
      <c r="D14" s="34" t="s">
        <v>53</v>
      </c>
      <c r="I14" s="35">
        <v>45393</v>
      </c>
      <c r="J14" s="36" t="str" cm="1">
        <f t="array" ref="J14">IFERROR(INDEX($D$2:$D$27,MATCH(1,($I14=$A$2:$A$27)*(J$2=$C$2:$C$27),0)),"")</f>
        <v/>
      </c>
      <c r="K14" s="36" t="str" cm="1">
        <f t="array" ref="K14">IFERROR(INDEX($D$2:$D$27,MATCH(1,($I14=$A$2:$A$27)*(K$2=$C$2:$C$27),0)),"")</f>
        <v/>
      </c>
      <c r="L14" s="36" t="str" cm="1">
        <f t="array" ref="L14">IFERROR(INDEX($D$2:$D$27,MATCH(1,($I14=$A$2:$A$27)*(L$2=$C$2:$C$27),0)),"")</f>
        <v/>
      </c>
      <c r="M14" s="36" t="str" cm="1">
        <f t="array" ref="M14">IFERROR(INDEX($D$2:$D$27,MATCH(1,($I14=$A$2:$A$27)*(M$2=$C$2:$C$27),0)),"")</f>
        <v>Hari Raya Idul Fitri 1445 Hijriyah</v>
      </c>
      <c r="N14" s="36" t="str" cm="1">
        <f t="array" ref="N14">IFERROR(INDEX($D$2:$D$27,MATCH(1,($I14=$A$2:$A$27)*(N$2=$C$2:$C$27),0)),"")</f>
        <v/>
      </c>
      <c r="O14" s="36" t="str" cm="1">
        <f t="array" ref="O14">IFERROR(INDEX($D$2:$D$27,MATCH(1,($I14=$A$2:$A$27)*(O$2=$C$2:$C$27),0)),"")</f>
        <v/>
      </c>
      <c r="P14" s="36" t="str" cm="1">
        <f t="array" ref="P14">IFERROR(INDEX($D$2:$D$27,MATCH(1,($I14=$A$2:$A$27)*(P$2=$C$2:$C$27),0)),"")</f>
        <v/>
      </c>
      <c r="Q14" s="36" t="str" cm="1">
        <f t="array" ref="Q14">IFERROR(INDEX($D$2:$D$27,MATCH(1,($I14=$A$2:$A$27)*(Q$2=$C$2:$C$27),0)),"")</f>
        <v/>
      </c>
      <c r="R14" s="36" t="str" cm="1">
        <f t="array" ref="R14">IFERROR(INDEX($D$2:$D$27,MATCH(1,($I14=$A$2:$A$27)*(R$2=$C$2:$C$27),0)),"")</f>
        <v/>
      </c>
      <c r="S14" s="36" t="str" cm="1">
        <f t="array" ref="S14">IFERROR(INDEX($D$2:$D$27,MATCH(1,($I14=$A$2:$A$27)*(S$2=$C$2:$C$27),0)),"")</f>
        <v/>
      </c>
      <c r="T14" s="36" t="str" cm="1">
        <f t="array" ref="T14">IFERROR(INDEX($D$2:$D$27,MATCH(1,($I14=$A$2:$A$27)*(T$2=$C$2:$C$27),0)),"")</f>
        <v/>
      </c>
    </row>
    <row r="15" spans="1:22" x14ac:dyDescent="0.25">
      <c r="A15" s="35">
        <v>45421</v>
      </c>
      <c r="B15" s="34" t="s">
        <v>67</v>
      </c>
      <c r="C15" s="34" t="s">
        <v>75</v>
      </c>
      <c r="D15" s="34" t="s">
        <v>52</v>
      </c>
      <c r="I15" s="35">
        <v>45413</v>
      </c>
      <c r="J15" s="36" t="str" cm="1">
        <f t="array" ref="J15">IFERROR(INDEX($D$2:$D$27,MATCH(1,($I15=$A$2:$A$27)*(J$2=$C$2:$C$27),0)),"")</f>
        <v/>
      </c>
      <c r="K15" s="36" t="str" cm="1">
        <f t="array" ref="K15">IFERROR(INDEX($D$2:$D$27,MATCH(1,($I15=$A$2:$A$27)*(K$2=$C$2:$C$27),0)),"")</f>
        <v/>
      </c>
      <c r="L15" s="36" t="str" cm="1">
        <f t="array" ref="L15">IFERROR(INDEX($D$2:$D$27,MATCH(1,($I15=$A$2:$A$27)*(L$2=$C$2:$C$27),0)),"")</f>
        <v/>
      </c>
      <c r="M15" s="36" t="str" cm="1">
        <f t="array" ref="M15">IFERROR(INDEX($D$2:$D$27,MATCH(1,($I15=$A$2:$A$27)*(M$2=$C$2:$C$27),0)),"")</f>
        <v/>
      </c>
      <c r="N15" s="36" t="str" cm="1">
        <f t="array" ref="N15">IFERROR(INDEX($D$2:$D$27,MATCH(1,($I15=$A$2:$A$27)*(N$2=$C$2:$C$27),0)),"")</f>
        <v>Hari Buruh Internasional</v>
      </c>
      <c r="O15" s="36" t="str" cm="1">
        <f t="array" ref="O15">IFERROR(INDEX($D$2:$D$27,MATCH(1,($I15=$A$2:$A$27)*(O$2=$C$2:$C$27),0)),"")</f>
        <v/>
      </c>
      <c r="P15" s="36" t="str" cm="1">
        <f t="array" ref="P15">IFERROR(INDEX($D$2:$D$27,MATCH(1,($I15=$A$2:$A$27)*(P$2=$C$2:$C$27),0)),"")</f>
        <v/>
      </c>
      <c r="Q15" s="36" t="str" cm="1">
        <f t="array" ref="Q15">IFERROR(INDEX($D$2:$D$27,MATCH(1,($I15=$A$2:$A$27)*(Q$2=$C$2:$C$27),0)),"")</f>
        <v/>
      </c>
      <c r="R15" s="36" t="str" cm="1">
        <f t="array" ref="R15">IFERROR(INDEX($D$2:$D$27,MATCH(1,($I15=$A$2:$A$27)*(R$2=$C$2:$C$27),0)),"")</f>
        <v/>
      </c>
      <c r="S15" s="36" t="str" cm="1">
        <f t="array" ref="S15">IFERROR(INDEX($D$2:$D$27,MATCH(1,($I15=$A$2:$A$27)*(S$2=$C$2:$C$27),0)),"")</f>
        <v/>
      </c>
      <c r="T15" s="36" t="str" cm="1">
        <f t="array" ref="T15">IFERROR(INDEX($D$2:$D$27,MATCH(1,($I15=$A$2:$A$27)*(T$2=$C$2:$C$27),0)),"")</f>
        <v/>
      </c>
    </row>
    <row r="16" spans="1:22" x14ac:dyDescent="0.25">
      <c r="A16" s="35">
        <v>45435</v>
      </c>
      <c r="B16" s="34" t="s">
        <v>67</v>
      </c>
      <c r="C16" s="34" t="s">
        <v>75</v>
      </c>
      <c r="D16" s="34" t="s">
        <v>51</v>
      </c>
      <c r="I16" s="35">
        <v>45421</v>
      </c>
      <c r="J16" s="36" t="str" cm="1">
        <f t="array" ref="J16">IFERROR(INDEX($D$2:$D$27,MATCH(1,($I16=$A$2:$A$27)*(J$2=$C$2:$C$27),0)),"")</f>
        <v/>
      </c>
      <c r="K16" s="36" t="str" cm="1">
        <f t="array" ref="K16">IFERROR(INDEX($D$2:$D$27,MATCH(1,($I16=$A$2:$A$27)*(K$2=$C$2:$C$27),0)),"")</f>
        <v/>
      </c>
      <c r="L16" s="36" t="str" cm="1">
        <f t="array" ref="L16">IFERROR(INDEX($D$2:$D$27,MATCH(1,($I16=$A$2:$A$27)*(L$2=$C$2:$C$27),0)),"")</f>
        <v/>
      </c>
      <c r="M16" s="36" t="str" cm="1">
        <f t="array" ref="M16">IFERROR(INDEX($D$2:$D$27,MATCH(1,($I16=$A$2:$A$27)*(M$2=$C$2:$C$27),0)),"")</f>
        <v/>
      </c>
      <c r="N16" s="36" t="str" cm="1">
        <f t="array" ref="N16">IFERROR(INDEX($D$2:$D$27,MATCH(1,($I16=$A$2:$A$27)*(N$2=$C$2:$C$27),0)),"")</f>
        <v>Kenaikan Isa Al Masih</v>
      </c>
      <c r="O16" s="36" t="str" cm="1">
        <f t="array" ref="O16">IFERROR(INDEX($D$2:$D$27,MATCH(1,($I16=$A$2:$A$27)*(O$2=$C$2:$C$27),0)),"")</f>
        <v/>
      </c>
      <c r="P16" s="36" t="str" cm="1">
        <f t="array" ref="P16">IFERROR(INDEX($D$2:$D$27,MATCH(1,($I16=$A$2:$A$27)*(P$2=$C$2:$C$27),0)),"")</f>
        <v/>
      </c>
      <c r="Q16" s="36" t="str" cm="1">
        <f t="array" ref="Q16">IFERROR(INDEX($D$2:$D$27,MATCH(1,($I16=$A$2:$A$27)*(Q$2=$C$2:$C$27),0)),"")</f>
        <v/>
      </c>
      <c r="R16" s="36" t="str" cm="1">
        <f t="array" ref="R16">IFERROR(INDEX($D$2:$D$27,MATCH(1,($I16=$A$2:$A$27)*(R$2=$C$2:$C$27),0)),"")</f>
        <v/>
      </c>
      <c r="S16" s="36" t="str" cm="1">
        <f t="array" ref="S16">IFERROR(INDEX($D$2:$D$27,MATCH(1,($I16=$A$2:$A$27)*(S$2=$C$2:$C$27),0)),"")</f>
        <v/>
      </c>
      <c r="T16" s="36" t="str" cm="1">
        <f t="array" ref="T16">IFERROR(INDEX($D$2:$D$27,MATCH(1,($I16=$A$2:$A$27)*(T$2=$C$2:$C$27),0)),"")</f>
        <v/>
      </c>
    </row>
    <row r="17" spans="1:20" x14ac:dyDescent="0.25">
      <c r="A17" s="35">
        <v>45444</v>
      </c>
      <c r="B17" s="34" t="s">
        <v>65</v>
      </c>
      <c r="C17" s="34" t="s">
        <v>74</v>
      </c>
      <c r="D17" s="34" t="s">
        <v>50</v>
      </c>
      <c r="I17" s="35">
        <v>45435</v>
      </c>
      <c r="J17" s="36" t="str" cm="1">
        <f t="array" ref="J17">IFERROR(INDEX($D$2:$D$27,MATCH(1,($I17=$A$2:$A$27)*(J$2=$C$2:$C$27),0)),"")</f>
        <v/>
      </c>
      <c r="K17" s="36" t="str" cm="1">
        <f t="array" ref="K17">IFERROR(INDEX($D$2:$D$27,MATCH(1,($I17=$A$2:$A$27)*(K$2=$C$2:$C$27),0)),"")</f>
        <v/>
      </c>
      <c r="L17" s="36" t="str" cm="1">
        <f t="array" ref="L17">IFERROR(INDEX($D$2:$D$27,MATCH(1,($I17=$A$2:$A$27)*(L$2=$C$2:$C$27),0)),"")</f>
        <v/>
      </c>
      <c r="M17" s="36" t="str" cm="1">
        <f t="array" ref="M17">IFERROR(INDEX($D$2:$D$27,MATCH(1,($I17=$A$2:$A$27)*(M$2=$C$2:$C$27),0)),"")</f>
        <v/>
      </c>
      <c r="N17" s="36" t="str" cm="1">
        <f t="array" ref="N17">IFERROR(INDEX($D$2:$D$27,MATCH(1,($I17=$A$2:$A$27)*(N$2=$C$2:$C$27),0)),"")</f>
        <v>Hari Raya Waisak 2568</v>
      </c>
      <c r="O17" s="36" t="str" cm="1">
        <f t="array" ref="O17">IFERROR(INDEX($D$2:$D$27,MATCH(1,($I17=$A$2:$A$27)*(O$2=$C$2:$C$27),0)),"")</f>
        <v/>
      </c>
      <c r="P17" s="36" t="str" cm="1">
        <f t="array" ref="P17">IFERROR(INDEX($D$2:$D$27,MATCH(1,($I17=$A$2:$A$27)*(P$2=$C$2:$C$27),0)),"")</f>
        <v/>
      </c>
      <c r="Q17" s="36" t="str" cm="1">
        <f t="array" ref="Q17">IFERROR(INDEX($D$2:$D$27,MATCH(1,($I17=$A$2:$A$27)*(Q$2=$C$2:$C$27),0)),"")</f>
        <v/>
      </c>
      <c r="R17" s="36" t="str" cm="1">
        <f t="array" ref="R17">IFERROR(INDEX($D$2:$D$27,MATCH(1,($I17=$A$2:$A$27)*(R$2=$C$2:$C$27),0)),"")</f>
        <v/>
      </c>
      <c r="S17" s="36" t="str" cm="1">
        <f t="array" ref="S17">IFERROR(INDEX($D$2:$D$27,MATCH(1,($I17=$A$2:$A$27)*(S$2=$C$2:$C$27),0)),"")</f>
        <v/>
      </c>
      <c r="T17" s="36" t="str" cm="1">
        <f t="array" ref="T17">IFERROR(INDEX($D$2:$D$27,MATCH(1,($I17=$A$2:$A$27)*(T$2=$C$2:$C$27),0)),"")</f>
        <v/>
      </c>
    </row>
    <row r="18" spans="1:20" x14ac:dyDescent="0.25">
      <c r="A18" s="35">
        <v>45460</v>
      </c>
      <c r="B18" s="34" t="s">
        <v>73</v>
      </c>
      <c r="C18" s="34" t="s">
        <v>74</v>
      </c>
      <c r="D18" s="34" t="s">
        <v>49</v>
      </c>
      <c r="I18" s="35">
        <v>45444</v>
      </c>
      <c r="J18" s="36" t="str" cm="1">
        <f t="array" ref="J18">IFERROR(INDEX($D$2:$D$27,MATCH(1,($I18=$A$2:$A$27)*(J$2=$C$2:$C$27),0)),"")</f>
        <v/>
      </c>
      <c r="K18" s="36" t="str" cm="1">
        <f t="array" ref="K18">IFERROR(INDEX($D$2:$D$27,MATCH(1,($I18=$A$2:$A$27)*(K$2=$C$2:$C$27),0)),"")</f>
        <v/>
      </c>
      <c r="L18" s="36" t="str" cm="1">
        <f t="array" ref="L18">IFERROR(INDEX($D$2:$D$27,MATCH(1,($I18=$A$2:$A$27)*(L$2=$C$2:$C$27),0)),"")</f>
        <v/>
      </c>
      <c r="M18" s="36" t="str" cm="1">
        <f t="array" ref="M18">IFERROR(INDEX($D$2:$D$27,MATCH(1,($I18=$A$2:$A$27)*(M$2=$C$2:$C$27),0)),"")</f>
        <v/>
      </c>
      <c r="N18" s="36" t="str" cm="1">
        <f t="array" ref="N18">IFERROR(INDEX($D$2:$D$27,MATCH(1,($I18=$A$2:$A$27)*(N$2=$C$2:$C$27),0)),"")</f>
        <v/>
      </c>
      <c r="O18" s="36" t="str" cm="1">
        <f t="array" ref="O18">IFERROR(INDEX($D$2:$D$27,MATCH(1,($I18=$A$2:$A$27)*(O$2=$C$2:$C$27),0)),"")</f>
        <v>Hari Lahirnya Pancasila</v>
      </c>
      <c r="P18" s="36" t="str" cm="1">
        <f t="array" ref="P18">IFERROR(INDEX($D$2:$D$27,MATCH(1,($I18=$A$2:$A$27)*(P$2=$C$2:$C$27),0)),"")</f>
        <v/>
      </c>
      <c r="Q18" s="36" t="str" cm="1">
        <f t="array" ref="Q18">IFERROR(INDEX($D$2:$D$27,MATCH(1,($I18=$A$2:$A$27)*(Q$2=$C$2:$C$27),0)),"")</f>
        <v/>
      </c>
      <c r="R18" s="36" t="str" cm="1">
        <f t="array" ref="R18">IFERROR(INDEX($D$2:$D$27,MATCH(1,($I18=$A$2:$A$27)*(R$2=$C$2:$C$27),0)),"")</f>
        <v/>
      </c>
      <c r="S18" s="36" t="str" cm="1">
        <f t="array" ref="S18">IFERROR(INDEX($D$2:$D$27,MATCH(1,($I18=$A$2:$A$27)*(S$2=$C$2:$C$27),0)),"")</f>
        <v/>
      </c>
      <c r="T18" s="36" t="str" cm="1">
        <f t="array" ref="T18">IFERROR(INDEX($D$2:$D$27,MATCH(1,($I18=$A$2:$A$27)*(T$2=$C$2:$C$27),0)),"")</f>
        <v/>
      </c>
    </row>
    <row r="19" spans="1:20" x14ac:dyDescent="0.25">
      <c r="A19" s="35">
        <v>45480</v>
      </c>
      <c r="B19" s="34" t="s">
        <v>70</v>
      </c>
      <c r="C19" s="34" t="s">
        <v>72</v>
      </c>
      <c r="D19" s="34" t="s">
        <v>48</v>
      </c>
      <c r="I19" s="35">
        <v>45460</v>
      </c>
      <c r="J19" s="36" t="str" cm="1">
        <f t="array" ref="J19">IFERROR(INDEX($D$2:$D$27,MATCH(1,($I19=$A$2:$A$27)*(J$2=$C$2:$C$27),0)),"")</f>
        <v/>
      </c>
      <c r="K19" s="36" t="str" cm="1">
        <f t="array" ref="K19">IFERROR(INDEX($D$2:$D$27,MATCH(1,($I19=$A$2:$A$27)*(K$2=$C$2:$C$27),0)),"")</f>
        <v/>
      </c>
      <c r="L19" s="36" t="str" cm="1">
        <f t="array" ref="L19">IFERROR(INDEX($D$2:$D$27,MATCH(1,($I19=$A$2:$A$27)*(L$2=$C$2:$C$27),0)),"")</f>
        <v/>
      </c>
      <c r="M19" s="36" t="str" cm="1">
        <f t="array" ref="M19">IFERROR(INDEX($D$2:$D$27,MATCH(1,($I19=$A$2:$A$27)*(M$2=$C$2:$C$27),0)),"")</f>
        <v/>
      </c>
      <c r="N19" s="36" t="str" cm="1">
        <f t="array" ref="N19">IFERROR(INDEX($D$2:$D$27,MATCH(1,($I19=$A$2:$A$27)*(N$2=$C$2:$C$27),0)),"")</f>
        <v/>
      </c>
      <c r="O19" s="36" t="str" cm="1">
        <f t="array" ref="O19">IFERROR(INDEX($D$2:$D$27,MATCH(1,($I19=$A$2:$A$27)*(O$2=$C$2:$C$27),0)),"")</f>
        <v>Hari Raya Idul Adha 1445 Hijriyah</v>
      </c>
      <c r="P19" s="36" t="str" cm="1">
        <f t="array" ref="P19">IFERROR(INDEX($D$2:$D$27,MATCH(1,($I19=$A$2:$A$27)*(P$2=$C$2:$C$27),0)),"")</f>
        <v/>
      </c>
      <c r="Q19" s="36" t="str" cm="1">
        <f t="array" ref="Q19">IFERROR(INDEX($D$2:$D$27,MATCH(1,($I19=$A$2:$A$27)*(Q$2=$C$2:$C$27),0)),"")</f>
        <v/>
      </c>
      <c r="R19" s="36" t="str" cm="1">
        <f t="array" ref="R19">IFERROR(INDEX($D$2:$D$27,MATCH(1,($I19=$A$2:$A$27)*(R$2=$C$2:$C$27),0)),"")</f>
        <v/>
      </c>
      <c r="S19" s="36" t="str" cm="1">
        <f t="array" ref="S19">IFERROR(INDEX($D$2:$D$27,MATCH(1,($I19=$A$2:$A$27)*(S$2=$C$2:$C$27),0)),"")</f>
        <v/>
      </c>
      <c r="T19" s="36" t="str" cm="1">
        <f t="array" ref="T19">IFERROR(INDEX($D$2:$D$27,MATCH(1,($I19=$A$2:$A$27)*(T$2=$C$2:$C$27),0)),"")</f>
        <v/>
      </c>
    </row>
    <row r="20" spans="1:20" x14ac:dyDescent="0.25">
      <c r="A20" s="35">
        <v>45486</v>
      </c>
      <c r="B20" s="34" t="s">
        <v>65</v>
      </c>
      <c r="C20" s="34" t="s">
        <v>72</v>
      </c>
      <c r="D20" s="34" t="s">
        <v>47</v>
      </c>
      <c r="I20" s="35">
        <v>45480</v>
      </c>
      <c r="J20" s="36" t="str" cm="1">
        <f t="array" ref="J20">IFERROR(INDEX($D$2:$D$27,MATCH(1,($I20=$A$2:$A$27)*(J$2=$C$2:$C$27),0)),"")</f>
        <v/>
      </c>
      <c r="K20" s="36" t="str" cm="1">
        <f t="array" ref="K20">IFERROR(INDEX($D$2:$D$27,MATCH(1,($I20=$A$2:$A$27)*(K$2=$C$2:$C$27),0)),"")</f>
        <v/>
      </c>
      <c r="L20" s="36" t="str" cm="1">
        <f t="array" ref="L20">IFERROR(INDEX($D$2:$D$27,MATCH(1,($I20=$A$2:$A$27)*(L$2=$C$2:$C$27),0)),"")</f>
        <v/>
      </c>
      <c r="M20" s="36" t="str" cm="1">
        <f t="array" ref="M20">IFERROR(INDEX($D$2:$D$27,MATCH(1,($I20=$A$2:$A$27)*(M$2=$C$2:$C$27),0)),"")</f>
        <v/>
      </c>
      <c r="N20" s="36" t="str" cm="1">
        <f t="array" ref="N20">IFERROR(INDEX($D$2:$D$27,MATCH(1,($I20=$A$2:$A$27)*(N$2=$C$2:$C$27),0)),"")</f>
        <v/>
      </c>
      <c r="O20" s="36" t="str" cm="1">
        <f t="array" ref="O20">IFERROR(INDEX($D$2:$D$27,MATCH(1,($I20=$A$2:$A$27)*(O$2=$C$2:$C$27),0)),"")</f>
        <v/>
      </c>
      <c r="P20" s="36" t="str" cm="1">
        <f t="array" ref="P20">IFERROR(INDEX($D$2:$D$27,MATCH(1,($I20=$A$2:$A$27)*(P$2=$C$2:$C$27),0)),"")</f>
        <v>Tahun Baru Islam 1446 Hijriyah</v>
      </c>
      <c r="Q20" s="36" t="str" cm="1">
        <f t="array" ref="Q20">IFERROR(INDEX($D$2:$D$27,MATCH(1,($I20=$A$2:$A$27)*(Q$2=$C$2:$C$27),0)),"")</f>
        <v/>
      </c>
      <c r="R20" s="36" t="str" cm="1">
        <f t="array" ref="R20">IFERROR(INDEX($D$2:$D$27,MATCH(1,($I20=$A$2:$A$27)*(R$2=$C$2:$C$27),0)),"")</f>
        <v/>
      </c>
      <c r="S20" s="36" t="str" cm="1">
        <f t="array" ref="S20">IFERROR(INDEX($D$2:$D$27,MATCH(1,($I20=$A$2:$A$27)*(S$2=$C$2:$C$27),0)),"")</f>
        <v/>
      </c>
      <c r="T20" s="36" t="str" cm="1">
        <f t="array" ref="T20">IFERROR(INDEX($D$2:$D$27,MATCH(1,($I20=$A$2:$A$27)*(T$2=$C$2:$C$27),0)),"")</f>
        <v/>
      </c>
    </row>
    <row r="21" spans="1:20" x14ac:dyDescent="0.25">
      <c r="A21" s="35">
        <v>45521</v>
      </c>
      <c r="B21" s="34" t="s">
        <v>65</v>
      </c>
      <c r="C21" s="34" t="s">
        <v>71</v>
      </c>
      <c r="D21" s="34" t="s">
        <v>46</v>
      </c>
      <c r="I21" s="35">
        <v>45486</v>
      </c>
      <c r="J21" s="36" t="str" cm="1">
        <f t="array" ref="J21">IFERROR(INDEX($D$2:$D$27,MATCH(1,($I21=$A$2:$A$27)*(J$2=$C$2:$C$27),0)),"")</f>
        <v/>
      </c>
      <c r="K21" s="36" t="str" cm="1">
        <f t="array" ref="K21">IFERROR(INDEX($D$2:$D$27,MATCH(1,($I21=$A$2:$A$27)*(K$2=$C$2:$C$27),0)),"")</f>
        <v/>
      </c>
      <c r="L21" s="36" t="str" cm="1">
        <f t="array" ref="L21">IFERROR(INDEX($D$2:$D$27,MATCH(1,($I21=$A$2:$A$27)*(L$2=$C$2:$C$27),0)),"")</f>
        <v/>
      </c>
      <c r="M21" s="36" t="str" cm="1">
        <f t="array" ref="M21">IFERROR(INDEX($D$2:$D$27,MATCH(1,($I21=$A$2:$A$27)*(M$2=$C$2:$C$27),0)),"")</f>
        <v/>
      </c>
      <c r="N21" s="36" t="str" cm="1">
        <f t="array" ref="N21">IFERROR(INDEX($D$2:$D$27,MATCH(1,($I21=$A$2:$A$27)*(N$2=$C$2:$C$27),0)),"")</f>
        <v/>
      </c>
      <c r="O21" s="36" t="str" cm="1">
        <f t="array" ref="O21">IFERROR(INDEX($D$2:$D$27,MATCH(1,($I21=$A$2:$A$27)*(O$2=$C$2:$C$27),0)),"")</f>
        <v/>
      </c>
      <c r="P21" s="36" t="str" cm="1">
        <f t="array" ref="P21">IFERROR(INDEX($D$2:$D$27,MATCH(1,($I21=$A$2:$A$27)*(P$2=$C$2:$C$27),0)),"")</f>
        <v>Hari Saraswati</v>
      </c>
      <c r="Q21" s="36" t="str" cm="1">
        <f t="array" ref="Q21">IFERROR(INDEX($D$2:$D$27,MATCH(1,($I21=$A$2:$A$27)*(Q$2=$C$2:$C$27),0)),"")</f>
        <v/>
      </c>
      <c r="R21" s="36" t="str" cm="1">
        <f t="array" ref="R21">IFERROR(INDEX($D$2:$D$27,MATCH(1,($I21=$A$2:$A$27)*(R$2=$C$2:$C$27),0)),"")</f>
        <v/>
      </c>
      <c r="S21" s="36" t="str" cm="1">
        <f t="array" ref="S21">IFERROR(INDEX($D$2:$D$27,MATCH(1,($I21=$A$2:$A$27)*(S$2=$C$2:$C$27),0)),"")</f>
        <v/>
      </c>
      <c r="T21" s="36" t="str" cm="1">
        <f t="array" ref="T21">IFERROR(INDEX($D$2:$D$27,MATCH(1,($I21=$A$2:$A$27)*(T$2=$C$2:$C$27),0)),"")</f>
        <v/>
      </c>
    </row>
    <row r="22" spans="1:20" x14ac:dyDescent="0.25">
      <c r="A22" s="35">
        <v>45550</v>
      </c>
      <c r="B22" s="34" t="s">
        <v>70</v>
      </c>
      <c r="C22" s="34" t="s">
        <v>68</v>
      </c>
      <c r="D22" s="34" t="s">
        <v>45</v>
      </c>
      <c r="I22" s="35">
        <v>45521</v>
      </c>
      <c r="J22" s="36" t="str" cm="1">
        <f t="array" ref="J22">IFERROR(INDEX($D$2:$D$27,MATCH(1,($I22=$A$2:$A$27)*(J$2=$C$2:$C$27),0)),"")</f>
        <v/>
      </c>
      <c r="K22" s="36" t="str" cm="1">
        <f t="array" ref="K22">IFERROR(INDEX($D$2:$D$27,MATCH(1,($I22=$A$2:$A$27)*(K$2=$C$2:$C$27),0)),"")</f>
        <v/>
      </c>
      <c r="L22" s="36" t="str" cm="1">
        <f t="array" ref="L22">IFERROR(INDEX($D$2:$D$27,MATCH(1,($I22=$A$2:$A$27)*(L$2=$C$2:$C$27),0)),"")</f>
        <v/>
      </c>
      <c r="M22" s="36" t="str" cm="1">
        <f t="array" ref="M22">IFERROR(INDEX($D$2:$D$27,MATCH(1,($I22=$A$2:$A$27)*(M$2=$C$2:$C$27),0)),"")</f>
        <v/>
      </c>
      <c r="N22" s="36" t="str" cm="1">
        <f t="array" ref="N22">IFERROR(INDEX($D$2:$D$27,MATCH(1,($I22=$A$2:$A$27)*(N$2=$C$2:$C$27),0)),"")</f>
        <v/>
      </c>
      <c r="O22" s="36" t="str" cm="1">
        <f t="array" ref="O22">IFERROR(INDEX($D$2:$D$27,MATCH(1,($I22=$A$2:$A$27)*(O$2=$C$2:$C$27),0)),"")</f>
        <v/>
      </c>
      <c r="P22" s="36" t="str" cm="1">
        <f t="array" ref="P22">IFERROR(INDEX($D$2:$D$27,MATCH(1,($I22=$A$2:$A$27)*(P$2=$C$2:$C$27),0)),"")</f>
        <v/>
      </c>
      <c r="Q22" s="36" t="str" cm="1">
        <f t="array" ref="Q22">IFERROR(INDEX($D$2:$D$27,MATCH(1,($I22=$A$2:$A$27)*(Q$2=$C$2:$C$27),0)),"")</f>
        <v>Hari Proklamasi Kemerdekaan RI</v>
      </c>
      <c r="R22" s="36" t="str" cm="1">
        <f t="array" ref="R22">IFERROR(INDEX($D$2:$D$27,MATCH(1,($I22=$A$2:$A$27)*(R$2=$C$2:$C$27),0)),"")</f>
        <v/>
      </c>
      <c r="S22" s="36" t="str" cm="1">
        <f t="array" ref="S22">IFERROR(INDEX($D$2:$D$27,MATCH(1,($I22=$A$2:$A$27)*(S$2=$C$2:$C$27),0)),"")</f>
        <v/>
      </c>
      <c r="T22" s="36" t="str" cm="1">
        <f t="array" ref="T22">IFERROR(INDEX($D$2:$D$27,MATCH(1,($I22=$A$2:$A$27)*(T$2=$C$2:$C$27),0)),"")</f>
        <v/>
      </c>
    </row>
    <row r="23" spans="1:20" x14ac:dyDescent="0.25">
      <c r="A23" s="35">
        <v>45559</v>
      </c>
      <c r="B23" s="34" t="s">
        <v>69</v>
      </c>
      <c r="C23" s="34" t="s">
        <v>68</v>
      </c>
      <c r="D23" s="34" t="s">
        <v>44</v>
      </c>
      <c r="I23" s="35">
        <v>45550</v>
      </c>
      <c r="J23" s="36" t="str" cm="1">
        <f t="array" ref="J23">IFERROR(INDEX($D$2:$D$27,MATCH(1,($I23=$A$2:$A$27)*(J$2=$C$2:$C$27),0)),"")</f>
        <v/>
      </c>
      <c r="K23" s="36" t="str" cm="1">
        <f t="array" ref="K23">IFERROR(INDEX($D$2:$D$27,MATCH(1,($I23=$A$2:$A$27)*(K$2=$C$2:$C$27),0)),"")</f>
        <v/>
      </c>
      <c r="L23" s="36" t="str" cm="1">
        <f t="array" ref="L23">IFERROR(INDEX($D$2:$D$27,MATCH(1,($I23=$A$2:$A$27)*(L$2=$C$2:$C$27),0)),"")</f>
        <v/>
      </c>
      <c r="M23" s="36" t="str" cm="1">
        <f t="array" ref="M23">IFERROR(INDEX($D$2:$D$27,MATCH(1,($I23=$A$2:$A$27)*(M$2=$C$2:$C$27),0)),"")</f>
        <v/>
      </c>
      <c r="N23" s="36" t="str" cm="1">
        <f t="array" ref="N23">IFERROR(INDEX($D$2:$D$27,MATCH(1,($I23=$A$2:$A$27)*(N$2=$C$2:$C$27),0)),"")</f>
        <v/>
      </c>
      <c r="O23" s="36" t="str" cm="1">
        <f t="array" ref="O23">IFERROR(INDEX($D$2:$D$27,MATCH(1,($I23=$A$2:$A$27)*(O$2=$C$2:$C$27),0)),"")</f>
        <v/>
      </c>
      <c r="P23" s="36" t="str" cm="1">
        <f t="array" ref="P23">IFERROR(INDEX($D$2:$D$27,MATCH(1,($I23=$A$2:$A$27)*(P$2=$C$2:$C$27),0)),"")</f>
        <v/>
      </c>
      <c r="Q23" s="36" t="str" cm="1">
        <f t="array" ref="Q23">IFERROR(INDEX($D$2:$D$27,MATCH(1,($I23=$A$2:$A$27)*(Q$2=$C$2:$C$27),0)),"")</f>
        <v/>
      </c>
      <c r="R23" s="36" t="str" cm="1">
        <f t="array" ref="R23">IFERROR(INDEX($D$2:$D$27,MATCH(1,($I23=$A$2:$A$27)*(R$2=$C$2:$C$27),0)),"")</f>
        <v>Maulid Nabi Muhammad SAW</v>
      </c>
      <c r="S23" s="36" t="str" cm="1">
        <f t="array" ref="S23">IFERROR(INDEX($D$2:$D$27,MATCH(1,($I23=$A$2:$A$27)*(S$2=$C$2:$C$27),0)),"")</f>
        <v/>
      </c>
      <c r="T23" s="36" t="str" cm="1">
        <f t="array" ref="T23">IFERROR(INDEX($D$2:$D$27,MATCH(1,($I23=$A$2:$A$27)*(T$2=$C$2:$C$27),0)),"")</f>
        <v/>
      </c>
    </row>
    <row r="24" spans="1:20" x14ac:dyDescent="0.25">
      <c r="A24" s="35">
        <v>45560</v>
      </c>
      <c r="B24" s="34" t="s">
        <v>64</v>
      </c>
      <c r="C24" s="34" t="s">
        <v>68</v>
      </c>
      <c r="D24" s="34" t="s">
        <v>43</v>
      </c>
      <c r="I24" s="35">
        <v>45559</v>
      </c>
      <c r="J24" s="36" t="str" cm="1">
        <f t="array" ref="J24">IFERROR(INDEX($D$2:$D$27,MATCH(1,($I24=$A$2:$A$27)*(J$2=$C$2:$C$27),0)),"")</f>
        <v/>
      </c>
      <c r="K24" s="36" t="str" cm="1">
        <f t="array" ref="K24">IFERROR(INDEX($D$2:$D$27,MATCH(1,($I24=$A$2:$A$27)*(K$2=$C$2:$C$27),0)),"")</f>
        <v/>
      </c>
      <c r="L24" s="36" t="str" cm="1">
        <f t="array" ref="L24">IFERROR(INDEX($D$2:$D$27,MATCH(1,($I24=$A$2:$A$27)*(L$2=$C$2:$C$27),0)),"")</f>
        <v/>
      </c>
      <c r="M24" s="36" t="str" cm="1">
        <f t="array" ref="M24">IFERROR(INDEX($D$2:$D$27,MATCH(1,($I24=$A$2:$A$27)*(M$2=$C$2:$C$27),0)),"")</f>
        <v/>
      </c>
      <c r="N24" s="36" t="str" cm="1">
        <f t="array" ref="N24">IFERROR(INDEX($D$2:$D$27,MATCH(1,($I24=$A$2:$A$27)*(N$2=$C$2:$C$27),0)),"")</f>
        <v/>
      </c>
      <c r="O24" s="36" t="str" cm="1">
        <f t="array" ref="O24">IFERROR(INDEX($D$2:$D$27,MATCH(1,($I24=$A$2:$A$27)*(O$2=$C$2:$C$27),0)),"")</f>
        <v/>
      </c>
      <c r="P24" s="36" t="str" cm="1">
        <f t="array" ref="P24">IFERROR(INDEX($D$2:$D$27,MATCH(1,($I24=$A$2:$A$27)*(P$2=$C$2:$C$27),0)),"")</f>
        <v/>
      </c>
      <c r="Q24" s="36" t="str" cm="1">
        <f t="array" ref="Q24">IFERROR(INDEX($D$2:$D$27,MATCH(1,($I24=$A$2:$A$27)*(Q$2=$C$2:$C$27),0)),"")</f>
        <v/>
      </c>
      <c r="R24" s="36" t="str" cm="1">
        <f t="array" ref="R24">IFERROR(INDEX($D$2:$D$27,MATCH(1,($I24=$A$2:$A$27)*(R$2=$C$2:$C$27),0)),"")</f>
        <v>Penampahan Galungan</v>
      </c>
      <c r="S24" s="36" t="str" cm="1">
        <f t="array" ref="S24">IFERROR(INDEX($D$2:$D$27,MATCH(1,($I24=$A$2:$A$27)*(S$2=$C$2:$C$27),0)),"")</f>
        <v/>
      </c>
      <c r="T24" s="36" t="str" cm="1">
        <f t="array" ref="T24">IFERROR(INDEX($D$2:$D$27,MATCH(1,($I24=$A$2:$A$27)*(T$2=$C$2:$C$27),0)),"")</f>
        <v/>
      </c>
    </row>
    <row r="25" spans="1:20" x14ac:dyDescent="0.25">
      <c r="A25" s="35">
        <v>45561</v>
      </c>
      <c r="B25" s="34" t="s">
        <v>67</v>
      </c>
      <c r="C25" s="34" t="s">
        <v>68</v>
      </c>
      <c r="D25" s="34" t="s">
        <v>42</v>
      </c>
      <c r="I25" s="35">
        <v>45560</v>
      </c>
      <c r="J25" s="36" t="str" cm="1">
        <f t="array" ref="J25">IFERROR(INDEX($D$2:$D$27,MATCH(1,($I25=$A$2:$A$27)*(J$2=$C$2:$C$27),0)),"")</f>
        <v/>
      </c>
      <c r="K25" s="36" t="str" cm="1">
        <f t="array" ref="K25">IFERROR(INDEX($D$2:$D$27,MATCH(1,($I25=$A$2:$A$27)*(K$2=$C$2:$C$27),0)),"")</f>
        <v/>
      </c>
      <c r="L25" s="36" t="str" cm="1">
        <f t="array" ref="L25">IFERROR(INDEX($D$2:$D$27,MATCH(1,($I25=$A$2:$A$27)*(L$2=$C$2:$C$27),0)),"")</f>
        <v/>
      </c>
      <c r="M25" s="36" t="str" cm="1">
        <f t="array" ref="M25">IFERROR(INDEX($D$2:$D$27,MATCH(1,($I25=$A$2:$A$27)*(M$2=$C$2:$C$27),0)),"")</f>
        <v/>
      </c>
      <c r="N25" s="36" t="str" cm="1">
        <f t="array" ref="N25">IFERROR(INDEX($D$2:$D$27,MATCH(1,($I25=$A$2:$A$27)*(N$2=$C$2:$C$27),0)),"")</f>
        <v/>
      </c>
      <c r="O25" s="36" t="str" cm="1">
        <f t="array" ref="O25">IFERROR(INDEX($D$2:$D$27,MATCH(1,($I25=$A$2:$A$27)*(O$2=$C$2:$C$27),0)),"")</f>
        <v/>
      </c>
      <c r="P25" s="36" t="str" cm="1">
        <f t="array" ref="P25">IFERROR(INDEX($D$2:$D$27,MATCH(1,($I25=$A$2:$A$27)*(P$2=$C$2:$C$27),0)),"")</f>
        <v/>
      </c>
      <c r="Q25" s="36" t="str" cm="1">
        <f t="array" ref="Q25">IFERROR(INDEX($D$2:$D$27,MATCH(1,($I25=$A$2:$A$27)*(Q$2=$C$2:$C$27),0)),"")</f>
        <v/>
      </c>
      <c r="R25" s="36" t="str" cm="1">
        <f t="array" ref="R25">IFERROR(INDEX($D$2:$D$27,MATCH(1,($I25=$A$2:$A$27)*(R$2=$C$2:$C$27),0)),"")</f>
        <v>Hari Raya Galungan</v>
      </c>
      <c r="S25" s="36" t="str" cm="1">
        <f t="array" ref="S25">IFERROR(INDEX($D$2:$D$27,MATCH(1,($I25=$A$2:$A$27)*(S$2=$C$2:$C$27),0)),"")</f>
        <v/>
      </c>
      <c r="T25" s="36" t="str" cm="1">
        <f t="array" ref="T25">IFERROR(INDEX($D$2:$D$27,MATCH(1,($I25=$A$2:$A$27)*(T$2=$C$2:$C$27),0)),"")</f>
        <v/>
      </c>
    </row>
    <row r="26" spans="1:20" x14ac:dyDescent="0.25">
      <c r="A26" s="35">
        <v>45570</v>
      </c>
      <c r="B26" s="34" t="s">
        <v>65</v>
      </c>
      <c r="C26" s="34" t="s">
        <v>66</v>
      </c>
      <c r="D26" s="34" t="s">
        <v>41</v>
      </c>
      <c r="I26" s="35">
        <v>45561</v>
      </c>
      <c r="J26" s="36" t="str" cm="1">
        <f t="array" ref="J26">IFERROR(INDEX($D$2:$D$27,MATCH(1,($I26=$A$2:$A$27)*(J$2=$C$2:$C$27),0)),"")</f>
        <v/>
      </c>
      <c r="K26" s="36" t="str" cm="1">
        <f t="array" ref="K26">IFERROR(INDEX($D$2:$D$27,MATCH(1,($I26=$A$2:$A$27)*(K$2=$C$2:$C$27),0)),"")</f>
        <v/>
      </c>
      <c r="L26" s="36" t="str" cm="1">
        <f t="array" ref="L26">IFERROR(INDEX($D$2:$D$27,MATCH(1,($I26=$A$2:$A$27)*(L$2=$C$2:$C$27),0)),"")</f>
        <v/>
      </c>
      <c r="M26" s="36" t="str" cm="1">
        <f t="array" ref="M26">IFERROR(INDEX($D$2:$D$27,MATCH(1,($I26=$A$2:$A$27)*(M$2=$C$2:$C$27),0)),"")</f>
        <v/>
      </c>
      <c r="N26" s="36" t="str" cm="1">
        <f t="array" ref="N26">IFERROR(INDEX($D$2:$D$27,MATCH(1,($I26=$A$2:$A$27)*(N$2=$C$2:$C$27),0)),"")</f>
        <v/>
      </c>
      <c r="O26" s="36" t="str" cm="1">
        <f t="array" ref="O26">IFERROR(INDEX($D$2:$D$27,MATCH(1,($I26=$A$2:$A$27)*(O$2=$C$2:$C$27),0)),"")</f>
        <v/>
      </c>
      <c r="P26" s="36" t="str" cm="1">
        <f t="array" ref="P26">IFERROR(INDEX($D$2:$D$27,MATCH(1,($I26=$A$2:$A$27)*(P$2=$C$2:$C$27),0)),"")</f>
        <v/>
      </c>
      <c r="Q26" s="36" t="str" cm="1">
        <f t="array" ref="Q26">IFERROR(INDEX($D$2:$D$27,MATCH(1,($I26=$A$2:$A$27)*(Q$2=$C$2:$C$27),0)),"")</f>
        <v/>
      </c>
      <c r="R26" s="36" t="str" cm="1">
        <f t="array" ref="R26">IFERROR(INDEX($D$2:$D$27,MATCH(1,($I26=$A$2:$A$27)*(R$2=$C$2:$C$27),0)),"")</f>
        <v>Umanis Galungan</v>
      </c>
      <c r="S26" s="36" t="str" cm="1">
        <f t="array" ref="S26">IFERROR(INDEX($D$2:$D$27,MATCH(1,($I26=$A$2:$A$27)*(S$2=$C$2:$C$27),0)),"")</f>
        <v/>
      </c>
      <c r="T26" s="36" t="str" cm="1">
        <f t="array" ref="T26">IFERROR(INDEX($D$2:$D$27,MATCH(1,($I26=$A$2:$A$27)*(T$2=$C$2:$C$27),0)),"")</f>
        <v/>
      </c>
    </row>
    <row r="27" spans="1:20" x14ac:dyDescent="0.25">
      <c r="A27" s="35">
        <v>45651</v>
      </c>
      <c r="B27" s="34" t="s">
        <v>64</v>
      </c>
      <c r="C27" s="34" t="s">
        <v>61</v>
      </c>
      <c r="D27" s="34" t="s">
        <v>40</v>
      </c>
      <c r="I27" s="35">
        <v>45570</v>
      </c>
      <c r="J27" s="36" t="str" cm="1">
        <f t="array" ref="J27">IFERROR(INDEX($D$2:$D$27,MATCH(1,($I27=$A$2:$A$27)*(J$2=$C$2:$C$27),0)),"")</f>
        <v/>
      </c>
      <c r="K27" s="36" t="str" cm="1">
        <f t="array" ref="K27">IFERROR(INDEX($D$2:$D$27,MATCH(1,($I27=$A$2:$A$27)*(K$2=$C$2:$C$27),0)),"")</f>
        <v/>
      </c>
      <c r="L27" s="36" t="str" cm="1">
        <f t="array" ref="L27">IFERROR(INDEX($D$2:$D$27,MATCH(1,($I27=$A$2:$A$27)*(L$2=$C$2:$C$27),0)),"")</f>
        <v/>
      </c>
      <c r="M27" s="36" t="str" cm="1">
        <f t="array" ref="M27">IFERROR(INDEX($D$2:$D$27,MATCH(1,($I27=$A$2:$A$27)*(M$2=$C$2:$C$27),0)),"")</f>
        <v/>
      </c>
      <c r="N27" s="36" t="str" cm="1">
        <f t="array" ref="N27">IFERROR(INDEX($D$2:$D$27,MATCH(1,($I27=$A$2:$A$27)*(N$2=$C$2:$C$27),0)),"")</f>
        <v/>
      </c>
      <c r="O27" s="36" t="str" cm="1">
        <f t="array" ref="O27">IFERROR(INDEX($D$2:$D$27,MATCH(1,($I27=$A$2:$A$27)*(O$2=$C$2:$C$27),0)),"")</f>
        <v/>
      </c>
      <c r="P27" s="36" t="str" cm="1">
        <f t="array" ref="P27">IFERROR(INDEX($D$2:$D$27,MATCH(1,($I27=$A$2:$A$27)*(P$2=$C$2:$C$27),0)),"")</f>
        <v/>
      </c>
      <c r="Q27" s="36" t="str" cm="1">
        <f t="array" ref="Q27">IFERROR(INDEX($D$2:$D$27,MATCH(1,($I27=$A$2:$A$27)*(Q$2=$C$2:$C$27),0)),"")</f>
        <v/>
      </c>
      <c r="R27" s="36" t="str" cm="1">
        <f t="array" ref="R27">IFERROR(INDEX($D$2:$D$27,MATCH(1,($I27=$A$2:$A$27)*(R$2=$C$2:$C$27),0)),"")</f>
        <v/>
      </c>
      <c r="S27" s="36" t="str" cm="1">
        <f t="array" ref="S27">IFERROR(INDEX($D$2:$D$27,MATCH(1,($I27=$A$2:$A$27)*(S$2=$C$2:$C$27),0)),"")</f>
        <v>Hari Raya Kuningan</v>
      </c>
      <c r="T27" s="36" t="str" cm="1">
        <f t="array" ref="T27">IFERROR(INDEX($D$2:$D$27,MATCH(1,($I27=$A$2:$A$27)*(T$2=$C$2:$C$27),0)),"")</f>
        <v/>
      </c>
    </row>
    <row r="28" spans="1:20" x14ac:dyDescent="0.25">
      <c r="I28" s="35">
        <v>45651</v>
      </c>
      <c r="J28" s="36" t="str" cm="1">
        <f t="array" ref="J28">IFERROR(INDEX($D$2:$D$27,MATCH(1,($I28=$A$2:$A$27)*(J$2=$C$2:$C$27),0)),"")</f>
        <v/>
      </c>
      <c r="K28" s="36" t="str" cm="1">
        <f t="array" ref="K28">IFERROR(INDEX($D$2:$D$27,MATCH(1,($I28=$A$2:$A$27)*(K$2=$C$2:$C$27),0)),"")</f>
        <v/>
      </c>
      <c r="L28" s="36" t="str" cm="1">
        <f t="array" ref="L28">IFERROR(INDEX($D$2:$D$27,MATCH(1,($I28=$A$2:$A$27)*(L$2=$C$2:$C$27),0)),"")</f>
        <v/>
      </c>
      <c r="M28" s="36" t="str" cm="1">
        <f t="array" ref="M28">IFERROR(INDEX($D$2:$D$27,MATCH(1,($I28=$A$2:$A$27)*(M$2=$C$2:$C$27),0)),"")</f>
        <v/>
      </c>
      <c r="N28" s="36" t="str" cm="1">
        <f t="array" ref="N28">IFERROR(INDEX($D$2:$D$27,MATCH(1,($I28=$A$2:$A$27)*(N$2=$C$2:$C$27),0)),"")</f>
        <v/>
      </c>
      <c r="O28" s="36" t="str" cm="1">
        <f t="array" ref="O28">IFERROR(INDEX($D$2:$D$27,MATCH(1,($I28=$A$2:$A$27)*(O$2=$C$2:$C$27),0)),"")</f>
        <v/>
      </c>
      <c r="P28" s="36" t="str" cm="1">
        <f t="array" ref="P28">IFERROR(INDEX($D$2:$D$27,MATCH(1,($I28=$A$2:$A$27)*(P$2=$C$2:$C$27),0)),"")</f>
        <v/>
      </c>
      <c r="Q28" s="36" t="str" cm="1">
        <f t="array" ref="Q28">IFERROR(INDEX($D$2:$D$27,MATCH(1,($I28=$A$2:$A$27)*(Q$2=$C$2:$C$27),0)),"")</f>
        <v/>
      </c>
      <c r="R28" s="36" t="str" cm="1">
        <f t="array" ref="R28">IFERROR(INDEX($D$2:$D$27,MATCH(1,($I28=$A$2:$A$27)*(R$2=$C$2:$C$27),0)),"")</f>
        <v/>
      </c>
      <c r="S28" s="36" t="str" cm="1">
        <f t="array" ref="S28">IFERROR(INDEX($D$2:$D$27,MATCH(1,($I28=$A$2:$A$27)*(S$2=$C$2:$C$27),0)),"")</f>
        <v/>
      </c>
      <c r="T28" s="36" t="str" cm="1">
        <f t="array" ref="T28">IFERROR(INDEX($D$2:$D$27,MATCH(1,($I28=$A$2:$A$27)*(T$2=$C$2:$C$27),0)),"")</f>
        <v>Hari Raya Natal</v>
      </c>
    </row>
    <row r="31" spans="1:20" x14ac:dyDescent="0.25">
      <c r="A31" s="31" t="str">
        <f>CONCATENATE("A","B","C")</f>
        <v>ABC</v>
      </c>
    </row>
    <row r="32" spans="1:20" x14ac:dyDescent="0.25">
      <c r="A32"/>
      <c r="B32"/>
      <c r="C32"/>
      <c r="D32"/>
      <c r="E32"/>
      <c r="F32"/>
      <c r="G32"/>
      <c r="H32"/>
      <c r="I32"/>
    </row>
    <row r="33" spans="1:9" x14ac:dyDescent="0.25">
      <c r="A33"/>
      <c r="B33"/>
      <c r="C33"/>
      <c r="D33"/>
      <c r="E33"/>
      <c r="F33"/>
      <c r="G33"/>
      <c r="H33"/>
      <c r="I33"/>
    </row>
    <row r="34" spans="1:9" x14ac:dyDescent="0.25">
      <c r="A34"/>
      <c r="B34"/>
      <c r="C34"/>
      <c r="D34"/>
      <c r="E34"/>
      <c r="F34"/>
      <c r="G34"/>
      <c r="H34"/>
      <c r="I34"/>
    </row>
    <row r="35" spans="1:9" x14ac:dyDescent="0.25">
      <c r="A35"/>
      <c r="B35"/>
      <c r="C35"/>
      <c r="D35"/>
      <c r="E35"/>
      <c r="F35"/>
      <c r="G35"/>
      <c r="H35"/>
      <c r="I35"/>
    </row>
    <row r="36" spans="1:9" x14ac:dyDescent="0.25">
      <c r="A36"/>
      <c r="B36"/>
      <c r="C36"/>
      <c r="D36"/>
      <c r="E36"/>
      <c r="F36"/>
      <c r="G36"/>
      <c r="H36"/>
      <c r="I36"/>
    </row>
    <row r="37" spans="1:9" x14ac:dyDescent="0.25">
      <c r="A37"/>
      <c r="B37"/>
      <c r="C37"/>
      <c r="D37"/>
      <c r="E37"/>
      <c r="F37"/>
      <c r="G37"/>
      <c r="H37"/>
      <c r="I37"/>
    </row>
    <row r="38" spans="1:9" x14ac:dyDescent="0.25">
      <c r="A38"/>
      <c r="B38"/>
      <c r="C38"/>
      <c r="D38"/>
      <c r="E38"/>
      <c r="F38"/>
      <c r="G38"/>
      <c r="H38"/>
      <c r="I38"/>
    </row>
    <row r="39" spans="1:9" x14ac:dyDescent="0.25">
      <c r="A39"/>
      <c r="B39"/>
      <c r="C39"/>
      <c r="D39"/>
      <c r="E39"/>
      <c r="F39"/>
      <c r="G39"/>
      <c r="H39"/>
      <c r="I39"/>
    </row>
    <row r="40" spans="1:9" x14ac:dyDescent="0.25">
      <c r="A40"/>
      <c r="B40"/>
      <c r="C40"/>
      <c r="D40"/>
      <c r="E40"/>
      <c r="F40"/>
      <c r="G40"/>
      <c r="H40"/>
      <c r="I40"/>
    </row>
    <row r="41" spans="1:9" x14ac:dyDescent="0.25">
      <c r="A41"/>
      <c r="B41"/>
      <c r="C41"/>
      <c r="D41"/>
      <c r="E41"/>
      <c r="F41"/>
      <c r="G41"/>
      <c r="H41"/>
      <c r="I41"/>
    </row>
    <row r="42" spans="1:9" x14ac:dyDescent="0.25">
      <c r="A42"/>
      <c r="B42"/>
      <c r="C42"/>
      <c r="D42"/>
      <c r="E42"/>
      <c r="F42"/>
      <c r="G42"/>
      <c r="H42"/>
      <c r="I42"/>
    </row>
    <row r="43" spans="1:9" x14ac:dyDescent="0.25">
      <c r="A43"/>
      <c r="B43"/>
      <c r="C43"/>
      <c r="D43"/>
      <c r="E43"/>
      <c r="F43"/>
      <c r="G43"/>
      <c r="H43"/>
      <c r="I43"/>
    </row>
    <row r="44" spans="1:9" x14ac:dyDescent="0.25">
      <c r="A44"/>
      <c r="B44"/>
      <c r="C44"/>
      <c r="D44"/>
      <c r="E44"/>
      <c r="F44"/>
      <c r="G44"/>
      <c r="H44"/>
      <c r="I44"/>
    </row>
    <row r="45" spans="1:9" x14ac:dyDescent="0.25">
      <c r="A45"/>
      <c r="B45"/>
      <c r="C45"/>
      <c r="D45"/>
      <c r="E45"/>
      <c r="F45"/>
      <c r="G45"/>
      <c r="H45"/>
      <c r="I45"/>
    </row>
    <row r="46" spans="1:9" x14ac:dyDescent="0.25">
      <c r="A46"/>
      <c r="B46"/>
      <c r="C46"/>
    </row>
    <row r="47" spans="1:9" x14ac:dyDescent="0.25">
      <c r="A47"/>
      <c r="B47"/>
      <c r="C47"/>
    </row>
    <row r="48" spans="1:9" x14ac:dyDescent="0.25">
      <c r="A48"/>
      <c r="B48"/>
      <c r="C48"/>
    </row>
    <row r="49" spans="1:3" x14ac:dyDescent="0.25">
      <c r="A49"/>
      <c r="B49"/>
      <c r="C49"/>
    </row>
    <row r="50" spans="1:3" x14ac:dyDescent="0.25">
      <c r="A50"/>
    </row>
    <row r="51" spans="1:3" x14ac:dyDescent="0.25">
      <c r="A51"/>
    </row>
    <row r="52" spans="1:3" x14ac:dyDescent="0.25">
      <c r="A52"/>
    </row>
    <row r="53" spans="1:3" x14ac:dyDescent="0.25">
      <c r="A53"/>
    </row>
    <row r="54" spans="1:3" x14ac:dyDescent="0.25">
      <c r="A54"/>
    </row>
    <row r="55" spans="1:3" x14ac:dyDescent="0.25">
      <c r="A55"/>
    </row>
    <row r="56" spans="1:3" x14ac:dyDescent="0.25">
      <c r="A56"/>
    </row>
    <row r="57" spans="1:3" x14ac:dyDescent="0.25">
      <c r="A57"/>
    </row>
    <row r="58" spans="1:3" x14ac:dyDescent="0.25">
      <c r="A58"/>
    </row>
    <row r="59" spans="1:3" x14ac:dyDescent="0.25">
      <c r="A59"/>
    </row>
    <row r="60" spans="1:3" x14ac:dyDescent="0.25">
      <c r="A60"/>
    </row>
    <row r="61" spans="1:3" x14ac:dyDescent="0.25">
      <c r="A61"/>
    </row>
    <row r="62" spans="1:3" x14ac:dyDescent="0.25">
      <c r="A62"/>
    </row>
    <row r="63" spans="1:3" x14ac:dyDescent="0.25">
      <c r="A63"/>
    </row>
    <row r="64" spans="1:3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MASA AKTIF</vt:lpstr>
      <vt:lpstr>TIMER</vt:lpstr>
      <vt:lpstr>COLOR DESIGN</vt:lpstr>
      <vt:lpstr>TANGGAL MERAH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2024-04-04T08:49:53Z</dcterms:modified>
</cp:coreProperties>
</file>