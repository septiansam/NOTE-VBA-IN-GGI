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20F758F8-728C-408E-BBD7-CD8517391768}" xr6:coauthVersionLast="47" xr6:coauthVersionMax="47" xr10:uidLastSave="{00000000-0000-0000-0000-000000000000}"/>
  <bookViews>
    <workbookView xWindow="20370" yWindow="-120" windowWidth="20730" windowHeight="11160" xr2:uid="{7800CFA1-13FA-4903-B183-0F07303C36CE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5" l="1"/>
  <c r="K5" i="5" s="1"/>
  <c r="I3" i="5"/>
  <c r="F5" i="2"/>
  <c r="C5" i="2" s="1"/>
  <c r="F12" i="2"/>
  <c r="G8" i="2"/>
  <c r="F7" i="2"/>
  <c r="F6" i="2" l="1"/>
  <c r="F19" i="2"/>
  <c r="F9" i="2"/>
  <c r="F8" i="2"/>
  <c r="G10" i="2"/>
  <c r="F20" i="2"/>
  <c r="F16" i="2"/>
  <c r="C1" i="2"/>
  <c r="C2" i="2"/>
  <c r="C4" i="2"/>
  <c r="C7" i="2" s="1"/>
  <c r="C8" i="2" l="1"/>
  <c r="C11" i="2" s="1"/>
  <c r="B1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84B40A7F-283F-4743-8EDF-638955216ECC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<sst xmlns="http://schemas.openxmlformats.org/spreadsheetml/2006/main" count="178" uniqueCount="90">
  <si>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</si>
  <si>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</si>
  <si>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</si>
  <si>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</si>
  <si>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</si>
  <si>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</si>
  <si>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</si>
  <si>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</si>
  <si>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</si>
  <si>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</si>
  <si>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</si>
  <si>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</si>
  <si>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</si>
  <si>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</si>
  <si>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</si>
  <si>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</si>
  <si>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</si>
  <si>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</si>
  <si>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</si>
  <si>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</si>
  <si>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</si>
  <si>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</si>
  <si>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</si>
  <si>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</si>
  <si>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</si>
  <si>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</si>
  <si>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</si>
  <si>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</si>
  <si>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</si>
  <si>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</si>
  <si>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</si>
  <si>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</si>
  <si>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</si>
  <si>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</si>
  <si>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</si>
  <si>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</si>
  <si>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</si>
  <si>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</si>
  <si>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</si>
  <si>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</si>
  <si>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</si>
  <si>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</si>
  <si>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</si>
  <si>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</si>
  <si>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</si>
  <si>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</si>
  <si>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</si>
  <si>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Tahun Baru Islam 1446 Hijriyah</t>
  </si>
  <si>
    <t>Hari Raya Idul Adha 1445 Hijriyah</t>
  </si>
  <si>
    <t>Hari Lahirnya Pancasila</t>
  </si>
  <si>
    <t>Hari Raya Waisak 2568</t>
  </si>
  <si>
    <t>Kenaikan Isa Al Masih</t>
  </si>
  <si>
    <t>Hari Buruh Internasional</t>
  </si>
  <si>
    <t>Hari Raya Idul Fitri 1445 Hijriyah</t>
  </si>
  <si>
    <t>Wafat Isa Al Masih</t>
  </si>
  <si>
    <t>Hari Raya Nyepi</t>
  </si>
  <si>
    <t>Tahun Baru Imlek 2575 Kongzili</t>
  </si>
  <si>
    <t>Isra Mikraj Nabi Muhammad SAW</t>
  </si>
  <si>
    <t>Hari Siwa Ratri</t>
  </si>
  <si>
    <t>Tahun Baru Masehi</t>
  </si>
  <si>
    <t>Desember</t>
  </si>
  <si>
    <t>Tanggal Merah Tahun 2024</t>
  </si>
  <si>
    <t>Hari</t>
  </si>
  <si>
    <t>Rabu</t>
  </si>
  <si>
    <t>Sabtu</t>
  </si>
  <si>
    <t>Oktober</t>
  </si>
  <si>
    <t>Kamis</t>
  </si>
  <si>
    <t>September</t>
  </si>
  <si>
    <t>Selasa</t>
  </si>
  <si>
    <t>Minggu</t>
  </si>
  <si>
    <t>Agustus</t>
  </si>
  <si>
    <t>Juli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</si>
  <si>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</si>
  <si>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</si>
  <si>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</si>
  <si>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</si>
  <si>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</si>
  <si>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</si>
  <si>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</si>
  <si>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</si>
  <si>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</si>
  <si>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</si>
  <si>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</si>
  <si>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</si>
  <si>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</si>
  <si>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</si>
  <si>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</si>
  <si>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</si>
  <si>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&gt;&gt;&gt; 16 JULI 2024</t>
  </si>
  <si>
    <t>Tidak ada kerjaan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</si>
</sst>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8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45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275A85"/>
      <color rgb="FF0E8BB2"/>
      <color rgb="FF165D8E"/>
      <color rgb="FF12BAE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93090</xdr:rowOff>
    </xdr:from>
    <xdr:to>
      <xdr:col>6</xdr:col>
      <xdr:colOff>345797</xdr:colOff>
      <xdr:row>2</xdr:row>
      <xdr:rowOff>98380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086328" y="93090"/>
          <a:ext cx="1421730" cy="386290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FDF05-B424-4486-AEF9-56C975C47B38}">
  <sheetPr codeName="Sheet1">
    <tabColor rgb="FFF3A812"/>
  </sheetPr>
  <dimension ref="A1:J10"/>
  <sheetViews>
    <sheetView tabSelected="1" workbookViewId="0">
      <selection activeCell="K12" sqref="K12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B72-63B0-461B-AB04-6EACCC6557FF}">
  <sheetPr codeName="Sheet2">
    <tabColor rgb="FF00FF00"/>
  </sheetPr>
  <dimension ref="B1:J22"/>
  <sheetViews>
    <sheetView workbookViewId="0">
      <selection activeCell="E14" sqref="E14"/>
    </sheetView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15 bulan 19 hari</v>
      </c>
    </row>
    <row r="2" spans="2:10" x14ac:dyDescent="0.25">
      <c r="B2" t="s">
        <v>4</v>
      </c>
      <c r="C2" s="7">
        <f ca="1">DATE(YEAR(TODAY()),5+1,0)</f>
        <v>45443</v>
      </c>
      <c r="E2" t="s">
        <v>82</v>
      </c>
      <c r="F2" s="13">
        <v>45075</v>
      </c>
      <c r="G2" t="s">
        <v>80</v>
      </c>
    </row>
    <row r="3" spans="2:10" ht="15.75" x14ac:dyDescent="0.25">
      <c r="E3" t="s">
        <v>83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45552.698984953706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251</v>
      </c>
      <c r="E7" t="s">
        <v>7</v>
      </c>
      <c r="F7" s="13" t="str">
        <f ca="1">DATEDIF(F2,TODAY(),"m") &amp; " bulan " &amp; DATEDIF(F2,TODAY(),"md") &amp; " hari"</f>
        <v>15 bulan 19 hari</v>
      </c>
      <c r="J7" s="14" t="s">
        <v>15</v>
      </c>
    </row>
    <row r="8" spans="2:10" ht="15.75" x14ac:dyDescent="0.25">
      <c r="B8" t="s">
        <v>3</v>
      </c>
      <c r="C8" s="8">
        <f ca="1">C5-C4</f>
        <v>251.3010150462942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8 bulan 10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8 bulan 10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8 bulan 10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8 bulan 10 hari</v>
      </c>
      <c r="J10" s="36"/>
    </row>
    <row r="11" spans="2:10" ht="15.75" thickBot="1" x14ac:dyDescent="0.3">
      <c r="B11" s="11" t="str">
        <f ca="1">C7&amp;" Hari"</f>
        <v>251 Hari</v>
      </c>
      <c r="C11" s="12">
        <f ca="1">C8</f>
        <v>251.3010150462942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8 bulan 14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81</v>
      </c>
    </row>
    <row r="16" spans="2:10" x14ac:dyDescent="0.25">
      <c r="F16" s="33">
        <f ca="1">DATEDIF(TODAY(),F5, "d")</f>
        <v>252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8 bulan 10 hari</v>
      </c>
    </row>
    <row r="20" spans="2:6" x14ac:dyDescent="0.25">
      <c r="B20" t="s">
        <v>87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8 bulan 10 hari</v>
      </c>
    </row>
    <row r="21" spans="2:6" x14ac:dyDescent="0.25">
      <c r="B21" t="s">
        <v>88</v>
      </c>
    </row>
    <row r="22" spans="2:6" x14ac:dyDescent="0.25">
      <c r="B22" t="s">
        <v>89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9DD71-9510-45A1-BFC0-9463D740B354}">
  <sheetPr codeName="Sheet3">
    <tabColor rgb="FF12BAEE"/>
  </sheetPr>
  <dimension ref="A1:X23"/>
  <sheetViews>
    <sheetView zoomScale="85" zoomScaleNormal="85" workbookViewId="0">
      <selection activeCell="B16" sqref="B16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3" t="s">
        <v>22</v>
      </c>
      <c r="B1" s="43"/>
      <c r="C1" s="43"/>
      <c r="D1" s="43"/>
      <c r="E1" s="43"/>
      <c r="F1" s="43"/>
      <c r="G1" s="43"/>
      <c r="H1" s="43"/>
      <c r="I1" s="43"/>
      <c r="P1" s="44" t="s">
        <v>22</v>
      </c>
      <c r="Q1" s="44"/>
      <c r="R1" s="44"/>
      <c r="S1" s="44"/>
      <c r="T1" s="44"/>
      <c r="U1" s="44"/>
      <c r="V1" s="44"/>
      <c r="W1" s="44"/>
      <c r="X1" s="44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F809DD71-9510-45A1-BFC0-9463D740B354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B24B5-B3D5-4161-9321-AD466437DEC6}">
  <sheetPr codeName="Sheet4">
    <tabColor rgb="FFC00000"/>
  </sheetPr>
  <dimension ref="A1:D27"/>
  <sheetViews>
    <sheetView showGridLines="0" zoomScale="85" zoomScaleNormal="85" workbookViewId="0">
      <selection activeCell="I5" sqref="I5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61</v>
      </c>
      <c r="B1" s="34" t="s">
        <v>62</v>
      </c>
      <c r="C1" s="34" t="s">
        <v>20</v>
      </c>
      <c r="D1" s="34" t="s">
        <v>38</v>
      </c>
    </row>
    <row r="2" spans="1:4" x14ac:dyDescent="0.25">
      <c r="A2" s="35">
        <v>45292</v>
      </c>
      <c r="B2" s="34" t="s">
        <v>72</v>
      </c>
      <c r="C2" s="34" t="s">
        <v>79</v>
      </c>
      <c r="D2" s="34" t="s">
        <v>59</v>
      </c>
    </row>
    <row r="3" spans="1:4" x14ac:dyDescent="0.25">
      <c r="A3" s="35">
        <v>45300</v>
      </c>
      <c r="B3" s="34" t="s">
        <v>68</v>
      </c>
      <c r="C3" s="34" t="s">
        <v>79</v>
      </c>
      <c r="D3" s="34" t="s">
        <v>58</v>
      </c>
    </row>
    <row r="4" spans="1:4" x14ac:dyDescent="0.25">
      <c r="A4" s="35">
        <v>45330</v>
      </c>
      <c r="B4" s="34" t="s">
        <v>66</v>
      </c>
      <c r="C4" s="34" t="s">
        <v>78</v>
      </c>
      <c r="D4" s="34" t="s">
        <v>57</v>
      </c>
    </row>
    <row r="5" spans="1:4" x14ac:dyDescent="0.25">
      <c r="A5" s="35">
        <v>45332</v>
      </c>
      <c r="B5" s="34" t="s">
        <v>64</v>
      </c>
      <c r="C5" s="34" t="s">
        <v>78</v>
      </c>
      <c r="D5" s="34" t="s">
        <v>56</v>
      </c>
    </row>
    <row r="6" spans="1:4" x14ac:dyDescent="0.25">
      <c r="A6" s="35">
        <v>45349</v>
      </c>
      <c r="B6" s="34" t="s">
        <v>68</v>
      </c>
      <c r="C6" s="34" t="s">
        <v>78</v>
      </c>
      <c r="D6" s="34" t="s">
        <v>43</v>
      </c>
    </row>
    <row r="7" spans="1:4" x14ac:dyDescent="0.25">
      <c r="A7" s="35">
        <v>45350</v>
      </c>
      <c r="B7" s="34" t="s">
        <v>63</v>
      </c>
      <c r="C7" s="34" t="s">
        <v>78</v>
      </c>
      <c r="D7" s="34" t="s">
        <v>42</v>
      </c>
    </row>
    <row r="8" spans="1:4" x14ac:dyDescent="0.25">
      <c r="A8" s="35">
        <v>45351</v>
      </c>
      <c r="B8" s="34" t="s">
        <v>66</v>
      </c>
      <c r="C8" s="34" t="s">
        <v>78</v>
      </c>
      <c r="D8" s="34" t="s">
        <v>41</v>
      </c>
    </row>
    <row r="9" spans="1:4" x14ac:dyDescent="0.25">
      <c r="A9" s="35">
        <v>45360</v>
      </c>
      <c r="B9" s="34" t="s">
        <v>64</v>
      </c>
      <c r="C9" s="34" t="s">
        <v>77</v>
      </c>
      <c r="D9" s="34" t="s">
        <v>40</v>
      </c>
    </row>
    <row r="10" spans="1:4" x14ac:dyDescent="0.25">
      <c r="A10" s="35">
        <v>45362</v>
      </c>
      <c r="B10" s="34" t="s">
        <v>72</v>
      </c>
      <c r="C10" s="34" t="s">
        <v>77</v>
      </c>
      <c r="D10" s="34" t="s">
        <v>55</v>
      </c>
    </row>
    <row r="11" spans="1:4" x14ac:dyDescent="0.25">
      <c r="A11" s="35">
        <v>45380</v>
      </c>
      <c r="B11" s="34" t="s">
        <v>76</v>
      </c>
      <c r="C11" s="34" t="s">
        <v>77</v>
      </c>
      <c r="D11" s="34" t="s">
        <v>54</v>
      </c>
    </row>
    <row r="12" spans="1:4" x14ac:dyDescent="0.25">
      <c r="A12" s="35">
        <v>45392</v>
      </c>
      <c r="B12" s="34" t="s">
        <v>63</v>
      </c>
      <c r="C12" s="34" t="s">
        <v>75</v>
      </c>
      <c r="D12" s="34" t="s">
        <v>53</v>
      </c>
    </row>
    <row r="13" spans="1:4" x14ac:dyDescent="0.25">
      <c r="A13" s="35">
        <v>45393</v>
      </c>
      <c r="B13" s="34" t="s">
        <v>66</v>
      </c>
      <c r="C13" s="34" t="s">
        <v>75</v>
      </c>
      <c r="D13" s="34" t="s">
        <v>53</v>
      </c>
    </row>
    <row r="14" spans="1:4" x14ac:dyDescent="0.25">
      <c r="A14" s="35">
        <v>45413</v>
      </c>
      <c r="B14" s="34" t="s">
        <v>63</v>
      </c>
      <c r="C14" s="34" t="s">
        <v>74</v>
      </c>
      <c r="D14" s="34" t="s">
        <v>52</v>
      </c>
    </row>
    <row r="15" spans="1:4" x14ac:dyDescent="0.25">
      <c r="A15" s="35">
        <v>45421</v>
      </c>
      <c r="B15" s="34" t="s">
        <v>66</v>
      </c>
      <c r="C15" s="34" t="s">
        <v>74</v>
      </c>
      <c r="D15" s="34" t="s">
        <v>51</v>
      </c>
    </row>
    <row r="16" spans="1:4" x14ac:dyDescent="0.25">
      <c r="A16" s="35">
        <v>45435</v>
      </c>
      <c r="B16" s="34" t="s">
        <v>66</v>
      </c>
      <c r="C16" s="34" t="s">
        <v>74</v>
      </c>
      <c r="D16" s="34" t="s">
        <v>50</v>
      </c>
    </row>
    <row r="17" spans="1:4" x14ac:dyDescent="0.25">
      <c r="A17" s="35">
        <v>45444</v>
      </c>
      <c r="B17" s="34" t="s">
        <v>64</v>
      </c>
      <c r="C17" s="34" t="s">
        <v>73</v>
      </c>
      <c r="D17" s="34" t="s">
        <v>49</v>
      </c>
    </row>
    <row r="18" spans="1:4" x14ac:dyDescent="0.25">
      <c r="A18" s="35">
        <v>45460</v>
      </c>
      <c r="B18" s="34" t="s">
        <v>72</v>
      </c>
      <c r="C18" s="34" t="s">
        <v>73</v>
      </c>
      <c r="D18" s="34" t="s">
        <v>48</v>
      </c>
    </row>
    <row r="19" spans="1:4" x14ac:dyDescent="0.25">
      <c r="A19" s="35">
        <v>45480</v>
      </c>
      <c r="B19" s="34" t="s">
        <v>69</v>
      </c>
      <c r="C19" s="34" t="s">
        <v>71</v>
      </c>
      <c r="D19" s="34" t="s">
        <v>47</v>
      </c>
    </row>
    <row r="20" spans="1:4" x14ac:dyDescent="0.25">
      <c r="A20" s="35">
        <v>45486</v>
      </c>
      <c r="B20" s="34" t="s">
        <v>64</v>
      </c>
      <c r="C20" s="34" t="s">
        <v>71</v>
      </c>
      <c r="D20" s="34" t="s">
        <v>46</v>
      </c>
    </row>
    <row r="21" spans="1:4" x14ac:dyDescent="0.25">
      <c r="A21" s="35">
        <v>45521</v>
      </c>
      <c r="B21" s="34" t="s">
        <v>64</v>
      </c>
      <c r="C21" s="34" t="s">
        <v>70</v>
      </c>
      <c r="D21" s="34" t="s">
        <v>45</v>
      </c>
    </row>
    <row r="22" spans="1:4" x14ac:dyDescent="0.25">
      <c r="A22" s="35">
        <v>45550</v>
      </c>
      <c r="B22" s="34" t="s">
        <v>69</v>
      </c>
      <c r="C22" s="34" t="s">
        <v>67</v>
      </c>
      <c r="D22" s="34" t="s">
        <v>44</v>
      </c>
    </row>
    <row r="23" spans="1:4" x14ac:dyDescent="0.25">
      <c r="A23" s="35">
        <v>45559</v>
      </c>
      <c r="B23" s="34" t="s">
        <v>68</v>
      </c>
      <c r="C23" s="34" t="s">
        <v>67</v>
      </c>
      <c r="D23" s="34" t="s">
        <v>43</v>
      </c>
    </row>
    <row r="24" spans="1:4" x14ac:dyDescent="0.25">
      <c r="A24" s="35">
        <v>45560</v>
      </c>
      <c r="B24" s="34" t="s">
        <v>63</v>
      </c>
      <c r="C24" s="34" t="s">
        <v>67</v>
      </c>
      <c r="D24" s="34" t="s">
        <v>42</v>
      </c>
    </row>
    <row r="25" spans="1:4" x14ac:dyDescent="0.25">
      <c r="A25" s="35">
        <v>45561</v>
      </c>
      <c r="B25" s="34" t="s">
        <v>66</v>
      </c>
      <c r="C25" s="34" t="s">
        <v>67</v>
      </c>
      <c r="D25" s="34" t="s">
        <v>41</v>
      </c>
    </row>
    <row r="26" spans="1:4" x14ac:dyDescent="0.25">
      <c r="A26" s="35">
        <v>45570</v>
      </c>
      <c r="B26" s="34" t="s">
        <v>64</v>
      </c>
      <c r="C26" s="34" t="s">
        <v>65</v>
      </c>
      <c r="D26" s="34" t="s">
        <v>40</v>
      </c>
    </row>
    <row r="27" spans="1:4" x14ac:dyDescent="0.25">
      <c r="A27" s="35">
        <v>45651</v>
      </c>
      <c r="B27" s="34" t="s">
        <v>63</v>
      </c>
      <c r="C27" s="34" t="s">
        <v>60</v>
      </c>
      <c r="D27" s="34" t="s">
        <v>39</v>
      </c>
    </row>
  </sheetData>
  <sortState xmlns:xlrd2="http://schemas.microsoft.com/office/spreadsheetml/2017/richdata2" ref="A2:D27">
    <sortCondition ref="A2:A27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83895-C6E3-4166-A726-9B86A35DBEA6}">
  <sheetPr codeName="Sheet5">
    <tabColor rgb="FF00FFFF"/>
  </sheetPr>
  <dimension ref="A1:P6"/>
  <sheetViews>
    <sheetView workbookViewId="0">
      <selection activeCell="E7" sqref="E7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84</v>
      </c>
      <c r="D3" s="37">
        <v>3500000</v>
      </c>
      <c r="E3" s="37">
        <v>173</v>
      </c>
      <c r="F3" s="37">
        <v>1.5</v>
      </c>
      <c r="H3" s="40" t="s">
        <v>86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85</v>
      </c>
      <c r="D5" s="37">
        <v>3500000</v>
      </c>
      <c r="E5" s="37">
        <v>173</v>
      </c>
      <c r="F5" s="37">
        <v>2</v>
      </c>
      <c r="H5" s="40" t="s">
        <v>86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MASA AKTIF</vt:lpstr>
      <vt:lpstr>TIMER</vt:lpstr>
      <vt:lpstr>COLOR DESIGN</vt:lpstr>
      <vt:lpstr>TANGGAL MERAH</vt:lpstr>
      <vt:lpstr>PERHITUNGAN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septian arif maulana</cp:lastModifiedBy>
  <dcterms:created xsi:type="dcterms:W3CDTF">2023-11-01T04:32:02Z</dcterms:created>
  <dcterms:modified xsi:type="dcterms:W3CDTF">2024-09-17T09:47:54Z</dcterms:modified>
</cp:coreProperties>
</file>