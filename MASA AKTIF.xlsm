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ATA SEPTIAN\CATATAN PENTING (PARIRIMBON)\"/>
    </mc:Choice>
  </mc:AlternateContent>
  <xr:revisionPtr revIDLastSave="0" documentId="13_ncr:1_{689D5817-8E28-4AA3-A20D-C436B80D49ED}" xr6:coauthVersionLast="47" xr6:coauthVersionMax="47" xr10:uidLastSave="{00000000-0000-0000-0000-000000000000}"/>
  <bookViews>
    <workbookView xWindow="-6270" yWindow="2805" windowWidth="15375" windowHeight="7875" firstSheet="1" activeTab="2" xr2:uid="{7800CFA1-13FA-4903-B183-0F07303C36CE}"/>
  </bookViews>
  <sheets>
    <sheet name="MASA AKTIF" sheetId="1" r:id="rId1"/>
    <sheet name="TIMER" sheetId="2" r:id="rId2"/>
    <sheet name="COLOR DESIGN" sheetId="3" r:id="rId3"/>
  </sheets>
  <definedNames>
    <definedName name="_xlnm._FilterDatabase" localSheetId="2" hidden="1">'COLOR DESIGN'!$A$3:$I$3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7" i="2" l="1"/>
  <c r="F4" i="2"/>
  <c r="F11" i="2"/>
  <c r="F6" i="2"/>
  <c r="C1" i="2"/>
  <c r="C2" i="2"/>
  <c r="C4" i="2"/>
  <c r="C7" i="2" l="1"/>
  <c r="B11" i="2" s="1"/>
  <c r="C8" i="2"/>
  <c r="C1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F7" authorId="0" shapeId="0" xr:uid="{84B40A7F-283F-4743-8EDF-638955216ECC}">
      <text>
        <r>
          <rPr>
            <b/>
            <sz val="9"/>
            <color indexed="81"/>
            <rFont val="Tahoma"/>
            <family val="2"/>
          </rPr>
          <t xml:space="preserve">Hasil Rumus:
</t>
        </r>
        <r>
          <rPr>
            <sz val="9"/>
            <color indexed="81"/>
            <rFont val="Tahoma"/>
            <family val="2"/>
          </rPr>
          <t xml:space="preserve">
Jika sisa kontrak lebih dari satu Tahun, akan tampil
… Tahun … Bulan … Hari
Jika sisa kontrak lebih dari satu Bulan, akan tampil
… Bulan … Hari
Jika sisa kontrak kurang dari satu Bulan, akan tampil
… Hari</t>
        </r>
      </text>
    </comment>
  </commentList>
</comments>
</file>

<file path=xl/sharedStrings.xml><?xml version="1.0" encoding="utf-8"?>
<sst xmlns="http://schemas.openxmlformats.org/spreadsheetml/2006/main" count="85" uniqueCount="38">
  <si>
    <t>Now</t>
  </si>
  <si>
    <t>Deadline</t>
  </si>
  <si>
    <t>Days left</t>
  </si>
  <si>
    <t>Time left</t>
  </si>
  <si>
    <t>FORMULA DEADLINE</t>
  </si>
  <si>
    <t>Days</t>
  </si>
  <si>
    <t>Hours : Minutes : Seconds</t>
  </si>
  <si>
    <t>Masuk Kerja</t>
  </si>
  <si>
    <t>Masa Kerja</t>
  </si>
  <si>
    <t>Formula Masa Kerja</t>
  </si>
  <si>
    <t>Sisa Kontrak</t>
  </si>
  <si>
    <t>Note:</t>
  </si>
  <si>
    <t>"Y": Menghitung selisih tahun.</t>
  </si>
  <si>
    <t>"M": Menghitung selisih bulan.</t>
  </si>
  <si>
    <t>"D": Menghitung selisih hari.</t>
  </si>
  <si>
    <t>"YM": Menghitung selisih bulan, tanpa memperhitungkan tahun.</t>
  </si>
  <si>
    <t>"MD": Menghitung selisih hari, tanpa memperhitungkan tahun dan bulan.</t>
  </si>
  <si>
    <t>"YD": Menghitung selisih hari, tanpa memperhitungkan tahun.</t>
  </si>
  <si>
    <t>2024,5,31</t>
  </si>
  <si>
    <t>2025,5,30</t>
  </si>
  <si>
    <t>Kontrak Kerja</t>
  </si>
  <si>
    <t>Bulan</t>
  </si>
  <si>
    <t>Akhir Kerja</t>
  </si>
  <si>
    <t>Start Cutting Date vs PPIC Date</t>
  </si>
  <si>
    <t>WO</t>
  </si>
  <si>
    <t>BUYER</t>
  </si>
  <si>
    <t>BRANCH</t>
  </si>
  <si>
    <t>ITEM</t>
  </si>
  <si>
    <t>PIC</t>
  </si>
  <si>
    <t>PLAN</t>
  </si>
  <si>
    <t>ACTUAL</t>
  </si>
  <si>
    <t>Pending Day</t>
  </si>
  <si>
    <t>REMARKS</t>
  </si>
  <si>
    <t>ADIDAS</t>
  </si>
  <si>
    <t>GK</t>
  </si>
  <si>
    <t>TRI LESTARI</t>
  </si>
  <si>
    <t>GM2</t>
  </si>
  <si>
    <t>RESTY HERMA ROSTANIKA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</si>
</sst>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hh:mm:ss"/>
  </numFmts>
  <fonts count="9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BE7F5"/>
        <bgColor indexed="64"/>
      </patternFill>
    </fill>
    <fill>
      <patternFill patternType="solid">
        <fgColor rgb="FFF5FAFF"/>
        <bgColor indexed="64"/>
      </patternFill>
    </fill>
    <fill>
      <patternFill patternType="solid">
        <fgColor rgb="FF0E8BB2"/>
        <bgColor indexed="64"/>
      </patternFill>
    </fill>
    <fill>
      <patternFill patternType="solid">
        <fgColor rgb="FF165D8E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Fill="1"/>
    <xf numFmtId="164" fontId="0" fillId="0" borderId="0" xfId="0" applyNumberFormat="1" applyFill="1"/>
    <xf numFmtId="165" fontId="0" fillId="0" borderId="0" xfId="0" applyNumberFormat="1" applyFill="1"/>
    <xf numFmtId="0" fontId="0" fillId="0" borderId="0" xfId="0" applyNumberFormat="1" applyFill="1"/>
    <xf numFmtId="22" fontId="0" fillId="0" borderId="0" xfId="0" applyNumberFormat="1" applyFill="1"/>
    <xf numFmtId="14" fontId="0" fillId="0" borderId="0" xfId="0" applyNumberFormat="1" applyFill="1"/>
    <xf numFmtId="22" fontId="0" fillId="0" borderId="0" xfId="0" applyNumberFormat="1"/>
    <xf numFmtId="165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/>
    </xf>
    <xf numFmtId="14" fontId="0" fillId="0" borderId="0" xfId="0" applyNumberFormat="1"/>
    <xf numFmtId="0" fontId="1" fillId="0" borderId="0" xfId="0" applyFont="1" applyAlignment="1">
      <alignment horizontal="left" vertical="center" indent="1"/>
    </xf>
    <xf numFmtId="0" fontId="5" fillId="0" borderId="5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4" fontId="0" fillId="2" borderId="0" xfId="0" applyNumberFormat="1" applyFill="1" applyBorder="1"/>
    <xf numFmtId="0" fontId="7" fillId="2" borderId="0" xfId="0" applyFont="1" applyFill="1" applyBorder="1" applyAlignment="1">
      <alignment horizontal="center" vertical="center"/>
    </xf>
    <xf numFmtId="0" fontId="8" fillId="4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3" borderId="0" xfId="0" applyFill="1" applyBorder="1" applyAlignment="1">
      <alignment horizontal="left" vertical="center"/>
    </xf>
    <xf numFmtId="14" fontId="0" fillId="2" borderId="0" xfId="0" applyNumberFormat="1" applyFill="1" applyBorder="1" applyAlignment="1">
      <alignment horizontal="left"/>
    </xf>
    <xf numFmtId="0" fontId="7" fillId="2" borderId="0" xfId="0" applyFont="1" applyFill="1" applyBorder="1" applyAlignment="1">
      <alignment horizontal="left" vertical="center"/>
    </xf>
    <xf numFmtId="14" fontId="0" fillId="3" borderId="0" xfId="0" applyNumberFormat="1" applyFill="1" applyBorder="1" applyAlignment="1">
      <alignment horizontal="left"/>
    </xf>
    <xf numFmtId="0" fontId="7" fillId="3" borderId="0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65D8E"/>
      <color rgb="FF1A758A"/>
      <color rgb="FF124C74"/>
      <color rgb="FF0E8BB2"/>
      <color rgb="FF0C507A"/>
      <color rgb="FF3DA2CF"/>
      <color rgb="FF275A85"/>
      <color rgb="FF2F6DA1"/>
      <color rgb="FF2E8DB8"/>
      <color rgb="FF12BA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</xdr:row>
          <xdr:rowOff>38100</xdr:rowOff>
        </xdr:from>
        <xdr:to>
          <xdr:col>2</xdr:col>
          <xdr:colOff>114300</xdr:colOff>
          <xdr:row>3</xdr:row>
          <xdr:rowOff>104775</xdr:rowOff>
        </xdr:to>
        <xdr:sp macro="" textlink="">
          <xdr:nvSpPr>
            <xdr:cNvPr id="1028" name="TES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13</xdr:row>
      <xdr:rowOff>104775</xdr:rowOff>
    </xdr:from>
    <xdr:to>
      <xdr:col>1</xdr:col>
      <xdr:colOff>1009650</xdr:colOff>
      <xdr:row>15</xdr:row>
      <xdr:rowOff>123825</xdr:rowOff>
    </xdr:to>
    <xdr:sp macro="[0]!RunTim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95325" y="2581275"/>
          <a:ext cx="923925" cy="40005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TEST</a:t>
          </a:r>
        </a:p>
      </xdr:txBody>
    </xdr:sp>
    <xdr:clientData/>
  </xdr:twoCellAnchor>
  <xdr:twoCellAnchor>
    <xdr:from>
      <xdr:col>2</xdr:col>
      <xdr:colOff>114300</xdr:colOff>
      <xdr:row>13</xdr:row>
      <xdr:rowOff>85725</xdr:rowOff>
    </xdr:from>
    <xdr:to>
      <xdr:col>2</xdr:col>
      <xdr:colOff>1038225</xdr:colOff>
      <xdr:row>15</xdr:row>
      <xdr:rowOff>104775</xdr:rowOff>
    </xdr:to>
    <xdr:sp macro="[0]!StopTim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000250" y="2562225"/>
          <a:ext cx="923925" cy="4000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STOP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FDF05-B424-4486-AEF9-56C975C47B38}">
  <sheetPr codeName="Sheet1">
    <tabColor rgb="FFF3A812"/>
  </sheetPr>
  <dimension ref="C3:J10"/>
  <sheetViews>
    <sheetView workbookViewId="0">
      <selection activeCell="B12" sqref="B12"/>
    </sheetView>
  </sheetViews>
  <sheetFormatPr defaultRowHeight="15" x14ac:dyDescent="0.25"/>
  <cols>
    <col min="1" max="1" width="9.140625" style="1" customWidth="1"/>
    <col min="2" max="2" width="9.140625" style="1"/>
    <col min="3" max="4" width="9.140625" style="1" customWidth="1"/>
    <col min="5" max="6" width="9.140625" style="1"/>
    <col min="7" max="7" width="9.140625" style="1" customWidth="1"/>
    <col min="8" max="16384" width="9.140625" style="1"/>
  </cols>
  <sheetData>
    <row r="3" spans="3:10" x14ac:dyDescent="0.25">
      <c r="C3" s="2"/>
    </row>
    <row r="6" spans="3:10" x14ac:dyDescent="0.25">
      <c r="C6" s="3"/>
      <c r="D6" s="4"/>
    </row>
    <row r="7" spans="3:10" x14ac:dyDescent="0.25">
      <c r="G7" s="6"/>
    </row>
    <row r="8" spans="3:10" x14ac:dyDescent="0.25">
      <c r="G8" s="5"/>
    </row>
    <row r="10" spans="3:10" x14ac:dyDescent="0.25">
      <c r="J1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EST">
          <controlPr defaultSize="0" autoFill="0" autoLine="0" r:id="rId5">
            <anchor moveWithCells="1">
              <from>
                <xdr:col>0</xdr:col>
                <xdr:colOff>104775</xdr:colOff>
                <xdr:row>1</xdr:row>
                <xdr:rowOff>38100</xdr:rowOff>
              </from>
              <to>
                <xdr:col>2</xdr:col>
                <xdr:colOff>114300</xdr:colOff>
                <xdr:row>3</xdr:row>
                <xdr:rowOff>104775</xdr:rowOff>
              </to>
            </anchor>
          </controlPr>
        </control>
      </mc:Choice>
      <mc:Fallback>
        <control shapeId="1028" r:id="rId4" name="TE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B72-63B0-461B-AB04-6EACCC6557FF}">
  <sheetPr codeName="Sheet2">
    <tabColor rgb="FF00FF00"/>
  </sheetPr>
  <dimension ref="B1:J13"/>
  <sheetViews>
    <sheetView workbookViewId="0">
      <selection activeCell="I9" sqref="I9"/>
    </sheetView>
  </sheetViews>
  <sheetFormatPr defaultRowHeight="15" x14ac:dyDescent="0.25"/>
  <cols>
    <col min="1" max="1" width="4.28515625" customWidth="1"/>
    <col min="2" max="2" width="19.140625" bestFit="1" customWidth="1"/>
    <col min="3" max="3" width="24" bestFit="1" customWidth="1"/>
    <col min="5" max="5" width="12.85546875" bestFit="1" customWidth="1"/>
    <col min="6" max="6" width="20.42578125" customWidth="1"/>
    <col min="7" max="7" width="9.7109375" bestFit="1" customWidth="1"/>
    <col min="10" max="10" width="72.28515625" bestFit="1" customWidth="1"/>
  </cols>
  <sheetData>
    <row r="1" spans="2:10" x14ac:dyDescent="0.25">
      <c r="B1" t="s">
        <v>9</v>
      </c>
      <c r="C1" t="str">
        <f ca="1">DATEDIF(DATE(2023,5,29),TODAY(),"m") &amp; " bulan " &amp; DATEDIF(DATE(2023,5,29),TODAY(),"md") &amp; " hari"</f>
        <v>8 bulan 23 hari</v>
      </c>
    </row>
    <row r="2" spans="2:10" ht="15.75" x14ac:dyDescent="0.25">
      <c r="B2" t="s">
        <v>4</v>
      </c>
      <c r="C2" s="7">
        <f ca="1">DATE(YEAR(TODAY()),5+1,0)</f>
        <v>45443</v>
      </c>
      <c r="E2" t="s">
        <v>7</v>
      </c>
      <c r="F2" s="13">
        <v>45075</v>
      </c>
      <c r="I2" t="s">
        <v>11</v>
      </c>
      <c r="J2" s="14" t="s">
        <v>12</v>
      </c>
    </row>
    <row r="3" spans="2:10" ht="15.75" x14ac:dyDescent="0.25">
      <c r="E3" t="s">
        <v>20</v>
      </c>
      <c r="F3">
        <v>12</v>
      </c>
      <c r="G3" t="s">
        <v>21</v>
      </c>
      <c r="J3" s="14" t="s">
        <v>13</v>
      </c>
    </row>
    <row r="4" spans="2:10" ht="15.75" x14ac:dyDescent="0.25">
      <c r="B4" t="s">
        <v>0</v>
      </c>
      <c r="C4" s="7">
        <f ca="1">NOW()</f>
        <v>45343.40480300926</v>
      </c>
      <c r="E4" t="s">
        <v>22</v>
      </c>
      <c r="F4" s="13">
        <f>EDATE(F2, F3)</f>
        <v>45441</v>
      </c>
      <c r="J4" s="14" t="s">
        <v>14</v>
      </c>
    </row>
    <row r="5" spans="2:10" ht="15.75" x14ac:dyDescent="0.25">
      <c r="B5" t="s">
        <v>1</v>
      </c>
      <c r="C5" s="7">
        <v>45443</v>
      </c>
      <c r="J5" s="14" t="s">
        <v>15</v>
      </c>
    </row>
    <row r="6" spans="2:10" ht="15.75" x14ac:dyDescent="0.25">
      <c r="E6" t="s">
        <v>8</v>
      </c>
      <c r="F6" s="13" t="str">
        <f ca="1">DATEDIF(F2,TODAY(),"m") &amp; " bulan " &amp; DATEDIF(F2,TODAY(),"md") &amp; " hari"</f>
        <v>8 bulan 23 hari</v>
      </c>
      <c r="J6" s="14" t="s">
        <v>16</v>
      </c>
    </row>
    <row r="7" spans="2:10" ht="15.75" x14ac:dyDescent="0.25">
      <c r="B7" t="s">
        <v>2</v>
      </c>
      <c r="C7">
        <f ca="1">ROUNDDOWN(C5-C4,0)</f>
        <v>99</v>
      </c>
      <c r="E7" t="s">
        <v>10</v>
      </c>
      <c r="F7" t="str">
        <f ca="1">IF(DATEDIF(TODAY(), DATE(2024,5,31), "y") &gt; 0, DATEDIF(TODAY(), DATE(2024,5,31), "y") &amp; " tahun " &amp; DATEDIF(TODAY(), DATE(2024,5,31), "ym") &amp; " bulan " &amp; DATEDIF(TODAY(), DATE(2024,5,31), "md") &amp; " hari", IF(DATEDIF(TODAY(), DATE(2024,5,31), "m") &gt; 1, DATEDIF(TODAY(), DATE(2024,5,31), "ym") &amp; " bulan " &amp; DATEDIF(TODAY(), DATE(2024,5,31), "md") &amp; " hari", DATEDIF(TODAY(), DATE(2024,5,31), "md") &amp; " hari"))</f>
        <v>3 bulan 10 hari</v>
      </c>
      <c r="G7" s="13"/>
      <c r="J7" s="14" t="s">
        <v>17</v>
      </c>
    </row>
    <row r="8" spans="2:10" x14ac:dyDescent="0.25">
      <c r="B8" t="s">
        <v>3</v>
      </c>
      <c r="C8" s="8">
        <f ca="1">C5-C4</f>
        <v>99.595196990740078</v>
      </c>
    </row>
    <row r="9" spans="2:10" ht="15.75" thickBot="1" x14ac:dyDescent="0.3"/>
    <row r="10" spans="2:10" x14ac:dyDescent="0.25">
      <c r="B10" s="9" t="s">
        <v>5</v>
      </c>
      <c r="C10" s="10" t="s">
        <v>6</v>
      </c>
      <c r="E10" s="13"/>
    </row>
    <row r="11" spans="2:10" ht="15.75" thickBot="1" x14ac:dyDescent="0.3">
      <c r="B11" s="11" t="str">
        <f ca="1">C7&amp;" Hari"</f>
        <v>99 Hari</v>
      </c>
      <c r="C11" s="12">
        <f ca="1">C8</f>
        <v>99.595196990740078</v>
      </c>
      <c r="F11" t="str">
        <f ca="1">IF(DATEDIF(TODAY(), DATE(2024,5,31), "y") &gt; 0, DATEDIF(TODAY(), DATE(2024,5,31), "y") &amp; " tahun " &amp; DATEDIF(TODAY(), DATE(2024,5,31), "ym") &amp; " bulan " &amp; DATEDIF(TODAY(), DATE(2024,5,31), "md") &amp; " hari", IF(DATEDIF(TODAY(), DATE(2024,5,31), "m") &gt; 1, DATEDIF(TODAY(), DATE(2024,5,31), "ym") &amp; " bulan " &amp; DATEDIF(TODAY(), DATE(2024,5,31), "md") &amp; " hari", DATEDIF(TODAY(), DATE(2024,5,31), "md") &amp; " hari"))</f>
        <v>3 bulan 10 hari</v>
      </c>
    </row>
    <row r="12" spans="2:10" x14ac:dyDescent="0.25">
      <c r="G12" t="s">
        <v>18</v>
      </c>
    </row>
    <row r="13" spans="2:10" x14ac:dyDescent="0.25">
      <c r="G13" t="s">
        <v>19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9DD71-9510-45A1-BFC0-9463D740B354}">
  <sheetPr codeName="Sheet3"/>
  <dimension ref="A1:X10"/>
  <sheetViews>
    <sheetView tabSelected="1" zoomScale="85" zoomScaleNormal="85" workbookViewId="0">
      <selection sqref="A1:I1"/>
    </sheetView>
  </sheetViews>
  <sheetFormatPr defaultRowHeight="15" x14ac:dyDescent="0.25"/>
  <cols>
    <col min="1" max="1" width="8.7109375" style="1" customWidth="1"/>
    <col min="2" max="2" width="10.5703125" style="1" customWidth="1"/>
    <col min="3" max="3" width="10.85546875" style="1" customWidth="1"/>
    <col min="4" max="4" width="10.7109375" style="1" customWidth="1"/>
    <col min="5" max="5" width="24.140625" style="1" bestFit="1" customWidth="1"/>
    <col min="6" max="6" width="11.42578125" style="1" customWidth="1"/>
    <col min="7" max="7" width="10.5703125" style="1" customWidth="1"/>
    <col min="8" max="8" width="14.5703125" style="1" customWidth="1"/>
    <col min="9" max="9" width="13.5703125" style="1" customWidth="1"/>
    <col min="10" max="16384" width="9.140625" style="1"/>
  </cols>
  <sheetData>
    <row r="1" spans="1:24" ht="23.25" customHeight="1" x14ac:dyDescent="0.25">
      <c r="A1" s="23" t="s">
        <v>23</v>
      </c>
      <c r="B1" s="23"/>
      <c r="C1" s="23"/>
      <c r="D1" s="23"/>
      <c r="E1" s="23"/>
      <c r="F1" s="23"/>
      <c r="G1" s="23"/>
      <c r="H1" s="23"/>
      <c r="I1" s="23"/>
      <c r="P1" s="15" t="s">
        <v>23</v>
      </c>
      <c r="Q1" s="15"/>
      <c r="R1" s="15"/>
      <c r="S1" s="15"/>
      <c r="T1" s="15"/>
      <c r="U1" s="15"/>
      <c r="V1" s="15"/>
      <c r="W1" s="15"/>
      <c r="X1" s="15"/>
    </row>
    <row r="2" spans="1:24" ht="3.75" customHeight="1" x14ac:dyDescent="0.25">
      <c r="A2" s="20"/>
      <c r="B2" s="20"/>
      <c r="C2" s="20"/>
      <c r="D2" s="20"/>
      <c r="E2" s="20"/>
      <c r="F2" s="21"/>
      <c r="G2" s="20"/>
      <c r="H2" s="20"/>
      <c r="I2" s="22"/>
      <c r="P2" s="16"/>
      <c r="Q2" s="16"/>
      <c r="R2" s="16"/>
      <c r="S2" s="16"/>
      <c r="T2" s="16"/>
      <c r="U2" s="16"/>
      <c r="V2" s="16"/>
      <c r="W2" s="16"/>
      <c r="X2" s="16"/>
    </row>
    <row r="3" spans="1:24" ht="18" customHeight="1" x14ac:dyDescent="0.25">
      <c r="A3" s="25" t="s">
        <v>24</v>
      </c>
      <c r="B3" s="25" t="s">
        <v>25</v>
      </c>
      <c r="C3" s="25" t="s">
        <v>26</v>
      </c>
      <c r="D3" s="25" t="s">
        <v>27</v>
      </c>
      <c r="E3" s="24" t="s">
        <v>28</v>
      </c>
      <c r="F3" s="25" t="s">
        <v>29</v>
      </c>
      <c r="G3" s="25" t="s">
        <v>30</v>
      </c>
      <c r="H3" s="25" t="s">
        <v>31</v>
      </c>
      <c r="I3" s="25" t="s">
        <v>32</v>
      </c>
      <c r="P3" s="16" t="s">
        <v>24</v>
      </c>
      <c r="Q3" s="16" t="s">
        <v>25</v>
      </c>
      <c r="R3" s="16" t="s">
        <v>26</v>
      </c>
      <c r="S3" s="16" t="s">
        <v>27</v>
      </c>
      <c r="T3" s="16" t="s">
        <v>28</v>
      </c>
      <c r="U3" s="16" t="s">
        <v>29</v>
      </c>
      <c r="V3" s="16" t="s">
        <v>30</v>
      </c>
      <c r="W3" s="16" t="s">
        <v>31</v>
      </c>
      <c r="X3" s="17" t="s">
        <v>32</v>
      </c>
    </row>
    <row r="4" spans="1:24" x14ac:dyDescent="0.25">
      <c r="A4" s="26">
        <v>181997</v>
      </c>
      <c r="B4" s="26" t="s">
        <v>33</v>
      </c>
      <c r="C4" s="26" t="s">
        <v>34</v>
      </c>
      <c r="D4" s="26">
        <v>290059</v>
      </c>
      <c r="E4" s="26" t="s">
        <v>35</v>
      </c>
      <c r="F4" s="28">
        <v>45364</v>
      </c>
      <c r="G4" s="26"/>
      <c r="H4" s="26">
        <v>21</v>
      </c>
      <c r="I4" s="29"/>
      <c r="P4" s="18">
        <v>181997</v>
      </c>
      <c r="Q4" s="18" t="s">
        <v>33</v>
      </c>
      <c r="R4" s="18" t="s">
        <v>34</v>
      </c>
      <c r="S4" s="18">
        <v>290059</v>
      </c>
      <c r="T4" s="18" t="s">
        <v>35</v>
      </c>
      <c r="U4" s="6">
        <v>45364</v>
      </c>
      <c r="V4" s="18"/>
      <c r="W4" s="18">
        <v>21</v>
      </c>
      <c r="X4" s="19"/>
    </row>
    <row r="5" spans="1:24" x14ac:dyDescent="0.25">
      <c r="A5" s="27">
        <v>181997</v>
      </c>
      <c r="B5" s="27" t="s">
        <v>33</v>
      </c>
      <c r="C5" s="27" t="s">
        <v>34</v>
      </c>
      <c r="D5" s="27">
        <v>290061</v>
      </c>
      <c r="E5" s="27" t="s">
        <v>35</v>
      </c>
      <c r="F5" s="30">
        <v>45364</v>
      </c>
      <c r="G5" s="27"/>
      <c r="H5" s="27">
        <v>21</v>
      </c>
      <c r="I5" s="31"/>
      <c r="P5" s="18">
        <v>181997</v>
      </c>
      <c r="Q5" s="18" t="s">
        <v>33</v>
      </c>
      <c r="R5" s="18" t="s">
        <v>34</v>
      </c>
      <c r="S5" s="18">
        <v>290061</v>
      </c>
      <c r="T5" s="18" t="s">
        <v>35</v>
      </c>
      <c r="U5" s="6">
        <v>45364</v>
      </c>
      <c r="V5" s="18"/>
      <c r="W5" s="18">
        <v>21</v>
      </c>
      <c r="X5" s="19"/>
    </row>
    <row r="6" spans="1:24" x14ac:dyDescent="0.25">
      <c r="A6" s="26">
        <v>181997</v>
      </c>
      <c r="B6" s="26" t="s">
        <v>33</v>
      </c>
      <c r="C6" s="26" t="s">
        <v>34</v>
      </c>
      <c r="D6" s="26">
        <v>290060</v>
      </c>
      <c r="E6" s="26" t="s">
        <v>35</v>
      </c>
      <c r="F6" s="28">
        <v>45364</v>
      </c>
      <c r="G6" s="26"/>
      <c r="H6" s="26">
        <v>21</v>
      </c>
      <c r="I6" s="29"/>
      <c r="P6" s="18">
        <v>181997</v>
      </c>
      <c r="Q6" s="18" t="s">
        <v>33</v>
      </c>
      <c r="R6" s="18" t="s">
        <v>34</v>
      </c>
      <c r="S6" s="18">
        <v>290060</v>
      </c>
      <c r="T6" s="18" t="s">
        <v>35</v>
      </c>
      <c r="U6" s="6">
        <v>45364</v>
      </c>
      <c r="V6" s="18"/>
      <c r="W6" s="18">
        <v>21</v>
      </c>
      <c r="X6" s="19"/>
    </row>
    <row r="7" spans="1:24" x14ac:dyDescent="0.25">
      <c r="A7" s="27">
        <v>182000</v>
      </c>
      <c r="B7" s="27" t="s">
        <v>33</v>
      </c>
      <c r="C7" s="27" t="s">
        <v>36</v>
      </c>
      <c r="D7" s="27">
        <v>290059</v>
      </c>
      <c r="E7" s="27" t="s">
        <v>37</v>
      </c>
      <c r="F7" s="30">
        <v>45365</v>
      </c>
      <c r="G7" s="27"/>
      <c r="H7" s="27">
        <v>22</v>
      </c>
      <c r="I7" s="31"/>
      <c r="P7" s="18">
        <v>182000</v>
      </c>
      <c r="Q7" s="18" t="s">
        <v>33</v>
      </c>
      <c r="R7" s="18" t="s">
        <v>36</v>
      </c>
      <c r="S7" s="18">
        <v>290059</v>
      </c>
      <c r="T7" s="18" t="s">
        <v>37</v>
      </c>
      <c r="U7" s="6">
        <v>45365</v>
      </c>
      <c r="V7" s="18"/>
      <c r="W7" s="18">
        <v>22</v>
      </c>
      <c r="X7" s="19"/>
    </row>
    <row r="8" spans="1:24" x14ac:dyDescent="0.25">
      <c r="A8" s="26">
        <v>182003</v>
      </c>
      <c r="B8" s="26" t="s">
        <v>33</v>
      </c>
      <c r="C8" s="26" t="s">
        <v>36</v>
      </c>
      <c r="D8" s="26">
        <v>290062</v>
      </c>
      <c r="E8" s="26" t="s">
        <v>37</v>
      </c>
      <c r="F8" s="28">
        <v>45365</v>
      </c>
      <c r="G8" s="26"/>
      <c r="H8" s="26">
        <v>22</v>
      </c>
      <c r="I8" s="29"/>
      <c r="P8" s="18">
        <v>182003</v>
      </c>
      <c r="Q8" s="18" t="s">
        <v>33</v>
      </c>
      <c r="R8" s="18" t="s">
        <v>36</v>
      </c>
      <c r="S8" s="18">
        <v>290062</v>
      </c>
      <c r="T8" s="18" t="s">
        <v>37</v>
      </c>
      <c r="U8" s="6">
        <v>45365</v>
      </c>
      <c r="V8" s="18"/>
      <c r="W8" s="18">
        <v>22</v>
      </c>
      <c r="X8" s="19"/>
    </row>
    <row r="9" spans="1:24" x14ac:dyDescent="0.25">
      <c r="A9" s="27">
        <v>182003</v>
      </c>
      <c r="B9" s="27" t="s">
        <v>33</v>
      </c>
      <c r="C9" s="27" t="s">
        <v>36</v>
      </c>
      <c r="D9" s="27">
        <v>290063</v>
      </c>
      <c r="E9" s="27" t="s">
        <v>37</v>
      </c>
      <c r="F9" s="30">
        <v>45365</v>
      </c>
      <c r="G9" s="27"/>
      <c r="H9" s="27">
        <v>22</v>
      </c>
      <c r="I9" s="31"/>
      <c r="P9" s="18">
        <v>182003</v>
      </c>
      <c r="Q9" s="18" t="s">
        <v>33</v>
      </c>
      <c r="R9" s="18" t="s">
        <v>36</v>
      </c>
      <c r="S9" s="18">
        <v>290063</v>
      </c>
      <c r="T9" s="18" t="s">
        <v>37</v>
      </c>
      <c r="U9" s="6">
        <v>45365</v>
      </c>
      <c r="V9" s="18"/>
      <c r="W9" s="18">
        <v>22</v>
      </c>
      <c r="X9" s="19"/>
    </row>
    <row r="10" spans="1:24" x14ac:dyDescent="0.25">
      <c r="A10" s="26">
        <v>182003</v>
      </c>
      <c r="B10" s="26" t="s">
        <v>33</v>
      </c>
      <c r="C10" s="26" t="s">
        <v>36</v>
      </c>
      <c r="D10" s="26">
        <v>290061</v>
      </c>
      <c r="E10" s="26" t="s">
        <v>37</v>
      </c>
      <c r="F10" s="28">
        <v>45365</v>
      </c>
      <c r="G10" s="26"/>
      <c r="H10" s="26">
        <v>22</v>
      </c>
      <c r="I10" s="29"/>
      <c r="P10" s="18">
        <v>182003</v>
      </c>
      <c r="Q10" s="18" t="s">
        <v>33</v>
      </c>
      <c r="R10" s="18" t="s">
        <v>36</v>
      </c>
      <c r="S10" s="18">
        <v>290061</v>
      </c>
      <c r="T10" s="18" t="s">
        <v>37</v>
      </c>
      <c r="U10" s="6">
        <v>45365</v>
      </c>
      <c r="V10" s="18"/>
      <c r="W10" s="18">
        <v>22</v>
      </c>
      <c r="X10" s="19"/>
    </row>
  </sheetData>
  <autoFilter ref="A3:I3" xr:uid="{F809DD71-9510-45A1-BFC0-9463D740B354}"/>
  <mergeCells count="2">
    <mergeCell ref="A1:I1"/>
    <mergeCell ref="P1:X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MASA AKTIF</vt:lpstr>
      <vt:lpstr>TIMER</vt:lpstr>
      <vt:lpstr>COLOR DESIGN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2023-11-01T04:32:02Z</dcterms:created>
  <dcterms:modified xsi:type="dcterms:W3CDTF">2024-02-21T02:56:32Z</dcterms:modified>
</cp:coreProperties>
</file>