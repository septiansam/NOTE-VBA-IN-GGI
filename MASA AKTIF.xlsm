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139A3329-7B55-45F0-8A69-43646AC15970}" xr6:coauthVersionLast="47" xr6:coauthVersionMax="47" xr10:uidLastSave="{00000000-0000-0000-0000-000000000000}"/>
  <bookViews>
    <workbookView xWindow="20370" yWindow="-120" windowWidth="20730" windowHeight="11160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6" l="1"/>
  <c r="C1" i="2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<sst xmlns="http://schemas.openxmlformats.org/spreadsheetml/2006/main" count="185" uniqueCount="90">
  <si>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</si>
  <si>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</si>
  <si>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</si>
  <si>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</si>
  <si>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</si>
  <si>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</si>
  <si>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</si>
  <si>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</si>
  <si>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</si>
  <si>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</si>
  <si>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</si>
  <si>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</si>
  <si>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</si>
  <si>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</si>
  <si>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</si>
  <si>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</si>
  <si>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</si>
  <si>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</si>
  <si>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</si>
  <si>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</si>
  <si>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</si>
  <si>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</si>
  <si>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</si>
  <si>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</si>
  <si>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</si>
  <si>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</si>
  <si>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</si>
  <si>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</si>
  <si>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</si>
  <si>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</si>
  <si>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</si>
  <si>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</si>
  <si>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</si>
  <si>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</si>
  <si>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</si>
  <si>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</si>
  <si>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</si>
  <si>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</si>
  <si>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</si>
  <si>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</si>
  <si>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</si>
  <si>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</si>
  <si>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</si>
  <si>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</si>
  <si>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</si>
  <si>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</si>
  <si>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</si>
  <si>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Hari Lahirnya Pancasila</t>
  </si>
  <si>
    <t>Kenaikan Isa Al Masih</t>
  </si>
  <si>
    <t>Hari Buruh Internasional</t>
  </si>
  <si>
    <t>Wafat Isa Al Masih</t>
  </si>
  <si>
    <t>Hari Raya Nyepi</t>
  </si>
  <si>
    <t>Isra Mikraj Nabi Muhammad SAW</t>
  </si>
  <si>
    <t>Hari Siwa Ratri</t>
  </si>
  <si>
    <t>Tahun Baru Masehi</t>
  </si>
  <si>
    <t>Desember</t>
  </si>
  <si>
    <t>Hari</t>
  </si>
  <si>
    <t>Rabu</t>
  </si>
  <si>
    <t>Sabtu</t>
  </si>
  <si>
    <t>Kamis</t>
  </si>
  <si>
    <t>September</t>
  </si>
  <si>
    <t>Selasa</t>
  </si>
  <si>
    <t>Minggu</t>
  </si>
  <si>
    <t>Agustus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</si>
  <si>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</si>
  <si>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</si>
  <si>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</si>
  <si>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</si>
  <si>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</si>
  <si>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</si>
  <si>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</si>
  <si>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</si>
  <si>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</si>
  <si>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</si>
  <si>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</si>
  <si>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</si>
  <si>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</si>
  <si>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</si>
  <si>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</si>
  <si>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</si>
  <si>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</si>
  <si>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</si>
  <si>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</si>
  <si>
    <t>Tanggal Merah Tahun 2025</t>
  </si>
  <si>
    <t>November</t>
  </si>
  <si>
    <t>Tahun Baru Islam 1447 Hijriyah</t>
  </si>
  <si>
    <t>Hari Raya Idul Adha 1446 Hijriyah</t>
  </si>
  <si>
    <t>Hari Raya Waisak 2569</t>
  </si>
  <si>
    <t>Hari Raya Idul Fitri 1446 Hijriyah</t>
  </si>
  <si>
    <t>Tahun Baru Imlek 2576 Kongzili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</si>
</sst>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tabSelected="1" workbookViewId="0">
      <selection activeCell="L13" sqref="L13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19 bulan 25 hari</v>
      </c>
    </row>
    <row r="2" spans="2:10" x14ac:dyDescent="0.25">
      <c r="B2" t="s">
        <v>4</v>
      </c>
      <c r="C2" s="7">
        <f ca="1">DATE(YEAR(TODAY()),5+1,0)</f>
        <v>45808</v>
      </c>
      <c r="E2" t="s">
        <v>74</v>
      </c>
      <c r="F2" s="13">
        <v>45075</v>
      </c>
      <c r="G2" t="s">
        <v>72</v>
      </c>
    </row>
    <row r="3" spans="2:10" ht="15.75" x14ac:dyDescent="0.25">
      <c r="E3" t="s">
        <v>75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45680.68734016204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123</v>
      </c>
      <c r="E7" t="s">
        <v>7</v>
      </c>
      <c r="F7" s="13" t="str">
        <f ca="1">DATEDIF(F2,TODAY(),"m") &amp; " bulan " &amp; DATEDIF(F2,TODAY(),"md") &amp; " hari"</f>
        <v>19 bulan 25 hari</v>
      </c>
      <c r="J7" s="14" t="s">
        <v>15</v>
      </c>
    </row>
    <row r="8" spans="2:10" ht="15.75" x14ac:dyDescent="0.25">
      <c r="B8" t="s">
        <v>3</v>
      </c>
      <c r="C8" s="8">
        <f ca="1">C5-C4</f>
        <v>123.31265983796038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4 bulan 4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4 bulan 4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4 bulan 4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4 bulan 4 hari</v>
      </c>
      <c r="J10" s="36"/>
    </row>
    <row r="11" spans="2:10" ht="15.75" thickBot="1" x14ac:dyDescent="0.3">
      <c r="B11" s="11" t="str">
        <f ca="1">C7&amp;" Hari"</f>
        <v>123 Hari</v>
      </c>
      <c r="C11" s="12">
        <f ca="1">C8</f>
        <v>123.31265983796038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4 bulan 8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73</v>
      </c>
    </row>
    <row r="16" spans="2:10" x14ac:dyDescent="0.25">
      <c r="F16" s="33">
        <f ca="1">DATEDIF(TODAY(),F5, "d")</f>
        <v>124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4 bulan 4 hari</v>
      </c>
    </row>
    <row r="20" spans="2:6" x14ac:dyDescent="0.25">
      <c r="B20" t="s">
        <v>79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4 bulan 4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8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83</v>
      </c>
      <c r="B1" s="34" t="s">
        <v>56</v>
      </c>
      <c r="C1" s="34" t="s">
        <v>20</v>
      </c>
      <c r="D1" s="34" t="s">
        <v>38</v>
      </c>
    </row>
    <row r="2" spans="1:4" x14ac:dyDescent="0.25">
      <c r="A2" s="35">
        <v>45658</v>
      </c>
      <c r="B2" s="34" t="s">
        <v>57</v>
      </c>
      <c r="C2" s="34" t="s">
        <v>71</v>
      </c>
      <c r="D2" s="34" t="s">
        <v>54</v>
      </c>
    </row>
    <row r="3" spans="1:4" x14ac:dyDescent="0.25">
      <c r="A3" s="35">
        <v>45684</v>
      </c>
      <c r="B3" s="34" t="s">
        <v>64</v>
      </c>
      <c r="C3" s="34" t="s">
        <v>71</v>
      </c>
      <c r="D3" s="34" t="s">
        <v>52</v>
      </c>
    </row>
    <row r="4" spans="1:4" x14ac:dyDescent="0.25">
      <c r="A4" s="35">
        <v>45684</v>
      </c>
      <c r="B4" s="34" t="s">
        <v>64</v>
      </c>
      <c r="C4" s="34" t="s">
        <v>71</v>
      </c>
      <c r="D4" s="34" t="s">
        <v>53</v>
      </c>
    </row>
    <row r="5" spans="1:4" x14ac:dyDescent="0.25">
      <c r="A5" s="35">
        <v>45686</v>
      </c>
      <c r="B5" s="34" t="s">
        <v>57</v>
      </c>
      <c r="C5" s="34" t="s">
        <v>71</v>
      </c>
      <c r="D5" s="34" t="s">
        <v>89</v>
      </c>
    </row>
    <row r="6" spans="1:4" x14ac:dyDescent="0.25">
      <c r="A6" s="35">
        <v>45696</v>
      </c>
      <c r="B6" s="34" t="s">
        <v>58</v>
      </c>
      <c r="C6" s="34" t="s">
        <v>70</v>
      </c>
      <c r="D6" s="34" t="s">
        <v>46</v>
      </c>
    </row>
    <row r="7" spans="1:4" x14ac:dyDescent="0.25">
      <c r="A7" s="35">
        <v>45745</v>
      </c>
      <c r="B7" s="34" t="s">
        <v>58</v>
      </c>
      <c r="C7" s="34" t="s">
        <v>69</v>
      </c>
      <c r="D7" s="34" t="s">
        <v>51</v>
      </c>
    </row>
    <row r="8" spans="1:4" x14ac:dyDescent="0.25">
      <c r="A8" s="35">
        <v>45747</v>
      </c>
      <c r="B8" s="34" t="s">
        <v>64</v>
      </c>
      <c r="C8" s="34" t="s">
        <v>69</v>
      </c>
      <c r="D8" s="34" t="s">
        <v>88</v>
      </c>
    </row>
    <row r="9" spans="1:4" x14ac:dyDescent="0.25">
      <c r="A9" s="35">
        <v>45748</v>
      </c>
      <c r="B9" s="34" t="s">
        <v>61</v>
      </c>
      <c r="C9" s="34" t="s">
        <v>67</v>
      </c>
      <c r="D9" s="34" t="s">
        <v>88</v>
      </c>
    </row>
    <row r="10" spans="1:4" x14ac:dyDescent="0.25">
      <c r="A10" s="35">
        <v>45765</v>
      </c>
      <c r="B10" s="34" t="s">
        <v>68</v>
      </c>
      <c r="C10" s="34" t="s">
        <v>67</v>
      </c>
      <c r="D10" s="34" t="s">
        <v>50</v>
      </c>
    </row>
    <row r="11" spans="1:4" x14ac:dyDescent="0.25">
      <c r="A11" s="35">
        <v>45769</v>
      </c>
      <c r="B11" s="34" t="s">
        <v>61</v>
      </c>
      <c r="C11" s="34" t="s">
        <v>67</v>
      </c>
      <c r="D11" s="34" t="s">
        <v>43</v>
      </c>
    </row>
    <row r="12" spans="1:4" x14ac:dyDescent="0.25">
      <c r="A12" s="35">
        <v>45770</v>
      </c>
      <c r="B12" s="34" t="s">
        <v>57</v>
      </c>
      <c r="C12" s="34" t="s">
        <v>67</v>
      </c>
      <c r="D12" s="34" t="s">
        <v>42</v>
      </c>
    </row>
    <row r="13" spans="1:4" x14ac:dyDescent="0.25">
      <c r="A13" s="35">
        <v>45771</v>
      </c>
      <c r="B13" s="34" t="s">
        <v>59</v>
      </c>
      <c r="C13" s="34" t="s">
        <v>67</v>
      </c>
      <c r="D13" s="34" t="s">
        <v>41</v>
      </c>
    </row>
    <row r="14" spans="1:4" x14ac:dyDescent="0.25">
      <c r="A14" s="35">
        <v>45778</v>
      </c>
      <c r="B14" s="34" t="s">
        <v>59</v>
      </c>
      <c r="C14" s="34" t="s">
        <v>66</v>
      </c>
      <c r="D14" s="34" t="s">
        <v>49</v>
      </c>
    </row>
    <row r="15" spans="1:4" x14ac:dyDescent="0.25">
      <c r="A15" s="35">
        <v>45780</v>
      </c>
      <c r="B15" s="34" t="s">
        <v>58</v>
      </c>
      <c r="C15" s="34" t="s">
        <v>66</v>
      </c>
      <c r="D15" s="34" t="s">
        <v>40</v>
      </c>
    </row>
    <row r="16" spans="1:4" x14ac:dyDescent="0.25">
      <c r="A16" s="35">
        <v>45789</v>
      </c>
      <c r="B16" s="34" t="s">
        <v>64</v>
      </c>
      <c r="C16" s="34" t="s">
        <v>66</v>
      </c>
      <c r="D16" s="34" t="s">
        <v>87</v>
      </c>
    </row>
    <row r="17" spans="1:4" x14ac:dyDescent="0.25">
      <c r="A17" s="35">
        <v>45806</v>
      </c>
      <c r="B17" s="34" t="s">
        <v>59</v>
      </c>
      <c r="C17" s="34" t="s">
        <v>66</v>
      </c>
      <c r="D17" s="34" t="s">
        <v>48</v>
      </c>
    </row>
    <row r="18" spans="1:4" x14ac:dyDescent="0.25">
      <c r="A18" s="35">
        <v>45809</v>
      </c>
      <c r="B18" s="34" t="s">
        <v>62</v>
      </c>
      <c r="C18" s="34" t="s">
        <v>65</v>
      </c>
      <c r="D18" s="34" t="s">
        <v>47</v>
      </c>
    </row>
    <row r="19" spans="1:4" x14ac:dyDescent="0.25">
      <c r="A19" s="35">
        <v>45815</v>
      </c>
      <c r="B19" s="34" t="s">
        <v>58</v>
      </c>
      <c r="C19" s="34" t="s">
        <v>65</v>
      </c>
      <c r="D19" s="34" t="s">
        <v>86</v>
      </c>
    </row>
    <row r="20" spans="1:4" x14ac:dyDescent="0.25">
      <c r="A20" s="35">
        <v>45835</v>
      </c>
      <c r="B20" s="34" t="s">
        <v>68</v>
      </c>
      <c r="C20" s="34" t="s">
        <v>65</v>
      </c>
      <c r="D20" s="34" t="s">
        <v>85</v>
      </c>
    </row>
    <row r="21" spans="1:4" x14ac:dyDescent="0.25">
      <c r="A21" s="35">
        <v>45886</v>
      </c>
      <c r="B21" s="34" t="s">
        <v>62</v>
      </c>
      <c r="C21" s="34" t="s">
        <v>63</v>
      </c>
      <c r="D21" s="34" t="s">
        <v>45</v>
      </c>
    </row>
    <row r="22" spans="1:4" x14ac:dyDescent="0.25">
      <c r="A22" s="35">
        <v>45905</v>
      </c>
      <c r="B22" s="34" t="s">
        <v>68</v>
      </c>
      <c r="C22" s="34" t="s">
        <v>60</v>
      </c>
      <c r="D22" s="34" t="s">
        <v>44</v>
      </c>
    </row>
    <row r="23" spans="1:4" x14ac:dyDescent="0.25">
      <c r="A23" s="35">
        <v>45906</v>
      </c>
      <c r="B23" s="34" t="s">
        <v>58</v>
      </c>
      <c r="C23" s="34" t="s">
        <v>60</v>
      </c>
      <c r="D23" s="34" t="s">
        <v>46</v>
      </c>
    </row>
    <row r="24" spans="1:4" x14ac:dyDescent="0.25">
      <c r="A24" s="35">
        <v>45979</v>
      </c>
      <c r="B24" s="34" t="s">
        <v>61</v>
      </c>
      <c r="C24" s="34" t="s">
        <v>84</v>
      </c>
      <c r="D24" s="34" t="s">
        <v>43</v>
      </c>
    </row>
    <row r="25" spans="1:4" x14ac:dyDescent="0.25">
      <c r="A25" s="35">
        <v>45980</v>
      </c>
      <c r="B25" s="34" t="s">
        <v>57</v>
      </c>
      <c r="C25" s="34" t="s">
        <v>84</v>
      </c>
      <c r="D25" s="34" t="s">
        <v>42</v>
      </c>
    </row>
    <row r="26" spans="1:4" x14ac:dyDescent="0.25">
      <c r="A26" s="35">
        <v>45981</v>
      </c>
      <c r="B26" s="34" t="s">
        <v>59</v>
      </c>
      <c r="C26" s="34" t="s">
        <v>84</v>
      </c>
      <c r="D26" s="34" t="s">
        <v>41</v>
      </c>
    </row>
    <row r="27" spans="1:4" x14ac:dyDescent="0.25">
      <c r="A27" s="35">
        <v>45990</v>
      </c>
      <c r="B27" s="34" t="s">
        <v>58</v>
      </c>
      <c r="C27" s="34" t="s">
        <v>84</v>
      </c>
      <c r="D27" s="34" t="s">
        <v>40</v>
      </c>
    </row>
    <row r="28" spans="1:4" x14ac:dyDescent="0.25">
      <c r="A28" s="35">
        <v>46016</v>
      </c>
      <c r="B28" s="34" t="s">
        <v>59</v>
      </c>
      <c r="C28" s="34" t="s">
        <v>55</v>
      </c>
      <c r="D28" s="34" t="s">
        <v>39</v>
      </c>
    </row>
  </sheetData>
  <sortState xmlns:xlrd2="http://schemas.microsoft.com/office/spreadsheetml/2017/richdata2" ref="A2:D28">
    <sortCondition ref="A2:A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76</v>
      </c>
      <c r="D3" s="37">
        <v>3500000</v>
      </c>
      <c r="E3" s="37">
        <v>173</v>
      </c>
      <c r="F3" s="37">
        <v>1.5</v>
      </c>
      <c r="H3" s="40" t="s">
        <v>78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77</v>
      </c>
      <c r="D5" s="37">
        <v>3500000</v>
      </c>
      <c r="E5" s="37">
        <v>173</v>
      </c>
      <c r="F5" s="37">
        <v>2</v>
      </c>
      <c r="H5" s="40" t="s">
        <v>78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7"/>
  <sheetViews>
    <sheetView workbookViewId="0">
      <selection activeCell="G15" sqref="G15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80</v>
      </c>
      <c r="D2" s="45" t="s">
        <v>81</v>
      </c>
      <c r="F2" s="46" t="s">
        <v>82</v>
      </c>
    </row>
    <row r="3" spans="2:6" x14ac:dyDescent="0.25">
      <c r="B3" s="44">
        <v>0.37361111111111112</v>
      </c>
      <c r="C3" s="31"/>
      <c r="D3" s="44">
        <v>0.67499999999999993</v>
      </c>
      <c r="E3" s="31"/>
      <c r="F3" s="47" t="str">
        <f>TEXT(D3-B3,"H:MM")</f>
        <v>7:14</v>
      </c>
    </row>
    <row r="6" spans="2:6" x14ac:dyDescent="0.25">
      <c r="B6" s="43" t="s">
        <v>80</v>
      </c>
      <c r="D6" s="45" t="s">
        <v>81</v>
      </c>
      <c r="F6" s="46" t="s">
        <v>82</v>
      </c>
    </row>
    <row r="7" spans="2:6" x14ac:dyDescent="0.25">
      <c r="B7" s="44">
        <v>0.39652777777777781</v>
      </c>
      <c r="C7" s="31"/>
      <c r="D7" s="44">
        <v>0.6972222222222223</v>
      </c>
      <c r="E7" s="31"/>
      <c r="F7" s="47" t="str">
        <f>TEXT(D7-B7,"H:MM")</f>
        <v>7:13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2025-01-23T09:30:25Z</dcterms:modified>
</cp:coreProperties>
</file>