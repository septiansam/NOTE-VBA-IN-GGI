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F523B20F-7569-41B7-B76B-4ED4FB213A03}" xr6:coauthVersionLast="47" xr6:coauthVersionMax="47" xr10:uidLastSave="{00000000-0000-0000-0000-000000000000}"/>
  <bookViews>
    <workbookView xWindow="-120" yWindow="-120" windowWidth="20730" windowHeight="11160" activeTab="1" xr2:uid="{7800CFA1-13FA-4903-B183-0F07303C36CE}"/>
  </bookViews>
  <sheets>
    <sheet name="MASA AKTIF" sheetId="1" r:id="rId1"/>
    <sheet name="TIMER" sheetId="2" r:id="rId2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" i="2" l="1"/>
  <c r="F4" i="2"/>
  <c r="F11" i="2"/>
  <c r="F6" i="2"/>
  <c r="C1" i="2"/>
  <c r="C2" i="2"/>
  <c r="C4" i="2"/>
  <c r="C7" i="2" l="1"/>
  <c r="B11" i="2" s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7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<sst xmlns="http://schemas.openxmlformats.org/spreadsheetml/2006/main" count="23" uniqueCount="23">
  <si>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</si>
  <si>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</si>
  <si>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</si>
  <si>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</si>
  <si>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</si>
  <si>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</si>
  <si>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</si>
  <si>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Masuk Kerja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</si>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</sst>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:ss"/>
  </numFmts>
  <fonts count="4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01FF74"/>
      <color rgb="FF152C55"/>
      <color rgb="FFF3A812"/>
      <color rgb="FF882D60"/>
      <color rgb="FF2D88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38100</xdr:rowOff>
        </xdr:from>
        <xdr:to>
          <xdr:col>2</xdr:col>
          <xdr:colOff>114300</xdr:colOff>
          <xdr:row>3</xdr:row>
          <xdr:rowOff>104775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C3:J10"/>
  <sheetViews>
    <sheetView workbookViewId="0">
      <selection activeCell="B12" sqref="B12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3" spans="3:10" x14ac:dyDescent="0.25">
      <c r="C3" s="2"/>
    </row>
    <row r="6" spans="3:10" x14ac:dyDescent="0.25">
      <c r="C6" s="3"/>
      <c r="D6" s="4"/>
    </row>
    <row r="7" spans="3:10" x14ac:dyDescent="0.25">
      <c r="G7" s="6"/>
    </row>
    <row r="8" spans="3:10" x14ac:dyDescent="0.25">
      <c r="G8" s="5"/>
    </row>
    <row r="10" spans="3:10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0</xdr:col>
                <xdr:colOff>104775</xdr:colOff>
                <xdr:row>1</xdr:row>
                <xdr:rowOff>38100</xdr:rowOff>
              </from>
              <to>
                <xdr:col>2</xdr:col>
                <xdr:colOff>114300</xdr:colOff>
                <xdr:row>3</xdr:row>
                <xdr:rowOff>104775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13"/>
  <sheetViews>
    <sheetView tabSelected="1" workbookViewId="0">
      <selection activeCell="I9" sqref="I9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5" max="5" width="12.85546875" bestFit="1" customWidth="1"/>
    <col min="6" max="6" width="20.42578125" customWidth="1"/>
    <col min="7" max="7" width="9.7109375" bestFit="1" customWidth="1"/>
    <col min="10" max="10" width="72.28515625" bestFit="1" customWidth="1"/>
  </cols>
  <sheetData>
    <row r="1" spans="2:10" x14ac:dyDescent="0.25">
      <c r="B1" t="s">
        <v>9</v>
      </c>
      <c r="C1" t="str">
        <f ca="1">DATEDIF(DATE(2023,5,29),TODAY(),"m") &amp; " bulan " &amp; DATEDIF(DATE(2023,5,29),TODAY(),"md") &amp; " hari"</f>
        <v>8 bulan 22 hari</v>
      </c>
    </row>
    <row r="2" spans="2:10" ht="15.75" x14ac:dyDescent="0.25">
      <c r="B2" t="s">
        <v>4</v>
      </c>
      <c r="C2" s="7">
        <f ca="1">DATE(YEAR(TODAY()),5+1,0)</f>
        <v>45443</v>
      </c>
      <c r="E2" t="s">
        <v>7</v>
      </c>
      <c r="F2" s="13">
        <v>45075</v>
      </c>
      <c r="I2" t="s">
        <v>11</v>
      </c>
      <c r="J2" s="14" t="s">
        <v>12</v>
      </c>
    </row>
    <row r="3" spans="2:10" ht="15.75" x14ac:dyDescent="0.25">
      <c r="E3" t="s">
        <v>20</v>
      </c>
      <c r="F3">
        <v>12</v>
      </c>
      <c r="G3" t="s">
        <v>21</v>
      </c>
      <c r="J3" s="14" t="s">
        <v>13</v>
      </c>
    </row>
    <row r="4" spans="2:10" ht="15.75" x14ac:dyDescent="0.25">
      <c r="B4" t="s">
        <v>0</v>
      </c>
      <c r="C4" s="7">
        <f ca="1">NOW()</f>
        <v>45342.695652083334</v>
      </c>
      <c r="E4" t="s">
        <v>22</v>
      </c>
      <c r="F4" s="13">
        <f>EDATE(F2, F3)</f>
        <v>45441</v>
      </c>
      <c r="J4" s="14" t="s">
        <v>14</v>
      </c>
    </row>
    <row r="5" spans="2:10" ht="15.75" x14ac:dyDescent="0.25">
      <c r="B5" t="s">
        <v>1</v>
      </c>
      <c r="C5" s="7">
        <v>45443</v>
      </c>
      <c r="J5" s="14" t="s">
        <v>15</v>
      </c>
    </row>
    <row r="6" spans="2:10" ht="15.75" x14ac:dyDescent="0.25">
      <c r="E6" t="s">
        <v>8</v>
      </c>
      <c r="F6" s="13" t="str">
        <f ca="1">DATEDIF(F2,TODAY(),"m") &amp; " bulan " &amp; DATEDIF(F2,TODAY(),"md") &amp; " hari"</f>
        <v>8 bulan 22 hari</v>
      </c>
      <c r="J6" s="14" t="s">
        <v>16</v>
      </c>
    </row>
    <row r="7" spans="2:10" ht="15.75" x14ac:dyDescent="0.25">
      <c r="B7" t="s">
        <v>2</v>
      </c>
      <c r="C7">
        <f ca="1">ROUNDDOWN(C5-C4,0)</f>
        <v>100</v>
      </c>
      <c r="E7" t="s">
        <v>10</v>
      </c>
      <c r="F7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3 bulan 11 hari</v>
      </c>
      <c r="G7" s="13"/>
      <c r="J7" s="14" t="s">
        <v>17</v>
      </c>
    </row>
    <row r="8" spans="2:10" x14ac:dyDescent="0.25">
      <c r="B8" t="s">
        <v>3</v>
      </c>
      <c r="C8" s="8">
        <f ca="1">C5-C4</f>
        <v>100.3043479166663</v>
      </c>
    </row>
    <row r="9" spans="2:10" ht="15.75" thickBot="1" x14ac:dyDescent="0.3"/>
    <row r="10" spans="2:10" x14ac:dyDescent="0.25">
      <c r="B10" s="9" t="s">
        <v>5</v>
      </c>
      <c r="C10" s="10" t="s">
        <v>6</v>
      </c>
      <c r="E10" s="13"/>
    </row>
    <row r="11" spans="2:10" ht="15.75" thickBot="1" x14ac:dyDescent="0.3">
      <c r="B11" s="11" t="str">
        <f ca="1">C7&amp;" Hari"</f>
        <v>100 Hari</v>
      </c>
      <c r="C11" s="12">
        <f ca="1">C8</f>
        <v>100.3043479166663</v>
      </c>
      <c r="F11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3 bulan 11 hari</v>
      </c>
    </row>
    <row r="12" spans="2:10" x14ac:dyDescent="0.25">
      <c r="G12" t="s">
        <v>18</v>
      </c>
    </row>
    <row r="13" spans="2:10" x14ac:dyDescent="0.25">
      <c r="G13" t="s">
        <v>19</v>
      </c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MASA AKTIF</vt:lpstr>
      <vt:lpstr>TIMER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2024-02-20T09:41:44Z</dcterms:modified>
</cp:coreProperties>
</file>