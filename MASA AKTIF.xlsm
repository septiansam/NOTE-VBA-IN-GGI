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6DF80634-0086-4B6B-9FE8-B3864DAF8EC1}" xr6:coauthVersionLast="47" xr6:coauthVersionMax="47" xr10:uidLastSave="{00000000-0000-0000-0000-000000000000}"/>
  <bookViews>
    <workbookView minimized="1" xWindow="20595" yWindow="1035" windowWidth="20730" windowHeight="9165" xr2:uid="{00000000-000D-0000-FFFF-FFFF00000000}"/>
  </bookViews>
  <sheets>
    <sheet name="MASA AKTIF" sheetId="1" r:id="rId1"/>
    <sheet name="TIMER" sheetId="2" r:id="rId2"/>
    <sheet name="COLOR DESIGN" sheetId="3" r:id="rId3"/>
    <sheet name="TANGGAL MERAH" sheetId="4" r:id="rId4"/>
    <sheet name="PERHITUNGAN" sheetId="5" r:id="rId5"/>
    <sheet name="JAM LEMBUR" sheetId="6" r:id="rId6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  <definedName name="_xlpm.days" hidden="1" xlm="1">#NAME?</definedName>
    <definedName name="_xlpm.months" hidden="1" xlm="1">#NAME?</definedName>
    <definedName name="_xlpm.targetDate" hidden="1" xlm="1">#NAME?</definedName>
    <definedName name="_xlpm.todayDate" hidden="1" xlm="1">#NAME?</definedName>
    <definedName name="_xlpm.totalMonths" hidden="1" xlm="1">#NAME?</definedName>
    <definedName name="_xlpm.year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5" i="5" l="1"/>
  <c r="I3" i="5"/>
  <c r="F7" i="2"/>
  <c r="F7" i="6"/>
  <c r="C1" i="2"/>
  <c r="C2" i="2"/>
  <c r="F3" i="6" l="1"/>
  <c r="K5" i="5" l="1"/>
  <c r="F5" i="2"/>
  <c r="C5" i="2" s="1"/>
  <c r="F12" i="2"/>
  <c r="G8" i="2"/>
  <c r="G10" i="2" l="1"/>
  <c r="F16" i="2"/>
  <c r="F6" i="2"/>
  <c r="F19" i="2"/>
  <c r="F9" i="2"/>
  <c r="F8" i="2"/>
  <c r="F20" i="2"/>
  <c r="C4" i="2"/>
  <c r="C7" i="2" s="1"/>
  <c r="B11" i="2" l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<sst xmlns="http://schemas.openxmlformats.org/spreadsheetml/2006/main" count="185" uniqueCount="90">
  <si>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</si>
  <si>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</si>
  <si>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</si>
  <si>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</si>
  <si>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</si>
  <si>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</si>
  <si>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</si>
  <si>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</si>
  <si>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</si>
  <si>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</si>
  <si>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</si>
  <si>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</si>
  <si>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</si>
  <si>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</si>
  <si>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</si>
  <si>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</si>
  <si>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</si>
  <si>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</si>
  <si>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</si>
  <si>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</si>
  <si>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</si>
  <si>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</si>
  <si>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</si>
  <si>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</si>
  <si>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</si>
  <si>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</si>
  <si>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</si>
  <si>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</si>
  <si>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</si>
  <si>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</si>
  <si>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</si>
  <si>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</si>
  <si>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</si>
  <si>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</si>
  <si>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</si>
  <si>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</si>
  <si>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</si>
  <si>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</si>
  <si>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</si>
  <si>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</si>
  <si>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</si>
  <si>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</si>
  <si>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</si>
  <si>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</si>
  <si>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</si>
  <si>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</si>
  <si>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</si>
  <si>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Hari Lahirnya Pancasila</t>
  </si>
  <si>
    <t>Kenaikan Isa Al Masih</t>
  </si>
  <si>
    <t>Hari Buruh Internasional</t>
  </si>
  <si>
    <t>Wafat Isa Al Masih</t>
  </si>
  <si>
    <t>Hari Raya Nyepi</t>
  </si>
  <si>
    <t>Isra Mikraj Nabi Muhammad SAW</t>
  </si>
  <si>
    <t>Hari Siwa Ratri</t>
  </si>
  <si>
    <t>Tahun Baru Masehi</t>
  </si>
  <si>
    <t>Desember</t>
  </si>
  <si>
    <t>Hari</t>
  </si>
  <si>
    <t>Rabu</t>
  </si>
  <si>
    <t>Sabtu</t>
  </si>
  <si>
    <t>Kamis</t>
  </si>
  <si>
    <t>September</t>
  </si>
  <si>
    <t>Selasa</t>
  </si>
  <si>
    <t>Minggu</t>
  </si>
  <si>
    <t>Agustus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</si>
  <si>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</si>
  <si>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</si>
  <si>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</si>
  <si>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</si>
  <si>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</si>
  <si>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</si>
  <si>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</si>
  <si>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</si>
  <si>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</si>
  <si>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</si>
  <si>
    <t>AWAL MASUK GISTEX</t>
  </si>
  <si>
    <t>Tanggal Tanda Tangan Kontrak</t>
  </si>
  <si>
    <t>JAM PERTMA</t>
  </si>
  <si>
    <t>JAM KEDUA</t>
  </si>
  <si>
    <t>=</t>
  </si>
  <si>
    <t>catatan:</t>
  </si>
  <si>
    <t>JAM MASUK</t>
  </si>
  <si>
    <t>JAM KELUAR</t>
  </si>
  <si>
    <t>TOTAL JAM KERJA</t>
  </si>
  <si>
    <t>Tanggal Merah Tahun 2025</t>
  </si>
  <si>
    <t>November</t>
  </si>
  <si>
    <t>Tahun Baru Islam 1447 Hijriyah</t>
  </si>
  <si>
    <t>Hari Raya Idul Adha 1446 Hijriyah</t>
  </si>
  <si>
    <t>Hari Raya Waisak 2569</t>
  </si>
  <si>
    <t>Hari Raya Idul Fitri 1446 Hijriyah</t>
  </si>
  <si>
    <t>Tahun Baru Imlek 2576 Kongzili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</si>
</sst>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hh:mm:ss"/>
  </numFmts>
  <fonts count="1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  <font>
      <sz val="11"/>
      <color theme="1"/>
      <name val="Calibri"/>
      <family val="2"/>
      <scheme val="minor"/>
    </font>
    <font>
      <b/>
      <sz val="14"/>
      <color theme="0"/>
      <name val="Inconsolata"/>
      <family val="3"/>
    </font>
    <font>
      <sz val="14"/>
      <color theme="1"/>
      <name val="Inconsolata"/>
      <family val="3"/>
    </font>
  </fonts>
  <fills count="10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12BAEE"/>
        <bgColor indexed="64"/>
      </patternFill>
    </fill>
    <fill>
      <patternFill patternType="solid">
        <fgColor rgb="FF00FFFF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0" xfId="0" quotePrefix="1" applyAlignment="1"/>
    <xf numFmtId="43" fontId="0" fillId="0" borderId="0" xfId="1" applyNumberFormat="1" applyFont="1"/>
    <xf numFmtId="43" fontId="0" fillId="7" borderId="0" xfId="1" applyNumberFormat="1" applyFont="1" applyFill="1"/>
    <xf numFmtId="43" fontId="0" fillId="0" borderId="0" xfId="1" applyNumberFormat="1" applyFont="1" applyFill="1"/>
    <xf numFmtId="43" fontId="11" fillId="7" borderId="0" xfId="1" quotePrefix="1" applyNumberFormat="1" applyFont="1" applyFill="1" applyAlignment="1">
      <alignment horizontal="center" vertical="center"/>
    </xf>
    <xf numFmtId="43" fontId="12" fillId="7" borderId="0" xfId="1" applyNumberFormat="1" applyFont="1" applyFill="1" applyAlignment="1">
      <alignment horizontal="center" vertical="center"/>
    </xf>
    <xf numFmtId="0" fontId="0" fillId="6" borderId="0" xfId="0" applyFill="1" applyAlignment="1"/>
    <xf numFmtId="0" fontId="5" fillId="4" borderId="6" xfId="0" applyFont="1" applyFill="1" applyBorder="1"/>
    <xf numFmtId="20" fontId="0" fillId="0" borderId="6" xfId="0" applyNumberFormat="1" applyBorder="1" applyAlignment="1">
      <alignment horizontal="center" vertical="center"/>
    </xf>
    <xf numFmtId="0" fontId="5" fillId="8" borderId="6" xfId="0" applyFont="1" applyFill="1" applyBorder="1"/>
    <xf numFmtId="0" fontId="5" fillId="9" borderId="6" xfId="0" applyFont="1" applyFill="1" applyBorder="1"/>
    <xf numFmtId="0" fontId="0" fillId="0" borderId="6" xfId="0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FFFF"/>
      <color rgb="FF12BAEE"/>
      <color rgb="FF0E8BB2"/>
      <color rgb="FF275A85"/>
      <color rgb="FF165D8E"/>
      <color rgb="FFFF2525"/>
      <color rgb="FF1A758A"/>
      <color rgb="FF124C74"/>
      <color rgb="FF0C507A"/>
      <color rgb="FF3DA2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8</xdr:row>
          <xdr:rowOff>47625</xdr:rowOff>
        </xdr:from>
        <xdr:to>
          <xdr:col>9</xdr:col>
          <xdr:colOff>409575</xdr:colOff>
          <xdr:row>10</xdr:row>
          <xdr:rowOff>114300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93089</xdr:rowOff>
    </xdr:from>
    <xdr:to>
      <xdr:col>7</xdr:col>
      <xdr:colOff>369794</xdr:colOff>
      <xdr:row>2</xdr:row>
      <xdr:rowOff>100852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327011" y="93089"/>
          <a:ext cx="1418930" cy="388763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6199C66-4D7F-47DB-837B-7265B1E91D7A}">
  <we:reference id="wa104178772" version="1.0.0.0" store="en-US" storeType="OMEX"/>
  <we:alternateReferences>
    <we:reference id="WA104178772" version="1.0.0.0" store="WA1041787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3A812"/>
  </sheetPr>
  <dimension ref="A1:J10"/>
  <sheetViews>
    <sheetView tabSelected="1" workbookViewId="0">
      <selection activeCell="L8" sqref="L8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/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ht="15" customHeight="1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7</xdr:col>
                <xdr:colOff>400050</xdr:colOff>
                <xdr:row>8</xdr:row>
                <xdr:rowOff>47625</xdr:rowOff>
              </from>
              <to>
                <xdr:col>9</xdr:col>
                <xdr:colOff>409575</xdr:colOff>
                <xdr:row>10</xdr:row>
                <xdr:rowOff>114300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FF00"/>
  </sheetPr>
  <dimension ref="B1:J20"/>
  <sheetViews>
    <sheetView workbookViewId="0">
      <selection activeCell="E10" sqref="E10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4" max="4" width="3.140625" customWidth="1"/>
    <col min="5" max="5" width="28" bestFit="1" customWidth="1"/>
    <col min="6" max="6" width="54.28515625" bestFit="1" customWidth="1"/>
    <col min="7" max="7" width="14.85546875" bestFit="1" customWidth="1"/>
    <col min="8" max="8" width="2.140625" customWidth="1"/>
    <col min="10" max="10" width="72.28515625" bestFit="1" customWidth="1"/>
  </cols>
  <sheetData>
    <row r="1" spans="2:10" x14ac:dyDescent="0.25">
      <c r="B1" t="s">
        <v>8</v>
      </c>
      <c r="C1" t="str">
        <f ca="1">DATEDIF(DATE(2023,5,29),TODAY(),"m") &amp; " bulan " &amp; DATEDIF(DATE(2023,5,29),TODAY(),"md") &amp; " hari"</f>
        <v>22 bulan 9 hari</v>
      </c>
    </row>
    <row r="2" spans="2:10" x14ac:dyDescent="0.25">
      <c r="B2" t="s">
        <v>4</v>
      </c>
      <c r="C2" s="7">
        <f ca="1">DATE(YEAR(TODAY()),5+1,0)</f>
        <v>45808</v>
      </c>
      <c r="E2" t="s">
        <v>74</v>
      </c>
      <c r="F2" s="13">
        <v>45075</v>
      </c>
      <c r="G2" t="s">
        <v>72</v>
      </c>
    </row>
    <row r="3" spans="2:10" ht="15.75" x14ac:dyDescent="0.25">
      <c r="E3" t="s">
        <v>75</v>
      </c>
      <c r="F3" s="13">
        <v>45439</v>
      </c>
      <c r="I3" t="s">
        <v>10</v>
      </c>
      <c r="J3" s="14" t="s">
        <v>11</v>
      </c>
    </row>
    <row r="4" spans="2:10" ht="15.75" x14ac:dyDescent="0.25">
      <c r="B4" t="s">
        <v>0</v>
      </c>
      <c r="C4" s="7">
        <f ca="1">NOW()</f>
        <v>45754.588329282407</v>
      </c>
      <c r="E4" t="s">
        <v>19</v>
      </c>
      <c r="F4">
        <v>12</v>
      </c>
      <c r="G4" t="s">
        <v>20</v>
      </c>
      <c r="J4" s="14" t="s">
        <v>12</v>
      </c>
    </row>
    <row r="5" spans="2:10" ht="15.75" x14ac:dyDescent="0.25">
      <c r="B5" t="s">
        <v>1</v>
      </c>
      <c r="C5" s="7">
        <f>F5</f>
        <v>45804</v>
      </c>
      <c r="E5" t="s">
        <v>21</v>
      </c>
      <c r="F5" s="13">
        <f>EDATE(F3, F4)</f>
        <v>45804</v>
      </c>
      <c r="J5" s="14" t="s">
        <v>13</v>
      </c>
    </row>
    <row r="6" spans="2:10" ht="15.75" x14ac:dyDescent="0.25">
      <c r="F6" t="str">
        <f>"Berakhir Pada Hari " &amp; TEXT(F5,"[$-id-ID]dddd")&amp; ", Tanggal "&amp; TEXT(F5,"[$-id-ID]dd") &amp; ", Bulan "&amp; TEXT(F5,"[$-id-ID]mmmm")&amp; ", Tahun "&amp; TEXT(F5,"[$-id-ID]yyyy")</f>
        <v>Berakhir Pada Hari Selasa, Tanggal 27, Bulan Mei, Tahun 2025</v>
      </c>
      <c r="J6" s="14" t="s">
        <v>14</v>
      </c>
    </row>
    <row r="7" spans="2:10" ht="15.75" x14ac:dyDescent="0.25">
      <c r="B7" t="s">
        <v>2</v>
      </c>
      <c r="C7">
        <f ca="1">ROUNDDOWN(C5-C4,0)</f>
        <v>49</v>
      </c>
      <c r="E7" t="s">
        <v>7</v>
      </c>
      <c r="F7" s="13" t="str">
        <f ca="1">DATEDIF(F2,TODAY(),"y") &amp; " Tahun " &amp; DATEDIF(F2,TODAY(),"m") &amp; " bulan " &amp; DATEDIF(F2,TODAY(),"md") &amp; " hari"</f>
        <v>1 Tahun 22 bulan 9 hari</v>
      </c>
      <c r="J7" s="14" t="s">
        <v>15</v>
      </c>
    </row>
    <row r="8" spans="2:10" ht="15.75" x14ac:dyDescent="0.25">
      <c r="B8" t="s">
        <v>3</v>
      </c>
      <c r="C8" s="8">
        <f ca="1">C5-C4</f>
        <v>49.411670717592642</v>
      </c>
      <c r="E8" t="s">
        <v>9</v>
      </c>
      <c r="F8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1 bulan 20 hari</v>
      </c>
      <c r="G8" s="13" t="str">
        <f ca="1">IF(DATEDIF(TODAY(), DATE(2025,5,27), "y") &gt; 0, DATEDIF(TODAY(), DATE(2025,5,27), "y") &amp; " tahun " &amp; DATEDIF(TODAY(), DATE(2025,5,27), "ym") &amp; " bulan " &amp; DATEDIF(TODAY(), DATE(2025,5,27), "md") &amp; " hari", IF(DATEDIF(TODAY(), DATE(2025,5,27), "m") &gt;= 1, DATEDIF(TODAY(), DATE(2025,5,27), "ym") &amp; " bulan " &amp; DATEDIF(TODAY(), DATE(2025,5,27), "md") &amp; " hari", DATEDIF(TODAY(), DATE(2025,5,27), "md") &amp; " hari"))</f>
        <v>1 bulan 20 hari</v>
      </c>
      <c r="J8" s="14" t="s">
        <v>16</v>
      </c>
    </row>
    <row r="9" spans="2:10" ht="15.75" thickBot="1" x14ac:dyDescent="0.3">
      <c r="F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1 bulan 20 hari</v>
      </c>
    </row>
    <row r="10" spans="2:10" x14ac:dyDescent="0.25">
      <c r="B10" s="9" t="s">
        <v>5</v>
      </c>
      <c r="C10" s="10" t="s">
        <v>6</v>
      </c>
      <c r="F10" s="13"/>
      <c r="G10" s="42" t="str">
        <f ca="1">_xlfn.LET(
    _xlpm.targetDate, F5,
    _xlpm.todayDate, TODAY(),
    _xlpm.years, DATEDIF(_xlpm.todayDate, _xlpm.targetDate, "y"),
    _xlpm.months, DATEDIF(_xlpm.todayDate, _xlpm.targetDate, "ym"),
    _xlpm.days, DATEDIF(_xlpm.todayDate, _xlpm.targetDate, "md"),
    _xlpm.totalMonths, DATEDIF(_xlpm.todayDate, _xlpm.targetDate, "m"),
    IF(
        _xlpm.years &gt; 0,
        _xlpm.years &amp; " tahun " &amp; _xlpm.months &amp; " bulan " &amp; _xlpm.days &amp; " hari",
        IF(
            _xlpm.totalMonths &gt;= 1,
            _xlpm.months &amp; " bulan " &amp; _xlpm.days &amp; " hari",
            _xlpm.days &amp; " hari"
        )
    )
)</f>
        <v>1 bulan 20 hari</v>
      </c>
      <c r="J10" s="36"/>
    </row>
    <row r="11" spans="2:10" ht="15.75" thickBot="1" x14ac:dyDescent="0.3">
      <c r="B11" s="11" t="str">
        <f ca="1">C7&amp;" Hari"</f>
        <v>49 Hari</v>
      </c>
      <c r="C11" s="12">
        <f ca="1">C8</f>
        <v>49.411670717592642</v>
      </c>
      <c r="E11" s="13"/>
    </row>
    <row r="12" spans="2:10" x14ac:dyDescent="0.25">
      <c r="F12" t="str">
        <f ca="1">IF(DATEDIF(TODAY(), DATE(2025,5,31), "y") &gt; 0, DATEDIF(TODAY(), DATE(2025,5,31), "y") &amp; " tahun " &amp; DATEDIF(TODAY(), DATE(2025,5,31), "ym") &amp; " bulan " &amp; DATEDIF(TODAY(), DATE(2025,5,31), "md") &amp; " hari", IF(DATEDIF(TODAY(), DATE(2025,5,31), "m") &gt; 1, DATEDIF(TODAY(), DATE(2025,5,31), "ym") &amp; " bulan " &amp; DATEDIF(TODAY(), DATE(2025,5,31), "md") &amp; " hari", DATEDIF(TODAY(), DATE(2025,5,31), "md") &amp; " hari"))</f>
        <v>24 hari</v>
      </c>
    </row>
    <row r="13" spans="2:10" x14ac:dyDescent="0.25">
      <c r="G13" t="s">
        <v>17</v>
      </c>
    </row>
    <row r="14" spans="2:10" x14ac:dyDescent="0.25">
      <c r="G14" t="s">
        <v>18</v>
      </c>
    </row>
    <row r="15" spans="2:10" x14ac:dyDescent="0.25">
      <c r="F15" t="s">
        <v>73</v>
      </c>
    </row>
    <row r="16" spans="2:10" x14ac:dyDescent="0.25">
      <c r="F16" s="33">
        <f ca="1">DATEDIF(TODAY(),F5, "d")</f>
        <v>50</v>
      </c>
    </row>
    <row r="17" spans="2:6" x14ac:dyDescent="0.25">
      <c r="F17" s="32"/>
    </row>
    <row r="18" spans="2:6" x14ac:dyDescent="0.25">
      <c r="F18" s="32"/>
    </row>
    <row r="19" spans="2:6" x14ac:dyDescent="0.25">
      <c r="F1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1 bulan 20 hari</v>
      </c>
    </row>
    <row r="20" spans="2:6" x14ac:dyDescent="0.25">
      <c r="B20" t="s">
        <v>79</v>
      </c>
      <c r="F20" t="str">
        <f ca="1">IF(
    DATEDIF(TODAY(), F5, "y") &gt; 0,
    DATEDIF(TODAY(), F5, "y") &amp; " tahun " &amp;
    DATEDIF(TODAY(), F5, "ym") &amp; " bulan " &amp;
    DATEDIF(TODAY(), F5, "md") &amp; " hari",
    IF(
        DATEDIF(TODAY(), F5, "m") &gt;= 1,
        DATEDIF(TODAY(), F5, "ym") &amp; " bulan " &amp;
        DATEDIF(TODAY(), F5, "md") &amp; " hari",
        DATEDIF(TODAY(), F5, "md") &amp; " hari"
    )
)</f>
        <v>1 bulan 20 hari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2BAEE"/>
  </sheetPr>
  <dimension ref="A1:X23"/>
  <sheetViews>
    <sheetView zoomScale="85" zoomScaleNormal="85" workbookViewId="0">
      <selection sqref="A1:I1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15" width="9.140625" style="1"/>
    <col min="16" max="16" width="7.140625" style="1" bestFit="1" customWidth="1"/>
    <col min="17" max="17" width="7.85546875" style="1" bestFit="1" customWidth="1"/>
    <col min="18" max="18" width="8.42578125" style="1" bestFit="1" customWidth="1"/>
    <col min="19" max="19" width="7.140625" style="1" bestFit="1" customWidth="1"/>
    <col min="20" max="20" width="24.140625" style="1" bestFit="1" customWidth="1"/>
    <col min="21" max="21" width="9.85546875" style="1" bestFit="1" customWidth="1"/>
    <col min="22" max="22" width="8" style="1" bestFit="1" customWidth="1"/>
    <col min="23" max="23" width="12" style="1" bestFit="1" customWidth="1"/>
    <col min="24" max="24" width="9.5703125" style="1" bestFit="1" customWidth="1"/>
    <col min="25" max="16384" width="9.140625" style="1"/>
  </cols>
  <sheetData>
    <row r="1" spans="1:24" ht="23.25" customHeight="1" x14ac:dyDescent="0.25">
      <c r="A1" s="48" t="s">
        <v>22</v>
      </c>
      <c r="B1" s="48"/>
      <c r="C1" s="48"/>
      <c r="D1" s="48"/>
      <c r="E1" s="48"/>
      <c r="F1" s="48"/>
      <c r="G1" s="48"/>
      <c r="H1" s="48"/>
      <c r="I1" s="48"/>
      <c r="P1" s="49" t="s">
        <v>22</v>
      </c>
      <c r="Q1" s="49"/>
      <c r="R1" s="49"/>
      <c r="S1" s="49"/>
      <c r="T1" s="49"/>
      <c r="U1" s="49"/>
      <c r="V1" s="49"/>
      <c r="W1" s="49"/>
      <c r="X1" s="49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23</v>
      </c>
      <c r="B3" s="23" t="s">
        <v>24</v>
      </c>
      <c r="C3" s="23" t="s">
        <v>25</v>
      </c>
      <c r="D3" s="23" t="s">
        <v>26</v>
      </c>
      <c r="E3" s="22" t="s">
        <v>27</v>
      </c>
      <c r="F3" s="23" t="s">
        <v>28</v>
      </c>
      <c r="G3" s="23" t="s">
        <v>29</v>
      </c>
      <c r="H3" s="23" t="s">
        <v>30</v>
      </c>
      <c r="I3" s="23" t="s">
        <v>31</v>
      </c>
      <c r="P3" s="15" t="s">
        <v>23</v>
      </c>
      <c r="Q3" s="15" t="s">
        <v>24</v>
      </c>
      <c r="R3" s="15" t="s">
        <v>25</v>
      </c>
      <c r="S3" s="15" t="s">
        <v>26</v>
      </c>
      <c r="T3" s="15" t="s">
        <v>27</v>
      </c>
      <c r="U3" s="15" t="s">
        <v>28</v>
      </c>
      <c r="V3" s="15" t="s">
        <v>29</v>
      </c>
      <c r="W3" s="15" t="s">
        <v>30</v>
      </c>
      <c r="X3" s="16" t="s">
        <v>31</v>
      </c>
    </row>
    <row r="4" spans="1:24" x14ac:dyDescent="0.25">
      <c r="A4" s="24">
        <v>181997</v>
      </c>
      <c r="B4" s="24" t="s">
        <v>32</v>
      </c>
      <c r="C4" s="24" t="s">
        <v>33</v>
      </c>
      <c r="D4" s="24">
        <v>290059</v>
      </c>
      <c r="E4" s="24" t="s">
        <v>34</v>
      </c>
      <c r="F4" s="26">
        <v>45364</v>
      </c>
      <c r="G4" s="24"/>
      <c r="H4" s="24">
        <v>21</v>
      </c>
      <c r="I4" s="27"/>
      <c r="P4" s="17">
        <v>181997</v>
      </c>
      <c r="Q4" s="17" t="s">
        <v>32</v>
      </c>
      <c r="R4" s="17" t="s">
        <v>33</v>
      </c>
      <c r="S4" s="17">
        <v>290059</v>
      </c>
      <c r="T4" s="17" t="s">
        <v>34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32</v>
      </c>
      <c r="C5" s="25" t="s">
        <v>33</v>
      </c>
      <c r="D5" s="25">
        <v>290061</v>
      </c>
      <c r="E5" s="25" t="s">
        <v>34</v>
      </c>
      <c r="F5" s="28">
        <v>45364</v>
      </c>
      <c r="G5" s="25"/>
      <c r="H5" s="25">
        <v>21</v>
      </c>
      <c r="I5" s="29"/>
      <c r="P5" s="17">
        <v>181997</v>
      </c>
      <c r="Q5" s="17" t="s">
        <v>32</v>
      </c>
      <c r="R5" s="17" t="s">
        <v>33</v>
      </c>
      <c r="S5" s="17">
        <v>290061</v>
      </c>
      <c r="T5" s="17" t="s">
        <v>34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32</v>
      </c>
      <c r="C6" s="24" t="s">
        <v>33</v>
      </c>
      <c r="D6" s="24">
        <v>290060</v>
      </c>
      <c r="E6" s="24" t="s">
        <v>34</v>
      </c>
      <c r="F6" s="26">
        <v>45364</v>
      </c>
      <c r="G6" s="24"/>
      <c r="H6" s="24">
        <v>21</v>
      </c>
      <c r="I6" s="27"/>
      <c r="P6" s="17">
        <v>181997</v>
      </c>
      <c r="Q6" s="17" t="s">
        <v>32</v>
      </c>
      <c r="R6" s="17" t="s">
        <v>33</v>
      </c>
      <c r="S6" s="17">
        <v>290060</v>
      </c>
      <c r="T6" s="17" t="s">
        <v>34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32</v>
      </c>
      <c r="C7" s="25" t="s">
        <v>35</v>
      </c>
      <c r="D7" s="25">
        <v>290059</v>
      </c>
      <c r="E7" s="25" t="s">
        <v>36</v>
      </c>
      <c r="F7" s="28">
        <v>45365</v>
      </c>
      <c r="G7" s="25"/>
      <c r="H7" s="25">
        <v>22</v>
      </c>
      <c r="I7" s="29"/>
      <c r="P7" s="17">
        <v>182000</v>
      </c>
      <c r="Q7" s="17" t="s">
        <v>32</v>
      </c>
      <c r="R7" s="17" t="s">
        <v>35</v>
      </c>
      <c r="S7" s="17">
        <v>290059</v>
      </c>
      <c r="T7" s="17" t="s">
        <v>36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32</v>
      </c>
      <c r="C8" s="24" t="s">
        <v>35</v>
      </c>
      <c r="D8" s="24">
        <v>290062</v>
      </c>
      <c r="E8" s="24" t="s">
        <v>36</v>
      </c>
      <c r="F8" s="26">
        <v>45365</v>
      </c>
      <c r="G8" s="24"/>
      <c r="H8" s="24">
        <v>22</v>
      </c>
      <c r="I8" s="27"/>
      <c r="P8" s="17">
        <v>182003</v>
      </c>
      <c r="Q8" s="17" t="s">
        <v>32</v>
      </c>
      <c r="R8" s="17" t="s">
        <v>35</v>
      </c>
      <c r="S8" s="17">
        <v>290062</v>
      </c>
      <c r="T8" s="17" t="s">
        <v>36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32</v>
      </c>
      <c r="C9" s="25" t="s">
        <v>35</v>
      </c>
      <c r="D9" s="25">
        <v>290063</v>
      </c>
      <c r="E9" s="25" t="s">
        <v>36</v>
      </c>
      <c r="F9" s="28">
        <v>45365</v>
      </c>
      <c r="G9" s="25"/>
      <c r="H9" s="25">
        <v>22</v>
      </c>
      <c r="I9" s="29"/>
      <c r="P9" s="17">
        <v>182003</v>
      </c>
      <c r="Q9" s="17" t="s">
        <v>32</v>
      </c>
      <c r="R9" s="17" t="s">
        <v>35</v>
      </c>
      <c r="S9" s="17">
        <v>290063</v>
      </c>
      <c r="T9" s="17" t="s">
        <v>36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32</v>
      </c>
      <c r="C10" s="24" t="s">
        <v>35</v>
      </c>
      <c r="D10" s="24">
        <v>290061</v>
      </c>
      <c r="E10" s="24" t="s">
        <v>36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32</v>
      </c>
      <c r="R10" s="17" t="s">
        <v>35</v>
      </c>
      <c r="S10" s="17">
        <v>290061</v>
      </c>
      <c r="T10" s="17" t="s">
        <v>36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37</v>
      </c>
    </row>
  </sheetData>
  <autoFilter ref="A3:I3" xr:uid="{00000000-0009-0000-0000-000002000000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C00000"/>
  </sheetPr>
  <dimension ref="A1:D28"/>
  <sheetViews>
    <sheetView showGridLines="0" zoomScale="85" zoomScaleNormal="85" workbookViewId="0">
      <selection activeCell="J10" sqref="J10"/>
    </sheetView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6.140625" style="31" bestFit="1" customWidth="1"/>
    <col min="19" max="19" width="19.28515625" style="31" bestFit="1" customWidth="1"/>
    <col min="20" max="20" width="15" style="31" bestFit="1" customWidth="1"/>
    <col min="21" max="21" width="32.5703125" style="31" bestFit="1" customWidth="1"/>
    <col min="22" max="22" width="30.42578125" style="31" bestFit="1" customWidth="1"/>
    <col min="23" max="23" width="23.140625" style="31" bestFit="1" customWidth="1"/>
    <col min="24" max="24" width="19.5703125" style="31" bestFit="1" customWidth="1"/>
    <col min="25" max="25" width="18" style="31" bestFit="1" customWidth="1"/>
    <col min="26" max="26" width="19.28515625" style="31" bestFit="1" customWidth="1"/>
    <col min="27" max="27" width="15.7109375" style="31" bestFit="1" customWidth="1"/>
    <col min="28" max="28" width="19" style="31" bestFit="1" customWidth="1"/>
    <col min="29" max="30" width="31.28515625" style="31" bestFit="1" customWidth="1"/>
    <col min="31" max="31" width="24.5703125" style="31" bestFit="1" customWidth="1"/>
    <col min="32" max="32" width="22.140625" style="31" bestFit="1" customWidth="1"/>
    <col min="33" max="33" width="22.28515625" style="31" bestFit="1" customWidth="1"/>
    <col min="34" max="34" width="23.140625" style="31" bestFit="1" customWidth="1"/>
    <col min="35" max="35" width="32.28515625" style="31" bestFit="1" customWidth="1"/>
    <col min="36" max="36" width="30.28515625" style="31" bestFit="1" customWidth="1"/>
    <col min="37" max="37" width="14.7109375" style="31" bestFit="1" customWidth="1"/>
    <col min="38" max="38" width="32.140625" style="31" bestFit="1" customWidth="1"/>
    <col min="39" max="39" width="29.28515625" style="31" bestFit="1" customWidth="1"/>
    <col min="40" max="40" width="23.140625" style="31" bestFit="1" customWidth="1"/>
    <col min="41" max="41" width="19.5703125" style="31" bestFit="1" customWidth="1"/>
    <col min="42" max="42" width="18" style="31" bestFit="1" customWidth="1"/>
    <col min="43" max="43" width="19.28515625" style="31" bestFit="1" customWidth="1"/>
    <col min="44" max="44" width="15.5703125" style="31" bestFit="1" customWidth="1"/>
    <col min="45" max="16384" width="9.140625" style="31"/>
  </cols>
  <sheetData>
    <row r="1" spans="1:4" x14ac:dyDescent="0.25">
      <c r="A1" s="34" t="s">
        <v>83</v>
      </c>
      <c r="B1" s="34" t="s">
        <v>56</v>
      </c>
      <c r="C1" s="34" t="s">
        <v>20</v>
      </c>
      <c r="D1" s="34" t="s">
        <v>38</v>
      </c>
    </row>
    <row r="2" spans="1:4" x14ac:dyDescent="0.25">
      <c r="A2" s="35">
        <v>45658</v>
      </c>
      <c r="B2" s="34" t="s">
        <v>57</v>
      </c>
      <c r="C2" s="34" t="s">
        <v>71</v>
      </c>
      <c r="D2" s="34" t="s">
        <v>54</v>
      </c>
    </row>
    <row r="3" spans="1:4" x14ac:dyDescent="0.25">
      <c r="A3" s="35">
        <v>45684</v>
      </c>
      <c r="B3" s="34" t="s">
        <v>64</v>
      </c>
      <c r="C3" s="34" t="s">
        <v>71</v>
      </c>
      <c r="D3" s="34" t="s">
        <v>52</v>
      </c>
    </row>
    <row r="4" spans="1:4" x14ac:dyDescent="0.25">
      <c r="A4" s="35">
        <v>45684</v>
      </c>
      <c r="B4" s="34" t="s">
        <v>64</v>
      </c>
      <c r="C4" s="34" t="s">
        <v>71</v>
      </c>
      <c r="D4" s="34" t="s">
        <v>53</v>
      </c>
    </row>
    <row r="5" spans="1:4" x14ac:dyDescent="0.25">
      <c r="A5" s="35">
        <v>45686</v>
      </c>
      <c r="B5" s="34" t="s">
        <v>57</v>
      </c>
      <c r="C5" s="34" t="s">
        <v>71</v>
      </c>
      <c r="D5" s="34" t="s">
        <v>89</v>
      </c>
    </row>
    <row r="6" spans="1:4" x14ac:dyDescent="0.25">
      <c r="A6" s="35">
        <v>45696</v>
      </c>
      <c r="B6" s="34" t="s">
        <v>58</v>
      </c>
      <c r="C6" s="34" t="s">
        <v>70</v>
      </c>
      <c r="D6" s="34" t="s">
        <v>46</v>
      </c>
    </row>
    <row r="7" spans="1:4" x14ac:dyDescent="0.25">
      <c r="A7" s="35">
        <v>45745</v>
      </c>
      <c r="B7" s="34" t="s">
        <v>58</v>
      </c>
      <c r="C7" s="34" t="s">
        <v>69</v>
      </c>
      <c r="D7" s="34" t="s">
        <v>51</v>
      </c>
    </row>
    <row r="8" spans="1:4" x14ac:dyDescent="0.25">
      <c r="A8" s="35">
        <v>45747</v>
      </c>
      <c r="B8" s="34" t="s">
        <v>64</v>
      </c>
      <c r="C8" s="34" t="s">
        <v>69</v>
      </c>
      <c r="D8" s="34" t="s">
        <v>88</v>
      </c>
    </row>
    <row r="9" spans="1:4" x14ac:dyDescent="0.25">
      <c r="A9" s="35">
        <v>45748</v>
      </c>
      <c r="B9" s="34" t="s">
        <v>61</v>
      </c>
      <c r="C9" s="34" t="s">
        <v>67</v>
      </c>
      <c r="D9" s="34" t="s">
        <v>88</v>
      </c>
    </row>
    <row r="10" spans="1:4" x14ac:dyDescent="0.25">
      <c r="A10" s="35">
        <v>45765</v>
      </c>
      <c r="B10" s="34" t="s">
        <v>68</v>
      </c>
      <c r="C10" s="34" t="s">
        <v>67</v>
      </c>
      <c r="D10" s="34" t="s">
        <v>50</v>
      </c>
    </row>
    <row r="11" spans="1:4" x14ac:dyDescent="0.25">
      <c r="A11" s="35">
        <v>45769</v>
      </c>
      <c r="B11" s="34" t="s">
        <v>61</v>
      </c>
      <c r="C11" s="34" t="s">
        <v>67</v>
      </c>
      <c r="D11" s="34" t="s">
        <v>43</v>
      </c>
    </row>
    <row r="12" spans="1:4" x14ac:dyDescent="0.25">
      <c r="A12" s="35">
        <v>45770</v>
      </c>
      <c r="B12" s="34" t="s">
        <v>57</v>
      </c>
      <c r="C12" s="34" t="s">
        <v>67</v>
      </c>
      <c r="D12" s="34" t="s">
        <v>42</v>
      </c>
    </row>
    <row r="13" spans="1:4" x14ac:dyDescent="0.25">
      <c r="A13" s="35">
        <v>45771</v>
      </c>
      <c r="B13" s="34" t="s">
        <v>59</v>
      </c>
      <c r="C13" s="34" t="s">
        <v>67</v>
      </c>
      <c r="D13" s="34" t="s">
        <v>41</v>
      </c>
    </row>
    <row r="14" spans="1:4" x14ac:dyDescent="0.25">
      <c r="A14" s="35">
        <v>45778</v>
      </c>
      <c r="B14" s="34" t="s">
        <v>59</v>
      </c>
      <c r="C14" s="34" t="s">
        <v>66</v>
      </c>
      <c r="D14" s="34" t="s">
        <v>49</v>
      </c>
    </row>
    <row r="15" spans="1:4" x14ac:dyDescent="0.25">
      <c r="A15" s="35">
        <v>45780</v>
      </c>
      <c r="B15" s="34" t="s">
        <v>58</v>
      </c>
      <c r="C15" s="34" t="s">
        <v>66</v>
      </c>
      <c r="D15" s="34" t="s">
        <v>40</v>
      </c>
    </row>
    <row r="16" spans="1:4" x14ac:dyDescent="0.25">
      <c r="A16" s="35">
        <v>45789</v>
      </c>
      <c r="B16" s="34" t="s">
        <v>64</v>
      </c>
      <c r="C16" s="34" t="s">
        <v>66</v>
      </c>
      <c r="D16" s="34" t="s">
        <v>87</v>
      </c>
    </row>
    <row r="17" spans="1:4" x14ac:dyDescent="0.25">
      <c r="A17" s="35">
        <v>45806</v>
      </c>
      <c r="B17" s="34" t="s">
        <v>59</v>
      </c>
      <c r="C17" s="34" t="s">
        <v>66</v>
      </c>
      <c r="D17" s="34" t="s">
        <v>48</v>
      </c>
    </row>
    <row r="18" spans="1:4" x14ac:dyDescent="0.25">
      <c r="A18" s="35">
        <v>45809</v>
      </c>
      <c r="B18" s="34" t="s">
        <v>62</v>
      </c>
      <c r="C18" s="34" t="s">
        <v>65</v>
      </c>
      <c r="D18" s="34" t="s">
        <v>47</v>
      </c>
    </row>
    <row r="19" spans="1:4" x14ac:dyDescent="0.25">
      <c r="A19" s="35">
        <v>45815</v>
      </c>
      <c r="B19" s="34" t="s">
        <v>58</v>
      </c>
      <c r="C19" s="34" t="s">
        <v>65</v>
      </c>
      <c r="D19" s="34" t="s">
        <v>86</v>
      </c>
    </row>
    <row r="20" spans="1:4" x14ac:dyDescent="0.25">
      <c r="A20" s="35">
        <v>45835</v>
      </c>
      <c r="B20" s="34" t="s">
        <v>68</v>
      </c>
      <c r="C20" s="34" t="s">
        <v>65</v>
      </c>
      <c r="D20" s="34" t="s">
        <v>85</v>
      </c>
    </row>
    <row r="21" spans="1:4" x14ac:dyDescent="0.25">
      <c r="A21" s="35">
        <v>45886</v>
      </c>
      <c r="B21" s="34" t="s">
        <v>62</v>
      </c>
      <c r="C21" s="34" t="s">
        <v>63</v>
      </c>
      <c r="D21" s="34" t="s">
        <v>45</v>
      </c>
    </row>
    <row r="22" spans="1:4" x14ac:dyDescent="0.25">
      <c r="A22" s="35">
        <v>45905</v>
      </c>
      <c r="B22" s="34" t="s">
        <v>68</v>
      </c>
      <c r="C22" s="34" t="s">
        <v>60</v>
      </c>
      <c r="D22" s="34" t="s">
        <v>44</v>
      </c>
    </row>
    <row r="23" spans="1:4" x14ac:dyDescent="0.25">
      <c r="A23" s="35">
        <v>45906</v>
      </c>
      <c r="B23" s="34" t="s">
        <v>58</v>
      </c>
      <c r="C23" s="34" t="s">
        <v>60</v>
      </c>
      <c r="D23" s="34" t="s">
        <v>46</v>
      </c>
    </row>
    <row r="24" spans="1:4" x14ac:dyDescent="0.25">
      <c r="A24" s="35">
        <v>45979</v>
      </c>
      <c r="B24" s="34" t="s">
        <v>61</v>
      </c>
      <c r="C24" s="34" t="s">
        <v>84</v>
      </c>
      <c r="D24" s="34" t="s">
        <v>43</v>
      </c>
    </row>
    <row r="25" spans="1:4" x14ac:dyDescent="0.25">
      <c r="A25" s="35">
        <v>45980</v>
      </c>
      <c r="B25" s="34" t="s">
        <v>57</v>
      </c>
      <c r="C25" s="34" t="s">
        <v>84</v>
      </c>
      <c r="D25" s="34" t="s">
        <v>42</v>
      </c>
    </row>
    <row r="26" spans="1:4" x14ac:dyDescent="0.25">
      <c r="A26" s="35">
        <v>45981</v>
      </c>
      <c r="B26" s="34" t="s">
        <v>59</v>
      </c>
      <c r="C26" s="34" t="s">
        <v>84</v>
      </c>
      <c r="D26" s="34" t="s">
        <v>41</v>
      </c>
    </row>
    <row r="27" spans="1:4" x14ac:dyDescent="0.25">
      <c r="A27" s="35">
        <v>45990</v>
      </c>
      <c r="B27" s="34" t="s">
        <v>58</v>
      </c>
      <c r="C27" s="34" t="s">
        <v>84</v>
      </c>
      <c r="D27" s="34" t="s">
        <v>40</v>
      </c>
    </row>
    <row r="28" spans="1:4" x14ac:dyDescent="0.25">
      <c r="A28" s="35">
        <v>46016</v>
      </c>
      <c r="B28" s="34" t="s">
        <v>59</v>
      </c>
      <c r="C28" s="34" t="s">
        <v>55</v>
      </c>
      <c r="D28" s="34" t="s">
        <v>39</v>
      </c>
    </row>
  </sheetData>
  <sortState xmlns:xlrd2="http://schemas.microsoft.com/office/spreadsheetml/2017/richdata2" ref="A2:D28">
    <sortCondition ref="A2:A28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FFFF"/>
  </sheetPr>
  <dimension ref="A1:P10"/>
  <sheetViews>
    <sheetView workbookViewId="0">
      <selection activeCell="K13" sqref="K13"/>
    </sheetView>
  </sheetViews>
  <sheetFormatPr defaultRowHeight="15" x14ac:dyDescent="0.25"/>
  <cols>
    <col min="1" max="1" width="2.7109375" style="37" customWidth="1"/>
    <col min="2" max="2" width="12.42578125" style="37" bestFit="1" customWidth="1"/>
    <col min="3" max="3" width="9.140625" style="37"/>
    <col min="4" max="4" width="13.28515625" style="37" bestFit="1" customWidth="1"/>
    <col min="5" max="6" width="9.28515625" style="37" bestFit="1" customWidth="1"/>
    <col min="7" max="7" width="4.140625" style="37" customWidth="1"/>
    <col min="8" max="8" width="3.7109375" style="39" customWidth="1"/>
    <col min="9" max="9" width="10.5703125" style="37" bestFit="1" customWidth="1"/>
    <col min="10" max="10" width="9.140625" style="37"/>
    <col min="11" max="11" width="10.5703125" style="37" bestFit="1" customWidth="1"/>
    <col min="12" max="16384" width="9.140625" style="37"/>
  </cols>
  <sheetData>
    <row r="1" spans="1:16" x14ac:dyDescent="0.25">
      <c r="H1" s="38"/>
    </row>
    <row r="2" spans="1:16" x14ac:dyDescent="0.25">
      <c r="H2" s="38"/>
    </row>
    <row r="3" spans="1:16" ht="18" x14ac:dyDescent="0.25">
      <c r="B3" s="37" t="s">
        <v>76</v>
      </c>
      <c r="D3" s="37">
        <v>3500000</v>
      </c>
      <c r="E3" s="37">
        <v>173</v>
      </c>
      <c r="F3" s="37">
        <v>1.5</v>
      </c>
      <c r="H3" s="40" t="s">
        <v>78</v>
      </c>
      <c r="I3" s="37">
        <f>D3/E3*F3</f>
        <v>30346.820809248555</v>
      </c>
    </row>
    <row r="4" spans="1:16" s="39" customFormat="1" ht="9" customHeight="1" x14ac:dyDescent="0.25">
      <c r="A4" s="38"/>
      <c r="B4" s="38"/>
      <c r="C4" s="38"/>
      <c r="D4" s="38"/>
      <c r="E4" s="38"/>
      <c r="F4" s="38"/>
      <c r="G4" s="38"/>
      <c r="H4" s="41"/>
      <c r="I4" s="38"/>
      <c r="J4" s="38"/>
      <c r="K4" s="38"/>
      <c r="L4" s="38"/>
      <c r="M4" s="38"/>
      <c r="N4" s="38"/>
      <c r="O4" s="38"/>
      <c r="P4" s="38"/>
    </row>
    <row r="5" spans="1:16" ht="18" x14ac:dyDescent="0.25">
      <c r="B5" s="37" t="s">
        <v>77</v>
      </c>
      <c r="D5" s="37">
        <v>3500000</v>
      </c>
      <c r="E5" s="37">
        <v>173</v>
      </c>
      <c r="F5" s="37">
        <v>2</v>
      </c>
      <c r="H5" s="40" t="s">
        <v>78</v>
      </c>
      <c r="I5" s="37">
        <f>D5/E5*F5</f>
        <v>40462.42774566474</v>
      </c>
      <c r="K5" s="37">
        <f>I5/2</f>
        <v>20231.21387283237</v>
      </c>
    </row>
    <row r="6" spans="1:16" x14ac:dyDescent="0.25">
      <c r="H6" s="38"/>
    </row>
    <row r="7" spans="1:16" x14ac:dyDescent="0.25">
      <c r="H7" s="38"/>
    </row>
    <row r="8" spans="1:16" x14ac:dyDescent="0.25">
      <c r="H8" s="38"/>
    </row>
    <row r="9" spans="1:16" x14ac:dyDescent="0.25">
      <c r="H9" s="38"/>
    </row>
    <row r="10" spans="1:16" x14ac:dyDescent="0.25">
      <c r="H10" s="3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00B0F0"/>
  </sheetPr>
  <dimension ref="B2:F7"/>
  <sheetViews>
    <sheetView workbookViewId="0">
      <selection activeCell="D8" sqref="D8"/>
    </sheetView>
  </sheetViews>
  <sheetFormatPr defaultRowHeight="15" x14ac:dyDescent="0.25"/>
  <cols>
    <col min="2" max="2" width="12" bestFit="1" customWidth="1"/>
    <col min="3" max="3" width="2.85546875" customWidth="1"/>
    <col min="4" max="4" width="12.140625" bestFit="1" customWidth="1"/>
    <col min="5" max="5" width="2.85546875" customWidth="1"/>
    <col min="6" max="6" width="16.7109375" bestFit="1" customWidth="1"/>
  </cols>
  <sheetData>
    <row r="2" spans="2:6" x14ac:dyDescent="0.25">
      <c r="B2" s="43" t="s">
        <v>80</v>
      </c>
      <c r="D2" s="45" t="s">
        <v>81</v>
      </c>
      <c r="F2" s="46" t="s">
        <v>82</v>
      </c>
    </row>
    <row r="3" spans="2:6" x14ac:dyDescent="0.25">
      <c r="B3" s="44">
        <v>0.38611111111111113</v>
      </c>
      <c r="C3" s="31"/>
      <c r="D3" s="44">
        <v>0.72291666666666676</v>
      </c>
      <c r="E3" s="31"/>
      <c r="F3" s="47" t="str">
        <f>TEXT(D3-B3,"H:MM")</f>
        <v>8:05</v>
      </c>
    </row>
    <row r="6" spans="2:6" x14ac:dyDescent="0.25">
      <c r="B6" s="43" t="s">
        <v>80</v>
      </c>
      <c r="D6" s="45" t="s">
        <v>81</v>
      </c>
      <c r="F6" s="46" t="s">
        <v>82</v>
      </c>
    </row>
    <row r="7" spans="2:6" x14ac:dyDescent="0.25">
      <c r="B7" s="44">
        <v>0.3743055555555555</v>
      </c>
      <c r="C7" s="31"/>
      <c r="D7" s="44">
        <v>0.71736111111111101</v>
      </c>
      <c r="E7" s="31"/>
      <c r="F7" s="47" t="str">
        <f>TEXT(D7-B7,"H:MM")</f>
        <v>8:14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MASA AKTIF</vt:lpstr>
      <vt:lpstr>TIMER</vt:lpstr>
      <vt:lpstr>COLOR DESIGN</vt:lpstr>
      <vt:lpstr>TANGGAL MERAH</vt:lpstr>
      <vt:lpstr>PERHITUNGAN</vt:lpstr>
      <vt:lpstr>JAM LEMBUR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2025-04-07T07:17:36Z</dcterms:modified>
</cp:coreProperties>
</file>