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8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10.8.0.35\Bersama\IT\SEPTIAN\"/>
    </mc:Choice>
  </mc:AlternateContent>
  <xr:revisionPtr revIDLastSave="0" documentId="13_ncr:1_{B45EA769-64B9-4DBB-97AD-5BB827FFDE8C}" xr6:coauthVersionLast="47" xr6:coauthVersionMax="47" xr10:uidLastSave="{00000000-0000-0000-0000-000000000000}"/>
  <bookViews>
    <workbookView xWindow="-4530" yWindow="1560" windowWidth="10350" windowHeight="7650" tabRatio="851" xr2:uid="{00000000-000D-0000-FFFF-FFFF00000000}"/>
  </bookViews>
  <sheets>
    <sheet name="BANTUAN" sheetId="1" r:id="rId1"/>
    <sheet name="RPA" sheetId="1447" r:id="rId2"/>
    <sheet name="RekapUnWO_CM0_DOS" sheetId="1453" r:id="rId3"/>
    <sheet name="Resume per Buyer" sheetId="1460" r:id="rId4"/>
    <sheet name="Resume Per Line" sheetId="1466" r:id="rId5"/>
    <sheet name="Resume PL" sheetId="1467" r:id="rId6"/>
    <sheet name="Resume PL Daily" sheetId="1487" r:id="rId7"/>
    <sheet name="Periode 01 - 02 Apr" sheetId="1469" r:id="rId8"/>
    <sheet name="CBA" sheetId="1478" r:id="rId9"/>
    <sheet name="CHW" sheetId="1479" r:id="rId10"/>
    <sheet name="CJL" sheetId="1480" r:id="rId11"/>
    <sheet name="CNJ2" sheetId="1481" r:id="rId12"/>
    <sheet name="CVA" sheetId="1482" r:id="rId13"/>
    <sheet name="CVA2" sheetId="1483" r:id="rId14"/>
    <sheet name="KLB" sheetId="1484" r:id="rId15"/>
    <sheet name="MJ1" sheetId="1485" r:id="rId16"/>
    <sheet name="MJ2" sheetId="1486" r:id="rId17"/>
  </sheets>
  <functionGroups builtInGroupCount="19"/>
  <definedNames>
    <definedName name="_xlnm._FilterDatabase" localSheetId="5" hidden="1">'Resume PL'!#REF!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3" i="1483" l="1"/>
  <c r="C63" i="1483"/>
  <c r="E63" i="1483" s="1"/>
  <c r="E62" i="1483"/>
  <c r="E61" i="1483"/>
  <c r="E60" i="1483"/>
  <c r="E59" i="1483"/>
  <c r="D37" i="1483"/>
  <c r="C37" i="1483"/>
  <c r="E37" i="1483" s="1"/>
  <c r="E36" i="1483"/>
  <c r="E35" i="1483"/>
  <c r="E34" i="1483"/>
  <c r="E33" i="1483"/>
  <c r="D349" i="1486"/>
  <c r="C349" i="1486"/>
  <c r="E349" i="1486" s="1"/>
  <c r="E348" i="1486"/>
  <c r="E347" i="1486"/>
  <c r="E346" i="1486"/>
  <c r="E345" i="1486"/>
  <c r="D323" i="1486"/>
  <c r="C323" i="1486"/>
  <c r="E323" i="1486" s="1"/>
  <c r="E322" i="1486"/>
  <c r="E321" i="1486"/>
  <c r="E320" i="1486"/>
  <c r="E319" i="1486"/>
  <c r="D297" i="1486"/>
  <c r="C297" i="1486"/>
  <c r="E297" i="1486" s="1"/>
  <c r="E296" i="1486"/>
  <c r="E295" i="1486"/>
  <c r="E294" i="1486"/>
  <c r="E293" i="1486"/>
  <c r="D271" i="1486"/>
  <c r="C271" i="1486"/>
  <c r="E271" i="1486" s="1"/>
  <c r="E270" i="1486"/>
  <c r="E269" i="1486"/>
  <c r="E268" i="1486"/>
  <c r="E267" i="1486"/>
  <c r="D245" i="1486"/>
  <c r="C245" i="1486"/>
  <c r="E245" i="1486" s="1"/>
  <c r="E244" i="1486"/>
  <c r="E243" i="1486"/>
  <c r="E242" i="1486"/>
  <c r="E241" i="1486"/>
  <c r="D219" i="1486"/>
  <c r="C219" i="1486"/>
  <c r="E219" i="1486" s="1"/>
  <c r="E218" i="1486"/>
  <c r="E217" i="1486"/>
  <c r="E216" i="1486"/>
  <c r="E215" i="1486"/>
  <c r="D193" i="1486"/>
  <c r="C193" i="1486"/>
  <c r="E193" i="1486" s="1"/>
  <c r="E192" i="1486"/>
  <c r="E191" i="1486"/>
  <c r="E190" i="1486"/>
  <c r="E189" i="1486"/>
  <c r="D167" i="1486"/>
  <c r="C167" i="1486"/>
  <c r="E167" i="1486" s="1"/>
  <c r="E166" i="1486"/>
  <c r="E165" i="1486"/>
  <c r="E164" i="1486"/>
  <c r="E163" i="1486"/>
  <c r="D141" i="1486"/>
  <c r="C141" i="1486"/>
  <c r="E141" i="1486" s="1"/>
  <c r="E140" i="1486"/>
  <c r="E139" i="1486"/>
  <c r="E138" i="1486"/>
  <c r="E137" i="1486"/>
  <c r="D115" i="1486"/>
  <c r="C115" i="1486"/>
  <c r="E115" i="1486" s="1"/>
  <c r="E114" i="1486"/>
  <c r="E113" i="1486"/>
  <c r="E112" i="1486"/>
  <c r="E111" i="1486"/>
  <c r="D89" i="1486"/>
  <c r="C89" i="1486"/>
  <c r="E89" i="1486" s="1"/>
  <c r="E88" i="1486"/>
  <c r="E87" i="1486"/>
  <c r="E86" i="1486"/>
  <c r="E85" i="1486"/>
  <c r="D63" i="1486"/>
  <c r="C63" i="1486"/>
  <c r="E63" i="1486" s="1"/>
  <c r="E62" i="1486"/>
  <c r="E61" i="1486"/>
  <c r="E60" i="1486"/>
  <c r="E59" i="1486"/>
  <c r="D37" i="1486"/>
  <c r="C37" i="1486"/>
  <c r="E37" i="1486" s="1"/>
  <c r="E36" i="1486"/>
  <c r="E35" i="1486"/>
  <c r="E34" i="1486"/>
  <c r="E33" i="1486"/>
  <c r="D219" i="1485"/>
  <c r="C219" i="1485"/>
  <c r="E219" i="1485" s="1"/>
  <c r="E218" i="1485"/>
  <c r="E217" i="1485"/>
  <c r="E216" i="1485"/>
  <c r="E215" i="1485"/>
  <c r="D193" i="1485"/>
  <c r="C193" i="1485"/>
  <c r="E193" i="1485" s="1"/>
  <c r="E192" i="1485"/>
  <c r="E191" i="1485"/>
  <c r="E190" i="1485"/>
  <c r="E189" i="1485"/>
  <c r="D167" i="1485"/>
  <c r="C167" i="1485"/>
  <c r="E167" i="1485" s="1"/>
  <c r="E166" i="1485"/>
  <c r="E165" i="1485"/>
  <c r="E164" i="1485"/>
  <c r="E163" i="1485"/>
  <c r="D141" i="1485"/>
  <c r="C141" i="1485"/>
  <c r="E141" i="1485" s="1"/>
  <c r="E140" i="1485"/>
  <c r="E139" i="1485"/>
  <c r="E138" i="1485"/>
  <c r="E137" i="1485"/>
  <c r="D115" i="1485"/>
  <c r="C115" i="1485"/>
  <c r="E115" i="1485" s="1"/>
  <c r="E114" i="1485"/>
  <c r="E113" i="1485"/>
  <c r="E112" i="1485"/>
  <c r="E111" i="1485"/>
  <c r="D89" i="1485"/>
  <c r="C89" i="1485"/>
  <c r="E89" i="1485" s="1"/>
  <c r="E88" i="1485"/>
  <c r="E87" i="1485"/>
  <c r="E86" i="1485"/>
  <c r="E85" i="1485"/>
  <c r="D63" i="1485"/>
  <c r="C63" i="1485"/>
  <c r="E63" i="1485" s="1"/>
  <c r="E62" i="1485"/>
  <c r="E61" i="1485"/>
  <c r="E60" i="1485"/>
  <c r="E59" i="1485"/>
  <c r="D37" i="1485"/>
  <c r="C37" i="1485"/>
  <c r="E37" i="1485" s="1"/>
  <c r="E36" i="1485"/>
  <c r="E35" i="1485"/>
  <c r="E34" i="1485"/>
  <c r="E33" i="1485"/>
  <c r="D167" i="1484"/>
  <c r="C167" i="1484"/>
  <c r="E167" i="1484" s="1"/>
  <c r="E166" i="1484"/>
  <c r="E165" i="1484"/>
  <c r="E164" i="1484"/>
  <c r="E163" i="1484"/>
  <c r="D141" i="1484"/>
  <c r="C141" i="1484"/>
  <c r="E141" i="1484" s="1"/>
  <c r="E140" i="1484"/>
  <c r="E139" i="1484"/>
  <c r="E138" i="1484"/>
  <c r="E137" i="1484"/>
  <c r="E115" i="1484"/>
  <c r="D115" i="1484"/>
  <c r="C115" i="1484"/>
  <c r="E114" i="1484"/>
  <c r="E113" i="1484"/>
  <c r="E112" i="1484"/>
  <c r="E111" i="1484"/>
  <c r="D89" i="1484"/>
  <c r="C89" i="1484"/>
  <c r="E89" i="1484" s="1"/>
  <c r="E88" i="1484"/>
  <c r="E87" i="1484"/>
  <c r="E86" i="1484"/>
  <c r="E85" i="1484"/>
  <c r="D63" i="1484"/>
  <c r="C63" i="1484"/>
  <c r="E63" i="1484" s="1"/>
  <c r="E62" i="1484"/>
  <c r="E61" i="1484"/>
  <c r="E60" i="1484"/>
  <c r="E59" i="1484"/>
  <c r="D37" i="1484"/>
  <c r="C37" i="1484"/>
  <c r="E37" i="1484" s="1"/>
  <c r="E36" i="1484"/>
  <c r="E35" i="1484"/>
  <c r="E34" i="1484"/>
  <c r="E33" i="1484"/>
  <c r="D271" i="1482"/>
  <c r="C271" i="1482"/>
  <c r="E271" i="1482" s="1"/>
  <c r="E270" i="1482"/>
  <c r="E269" i="1482"/>
  <c r="E268" i="1482"/>
  <c r="E267" i="1482"/>
  <c r="D245" i="1482"/>
  <c r="C245" i="1482"/>
  <c r="E245" i="1482" s="1"/>
  <c r="E244" i="1482"/>
  <c r="E243" i="1482"/>
  <c r="E242" i="1482"/>
  <c r="E241" i="1482"/>
  <c r="D219" i="1482"/>
  <c r="C219" i="1482"/>
  <c r="E219" i="1482" s="1"/>
  <c r="E218" i="1482"/>
  <c r="E217" i="1482"/>
  <c r="E216" i="1482"/>
  <c r="E215" i="1482"/>
  <c r="D193" i="1482"/>
  <c r="C193" i="1482"/>
  <c r="E193" i="1482" s="1"/>
  <c r="E192" i="1482"/>
  <c r="E191" i="1482"/>
  <c r="E190" i="1482"/>
  <c r="E189" i="1482"/>
  <c r="D167" i="1482"/>
  <c r="C167" i="1482"/>
  <c r="E167" i="1482" s="1"/>
  <c r="E166" i="1482"/>
  <c r="E165" i="1482"/>
  <c r="E164" i="1482"/>
  <c r="E163" i="1482"/>
  <c r="D141" i="1482"/>
  <c r="C141" i="1482"/>
  <c r="E141" i="1482" s="1"/>
  <c r="E140" i="1482"/>
  <c r="E139" i="1482"/>
  <c r="E138" i="1482"/>
  <c r="E137" i="1482"/>
  <c r="D115" i="1482"/>
  <c r="C115" i="1482"/>
  <c r="E115" i="1482" s="1"/>
  <c r="E114" i="1482"/>
  <c r="E113" i="1482"/>
  <c r="E112" i="1482"/>
  <c r="E111" i="1482"/>
  <c r="D89" i="1482"/>
  <c r="C89" i="1482"/>
  <c r="E89" i="1482" s="1"/>
  <c r="E88" i="1482"/>
  <c r="E87" i="1482"/>
  <c r="E86" i="1482"/>
  <c r="E85" i="1482"/>
  <c r="D63" i="1482"/>
  <c r="C63" i="1482"/>
  <c r="E63" i="1482" s="1"/>
  <c r="E62" i="1482"/>
  <c r="E61" i="1482"/>
  <c r="E60" i="1482"/>
  <c r="E59" i="1482"/>
  <c r="D37" i="1482"/>
  <c r="C37" i="1482"/>
  <c r="E37" i="1482" s="1"/>
  <c r="E36" i="1482"/>
  <c r="E35" i="1482"/>
  <c r="E34" i="1482"/>
  <c r="E33" i="1482"/>
  <c r="D141" i="1481"/>
  <c r="C141" i="1481"/>
  <c r="E141" i="1481" s="1"/>
  <c r="E140" i="1481"/>
  <c r="E139" i="1481"/>
  <c r="E138" i="1481"/>
  <c r="E137" i="1481"/>
  <c r="D115" i="1481"/>
  <c r="C115" i="1481"/>
  <c r="E115" i="1481" s="1"/>
  <c r="E114" i="1481"/>
  <c r="E113" i="1481"/>
  <c r="E112" i="1481"/>
  <c r="E111" i="1481"/>
  <c r="D89" i="1481"/>
  <c r="C89" i="1481"/>
  <c r="E89" i="1481" s="1"/>
  <c r="E88" i="1481"/>
  <c r="E87" i="1481"/>
  <c r="E86" i="1481"/>
  <c r="E85" i="1481"/>
  <c r="D63" i="1481"/>
  <c r="C63" i="1481"/>
  <c r="E63" i="1481" s="1"/>
  <c r="E62" i="1481"/>
  <c r="E61" i="1481"/>
  <c r="E60" i="1481"/>
  <c r="E59" i="1481"/>
  <c r="D37" i="1481"/>
  <c r="C37" i="1481"/>
  <c r="E37" i="1481" s="1"/>
  <c r="E36" i="1481"/>
  <c r="E35" i="1481"/>
  <c r="E34" i="1481"/>
  <c r="E33" i="1481"/>
  <c r="D37" i="1480"/>
  <c r="C37" i="1480"/>
  <c r="E37" i="1480" s="1"/>
  <c r="E36" i="1480"/>
  <c r="E35" i="1480"/>
  <c r="E34" i="1480"/>
  <c r="E33" i="1480"/>
  <c r="C76" i="1479"/>
  <c r="D76" i="1479" s="1"/>
  <c r="D75" i="1479"/>
  <c r="D74" i="1479"/>
  <c r="D73" i="1479"/>
  <c r="D72" i="1479"/>
  <c r="C63" i="1479"/>
  <c r="D63" i="1479" s="1"/>
  <c r="D62" i="1479"/>
  <c r="D61" i="1479"/>
  <c r="D60" i="1479"/>
  <c r="D59" i="1479"/>
  <c r="C50" i="1479"/>
  <c r="D50" i="1479" s="1"/>
  <c r="D49" i="1479"/>
  <c r="D48" i="1479"/>
  <c r="D47" i="1479"/>
  <c r="D46" i="1479"/>
  <c r="C37" i="1479"/>
  <c r="D37" i="1479" s="1"/>
  <c r="D36" i="1479"/>
  <c r="D35" i="1479"/>
  <c r="D34" i="1479"/>
  <c r="D33" i="1479"/>
  <c r="D89" i="1478"/>
  <c r="C89" i="1478"/>
  <c r="E89" i="1478" s="1"/>
  <c r="E88" i="1478"/>
  <c r="E87" i="1478"/>
  <c r="E86" i="1478"/>
  <c r="E85" i="1478"/>
  <c r="D63" i="1478"/>
  <c r="C63" i="1478"/>
  <c r="E63" i="1478" s="1"/>
  <c r="E62" i="1478"/>
  <c r="E61" i="1478"/>
  <c r="E60" i="1478"/>
  <c r="E59" i="1478"/>
  <c r="D37" i="1478"/>
  <c r="C37" i="1478"/>
  <c r="E37" i="1478" s="1"/>
  <c r="E36" i="1478"/>
  <c r="E35" i="1478"/>
  <c r="E34" i="1478"/>
  <c r="E33" i="1478"/>
  <c r="E3" i="1486"/>
  <c r="E4" i="1486"/>
  <c r="E5" i="1486"/>
  <c r="E6" i="1486"/>
  <c r="E7" i="1486"/>
  <c r="C1" i="1486"/>
  <c r="D7" i="1486"/>
  <c r="C7" i="1486"/>
  <c r="D3" i="1486"/>
  <c r="C3" i="1486"/>
  <c r="E3" i="1485"/>
  <c r="E4" i="1485"/>
  <c r="E5" i="1485"/>
  <c r="E6" i="1485"/>
  <c r="E7" i="1485"/>
  <c r="C1" i="1485"/>
  <c r="D7" i="1485"/>
  <c r="C7" i="1485"/>
  <c r="D3" i="1485"/>
  <c r="C3" i="1485"/>
  <c r="E3" i="1484"/>
  <c r="E4" i="1484"/>
  <c r="E5" i="1484"/>
  <c r="E6" i="1484"/>
  <c r="E7" i="1484"/>
  <c r="C1" i="1484"/>
  <c r="D7" i="1484"/>
  <c r="C7" i="1484"/>
  <c r="D3" i="1484"/>
  <c r="C3" i="1484"/>
  <c r="E3" i="1483"/>
  <c r="E4" i="1483"/>
  <c r="E5" i="1483"/>
  <c r="E6" i="1483"/>
  <c r="E7" i="1483"/>
  <c r="C1" i="1483"/>
  <c r="D7" i="1483"/>
  <c r="C7" i="1483"/>
  <c r="D3" i="1483"/>
  <c r="C3" i="1483"/>
  <c r="E3" i="1482"/>
  <c r="E4" i="1482"/>
  <c r="E5" i="1482"/>
  <c r="E6" i="1482"/>
  <c r="E7" i="1482"/>
  <c r="C1" i="1482"/>
  <c r="D7" i="1482"/>
  <c r="C7" i="1482"/>
  <c r="D3" i="1482"/>
  <c r="C3" i="1482"/>
  <c r="E3" i="1481"/>
  <c r="E4" i="1481"/>
  <c r="E5" i="1481"/>
  <c r="E6" i="1481"/>
  <c r="E7" i="1481"/>
  <c r="C1" i="1481"/>
  <c r="D7" i="1481"/>
  <c r="C7" i="1481"/>
  <c r="D3" i="1481"/>
  <c r="C3" i="1481"/>
  <c r="E3" i="1480"/>
  <c r="E4" i="1480"/>
  <c r="E5" i="1480"/>
  <c r="E6" i="1480"/>
  <c r="E7" i="1480"/>
  <c r="C1" i="1480"/>
  <c r="D7" i="1480"/>
  <c r="C7" i="1480"/>
  <c r="D3" i="1480"/>
  <c r="C3" i="1480"/>
  <c r="D4" i="1479"/>
  <c r="D5" i="1479"/>
  <c r="D6" i="1479"/>
  <c r="D7" i="1479"/>
  <c r="C1" i="1479"/>
  <c r="C7" i="1479"/>
  <c r="C3" i="1479"/>
  <c r="D3" i="1479" s="1"/>
  <c r="E3" i="1478"/>
  <c r="E4" i="1478"/>
  <c r="E5" i="1478"/>
  <c r="E6" i="1478"/>
  <c r="E7" i="1478"/>
  <c r="C1" i="1478"/>
  <c r="D7" i="1478"/>
  <c r="C7" i="1478"/>
  <c r="D3" i="1478"/>
  <c r="C3" i="1478"/>
  <c r="J5" i="1466"/>
  <c r="K5" i="1466"/>
  <c r="J7" i="1466"/>
  <c r="K7" i="1466"/>
  <c r="J9" i="1466"/>
  <c r="K9" i="1466"/>
  <c r="J12" i="1466"/>
  <c r="K12" i="1466"/>
  <c r="J14" i="1466"/>
  <c r="K14" i="1466"/>
  <c r="J16" i="1466"/>
  <c r="K16" i="1466"/>
  <c r="J18" i="1466"/>
  <c r="K18" i="1466"/>
  <c r="J21" i="1466"/>
  <c r="K21" i="1466"/>
  <c r="J24" i="1466"/>
  <c r="K24" i="1466"/>
  <c r="J26" i="1466"/>
  <c r="K26" i="1466"/>
  <c r="J28" i="1466"/>
  <c r="K28" i="1466"/>
  <c r="J30" i="1466"/>
  <c r="K30" i="1466"/>
  <c r="L30" i="1466" s="1"/>
  <c r="L31" i="1466" s="1"/>
  <c r="J32" i="1466"/>
  <c r="K32" i="1466"/>
  <c r="J35" i="1466"/>
  <c r="K35" i="1466"/>
  <c r="J37" i="1466"/>
  <c r="K37" i="1466"/>
  <c r="J39" i="1466"/>
  <c r="K39" i="1466"/>
  <c r="J41" i="1466"/>
  <c r="L41" i="1466" s="1"/>
  <c r="K41" i="1466"/>
  <c r="J42" i="1466"/>
  <c r="K42" i="1466"/>
  <c r="L42" i="1466" s="1"/>
  <c r="J44" i="1466"/>
  <c r="K44" i="1466"/>
  <c r="J45" i="1466"/>
  <c r="K45" i="1466"/>
  <c r="J47" i="1466"/>
  <c r="K47" i="1466"/>
  <c r="J48" i="1466"/>
  <c r="K48" i="1466"/>
  <c r="J50" i="1466"/>
  <c r="L50" i="1466" s="1"/>
  <c r="K50" i="1466"/>
  <c r="J51" i="1466"/>
  <c r="K51" i="1466"/>
  <c r="L51" i="1466" s="1"/>
  <c r="J53" i="1466"/>
  <c r="K53" i="1466"/>
  <c r="J54" i="1466"/>
  <c r="K54" i="1466"/>
  <c r="J56" i="1466"/>
  <c r="K56" i="1466"/>
  <c r="J57" i="1466"/>
  <c r="K57" i="1466"/>
  <c r="J59" i="1466"/>
  <c r="L59" i="1466" s="1"/>
  <c r="L60" i="1466" s="1"/>
  <c r="K59" i="1466"/>
  <c r="J62" i="1466"/>
  <c r="K62" i="1466"/>
  <c r="L62" i="1466" s="1"/>
  <c r="L63" i="1466" s="1"/>
  <c r="J64" i="1466"/>
  <c r="K64" i="1466"/>
  <c r="J65" i="1466"/>
  <c r="K65" i="1466"/>
  <c r="J68" i="1466"/>
  <c r="K68" i="1466"/>
  <c r="J70" i="1466"/>
  <c r="K70" i="1466"/>
  <c r="J72" i="1466"/>
  <c r="K72" i="1466"/>
  <c r="J73" i="1466"/>
  <c r="K73" i="1466"/>
  <c r="J75" i="1466"/>
  <c r="K75" i="1466"/>
  <c r="J77" i="1466"/>
  <c r="K77" i="1466"/>
  <c r="J79" i="1466"/>
  <c r="K79" i="1466"/>
  <c r="J80" i="1466"/>
  <c r="K80" i="1466"/>
  <c r="J83" i="1466"/>
  <c r="K83" i="1466"/>
  <c r="J84" i="1466"/>
  <c r="K84" i="1466"/>
  <c r="L84" i="1466" s="1"/>
  <c r="J85" i="1466"/>
  <c r="K85" i="1466"/>
  <c r="J87" i="1466"/>
  <c r="K87" i="1466"/>
  <c r="J89" i="1466"/>
  <c r="K89" i="1466"/>
  <c r="J90" i="1466"/>
  <c r="K90" i="1466"/>
  <c r="J92" i="1466"/>
  <c r="K92" i="1466"/>
  <c r="J93" i="1466"/>
  <c r="K93" i="1466"/>
  <c r="J94" i="1466"/>
  <c r="K94" i="1466"/>
  <c r="J96" i="1466"/>
  <c r="K96" i="1466"/>
  <c r="J98" i="1466"/>
  <c r="K98" i="1466"/>
  <c r="J99" i="1466"/>
  <c r="K99" i="1466"/>
  <c r="J100" i="1466"/>
  <c r="K100" i="1466"/>
  <c r="J102" i="1466"/>
  <c r="K102" i="1466"/>
  <c r="L102" i="1466" s="1"/>
  <c r="J103" i="1466"/>
  <c r="K103" i="1466"/>
  <c r="J105" i="1466"/>
  <c r="K105" i="1466"/>
  <c r="J106" i="1466"/>
  <c r="K106" i="1466"/>
  <c r="J109" i="1466"/>
  <c r="K109" i="1466"/>
  <c r="J110" i="1466"/>
  <c r="L110" i="1466" s="1"/>
  <c r="K110" i="1466"/>
  <c r="J112" i="1466"/>
  <c r="K112" i="1466"/>
  <c r="L112" i="1466" s="1"/>
  <c r="J113" i="1466"/>
  <c r="K113" i="1466"/>
  <c r="J114" i="1466"/>
  <c r="K114" i="1466"/>
  <c r="J116" i="1466"/>
  <c r="K116" i="1466"/>
  <c r="J117" i="1466"/>
  <c r="K117" i="1466"/>
  <c r="J118" i="1466"/>
  <c r="L118" i="1466" s="1"/>
  <c r="K118" i="1466"/>
  <c r="J120" i="1466"/>
  <c r="K120" i="1466"/>
  <c r="L120" i="1466" s="1"/>
  <c r="J121" i="1466"/>
  <c r="K121" i="1466"/>
  <c r="J123" i="1466"/>
  <c r="K123" i="1466"/>
  <c r="J124" i="1466"/>
  <c r="K124" i="1466"/>
  <c r="J126" i="1466"/>
  <c r="K126" i="1466"/>
  <c r="J128" i="1466"/>
  <c r="L128" i="1466" s="1"/>
  <c r="L129" i="1466" s="1"/>
  <c r="K128" i="1466"/>
  <c r="J130" i="1466"/>
  <c r="K130" i="1466"/>
  <c r="J131" i="1466"/>
  <c r="K131" i="1466"/>
  <c r="J133" i="1466"/>
  <c r="K133" i="1466"/>
  <c r="J134" i="1466"/>
  <c r="K134" i="1466"/>
  <c r="J136" i="1466"/>
  <c r="K136" i="1466"/>
  <c r="J137" i="1466"/>
  <c r="L137" i="1466" s="1"/>
  <c r="K137" i="1466"/>
  <c r="J138" i="1466"/>
  <c r="K138" i="1466"/>
  <c r="L138" i="1466" s="1"/>
  <c r="J140" i="1466"/>
  <c r="K140" i="1466"/>
  <c r="J141" i="1466"/>
  <c r="K141" i="1466"/>
  <c r="J142" i="1466"/>
  <c r="K142" i="1466"/>
  <c r="J144" i="1466"/>
  <c r="K144" i="1466"/>
  <c r="J146" i="1466"/>
  <c r="L146" i="1466" s="1"/>
  <c r="L147" i="1466" s="1"/>
  <c r="K146" i="1466"/>
  <c r="M5" i="1460"/>
  <c r="N5" i="1460"/>
  <c r="M7" i="1460"/>
  <c r="N7" i="1460"/>
  <c r="M8" i="1460"/>
  <c r="N8" i="1460"/>
  <c r="M11" i="1460"/>
  <c r="N11" i="1460"/>
  <c r="M13" i="1460"/>
  <c r="N13" i="1460"/>
  <c r="M14" i="1460"/>
  <c r="N14" i="1460"/>
  <c r="M15" i="1460"/>
  <c r="O15" i="1460" s="1"/>
  <c r="N15" i="1460"/>
  <c r="M16" i="1460"/>
  <c r="N16" i="1460"/>
  <c r="M17" i="1460"/>
  <c r="N17" i="1460"/>
  <c r="M20" i="1460"/>
  <c r="N20" i="1460"/>
  <c r="M23" i="1460"/>
  <c r="N23" i="1460"/>
  <c r="M24" i="1460"/>
  <c r="N24" i="1460"/>
  <c r="M25" i="1460"/>
  <c r="N25" i="1460"/>
  <c r="M26" i="1460"/>
  <c r="N26" i="1460"/>
  <c r="M28" i="1460"/>
  <c r="N28" i="1460"/>
  <c r="M29" i="1460"/>
  <c r="N29" i="1460"/>
  <c r="M32" i="1460"/>
  <c r="N32" i="1460"/>
  <c r="M33" i="1460"/>
  <c r="N33" i="1460"/>
  <c r="M35" i="1460"/>
  <c r="N35" i="1460"/>
  <c r="M36" i="1460"/>
  <c r="N36" i="1460"/>
  <c r="M37" i="1460"/>
  <c r="N37" i="1460"/>
  <c r="M38" i="1460"/>
  <c r="N38" i="1460"/>
  <c r="M39" i="1460"/>
  <c r="N39" i="1460"/>
  <c r="M41" i="1460"/>
  <c r="N41" i="1460"/>
  <c r="M42" i="1460"/>
  <c r="N42" i="1460"/>
  <c r="M43" i="1460"/>
  <c r="N43" i="1460"/>
  <c r="M44" i="1460"/>
  <c r="N44" i="1460"/>
  <c r="M45" i="1460"/>
  <c r="O45" i="1460" s="1"/>
  <c r="N45" i="1460"/>
  <c r="M46" i="1460"/>
  <c r="N46" i="1460"/>
  <c r="M47" i="1460"/>
  <c r="N47" i="1460"/>
  <c r="M48" i="1460"/>
  <c r="N48" i="1460"/>
  <c r="O48" i="1460" s="1"/>
  <c r="M49" i="1460"/>
  <c r="N49" i="1460"/>
  <c r="M50" i="1460"/>
  <c r="N50" i="1460"/>
  <c r="M53" i="1460"/>
  <c r="O53" i="1460" s="1"/>
  <c r="N53" i="1460"/>
  <c r="M54" i="1460"/>
  <c r="N54" i="1460"/>
  <c r="M55" i="1460"/>
  <c r="N55" i="1460"/>
  <c r="M56" i="1460"/>
  <c r="N56" i="1460"/>
  <c r="M59" i="1460"/>
  <c r="N59" i="1460"/>
  <c r="M60" i="1460"/>
  <c r="N60" i="1460"/>
  <c r="M61" i="1460"/>
  <c r="O61" i="1460" s="1"/>
  <c r="N61" i="1460"/>
  <c r="M62" i="1460"/>
  <c r="N62" i="1460"/>
  <c r="M63" i="1460"/>
  <c r="N63" i="1460"/>
  <c r="M64" i="1460"/>
  <c r="N64" i="1460"/>
  <c r="M65" i="1460"/>
  <c r="N65" i="1460"/>
  <c r="M66" i="1460"/>
  <c r="N66" i="1460"/>
  <c r="M67" i="1460"/>
  <c r="O67" i="1460" s="1"/>
  <c r="N67" i="1460"/>
  <c r="M68" i="1460"/>
  <c r="N68" i="1460"/>
  <c r="M69" i="1460"/>
  <c r="N69" i="1460"/>
  <c r="M70" i="1460"/>
  <c r="N70" i="1460"/>
  <c r="M71" i="1460"/>
  <c r="N71" i="1460"/>
  <c r="M72" i="1460"/>
  <c r="N72" i="1460"/>
  <c r="M75" i="1460"/>
  <c r="O75" i="1460" s="1"/>
  <c r="N75" i="1460"/>
  <c r="M76" i="1460"/>
  <c r="N76" i="1460"/>
  <c r="M77" i="1460"/>
  <c r="N77" i="1460"/>
  <c r="M78" i="1460"/>
  <c r="N78" i="1460"/>
  <c r="M79" i="1460"/>
  <c r="N79" i="1460"/>
  <c r="M80" i="1460"/>
  <c r="N80" i="1460"/>
  <c r="M81" i="1460"/>
  <c r="O81" i="1460" s="1"/>
  <c r="N81" i="1460"/>
  <c r="M82" i="1460"/>
  <c r="N82" i="1460"/>
  <c r="M83" i="1460"/>
  <c r="N83" i="1460"/>
  <c r="M84" i="1460"/>
  <c r="N84" i="1460"/>
  <c r="M85" i="1460"/>
  <c r="N85" i="1460"/>
  <c r="M86" i="1460"/>
  <c r="N86" i="1460"/>
  <c r="M87" i="1460"/>
  <c r="O87" i="1460" s="1"/>
  <c r="N87" i="1460"/>
  <c r="M88" i="1460"/>
  <c r="N88" i="1460"/>
  <c r="M89" i="1460"/>
  <c r="N89" i="1460"/>
  <c r="M91" i="1460"/>
  <c r="N91" i="1460"/>
  <c r="M93" i="1460"/>
  <c r="N93" i="1460"/>
  <c r="M94" i="1460"/>
  <c r="N94" i="1460"/>
  <c r="M96" i="1460"/>
  <c r="O96" i="1460" s="1"/>
  <c r="N96" i="1460"/>
  <c r="M97" i="1460"/>
  <c r="N97" i="1460"/>
  <c r="M100" i="1460"/>
  <c r="N100" i="1460"/>
  <c r="M101" i="1460"/>
  <c r="O101" i="1460" s="1"/>
  <c r="N101" i="1460"/>
  <c r="M102" i="1460"/>
  <c r="N102" i="1460"/>
  <c r="M103" i="1460"/>
  <c r="N103" i="1460"/>
  <c r="M104" i="1460"/>
  <c r="O104" i="1460" s="1"/>
  <c r="N104" i="1460"/>
  <c r="M105" i="1460"/>
  <c r="N105" i="1460"/>
  <c r="M106" i="1460"/>
  <c r="N106" i="1460"/>
  <c r="M107" i="1460"/>
  <c r="O107" i="1460" s="1"/>
  <c r="N107" i="1460"/>
  <c r="M108" i="1460"/>
  <c r="N108" i="1460"/>
  <c r="M109" i="1460"/>
  <c r="N109" i="1460"/>
  <c r="M110" i="1460"/>
  <c r="O110" i="1460" s="1"/>
  <c r="N110" i="1460"/>
  <c r="M111" i="1460"/>
  <c r="N111" i="1460"/>
  <c r="M112" i="1460"/>
  <c r="N112" i="1460"/>
  <c r="M113" i="1460"/>
  <c r="O113" i="1460" s="1"/>
  <c r="N113" i="1460"/>
  <c r="M114" i="1460"/>
  <c r="N114" i="1460"/>
  <c r="M115" i="1460"/>
  <c r="N115" i="1460"/>
  <c r="M116" i="1460"/>
  <c r="O116" i="1460" s="1"/>
  <c r="N116" i="1460"/>
  <c r="M117" i="1460"/>
  <c r="N117" i="1460"/>
  <c r="M118" i="1460"/>
  <c r="N118" i="1460"/>
  <c r="M119" i="1460"/>
  <c r="O119" i="1460" s="1"/>
  <c r="N119" i="1460"/>
  <c r="M120" i="1460"/>
  <c r="N120" i="1460"/>
  <c r="M121" i="1460"/>
  <c r="N121" i="1460"/>
  <c r="M122" i="1460"/>
  <c r="O122" i="1460" s="1"/>
  <c r="N122" i="1460"/>
  <c r="M123" i="1460"/>
  <c r="N123" i="1460"/>
  <c r="M124" i="1460"/>
  <c r="N124" i="1460"/>
  <c r="M125" i="1460"/>
  <c r="O125" i="1460" s="1"/>
  <c r="N125" i="1460"/>
  <c r="M126" i="1460"/>
  <c r="N126" i="1460"/>
  <c r="M127" i="1460"/>
  <c r="N127" i="1460"/>
  <c r="M128" i="1460"/>
  <c r="O128" i="1460" s="1"/>
  <c r="N128" i="1460"/>
  <c r="M129" i="1460"/>
  <c r="N129" i="1460"/>
  <c r="M130" i="1460"/>
  <c r="N130" i="1460"/>
  <c r="M131" i="1460"/>
  <c r="O131" i="1460" s="1"/>
  <c r="N131" i="1460"/>
  <c r="M132" i="1460"/>
  <c r="N132" i="1460"/>
  <c r="M133" i="1460"/>
  <c r="N133" i="1460"/>
  <c r="M134" i="1460"/>
  <c r="N134" i="1460"/>
  <c r="M135" i="1460"/>
  <c r="N135" i="1460"/>
  <c r="M136" i="1460"/>
  <c r="N136" i="1460"/>
  <c r="M137" i="1460"/>
  <c r="O137" i="1460" s="1"/>
  <c r="N137" i="1460"/>
  <c r="L70" i="1466" l="1"/>
  <c r="L71" i="1466" s="1"/>
  <c r="L126" i="1466"/>
  <c r="L127" i="1466" s="1"/>
  <c r="L117" i="1466"/>
  <c r="L109" i="1466"/>
  <c r="L99" i="1466"/>
  <c r="L90" i="1466"/>
  <c r="L80" i="1466"/>
  <c r="L57" i="1466"/>
  <c r="L48" i="1466"/>
  <c r="L39" i="1466"/>
  <c r="L40" i="1466" s="1"/>
  <c r="L26" i="1466"/>
  <c r="L27" i="1466" s="1"/>
  <c r="L12" i="1466"/>
  <c r="L13" i="1466" s="1"/>
  <c r="L144" i="1466"/>
  <c r="L145" i="1466" s="1"/>
  <c r="L134" i="1466"/>
  <c r="L116" i="1466"/>
  <c r="L98" i="1466"/>
  <c r="L101" i="1466" s="1"/>
  <c r="L79" i="1466"/>
  <c r="L56" i="1466"/>
  <c r="L37" i="1466"/>
  <c r="L38" i="1466" s="1"/>
  <c r="L9" i="1466"/>
  <c r="L10" i="1466" s="1"/>
  <c r="L136" i="1466"/>
  <c r="L141" i="1466"/>
  <c r="L140" i="1466"/>
  <c r="L143" i="1466" s="1"/>
  <c r="L16" i="1466"/>
  <c r="L17" i="1466" s="1"/>
  <c r="L130" i="1466"/>
  <c r="L93" i="1466"/>
  <c r="L73" i="1466"/>
  <c r="L100" i="1466"/>
  <c r="L92" i="1466"/>
  <c r="L83" i="1466"/>
  <c r="L72" i="1466"/>
  <c r="L28" i="1466"/>
  <c r="L29" i="1466" s="1"/>
  <c r="L14" i="1466"/>
  <c r="L15" i="1466" s="1"/>
  <c r="L111" i="1466"/>
  <c r="L142" i="1466"/>
  <c r="L124" i="1466"/>
  <c r="L106" i="1466"/>
  <c r="L89" i="1466"/>
  <c r="L68" i="1466"/>
  <c r="L69" i="1466" s="1"/>
  <c r="L47" i="1466"/>
  <c r="L24" i="1466"/>
  <c r="L25" i="1466" s="1"/>
  <c r="L91" i="1466"/>
  <c r="L52" i="1466"/>
  <c r="L133" i="1466"/>
  <c r="L135" i="1466" s="1"/>
  <c r="L123" i="1466"/>
  <c r="L114" i="1466"/>
  <c r="L105" i="1466"/>
  <c r="L96" i="1466"/>
  <c r="L97" i="1466" s="1"/>
  <c r="L87" i="1466"/>
  <c r="L88" i="1466" s="1"/>
  <c r="L77" i="1466"/>
  <c r="L78" i="1466" s="1"/>
  <c r="L65" i="1466"/>
  <c r="L54" i="1466"/>
  <c r="L45" i="1466"/>
  <c r="L35" i="1466"/>
  <c r="L36" i="1466" s="1"/>
  <c r="L21" i="1466"/>
  <c r="L22" i="1466" s="1"/>
  <c r="L7" i="1466"/>
  <c r="L8" i="1466" s="1"/>
  <c r="L43" i="1466"/>
  <c r="L131" i="1466"/>
  <c r="L121" i="1466"/>
  <c r="L122" i="1466" s="1"/>
  <c r="L113" i="1466"/>
  <c r="L115" i="1466" s="1"/>
  <c r="L103" i="1466"/>
  <c r="L104" i="1466" s="1"/>
  <c r="L94" i="1466"/>
  <c r="L85" i="1466"/>
  <c r="L75" i="1466"/>
  <c r="L76" i="1466" s="1"/>
  <c r="L64" i="1466"/>
  <c r="L66" i="1466" s="1"/>
  <c r="L53" i="1466"/>
  <c r="L44" i="1466"/>
  <c r="L32" i="1466"/>
  <c r="L33" i="1466" s="1"/>
  <c r="L18" i="1466"/>
  <c r="L19" i="1466" s="1"/>
  <c r="L5" i="1466"/>
  <c r="L49" i="1466"/>
  <c r="L139" i="1466"/>
  <c r="L119" i="1466"/>
  <c r="O38" i="1460"/>
  <c r="O29" i="1460"/>
  <c r="O132" i="1460"/>
  <c r="O126" i="1460"/>
  <c r="O120" i="1460"/>
  <c r="O114" i="1460"/>
  <c r="O102" i="1460"/>
  <c r="O35" i="1460"/>
  <c r="O78" i="1460"/>
  <c r="O124" i="1460"/>
  <c r="O100" i="1460"/>
  <c r="O89" i="1460"/>
  <c r="O83" i="1460"/>
  <c r="O112" i="1460"/>
  <c r="O136" i="1460"/>
  <c r="O118" i="1460"/>
  <c r="O115" i="1460"/>
  <c r="O103" i="1460"/>
  <c r="O94" i="1460"/>
  <c r="O130" i="1460"/>
  <c r="O108" i="1460"/>
  <c r="O93" i="1460"/>
  <c r="O85" i="1460"/>
  <c r="O79" i="1460"/>
  <c r="O71" i="1460"/>
  <c r="O65" i="1460"/>
  <c r="O59" i="1460"/>
  <c r="O49" i="1460"/>
  <c r="O84" i="1460"/>
  <c r="O25" i="1460"/>
  <c r="O106" i="1460"/>
  <c r="O91" i="1460"/>
  <c r="O92" i="1460" s="1"/>
  <c r="O70" i="1460"/>
  <c r="O64" i="1460"/>
  <c r="O56" i="1460"/>
  <c r="O42" i="1460"/>
  <c r="O20" i="1460"/>
  <c r="O21" i="1460" s="1"/>
  <c r="O11" i="1460"/>
  <c r="O12" i="1460" s="1"/>
  <c r="O86" i="1460"/>
  <c r="O80" i="1460"/>
  <c r="O72" i="1460"/>
  <c r="O66" i="1460"/>
  <c r="O60" i="1460"/>
  <c r="O50" i="1460"/>
  <c r="O44" i="1460"/>
  <c r="O37" i="1460"/>
  <c r="O43" i="1460"/>
  <c r="O36" i="1460"/>
  <c r="O26" i="1460"/>
  <c r="O16" i="1460"/>
  <c r="O7" i="1460"/>
  <c r="O134" i="1460"/>
  <c r="O127" i="1460"/>
  <c r="O5" i="1460"/>
  <c r="O121" i="1460"/>
  <c r="O77" i="1460"/>
  <c r="O69" i="1460"/>
  <c r="O109" i="1460"/>
  <c r="O133" i="1460"/>
  <c r="O135" i="1460"/>
  <c r="O129" i="1460"/>
  <c r="O123" i="1460"/>
  <c r="O117" i="1460"/>
  <c r="O111" i="1460"/>
  <c r="O105" i="1460"/>
  <c r="O97" i="1460"/>
  <c r="O98" i="1460" s="1"/>
  <c r="O88" i="1460"/>
  <c r="O82" i="1460"/>
  <c r="O76" i="1460"/>
  <c r="O68" i="1460"/>
  <c r="O62" i="1460"/>
  <c r="O54" i="1460"/>
  <c r="O57" i="1460" s="1"/>
  <c r="O46" i="1460"/>
  <c r="O39" i="1460"/>
  <c r="O32" i="1460"/>
  <c r="O23" i="1460"/>
  <c r="O13" i="1460"/>
  <c r="O28" i="1460"/>
  <c r="O30" i="1460" s="1"/>
  <c r="O17" i="1460"/>
  <c r="O8" i="1460"/>
  <c r="O63" i="1460"/>
  <c r="O55" i="1460"/>
  <c r="O47" i="1460"/>
  <c r="O41" i="1460"/>
  <c r="O33" i="1460"/>
  <c r="O24" i="1460"/>
  <c r="O14" i="1460"/>
  <c r="O34" i="1460"/>
  <c r="P5" i="1"/>
  <c r="L58" i="1466" l="1"/>
  <c r="L132" i="1466"/>
  <c r="L125" i="1466"/>
  <c r="L81" i="1466"/>
  <c r="L107" i="1466"/>
  <c r="L86" i="1466"/>
  <c r="L74" i="1466"/>
  <c r="L46" i="1466"/>
  <c r="L55" i="1466"/>
  <c r="L95" i="1466"/>
  <c r="O95" i="1460"/>
  <c r="O90" i="1460"/>
  <c r="O27" i="1460"/>
  <c r="O9" i="1460"/>
  <c r="O51" i="1460"/>
  <c r="O73" i="1460"/>
  <c r="O138" i="1460"/>
  <c r="O40" i="1460"/>
  <c r="O18" i="1460"/>
  <c r="AX1" i="1"/>
  <c r="Y1" i="1" l="1"/>
  <c r="M1" i="1" l="1"/>
  <c r="O6" i="1" s="1"/>
  <c r="P6" i="1" l="1"/>
  <c r="P7" i="1"/>
  <c r="L141" i="1"/>
  <c r="N1" i="1" l="1"/>
  <c r="N4" i="1" s="1"/>
  <c r="M4" i="1"/>
  <c r="M5" i="1"/>
  <c r="M2" i="1"/>
  <c r="M3" i="1"/>
  <c r="N3" i="1" l="1"/>
  <c r="N2" i="1"/>
  <c r="O1" i="1"/>
  <c r="P1" i="1" l="1"/>
  <c r="O140" i="1460"/>
  <c r="O6" i="1460"/>
  <c r="L6" i="1466"/>
  <c r="L149" i="1466"/>
</calcChain>
</file>

<file path=xl/sharedStrings.xml><?xml version="1.0" encoding="utf-8"?>
<sst xmlns="http://schemas.openxmlformats.org/spreadsheetml/2006/main" count="1823" uniqueCount="374">
  <si>
    <t>LOKASI FILE WO BUYER</t>
  </si>
  <si>
    <t>LOKASI FILE GCC</t>
  </si>
  <si>
    <t>NAMA FILE GCC</t>
  </si>
  <si>
    <t>TIDAK</t>
  </si>
  <si>
    <t>DATA  DIHITUNG SETENGAH</t>
  </si>
  <si>
    <t>CNJ2 LINE_2</t>
  </si>
  <si>
    <t>NOTE:</t>
  </si>
  <si>
    <r>
      <t xml:space="preserve">Sebelum Klik </t>
    </r>
    <r>
      <rPr>
        <b/>
        <sz val="11"/>
        <color theme="1"/>
        <rFont val="Calibri"/>
        <family val="2"/>
        <scheme val="minor"/>
      </rPr>
      <t>Tombol CM0</t>
    </r>
    <r>
      <rPr>
        <sz val="11"/>
        <color theme="1"/>
        <rFont val="Calibri"/>
        <family val="2"/>
        <scheme val="minor"/>
      </rPr>
      <t xml:space="preserve"> dan </t>
    </r>
    <r>
      <rPr>
        <b/>
        <sz val="11"/>
        <color theme="1"/>
        <rFont val="Calibri"/>
        <family val="2"/>
        <scheme val="minor"/>
      </rPr>
      <t>RESUME</t>
    </r>
    <r>
      <rPr>
        <sz val="11"/>
        <color theme="1"/>
        <rFont val="Calibri"/>
        <family val="2"/>
        <scheme val="minor"/>
      </rPr>
      <t xml:space="preserve"> pastikan Klik Tombol TARIK terlebih dahulu</t>
    </r>
  </si>
  <si>
    <r>
      <t xml:space="preserve">Tombol </t>
    </r>
    <r>
      <rPr>
        <b/>
        <sz val="11"/>
        <color theme="1"/>
        <rFont val="Calibri"/>
        <family val="2"/>
        <scheme val="minor"/>
      </rPr>
      <t>CLEAR</t>
    </r>
    <r>
      <rPr>
        <sz val="11"/>
        <color theme="1"/>
        <rFont val="Calibri"/>
        <family val="2"/>
        <scheme val="minor"/>
      </rPr>
      <t xml:space="preserve"> untuk menghapus semua sheets kecuali sheet BANTUAN</t>
    </r>
  </si>
  <si>
    <r>
      <t>Tombol</t>
    </r>
    <r>
      <rPr>
        <b/>
        <sz val="11"/>
        <color theme="1"/>
        <rFont val="Calibri"/>
        <family val="2"/>
        <scheme val="minor"/>
      </rPr>
      <t xml:space="preserve"> TARIK</t>
    </r>
    <r>
      <rPr>
        <sz val="11"/>
        <color theme="1"/>
        <rFont val="Calibri"/>
        <family val="2"/>
        <scheme val="minor"/>
      </rPr>
      <t xml:space="preserve"> untuk memindahkan data GCC ke Sheet RPA</t>
    </r>
  </si>
  <si>
    <t>Untuk CNJ2 Line 2 Bisa pilih Dropdown terlebih dahulu</t>
  </si>
  <si>
    <t>Factory</t>
  </si>
  <si>
    <t>CBA</t>
  </si>
  <si>
    <t>CHW</t>
  </si>
  <si>
    <t>CJL</t>
  </si>
  <si>
    <t>CNJ2</t>
  </si>
  <si>
    <t>CVA</t>
  </si>
  <si>
    <t>KLB</t>
  </si>
  <si>
    <t>MJ1</t>
  </si>
  <si>
    <t>MJ2</t>
  </si>
  <si>
    <t>HASIL SPLIT CHART</t>
  </si>
  <si>
    <t>Cahaya Busana Abadi</t>
  </si>
  <si>
    <t>CV Chawan</t>
  </si>
  <si>
    <t>Gistex Cileunyi Japan</t>
  </si>
  <si>
    <t>Gistex Cileunyi</t>
  </si>
  <si>
    <t>CV Anugrah</t>
  </si>
  <si>
    <t>Gistex Kalibenda</t>
  </si>
  <si>
    <t>Gistex Majalengka 1</t>
  </si>
  <si>
    <t>Gistex Majalengka 2</t>
  </si>
  <si>
    <t>\\10.8.0.35\Bersama\IT\RPA\SPLIT</t>
  </si>
  <si>
    <t>\\10.8.0.35\Bersama\IT\REXY\Profit Loss\Tarikan WO Buyer</t>
  </si>
  <si>
    <t>-</t>
  </si>
  <si>
    <t>Cileunyi</t>
  </si>
  <si>
    <t>-&gt;</t>
  </si>
  <si>
    <t>Damar</t>
  </si>
  <si>
    <t>(ddarma@gistexgroup.com)</t>
  </si>
  <si>
    <t>Maja-1</t>
  </si>
  <si>
    <t>Kiki</t>
  </si>
  <si>
    <t>kzulfikar@gistexgroup.com)</t>
  </si>
  <si>
    <t>Maja-2</t>
  </si>
  <si>
    <t>Rudiyanto</t>
  </si>
  <si>
    <t>Chawan</t>
  </si>
  <si>
    <t>&amp;</t>
  </si>
  <si>
    <t>Kalibenda-&gt;</t>
  </si>
  <si>
    <t>Parsikin</t>
  </si>
  <si>
    <t>(parsikin@gistexgroup.com)</t>
  </si>
  <si>
    <t>CNJ</t>
  </si>
  <si>
    <t>Group</t>
  </si>
  <si>
    <t>belum</t>
  </si>
  <si>
    <t>dulu</t>
  </si>
  <si>
    <t>ddarma@gistexgroup.com</t>
  </si>
  <si>
    <t>parsikin@gistexgroup.com</t>
  </si>
  <si>
    <t>rhartono@gistexgroup.com</t>
  </si>
  <si>
    <t>CLN</t>
  </si>
  <si>
    <t>\\10.8.0.35\bersama\\IT\RPA\SPLIT\GI-IS - Cost Factory Report Cahaya Busana Abadi.xlsx</t>
  </si>
  <si>
    <t>\\10.8.0.35\bersama\\IT\RPA\SPLIT\GI-IS - Cost Factory Report CV Chawan.xlsx</t>
  </si>
  <si>
    <t>\\10.8.0.35\bersama\\IT\RPA\SPLIT\GI-IS - Cost Factory Report Gistex Cileunyi Japan.xlsx</t>
  </si>
  <si>
    <t>\\10.8.0.35\bersama\\IT\RPA\SPLIT\GI-IS - Cost Factory ReportGistex Cileunyi.xlsx</t>
  </si>
  <si>
    <t>\\10.8.0.35\bersama\\IT\RPA\SPLIT\GI-IS - Cost Factory Report CNJ2.xlsx</t>
  </si>
  <si>
    <t>\\10.8.0.35\bersama\\IT\RPA\SPLIT\GI-IS - Cost Factory Report CV Anugrah.xlsx</t>
  </si>
  <si>
    <t>\\10.8.0.35\bersama\\IT\RPA\SPLIT\GI-IS - Cost Factory Report Gistex Kalibenda.xlsx</t>
  </si>
  <si>
    <t>\\10.8.0.35\bersama\\IT\RPA\SPLIT\GI-IS - Cost Factory Report Gistex Majalengka 1.xlsx</t>
  </si>
  <si>
    <t>\\10.8.0.35\bersama\\IT\RPA\SPLIT\GI-IS - Cost Factory Report Gistex Majalengka 2.xlsx</t>
  </si>
  <si>
    <t>\\10.8.0.35\Bersama\IT\REXY\OUTPUT SEWING\MACRO OUTPUT REPORT SEWING.xlsm</t>
  </si>
  <si>
    <t>LOKASI OUTPUT SEWING</t>
  </si>
  <si>
    <t>\\10.8.0.35\Bersama\IT\REXY\Profit Loss\MACRO-CM0NOOR.xlsm</t>
  </si>
  <si>
    <t>LOKASI  UNPLANNED</t>
  </si>
  <si>
    <t>MACRO OUTPUT REPORT SEWING.xlsm</t>
  </si>
  <si>
    <t>MACRO-CM0NOOR.xlsm</t>
  </si>
  <si>
    <t>FILE OUTPUT SEWING</t>
  </si>
  <si>
    <t>FILE UNPLANNED</t>
  </si>
  <si>
    <t>08 Jan 23</t>
  </si>
  <si>
    <t>NAMA FILE REKAP ORDER</t>
  </si>
  <si>
    <t>LOKASI FILE</t>
  </si>
  <si>
    <t>\\10.8.0.35\Bersama\IT\REXY\Profit Loss\Tarikan Recap CM</t>
  </si>
  <si>
    <t>tarikanRecapCM</t>
  </si>
  <si>
    <t>cnj.lina@gmail.com</t>
  </si>
  <si>
    <t>CNJ GROUP</t>
  </si>
  <si>
    <t>\\10.8.0.35\Bersama\IT\RPA\SPLIT\GI-IS - Cost Factory Report CNJ GROUP.xlsx</t>
  </si>
  <si>
    <t>UPDATE 3/27/23</t>
  </si>
  <si>
    <t>CM 0</t>
  </si>
  <si>
    <t>\\10.8.0.35\Bersama\IT\RPA</t>
  </si>
  <si>
    <t>kzulfikar@gistexgroup.com, frahmawati@gistexgroup.com</t>
  </si>
  <si>
    <t>\\10.8.0.35\Bersama\IT\REXY\Profit Loss\Tarikan GCC</t>
  </si>
  <si>
    <t>GGI-IS - Cost Factory Report</t>
  </si>
  <si>
    <t>CVA2</t>
  </si>
  <si>
    <t>CV Anugrah 2</t>
  </si>
  <si>
    <t>\\10.8.0.35\bersama\\IT\RPA\SPLIT\GI-IS - Cost Factory Report CV Anugrah 2.xlsx</t>
  </si>
  <si>
    <t>WO</t>
  </si>
  <si>
    <t>NAMA FILE</t>
  </si>
  <si>
    <t>Tarikan WO Buyer 03 April 2024</t>
  </si>
  <si>
    <t>1 April  2024</t>
  </si>
  <si>
    <t>\\10.5.0.27\bersama\LINE COST</t>
  </si>
  <si>
    <t>Line</t>
  </si>
  <si>
    <t>Buyer</t>
  </si>
  <si>
    <t>L1</t>
  </si>
  <si>
    <t>MARUBENI CORPORATION JEPANG</t>
  </si>
  <si>
    <t>L2</t>
  </si>
  <si>
    <t>MARUBENI INTEX Co., Ltd.</t>
  </si>
  <si>
    <t>L3</t>
  </si>
  <si>
    <t>PT. BUANA DAYA GEMILANG</t>
  </si>
  <si>
    <t>L4</t>
  </si>
  <si>
    <t>L5</t>
  </si>
  <si>
    <t>L6</t>
  </si>
  <si>
    <t>ASMARA KARYA ABADI, PT.</t>
  </si>
  <si>
    <t>L10</t>
  </si>
  <si>
    <t>MARUBENI FASHION LINK LTD.</t>
  </si>
  <si>
    <t>L7</t>
  </si>
  <si>
    <t>KANMO RETAIL GROUP</t>
  </si>
  <si>
    <t>L8</t>
  </si>
  <si>
    <t>L9</t>
  </si>
  <si>
    <t>L1A</t>
  </si>
  <si>
    <t>AGRON, INC.</t>
  </si>
  <si>
    <t>L1B</t>
  </si>
  <si>
    <t>L2A</t>
  </si>
  <si>
    <t>L2B</t>
  </si>
  <si>
    <t>L3A</t>
  </si>
  <si>
    <t>L3B</t>
  </si>
  <si>
    <t>L11</t>
  </si>
  <si>
    <t>L12</t>
  </si>
  <si>
    <t>CV. BI-ENSI FESYENINDO</t>
  </si>
  <si>
    <t>RED WING SHOE COMPANY LLC</t>
  </si>
  <si>
    <t>RED WING SHOE COMPANY</t>
  </si>
  <si>
    <t>L13</t>
  </si>
  <si>
    <t>RS MITRA KELUARGA</t>
  </si>
  <si>
    <t>EIGERINDO MULTI PRODUK INDUSTRI, PT.</t>
  </si>
  <si>
    <t>BUYER</t>
  </si>
  <si>
    <t>CRPANMCUGA-3915   SN24</t>
  </si>
  <si>
    <t>JCT  MCUGA-3910   SN24</t>
  </si>
  <si>
    <t>PANTSMCUKZN839-90 SN24</t>
  </si>
  <si>
    <t>LEG  MFL24140     24AH</t>
  </si>
  <si>
    <t>LEG  MFL24140N    24AH</t>
  </si>
  <si>
    <t>LEG  MFL28145     24AH</t>
  </si>
  <si>
    <t>LEG  MFL54141     24AH</t>
  </si>
  <si>
    <t>LEG  MFL54141.2   24AH</t>
  </si>
  <si>
    <t>LEG  MFL28142     24AH</t>
  </si>
  <si>
    <t>TOP  MCU133-61    SN24</t>
  </si>
  <si>
    <t>TOP  MCU133-65    SN24</t>
  </si>
  <si>
    <t>TOP  MCU133-91    SN24</t>
  </si>
  <si>
    <t>PANTSMCU155-91    SN24</t>
  </si>
  <si>
    <t>CVRL RED61105-54  24R9</t>
  </si>
  <si>
    <t>CVRL RED61105-58  4R15</t>
  </si>
  <si>
    <t>BRF  ADS5152367   24R3</t>
  </si>
  <si>
    <t>BRF  ADS5151835XXL24R2</t>
  </si>
  <si>
    <t>BRF  ADS5151824   24R4</t>
  </si>
  <si>
    <t>BRF  ADS5151824XXL24R3</t>
  </si>
  <si>
    <t>BRF  ADS5158043   24R3</t>
  </si>
  <si>
    <t>BRF  ADS5158043XXLSN24</t>
  </si>
  <si>
    <t>BRF  ADS5158041   24R1</t>
  </si>
  <si>
    <t>BRF  ADS5157977   24R3</t>
  </si>
  <si>
    <t>BRF  ADS5157983   24R2</t>
  </si>
  <si>
    <t>BRF  ADS5157992   24R3</t>
  </si>
  <si>
    <t>BRF  ADS5157985   24R3</t>
  </si>
  <si>
    <t>BRF  ADS5157996   24R3</t>
  </si>
  <si>
    <t>BRF  ADS5157987   24R3</t>
  </si>
  <si>
    <t>BRF  ADS5157997   24R3</t>
  </si>
  <si>
    <t>CNECKADS5157982   24R3</t>
  </si>
  <si>
    <t>TATO ADS5157998   24R3</t>
  </si>
  <si>
    <t>BRF  ADS5158007   24R2</t>
  </si>
  <si>
    <t>BRF  ADS5158009   24R3</t>
  </si>
  <si>
    <t>BRF  ADS5158003   24R3</t>
  </si>
  <si>
    <t>BRF  ADS5158590   24R1</t>
  </si>
  <si>
    <t>BRF  ADS5158594XXL24R1</t>
  </si>
  <si>
    <t>BRF  ADS5158591   24R1</t>
  </si>
  <si>
    <t>BRF  ADS5158619   24R1</t>
  </si>
  <si>
    <t>BRF  ADS5158618   24R1</t>
  </si>
  <si>
    <t>BRF  ADS5158617   24R1</t>
  </si>
  <si>
    <t>BRF  ADS5158608   24R1</t>
  </si>
  <si>
    <t>BRF  ADS5158609   24R1</t>
  </si>
  <si>
    <t>BRF  ADS5158603   24R1</t>
  </si>
  <si>
    <t>LEG  MOTHC659     SS24</t>
  </si>
  <si>
    <t>LEG  MOTHC912     SS24</t>
  </si>
  <si>
    <t>LEG  MOTHC927     SS24</t>
  </si>
  <si>
    <t>TOP  ARASK2153    SS24</t>
  </si>
  <si>
    <t>SPANTEIG910009476 LC23</t>
  </si>
  <si>
    <t>TSHRTBDGOREGON    LC24</t>
  </si>
  <si>
    <t>TSHRTBSIFAMO      LC24</t>
  </si>
  <si>
    <t>TOP  RMKWOMEN TOP2LC24</t>
  </si>
  <si>
    <t>BOTTMRMKWOMAN BTM2LC24</t>
  </si>
  <si>
    <t>MANSTRMKMANSET    LC24</t>
  </si>
  <si>
    <t>MANSTRMKMANSET 2  LC24</t>
  </si>
  <si>
    <t>MANSTRMKMANSET 3  LC24</t>
  </si>
  <si>
    <t>STYLE</t>
  </si>
  <si>
    <t>KETERANGAN 1</t>
  </si>
  <si>
    <t>KETERANGAN 2</t>
  </si>
  <si>
    <t>KETERANGAN 3</t>
  </si>
  <si>
    <t>TANGGAL</t>
  </si>
  <si>
    <t>TOTAL</t>
  </si>
  <si>
    <t xml:space="preserve"> MANSTRMKMANSET 3  24L1, BOTTMRMKWOMAN BTM7LC24</t>
  </si>
  <si>
    <t>Line Cost GM1</t>
  </si>
  <si>
    <t xml:space="preserve">JCT  </t>
  </si>
  <si>
    <t>CRPAN</t>
  </si>
  <si>
    <t>PANTS</t>
  </si>
  <si>
    <t>TSHRT</t>
  </si>
  <si>
    <t xml:space="preserve">TOP  </t>
  </si>
  <si>
    <t xml:space="preserve">LEG  </t>
  </si>
  <si>
    <t xml:space="preserve">BRF  </t>
  </si>
  <si>
    <t>CNECK</t>
  </si>
  <si>
    <t xml:space="preserve">TATO </t>
  </si>
  <si>
    <t xml:space="preserve">CVRL </t>
  </si>
  <si>
    <t>SPANT</t>
  </si>
  <si>
    <t>MANST</t>
  </si>
  <si>
    <t>BOTTM</t>
  </si>
  <si>
    <t>Tanggal</t>
  </si>
  <si>
    <t>CM</t>
  </si>
  <si>
    <t>FOB</t>
  </si>
  <si>
    <t>CMT</t>
  </si>
  <si>
    <t>Style</t>
  </si>
  <si>
    <t>Item</t>
  </si>
  <si>
    <t>Grand Total</t>
  </si>
  <si>
    <t>Sum of Amount.CM(USD)</t>
  </si>
  <si>
    <t>Sum of Cost.Proporsional(US)</t>
  </si>
  <si>
    <t>Sum of Profit.Lost(USD)</t>
  </si>
  <si>
    <t>L1 Total</t>
  </si>
  <si>
    <t>MARUBENI CORPORATION JEPANG Total</t>
  </si>
  <si>
    <t>L2 Total</t>
  </si>
  <si>
    <t>L3 Total</t>
  </si>
  <si>
    <t>MARUBENI INTEX Co., Ltd. Total</t>
  </si>
  <si>
    <t>CBA Total</t>
  </si>
  <si>
    <t>EIGERINDO MULTI PRODUK INDUSTRI, PT. Total</t>
  </si>
  <si>
    <t>L4 Total</t>
  </si>
  <si>
    <t>RS MITRA KELUARGA Total</t>
  </si>
  <si>
    <t>CHW Total</t>
  </si>
  <si>
    <t>CJL Total</t>
  </si>
  <si>
    <t>L6 Total</t>
  </si>
  <si>
    <t>L5 Total</t>
  </si>
  <si>
    <t>PT. BUANA DAYA GEMILANG Total</t>
  </si>
  <si>
    <t>CNJ2 Total</t>
  </si>
  <si>
    <t>ASMARA KARYA ABADI, PT. Total</t>
  </si>
  <si>
    <t>L7 Total</t>
  </si>
  <si>
    <t>L8 Total</t>
  </si>
  <si>
    <t>KANMO RETAIL GROUP Total</t>
  </si>
  <si>
    <t>L10 Total</t>
  </si>
  <si>
    <t>L9 Total</t>
  </si>
  <si>
    <t>MARUBENI FASHION LINK LTD. Total</t>
  </si>
  <si>
    <t>CVA Total</t>
  </si>
  <si>
    <t>CVA2 Total</t>
  </si>
  <si>
    <t>L1A Total</t>
  </si>
  <si>
    <t>L1B Total</t>
  </si>
  <si>
    <t>L2A Total</t>
  </si>
  <si>
    <t>L2B Total</t>
  </si>
  <si>
    <t>L3A Total</t>
  </si>
  <si>
    <t>L3B Total</t>
  </si>
  <si>
    <t>AGRON, INC. Total</t>
  </si>
  <si>
    <t>KLB Total</t>
  </si>
  <si>
    <t>L11 Total</t>
  </si>
  <si>
    <t>L12 Total</t>
  </si>
  <si>
    <t>CV. BI-ENSI FESYENINDO Total</t>
  </si>
  <si>
    <t>RED WING SHOE COMPANY Total</t>
  </si>
  <si>
    <t>RED WING SHOE COMPANY LLC Total</t>
  </si>
  <si>
    <t>MJ1 Total</t>
  </si>
  <si>
    <t>L13 Total</t>
  </si>
  <si>
    <t>MJ2 Total</t>
  </si>
  <si>
    <t>Sum of FOB</t>
  </si>
  <si>
    <t>Sum of CMT</t>
  </si>
  <si>
    <t>Total Sales</t>
  </si>
  <si>
    <t>Sum of QTY</t>
  </si>
  <si>
    <t>CM (USD)</t>
  </si>
  <si>
    <t>Resume P&amp;L Product periode 1 - 02 April 2024</t>
  </si>
  <si>
    <t>Periode Minggu</t>
  </si>
  <si>
    <t>01 - 02 Apr</t>
  </si>
  <si>
    <t>Sum of Amount.CM</t>
  </si>
  <si>
    <t>Periode 01 - 02 Apr 2024</t>
  </si>
  <si>
    <t>Sum of Sum of Profit.Lost(USD)</t>
  </si>
  <si>
    <t>01 - 02 Apr 2024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</si>
  <si>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</si>
  <si>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</si>
  <si>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</si>
  <si>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</si>
  <si>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</si>
  <si>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</si>
  <si>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</si>
  <si>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</si>
  <si>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</si>
  <si>
    <t>Resume PL</t>
  </si>
  <si>
    <t>Output(Pcs)</t>
  </si>
  <si>
    <t>Cost/Line(Usd)</t>
  </si>
  <si>
    <t>INCOME</t>
  </si>
  <si>
    <t>Profit</t>
  </si>
  <si>
    <t>Sum of Profit.Lost(USD) Daily</t>
  </si>
  <si>
    <t>Sum of Income</t>
  </si>
  <si>
    <t>MARUBENI</t>
  </si>
  <si>
    <t>PT.</t>
  </si>
  <si>
    <t>ASMARA</t>
  </si>
  <si>
    <t>KANMO</t>
  </si>
  <si>
    <t>RS</t>
  </si>
  <si>
    <t>EIGERINDO</t>
  </si>
  <si>
    <t>AGRON</t>
  </si>
  <si>
    <t>JCT  MC</t>
  </si>
  <si>
    <t>CRPANMC</t>
  </si>
  <si>
    <t>PANTSMC</t>
  </si>
  <si>
    <t>TSHRTBD</t>
  </si>
  <si>
    <t>TOP  MC</t>
  </si>
  <si>
    <t>TOP  AR</t>
  </si>
  <si>
    <t>LEG  MF</t>
  </si>
  <si>
    <t>LEG  MO</t>
  </si>
  <si>
    <t>BRF  AD</t>
  </si>
  <si>
    <t>TOP  RM</t>
  </si>
  <si>
    <t>SPANTEI</t>
  </si>
  <si>
    <t>BOTTMRM</t>
  </si>
  <si>
    <t>OUTPUT</t>
  </si>
  <si>
    <t>Cost/Line(USD)</t>
  </si>
  <si>
    <t>CBA LINE L1</t>
  </si>
  <si>
    <t>PROFIT</t>
  </si>
  <si>
    <t>CBA LINE L2</t>
  </si>
  <si>
    <t>CBA LINE L3</t>
  </si>
  <si>
    <t>CHW LINE L1</t>
  </si>
  <si>
    <t>CHW LINE L2</t>
  </si>
  <si>
    <t>CHW LINE L3</t>
  </si>
  <si>
    <t xml:space="preserve"> RS, RS, RS,</t>
  </si>
  <si>
    <t xml:space="preserve"> MANSTRM, MANSTRM, MANSTRM,</t>
  </si>
  <si>
    <t>CHW LINE L4</t>
  </si>
  <si>
    <t>CJL LINE L3</t>
  </si>
  <si>
    <t>CNJ2 LINE L1</t>
  </si>
  <si>
    <t>CNJ2 LINE L3</t>
  </si>
  <si>
    <t xml:space="preserve"> MARUBENI, MARUBENI,</t>
  </si>
  <si>
    <t xml:space="preserve"> TOP  MC, TOP  MC,</t>
  </si>
  <si>
    <t>CNJ2 LINE L4</t>
  </si>
  <si>
    <t>CNJ2 LINE L5</t>
  </si>
  <si>
    <t>CNJ2 LINE L6</t>
  </si>
  <si>
    <t>CVA LINE L1</t>
  </si>
  <si>
    <t>CVA LINE L10</t>
  </si>
  <si>
    <t>CVA LINE L2</t>
  </si>
  <si>
    <t xml:space="preserve"> ASMARA, ASMARA,</t>
  </si>
  <si>
    <t xml:space="preserve"> TOP  AR, TOP  AR,</t>
  </si>
  <si>
    <t>CVA LINE L3</t>
  </si>
  <si>
    <t>CVA LINE L4</t>
  </si>
  <si>
    <t xml:space="preserve"> LEG  MF, LEG  MF,</t>
  </si>
  <si>
    <t>CVA LINE L5</t>
  </si>
  <si>
    <t>CVA LINE L6</t>
  </si>
  <si>
    <t>CVA LINE L7</t>
  </si>
  <si>
    <t xml:space="preserve"> KANMO, KANMO,</t>
  </si>
  <si>
    <t xml:space="preserve"> LEG  MO, LEG  MO,</t>
  </si>
  <si>
    <t>CVA LINE L8</t>
  </si>
  <si>
    <t xml:space="preserve"> KANMO, KANMO, KANMO,</t>
  </si>
  <si>
    <t xml:space="preserve"> LEG  MO, LEG  MO, LEG  MO,</t>
  </si>
  <si>
    <t>CVA LINE L9</t>
  </si>
  <si>
    <t>KLB LINE L1A</t>
  </si>
  <si>
    <t xml:space="preserve"> AGRON, AGRON,</t>
  </si>
  <si>
    <t xml:space="preserve"> BRF  AD, BRF  AD,</t>
  </si>
  <si>
    <t>KLB LINE L1B</t>
  </si>
  <si>
    <t>KLB LINE L2A</t>
  </si>
  <si>
    <t xml:space="preserve"> AGRON, AGRON, AGRON,</t>
  </si>
  <si>
    <t xml:space="preserve"> BRF  AD, BRF  AD, BRF  AD,</t>
  </si>
  <si>
    <t>KLB LINE L2B</t>
  </si>
  <si>
    <t>KLB LINE L3A</t>
  </si>
  <si>
    <t>KLB LINE L3B</t>
  </si>
  <si>
    <t>MJ1 LINE L1</t>
  </si>
  <si>
    <t>MJ1 LINE L11</t>
  </si>
  <si>
    <t>MJ1 LINE L12</t>
  </si>
  <si>
    <t>MJ1 LINE L2</t>
  </si>
  <si>
    <t>MJ1 LINE L3</t>
  </si>
  <si>
    <t>MJ1 LINE L4</t>
  </si>
  <si>
    <t xml:space="preserve"> AGRON, AGRON, CV. BI-ENSI, CV. BI-ENSI, CV. BI-ENSI, CV. BI-ENSI,</t>
  </si>
  <si>
    <t xml:space="preserve"> CNECKAD, TATO AD, TSHRTBS, TSHRTBS, TSHRTBS, TSHRTBS,</t>
  </si>
  <si>
    <t>MJ1 LINE L5</t>
  </si>
  <si>
    <t xml:space="preserve"> RED, RED,</t>
  </si>
  <si>
    <t xml:space="preserve"> CVRL RE, CVRL RE,</t>
  </si>
  <si>
    <t>MJ1 LINE L6</t>
  </si>
  <si>
    <t>MJ2 LINE L1</t>
  </si>
  <si>
    <t>MJ2 LINE L10</t>
  </si>
  <si>
    <t>MJ2 LINE L11</t>
  </si>
  <si>
    <t>MJ2 LINE L12</t>
  </si>
  <si>
    <t>MJ2 LINE L13</t>
  </si>
  <si>
    <t>MJ2 LINE L2</t>
  </si>
  <si>
    <t>MJ2 LINE L3</t>
  </si>
  <si>
    <t>MJ2 LINE L4</t>
  </si>
  <si>
    <t>MJ2 LINE L5</t>
  </si>
  <si>
    <t>MJ2 LINE L6</t>
  </si>
  <si>
    <t>MJ2 LINE L7</t>
  </si>
  <si>
    <t>MJ2 LINE L8</t>
  </si>
  <si>
    <t>MJ2 LINE L9</t>
  </si>
  <si>
    <t>CVA2 LINE L1</t>
  </si>
  <si>
    <t>CVA2 LINE 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</si>
</sst>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44" formatCode="_(&quot;$&quot;* #,##0.00_);_(&quot;$&quot;* \(#,##0.00\);_(&quot;$&quot;* &quot;-&quot;??_);_(@_)"/>
    <numFmt numFmtId="164" formatCode="dddd"/>
    <numFmt numFmtId="165" formatCode="m/d/yy;@"/>
    <numFmt numFmtId="169" formatCode="0.0"/>
    <numFmt numFmtId="170" formatCode="d\ mmm\ yyyy"/>
    <numFmt numFmtId="171" formatCode="_(&quot;$&quot;* #,##0.00_);_(&quot;$&quot;* \(#,##0.0\);_(&quot;$&quot;* &quot;-&quot;??_);_(@_)"/>
    <numFmt numFmtId="172" formatCode="&quot;$&quot;#,##0.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Bahnschrift SemiBold Condensed"/>
      <family val="2"/>
    </font>
    <font>
      <sz val="11"/>
      <color theme="1"/>
      <name val="Bahnschrift Light"/>
      <family val="2"/>
    </font>
    <font>
      <sz val="11"/>
      <color theme="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44" fontId="5" fillId="0" borderId="0" applyFont="0" applyFill="0" applyBorder="0" applyAlignment="0" applyProtection="0"/>
  </cellStyleXfs>
  <cellXfs count="148">
    <xf numFmtId="0" fontId="0" fillId="0" borderId="0" xfId="0"/>
    <xf numFmtId="14" fontId="0" fillId="0" borderId="0" xfId="0" applyNumberFormat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0" fillId="4" borderId="6" xfId="0" applyFill="1" applyBorder="1"/>
    <xf numFmtId="0" fontId="0" fillId="4" borderId="7" xfId="0" applyFill="1" applyBorder="1"/>
    <xf numFmtId="0" fontId="0" fillId="3" borderId="4" xfId="0" applyFill="1" applyBorder="1"/>
    <xf numFmtId="0" fontId="0" fillId="3" borderId="0" xfId="0" applyFill="1"/>
    <xf numFmtId="14" fontId="0" fillId="3" borderId="0" xfId="0" applyNumberFormat="1" applyFill="1"/>
    <xf numFmtId="0" fontId="0" fillId="4" borderId="0" xfId="0" applyFill="1"/>
    <xf numFmtId="0" fontId="1" fillId="6" borderId="1" xfId="0" applyFont="1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4" fillId="5" borderId="15" xfId="0" applyFont="1" applyFill="1" applyBorder="1"/>
    <xf numFmtId="0" fontId="1" fillId="2" borderId="15" xfId="0" applyFont="1" applyFill="1" applyBorder="1"/>
    <xf numFmtId="0" fontId="3" fillId="0" borderId="0" xfId="1"/>
    <xf numFmtId="0" fontId="6" fillId="0" borderId="0" xfId="1" applyFont="1"/>
    <xf numFmtId="0" fontId="7" fillId="0" borderId="0" xfId="0" applyFont="1"/>
    <xf numFmtId="0" fontId="8" fillId="0" borderId="0" xfId="0" applyFont="1"/>
    <xf numFmtId="14" fontId="9" fillId="0" borderId="0" xfId="0" applyNumberFormat="1" applyFont="1"/>
    <xf numFmtId="0" fontId="9" fillId="0" borderId="0" xfId="0" applyFont="1"/>
    <xf numFmtId="0" fontId="0" fillId="7" borderId="0" xfId="0" applyFill="1"/>
    <xf numFmtId="0" fontId="0" fillId="7" borderId="5" xfId="0" applyFill="1" applyBorder="1"/>
    <xf numFmtId="0" fontId="9" fillId="7" borderId="5" xfId="0" applyFont="1" applyFill="1" applyBorder="1"/>
    <xf numFmtId="0" fontId="9" fillId="7" borderId="0" xfId="0" applyFont="1" applyFill="1"/>
    <xf numFmtId="0" fontId="9" fillId="7" borderId="7" xfId="0" applyFont="1" applyFill="1" applyBorder="1"/>
    <xf numFmtId="0" fontId="9" fillId="7" borderId="8" xfId="0" applyFont="1" applyFill="1" applyBorder="1"/>
    <xf numFmtId="0" fontId="9" fillId="7" borderId="2" xfId="0" applyFont="1" applyFill="1" applyBorder="1"/>
    <xf numFmtId="0" fontId="0" fillId="7" borderId="2" xfId="0" applyFill="1" applyBorder="1"/>
    <xf numFmtId="0" fontId="0" fillId="7" borderId="7" xfId="0" applyFill="1" applyBorder="1"/>
    <xf numFmtId="0" fontId="3" fillId="7" borderId="11" xfId="1" applyFill="1" applyBorder="1"/>
    <xf numFmtId="16" fontId="0" fillId="7" borderId="9" xfId="0" quotePrefix="1" applyNumberFormat="1" applyFill="1" applyBorder="1"/>
    <xf numFmtId="0" fontId="3" fillId="7" borderId="10" xfId="1" applyFill="1" applyBorder="1"/>
    <xf numFmtId="0" fontId="2" fillId="7" borderId="11" xfId="0" applyFont="1" applyFill="1" applyBorder="1"/>
    <xf numFmtId="0" fontId="0" fillId="6" borderId="0" xfId="0" applyFill="1"/>
    <xf numFmtId="164" fontId="0" fillId="0" borderId="0" xfId="0" applyNumberFormat="1"/>
    <xf numFmtId="165" fontId="0" fillId="0" borderId="0" xfId="0" applyNumberFormat="1"/>
    <xf numFmtId="0" fontId="0" fillId="3" borderId="9" xfId="0" applyFill="1" applyBorder="1"/>
    <xf numFmtId="0" fontId="3" fillId="3" borderId="10" xfId="1" applyFill="1" applyBorder="1"/>
    <xf numFmtId="0" fontId="3" fillId="0" borderId="0" xfId="1" applyBorder="1"/>
    <xf numFmtId="16" fontId="3" fillId="0" borderId="0" xfId="1" quotePrefix="1" applyNumberFormat="1"/>
    <xf numFmtId="0" fontId="0" fillId="3" borderId="1" xfId="0" applyFill="1" applyBorder="1"/>
    <xf numFmtId="0" fontId="0" fillId="4" borderId="1" xfId="0" applyFill="1" applyBorder="1"/>
    <xf numFmtId="0" fontId="0" fillId="2" borderId="1" xfId="0" applyFill="1" applyBorder="1"/>
    <xf numFmtId="0" fontId="0" fillId="2" borderId="2" xfId="0" applyFill="1" applyBorder="1"/>
    <xf numFmtId="0" fontId="1" fillId="0" borderId="0" xfId="0" applyFo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16" xfId="0" applyBorder="1"/>
    <xf numFmtId="0" fontId="0" fillId="0" borderId="16" xfId="0" applyBorder="1" applyAlignment="1">
      <alignment horizontal="center"/>
    </xf>
    <xf numFmtId="3" fontId="0" fillId="0" borderId="16" xfId="0" applyNumberFormat="1" applyBorder="1"/>
    <xf numFmtId="0" fontId="0" fillId="0" borderId="0" xfId="0" applyAlignment="1">
      <alignment horizontal="center"/>
    </xf>
    <xf numFmtId="0" fontId="0" fillId="0" borderId="0" xfId="0" applyNumberFormat="1"/>
    <xf numFmtId="0" fontId="1" fillId="9" borderId="16" xfId="0" applyFont="1" applyFill="1" applyBorder="1"/>
    <xf numFmtId="0" fontId="1" fillId="0" borderId="16" xfId="0" applyFont="1" applyBorder="1"/>
    <xf numFmtId="0" fontId="1" fillId="10" borderId="16" xfId="0" applyFont="1" applyFill="1" applyBorder="1"/>
    <xf numFmtId="169" fontId="0" fillId="0" borderId="16" xfId="0" applyNumberFormat="1" applyBorder="1"/>
    <xf numFmtId="169" fontId="1" fillId="9" borderId="16" xfId="0" applyNumberFormat="1" applyFont="1" applyFill="1" applyBorder="1"/>
    <xf numFmtId="169" fontId="1" fillId="10" borderId="16" xfId="0" applyNumberFormat="1" applyFont="1" applyFill="1" applyBorder="1"/>
    <xf numFmtId="169" fontId="0" fillId="0" borderId="0" xfId="0" applyNumberFormat="1"/>
    <xf numFmtId="40" fontId="0" fillId="0" borderId="16" xfId="0" applyNumberFormat="1" applyBorder="1"/>
    <xf numFmtId="40" fontId="1" fillId="9" borderId="16" xfId="0" applyNumberFormat="1" applyFont="1" applyFill="1" applyBorder="1"/>
    <xf numFmtId="40" fontId="1" fillId="10" borderId="16" xfId="0" applyNumberFormat="1" applyFont="1" applyFill="1" applyBorder="1"/>
    <xf numFmtId="40" fontId="0" fillId="0" borderId="0" xfId="0" applyNumberFormat="1"/>
    <xf numFmtId="3" fontId="1" fillId="9" borderId="16" xfId="0" applyNumberFormat="1" applyFont="1" applyFill="1" applyBorder="1"/>
    <xf numFmtId="3" fontId="1" fillId="10" borderId="16" xfId="0" applyNumberFormat="1" applyFont="1" applyFill="1" applyBorder="1"/>
    <xf numFmtId="3" fontId="0" fillId="0" borderId="0" xfId="0" applyNumberFormat="1"/>
    <xf numFmtId="38" fontId="0" fillId="0" borderId="0" xfId="0" applyNumberFormat="1"/>
    <xf numFmtId="38" fontId="1" fillId="9" borderId="16" xfId="0" applyNumberFormat="1" applyFont="1" applyFill="1" applyBorder="1"/>
    <xf numFmtId="38" fontId="0" fillId="0" borderId="16" xfId="0" applyNumberFormat="1" applyBorder="1"/>
    <xf numFmtId="38" fontId="1" fillId="10" borderId="16" xfId="0" applyNumberFormat="1" applyFont="1" applyFill="1" applyBorder="1"/>
    <xf numFmtId="0" fontId="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" fillId="9" borderId="16" xfId="0" applyNumberFormat="1" applyFont="1" applyFill="1" applyBorder="1"/>
    <xf numFmtId="0" fontId="0" fillId="0" borderId="16" xfId="0" applyNumberFormat="1" applyBorder="1"/>
    <xf numFmtId="0" fontId="1" fillId="10" borderId="16" xfId="0" applyNumberFormat="1" applyFont="1" applyFill="1" applyBorder="1"/>
    <xf numFmtId="0" fontId="1" fillId="9" borderId="16" xfId="0" applyFont="1" applyFill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0" fillId="0" borderId="16" xfId="0" applyBorder="1" applyAlignment="1">
      <alignment horizontal="left"/>
    </xf>
    <xf numFmtId="0" fontId="1" fillId="9" borderId="16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1" borderId="16" xfId="0" applyFont="1" applyFill="1" applyBorder="1"/>
    <xf numFmtId="0" fontId="1" fillId="11" borderId="16" xfId="0" applyFont="1" applyFill="1" applyBorder="1" applyAlignment="1">
      <alignment horizontal="left"/>
    </xf>
    <xf numFmtId="40" fontId="1" fillId="11" borderId="16" xfId="0" applyNumberFormat="1" applyFont="1" applyFill="1" applyBorder="1"/>
    <xf numFmtId="40" fontId="1" fillId="0" borderId="0" xfId="0" applyNumberFormat="1" applyFont="1"/>
    <xf numFmtId="3" fontId="1" fillId="11" borderId="16" xfId="0" applyNumberFormat="1" applyFont="1" applyFill="1" applyBorder="1"/>
    <xf numFmtId="0" fontId="13" fillId="0" borderId="0" xfId="0" applyFont="1" applyAlignment="1">
      <alignment horizontal="center"/>
    </xf>
    <xf numFmtId="40" fontId="1" fillId="0" borderId="16" xfId="0" applyNumberFormat="1" applyFont="1" applyBorder="1"/>
    <xf numFmtId="40" fontId="1" fillId="8" borderId="16" xfId="0" applyNumberFormat="1" applyFont="1" applyFill="1" applyBorder="1" applyAlignment="1">
      <alignment vertical="center"/>
    </xf>
    <xf numFmtId="0" fontId="1" fillId="12" borderId="16" xfId="0" applyFont="1" applyFill="1" applyBorder="1"/>
    <xf numFmtId="40" fontId="1" fillId="12" borderId="16" xfId="0" applyNumberFormat="1" applyFont="1" applyFill="1" applyBorder="1"/>
    <xf numFmtId="40" fontId="1" fillId="12" borderId="16" xfId="0" applyNumberFormat="1" applyFont="1" applyFill="1" applyBorder="1" applyAlignment="1">
      <alignment vertical="center"/>
    </xf>
    <xf numFmtId="170" fontId="1" fillId="0" borderId="16" xfId="0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16" fontId="0" fillId="0" borderId="0" xfId="0" applyNumberFormat="1"/>
    <xf numFmtId="6" fontId="0" fillId="0" borderId="0" xfId="0" applyNumberFormat="1"/>
    <xf numFmtId="16" fontId="0" fillId="0" borderId="16" xfId="0" applyNumberFormat="1" applyBorder="1"/>
    <xf numFmtId="0" fontId="1" fillId="0" borderId="16" xfId="0" applyFont="1" applyBorder="1" applyAlignment="1">
      <alignment horizontal="center" vertical="center"/>
    </xf>
    <xf numFmtId="6" fontId="0" fillId="0" borderId="16" xfId="0" applyNumberFormat="1" applyBorder="1"/>
    <xf numFmtId="16" fontId="0" fillId="12" borderId="16" xfId="0" applyNumberFormat="1" applyFill="1" applyBorder="1"/>
    <xf numFmtId="171" fontId="0" fillId="0" borderId="16" xfId="0" applyNumberFormat="1" applyBorder="1"/>
    <xf numFmtId="0" fontId="10" fillId="0" borderId="0" xfId="0" applyFont="1"/>
    <xf numFmtId="16" fontId="1" fillId="0" borderId="16" xfId="0" applyNumberFormat="1" applyFont="1" applyBorder="1"/>
    <xf numFmtId="16" fontId="1" fillId="8" borderId="16" xfId="0" applyNumberFormat="1" applyFont="1" applyFill="1" applyBorder="1"/>
    <xf numFmtId="16" fontId="1" fillId="8" borderId="16" xfId="0" applyNumberFormat="1" applyFont="1" applyFill="1" applyBorder="1" applyAlignment="1">
      <alignment horizontal="center"/>
    </xf>
    <xf numFmtId="16" fontId="1" fillId="0" borderId="0" xfId="0" applyNumberFormat="1" applyFont="1"/>
    <xf numFmtId="0" fontId="1" fillId="0" borderId="0" xfId="0" applyNumberFormat="1" applyFont="1"/>
    <xf numFmtId="6" fontId="1" fillId="0" borderId="16" xfId="0" applyNumberFormat="1" applyFont="1" applyBorder="1"/>
    <xf numFmtId="0" fontId="1" fillId="0" borderId="16" xfId="0" applyNumberFormat="1" applyFont="1" applyBorder="1"/>
    <xf numFmtId="3" fontId="1" fillId="0" borderId="16" xfId="0" applyNumberFormat="1" applyFont="1" applyBorder="1"/>
    <xf numFmtId="16" fontId="1" fillId="12" borderId="16" xfId="0" applyNumberFormat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" fillId="12" borderId="16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16" fontId="1" fillId="12" borderId="16" xfId="0" applyNumberFormat="1" applyFont="1" applyFill="1" applyBorder="1"/>
    <xf numFmtId="172" fontId="0" fillId="0" borderId="16" xfId="0" applyNumberFormat="1" applyBorder="1"/>
    <xf numFmtId="172" fontId="1" fillId="0" borderId="16" xfId="0" applyNumberFormat="1" applyFont="1" applyBorder="1"/>
    <xf numFmtId="0" fontId="1" fillId="8" borderId="21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6" fontId="1" fillId="0" borderId="0" xfId="0" applyNumberFormat="1" applyFont="1"/>
  </cellXfs>
  <cellStyles count="4">
    <cellStyle name="Currency 2" xfId="3" xr:uid="{00000000-0005-0000-0000-000000000000}"/>
    <cellStyle name="Hyperlink" xfId="1" builtinId="8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Loss April_CBA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CBA!$C$4:$D$4</c:f>
              <c:numCache>
                <c:formatCode>General</c:formatCode>
                <c:ptCount val="2"/>
                <c:pt idx="0">
                  <c:v>655</c:v>
                </c:pt>
                <c:pt idx="1">
                  <c:v>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7-423F-9C44-DBDAF792BE69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CBA!$C$5:$D$5</c:f>
              <c:numCache>
                <c:formatCode>_("$"* #,##0.00_);_("$"* \(#,##0.0\);_("$"* "-"??_);_(@_)</c:formatCode>
                <c:ptCount val="2"/>
                <c:pt idx="0">
                  <c:v>2133.0500000000002</c:v>
                </c:pt>
                <c:pt idx="1">
                  <c:v>2133.0500000000002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7-423F-9C44-DBDAF792BE69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CBA!$C$6:$D$6</c:f>
              <c:numCache>
                <c:formatCode>_("$"* #,##0.00_);_("$"* \(#,##0.0\);_("$"* "-"??_);_(@_)</c:formatCode>
                <c:ptCount val="2"/>
                <c:pt idx="0">
                  <c:v>1824</c:v>
                </c:pt>
                <c:pt idx="1">
                  <c:v>1824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7-423F-9C44-DBDAF792B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337520"/>
        <c:axId val="134341264"/>
      </c:lineChart>
      <c:dateAx>
        <c:axId val="134337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41264"/>
        <c:crosses val="autoZero"/>
        <c:auto val="1"/>
        <c:lblOffset val="100"/>
        <c:baseTimeUnit val="days"/>
      </c:dateAx>
      <c:valAx>
        <c:axId val="1343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CBA LINE L1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CBA!$C$34:$D$34</c:f>
              <c:numCache>
                <c:formatCode>General</c:formatCode>
                <c:ptCount val="2"/>
                <c:pt idx="0">
                  <c:v>180</c:v>
                </c:pt>
                <c:pt idx="1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C-4318-9D4C-24038325713E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CBA!$C$35:$D$35</c:f>
              <c:numCache>
                <c:formatCode>"$"#,##0_);[Red]\("$"#,##0\)</c:formatCode>
                <c:ptCount val="2"/>
                <c:pt idx="0">
                  <c:v>712.8</c:v>
                </c:pt>
                <c:pt idx="1">
                  <c:v>712.8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5C-4318-9D4C-24038325713E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CBA!$C$36:$D$36</c:f>
              <c:numCache>
                <c:formatCode>"$"#,##0_);[Red]\("$"#,##0\)</c:formatCode>
                <c:ptCount val="2"/>
                <c:pt idx="0">
                  <c:v>608</c:v>
                </c:pt>
                <c:pt idx="1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5C-4318-9D4C-24038325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6375312"/>
        <c:axId val="1606374896"/>
      </c:lineChart>
      <c:dateAx>
        <c:axId val="160637531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374896"/>
        <c:crosses val="autoZero"/>
        <c:auto val="1"/>
        <c:lblOffset val="100"/>
        <c:baseTimeUnit val="days"/>
      </c:dateAx>
      <c:valAx>
        <c:axId val="160637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37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CBA LINE L2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CBA!$C$60:$D$60</c:f>
              <c:numCache>
                <c:formatCode>General</c:formatCode>
                <c:ptCount val="2"/>
                <c:pt idx="0">
                  <c:v>240</c:v>
                </c:pt>
                <c:pt idx="1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90-4118-A7C3-AFC9CAA1B163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CBA!$C$61:$D$61</c:f>
              <c:numCache>
                <c:formatCode>"$"#,##0_);[Red]\("$"#,##0\)</c:formatCode>
                <c:ptCount val="2"/>
                <c:pt idx="0">
                  <c:v>717.6</c:v>
                </c:pt>
                <c:pt idx="1">
                  <c:v>717.6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90-4118-A7C3-AFC9CAA1B163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CBA!$C$62:$D$62</c:f>
              <c:numCache>
                <c:formatCode>"$"#,##0_);[Red]\("$"#,##0\)</c:formatCode>
                <c:ptCount val="2"/>
                <c:pt idx="0">
                  <c:v>608</c:v>
                </c:pt>
                <c:pt idx="1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90-4118-A7C3-AFC9CAA1B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0096"/>
        <c:axId val="13025088"/>
      </c:lineChart>
      <c:dateAx>
        <c:axId val="1302009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088"/>
        <c:crosses val="autoZero"/>
        <c:auto val="1"/>
        <c:lblOffset val="100"/>
        <c:baseTimeUnit val="days"/>
      </c:dateAx>
      <c:valAx>
        <c:axId val="1302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CBA LINE L3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CBA!$C$86:$D$86</c:f>
              <c:numCache>
                <c:formatCode>General</c:formatCode>
                <c:ptCount val="2"/>
                <c:pt idx="0">
                  <c:v>235</c:v>
                </c:pt>
                <c:pt idx="1">
                  <c:v>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C0-491A-A901-9E9A9B1467F8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CBA!$C$87:$D$87</c:f>
              <c:numCache>
                <c:formatCode>"$"#,##0_);[Red]\("$"#,##0\)</c:formatCode>
                <c:ptCount val="2"/>
                <c:pt idx="0">
                  <c:v>702.65</c:v>
                </c:pt>
                <c:pt idx="1">
                  <c:v>702.65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C0-491A-A901-9E9A9B1467F8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CBA!$C$82:$D$82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CBA!$C$88:$D$88</c:f>
              <c:numCache>
                <c:formatCode>"$"#,##0_);[Red]\("$"#,##0\)</c:formatCode>
                <c:ptCount val="2"/>
                <c:pt idx="0">
                  <c:v>608</c:v>
                </c:pt>
                <c:pt idx="1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C0-491A-A901-9E9A9B146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336688"/>
        <c:axId val="134351248"/>
      </c:lineChart>
      <c:dateAx>
        <c:axId val="13433668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51248"/>
        <c:crosses val="autoZero"/>
        <c:auto val="1"/>
        <c:lblOffset val="100"/>
        <c:baseTimeUnit val="days"/>
      </c:dateAx>
      <c:valAx>
        <c:axId val="13435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Loss April_CJL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CJL!$C$2:$D$2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CJL!$C$4:$D$4</c:f>
              <c:numCache>
                <c:formatCode>General</c:formatCode>
                <c:ptCount val="2"/>
                <c:pt idx="0">
                  <c:v>57</c:v>
                </c:pt>
                <c:pt idx="1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73-49F0-B7DE-F89ECC9BA166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CJL!$C$2:$D$2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CJL!$C$5:$D$5</c:f>
              <c:numCache>
                <c:formatCode>_("$"* #,##0.00_);_("$"* \(#,##0.0\);_("$"* "-"??_);_(@_)</c:formatCode>
                <c:ptCount val="2"/>
                <c:pt idx="0">
                  <c:v>172.14</c:v>
                </c:pt>
                <c:pt idx="1">
                  <c:v>184.22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73-49F0-B7DE-F89ECC9BA166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CJL!$C$2:$D$2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CJL!$C$6:$D$6</c:f>
              <c:numCache>
                <c:formatCode>_("$"* #,##0.00_);_("$"* \(#,##0.0\);_("$"* "-"??_);_(@_)</c:formatCode>
                <c:ptCount val="2"/>
                <c:pt idx="0">
                  <c:v>874</c:v>
                </c:pt>
                <c:pt idx="1">
                  <c:v>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73-49F0-B7DE-F89ECC9BA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366224"/>
        <c:axId val="134360816"/>
      </c:lineChart>
      <c:dateAx>
        <c:axId val="134366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60816"/>
        <c:crosses val="autoZero"/>
        <c:auto val="1"/>
        <c:lblOffset val="100"/>
        <c:baseTimeUnit val="days"/>
      </c:dateAx>
      <c:valAx>
        <c:axId val="13436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6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CJL LINE L3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CJL!$C$30:$D$30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CJL!$C$34:$D$34</c:f>
              <c:numCache>
                <c:formatCode>General</c:formatCode>
                <c:ptCount val="2"/>
                <c:pt idx="0">
                  <c:v>57</c:v>
                </c:pt>
                <c:pt idx="1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47-4B89-A934-CDFD65386B36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CJL!$C$30:$D$30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CJL!$C$35:$D$35</c:f>
              <c:numCache>
                <c:formatCode>"$"#,##0_);[Red]\("$"#,##0\)</c:formatCode>
                <c:ptCount val="2"/>
                <c:pt idx="0">
                  <c:v>172.14</c:v>
                </c:pt>
                <c:pt idx="1">
                  <c:v>184.22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47-4B89-A934-CDFD65386B36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CJL!$C$30:$D$30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CJL!$C$36:$D$36</c:f>
              <c:numCache>
                <c:formatCode>"$"#,##0_);[Red]\("$"#,##0\)</c:formatCode>
                <c:ptCount val="2"/>
                <c:pt idx="0">
                  <c:v>874</c:v>
                </c:pt>
                <c:pt idx="1">
                  <c:v>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47-4B89-A934-CDFD65386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29536"/>
        <c:axId val="53226624"/>
      </c:lineChart>
      <c:dateAx>
        <c:axId val="5322953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6624"/>
        <c:crosses val="autoZero"/>
        <c:auto val="1"/>
        <c:lblOffset val="100"/>
        <c:baseTimeUnit val="days"/>
      </c:dateAx>
      <c:valAx>
        <c:axId val="532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Loss April_CNJ2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'CNJ2'!$C$4:$D$4</c:f>
              <c:numCache>
                <c:formatCode>General</c:formatCode>
                <c:ptCount val="2"/>
                <c:pt idx="0">
                  <c:v>5534</c:v>
                </c:pt>
                <c:pt idx="1">
                  <c:v>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9-4AC5-8819-067CA94B8D6E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'CNJ2'!$C$5:$D$5</c:f>
              <c:numCache>
                <c:formatCode>_("$"* #,##0.00_);_("$"* \(#,##0.0\);_("$"* "-"??_);_(@_)</c:formatCode>
                <c:ptCount val="2"/>
                <c:pt idx="0">
                  <c:v>3708.76</c:v>
                </c:pt>
                <c:pt idx="1">
                  <c:v>3531.92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9-4AC5-8819-067CA94B8D6E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'CNJ2'!$C$6:$D$6</c:f>
              <c:numCache>
                <c:formatCode>_("$"* #,##0.00_);_("$"* \(#,##0.0\);_("$"* "-"??_);_(@_)</c:formatCode>
                <c:ptCount val="2"/>
                <c:pt idx="0">
                  <c:v>3040</c:v>
                </c:pt>
                <c:pt idx="1">
                  <c:v>3040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9-4AC5-8819-067CA94B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53728"/>
        <c:axId val="10260384"/>
      </c:lineChart>
      <c:dateAx>
        <c:axId val="10253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0384"/>
        <c:crosses val="autoZero"/>
        <c:auto val="1"/>
        <c:lblOffset val="100"/>
        <c:baseTimeUnit val="days"/>
      </c:dateAx>
      <c:valAx>
        <c:axId val="1026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CNJ2 LINE L1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'CNJ2'!$C$34:$D$34</c:f>
              <c:numCache>
                <c:formatCode>General</c:formatCode>
                <c:ptCount val="2"/>
                <c:pt idx="0">
                  <c:v>1800</c:v>
                </c:pt>
                <c:pt idx="1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2F-4C52-84B7-3C6C3411EAF3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'CNJ2'!$C$35:$D$35</c:f>
              <c:numCache>
                <c:formatCode>"$"#,##0_);[Red]\("$"#,##0\)</c:formatCode>
                <c:ptCount val="2"/>
                <c:pt idx="0">
                  <c:v>702</c:v>
                </c:pt>
                <c:pt idx="1">
                  <c:v>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2F-4C52-84B7-3C6C3411EAF3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'CNJ2'!$C$36:$D$36</c:f>
              <c:numCache>
                <c:formatCode>"$"#,##0_);[Red]\("$"#,##0\)</c:formatCode>
                <c:ptCount val="2"/>
                <c:pt idx="0">
                  <c:v>608</c:v>
                </c:pt>
                <c:pt idx="1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2F-4C52-84B7-3C6C3411E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5472464"/>
        <c:axId val="1605473712"/>
      </c:lineChart>
      <c:dateAx>
        <c:axId val="160547246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473712"/>
        <c:crosses val="autoZero"/>
        <c:auto val="1"/>
        <c:lblOffset val="100"/>
        <c:baseTimeUnit val="days"/>
      </c:dateAx>
      <c:valAx>
        <c:axId val="160547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47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CNJ2 LINE L3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'CNJ2'!$C$60:$D$60</c:f>
              <c:numCache>
                <c:formatCode>General</c:formatCode>
                <c:ptCount val="2"/>
                <c:pt idx="0">
                  <c:v>435</c:v>
                </c:pt>
                <c:pt idx="1">
                  <c:v>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B-47AB-94D5-ADD3DF66B52E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'CNJ2'!$C$61:$D$61</c:f>
              <c:numCache>
                <c:formatCode>"$"#,##0_);[Red]\("$"#,##0\)</c:formatCode>
                <c:ptCount val="2"/>
                <c:pt idx="0">
                  <c:v>669.9</c:v>
                </c:pt>
                <c:pt idx="1">
                  <c:v>631.4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1B-47AB-94D5-ADD3DF66B52E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'CNJ2'!$C$62:$D$62</c:f>
              <c:numCache>
                <c:formatCode>"$"#,##0_);[Red]\("$"#,##0\)</c:formatCode>
                <c:ptCount val="2"/>
                <c:pt idx="0">
                  <c:v>608</c:v>
                </c:pt>
                <c:pt idx="1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1B-47AB-94D5-ADD3DF66B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4027520"/>
        <c:axId val="2084028352"/>
      </c:lineChart>
      <c:dateAx>
        <c:axId val="208402752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028352"/>
        <c:crosses val="autoZero"/>
        <c:auto val="1"/>
        <c:lblOffset val="100"/>
        <c:baseTimeUnit val="days"/>
      </c:dateAx>
      <c:valAx>
        <c:axId val="20840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0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CNJ2 LINE L4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'CNJ2'!$C$86:$D$86</c:f>
              <c:numCache>
                <c:formatCode>General</c:formatCode>
                <c:ptCount val="2"/>
                <c:pt idx="0">
                  <c:v>435</c:v>
                </c:pt>
                <c:pt idx="1">
                  <c:v>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EC-4BE0-B62F-54E52949535C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'CNJ2'!$C$87:$D$87</c:f>
              <c:numCache>
                <c:formatCode>"$"#,##0_);[Red]\("$"#,##0\)</c:formatCode>
                <c:ptCount val="2"/>
                <c:pt idx="0">
                  <c:v>669.9</c:v>
                </c:pt>
                <c:pt idx="1">
                  <c:v>631.4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EC-4BE0-B62F-54E52949535C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'CNJ2'!$C$88:$D$88</c:f>
              <c:numCache>
                <c:formatCode>"$"#,##0_);[Red]\("$"#,##0\)</c:formatCode>
                <c:ptCount val="2"/>
                <c:pt idx="0">
                  <c:v>608</c:v>
                </c:pt>
                <c:pt idx="1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EC-4BE0-B62F-54E529495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3740944"/>
        <c:axId val="2083741776"/>
      </c:lineChart>
      <c:dateAx>
        <c:axId val="208374094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41776"/>
        <c:crosses val="autoZero"/>
        <c:auto val="1"/>
        <c:lblOffset val="100"/>
        <c:baseTimeUnit val="days"/>
      </c:dateAx>
      <c:valAx>
        <c:axId val="208374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4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CNJ2 LINE L5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'CNJ2'!$C$112:$D$112</c:f>
              <c:numCache>
                <c:formatCode>General</c:formatCode>
                <c:ptCount val="2"/>
                <c:pt idx="0">
                  <c:v>2364</c:v>
                </c:pt>
                <c:pt idx="1">
                  <c:v>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C-4196-90A8-E37165374E5C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'CNJ2'!$C$113:$D$113</c:f>
              <c:numCache>
                <c:formatCode>"$"#,##0_);[Red]\("$"#,##0\)</c:formatCode>
                <c:ptCount val="2"/>
                <c:pt idx="0">
                  <c:v>921.96</c:v>
                </c:pt>
                <c:pt idx="1">
                  <c:v>822.12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AC-4196-90A8-E37165374E5C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'CNJ2'!$C$114:$D$114</c:f>
              <c:numCache>
                <c:formatCode>"$"#,##0_);[Red]\("$"#,##0\)</c:formatCode>
                <c:ptCount val="2"/>
                <c:pt idx="0">
                  <c:v>608</c:v>
                </c:pt>
                <c:pt idx="1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AC-4196-90A8-E37165374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6201632"/>
        <c:axId val="1376198720"/>
      </c:lineChart>
      <c:dateAx>
        <c:axId val="137620163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198720"/>
        <c:crosses val="autoZero"/>
        <c:auto val="1"/>
        <c:lblOffset val="100"/>
        <c:baseTimeUnit val="days"/>
      </c:dateAx>
      <c:valAx>
        <c:axId val="137619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20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CNJ2 LINE L6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'CNJ2'!$C$138:$D$138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3-4AF7-9CC7-A67CE0F4FA21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'CNJ2'!$C$139:$D$139</c:f>
              <c:numCache>
                <c:formatCode>"$"#,##0_);[Red]\("$"#,##0\)</c:formatCode>
                <c:ptCount val="2"/>
                <c:pt idx="0">
                  <c:v>745</c:v>
                </c:pt>
                <c:pt idx="1">
                  <c:v>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B3-4AF7-9CC7-A67CE0F4FA21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'CNJ2'!$C$134:$D$134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'CNJ2'!$C$140:$D$140</c:f>
              <c:numCache>
                <c:formatCode>"$"#,##0_);[Red]\("$"#,##0\)</c:formatCode>
                <c:ptCount val="2"/>
                <c:pt idx="0">
                  <c:v>608</c:v>
                </c:pt>
                <c:pt idx="1">
                  <c:v>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B3-4AF7-9CC7-A67CE0F4F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7344"/>
        <c:axId val="1806928"/>
      </c:lineChart>
      <c:dateAx>
        <c:axId val="180734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928"/>
        <c:crosses val="autoZero"/>
        <c:auto val="1"/>
        <c:lblOffset val="100"/>
        <c:baseTimeUnit val="days"/>
      </c:dateAx>
      <c:valAx>
        <c:axId val="180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Loss April_CVA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CVA!$C$4:$D$4</c:f>
              <c:numCache>
                <c:formatCode>General</c:formatCode>
                <c:ptCount val="2"/>
                <c:pt idx="0">
                  <c:v>10615</c:v>
                </c:pt>
                <c:pt idx="1">
                  <c:v>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0-4167-BF0B-CDC9C73D4ED2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CVA!$C$5:$D$5</c:f>
              <c:numCache>
                <c:formatCode>_("$"* #,##0.00_);_("$"* \(#,##0.0\);_("$"* "-"??_);_(@_)</c:formatCode>
                <c:ptCount val="2"/>
                <c:pt idx="0">
                  <c:v>6485.81</c:v>
                </c:pt>
                <c:pt idx="1">
                  <c:v>5733.5299999999988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20-4167-BF0B-CDC9C73D4ED2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CVA!$C$6:$D$6</c:f>
              <c:numCache>
                <c:formatCode>_("$"* #,##0.00_);_("$"* \(#,##0.0\);_("$"* "-"??_);_(@_)</c:formatCode>
                <c:ptCount val="2"/>
                <c:pt idx="0">
                  <c:v>5260</c:v>
                </c:pt>
                <c:pt idx="1">
                  <c:v>5260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20-4167-BF0B-CDC9C73D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59552"/>
        <c:axId val="10259136"/>
      </c:lineChart>
      <c:dateAx>
        <c:axId val="10259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9136"/>
        <c:crosses val="autoZero"/>
        <c:auto val="1"/>
        <c:lblOffset val="100"/>
        <c:baseTimeUnit val="days"/>
      </c:dateAx>
      <c:valAx>
        <c:axId val="1025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CVA!$C$34:$D$34</c:f>
              <c:numCache>
                <c:formatCode>General</c:formatCode>
                <c:ptCount val="2"/>
                <c:pt idx="0">
                  <c:v>230</c:v>
                </c:pt>
                <c:pt idx="1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85-4675-96A7-005A25ADCE27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CVA!$C$35:$D$35</c:f>
              <c:numCache>
                <c:formatCode>"$"#,##0_);[Red]\("$"#,##0\)</c:formatCode>
                <c:ptCount val="2"/>
                <c:pt idx="0">
                  <c:v>407.1</c:v>
                </c:pt>
                <c:pt idx="1">
                  <c:v>495.6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85-4675-96A7-005A25ADCE27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CVA!$C$36:$D$36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85-4675-96A7-005A25ADC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2006176"/>
        <c:axId val="2082007424"/>
      </c:lineChart>
      <c:dateAx>
        <c:axId val="208200617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007424"/>
        <c:crosses val="autoZero"/>
        <c:auto val="1"/>
        <c:lblOffset val="100"/>
        <c:baseTimeUnit val="days"/>
      </c:dateAx>
      <c:valAx>
        <c:axId val="208200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00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CVA!$C$60:$D$60</c:f>
              <c:numCache>
                <c:formatCode>General</c:formatCode>
                <c:ptCount val="2"/>
                <c:pt idx="0">
                  <c:v>1050</c:v>
                </c:pt>
                <c:pt idx="1">
                  <c:v>1240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BF-4914-9974-2317FF58D7A7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CVA!$C$61:$D$61</c:f>
              <c:numCache>
                <c:formatCode>"$"#,##0_);[Red]\("$"#,##0\)</c:formatCode>
                <c:ptCount val="2"/>
                <c:pt idx="0">
                  <c:v>472.5</c:v>
                </c:pt>
                <c:pt idx="1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BF-4914-9974-2317FF58D7A7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CVA!$C$62:$D$62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BF-4914-9974-2317FF58D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33280"/>
        <c:axId val="53239104"/>
      </c:lineChart>
      <c:dateAx>
        <c:axId val="5323328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9104"/>
        <c:crosses val="autoZero"/>
        <c:auto val="1"/>
        <c:lblOffset val="100"/>
        <c:baseTimeUnit val="days"/>
      </c:dateAx>
      <c:valAx>
        <c:axId val="5323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CVA!$C$86:$D$86</c:f>
              <c:numCache>
                <c:formatCode>General</c:formatCode>
                <c:ptCount val="2"/>
                <c:pt idx="0">
                  <c:v>210</c:v>
                </c:pt>
                <c:pt idx="1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B-4D4F-98AD-F241ECDA3F9D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CVA!$C$87:$D$87</c:f>
              <c:numCache>
                <c:formatCode>"$"#,##0_);[Red]\("$"#,##0\)</c:formatCode>
                <c:ptCount val="2"/>
                <c:pt idx="0">
                  <c:v>371.7</c:v>
                </c:pt>
                <c:pt idx="1">
                  <c:v>495.6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B-4D4F-98AD-F241ECDA3F9D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CVA!$C$88:$D$88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B-4D4F-98AD-F241ECDA3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96"/>
        <c:axId val="1213664"/>
      </c:lineChart>
      <c:dateAx>
        <c:axId val="121449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64"/>
        <c:crosses val="autoZero"/>
        <c:auto val="1"/>
        <c:lblOffset val="100"/>
        <c:baseTimeUnit val="days"/>
      </c:dateAx>
      <c:valAx>
        <c:axId val="12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CVA!$C$112:$D$112</c:f>
              <c:numCache>
                <c:formatCode>General</c:formatCode>
                <c:ptCount val="2"/>
                <c:pt idx="0">
                  <c:v>1590</c:v>
                </c:pt>
                <c:pt idx="1">
                  <c:v>1455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9-49CA-AABD-CE8A350D065D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CVA!$C$113:$D$113</c:f>
              <c:numCache>
                <c:formatCode>"$"#,##0_);[Red]\("$"#,##0\)</c:formatCode>
                <c:ptCount val="2"/>
                <c:pt idx="0">
                  <c:v>715.5</c:v>
                </c:pt>
                <c:pt idx="1">
                  <c:v>654.75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9-49CA-AABD-CE8A350D065D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CVA!$C$114:$D$114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9-49CA-AABD-CE8A350D0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86912"/>
        <c:axId val="139488576"/>
      </c:lineChart>
      <c:dateAx>
        <c:axId val="13948691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88576"/>
        <c:crosses val="autoZero"/>
        <c:auto val="1"/>
        <c:lblOffset val="100"/>
        <c:baseTimeUnit val="days"/>
      </c:dateAx>
      <c:valAx>
        <c:axId val="13948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8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CVA!$C$138:$D$138</c:f>
              <c:numCache>
                <c:formatCode>General</c:formatCode>
                <c:ptCount val="2"/>
                <c:pt idx="0">
                  <c:v>1730</c:v>
                </c:pt>
                <c:pt idx="1">
                  <c:v>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D-49B7-8612-F2017251A080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CVA!$C$139:$D$139</c:f>
              <c:numCache>
                <c:formatCode>"$"#,##0_);[Red]\("$"#,##0\)</c:formatCode>
                <c:ptCount val="2"/>
                <c:pt idx="0">
                  <c:v>778.5</c:v>
                </c:pt>
                <c:pt idx="1">
                  <c:v>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3D-49B7-8612-F2017251A080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CVA!$C$140:$D$140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3D-49B7-8612-F2017251A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03120"/>
        <c:axId val="52200208"/>
      </c:lineChart>
      <c:dateAx>
        <c:axId val="5220312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00208"/>
        <c:crosses val="autoZero"/>
        <c:auto val="1"/>
        <c:lblOffset val="100"/>
        <c:baseTimeUnit val="days"/>
      </c:dateAx>
      <c:valAx>
        <c:axId val="522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0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CVA!$C$164:$D$164</c:f>
              <c:numCache>
                <c:formatCode>General</c:formatCode>
                <c:ptCount val="2"/>
                <c:pt idx="0">
                  <c:v>1540</c:v>
                </c:pt>
                <c:pt idx="1">
                  <c:v>1480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C3-4F02-9806-AD4EBC1A364E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CVA!$C$165:$D$165</c:f>
              <c:numCache>
                <c:formatCode>"$"#,##0_);[Red]\("$"#,##0\)</c:formatCode>
                <c:ptCount val="2"/>
                <c:pt idx="0">
                  <c:v>462</c:v>
                </c:pt>
                <c:pt idx="1">
                  <c:v>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C3-4F02-9806-AD4EBC1A364E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CVA!$C$166:$D$166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C3-4F02-9806-AD4EBC1A3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3750512"/>
        <c:axId val="2083743024"/>
      </c:lineChart>
      <c:dateAx>
        <c:axId val="208375051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43024"/>
        <c:crosses val="autoZero"/>
        <c:auto val="1"/>
        <c:lblOffset val="100"/>
        <c:baseTimeUnit val="days"/>
      </c:dateAx>
      <c:valAx>
        <c:axId val="208374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5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CVA!$C$190:$D$190</c:f>
              <c:numCache>
                <c:formatCode>General</c:formatCode>
                <c:ptCount val="2"/>
                <c:pt idx="0">
                  <c:v>1450</c:v>
                </c:pt>
                <c:pt idx="1">
                  <c:v>1490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FA-4FEC-AFC5-9DB71CC32CE3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CVA!$C$191:$D$191</c:f>
              <c:numCache>
                <c:formatCode>"$"#,##0_);[Red]\("$"#,##0\)</c:formatCode>
                <c:ptCount val="2"/>
                <c:pt idx="0">
                  <c:v>435</c:v>
                </c:pt>
                <c:pt idx="1">
                  <c:v>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FA-4FEC-AFC5-9DB71CC32CE3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CVA!$C$192:$D$192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FA-4FEC-AFC5-9DB71CC32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90368"/>
        <c:axId val="49089952"/>
      </c:lineChart>
      <c:dateAx>
        <c:axId val="4909036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9952"/>
        <c:crosses val="autoZero"/>
        <c:auto val="1"/>
        <c:lblOffset val="100"/>
        <c:baseTimeUnit val="days"/>
      </c:dateAx>
      <c:valAx>
        <c:axId val="490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CVA!$C$216:$D$216</c:f>
              <c:numCache>
                <c:formatCode>General</c:formatCode>
                <c:ptCount val="2"/>
                <c:pt idx="0">
                  <c:v>954</c:v>
                </c:pt>
                <c:pt idx="1">
                  <c:v>630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D-4389-BED0-0FEEA26AACC3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CVA!$C$217:$D$217</c:f>
              <c:numCache>
                <c:formatCode>"$"#,##0_);[Red]\("$"#,##0\)</c:formatCode>
                <c:ptCount val="2"/>
                <c:pt idx="0">
                  <c:v>1274.32</c:v>
                </c:pt>
                <c:pt idx="1">
                  <c:v>850.5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9D-4389-BED0-0FEEA26AACC3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CVA!$C$218:$D$218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9D-4389-BED0-0FEEA26AA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000272"/>
        <c:axId val="1610999440"/>
      </c:lineChart>
      <c:dateAx>
        <c:axId val="161100027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999440"/>
        <c:crosses val="autoZero"/>
        <c:auto val="1"/>
        <c:lblOffset val="100"/>
        <c:baseTimeUnit val="days"/>
      </c:dateAx>
      <c:valAx>
        <c:axId val="161099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0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CVA!$C$238:$D$238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CVA!$C$242:$D$242</c:f>
              <c:numCache>
                <c:formatCode>General</c:formatCode>
                <c:ptCount val="2"/>
                <c:pt idx="0">
                  <c:v>816</c:v>
                </c:pt>
                <c:pt idx="1">
                  <c:v>440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E7-4C00-AD90-B7B74B81D743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CVA!$C$238:$D$238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CVA!$C$243:$D$243</c:f>
              <c:numCache>
                <c:formatCode>"$"#,##0_);[Red]\("$"#,##0\)</c:formatCode>
                <c:ptCount val="2"/>
                <c:pt idx="0">
                  <c:v>1098.94</c:v>
                </c:pt>
                <c:pt idx="1">
                  <c:v>591.07999999999993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E7-4C00-AD90-B7B74B81D743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CVA!$C$238:$D$238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CVA!$C$244:$D$244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E7-4C00-AD90-B7B74B81D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28288"/>
        <c:axId val="53236192"/>
      </c:lineChart>
      <c:dateAx>
        <c:axId val="5322828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6192"/>
        <c:crosses val="autoZero"/>
        <c:auto val="1"/>
        <c:lblOffset val="100"/>
        <c:baseTimeUnit val="days"/>
      </c:dateAx>
      <c:valAx>
        <c:axId val="532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 LINE L9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CVA!$C$264:$D$264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CVA!$C$268:$D$268</c:f>
              <c:numCache>
                <c:formatCode>General</c:formatCode>
                <c:ptCount val="2"/>
                <c:pt idx="0">
                  <c:v>1045</c:v>
                </c:pt>
                <c:pt idx="1">
                  <c:v>1140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C7-4B4A-B153-5F5FF46A677A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CVA!$C$264:$D$264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CVA!$C$269:$D$269</c:f>
              <c:numCache>
                <c:formatCode>"$"#,##0_);[Red]\("$"#,##0\)</c:formatCode>
                <c:ptCount val="2"/>
                <c:pt idx="0">
                  <c:v>470.25</c:v>
                </c:pt>
                <c:pt idx="1">
                  <c:v>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C7-4B4A-B153-5F5FF46A677A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CVA!$C$264:$D$264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CVA!$C$270:$D$270</c:f>
              <c:numCache>
                <c:formatCode>"$"#,##0_);[Red]\("$"#,##0\)</c:formatCode>
                <c:ptCount val="2"/>
                <c:pt idx="0">
                  <c:v>526</c:v>
                </c:pt>
                <c:pt idx="1">
                  <c:v>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C7-4B4A-B153-5F5FF46A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3746352"/>
        <c:axId val="2083744272"/>
      </c:lineChart>
      <c:dateAx>
        <c:axId val="208374635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44272"/>
        <c:crosses val="autoZero"/>
        <c:auto val="1"/>
        <c:lblOffset val="100"/>
        <c:baseTimeUnit val="days"/>
      </c:dateAx>
      <c:valAx>
        <c:axId val="208374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4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Loss April_CVA2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'CVA2'!$C$4:$D$4</c:f>
              <c:numCache>
                <c:formatCode>General</c:formatCode>
                <c:ptCount val="2"/>
                <c:pt idx="0">
                  <c:v>995</c:v>
                </c:pt>
                <c:pt idx="1">
                  <c:v>1126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DE-4C01-9EC6-BDF94FE54599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'CVA2'!$C$5:$D$5</c:f>
              <c:numCache>
                <c:formatCode>_("$"* #,##0.00_);_("$"* \(#,##0.0\);_("$"* "-"??_);_(@_)</c:formatCode>
                <c:ptCount val="2"/>
                <c:pt idx="0">
                  <c:v>426.59999999999997</c:v>
                </c:pt>
                <c:pt idx="1">
                  <c:v>506.7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DE-4C01-9EC6-BDF94FE54599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'CVA2'!$C$6:$D$6</c:f>
              <c:numCache>
                <c:formatCode>_("$"* #,##0.00_);_("$"* \(#,##0.0\);_("$"* "-"??_);_(@_)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DE-4C01-9EC6-BDF94FE5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69680"/>
        <c:axId val="14770096"/>
      </c:lineChart>
      <c:dateAx>
        <c:axId val="14769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0096"/>
        <c:crosses val="autoZero"/>
        <c:auto val="1"/>
        <c:lblOffset val="100"/>
        <c:baseTimeUnit val="days"/>
      </c:dateAx>
      <c:valAx>
        <c:axId val="1477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CVA2 LINE L1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'CVA2'!$C$34:$D$34</c:f>
              <c:numCache>
                <c:formatCode>General</c:formatCode>
                <c:ptCount val="2"/>
                <c:pt idx="0">
                  <c:v>290</c:v>
                </c:pt>
                <c:pt idx="1">
                  <c:v>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A-4D80-88E2-E307EFC4A9C6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'CVA2'!$C$35:$D$35</c:f>
              <c:numCache>
                <c:formatCode>"$"#,##0_);[Red]\("$"#,##0\)</c:formatCode>
                <c:ptCount val="2"/>
                <c:pt idx="0">
                  <c:v>130.5</c:v>
                </c:pt>
                <c:pt idx="1">
                  <c:v>258.75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A-4D80-88E2-E307EFC4A9C6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'CVA2'!$C$36:$D$36</c:f>
              <c:numCache>
                <c:formatCode>"$"#,##0_);[Red]\("$"#,##0\)</c:formatCode>
                <c:ptCount val="2"/>
                <c:pt idx="0">
                  <c:v>305</c:v>
                </c:pt>
                <c:pt idx="1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8A-4D80-88E2-E307EFC4A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335408"/>
        <c:axId val="1612360784"/>
      </c:lineChart>
      <c:dateAx>
        <c:axId val="161233540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60784"/>
        <c:crosses val="autoZero"/>
        <c:auto val="1"/>
        <c:lblOffset val="100"/>
        <c:baseTimeUnit val="days"/>
      </c:dateAx>
      <c:valAx>
        <c:axId val="16123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3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CVA2 LINE L2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'CVA2'!$C$60:$D$60</c:f>
              <c:numCache>
                <c:formatCode>General</c:formatCode>
                <c:ptCount val="2"/>
                <c:pt idx="0">
                  <c:v>705</c:v>
                </c:pt>
                <c:pt idx="1">
                  <c:v>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CD-4EB1-8E76-9B878FA09941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'CVA2'!$C$61:$D$61</c:f>
              <c:numCache>
                <c:formatCode>"$"#,##0_);[Red]\("$"#,##0\)</c:formatCode>
                <c:ptCount val="2"/>
                <c:pt idx="0">
                  <c:v>296.10000000000002</c:v>
                </c:pt>
                <c:pt idx="1">
                  <c:v>247.95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CD-4EB1-8E76-9B878FA09941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'CVA2'!$C$56:$D$56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'CVA2'!$C$62:$D$62</c:f>
              <c:numCache>
                <c:formatCode>"$"#,##0_);[Red]\("$"#,##0\)</c:formatCode>
                <c:ptCount val="2"/>
                <c:pt idx="0">
                  <c:v>305</c:v>
                </c:pt>
                <c:pt idx="1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CD-4EB1-8E76-9B878FA09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0384"/>
        <c:axId val="3853728"/>
      </c:lineChart>
      <c:dateAx>
        <c:axId val="386038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728"/>
        <c:crosses val="autoZero"/>
        <c:auto val="1"/>
        <c:lblOffset val="100"/>
        <c:baseTimeUnit val="days"/>
      </c:dateAx>
      <c:valAx>
        <c:axId val="385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Loss April_KLB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KLB!$C$4:$D$4</c:f>
              <c:numCache>
                <c:formatCode>General</c:formatCode>
                <c:ptCount val="2"/>
                <c:pt idx="0">
                  <c:v>13458</c:v>
                </c:pt>
                <c:pt idx="1">
                  <c:v>12953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CE-42C3-B6C8-76D470A8E9A6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KLB!$C$5:$D$5</c:f>
              <c:numCache>
                <c:formatCode>_("$"* #,##0.00_);_("$"* \(#,##0.0\);_("$"* "-"??_);_(@_)</c:formatCode>
                <c:ptCount val="2"/>
                <c:pt idx="0">
                  <c:v>8747.7000000000007</c:v>
                </c:pt>
                <c:pt idx="1">
                  <c:v>8419.4500000000007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CE-42C3-B6C8-76D470A8E9A6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KLB!$C$6:$D$6</c:f>
              <c:numCache>
                <c:formatCode>_("$"* #,##0.00_);_("$"* \(#,##0.0\);_("$"* "-"??_);_(@_)</c:formatCode>
                <c:ptCount val="2"/>
                <c:pt idx="0">
                  <c:v>5046</c:v>
                </c:pt>
                <c:pt idx="1">
                  <c:v>5046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CE-42C3-B6C8-76D470A8E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2552912"/>
        <c:axId val="2072551664"/>
      </c:lineChart>
      <c:dateAx>
        <c:axId val="2072552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551664"/>
        <c:crosses val="autoZero"/>
        <c:auto val="1"/>
        <c:lblOffset val="100"/>
        <c:baseTimeUnit val="days"/>
      </c:dateAx>
      <c:valAx>
        <c:axId val="207255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55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KLB LINE L1A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KLB!$C$34:$D$34</c:f>
              <c:numCache>
                <c:formatCode>General</c:formatCode>
                <c:ptCount val="2"/>
                <c:pt idx="0">
                  <c:v>2450</c:v>
                </c:pt>
                <c:pt idx="1">
                  <c:v>2295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A1-469B-80D3-DB5B1C2F89B4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KLB!$C$35:$D$35</c:f>
              <c:numCache>
                <c:formatCode>"$"#,##0_);[Red]\("$"#,##0\)</c:formatCode>
                <c:ptCount val="2"/>
                <c:pt idx="0">
                  <c:v>1592.5</c:v>
                </c:pt>
                <c:pt idx="1">
                  <c:v>1491.75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A1-469B-80D3-DB5B1C2F89B4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KLB!$C$36:$D$36</c:f>
              <c:numCache>
                <c:formatCode>"$"#,##0_);[Red]\("$"#,##0\)</c:formatCode>
                <c:ptCount val="2"/>
                <c:pt idx="0">
                  <c:v>841</c:v>
                </c:pt>
                <c:pt idx="1">
                  <c:v>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A1-469B-80D3-DB5B1C2F8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3739280"/>
        <c:axId val="2083748016"/>
      </c:lineChart>
      <c:dateAx>
        <c:axId val="208373928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48016"/>
        <c:crosses val="autoZero"/>
        <c:auto val="1"/>
        <c:lblOffset val="100"/>
        <c:baseTimeUnit val="days"/>
      </c:dateAx>
      <c:valAx>
        <c:axId val="20837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3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KLB LINE L1B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KLB!$C$60:$D$60</c:f>
              <c:numCache>
                <c:formatCode>General</c:formatCode>
                <c:ptCount val="2"/>
                <c:pt idx="0">
                  <c:v>2183</c:v>
                </c:pt>
                <c:pt idx="1">
                  <c:v>2370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9-47D6-B203-F3B06230D0D5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KLB!$C$61:$D$61</c:f>
              <c:numCache>
                <c:formatCode>"$"#,##0_);[Red]\("$"#,##0\)</c:formatCode>
                <c:ptCount val="2"/>
                <c:pt idx="0">
                  <c:v>1418.95</c:v>
                </c:pt>
                <c:pt idx="1">
                  <c:v>1540.5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B9-47D6-B203-F3B06230D0D5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KLB!$C$62:$D$62</c:f>
              <c:numCache>
                <c:formatCode>"$"#,##0_);[Red]\("$"#,##0\)</c:formatCode>
                <c:ptCount val="2"/>
                <c:pt idx="0">
                  <c:v>841</c:v>
                </c:pt>
                <c:pt idx="1">
                  <c:v>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B9-47D6-B203-F3B06230D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4544"/>
        <c:axId val="3853312"/>
      </c:lineChart>
      <c:dateAx>
        <c:axId val="386454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3312"/>
        <c:crosses val="autoZero"/>
        <c:auto val="1"/>
        <c:lblOffset val="100"/>
        <c:baseTimeUnit val="days"/>
      </c:dateAx>
      <c:valAx>
        <c:axId val="385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KLB LINE L2A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KLB!$C$86:$D$86</c:f>
              <c:numCache>
                <c:formatCode>General</c:formatCode>
                <c:ptCount val="2"/>
                <c:pt idx="0">
                  <c:v>2200</c:v>
                </c:pt>
                <c:pt idx="1">
                  <c:v>1878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1-4A8A-B983-849DDF1998A2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KLB!$C$87:$D$87</c:f>
              <c:numCache>
                <c:formatCode>"$"#,##0_);[Red]\("$"#,##0\)</c:formatCode>
                <c:ptCount val="2"/>
                <c:pt idx="0">
                  <c:v>1430</c:v>
                </c:pt>
                <c:pt idx="1">
                  <c:v>1220.7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61-4A8A-B983-849DDF1998A2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KLB!$C$88:$D$88</c:f>
              <c:numCache>
                <c:formatCode>"$"#,##0_);[Red]\("$"#,##0\)</c:formatCode>
                <c:ptCount val="2"/>
                <c:pt idx="0">
                  <c:v>841</c:v>
                </c:pt>
                <c:pt idx="1">
                  <c:v>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61-4A8A-B983-849DDF199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24128"/>
        <c:axId val="53232864"/>
      </c:lineChart>
      <c:dateAx>
        <c:axId val="5322412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2864"/>
        <c:crosses val="autoZero"/>
        <c:auto val="1"/>
        <c:lblOffset val="100"/>
        <c:baseTimeUnit val="days"/>
      </c:dateAx>
      <c:valAx>
        <c:axId val="5323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KLB LINE L2B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KLB!$C$112:$D$112</c:f>
              <c:numCache>
                <c:formatCode>General</c:formatCode>
                <c:ptCount val="2"/>
                <c:pt idx="0">
                  <c:v>2100</c:v>
                </c:pt>
                <c:pt idx="1">
                  <c:v>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9-44FC-B4B4-36C854EC10A9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KLB!$C$113:$D$113</c:f>
              <c:numCache>
                <c:formatCode>"$"#,##0_);[Red]\("$"#,##0\)</c:formatCode>
                <c:ptCount val="2"/>
                <c:pt idx="0">
                  <c:v>1365</c:v>
                </c:pt>
                <c:pt idx="1">
                  <c:v>1283.75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A9-44FC-B4B4-36C854EC10A9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KLB!$C$114:$D$114</c:f>
              <c:numCache>
                <c:formatCode>"$"#,##0_);[Red]\("$"#,##0\)</c:formatCode>
                <c:ptCount val="2"/>
                <c:pt idx="0">
                  <c:v>841</c:v>
                </c:pt>
                <c:pt idx="1">
                  <c:v>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A9-44FC-B4B4-36C854EC1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3088"/>
        <c:axId val="13880592"/>
      </c:lineChart>
      <c:dateAx>
        <c:axId val="1388308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0592"/>
        <c:crosses val="autoZero"/>
        <c:auto val="1"/>
        <c:lblOffset val="100"/>
        <c:baseTimeUnit val="days"/>
      </c:dateAx>
      <c:valAx>
        <c:axId val="1388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KLB LINE L3A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KLB!$C$138:$D$138</c:f>
              <c:numCache>
                <c:formatCode>General</c:formatCode>
                <c:ptCount val="2"/>
                <c:pt idx="0">
                  <c:v>2175</c:v>
                </c:pt>
                <c:pt idx="1">
                  <c:v>2145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E-4CF4-9CBE-A39889DCAECF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KLB!$C$139:$D$139</c:f>
              <c:numCache>
                <c:formatCode>"$"#,##0_);[Red]\("$"#,##0\)</c:formatCode>
                <c:ptCount val="2"/>
                <c:pt idx="0">
                  <c:v>1413.75</c:v>
                </c:pt>
                <c:pt idx="1">
                  <c:v>1394.25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E-4CF4-9CBE-A39889DCAECF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KLB!$C$140:$D$140</c:f>
              <c:numCache>
                <c:formatCode>"$"#,##0_);[Red]\("$"#,##0\)</c:formatCode>
                <c:ptCount val="2"/>
                <c:pt idx="0">
                  <c:v>841</c:v>
                </c:pt>
                <c:pt idx="1">
                  <c:v>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1E-4CF4-9CBE-A39889DCA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5808"/>
        <c:axId val="3851232"/>
      </c:lineChart>
      <c:dateAx>
        <c:axId val="385580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1232"/>
        <c:crosses val="autoZero"/>
        <c:auto val="1"/>
        <c:lblOffset val="100"/>
        <c:baseTimeUnit val="days"/>
      </c:dateAx>
      <c:valAx>
        <c:axId val="385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KLB LINE L3B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KLB!$C$164:$D$164</c:f>
              <c:numCache>
                <c:formatCode>General</c:formatCode>
                <c:ptCount val="2"/>
                <c:pt idx="0">
                  <c:v>2350</c:v>
                </c:pt>
                <c:pt idx="1">
                  <c:v>2290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0-4088-9F7D-01F106A19E5C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KLB!$C$165:$D$165</c:f>
              <c:numCache>
                <c:formatCode>"$"#,##0_);[Red]\("$"#,##0\)</c:formatCode>
                <c:ptCount val="2"/>
                <c:pt idx="0">
                  <c:v>1527.5</c:v>
                </c:pt>
                <c:pt idx="1">
                  <c:v>1488.5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30-4088-9F7D-01F106A19E5C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KLB!$C$160:$D$160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KLB!$C$166:$D$166</c:f>
              <c:numCache>
                <c:formatCode>"$"#,##0_);[Red]\("$"#,##0\)</c:formatCode>
                <c:ptCount val="2"/>
                <c:pt idx="0">
                  <c:v>841</c:v>
                </c:pt>
                <c:pt idx="1">
                  <c:v>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30-4088-9F7D-01F106A19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27456"/>
        <c:axId val="53230368"/>
      </c:lineChart>
      <c:dateAx>
        <c:axId val="5322745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30368"/>
        <c:crosses val="autoZero"/>
        <c:auto val="1"/>
        <c:lblOffset val="100"/>
        <c:baseTimeUnit val="days"/>
      </c:dateAx>
      <c:valAx>
        <c:axId val="5323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2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Loss April_MJ1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'MJ1'!$C$4:$D$4</c:f>
              <c:numCache>
                <c:formatCode>General</c:formatCode>
                <c:ptCount val="2"/>
                <c:pt idx="0">
                  <c:v>10231</c:v>
                </c:pt>
                <c:pt idx="1">
                  <c:v>11783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46-46AC-BA4B-0F91BF660476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'MJ1'!$C$5:$D$5</c:f>
              <c:numCache>
                <c:formatCode>_("$"* #,##0.00_);_("$"* \(#,##0.0\);_("$"* "-"??_);_(@_)</c:formatCode>
                <c:ptCount val="2"/>
                <c:pt idx="0">
                  <c:v>9055.489999999998</c:v>
                </c:pt>
                <c:pt idx="1">
                  <c:v>10291.519999999997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46-46AC-BA4B-0F91BF660476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'MJ1'!$C$6:$D$6</c:f>
              <c:numCache>
                <c:formatCode>_("$"* #,##0.00_);_("$"* \(#,##0.0\);_("$"* "-"??_);_(@_)</c:formatCode>
                <c:ptCount val="2"/>
                <c:pt idx="0">
                  <c:v>7888</c:v>
                </c:pt>
                <c:pt idx="1">
                  <c:v>7887.9999999999991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46-46AC-BA4B-0F91BF660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3043152"/>
        <c:axId val="2072552080"/>
      </c:lineChart>
      <c:dateAx>
        <c:axId val="2073043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552080"/>
        <c:crosses val="autoZero"/>
        <c:auto val="1"/>
        <c:lblOffset val="100"/>
        <c:baseTimeUnit val="days"/>
      </c:dateAx>
      <c:valAx>
        <c:axId val="207255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04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MJ1 LINE L1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'MJ1'!$C$34:$D$34</c:f>
              <c:numCache>
                <c:formatCode>General</c:formatCode>
                <c:ptCount val="2"/>
                <c:pt idx="0">
                  <c:v>2349</c:v>
                </c:pt>
                <c:pt idx="1">
                  <c:v>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A-4536-884D-AC13E8D14497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'MJ1'!$C$35:$D$35</c:f>
              <c:numCache>
                <c:formatCode>"$"#,##0_);[Red]\("$"#,##0\)</c:formatCode>
                <c:ptCount val="2"/>
                <c:pt idx="0">
                  <c:v>1643.99</c:v>
                </c:pt>
                <c:pt idx="1">
                  <c:v>1855.7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CA-4536-884D-AC13E8D14497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'MJ1'!$C$36:$D$36</c:f>
              <c:numCache>
                <c:formatCode>"$"#,##0_);[Red]\("$"#,##0\)</c:formatCode>
                <c:ptCount val="2"/>
                <c:pt idx="0">
                  <c:v>986</c:v>
                </c:pt>
                <c:pt idx="1">
                  <c:v>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CA-4536-884D-AC13E8D14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084128"/>
        <c:axId val="132084544"/>
      </c:lineChart>
      <c:dateAx>
        <c:axId val="13208412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84544"/>
        <c:crosses val="autoZero"/>
        <c:auto val="1"/>
        <c:lblOffset val="100"/>
        <c:baseTimeUnit val="days"/>
      </c:dateAx>
      <c:valAx>
        <c:axId val="13208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8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MJ1 LINE L11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'MJ1'!$C$60:$D$60</c:f>
              <c:numCache>
                <c:formatCode>General</c:formatCode>
                <c:ptCount val="2"/>
                <c:pt idx="0">
                  <c:v>1530</c:v>
                </c:pt>
                <c:pt idx="1">
                  <c:v>1678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B7-46C7-BBB3-40E143F61415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'MJ1'!$C$61:$D$61</c:f>
              <c:numCache>
                <c:formatCode>"$"#,##0_);[Red]\("$"#,##0\)</c:formatCode>
                <c:ptCount val="2"/>
                <c:pt idx="0">
                  <c:v>1224</c:v>
                </c:pt>
                <c:pt idx="1">
                  <c:v>1342.4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B7-46C7-BBB3-40E143F61415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'MJ1'!$C$62:$D$62</c:f>
              <c:numCache>
                <c:formatCode>"$"#,##0_);[Red]\("$"#,##0\)</c:formatCode>
                <c:ptCount val="2"/>
                <c:pt idx="0">
                  <c:v>986</c:v>
                </c:pt>
                <c:pt idx="1">
                  <c:v>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B7-46C7-BBB3-40E143F61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2007008"/>
        <c:axId val="2082005760"/>
      </c:lineChart>
      <c:dateAx>
        <c:axId val="208200700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005760"/>
        <c:crosses val="autoZero"/>
        <c:auto val="1"/>
        <c:lblOffset val="100"/>
        <c:baseTimeUnit val="days"/>
      </c:dateAx>
      <c:valAx>
        <c:axId val="208200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200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MJ1 LINE L12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'MJ1'!$C$86:$D$86</c:f>
              <c:numCache>
                <c:formatCode>General</c:formatCode>
                <c:ptCount val="2"/>
                <c:pt idx="0">
                  <c:v>2300</c:v>
                </c:pt>
                <c:pt idx="1">
                  <c:v>2650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F-4E90-9E65-FA19A2516250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'MJ1'!$C$87:$D$87</c:f>
              <c:numCache>
                <c:formatCode>"$"#,##0_);[Red]\("$"#,##0\)</c:formatCode>
                <c:ptCount val="2"/>
                <c:pt idx="0">
                  <c:v>1610</c:v>
                </c:pt>
                <c:pt idx="1">
                  <c:v>1973.44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AF-4E90-9E65-FA19A2516250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'MJ1'!$C$88:$D$88</c:f>
              <c:numCache>
                <c:formatCode>"$"#,##0_);[Red]\("$"#,##0\)</c:formatCode>
                <c:ptCount val="2"/>
                <c:pt idx="0">
                  <c:v>986</c:v>
                </c:pt>
                <c:pt idx="1">
                  <c:v>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AF-4E90-9E65-FA19A2516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71984"/>
        <c:axId val="79472816"/>
      </c:lineChart>
      <c:dateAx>
        <c:axId val="7947198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2816"/>
        <c:crosses val="autoZero"/>
        <c:auto val="1"/>
        <c:lblOffset val="100"/>
        <c:baseTimeUnit val="days"/>
      </c:dateAx>
      <c:valAx>
        <c:axId val="794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MJ1 LINE L2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'MJ1'!$C$112:$D$112</c:f>
              <c:numCache>
                <c:formatCode>General</c:formatCode>
                <c:ptCount val="2"/>
                <c:pt idx="0">
                  <c:v>1721</c:v>
                </c:pt>
                <c:pt idx="1">
                  <c:v>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C-4884-8DC3-85E44A68DE61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'MJ1'!$C$113:$D$113</c:f>
              <c:numCache>
                <c:formatCode>"$"#,##0_);[Red]\("$"#,##0\)</c:formatCode>
                <c:ptCount val="2"/>
                <c:pt idx="0">
                  <c:v>1204.7</c:v>
                </c:pt>
                <c:pt idx="1">
                  <c:v>1250.67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CC-4884-8DC3-85E44A68DE61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'MJ1'!$C$114:$D$114</c:f>
              <c:numCache>
                <c:formatCode>"$"#,##0_);[Red]\("$"#,##0\)</c:formatCode>
                <c:ptCount val="2"/>
                <c:pt idx="0">
                  <c:v>986</c:v>
                </c:pt>
                <c:pt idx="1">
                  <c:v>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CC-4884-8DC3-85E44A68D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329168"/>
        <c:axId val="1612353296"/>
      </c:lineChart>
      <c:dateAx>
        <c:axId val="161232916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53296"/>
        <c:crosses val="autoZero"/>
        <c:auto val="1"/>
        <c:lblOffset val="100"/>
        <c:baseTimeUnit val="days"/>
      </c:dateAx>
      <c:valAx>
        <c:axId val="161235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2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MJ1 LINE L3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'MJ1'!$C$138:$D$138</c:f>
              <c:numCache>
                <c:formatCode>General</c:formatCode>
                <c:ptCount val="2"/>
                <c:pt idx="0">
                  <c:v>1596</c:v>
                </c:pt>
                <c:pt idx="1">
                  <c:v>1676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F-49AE-B92C-9F517297F854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'MJ1'!$C$139:$D$139</c:f>
              <c:numCache>
                <c:formatCode>"$"#,##0_);[Red]\("$"#,##0\)</c:formatCode>
                <c:ptCount val="2"/>
                <c:pt idx="0">
                  <c:v>1117.2</c:v>
                </c:pt>
                <c:pt idx="1">
                  <c:v>1173.2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9F-49AE-B92C-9F517297F854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'MJ1'!$C$140:$D$140</c:f>
              <c:numCache>
                <c:formatCode>"$"#,##0_);[Red]\("$"#,##0\)</c:formatCode>
                <c:ptCount val="2"/>
                <c:pt idx="0">
                  <c:v>986.00000000000011</c:v>
                </c:pt>
                <c:pt idx="1">
                  <c:v>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9F-49AE-B92C-9F517297F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38032"/>
        <c:axId val="125334704"/>
      </c:lineChart>
      <c:dateAx>
        <c:axId val="12533803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34704"/>
        <c:crosses val="autoZero"/>
        <c:auto val="1"/>
        <c:lblOffset val="100"/>
        <c:baseTimeUnit val="days"/>
      </c:dateAx>
      <c:valAx>
        <c:axId val="12533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3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MJ1 LINE L4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'MJ1'!$C$164:$D$164</c:f>
              <c:numCache>
                <c:formatCode>General</c:formatCode>
                <c:ptCount val="2"/>
                <c:pt idx="0">
                  <c:v>600</c:v>
                </c:pt>
                <c:pt idx="1">
                  <c:v>1218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A-4720-A4CD-A3BCB61E55AD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'MJ1'!$C$165:$D$165</c:f>
              <c:numCache>
                <c:formatCode>"$"#,##0_);[Red]\("$"#,##0\)</c:formatCode>
                <c:ptCount val="2"/>
                <c:pt idx="0">
                  <c:v>572.15</c:v>
                </c:pt>
                <c:pt idx="1">
                  <c:v>1137.3600000000001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DA-4720-A4CD-A3BCB61E55AD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'MJ1'!$C$166:$D$166</c:f>
              <c:numCache>
                <c:formatCode>"$"#,##0_);[Red]\("$"#,##0\)</c:formatCode>
                <c:ptCount val="2"/>
                <c:pt idx="0">
                  <c:v>739.5</c:v>
                </c:pt>
                <c:pt idx="1">
                  <c:v>739.5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DA-4720-A4CD-A3BCB61E5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099056"/>
        <c:axId val="134099472"/>
      </c:lineChart>
      <c:dateAx>
        <c:axId val="13409905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99472"/>
        <c:crosses val="autoZero"/>
        <c:auto val="1"/>
        <c:lblOffset val="100"/>
        <c:baseTimeUnit val="days"/>
      </c:dateAx>
      <c:valAx>
        <c:axId val="13409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9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MJ1 LINE L5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'MJ1'!$C$190:$D$190</c:f>
              <c:numCache>
                <c:formatCode>General</c:formatCode>
                <c:ptCount val="2"/>
                <c:pt idx="0">
                  <c:v>67</c:v>
                </c:pt>
                <c:pt idx="1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E-4C64-9AC4-C376AE5139A1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'MJ1'!$C$191:$D$191</c:f>
              <c:numCache>
                <c:formatCode>"$"#,##0_);[Red]\("$"#,##0\)</c:formatCode>
                <c:ptCount val="2"/>
                <c:pt idx="0">
                  <c:v>835.49</c:v>
                </c:pt>
                <c:pt idx="1">
                  <c:v>785.61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E-4C64-9AC4-C376AE5139A1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'MJ1'!$C$192:$D$192</c:f>
              <c:numCache>
                <c:formatCode>"$"#,##0_);[Red]\("$"#,##0\)</c:formatCode>
                <c:ptCount val="2"/>
                <c:pt idx="0">
                  <c:v>739.5</c:v>
                </c:pt>
                <c:pt idx="1">
                  <c:v>739.49999999999989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CE-4C64-9AC4-C376AE513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342896"/>
        <c:axId val="1612338320"/>
      </c:lineChart>
      <c:dateAx>
        <c:axId val="161234289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38320"/>
        <c:crosses val="autoZero"/>
        <c:auto val="1"/>
        <c:lblOffset val="100"/>
        <c:baseTimeUnit val="days"/>
      </c:dateAx>
      <c:valAx>
        <c:axId val="161233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4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MJ1 LINE L6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'MJ1'!$C$216:$D$216</c:f>
              <c:numCache>
                <c:formatCode>General</c:formatCode>
                <c:ptCount val="2"/>
                <c:pt idx="0">
                  <c:v>68</c:v>
                </c:pt>
                <c:pt idx="1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4-4F10-B3A7-D9633088E906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'MJ1'!$C$217:$D$217</c:f>
              <c:numCache>
                <c:formatCode>"$"#,##0_);[Red]\("$"#,##0\)</c:formatCode>
                <c:ptCount val="2"/>
                <c:pt idx="0">
                  <c:v>847.96</c:v>
                </c:pt>
                <c:pt idx="1">
                  <c:v>773.14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4-4F10-B3A7-D9633088E906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'MJ1'!$C$212:$D$212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'MJ1'!$C$218:$D$218</c:f>
              <c:numCache>
                <c:formatCode>"$"#,##0_);[Red]\("$"#,##0\)</c:formatCode>
                <c:ptCount val="2"/>
                <c:pt idx="0">
                  <c:v>1479</c:v>
                </c:pt>
                <c:pt idx="1">
                  <c:v>1479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4-4F10-B3A7-D9633088E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332912"/>
        <c:axId val="1612331248"/>
      </c:lineChart>
      <c:dateAx>
        <c:axId val="161233291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31248"/>
        <c:crosses val="autoZero"/>
        <c:auto val="1"/>
        <c:lblOffset val="100"/>
        <c:baseTimeUnit val="days"/>
      </c:dateAx>
      <c:valAx>
        <c:axId val="161233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3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Loss April_MJ2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'MJ2'!$C$4:$D$4</c:f>
              <c:numCache>
                <c:formatCode>General</c:formatCode>
                <c:ptCount val="2"/>
                <c:pt idx="0">
                  <c:v>26567</c:v>
                </c:pt>
                <c:pt idx="1">
                  <c:v>26911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7-4DB0-9347-D6E8802FC6CD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'MJ2'!$C$5:$D$5</c:f>
              <c:numCache>
                <c:formatCode>_("$"* #,##0.00_);_("$"* \(#,##0.0\);_("$"* "-"??_);_(@_)</c:formatCode>
                <c:ptCount val="2"/>
                <c:pt idx="0">
                  <c:v>20308.899999999994</c:v>
                </c:pt>
                <c:pt idx="1">
                  <c:v>20643.409999999993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C7-4DB0-9347-D6E8802FC6CD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'MJ2'!$C$2:$D$2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'MJ2'!$C$6:$D$6</c:f>
              <c:numCache>
                <c:formatCode>_("$"* #,##0.00_);_("$"* \(#,##0.0\);_("$"* "-"??_);_(@_)</c:formatCode>
                <c:ptCount val="2"/>
                <c:pt idx="0">
                  <c:v>14222</c:v>
                </c:pt>
                <c:pt idx="1">
                  <c:v>14221.999999999996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C7-4DB0-9347-D6E8802F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02672"/>
        <c:axId val="125301424"/>
      </c:lineChart>
      <c:dateAx>
        <c:axId val="125302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01424"/>
        <c:crosses val="autoZero"/>
        <c:auto val="1"/>
        <c:lblOffset val="100"/>
        <c:baseTimeUnit val="days"/>
      </c:dateAx>
      <c:valAx>
        <c:axId val="12530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0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'MJ2'!$C$34:$D$34</c:f>
              <c:numCache>
                <c:formatCode>General</c:formatCode>
                <c:ptCount val="2"/>
                <c:pt idx="0">
                  <c:v>3240</c:v>
                </c:pt>
                <c:pt idx="1">
                  <c:v>3261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FF-489E-A932-C0D5BACF9A1C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'MJ2'!$C$35:$D$35</c:f>
              <c:numCache>
                <c:formatCode>"$"#,##0_);[Red]\("$"#,##0\)</c:formatCode>
                <c:ptCount val="2"/>
                <c:pt idx="0">
                  <c:v>2396.4299999999998</c:v>
                </c:pt>
                <c:pt idx="1">
                  <c:v>2413.14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FF-489E-A932-C0D5BACF9A1C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'MJ2'!$C$30:$D$30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'MJ2'!$C$36:$D$36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FF-489E-A932-C0D5BACF9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345392"/>
        <c:axId val="1612345808"/>
      </c:lineChart>
      <c:dateAx>
        <c:axId val="161234539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45808"/>
        <c:crosses val="autoZero"/>
        <c:auto val="1"/>
        <c:lblOffset val="100"/>
        <c:baseTimeUnit val="days"/>
      </c:dateAx>
      <c:valAx>
        <c:axId val="161234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4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'MJ2'!$C$60:$D$60</c:f>
              <c:numCache>
                <c:formatCode>General</c:formatCode>
                <c:ptCount val="2"/>
                <c:pt idx="0">
                  <c:v>1549</c:v>
                </c:pt>
                <c:pt idx="1">
                  <c:v>1675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3-41AB-A0D9-9862AE1C76A0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'MJ2'!$C$61:$D$61</c:f>
              <c:numCache>
                <c:formatCode>"$"#,##0_);[Red]\("$"#,##0\)</c:formatCode>
                <c:ptCount val="2"/>
                <c:pt idx="0">
                  <c:v>1221.55</c:v>
                </c:pt>
                <c:pt idx="1">
                  <c:v>1329.27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C3-41AB-A0D9-9862AE1C76A0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'MJ2'!$C$56:$D$56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'MJ2'!$C$62:$D$62</c:f>
              <c:numCache>
                <c:formatCode>"$"#,##0_);[Red]\("$"#,##0\)</c:formatCode>
                <c:ptCount val="2"/>
                <c:pt idx="0">
                  <c:v>1093.9999999999998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C3-41AB-A0D9-9862AE1C7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5142656"/>
        <c:axId val="2075141824"/>
      </c:lineChart>
      <c:dateAx>
        <c:axId val="207514265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141824"/>
        <c:crosses val="autoZero"/>
        <c:auto val="1"/>
        <c:lblOffset val="100"/>
        <c:baseTimeUnit val="days"/>
      </c:dateAx>
      <c:valAx>
        <c:axId val="207514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1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'MJ2'!$C$86:$D$86</c:f>
              <c:numCache>
                <c:formatCode>General</c:formatCode>
                <c:ptCount val="2"/>
                <c:pt idx="0">
                  <c:v>1550</c:v>
                </c:pt>
                <c:pt idx="1">
                  <c:v>1675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1-4B7A-82CF-9E23492CED50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'MJ2'!$C$87:$D$87</c:f>
              <c:numCache>
                <c:formatCode>"$"#,##0_);[Red]\("$"#,##0\)</c:formatCode>
                <c:ptCount val="2"/>
                <c:pt idx="0">
                  <c:v>1222.25</c:v>
                </c:pt>
                <c:pt idx="1">
                  <c:v>1329.1299999999999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C1-4B7A-82CF-9E23492CED50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'MJ2'!$C$82:$D$82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'MJ2'!$C$88:$D$88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C1-4B7A-82CF-9E23492CE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8039392"/>
        <c:axId val="1608037728"/>
      </c:lineChart>
      <c:dateAx>
        <c:axId val="160803939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037728"/>
        <c:crosses val="autoZero"/>
        <c:auto val="1"/>
        <c:lblOffset val="100"/>
        <c:baseTimeUnit val="days"/>
      </c:dateAx>
      <c:valAx>
        <c:axId val="16080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03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'MJ2'!$C$112:$D$112</c:f>
              <c:numCache>
                <c:formatCode>General</c:formatCode>
                <c:ptCount val="2"/>
                <c:pt idx="0">
                  <c:v>2000</c:v>
                </c:pt>
                <c:pt idx="1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8-42BB-B905-AB680B6F9BFE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'MJ2'!$C$113:$D$113</c:f>
              <c:numCache>
                <c:formatCode>"$"#,##0_);[Red]\("$"#,##0\)</c:formatCode>
                <c:ptCount val="2"/>
                <c:pt idx="0">
                  <c:v>1660</c:v>
                </c:pt>
                <c:pt idx="1">
                  <c:v>1659.76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28-42BB-B905-AB680B6F9BFE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'MJ2'!$C$108:$D$108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'MJ2'!$C$114:$D$114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28-42BB-B905-AB680B6F9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8532544"/>
        <c:axId val="1608535040"/>
      </c:lineChart>
      <c:dateAx>
        <c:axId val="160853254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535040"/>
        <c:crosses val="autoZero"/>
        <c:auto val="1"/>
        <c:lblOffset val="100"/>
        <c:baseTimeUnit val="days"/>
      </c:dateAx>
      <c:valAx>
        <c:axId val="160853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53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'MJ2'!$C$138:$D$138</c:f>
              <c:numCache>
                <c:formatCode>General</c:formatCode>
                <c:ptCount val="2"/>
                <c:pt idx="0">
                  <c:v>2000</c:v>
                </c:pt>
                <c:pt idx="1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2-46F3-BE89-4ED78401A876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'MJ2'!$C$139:$D$139</c:f>
              <c:numCache>
                <c:formatCode>"$"#,##0_);[Red]\("$"#,##0\)</c:formatCode>
                <c:ptCount val="2"/>
                <c:pt idx="0">
                  <c:v>1660</c:v>
                </c:pt>
                <c:pt idx="1">
                  <c:v>1659.84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92-46F3-BE89-4ED78401A876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'MJ2'!$C$134:$D$134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'MJ2'!$C$140:$D$140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92-46F3-BE89-4ED78401A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341232"/>
        <c:axId val="1612348720"/>
      </c:lineChart>
      <c:dateAx>
        <c:axId val="1612341232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48720"/>
        <c:crosses val="autoZero"/>
        <c:auto val="1"/>
        <c:lblOffset val="100"/>
        <c:baseTimeUnit val="days"/>
      </c:dateAx>
      <c:valAx>
        <c:axId val="16123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4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'MJ2'!$C$164:$D$164</c:f>
              <c:numCache>
                <c:formatCode>General</c:formatCode>
                <c:ptCount val="2"/>
                <c:pt idx="0">
                  <c:v>1850</c:v>
                </c:pt>
                <c:pt idx="1">
                  <c:v>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B8-4D63-B84D-EE4FA632817C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'MJ2'!$C$165:$D$165</c:f>
              <c:numCache>
                <c:formatCode>"$"#,##0_);[Red]\("$"#,##0\)</c:formatCode>
                <c:ptCount val="2"/>
                <c:pt idx="0">
                  <c:v>1258</c:v>
                </c:pt>
                <c:pt idx="1">
                  <c:v>1258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B8-4D63-B84D-EE4FA632817C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'MJ2'!$C$160:$D$160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'MJ2'!$C$166:$D$166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B8-4D63-B84D-EE4FA6328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52576"/>
        <c:axId val="140352160"/>
      </c:lineChart>
      <c:dateAx>
        <c:axId val="14035257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52160"/>
        <c:crosses val="autoZero"/>
        <c:auto val="1"/>
        <c:lblOffset val="100"/>
        <c:baseTimeUnit val="days"/>
      </c:dateAx>
      <c:valAx>
        <c:axId val="14035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5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'MJ2'!$C$190:$D$190</c:f>
              <c:numCache>
                <c:formatCode>General</c:formatCode>
                <c:ptCount val="2"/>
                <c:pt idx="0">
                  <c:v>1850</c:v>
                </c:pt>
                <c:pt idx="1">
                  <c:v>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E4-4292-A40D-1876894BEF7E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'MJ2'!$C$191:$D$191</c:f>
              <c:numCache>
                <c:formatCode>"$"#,##0_);[Red]\("$"#,##0\)</c:formatCode>
                <c:ptCount val="2"/>
                <c:pt idx="0">
                  <c:v>1258</c:v>
                </c:pt>
                <c:pt idx="1">
                  <c:v>1258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E4-4292-A40D-1876894BEF7E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'MJ2'!$C$186:$D$186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'MJ2'!$C$192:$D$192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E4-4292-A40D-1876894B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288624"/>
        <c:axId val="108286960"/>
      </c:lineChart>
      <c:dateAx>
        <c:axId val="10828862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86960"/>
        <c:crosses val="autoZero"/>
        <c:auto val="1"/>
        <c:lblOffset val="100"/>
        <c:baseTimeUnit val="days"/>
      </c:dateAx>
      <c:valAx>
        <c:axId val="10828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8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'MJ2'!$C$216:$D$216</c:f>
              <c:numCache>
                <c:formatCode>General</c:formatCode>
                <c:ptCount val="2"/>
                <c:pt idx="0">
                  <c:v>2232</c:v>
                </c:pt>
                <c:pt idx="1">
                  <c:v>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1-4A03-BA41-FEEE2F3D1954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'MJ2'!$C$217:$D$217</c:f>
              <c:numCache>
                <c:formatCode>"$"#,##0_);[Red]\("$"#,##0\)</c:formatCode>
                <c:ptCount val="2"/>
                <c:pt idx="0">
                  <c:v>1675.08</c:v>
                </c:pt>
                <c:pt idx="1">
                  <c:v>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1-4A03-BA41-FEEE2F3D1954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'MJ2'!$C$212:$D$212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'MJ2'!$C$218:$D$218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1-4A03-BA41-FEEE2F3D1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4144"/>
        <c:axId val="3858304"/>
      </c:lineChart>
      <c:dateAx>
        <c:axId val="3854144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04"/>
        <c:crosses val="autoZero"/>
        <c:auto val="1"/>
        <c:lblOffset val="100"/>
        <c:baseTimeUnit val="days"/>
      </c:dateAx>
      <c:valAx>
        <c:axId val="385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'MJ2'!$C$238:$D$238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'MJ2'!$C$242:$D$242</c:f>
              <c:numCache>
                <c:formatCode>General</c:formatCode>
                <c:ptCount val="2"/>
                <c:pt idx="0">
                  <c:v>2233</c:v>
                </c:pt>
                <c:pt idx="1">
                  <c:v>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8-4ABB-A0D3-57F28C46D4E1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'MJ2'!$C$238:$D$238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'MJ2'!$C$243:$D$243</c:f>
              <c:numCache>
                <c:formatCode>"$"#,##0_);[Red]\("$"#,##0\)</c:formatCode>
                <c:ptCount val="2"/>
                <c:pt idx="0">
                  <c:v>1675.8200000000002</c:v>
                </c:pt>
                <c:pt idx="1">
                  <c:v>1848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F8-4ABB-A0D3-57F28C46D4E1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'MJ2'!$C$238:$D$238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'MJ2'!$C$244:$D$244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F8-4ABB-A0D3-57F28C46D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682720"/>
        <c:axId val="79681472"/>
      </c:lineChart>
      <c:dateAx>
        <c:axId val="7968272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1472"/>
        <c:crosses val="autoZero"/>
        <c:auto val="1"/>
        <c:lblOffset val="100"/>
        <c:baseTimeUnit val="days"/>
      </c:dateAx>
      <c:valAx>
        <c:axId val="7968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'MJ2'!$C$264:$D$264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'MJ2'!$C$268:$D$268</c:f>
              <c:numCache>
                <c:formatCode>General</c:formatCode>
                <c:ptCount val="2"/>
                <c:pt idx="0">
                  <c:v>2276</c:v>
                </c:pt>
                <c:pt idx="1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A3-47B0-A087-2827FD502ED6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'MJ2'!$C$264:$D$264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'MJ2'!$C$269:$D$269</c:f>
              <c:numCache>
                <c:formatCode>"$"#,##0_);[Red]\("$"#,##0\)</c:formatCode>
                <c:ptCount val="2"/>
                <c:pt idx="0">
                  <c:v>1754.04</c:v>
                </c:pt>
                <c:pt idx="1">
                  <c:v>1756.12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A3-47B0-A087-2827FD502ED6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'MJ2'!$C$264:$D$264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'MJ2'!$C$270:$D$270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A3-47B0-A087-2827FD502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22976"/>
        <c:axId val="128223392"/>
      </c:lineChart>
      <c:dateAx>
        <c:axId val="12822297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23392"/>
        <c:crosses val="autoZero"/>
        <c:auto val="1"/>
        <c:lblOffset val="100"/>
        <c:baseTimeUnit val="days"/>
      </c:dateAx>
      <c:valAx>
        <c:axId val="12822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2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'MJ2'!$C$290:$D$290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'MJ2'!$C$294:$D$294</c:f>
              <c:numCache>
                <c:formatCode>General</c:formatCode>
                <c:ptCount val="2"/>
                <c:pt idx="0">
                  <c:v>2277</c:v>
                </c:pt>
                <c:pt idx="1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3A-4009-B27C-E5E1E208AFA0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'MJ2'!$C$290:$D$290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'MJ2'!$C$295:$D$295</c:f>
              <c:numCache>
                <c:formatCode>"$"#,##0_);[Red]\("$"#,##0\)</c:formatCode>
                <c:ptCount val="2"/>
                <c:pt idx="0">
                  <c:v>1754.83</c:v>
                </c:pt>
                <c:pt idx="1">
                  <c:v>1756.1499999999999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3A-4009-B27C-E5E1E208AFA0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'MJ2'!$C$290:$D$290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'MJ2'!$C$296:$D$296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3A-4009-B27C-E5E1E208A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2349136"/>
        <c:axId val="1612329584"/>
      </c:lineChart>
      <c:dateAx>
        <c:axId val="161234913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29584"/>
        <c:crosses val="autoZero"/>
        <c:auto val="1"/>
        <c:lblOffset val="100"/>
        <c:baseTimeUnit val="days"/>
      </c:dateAx>
      <c:valAx>
        <c:axId val="161232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34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'MJ2'!$C$316:$D$316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'MJ2'!$C$320:$D$320</c:f>
              <c:numCache>
                <c:formatCode>General</c:formatCode>
                <c:ptCount val="2"/>
                <c:pt idx="0">
                  <c:v>1755</c:v>
                </c:pt>
                <c:pt idx="1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F-4D22-A263-D24991CB5B88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'MJ2'!$C$316:$D$316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'MJ2'!$C$321:$D$321</c:f>
              <c:numCache>
                <c:formatCode>"$"#,##0_);[Red]\("$"#,##0\)</c:formatCode>
                <c:ptCount val="2"/>
                <c:pt idx="0">
                  <c:v>1386.4499999999998</c:v>
                </c:pt>
                <c:pt idx="1">
                  <c:v>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EF-4D22-A263-D24991CB5B88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'MJ2'!$C$316:$D$316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'MJ2'!$C$322:$D$322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EF-4D22-A263-D24991CB5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1216"/>
        <c:axId val="3862880"/>
      </c:lineChart>
      <c:dateAx>
        <c:axId val="386121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2880"/>
        <c:crosses val="autoZero"/>
        <c:auto val="1"/>
        <c:lblOffset val="100"/>
        <c:baseTimeUnit val="days"/>
      </c:dateAx>
      <c:valAx>
        <c:axId val="386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MJ2 LINE L9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OUTPUT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'MJ2'!$C$342:$D$342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'MJ2'!$C$346:$D$346</c:f>
              <c:numCache>
                <c:formatCode>General</c:formatCode>
                <c:ptCount val="2"/>
                <c:pt idx="0">
                  <c:v>1755</c:v>
                </c:pt>
                <c:pt idx="1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12-4F18-B9BF-360870DADF9A}"/>
            </c:ext>
          </c:extLst>
        </c:ser>
        <c:ser>
          <c:idx val="1"/>
          <c:order val="1"/>
          <c:tx>
            <c:v>INCOME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'MJ2'!$C$342:$D$342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'MJ2'!$C$347:$D$347</c:f>
              <c:numCache>
                <c:formatCode>"$"#,##0_);[Red]\("$"#,##0\)</c:formatCode>
                <c:ptCount val="2"/>
                <c:pt idx="0">
                  <c:v>1386.4499999999998</c:v>
                </c:pt>
                <c:pt idx="1">
                  <c:v>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12-4F18-B9BF-360870DADF9A}"/>
            </c:ext>
          </c:extLst>
        </c:ser>
        <c:ser>
          <c:idx val="2"/>
          <c:order val="2"/>
          <c:tx>
            <c:v>COST/LINE(Usd)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'MJ2'!$C$342:$D$342</c:f>
              <c:numCache>
                <c:formatCode>d\-mmm</c:formatCode>
                <c:ptCount val="2"/>
                <c:pt idx="0">
                  <c:v>45383</c:v>
                </c:pt>
                <c:pt idx="1">
                  <c:v>45384</c:v>
                </c:pt>
              </c:numCache>
            </c:numRef>
          </c:cat>
          <c:val>
            <c:numRef>
              <c:f>'MJ2'!$C$348:$D$348</c:f>
              <c:numCache>
                <c:formatCode>"$"#,##0_);[Red]\("$"#,##0\)</c:formatCode>
                <c:ptCount val="2"/>
                <c:pt idx="0">
                  <c:v>1094</c:v>
                </c:pt>
                <c:pt idx="1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12-4F18-B9BF-360870DAD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43536"/>
        <c:axId val="45443952"/>
      </c:lineChart>
      <c:dateAx>
        <c:axId val="4544353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3952"/>
        <c:crosses val="autoZero"/>
        <c:auto val="1"/>
        <c:lblOffset val="100"/>
        <c:baseTimeUnit val="days"/>
      </c:dateAx>
      <c:valAx>
        <c:axId val="454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51546</xdr:rowOff>
    </xdr:from>
    <xdr:to>
      <xdr:col>2</xdr:col>
      <xdr:colOff>28575</xdr:colOff>
      <xdr:row>5</xdr:row>
      <xdr:rowOff>129426</xdr:rowOff>
    </xdr:to>
    <xdr:sp macro="[0]!tarik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CF24EB87-75B6-4A1F-AFFC-E9DF4B3DF161}"/>
            </a:ext>
          </a:extLst>
        </xdr:cNvPr>
        <xdr:cNvSpPr/>
      </xdr:nvSpPr>
      <xdr:spPr bwMode="auto">
        <a:xfrm>
          <a:off x="295275" y="451596"/>
          <a:ext cx="1295400" cy="668430"/>
        </a:xfrm>
        <a:prstGeom prst="flowChartAlternateProcess">
          <a:avLst/>
        </a:prstGeom>
        <a:solidFill>
          <a:srgbClr val="FFC000"/>
        </a:solidFill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latin typeface="+mn-lt"/>
            </a:rPr>
            <a:t>TARIK</a:t>
          </a:r>
        </a:p>
      </xdr:txBody>
    </xdr:sp>
    <xdr:clientData/>
  </xdr:twoCellAnchor>
  <xdr:twoCellAnchor>
    <xdr:from>
      <xdr:col>1</xdr:col>
      <xdr:colOff>20171</xdr:colOff>
      <xdr:row>9</xdr:row>
      <xdr:rowOff>132230</xdr:rowOff>
    </xdr:from>
    <xdr:to>
      <xdr:col>2</xdr:col>
      <xdr:colOff>22412</xdr:colOff>
      <xdr:row>13</xdr:row>
      <xdr:rowOff>8405</xdr:rowOff>
    </xdr:to>
    <xdr:sp macro="[0]!RESUMEEEE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F217AACA-CBB8-494A-AE7F-C3CD038AA684}"/>
            </a:ext>
          </a:extLst>
        </xdr:cNvPr>
        <xdr:cNvSpPr/>
      </xdr:nvSpPr>
      <xdr:spPr bwMode="auto">
        <a:xfrm>
          <a:off x="286871" y="1913405"/>
          <a:ext cx="1297641" cy="714375"/>
        </a:xfrm>
        <a:prstGeom prst="flowChartAlternateProcess">
          <a:avLst/>
        </a:prstGeom>
        <a:solidFill>
          <a:srgbClr val="00FF00"/>
        </a:solidFill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latin typeface="+mn-lt"/>
            </a:rPr>
            <a:t>RESUME</a:t>
          </a:r>
        </a:p>
      </xdr:txBody>
    </xdr:sp>
    <xdr:clientData/>
  </xdr:twoCellAnchor>
  <xdr:twoCellAnchor>
    <xdr:from>
      <xdr:col>1</xdr:col>
      <xdr:colOff>31377</xdr:colOff>
      <xdr:row>6</xdr:row>
      <xdr:rowOff>4480</xdr:rowOff>
    </xdr:from>
    <xdr:to>
      <xdr:col>2</xdr:col>
      <xdr:colOff>33618</xdr:colOff>
      <xdr:row>9</xdr:row>
      <xdr:rowOff>71155</xdr:rowOff>
    </xdr:to>
    <xdr:sp macro="[0]!TOMBOLCM0" textlink="">
      <xdr:nvSpPr>
        <xdr:cNvPr id="9" name="Flowchart: Alternate Process 8">
          <a:extLst>
            <a:ext uri="{FF2B5EF4-FFF2-40B4-BE49-F238E27FC236}">
              <a16:creationId xmlns:a16="http://schemas.microsoft.com/office/drawing/2014/main" id="{F938FEC0-008E-4007-9D75-D5BAA1D90B72}"/>
            </a:ext>
          </a:extLst>
        </xdr:cNvPr>
        <xdr:cNvSpPr/>
      </xdr:nvSpPr>
      <xdr:spPr bwMode="auto">
        <a:xfrm>
          <a:off x="298077" y="1195105"/>
          <a:ext cx="1297641" cy="657225"/>
        </a:xfrm>
        <a:prstGeom prst="flowChartAlternateProcess">
          <a:avLst/>
        </a:prstGeom>
        <a:solidFill>
          <a:srgbClr val="FFC000"/>
        </a:solidFill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latin typeface="+mn-lt"/>
            </a:rPr>
            <a:t>CM 0</a:t>
          </a:r>
        </a:p>
      </xdr:txBody>
    </xdr:sp>
    <xdr:clientData/>
  </xdr:twoCellAnchor>
  <xdr:twoCellAnchor>
    <xdr:from>
      <xdr:col>1</xdr:col>
      <xdr:colOff>9525</xdr:colOff>
      <xdr:row>17</xdr:row>
      <xdr:rowOff>189382</xdr:rowOff>
    </xdr:from>
    <xdr:to>
      <xdr:col>2</xdr:col>
      <xdr:colOff>9525</xdr:colOff>
      <xdr:row>20</xdr:row>
      <xdr:rowOff>256057</xdr:rowOff>
    </xdr:to>
    <xdr:sp macro="[0]!APUSSS" textlink="">
      <xdr:nvSpPr>
        <xdr:cNvPr id="10" name="Flowchart: Alternate Process 9">
          <a:extLst>
            <a:ext uri="{FF2B5EF4-FFF2-40B4-BE49-F238E27FC236}">
              <a16:creationId xmlns:a16="http://schemas.microsoft.com/office/drawing/2014/main" id="{5EAF88D4-9301-46EA-AA49-52AC89873DB5}"/>
            </a:ext>
          </a:extLst>
        </xdr:cNvPr>
        <xdr:cNvSpPr/>
      </xdr:nvSpPr>
      <xdr:spPr bwMode="auto">
        <a:xfrm>
          <a:off x="276225" y="3589807"/>
          <a:ext cx="1295400" cy="638175"/>
        </a:xfrm>
        <a:prstGeom prst="flowChartAlternateProcess">
          <a:avLst/>
        </a:prstGeom>
        <a:solidFill>
          <a:srgbClr val="FFC000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solidFill>
                <a:srgbClr val="FF0000"/>
              </a:solidFill>
              <a:latin typeface="+mn-lt"/>
            </a:rPr>
            <a:t>CLEAR</a:t>
          </a:r>
        </a:p>
      </xdr:txBody>
    </xdr:sp>
    <xdr:clientData/>
  </xdr:twoCellAnchor>
  <xdr:twoCellAnchor>
    <xdr:from>
      <xdr:col>1</xdr:col>
      <xdr:colOff>25213</xdr:colOff>
      <xdr:row>13</xdr:row>
      <xdr:rowOff>100294</xdr:rowOff>
    </xdr:from>
    <xdr:to>
      <xdr:col>2</xdr:col>
      <xdr:colOff>27454</xdr:colOff>
      <xdr:row>17</xdr:row>
      <xdr:rowOff>32498</xdr:rowOff>
    </xdr:to>
    <xdr:sp macro="[0]!splitt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DD98E7CD-225A-45E6-8D56-88A5D9F1B3FA}"/>
            </a:ext>
          </a:extLst>
        </xdr:cNvPr>
        <xdr:cNvSpPr/>
      </xdr:nvSpPr>
      <xdr:spPr bwMode="auto">
        <a:xfrm>
          <a:off x="291913" y="2719669"/>
          <a:ext cx="1297641" cy="713254"/>
        </a:xfrm>
        <a:prstGeom prst="flowChartAlternateProcess">
          <a:avLst/>
        </a:prstGeom>
        <a:solidFill>
          <a:srgbClr val="FFC000"/>
        </a:solidFill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ID" sz="2400">
              <a:latin typeface="+mn-lt"/>
            </a:rPr>
            <a:t>SPLIT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21</xdr:col>
      <xdr:colOff>307975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D65D-308F-D299-FA13-B958B939B8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9</xdr:col>
      <xdr:colOff>209550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97286D-FB43-900E-6BB5-818EB85B0C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64</xdr:row>
      <xdr:rowOff>0</xdr:rowOff>
    </xdr:from>
    <xdr:to>
      <xdr:col>9</xdr:col>
      <xdr:colOff>209550</xdr:colOff>
      <xdr:row>78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8F3ADC-44FD-FC2B-52EE-74C56DC7E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9</xdr:col>
      <xdr:colOff>209550</xdr:colOff>
      <xdr:row>104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253186E-54E4-F010-BEDD-E55F0AF47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21</xdr:col>
      <xdr:colOff>22225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C0F2A1-E282-1B1A-FF2E-16AF030D6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9</xdr:col>
      <xdr:colOff>400050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2471F1-D5C9-C560-0783-7B157545A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21</xdr:col>
      <xdr:colOff>307975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53DC5D-1726-6929-81F5-97C92E58C0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9</xdr:col>
      <xdr:colOff>209550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345175-AA2D-1B6A-0C64-CF09F7637F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64</xdr:row>
      <xdr:rowOff>0</xdr:rowOff>
    </xdr:from>
    <xdr:to>
      <xdr:col>9</xdr:col>
      <xdr:colOff>209550</xdr:colOff>
      <xdr:row>78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7B8328-CFCF-B7FE-0C7C-564144834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9</xdr:col>
      <xdr:colOff>209550</xdr:colOff>
      <xdr:row>104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9E0123-107C-7572-0D47-B69BCE71D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116</xdr:row>
      <xdr:rowOff>0</xdr:rowOff>
    </xdr:from>
    <xdr:to>
      <xdr:col>9</xdr:col>
      <xdr:colOff>209550</xdr:colOff>
      <xdr:row>130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13969FC-61AF-2F37-15D9-7C360523E5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142</xdr:row>
      <xdr:rowOff>0</xdr:rowOff>
    </xdr:from>
    <xdr:to>
      <xdr:col>9</xdr:col>
      <xdr:colOff>209550</xdr:colOff>
      <xdr:row>156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29EB444-12D6-C90C-C49A-79EF8E8B5E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21</xdr:col>
      <xdr:colOff>422275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4437E-B218-4F5B-74EA-075DE5017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9</xdr:col>
      <xdr:colOff>133350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9F4CF7-7E22-DF29-4664-839AF88CCA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64</xdr:row>
      <xdr:rowOff>0</xdr:rowOff>
    </xdr:from>
    <xdr:to>
      <xdr:col>9</xdr:col>
      <xdr:colOff>133350</xdr:colOff>
      <xdr:row>78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507FB4-2FCC-500F-0799-69F55C2F42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9</xdr:col>
      <xdr:colOff>133350</xdr:colOff>
      <xdr:row>104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0C11695-5774-9660-1A25-6159EEC94A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116</xdr:row>
      <xdr:rowOff>0</xdr:rowOff>
    </xdr:from>
    <xdr:to>
      <xdr:col>9</xdr:col>
      <xdr:colOff>133350</xdr:colOff>
      <xdr:row>130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1448A81-F564-E1BA-407C-7164817FF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142</xdr:row>
      <xdr:rowOff>0</xdr:rowOff>
    </xdr:from>
    <xdr:to>
      <xdr:col>9</xdr:col>
      <xdr:colOff>133350</xdr:colOff>
      <xdr:row>156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B669B0-01A9-34FA-8158-EECB03D4C8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168</xdr:row>
      <xdr:rowOff>0</xdr:rowOff>
    </xdr:from>
    <xdr:to>
      <xdr:col>9</xdr:col>
      <xdr:colOff>133350</xdr:colOff>
      <xdr:row>182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E666FD9-8E3A-F591-6D60-417254CC7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194</xdr:row>
      <xdr:rowOff>0</xdr:rowOff>
    </xdr:from>
    <xdr:to>
      <xdr:col>9</xdr:col>
      <xdr:colOff>133350</xdr:colOff>
      <xdr:row>208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96DFB9F-92FA-12F1-18C1-99D421A7D0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220</xdr:row>
      <xdr:rowOff>0</xdr:rowOff>
    </xdr:from>
    <xdr:to>
      <xdr:col>9</xdr:col>
      <xdr:colOff>133350</xdr:colOff>
      <xdr:row>234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6802924-E8F3-92FD-EC42-391F877865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246</xdr:row>
      <xdr:rowOff>0</xdr:rowOff>
    </xdr:from>
    <xdr:to>
      <xdr:col>9</xdr:col>
      <xdr:colOff>133350</xdr:colOff>
      <xdr:row>260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79AEFA0-8B5A-8DF8-73DD-FE9A1C3F01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272</xdr:row>
      <xdr:rowOff>0</xdr:rowOff>
    </xdr:from>
    <xdr:to>
      <xdr:col>9</xdr:col>
      <xdr:colOff>133350</xdr:colOff>
      <xdr:row>286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0E2DBDB-E2C7-0D5C-BEDF-6A3A8AA7A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20</xdr:col>
      <xdr:colOff>574675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9C5306-3998-4733-52BE-CC072BE397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9</xdr:col>
      <xdr:colOff>438150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0D7689-D734-8AF9-9118-0EC99A3410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64</xdr:row>
      <xdr:rowOff>0</xdr:rowOff>
    </xdr:from>
    <xdr:to>
      <xdr:col>9</xdr:col>
      <xdr:colOff>438150</xdr:colOff>
      <xdr:row>78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05AE69-8C6A-2681-251F-64FC8F950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21</xdr:col>
      <xdr:colOff>422275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187028-8EC6-801B-B6DF-863FF7C908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9</xdr:col>
      <xdr:colOff>133350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FE1FBC-0FC9-A313-8151-0DD758242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64</xdr:row>
      <xdr:rowOff>0</xdr:rowOff>
    </xdr:from>
    <xdr:to>
      <xdr:col>9</xdr:col>
      <xdr:colOff>133350</xdr:colOff>
      <xdr:row>78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34EF98-5AF4-8C2E-5AC7-66D809A2B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9</xdr:col>
      <xdr:colOff>133350</xdr:colOff>
      <xdr:row>104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3DBDD9-E114-7367-8FC8-81850491D2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116</xdr:row>
      <xdr:rowOff>0</xdr:rowOff>
    </xdr:from>
    <xdr:to>
      <xdr:col>9</xdr:col>
      <xdr:colOff>133350</xdr:colOff>
      <xdr:row>130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FE3A5EF-B74B-91E9-D131-BD52675E67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142</xdr:row>
      <xdr:rowOff>0</xdr:rowOff>
    </xdr:from>
    <xdr:to>
      <xdr:col>9</xdr:col>
      <xdr:colOff>133350</xdr:colOff>
      <xdr:row>156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480826E-6D04-C8C4-C500-50809FD38B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168</xdr:row>
      <xdr:rowOff>0</xdr:rowOff>
    </xdr:from>
    <xdr:to>
      <xdr:col>9</xdr:col>
      <xdr:colOff>133350</xdr:colOff>
      <xdr:row>182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755273-2AD1-C2B1-573D-91CB1685F8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21</xdr:col>
      <xdr:colOff>536575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1C7530-332F-5168-5C9D-89A63B3A30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9</xdr:col>
      <xdr:colOff>57150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4CD133-246F-59B1-44FC-000547D3F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64</xdr:row>
      <xdr:rowOff>0</xdr:rowOff>
    </xdr:from>
    <xdr:to>
      <xdr:col>9</xdr:col>
      <xdr:colOff>57150</xdr:colOff>
      <xdr:row>78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223F96-D123-D503-97D1-C44B32660C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9</xdr:col>
      <xdr:colOff>57150</xdr:colOff>
      <xdr:row>104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B1E056B-36D9-0BC5-3F0C-2218E84671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116</xdr:row>
      <xdr:rowOff>0</xdr:rowOff>
    </xdr:from>
    <xdr:to>
      <xdr:col>9</xdr:col>
      <xdr:colOff>57150</xdr:colOff>
      <xdr:row>130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85B7487-35AA-1083-3C22-6F11742A1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142</xdr:row>
      <xdr:rowOff>0</xdr:rowOff>
    </xdr:from>
    <xdr:to>
      <xdr:col>9</xdr:col>
      <xdr:colOff>57150</xdr:colOff>
      <xdr:row>156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EA0B6A3-59D2-B8CD-B36D-91BBD2492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168</xdr:row>
      <xdr:rowOff>0</xdr:rowOff>
    </xdr:from>
    <xdr:to>
      <xdr:col>9</xdr:col>
      <xdr:colOff>57150</xdr:colOff>
      <xdr:row>182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35F14A2-FB56-BD85-2543-4B1093D2DD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194</xdr:row>
      <xdr:rowOff>0</xdr:rowOff>
    </xdr:from>
    <xdr:to>
      <xdr:col>9</xdr:col>
      <xdr:colOff>57150</xdr:colOff>
      <xdr:row>208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00425B2-8DE9-E118-3241-461C5379E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220</xdr:row>
      <xdr:rowOff>0</xdr:rowOff>
    </xdr:from>
    <xdr:to>
      <xdr:col>9</xdr:col>
      <xdr:colOff>57150</xdr:colOff>
      <xdr:row>234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599F50D-E736-B0A8-99D9-A03D1B04F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0</xdr:rowOff>
    </xdr:from>
    <xdr:to>
      <xdr:col>22</xdr:col>
      <xdr:colOff>41275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812559-94A2-86EE-B471-C87AFD78A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8</xdr:col>
      <xdr:colOff>590550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451C073-74F8-AE85-2D58-75814505D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64</xdr:row>
      <xdr:rowOff>0</xdr:rowOff>
    </xdr:from>
    <xdr:to>
      <xdr:col>8</xdr:col>
      <xdr:colOff>590550</xdr:colOff>
      <xdr:row>78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59E125-F673-B94F-F0C0-38BD7D9E1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8</xdr:col>
      <xdr:colOff>590550</xdr:colOff>
      <xdr:row>104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BF05DA-F2A1-010C-79D3-89D6C0BF99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116</xdr:row>
      <xdr:rowOff>0</xdr:rowOff>
    </xdr:from>
    <xdr:to>
      <xdr:col>8</xdr:col>
      <xdr:colOff>590550</xdr:colOff>
      <xdr:row>130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0ED37FB-9B94-BC6C-3FC6-FD228E1E71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142</xdr:row>
      <xdr:rowOff>0</xdr:rowOff>
    </xdr:from>
    <xdr:to>
      <xdr:col>8</xdr:col>
      <xdr:colOff>590550</xdr:colOff>
      <xdr:row>156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F1C76BC-1D5A-9CAF-1AF4-458E0F63A0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168</xdr:row>
      <xdr:rowOff>0</xdr:rowOff>
    </xdr:from>
    <xdr:to>
      <xdr:col>8</xdr:col>
      <xdr:colOff>590550</xdr:colOff>
      <xdr:row>182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5B3C925-05B7-11E3-312A-9F097CF63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194</xdr:row>
      <xdr:rowOff>0</xdr:rowOff>
    </xdr:from>
    <xdr:to>
      <xdr:col>8</xdr:col>
      <xdr:colOff>590550</xdr:colOff>
      <xdr:row>208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FED0FD7-6FAF-F885-EA97-A0694FF58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220</xdr:row>
      <xdr:rowOff>0</xdr:rowOff>
    </xdr:from>
    <xdr:to>
      <xdr:col>8</xdr:col>
      <xdr:colOff>590550</xdr:colOff>
      <xdr:row>234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64AB533-F475-CF17-9B3D-B7903874B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246</xdr:row>
      <xdr:rowOff>0</xdr:rowOff>
    </xdr:from>
    <xdr:to>
      <xdr:col>8</xdr:col>
      <xdr:colOff>590550</xdr:colOff>
      <xdr:row>260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1BF6CB1-CCC2-7CF7-75B1-7080BD3678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272</xdr:row>
      <xdr:rowOff>0</xdr:rowOff>
    </xdr:from>
    <xdr:to>
      <xdr:col>8</xdr:col>
      <xdr:colOff>590550</xdr:colOff>
      <xdr:row>286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3215539-A227-BAE5-1B9E-33FAC372BD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298</xdr:row>
      <xdr:rowOff>0</xdr:rowOff>
    </xdr:from>
    <xdr:to>
      <xdr:col>8</xdr:col>
      <xdr:colOff>590550</xdr:colOff>
      <xdr:row>312</xdr:row>
      <xdr:rowOff>152400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D74373-11F2-DB48-33F5-037F3F44C0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324</xdr:row>
      <xdr:rowOff>0</xdr:rowOff>
    </xdr:from>
    <xdr:to>
      <xdr:col>8</xdr:col>
      <xdr:colOff>590550</xdr:colOff>
      <xdr:row>338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EF19623-CD9C-B739-30BF-74DB1411DA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350</xdr:row>
      <xdr:rowOff>0</xdr:rowOff>
    </xdr:from>
    <xdr:to>
      <xdr:col>8</xdr:col>
      <xdr:colOff>590550</xdr:colOff>
      <xdr:row>364</xdr:row>
      <xdr:rowOff>152400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A26D61F-FC7E-6093-0E43-63D429BA77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Users\rexy.IT03\Desktop\TES\BEKAP\SPLIT\GI-IS%20-%20Cost%20Factory%20Report%20Gistex%20Cileunyi%20Japan.xlsx" TargetMode="External"/><Relationship Id="rId13" Type="http://schemas.openxmlformats.org/officeDocument/2006/relationships/hyperlink" Target="file:///C:\Users\rexy.IT03\Desktop\TES\BEKAP\SPLIT\GI-IS%20-%20Cost%20Factory%20Report%20Gistex%20Majalengka%202.xlsx" TargetMode="External"/><Relationship Id="rId18" Type="http://schemas.openxmlformats.org/officeDocument/2006/relationships/hyperlink" Target="mailto:cnj.lina@gmail.com" TargetMode="External"/><Relationship Id="rId26" Type="http://schemas.openxmlformats.org/officeDocument/2006/relationships/hyperlink" Target="file:///\\10.5.0.27\bersama\LINE%20COST" TargetMode="External"/><Relationship Id="rId3" Type="http://schemas.openxmlformats.org/officeDocument/2006/relationships/hyperlink" Target="..\..\REXY\Profit%20Loss\Tarikan%20Recap%20CM" TargetMode="External"/><Relationship Id="rId21" Type="http://schemas.openxmlformats.org/officeDocument/2006/relationships/hyperlink" Target="..\RPA" TargetMode="External"/><Relationship Id="rId7" Type="http://schemas.openxmlformats.org/officeDocument/2006/relationships/hyperlink" Target="file:///C:\Users\rexy.IT03\Desktop\TES\BEKAP\SPLIT\GI-IS%20-%20Cost%20Factory%20Report%20CV%20Chawan.xlsx" TargetMode="External"/><Relationship Id="rId12" Type="http://schemas.openxmlformats.org/officeDocument/2006/relationships/hyperlink" Target="file:///C:\Users\rexy.IT03\Desktop\TES\BEKAP\SPLIT\GI-IS%20-%20Cost%20Factory%20Report%20Gistex%20Majalengka%201.xlsx" TargetMode="External"/><Relationship Id="rId17" Type="http://schemas.openxmlformats.org/officeDocument/2006/relationships/hyperlink" Target="mailto:rhartono@gistexgroup.com" TargetMode="External"/><Relationship Id="rId25" Type="http://schemas.openxmlformats.org/officeDocument/2006/relationships/hyperlink" Target="SPLIT/GI-IS%20-%20Cost%20Factory%20Report%20CV%20Anugrah%202.xlsx" TargetMode="External"/><Relationship Id="rId2" Type="http://schemas.openxmlformats.org/officeDocument/2006/relationships/hyperlink" Target="..\..\REXY\Profit%20Loss\Tarikan%20WO%20Buyer" TargetMode="External"/><Relationship Id="rId16" Type="http://schemas.openxmlformats.org/officeDocument/2006/relationships/hyperlink" Target="mailto:kzulfikar@gistexgroup.com)" TargetMode="External"/><Relationship Id="rId20" Type="http://schemas.openxmlformats.org/officeDocument/2006/relationships/hyperlink" Target="../SPLIT/GI-IS%20-%20Cost%20Factory%20Report%20CNJ%20GROUP.xlsx" TargetMode="External"/><Relationship Id="rId1" Type="http://schemas.openxmlformats.org/officeDocument/2006/relationships/hyperlink" Target="file:///C:\Users\rexy.IT03\Desktop\TES\BEKAP\SPLIT" TargetMode="External"/><Relationship Id="rId6" Type="http://schemas.openxmlformats.org/officeDocument/2006/relationships/hyperlink" Target="file:///C:\Users\rexy.IT03\Desktop\TES\BEKAP\SPLIT\GI-IS%20-%20Cost%20Factory%20Report%20Cahaya%20Busana%20Abadi.xlsx" TargetMode="External"/><Relationship Id="rId11" Type="http://schemas.openxmlformats.org/officeDocument/2006/relationships/hyperlink" Target="file:///C:\Users\rexy.IT03\Desktop\TES\BEKAP\SPLIT\GI-IS%20-%20Cost%20Factory%20Report%20Gistex%20Kalibenda.xlsx" TargetMode="External"/><Relationship Id="rId24" Type="http://schemas.openxmlformats.org/officeDocument/2006/relationships/hyperlink" Target="SPLIT/GI-IS%20-%20Cost%20Factory%20Report%20CV%20Anugrah.xlsx" TargetMode="External"/><Relationship Id="rId5" Type="http://schemas.openxmlformats.org/officeDocument/2006/relationships/hyperlink" Target="mailto:rhartono@gistexgroup.com" TargetMode="External"/><Relationship Id="rId15" Type="http://schemas.openxmlformats.org/officeDocument/2006/relationships/hyperlink" Target="../REXY/Profit%20Loss/MACRO-CM0NOOR.xlsm" TargetMode="External"/><Relationship Id="rId23" Type="http://schemas.openxmlformats.org/officeDocument/2006/relationships/hyperlink" Target="../REXY/Profit%20Loss/Tarikan%20GCC" TargetMode="External"/><Relationship Id="rId28" Type="http://schemas.openxmlformats.org/officeDocument/2006/relationships/drawing" Target="../drawings/drawing1.xml"/><Relationship Id="rId10" Type="http://schemas.openxmlformats.org/officeDocument/2006/relationships/hyperlink" Target="file:///C:\Users\rexy.IT03\Desktop\TES\BEKAP\SPLIT\GI-IS%20-%20Cost%20Factory%20Report%20CNJ2.xlsx" TargetMode="External"/><Relationship Id="rId19" Type="http://schemas.openxmlformats.org/officeDocument/2006/relationships/hyperlink" Target="mailto:cnj.lina@gmail.com" TargetMode="External"/><Relationship Id="rId4" Type="http://schemas.openxmlformats.org/officeDocument/2006/relationships/hyperlink" Target="mailto:kzulfikar@gistexgroup.com)" TargetMode="External"/><Relationship Id="rId9" Type="http://schemas.openxmlformats.org/officeDocument/2006/relationships/hyperlink" Target="file:///C:\Users\rexy.IT03\Desktop\TES\BEKAP\SPLIT\GI-IS%20-%20Cost%20Factory%20ReportGistex%20Cileunyi.xlsx" TargetMode="External"/><Relationship Id="rId14" Type="http://schemas.openxmlformats.org/officeDocument/2006/relationships/hyperlink" Target="file:///C:\Users\rexy.IT03\Desktop\TES\REXY\OUTPUT%20SEWING\MACRO%20OUTPUT%20REPORT%20SEWING.xlsm" TargetMode="External"/><Relationship Id="rId22" Type="http://schemas.openxmlformats.org/officeDocument/2006/relationships/hyperlink" Target="..\REXY\Profit%20Loss\Tarikan%20GCC" TargetMode="External"/><Relationship Id="rId27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Z141"/>
  <sheetViews>
    <sheetView tabSelected="1" zoomScale="70" zoomScaleNormal="70" zoomScaleSheetLayoutView="85" workbookViewId="0"/>
  </sheetViews>
  <sheetFormatPr defaultRowHeight="15" x14ac:dyDescent="0.25"/>
  <cols>
    <col min="1" max="1" width="4" customWidth="1"/>
    <col min="2" max="2" width="19.42578125" customWidth="1"/>
    <col min="3" max="3" width="5.140625" customWidth="1"/>
    <col min="4" max="4" width="4.28515625" customWidth="1"/>
    <col min="5" max="5" width="35.28515625" bestFit="1" customWidth="1"/>
    <col min="6" max="6" width="61.5703125" customWidth="1"/>
    <col min="8" max="8" width="15.28515625" customWidth="1"/>
    <col min="9" max="9" width="4.42578125" customWidth="1"/>
    <col min="12" max="12" width="9.7109375" customWidth="1"/>
    <col min="13" max="14" width="26.42578125" style="43" customWidth="1"/>
    <col min="15" max="16" width="15.140625" style="43" customWidth="1"/>
    <col min="17" max="17" width="23.42578125" style="43" customWidth="1"/>
    <col min="18" max="18" width="9" style="43" customWidth="1"/>
    <col min="19" max="19" width="9.140625" customWidth="1"/>
    <col min="23" max="24" width="9.140625" customWidth="1"/>
    <col min="25" max="25" width="12" bestFit="1" customWidth="1"/>
    <col min="26" max="28" width="9.140625" customWidth="1"/>
    <col min="29" max="29" width="13.5703125" bestFit="1" customWidth="1"/>
    <col min="30" max="30" width="9.140625" customWidth="1"/>
    <col min="31" max="31" width="13.85546875" bestFit="1" customWidth="1"/>
    <col min="32" max="32" width="22.85546875" bestFit="1" customWidth="1"/>
    <col min="33" max="33" width="88.7109375" bestFit="1" customWidth="1"/>
    <col min="34" max="34" width="27.7109375" bestFit="1" customWidth="1"/>
    <col min="35" max="35" width="10.42578125" customWidth="1"/>
    <col min="37" max="37" width="7.28515625" bestFit="1" customWidth="1"/>
    <col min="38" max="38" width="13.140625" customWidth="1"/>
    <col min="39" max="40" width="28.140625" bestFit="1" customWidth="1"/>
    <col min="41" max="41" width="13.85546875" bestFit="1" customWidth="1"/>
    <col min="43" max="43" width="81.7109375" bestFit="1" customWidth="1"/>
    <col min="48" max="48" width="87.85546875" bestFit="1" customWidth="1"/>
    <col min="49" max="49" width="40.5703125" bestFit="1" customWidth="1"/>
    <col min="50" max="50" width="12" bestFit="1" customWidth="1"/>
    <col min="51" max="51" width="8.7109375" bestFit="1" customWidth="1"/>
    <col min="52" max="52" width="9.5703125" bestFit="1" customWidth="1"/>
  </cols>
  <sheetData>
    <row r="1" spans="1:52" ht="15.75" thickBot="1" x14ac:dyDescent="0.3">
      <c r="A1" s="64"/>
      <c r="B1" s="9"/>
      <c r="C1" s="9"/>
      <c r="D1" s="9"/>
      <c r="E1" s="9"/>
      <c r="F1" s="9"/>
      <c r="G1" s="9"/>
      <c r="H1" s="9"/>
      <c r="I1" s="10"/>
      <c r="J1" s="45"/>
      <c r="L1" s="1"/>
      <c r="M1" s="42">
        <f ca="1">TODAY()</f>
        <v>45386</v>
      </c>
      <c r="N1" s="42">
        <f ca="1">M1-1</f>
        <v>45385</v>
      </c>
      <c r="O1" s="43" t="str">
        <f ca="1">M2&amp; " " &amp;M3&amp;" "&amp;M4</f>
        <v>4 April 2024</v>
      </c>
      <c r="P1" s="43" t="str">
        <f ca="1">N2&amp; " " &amp;N3&amp;" "&amp;N4</f>
        <v>03 April 2024</v>
      </c>
      <c r="R1" s="43" t="s">
        <v>71</v>
      </c>
      <c r="Y1" s="1">
        <f ca="1">TODAY()-2</f>
        <v>45384</v>
      </c>
      <c r="AC1" t="s">
        <v>5</v>
      </c>
      <c r="AE1" t="s">
        <v>11</v>
      </c>
      <c r="AO1" t="s">
        <v>77</v>
      </c>
      <c r="AQ1" s="63" t="s">
        <v>78</v>
      </c>
      <c r="AR1" s="38" t="s">
        <v>76</v>
      </c>
      <c r="AV1" s="41" t="s">
        <v>64</v>
      </c>
      <c r="AW1" s="40" t="s">
        <v>69</v>
      </c>
      <c r="AX1" s="1">
        <f ca="1">TODAY()</f>
        <v>45386</v>
      </c>
      <c r="AY1" s="58"/>
      <c r="AZ1" s="59"/>
    </row>
    <row r="2" spans="1:52" ht="15.75" thickBot="1" x14ac:dyDescent="0.3">
      <c r="A2" s="21"/>
      <c r="B2" s="65"/>
      <c r="C2" s="15"/>
      <c r="D2" s="16"/>
      <c r="E2" s="22"/>
      <c r="F2" s="22"/>
      <c r="G2" s="22"/>
      <c r="H2" s="22"/>
      <c r="I2" s="11"/>
      <c r="J2" s="45"/>
      <c r="M2" s="43">
        <f ca="1">DAY(M1)</f>
        <v>4</v>
      </c>
      <c r="N2" s="43" t="str">
        <f ca="1">IF(DAY(N1)&lt;10,CONCATENATE("0",DAY(N1)),DAY(N1))</f>
        <v>03</v>
      </c>
      <c r="AC2" t="s">
        <v>3</v>
      </c>
      <c r="AE2" t="s">
        <v>12</v>
      </c>
      <c r="AF2" t="s">
        <v>21</v>
      </c>
      <c r="AG2" s="38" t="s">
        <v>54</v>
      </c>
      <c r="AH2" s="38"/>
      <c r="AI2" s="39" t="s">
        <v>31</v>
      </c>
      <c r="AJ2" t="s">
        <v>32</v>
      </c>
      <c r="AK2" t="s">
        <v>33</v>
      </c>
      <c r="AL2" t="s">
        <v>34</v>
      </c>
      <c r="AM2" t="s">
        <v>35</v>
      </c>
      <c r="AV2" s="38" t="s">
        <v>63</v>
      </c>
      <c r="AW2" s="40" t="s">
        <v>67</v>
      </c>
      <c r="AX2" s="1">
        <v>45386</v>
      </c>
    </row>
    <row r="3" spans="1:52" ht="15.75" thickBot="1" x14ac:dyDescent="0.3">
      <c r="A3" s="66"/>
      <c r="B3" s="67"/>
      <c r="C3" s="2"/>
      <c r="D3" s="24"/>
      <c r="E3" s="37" t="s">
        <v>20</v>
      </c>
      <c r="F3" s="53" t="s">
        <v>29</v>
      </c>
      <c r="G3" s="22"/>
      <c r="H3" s="22"/>
      <c r="I3" s="11"/>
      <c r="J3" s="45"/>
      <c r="M3" s="43" t="str">
        <f ca="1">TEXT(M1,"mmmm")</f>
        <v>April</v>
      </c>
      <c r="N3" s="43" t="str">
        <f ca="1">TEXT(N1,"mmmm")</f>
        <v>April</v>
      </c>
      <c r="AE3" t="s">
        <v>13</v>
      </c>
      <c r="AF3" t="s">
        <v>22</v>
      </c>
      <c r="AG3" s="38" t="s">
        <v>55</v>
      </c>
      <c r="AH3" s="38" t="s">
        <v>51</v>
      </c>
      <c r="AI3" s="39" t="s">
        <v>31</v>
      </c>
      <c r="AJ3" t="s">
        <v>36</v>
      </c>
      <c r="AK3" t="s">
        <v>33</v>
      </c>
      <c r="AL3" t="s">
        <v>37</v>
      </c>
      <c r="AM3" s="38" t="s">
        <v>38</v>
      </c>
      <c r="AN3" s="38" t="s">
        <v>38</v>
      </c>
      <c r="AV3" s="40"/>
      <c r="AW3" s="40"/>
    </row>
    <row r="4" spans="1:52" ht="15.75" thickBot="1" x14ac:dyDescent="0.3">
      <c r="A4" s="3"/>
      <c r="B4" s="4"/>
      <c r="C4" s="5"/>
      <c r="D4" s="17"/>
      <c r="E4" s="22"/>
      <c r="F4" s="23"/>
      <c r="G4" s="22"/>
      <c r="H4" s="22"/>
      <c r="I4" s="11"/>
      <c r="J4" s="45"/>
      <c r="M4" s="43">
        <f ca="1">YEAR(M1)</f>
        <v>2024</v>
      </c>
      <c r="N4" s="43">
        <f ca="1">YEAR(N1)</f>
        <v>2024</v>
      </c>
      <c r="AE4" t="s">
        <v>14</v>
      </c>
      <c r="AF4" t="s">
        <v>23</v>
      </c>
      <c r="AG4" s="38" t="s">
        <v>56</v>
      </c>
      <c r="AH4" s="38" t="s">
        <v>50</v>
      </c>
      <c r="AI4" s="39" t="s">
        <v>31</v>
      </c>
      <c r="AJ4" t="s">
        <v>39</v>
      </c>
      <c r="AK4" t="s">
        <v>33</v>
      </c>
      <c r="AL4" t="s">
        <v>40</v>
      </c>
      <c r="AM4" s="38" t="s">
        <v>52</v>
      </c>
      <c r="AV4" s="40" t="s">
        <v>66</v>
      </c>
      <c r="AW4" s="40" t="s">
        <v>70</v>
      </c>
    </row>
    <row r="5" spans="1:52" x14ac:dyDescent="0.25">
      <c r="A5" s="3"/>
      <c r="B5" s="4"/>
      <c r="C5" s="5"/>
      <c r="D5" s="17"/>
      <c r="E5" s="33" t="s">
        <v>2</v>
      </c>
      <c r="F5" s="54" t="s">
        <v>84</v>
      </c>
      <c r="G5" s="22"/>
      <c r="H5" s="22"/>
      <c r="I5" s="11"/>
      <c r="J5" s="45"/>
      <c r="M5" s="43">
        <f ca="1">MONTH(M1)</f>
        <v>4</v>
      </c>
      <c r="N5" s="42"/>
      <c r="O5" s="42">
        <v>45383</v>
      </c>
      <c r="P5" s="42" t="str">
        <f>TEXT(O5,"dd")</f>
        <v>01</v>
      </c>
      <c r="Q5" s="43" t="s">
        <v>91</v>
      </c>
      <c r="AE5" t="s">
        <v>53</v>
      </c>
      <c r="AF5" t="s">
        <v>24</v>
      </c>
      <c r="AG5" s="38" t="s">
        <v>57</v>
      </c>
      <c r="AH5" s="38" t="s">
        <v>50</v>
      </c>
      <c r="AI5" s="39" t="s">
        <v>31</v>
      </c>
      <c r="AJ5" t="s">
        <v>41</v>
      </c>
      <c r="AK5" t="s">
        <v>42</v>
      </c>
      <c r="AL5" t="s">
        <v>43</v>
      </c>
      <c r="AM5" t="s">
        <v>44</v>
      </c>
      <c r="AN5" t="s">
        <v>45</v>
      </c>
      <c r="AV5" s="38" t="s">
        <v>65</v>
      </c>
      <c r="AW5" s="40" t="s">
        <v>68</v>
      </c>
    </row>
    <row r="6" spans="1:52" ht="15.75" thickBot="1" x14ac:dyDescent="0.3">
      <c r="A6" s="3"/>
      <c r="B6" s="4"/>
      <c r="C6" s="5"/>
      <c r="D6" s="17"/>
      <c r="E6" s="34" t="s">
        <v>1</v>
      </c>
      <c r="F6" s="55" t="s">
        <v>83</v>
      </c>
      <c r="G6" s="22"/>
      <c r="H6" s="22"/>
      <c r="I6" s="11"/>
      <c r="J6" s="45"/>
      <c r="O6" s="42">
        <f ca="1">M1-3</f>
        <v>45383</v>
      </c>
      <c r="P6" s="43">
        <f ca="1">DAY(O6)</f>
        <v>1</v>
      </c>
      <c r="AE6" t="s">
        <v>15</v>
      </c>
      <c r="AF6" t="s">
        <v>15</v>
      </c>
      <c r="AG6" s="38" t="s">
        <v>58</v>
      </c>
      <c r="AH6" s="38"/>
      <c r="AI6" s="39" t="s">
        <v>31</v>
      </c>
      <c r="AJ6" t="s">
        <v>46</v>
      </c>
      <c r="AK6" t="s">
        <v>47</v>
      </c>
      <c r="AL6" t="s">
        <v>33</v>
      </c>
      <c r="AM6" t="s">
        <v>48</v>
      </c>
      <c r="AN6" t="s">
        <v>49</v>
      </c>
    </row>
    <row r="7" spans="1:52" x14ac:dyDescent="0.25">
      <c r="A7" s="3"/>
      <c r="B7" s="4"/>
      <c r="C7" s="5"/>
      <c r="D7" s="17"/>
      <c r="E7" s="22"/>
      <c r="F7" s="22"/>
      <c r="G7" s="22"/>
      <c r="H7" s="22"/>
      <c r="I7" s="11"/>
      <c r="J7" s="45"/>
      <c r="L7" s="68"/>
      <c r="P7" s="43" t="str">
        <f ca="1">TEXT(O6,"MMMM")</f>
        <v>April</v>
      </c>
      <c r="AE7" t="s">
        <v>16</v>
      </c>
      <c r="AF7" t="s">
        <v>25</v>
      </c>
      <c r="AG7" s="38" t="s">
        <v>59</v>
      </c>
      <c r="AH7" s="38"/>
      <c r="AI7" s="39"/>
      <c r="AM7" s="38" t="s">
        <v>76</v>
      </c>
      <c r="AV7" t="s">
        <v>80</v>
      </c>
    </row>
    <row r="8" spans="1:52" ht="15.75" thickBot="1" x14ac:dyDescent="0.3">
      <c r="A8" s="3"/>
      <c r="B8" s="4"/>
      <c r="C8" s="5"/>
      <c r="D8" s="17"/>
      <c r="E8" s="22"/>
      <c r="F8" s="22"/>
      <c r="G8" s="22"/>
      <c r="H8" s="22"/>
      <c r="I8" s="11"/>
      <c r="J8" s="45"/>
      <c r="P8" s="42"/>
      <c r="AE8" t="s">
        <v>17</v>
      </c>
      <c r="AF8" t="s">
        <v>26</v>
      </c>
      <c r="AG8" s="38" t="s">
        <v>60</v>
      </c>
      <c r="AH8" s="38" t="s">
        <v>51</v>
      </c>
      <c r="AI8" s="39"/>
      <c r="AV8" s="38" t="s">
        <v>81</v>
      </c>
    </row>
    <row r="9" spans="1:52" ht="15.75" thickBot="1" x14ac:dyDescent="0.3">
      <c r="A9" s="3"/>
      <c r="B9" s="4"/>
      <c r="C9" s="5"/>
      <c r="D9" s="17"/>
      <c r="E9" s="35" t="s">
        <v>0</v>
      </c>
      <c r="F9" s="53" t="s">
        <v>30</v>
      </c>
      <c r="G9" s="22"/>
      <c r="H9" s="22"/>
      <c r="I9" s="11"/>
      <c r="J9" s="45"/>
      <c r="AE9" t="s">
        <v>18</v>
      </c>
      <c r="AF9" t="s">
        <v>27</v>
      </c>
      <c r="AG9" s="38" t="s">
        <v>61</v>
      </c>
      <c r="AH9" s="38" t="s">
        <v>82</v>
      </c>
      <c r="AI9" s="39"/>
    </row>
    <row r="10" spans="1:52" x14ac:dyDescent="0.25">
      <c r="A10" s="3"/>
      <c r="B10" s="4"/>
      <c r="C10" s="5"/>
      <c r="D10" s="17"/>
      <c r="E10" s="22"/>
      <c r="F10" s="22"/>
      <c r="G10" s="22"/>
      <c r="H10" s="22"/>
      <c r="I10" s="11"/>
      <c r="J10" s="45"/>
      <c r="M10" s="54" t="s">
        <v>84</v>
      </c>
      <c r="AE10" t="s">
        <v>19</v>
      </c>
      <c r="AF10" t="s">
        <v>28</v>
      </c>
      <c r="AG10" s="38" t="s">
        <v>62</v>
      </c>
      <c r="AH10" s="38" t="s">
        <v>52</v>
      </c>
      <c r="AI10" s="39"/>
    </row>
    <row r="11" spans="1:52" ht="15.75" thickBot="1" x14ac:dyDescent="0.3">
      <c r="A11" s="3"/>
      <c r="B11" s="4"/>
      <c r="C11" s="5"/>
      <c r="D11" s="17"/>
      <c r="E11" s="22"/>
      <c r="F11" s="22"/>
      <c r="G11" s="22"/>
      <c r="H11" s="22"/>
      <c r="I11" s="11"/>
      <c r="J11" s="45"/>
      <c r="M11" s="55" t="s">
        <v>83</v>
      </c>
      <c r="AE11" t="s">
        <v>85</v>
      </c>
      <c r="AF11" t="s">
        <v>86</v>
      </c>
      <c r="AG11" s="38" t="s">
        <v>87</v>
      </c>
    </row>
    <row r="12" spans="1:52" ht="19.5" thickBot="1" x14ac:dyDescent="0.35">
      <c r="A12" s="3"/>
      <c r="B12" s="4"/>
      <c r="C12" s="5"/>
      <c r="D12" s="24"/>
      <c r="E12" s="36" t="s">
        <v>4</v>
      </c>
      <c r="F12" s="56" t="s">
        <v>3</v>
      </c>
      <c r="G12" s="22"/>
      <c r="H12" s="22"/>
      <c r="I12" s="11"/>
      <c r="J12" s="45"/>
      <c r="AG12" s="62"/>
    </row>
    <row r="13" spans="1:52" ht="15.75" thickBot="1" x14ac:dyDescent="0.3">
      <c r="A13" s="3"/>
      <c r="B13" s="4"/>
      <c r="C13" s="5"/>
      <c r="D13" s="17"/>
      <c r="E13" s="22"/>
      <c r="F13" s="22"/>
      <c r="G13" s="22"/>
      <c r="H13" s="22"/>
      <c r="I13" s="11"/>
      <c r="J13" s="45"/>
      <c r="M13" s="69" t="s">
        <v>189</v>
      </c>
    </row>
    <row r="14" spans="1:52" x14ac:dyDescent="0.25">
      <c r="A14" s="3"/>
      <c r="B14" s="4"/>
      <c r="C14" s="5"/>
      <c r="D14" s="24"/>
      <c r="E14" s="33" t="s">
        <v>72</v>
      </c>
      <c r="F14" s="60" t="s">
        <v>75</v>
      </c>
      <c r="G14" s="22"/>
      <c r="H14" s="22"/>
      <c r="I14" s="11"/>
      <c r="J14" s="45"/>
      <c r="M14" s="38" t="s">
        <v>92</v>
      </c>
    </row>
    <row r="15" spans="1:52" ht="15.75" thickBot="1" x14ac:dyDescent="0.3">
      <c r="A15" s="3"/>
      <c r="B15" s="4"/>
      <c r="C15" s="5"/>
      <c r="D15" s="24"/>
      <c r="E15" s="34" t="s">
        <v>73</v>
      </c>
      <c r="F15" s="61" t="s">
        <v>74</v>
      </c>
      <c r="G15" s="22"/>
      <c r="H15" s="22"/>
      <c r="I15" s="11"/>
      <c r="J15" s="45"/>
      <c r="L15" s="38"/>
    </row>
    <row r="16" spans="1:52" ht="15.75" thickBot="1" x14ac:dyDescent="0.3">
      <c r="A16" s="3"/>
      <c r="B16" s="4"/>
      <c r="C16" s="5"/>
      <c r="D16" s="17"/>
      <c r="E16" s="22"/>
      <c r="F16" s="22"/>
      <c r="G16" s="22"/>
      <c r="H16" s="22"/>
      <c r="I16" s="11"/>
      <c r="J16" s="45"/>
    </row>
    <row r="17" spans="1:12" x14ac:dyDescent="0.25">
      <c r="A17" s="3"/>
      <c r="B17" s="4"/>
      <c r="C17" s="5"/>
      <c r="D17" s="17"/>
      <c r="E17" s="22"/>
      <c r="F17" s="25" t="s">
        <v>6</v>
      </c>
      <c r="G17" s="26"/>
      <c r="H17" s="27"/>
      <c r="I17" s="11"/>
      <c r="J17" s="45"/>
      <c r="L17" s="38"/>
    </row>
    <row r="18" spans="1:12" x14ac:dyDescent="0.25">
      <c r="A18" s="3"/>
      <c r="B18" s="4"/>
      <c r="C18" s="5"/>
      <c r="D18" s="17"/>
      <c r="E18" s="22"/>
      <c r="F18" s="28" t="s">
        <v>9</v>
      </c>
      <c r="G18" s="57"/>
      <c r="H18" s="29"/>
      <c r="I18" s="11"/>
      <c r="J18" s="45"/>
    </row>
    <row r="19" spans="1:12" x14ac:dyDescent="0.25">
      <c r="A19" s="3"/>
      <c r="B19" s="4"/>
      <c r="C19" s="5"/>
      <c r="D19" s="17"/>
      <c r="E19" s="22"/>
      <c r="F19" s="28" t="s">
        <v>7</v>
      </c>
      <c r="G19" s="57"/>
      <c r="H19" s="29"/>
      <c r="I19" s="11"/>
      <c r="J19" s="45"/>
    </row>
    <row r="20" spans="1:12" x14ac:dyDescent="0.25">
      <c r="A20" s="3"/>
      <c r="B20" s="4"/>
      <c r="C20" s="5"/>
      <c r="D20" s="17"/>
      <c r="E20" s="22"/>
      <c r="F20" s="28"/>
      <c r="G20" s="57"/>
      <c r="H20" s="29"/>
      <c r="I20" s="11"/>
      <c r="J20" s="45"/>
    </row>
    <row r="21" spans="1:12" ht="27" customHeight="1" thickBot="1" x14ac:dyDescent="0.3">
      <c r="A21" s="6"/>
      <c r="B21" s="7"/>
      <c r="C21" s="8"/>
      <c r="D21" s="17"/>
      <c r="E21" s="22"/>
      <c r="F21" s="28" t="s">
        <v>8</v>
      </c>
      <c r="G21" s="57"/>
      <c r="H21" s="29"/>
      <c r="I21" s="11"/>
      <c r="J21" s="45"/>
    </row>
    <row r="22" spans="1:12" ht="15.75" thickBot="1" x14ac:dyDescent="0.3">
      <c r="A22" s="21"/>
      <c r="B22" s="19"/>
      <c r="C22" s="20"/>
      <c r="D22" s="18"/>
      <c r="E22" s="22"/>
      <c r="F22" s="28"/>
      <c r="G22" s="57"/>
      <c r="H22" s="29"/>
      <c r="I22" s="11"/>
      <c r="J22" s="45"/>
    </row>
    <row r="23" spans="1:12" x14ac:dyDescent="0.25">
      <c r="A23" s="21"/>
      <c r="B23" s="22"/>
      <c r="C23" s="22"/>
      <c r="D23" s="22"/>
      <c r="E23" s="22"/>
      <c r="F23" s="28" t="s">
        <v>10</v>
      </c>
      <c r="G23" s="57"/>
      <c r="H23" s="29"/>
      <c r="I23" s="11"/>
      <c r="J23" s="45"/>
    </row>
    <row r="24" spans="1:12" ht="15.75" thickBot="1" x14ac:dyDescent="0.3">
      <c r="A24" s="21"/>
      <c r="B24" s="22"/>
      <c r="C24" s="22"/>
      <c r="D24" s="22"/>
      <c r="E24" s="22"/>
      <c r="F24" s="30"/>
      <c r="G24" s="31"/>
      <c r="H24" s="32"/>
      <c r="I24" s="11"/>
      <c r="J24" s="45"/>
    </row>
    <row r="25" spans="1:12" x14ac:dyDescent="0.25">
      <c r="A25" s="21"/>
      <c r="B25" s="22"/>
      <c r="C25" s="22"/>
      <c r="D25" s="22"/>
      <c r="E25" s="22"/>
      <c r="F25" s="22"/>
      <c r="G25" s="22"/>
      <c r="H25" s="22"/>
      <c r="I25" s="11"/>
      <c r="J25" s="45"/>
    </row>
    <row r="26" spans="1:12" ht="15.75" thickBot="1" x14ac:dyDescent="0.3">
      <c r="A26" s="13"/>
      <c r="B26" s="22"/>
      <c r="C26" s="14"/>
      <c r="D26" s="14"/>
      <c r="E26" s="14"/>
      <c r="F26" s="14"/>
      <c r="G26" s="14"/>
      <c r="H26" s="14"/>
      <c r="I26" s="12"/>
      <c r="J26" s="45"/>
    </row>
    <row r="27" spans="1:12" x14ac:dyDescent="0.25">
      <c r="A27" s="51"/>
      <c r="B27" s="50"/>
      <c r="C27" s="47"/>
      <c r="D27" s="47"/>
      <c r="E27" s="47"/>
      <c r="F27" s="47"/>
      <c r="G27" s="47"/>
      <c r="H27" s="47"/>
      <c r="I27" s="47"/>
      <c r="J27" s="46"/>
    </row>
    <row r="28" spans="1:12" x14ac:dyDescent="0.25">
      <c r="A28" s="44"/>
      <c r="B28" s="47"/>
      <c r="C28" s="47"/>
      <c r="D28" s="47"/>
      <c r="E28" s="47"/>
      <c r="F28" s="47"/>
      <c r="G28" s="47"/>
      <c r="H28" s="47"/>
      <c r="I28" s="47"/>
      <c r="J28" s="46"/>
    </row>
    <row r="29" spans="1:12" ht="15.75" thickBot="1" x14ac:dyDescent="0.3">
      <c r="A29" s="52"/>
      <c r="B29" s="48"/>
      <c r="C29" s="48"/>
      <c r="D29" s="48"/>
      <c r="E29" s="48"/>
      <c r="F29" s="48"/>
      <c r="G29" s="48"/>
      <c r="H29" s="48"/>
      <c r="I29" s="48"/>
      <c r="J29" s="49"/>
    </row>
    <row r="31" spans="1:12" x14ac:dyDescent="0.25">
      <c r="B31" t="s">
        <v>79</v>
      </c>
    </row>
    <row r="141" spans="12:12" x14ac:dyDescent="0.25">
      <c r="L141">
        <f>L11+L17+L24+L34+L42+L49+L55+L62+L69+L75+L84+L91+L99+L104+L110+L115+L120+L126+L132+L139</f>
        <v>0</v>
      </c>
    </row>
  </sheetData>
  <dataValidations disablePrompts="1" count="1">
    <dataValidation type="list" allowBlank="1" showInputMessage="1" showErrorMessage="1" sqref="F12" xr:uid="{AA2435E8-A899-4C6F-8272-122C8204930C}">
      <formula1>$AC$1:$AC$2</formula1>
    </dataValidation>
  </dataValidations>
  <hyperlinks>
    <hyperlink ref="F3" r:id="rId1" xr:uid="{F261A97F-1315-42F9-9C74-16AE4D341003}"/>
    <hyperlink ref="F9" r:id="rId2" xr:uid="{04D6E4AF-C8D3-4DE0-B871-AD05D9BE9B50}"/>
    <hyperlink ref="F15" r:id="rId3" xr:uid="{1E3E3DD6-4492-4906-8D65-D4F304923EFE}"/>
    <hyperlink ref="AN3" r:id="rId4" xr:uid="{8CC1CCFD-3E7E-4AFB-BAF7-A73ADD9C0F0B}"/>
    <hyperlink ref="AH10" r:id="rId5" xr:uid="{80FEEE17-9529-4A69-9BCB-5C7DDF64AA83}"/>
    <hyperlink ref="AG2" r:id="rId6" xr:uid="{A75F3545-D058-4E41-8117-949A00A16551}"/>
    <hyperlink ref="AG3" r:id="rId7" xr:uid="{10A36D9C-C905-4002-A9E7-D992017C552A}"/>
    <hyperlink ref="AG4" r:id="rId8" xr:uid="{8F3AE81A-B371-4DA0-8563-44669D72B65F}"/>
    <hyperlink ref="AG5" r:id="rId9" xr:uid="{11B37880-3FEA-454A-BFD7-47CCCF7EF68E}"/>
    <hyperlink ref="AG6" r:id="rId10" xr:uid="{D76182AC-A918-4C06-B10B-B88E8471E77B}"/>
    <hyperlink ref="AG8" r:id="rId11" xr:uid="{03827E8E-2D55-4AEE-A7B2-BC7CD037E439}"/>
    <hyperlink ref="AG9" r:id="rId12" xr:uid="{4AD6849B-88D6-4637-A60B-E7CEEE2F3303}"/>
    <hyperlink ref="AG10" r:id="rId13" xr:uid="{FF9154D0-7B1B-4022-8C5D-8D53F90645FA}"/>
    <hyperlink ref="AV2" r:id="rId14" xr:uid="{9D0F6010-E716-4FAF-87A2-C1122C43D158}"/>
    <hyperlink ref="AV5" r:id="rId15" xr:uid="{3FF9C772-04CB-4B8D-8F63-9E20CB0340DB}"/>
    <hyperlink ref="AM3" r:id="rId16" xr:uid="{92D7728D-C289-4BF9-91F4-349942891B6C}"/>
    <hyperlink ref="AM4" r:id="rId17" xr:uid="{79B87FD7-A2F6-4763-A840-E879B995DC33}"/>
    <hyperlink ref="AM7" r:id="rId18" xr:uid="{EE8463B8-B045-4B58-B09E-81DF35C3046E}"/>
    <hyperlink ref="AR1" r:id="rId19" xr:uid="{DE0C8034-05A5-4EF7-9230-1973D9BDDEA0}"/>
    <hyperlink ref="AQ1" r:id="rId20" xr:uid="{5D031744-FE78-4BB6-8F63-4FAFC41C2D9F}"/>
    <hyperlink ref="AV8" r:id="rId21" xr:uid="{45F5C69B-8A0F-4896-868D-A7596AD823A2}"/>
    <hyperlink ref="M11" r:id="rId22" xr:uid="{2DB30C43-CCB0-4DE8-A857-AEC126542D91}"/>
    <hyperlink ref="F6" r:id="rId23" xr:uid="{B7E0B573-EE1D-4043-83EC-17BB1BCF0867}"/>
    <hyperlink ref="AG7" r:id="rId24" xr:uid="{0C232AFA-C5AB-44DB-8FBB-125A17D20D26}"/>
    <hyperlink ref="AG11" r:id="rId25" xr:uid="{95A879BD-48B1-44B4-8DDD-D8CDDCEBEDF2}"/>
    <hyperlink ref="M14" r:id="rId26" xr:uid="{4741793D-6BC0-405C-A665-5744650476D7}"/>
  </hyperlinks>
  <pageMargins left="0.7" right="0.7" top="0.75" bottom="0.75" header="0.3" footer="0.3"/>
  <pageSetup paperSize="9" orientation="portrait" r:id="rId27"/>
  <drawing r:id="rId2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6C6BB-7053-45CB-AA5A-1E8F282766C2}">
  <sheetPr codeName="Sheet21"/>
  <dimension ref="A1:C64"/>
  <sheetViews>
    <sheetView workbookViewId="0"/>
  </sheetViews>
  <sheetFormatPr defaultRowHeight="15" x14ac:dyDescent="0.25"/>
  <sheetData>
    <row r="1" spans="1:3" x14ac:dyDescent="0.25">
      <c r="A1" t="s">
        <v>88</v>
      </c>
      <c r="C1" t="s">
        <v>89</v>
      </c>
    </row>
    <row r="2" spans="1:3" x14ac:dyDescent="0.25">
      <c r="A2">
        <v>181647</v>
      </c>
      <c r="C2" t="s">
        <v>90</v>
      </c>
    </row>
    <row r="3" spans="1:3" x14ac:dyDescent="0.25">
      <c r="A3">
        <v>181646</v>
      </c>
    </row>
    <row r="4" spans="1:3" x14ac:dyDescent="0.25">
      <c r="A4">
        <v>181771</v>
      </c>
    </row>
    <row r="5" spans="1:3" x14ac:dyDescent="0.25">
      <c r="A5">
        <v>182131</v>
      </c>
    </row>
    <row r="6" spans="1:3" x14ac:dyDescent="0.25">
      <c r="A6">
        <v>182079</v>
      </c>
    </row>
    <row r="7" spans="1:3" x14ac:dyDescent="0.25">
      <c r="A7">
        <v>182086</v>
      </c>
    </row>
    <row r="8" spans="1:3" x14ac:dyDescent="0.25">
      <c r="A8">
        <v>182101</v>
      </c>
    </row>
    <row r="9" spans="1:3" x14ac:dyDescent="0.25">
      <c r="A9">
        <v>181900</v>
      </c>
    </row>
    <row r="10" spans="1:3" x14ac:dyDescent="0.25">
      <c r="A10">
        <v>181820</v>
      </c>
    </row>
    <row r="11" spans="1:3" x14ac:dyDescent="0.25">
      <c r="A11">
        <v>181821</v>
      </c>
    </row>
    <row r="12" spans="1:3" x14ac:dyDescent="0.25">
      <c r="A12">
        <v>181870</v>
      </c>
    </row>
    <row r="13" spans="1:3" x14ac:dyDescent="0.25">
      <c r="A13">
        <v>181872</v>
      </c>
    </row>
    <row r="14" spans="1:3" x14ac:dyDescent="0.25">
      <c r="A14">
        <v>181693</v>
      </c>
    </row>
    <row r="15" spans="1:3" x14ac:dyDescent="0.25">
      <c r="A15">
        <v>181694</v>
      </c>
    </row>
    <row r="16" spans="1:3" x14ac:dyDescent="0.25">
      <c r="A16">
        <v>181868</v>
      </c>
    </row>
    <row r="17" spans="1:1" x14ac:dyDescent="0.25">
      <c r="A17">
        <v>182008</v>
      </c>
    </row>
    <row r="18" spans="1:1" x14ac:dyDescent="0.25">
      <c r="A18">
        <v>182135</v>
      </c>
    </row>
    <row r="19" spans="1:1" x14ac:dyDescent="0.25">
      <c r="A19">
        <v>182137</v>
      </c>
    </row>
    <row r="20" spans="1:1" x14ac:dyDescent="0.25">
      <c r="A20">
        <v>182136</v>
      </c>
    </row>
    <row r="21" spans="1:1" x14ac:dyDescent="0.25">
      <c r="A21">
        <v>181945</v>
      </c>
    </row>
    <row r="22" spans="1:1" x14ac:dyDescent="0.25">
      <c r="A22">
        <v>182168</v>
      </c>
    </row>
    <row r="23" spans="1:1" x14ac:dyDescent="0.25">
      <c r="A23">
        <v>182197</v>
      </c>
    </row>
    <row r="24" spans="1:1" x14ac:dyDescent="0.25">
      <c r="A24">
        <v>182167</v>
      </c>
    </row>
    <row r="25" spans="1:1" x14ac:dyDescent="0.25">
      <c r="A25">
        <v>182173</v>
      </c>
    </row>
    <row r="26" spans="1:1" x14ac:dyDescent="0.25">
      <c r="A26">
        <v>182164</v>
      </c>
    </row>
    <row r="27" spans="1:1" x14ac:dyDescent="0.25">
      <c r="A27">
        <v>182165</v>
      </c>
    </row>
    <row r="28" spans="1:1" x14ac:dyDescent="0.25">
      <c r="A28">
        <v>182287</v>
      </c>
    </row>
    <row r="29" spans="1:1" x14ac:dyDescent="0.25">
      <c r="A29">
        <v>182289</v>
      </c>
    </row>
    <row r="30" spans="1:1" x14ac:dyDescent="0.25">
      <c r="A30">
        <v>182296</v>
      </c>
    </row>
    <row r="31" spans="1:1" x14ac:dyDescent="0.25">
      <c r="A31">
        <v>182299</v>
      </c>
    </row>
    <row r="32" spans="1:1" x14ac:dyDescent="0.25">
      <c r="A32">
        <v>182280</v>
      </c>
    </row>
    <row r="33" spans="1:1" x14ac:dyDescent="0.25">
      <c r="A33">
        <v>182360</v>
      </c>
    </row>
    <row r="34" spans="1:1" x14ac:dyDescent="0.25">
      <c r="A34">
        <v>182179</v>
      </c>
    </row>
    <row r="35" spans="1:1" x14ac:dyDescent="0.25">
      <c r="A35">
        <v>182208</v>
      </c>
    </row>
    <row r="36" spans="1:1" x14ac:dyDescent="0.25">
      <c r="A36">
        <v>182151</v>
      </c>
    </row>
    <row r="37" spans="1:1" x14ac:dyDescent="0.25">
      <c r="A37">
        <v>182152</v>
      </c>
    </row>
    <row r="38" spans="1:1" x14ac:dyDescent="0.25">
      <c r="A38">
        <v>182195</v>
      </c>
    </row>
    <row r="39" spans="1:1" x14ac:dyDescent="0.25">
      <c r="A39">
        <v>182157</v>
      </c>
    </row>
    <row r="40" spans="1:1" x14ac:dyDescent="0.25">
      <c r="A40">
        <v>182170</v>
      </c>
    </row>
    <row r="41" spans="1:1" x14ac:dyDescent="0.25">
      <c r="A41">
        <v>182209</v>
      </c>
    </row>
    <row r="42" spans="1:1" x14ac:dyDescent="0.25">
      <c r="A42">
        <v>182210</v>
      </c>
    </row>
    <row r="43" spans="1:1" x14ac:dyDescent="0.25">
      <c r="A43">
        <v>182211</v>
      </c>
    </row>
    <row r="44" spans="1:1" x14ac:dyDescent="0.25">
      <c r="A44">
        <v>181956</v>
      </c>
    </row>
    <row r="45" spans="1:1" x14ac:dyDescent="0.25">
      <c r="A45">
        <v>182150</v>
      </c>
    </row>
    <row r="46" spans="1:1" x14ac:dyDescent="0.25">
      <c r="A46">
        <v>182307</v>
      </c>
    </row>
    <row r="47" spans="1:1" x14ac:dyDescent="0.25">
      <c r="A47">
        <v>181906</v>
      </c>
    </row>
    <row r="48" spans="1:1" x14ac:dyDescent="0.25">
      <c r="A48">
        <v>182338</v>
      </c>
    </row>
    <row r="49" spans="1:1" x14ac:dyDescent="0.25">
      <c r="A49">
        <v>182344</v>
      </c>
    </row>
    <row r="50" spans="1:1" x14ac:dyDescent="0.25">
      <c r="A50">
        <v>182354</v>
      </c>
    </row>
    <row r="51" spans="1:1" x14ac:dyDescent="0.25">
      <c r="A51">
        <v>182506</v>
      </c>
    </row>
    <row r="52" spans="1:1" x14ac:dyDescent="0.25">
      <c r="A52">
        <v>182308</v>
      </c>
    </row>
    <row r="53" spans="1:1" x14ac:dyDescent="0.25">
      <c r="A53">
        <v>182330</v>
      </c>
    </row>
    <row r="54" spans="1:1" x14ac:dyDescent="0.25">
      <c r="A54">
        <v>182080</v>
      </c>
    </row>
    <row r="55" spans="1:1" x14ac:dyDescent="0.25">
      <c r="A55">
        <v>181897</v>
      </c>
    </row>
    <row r="56" spans="1:1" x14ac:dyDescent="0.25">
      <c r="A56">
        <v>181695</v>
      </c>
    </row>
    <row r="57" spans="1:1" x14ac:dyDescent="0.25">
      <c r="A57">
        <v>182191</v>
      </c>
    </row>
    <row r="58" spans="1:1" x14ac:dyDescent="0.25">
      <c r="A58">
        <v>181957</v>
      </c>
    </row>
    <row r="59" spans="1:1" x14ac:dyDescent="0.25">
      <c r="A59">
        <v>181958</v>
      </c>
    </row>
    <row r="60" spans="1:1" x14ac:dyDescent="0.25">
      <c r="A60">
        <v>182292</v>
      </c>
    </row>
    <row r="61" spans="1:1" x14ac:dyDescent="0.25">
      <c r="A61">
        <v>182298</v>
      </c>
    </row>
    <row r="62" spans="1:1" x14ac:dyDescent="0.25">
      <c r="A62">
        <v>182153</v>
      </c>
    </row>
    <row r="63" spans="1:1" x14ac:dyDescent="0.25">
      <c r="A63">
        <v>182161</v>
      </c>
    </row>
    <row r="64" spans="1:1" x14ac:dyDescent="0.25">
      <c r="A64">
        <v>182159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1C72A-33D8-4162-873A-2241906B25AF}">
  <sheetPr codeName="Sheet27"/>
  <dimension ref="A1:C2"/>
  <sheetViews>
    <sheetView workbookViewId="0">
      <selection activeCell="B2" sqref="B2"/>
    </sheetView>
  </sheetViews>
  <sheetFormatPr defaultRowHeight="15" x14ac:dyDescent="0.25"/>
  <cols>
    <col min="1" max="1" width="14.5703125" style="75" bestFit="1" customWidth="1"/>
    <col min="2" max="2" width="55.28515625" style="75" bestFit="1" customWidth="1"/>
    <col min="3" max="3" width="14.5703125" style="75" bestFit="1" customWidth="1"/>
    <col min="4" max="16384" width="9.140625" style="75"/>
  </cols>
  <sheetData>
    <row r="1" spans="1:3" x14ac:dyDescent="0.25">
      <c r="A1" s="75" t="s">
        <v>183</v>
      </c>
      <c r="B1" s="75" t="s">
        <v>184</v>
      </c>
      <c r="C1" s="75" t="s">
        <v>185</v>
      </c>
    </row>
    <row r="2" spans="1:3" x14ac:dyDescent="0.25">
      <c r="A2" s="75" t="s">
        <v>31</v>
      </c>
      <c r="B2" s="75" t="s">
        <v>188</v>
      </c>
      <c r="C2" s="75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3D8FE-66DC-4A88-A285-F8647B48E9B0}">
  <sheetPr codeName="Sheet34"/>
  <dimension ref="A1:P140"/>
  <sheetViews>
    <sheetView zoomScale="75" zoomScaleNormal="75" workbookViewId="0">
      <selection sqref="A1:J1"/>
    </sheetView>
  </sheetViews>
  <sheetFormatPr defaultRowHeight="15" x14ac:dyDescent="0.25"/>
  <cols>
    <col min="1" max="1" width="11.42578125" bestFit="1" customWidth="1"/>
    <col min="2" max="2" width="43.5703125" bestFit="1" customWidth="1"/>
    <col min="3" max="3" width="5.140625" style="75" bestFit="1" customWidth="1"/>
    <col min="4" max="4" width="7.42578125" bestFit="1" customWidth="1"/>
    <col min="5" max="5" width="29.140625" bestFit="1" customWidth="1"/>
    <col min="6" max="6" width="9.5703125" style="76" bestFit="1" customWidth="1"/>
    <col min="7" max="7" width="11.140625" style="90" bestFit="1" customWidth="1"/>
    <col min="8" max="8" width="23.85546875" style="87" bestFit="1" customWidth="1"/>
    <col min="9" max="9" width="27.7109375" style="87" bestFit="1" customWidth="1"/>
    <col min="10" max="10" width="22.28515625" style="87" bestFit="1" customWidth="1"/>
    <col min="11" max="11" width="5.85546875" bestFit="1" customWidth="1"/>
    <col min="12" max="12" width="7" bestFit="1" customWidth="1"/>
    <col min="13" max="13" width="11.140625" style="91" bestFit="1" customWidth="1"/>
    <col min="14" max="14" width="11.5703125" style="91" bestFit="1" customWidth="1"/>
    <col min="15" max="15" width="10.42578125" style="91" bestFit="1" customWidth="1"/>
  </cols>
  <sheetData>
    <row r="1" spans="1:16" ht="23.25" x14ac:dyDescent="0.35">
      <c r="A1" s="96" t="s">
        <v>258</v>
      </c>
      <c r="B1" s="96"/>
      <c r="C1" s="96"/>
      <c r="D1" s="96"/>
      <c r="E1" s="96"/>
      <c r="F1" s="96"/>
      <c r="G1" s="96"/>
      <c r="H1" s="96"/>
      <c r="I1" s="96"/>
      <c r="J1" s="96"/>
    </row>
    <row r="4" spans="1:16" x14ac:dyDescent="0.25">
      <c r="A4" s="77" t="s">
        <v>11</v>
      </c>
      <c r="B4" s="77" t="s">
        <v>94</v>
      </c>
      <c r="C4" s="100" t="s">
        <v>93</v>
      </c>
      <c r="D4" s="77" t="s">
        <v>208</v>
      </c>
      <c r="E4" s="77" t="s">
        <v>207</v>
      </c>
      <c r="F4" s="97" t="s">
        <v>257</v>
      </c>
      <c r="G4" s="88" t="s">
        <v>256</v>
      </c>
      <c r="H4" s="85" t="s">
        <v>210</v>
      </c>
      <c r="I4" s="85" t="s">
        <v>211</v>
      </c>
      <c r="J4" s="85" t="s">
        <v>212</v>
      </c>
      <c r="K4" s="77" t="s">
        <v>205</v>
      </c>
      <c r="L4" s="77" t="s">
        <v>206</v>
      </c>
      <c r="M4" s="92" t="s">
        <v>253</v>
      </c>
      <c r="N4" s="92" t="s">
        <v>254</v>
      </c>
      <c r="O4" s="92" t="s">
        <v>255</v>
      </c>
      <c r="P4" s="68"/>
    </row>
    <row r="5" spans="1:16" x14ac:dyDescent="0.25">
      <c r="A5" s="72" t="s">
        <v>12</v>
      </c>
      <c r="B5" s="72" t="s">
        <v>96</v>
      </c>
      <c r="C5" s="73" t="s">
        <v>95</v>
      </c>
      <c r="D5" s="72" t="s">
        <v>190</v>
      </c>
      <c r="E5" s="72" t="s">
        <v>128</v>
      </c>
      <c r="F5" s="98">
        <v>3.96</v>
      </c>
      <c r="G5" s="74">
        <v>360</v>
      </c>
      <c r="H5" s="84">
        <v>1425.6</v>
      </c>
      <c r="I5" s="84">
        <v>1216</v>
      </c>
      <c r="J5" s="84">
        <v>209.59999999999991</v>
      </c>
      <c r="K5" s="72"/>
      <c r="L5" s="72">
        <v>4.2300000000000004</v>
      </c>
      <c r="M5" s="93">
        <f t="shared" ref="M5:M36" si="0">$G5*K5</f>
        <v>0</v>
      </c>
      <c r="N5" s="93">
        <f t="shared" ref="N5:N36" si="1">$G5*L5</f>
        <v>1522.8000000000002</v>
      </c>
      <c r="O5" s="93">
        <f t="shared" ref="O5:O36" si="2">M5+N5</f>
        <v>1522.8000000000002</v>
      </c>
      <c r="P5" s="68"/>
    </row>
    <row r="6" spans="1:16" s="68" customFormat="1" x14ac:dyDescent="0.25">
      <c r="A6" s="79"/>
      <c r="B6" s="79" t="s">
        <v>214</v>
      </c>
      <c r="C6" s="101"/>
      <c r="D6" s="79"/>
      <c r="E6" s="79"/>
      <c r="F6" s="99"/>
      <c r="G6" s="89">
        <v>360</v>
      </c>
      <c r="H6" s="86">
        <v>1425.6</v>
      </c>
      <c r="I6" s="86">
        <v>1216</v>
      </c>
      <c r="J6" s="86">
        <v>209.59999999999991</v>
      </c>
      <c r="K6" s="79"/>
      <c r="L6" s="79"/>
      <c r="M6" s="94"/>
      <c r="N6" s="94"/>
      <c r="O6" s="94">
        <f ca="1">SUM(O5:O7)</f>
        <v>0</v>
      </c>
    </row>
    <row r="7" spans="1:16" x14ac:dyDescent="0.25">
      <c r="A7" s="72"/>
      <c r="B7" s="72" t="s">
        <v>98</v>
      </c>
      <c r="C7" s="73" t="s">
        <v>97</v>
      </c>
      <c r="D7" s="72" t="s">
        <v>191</v>
      </c>
      <c r="E7" s="72" t="s">
        <v>127</v>
      </c>
      <c r="F7" s="98">
        <v>2.99</v>
      </c>
      <c r="G7" s="74">
        <v>480</v>
      </c>
      <c r="H7" s="84">
        <v>1435.2</v>
      </c>
      <c r="I7" s="84">
        <v>1216</v>
      </c>
      <c r="J7" s="84">
        <v>219.20000000000005</v>
      </c>
      <c r="K7" s="72"/>
      <c r="L7" s="72"/>
      <c r="M7" s="93">
        <f t="shared" si="0"/>
        <v>0</v>
      </c>
      <c r="N7" s="93">
        <f t="shared" si="1"/>
        <v>0</v>
      </c>
      <c r="O7" s="93">
        <f t="shared" si="2"/>
        <v>0</v>
      </c>
      <c r="P7" s="68"/>
    </row>
    <row r="8" spans="1:16" x14ac:dyDescent="0.25">
      <c r="A8" s="72"/>
      <c r="B8" s="72"/>
      <c r="C8" s="73" t="s">
        <v>99</v>
      </c>
      <c r="D8" s="72" t="s">
        <v>191</v>
      </c>
      <c r="E8" s="72" t="s">
        <v>127</v>
      </c>
      <c r="F8" s="98">
        <v>2.99</v>
      </c>
      <c r="G8" s="74">
        <v>470</v>
      </c>
      <c r="H8" s="84">
        <v>1405.3</v>
      </c>
      <c r="I8" s="84">
        <v>1216</v>
      </c>
      <c r="J8" s="84">
        <v>189.29999999999995</v>
      </c>
      <c r="K8" s="72"/>
      <c r="L8" s="72"/>
      <c r="M8" s="93">
        <f t="shared" si="0"/>
        <v>0</v>
      </c>
      <c r="N8" s="93">
        <f t="shared" si="1"/>
        <v>0</v>
      </c>
      <c r="O8" s="93">
        <f t="shared" si="2"/>
        <v>0</v>
      </c>
      <c r="P8" s="68"/>
    </row>
    <row r="9" spans="1:16" s="68" customFormat="1" x14ac:dyDescent="0.25">
      <c r="A9" s="79"/>
      <c r="B9" s="79" t="s">
        <v>217</v>
      </c>
      <c r="C9" s="101"/>
      <c r="D9" s="79"/>
      <c r="E9" s="79"/>
      <c r="F9" s="99"/>
      <c r="G9" s="89">
        <v>950</v>
      </c>
      <c r="H9" s="86">
        <v>2840.5</v>
      </c>
      <c r="I9" s="86">
        <v>2432</v>
      </c>
      <c r="J9" s="86">
        <v>408.5</v>
      </c>
      <c r="K9" s="79"/>
      <c r="L9" s="79"/>
      <c r="M9" s="94"/>
      <c r="N9" s="94"/>
      <c r="O9" s="94">
        <f>SUM(O7:O8)</f>
        <v>0</v>
      </c>
    </row>
    <row r="10" spans="1:16" s="68" customFormat="1" x14ac:dyDescent="0.25">
      <c r="A10" s="77" t="s">
        <v>218</v>
      </c>
      <c r="B10" s="77"/>
      <c r="C10" s="100"/>
      <c r="D10" s="77"/>
      <c r="E10" s="77"/>
      <c r="F10" s="97"/>
      <c r="G10" s="88">
        <v>1310</v>
      </c>
      <c r="H10" s="85">
        <v>4266.0999999999995</v>
      </c>
      <c r="I10" s="85">
        <v>3648</v>
      </c>
      <c r="J10" s="85">
        <v>618.09999999999991</v>
      </c>
      <c r="K10" s="77"/>
      <c r="L10" s="77"/>
      <c r="M10" s="92"/>
      <c r="N10" s="92"/>
      <c r="O10" s="92"/>
    </row>
    <row r="11" spans="1:16" x14ac:dyDescent="0.25">
      <c r="A11" s="72" t="s">
        <v>13</v>
      </c>
      <c r="B11" s="72" t="s">
        <v>125</v>
      </c>
      <c r="C11" s="73" t="s">
        <v>97</v>
      </c>
      <c r="D11" s="72" t="s">
        <v>200</v>
      </c>
      <c r="E11" s="72" t="s">
        <v>174</v>
      </c>
      <c r="F11" s="98">
        <v>2.91</v>
      </c>
      <c r="G11" s="74">
        <v>320</v>
      </c>
      <c r="H11" s="84">
        <v>931.2</v>
      </c>
      <c r="I11" s="84">
        <v>545</v>
      </c>
      <c r="J11" s="84">
        <v>386.20000000000005</v>
      </c>
      <c r="K11" s="72">
        <v>7.13</v>
      </c>
      <c r="L11" s="72"/>
      <c r="M11" s="93">
        <f t="shared" si="0"/>
        <v>2281.6</v>
      </c>
      <c r="N11" s="93">
        <f t="shared" si="1"/>
        <v>0</v>
      </c>
      <c r="O11" s="93">
        <f t="shared" si="2"/>
        <v>2281.6</v>
      </c>
      <c r="P11" s="68"/>
    </row>
    <row r="12" spans="1:16" s="68" customFormat="1" x14ac:dyDescent="0.25">
      <c r="A12" s="79"/>
      <c r="B12" s="79" t="s">
        <v>219</v>
      </c>
      <c r="C12" s="101"/>
      <c r="D12" s="79"/>
      <c r="E12" s="79"/>
      <c r="F12" s="99"/>
      <c r="G12" s="89">
        <v>320</v>
      </c>
      <c r="H12" s="86">
        <v>931.2</v>
      </c>
      <c r="I12" s="86">
        <v>545</v>
      </c>
      <c r="J12" s="86">
        <v>386.20000000000005</v>
      </c>
      <c r="K12" s="79"/>
      <c r="L12" s="79"/>
      <c r="M12" s="94"/>
      <c r="N12" s="94"/>
      <c r="O12" s="94">
        <f>SUM(O11:O11)</f>
        <v>2281.6</v>
      </c>
    </row>
    <row r="13" spans="1:16" x14ac:dyDescent="0.25">
      <c r="A13" s="72"/>
      <c r="B13" s="72" t="s">
        <v>124</v>
      </c>
      <c r="C13" s="73" t="s">
        <v>95</v>
      </c>
      <c r="D13" s="72" t="s">
        <v>194</v>
      </c>
      <c r="E13" s="72" t="s">
        <v>177</v>
      </c>
      <c r="F13" s="98">
        <v>2.89</v>
      </c>
      <c r="G13" s="74">
        <v>339</v>
      </c>
      <c r="H13" s="84">
        <v>979.71</v>
      </c>
      <c r="I13" s="84">
        <v>545</v>
      </c>
      <c r="J13" s="84">
        <v>434.71000000000004</v>
      </c>
      <c r="K13" s="72">
        <v>5.71</v>
      </c>
      <c r="L13" s="72"/>
      <c r="M13" s="93">
        <f t="shared" si="0"/>
        <v>1935.69</v>
      </c>
      <c r="N13" s="93">
        <f t="shared" si="1"/>
        <v>0</v>
      </c>
      <c r="O13" s="93">
        <f t="shared" si="2"/>
        <v>1935.69</v>
      </c>
      <c r="P13" s="68"/>
    </row>
    <row r="14" spans="1:16" x14ac:dyDescent="0.25">
      <c r="A14" s="72"/>
      <c r="B14" s="72"/>
      <c r="C14" s="73" t="s">
        <v>99</v>
      </c>
      <c r="D14" s="72" t="s">
        <v>201</v>
      </c>
      <c r="E14" s="72" t="s">
        <v>179</v>
      </c>
      <c r="F14" s="98">
        <v>1.23</v>
      </c>
      <c r="G14" s="74">
        <v>374</v>
      </c>
      <c r="H14" s="84">
        <v>460.02</v>
      </c>
      <c r="I14" s="84">
        <v>291.18571428571425</v>
      </c>
      <c r="J14" s="84">
        <v>168.83428571428573</v>
      </c>
      <c r="K14" s="72">
        <v>1.44</v>
      </c>
      <c r="L14" s="72"/>
      <c r="M14" s="93">
        <f t="shared" si="0"/>
        <v>538.55999999999995</v>
      </c>
      <c r="N14" s="93">
        <f t="shared" si="1"/>
        <v>0</v>
      </c>
      <c r="O14" s="93">
        <f t="shared" si="2"/>
        <v>538.55999999999995</v>
      </c>
      <c r="P14" s="68"/>
    </row>
    <row r="15" spans="1:16" x14ac:dyDescent="0.25">
      <c r="A15" s="72"/>
      <c r="B15" s="72"/>
      <c r="C15" s="73"/>
      <c r="D15" s="72"/>
      <c r="E15" s="72" t="s">
        <v>180</v>
      </c>
      <c r="F15" s="98">
        <v>1.23</v>
      </c>
      <c r="G15" s="74">
        <v>194</v>
      </c>
      <c r="H15" s="84">
        <v>238.62</v>
      </c>
      <c r="I15" s="84">
        <v>151.04285714285714</v>
      </c>
      <c r="J15" s="84">
        <v>87.57714285714286</v>
      </c>
      <c r="K15" s="72">
        <v>1.44</v>
      </c>
      <c r="L15" s="72"/>
      <c r="M15" s="93">
        <f t="shared" si="0"/>
        <v>279.36</v>
      </c>
      <c r="N15" s="93">
        <f t="shared" si="1"/>
        <v>0</v>
      </c>
      <c r="O15" s="93">
        <f t="shared" si="2"/>
        <v>279.36</v>
      </c>
      <c r="P15" s="68"/>
    </row>
    <row r="16" spans="1:16" x14ac:dyDescent="0.25">
      <c r="A16" s="72"/>
      <c r="B16" s="72"/>
      <c r="C16" s="73"/>
      <c r="D16" s="72"/>
      <c r="E16" s="72" t="s">
        <v>181</v>
      </c>
      <c r="F16" s="98">
        <v>1.23</v>
      </c>
      <c r="G16" s="74">
        <v>68</v>
      </c>
      <c r="H16" s="84">
        <v>83.64</v>
      </c>
      <c r="I16" s="84">
        <v>52.942857142857143</v>
      </c>
      <c r="J16" s="84">
        <v>30.697142857142858</v>
      </c>
      <c r="K16" s="72">
        <v>1.44</v>
      </c>
      <c r="L16" s="72"/>
      <c r="M16" s="93">
        <f t="shared" si="0"/>
        <v>97.92</v>
      </c>
      <c r="N16" s="93">
        <f t="shared" si="1"/>
        <v>0</v>
      </c>
      <c r="O16" s="93">
        <f t="shared" si="2"/>
        <v>97.92</v>
      </c>
      <c r="P16" s="68"/>
    </row>
    <row r="17" spans="1:16" x14ac:dyDescent="0.25">
      <c r="A17" s="72"/>
      <c r="B17" s="72"/>
      <c r="C17" s="73" t="s">
        <v>101</v>
      </c>
      <c r="D17" s="72" t="s">
        <v>202</v>
      </c>
      <c r="E17" s="72" t="s">
        <v>178</v>
      </c>
      <c r="F17" s="98">
        <v>2.41</v>
      </c>
      <c r="G17" s="74">
        <v>245</v>
      </c>
      <c r="H17" s="84">
        <v>590.45000000000005</v>
      </c>
      <c r="I17" s="84">
        <v>356.06666666666666</v>
      </c>
      <c r="J17" s="84">
        <v>234.38333333333338</v>
      </c>
      <c r="K17" s="72">
        <v>5.26</v>
      </c>
      <c r="L17" s="72"/>
      <c r="M17" s="93">
        <f t="shared" si="0"/>
        <v>1288.7</v>
      </c>
      <c r="N17" s="93">
        <f t="shared" si="1"/>
        <v>0</v>
      </c>
      <c r="O17" s="93">
        <f t="shared" si="2"/>
        <v>1288.7</v>
      </c>
      <c r="P17" s="68"/>
    </row>
    <row r="18" spans="1:16" s="68" customFormat="1" x14ac:dyDescent="0.25">
      <c r="A18" s="79"/>
      <c r="B18" s="79" t="s">
        <v>221</v>
      </c>
      <c r="C18" s="101"/>
      <c r="D18" s="79"/>
      <c r="E18" s="79"/>
      <c r="F18" s="99"/>
      <c r="G18" s="89">
        <v>1220</v>
      </c>
      <c r="H18" s="86">
        <v>2352.44</v>
      </c>
      <c r="I18" s="86">
        <v>1396.2380952380952</v>
      </c>
      <c r="J18" s="86">
        <v>956.20190476190487</v>
      </c>
      <c r="K18" s="79"/>
      <c r="L18" s="79"/>
      <c r="M18" s="94"/>
      <c r="N18" s="94"/>
      <c r="O18" s="94">
        <f>SUM(O13:O17)</f>
        <v>4140.2300000000005</v>
      </c>
    </row>
    <row r="19" spans="1:16" s="68" customFormat="1" x14ac:dyDescent="0.25">
      <c r="A19" s="77" t="s">
        <v>222</v>
      </c>
      <c r="B19" s="77"/>
      <c r="C19" s="100"/>
      <c r="D19" s="77"/>
      <c r="E19" s="77"/>
      <c r="F19" s="97"/>
      <c r="G19" s="88">
        <v>1540</v>
      </c>
      <c r="H19" s="85">
        <v>3283.6400000000003</v>
      </c>
      <c r="I19" s="85">
        <v>1941.2380952380952</v>
      </c>
      <c r="J19" s="85">
        <v>1342.4019047619049</v>
      </c>
      <c r="K19" s="77"/>
      <c r="L19" s="77"/>
      <c r="M19" s="92"/>
      <c r="N19" s="92"/>
      <c r="O19" s="92"/>
    </row>
    <row r="20" spans="1:16" x14ac:dyDescent="0.25">
      <c r="A20" s="72" t="s">
        <v>14</v>
      </c>
      <c r="B20" s="72" t="s">
        <v>96</v>
      </c>
      <c r="C20" s="73" t="s">
        <v>99</v>
      </c>
      <c r="D20" s="72" t="s">
        <v>192</v>
      </c>
      <c r="E20" s="72" t="s">
        <v>129</v>
      </c>
      <c r="F20" s="98">
        <v>3.02</v>
      </c>
      <c r="G20" s="74">
        <v>118</v>
      </c>
      <c r="H20" s="84">
        <v>356.36</v>
      </c>
      <c r="I20" s="84">
        <v>1748</v>
      </c>
      <c r="J20" s="84">
        <v>-1391.6399999999999</v>
      </c>
      <c r="K20" s="72"/>
      <c r="L20" s="72">
        <v>3.15</v>
      </c>
      <c r="M20" s="93">
        <f t="shared" si="0"/>
        <v>0</v>
      </c>
      <c r="N20" s="93">
        <f t="shared" si="1"/>
        <v>371.7</v>
      </c>
      <c r="O20" s="93">
        <f t="shared" si="2"/>
        <v>371.7</v>
      </c>
      <c r="P20" s="68"/>
    </row>
    <row r="21" spans="1:16" s="68" customFormat="1" x14ac:dyDescent="0.25">
      <c r="A21" s="79"/>
      <c r="B21" s="79" t="s">
        <v>214</v>
      </c>
      <c r="C21" s="101"/>
      <c r="D21" s="79"/>
      <c r="E21" s="79"/>
      <c r="F21" s="99"/>
      <c r="G21" s="89">
        <v>118</v>
      </c>
      <c r="H21" s="86">
        <v>356.36</v>
      </c>
      <c r="I21" s="86">
        <v>1748</v>
      </c>
      <c r="J21" s="86">
        <v>-1391.6399999999999</v>
      </c>
      <c r="K21" s="79"/>
      <c r="L21" s="79"/>
      <c r="M21" s="94"/>
      <c r="N21" s="94"/>
      <c r="O21" s="94">
        <f>SUM(O20:O20)</f>
        <v>371.7</v>
      </c>
      <c r="P21"/>
    </row>
    <row r="22" spans="1:16" s="68" customFormat="1" x14ac:dyDescent="0.25">
      <c r="A22" s="77" t="s">
        <v>223</v>
      </c>
      <c r="B22" s="77"/>
      <c r="C22" s="100"/>
      <c r="D22" s="77"/>
      <c r="E22" s="77"/>
      <c r="F22" s="97"/>
      <c r="G22" s="88">
        <v>118</v>
      </c>
      <c r="H22" s="85">
        <v>356.36</v>
      </c>
      <c r="I22" s="85">
        <v>1748</v>
      </c>
      <c r="J22" s="85">
        <v>-1391.6399999999999</v>
      </c>
      <c r="K22" s="77"/>
      <c r="L22" s="77"/>
      <c r="M22" s="92"/>
      <c r="N22" s="92"/>
      <c r="O22" s="92"/>
      <c r="P22"/>
    </row>
    <row r="23" spans="1:16" x14ac:dyDescent="0.25">
      <c r="A23" s="72" t="s">
        <v>15</v>
      </c>
      <c r="B23" s="72" t="s">
        <v>96</v>
      </c>
      <c r="C23" s="73" t="s">
        <v>99</v>
      </c>
      <c r="D23" s="72" t="s">
        <v>194</v>
      </c>
      <c r="E23" s="72" t="s">
        <v>136</v>
      </c>
      <c r="F23" s="98">
        <v>1.54</v>
      </c>
      <c r="G23" s="74">
        <v>463</v>
      </c>
      <c r="H23" s="84">
        <v>713.02</v>
      </c>
      <c r="I23" s="84">
        <v>649.52195121951218</v>
      </c>
      <c r="J23" s="84">
        <v>63.498048780487778</v>
      </c>
      <c r="K23" s="72"/>
      <c r="L23" s="72">
        <v>1.65</v>
      </c>
      <c r="M23" s="93">
        <f t="shared" si="0"/>
        <v>0</v>
      </c>
      <c r="N23" s="93">
        <f t="shared" si="1"/>
        <v>763.94999999999993</v>
      </c>
      <c r="O23" s="93">
        <f t="shared" si="2"/>
        <v>763.94999999999993</v>
      </c>
    </row>
    <row r="24" spans="1:16" x14ac:dyDescent="0.25">
      <c r="A24" s="72"/>
      <c r="B24" s="72"/>
      <c r="C24" s="73"/>
      <c r="D24" s="72"/>
      <c r="E24" s="72" t="s">
        <v>137</v>
      </c>
      <c r="F24" s="98">
        <v>1.54</v>
      </c>
      <c r="G24" s="74">
        <v>382</v>
      </c>
      <c r="H24" s="84">
        <v>588.28</v>
      </c>
      <c r="I24" s="84">
        <v>566.47804878048782</v>
      </c>
      <c r="J24" s="84">
        <v>21.801951219512148</v>
      </c>
      <c r="K24" s="72"/>
      <c r="L24" s="72">
        <v>1.65</v>
      </c>
      <c r="M24" s="93">
        <f t="shared" si="0"/>
        <v>0</v>
      </c>
      <c r="N24" s="93">
        <f t="shared" si="1"/>
        <v>630.29999999999995</v>
      </c>
      <c r="O24" s="93">
        <f t="shared" si="2"/>
        <v>630.29999999999995</v>
      </c>
    </row>
    <row r="25" spans="1:16" x14ac:dyDescent="0.25">
      <c r="A25" s="72"/>
      <c r="B25" s="72"/>
      <c r="C25" s="73" t="s">
        <v>101</v>
      </c>
      <c r="D25" s="72" t="s">
        <v>194</v>
      </c>
      <c r="E25" s="72" t="s">
        <v>138</v>
      </c>
      <c r="F25" s="98">
        <v>1.54</v>
      </c>
      <c r="G25" s="74">
        <v>845</v>
      </c>
      <c r="H25" s="84">
        <v>1301.3</v>
      </c>
      <c r="I25" s="84">
        <v>1216</v>
      </c>
      <c r="J25" s="84">
        <v>85.299999999999955</v>
      </c>
      <c r="K25" s="72"/>
      <c r="L25" s="72">
        <v>1.65</v>
      </c>
      <c r="M25" s="93">
        <f t="shared" si="0"/>
        <v>0</v>
      </c>
      <c r="N25" s="93">
        <f t="shared" si="1"/>
        <v>1394.25</v>
      </c>
      <c r="O25" s="93">
        <f t="shared" si="2"/>
        <v>1394.25</v>
      </c>
    </row>
    <row r="26" spans="1:16" x14ac:dyDescent="0.25">
      <c r="A26" s="72"/>
      <c r="B26" s="72"/>
      <c r="C26" s="73" t="s">
        <v>103</v>
      </c>
      <c r="D26" s="72" t="s">
        <v>192</v>
      </c>
      <c r="E26" s="72" t="s">
        <v>139</v>
      </c>
      <c r="F26" s="98">
        <v>1.49</v>
      </c>
      <c r="G26" s="74">
        <v>1000</v>
      </c>
      <c r="H26" s="84">
        <v>1490</v>
      </c>
      <c r="I26" s="84">
        <v>1216</v>
      </c>
      <c r="J26" s="84">
        <v>274</v>
      </c>
      <c r="K26" s="72"/>
      <c r="L26" s="72">
        <v>1.6</v>
      </c>
      <c r="M26" s="93">
        <f t="shared" si="0"/>
        <v>0</v>
      </c>
      <c r="N26" s="93">
        <f t="shared" si="1"/>
        <v>1600</v>
      </c>
      <c r="O26" s="93">
        <f t="shared" si="2"/>
        <v>1600</v>
      </c>
    </row>
    <row r="27" spans="1:16" s="68" customFormat="1" x14ac:dyDescent="0.25">
      <c r="A27" s="79"/>
      <c r="B27" s="79" t="s">
        <v>214</v>
      </c>
      <c r="C27" s="101"/>
      <c r="D27" s="79"/>
      <c r="E27" s="79"/>
      <c r="F27" s="99"/>
      <c r="G27" s="89">
        <v>2690</v>
      </c>
      <c r="H27" s="86">
        <v>4092.6</v>
      </c>
      <c r="I27" s="86">
        <v>3648</v>
      </c>
      <c r="J27" s="86">
        <v>444.59999999999991</v>
      </c>
      <c r="K27" s="79"/>
      <c r="L27" s="79"/>
      <c r="M27" s="94"/>
      <c r="N27" s="94"/>
      <c r="O27" s="94">
        <f>SUM(O23:O26)</f>
        <v>4388.5</v>
      </c>
      <c r="P27"/>
    </row>
    <row r="28" spans="1:16" x14ac:dyDescent="0.25">
      <c r="A28" s="72"/>
      <c r="B28" s="72" t="s">
        <v>100</v>
      </c>
      <c r="C28" s="73" t="s">
        <v>95</v>
      </c>
      <c r="D28" s="72" t="s">
        <v>193</v>
      </c>
      <c r="E28" s="72" t="s">
        <v>175</v>
      </c>
      <c r="F28" s="98">
        <v>0.39</v>
      </c>
      <c r="G28" s="74">
        <v>3600</v>
      </c>
      <c r="H28" s="84">
        <v>1404</v>
      </c>
      <c r="I28" s="84">
        <v>1216</v>
      </c>
      <c r="J28" s="84">
        <v>188</v>
      </c>
      <c r="K28" s="72">
        <v>1.31</v>
      </c>
      <c r="L28" s="72"/>
      <c r="M28" s="93">
        <f t="shared" si="0"/>
        <v>4716</v>
      </c>
      <c r="N28" s="93">
        <f t="shared" si="1"/>
        <v>0</v>
      </c>
      <c r="O28" s="93">
        <f t="shared" si="2"/>
        <v>4716</v>
      </c>
    </row>
    <row r="29" spans="1:16" x14ac:dyDescent="0.25">
      <c r="A29" s="72"/>
      <c r="B29" s="72"/>
      <c r="C29" s="73" t="s">
        <v>102</v>
      </c>
      <c r="D29" s="72" t="s">
        <v>193</v>
      </c>
      <c r="E29" s="72" t="s">
        <v>175</v>
      </c>
      <c r="F29" s="98">
        <v>0.39</v>
      </c>
      <c r="G29" s="74">
        <v>4472</v>
      </c>
      <c r="H29" s="84">
        <v>1744.08</v>
      </c>
      <c r="I29" s="84">
        <v>1216</v>
      </c>
      <c r="J29" s="84">
        <v>528.08000000000004</v>
      </c>
      <c r="K29" s="72">
        <v>1.31</v>
      </c>
      <c r="L29" s="72"/>
      <c r="M29" s="93">
        <f t="shared" si="0"/>
        <v>5858.3200000000006</v>
      </c>
      <c r="N29" s="93">
        <f t="shared" si="1"/>
        <v>0</v>
      </c>
      <c r="O29" s="93">
        <f t="shared" si="2"/>
        <v>5858.3200000000006</v>
      </c>
    </row>
    <row r="30" spans="1:16" s="68" customFormat="1" x14ac:dyDescent="0.25">
      <c r="A30" s="79"/>
      <c r="B30" s="79" t="s">
        <v>226</v>
      </c>
      <c r="C30" s="101"/>
      <c r="D30" s="79"/>
      <c r="E30" s="79"/>
      <c r="F30" s="99"/>
      <c r="G30" s="89">
        <v>8072</v>
      </c>
      <c r="H30" s="86">
        <v>3148.08</v>
      </c>
      <c r="I30" s="86">
        <v>2432</v>
      </c>
      <c r="J30" s="86">
        <v>716.08</v>
      </c>
      <c r="K30" s="79"/>
      <c r="L30" s="79"/>
      <c r="M30" s="94"/>
      <c r="N30" s="94"/>
      <c r="O30" s="94">
        <f>SUM(O28:O29)</f>
        <v>10574.32</v>
      </c>
      <c r="P30"/>
    </row>
    <row r="31" spans="1:16" s="68" customFormat="1" x14ac:dyDescent="0.25">
      <c r="A31" s="77" t="s">
        <v>227</v>
      </c>
      <c r="B31" s="77"/>
      <c r="C31" s="100"/>
      <c r="D31" s="77"/>
      <c r="E31" s="77"/>
      <c r="F31" s="97"/>
      <c r="G31" s="88">
        <v>10762</v>
      </c>
      <c r="H31" s="85">
        <v>7240.68</v>
      </c>
      <c r="I31" s="85">
        <v>6080</v>
      </c>
      <c r="J31" s="85">
        <v>1160.6799999999998</v>
      </c>
      <c r="K31" s="77"/>
      <c r="L31" s="77"/>
      <c r="M31" s="92"/>
      <c r="N31" s="92"/>
      <c r="O31" s="92"/>
      <c r="P31"/>
    </row>
    <row r="32" spans="1:16" x14ac:dyDescent="0.25">
      <c r="A32" s="72" t="s">
        <v>16</v>
      </c>
      <c r="B32" s="72" t="s">
        <v>104</v>
      </c>
      <c r="C32" s="73" t="s">
        <v>95</v>
      </c>
      <c r="D32" s="72" t="s">
        <v>194</v>
      </c>
      <c r="E32" s="72" t="s">
        <v>173</v>
      </c>
      <c r="F32" s="98">
        <v>1.77</v>
      </c>
      <c r="G32" s="74">
        <v>510</v>
      </c>
      <c r="H32" s="84">
        <v>902.7</v>
      </c>
      <c r="I32" s="84">
        <v>1052</v>
      </c>
      <c r="J32" s="84">
        <v>-149.29999999999995</v>
      </c>
      <c r="K32" s="72">
        <v>3.99</v>
      </c>
      <c r="L32" s="72"/>
      <c r="M32" s="93">
        <f t="shared" si="0"/>
        <v>2034.9</v>
      </c>
      <c r="N32" s="93">
        <f t="shared" si="1"/>
        <v>0</v>
      </c>
      <c r="O32" s="93">
        <f t="shared" si="2"/>
        <v>2034.9</v>
      </c>
    </row>
    <row r="33" spans="1:16" x14ac:dyDescent="0.25">
      <c r="A33" s="72"/>
      <c r="B33" s="72"/>
      <c r="C33" s="73" t="s">
        <v>97</v>
      </c>
      <c r="D33" s="72" t="s">
        <v>194</v>
      </c>
      <c r="E33" s="72" t="s">
        <v>173</v>
      </c>
      <c r="F33" s="98">
        <v>1.7700000000000002</v>
      </c>
      <c r="G33" s="74">
        <v>490</v>
      </c>
      <c r="H33" s="84">
        <v>867.3</v>
      </c>
      <c r="I33" s="84">
        <v>1052</v>
      </c>
      <c r="J33" s="84">
        <v>-184.70000000000005</v>
      </c>
      <c r="K33" s="72">
        <v>3.99</v>
      </c>
      <c r="L33" s="72"/>
      <c r="M33" s="93">
        <f t="shared" si="0"/>
        <v>1955.1000000000001</v>
      </c>
      <c r="N33" s="93">
        <f t="shared" si="1"/>
        <v>0</v>
      </c>
      <c r="O33" s="93">
        <f t="shared" si="2"/>
        <v>1955.1000000000001</v>
      </c>
    </row>
    <row r="34" spans="1:16" s="68" customFormat="1" x14ac:dyDescent="0.25">
      <c r="A34" s="79"/>
      <c r="B34" s="79" t="s">
        <v>228</v>
      </c>
      <c r="C34" s="101"/>
      <c r="D34" s="79"/>
      <c r="E34" s="79"/>
      <c r="F34" s="99"/>
      <c r="G34" s="89">
        <v>1000</v>
      </c>
      <c r="H34" s="86">
        <v>1770</v>
      </c>
      <c r="I34" s="86">
        <v>2104</v>
      </c>
      <c r="J34" s="86">
        <v>-334</v>
      </c>
      <c r="K34" s="79"/>
      <c r="L34" s="79"/>
      <c r="M34" s="94"/>
      <c r="N34" s="94"/>
      <c r="O34" s="94">
        <f>SUM(O32:O33)</f>
        <v>3990</v>
      </c>
      <c r="P34"/>
    </row>
    <row r="35" spans="1:16" x14ac:dyDescent="0.25">
      <c r="A35" s="72"/>
      <c r="B35" s="72" t="s">
        <v>108</v>
      </c>
      <c r="C35" s="73" t="s">
        <v>107</v>
      </c>
      <c r="D35" s="72" t="s">
        <v>195</v>
      </c>
      <c r="E35" s="72" t="s">
        <v>170</v>
      </c>
      <c r="F35" s="98">
        <v>1.35</v>
      </c>
      <c r="G35" s="74">
        <v>1390</v>
      </c>
      <c r="H35" s="84">
        <v>1876.5</v>
      </c>
      <c r="I35" s="84">
        <v>945.03563941299785</v>
      </c>
      <c r="J35" s="84">
        <v>931.46436058700215</v>
      </c>
      <c r="K35" s="72">
        <v>2.37</v>
      </c>
      <c r="L35" s="72"/>
      <c r="M35" s="93">
        <f t="shared" si="0"/>
        <v>3294.3</v>
      </c>
      <c r="N35" s="93">
        <f t="shared" si="1"/>
        <v>0</v>
      </c>
      <c r="O35" s="93">
        <f t="shared" si="2"/>
        <v>3294.3</v>
      </c>
    </row>
    <row r="36" spans="1:16" x14ac:dyDescent="0.25">
      <c r="A36" s="72"/>
      <c r="B36" s="72"/>
      <c r="C36" s="73"/>
      <c r="D36" s="72"/>
      <c r="E36" s="72" t="s">
        <v>171</v>
      </c>
      <c r="F36" s="98">
        <v>1.28</v>
      </c>
      <c r="G36" s="74">
        <v>194</v>
      </c>
      <c r="H36" s="84">
        <v>248.32</v>
      </c>
      <c r="I36" s="84">
        <v>106.96436058700209</v>
      </c>
      <c r="J36" s="84">
        <v>141.3556394129979</v>
      </c>
      <c r="K36" s="72">
        <v>2.58</v>
      </c>
      <c r="L36" s="72"/>
      <c r="M36" s="93">
        <f t="shared" si="0"/>
        <v>500.52000000000004</v>
      </c>
      <c r="N36" s="93">
        <f t="shared" si="1"/>
        <v>0</v>
      </c>
      <c r="O36" s="93">
        <f t="shared" si="2"/>
        <v>500.52000000000004</v>
      </c>
    </row>
    <row r="37" spans="1:16" x14ac:dyDescent="0.25">
      <c r="A37" s="72"/>
      <c r="B37" s="72"/>
      <c r="C37" s="73" t="s">
        <v>109</v>
      </c>
      <c r="D37" s="72" t="s">
        <v>195</v>
      </c>
      <c r="E37" s="72" t="s">
        <v>170</v>
      </c>
      <c r="F37" s="98">
        <v>1.35</v>
      </c>
      <c r="G37" s="74">
        <v>1082</v>
      </c>
      <c r="H37" s="84">
        <v>1460.6999999999998</v>
      </c>
      <c r="I37" s="84">
        <v>864.9230837789662</v>
      </c>
      <c r="J37" s="84">
        <v>595.77691622103384</v>
      </c>
      <c r="K37" s="72">
        <v>2.37</v>
      </c>
      <c r="L37" s="72"/>
      <c r="M37" s="93">
        <f t="shared" ref="M37:M68" si="3">$G37*K37</f>
        <v>2564.34</v>
      </c>
      <c r="N37" s="93">
        <f t="shared" ref="N37:N68" si="4">$G37*L37</f>
        <v>0</v>
      </c>
      <c r="O37" s="93">
        <f t="shared" ref="O37:O68" si="5">M37+N37</f>
        <v>2564.34</v>
      </c>
    </row>
    <row r="38" spans="1:16" x14ac:dyDescent="0.25">
      <c r="A38" s="72"/>
      <c r="B38" s="72"/>
      <c r="C38" s="73"/>
      <c r="D38" s="72"/>
      <c r="E38" s="72" t="s">
        <v>171</v>
      </c>
      <c r="F38" s="98">
        <v>1.28</v>
      </c>
      <c r="G38" s="74">
        <v>114</v>
      </c>
      <c r="H38" s="84">
        <v>145.92000000000002</v>
      </c>
      <c r="I38" s="84">
        <v>115.34964349376115</v>
      </c>
      <c r="J38" s="84">
        <v>30.570356506238856</v>
      </c>
      <c r="K38" s="72">
        <v>2.58</v>
      </c>
      <c r="L38" s="72"/>
      <c r="M38" s="93">
        <f t="shared" si="3"/>
        <v>294.12</v>
      </c>
      <c r="N38" s="93">
        <f t="shared" si="4"/>
        <v>0</v>
      </c>
      <c r="O38" s="93">
        <f t="shared" si="5"/>
        <v>294.12</v>
      </c>
    </row>
    <row r="39" spans="1:16" x14ac:dyDescent="0.25">
      <c r="A39" s="72"/>
      <c r="B39" s="72"/>
      <c r="C39" s="73"/>
      <c r="D39" s="72"/>
      <c r="E39" s="72" t="s">
        <v>172</v>
      </c>
      <c r="F39" s="98">
        <v>1.39</v>
      </c>
      <c r="G39" s="74">
        <v>60</v>
      </c>
      <c r="H39" s="84">
        <v>83.4</v>
      </c>
      <c r="I39" s="84">
        <v>71.72727272727272</v>
      </c>
      <c r="J39" s="84">
        <v>11.672727272727286</v>
      </c>
      <c r="K39" s="72">
        <v>2.58</v>
      </c>
      <c r="L39" s="72"/>
      <c r="M39" s="93">
        <f t="shared" si="3"/>
        <v>154.80000000000001</v>
      </c>
      <c r="N39" s="93">
        <f t="shared" si="4"/>
        <v>0</v>
      </c>
      <c r="O39" s="93">
        <f t="shared" si="5"/>
        <v>154.80000000000001</v>
      </c>
    </row>
    <row r="40" spans="1:16" s="68" customFormat="1" x14ac:dyDescent="0.25">
      <c r="A40" s="79"/>
      <c r="B40" s="79" t="s">
        <v>231</v>
      </c>
      <c r="C40" s="101"/>
      <c r="D40" s="79"/>
      <c r="E40" s="79"/>
      <c r="F40" s="99"/>
      <c r="G40" s="89">
        <v>2840</v>
      </c>
      <c r="H40" s="86">
        <v>3814.84</v>
      </c>
      <c r="I40" s="86">
        <v>2104</v>
      </c>
      <c r="J40" s="86">
        <v>1710.8400000000004</v>
      </c>
      <c r="K40" s="79"/>
      <c r="L40" s="79"/>
      <c r="M40" s="94"/>
      <c r="N40" s="94"/>
      <c r="O40" s="94">
        <f>SUM(O35:O39)</f>
        <v>6808.08</v>
      </c>
      <c r="P40"/>
    </row>
    <row r="41" spans="1:16" x14ac:dyDescent="0.25">
      <c r="A41" s="72"/>
      <c r="B41" s="72" t="s">
        <v>106</v>
      </c>
      <c r="C41" s="73" t="s">
        <v>105</v>
      </c>
      <c r="D41" s="72" t="s">
        <v>195</v>
      </c>
      <c r="E41" s="72" t="s">
        <v>130</v>
      </c>
      <c r="F41" s="98">
        <v>0.45</v>
      </c>
      <c r="G41" s="74">
        <v>2290</v>
      </c>
      <c r="H41" s="84">
        <v>1030.5</v>
      </c>
      <c r="I41" s="84">
        <v>1052</v>
      </c>
      <c r="J41" s="84">
        <v>-21.5</v>
      </c>
      <c r="K41" s="72">
        <v>1.0900000000000001</v>
      </c>
      <c r="L41" s="72"/>
      <c r="M41" s="93">
        <f t="shared" si="3"/>
        <v>2496.1000000000004</v>
      </c>
      <c r="N41" s="93">
        <f t="shared" si="4"/>
        <v>0</v>
      </c>
      <c r="O41" s="93">
        <f t="shared" si="5"/>
        <v>2496.1000000000004</v>
      </c>
    </row>
    <row r="42" spans="1:16" x14ac:dyDescent="0.25">
      <c r="A42" s="72"/>
      <c r="B42" s="72"/>
      <c r="C42" s="73" t="s">
        <v>99</v>
      </c>
      <c r="D42" s="72" t="s">
        <v>195</v>
      </c>
      <c r="E42" s="72" t="s">
        <v>130</v>
      </c>
      <c r="F42" s="98">
        <v>0.45</v>
      </c>
      <c r="G42" s="74">
        <v>1455</v>
      </c>
      <c r="H42" s="84">
        <v>654.75</v>
      </c>
      <c r="I42" s="84">
        <v>526</v>
      </c>
      <c r="J42" s="84">
        <v>128.75</v>
      </c>
      <c r="K42" s="72">
        <v>1.0900000000000001</v>
      </c>
      <c r="L42" s="72"/>
      <c r="M42" s="93">
        <f t="shared" si="3"/>
        <v>1585.95</v>
      </c>
      <c r="N42" s="93">
        <f t="shared" si="4"/>
        <v>0</v>
      </c>
      <c r="O42" s="93">
        <f t="shared" si="5"/>
        <v>1585.95</v>
      </c>
    </row>
    <row r="43" spans="1:16" x14ac:dyDescent="0.25">
      <c r="A43" s="72"/>
      <c r="B43" s="72"/>
      <c r="C43" s="73"/>
      <c r="D43" s="72"/>
      <c r="E43" s="72" t="s">
        <v>131</v>
      </c>
      <c r="F43" s="98">
        <v>0.45</v>
      </c>
      <c r="G43" s="74">
        <v>1590</v>
      </c>
      <c r="H43" s="84">
        <v>715.5</v>
      </c>
      <c r="I43" s="84">
        <v>526</v>
      </c>
      <c r="J43" s="84">
        <v>189.5</v>
      </c>
      <c r="K43" s="72">
        <v>1.04</v>
      </c>
      <c r="L43" s="72"/>
      <c r="M43" s="93">
        <f t="shared" si="3"/>
        <v>1653.6000000000001</v>
      </c>
      <c r="N43" s="93">
        <f t="shared" si="4"/>
        <v>0</v>
      </c>
      <c r="O43" s="93">
        <f t="shared" si="5"/>
        <v>1653.6000000000001</v>
      </c>
    </row>
    <row r="44" spans="1:16" x14ac:dyDescent="0.25">
      <c r="A44" s="72"/>
      <c r="B44" s="72"/>
      <c r="C44" s="73" t="s">
        <v>101</v>
      </c>
      <c r="D44" s="72" t="s">
        <v>195</v>
      </c>
      <c r="E44" s="72" t="s">
        <v>130</v>
      </c>
      <c r="F44" s="98">
        <v>0.45</v>
      </c>
      <c r="G44" s="74">
        <v>2010</v>
      </c>
      <c r="H44" s="84">
        <v>904.5</v>
      </c>
      <c r="I44" s="84">
        <v>674.98265895953762</v>
      </c>
      <c r="J44" s="84">
        <v>229.51734104046241</v>
      </c>
      <c r="K44" s="72">
        <v>1.0900000000000001</v>
      </c>
      <c r="L44" s="72"/>
      <c r="M44" s="93">
        <f t="shared" si="3"/>
        <v>2190.9</v>
      </c>
      <c r="N44" s="93">
        <f t="shared" si="4"/>
        <v>0</v>
      </c>
      <c r="O44" s="93">
        <f t="shared" si="5"/>
        <v>2190.9</v>
      </c>
    </row>
    <row r="45" spans="1:16" x14ac:dyDescent="0.25">
      <c r="A45" s="72"/>
      <c r="B45" s="72"/>
      <c r="C45" s="73"/>
      <c r="D45" s="72"/>
      <c r="E45" s="72" t="s">
        <v>131</v>
      </c>
      <c r="F45" s="98">
        <v>0.45</v>
      </c>
      <c r="G45" s="74">
        <v>1240</v>
      </c>
      <c r="H45" s="84">
        <v>558</v>
      </c>
      <c r="I45" s="84">
        <v>377.01734104046244</v>
      </c>
      <c r="J45" s="84">
        <v>180.98265895953756</v>
      </c>
      <c r="K45" s="72">
        <v>1.04</v>
      </c>
      <c r="L45" s="72"/>
      <c r="M45" s="93">
        <f t="shared" si="3"/>
        <v>1289.6000000000001</v>
      </c>
      <c r="N45" s="93">
        <f t="shared" si="4"/>
        <v>0</v>
      </c>
      <c r="O45" s="93">
        <f t="shared" si="5"/>
        <v>1289.6000000000001</v>
      </c>
    </row>
    <row r="46" spans="1:16" x14ac:dyDescent="0.25">
      <c r="A46" s="72"/>
      <c r="B46" s="72"/>
      <c r="C46" s="73" t="s">
        <v>102</v>
      </c>
      <c r="D46" s="72" t="s">
        <v>195</v>
      </c>
      <c r="E46" s="72" t="s">
        <v>133</v>
      </c>
      <c r="F46" s="98">
        <v>0.3</v>
      </c>
      <c r="G46" s="74">
        <v>1995</v>
      </c>
      <c r="H46" s="84">
        <v>598.5</v>
      </c>
      <c r="I46" s="84">
        <v>695.17297297297296</v>
      </c>
      <c r="J46" s="84">
        <v>-96.672972972973014</v>
      </c>
      <c r="K46" s="72">
        <v>1.1000000000000001</v>
      </c>
      <c r="L46" s="72"/>
      <c r="M46" s="93">
        <f t="shared" si="3"/>
        <v>2194.5</v>
      </c>
      <c r="N46" s="93">
        <f t="shared" si="4"/>
        <v>0</v>
      </c>
      <c r="O46" s="93">
        <f t="shared" si="5"/>
        <v>2194.5</v>
      </c>
    </row>
    <row r="47" spans="1:16" x14ac:dyDescent="0.25">
      <c r="A47" s="72"/>
      <c r="B47" s="72"/>
      <c r="C47" s="73"/>
      <c r="D47" s="72"/>
      <c r="E47" s="72" t="s">
        <v>134</v>
      </c>
      <c r="F47" s="98">
        <v>0.3</v>
      </c>
      <c r="G47" s="74">
        <v>1025</v>
      </c>
      <c r="H47" s="84">
        <v>307.5</v>
      </c>
      <c r="I47" s="84">
        <v>356.82702702702704</v>
      </c>
      <c r="J47" s="84">
        <v>-49.327027027027015</v>
      </c>
      <c r="K47" s="72">
        <v>1.29</v>
      </c>
      <c r="L47" s="72"/>
      <c r="M47" s="93">
        <f t="shared" si="3"/>
        <v>1322.25</v>
      </c>
      <c r="N47" s="93">
        <f t="shared" si="4"/>
        <v>0</v>
      </c>
      <c r="O47" s="93">
        <f t="shared" si="5"/>
        <v>1322.25</v>
      </c>
    </row>
    <row r="48" spans="1:16" x14ac:dyDescent="0.25">
      <c r="A48" s="72"/>
      <c r="B48" s="72"/>
      <c r="C48" s="73" t="s">
        <v>103</v>
      </c>
      <c r="D48" s="72" t="s">
        <v>195</v>
      </c>
      <c r="E48" s="72" t="s">
        <v>133</v>
      </c>
      <c r="F48" s="98">
        <v>0.3</v>
      </c>
      <c r="G48" s="74">
        <v>1029</v>
      </c>
      <c r="H48" s="84">
        <v>308.7</v>
      </c>
      <c r="I48" s="84">
        <v>368.16591529738486</v>
      </c>
      <c r="J48" s="84">
        <v>-59.465915297384868</v>
      </c>
      <c r="K48" s="72">
        <v>1.1000000000000001</v>
      </c>
      <c r="L48" s="72"/>
      <c r="M48" s="93">
        <f t="shared" si="3"/>
        <v>1131.9000000000001</v>
      </c>
      <c r="N48" s="93">
        <f t="shared" si="4"/>
        <v>0</v>
      </c>
      <c r="O48" s="93">
        <f t="shared" si="5"/>
        <v>1131.9000000000001</v>
      </c>
    </row>
    <row r="49" spans="1:16" x14ac:dyDescent="0.25">
      <c r="A49" s="72"/>
      <c r="B49" s="72"/>
      <c r="C49" s="73"/>
      <c r="D49" s="72"/>
      <c r="E49" s="72" t="s">
        <v>134</v>
      </c>
      <c r="F49" s="98">
        <v>0.3</v>
      </c>
      <c r="G49" s="74">
        <v>1911</v>
      </c>
      <c r="H49" s="84">
        <v>573.29999999999995</v>
      </c>
      <c r="I49" s="84">
        <v>683.8340847026152</v>
      </c>
      <c r="J49" s="84">
        <v>-110.53408470261513</v>
      </c>
      <c r="K49" s="72">
        <v>1.29</v>
      </c>
      <c r="L49" s="72"/>
      <c r="M49" s="93">
        <f t="shared" si="3"/>
        <v>2465.19</v>
      </c>
      <c r="N49" s="93">
        <f t="shared" si="4"/>
        <v>0</v>
      </c>
      <c r="O49" s="93">
        <f t="shared" si="5"/>
        <v>2465.19</v>
      </c>
    </row>
    <row r="50" spans="1:16" x14ac:dyDescent="0.25">
      <c r="A50" s="72"/>
      <c r="B50" s="72"/>
      <c r="C50" s="73" t="s">
        <v>110</v>
      </c>
      <c r="D50" s="72" t="s">
        <v>195</v>
      </c>
      <c r="E50" s="72" t="s">
        <v>130</v>
      </c>
      <c r="F50" s="98">
        <v>0.45</v>
      </c>
      <c r="G50" s="74">
        <v>2185</v>
      </c>
      <c r="H50" s="84">
        <v>983.25</v>
      </c>
      <c r="I50" s="84">
        <v>1052</v>
      </c>
      <c r="J50" s="84">
        <v>-68.75</v>
      </c>
      <c r="K50" s="72">
        <v>1.0900000000000001</v>
      </c>
      <c r="L50" s="72"/>
      <c r="M50" s="93">
        <f t="shared" si="3"/>
        <v>2381.65</v>
      </c>
      <c r="N50" s="93">
        <f t="shared" si="4"/>
        <v>0</v>
      </c>
      <c r="O50" s="93">
        <f t="shared" si="5"/>
        <v>2381.65</v>
      </c>
    </row>
    <row r="51" spans="1:16" s="68" customFormat="1" x14ac:dyDescent="0.25">
      <c r="A51" s="79"/>
      <c r="B51" s="79" t="s">
        <v>234</v>
      </c>
      <c r="C51" s="101"/>
      <c r="D51" s="79"/>
      <c r="E51" s="79"/>
      <c r="F51" s="99"/>
      <c r="G51" s="89">
        <v>16730</v>
      </c>
      <c r="H51" s="86">
        <v>6634.5</v>
      </c>
      <c r="I51" s="86">
        <v>6312</v>
      </c>
      <c r="J51" s="86">
        <v>322.5</v>
      </c>
      <c r="K51" s="79"/>
      <c r="L51" s="79"/>
      <c r="M51" s="94"/>
      <c r="N51" s="94"/>
      <c r="O51" s="94">
        <f>SUM(O41:O50)</f>
        <v>18711.640000000003</v>
      </c>
      <c r="P51"/>
    </row>
    <row r="52" spans="1:16" s="68" customFormat="1" x14ac:dyDescent="0.25">
      <c r="A52" s="77" t="s">
        <v>235</v>
      </c>
      <c r="B52" s="77"/>
      <c r="C52" s="100"/>
      <c r="D52" s="77"/>
      <c r="E52" s="77"/>
      <c r="F52" s="97"/>
      <c r="G52" s="88">
        <v>20570</v>
      </c>
      <c r="H52" s="85">
        <v>12219.34</v>
      </c>
      <c r="I52" s="85">
        <v>10520</v>
      </c>
      <c r="J52" s="85">
        <v>1699.3400000000006</v>
      </c>
      <c r="K52" s="77"/>
      <c r="L52" s="77"/>
      <c r="M52" s="92"/>
      <c r="N52" s="92"/>
      <c r="O52" s="92"/>
      <c r="P52"/>
    </row>
    <row r="53" spans="1:16" x14ac:dyDescent="0.25">
      <c r="A53" s="72" t="s">
        <v>85</v>
      </c>
      <c r="B53" s="72" t="s">
        <v>106</v>
      </c>
      <c r="C53" s="73" t="s">
        <v>95</v>
      </c>
      <c r="D53" s="72" t="s">
        <v>195</v>
      </c>
      <c r="E53" s="72" t="s">
        <v>130</v>
      </c>
      <c r="F53" s="98">
        <v>0.45</v>
      </c>
      <c r="G53" s="74">
        <v>865</v>
      </c>
      <c r="H53" s="84">
        <v>389.25</v>
      </c>
      <c r="I53" s="84">
        <v>610</v>
      </c>
      <c r="J53" s="84">
        <v>-220.75</v>
      </c>
      <c r="K53" s="72">
        <v>1.0900000000000001</v>
      </c>
      <c r="L53" s="72"/>
      <c r="M53" s="93">
        <f t="shared" si="3"/>
        <v>942.85</v>
      </c>
      <c r="N53" s="93">
        <f t="shared" si="4"/>
        <v>0</v>
      </c>
      <c r="O53" s="93">
        <f t="shared" si="5"/>
        <v>942.85</v>
      </c>
    </row>
    <row r="54" spans="1:16" x14ac:dyDescent="0.25">
      <c r="A54" s="72"/>
      <c r="B54" s="72"/>
      <c r="C54" s="73" t="s">
        <v>97</v>
      </c>
      <c r="D54" s="72" t="s">
        <v>195</v>
      </c>
      <c r="E54" s="72" t="s">
        <v>130</v>
      </c>
      <c r="F54" s="98">
        <v>0.45</v>
      </c>
      <c r="G54" s="74">
        <v>551</v>
      </c>
      <c r="H54" s="84">
        <v>247.95</v>
      </c>
      <c r="I54" s="84">
        <v>305</v>
      </c>
      <c r="J54" s="84">
        <v>-57.050000000000011</v>
      </c>
      <c r="K54" s="72">
        <v>1.0900000000000001</v>
      </c>
      <c r="L54" s="72"/>
      <c r="M54" s="93">
        <f t="shared" si="3"/>
        <v>600.59</v>
      </c>
      <c r="N54" s="93">
        <f t="shared" si="4"/>
        <v>0</v>
      </c>
      <c r="O54" s="93">
        <f t="shared" si="5"/>
        <v>600.59</v>
      </c>
    </row>
    <row r="55" spans="1:16" x14ac:dyDescent="0.25">
      <c r="A55" s="72"/>
      <c r="B55" s="72"/>
      <c r="C55" s="73"/>
      <c r="D55" s="72"/>
      <c r="E55" s="72" t="s">
        <v>135</v>
      </c>
      <c r="F55" s="98">
        <v>0.42</v>
      </c>
      <c r="G55" s="74">
        <v>135</v>
      </c>
      <c r="H55" s="84">
        <v>56.7</v>
      </c>
      <c r="I55" s="84">
        <v>58.404255319148938</v>
      </c>
      <c r="J55" s="84">
        <v>-1.7042553191489347</v>
      </c>
      <c r="K55" s="72">
        <v>1.1499999999999999</v>
      </c>
      <c r="L55" s="72"/>
      <c r="M55" s="93">
        <f t="shared" si="3"/>
        <v>155.25</v>
      </c>
      <c r="N55" s="93">
        <f t="shared" si="4"/>
        <v>0</v>
      </c>
      <c r="O55" s="93">
        <f t="shared" si="5"/>
        <v>155.25</v>
      </c>
    </row>
    <row r="56" spans="1:16" x14ac:dyDescent="0.25">
      <c r="A56" s="72"/>
      <c r="B56" s="72"/>
      <c r="C56" s="73"/>
      <c r="D56" s="72"/>
      <c r="E56" s="72" t="s">
        <v>132</v>
      </c>
      <c r="F56" s="98">
        <v>0.42</v>
      </c>
      <c r="G56" s="74">
        <v>570</v>
      </c>
      <c r="H56" s="84">
        <v>239.4</v>
      </c>
      <c r="I56" s="84">
        <v>246.59574468085106</v>
      </c>
      <c r="J56" s="84">
        <v>-7.1957446808510497</v>
      </c>
      <c r="K56" s="72">
        <v>1.1499999999999999</v>
      </c>
      <c r="L56" s="72"/>
      <c r="M56" s="93">
        <f t="shared" si="3"/>
        <v>655.5</v>
      </c>
      <c r="N56" s="93">
        <f t="shared" si="4"/>
        <v>0</v>
      </c>
      <c r="O56" s="93">
        <f t="shared" si="5"/>
        <v>655.5</v>
      </c>
    </row>
    <row r="57" spans="1:16" s="68" customFormat="1" x14ac:dyDescent="0.25">
      <c r="A57" s="79"/>
      <c r="B57" s="79" t="s">
        <v>234</v>
      </c>
      <c r="C57" s="101"/>
      <c r="D57" s="79"/>
      <c r="E57" s="79"/>
      <c r="F57" s="99"/>
      <c r="G57" s="89">
        <v>2121</v>
      </c>
      <c r="H57" s="86">
        <v>933.30000000000007</v>
      </c>
      <c r="I57" s="86">
        <v>1220</v>
      </c>
      <c r="J57" s="86">
        <v>-286.70000000000005</v>
      </c>
      <c r="K57" s="79"/>
      <c r="L57" s="79"/>
      <c r="M57" s="94"/>
      <c r="N57" s="94"/>
      <c r="O57" s="94">
        <f>SUM(O53:O56)</f>
        <v>2354.19</v>
      </c>
      <c r="P57"/>
    </row>
    <row r="58" spans="1:16" s="68" customFormat="1" x14ac:dyDescent="0.25">
      <c r="A58" s="77" t="s">
        <v>236</v>
      </c>
      <c r="B58" s="77"/>
      <c r="C58" s="100"/>
      <c r="D58" s="77"/>
      <c r="E58" s="77"/>
      <c r="F58" s="97"/>
      <c r="G58" s="88">
        <v>2121</v>
      </c>
      <c r="H58" s="85">
        <v>933.30000000000007</v>
      </c>
      <c r="I58" s="85">
        <v>1220</v>
      </c>
      <c r="J58" s="85">
        <v>-286.70000000000005</v>
      </c>
      <c r="K58" s="77"/>
      <c r="L58" s="77"/>
      <c r="M58" s="92"/>
      <c r="N58" s="92"/>
      <c r="O58" s="92"/>
      <c r="P58"/>
    </row>
    <row r="59" spans="1:16" x14ac:dyDescent="0.25">
      <c r="A59" s="72" t="s">
        <v>17</v>
      </c>
      <c r="B59" s="72" t="s">
        <v>112</v>
      </c>
      <c r="C59" s="73" t="s">
        <v>111</v>
      </c>
      <c r="D59" s="72" t="s">
        <v>196</v>
      </c>
      <c r="E59" s="72" t="s">
        <v>148</v>
      </c>
      <c r="F59" s="98">
        <v>0.65</v>
      </c>
      <c r="G59" s="74">
        <v>2920</v>
      </c>
      <c r="H59" s="84">
        <v>1898</v>
      </c>
      <c r="I59" s="84">
        <v>1055.5408163265306</v>
      </c>
      <c r="J59" s="84">
        <v>842.4591836734694</v>
      </c>
      <c r="K59" s="72">
        <v>1.64</v>
      </c>
      <c r="L59" s="72"/>
      <c r="M59" s="93">
        <f t="shared" si="3"/>
        <v>4788.7999999999993</v>
      </c>
      <c r="N59" s="93">
        <f t="shared" si="4"/>
        <v>0</v>
      </c>
      <c r="O59" s="93">
        <f t="shared" si="5"/>
        <v>4788.7999999999993</v>
      </c>
    </row>
    <row r="60" spans="1:16" x14ac:dyDescent="0.25">
      <c r="A60" s="72"/>
      <c r="B60" s="72"/>
      <c r="C60" s="73"/>
      <c r="D60" s="72"/>
      <c r="E60" s="72" t="s">
        <v>146</v>
      </c>
      <c r="F60" s="98">
        <v>0.65</v>
      </c>
      <c r="G60" s="74">
        <v>1825</v>
      </c>
      <c r="H60" s="84">
        <v>1186.25</v>
      </c>
      <c r="I60" s="84">
        <v>626.4591836734694</v>
      </c>
      <c r="J60" s="84">
        <v>559.7908163265306</v>
      </c>
      <c r="K60" s="72">
        <v>1.64</v>
      </c>
      <c r="L60" s="72"/>
      <c r="M60" s="93">
        <f t="shared" si="3"/>
        <v>2993</v>
      </c>
      <c r="N60" s="93">
        <f t="shared" si="4"/>
        <v>0</v>
      </c>
      <c r="O60" s="93">
        <f t="shared" si="5"/>
        <v>2993</v>
      </c>
    </row>
    <row r="61" spans="1:16" x14ac:dyDescent="0.25">
      <c r="A61" s="72"/>
      <c r="B61" s="72"/>
      <c r="C61" s="73" t="s">
        <v>113</v>
      </c>
      <c r="D61" s="72" t="s">
        <v>196</v>
      </c>
      <c r="E61" s="72" t="s">
        <v>148</v>
      </c>
      <c r="F61" s="98">
        <v>0.65</v>
      </c>
      <c r="G61" s="74">
        <v>4051</v>
      </c>
      <c r="H61" s="84">
        <v>2633.15</v>
      </c>
      <c r="I61" s="84">
        <v>1488.6654671406013</v>
      </c>
      <c r="J61" s="84">
        <v>1144.4845328593988</v>
      </c>
      <c r="K61" s="72">
        <v>1.64</v>
      </c>
      <c r="L61" s="72"/>
      <c r="M61" s="93">
        <f t="shared" si="3"/>
        <v>6643.6399999999994</v>
      </c>
      <c r="N61" s="93">
        <f t="shared" si="4"/>
        <v>0</v>
      </c>
      <c r="O61" s="93">
        <f t="shared" si="5"/>
        <v>6643.6399999999994</v>
      </c>
    </row>
    <row r="62" spans="1:16" x14ac:dyDescent="0.25">
      <c r="A62" s="72"/>
      <c r="B62" s="72"/>
      <c r="C62" s="73"/>
      <c r="D62" s="72"/>
      <c r="E62" s="72" t="s">
        <v>146</v>
      </c>
      <c r="F62" s="98">
        <v>0.65</v>
      </c>
      <c r="G62" s="74">
        <v>502</v>
      </c>
      <c r="H62" s="84">
        <v>326.3</v>
      </c>
      <c r="I62" s="84">
        <v>193.33453285939879</v>
      </c>
      <c r="J62" s="84">
        <v>132.96546714060122</v>
      </c>
      <c r="K62" s="72">
        <v>1.64</v>
      </c>
      <c r="L62" s="72"/>
      <c r="M62" s="93">
        <f t="shared" si="3"/>
        <v>823.28</v>
      </c>
      <c r="N62" s="93">
        <f t="shared" si="4"/>
        <v>0</v>
      </c>
      <c r="O62" s="93">
        <f t="shared" si="5"/>
        <v>823.28</v>
      </c>
    </row>
    <row r="63" spans="1:16" x14ac:dyDescent="0.25">
      <c r="A63" s="72"/>
      <c r="B63" s="72"/>
      <c r="C63" s="73" t="s">
        <v>114</v>
      </c>
      <c r="D63" s="72" t="s">
        <v>196</v>
      </c>
      <c r="E63" s="72" t="s">
        <v>148</v>
      </c>
      <c r="F63" s="98">
        <v>0.65</v>
      </c>
      <c r="G63" s="74">
        <v>1865</v>
      </c>
      <c r="H63" s="84">
        <v>1212.25</v>
      </c>
      <c r="I63" s="84">
        <v>835.17838125665605</v>
      </c>
      <c r="J63" s="84">
        <v>377.07161874334395</v>
      </c>
      <c r="K63" s="72">
        <v>1.64</v>
      </c>
      <c r="L63" s="72"/>
      <c r="M63" s="93">
        <f t="shared" si="3"/>
        <v>3058.6</v>
      </c>
      <c r="N63" s="93">
        <f t="shared" si="4"/>
        <v>0</v>
      </c>
      <c r="O63" s="93">
        <f t="shared" si="5"/>
        <v>3058.6</v>
      </c>
    </row>
    <row r="64" spans="1:16" x14ac:dyDescent="0.25">
      <c r="A64" s="72"/>
      <c r="B64" s="72"/>
      <c r="C64" s="73"/>
      <c r="D64" s="72"/>
      <c r="E64" s="72" t="s">
        <v>146</v>
      </c>
      <c r="F64" s="98">
        <v>0.65</v>
      </c>
      <c r="G64" s="74">
        <v>2209</v>
      </c>
      <c r="H64" s="84">
        <v>1435.85</v>
      </c>
      <c r="I64" s="84">
        <v>845.03035143769966</v>
      </c>
      <c r="J64" s="84">
        <v>590.81964856230036</v>
      </c>
      <c r="K64" s="72">
        <v>1.64</v>
      </c>
      <c r="L64" s="72"/>
      <c r="M64" s="93">
        <f t="shared" si="3"/>
        <v>3622.7599999999998</v>
      </c>
      <c r="N64" s="93">
        <f t="shared" si="4"/>
        <v>0</v>
      </c>
      <c r="O64" s="93">
        <f t="shared" si="5"/>
        <v>3622.7599999999998</v>
      </c>
    </row>
    <row r="65" spans="1:16" x14ac:dyDescent="0.25">
      <c r="A65" s="72"/>
      <c r="B65" s="72"/>
      <c r="C65" s="73"/>
      <c r="D65" s="72"/>
      <c r="E65" s="72" t="s">
        <v>147</v>
      </c>
      <c r="F65" s="98">
        <v>0.65</v>
      </c>
      <c r="G65" s="74">
        <v>4</v>
      </c>
      <c r="H65" s="84">
        <v>2.6</v>
      </c>
      <c r="I65" s="84">
        <v>1.7912673056443027</v>
      </c>
      <c r="J65" s="84">
        <v>0.80873269435569739</v>
      </c>
      <c r="K65" s="72">
        <v>1.76</v>
      </c>
      <c r="L65" s="72"/>
      <c r="M65" s="93">
        <f t="shared" si="3"/>
        <v>7.04</v>
      </c>
      <c r="N65" s="93">
        <f t="shared" si="4"/>
        <v>0</v>
      </c>
      <c r="O65" s="93">
        <f t="shared" si="5"/>
        <v>7.04</v>
      </c>
    </row>
    <row r="66" spans="1:16" x14ac:dyDescent="0.25">
      <c r="A66" s="72"/>
      <c r="B66" s="72"/>
      <c r="C66" s="73" t="s">
        <v>115</v>
      </c>
      <c r="D66" s="72" t="s">
        <v>196</v>
      </c>
      <c r="E66" s="72" t="s">
        <v>148</v>
      </c>
      <c r="F66" s="98">
        <v>0.65</v>
      </c>
      <c r="G66" s="74">
        <v>2260</v>
      </c>
      <c r="H66" s="84">
        <v>1469</v>
      </c>
      <c r="I66" s="84">
        <v>955.13571428571424</v>
      </c>
      <c r="J66" s="84">
        <v>513.86428571428576</v>
      </c>
      <c r="K66" s="72">
        <v>1.64</v>
      </c>
      <c r="L66" s="72"/>
      <c r="M66" s="93">
        <f t="shared" si="3"/>
        <v>3706.3999999999996</v>
      </c>
      <c r="N66" s="93">
        <f t="shared" si="4"/>
        <v>0</v>
      </c>
      <c r="O66" s="93">
        <f t="shared" si="5"/>
        <v>3706.3999999999996</v>
      </c>
    </row>
    <row r="67" spans="1:16" x14ac:dyDescent="0.25">
      <c r="A67" s="72"/>
      <c r="B67" s="72"/>
      <c r="C67" s="73"/>
      <c r="D67" s="72"/>
      <c r="E67" s="72" t="s">
        <v>146</v>
      </c>
      <c r="F67" s="98">
        <v>0.65</v>
      </c>
      <c r="G67" s="74">
        <v>1815</v>
      </c>
      <c r="H67" s="84">
        <v>1179.75</v>
      </c>
      <c r="I67" s="84">
        <v>726.86428571428576</v>
      </c>
      <c r="J67" s="84">
        <v>452.88571428571424</v>
      </c>
      <c r="K67" s="72">
        <v>1.64</v>
      </c>
      <c r="L67" s="72"/>
      <c r="M67" s="93">
        <f t="shared" si="3"/>
        <v>2976.6</v>
      </c>
      <c r="N67" s="93">
        <f t="shared" si="4"/>
        <v>0</v>
      </c>
      <c r="O67" s="93">
        <f t="shared" si="5"/>
        <v>2976.6</v>
      </c>
    </row>
    <row r="68" spans="1:16" x14ac:dyDescent="0.25">
      <c r="A68" s="72"/>
      <c r="B68" s="72"/>
      <c r="C68" s="73" t="s">
        <v>116</v>
      </c>
      <c r="D68" s="72" t="s">
        <v>196</v>
      </c>
      <c r="E68" s="72" t="s">
        <v>148</v>
      </c>
      <c r="F68" s="98">
        <v>0.65</v>
      </c>
      <c r="G68" s="74">
        <v>1945</v>
      </c>
      <c r="H68" s="84">
        <v>1264.25</v>
      </c>
      <c r="I68" s="84">
        <v>762.58508158508164</v>
      </c>
      <c r="J68" s="84">
        <v>501.66491841491836</v>
      </c>
      <c r="K68" s="72">
        <v>1.64</v>
      </c>
      <c r="L68" s="72"/>
      <c r="M68" s="93">
        <f t="shared" si="3"/>
        <v>3189.7999999999997</v>
      </c>
      <c r="N68" s="93">
        <f t="shared" si="4"/>
        <v>0</v>
      </c>
      <c r="O68" s="93">
        <f t="shared" si="5"/>
        <v>3189.7999999999997</v>
      </c>
    </row>
    <row r="69" spans="1:16" x14ac:dyDescent="0.25">
      <c r="A69" s="72"/>
      <c r="B69" s="72"/>
      <c r="C69" s="73"/>
      <c r="D69" s="72"/>
      <c r="E69" s="72" t="s">
        <v>146</v>
      </c>
      <c r="F69" s="98">
        <v>0.65</v>
      </c>
      <c r="G69" s="74">
        <v>2375</v>
      </c>
      <c r="H69" s="84">
        <v>1543.75</v>
      </c>
      <c r="I69" s="84">
        <v>919.41491841491847</v>
      </c>
      <c r="J69" s="84">
        <v>624.33508158508153</v>
      </c>
      <c r="K69" s="72">
        <v>1.64</v>
      </c>
      <c r="L69" s="72"/>
      <c r="M69" s="93">
        <f t="shared" ref="M69:M100" si="6">$G69*K69</f>
        <v>3894.9999999999995</v>
      </c>
      <c r="N69" s="93">
        <f t="shared" ref="N69:N100" si="7">$G69*L69</f>
        <v>0</v>
      </c>
      <c r="O69" s="93">
        <f t="shared" ref="O69:O100" si="8">M69+N69</f>
        <v>3894.9999999999995</v>
      </c>
    </row>
    <row r="70" spans="1:16" x14ac:dyDescent="0.25">
      <c r="A70" s="72"/>
      <c r="B70" s="72"/>
      <c r="C70" s="73" t="s">
        <v>117</v>
      </c>
      <c r="D70" s="72" t="s">
        <v>196</v>
      </c>
      <c r="E70" s="72" t="s">
        <v>148</v>
      </c>
      <c r="F70" s="98">
        <v>0.65</v>
      </c>
      <c r="G70" s="74">
        <v>2290</v>
      </c>
      <c r="H70" s="84">
        <v>1488.5</v>
      </c>
      <c r="I70" s="84">
        <v>841</v>
      </c>
      <c r="J70" s="84">
        <v>647.5</v>
      </c>
      <c r="K70" s="72">
        <v>1.64</v>
      </c>
      <c r="L70" s="72"/>
      <c r="M70" s="93">
        <f t="shared" si="6"/>
        <v>3755.6</v>
      </c>
      <c r="N70" s="93">
        <f t="shared" si="7"/>
        <v>0</v>
      </c>
      <c r="O70" s="93">
        <f t="shared" si="8"/>
        <v>3755.6</v>
      </c>
    </row>
    <row r="71" spans="1:16" x14ac:dyDescent="0.25">
      <c r="A71" s="72"/>
      <c r="B71" s="72"/>
      <c r="C71" s="73"/>
      <c r="D71" s="72"/>
      <c r="E71" s="72" t="s">
        <v>146</v>
      </c>
      <c r="F71" s="98">
        <v>0.65</v>
      </c>
      <c r="G71" s="74">
        <v>2346</v>
      </c>
      <c r="H71" s="84">
        <v>1524.9</v>
      </c>
      <c r="I71" s="84">
        <v>839.56851063829788</v>
      </c>
      <c r="J71" s="84">
        <v>685.33148936170221</v>
      </c>
      <c r="K71" s="72">
        <v>1.64</v>
      </c>
      <c r="L71" s="72"/>
      <c r="M71" s="93">
        <f t="shared" si="6"/>
        <v>3847.4399999999996</v>
      </c>
      <c r="N71" s="93">
        <f t="shared" si="7"/>
        <v>0</v>
      </c>
      <c r="O71" s="93">
        <f t="shared" si="8"/>
        <v>3847.4399999999996</v>
      </c>
    </row>
    <row r="72" spans="1:16" x14ac:dyDescent="0.25">
      <c r="A72" s="72"/>
      <c r="B72" s="72"/>
      <c r="C72" s="73"/>
      <c r="D72" s="72"/>
      <c r="E72" s="72" t="s">
        <v>147</v>
      </c>
      <c r="F72" s="98">
        <v>0.65</v>
      </c>
      <c r="G72" s="74">
        <v>4</v>
      </c>
      <c r="H72" s="84">
        <v>2.6</v>
      </c>
      <c r="I72" s="84">
        <v>1.4314893617021276</v>
      </c>
      <c r="J72" s="84">
        <v>1.1685106382978725</v>
      </c>
      <c r="K72" s="72">
        <v>1.76</v>
      </c>
      <c r="L72" s="72"/>
      <c r="M72" s="93">
        <f t="shared" si="6"/>
        <v>7.04</v>
      </c>
      <c r="N72" s="93">
        <f t="shared" si="7"/>
        <v>0</v>
      </c>
      <c r="O72" s="93">
        <f t="shared" si="8"/>
        <v>7.04</v>
      </c>
    </row>
    <row r="73" spans="1:16" s="68" customFormat="1" x14ac:dyDescent="0.25">
      <c r="A73" s="79"/>
      <c r="B73" s="79" t="s">
        <v>243</v>
      </c>
      <c r="C73" s="101"/>
      <c r="D73" s="79"/>
      <c r="E73" s="79"/>
      <c r="F73" s="99"/>
      <c r="G73" s="89">
        <v>26411</v>
      </c>
      <c r="H73" s="86">
        <v>17167.150000000001</v>
      </c>
      <c r="I73" s="86">
        <v>10092.000000000002</v>
      </c>
      <c r="J73" s="86">
        <v>7075.15</v>
      </c>
      <c r="K73" s="79"/>
      <c r="L73" s="79"/>
      <c r="M73" s="94"/>
      <c r="N73" s="94"/>
      <c r="O73" s="94">
        <f>SUM(O59:O72)</f>
        <v>43314.999999999993</v>
      </c>
      <c r="P73"/>
    </row>
    <row r="74" spans="1:16" s="68" customFormat="1" x14ac:dyDescent="0.25">
      <c r="A74" s="77" t="s">
        <v>244</v>
      </c>
      <c r="B74" s="77"/>
      <c r="C74" s="100"/>
      <c r="D74" s="77"/>
      <c r="E74" s="77"/>
      <c r="F74" s="97"/>
      <c r="G74" s="88">
        <v>26411</v>
      </c>
      <c r="H74" s="85">
        <v>17167.150000000001</v>
      </c>
      <c r="I74" s="85">
        <v>10092.000000000002</v>
      </c>
      <c r="J74" s="85">
        <v>7075.15</v>
      </c>
      <c r="K74" s="77"/>
      <c r="L74" s="77"/>
      <c r="M74" s="92"/>
      <c r="N74" s="92"/>
      <c r="O74" s="92"/>
      <c r="P74"/>
    </row>
    <row r="75" spans="1:16" x14ac:dyDescent="0.25">
      <c r="A75" s="72" t="s">
        <v>18</v>
      </c>
      <c r="B75" s="72" t="s">
        <v>112</v>
      </c>
      <c r="C75" s="73" t="s">
        <v>95</v>
      </c>
      <c r="D75" s="72" t="s">
        <v>196</v>
      </c>
      <c r="E75" s="72" t="s">
        <v>142</v>
      </c>
      <c r="F75" s="98">
        <v>0.68</v>
      </c>
      <c r="G75" s="74">
        <v>35</v>
      </c>
      <c r="H75" s="84">
        <v>23.8</v>
      </c>
      <c r="I75" s="84">
        <v>14.691358024691358</v>
      </c>
      <c r="J75" s="84">
        <v>9.1086419753086432</v>
      </c>
      <c r="K75" s="72">
        <v>1.69</v>
      </c>
      <c r="L75" s="72"/>
      <c r="M75" s="93">
        <f t="shared" si="6"/>
        <v>59.15</v>
      </c>
      <c r="N75" s="93">
        <f t="shared" si="7"/>
        <v>0</v>
      </c>
      <c r="O75" s="93">
        <f t="shared" si="8"/>
        <v>59.15</v>
      </c>
    </row>
    <row r="76" spans="1:16" x14ac:dyDescent="0.25">
      <c r="A76" s="72"/>
      <c r="B76" s="72"/>
      <c r="C76" s="73"/>
      <c r="D76" s="72"/>
      <c r="E76" s="72" t="s">
        <v>159</v>
      </c>
      <c r="F76" s="98">
        <v>0.83</v>
      </c>
      <c r="G76" s="74">
        <v>3</v>
      </c>
      <c r="H76" s="84">
        <v>2.4900000000000002</v>
      </c>
      <c r="I76" s="84">
        <v>1.2592592592592593</v>
      </c>
      <c r="J76" s="84">
        <v>1.2307407407407409</v>
      </c>
      <c r="K76" s="72">
        <v>2.13</v>
      </c>
      <c r="L76" s="72"/>
      <c r="M76" s="93">
        <f t="shared" si="6"/>
        <v>6.39</v>
      </c>
      <c r="N76" s="93">
        <f t="shared" si="7"/>
        <v>0</v>
      </c>
      <c r="O76" s="93">
        <f t="shared" si="8"/>
        <v>6.39</v>
      </c>
    </row>
    <row r="77" spans="1:16" x14ac:dyDescent="0.25">
      <c r="A77" s="72"/>
      <c r="B77" s="72"/>
      <c r="C77" s="73"/>
      <c r="D77" s="72"/>
      <c r="E77" s="72" t="s">
        <v>161</v>
      </c>
      <c r="F77" s="98">
        <v>0.7</v>
      </c>
      <c r="G77" s="74">
        <v>2616</v>
      </c>
      <c r="H77" s="84">
        <v>1831.2</v>
      </c>
      <c r="I77" s="84">
        <v>972.98227084119196</v>
      </c>
      <c r="J77" s="84">
        <v>858.21772915880808</v>
      </c>
      <c r="K77" s="72">
        <v>1.71</v>
      </c>
      <c r="L77" s="72"/>
      <c r="M77" s="93">
        <f t="shared" si="6"/>
        <v>4473.3599999999997</v>
      </c>
      <c r="N77" s="93">
        <f t="shared" si="7"/>
        <v>0</v>
      </c>
      <c r="O77" s="93">
        <f t="shared" si="8"/>
        <v>4473.3599999999997</v>
      </c>
    </row>
    <row r="78" spans="1:16" x14ac:dyDescent="0.25">
      <c r="A78" s="72"/>
      <c r="B78" s="72"/>
      <c r="C78" s="73"/>
      <c r="D78" s="72"/>
      <c r="E78" s="72" t="s">
        <v>165</v>
      </c>
      <c r="F78" s="98">
        <v>0.7</v>
      </c>
      <c r="G78" s="74">
        <v>2346</v>
      </c>
      <c r="H78" s="84">
        <v>1642.2</v>
      </c>
      <c r="I78" s="84">
        <v>983.06711187485746</v>
      </c>
      <c r="J78" s="84">
        <v>659.13288812514259</v>
      </c>
      <c r="K78" s="72">
        <v>1.71</v>
      </c>
      <c r="L78" s="72"/>
      <c r="M78" s="93">
        <f t="shared" si="6"/>
        <v>4011.66</v>
      </c>
      <c r="N78" s="93">
        <f t="shared" si="7"/>
        <v>0</v>
      </c>
      <c r="O78" s="93">
        <f t="shared" si="8"/>
        <v>4011.66</v>
      </c>
    </row>
    <row r="79" spans="1:16" x14ac:dyDescent="0.25">
      <c r="A79" s="72"/>
      <c r="B79" s="72"/>
      <c r="C79" s="73" t="s">
        <v>118</v>
      </c>
      <c r="D79" s="72" t="s">
        <v>196</v>
      </c>
      <c r="E79" s="72" t="s">
        <v>158</v>
      </c>
      <c r="F79" s="98">
        <v>0.8</v>
      </c>
      <c r="G79" s="74">
        <v>3208</v>
      </c>
      <c r="H79" s="84">
        <v>2566.4</v>
      </c>
      <c r="I79" s="84">
        <v>1972</v>
      </c>
      <c r="J79" s="84">
        <v>594.40000000000009</v>
      </c>
      <c r="K79" s="72">
        <v>2.08</v>
      </c>
      <c r="L79" s="72"/>
      <c r="M79" s="93">
        <f t="shared" si="6"/>
        <v>6672.64</v>
      </c>
      <c r="N79" s="93">
        <f t="shared" si="7"/>
        <v>0</v>
      </c>
      <c r="O79" s="93">
        <f t="shared" si="8"/>
        <v>6672.64</v>
      </c>
    </row>
    <row r="80" spans="1:16" x14ac:dyDescent="0.25">
      <c r="A80" s="72"/>
      <c r="B80" s="72"/>
      <c r="C80" s="73" t="s">
        <v>119</v>
      </c>
      <c r="D80" s="72" t="s">
        <v>196</v>
      </c>
      <c r="E80" s="72" t="s">
        <v>161</v>
      </c>
      <c r="F80" s="98">
        <v>0.7</v>
      </c>
      <c r="G80" s="74">
        <v>2783</v>
      </c>
      <c r="H80" s="84">
        <v>1948.1000000000001</v>
      </c>
      <c r="I80" s="84">
        <v>1154.7847579983593</v>
      </c>
      <c r="J80" s="84">
        <v>793.31524200164085</v>
      </c>
      <c r="K80" s="72">
        <v>1.71</v>
      </c>
      <c r="L80" s="72"/>
      <c r="M80" s="93">
        <f t="shared" si="6"/>
        <v>4758.93</v>
      </c>
      <c r="N80" s="93">
        <f t="shared" si="7"/>
        <v>0</v>
      </c>
      <c r="O80" s="93">
        <f t="shared" si="8"/>
        <v>4758.93</v>
      </c>
    </row>
    <row r="81" spans="1:16" x14ac:dyDescent="0.25">
      <c r="A81" s="72"/>
      <c r="B81" s="72"/>
      <c r="C81" s="73"/>
      <c r="D81" s="72"/>
      <c r="E81" s="72" t="s">
        <v>163</v>
      </c>
      <c r="F81" s="98">
        <v>0.76</v>
      </c>
      <c r="G81" s="74">
        <v>1974</v>
      </c>
      <c r="H81" s="84">
        <v>1500.24</v>
      </c>
      <c r="I81" s="84">
        <v>734.47698113207548</v>
      </c>
      <c r="J81" s="84">
        <v>765.76301886792453</v>
      </c>
      <c r="K81" s="72">
        <v>1.43</v>
      </c>
      <c r="L81" s="72"/>
      <c r="M81" s="93">
        <f t="shared" si="6"/>
        <v>2822.8199999999997</v>
      </c>
      <c r="N81" s="93">
        <f t="shared" si="7"/>
        <v>0</v>
      </c>
      <c r="O81" s="93">
        <f t="shared" si="8"/>
        <v>2822.8199999999997</v>
      </c>
    </row>
    <row r="82" spans="1:16" x14ac:dyDescent="0.25">
      <c r="A82" s="72"/>
      <c r="B82" s="72"/>
      <c r="C82" s="73"/>
      <c r="D82" s="72"/>
      <c r="E82" s="72" t="s">
        <v>165</v>
      </c>
      <c r="F82" s="98">
        <v>0.7</v>
      </c>
      <c r="G82" s="74">
        <v>193</v>
      </c>
      <c r="H82" s="84">
        <v>135.1</v>
      </c>
      <c r="I82" s="84">
        <v>82.73826086956521</v>
      </c>
      <c r="J82" s="84">
        <v>52.361739130434785</v>
      </c>
      <c r="K82" s="72">
        <v>1.71</v>
      </c>
      <c r="L82" s="72"/>
      <c r="M82" s="93">
        <f t="shared" si="6"/>
        <v>330.03</v>
      </c>
      <c r="N82" s="93">
        <f t="shared" si="7"/>
        <v>0</v>
      </c>
      <c r="O82" s="93">
        <f t="shared" si="8"/>
        <v>330.03</v>
      </c>
    </row>
    <row r="83" spans="1:16" x14ac:dyDescent="0.25">
      <c r="A83" s="72"/>
      <c r="B83" s="72"/>
      <c r="C83" s="73" t="s">
        <v>97</v>
      </c>
      <c r="D83" s="72" t="s">
        <v>196</v>
      </c>
      <c r="E83" s="72" t="s">
        <v>144</v>
      </c>
      <c r="F83" s="98">
        <v>0.79</v>
      </c>
      <c r="G83" s="74">
        <v>9</v>
      </c>
      <c r="H83" s="84">
        <v>7.11</v>
      </c>
      <c r="I83" s="84">
        <v>4.9714285714285715</v>
      </c>
      <c r="J83" s="84">
        <v>2.1385714285714288</v>
      </c>
      <c r="K83" s="72">
        <v>1.86</v>
      </c>
      <c r="L83" s="72"/>
      <c r="M83" s="93">
        <f t="shared" si="6"/>
        <v>16.740000000000002</v>
      </c>
      <c r="N83" s="93">
        <f t="shared" si="7"/>
        <v>0</v>
      </c>
      <c r="O83" s="93">
        <f t="shared" si="8"/>
        <v>16.740000000000002</v>
      </c>
    </row>
    <row r="84" spans="1:16" x14ac:dyDescent="0.25">
      <c r="A84" s="72"/>
      <c r="B84" s="72"/>
      <c r="C84" s="73"/>
      <c r="D84" s="72"/>
      <c r="E84" s="72" t="s">
        <v>145</v>
      </c>
      <c r="F84" s="98">
        <v>0.79</v>
      </c>
      <c r="G84" s="74">
        <v>4</v>
      </c>
      <c r="H84" s="84">
        <v>3.16</v>
      </c>
      <c r="I84" s="84">
        <v>2.2095238095238092</v>
      </c>
      <c r="J84" s="84">
        <v>0.95047619047619092</v>
      </c>
      <c r="K84" s="72">
        <v>1.99</v>
      </c>
      <c r="L84" s="72"/>
      <c r="M84" s="93">
        <f t="shared" si="6"/>
        <v>7.96</v>
      </c>
      <c r="N84" s="93">
        <f t="shared" si="7"/>
        <v>0</v>
      </c>
      <c r="O84" s="93">
        <f t="shared" si="8"/>
        <v>7.96</v>
      </c>
    </row>
    <row r="85" spans="1:16" x14ac:dyDescent="0.25">
      <c r="A85" s="72"/>
      <c r="B85" s="72"/>
      <c r="C85" s="73"/>
      <c r="D85" s="72"/>
      <c r="E85" s="72" t="s">
        <v>161</v>
      </c>
      <c r="F85" s="98">
        <v>0.7</v>
      </c>
      <c r="G85" s="74">
        <v>3493</v>
      </c>
      <c r="H85" s="84">
        <v>2445.1000000000004</v>
      </c>
      <c r="I85" s="84">
        <v>1964.8190476190475</v>
      </c>
      <c r="J85" s="84">
        <v>480.2809523809525</v>
      </c>
      <c r="K85" s="72">
        <v>1.71</v>
      </c>
      <c r="L85" s="72"/>
      <c r="M85" s="93">
        <f t="shared" si="6"/>
        <v>5973.03</v>
      </c>
      <c r="N85" s="93">
        <f t="shared" si="7"/>
        <v>0</v>
      </c>
      <c r="O85" s="93">
        <f t="shared" si="8"/>
        <v>5973.03</v>
      </c>
    </row>
    <row r="86" spans="1:16" x14ac:dyDescent="0.25">
      <c r="A86" s="72"/>
      <c r="B86" s="72"/>
      <c r="C86" s="73" t="s">
        <v>99</v>
      </c>
      <c r="D86" s="72" t="s">
        <v>196</v>
      </c>
      <c r="E86" s="72" t="s">
        <v>161</v>
      </c>
      <c r="F86" s="98">
        <v>0.7</v>
      </c>
      <c r="G86" s="74">
        <v>2901</v>
      </c>
      <c r="H86" s="84">
        <v>2030.7</v>
      </c>
      <c r="I86" s="84">
        <v>1742.7982456140353</v>
      </c>
      <c r="J86" s="84">
        <v>287.90175438596486</v>
      </c>
      <c r="K86" s="72">
        <v>1.71</v>
      </c>
      <c r="L86" s="72"/>
      <c r="M86" s="93">
        <f t="shared" si="6"/>
        <v>4960.71</v>
      </c>
      <c r="N86" s="93">
        <f t="shared" si="7"/>
        <v>0</v>
      </c>
      <c r="O86" s="93">
        <f t="shared" si="8"/>
        <v>4960.71</v>
      </c>
    </row>
    <row r="87" spans="1:16" x14ac:dyDescent="0.25">
      <c r="A87" s="72"/>
      <c r="B87" s="72"/>
      <c r="C87" s="73"/>
      <c r="D87" s="72"/>
      <c r="E87" s="72" t="s">
        <v>165</v>
      </c>
      <c r="F87" s="98">
        <v>0.7</v>
      </c>
      <c r="G87" s="74">
        <v>371</v>
      </c>
      <c r="H87" s="84">
        <v>259.7</v>
      </c>
      <c r="I87" s="84">
        <v>229.2017543859649</v>
      </c>
      <c r="J87" s="84">
        <v>30.498245614035085</v>
      </c>
      <c r="K87" s="72">
        <v>1.71</v>
      </c>
      <c r="L87" s="72"/>
      <c r="M87" s="93">
        <f t="shared" si="6"/>
        <v>634.41</v>
      </c>
      <c r="N87" s="93">
        <f t="shared" si="7"/>
        <v>0</v>
      </c>
      <c r="O87" s="93">
        <f t="shared" si="8"/>
        <v>634.41</v>
      </c>
    </row>
    <row r="88" spans="1:16" x14ac:dyDescent="0.25">
      <c r="A88" s="72"/>
      <c r="B88" s="72"/>
      <c r="C88" s="73" t="s">
        <v>101</v>
      </c>
      <c r="D88" s="72" t="s">
        <v>197</v>
      </c>
      <c r="E88" s="72" t="s">
        <v>156</v>
      </c>
      <c r="F88" s="98">
        <v>1.37</v>
      </c>
      <c r="G88" s="74">
        <v>287</v>
      </c>
      <c r="H88" s="84">
        <v>393.19</v>
      </c>
      <c r="I88" s="84">
        <v>196.13749999999999</v>
      </c>
      <c r="J88" s="84">
        <v>197.05250000000001</v>
      </c>
      <c r="K88" s="72">
        <v>3.72</v>
      </c>
      <c r="L88" s="72"/>
      <c r="M88" s="93">
        <f t="shared" si="6"/>
        <v>1067.6400000000001</v>
      </c>
      <c r="N88" s="93">
        <f t="shared" si="7"/>
        <v>0</v>
      </c>
      <c r="O88" s="93">
        <f t="shared" si="8"/>
        <v>1067.6400000000001</v>
      </c>
    </row>
    <row r="89" spans="1:16" x14ac:dyDescent="0.25">
      <c r="A89" s="72"/>
      <c r="B89" s="72"/>
      <c r="C89" s="73"/>
      <c r="D89" s="72" t="s">
        <v>198</v>
      </c>
      <c r="E89" s="72" t="s">
        <v>157</v>
      </c>
      <c r="F89" s="98">
        <v>1.24</v>
      </c>
      <c r="G89" s="74">
        <v>343</v>
      </c>
      <c r="H89" s="84">
        <v>425.32</v>
      </c>
      <c r="I89" s="84">
        <v>336.4482142857143</v>
      </c>
      <c r="J89" s="84">
        <v>88.871785714285707</v>
      </c>
      <c r="K89" s="72">
        <v>3.21</v>
      </c>
      <c r="L89" s="72"/>
      <c r="M89" s="93">
        <f t="shared" si="6"/>
        <v>1101.03</v>
      </c>
      <c r="N89" s="93">
        <f t="shared" si="7"/>
        <v>0</v>
      </c>
      <c r="O89" s="93">
        <f t="shared" si="8"/>
        <v>1101.03</v>
      </c>
    </row>
    <row r="90" spans="1:16" s="68" customFormat="1" x14ac:dyDescent="0.25">
      <c r="A90" s="79"/>
      <c r="B90" s="79" t="s">
        <v>243</v>
      </c>
      <c r="C90" s="101"/>
      <c r="D90" s="79"/>
      <c r="E90" s="79"/>
      <c r="F90" s="99"/>
      <c r="G90" s="89">
        <v>20566</v>
      </c>
      <c r="H90" s="86">
        <v>15213.810000000005</v>
      </c>
      <c r="I90" s="86">
        <v>10392.585714285715</v>
      </c>
      <c r="J90" s="86">
        <v>4821.2242857142865</v>
      </c>
      <c r="K90" s="79"/>
      <c r="L90" s="79"/>
      <c r="M90" s="94"/>
      <c r="N90" s="94"/>
      <c r="O90" s="94">
        <f>SUM(O75:O89)</f>
        <v>36896.5</v>
      </c>
      <c r="P90"/>
    </row>
    <row r="91" spans="1:16" x14ac:dyDescent="0.25">
      <c r="A91" s="72"/>
      <c r="B91" s="72" t="s">
        <v>120</v>
      </c>
      <c r="C91" s="73" t="s">
        <v>101</v>
      </c>
      <c r="D91" s="72" t="s">
        <v>193</v>
      </c>
      <c r="E91" s="72" t="s">
        <v>176</v>
      </c>
      <c r="F91" s="98">
        <v>0.75</v>
      </c>
      <c r="G91" s="74">
        <v>1188</v>
      </c>
      <c r="H91" s="84">
        <v>891</v>
      </c>
      <c r="I91" s="84">
        <v>946.4142857142856</v>
      </c>
      <c r="J91" s="84">
        <v>-55.414285714285768</v>
      </c>
      <c r="K91" s="72">
        <v>2.93</v>
      </c>
      <c r="L91" s="72"/>
      <c r="M91" s="93">
        <f t="shared" si="6"/>
        <v>3480.84</v>
      </c>
      <c r="N91" s="93">
        <f t="shared" si="7"/>
        <v>0</v>
      </c>
      <c r="O91" s="93">
        <f t="shared" si="8"/>
        <v>3480.84</v>
      </c>
    </row>
    <row r="92" spans="1:16" s="68" customFormat="1" x14ac:dyDescent="0.25">
      <c r="A92" s="79"/>
      <c r="B92" s="79" t="s">
        <v>247</v>
      </c>
      <c r="C92" s="101"/>
      <c r="D92" s="79"/>
      <c r="E92" s="79"/>
      <c r="F92" s="99"/>
      <c r="G92" s="89">
        <v>1188</v>
      </c>
      <c r="H92" s="86">
        <v>891</v>
      </c>
      <c r="I92" s="86">
        <v>946.4142857142856</v>
      </c>
      <c r="J92" s="86">
        <v>-55.414285714285768</v>
      </c>
      <c r="K92" s="79"/>
      <c r="L92" s="79"/>
      <c r="M92" s="94"/>
      <c r="N92" s="94"/>
      <c r="O92" s="94">
        <f>SUM(O91:O91)</f>
        <v>3480.84</v>
      </c>
      <c r="P92"/>
    </row>
    <row r="93" spans="1:16" x14ac:dyDescent="0.25">
      <c r="A93" s="72"/>
      <c r="B93" s="72" t="s">
        <v>122</v>
      </c>
      <c r="C93" s="73" t="s">
        <v>102</v>
      </c>
      <c r="D93" s="72" t="s">
        <v>199</v>
      </c>
      <c r="E93" s="72" t="s">
        <v>141</v>
      </c>
      <c r="F93" s="98">
        <v>12.47</v>
      </c>
      <c r="G93" s="74">
        <v>63</v>
      </c>
      <c r="H93" s="84">
        <v>785.61</v>
      </c>
      <c r="I93" s="84">
        <v>696.05152807391607</v>
      </c>
      <c r="J93" s="84">
        <v>89.558471926083854</v>
      </c>
      <c r="K93" s="72"/>
      <c r="L93" s="72"/>
      <c r="M93" s="93">
        <f t="shared" si="6"/>
        <v>0</v>
      </c>
      <c r="N93" s="93">
        <f t="shared" si="7"/>
        <v>0</v>
      </c>
      <c r="O93" s="93">
        <f t="shared" si="8"/>
        <v>0</v>
      </c>
    </row>
    <row r="94" spans="1:16" x14ac:dyDescent="0.25">
      <c r="A94" s="72"/>
      <c r="B94" s="72"/>
      <c r="C94" s="73" t="s">
        <v>103</v>
      </c>
      <c r="D94" s="72" t="s">
        <v>199</v>
      </c>
      <c r="E94" s="72" t="s">
        <v>141</v>
      </c>
      <c r="F94" s="98">
        <v>12.47</v>
      </c>
      <c r="G94" s="74">
        <v>63</v>
      </c>
      <c r="H94" s="84">
        <v>785.61</v>
      </c>
      <c r="I94" s="84">
        <v>1372.3548387096773</v>
      </c>
      <c r="J94" s="84">
        <v>-586.74483870967742</v>
      </c>
      <c r="K94" s="72"/>
      <c r="L94" s="72"/>
      <c r="M94" s="93">
        <f t="shared" si="6"/>
        <v>0</v>
      </c>
      <c r="N94" s="93">
        <f t="shared" si="7"/>
        <v>0</v>
      </c>
      <c r="O94" s="93">
        <f t="shared" si="8"/>
        <v>0</v>
      </c>
    </row>
    <row r="95" spans="1:16" s="68" customFormat="1" x14ac:dyDescent="0.25">
      <c r="A95" s="79"/>
      <c r="B95" s="79" t="s">
        <v>248</v>
      </c>
      <c r="C95" s="101"/>
      <c r="D95" s="79"/>
      <c r="E95" s="79"/>
      <c r="F95" s="99"/>
      <c r="G95" s="89">
        <v>126</v>
      </c>
      <c r="H95" s="86">
        <v>1571.22</v>
      </c>
      <c r="I95" s="86">
        <v>2068.4063667835935</v>
      </c>
      <c r="J95" s="86">
        <v>-497.1863667835936</v>
      </c>
      <c r="K95" s="79"/>
      <c r="L95" s="79"/>
      <c r="M95" s="94"/>
      <c r="N95" s="94"/>
      <c r="O95" s="94">
        <f>SUM(O93:O94)</f>
        <v>0</v>
      </c>
      <c r="P95"/>
    </row>
    <row r="96" spans="1:16" x14ac:dyDescent="0.25">
      <c r="A96" s="72"/>
      <c r="B96" s="72" t="s">
        <v>121</v>
      </c>
      <c r="C96" s="73" t="s">
        <v>102</v>
      </c>
      <c r="D96" s="72" t="s">
        <v>199</v>
      </c>
      <c r="E96" s="72" t="s">
        <v>140</v>
      </c>
      <c r="F96" s="98">
        <v>12.47</v>
      </c>
      <c r="G96" s="74">
        <v>67</v>
      </c>
      <c r="H96" s="84">
        <v>835.49</v>
      </c>
      <c r="I96" s="84">
        <v>782.94847192608381</v>
      </c>
      <c r="J96" s="84">
        <v>52.541528073916183</v>
      </c>
      <c r="K96" s="72"/>
      <c r="L96" s="72">
        <v>20.239999999999998</v>
      </c>
      <c r="M96" s="93">
        <f t="shared" si="6"/>
        <v>0</v>
      </c>
      <c r="N96" s="93">
        <f t="shared" si="7"/>
        <v>1356.08</v>
      </c>
      <c r="O96" s="93">
        <f t="shared" si="8"/>
        <v>1356.08</v>
      </c>
    </row>
    <row r="97" spans="1:16" x14ac:dyDescent="0.25">
      <c r="A97" s="72"/>
      <c r="B97" s="72"/>
      <c r="C97" s="73" t="s">
        <v>103</v>
      </c>
      <c r="D97" s="72" t="s">
        <v>199</v>
      </c>
      <c r="E97" s="72" t="s">
        <v>140</v>
      </c>
      <c r="F97" s="98">
        <v>12.47</v>
      </c>
      <c r="G97" s="74">
        <v>67</v>
      </c>
      <c r="H97" s="84">
        <v>835.49</v>
      </c>
      <c r="I97" s="84">
        <v>1585.6451612903227</v>
      </c>
      <c r="J97" s="84">
        <v>-750.15516129032267</v>
      </c>
      <c r="K97" s="72"/>
      <c r="L97" s="72">
        <v>20.239999999999998</v>
      </c>
      <c r="M97" s="93">
        <f t="shared" si="6"/>
        <v>0</v>
      </c>
      <c r="N97" s="93">
        <f t="shared" si="7"/>
        <v>1356.08</v>
      </c>
      <c r="O97" s="93">
        <f t="shared" si="8"/>
        <v>1356.08</v>
      </c>
    </row>
    <row r="98" spans="1:16" s="68" customFormat="1" x14ac:dyDescent="0.25">
      <c r="A98" s="79"/>
      <c r="B98" s="79" t="s">
        <v>249</v>
      </c>
      <c r="C98" s="101"/>
      <c r="D98" s="79"/>
      <c r="E98" s="79"/>
      <c r="F98" s="99"/>
      <c r="G98" s="89">
        <v>134</v>
      </c>
      <c r="H98" s="86">
        <v>1670.98</v>
      </c>
      <c r="I98" s="86">
        <v>2368.5936332164065</v>
      </c>
      <c r="J98" s="86">
        <v>-697.61363321640658</v>
      </c>
      <c r="K98" s="79"/>
      <c r="L98" s="79"/>
      <c r="M98" s="94"/>
      <c r="N98" s="94"/>
      <c r="O98" s="94">
        <f>SUM(O96:O97)</f>
        <v>2712.16</v>
      </c>
      <c r="P98"/>
    </row>
    <row r="99" spans="1:16" s="68" customFormat="1" x14ac:dyDescent="0.25">
      <c r="A99" s="77" t="s">
        <v>250</v>
      </c>
      <c r="B99" s="77"/>
      <c r="C99" s="100"/>
      <c r="D99" s="77"/>
      <c r="E99" s="77"/>
      <c r="F99" s="97"/>
      <c r="G99" s="88">
        <v>22014</v>
      </c>
      <c r="H99" s="85">
        <v>19347.010000000002</v>
      </c>
      <c r="I99" s="85">
        <v>15776</v>
      </c>
      <c r="J99" s="85">
        <v>3571.0100000000011</v>
      </c>
      <c r="K99" s="77"/>
      <c r="L99" s="77"/>
      <c r="M99" s="92"/>
      <c r="N99" s="92"/>
      <c r="O99" s="92"/>
      <c r="P99"/>
    </row>
    <row r="100" spans="1:16" x14ac:dyDescent="0.25">
      <c r="A100" s="72" t="s">
        <v>19</v>
      </c>
      <c r="B100" s="72" t="s">
        <v>112</v>
      </c>
      <c r="C100" s="73" t="s">
        <v>95</v>
      </c>
      <c r="D100" s="72" t="s">
        <v>196</v>
      </c>
      <c r="E100" s="72" t="s">
        <v>162</v>
      </c>
      <c r="F100" s="98">
        <v>0.65</v>
      </c>
      <c r="G100" s="74">
        <v>13</v>
      </c>
      <c r="H100" s="84">
        <v>8.4499999999999993</v>
      </c>
      <c r="I100" s="84">
        <v>4.3895061728395062</v>
      </c>
      <c r="J100" s="84">
        <v>4.0604938271604931</v>
      </c>
      <c r="K100" s="72">
        <v>1.74</v>
      </c>
      <c r="L100" s="72"/>
      <c r="M100" s="93">
        <f t="shared" si="6"/>
        <v>22.62</v>
      </c>
      <c r="N100" s="93">
        <f t="shared" si="7"/>
        <v>0</v>
      </c>
      <c r="O100" s="93">
        <f t="shared" si="8"/>
        <v>22.62</v>
      </c>
    </row>
    <row r="101" spans="1:16" x14ac:dyDescent="0.25">
      <c r="A101" s="72"/>
      <c r="B101" s="72"/>
      <c r="C101" s="73"/>
      <c r="D101" s="72"/>
      <c r="E101" s="72" t="s">
        <v>166</v>
      </c>
      <c r="F101" s="98">
        <v>0.74</v>
      </c>
      <c r="G101" s="74">
        <v>6488</v>
      </c>
      <c r="H101" s="84">
        <v>4801.12</v>
      </c>
      <c r="I101" s="84">
        <v>2183.6104938271606</v>
      </c>
      <c r="J101" s="84">
        <v>2617.5095061728393</v>
      </c>
      <c r="K101" s="72">
        <v>1.38</v>
      </c>
      <c r="L101" s="72"/>
      <c r="M101" s="93">
        <f t="shared" ref="M101:M132" si="9">$G101*K101</f>
        <v>8953.4399999999987</v>
      </c>
      <c r="N101" s="93">
        <f t="shared" ref="N101:N132" si="10">$G101*L101</f>
        <v>0</v>
      </c>
      <c r="O101" s="93">
        <f t="shared" ref="O101:O132" si="11">M101+N101</f>
        <v>8953.4399999999987</v>
      </c>
    </row>
    <row r="102" spans="1:16" x14ac:dyDescent="0.25">
      <c r="A102" s="72"/>
      <c r="B102" s="72"/>
      <c r="C102" s="73" t="s">
        <v>105</v>
      </c>
      <c r="D102" s="72" t="s">
        <v>196</v>
      </c>
      <c r="E102" s="72" t="s">
        <v>150</v>
      </c>
      <c r="F102" s="98">
        <v>0.79</v>
      </c>
      <c r="G102" s="74">
        <v>1487</v>
      </c>
      <c r="H102" s="84">
        <v>1174.73</v>
      </c>
      <c r="I102" s="84">
        <v>1050.2117495158166</v>
      </c>
      <c r="J102" s="84">
        <v>124.51825048418345</v>
      </c>
      <c r="K102" s="72">
        <v>2.0099999999999998</v>
      </c>
      <c r="L102" s="72"/>
      <c r="M102" s="93">
        <f t="shared" si="9"/>
        <v>2988.87</v>
      </c>
      <c r="N102" s="93">
        <f t="shared" si="10"/>
        <v>0</v>
      </c>
      <c r="O102" s="93">
        <f t="shared" si="11"/>
        <v>2988.87</v>
      </c>
    </row>
    <row r="103" spans="1:16" x14ac:dyDescent="0.25">
      <c r="A103" s="72"/>
      <c r="B103" s="72"/>
      <c r="C103" s="73"/>
      <c r="D103" s="72"/>
      <c r="E103" s="72" t="s">
        <v>152</v>
      </c>
      <c r="F103" s="98">
        <v>0.93</v>
      </c>
      <c r="G103" s="74">
        <v>43</v>
      </c>
      <c r="H103" s="84">
        <v>39.99</v>
      </c>
      <c r="I103" s="84">
        <v>28.084776119402985</v>
      </c>
      <c r="J103" s="84">
        <v>11.905223880597017</v>
      </c>
      <c r="K103" s="72">
        <v>2.2400000000000002</v>
      </c>
      <c r="L103" s="72"/>
      <c r="M103" s="93">
        <f t="shared" si="9"/>
        <v>96.320000000000007</v>
      </c>
      <c r="N103" s="93">
        <f t="shared" si="10"/>
        <v>0</v>
      </c>
      <c r="O103" s="93">
        <f t="shared" si="11"/>
        <v>96.320000000000007</v>
      </c>
    </row>
    <row r="104" spans="1:16" x14ac:dyDescent="0.25">
      <c r="A104" s="72"/>
      <c r="B104" s="72"/>
      <c r="C104" s="73"/>
      <c r="D104" s="72"/>
      <c r="E104" s="72" t="s">
        <v>151</v>
      </c>
      <c r="F104" s="98">
        <v>0.79</v>
      </c>
      <c r="G104" s="74">
        <v>1670</v>
      </c>
      <c r="H104" s="84">
        <v>1319.3</v>
      </c>
      <c r="I104" s="84">
        <v>1092.7531838547739</v>
      </c>
      <c r="J104" s="84">
        <v>226.54681614522602</v>
      </c>
      <c r="K104" s="72">
        <v>2.0099999999999998</v>
      </c>
      <c r="L104" s="72"/>
      <c r="M104" s="93">
        <f t="shared" si="9"/>
        <v>3356.7</v>
      </c>
      <c r="N104" s="93">
        <f t="shared" si="10"/>
        <v>0</v>
      </c>
      <c r="O104" s="93">
        <f t="shared" si="11"/>
        <v>3356.7</v>
      </c>
    </row>
    <row r="105" spans="1:16" x14ac:dyDescent="0.25">
      <c r="A105" s="72"/>
      <c r="B105" s="72"/>
      <c r="C105" s="73"/>
      <c r="D105" s="72"/>
      <c r="E105" s="72" t="s">
        <v>164</v>
      </c>
      <c r="F105" s="98">
        <v>0.7</v>
      </c>
      <c r="G105" s="74">
        <v>24</v>
      </c>
      <c r="H105" s="84">
        <v>16.8</v>
      </c>
      <c r="I105" s="84">
        <v>16.950290510006457</v>
      </c>
      <c r="J105" s="84">
        <v>-0.15029051000645666</v>
      </c>
      <c r="K105" s="72">
        <v>1.71</v>
      </c>
      <c r="L105" s="72"/>
      <c r="M105" s="93">
        <f t="shared" si="9"/>
        <v>41.04</v>
      </c>
      <c r="N105" s="93">
        <f t="shared" si="10"/>
        <v>0</v>
      </c>
      <c r="O105" s="93">
        <f t="shared" si="11"/>
        <v>41.04</v>
      </c>
    </row>
    <row r="106" spans="1:16" x14ac:dyDescent="0.25">
      <c r="A106" s="72"/>
      <c r="B106" s="72"/>
      <c r="C106" s="73" t="s">
        <v>118</v>
      </c>
      <c r="D106" s="72" t="s">
        <v>196</v>
      </c>
      <c r="E106" s="72" t="s">
        <v>150</v>
      </c>
      <c r="F106" s="98">
        <v>0.79</v>
      </c>
      <c r="G106" s="74">
        <v>1488</v>
      </c>
      <c r="H106" s="84">
        <v>1175.52</v>
      </c>
      <c r="I106" s="84">
        <v>1050.24</v>
      </c>
      <c r="J106" s="84">
        <v>125.27999999999997</v>
      </c>
      <c r="K106" s="72">
        <v>2.0099999999999998</v>
      </c>
      <c r="L106" s="72"/>
      <c r="M106" s="93">
        <f t="shared" si="9"/>
        <v>2990.8799999999997</v>
      </c>
      <c r="N106" s="93">
        <f t="shared" si="10"/>
        <v>0</v>
      </c>
      <c r="O106" s="93">
        <f t="shared" si="11"/>
        <v>2990.8799999999997</v>
      </c>
    </row>
    <row r="107" spans="1:16" x14ac:dyDescent="0.25">
      <c r="A107" s="72"/>
      <c r="B107" s="72"/>
      <c r="C107" s="73"/>
      <c r="D107" s="72"/>
      <c r="E107" s="72" t="s">
        <v>152</v>
      </c>
      <c r="F107" s="98">
        <v>0.93</v>
      </c>
      <c r="G107" s="74">
        <v>42</v>
      </c>
      <c r="H107" s="84">
        <v>39.06</v>
      </c>
      <c r="I107" s="84">
        <v>27.431641791044775</v>
      </c>
      <c r="J107" s="84">
        <v>11.628358208955227</v>
      </c>
      <c r="K107" s="72">
        <v>2.2400000000000002</v>
      </c>
      <c r="L107" s="72"/>
      <c r="M107" s="93">
        <f t="shared" si="9"/>
        <v>94.080000000000013</v>
      </c>
      <c r="N107" s="93">
        <f t="shared" si="10"/>
        <v>0</v>
      </c>
      <c r="O107" s="93">
        <f t="shared" si="11"/>
        <v>94.080000000000013</v>
      </c>
    </row>
    <row r="108" spans="1:16" x14ac:dyDescent="0.25">
      <c r="A108" s="72"/>
      <c r="B108" s="72"/>
      <c r="C108" s="73"/>
      <c r="D108" s="72"/>
      <c r="E108" s="72" t="s">
        <v>151</v>
      </c>
      <c r="F108" s="98">
        <v>0.79</v>
      </c>
      <c r="G108" s="74">
        <v>1670</v>
      </c>
      <c r="H108" s="84">
        <v>1319.3</v>
      </c>
      <c r="I108" s="84">
        <v>1092.6831969186326</v>
      </c>
      <c r="J108" s="84">
        <v>226.61680308136727</v>
      </c>
      <c r="K108" s="72">
        <v>2.0099999999999998</v>
      </c>
      <c r="L108" s="72"/>
      <c r="M108" s="93">
        <f t="shared" si="9"/>
        <v>3356.7</v>
      </c>
      <c r="N108" s="93">
        <f t="shared" si="10"/>
        <v>0</v>
      </c>
      <c r="O108" s="93">
        <f t="shared" si="11"/>
        <v>3356.7</v>
      </c>
    </row>
    <row r="109" spans="1:16" x14ac:dyDescent="0.25">
      <c r="A109" s="72"/>
      <c r="B109" s="72"/>
      <c r="C109" s="73"/>
      <c r="D109" s="72"/>
      <c r="E109" s="72" t="s">
        <v>164</v>
      </c>
      <c r="F109" s="98">
        <v>0.7</v>
      </c>
      <c r="G109" s="74">
        <v>25</v>
      </c>
      <c r="H109" s="84">
        <v>17.5</v>
      </c>
      <c r="I109" s="84">
        <v>17.64516129032258</v>
      </c>
      <c r="J109" s="84">
        <v>-0.14516129032258007</v>
      </c>
      <c r="K109" s="72">
        <v>1.71</v>
      </c>
      <c r="L109" s="72"/>
      <c r="M109" s="93">
        <f t="shared" si="9"/>
        <v>42.75</v>
      </c>
      <c r="N109" s="93">
        <f t="shared" si="10"/>
        <v>0</v>
      </c>
      <c r="O109" s="93">
        <f t="shared" si="11"/>
        <v>42.75</v>
      </c>
    </row>
    <row r="110" spans="1:16" x14ac:dyDescent="0.25">
      <c r="A110" s="72"/>
      <c r="B110" s="72"/>
      <c r="C110" s="73" t="s">
        <v>119</v>
      </c>
      <c r="D110" s="72" t="s">
        <v>196</v>
      </c>
      <c r="E110" s="72" t="s">
        <v>153</v>
      </c>
      <c r="F110" s="98">
        <v>0.83</v>
      </c>
      <c r="G110" s="74">
        <v>3997</v>
      </c>
      <c r="H110" s="84">
        <v>3317.51</v>
      </c>
      <c r="I110" s="84">
        <v>2186.3590000000004</v>
      </c>
      <c r="J110" s="84">
        <v>1131.1509999999998</v>
      </c>
      <c r="K110" s="72">
        <v>2.13</v>
      </c>
      <c r="L110" s="72"/>
      <c r="M110" s="93">
        <f t="shared" si="9"/>
        <v>8513.6099999999988</v>
      </c>
      <c r="N110" s="93">
        <f t="shared" si="10"/>
        <v>0</v>
      </c>
      <c r="O110" s="93">
        <f t="shared" si="11"/>
        <v>8513.6099999999988</v>
      </c>
    </row>
    <row r="111" spans="1:16" x14ac:dyDescent="0.25">
      <c r="A111" s="72"/>
      <c r="B111" s="72"/>
      <c r="C111" s="73"/>
      <c r="D111" s="72"/>
      <c r="E111" s="72" t="s">
        <v>155</v>
      </c>
      <c r="F111" s="98">
        <v>0.75</v>
      </c>
      <c r="G111" s="74">
        <v>3</v>
      </c>
      <c r="H111" s="84">
        <v>2.25</v>
      </c>
      <c r="I111" s="84">
        <v>1.641</v>
      </c>
      <c r="J111" s="84">
        <v>0.60899999999999999</v>
      </c>
      <c r="K111" s="72">
        <v>1.94</v>
      </c>
      <c r="L111" s="72"/>
      <c r="M111" s="93">
        <f t="shared" si="9"/>
        <v>5.82</v>
      </c>
      <c r="N111" s="93">
        <f t="shared" si="10"/>
        <v>0</v>
      </c>
      <c r="O111" s="93">
        <f t="shared" si="11"/>
        <v>5.82</v>
      </c>
    </row>
    <row r="112" spans="1:16" x14ac:dyDescent="0.25">
      <c r="A112" s="72"/>
      <c r="B112" s="72"/>
      <c r="C112" s="73" t="s">
        <v>123</v>
      </c>
      <c r="D112" s="72" t="s">
        <v>196</v>
      </c>
      <c r="E112" s="72" t="s">
        <v>153</v>
      </c>
      <c r="F112" s="98">
        <v>0.83</v>
      </c>
      <c r="G112" s="74">
        <v>3998</v>
      </c>
      <c r="H112" s="84">
        <v>3318.34</v>
      </c>
      <c r="I112" s="84">
        <v>2186.9059999999999</v>
      </c>
      <c r="J112" s="84">
        <v>1131.434</v>
      </c>
      <c r="K112" s="72">
        <v>2.13</v>
      </c>
      <c r="L112" s="72"/>
      <c r="M112" s="93">
        <f t="shared" si="9"/>
        <v>8515.74</v>
      </c>
      <c r="N112" s="93">
        <f t="shared" si="10"/>
        <v>0</v>
      </c>
      <c r="O112" s="93">
        <f t="shared" si="11"/>
        <v>8515.74</v>
      </c>
    </row>
    <row r="113" spans="1:15" x14ac:dyDescent="0.25">
      <c r="A113" s="72"/>
      <c r="B113" s="72"/>
      <c r="C113" s="73"/>
      <c r="D113" s="72"/>
      <c r="E113" s="72" t="s">
        <v>155</v>
      </c>
      <c r="F113" s="98">
        <v>0.75</v>
      </c>
      <c r="G113" s="74">
        <v>2</v>
      </c>
      <c r="H113" s="84">
        <v>1.5</v>
      </c>
      <c r="I113" s="84">
        <v>1.0940000000000001</v>
      </c>
      <c r="J113" s="84">
        <v>0.40599999999999992</v>
      </c>
      <c r="K113" s="72">
        <v>1.94</v>
      </c>
      <c r="L113" s="72"/>
      <c r="M113" s="93">
        <f t="shared" si="9"/>
        <v>3.88</v>
      </c>
      <c r="N113" s="93">
        <f t="shared" si="10"/>
        <v>0</v>
      </c>
      <c r="O113" s="93">
        <f t="shared" si="11"/>
        <v>3.88</v>
      </c>
    </row>
    <row r="114" spans="1:15" x14ac:dyDescent="0.25">
      <c r="A114" s="72"/>
      <c r="B114" s="72"/>
      <c r="C114" s="73" t="s">
        <v>97</v>
      </c>
      <c r="D114" s="72" t="s">
        <v>196</v>
      </c>
      <c r="E114" s="72" t="s">
        <v>154</v>
      </c>
      <c r="F114" s="98">
        <v>0.68</v>
      </c>
      <c r="G114" s="74">
        <v>920</v>
      </c>
      <c r="H114" s="84">
        <v>625.6</v>
      </c>
      <c r="I114" s="84">
        <v>544.0432432432433</v>
      </c>
      <c r="J114" s="84">
        <v>81.556756756756727</v>
      </c>
      <c r="K114" s="72">
        <v>1.76</v>
      </c>
      <c r="L114" s="72"/>
      <c r="M114" s="93">
        <f t="shared" si="9"/>
        <v>1619.2</v>
      </c>
      <c r="N114" s="93">
        <f t="shared" si="10"/>
        <v>0</v>
      </c>
      <c r="O114" s="93">
        <f t="shared" si="11"/>
        <v>1619.2</v>
      </c>
    </row>
    <row r="115" spans="1:15" x14ac:dyDescent="0.25">
      <c r="A115" s="72"/>
      <c r="B115" s="72"/>
      <c r="C115" s="73"/>
      <c r="D115" s="72"/>
      <c r="E115" s="72" t="s">
        <v>160</v>
      </c>
      <c r="F115" s="98">
        <v>0.68</v>
      </c>
      <c r="G115" s="74">
        <v>2780</v>
      </c>
      <c r="H115" s="84">
        <v>1890.4</v>
      </c>
      <c r="I115" s="84">
        <v>1643.9567567567567</v>
      </c>
      <c r="J115" s="84">
        <v>246.44324324324327</v>
      </c>
      <c r="K115" s="72">
        <v>1.76</v>
      </c>
      <c r="L115" s="72"/>
      <c r="M115" s="93">
        <f t="shared" si="9"/>
        <v>4892.8</v>
      </c>
      <c r="N115" s="93">
        <f t="shared" si="10"/>
        <v>0</v>
      </c>
      <c r="O115" s="93">
        <f t="shared" si="11"/>
        <v>4892.8</v>
      </c>
    </row>
    <row r="116" spans="1:15" x14ac:dyDescent="0.25">
      <c r="A116" s="72"/>
      <c r="B116" s="72"/>
      <c r="C116" s="73" t="s">
        <v>99</v>
      </c>
      <c r="D116" s="72" t="s">
        <v>196</v>
      </c>
      <c r="E116" s="72" t="s">
        <v>154</v>
      </c>
      <c r="F116" s="98">
        <v>0.68</v>
      </c>
      <c r="G116" s="74">
        <v>920</v>
      </c>
      <c r="H116" s="84">
        <v>625.6</v>
      </c>
      <c r="I116" s="84">
        <v>544.0432432432433</v>
      </c>
      <c r="J116" s="84">
        <v>81.556756756756727</v>
      </c>
      <c r="K116" s="72">
        <v>1.76</v>
      </c>
      <c r="L116" s="72"/>
      <c r="M116" s="93">
        <f t="shared" si="9"/>
        <v>1619.2</v>
      </c>
      <c r="N116" s="93">
        <f t="shared" si="10"/>
        <v>0</v>
      </c>
      <c r="O116" s="93">
        <f t="shared" si="11"/>
        <v>1619.2</v>
      </c>
    </row>
    <row r="117" spans="1:15" x14ac:dyDescent="0.25">
      <c r="A117" s="72"/>
      <c r="B117" s="72"/>
      <c r="C117" s="73"/>
      <c r="D117" s="72"/>
      <c r="E117" s="72" t="s">
        <v>160</v>
      </c>
      <c r="F117" s="98">
        <v>0.68</v>
      </c>
      <c r="G117" s="74">
        <v>2780</v>
      </c>
      <c r="H117" s="84">
        <v>1890.4</v>
      </c>
      <c r="I117" s="84">
        <v>1643.9567567567567</v>
      </c>
      <c r="J117" s="84">
        <v>246.44324324324327</v>
      </c>
      <c r="K117" s="72">
        <v>1.76</v>
      </c>
      <c r="L117" s="72"/>
      <c r="M117" s="93">
        <f t="shared" si="9"/>
        <v>4892.8</v>
      </c>
      <c r="N117" s="93">
        <f t="shared" si="10"/>
        <v>0</v>
      </c>
      <c r="O117" s="93">
        <f t="shared" si="11"/>
        <v>4892.8</v>
      </c>
    </row>
    <row r="118" spans="1:15" x14ac:dyDescent="0.25">
      <c r="A118" s="72"/>
      <c r="B118" s="72"/>
      <c r="C118" s="73" t="s">
        <v>101</v>
      </c>
      <c r="D118" s="72" t="s">
        <v>196</v>
      </c>
      <c r="E118" s="72" t="s">
        <v>169</v>
      </c>
      <c r="F118" s="98">
        <v>0.77</v>
      </c>
      <c r="G118" s="74">
        <v>3180</v>
      </c>
      <c r="H118" s="84">
        <v>2448.6</v>
      </c>
      <c r="I118" s="84">
        <v>1476.3118279569892</v>
      </c>
      <c r="J118" s="84">
        <v>972.28817204301072</v>
      </c>
      <c r="K118" s="72">
        <v>1.46</v>
      </c>
      <c r="L118" s="72"/>
      <c r="M118" s="93">
        <f t="shared" si="9"/>
        <v>4642.8</v>
      </c>
      <c r="N118" s="93">
        <f t="shared" si="10"/>
        <v>0</v>
      </c>
      <c r="O118" s="93">
        <f t="shared" si="11"/>
        <v>4642.8</v>
      </c>
    </row>
    <row r="119" spans="1:15" x14ac:dyDescent="0.25">
      <c r="A119" s="72"/>
      <c r="B119" s="72"/>
      <c r="C119" s="73"/>
      <c r="D119" s="72"/>
      <c r="E119" s="72" t="s">
        <v>167</v>
      </c>
      <c r="F119" s="98">
        <v>0.74</v>
      </c>
      <c r="G119" s="74">
        <v>160</v>
      </c>
      <c r="H119" s="84">
        <v>118.4</v>
      </c>
      <c r="I119" s="84">
        <v>78.422939068100348</v>
      </c>
      <c r="J119" s="84">
        <v>39.977060931899658</v>
      </c>
      <c r="K119" s="72">
        <v>1.38</v>
      </c>
      <c r="L119" s="72"/>
      <c r="M119" s="93">
        <f t="shared" si="9"/>
        <v>220.79999999999998</v>
      </c>
      <c r="N119" s="93">
        <f t="shared" si="10"/>
        <v>0</v>
      </c>
      <c r="O119" s="93">
        <f t="shared" si="11"/>
        <v>220.79999999999998</v>
      </c>
    </row>
    <row r="120" spans="1:15" x14ac:dyDescent="0.25">
      <c r="A120" s="72"/>
      <c r="B120" s="72"/>
      <c r="C120" s="73"/>
      <c r="D120" s="72"/>
      <c r="E120" s="72" t="s">
        <v>168</v>
      </c>
      <c r="F120" s="98">
        <v>0.74</v>
      </c>
      <c r="G120" s="74">
        <v>1292</v>
      </c>
      <c r="H120" s="84">
        <v>956.08</v>
      </c>
      <c r="I120" s="84">
        <v>633.2652329749103</v>
      </c>
      <c r="J120" s="84">
        <v>322.81476702508974</v>
      </c>
      <c r="K120" s="72">
        <v>1.38</v>
      </c>
      <c r="L120" s="72"/>
      <c r="M120" s="93">
        <f t="shared" si="9"/>
        <v>1782.9599999999998</v>
      </c>
      <c r="N120" s="93">
        <f t="shared" si="10"/>
        <v>0</v>
      </c>
      <c r="O120" s="93">
        <f t="shared" si="11"/>
        <v>1782.9599999999998</v>
      </c>
    </row>
    <row r="121" spans="1:15" x14ac:dyDescent="0.25">
      <c r="A121" s="72"/>
      <c r="B121" s="72"/>
      <c r="C121" s="73" t="s">
        <v>102</v>
      </c>
      <c r="D121" s="72" t="s">
        <v>196</v>
      </c>
      <c r="E121" s="72" t="s">
        <v>169</v>
      </c>
      <c r="F121" s="98">
        <v>0.77</v>
      </c>
      <c r="G121" s="74">
        <v>3180</v>
      </c>
      <c r="H121" s="84">
        <v>2448.6</v>
      </c>
      <c r="I121" s="84">
        <v>1476.140618002687</v>
      </c>
      <c r="J121" s="84">
        <v>972.45938199731302</v>
      </c>
      <c r="K121" s="72">
        <v>1.46</v>
      </c>
      <c r="L121" s="72"/>
      <c r="M121" s="93">
        <f t="shared" si="9"/>
        <v>4642.8</v>
      </c>
      <c r="N121" s="93">
        <f t="shared" si="10"/>
        <v>0</v>
      </c>
      <c r="O121" s="93">
        <f t="shared" si="11"/>
        <v>4642.8</v>
      </c>
    </row>
    <row r="122" spans="1:15" x14ac:dyDescent="0.25">
      <c r="A122" s="72"/>
      <c r="B122" s="72"/>
      <c r="C122" s="73"/>
      <c r="D122" s="72"/>
      <c r="E122" s="72" t="s">
        <v>167</v>
      </c>
      <c r="F122" s="98">
        <v>0.74</v>
      </c>
      <c r="G122" s="74">
        <v>160</v>
      </c>
      <c r="H122" s="84">
        <v>118.4</v>
      </c>
      <c r="I122" s="84">
        <v>78.387819077474248</v>
      </c>
      <c r="J122" s="84">
        <v>40.012180922525758</v>
      </c>
      <c r="K122" s="72">
        <v>1.38</v>
      </c>
      <c r="L122" s="72"/>
      <c r="M122" s="93">
        <f t="shared" si="9"/>
        <v>220.79999999999998</v>
      </c>
      <c r="N122" s="93">
        <f t="shared" si="10"/>
        <v>0</v>
      </c>
      <c r="O122" s="93">
        <f t="shared" si="11"/>
        <v>220.79999999999998</v>
      </c>
    </row>
    <row r="123" spans="1:15" x14ac:dyDescent="0.25">
      <c r="A123" s="72"/>
      <c r="B123" s="72"/>
      <c r="C123" s="73"/>
      <c r="D123" s="72"/>
      <c r="E123" s="72" t="s">
        <v>168</v>
      </c>
      <c r="F123" s="98">
        <v>0.74</v>
      </c>
      <c r="G123" s="74">
        <v>1293</v>
      </c>
      <c r="H123" s="84">
        <v>956.82</v>
      </c>
      <c r="I123" s="84">
        <v>633.47156291983879</v>
      </c>
      <c r="J123" s="84">
        <v>323.34843708016126</v>
      </c>
      <c r="K123" s="72">
        <v>1.38</v>
      </c>
      <c r="L123" s="72"/>
      <c r="M123" s="93">
        <f t="shared" si="9"/>
        <v>1784.34</v>
      </c>
      <c r="N123" s="93">
        <f t="shared" si="10"/>
        <v>0</v>
      </c>
      <c r="O123" s="93">
        <f t="shared" si="11"/>
        <v>1784.34</v>
      </c>
    </row>
    <row r="124" spans="1:15" x14ac:dyDescent="0.25">
      <c r="A124" s="72"/>
      <c r="B124" s="72"/>
      <c r="C124" s="73" t="s">
        <v>103</v>
      </c>
      <c r="D124" s="72" t="s">
        <v>196</v>
      </c>
      <c r="E124" s="72" t="s">
        <v>143</v>
      </c>
      <c r="F124" s="98">
        <v>0.79</v>
      </c>
      <c r="G124" s="74">
        <v>76</v>
      </c>
      <c r="H124" s="84">
        <v>60.04</v>
      </c>
      <c r="I124" s="84">
        <v>36.530755711775043</v>
      </c>
      <c r="J124" s="84">
        <v>23.509244288224956</v>
      </c>
      <c r="K124" s="72">
        <v>1.99</v>
      </c>
      <c r="L124" s="72"/>
      <c r="M124" s="93">
        <f t="shared" si="9"/>
        <v>151.24</v>
      </c>
      <c r="N124" s="93">
        <f t="shared" si="10"/>
        <v>0</v>
      </c>
      <c r="O124" s="93">
        <f t="shared" si="11"/>
        <v>151.24</v>
      </c>
    </row>
    <row r="125" spans="1:15" x14ac:dyDescent="0.25">
      <c r="A125" s="72"/>
      <c r="B125" s="72"/>
      <c r="C125" s="73"/>
      <c r="D125" s="72"/>
      <c r="E125" s="72" t="s">
        <v>169</v>
      </c>
      <c r="F125" s="98">
        <v>0.77</v>
      </c>
      <c r="G125" s="74">
        <v>4004</v>
      </c>
      <c r="H125" s="84">
        <v>3083.08</v>
      </c>
      <c r="I125" s="84">
        <v>1915.5457660273553</v>
      </c>
      <c r="J125" s="84">
        <v>1167.5342339726446</v>
      </c>
      <c r="K125" s="72">
        <v>1.46</v>
      </c>
      <c r="L125" s="72"/>
      <c r="M125" s="93">
        <f t="shared" si="9"/>
        <v>5845.84</v>
      </c>
      <c r="N125" s="93">
        <f t="shared" si="10"/>
        <v>0</v>
      </c>
      <c r="O125" s="93">
        <f t="shared" si="11"/>
        <v>5845.84</v>
      </c>
    </row>
    <row r="126" spans="1:15" x14ac:dyDescent="0.25">
      <c r="A126" s="72"/>
      <c r="B126" s="72"/>
      <c r="C126" s="73"/>
      <c r="D126" s="72"/>
      <c r="E126" s="72" t="s">
        <v>167</v>
      </c>
      <c r="F126" s="98">
        <v>0.74</v>
      </c>
      <c r="G126" s="74">
        <v>298</v>
      </c>
      <c r="H126" s="84">
        <v>220.52</v>
      </c>
      <c r="I126" s="84">
        <v>141.74434782608697</v>
      </c>
      <c r="J126" s="84">
        <v>78.775652173913045</v>
      </c>
      <c r="K126" s="72">
        <v>1.38</v>
      </c>
      <c r="L126" s="72"/>
      <c r="M126" s="93">
        <f t="shared" si="9"/>
        <v>411.23999999999995</v>
      </c>
      <c r="N126" s="93">
        <f t="shared" si="10"/>
        <v>0</v>
      </c>
      <c r="O126" s="93">
        <f t="shared" si="11"/>
        <v>411.23999999999995</v>
      </c>
    </row>
    <row r="127" spans="1:15" x14ac:dyDescent="0.25">
      <c r="A127" s="72"/>
      <c r="B127" s="72"/>
      <c r="C127" s="73"/>
      <c r="D127" s="72"/>
      <c r="E127" s="72" t="s">
        <v>168</v>
      </c>
      <c r="F127" s="98">
        <v>0.74</v>
      </c>
      <c r="G127" s="74">
        <v>198</v>
      </c>
      <c r="H127" s="84">
        <v>146.52000000000001</v>
      </c>
      <c r="I127" s="84">
        <v>94.179130434782607</v>
      </c>
      <c r="J127" s="84">
        <v>52.340869565217403</v>
      </c>
      <c r="K127" s="72">
        <v>1.38</v>
      </c>
      <c r="L127" s="72"/>
      <c r="M127" s="93">
        <f t="shared" si="9"/>
        <v>273.23999999999995</v>
      </c>
      <c r="N127" s="93">
        <f t="shared" si="10"/>
        <v>0</v>
      </c>
      <c r="O127" s="93">
        <f t="shared" si="11"/>
        <v>273.23999999999995</v>
      </c>
    </row>
    <row r="128" spans="1:15" x14ac:dyDescent="0.25">
      <c r="A128" s="72"/>
      <c r="B128" s="72"/>
      <c r="C128" s="73" t="s">
        <v>107</v>
      </c>
      <c r="D128" s="72" t="s">
        <v>196</v>
      </c>
      <c r="E128" s="72" t="s">
        <v>143</v>
      </c>
      <c r="F128" s="98">
        <v>0.79</v>
      </c>
      <c r="G128" s="74">
        <v>77</v>
      </c>
      <c r="H128" s="84">
        <v>60.83</v>
      </c>
      <c r="I128" s="84">
        <v>36.995169082125599</v>
      </c>
      <c r="J128" s="84">
        <v>23.834830917874399</v>
      </c>
      <c r="K128" s="72">
        <v>1.99</v>
      </c>
      <c r="L128" s="72"/>
      <c r="M128" s="93">
        <f t="shared" si="9"/>
        <v>153.22999999999999</v>
      </c>
      <c r="N128" s="93">
        <f t="shared" si="10"/>
        <v>0</v>
      </c>
      <c r="O128" s="93">
        <f t="shared" si="11"/>
        <v>153.22999999999999</v>
      </c>
    </row>
    <row r="129" spans="1:16" x14ac:dyDescent="0.25">
      <c r="A129" s="72"/>
      <c r="B129" s="72"/>
      <c r="C129" s="73"/>
      <c r="D129" s="72"/>
      <c r="E129" s="72" t="s">
        <v>169</v>
      </c>
      <c r="F129" s="98">
        <v>0.77</v>
      </c>
      <c r="G129" s="74">
        <v>4005</v>
      </c>
      <c r="H129" s="84">
        <v>3083.85</v>
      </c>
      <c r="I129" s="84">
        <v>1915.5570048309178</v>
      </c>
      <c r="J129" s="84">
        <v>1168.2929951690821</v>
      </c>
      <c r="K129" s="72">
        <v>1.46</v>
      </c>
      <c r="L129" s="72"/>
      <c r="M129" s="93">
        <f t="shared" si="9"/>
        <v>5847.3</v>
      </c>
      <c r="N129" s="93">
        <f t="shared" si="10"/>
        <v>0</v>
      </c>
      <c r="O129" s="93">
        <f t="shared" si="11"/>
        <v>5847.3</v>
      </c>
    </row>
    <row r="130" spans="1:16" x14ac:dyDescent="0.25">
      <c r="A130" s="72"/>
      <c r="B130" s="72"/>
      <c r="C130" s="73"/>
      <c r="D130" s="72"/>
      <c r="E130" s="72" t="s">
        <v>167</v>
      </c>
      <c r="F130" s="98">
        <v>0.74</v>
      </c>
      <c r="G130" s="74">
        <v>298</v>
      </c>
      <c r="H130" s="84">
        <v>220.52</v>
      </c>
      <c r="I130" s="84">
        <v>141.74434782608697</v>
      </c>
      <c r="J130" s="84">
        <v>78.775652173913045</v>
      </c>
      <c r="K130" s="72">
        <v>1.38</v>
      </c>
      <c r="L130" s="72"/>
      <c r="M130" s="93">
        <f t="shared" si="9"/>
        <v>411.23999999999995</v>
      </c>
      <c r="N130" s="93">
        <f t="shared" si="10"/>
        <v>0</v>
      </c>
      <c r="O130" s="93">
        <f t="shared" si="11"/>
        <v>411.23999999999995</v>
      </c>
    </row>
    <row r="131" spans="1:16" x14ac:dyDescent="0.25">
      <c r="A131" s="72"/>
      <c r="B131" s="72"/>
      <c r="C131" s="73"/>
      <c r="D131" s="72"/>
      <c r="E131" s="72" t="s">
        <v>168</v>
      </c>
      <c r="F131" s="98">
        <v>0.74</v>
      </c>
      <c r="G131" s="74">
        <v>197</v>
      </c>
      <c r="H131" s="84">
        <v>145.78</v>
      </c>
      <c r="I131" s="84">
        <v>93.703478260869559</v>
      </c>
      <c r="J131" s="84">
        <v>52.076521739130442</v>
      </c>
      <c r="K131" s="72">
        <v>1.38</v>
      </c>
      <c r="L131" s="72"/>
      <c r="M131" s="93">
        <f t="shared" si="9"/>
        <v>271.85999999999996</v>
      </c>
      <c r="N131" s="93">
        <f t="shared" si="10"/>
        <v>0</v>
      </c>
      <c r="O131" s="93">
        <f t="shared" si="11"/>
        <v>271.85999999999996</v>
      </c>
    </row>
    <row r="132" spans="1:16" x14ac:dyDescent="0.25">
      <c r="A132" s="72"/>
      <c r="B132" s="72"/>
      <c r="C132" s="73" t="s">
        <v>109</v>
      </c>
      <c r="D132" s="72" t="s">
        <v>196</v>
      </c>
      <c r="E132" s="72" t="s">
        <v>149</v>
      </c>
      <c r="F132" s="98">
        <v>0.79</v>
      </c>
      <c r="G132" s="74">
        <v>1585</v>
      </c>
      <c r="H132" s="84">
        <v>1252.1499999999999</v>
      </c>
      <c r="I132" s="84">
        <v>995.27507122507109</v>
      </c>
      <c r="J132" s="84">
        <v>256.87492877492878</v>
      </c>
      <c r="K132" s="72">
        <v>2.0099999999999998</v>
      </c>
      <c r="L132" s="72"/>
      <c r="M132" s="93">
        <f t="shared" si="9"/>
        <v>3185.8499999999995</v>
      </c>
      <c r="N132" s="93">
        <f t="shared" si="10"/>
        <v>0</v>
      </c>
      <c r="O132" s="93">
        <f t="shared" si="11"/>
        <v>3185.8499999999995</v>
      </c>
    </row>
    <row r="133" spans="1:16" x14ac:dyDescent="0.25">
      <c r="A133" s="72"/>
      <c r="B133" s="72"/>
      <c r="C133" s="73"/>
      <c r="D133" s="72"/>
      <c r="E133" s="72" t="s">
        <v>150</v>
      </c>
      <c r="F133" s="98">
        <v>0.79</v>
      </c>
      <c r="G133" s="74">
        <v>812</v>
      </c>
      <c r="H133" s="84">
        <v>641.48</v>
      </c>
      <c r="I133" s="84">
        <v>537.69242877492866</v>
      </c>
      <c r="J133" s="84">
        <v>103.78757122507128</v>
      </c>
      <c r="K133" s="72">
        <v>2.0099999999999998</v>
      </c>
      <c r="L133" s="72"/>
      <c r="M133" s="93">
        <f t="shared" ref="M133:M139" si="12">$G133*K133</f>
        <v>1632.12</v>
      </c>
      <c r="N133" s="93">
        <f t="shared" ref="N133:N139" si="13">$G133*L133</f>
        <v>0</v>
      </c>
      <c r="O133" s="93">
        <f t="shared" ref="O133:O164" si="14">M133+N133</f>
        <v>1632.12</v>
      </c>
    </row>
    <row r="134" spans="1:16" x14ac:dyDescent="0.25">
      <c r="A134" s="72"/>
      <c r="B134" s="72"/>
      <c r="C134" s="73"/>
      <c r="D134" s="72"/>
      <c r="E134" s="72" t="s">
        <v>151</v>
      </c>
      <c r="F134" s="98">
        <v>0.79</v>
      </c>
      <c r="G134" s="74">
        <v>958</v>
      </c>
      <c r="H134" s="84">
        <v>756.82</v>
      </c>
      <c r="I134" s="84">
        <v>655.03250000000003</v>
      </c>
      <c r="J134" s="84">
        <v>101.78750000000002</v>
      </c>
      <c r="K134" s="72">
        <v>2.0099999999999998</v>
      </c>
      <c r="L134" s="72"/>
      <c r="M134" s="93">
        <f t="shared" si="12"/>
        <v>1925.5799999999997</v>
      </c>
      <c r="N134" s="93">
        <f t="shared" si="13"/>
        <v>0</v>
      </c>
      <c r="O134" s="93">
        <f t="shared" si="14"/>
        <v>1925.5799999999997</v>
      </c>
    </row>
    <row r="135" spans="1:16" x14ac:dyDescent="0.25">
      <c r="A135" s="72"/>
      <c r="B135" s="72"/>
      <c r="C135" s="73" t="s">
        <v>110</v>
      </c>
      <c r="D135" s="72" t="s">
        <v>196</v>
      </c>
      <c r="E135" s="72" t="s">
        <v>149</v>
      </c>
      <c r="F135" s="98">
        <v>0.79</v>
      </c>
      <c r="G135" s="74">
        <v>1585</v>
      </c>
      <c r="H135" s="84">
        <v>1252.1499999999999</v>
      </c>
      <c r="I135" s="84">
        <v>995.27507122507109</v>
      </c>
      <c r="J135" s="84">
        <v>256.87492877492878</v>
      </c>
      <c r="K135" s="72">
        <v>2.0099999999999998</v>
      </c>
      <c r="L135" s="72"/>
      <c r="M135" s="93">
        <f t="shared" si="12"/>
        <v>3185.8499999999995</v>
      </c>
      <c r="N135" s="93">
        <f t="shared" si="13"/>
        <v>0</v>
      </c>
      <c r="O135" s="93">
        <f t="shared" si="14"/>
        <v>3185.8499999999995</v>
      </c>
    </row>
    <row r="136" spans="1:16" x14ac:dyDescent="0.25">
      <c r="A136" s="72"/>
      <c r="B136" s="72"/>
      <c r="C136" s="73"/>
      <c r="D136" s="72"/>
      <c r="E136" s="72" t="s">
        <v>150</v>
      </c>
      <c r="F136" s="98">
        <v>0.79</v>
      </c>
      <c r="G136" s="74">
        <v>813</v>
      </c>
      <c r="H136" s="84">
        <v>642.27</v>
      </c>
      <c r="I136" s="84">
        <v>538.3761787749288</v>
      </c>
      <c r="J136" s="84">
        <v>103.89382122507121</v>
      </c>
      <c r="K136" s="72">
        <v>2.0099999999999998</v>
      </c>
      <c r="L136" s="72"/>
      <c r="M136" s="93">
        <f t="shared" si="12"/>
        <v>1634.1299999999999</v>
      </c>
      <c r="N136" s="93">
        <f t="shared" si="13"/>
        <v>0</v>
      </c>
      <c r="O136" s="93">
        <f t="shared" si="14"/>
        <v>1634.1299999999999</v>
      </c>
    </row>
    <row r="137" spans="1:16" x14ac:dyDescent="0.25">
      <c r="A137" s="72"/>
      <c r="B137" s="72"/>
      <c r="C137" s="73"/>
      <c r="D137" s="72"/>
      <c r="E137" s="72" t="s">
        <v>151</v>
      </c>
      <c r="F137" s="98">
        <v>0.79</v>
      </c>
      <c r="G137" s="74">
        <v>957</v>
      </c>
      <c r="H137" s="84">
        <v>756.03</v>
      </c>
      <c r="I137" s="84">
        <v>654.34875</v>
      </c>
      <c r="J137" s="84">
        <v>101.68124999999998</v>
      </c>
      <c r="K137" s="72">
        <v>2.0099999999999998</v>
      </c>
      <c r="L137" s="72"/>
      <c r="M137" s="93">
        <f t="shared" si="12"/>
        <v>1923.5699999999997</v>
      </c>
      <c r="N137" s="93">
        <f t="shared" si="13"/>
        <v>0</v>
      </c>
      <c r="O137" s="93">
        <f t="shared" si="14"/>
        <v>1923.5699999999997</v>
      </c>
    </row>
    <row r="138" spans="1:16" s="68" customFormat="1" x14ac:dyDescent="0.25">
      <c r="A138" s="79"/>
      <c r="B138" s="79" t="s">
        <v>243</v>
      </c>
      <c r="C138" s="101"/>
      <c r="D138" s="79"/>
      <c r="E138" s="79"/>
      <c r="F138" s="99"/>
      <c r="G138" s="89">
        <v>53478</v>
      </c>
      <c r="H138" s="86">
        <v>40952.30999999999</v>
      </c>
      <c r="I138" s="86">
        <v>28443.999999999996</v>
      </c>
      <c r="J138" s="86">
        <v>12508.310000000005</v>
      </c>
      <c r="K138" s="79"/>
      <c r="L138" s="79"/>
      <c r="M138" s="94"/>
      <c r="N138" s="94"/>
      <c r="O138" s="94">
        <f>SUM(O100:O137)</f>
        <v>92153.24000000002</v>
      </c>
      <c r="P138"/>
    </row>
    <row r="139" spans="1:16" s="68" customFormat="1" x14ac:dyDescent="0.25">
      <c r="A139" s="77" t="s">
        <v>252</v>
      </c>
      <c r="B139" s="77"/>
      <c r="C139" s="100"/>
      <c r="D139" s="77"/>
      <c r="E139" s="77"/>
      <c r="F139" s="97"/>
      <c r="G139" s="88">
        <v>53478</v>
      </c>
      <c r="H139" s="85">
        <v>40952.30999999999</v>
      </c>
      <c r="I139" s="85">
        <v>28443.999999999996</v>
      </c>
      <c r="J139" s="85">
        <v>12508.310000000005</v>
      </c>
      <c r="K139" s="77"/>
      <c r="L139" s="77"/>
      <c r="M139" s="92"/>
      <c r="N139" s="92"/>
      <c r="O139" s="92"/>
      <c r="P139"/>
    </row>
    <row r="140" spans="1:16" x14ac:dyDescent="0.25">
      <c r="A140" s="77" t="s">
        <v>209</v>
      </c>
      <c r="B140" s="77"/>
      <c r="C140" s="100"/>
      <c r="D140" s="77"/>
      <c r="E140" s="77"/>
      <c r="F140" s="97"/>
      <c r="G140" s="88">
        <v>138324</v>
      </c>
      <c r="H140" s="85">
        <v>105765.89000000004</v>
      </c>
      <c r="I140" s="85">
        <v>79469.238095238092</v>
      </c>
      <c r="J140" s="85">
        <v>26296.651904761904</v>
      </c>
      <c r="K140" s="77"/>
      <c r="L140" s="77"/>
      <c r="M140" s="92"/>
      <c r="N140" s="92"/>
      <c r="O140" s="92">
        <f ca="1">O6+O9+O12+O18+O21+O27+O30+O34+O40+O51+O57+O73+O90+O92+O95+O98+O138</f>
        <v>0</v>
      </c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B5039-D315-4014-9EF2-BB2D8E9DB061}">
  <sheetPr codeName="Sheet40"/>
  <dimension ref="A1:P149"/>
  <sheetViews>
    <sheetView zoomScale="80" zoomScaleNormal="80" workbookViewId="0">
      <selection sqref="A1:M1"/>
    </sheetView>
  </sheetViews>
  <sheetFormatPr defaultRowHeight="15" x14ac:dyDescent="0.25"/>
  <cols>
    <col min="1" max="1" width="11.28515625" bestFit="1" customWidth="1"/>
    <col min="2" max="2" width="9" bestFit="1" customWidth="1"/>
    <col min="3" max="3" width="15.28515625" bestFit="1" customWidth="1"/>
    <col min="4" max="4" width="11.140625" style="90" bestFit="1" customWidth="1"/>
    <col min="5" max="5" width="18.5703125" style="87" bestFit="1" customWidth="1"/>
    <col min="6" max="6" width="27.7109375" style="87" bestFit="1" customWidth="1"/>
    <col min="7" max="7" width="22.28515625" style="87" bestFit="1" customWidth="1"/>
    <col min="8" max="8" width="5.28515625" style="87" bestFit="1" customWidth="1"/>
    <col min="9" max="9" width="6.28515625" style="87" bestFit="1" customWidth="1"/>
    <col min="10" max="10" width="11.140625" style="87" bestFit="1" customWidth="1"/>
    <col min="11" max="11" width="11.5703125" style="87" bestFit="1" customWidth="1"/>
    <col min="12" max="12" width="10.42578125" style="87" bestFit="1" customWidth="1"/>
    <col min="13" max="13" width="9.140625" style="87"/>
  </cols>
  <sheetData>
    <row r="1" spans="1:16" ht="23.25" x14ac:dyDescent="0.35">
      <c r="A1" s="96" t="s">
        <v>258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</row>
    <row r="4" spans="1:16" x14ac:dyDescent="0.25">
      <c r="A4" s="77" t="s">
        <v>11</v>
      </c>
      <c r="B4" s="103" t="s">
        <v>93</v>
      </c>
      <c r="C4" s="77" t="s">
        <v>259</v>
      </c>
      <c r="D4" s="88" t="s">
        <v>256</v>
      </c>
      <c r="E4" s="85" t="s">
        <v>261</v>
      </c>
      <c r="F4" s="85" t="s">
        <v>211</v>
      </c>
      <c r="G4" s="85" t="s">
        <v>212</v>
      </c>
      <c r="H4" s="85" t="s">
        <v>205</v>
      </c>
      <c r="I4" s="85" t="s">
        <v>206</v>
      </c>
      <c r="J4" s="85" t="s">
        <v>253</v>
      </c>
      <c r="K4" s="85" t="s">
        <v>254</v>
      </c>
      <c r="L4" s="85" t="s">
        <v>255</v>
      </c>
    </row>
    <row r="5" spans="1:16" x14ac:dyDescent="0.25">
      <c r="A5" s="72" t="s">
        <v>12</v>
      </c>
      <c r="B5" s="102" t="s">
        <v>95</v>
      </c>
      <c r="C5" s="72" t="s">
        <v>260</v>
      </c>
      <c r="D5" s="74">
        <v>360</v>
      </c>
      <c r="E5" s="84">
        <v>1425.6</v>
      </c>
      <c r="F5" s="84">
        <v>1216</v>
      </c>
      <c r="G5" s="84">
        <v>209.59999999999991</v>
      </c>
      <c r="H5" s="84"/>
      <c r="I5" s="84">
        <v>4.2300000000000004</v>
      </c>
      <c r="J5" s="84">
        <f t="shared" ref="J5:J36" si="0">$D5*H5</f>
        <v>0</v>
      </c>
      <c r="K5" s="84">
        <f t="shared" ref="K5:K36" si="1">$D5*I5</f>
        <v>1522.8000000000002</v>
      </c>
      <c r="L5" s="84">
        <f t="shared" ref="L5:L36" si="2">J5+K5</f>
        <v>1522.8000000000002</v>
      </c>
    </row>
    <row r="6" spans="1:16" x14ac:dyDescent="0.25">
      <c r="A6" s="105"/>
      <c r="B6" s="106" t="s">
        <v>213</v>
      </c>
      <c r="C6" s="105"/>
      <c r="D6" s="109">
        <v>360</v>
      </c>
      <c r="E6" s="107">
        <v>1425.6</v>
      </c>
      <c r="F6" s="107">
        <v>1216</v>
      </c>
      <c r="G6" s="107">
        <v>209.59999999999991</v>
      </c>
      <c r="H6" s="107"/>
      <c r="I6" s="107"/>
      <c r="J6" s="107"/>
      <c r="K6" s="107"/>
      <c r="L6" s="107">
        <f ca="1">SUM(L5:L7)</f>
        <v>0</v>
      </c>
    </row>
    <row r="7" spans="1:16" x14ac:dyDescent="0.25">
      <c r="A7" s="72"/>
      <c r="B7" s="102" t="s">
        <v>97</v>
      </c>
      <c r="C7" s="72" t="s">
        <v>260</v>
      </c>
      <c r="D7" s="74">
        <v>480</v>
      </c>
      <c r="E7" s="84">
        <v>1435.2</v>
      </c>
      <c r="F7" s="84">
        <v>1216</v>
      </c>
      <c r="G7" s="84">
        <v>219.20000000000005</v>
      </c>
      <c r="H7" s="84"/>
      <c r="I7" s="84"/>
      <c r="J7" s="84">
        <f t="shared" si="0"/>
        <v>0</v>
      </c>
      <c r="K7" s="84">
        <f t="shared" si="1"/>
        <v>0</v>
      </c>
      <c r="L7" s="84">
        <f t="shared" si="2"/>
        <v>0</v>
      </c>
    </row>
    <row r="8" spans="1:16" x14ac:dyDescent="0.25">
      <c r="A8" s="105"/>
      <c r="B8" s="106" t="s">
        <v>215</v>
      </c>
      <c r="C8" s="105"/>
      <c r="D8" s="109">
        <v>480</v>
      </c>
      <c r="E8" s="107">
        <v>1435.2</v>
      </c>
      <c r="F8" s="107">
        <v>1216</v>
      </c>
      <c r="G8" s="107">
        <v>219.20000000000005</v>
      </c>
      <c r="H8" s="107"/>
      <c r="I8" s="107"/>
      <c r="J8" s="107"/>
      <c r="K8" s="107"/>
      <c r="L8" s="107">
        <f>SUM(L7:L7)</f>
        <v>0</v>
      </c>
    </row>
    <row r="9" spans="1:16" x14ac:dyDescent="0.25">
      <c r="A9" s="72"/>
      <c r="B9" s="102" t="s">
        <v>99</v>
      </c>
      <c r="C9" s="72" t="s">
        <v>260</v>
      </c>
      <c r="D9" s="74">
        <v>470</v>
      </c>
      <c r="E9" s="84">
        <v>1405.3</v>
      </c>
      <c r="F9" s="84">
        <v>1216</v>
      </c>
      <c r="G9" s="84">
        <v>189.29999999999995</v>
      </c>
      <c r="H9" s="84"/>
      <c r="I9" s="84"/>
      <c r="J9" s="84">
        <f t="shared" si="0"/>
        <v>0</v>
      </c>
      <c r="K9" s="84">
        <f t="shared" si="1"/>
        <v>0</v>
      </c>
      <c r="L9" s="84">
        <f t="shared" si="2"/>
        <v>0</v>
      </c>
    </row>
    <row r="10" spans="1:16" x14ac:dyDescent="0.25">
      <c r="A10" s="105"/>
      <c r="B10" s="106" t="s">
        <v>216</v>
      </c>
      <c r="C10" s="105"/>
      <c r="D10" s="109">
        <v>470</v>
      </c>
      <c r="E10" s="107">
        <v>1405.3</v>
      </c>
      <c r="F10" s="107">
        <v>1216</v>
      </c>
      <c r="G10" s="107">
        <v>189.29999999999995</v>
      </c>
      <c r="H10" s="107"/>
      <c r="I10" s="107"/>
      <c r="J10" s="107"/>
      <c r="K10" s="107"/>
      <c r="L10" s="107">
        <f>SUM(L9:L9)</f>
        <v>0</v>
      </c>
    </row>
    <row r="11" spans="1:16" s="68" customFormat="1" x14ac:dyDescent="0.25">
      <c r="A11" s="79" t="s">
        <v>218</v>
      </c>
      <c r="B11" s="104"/>
      <c r="C11" s="79"/>
      <c r="D11" s="89">
        <v>1310</v>
      </c>
      <c r="E11" s="86">
        <v>4266.1000000000004</v>
      </c>
      <c r="F11" s="86">
        <v>3648</v>
      </c>
      <c r="G11" s="86">
        <v>618.09999999999991</v>
      </c>
      <c r="H11" s="86"/>
      <c r="I11" s="86"/>
      <c r="J11" s="86"/>
      <c r="K11" s="86"/>
      <c r="L11" s="86"/>
      <c r="M11" s="108"/>
      <c r="P11"/>
    </row>
    <row r="12" spans="1:16" x14ac:dyDescent="0.25">
      <c r="A12" s="72" t="s">
        <v>13</v>
      </c>
      <c r="B12" s="102" t="s">
        <v>95</v>
      </c>
      <c r="C12" s="72" t="s">
        <v>260</v>
      </c>
      <c r="D12" s="74">
        <v>339</v>
      </c>
      <c r="E12" s="84">
        <v>979.71</v>
      </c>
      <c r="F12" s="84">
        <v>545</v>
      </c>
      <c r="G12" s="84">
        <v>434.71000000000004</v>
      </c>
      <c r="H12" s="84">
        <v>5.71</v>
      </c>
      <c r="I12" s="84"/>
      <c r="J12" s="84">
        <f t="shared" si="0"/>
        <v>1935.69</v>
      </c>
      <c r="K12" s="84">
        <f t="shared" si="1"/>
        <v>0</v>
      </c>
      <c r="L12" s="84">
        <f t="shared" si="2"/>
        <v>1935.69</v>
      </c>
    </row>
    <row r="13" spans="1:16" x14ac:dyDescent="0.25">
      <c r="A13" s="105"/>
      <c r="B13" s="106" t="s">
        <v>213</v>
      </c>
      <c r="C13" s="105"/>
      <c r="D13" s="109">
        <v>339</v>
      </c>
      <c r="E13" s="107">
        <v>979.71</v>
      </c>
      <c r="F13" s="107">
        <v>545</v>
      </c>
      <c r="G13" s="107">
        <v>434.71000000000004</v>
      </c>
      <c r="H13" s="107"/>
      <c r="I13" s="107"/>
      <c r="J13" s="107"/>
      <c r="K13" s="107"/>
      <c r="L13" s="107">
        <f>SUM(L12:L12)</f>
        <v>1935.69</v>
      </c>
    </row>
    <row r="14" spans="1:16" x14ac:dyDescent="0.25">
      <c r="A14" s="72"/>
      <c r="B14" s="102" t="s">
        <v>97</v>
      </c>
      <c r="C14" s="72" t="s">
        <v>260</v>
      </c>
      <c r="D14" s="74">
        <v>320</v>
      </c>
      <c r="E14" s="84">
        <v>931.2</v>
      </c>
      <c r="F14" s="84">
        <v>545</v>
      </c>
      <c r="G14" s="84">
        <v>386.20000000000005</v>
      </c>
      <c r="H14" s="84">
        <v>7.13</v>
      </c>
      <c r="I14" s="84"/>
      <c r="J14" s="84">
        <f t="shared" si="0"/>
        <v>2281.6</v>
      </c>
      <c r="K14" s="84">
        <f t="shared" si="1"/>
        <v>0</v>
      </c>
      <c r="L14" s="84">
        <f t="shared" si="2"/>
        <v>2281.6</v>
      </c>
    </row>
    <row r="15" spans="1:16" x14ac:dyDescent="0.25">
      <c r="A15" s="105"/>
      <c r="B15" s="106" t="s">
        <v>215</v>
      </c>
      <c r="C15" s="105"/>
      <c r="D15" s="109">
        <v>320</v>
      </c>
      <c r="E15" s="107">
        <v>931.2</v>
      </c>
      <c r="F15" s="107">
        <v>545</v>
      </c>
      <c r="G15" s="107">
        <v>386.20000000000005</v>
      </c>
      <c r="H15" s="107"/>
      <c r="I15" s="107"/>
      <c r="J15" s="107"/>
      <c r="K15" s="107"/>
      <c r="L15" s="107">
        <f>SUM(L14:L14)</f>
        <v>2281.6</v>
      </c>
    </row>
    <row r="16" spans="1:16" x14ac:dyDescent="0.25">
      <c r="A16" s="72"/>
      <c r="B16" s="102" t="s">
        <v>99</v>
      </c>
      <c r="C16" s="72" t="s">
        <v>260</v>
      </c>
      <c r="D16" s="74">
        <v>636</v>
      </c>
      <c r="E16" s="84">
        <v>782.28</v>
      </c>
      <c r="F16" s="84">
        <v>495.17142857142852</v>
      </c>
      <c r="G16" s="84">
        <v>287.10857142857145</v>
      </c>
      <c r="H16" s="84">
        <v>1.44</v>
      </c>
      <c r="I16" s="84"/>
      <c r="J16" s="84">
        <f t="shared" si="0"/>
        <v>915.83999999999992</v>
      </c>
      <c r="K16" s="84">
        <f t="shared" si="1"/>
        <v>0</v>
      </c>
      <c r="L16" s="84">
        <f t="shared" si="2"/>
        <v>915.83999999999992</v>
      </c>
    </row>
    <row r="17" spans="1:16" x14ac:dyDescent="0.25">
      <c r="A17" s="105"/>
      <c r="B17" s="106" t="s">
        <v>216</v>
      </c>
      <c r="C17" s="105"/>
      <c r="D17" s="109">
        <v>636</v>
      </c>
      <c r="E17" s="107">
        <v>782.28</v>
      </c>
      <c r="F17" s="107">
        <v>495.17142857142852</v>
      </c>
      <c r="G17" s="107">
        <v>287.10857142857145</v>
      </c>
      <c r="H17" s="107"/>
      <c r="I17" s="107"/>
      <c r="J17" s="107"/>
      <c r="K17" s="107"/>
      <c r="L17" s="107">
        <f>SUM(L16:L16)</f>
        <v>915.83999999999992</v>
      </c>
    </row>
    <row r="18" spans="1:16" x14ac:dyDescent="0.25">
      <c r="A18" s="72"/>
      <c r="B18" s="102" t="s">
        <v>101</v>
      </c>
      <c r="C18" s="72" t="s">
        <v>260</v>
      </c>
      <c r="D18" s="74">
        <v>245</v>
      </c>
      <c r="E18" s="84">
        <v>590.45000000000005</v>
      </c>
      <c r="F18" s="84">
        <v>356.06666666666666</v>
      </c>
      <c r="G18" s="84">
        <v>234.38333333333338</v>
      </c>
      <c r="H18" s="84">
        <v>5.26</v>
      </c>
      <c r="I18" s="84"/>
      <c r="J18" s="84">
        <f t="shared" si="0"/>
        <v>1288.7</v>
      </c>
      <c r="K18" s="84">
        <f t="shared" si="1"/>
        <v>0</v>
      </c>
      <c r="L18" s="84">
        <f t="shared" si="2"/>
        <v>1288.7</v>
      </c>
    </row>
    <row r="19" spans="1:16" x14ac:dyDescent="0.25">
      <c r="A19" s="105"/>
      <c r="B19" s="106" t="s">
        <v>220</v>
      </c>
      <c r="C19" s="105"/>
      <c r="D19" s="109">
        <v>245</v>
      </c>
      <c r="E19" s="107">
        <v>590.45000000000005</v>
      </c>
      <c r="F19" s="107">
        <v>356.06666666666666</v>
      </c>
      <c r="G19" s="107">
        <v>234.38333333333338</v>
      </c>
      <c r="H19" s="107"/>
      <c r="I19" s="107"/>
      <c r="J19" s="107"/>
      <c r="K19" s="107"/>
      <c r="L19" s="107">
        <f>SUM(L18:L18)</f>
        <v>1288.7</v>
      </c>
    </row>
    <row r="20" spans="1:16" s="68" customFormat="1" x14ac:dyDescent="0.25">
      <c r="A20" s="79" t="s">
        <v>222</v>
      </c>
      <c r="B20" s="104"/>
      <c r="C20" s="79"/>
      <c r="D20" s="89">
        <v>1540</v>
      </c>
      <c r="E20" s="86">
        <v>3283.6400000000003</v>
      </c>
      <c r="F20" s="86">
        <v>1941.2380952380952</v>
      </c>
      <c r="G20" s="86">
        <v>1342.4019047619049</v>
      </c>
      <c r="H20" s="86"/>
      <c r="I20" s="86"/>
      <c r="J20" s="86"/>
      <c r="K20" s="86"/>
      <c r="L20" s="86"/>
      <c r="M20" s="108"/>
      <c r="P20"/>
    </row>
    <row r="21" spans="1:16" x14ac:dyDescent="0.25">
      <c r="A21" s="72" t="s">
        <v>14</v>
      </c>
      <c r="B21" s="102" t="s">
        <v>99</v>
      </c>
      <c r="C21" s="72" t="s">
        <v>260</v>
      </c>
      <c r="D21" s="74">
        <v>118</v>
      </c>
      <c r="E21" s="84">
        <v>356.36</v>
      </c>
      <c r="F21" s="84">
        <v>1748</v>
      </c>
      <c r="G21" s="84">
        <v>-1391.6399999999999</v>
      </c>
      <c r="H21" s="84"/>
      <c r="I21" s="84">
        <v>3.15</v>
      </c>
      <c r="J21" s="84">
        <f t="shared" si="0"/>
        <v>0</v>
      </c>
      <c r="K21" s="84">
        <f t="shared" si="1"/>
        <v>371.7</v>
      </c>
      <c r="L21" s="84">
        <f t="shared" si="2"/>
        <v>371.7</v>
      </c>
    </row>
    <row r="22" spans="1:16" x14ac:dyDescent="0.25">
      <c r="A22" s="105"/>
      <c r="B22" s="106" t="s">
        <v>216</v>
      </c>
      <c r="C22" s="105"/>
      <c r="D22" s="109">
        <v>118</v>
      </c>
      <c r="E22" s="107">
        <v>356.36</v>
      </c>
      <c r="F22" s="107">
        <v>1748</v>
      </c>
      <c r="G22" s="107">
        <v>-1391.6399999999999</v>
      </c>
      <c r="H22" s="107"/>
      <c r="I22" s="107"/>
      <c r="J22" s="107"/>
      <c r="K22" s="107"/>
      <c r="L22" s="107">
        <f>SUM(L21:L21)</f>
        <v>371.7</v>
      </c>
    </row>
    <row r="23" spans="1:16" s="68" customFormat="1" x14ac:dyDescent="0.25">
      <c r="A23" s="79" t="s">
        <v>223</v>
      </c>
      <c r="B23" s="104"/>
      <c r="C23" s="79"/>
      <c r="D23" s="89">
        <v>118</v>
      </c>
      <c r="E23" s="86">
        <v>356.36</v>
      </c>
      <c r="F23" s="86">
        <v>1748</v>
      </c>
      <c r="G23" s="86">
        <v>-1391.6399999999999</v>
      </c>
      <c r="H23" s="86"/>
      <c r="I23" s="86"/>
      <c r="J23" s="86"/>
      <c r="K23" s="86"/>
      <c r="L23" s="86"/>
      <c r="M23" s="108"/>
      <c r="P23"/>
    </row>
    <row r="24" spans="1:16" x14ac:dyDescent="0.25">
      <c r="A24" s="72" t="s">
        <v>15</v>
      </c>
      <c r="B24" s="102" t="s">
        <v>95</v>
      </c>
      <c r="C24" s="72" t="s">
        <v>260</v>
      </c>
      <c r="D24" s="74">
        <v>3600</v>
      </c>
      <c r="E24" s="84">
        <v>1404</v>
      </c>
      <c r="F24" s="84">
        <v>1216</v>
      </c>
      <c r="G24" s="84">
        <v>188</v>
      </c>
      <c r="H24" s="84">
        <v>1.31</v>
      </c>
      <c r="I24" s="84"/>
      <c r="J24" s="84">
        <f t="shared" si="0"/>
        <v>4716</v>
      </c>
      <c r="K24" s="84">
        <f t="shared" si="1"/>
        <v>0</v>
      </c>
      <c r="L24" s="84">
        <f t="shared" si="2"/>
        <v>4716</v>
      </c>
    </row>
    <row r="25" spans="1:16" x14ac:dyDescent="0.25">
      <c r="A25" s="105"/>
      <c r="B25" s="106" t="s">
        <v>213</v>
      </c>
      <c r="C25" s="105"/>
      <c r="D25" s="109">
        <v>3600</v>
      </c>
      <c r="E25" s="107">
        <v>1404</v>
      </c>
      <c r="F25" s="107">
        <v>1216</v>
      </c>
      <c r="G25" s="107">
        <v>188</v>
      </c>
      <c r="H25" s="107"/>
      <c r="I25" s="107"/>
      <c r="J25" s="107"/>
      <c r="K25" s="107"/>
      <c r="L25" s="107">
        <f>SUM(L24:L24)</f>
        <v>4716</v>
      </c>
    </row>
    <row r="26" spans="1:16" x14ac:dyDescent="0.25">
      <c r="A26" s="72"/>
      <c r="B26" s="102" t="s">
        <v>99</v>
      </c>
      <c r="C26" s="72" t="s">
        <v>260</v>
      </c>
      <c r="D26" s="74">
        <v>845</v>
      </c>
      <c r="E26" s="84">
        <v>1301.3</v>
      </c>
      <c r="F26" s="84">
        <v>1216</v>
      </c>
      <c r="G26" s="84">
        <v>85.299999999999926</v>
      </c>
      <c r="H26" s="84"/>
      <c r="I26" s="84">
        <v>1.65</v>
      </c>
      <c r="J26" s="84">
        <f t="shared" si="0"/>
        <v>0</v>
      </c>
      <c r="K26" s="84">
        <f t="shared" si="1"/>
        <v>1394.25</v>
      </c>
      <c r="L26" s="84">
        <f t="shared" si="2"/>
        <v>1394.25</v>
      </c>
    </row>
    <row r="27" spans="1:16" x14ac:dyDescent="0.25">
      <c r="A27" s="105"/>
      <c r="B27" s="106" t="s">
        <v>216</v>
      </c>
      <c r="C27" s="105"/>
      <c r="D27" s="109">
        <v>845</v>
      </c>
      <c r="E27" s="107">
        <v>1301.3</v>
      </c>
      <c r="F27" s="107">
        <v>1216</v>
      </c>
      <c r="G27" s="107">
        <v>85.299999999999926</v>
      </c>
      <c r="H27" s="107"/>
      <c r="I27" s="107"/>
      <c r="J27" s="107"/>
      <c r="K27" s="107"/>
      <c r="L27" s="107">
        <f>SUM(L26:L26)</f>
        <v>1394.25</v>
      </c>
    </row>
    <row r="28" spans="1:16" x14ac:dyDescent="0.25">
      <c r="A28" s="72"/>
      <c r="B28" s="102" t="s">
        <v>101</v>
      </c>
      <c r="C28" s="72" t="s">
        <v>260</v>
      </c>
      <c r="D28" s="74">
        <v>845</v>
      </c>
      <c r="E28" s="84">
        <v>1301.3</v>
      </c>
      <c r="F28" s="84">
        <v>1216</v>
      </c>
      <c r="G28" s="84">
        <v>85.299999999999955</v>
      </c>
      <c r="H28" s="84"/>
      <c r="I28" s="84">
        <v>1.65</v>
      </c>
      <c r="J28" s="84">
        <f t="shared" si="0"/>
        <v>0</v>
      </c>
      <c r="K28" s="84">
        <f t="shared" si="1"/>
        <v>1394.25</v>
      </c>
      <c r="L28" s="84">
        <f t="shared" si="2"/>
        <v>1394.25</v>
      </c>
    </row>
    <row r="29" spans="1:16" x14ac:dyDescent="0.25">
      <c r="A29" s="105"/>
      <c r="B29" s="106" t="s">
        <v>220</v>
      </c>
      <c r="C29" s="105"/>
      <c r="D29" s="109">
        <v>845</v>
      </c>
      <c r="E29" s="107">
        <v>1301.3</v>
      </c>
      <c r="F29" s="107">
        <v>1216</v>
      </c>
      <c r="G29" s="107">
        <v>85.299999999999955</v>
      </c>
      <c r="H29" s="107"/>
      <c r="I29" s="107"/>
      <c r="J29" s="107"/>
      <c r="K29" s="107"/>
      <c r="L29" s="107">
        <f>SUM(L28:L28)</f>
        <v>1394.25</v>
      </c>
    </row>
    <row r="30" spans="1:16" x14ac:dyDescent="0.25">
      <c r="A30" s="72"/>
      <c r="B30" s="102" t="s">
        <v>102</v>
      </c>
      <c r="C30" s="72" t="s">
        <v>260</v>
      </c>
      <c r="D30" s="74">
        <v>4472</v>
      </c>
      <c r="E30" s="84">
        <v>1744.08</v>
      </c>
      <c r="F30" s="84">
        <v>1216</v>
      </c>
      <c r="G30" s="84">
        <v>528.08000000000004</v>
      </c>
      <c r="H30" s="84">
        <v>1.31</v>
      </c>
      <c r="I30" s="84"/>
      <c r="J30" s="84">
        <f t="shared" si="0"/>
        <v>5858.3200000000006</v>
      </c>
      <c r="K30" s="84">
        <f t="shared" si="1"/>
        <v>0</v>
      </c>
      <c r="L30" s="84">
        <f t="shared" si="2"/>
        <v>5858.3200000000006</v>
      </c>
    </row>
    <row r="31" spans="1:16" x14ac:dyDescent="0.25">
      <c r="A31" s="105"/>
      <c r="B31" s="106" t="s">
        <v>225</v>
      </c>
      <c r="C31" s="105"/>
      <c r="D31" s="109">
        <v>4472</v>
      </c>
      <c r="E31" s="107">
        <v>1744.08</v>
      </c>
      <c r="F31" s="107">
        <v>1216</v>
      </c>
      <c r="G31" s="107">
        <v>528.08000000000004</v>
      </c>
      <c r="H31" s="107"/>
      <c r="I31" s="107"/>
      <c r="J31" s="107"/>
      <c r="K31" s="107"/>
      <c r="L31" s="107">
        <f>SUM(L30:L30)</f>
        <v>5858.3200000000006</v>
      </c>
    </row>
    <row r="32" spans="1:16" x14ac:dyDescent="0.25">
      <c r="A32" s="72"/>
      <c r="B32" s="102" t="s">
        <v>103</v>
      </c>
      <c r="C32" s="72" t="s">
        <v>260</v>
      </c>
      <c r="D32" s="74">
        <v>1000</v>
      </c>
      <c r="E32" s="84">
        <v>1490</v>
      </c>
      <c r="F32" s="84">
        <v>1216</v>
      </c>
      <c r="G32" s="84">
        <v>274</v>
      </c>
      <c r="H32" s="84"/>
      <c r="I32" s="84">
        <v>1.6</v>
      </c>
      <c r="J32" s="84">
        <f t="shared" si="0"/>
        <v>0</v>
      </c>
      <c r="K32" s="84">
        <f t="shared" si="1"/>
        <v>1600</v>
      </c>
      <c r="L32" s="84">
        <f t="shared" si="2"/>
        <v>1600</v>
      </c>
    </row>
    <row r="33" spans="1:16" x14ac:dyDescent="0.25">
      <c r="A33" s="105"/>
      <c r="B33" s="106" t="s">
        <v>224</v>
      </c>
      <c r="C33" s="105"/>
      <c r="D33" s="109">
        <v>1000</v>
      </c>
      <c r="E33" s="107">
        <v>1490</v>
      </c>
      <c r="F33" s="107">
        <v>1216</v>
      </c>
      <c r="G33" s="107">
        <v>274</v>
      </c>
      <c r="H33" s="107"/>
      <c r="I33" s="107"/>
      <c r="J33" s="107"/>
      <c r="K33" s="107"/>
      <c r="L33" s="107">
        <f>SUM(L32:L32)</f>
        <v>1600</v>
      </c>
    </row>
    <row r="34" spans="1:16" s="68" customFormat="1" x14ac:dyDescent="0.25">
      <c r="A34" s="79" t="s">
        <v>227</v>
      </c>
      <c r="B34" s="104"/>
      <c r="C34" s="79"/>
      <c r="D34" s="89">
        <v>10762</v>
      </c>
      <c r="E34" s="86">
        <v>7240.68</v>
      </c>
      <c r="F34" s="86">
        <v>6080</v>
      </c>
      <c r="G34" s="86">
        <v>1160.6799999999998</v>
      </c>
      <c r="H34" s="86"/>
      <c r="I34" s="86"/>
      <c r="J34" s="86"/>
      <c r="K34" s="86"/>
      <c r="L34" s="86"/>
      <c r="M34" s="108"/>
      <c r="P34"/>
    </row>
    <row r="35" spans="1:16" x14ac:dyDescent="0.25">
      <c r="A35" s="72" t="s">
        <v>16</v>
      </c>
      <c r="B35" s="102" t="s">
        <v>95</v>
      </c>
      <c r="C35" s="72" t="s">
        <v>260</v>
      </c>
      <c r="D35" s="74">
        <v>510</v>
      </c>
      <c r="E35" s="84">
        <v>902.7</v>
      </c>
      <c r="F35" s="84">
        <v>1052</v>
      </c>
      <c r="G35" s="84">
        <v>-149.29999999999995</v>
      </c>
      <c r="H35" s="84">
        <v>3.99</v>
      </c>
      <c r="I35" s="84"/>
      <c r="J35" s="84">
        <f t="shared" si="0"/>
        <v>2034.9</v>
      </c>
      <c r="K35" s="84">
        <f t="shared" si="1"/>
        <v>0</v>
      </c>
      <c r="L35" s="84">
        <f t="shared" si="2"/>
        <v>2034.9</v>
      </c>
    </row>
    <row r="36" spans="1:16" x14ac:dyDescent="0.25">
      <c r="A36" s="105"/>
      <c r="B36" s="106" t="s">
        <v>213</v>
      </c>
      <c r="C36" s="105"/>
      <c r="D36" s="109">
        <v>510</v>
      </c>
      <c r="E36" s="107">
        <v>902.7</v>
      </c>
      <c r="F36" s="107">
        <v>1052</v>
      </c>
      <c r="G36" s="107">
        <v>-149.29999999999995</v>
      </c>
      <c r="H36" s="107"/>
      <c r="I36" s="107"/>
      <c r="J36" s="107"/>
      <c r="K36" s="107"/>
      <c r="L36" s="107">
        <f>SUM(L35:L35)</f>
        <v>2034.9</v>
      </c>
    </row>
    <row r="37" spans="1:16" x14ac:dyDescent="0.25">
      <c r="A37" s="72"/>
      <c r="B37" s="102" t="s">
        <v>105</v>
      </c>
      <c r="C37" s="72" t="s">
        <v>260</v>
      </c>
      <c r="D37" s="74">
        <v>2290</v>
      </c>
      <c r="E37" s="84">
        <v>1030.5</v>
      </c>
      <c r="F37" s="84">
        <v>1052</v>
      </c>
      <c r="G37" s="84">
        <v>-21.5</v>
      </c>
      <c r="H37" s="84">
        <v>1.0900000000000001</v>
      </c>
      <c r="I37" s="84"/>
      <c r="J37" s="84">
        <f t="shared" ref="J37:J68" si="3">$D37*H37</f>
        <v>2496.1000000000004</v>
      </c>
      <c r="K37" s="84">
        <f t="shared" ref="K37:K68" si="4">$D37*I37</f>
        <v>0</v>
      </c>
      <c r="L37" s="84">
        <f t="shared" ref="L37:L68" si="5">J37+K37</f>
        <v>2496.1000000000004</v>
      </c>
    </row>
    <row r="38" spans="1:16" x14ac:dyDescent="0.25">
      <c r="A38" s="105"/>
      <c r="B38" s="106" t="s">
        <v>232</v>
      </c>
      <c r="C38" s="105"/>
      <c r="D38" s="109">
        <v>2290</v>
      </c>
      <c r="E38" s="107">
        <v>1030.5</v>
      </c>
      <c r="F38" s="107">
        <v>1052</v>
      </c>
      <c r="G38" s="107">
        <v>-21.5</v>
      </c>
      <c r="H38" s="107"/>
      <c r="I38" s="107"/>
      <c r="J38" s="107"/>
      <c r="K38" s="107"/>
      <c r="L38" s="107">
        <f>SUM(L37:L37)</f>
        <v>2496.1000000000004</v>
      </c>
    </row>
    <row r="39" spans="1:16" x14ac:dyDescent="0.25">
      <c r="A39" s="72"/>
      <c r="B39" s="102" t="s">
        <v>97</v>
      </c>
      <c r="C39" s="72" t="s">
        <v>260</v>
      </c>
      <c r="D39" s="74">
        <v>490</v>
      </c>
      <c r="E39" s="84">
        <v>867.3</v>
      </c>
      <c r="F39" s="84">
        <v>1052</v>
      </c>
      <c r="G39" s="84">
        <v>-184.70000000000005</v>
      </c>
      <c r="H39" s="84">
        <v>3.99</v>
      </c>
      <c r="I39" s="84"/>
      <c r="J39" s="84">
        <f t="shared" si="3"/>
        <v>1955.1000000000001</v>
      </c>
      <c r="K39" s="84">
        <f t="shared" si="4"/>
        <v>0</v>
      </c>
      <c r="L39" s="84">
        <f t="shared" si="5"/>
        <v>1955.1000000000001</v>
      </c>
    </row>
    <row r="40" spans="1:16" x14ac:dyDescent="0.25">
      <c r="A40" s="105"/>
      <c r="B40" s="106" t="s">
        <v>215</v>
      </c>
      <c r="C40" s="105"/>
      <c r="D40" s="109">
        <v>490</v>
      </c>
      <c r="E40" s="107">
        <v>867.3</v>
      </c>
      <c r="F40" s="107">
        <v>1052</v>
      </c>
      <c r="G40" s="107">
        <v>-184.70000000000005</v>
      </c>
      <c r="H40" s="107"/>
      <c r="I40" s="107"/>
      <c r="J40" s="107"/>
      <c r="K40" s="107"/>
      <c r="L40" s="107">
        <f>SUM(L39:L39)</f>
        <v>1955.1000000000001</v>
      </c>
    </row>
    <row r="41" spans="1:16" x14ac:dyDescent="0.25">
      <c r="A41" s="72"/>
      <c r="B41" s="102" t="s">
        <v>99</v>
      </c>
      <c r="C41" s="72" t="s">
        <v>260</v>
      </c>
      <c r="D41" s="74">
        <v>1590</v>
      </c>
      <c r="E41" s="84">
        <v>715.5</v>
      </c>
      <c r="F41" s="84">
        <v>526</v>
      </c>
      <c r="G41" s="84">
        <v>189.5</v>
      </c>
      <c r="H41" s="84">
        <v>1.04</v>
      </c>
      <c r="I41" s="84"/>
      <c r="J41" s="84">
        <f t="shared" si="3"/>
        <v>1653.6000000000001</v>
      </c>
      <c r="K41" s="84">
        <f t="shared" si="4"/>
        <v>0</v>
      </c>
      <c r="L41" s="84">
        <f t="shared" si="5"/>
        <v>1653.6000000000001</v>
      </c>
    </row>
    <row r="42" spans="1:16" x14ac:dyDescent="0.25">
      <c r="A42" s="72"/>
      <c r="B42" s="102"/>
      <c r="C42" s="72"/>
      <c r="D42" s="74">
        <v>1455</v>
      </c>
      <c r="E42" s="84">
        <v>654.75</v>
      </c>
      <c r="F42" s="84">
        <v>526</v>
      </c>
      <c r="G42" s="84">
        <v>128.75</v>
      </c>
      <c r="H42" s="84">
        <v>1.0900000000000001</v>
      </c>
      <c r="I42" s="84"/>
      <c r="J42" s="84">
        <f t="shared" si="3"/>
        <v>1585.95</v>
      </c>
      <c r="K42" s="84">
        <f t="shared" si="4"/>
        <v>0</v>
      </c>
      <c r="L42" s="84">
        <f t="shared" si="5"/>
        <v>1585.95</v>
      </c>
    </row>
    <row r="43" spans="1:16" x14ac:dyDescent="0.25">
      <c r="A43" s="105"/>
      <c r="B43" s="106" t="s">
        <v>216</v>
      </c>
      <c r="C43" s="105"/>
      <c r="D43" s="109">
        <v>3045</v>
      </c>
      <c r="E43" s="107">
        <v>1370.25</v>
      </c>
      <c r="F43" s="107">
        <v>1052</v>
      </c>
      <c r="G43" s="107">
        <v>318.25</v>
      </c>
      <c r="H43" s="107"/>
      <c r="I43" s="107"/>
      <c r="J43" s="107"/>
      <c r="K43" s="107"/>
      <c r="L43" s="107">
        <f>SUM(L41:L42)</f>
        <v>3239.55</v>
      </c>
    </row>
    <row r="44" spans="1:16" x14ac:dyDescent="0.25">
      <c r="A44" s="72"/>
      <c r="B44" s="102" t="s">
        <v>101</v>
      </c>
      <c r="C44" s="72" t="s">
        <v>260</v>
      </c>
      <c r="D44" s="74">
        <v>1240</v>
      </c>
      <c r="E44" s="84">
        <v>558</v>
      </c>
      <c r="F44" s="84">
        <v>377.01734104046244</v>
      </c>
      <c r="G44" s="84">
        <v>180.98265895953756</v>
      </c>
      <c r="H44" s="84">
        <v>1.04</v>
      </c>
      <c r="I44" s="84"/>
      <c r="J44" s="84">
        <f t="shared" si="3"/>
        <v>1289.6000000000001</v>
      </c>
      <c r="K44" s="84">
        <f t="shared" si="4"/>
        <v>0</v>
      </c>
      <c r="L44" s="84">
        <f t="shared" si="5"/>
        <v>1289.6000000000001</v>
      </c>
    </row>
    <row r="45" spans="1:16" x14ac:dyDescent="0.25">
      <c r="A45" s="72"/>
      <c r="B45" s="102"/>
      <c r="C45" s="72"/>
      <c r="D45" s="74">
        <v>2010</v>
      </c>
      <c r="E45" s="84">
        <v>904.5</v>
      </c>
      <c r="F45" s="84">
        <v>674.98265895953762</v>
      </c>
      <c r="G45" s="84">
        <v>229.51734104046241</v>
      </c>
      <c r="H45" s="84">
        <v>1.0900000000000001</v>
      </c>
      <c r="I45" s="84"/>
      <c r="J45" s="84">
        <f t="shared" si="3"/>
        <v>2190.9</v>
      </c>
      <c r="K45" s="84">
        <f t="shared" si="4"/>
        <v>0</v>
      </c>
      <c r="L45" s="84">
        <f t="shared" si="5"/>
        <v>2190.9</v>
      </c>
    </row>
    <row r="46" spans="1:16" x14ac:dyDescent="0.25">
      <c r="A46" s="105"/>
      <c r="B46" s="106" t="s">
        <v>220</v>
      </c>
      <c r="C46" s="105"/>
      <c r="D46" s="109">
        <v>3250</v>
      </c>
      <c r="E46" s="107">
        <v>1462.5</v>
      </c>
      <c r="F46" s="107">
        <v>1052</v>
      </c>
      <c r="G46" s="107">
        <v>410.5</v>
      </c>
      <c r="H46" s="107"/>
      <c r="I46" s="107"/>
      <c r="J46" s="107"/>
      <c r="K46" s="107"/>
      <c r="L46" s="107">
        <f>SUM(L44:L45)</f>
        <v>3480.5</v>
      </c>
    </row>
    <row r="47" spans="1:16" x14ac:dyDescent="0.25">
      <c r="A47" s="72"/>
      <c r="B47" s="102" t="s">
        <v>102</v>
      </c>
      <c r="C47" s="72" t="s">
        <v>260</v>
      </c>
      <c r="D47" s="74">
        <v>1995</v>
      </c>
      <c r="E47" s="84">
        <v>598.5</v>
      </c>
      <c r="F47" s="84">
        <v>695.17297297297296</v>
      </c>
      <c r="G47" s="84">
        <v>-96.672972972973014</v>
      </c>
      <c r="H47" s="84">
        <v>1.1000000000000001</v>
      </c>
      <c r="I47" s="84"/>
      <c r="J47" s="84">
        <f t="shared" si="3"/>
        <v>2194.5</v>
      </c>
      <c r="K47" s="84">
        <f t="shared" si="4"/>
        <v>0</v>
      </c>
      <c r="L47" s="84">
        <f t="shared" si="5"/>
        <v>2194.5</v>
      </c>
    </row>
    <row r="48" spans="1:16" x14ac:dyDescent="0.25">
      <c r="A48" s="72"/>
      <c r="B48" s="102"/>
      <c r="C48" s="72"/>
      <c r="D48" s="74">
        <v>1025</v>
      </c>
      <c r="E48" s="84">
        <v>307.5</v>
      </c>
      <c r="F48" s="84">
        <v>356.82702702702704</v>
      </c>
      <c r="G48" s="84">
        <v>-49.327027027027015</v>
      </c>
      <c r="H48" s="84">
        <v>1.29</v>
      </c>
      <c r="I48" s="84"/>
      <c r="J48" s="84">
        <f t="shared" si="3"/>
        <v>1322.25</v>
      </c>
      <c r="K48" s="84">
        <f t="shared" si="4"/>
        <v>0</v>
      </c>
      <c r="L48" s="84">
        <f t="shared" si="5"/>
        <v>1322.25</v>
      </c>
    </row>
    <row r="49" spans="1:16" x14ac:dyDescent="0.25">
      <c r="A49" s="105"/>
      <c r="B49" s="106" t="s">
        <v>225</v>
      </c>
      <c r="C49" s="105"/>
      <c r="D49" s="109">
        <v>3020</v>
      </c>
      <c r="E49" s="107">
        <v>906</v>
      </c>
      <c r="F49" s="107">
        <v>1052</v>
      </c>
      <c r="G49" s="107">
        <v>-146.00000000000003</v>
      </c>
      <c r="H49" s="107"/>
      <c r="I49" s="107"/>
      <c r="J49" s="107"/>
      <c r="K49" s="107"/>
      <c r="L49" s="107">
        <f>SUM(L47:L48)</f>
        <v>3516.75</v>
      </c>
    </row>
    <row r="50" spans="1:16" x14ac:dyDescent="0.25">
      <c r="A50" s="72"/>
      <c r="B50" s="102" t="s">
        <v>103</v>
      </c>
      <c r="C50" s="72" t="s">
        <v>260</v>
      </c>
      <c r="D50" s="74">
        <v>1029</v>
      </c>
      <c r="E50" s="84">
        <v>308.7</v>
      </c>
      <c r="F50" s="84">
        <v>368.16591529738486</v>
      </c>
      <c r="G50" s="84">
        <v>-59.465915297384868</v>
      </c>
      <c r="H50" s="84">
        <v>1.1000000000000001</v>
      </c>
      <c r="I50" s="84"/>
      <c r="J50" s="84">
        <f t="shared" si="3"/>
        <v>1131.9000000000001</v>
      </c>
      <c r="K50" s="84">
        <f t="shared" si="4"/>
        <v>0</v>
      </c>
      <c r="L50" s="84">
        <f t="shared" si="5"/>
        <v>1131.9000000000001</v>
      </c>
    </row>
    <row r="51" spans="1:16" x14ac:dyDescent="0.25">
      <c r="A51" s="72"/>
      <c r="B51" s="102"/>
      <c r="C51" s="72"/>
      <c r="D51" s="74">
        <v>1911</v>
      </c>
      <c r="E51" s="84">
        <v>573.29999999999995</v>
      </c>
      <c r="F51" s="84">
        <v>683.8340847026152</v>
      </c>
      <c r="G51" s="84">
        <v>-110.53408470261513</v>
      </c>
      <c r="H51" s="84">
        <v>1.29</v>
      </c>
      <c r="I51" s="84"/>
      <c r="J51" s="84">
        <f t="shared" si="3"/>
        <v>2465.19</v>
      </c>
      <c r="K51" s="84">
        <f t="shared" si="4"/>
        <v>0</v>
      </c>
      <c r="L51" s="84">
        <f t="shared" si="5"/>
        <v>2465.19</v>
      </c>
    </row>
    <row r="52" spans="1:16" x14ac:dyDescent="0.25">
      <c r="A52" s="105"/>
      <c r="B52" s="106" t="s">
        <v>224</v>
      </c>
      <c r="C52" s="105"/>
      <c r="D52" s="109">
        <v>2940</v>
      </c>
      <c r="E52" s="107">
        <v>882</v>
      </c>
      <c r="F52" s="107">
        <v>1052</v>
      </c>
      <c r="G52" s="107">
        <v>-170</v>
      </c>
      <c r="H52" s="107"/>
      <c r="I52" s="107"/>
      <c r="J52" s="107"/>
      <c r="K52" s="107"/>
      <c r="L52" s="107">
        <f>SUM(L50:L51)</f>
        <v>3597.09</v>
      </c>
    </row>
    <row r="53" spans="1:16" x14ac:dyDescent="0.25">
      <c r="A53" s="72"/>
      <c r="B53" s="102" t="s">
        <v>107</v>
      </c>
      <c r="C53" s="72" t="s">
        <v>260</v>
      </c>
      <c r="D53" s="74">
        <v>1390</v>
      </c>
      <c r="E53" s="84">
        <v>1876.5</v>
      </c>
      <c r="F53" s="84">
        <v>945.03563941299785</v>
      </c>
      <c r="G53" s="84">
        <v>931.46436058700215</v>
      </c>
      <c r="H53" s="84">
        <v>2.37</v>
      </c>
      <c r="I53" s="84"/>
      <c r="J53" s="84">
        <f t="shared" si="3"/>
        <v>3294.3</v>
      </c>
      <c r="K53" s="84">
        <f t="shared" si="4"/>
        <v>0</v>
      </c>
      <c r="L53" s="84">
        <f t="shared" si="5"/>
        <v>3294.3</v>
      </c>
    </row>
    <row r="54" spans="1:16" x14ac:dyDescent="0.25">
      <c r="A54" s="72"/>
      <c r="B54" s="102"/>
      <c r="C54" s="72"/>
      <c r="D54" s="74">
        <v>194</v>
      </c>
      <c r="E54" s="84">
        <v>248.32</v>
      </c>
      <c r="F54" s="84">
        <v>106.96436058700209</v>
      </c>
      <c r="G54" s="84">
        <v>141.3556394129979</v>
      </c>
      <c r="H54" s="84">
        <v>2.58</v>
      </c>
      <c r="I54" s="84"/>
      <c r="J54" s="84">
        <f t="shared" si="3"/>
        <v>500.52000000000004</v>
      </c>
      <c r="K54" s="84">
        <f t="shared" si="4"/>
        <v>0</v>
      </c>
      <c r="L54" s="84">
        <f t="shared" si="5"/>
        <v>500.52000000000004</v>
      </c>
    </row>
    <row r="55" spans="1:16" x14ac:dyDescent="0.25">
      <c r="A55" s="105"/>
      <c r="B55" s="106" t="s">
        <v>229</v>
      </c>
      <c r="C55" s="105"/>
      <c r="D55" s="109">
        <v>1584</v>
      </c>
      <c r="E55" s="107">
        <v>2124.8200000000002</v>
      </c>
      <c r="F55" s="107">
        <v>1052</v>
      </c>
      <c r="G55" s="107">
        <v>1072.8200000000002</v>
      </c>
      <c r="H55" s="107"/>
      <c r="I55" s="107"/>
      <c r="J55" s="107"/>
      <c r="K55" s="107"/>
      <c r="L55" s="107">
        <f>SUM(L53:L54)</f>
        <v>3794.82</v>
      </c>
    </row>
    <row r="56" spans="1:16" x14ac:dyDescent="0.25">
      <c r="A56" s="72"/>
      <c r="B56" s="102" t="s">
        <v>109</v>
      </c>
      <c r="C56" s="72" t="s">
        <v>260</v>
      </c>
      <c r="D56" s="74">
        <v>1082</v>
      </c>
      <c r="E56" s="84">
        <v>1460.6999999999998</v>
      </c>
      <c r="F56" s="84">
        <v>864.9230837789662</v>
      </c>
      <c r="G56" s="84">
        <v>595.77691622103384</v>
      </c>
      <c r="H56" s="84">
        <v>2.37</v>
      </c>
      <c r="I56" s="84"/>
      <c r="J56" s="84">
        <f t="shared" si="3"/>
        <v>2564.34</v>
      </c>
      <c r="K56" s="84">
        <f t="shared" si="4"/>
        <v>0</v>
      </c>
      <c r="L56" s="84">
        <f t="shared" si="5"/>
        <v>2564.34</v>
      </c>
    </row>
    <row r="57" spans="1:16" x14ac:dyDescent="0.25">
      <c r="A57" s="72"/>
      <c r="B57" s="102"/>
      <c r="C57" s="72"/>
      <c r="D57" s="74">
        <v>174</v>
      </c>
      <c r="E57" s="84">
        <v>229.32000000000002</v>
      </c>
      <c r="F57" s="84">
        <v>187.07691622103385</v>
      </c>
      <c r="G57" s="84">
        <v>42.243083778966138</v>
      </c>
      <c r="H57" s="84">
        <v>2.58</v>
      </c>
      <c r="I57" s="84"/>
      <c r="J57" s="84">
        <f t="shared" si="3"/>
        <v>448.92</v>
      </c>
      <c r="K57" s="84">
        <f t="shared" si="4"/>
        <v>0</v>
      </c>
      <c r="L57" s="84">
        <f t="shared" si="5"/>
        <v>448.92</v>
      </c>
    </row>
    <row r="58" spans="1:16" x14ac:dyDescent="0.25">
      <c r="A58" s="105"/>
      <c r="B58" s="106" t="s">
        <v>230</v>
      </c>
      <c r="C58" s="105"/>
      <c r="D58" s="109">
        <v>1256</v>
      </c>
      <c r="E58" s="107">
        <v>1690.0199999999998</v>
      </c>
      <c r="F58" s="107">
        <v>1052</v>
      </c>
      <c r="G58" s="107">
        <v>638.02</v>
      </c>
      <c r="H58" s="107"/>
      <c r="I58" s="107"/>
      <c r="J58" s="107"/>
      <c r="K58" s="107"/>
      <c r="L58" s="107">
        <f>SUM(L56:L57)</f>
        <v>3013.26</v>
      </c>
    </row>
    <row r="59" spans="1:16" x14ac:dyDescent="0.25">
      <c r="A59" s="72"/>
      <c r="B59" s="102" t="s">
        <v>110</v>
      </c>
      <c r="C59" s="72" t="s">
        <v>260</v>
      </c>
      <c r="D59" s="74">
        <v>2185</v>
      </c>
      <c r="E59" s="84">
        <v>983.25</v>
      </c>
      <c r="F59" s="84">
        <v>1052</v>
      </c>
      <c r="G59" s="84">
        <v>-68.75</v>
      </c>
      <c r="H59" s="84">
        <v>1.0900000000000001</v>
      </c>
      <c r="I59" s="84"/>
      <c r="J59" s="84">
        <f t="shared" si="3"/>
        <v>2381.65</v>
      </c>
      <c r="K59" s="84">
        <f t="shared" si="4"/>
        <v>0</v>
      </c>
      <c r="L59" s="84">
        <f t="shared" si="5"/>
        <v>2381.65</v>
      </c>
    </row>
    <row r="60" spans="1:16" x14ac:dyDescent="0.25">
      <c r="A60" s="105"/>
      <c r="B60" s="106" t="s">
        <v>233</v>
      </c>
      <c r="C60" s="105"/>
      <c r="D60" s="109">
        <v>2185</v>
      </c>
      <c r="E60" s="107">
        <v>983.25</v>
      </c>
      <c r="F60" s="107">
        <v>1052</v>
      </c>
      <c r="G60" s="107">
        <v>-68.75</v>
      </c>
      <c r="H60" s="107"/>
      <c r="I60" s="107"/>
      <c r="J60" s="107"/>
      <c r="K60" s="107"/>
      <c r="L60" s="107">
        <f>SUM(L59:L59)</f>
        <v>2381.65</v>
      </c>
    </row>
    <row r="61" spans="1:16" s="68" customFormat="1" x14ac:dyDescent="0.25">
      <c r="A61" s="79" t="s">
        <v>235</v>
      </c>
      <c r="B61" s="104"/>
      <c r="C61" s="79"/>
      <c r="D61" s="89">
        <v>20570</v>
      </c>
      <c r="E61" s="86">
        <v>12219.34</v>
      </c>
      <c r="F61" s="86">
        <v>10520</v>
      </c>
      <c r="G61" s="86">
        <v>1699.3400000000001</v>
      </c>
      <c r="H61" s="86"/>
      <c r="I61" s="86"/>
      <c r="J61" s="86"/>
      <c r="K61" s="86"/>
      <c r="L61" s="86"/>
      <c r="M61" s="108"/>
      <c r="P61"/>
    </row>
    <row r="62" spans="1:16" x14ac:dyDescent="0.25">
      <c r="A62" s="72" t="s">
        <v>85</v>
      </c>
      <c r="B62" s="102" t="s">
        <v>95</v>
      </c>
      <c r="C62" s="72" t="s">
        <v>260</v>
      </c>
      <c r="D62" s="74">
        <v>865</v>
      </c>
      <c r="E62" s="84">
        <v>389.25</v>
      </c>
      <c r="F62" s="84">
        <v>610</v>
      </c>
      <c r="G62" s="84">
        <v>-220.75</v>
      </c>
      <c r="H62" s="84">
        <v>1.0900000000000001</v>
      </c>
      <c r="I62" s="84"/>
      <c r="J62" s="84">
        <f t="shared" si="3"/>
        <v>942.85</v>
      </c>
      <c r="K62" s="84">
        <f t="shared" si="4"/>
        <v>0</v>
      </c>
      <c r="L62" s="84">
        <f t="shared" si="5"/>
        <v>942.85</v>
      </c>
    </row>
    <row r="63" spans="1:16" x14ac:dyDescent="0.25">
      <c r="A63" s="105"/>
      <c r="B63" s="106" t="s">
        <v>213</v>
      </c>
      <c r="C63" s="105"/>
      <c r="D63" s="109">
        <v>865</v>
      </c>
      <c r="E63" s="107">
        <v>389.25</v>
      </c>
      <c r="F63" s="107">
        <v>610</v>
      </c>
      <c r="G63" s="107">
        <v>-220.75</v>
      </c>
      <c r="H63" s="107"/>
      <c r="I63" s="107"/>
      <c r="J63" s="107"/>
      <c r="K63" s="107"/>
      <c r="L63" s="107">
        <f>SUM(L62:L62)</f>
        <v>942.85</v>
      </c>
    </row>
    <row r="64" spans="1:16" x14ac:dyDescent="0.25">
      <c r="A64" s="72"/>
      <c r="B64" s="102" t="s">
        <v>97</v>
      </c>
      <c r="C64" s="72" t="s">
        <v>260</v>
      </c>
      <c r="D64" s="74">
        <v>551</v>
      </c>
      <c r="E64" s="84">
        <v>247.95</v>
      </c>
      <c r="F64" s="84">
        <v>305</v>
      </c>
      <c r="G64" s="84">
        <v>-57.050000000000011</v>
      </c>
      <c r="H64" s="84">
        <v>1.0900000000000001</v>
      </c>
      <c r="I64" s="84"/>
      <c r="J64" s="84">
        <f t="shared" si="3"/>
        <v>600.59</v>
      </c>
      <c r="K64" s="84">
        <f t="shared" si="4"/>
        <v>0</v>
      </c>
      <c r="L64" s="84">
        <f t="shared" si="5"/>
        <v>600.59</v>
      </c>
    </row>
    <row r="65" spans="1:16" x14ac:dyDescent="0.25">
      <c r="A65" s="72"/>
      <c r="B65" s="102"/>
      <c r="C65" s="72"/>
      <c r="D65" s="74">
        <v>705</v>
      </c>
      <c r="E65" s="84">
        <v>296.10000000000002</v>
      </c>
      <c r="F65" s="84">
        <v>305</v>
      </c>
      <c r="G65" s="84">
        <v>-8.8999999999999844</v>
      </c>
      <c r="H65" s="84">
        <v>1.1499999999999999</v>
      </c>
      <c r="I65" s="84"/>
      <c r="J65" s="84">
        <f t="shared" si="3"/>
        <v>810.74999999999989</v>
      </c>
      <c r="K65" s="84">
        <f t="shared" si="4"/>
        <v>0</v>
      </c>
      <c r="L65" s="84">
        <f t="shared" si="5"/>
        <v>810.74999999999989</v>
      </c>
    </row>
    <row r="66" spans="1:16" x14ac:dyDescent="0.25">
      <c r="A66" s="105"/>
      <c r="B66" s="106" t="s">
        <v>215</v>
      </c>
      <c r="C66" s="105"/>
      <c r="D66" s="109">
        <v>1256</v>
      </c>
      <c r="E66" s="107">
        <v>544.04999999999995</v>
      </c>
      <c r="F66" s="107">
        <v>610</v>
      </c>
      <c r="G66" s="107">
        <v>-65.949999999999989</v>
      </c>
      <c r="H66" s="107"/>
      <c r="I66" s="107"/>
      <c r="J66" s="107"/>
      <c r="K66" s="107"/>
      <c r="L66" s="107">
        <f>SUM(L64:L65)</f>
        <v>1411.34</v>
      </c>
    </row>
    <row r="67" spans="1:16" s="68" customFormat="1" x14ac:dyDescent="0.25">
      <c r="A67" s="79" t="s">
        <v>236</v>
      </c>
      <c r="B67" s="104"/>
      <c r="C67" s="79"/>
      <c r="D67" s="89">
        <v>2121</v>
      </c>
      <c r="E67" s="86">
        <v>933.30000000000007</v>
      </c>
      <c r="F67" s="86">
        <v>1220</v>
      </c>
      <c r="G67" s="86">
        <v>-286.7</v>
      </c>
      <c r="H67" s="86"/>
      <c r="I67" s="86"/>
      <c r="J67" s="86"/>
      <c r="K67" s="86"/>
      <c r="L67" s="86"/>
      <c r="M67" s="108"/>
      <c r="P67"/>
    </row>
    <row r="68" spans="1:16" x14ac:dyDescent="0.25">
      <c r="A68" s="72" t="s">
        <v>17</v>
      </c>
      <c r="B68" s="102" t="s">
        <v>111</v>
      </c>
      <c r="C68" s="72" t="s">
        <v>260</v>
      </c>
      <c r="D68" s="74">
        <v>4745</v>
      </c>
      <c r="E68" s="84">
        <v>3084.25</v>
      </c>
      <c r="F68" s="84">
        <v>1682</v>
      </c>
      <c r="G68" s="84">
        <v>1402.25</v>
      </c>
      <c r="H68" s="84">
        <v>1.64</v>
      </c>
      <c r="I68" s="84"/>
      <c r="J68" s="84">
        <f t="shared" si="3"/>
        <v>7781.7999999999993</v>
      </c>
      <c r="K68" s="84">
        <f t="shared" si="4"/>
        <v>0</v>
      </c>
      <c r="L68" s="84">
        <f t="shared" si="5"/>
        <v>7781.7999999999993</v>
      </c>
    </row>
    <row r="69" spans="1:16" x14ac:dyDescent="0.25">
      <c r="A69" s="105"/>
      <c r="B69" s="106" t="s">
        <v>237</v>
      </c>
      <c r="C69" s="105"/>
      <c r="D69" s="109">
        <v>4745</v>
      </c>
      <c r="E69" s="107">
        <v>3084.25</v>
      </c>
      <c r="F69" s="107">
        <v>1682</v>
      </c>
      <c r="G69" s="107">
        <v>1402.25</v>
      </c>
      <c r="H69" s="107"/>
      <c r="I69" s="107"/>
      <c r="J69" s="107"/>
      <c r="K69" s="107"/>
      <c r="L69" s="107">
        <f>SUM(L68:L68)</f>
        <v>7781.7999999999993</v>
      </c>
    </row>
    <row r="70" spans="1:16" x14ac:dyDescent="0.25">
      <c r="A70" s="72"/>
      <c r="B70" s="102" t="s">
        <v>113</v>
      </c>
      <c r="C70" s="72" t="s">
        <v>260</v>
      </c>
      <c r="D70" s="74">
        <v>4553</v>
      </c>
      <c r="E70" s="84">
        <v>2959.45</v>
      </c>
      <c r="F70" s="84">
        <v>1682</v>
      </c>
      <c r="G70" s="84">
        <v>1277.45</v>
      </c>
      <c r="H70" s="84">
        <v>1.64</v>
      </c>
      <c r="I70" s="84"/>
      <c r="J70" s="84">
        <f t="shared" ref="J69:J100" si="6">$D70*H70</f>
        <v>7466.9199999999992</v>
      </c>
      <c r="K70" s="84">
        <f t="shared" ref="K69:K100" si="7">$D70*I70</f>
        <v>0</v>
      </c>
      <c r="L70" s="84">
        <f t="shared" ref="L69:L100" si="8">J70+K70</f>
        <v>7466.9199999999992</v>
      </c>
    </row>
    <row r="71" spans="1:16" x14ac:dyDescent="0.25">
      <c r="A71" s="105"/>
      <c r="B71" s="106" t="s">
        <v>238</v>
      </c>
      <c r="C71" s="105"/>
      <c r="D71" s="109">
        <v>4553</v>
      </c>
      <c r="E71" s="107">
        <v>2959.45</v>
      </c>
      <c r="F71" s="107">
        <v>1682</v>
      </c>
      <c r="G71" s="107">
        <v>1277.45</v>
      </c>
      <c r="H71" s="107"/>
      <c r="I71" s="107"/>
      <c r="J71" s="107"/>
      <c r="K71" s="107"/>
      <c r="L71" s="107">
        <f>SUM(L70:L70)</f>
        <v>7466.9199999999992</v>
      </c>
    </row>
    <row r="72" spans="1:16" x14ac:dyDescent="0.25">
      <c r="A72" s="72"/>
      <c r="B72" s="102" t="s">
        <v>114</v>
      </c>
      <c r="C72" s="72" t="s">
        <v>260</v>
      </c>
      <c r="D72" s="74">
        <v>4074</v>
      </c>
      <c r="E72" s="84">
        <v>2648.1</v>
      </c>
      <c r="F72" s="84">
        <v>1680.2087326943556</v>
      </c>
      <c r="G72" s="84">
        <v>967.89126730564431</v>
      </c>
      <c r="H72" s="84">
        <v>1.64</v>
      </c>
      <c r="I72" s="84"/>
      <c r="J72" s="84">
        <f t="shared" si="6"/>
        <v>6681.36</v>
      </c>
      <c r="K72" s="84">
        <f t="shared" si="7"/>
        <v>0</v>
      </c>
      <c r="L72" s="84">
        <f t="shared" si="8"/>
        <v>6681.36</v>
      </c>
    </row>
    <row r="73" spans="1:16" x14ac:dyDescent="0.25">
      <c r="A73" s="72"/>
      <c r="B73" s="102"/>
      <c r="C73" s="72"/>
      <c r="D73" s="74">
        <v>4</v>
      </c>
      <c r="E73" s="84">
        <v>2.6</v>
      </c>
      <c r="F73" s="84">
        <v>1.7912673056443027</v>
      </c>
      <c r="G73" s="84">
        <v>0.80873269435569739</v>
      </c>
      <c r="H73" s="84">
        <v>1.76</v>
      </c>
      <c r="I73" s="84"/>
      <c r="J73" s="84">
        <f t="shared" si="6"/>
        <v>7.04</v>
      </c>
      <c r="K73" s="84">
        <f t="shared" si="7"/>
        <v>0</v>
      </c>
      <c r="L73" s="84">
        <f t="shared" si="8"/>
        <v>7.04</v>
      </c>
    </row>
    <row r="74" spans="1:16" x14ac:dyDescent="0.25">
      <c r="A74" s="105"/>
      <c r="B74" s="106" t="s">
        <v>239</v>
      </c>
      <c r="C74" s="105"/>
      <c r="D74" s="109">
        <v>4078</v>
      </c>
      <c r="E74" s="107">
        <v>2650.7</v>
      </c>
      <c r="F74" s="107">
        <v>1682</v>
      </c>
      <c r="G74" s="107">
        <v>968.7</v>
      </c>
      <c r="H74" s="107"/>
      <c r="I74" s="107"/>
      <c r="J74" s="107"/>
      <c r="K74" s="107"/>
      <c r="L74" s="107">
        <f>SUM(L72:L73)</f>
        <v>6688.4</v>
      </c>
    </row>
    <row r="75" spans="1:16" x14ac:dyDescent="0.25">
      <c r="A75" s="72"/>
      <c r="B75" s="102" t="s">
        <v>115</v>
      </c>
      <c r="C75" s="72" t="s">
        <v>260</v>
      </c>
      <c r="D75" s="74">
        <v>4075</v>
      </c>
      <c r="E75" s="84">
        <v>2648.75</v>
      </c>
      <c r="F75" s="84">
        <v>1682</v>
      </c>
      <c r="G75" s="84">
        <v>966.75</v>
      </c>
      <c r="H75" s="84">
        <v>1.64</v>
      </c>
      <c r="I75" s="84"/>
      <c r="J75" s="84">
        <f t="shared" si="6"/>
        <v>6683</v>
      </c>
      <c r="K75" s="84">
        <f t="shared" si="7"/>
        <v>0</v>
      </c>
      <c r="L75" s="84">
        <f t="shared" si="8"/>
        <v>6683</v>
      </c>
    </row>
    <row r="76" spans="1:16" x14ac:dyDescent="0.25">
      <c r="A76" s="105"/>
      <c r="B76" s="106" t="s">
        <v>240</v>
      </c>
      <c r="C76" s="105"/>
      <c r="D76" s="109">
        <v>4075</v>
      </c>
      <c r="E76" s="107">
        <v>2648.75</v>
      </c>
      <c r="F76" s="107">
        <v>1682</v>
      </c>
      <c r="G76" s="107">
        <v>966.75</v>
      </c>
      <c r="H76" s="107"/>
      <c r="I76" s="107"/>
      <c r="J76" s="107"/>
      <c r="K76" s="107"/>
      <c r="L76" s="107">
        <f>SUM(L75:L75)</f>
        <v>6683</v>
      </c>
    </row>
    <row r="77" spans="1:16" x14ac:dyDescent="0.25">
      <c r="A77" s="72"/>
      <c r="B77" s="102" t="s">
        <v>116</v>
      </c>
      <c r="C77" s="72" t="s">
        <v>260</v>
      </c>
      <c r="D77" s="74">
        <v>4320</v>
      </c>
      <c r="E77" s="84">
        <v>2808</v>
      </c>
      <c r="F77" s="84">
        <v>1682</v>
      </c>
      <c r="G77" s="84">
        <v>1126</v>
      </c>
      <c r="H77" s="84">
        <v>1.64</v>
      </c>
      <c r="I77" s="84"/>
      <c r="J77" s="84">
        <f t="shared" si="6"/>
        <v>7084.7999999999993</v>
      </c>
      <c r="K77" s="84">
        <f t="shared" si="7"/>
        <v>0</v>
      </c>
      <c r="L77" s="84">
        <f t="shared" si="8"/>
        <v>7084.7999999999993</v>
      </c>
    </row>
    <row r="78" spans="1:16" x14ac:dyDescent="0.25">
      <c r="A78" s="105"/>
      <c r="B78" s="106" t="s">
        <v>241</v>
      </c>
      <c r="C78" s="105"/>
      <c r="D78" s="109">
        <v>4320</v>
      </c>
      <c r="E78" s="107">
        <v>2808</v>
      </c>
      <c r="F78" s="107">
        <v>1682</v>
      </c>
      <c r="G78" s="107">
        <v>1126</v>
      </c>
      <c r="H78" s="107"/>
      <c r="I78" s="107"/>
      <c r="J78" s="107"/>
      <c r="K78" s="107"/>
      <c r="L78" s="107">
        <f>SUM(L77:L77)</f>
        <v>7084.7999999999993</v>
      </c>
    </row>
    <row r="79" spans="1:16" x14ac:dyDescent="0.25">
      <c r="A79" s="72"/>
      <c r="B79" s="102" t="s">
        <v>117</v>
      </c>
      <c r="C79" s="72" t="s">
        <v>260</v>
      </c>
      <c r="D79" s="74">
        <v>4636</v>
      </c>
      <c r="E79" s="84">
        <v>3013.4</v>
      </c>
      <c r="F79" s="84">
        <v>1680.568510638298</v>
      </c>
      <c r="G79" s="84">
        <v>1332.8314893617021</v>
      </c>
      <c r="H79" s="84">
        <v>1.64</v>
      </c>
      <c r="I79" s="84"/>
      <c r="J79" s="84">
        <f t="shared" si="6"/>
        <v>7603.04</v>
      </c>
      <c r="K79" s="84">
        <f t="shared" si="7"/>
        <v>0</v>
      </c>
      <c r="L79" s="84">
        <f t="shared" si="8"/>
        <v>7603.04</v>
      </c>
    </row>
    <row r="80" spans="1:16" x14ac:dyDescent="0.25">
      <c r="A80" s="72"/>
      <c r="B80" s="102"/>
      <c r="C80" s="72"/>
      <c r="D80" s="74">
        <v>4</v>
      </c>
      <c r="E80" s="84">
        <v>2.6</v>
      </c>
      <c r="F80" s="84">
        <v>1.4314893617021276</v>
      </c>
      <c r="G80" s="84">
        <v>1.1685106382978725</v>
      </c>
      <c r="H80" s="84">
        <v>1.76</v>
      </c>
      <c r="I80" s="84"/>
      <c r="J80" s="84">
        <f t="shared" si="6"/>
        <v>7.04</v>
      </c>
      <c r="K80" s="84">
        <f t="shared" si="7"/>
        <v>0</v>
      </c>
      <c r="L80" s="84">
        <f t="shared" si="8"/>
        <v>7.04</v>
      </c>
    </row>
    <row r="81" spans="1:16" x14ac:dyDescent="0.25">
      <c r="A81" s="105"/>
      <c r="B81" s="106" t="s">
        <v>242</v>
      </c>
      <c r="C81" s="105"/>
      <c r="D81" s="109">
        <v>4640</v>
      </c>
      <c r="E81" s="107">
        <v>3016</v>
      </c>
      <c r="F81" s="107">
        <v>1682.0000000000002</v>
      </c>
      <c r="G81" s="107">
        <v>1334</v>
      </c>
      <c r="H81" s="107"/>
      <c r="I81" s="107"/>
      <c r="J81" s="107"/>
      <c r="K81" s="107"/>
      <c r="L81" s="107">
        <f>SUM(L79:L80)</f>
        <v>7610.08</v>
      </c>
    </row>
    <row r="82" spans="1:16" s="68" customFormat="1" x14ac:dyDescent="0.25">
      <c r="A82" s="79" t="s">
        <v>244</v>
      </c>
      <c r="B82" s="104"/>
      <c r="C82" s="79"/>
      <c r="D82" s="89">
        <v>26411</v>
      </c>
      <c r="E82" s="86">
        <v>17167.149999999998</v>
      </c>
      <c r="F82" s="86">
        <v>10092.000000000002</v>
      </c>
      <c r="G82" s="86">
        <v>7075.15</v>
      </c>
      <c r="H82" s="86"/>
      <c r="I82" s="86"/>
      <c r="J82" s="86"/>
      <c r="K82" s="86"/>
      <c r="L82" s="86"/>
      <c r="M82" s="108"/>
      <c r="P82"/>
    </row>
    <row r="83" spans="1:16" x14ac:dyDescent="0.25">
      <c r="A83" s="72" t="s">
        <v>18</v>
      </c>
      <c r="B83" s="102" t="s">
        <v>95</v>
      </c>
      <c r="C83" s="72" t="s">
        <v>260</v>
      </c>
      <c r="D83" s="74">
        <v>35</v>
      </c>
      <c r="E83" s="84">
        <v>23.8</v>
      </c>
      <c r="F83" s="84">
        <v>14.691358024691358</v>
      </c>
      <c r="G83" s="84">
        <v>9.1086419753086432</v>
      </c>
      <c r="H83" s="84">
        <v>1.69</v>
      </c>
      <c r="I83" s="84"/>
      <c r="J83" s="84">
        <f t="shared" si="6"/>
        <v>59.15</v>
      </c>
      <c r="K83" s="84">
        <f t="shared" si="7"/>
        <v>0</v>
      </c>
      <c r="L83" s="84">
        <f t="shared" si="8"/>
        <v>59.15</v>
      </c>
    </row>
    <row r="84" spans="1:16" x14ac:dyDescent="0.25">
      <c r="A84" s="72"/>
      <c r="B84" s="102"/>
      <c r="C84" s="72"/>
      <c r="D84" s="74">
        <v>4962</v>
      </c>
      <c r="E84" s="84">
        <v>3473.4</v>
      </c>
      <c r="F84" s="84">
        <v>1956.0493827160494</v>
      </c>
      <c r="G84" s="84">
        <v>1517.3506172839507</v>
      </c>
      <c r="H84" s="84">
        <v>1.71</v>
      </c>
      <c r="I84" s="84"/>
      <c r="J84" s="84">
        <f t="shared" si="6"/>
        <v>8485.02</v>
      </c>
      <c r="K84" s="84">
        <f t="shared" si="7"/>
        <v>0</v>
      </c>
      <c r="L84" s="84">
        <f t="shared" si="8"/>
        <v>8485.02</v>
      </c>
    </row>
    <row r="85" spans="1:16" x14ac:dyDescent="0.25">
      <c r="A85" s="72"/>
      <c r="B85" s="102"/>
      <c r="C85" s="72"/>
      <c r="D85" s="74">
        <v>3</v>
      </c>
      <c r="E85" s="84">
        <v>2.4900000000000002</v>
      </c>
      <c r="F85" s="84">
        <v>1.2592592592592593</v>
      </c>
      <c r="G85" s="84">
        <v>1.2307407407407409</v>
      </c>
      <c r="H85" s="84">
        <v>2.13</v>
      </c>
      <c r="I85" s="84"/>
      <c r="J85" s="84">
        <f t="shared" si="6"/>
        <v>6.39</v>
      </c>
      <c r="K85" s="84">
        <f t="shared" si="7"/>
        <v>0</v>
      </c>
      <c r="L85" s="84">
        <f t="shared" si="8"/>
        <v>6.39</v>
      </c>
    </row>
    <row r="86" spans="1:16" x14ac:dyDescent="0.25">
      <c r="A86" s="105"/>
      <c r="B86" s="106" t="s">
        <v>213</v>
      </c>
      <c r="C86" s="105"/>
      <c r="D86" s="109">
        <v>5000</v>
      </c>
      <c r="E86" s="107">
        <v>3499.69</v>
      </c>
      <c r="F86" s="107">
        <v>1972.0000000000002</v>
      </c>
      <c r="G86" s="107">
        <v>1527.69</v>
      </c>
      <c r="H86" s="107"/>
      <c r="I86" s="107"/>
      <c r="J86" s="107"/>
      <c r="K86" s="107"/>
      <c r="L86" s="107">
        <f>SUM(L83:L85)</f>
        <v>8550.56</v>
      </c>
    </row>
    <row r="87" spans="1:16" x14ac:dyDescent="0.25">
      <c r="A87" s="72"/>
      <c r="B87" s="102" t="s">
        <v>118</v>
      </c>
      <c r="C87" s="72" t="s">
        <v>260</v>
      </c>
      <c r="D87" s="74">
        <v>3208</v>
      </c>
      <c r="E87" s="84">
        <v>2566.4</v>
      </c>
      <c r="F87" s="84">
        <v>1972</v>
      </c>
      <c r="G87" s="84">
        <v>594.40000000000009</v>
      </c>
      <c r="H87" s="84">
        <v>2.08</v>
      </c>
      <c r="I87" s="84"/>
      <c r="J87" s="84">
        <f t="shared" si="6"/>
        <v>6672.64</v>
      </c>
      <c r="K87" s="84">
        <f t="shared" si="7"/>
        <v>0</v>
      </c>
      <c r="L87" s="84">
        <f t="shared" si="8"/>
        <v>6672.64</v>
      </c>
    </row>
    <row r="88" spans="1:16" x14ac:dyDescent="0.25">
      <c r="A88" s="105"/>
      <c r="B88" s="106" t="s">
        <v>245</v>
      </c>
      <c r="C88" s="105"/>
      <c r="D88" s="109">
        <v>3208</v>
      </c>
      <c r="E88" s="107">
        <v>2566.4</v>
      </c>
      <c r="F88" s="107">
        <v>1972</v>
      </c>
      <c r="G88" s="107">
        <v>594.40000000000009</v>
      </c>
      <c r="H88" s="107"/>
      <c r="I88" s="107"/>
      <c r="J88" s="107"/>
      <c r="K88" s="107"/>
      <c r="L88" s="107">
        <f>SUM(L87:L87)</f>
        <v>6672.64</v>
      </c>
    </row>
    <row r="89" spans="1:16" x14ac:dyDescent="0.25">
      <c r="A89" s="72"/>
      <c r="B89" s="102" t="s">
        <v>119</v>
      </c>
      <c r="C89" s="72" t="s">
        <v>260</v>
      </c>
      <c r="D89" s="74">
        <v>1974</v>
      </c>
      <c r="E89" s="84">
        <v>1500.24</v>
      </c>
      <c r="F89" s="84">
        <v>734.47698113207548</v>
      </c>
      <c r="G89" s="84">
        <v>765.76301886792453</v>
      </c>
      <c r="H89" s="84">
        <v>1.43</v>
      </c>
      <c r="I89" s="84"/>
      <c r="J89" s="84">
        <f t="shared" si="6"/>
        <v>2822.8199999999997</v>
      </c>
      <c r="K89" s="84">
        <f t="shared" si="7"/>
        <v>0</v>
      </c>
      <c r="L89" s="84">
        <f t="shared" si="8"/>
        <v>2822.8199999999997</v>
      </c>
    </row>
    <row r="90" spans="1:16" x14ac:dyDescent="0.25">
      <c r="A90" s="72"/>
      <c r="B90" s="102"/>
      <c r="C90" s="72"/>
      <c r="D90" s="74">
        <v>2976</v>
      </c>
      <c r="E90" s="84">
        <v>2083.1999999999998</v>
      </c>
      <c r="F90" s="84">
        <v>1237.5230188679245</v>
      </c>
      <c r="G90" s="84">
        <v>845.67698113207553</v>
      </c>
      <c r="H90" s="84">
        <v>1.71</v>
      </c>
      <c r="I90" s="84"/>
      <c r="J90" s="84">
        <f t="shared" si="6"/>
        <v>5088.96</v>
      </c>
      <c r="K90" s="84">
        <f t="shared" si="7"/>
        <v>0</v>
      </c>
      <c r="L90" s="84">
        <f t="shared" si="8"/>
        <v>5088.96</v>
      </c>
    </row>
    <row r="91" spans="1:16" x14ac:dyDescent="0.25">
      <c r="A91" s="105"/>
      <c r="B91" s="106" t="s">
        <v>246</v>
      </c>
      <c r="C91" s="105"/>
      <c r="D91" s="109">
        <v>4950</v>
      </c>
      <c r="E91" s="107">
        <v>3583.4399999999996</v>
      </c>
      <c r="F91" s="107">
        <v>1972</v>
      </c>
      <c r="G91" s="107">
        <v>1611.44</v>
      </c>
      <c r="H91" s="107"/>
      <c r="I91" s="107"/>
      <c r="J91" s="107"/>
      <c r="K91" s="107"/>
      <c r="L91" s="107">
        <f>SUM(L89:L90)</f>
        <v>7911.78</v>
      </c>
    </row>
    <row r="92" spans="1:16" x14ac:dyDescent="0.25">
      <c r="A92" s="72"/>
      <c r="B92" s="102" t="s">
        <v>97</v>
      </c>
      <c r="C92" s="72" t="s">
        <v>260</v>
      </c>
      <c r="D92" s="74">
        <v>3493</v>
      </c>
      <c r="E92" s="84">
        <v>2445.1000000000004</v>
      </c>
      <c r="F92" s="84">
        <v>1964.8190476190475</v>
      </c>
      <c r="G92" s="84">
        <v>480.2809523809525</v>
      </c>
      <c r="H92" s="84">
        <v>1.71</v>
      </c>
      <c r="I92" s="84"/>
      <c r="J92" s="84">
        <f t="shared" si="6"/>
        <v>5973.03</v>
      </c>
      <c r="K92" s="84">
        <f t="shared" si="7"/>
        <v>0</v>
      </c>
      <c r="L92" s="84">
        <f t="shared" si="8"/>
        <v>5973.03</v>
      </c>
    </row>
    <row r="93" spans="1:16" x14ac:dyDescent="0.25">
      <c r="A93" s="72"/>
      <c r="B93" s="102"/>
      <c r="C93" s="72"/>
      <c r="D93" s="74">
        <v>9</v>
      </c>
      <c r="E93" s="84">
        <v>7.11</v>
      </c>
      <c r="F93" s="84">
        <v>4.9714285714285715</v>
      </c>
      <c r="G93" s="84">
        <v>2.1385714285714288</v>
      </c>
      <c r="H93" s="84">
        <v>1.86</v>
      </c>
      <c r="I93" s="84"/>
      <c r="J93" s="84">
        <f t="shared" si="6"/>
        <v>16.740000000000002</v>
      </c>
      <c r="K93" s="84">
        <f t="shared" si="7"/>
        <v>0</v>
      </c>
      <c r="L93" s="84">
        <f t="shared" si="8"/>
        <v>16.740000000000002</v>
      </c>
    </row>
    <row r="94" spans="1:16" x14ac:dyDescent="0.25">
      <c r="A94" s="72"/>
      <c r="B94" s="102"/>
      <c r="C94" s="72"/>
      <c r="D94" s="74">
        <v>4</v>
      </c>
      <c r="E94" s="84">
        <v>3.16</v>
      </c>
      <c r="F94" s="84">
        <v>2.2095238095238092</v>
      </c>
      <c r="G94" s="84">
        <v>0.95047619047619092</v>
      </c>
      <c r="H94" s="84">
        <v>1.99</v>
      </c>
      <c r="I94" s="84"/>
      <c r="J94" s="84">
        <f t="shared" si="6"/>
        <v>7.96</v>
      </c>
      <c r="K94" s="84">
        <f t="shared" si="7"/>
        <v>0</v>
      </c>
      <c r="L94" s="84">
        <f t="shared" si="8"/>
        <v>7.96</v>
      </c>
    </row>
    <row r="95" spans="1:16" x14ac:dyDescent="0.25">
      <c r="A95" s="105"/>
      <c r="B95" s="106" t="s">
        <v>215</v>
      </c>
      <c r="C95" s="105"/>
      <c r="D95" s="109">
        <v>3506</v>
      </c>
      <c r="E95" s="107">
        <v>2455.3700000000003</v>
      </c>
      <c r="F95" s="107">
        <v>1971.9999999999998</v>
      </c>
      <c r="G95" s="107">
        <v>483.37000000000012</v>
      </c>
      <c r="H95" s="107"/>
      <c r="I95" s="107"/>
      <c r="J95" s="107"/>
      <c r="K95" s="107"/>
      <c r="L95" s="107">
        <f>SUM(L92:L94)</f>
        <v>5997.73</v>
      </c>
    </row>
    <row r="96" spans="1:16" x14ac:dyDescent="0.25">
      <c r="A96" s="72"/>
      <c r="B96" s="102" t="s">
        <v>99</v>
      </c>
      <c r="C96" s="72" t="s">
        <v>260</v>
      </c>
      <c r="D96" s="74">
        <v>3272</v>
      </c>
      <c r="E96" s="84">
        <v>2290.4</v>
      </c>
      <c r="F96" s="84">
        <v>1972</v>
      </c>
      <c r="G96" s="84">
        <v>318.39999999999998</v>
      </c>
      <c r="H96" s="84">
        <v>1.71</v>
      </c>
      <c r="I96" s="84"/>
      <c r="J96" s="84">
        <f t="shared" si="6"/>
        <v>5595.12</v>
      </c>
      <c r="K96" s="84">
        <f t="shared" si="7"/>
        <v>0</v>
      </c>
      <c r="L96" s="84">
        <f t="shared" si="8"/>
        <v>5595.12</v>
      </c>
    </row>
    <row r="97" spans="1:16" x14ac:dyDescent="0.25">
      <c r="A97" s="105"/>
      <c r="B97" s="106" t="s">
        <v>216</v>
      </c>
      <c r="C97" s="105"/>
      <c r="D97" s="109">
        <v>3272</v>
      </c>
      <c r="E97" s="107">
        <v>2290.4</v>
      </c>
      <c r="F97" s="107">
        <v>1972</v>
      </c>
      <c r="G97" s="107">
        <v>318.39999999999998</v>
      </c>
      <c r="H97" s="107"/>
      <c r="I97" s="107"/>
      <c r="J97" s="107"/>
      <c r="K97" s="107"/>
      <c r="L97" s="107">
        <f>SUM(L96:L96)</f>
        <v>5595.12</v>
      </c>
    </row>
    <row r="98" spans="1:16" x14ac:dyDescent="0.25">
      <c r="A98" s="72"/>
      <c r="B98" s="102" t="s">
        <v>101</v>
      </c>
      <c r="C98" s="72" t="s">
        <v>260</v>
      </c>
      <c r="D98" s="74">
        <v>1188</v>
      </c>
      <c r="E98" s="84">
        <v>891</v>
      </c>
      <c r="F98" s="84">
        <v>946.4142857142856</v>
      </c>
      <c r="G98" s="84">
        <v>-55.414285714285768</v>
      </c>
      <c r="H98" s="84">
        <v>2.93</v>
      </c>
      <c r="I98" s="84"/>
      <c r="J98" s="84">
        <f t="shared" si="6"/>
        <v>3480.84</v>
      </c>
      <c r="K98" s="84">
        <f t="shared" si="7"/>
        <v>0</v>
      </c>
      <c r="L98" s="84">
        <f t="shared" si="8"/>
        <v>3480.84</v>
      </c>
    </row>
    <row r="99" spans="1:16" x14ac:dyDescent="0.25">
      <c r="A99" s="72"/>
      <c r="B99" s="102"/>
      <c r="C99" s="72"/>
      <c r="D99" s="74">
        <v>343</v>
      </c>
      <c r="E99" s="84">
        <v>425.32</v>
      </c>
      <c r="F99" s="84">
        <v>336.4482142857143</v>
      </c>
      <c r="G99" s="84">
        <v>88.871785714285707</v>
      </c>
      <c r="H99" s="84">
        <v>3.21</v>
      </c>
      <c r="I99" s="84"/>
      <c r="J99" s="84">
        <f t="shared" si="6"/>
        <v>1101.03</v>
      </c>
      <c r="K99" s="84">
        <f t="shared" si="7"/>
        <v>0</v>
      </c>
      <c r="L99" s="84">
        <f t="shared" si="8"/>
        <v>1101.03</v>
      </c>
    </row>
    <row r="100" spans="1:16" x14ac:dyDescent="0.25">
      <c r="A100" s="72"/>
      <c r="B100" s="102"/>
      <c r="C100" s="72"/>
      <c r="D100" s="74">
        <v>287</v>
      </c>
      <c r="E100" s="84">
        <v>393.19</v>
      </c>
      <c r="F100" s="84">
        <v>196.13749999999999</v>
      </c>
      <c r="G100" s="84">
        <v>197.05250000000001</v>
      </c>
      <c r="H100" s="84">
        <v>3.72</v>
      </c>
      <c r="I100" s="84"/>
      <c r="J100" s="84">
        <f t="shared" si="6"/>
        <v>1067.6400000000001</v>
      </c>
      <c r="K100" s="84">
        <f t="shared" si="7"/>
        <v>0</v>
      </c>
      <c r="L100" s="84">
        <f t="shared" si="8"/>
        <v>1067.6400000000001</v>
      </c>
    </row>
    <row r="101" spans="1:16" x14ac:dyDescent="0.25">
      <c r="A101" s="105"/>
      <c r="B101" s="106" t="s">
        <v>220</v>
      </c>
      <c r="C101" s="105"/>
      <c r="D101" s="109">
        <v>1818</v>
      </c>
      <c r="E101" s="107">
        <v>1709.51</v>
      </c>
      <c r="F101" s="107">
        <v>1479</v>
      </c>
      <c r="G101" s="107">
        <v>230.50999999999993</v>
      </c>
      <c r="H101" s="107"/>
      <c r="I101" s="107"/>
      <c r="J101" s="107"/>
      <c r="K101" s="107"/>
      <c r="L101" s="107">
        <f>SUM(L98:L100)</f>
        <v>5649.51</v>
      </c>
    </row>
    <row r="102" spans="1:16" x14ac:dyDescent="0.25">
      <c r="A102" s="72"/>
      <c r="B102" s="102" t="s">
        <v>102</v>
      </c>
      <c r="C102" s="72" t="s">
        <v>260</v>
      </c>
      <c r="D102" s="74">
        <v>67</v>
      </c>
      <c r="E102" s="84">
        <v>835.49</v>
      </c>
      <c r="F102" s="84">
        <v>782.94847192608381</v>
      </c>
      <c r="G102" s="84">
        <v>52.541528073916183</v>
      </c>
      <c r="H102" s="84"/>
      <c r="I102" s="84">
        <v>20.239999999999998</v>
      </c>
      <c r="J102" s="84">
        <f t="shared" ref="J101:J132" si="9">$D102*H102</f>
        <v>0</v>
      </c>
      <c r="K102" s="84">
        <f t="shared" ref="K101:K132" si="10">$D102*I102</f>
        <v>1356.08</v>
      </c>
      <c r="L102" s="84">
        <f t="shared" ref="L101:L132" si="11">J102+K102</f>
        <v>1356.08</v>
      </c>
    </row>
    <row r="103" spans="1:16" x14ac:dyDescent="0.25">
      <c r="A103" s="72"/>
      <c r="B103" s="102"/>
      <c r="C103" s="72"/>
      <c r="D103" s="74">
        <v>63</v>
      </c>
      <c r="E103" s="84">
        <v>785.61</v>
      </c>
      <c r="F103" s="84">
        <v>696.05152807391607</v>
      </c>
      <c r="G103" s="84">
        <v>89.558471926083854</v>
      </c>
      <c r="H103" s="84"/>
      <c r="I103" s="84"/>
      <c r="J103" s="84">
        <f t="shared" si="9"/>
        <v>0</v>
      </c>
      <c r="K103" s="84">
        <f t="shared" si="10"/>
        <v>0</v>
      </c>
      <c r="L103" s="84">
        <f t="shared" si="11"/>
        <v>0</v>
      </c>
    </row>
    <row r="104" spans="1:16" x14ac:dyDescent="0.25">
      <c r="A104" s="105"/>
      <c r="B104" s="106" t="s">
        <v>225</v>
      </c>
      <c r="C104" s="105"/>
      <c r="D104" s="109">
        <v>130</v>
      </c>
      <c r="E104" s="107">
        <v>1621.1</v>
      </c>
      <c r="F104" s="107">
        <v>1479</v>
      </c>
      <c r="G104" s="107">
        <v>142.10000000000002</v>
      </c>
      <c r="H104" s="107"/>
      <c r="I104" s="107"/>
      <c r="J104" s="107"/>
      <c r="K104" s="107"/>
      <c r="L104" s="107">
        <f>SUM(L102:L103)</f>
        <v>1356.08</v>
      </c>
    </row>
    <row r="105" spans="1:16" x14ac:dyDescent="0.25">
      <c r="A105" s="72"/>
      <c r="B105" s="102" t="s">
        <v>103</v>
      </c>
      <c r="C105" s="72" t="s">
        <v>260</v>
      </c>
      <c r="D105" s="74">
        <v>67</v>
      </c>
      <c r="E105" s="84">
        <v>835.49</v>
      </c>
      <c r="F105" s="84">
        <v>1585.6451612903227</v>
      </c>
      <c r="G105" s="84">
        <v>-750.15516129032267</v>
      </c>
      <c r="H105" s="84"/>
      <c r="I105" s="84">
        <v>20.239999999999998</v>
      </c>
      <c r="J105" s="84">
        <f t="shared" si="9"/>
        <v>0</v>
      </c>
      <c r="K105" s="84">
        <f t="shared" si="10"/>
        <v>1356.08</v>
      </c>
      <c r="L105" s="84">
        <f t="shared" si="11"/>
        <v>1356.08</v>
      </c>
    </row>
    <row r="106" spans="1:16" x14ac:dyDescent="0.25">
      <c r="A106" s="72"/>
      <c r="B106" s="102"/>
      <c r="C106" s="72"/>
      <c r="D106" s="74">
        <v>63</v>
      </c>
      <c r="E106" s="84">
        <v>785.61</v>
      </c>
      <c r="F106" s="84">
        <v>1372.3548387096773</v>
      </c>
      <c r="G106" s="84">
        <v>-586.74483870967742</v>
      </c>
      <c r="H106" s="84"/>
      <c r="I106" s="84"/>
      <c r="J106" s="84">
        <f t="shared" si="9"/>
        <v>0</v>
      </c>
      <c r="K106" s="84">
        <f t="shared" si="10"/>
        <v>0</v>
      </c>
      <c r="L106" s="84">
        <f t="shared" si="11"/>
        <v>0</v>
      </c>
    </row>
    <row r="107" spans="1:16" x14ac:dyDescent="0.25">
      <c r="A107" s="105"/>
      <c r="B107" s="106" t="s">
        <v>224</v>
      </c>
      <c r="C107" s="105"/>
      <c r="D107" s="109">
        <v>130</v>
      </c>
      <c r="E107" s="107">
        <v>1621.1</v>
      </c>
      <c r="F107" s="107">
        <v>2958</v>
      </c>
      <c r="G107" s="107">
        <v>-1336.9</v>
      </c>
      <c r="H107" s="107"/>
      <c r="I107" s="107"/>
      <c r="J107" s="107"/>
      <c r="K107" s="107"/>
      <c r="L107" s="107">
        <f>SUM(L105:L106)</f>
        <v>1356.08</v>
      </c>
    </row>
    <row r="108" spans="1:16" s="68" customFormat="1" x14ac:dyDescent="0.25">
      <c r="A108" s="79" t="s">
        <v>250</v>
      </c>
      <c r="B108" s="104"/>
      <c r="C108" s="79"/>
      <c r="D108" s="89">
        <v>22014</v>
      </c>
      <c r="E108" s="86">
        <v>19347.010000000002</v>
      </c>
      <c r="F108" s="86">
        <v>15776</v>
      </c>
      <c r="G108" s="86">
        <v>3571.01</v>
      </c>
      <c r="H108" s="86"/>
      <c r="I108" s="86"/>
      <c r="J108" s="86"/>
      <c r="K108" s="86"/>
      <c r="L108" s="86"/>
      <c r="M108" s="108"/>
      <c r="P108"/>
    </row>
    <row r="109" spans="1:16" x14ac:dyDescent="0.25">
      <c r="A109" s="72" t="s">
        <v>19</v>
      </c>
      <c r="B109" s="102" t="s">
        <v>95</v>
      </c>
      <c r="C109" s="72" t="s">
        <v>260</v>
      </c>
      <c r="D109" s="74">
        <v>6488</v>
      </c>
      <c r="E109" s="84">
        <v>4801.12</v>
      </c>
      <c r="F109" s="84">
        <v>2183.6104938271606</v>
      </c>
      <c r="G109" s="84">
        <v>2617.5095061728393</v>
      </c>
      <c r="H109" s="84">
        <v>1.38</v>
      </c>
      <c r="I109" s="84"/>
      <c r="J109" s="84">
        <f t="shared" si="9"/>
        <v>8953.4399999999987</v>
      </c>
      <c r="K109" s="84">
        <f t="shared" si="10"/>
        <v>0</v>
      </c>
      <c r="L109" s="84">
        <f t="shared" si="11"/>
        <v>8953.4399999999987</v>
      </c>
    </row>
    <row r="110" spans="1:16" x14ac:dyDescent="0.25">
      <c r="A110" s="72"/>
      <c r="B110" s="102"/>
      <c r="C110" s="72"/>
      <c r="D110" s="74">
        <v>13</v>
      </c>
      <c r="E110" s="84">
        <v>8.4499999999999993</v>
      </c>
      <c r="F110" s="84">
        <v>4.3895061728395062</v>
      </c>
      <c r="G110" s="84">
        <v>4.0604938271604931</v>
      </c>
      <c r="H110" s="84">
        <v>1.74</v>
      </c>
      <c r="I110" s="84"/>
      <c r="J110" s="84">
        <f t="shared" si="9"/>
        <v>22.62</v>
      </c>
      <c r="K110" s="84">
        <f t="shared" si="10"/>
        <v>0</v>
      </c>
      <c r="L110" s="84">
        <f t="shared" si="11"/>
        <v>22.62</v>
      </c>
    </row>
    <row r="111" spans="1:16" x14ac:dyDescent="0.25">
      <c r="A111" s="105"/>
      <c r="B111" s="106" t="s">
        <v>213</v>
      </c>
      <c r="C111" s="105"/>
      <c r="D111" s="109">
        <v>6501</v>
      </c>
      <c r="E111" s="107">
        <v>4809.57</v>
      </c>
      <c r="F111" s="107">
        <v>2188</v>
      </c>
      <c r="G111" s="107">
        <v>2621.5699999999997</v>
      </c>
      <c r="H111" s="107"/>
      <c r="I111" s="107"/>
      <c r="J111" s="107"/>
      <c r="K111" s="107"/>
      <c r="L111" s="107">
        <f>SUM(L109:L110)</f>
        <v>8976.06</v>
      </c>
    </row>
    <row r="112" spans="1:16" x14ac:dyDescent="0.25">
      <c r="A112" s="72"/>
      <c r="B112" s="102" t="s">
        <v>105</v>
      </c>
      <c r="C112" s="72" t="s">
        <v>260</v>
      </c>
      <c r="D112" s="74">
        <v>24</v>
      </c>
      <c r="E112" s="84">
        <v>16.8</v>
      </c>
      <c r="F112" s="84">
        <v>16.950290510006457</v>
      </c>
      <c r="G112" s="84">
        <v>-0.15029051000645666</v>
      </c>
      <c r="H112" s="84">
        <v>1.71</v>
      </c>
      <c r="I112" s="84"/>
      <c r="J112" s="84">
        <f t="shared" si="9"/>
        <v>41.04</v>
      </c>
      <c r="K112" s="84">
        <f t="shared" si="10"/>
        <v>0</v>
      </c>
      <c r="L112" s="84">
        <f t="shared" si="11"/>
        <v>41.04</v>
      </c>
    </row>
    <row r="113" spans="1:12" x14ac:dyDescent="0.25">
      <c r="A113" s="72"/>
      <c r="B113" s="102"/>
      <c r="C113" s="72"/>
      <c r="D113" s="74">
        <v>3157</v>
      </c>
      <c r="E113" s="84">
        <v>2494.0299999999997</v>
      </c>
      <c r="F113" s="84">
        <v>2142.9649333705902</v>
      </c>
      <c r="G113" s="84">
        <v>351.06506662940944</v>
      </c>
      <c r="H113" s="84">
        <v>2.0099999999999998</v>
      </c>
      <c r="I113" s="84"/>
      <c r="J113" s="84">
        <f t="shared" si="9"/>
        <v>6345.57</v>
      </c>
      <c r="K113" s="84">
        <f t="shared" si="10"/>
        <v>0</v>
      </c>
      <c r="L113" s="84">
        <f t="shared" si="11"/>
        <v>6345.57</v>
      </c>
    </row>
    <row r="114" spans="1:12" x14ac:dyDescent="0.25">
      <c r="A114" s="72"/>
      <c r="B114" s="102"/>
      <c r="C114" s="72"/>
      <c r="D114" s="74">
        <v>43</v>
      </c>
      <c r="E114" s="84">
        <v>39.99</v>
      </c>
      <c r="F114" s="84">
        <v>28.084776119402985</v>
      </c>
      <c r="G114" s="84">
        <v>11.905223880597017</v>
      </c>
      <c r="H114" s="84">
        <v>2.2400000000000002</v>
      </c>
      <c r="I114" s="84"/>
      <c r="J114" s="84">
        <f t="shared" si="9"/>
        <v>96.320000000000007</v>
      </c>
      <c r="K114" s="84">
        <f t="shared" si="10"/>
        <v>0</v>
      </c>
      <c r="L114" s="84">
        <f t="shared" si="11"/>
        <v>96.320000000000007</v>
      </c>
    </row>
    <row r="115" spans="1:12" x14ac:dyDescent="0.25">
      <c r="A115" s="105"/>
      <c r="B115" s="106" t="s">
        <v>232</v>
      </c>
      <c r="C115" s="105"/>
      <c r="D115" s="109">
        <v>3224</v>
      </c>
      <c r="E115" s="107">
        <v>2550.8199999999997</v>
      </c>
      <c r="F115" s="107">
        <v>2188</v>
      </c>
      <c r="G115" s="107">
        <v>362.82</v>
      </c>
      <c r="H115" s="107"/>
      <c r="I115" s="107"/>
      <c r="J115" s="107"/>
      <c r="K115" s="107"/>
      <c r="L115" s="107">
        <f>SUM(L112:L114)</f>
        <v>6482.9299999999994</v>
      </c>
    </row>
    <row r="116" spans="1:12" x14ac:dyDescent="0.25">
      <c r="A116" s="72"/>
      <c r="B116" s="102" t="s">
        <v>118</v>
      </c>
      <c r="C116" s="72" t="s">
        <v>260</v>
      </c>
      <c r="D116" s="74">
        <v>25</v>
      </c>
      <c r="E116" s="84">
        <v>17.5</v>
      </c>
      <c r="F116" s="84">
        <v>17.64516129032258</v>
      </c>
      <c r="G116" s="84">
        <v>-0.14516129032258007</v>
      </c>
      <c r="H116" s="84">
        <v>1.71</v>
      </c>
      <c r="I116" s="84"/>
      <c r="J116" s="84">
        <f t="shared" si="9"/>
        <v>42.75</v>
      </c>
      <c r="K116" s="84">
        <f t="shared" si="10"/>
        <v>0</v>
      </c>
      <c r="L116" s="84">
        <f t="shared" si="11"/>
        <v>42.75</v>
      </c>
    </row>
    <row r="117" spans="1:12" x14ac:dyDescent="0.25">
      <c r="A117" s="72"/>
      <c r="B117" s="102"/>
      <c r="C117" s="72"/>
      <c r="D117" s="74">
        <v>3158</v>
      </c>
      <c r="E117" s="84">
        <v>2494.8199999999997</v>
      </c>
      <c r="F117" s="84">
        <v>2142.9231969186326</v>
      </c>
      <c r="G117" s="84">
        <v>351.89680308136724</v>
      </c>
      <c r="H117" s="84">
        <v>2.0099999999999998</v>
      </c>
      <c r="I117" s="84"/>
      <c r="J117" s="84">
        <f t="shared" si="9"/>
        <v>6347.579999999999</v>
      </c>
      <c r="K117" s="84">
        <f t="shared" si="10"/>
        <v>0</v>
      </c>
      <c r="L117" s="84">
        <f t="shared" si="11"/>
        <v>6347.579999999999</v>
      </c>
    </row>
    <row r="118" spans="1:12" x14ac:dyDescent="0.25">
      <c r="A118" s="72"/>
      <c r="B118" s="102"/>
      <c r="C118" s="72"/>
      <c r="D118" s="74">
        <v>42</v>
      </c>
      <c r="E118" s="84">
        <v>39.06</v>
      </c>
      <c r="F118" s="84">
        <v>27.431641791044775</v>
      </c>
      <c r="G118" s="84">
        <v>11.628358208955227</v>
      </c>
      <c r="H118" s="84">
        <v>2.2400000000000002</v>
      </c>
      <c r="I118" s="84"/>
      <c r="J118" s="84">
        <f t="shared" si="9"/>
        <v>94.080000000000013</v>
      </c>
      <c r="K118" s="84">
        <f t="shared" si="10"/>
        <v>0</v>
      </c>
      <c r="L118" s="84">
        <f t="shared" si="11"/>
        <v>94.080000000000013</v>
      </c>
    </row>
    <row r="119" spans="1:12" x14ac:dyDescent="0.25">
      <c r="A119" s="105"/>
      <c r="B119" s="106" t="s">
        <v>245</v>
      </c>
      <c r="C119" s="105"/>
      <c r="D119" s="109">
        <v>3225</v>
      </c>
      <c r="E119" s="107">
        <v>2551.3799999999997</v>
      </c>
      <c r="F119" s="107">
        <v>2188</v>
      </c>
      <c r="G119" s="107">
        <v>363.37999999999988</v>
      </c>
      <c r="H119" s="107"/>
      <c r="I119" s="107"/>
      <c r="J119" s="107"/>
      <c r="K119" s="107"/>
      <c r="L119" s="107">
        <f>SUM(L116:L118)</f>
        <v>6484.4099999999989</v>
      </c>
    </row>
    <row r="120" spans="1:12" x14ac:dyDescent="0.25">
      <c r="A120" s="72"/>
      <c r="B120" s="102" t="s">
        <v>119</v>
      </c>
      <c r="C120" s="72" t="s">
        <v>260</v>
      </c>
      <c r="D120" s="74">
        <v>3</v>
      </c>
      <c r="E120" s="84">
        <v>2.25</v>
      </c>
      <c r="F120" s="84">
        <v>1.641</v>
      </c>
      <c r="G120" s="84">
        <v>0.60899999999999999</v>
      </c>
      <c r="H120" s="84">
        <v>1.94</v>
      </c>
      <c r="I120" s="84"/>
      <c r="J120" s="84">
        <f t="shared" si="9"/>
        <v>5.82</v>
      </c>
      <c r="K120" s="84">
        <f t="shared" si="10"/>
        <v>0</v>
      </c>
      <c r="L120" s="84">
        <f t="shared" si="11"/>
        <v>5.82</v>
      </c>
    </row>
    <row r="121" spans="1:12" x14ac:dyDescent="0.25">
      <c r="A121" s="72"/>
      <c r="B121" s="102"/>
      <c r="C121" s="72"/>
      <c r="D121" s="74">
        <v>3997</v>
      </c>
      <c r="E121" s="84">
        <v>3317.51</v>
      </c>
      <c r="F121" s="84">
        <v>2186.3590000000004</v>
      </c>
      <c r="G121" s="84">
        <v>1131.1509999999998</v>
      </c>
      <c r="H121" s="84">
        <v>2.13</v>
      </c>
      <c r="I121" s="84"/>
      <c r="J121" s="84">
        <f t="shared" si="9"/>
        <v>8513.6099999999988</v>
      </c>
      <c r="K121" s="84">
        <f t="shared" si="10"/>
        <v>0</v>
      </c>
      <c r="L121" s="84">
        <f t="shared" si="11"/>
        <v>8513.6099999999988</v>
      </c>
    </row>
    <row r="122" spans="1:12" x14ac:dyDescent="0.25">
      <c r="A122" s="105"/>
      <c r="B122" s="106" t="s">
        <v>246</v>
      </c>
      <c r="C122" s="105"/>
      <c r="D122" s="109">
        <v>4000</v>
      </c>
      <c r="E122" s="107">
        <v>3319.76</v>
      </c>
      <c r="F122" s="107">
        <v>2188.0000000000005</v>
      </c>
      <c r="G122" s="107">
        <v>1131.7599999999998</v>
      </c>
      <c r="H122" s="107"/>
      <c r="I122" s="107"/>
      <c r="J122" s="107"/>
      <c r="K122" s="107"/>
      <c r="L122" s="107">
        <f>SUM(L120:L121)</f>
        <v>8519.4299999999985</v>
      </c>
    </row>
    <row r="123" spans="1:12" x14ac:dyDescent="0.25">
      <c r="A123" s="72"/>
      <c r="B123" s="102" t="s">
        <v>123</v>
      </c>
      <c r="C123" s="72" t="s">
        <v>260</v>
      </c>
      <c r="D123" s="74">
        <v>2</v>
      </c>
      <c r="E123" s="84">
        <v>1.5</v>
      </c>
      <c r="F123" s="84">
        <v>1.0940000000000001</v>
      </c>
      <c r="G123" s="84">
        <v>0.40599999999999992</v>
      </c>
      <c r="H123" s="84">
        <v>1.94</v>
      </c>
      <c r="I123" s="84"/>
      <c r="J123" s="84">
        <f t="shared" si="9"/>
        <v>3.88</v>
      </c>
      <c r="K123" s="84">
        <f t="shared" si="10"/>
        <v>0</v>
      </c>
      <c r="L123" s="84">
        <f t="shared" si="11"/>
        <v>3.88</v>
      </c>
    </row>
    <row r="124" spans="1:12" x14ac:dyDescent="0.25">
      <c r="A124" s="72"/>
      <c r="B124" s="102"/>
      <c r="C124" s="72"/>
      <c r="D124" s="74">
        <v>3998</v>
      </c>
      <c r="E124" s="84">
        <v>3318.34</v>
      </c>
      <c r="F124" s="84">
        <v>2186.9059999999999</v>
      </c>
      <c r="G124" s="84">
        <v>1131.434</v>
      </c>
      <c r="H124" s="84">
        <v>2.13</v>
      </c>
      <c r="I124" s="84"/>
      <c r="J124" s="84">
        <f t="shared" si="9"/>
        <v>8515.74</v>
      </c>
      <c r="K124" s="84">
        <f t="shared" si="10"/>
        <v>0</v>
      </c>
      <c r="L124" s="84">
        <f t="shared" si="11"/>
        <v>8515.74</v>
      </c>
    </row>
    <row r="125" spans="1:12" x14ac:dyDescent="0.25">
      <c r="A125" s="105"/>
      <c r="B125" s="106" t="s">
        <v>251</v>
      </c>
      <c r="C125" s="105"/>
      <c r="D125" s="109">
        <v>4000</v>
      </c>
      <c r="E125" s="107">
        <v>3319.84</v>
      </c>
      <c r="F125" s="107">
        <v>2188</v>
      </c>
      <c r="G125" s="107">
        <v>1131.8399999999999</v>
      </c>
      <c r="H125" s="107"/>
      <c r="I125" s="107"/>
      <c r="J125" s="107"/>
      <c r="K125" s="107"/>
      <c r="L125" s="107">
        <f>SUM(L123:L124)</f>
        <v>8519.619999999999</v>
      </c>
    </row>
    <row r="126" spans="1:12" x14ac:dyDescent="0.25">
      <c r="A126" s="72"/>
      <c r="B126" s="102" t="s">
        <v>97</v>
      </c>
      <c r="C126" s="72" t="s">
        <v>260</v>
      </c>
      <c r="D126" s="74">
        <v>3700</v>
      </c>
      <c r="E126" s="84">
        <v>2516</v>
      </c>
      <c r="F126" s="84">
        <v>2188</v>
      </c>
      <c r="G126" s="84">
        <v>328</v>
      </c>
      <c r="H126" s="84">
        <v>1.76</v>
      </c>
      <c r="I126" s="84"/>
      <c r="J126" s="84">
        <f t="shared" si="9"/>
        <v>6512</v>
      </c>
      <c r="K126" s="84">
        <f t="shared" si="10"/>
        <v>0</v>
      </c>
      <c r="L126" s="84">
        <f t="shared" si="11"/>
        <v>6512</v>
      </c>
    </row>
    <row r="127" spans="1:12" x14ac:dyDescent="0.25">
      <c r="A127" s="105"/>
      <c r="B127" s="106" t="s">
        <v>215</v>
      </c>
      <c r="C127" s="105"/>
      <c r="D127" s="109">
        <v>3700</v>
      </c>
      <c r="E127" s="107">
        <v>2516</v>
      </c>
      <c r="F127" s="107">
        <v>2188</v>
      </c>
      <c r="G127" s="107">
        <v>328</v>
      </c>
      <c r="H127" s="107"/>
      <c r="I127" s="107"/>
      <c r="J127" s="107"/>
      <c r="K127" s="107"/>
      <c r="L127" s="107">
        <f>SUM(L126:L126)</f>
        <v>6512</v>
      </c>
    </row>
    <row r="128" spans="1:12" x14ac:dyDescent="0.25">
      <c r="A128" s="72"/>
      <c r="B128" s="102" t="s">
        <v>99</v>
      </c>
      <c r="C128" s="72" t="s">
        <v>260</v>
      </c>
      <c r="D128" s="74">
        <v>3700</v>
      </c>
      <c r="E128" s="84">
        <v>2516</v>
      </c>
      <c r="F128" s="84">
        <v>2188</v>
      </c>
      <c r="G128" s="84">
        <v>328</v>
      </c>
      <c r="H128" s="84">
        <v>1.76</v>
      </c>
      <c r="I128" s="84"/>
      <c r="J128" s="84">
        <f t="shared" si="9"/>
        <v>6512</v>
      </c>
      <c r="K128" s="84">
        <f t="shared" si="10"/>
        <v>0</v>
      </c>
      <c r="L128" s="84">
        <f t="shared" si="11"/>
        <v>6512</v>
      </c>
    </row>
    <row r="129" spans="1:12" x14ac:dyDescent="0.25">
      <c r="A129" s="105"/>
      <c r="B129" s="106" t="s">
        <v>216</v>
      </c>
      <c r="C129" s="105"/>
      <c r="D129" s="109">
        <v>3700</v>
      </c>
      <c r="E129" s="107">
        <v>2516</v>
      </c>
      <c r="F129" s="107">
        <v>2188</v>
      </c>
      <c r="G129" s="107">
        <v>328</v>
      </c>
      <c r="H129" s="107"/>
      <c r="I129" s="107"/>
      <c r="J129" s="107"/>
      <c r="K129" s="107"/>
      <c r="L129" s="107">
        <f>SUM(L128:L128)</f>
        <v>6512</v>
      </c>
    </row>
    <row r="130" spans="1:12" x14ac:dyDescent="0.25">
      <c r="A130" s="72"/>
      <c r="B130" s="102" t="s">
        <v>101</v>
      </c>
      <c r="C130" s="72" t="s">
        <v>260</v>
      </c>
      <c r="D130" s="74">
        <v>1452</v>
      </c>
      <c r="E130" s="84">
        <v>1074.48</v>
      </c>
      <c r="F130" s="84">
        <v>711.6881720430107</v>
      </c>
      <c r="G130" s="84">
        <v>362.79182795698938</v>
      </c>
      <c r="H130" s="84">
        <v>1.38</v>
      </c>
      <c r="I130" s="84"/>
      <c r="J130" s="84">
        <f t="shared" si="9"/>
        <v>2003.7599999999998</v>
      </c>
      <c r="K130" s="84">
        <f t="shared" si="10"/>
        <v>0</v>
      </c>
      <c r="L130" s="84">
        <f t="shared" si="11"/>
        <v>2003.7599999999998</v>
      </c>
    </row>
    <row r="131" spans="1:12" x14ac:dyDescent="0.25">
      <c r="A131" s="72"/>
      <c r="B131" s="102"/>
      <c r="C131" s="72"/>
      <c r="D131" s="74">
        <v>3180</v>
      </c>
      <c r="E131" s="84">
        <v>2448.6</v>
      </c>
      <c r="F131" s="84">
        <v>1476.3118279569892</v>
      </c>
      <c r="G131" s="84">
        <v>972.28817204301072</v>
      </c>
      <c r="H131" s="84">
        <v>1.46</v>
      </c>
      <c r="I131" s="84"/>
      <c r="J131" s="84">
        <f t="shared" si="9"/>
        <v>4642.8</v>
      </c>
      <c r="K131" s="84">
        <f t="shared" si="10"/>
        <v>0</v>
      </c>
      <c r="L131" s="84">
        <f t="shared" si="11"/>
        <v>4642.8</v>
      </c>
    </row>
    <row r="132" spans="1:12" x14ac:dyDescent="0.25">
      <c r="A132" s="105"/>
      <c r="B132" s="106" t="s">
        <v>220</v>
      </c>
      <c r="C132" s="105"/>
      <c r="D132" s="109">
        <v>4632</v>
      </c>
      <c r="E132" s="107">
        <v>3523.08</v>
      </c>
      <c r="F132" s="107">
        <v>2188</v>
      </c>
      <c r="G132" s="107">
        <v>1335.0800000000002</v>
      </c>
      <c r="H132" s="107"/>
      <c r="I132" s="107"/>
      <c r="J132" s="107"/>
      <c r="K132" s="107"/>
      <c r="L132" s="107">
        <f>SUM(L130:L131)</f>
        <v>6646.5599999999995</v>
      </c>
    </row>
    <row r="133" spans="1:12" x14ac:dyDescent="0.25">
      <c r="A133" s="72"/>
      <c r="B133" s="102" t="s">
        <v>102</v>
      </c>
      <c r="C133" s="72" t="s">
        <v>260</v>
      </c>
      <c r="D133" s="74">
        <v>1453</v>
      </c>
      <c r="E133" s="84">
        <v>1075.22</v>
      </c>
      <c r="F133" s="84">
        <v>711.85938199731299</v>
      </c>
      <c r="G133" s="84">
        <v>363.36061800268703</v>
      </c>
      <c r="H133" s="84">
        <v>1.38</v>
      </c>
      <c r="I133" s="84"/>
      <c r="J133" s="84">
        <f t="shared" ref="J133:J147" si="12">$D133*H133</f>
        <v>2005.1399999999999</v>
      </c>
      <c r="K133" s="84">
        <f t="shared" ref="K133:K147" si="13">$D133*I133</f>
        <v>0</v>
      </c>
      <c r="L133" s="84">
        <f t="shared" ref="L133:L164" si="14">J133+K133</f>
        <v>2005.1399999999999</v>
      </c>
    </row>
    <row r="134" spans="1:12" x14ac:dyDescent="0.25">
      <c r="A134" s="72"/>
      <c r="B134" s="102"/>
      <c r="C134" s="72"/>
      <c r="D134" s="74">
        <v>3180</v>
      </c>
      <c r="E134" s="84">
        <v>2448.6</v>
      </c>
      <c r="F134" s="84">
        <v>1476.140618002687</v>
      </c>
      <c r="G134" s="84">
        <v>972.45938199731302</v>
      </c>
      <c r="H134" s="84">
        <v>1.46</v>
      </c>
      <c r="I134" s="84"/>
      <c r="J134" s="84">
        <f t="shared" si="12"/>
        <v>4642.8</v>
      </c>
      <c r="K134" s="84">
        <f t="shared" si="13"/>
        <v>0</v>
      </c>
      <c r="L134" s="84">
        <f t="shared" si="14"/>
        <v>4642.8</v>
      </c>
    </row>
    <row r="135" spans="1:12" x14ac:dyDescent="0.25">
      <c r="A135" s="105"/>
      <c r="B135" s="106" t="s">
        <v>225</v>
      </c>
      <c r="C135" s="105"/>
      <c r="D135" s="109">
        <v>4633</v>
      </c>
      <c r="E135" s="107">
        <v>3523.8199999999997</v>
      </c>
      <c r="F135" s="107">
        <v>2188</v>
      </c>
      <c r="G135" s="107">
        <v>1335.8200000000002</v>
      </c>
      <c r="H135" s="107"/>
      <c r="I135" s="107"/>
      <c r="J135" s="107"/>
      <c r="K135" s="107"/>
      <c r="L135" s="107">
        <f>SUM(L133:L134)</f>
        <v>6647.9400000000005</v>
      </c>
    </row>
    <row r="136" spans="1:12" x14ac:dyDescent="0.25">
      <c r="A136" s="72"/>
      <c r="B136" s="102" t="s">
        <v>103</v>
      </c>
      <c r="C136" s="72" t="s">
        <v>260</v>
      </c>
      <c r="D136" s="74">
        <v>496</v>
      </c>
      <c r="E136" s="84">
        <v>367.04</v>
      </c>
      <c r="F136" s="84">
        <v>235.92347826086956</v>
      </c>
      <c r="G136" s="84">
        <v>131.11652173913046</v>
      </c>
      <c r="H136" s="84">
        <v>1.38</v>
      </c>
      <c r="I136" s="84"/>
      <c r="J136" s="84">
        <f t="shared" si="12"/>
        <v>684.4799999999999</v>
      </c>
      <c r="K136" s="84">
        <f t="shared" si="13"/>
        <v>0</v>
      </c>
      <c r="L136" s="84">
        <f t="shared" si="14"/>
        <v>684.4799999999999</v>
      </c>
    </row>
    <row r="137" spans="1:12" x14ac:dyDescent="0.25">
      <c r="A137" s="72"/>
      <c r="B137" s="102"/>
      <c r="C137" s="72"/>
      <c r="D137" s="74">
        <v>4004</v>
      </c>
      <c r="E137" s="84">
        <v>3083.08</v>
      </c>
      <c r="F137" s="84">
        <v>1915.5457660273553</v>
      </c>
      <c r="G137" s="84">
        <v>1167.5342339726446</v>
      </c>
      <c r="H137" s="84">
        <v>1.46</v>
      </c>
      <c r="I137" s="84"/>
      <c r="J137" s="84">
        <f t="shared" si="12"/>
        <v>5845.84</v>
      </c>
      <c r="K137" s="84">
        <f t="shared" si="13"/>
        <v>0</v>
      </c>
      <c r="L137" s="84">
        <f t="shared" si="14"/>
        <v>5845.84</v>
      </c>
    </row>
    <row r="138" spans="1:12" x14ac:dyDescent="0.25">
      <c r="A138" s="72"/>
      <c r="B138" s="102"/>
      <c r="C138" s="72"/>
      <c r="D138" s="74">
        <v>76</v>
      </c>
      <c r="E138" s="84">
        <v>60.04</v>
      </c>
      <c r="F138" s="84">
        <v>36.530755711775043</v>
      </c>
      <c r="G138" s="84">
        <v>23.509244288224956</v>
      </c>
      <c r="H138" s="84">
        <v>1.99</v>
      </c>
      <c r="I138" s="84"/>
      <c r="J138" s="84">
        <f t="shared" si="12"/>
        <v>151.24</v>
      </c>
      <c r="K138" s="84">
        <f t="shared" si="13"/>
        <v>0</v>
      </c>
      <c r="L138" s="84">
        <f t="shared" si="14"/>
        <v>151.24</v>
      </c>
    </row>
    <row r="139" spans="1:12" x14ac:dyDescent="0.25">
      <c r="A139" s="105"/>
      <c r="B139" s="106" t="s">
        <v>224</v>
      </c>
      <c r="C139" s="105"/>
      <c r="D139" s="109">
        <v>4576</v>
      </c>
      <c r="E139" s="107">
        <v>3510.16</v>
      </c>
      <c r="F139" s="107">
        <v>2187.9999999999995</v>
      </c>
      <c r="G139" s="107">
        <v>1322.16</v>
      </c>
      <c r="H139" s="107"/>
      <c r="I139" s="107"/>
      <c r="J139" s="107"/>
      <c r="K139" s="107"/>
      <c r="L139" s="107">
        <f>SUM(L136:L138)</f>
        <v>6681.5599999999995</v>
      </c>
    </row>
    <row r="140" spans="1:12" x14ac:dyDescent="0.25">
      <c r="A140" s="72"/>
      <c r="B140" s="102" t="s">
        <v>107</v>
      </c>
      <c r="C140" s="72" t="s">
        <v>260</v>
      </c>
      <c r="D140" s="74">
        <v>495</v>
      </c>
      <c r="E140" s="84">
        <v>366.3</v>
      </c>
      <c r="F140" s="84">
        <v>235.44782608695652</v>
      </c>
      <c r="G140" s="84">
        <v>130.85217391304349</v>
      </c>
      <c r="H140" s="84">
        <v>1.38</v>
      </c>
      <c r="I140" s="84"/>
      <c r="J140" s="84">
        <f t="shared" si="12"/>
        <v>683.09999999999991</v>
      </c>
      <c r="K140" s="84">
        <f t="shared" si="13"/>
        <v>0</v>
      </c>
      <c r="L140" s="84">
        <f t="shared" si="14"/>
        <v>683.09999999999991</v>
      </c>
    </row>
    <row r="141" spans="1:12" x14ac:dyDescent="0.25">
      <c r="A141" s="72"/>
      <c r="B141" s="102"/>
      <c r="C141" s="72"/>
      <c r="D141" s="74">
        <v>4005</v>
      </c>
      <c r="E141" s="84">
        <v>3083.85</v>
      </c>
      <c r="F141" s="84">
        <v>1915.5570048309178</v>
      </c>
      <c r="G141" s="84">
        <v>1168.2929951690821</v>
      </c>
      <c r="H141" s="84">
        <v>1.46</v>
      </c>
      <c r="I141" s="84"/>
      <c r="J141" s="84">
        <f t="shared" si="12"/>
        <v>5847.3</v>
      </c>
      <c r="K141" s="84">
        <f t="shared" si="13"/>
        <v>0</v>
      </c>
      <c r="L141" s="84">
        <f t="shared" si="14"/>
        <v>5847.3</v>
      </c>
    </row>
    <row r="142" spans="1:12" x14ac:dyDescent="0.25">
      <c r="A142" s="72"/>
      <c r="B142" s="102"/>
      <c r="C142" s="72"/>
      <c r="D142" s="74">
        <v>77</v>
      </c>
      <c r="E142" s="84">
        <v>60.83</v>
      </c>
      <c r="F142" s="84">
        <v>36.995169082125599</v>
      </c>
      <c r="G142" s="84">
        <v>23.834830917874399</v>
      </c>
      <c r="H142" s="84">
        <v>1.99</v>
      </c>
      <c r="I142" s="84"/>
      <c r="J142" s="84">
        <f t="shared" si="12"/>
        <v>153.22999999999999</v>
      </c>
      <c r="K142" s="84">
        <f t="shared" si="13"/>
        <v>0</v>
      </c>
      <c r="L142" s="84">
        <f t="shared" si="14"/>
        <v>153.22999999999999</v>
      </c>
    </row>
    <row r="143" spans="1:12" x14ac:dyDescent="0.25">
      <c r="A143" s="105"/>
      <c r="B143" s="106" t="s">
        <v>229</v>
      </c>
      <c r="C143" s="105"/>
      <c r="D143" s="109">
        <v>4577</v>
      </c>
      <c r="E143" s="107">
        <v>3510.98</v>
      </c>
      <c r="F143" s="107">
        <v>2188</v>
      </c>
      <c r="G143" s="107">
        <v>1322.98</v>
      </c>
      <c r="H143" s="107"/>
      <c r="I143" s="107"/>
      <c r="J143" s="107"/>
      <c r="K143" s="107"/>
      <c r="L143" s="107">
        <f>SUM(L140:L142)</f>
        <v>6683.6299999999992</v>
      </c>
    </row>
    <row r="144" spans="1:12" x14ac:dyDescent="0.25">
      <c r="A144" s="72"/>
      <c r="B144" s="102" t="s">
        <v>109</v>
      </c>
      <c r="C144" s="72" t="s">
        <v>260</v>
      </c>
      <c r="D144" s="74">
        <v>3355</v>
      </c>
      <c r="E144" s="84">
        <v>2650.45</v>
      </c>
      <c r="F144" s="84">
        <v>2188</v>
      </c>
      <c r="G144" s="84">
        <v>462.4500000000001</v>
      </c>
      <c r="H144" s="84">
        <v>2.0099999999999998</v>
      </c>
      <c r="I144" s="84"/>
      <c r="J144" s="84">
        <f t="shared" si="12"/>
        <v>6743.5499999999993</v>
      </c>
      <c r="K144" s="84">
        <f t="shared" si="13"/>
        <v>0</v>
      </c>
      <c r="L144" s="84">
        <f t="shared" si="14"/>
        <v>6743.5499999999993</v>
      </c>
    </row>
    <row r="145" spans="1:16" x14ac:dyDescent="0.25">
      <c r="A145" s="105"/>
      <c r="B145" s="106" t="s">
        <v>230</v>
      </c>
      <c r="C145" s="105"/>
      <c r="D145" s="109">
        <v>3355</v>
      </c>
      <c r="E145" s="107">
        <v>2650.45</v>
      </c>
      <c r="F145" s="107">
        <v>2188</v>
      </c>
      <c r="G145" s="107">
        <v>462.4500000000001</v>
      </c>
      <c r="H145" s="107"/>
      <c r="I145" s="107"/>
      <c r="J145" s="107"/>
      <c r="K145" s="107"/>
      <c r="L145" s="107">
        <f>SUM(L144:L144)</f>
        <v>6743.5499999999993</v>
      </c>
    </row>
    <row r="146" spans="1:16" x14ac:dyDescent="0.25">
      <c r="A146" s="72"/>
      <c r="B146" s="102" t="s">
        <v>110</v>
      </c>
      <c r="C146" s="72" t="s">
        <v>260</v>
      </c>
      <c r="D146" s="74">
        <v>3355</v>
      </c>
      <c r="E146" s="84">
        <v>2650.45</v>
      </c>
      <c r="F146" s="84">
        <v>2188</v>
      </c>
      <c r="G146" s="84">
        <v>462.45</v>
      </c>
      <c r="H146" s="84">
        <v>2.0099999999999998</v>
      </c>
      <c r="I146" s="84"/>
      <c r="J146" s="84">
        <f t="shared" si="12"/>
        <v>6743.5499999999993</v>
      </c>
      <c r="K146" s="84">
        <f t="shared" si="13"/>
        <v>0</v>
      </c>
      <c r="L146" s="84">
        <f t="shared" si="14"/>
        <v>6743.5499999999993</v>
      </c>
    </row>
    <row r="147" spans="1:16" x14ac:dyDescent="0.25">
      <c r="A147" s="105"/>
      <c r="B147" s="106" t="s">
        <v>233</v>
      </c>
      <c r="C147" s="105"/>
      <c r="D147" s="109">
        <v>3355</v>
      </c>
      <c r="E147" s="107">
        <v>2650.45</v>
      </c>
      <c r="F147" s="107">
        <v>2188</v>
      </c>
      <c r="G147" s="107">
        <v>462.45</v>
      </c>
      <c r="H147" s="107"/>
      <c r="I147" s="107"/>
      <c r="J147" s="107"/>
      <c r="K147" s="107"/>
      <c r="L147" s="107">
        <f>SUM(L146:L146)</f>
        <v>6743.5499999999993</v>
      </c>
    </row>
    <row r="148" spans="1:16" s="68" customFormat="1" x14ac:dyDescent="0.25">
      <c r="A148" s="79" t="s">
        <v>252</v>
      </c>
      <c r="B148" s="104"/>
      <c r="C148" s="79"/>
      <c r="D148" s="89">
        <v>53478</v>
      </c>
      <c r="E148" s="86">
        <v>40952.31</v>
      </c>
      <c r="F148" s="86">
        <v>28444</v>
      </c>
      <c r="G148" s="86">
        <v>12508.310000000001</v>
      </c>
      <c r="H148" s="86"/>
      <c r="I148" s="86"/>
      <c r="J148" s="86"/>
      <c r="K148" s="86"/>
      <c r="L148" s="86"/>
      <c r="M148" s="108"/>
      <c r="P148"/>
    </row>
    <row r="149" spans="1:16" x14ac:dyDescent="0.25">
      <c r="A149" s="77" t="s">
        <v>209</v>
      </c>
      <c r="B149" s="103"/>
      <c r="C149" s="77"/>
      <c r="D149" s="88">
        <v>138324</v>
      </c>
      <c r="E149" s="85">
        <v>105765.89</v>
      </c>
      <c r="F149" s="85">
        <v>79469.238095238092</v>
      </c>
      <c r="G149" s="85">
        <v>26296.651904761911</v>
      </c>
      <c r="H149" s="85"/>
      <c r="I149" s="85"/>
      <c r="J149" s="85"/>
      <c r="K149" s="85"/>
      <c r="L149" s="85">
        <f ca="1">L6+L8+L10+L13+L15+L17+L19+L22+L25+L27+L29+L31+L33+L36+L38+L40+L43+L46+L49+L52+L55+L58+L60+L63+L66+L69+L71+L74+L76+L78+L81+L86+L88+L91+L95+L97+L101+L104+L107+L111+L115+L119+L122+L125+L127+L129+L132+L135+L139+L143+L145+L147</f>
        <v>0</v>
      </c>
      <c r="M149" s="108"/>
    </row>
  </sheetData>
  <mergeCells count="1">
    <mergeCell ref="A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9CD0-016E-4598-BAEA-0F22C882970D}">
  <sheetPr codeName="Sheet41"/>
  <dimension ref="A1:M14"/>
  <sheetViews>
    <sheetView workbookViewId="0">
      <selection sqref="A1:C1"/>
    </sheetView>
  </sheetViews>
  <sheetFormatPr defaultRowHeight="15" x14ac:dyDescent="0.25"/>
  <cols>
    <col min="1" max="1" width="11.7109375" style="68" bestFit="1" customWidth="1"/>
    <col min="2" max="2" width="29" style="87" bestFit="1" customWidth="1"/>
    <col min="3" max="3" width="11.28515625" style="87" bestFit="1" customWidth="1"/>
    <col min="4" max="13" width="9.140625" style="87"/>
  </cols>
  <sheetData>
    <row r="1" spans="1:13" ht="21" x14ac:dyDescent="0.35">
      <c r="A1" s="110" t="s">
        <v>274</v>
      </c>
      <c r="B1" s="95"/>
      <c r="C1" s="95"/>
    </row>
    <row r="3" spans="1:13" s="117" customFormat="1" x14ac:dyDescent="0.25">
      <c r="A3" s="116"/>
      <c r="B3" s="116" t="s">
        <v>264</v>
      </c>
      <c r="C3" s="112" t="s">
        <v>209</v>
      </c>
    </row>
    <row r="4" spans="1:13" x14ac:dyDescent="0.25">
      <c r="A4" s="113" t="s">
        <v>11</v>
      </c>
      <c r="B4" s="114" t="s">
        <v>263</v>
      </c>
      <c r="C4" s="115"/>
    </row>
    <row r="5" spans="1:13" x14ac:dyDescent="0.25">
      <c r="A5" s="78" t="s">
        <v>265</v>
      </c>
      <c r="B5" s="84">
        <v>618.09999999999991</v>
      </c>
      <c r="C5" s="84">
        <v>618.09999999999991</v>
      </c>
    </row>
    <row r="6" spans="1:13" x14ac:dyDescent="0.25">
      <c r="A6" s="78" t="s">
        <v>266</v>
      </c>
      <c r="B6" s="84">
        <v>1342.4019047619049</v>
      </c>
      <c r="C6" s="84">
        <v>1342.4019047619049</v>
      </c>
    </row>
    <row r="7" spans="1:13" x14ac:dyDescent="0.25">
      <c r="A7" s="78" t="s">
        <v>267</v>
      </c>
      <c r="B7" s="84">
        <v>-1391.6399999999999</v>
      </c>
      <c r="C7" s="84">
        <v>-1391.6399999999999</v>
      </c>
    </row>
    <row r="8" spans="1:13" x14ac:dyDescent="0.25">
      <c r="A8" s="78" t="s">
        <v>268</v>
      </c>
      <c r="B8" s="84">
        <v>1160.6799999999998</v>
      </c>
      <c r="C8" s="84">
        <v>1160.6799999999998</v>
      </c>
    </row>
    <row r="9" spans="1:13" x14ac:dyDescent="0.25">
      <c r="A9" s="78" t="s">
        <v>269</v>
      </c>
      <c r="B9" s="84">
        <v>1699.3400000000001</v>
      </c>
      <c r="C9" s="84">
        <v>1699.3400000000001</v>
      </c>
    </row>
    <row r="10" spans="1:13" x14ac:dyDescent="0.25">
      <c r="A10" s="78" t="s">
        <v>270</v>
      </c>
      <c r="B10" s="84">
        <v>-286.7</v>
      </c>
      <c r="C10" s="84">
        <v>-286.7</v>
      </c>
    </row>
    <row r="11" spans="1:13" x14ac:dyDescent="0.25">
      <c r="A11" s="78" t="s">
        <v>271</v>
      </c>
      <c r="B11" s="84">
        <v>7075.15</v>
      </c>
      <c r="C11" s="84">
        <v>7075.15</v>
      </c>
    </row>
    <row r="12" spans="1:13" x14ac:dyDescent="0.25">
      <c r="A12" s="78" t="s">
        <v>272</v>
      </c>
      <c r="B12" s="84">
        <v>3571.01</v>
      </c>
      <c r="C12" s="84">
        <v>3571.01</v>
      </c>
    </row>
    <row r="13" spans="1:13" x14ac:dyDescent="0.25">
      <c r="A13" s="78" t="s">
        <v>273</v>
      </c>
      <c r="B13" s="84">
        <v>12508.310000000001</v>
      </c>
      <c r="C13" s="84">
        <v>12508.310000000001</v>
      </c>
    </row>
    <row r="14" spans="1:13" s="68" customFormat="1" x14ac:dyDescent="0.25">
      <c r="A14" s="113" t="s">
        <v>209</v>
      </c>
      <c r="B14" s="114">
        <v>26296.651904761908</v>
      </c>
      <c r="C14" s="114">
        <v>26296.651904761908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</row>
  </sheetData>
  <mergeCells count="2">
    <mergeCell ref="A1:C1"/>
    <mergeCell ref="C3:C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4481B-B3C2-43F2-A725-70076431B4EF}">
  <sheetPr codeName="Sheet61"/>
  <dimension ref="A3:D34"/>
  <sheetViews>
    <sheetView workbookViewId="0"/>
  </sheetViews>
  <sheetFormatPr defaultRowHeight="15" x14ac:dyDescent="0.25"/>
  <cols>
    <col min="1" max="1" width="27.28515625" style="70" bestFit="1" customWidth="1"/>
    <col min="2" max="2" width="16.42578125" bestFit="1" customWidth="1"/>
    <col min="3" max="3" width="9.85546875" bestFit="1" customWidth="1"/>
    <col min="4" max="4" width="11.42578125" style="68" bestFit="1" customWidth="1"/>
  </cols>
  <sheetData>
    <row r="3" spans="1:4" ht="17.25" x14ac:dyDescent="0.3">
      <c r="B3" s="136" t="s">
        <v>279</v>
      </c>
      <c r="C3" s="135"/>
    </row>
    <row r="4" spans="1:4" s="118" customFormat="1" x14ac:dyDescent="0.25">
      <c r="A4" s="134" t="s">
        <v>11</v>
      </c>
      <c r="B4" s="123">
        <v>45383</v>
      </c>
      <c r="C4" s="123">
        <v>45384</v>
      </c>
      <c r="D4" s="127" t="s">
        <v>209</v>
      </c>
    </row>
    <row r="5" spans="1:4" x14ac:dyDescent="0.25">
      <c r="A5" s="71" t="s">
        <v>12</v>
      </c>
      <c r="B5" s="84">
        <v>309.04999999999995</v>
      </c>
      <c r="C5" s="84">
        <v>309.04999999999995</v>
      </c>
      <c r="D5" s="111">
        <v>618.09999999999991</v>
      </c>
    </row>
    <row r="6" spans="1:4" x14ac:dyDescent="0.25">
      <c r="A6" s="71" t="s">
        <v>13</v>
      </c>
      <c r="B6" s="84"/>
      <c r="C6" s="84">
        <v>1342.4019047619049</v>
      </c>
      <c r="D6" s="111">
        <v>1342.4019047619049</v>
      </c>
    </row>
    <row r="7" spans="1:4" x14ac:dyDescent="0.25">
      <c r="A7" s="71" t="s">
        <v>14</v>
      </c>
      <c r="B7" s="84">
        <v>-701.86</v>
      </c>
      <c r="C7" s="84">
        <v>-689.78</v>
      </c>
      <c r="D7" s="111">
        <v>-1391.6399999999999</v>
      </c>
    </row>
    <row r="8" spans="1:4" x14ac:dyDescent="0.25">
      <c r="A8" s="71" t="s">
        <v>15</v>
      </c>
      <c r="B8" s="84">
        <v>668.76</v>
      </c>
      <c r="C8" s="84">
        <v>491.91999999999996</v>
      </c>
      <c r="D8" s="111">
        <v>1160.6799999999998</v>
      </c>
    </row>
    <row r="9" spans="1:4" x14ac:dyDescent="0.25">
      <c r="A9" s="71" t="s">
        <v>16</v>
      </c>
      <c r="B9" s="84">
        <v>1225.81</v>
      </c>
      <c r="C9" s="84">
        <v>473.53</v>
      </c>
      <c r="D9" s="111">
        <v>1699.34</v>
      </c>
    </row>
    <row r="10" spans="1:4" x14ac:dyDescent="0.25">
      <c r="A10" s="71" t="s">
        <v>85</v>
      </c>
      <c r="B10" s="84">
        <v>-183.39999999999998</v>
      </c>
      <c r="C10" s="84">
        <v>-103.30000000000001</v>
      </c>
      <c r="D10" s="111">
        <v>-286.7</v>
      </c>
    </row>
    <row r="11" spans="1:4" x14ac:dyDescent="0.25">
      <c r="A11" s="71" t="s">
        <v>17</v>
      </c>
      <c r="B11" s="84">
        <v>3701.7000000000003</v>
      </c>
      <c r="C11" s="84">
        <v>3373.45</v>
      </c>
      <c r="D11" s="111">
        <v>7075.15</v>
      </c>
    </row>
    <row r="12" spans="1:4" x14ac:dyDescent="0.25">
      <c r="A12" s="71" t="s">
        <v>18</v>
      </c>
      <c r="B12" s="84">
        <v>1167.4899999999998</v>
      </c>
      <c r="C12" s="84">
        <v>2403.52</v>
      </c>
      <c r="D12" s="111">
        <v>3571.0099999999998</v>
      </c>
    </row>
    <row r="13" spans="1:4" x14ac:dyDescent="0.25">
      <c r="A13" s="71" t="s">
        <v>19</v>
      </c>
      <c r="B13" s="84">
        <v>6086.9</v>
      </c>
      <c r="C13" s="84">
        <v>6421.4099999999989</v>
      </c>
      <c r="D13" s="111">
        <v>12508.309999999998</v>
      </c>
    </row>
    <row r="14" spans="1:4" x14ac:dyDescent="0.25">
      <c r="A14" s="137" t="s">
        <v>209</v>
      </c>
      <c r="B14" s="114">
        <v>12274.449999999999</v>
      </c>
      <c r="C14" s="114">
        <v>14022.201904761903</v>
      </c>
      <c r="D14" s="114">
        <v>26296.6519047619</v>
      </c>
    </row>
    <row r="17" spans="1:4" ht="18.75" x14ac:dyDescent="0.3">
      <c r="A17" s="138" t="s">
        <v>280</v>
      </c>
      <c r="B17" s="139"/>
      <c r="C17" s="139"/>
      <c r="D17" s="140"/>
    </row>
    <row r="18" spans="1:4" s="118" customFormat="1" x14ac:dyDescent="0.25">
      <c r="A18" s="141" t="s">
        <v>11</v>
      </c>
      <c r="B18" s="123">
        <v>45383</v>
      </c>
      <c r="C18" s="123">
        <v>45384</v>
      </c>
      <c r="D18" s="123" t="s">
        <v>209</v>
      </c>
    </row>
    <row r="19" spans="1:4" x14ac:dyDescent="0.25">
      <c r="A19" s="78" t="s">
        <v>12</v>
      </c>
      <c r="B19" s="84">
        <v>2133.0500000000002</v>
      </c>
      <c r="C19" s="84">
        <v>2133.0500000000002</v>
      </c>
      <c r="D19" s="84">
        <v>4266.1000000000004</v>
      </c>
    </row>
    <row r="20" spans="1:4" x14ac:dyDescent="0.25">
      <c r="A20" s="78" t="s">
        <v>13</v>
      </c>
      <c r="B20" s="84"/>
      <c r="C20" s="84">
        <v>3283.6400000000003</v>
      </c>
      <c r="D20" s="84">
        <v>3283.6400000000003</v>
      </c>
    </row>
    <row r="21" spans="1:4" x14ac:dyDescent="0.25">
      <c r="A21" s="78" t="s">
        <v>14</v>
      </c>
      <c r="B21" s="84">
        <v>172.14</v>
      </c>
      <c r="C21" s="84">
        <v>184.22</v>
      </c>
      <c r="D21" s="84">
        <v>356.36</v>
      </c>
    </row>
    <row r="22" spans="1:4" x14ac:dyDescent="0.25">
      <c r="A22" s="78" t="s">
        <v>15</v>
      </c>
      <c r="B22" s="84">
        <v>3708.76</v>
      </c>
      <c r="C22" s="84">
        <v>3531.92</v>
      </c>
      <c r="D22" s="84">
        <v>7240.68</v>
      </c>
    </row>
    <row r="23" spans="1:4" x14ac:dyDescent="0.25">
      <c r="A23" s="78" t="s">
        <v>16</v>
      </c>
      <c r="B23" s="84">
        <v>6485.81</v>
      </c>
      <c r="C23" s="84">
        <v>5733.5299999999988</v>
      </c>
      <c r="D23" s="84">
        <v>12219.34</v>
      </c>
    </row>
    <row r="24" spans="1:4" x14ac:dyDescent="0.25">
      <c r="A24" s="78" t="s">
        <v>85</v>
      </c>
      <c r="B24" s="84">
        <v>426.59999999999997</v>
      </c>
      <c r="C24" s="84">
        <v>506.7</v>
      </c>
      <c r="D24" s="84">
        <v>933.3</v>
      </c>
    </row>
    <row r="25" spans="1:4" x14ac:dyDescent="0.25">
      <c r="A25" s="78" t="s">
        <v>17</v>
      </c>
      <c r="B25" s="84">
        <v>8747.7000000000007</v>
      </c>
      <c r="C25" s="84">
        <v>8419.4500000000007</v>
      </c>
      <c r="D25" s="84">
        <v>17167.150000000001</v>
      </c>
    </row>
    <row r="26" spans="1:4" x14ac:dyDescent="0.25">
      <c r="A26" s="78" t="s">
        <v>18</v>
      </c>
      <c r="B26" s="84">
        <v>9055.489999999998</v>
      </c>
      <c r="C26" s="84">
        <v>10291.519999999997</v>
      </c>
      <c r="D26" s="84">
        <v>19347.009999999995</v>
      </c>
    </row>
    <row r="27" spans="1:4" s="68" customFormat="1" x14ac:dyDescent="0.25">
      <c r="A27" s="113" t="s">
        <v>19</v>
      </c>
      <c r="B27" s="114">
        <v>20308.899999999994</v>
      </c>
      <c r="C27" s="114">
        <v>20643.409999999993</v>
      </c>
      <c r="D27" s="114">
        <v>40952.309999999983</v>
      </c>
    </row>
    <row r="28" spans="1:4" x14ac:dyDescent="0.25">
      <c r="A28" s="78" t="s">
        <v>209</v>
      </c>
      <c r="B28" s="72">
        <v>51038.45</v>
      </c>
      <c r="C28" s="72">
        <v>54727.439999999988</v>
      </c>
      <c r="D28" s="72">
        <v>105765.88999999998</v>
      </c>
    </row>
    <row r="29" spans="1:4" x14ac:dyDescent="0.25">
      <c r="A29" s="68"/>
    </row>
    <row r="30" spans="1:4" x14ac:dyDescent="0.25">
      <c r="A30" s="68"/>
    </row>
    <row r="31" spans="1:4" x14ac:dyDescent="0.25">
      <c r="A31" s="68"/>
    </row>
    <row r="32" spans="1:4" x14ac:dyDescent="0.25">
      <c r="A32" s="68"/>
    </row>
    <row r="33" spans="1:1" x14ac:dyDescent="0.25">
      <c r="A33" s="68"/>
    </row>
    <row r="34" spans="1:1" x14ac:dyDescent="0.25">
      <c r="A34" s="68"/>
    </row>
  </sheetData>
  <mergeCells count="2">
    <mergeCell ref="B3:C3"/>
    <mergeCell ref="A17:D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24A67-EEC4-4085-91A4-40CFCD18A898}">
  <sheetPr codeName="Sheet43"/>
  <dimension ref="A1:J140"/>
  <sheetViews>
    <sheetView zoomScale="80" zoomScaleNormal="80" workbookViewId="0">
      <selection activeCell="B4" sqref="B4"/>
    </sheetView>
  </sheetViews>
  <sheetFormatPr defaultRowHeight="15" x14ac:dyDescent="0.25"/>
  <cols>
    <col min="1" max="1" width="11.28515625" bestFit="1" customWidth="1"/>
    <col min="2" max="2" width="43.5703125" bestFit="1" customWidth="1"/>
    <col min="3" max="3" width="4.7109375" style="75" bestFit="1" customWidth="1"/>
    <col min="4" max="4" width="7.42578125" bestFit="1" customWidth="1"/>
    <col min="5" max="5" width="28.85546875" bestFit="1" customWidth="1"/>
    <col min="6" max="6" width="19.42578125" style="83" bestFit="1" customWidth="1"/>
    <col min="7" max="7" width="11.140625" style="90" bestFit="1" customWidth="1"/>
    <col min="8" max="8" width="23.85546875" style="87" bestFit="1" customWidth="1"/>
    <col min="9" max="9" width="27.7109375" style="87" bestFit="1" customWidth="1"/>
    <col min="10" max="10" width="22.28515625" style="87" bestFit="1" customWidth="1"/>
  </cols>
  <sheetData>
    <row r="1" spans="1:10" ht="23.25" x14ac:dyDescent="0.35">
      <c r="A1" s="96" t="s">
        <v>262</v>
      </c>
      <c r="B1" s="96"/>
      <c r="C1" s="96"/>
      <c r="D1" s="96"/>
      <c r="E1" s="96"/>
      <c r="F1" s="96"/>
      <c r="G1" s="96"/>
      <c r="H1" s="96"/>
      <c r="I1" s="96"/>
      <c r="J1" s="96"/>
    </row>
    <row r="4" spans="1:10" x14ac:dyDescent="0.25">
      <c r="A4" s="77" t="s">
        <v>11</v>
      </c>
      <c r="B4" s="77" t="s">
        <v>94</v>
      </c>
      <c r="C4" s="100" t="s">
        <v>93</v>
      </c>
      <c r="D4" s="77" t="s">
        <v>208</v>
      </c>
      <c r="E4" s="77" t="s">
        <v>207</v>
      </c>
      <c r="F4" s="81" t="s">
        <v>257</v>
      </c>
      <c r="G4" s="88" t="s">
        <v>256</v>
      </c>
      <c r="H4" s="85" t="s">
        <v>210</v>
      </c>
      <c r="I4" s="85" t="s">
        <v>211</v>
      </c>
      <c r="J4" s="85" t="s">
        <v>212</v>
      </c>
    </row>
    <row r="5" spans="1:10" x14ac:dyDescent="0.25">
      <c r="A5" s="72" t="s">
        <v>12</v>
      </c>
      <c r="B5" s="72" t="s">
        <v>96</v>
      </c>
      <c r="C5" s="73" t="s">
        <v>95</v>
      </c>
      <c r="D5" s="72" t="s">
        <v>190</v>
      </c>
      <c r="E5" s="72" t="s">
        <v>128</v>
      </c>
      <c r="F5" s="80">
        <v>3.96</v>
      </c>
      <c r="G5" s="74">
        <v>360</v>
      </c>
      <c r="H5" s="84">
        <v>1425.6</v>
      </c>
      <c r="I5" s="84">
        <v>1216</v>
      </c>
      <c r="J5" s="84">
        <v>209.59999999999991</v>
      </c>
    </row>
    <row r="6" spans="1:10" s="68" customFormat="1" x14ac:dyDescent="0.25">
      <c r="A6" s="79"/>
      <c r="B6" s="79" t="s">
        <v>214</v>
      </c>
      <c r="C6" s="101"/>
      <c r="D6" s="79"/>
      <c r="E6" s="79"/>
      <c r="F6" s="82"/>
      <c r="G6" s="89">
        <v>360</v>
      </c>
      <c r="H6" s="86">
        <v>1425.6</v>
      </c>
      <c r="I6" s="86">
        <v>1216</v>
      </c>
      <c r="J6" s="86">
        <v>209.59999999999991</v>
      </c>
    </row>
    <row r="7" spans="1:10" x14ac:dyDescent="0.25">
      <c r="A7" s="72"/>
      <c r="B7" s="72" t="s">
        <v>98</v>
      </c>
      <c r="C7" s="73" t="s">
        <v>97</v>
      </c>
      <c r="D7" s="72" t="s">
        <v>191</v>
      </c>
      <c r="E7" s="72" t="s">
        <v>127</v>
      </c>
      <c r="F7" s="80">
        <v>2.99</v>
      </c>
      <c r="G7" s="74">
        <v>480</v>
      </c>
      <c r="H7" s="84">
        <v>1435.2</v>
      </c>
      <c r="I7" s="84">
        <v>1216</v>
      </c>
      <c r="J7" s="84">
        <v>219.20000000000005</v>
      </c>
    </row>
    <row r="8" spans="1:10" x14ac:dyDescent="0.25">
      <c r="A8" s="72"/>
      <c r="B8" s="72"/>
      <c r="C8" s="73" t="s">
        <v>99</v>
      </c>
      <c r="D8" s="72" t="s">
        <v>191</v>
      </c>
      <c r="E8" s="72" t="s">
        <v>127</v>
      </c>
      <c r="F8" s="80">
        <v>2.99</v>
      </c>
      <c r="G8" s="74">
        <v>470</v>
      </c>
      <c r="H8" s="84">
        <v>1405.3</v>
      </c>
      <c r="I8" s="84">
        <v>1216</v>
      </c>
      <c r="J8" s="84">
        <v>189.29999999999995</v>
      </c>
    </row>
    <row r="9" spans="1:10" s="68" customFormat="1" x14ac:dyDescent="0.25">
      <c r="A9" s="79"/>
      <c r="B9" s="79" t="s">
        <v>217</v>
      </c>
      <c r="C9" s="101"/>
      <c r="D9" s="79"/>
      <c r="E9" s="79"/>
      <c r="F9" s="82"/>
      <c r="G9" s="89">
        <v>950</v>
      </c>
      <c r="H9" s="86">
        <v>2840.5</v>
      </c>
      <c r="I9" s="86">
        <v>2432</v>
      </c>
      <c r="J9" s="86">
        <v>408.5</v>
      </c>
    </row>
    <row r="10" spans="1:10" s="68" customFormat="1" x14ac:dyDescent="0.25">
      <c r="A10" s="77" t="s">
        <v>218</v>
      </c>
      <c r="B10" s="77"/>
      <c r="C10" s="100"/>
      <c r="D10" s="77"/>
      <c r="E10" s="77"/>
      <c r="F10" s="81"/>
      <c r="G10" s="88">
        <v>1310</v>
      </c>
      <c r="H10" s="85">
        <v>4266.0999999999995</v>
      </c>
      <c r="I10" s="85">
        <v>3648</v>
      </c>
      <c r="J10" s="85">
        <v>618.09999999999991</v>
      </c>
    </row>
    <row r="11" spans="1:10" x14ac:dyDescent="0.25">
      <c r="A11" s="72" t="s">
        <v>13</v>
      </c>
      <c r="B11" s="72" t="s">
        <v>125</v>
      </c>
      <c r="C11" s="73" t="s">
        <v>97</v>
      </c>
      <c r="D11" s="72" t="s">
        <v>200</v>
      </c>
      <c r="E11" s="72" t="s">
        <v>174</v>
      </c>
      <c r="F11" s="80">
        <v>2.91</v>
      </c>
      <c r="G11" s="74">
        <v>320</v>
      </c>
      <c r="H11" s="84">
        <v>931.2</v>
      </c>
      <c r="I11" s="84">
        <v>545</v>
      </c>
      <c r="J11" s="84">
        <v>386.20000000000005</v>
      </c>
    </row>
    <row r="12" spans="1:10" s="68" customFormat="1" x14ac:dyDescent="0.25">
      <c r="A12" s="79"/>
      <c r="B12" s="79" t="s">
        <v>219</v>
      </c>
      <c r="C12" s="101"/>
      <c r="D12" s="79"/>
      <c r="E12" s="79"/>
      <c r="F12" s="82"/>
      <c r="G12" s="89">
        <v>320</v>
      </c>
      <c r="H12" s="86">
        <v>931.2</v>
      </c>
      <c r="I12" s="86">
        <v>545</v>
      </c>
      <c r="J12" s="86">
        <v>386.20000000000005</v>
      </c>
    </row>
    <row r="13" spans="1:10" x14ac:dyDescent="0.25">
      <c r="A13" s="72"/>
      <c r="B13" s="72" t="s">
        <v>124</v>
      </c>
      <c r="C13" s="73" t="s">
        <v>95</v>
      </c>
      <c r="D13" s="72" t="s">
        <v>194</v>
      </c>
      <c r="E13" s="72" t="s">
        <v>177</v>
      </c>
      <c r="F13" s="80">
        <v>2.89</v>
      </c>
      <c r="G13" s="74">
        <v>339</v>
      </c>
      <c r="H13" s="84">
        <v>979.71</v>
      </c>
      <c r="I13" s="84">
        <v>545</v>
      </c>
      <c r="J13" s="84">
        <v>434.71000000000004</v>
      </c>
    </row>
    <row r="14" spans="1:10" x14ac:dyDescent="0.25">
      <c r="A14" s="72"/>
      <c r="B14" s="72"/>
      <c r="C14" s="73" t="s">
        <v>99</v>
      </c>
      <c r="D14" s="72" t="s">
        <v>201</v>
      </c>
      <c r="E14" s="72" t="s">
        <v>179</v>
      </c>
      <c r="F14" s="80">
        <v>1.23</v>
      </c>
      <c r="G14" s="74">
        <v>374</v>
      </c>
      <c r="H14" s="84">
        <v>460.02</v>
      </c>
      <c r="I14" s="84">
        <v>291.18571428571425</v>
      </c>
      <c r="J14" s="84">
        <v>168.83428571428573</v>
      </c>
    </row>
    <row r="15" spans="1:10" x14ac:dyDescent="0.25">
      <c r="A15" s="72"/>
      <c r="B15" s="72"/>
      <c r="C15" s="73"/>
      <c r="D15" s="72"/>
      <c r="E15" s="72" t="s">
        <v>180</v>
      </c>
      <c r="F15" s="80">
        <v>1.23</v>
      </c>
      <c r="G15" s="74">
        <v>194</v>
      </c>
      <c r="H15" s="84">
        <v>238.62</v>
      </c>
      <c r="I15" s="84">
        <v>151.04285714285714</v>
      </c>
      <c r="J15" s="84">
        <v>87.57714285714286</v>
      </c>
    </row>
    <row r="16" spans="1:10" x14ac:dyDescent="0.25">
      <c r="A16" s="72"/>
      <c r="B16" s="72"/>
      <c r="C16" s="73"/>
      <c r="D16" s="72"/>
      <c r="E16" s="72" t="s">
        <v>181</v>
      </c>
      <c r="F16" s="80">
        <v>1.23</v>
      </c>
      <c r="G16" s="74">
        <v>68</v>
      </c>
      <c r="H16" s="84">
        <v>83.64</v>
      </c>
      <c r="I16" s="84">
        <v>52.942857142857143</v>
      </c>
      <c r="J16" s="84">
        <v>30.697142857142858</v>
      </c>
    </row>
    <row r="17" spans="1:10" x14ac:dyDescent="0.25">
      <c r="A17" s="72"/>
      <c r="B17" s="72"/>
      <c r="C17" s="73" t="s">
        <v>101</v>
      </c>
      <c r="D17" s="72" t="s">
        <v>202</v>
      </c>
      <c r="E17" s="72" t="s">
        <v>178</v>
      </c>
      <c r="F17" s="80">
        <v>2.41</v>
      </c>
      <c r="G17" s="74">
        <v>245</v>
      </c>
      <c r="H17" s="84">
        <v>590.45000000000005</v>
      </c>
      <c r="I17" s="84">
        <v>356.06666666666666</v>
      </c>
      <c r="J17" s="84">
        <v>234.38333333333338</v>
      </c>
    </row>
    <row r="18" spans="1:10" s="68" customFormat="1" x14ac:dyDescent="0.25">
      <c r="A18" s="79"/>
      <c r="B18" s="79" t="s">
        <v>221</v>
      </c>
      <c r="C18" s="101"/>
      <c r="D18" s="79"/>
      <c r="E18" s="79"/>
      <c r="F18" s="82"/>
      <c r="G18" s="89">
        <v>1220</v>
      </c>
      <c r="H18" s="86">
        <v>2352.44</v>
      </c>
      <c r="I18" s="86">
        <v>1396.2380952380952</v>
      </c>
      <c r="J18" s="86">
        <v>956.20190476190487</v>
      </c>
    </row>
    <row r="19" spans="1:10" s="68" customFormat="1" x14ac:dyDescent="0.25">
      <c r="A19" s="77" t="s">
        <v>222</v>
      </c>
      <c r="B19" s="77"/>
      <c r="C19" s="100"/>
      <c r="D19" s="77"/>
      <c r="E19" s="77"/>
      <c r="F19" s="81"/>
      <c r="G19" s="88">
        <v>1540</v>
      </c>
      <c r="H19" s="85">
        <v>3283.6400000000003</v>
      </c>
      <c r="I19" s="85">
        <v>1941.2380952380952</v>
      </c>
      <c r="J19" s="85">
        <v>1342.4019047619049</v>
      </c>
    </row>
    <row r="20" spans="1:10" x14ac:dyDescent="0.25">
      <c r="A20" s="72" t="s">
        <v>14</v>
      </c>
      <c r="B20" s="72" t="s">
        <v>96</v>
      </c>
      <c r="C20" s="73" t="s">
        <v>99</v>
      </c>
      <c r="D20" s="72" t="s">
        <v>192</v>
      </c>
      <c r="E20" s="72" t="s">
        <v>129</v>
      </c>
      <c r="F20" s="80">
        <v>3.02</v>
      </c>
      <c r="G20" s="74">
        <v>118</v>
      </c>
      <c r="H20" s="84">
        <v>356.36</v>
      </c>
      <c r="I20" s="84">
        <v>1748</v>
      </c>
      <c r="J20" s="84">
        <v>-1391.6399999999999</v>
      </c>
    </row>
    <row r="21" spans="1:10" s="68" customFormat="1" x14ac:dyDescent="0.25">
      <c r="A21" s="79"/>
      <c r="B21" s="79" t="s">
        <v>214</v>
      </c>
      <c r="C21" s="101"/>
      <c r="D21" s="79"/>
      <c r="E21" s="79"/>
      <c r="F21" s="82"/>
      <c r="G21" s="89">
        <v>118</v>
      </c>
      <c r="H21" s="86">
        <v>356.36</v>
      </c>
      <c r="I21" s="86">
        <v>1748</v>
      </c>
      <c r="J21" s="86">
        <v>-1391.6399999999999</v>
      </c>
    </row>
    <row r="22" spans="1:10" s="68" customFormat="1" x14ac:dyDescent="0.25">
      <c r="A22" s="77" t="s">
        <v>223</v>
      </c>
      <c r="B22" s="77"/>
      <c r="C22" s="100"/>
      <c r="D22" s="77"/>
      <c r="E22" s="77"/>
      <c r="F22" s="81"/>
      <c r="G22" s="88">
        <v>118</v>
      </c>
      <c r="H22" s="85">
        <v>356.36</v>
      </c>
      <c r="I22" s="85">
        <v>1748</v>
      </c>
      <c r="J22" s="85">
        <v>-1391.6399999999999</v>
      </c>
    </row>
    <row r="23" spans="1:10" x14ac:dyDescent="0.25">
      <c r="A23" s="72" t="s">
        <v>15</v>
      </c>
      <c r="B23" s="72" t="s">
        <v>96</v>
      </c>
      <c r="C23" s="73" t="s">
        <v>99</v>
      </c>
      <c r="D23" s="72" t="s">
        <v>194</v>
      </c>
      <c r="E23" s="72" t="s">
        <v>136</v>
      </c>
      <c r="F23" s="80">
        <v>1.54</v>
      </c>
      <c r="G23" s="74">
        <v>463</v>
      </c>
      <c r="H23" s="84">
        <v>713.02</v>
      </c>
      <c r="I23" s="84">
        <v>649.52195121951218</v>
      </c>
      <c r="J23" s="84">
        <v>63.498048780487778</v>
      </c>
    </row>
    <row r="24" spans="1:10" x14ac:dyDescent="0.25">
      <c r="A24" s="72"/>
      <c r="B24" s="72"/>
      <c r="C24" s="73"/>
      <c r="D24" s="72"/>
      <c r="E24" s="72" t="s">
        <v>137</v>
      </c>
      <c r="F24" s="80">
        <v>1.54</v>
      </c>
      <c r="G24" s="74">
        <v>382</v>
      </c>
      <c r="H24" s="84">
        <v>588.28</v>
      </c>
      <c r="I24" s="84">
        <v>566.47804878048782</v>
      </c>
      <c r="J24" s="84">
        <v>21.801951219512148</v>
      </c>
    </row>
    <row r="25" spans="1:10" x14ac:dyDescent="0.25">
      <c r="A25" s="72"/>
      <c r="B25" s="72"/>
      <c r="C25" s="73" t="s">
        <v>101</v>
      </c>
      <c r="D25" s="72" t="s">
        <v>194</v>
      </c>
      <c r="E25" s="72" t="s">
        <v>138</v>
      </c>
      <c r="F25" s="80">
        <v>1.54</v>
      </c>
      <c r="G25" s="74">
        <v>845</v>
      </c>
      <c r="H25" s="84">
        <v>1301.3</v>
      </c>
      <c r="I25" s="84">
        <v>1216</v>
      </c>
      <c r="J25" s="84">
        <v>85.299999999999955</v>
      </c>
    </row>
    <row r="26" spans="1:10" x14ac:dyDescent="0.25">
      <c r="A26" s="72"/>
      <c r="B26" s="72"/>
      <c r="C26" s="73" t="s">
        <v>103</v>
      </c>
      <c r="D26" s="72" t="s">
        <v>192</v>
      </c>
      <c r="E26" s="72" t="s">
        <v>139</v>
      </c>
      <c r="F26" s="80">
        <v>1.49</v>
      </c>
      <c r="G26" s="74">
        <v>1000</v>
      </c>
      <c r="H26" s="84">
        <v>1490</v>
      </c>
      <c r="I26" s="84">
        <v>1216</v>
      </c>
      <c r="J26" s="84">
        <v>274</v>
      </c>
    </row>
    <row r="27" spans="1:10" s="68" customFormat="1" x14ac:dyDescent="0.25">
      <c r="A27" s="79"/>
      <c r="B27" s="79" t="s">
        <v>214</v>
      </c>
      <c r="C27" s="101"/>
      <c r="D27" s="79"/>
      <c r="E27" s="79"/>
      <c r="F27" s="82"/>
      <c r="G27" s="89">
        <v>2690</v>
      </c>
      <c r="H27" s="86">
        <v>4092.6</v>
      </c>
      <c r="I27" s="86">
        <v>3648</v>
      </c>
      <c r="J27" s="86">
        <v>444.59999999999991</v>
      </c>
    </row>
    <row r="28" spans="1:10" x14ac:dyDescent="0.25">
      <c r="A28" s="72"/>
      <c r="B28" s="72" t="s">
        <v>100</v>
      </c>
      <c r="C28" s="73" t="s">
        <v>95</v>
      </c>
      <c r="D28" s="72" t="s">
        <v>193</v>
      </c>
      <c r="E28" s="72" t="s">
        <v>175</v>
      </c>
      <c r="F28" s="80">
        <v>0.39</v>
      </c>
      <c r="G28" s="74">
        <v>3600</v>
      </c>
      <c r="H28" s="84">
        <v>1404</v>
      </c>
      <c r="I28" s="84">
        <v>1216</v>
      </c>
      <c r="J28" s="84">
        <v>188</v>
      </c>
    </row>
    <row r="29" spans="1:10" x14ac:dyDescent="0.25">
      <c r="A29" s="72"/>
      <c r="B29" s="72"/>
      <c r="C29" s="73" t="s">
        <v>102</v>
      </c>
      <c r="D29" s="72" t="s">
        <v>193</v>
      </c>
      <c r="E29" s="72" t="s">
        <v>175</v>
      </c>
      <c r="F29" s="80">
        <v>0.39</v>
      </c>
      <c r="G29" s="74">
        <v>4472</v>
      </c>
      <c r="H29" s="84">
        <v>1744.08</v>
      </c>
      <c r="I29" s="84">
        <v>1216</v>
      </c>
      <c r="J29" s="84">
        <v>528.08000000000004</v>
      </c>
    </row>
    <row r="30" spans="1:10" s="68" customFormat="1" x14ac:dyDescent="0.25">
      <c r="A30" s="79"/>
      <c r="B30" s="79" t="s">
        <v>226</v>
      </c>
      <c r="C30" s="101"/>
      <c r="D30" s="79"/>
      <c r="E30" s="79"/>
      <c r="F30" s="82"/>
      <c r="G30" s="89">
        <v>8072</v>
      </c>
      <c r="H30" s="86">
        <v>3148.08</v>
      </c>
      <c r="I30" s="86">
        <v>2432</v>
      </c>
      <c r="J30" s="86">
        <v>716.08</v>
      </c>
    </row>
    <row r="31" spans="1:10" s="68" customFormat="1" x14ac:dyDescent="0.25">
      <c r="A31" s="77" t="s">
        <v>227</v>
      </c>
      <c r="B31" s="77"/>
      <c r="C31" s="100"/>
      <c r="D31" s="77"/>
      <c r="E31" s="77"/>
      <c r="F31" s="81"/>
      <c r="G31" s="88">
        <v>10762</v>
      </c>
      <c r="H31" s="85">
        <v>7240.68</v>
      </c>
      <c r="I31" s="85">
        <v>6080</v>
      </c>
      <c r="J31" s="85">
        <v>1160.6799999999998</v>
      </c>
    </row>
    <row r="32" spans="1:10" x14ac:dyDescent="0.25">
      <c r="A32" s="72" t="s">
        <v>16</v>
      </c>
      <c r="B32" s="72" t="s">
        <v>104</v>
      </c>
      <c r="C32" s="73" t="s">
        <v>95</v>
      </c>
      <c r="D32" s="72" t="s">
        <v>194</v>
      </c>
      <c r="E32" s="72" t="s">
        <v>173</v>
      </c>
      <c r="F32" s="80">
        <v>1.77</v>
      </c>
      <c r="G32" s="74">
        <v>510</v>
      </c>
      <c r="H32" s="84">
        <v>902.7</v>
      </c>
      <c r="I32" s="84">
        <v>1052</v>
      </c>
      <c r="J32" s="84">
        <v>-149.29999999999995</v>
      </c>
    </row>
    <row r="33" spans="1:10" x14ac:dyDescent="0.25">
      <c r="A33" s="72"/>
      <c r="B33" s="72"/>
      <c r="C33" s="73" t="s">
        <v>97</v>
      </c>
      <c r="D33" s="72" t="s">
        <v>194</v>
      </c>
      <c r="E33" s="72" t="s">
        <v>173</v>
      </c>
      <c r="F33" s="80">
        <v>1.7700000000000002</v>
      </c>
      <c r="G33" s="74">
        <v>490</v>
      </c>
      <c r="H33" s="84">
        <v>867.3</v>
      </c>
      <c r="I33" s="84">
        <v>1052</v>
      </c>
      <c r="J33" s="84">
        <v>-184.70000000000005</v>
      </c>
    </row>
    <row r="34" spans="1:10" s="68" customFormat="1" x14ac:dyDescent="0.25">
      <c r="A34" s="79"/>
      <c r="B34" s="79" t="s">
        <v>228</v>
      </c>
      <c r="C34" s="101"/>
      <c r="D34" s="79"/>
      <c r="E34" s="79"/>
      <c r="F34" s="82"/>
      <c r="G34" s="89">
        <v>1000</v>
      </c>
      <c r="H34" s="86">
        <v>1770</v>
      </c>
      <c r="I34" s="86">
        <v>2104</v>
      </c>
      <c r="J34" s="86">
        <v>-334</v>
      </c>
    </row>
    <row r="35" spans="1:10" x14ac:dyDescent="0.25">
      <c r="A35" s="72"/>
      <c r="B35" s="72" t="s">
        <v>108</v>
      </c>
      <c r="C35" s="73" t="s">
        <v>107</v>
      </c>
      <c r="D35" s="72" t="s">
        <v>195</v>
      </c>
      <c r="E35" s="72" t="s">
        <v>170</v>
      </c>
      <c r="F35" s="80">
        <v>1.35</v>
      </c>
      <c r="G35" s="74">
        <v>1390</v>
      </c>
      <c r="H35" s="84">
        <v>1876.5</v>
      </c>
      <c r="I35" s="84">
        <v>945.03563941299785</v>
      </c>
      <c r="J35" s="84">
        <v>931.46436058700215</v>
      </c>
    </row>
    <row r="36" spans="1:10" x14ac:dyDescent="0.25">
      <c r="A36" s="72"/>
      <c r="B36" s="72"/>
      <c r="C36" s="73"/>
      <c r="D36" s="72"/>
      <c r="E36" s="72" t="s">
        <v>171</v>
      </c>
      <c r="F36" s="80">
        <v>1.28</v>
      </c>
      <c r="G36" s="74">
        <v>194</v>
      </c>
      <c r="H36" s="84">
        <v>248.32</v>
      </c>
      <c r="I36" s="84">
        <v>106.96436058700209</v>
      </c>
      <c r="J36" s="84">
        <v>141.3556394129979</v>
      </c>
    </row>
    <row r="37" spans="1:10" x14ac:dyDescent="0.25">
      <c r="A37" s="72"/>
      <c r="B37" s="72"/>
      <c r="C37" s="73" t="s">
        <v>109</v>
      </c>
      <c r="D37" s="72" t="s">
        <v>195</v>
      </c>
      <c r="E37" s="72" t="s">
        <v>170</v>
      </c>
      <c r="F37" s="80">
        <v>1.35</v>
      </c>
      <c r="G37" s="74">
        <v>1082</v>
      </c>
      <c r="H37" s="84">
        <v>1460.6999999999998</v>
      </c>
      <c r="I37" s="84">
        <v>864.9230837789662</v>
      </c>
      <c r="J37" s="84">
        <v>595.77691622103384</v>
      </c>
    </row>
    <row r="38" spans="1:10" x14ac:dyDescent="0.25">
      <c r="A38" s="72"/>
      <c r="B38" s="72"/>
      <c r="C38" s="73"/>
      <c r="D38" s="72"/>
      <c r="E38" s="72" t="s">
        <v>171</v>
      </c>
      <c r="F38" s="80">
        <v>1.28</v>
      </c>
      <c r="G38" s="74">
        <v>114</v>
      </c>
      <c r="H38" s="84">
        <v>145.92000000000002</v>
      </c>
      <c r="I38" s="84">
        <v>115.34964349376115</v>
      </c>
      <c r="J38" s="84">
        <v>30.570356506238856</v>
      </c>
    </row>
    <row r="39" spans="1:10" x14ac:dyDescent="0.25">
      <c r="A39" s="72"/>
      <c r="B39" s="72"/>
      <c r="C39" s="73"/>
      <c r="D39" s="72"/>
      <c r="E39" s="72" t="s">
        <v>172</v>
      </c>
      <c r="F39" s="80">
        <v>1.39</v>
      </c>
      <c r="G39" s="74">
        <v>60</v>
      </c>
      <c r="H39" s="84">
        <v>83.4</v>
      </c>
      <c r="I39" s="84">
        <v>71.72727272727272</v>
      </c>
      <c r="J39" s="84">
        <v>11.672727272727286</v>
      </c>
    </row>
    <row r="40" spans="1:10" s="68" customFormat="1" x14ac:dyDescent="0.25">
      <c r="A40" s="79"/>
      <c r="B40" s="79" t="s">
        <v>231</v>
      </c>
      <c r="C40" s="101"/>
      <c r="D40" s="79"/>
      <c r="E40" s="79"/>
      <c r="F40" s="82"/>
      <c r="G40" s="89">
        <v>2840</v>
      </c>
      <c r="H40" s="86">
        <v>3814.84</v>
      </c>
      <c r="I40" s="86">
        <v>2104</v>
      </c>
      <c r="J40" s="86">
        <v>1710.8400000000004</v>
      </c>
    </row>
    <row r="41" spans="1:10" x14ac:dyDescent="0.25">
      <c r="A41" s="72"/>
      <c r="B41" s="72" t="s">
        <v>106</v>
      </c>
      <c r="C41" s="73" t="s">
        <v>105</v>
      </c>
      <c r="D41" s="72" t="s">
        <v>195</v>
      </c>
      <c r="E41" s="72" t="s">
        <v>130</v>
      </c>
      <c r="F41" s="80">
        <v>0.45</v>
      </c>
      <c r="G41" s="74">
        <v>2290</v>
      </c>
      <c r="H41" s="84">
        <v>1030.5</v>
      </c>
      <c r="I41" s="84">
        <v>1052</v>
      </c>
      <c r="J41" s="84">
        <v>-21.5</v>
      </c>
    </row>
    <row r="42" spans="1:10" x14ac:dyDescent="0.25">
      <c r="A42" s="72"/>
      <c r="B42" s="72"/>
      <c r="C42" s="73" t="s">
        <v>99</v>
      </c>
      <c r="D42" s="72" t="s">
        <v>195</v>
      </c>
      <c r="E42" s="72" t="s">
        <v>130</v>
      </c>
      <c r="F42" s="80">
        <v>0.45</v>
      </c>
      <c r="G42" s="74">
        <v>1455</v>
      </c>
      <c r="H42" s="84">
        <v>654.75</v>
      </c>
      <c r="I42" s="84">
        <v>526</v>
      </c>
      <c r="J42" s="84">
        <v>128.75</v>
      </c>
    </row>
    <row r="43" spans="1:10" x14ac:dyDescent="0.25">
      <c r="A43" s="72"/>
      <c r="B43" s="72"/>
      <c r="C43" s="73"/>
      <c r="D43" s="72"/>
      <c r="E43" s="72" t="s">
        <v>131</v>
      </c>
      <c r="F43" s="80">
        <v>0.45</v>
      </c>
      <c r="G43" s="74">
        <v>1590</v>
      </c>
      <c r="H43" s="84">
        <v>715.5</v>
      </c>
      <c r="I43" s="84">
        <v>526</v>
      </c>
      <c r="J43" s="84">
        <v>189.5</v>
      </c>
    </row>
    <row r="44" spans="1:10" x14ac:dyDescent="0.25">
      <c r="A44" s="72"/>
      <c r="B44" s="72"/>
      <c r="C44" s="73" t="s">
        <v>101</v>
      </c>
      <c r="D44" s="72" t="s">
        <v>195</v>
      </c>
      <c r="E44" s="72" t="s">
        <v>130</v>
      </c>
      <c r="F44" s="80">
        <v>0.45</v>
      </c>
      <c r="G44" s="74">
        <v>2010</v>
      </c>
      <c r="H44" s="84">
        <v>904.5</v>
      </c>
      <c r="I44" s="84">
        <v>674.98265895953762</v>
      </c>
      <c r="J44" s="84">
        <v>229.51734104046241</v>
      </c>
    </row>
    <row r="45" spans="1:10" x14ac:dyDescent="0.25">
      <c r="A45" s="72"/>
      <c r="B45" s="72"/>
      <c r="C45" s="73"/>
      <c r="D45" s="72"/>
      <c r="E45" s="72" t="s">
        <v>131</v>
      </c>
      <c r="F45" s="80">
        <v>0.45</v>
      </c>
      <c r="G45" s="74">
        <v>1240</v>
      </c>
      <c r="H45" s="84">
        <v>558</v>
      </c>
      <c r="I45" s="84">
        <v>377.01734104046244</v>
      </c>
      <c r="J45" s="84">
        <v>180.98265895953756</v>
      </c>
    </row>
    <row r="46" spans="1:10" x14ac:dyDescent="0.25">
      <c r="A46" s="72"/>
      <c r="B46" s="72"/>
      <c r="C46" s="73" t="s">
        <v>102</v>
      </c>
      <c r="D46" s="72" t="s">
        <v>195</v>
      </c>
      <c r="E46" s="72" t="s">
        <v>133</v>
      </c>
      <c r="F46" s="80">
        <v>0.3</v>
      </c>
      <c r="G46" s="74">
        <v>1995</v>
      </c>
      <c r="H46" s="84">
        <v>598.5</v>
      </c>
      <c r="I46" s="84">
        <v>695.17297297297296</v>
      </c>
      <c r="J46" s="84">
        <v>-96.672972972973014</v>
      </c>
    </row>
    <row r="47" spans="1:10" x14ac:dyDescent="0.25">
      <c r="A47" s="72"/>
      <c r="B47" s="72"/>
      <c r="C47" s="73"/>
      <c r="D47" s="72"/>
      <c r="E47" s="72" t="s">
        <v>134</v>
      </c>
      <c r="F47" s="80">
        <v>0.3</v>
      </c>
      <c r="G47" s="74">
        <v>1025</v>
      </c>
      <c r="H47" s="84">
        <v>307.5</v>
      </c>
      <c r="I47" s="84">
        <v>356.82702702702704</v>
      </c>
      <c r="J47" s="84">
        <v>-49.327027027027015</v>
      </c>
    </row>
    <row r="48" spans="1:10" x14ac:dyDescent="0.25">
      <c r="A48" s="72"/>
      <c r="B48" s="72"/>
      <c r="C48" s="73" t="s">
        <v>103</v>
      </c>
      <c r="D48" s="72" t="s">
        <v>195</v>
      </c>
      <c r="E48" s="72" t="s">
        <v>133</v>
      </c>
      <c r="F48" s="80">
        <v>0.3</v>
      </c>
      <c r="G48" s="74">
        <v>1029</v>
      </c>
      <c r="H48" s="84">
        <v>308.7</v>
      </c>
      <c r="I48" s="84">
        <v>368.16591529738486</v>
      </c>
      <c r="J48" s="84">
        <v>-59.465915297384868</v>
      </c>
    </row>
    <row r="49" spans="1:10" x14ac:dyDescent="0.25">
      <c r="A49" s="72"/>
      <c r="B49" s="72"/>
      <c r="C49" s="73"/>
      <c r="D49" s="72"/>
      <c r="E49" s="72" t="s">
        <v>134</v>
      </c>
      <c r="F49" s="80">
        <v>0.3</v>
      </c>
      <c r="G49" s="74">
        <v>1911</v>
      </c>
      <c r="H49" s="84">
        <v>573.29999999999995</v>
      </c>
      <c r="I49" s="84">
        <v>683.8340847026152</v>
      </c>
      <c r="J49" s="84">
        <v>-110.53408470261513</v>
      </c>
    </row>
    <row r="50" spans="1:10" x14ac:dyDescent="0.25">
      <c r="A50" s="72"/>
      <c r="B50" s="72"/>
      <c r="C50" s="73" t="s">
        <v>110</v>
      </c>
      <c r="D50" s="72" t="s">
        <v>195</v>
      </c>
      <c r="E50" s="72" t="s">
        <v>130</v>
      </c>
      <c r="F50" s="80">
        <v>0.45</v>
      </c>
      <c r="G50" s="74">
        <v>2185</v>
      </c>
      <c r="H50" s="84">
        <v>983.25</v>
      </c>
      <c r="I50" s="84">
        <v>1052</v>
      </c>
      <c r="J50" s="84">
        <v>-68.75</v>
      </c>
    </row>
    <row r="51" spans="1:10" s="68" customFormat="1" x14ac:dyDescent="0.25">
      <c r="A51" s="79"/>
      <c r="B51" s="79" t="s">
        <v>234</v>
      </c>
      <c r="C51" s="101"/>
      <c r="D51" s="79"/>
      <c r="E51" s="79"/>
      <c r="F51" s="82"/>
      <c r="G51" s="89">
        <v>16730</v>
      </c>
      <c r="H51" s="86">
        <v>6634.5</v>
      </c>
      <c r="I51" s="86">
        <v>6312</v>
      </c>
      <c r="J51" s="86">
        <v>322.5</v>
      </c>
    </row>
    <row r="52" spans="1:10" s="68" customFormat="1" x14ac:dyDescent="0.25">
      <c r="A52" s="77" t="s">
        <v>235</v>
      </c>
      <c r="B52" s="77"/>
      <c r="C52" s="100"/>
      <c r="D52" s="77"/>
      <c r="E52" s="77"/>
      <c r="F52" s="81"/>
      <c r="G52" s="88">
        <v>20570</v>
      </c>
      <c r="H52" s="85">
        <v>12219.34</v>
      </c>
      <c r="I52" s="85">
        <v>10520</v>
      </c>
      <c r="J52" s="85">
        <v>1699.3400000000006</v>
      </c>
    </row>
    <row r="53" spans="1:10" x14ac:dyDescent="0.25">
      <c r="A53" s="72" t="s">
        <v>85</v>
      </c>
      <c r="B53" s="72" t="s">
        <v>106</v>
      </c>
      <c r="C53" s="73" t="s">
        <v>95</v>
      </c>
      <c r="D53" s="72" t="s">
        <v>195</v>
      </c>
      <c r="E53" s="72" t="s">
        <v>130</v>
      </c>
      <c r="F53" s="80">
        <v>0.45</v>
      </c>
      <c r="G53" s="74">
        <v>865</v>
      </c>
      <c r="H53" s="84">
        <v>389.25</v>
      </c>
      <c r="I53" s="84">
        <v>610</v>
      </c>
      <c r="J53" s="84">
        <v>-220.75</v>
      </c>
    </row>
    <row r="54" spans="1:10" x14ac:dyDescent="0.25">
      <c r="A54" s="72"/>
      <c r="B54" s="72"/>
      <c r="C54" s="73" t="s">
        <v>97</v>
      </c>
      <c r="D54" s="72" t="s">
        <v>195</v>
      </c>
      <c r="E54" s="72" t="s">
        <v>130</v>
      </c>
      <c r="F54" s="80">
        <v>0.45</v>
      </c>
      <c r="G54" s="74">
        <v>551</v>
      </c>
      <c r="H54" s="84">
        <v>247.95</v>
      </c>
      <c r="I54" s="84">
        <v>305</v>
      </c>
      <c r="J54" s="84">
        <v>-57.050000000000011</v>
      </c>
    </row>
    <row r="55" spans="1:10" x14ac:dyDescent="0.25">
      <c r="A55" s="72"/>
      <c r="B55" s="72"/>
      <c r="C55" s="73"/>
      <c r="D55" s="72"/>
      <c r="E55" s="72" t="s">
        <v>135</v>
      </c>
      <c r="F55" s="80">
        <v>0.42</v>
      </c>
      <c r="G55" s="74">
        <v>135</v>
      </c>
      <c r="H55" s="84">
        <v>56.7</v>
      </c>
      <c r="I55" s="84">
        <v>58.404255319148938</v>
      </c>
      <c r="J55" s="84">
        <v>-1.7042553191489347</v>
      </c>
    </row>
    <row r="56" spans="1:10" x14ac:dyDescent="0.25">
      <c r="A56" s="72"/>
      <c r="B56" s="72"/>
      <c r="C56" s="73"/>
      <c r="D56" s="72"/>
      <c r="E56" s="72" t="s">
        <v>132</v>
      </c>
      <c r="F56" s="80">
        <v>0.42</v>
      </c>
      <c r="G56" s="74">
        <v>570</v>
      </c>
      <c r="H56" s="84">
        <v>239.4</v>
      </c>
      <c r="I56" s="84">
        <v>246.59574468085106</v>
      </c>
      <c r="J56" s="84">
        <v>-7.1957446808510497</v>
      </c>
    </row>
    <row r="57" spans="1:10" s="68" customFormat="1" x14ac:dyDescent="0.25">
      <c r="A57" s="79"/>
      <c r="B57" s="79" t="s">
        <v>234</v>
      </c>
      <c r="C57" s="101"/>
      <c r="D57" s="79"/>
      <c r="E57" s="79"/>
      <c r="F57" s="82"/>
      <c r="G57" s="89">
        <v>2121</v>
      </c>
      <c r="H57" s="86">
        <v>933.30000000000007</v>
      </c>
      <c r="I57" s="86">
        <v>1220</v>
      </c>
      <c r="J57" s="86">
        <v>-286.70000000000005</v>
      </c>
    </row>
    <row r="58" spans="1:10" s="68" customFormat="1" x14ac:dyDescent="0.25">
      <c r="A58" s="77" t="s">
        <v>236</v>
      </c>
      <c r="B58" s="77"/>
      <c r="C58" s="100"/>
      <c r="D58" s="77"/>
      <c r="E58" s="77"/>
      <c r="F58" s="81"/>
      <c r="G58" s="88">
        <v>2121</v>
      </c>
      <c r="H58" s="85">
        <v>933.30000000000007</v>
      </c>
      <c r="I58" s="85">
        <v>1220</v>
      </c>
      <c r="J58" s="85">
        <v>-286.70000000000005</v>
      </c>
    </row>
    <row r="59" spans="1:10" x14ac:dyDescent="0.25">
      <c r="A59" s="72" t="s">
        <v>17</v>
      </c>
      <c r="B59" s="72" t="s">
        <v>112</v>
      </c>
      <c r="C59" s="73" t="s">
        <v>111</v>
      </c>
      <c r="D59" s="72" t="s">
        <v>196</v>
      </c>
      <c r="E59" s="72" t="s">
        <v>148</v>
      </c>
      <c r="F59" s="80">
        <v>0.65</v>
      </c>
      <c r="G59" s="74">
        <v>2920</v>
      </c>
      <c r="H59" s="84">
        <v>1898</v>
      </c>
      <c r="I59" s="84">
        <v>1055.5408163265306</v>
      </c>
      <c r="J59" s="84">
        <v>842.4591836734694</v>
      </c>
    </row>
    <row r="60" spans="1:10" x14ac:dyDescent="0.25">
      <c r="A60" s="72"/>
      <c r="B60" s="72"/>
      <c r="C60" s="73"/>
      <c r="D60" s="72"/>
      <c r="E60" s="72" t="s">
        <v>146</v>
      </c>
      <c r="F60" s="80">
        <v>0.65</v>
      </c>
      <c r="G60" s="74">
        <v>1825</v>
      </c>
      <c r="H60" s="84">
        <v>1186.25</v>
      </c>
      <c r="I60" s="84">
        <v>626.4591836734694</v>
      </c>
      <c r="J60" s="84">
        <v>559.7908163265306</v>
      </c>
    </row>
    <row r="61" spans="1:10" x14ac:dyDescent="0.25">
      <c r="A61" s="72"/>
      <c r="B61" s="72"/>
      <c r="C61" s="73" t="s">
        <v>113</v>
      </c>
      <c r="D61" s="72" t="s">
        <v>196</v>
      </c>
      <c r="E61" s="72" t="s">
        <v>148</v>
      </c>
      <c r="F61" s="80">
        <v>0.65</v>
      </c>
      <c r="G61" s="74">
        <v>4051</v>
      </c>
      <c r="H61" s="84">
        <v>2633.15</v>
      </c>
      <c r="I61" s="84">
        <v>1488.6654671406013</v>
      </c>
      <c r="J61" s="84">
        <v>1144.4845328593988</v>
      </c>
    </row>
    <row r="62" spans="1:10" x14ac:dyDescent="0.25">
      <c r="A62" s="72"/>
      <c r="B62" s="72"/>
      <c r="C62" s="73"/>
      <c r="D62" s="72"/>
      <c r="E62" s="72" t="s">
        <v>146</v>
      </c>
      <c r="F62" s="80">
        <v>0.65</v>
      </c>
      <c r="G62" s="74">
        <v>502</v>
      </c>
      <c r="H62" s="84">
        <v>326.3</v>
      </c>
      <c r="I62" s="84">
        <v>193.33453285939879</v>
      </c>
      <c r="J62" s="84">
        <v>132.96546714060122</v>
      </c>
    </row>
    <row r="63" spans="1:10" x14ac:dyDescent="0.25">
      <c r="A63" s="72"/>
      <c r="B63" s="72"/>
      <c r="C63" s="73" t="s">
        <v>114</v>
      </c>
      <c r="D63" s="72" t="s">
        <v>196</v>
      </c>
      <c r="E63" s="72" t="s">
        <v>148</v>
      </c>
      <c r="F63" s="80">
        <v>0.65</v>
      </c>
      <c r="G63" s="74">
        <v>1865</v>
      </c>
      <c r="H63" s="84">
        <v>1212.25</v>
      </c>
      <c r="I63" s="84">
        <v>835.17838125665605</v>
      </c>
      <c r="J63" s="84">
        <v>377.07161874334395</v>
      </c>
    </row>
    <row r="64" spans="1:10" x14ac:dyDescent="0.25">
      <c r="A64" s="72"/>
      <c r="B64" s="72"/>
      <c r="C64" s="73"/>
      <c r="D64" s="72"/>
      <c r="E64" s="72" t="s">
        <v>146</v>
      </c>
      <c r="F64" s="80">
        <v>0.65</v>
      </c>
      <c r="G64" s="74">
        <v>2209</v>
      </c>
      <c r="H64" s="84">
        <v>1435.85</v>
      </c>
      <c r="I64" s="84">
        <v>845.03035143769966</v>
      </c>
      <c r="J64" s="84">
        <v>590.81964856230036</v>
      </c>
    </row>
    <row r="65" spans="1:10" x14ac:dyDescent="0.25">
      <c r="A65" s="72"/>
      <c r="B65" s="72"/>
      <c r="C65" s="73"/>
      <c r="D65" s="72"/>
      <c r="E65" s="72" t="s">
        <v>147</v>
      </c>
      <c r="F65" s="80">
        <v>0.65</v>
      </c>
      <c r="G65" s="74">
        <v>4</v>
      </c>
      <c r="H65" s="84">
        <v>2.6</v>
      </c>
      <c r="I65" s="84">
        <v>1.7912673056443027</v>
      </c>
      <c r="J65" s="84">
        <v>0.80873269435569739</v>
      </c>
    </row>
    <row r="66" spans="1:10" x14ac:dyDescent="0.25">
      <c r="A66" s="72"/>
      <c r="B66" s="72"/>
      <c r="C66" s="73" t="s">
        <v>115</v>
      </c>
      <c r="D66" s="72" t="s">
        <v>196</v>
      </c>
      <c r="E66" s="72" t="s">
        <v>148</v>
      </c>
      <c r="F66" s="80">
        <v>0.65</v>
      </c>
      <c r="G66" s="74">
        <v>2260</v>
      </c>
      <c r="H66" s="84">
        <v>1469</v>
      </c>
      <c r="I66" s="84">
        <v>955.13571428571424</v>
      </c>
      <c r="J66" s="84">
        <v>513.86428571428576</v>
      </c>
    </row>
    <row r="67" spans="1:10" x14ac:dyDescent="0.25">
      <c r="A67" s="72"/>
      <c r="B67" s="72"/>
      <c r="C67" s="73"/>
      <c r="D67" s="72"/>
      <c r="E67" s="72" t="s">
        <v>146</v>
      </c>
      <c r="F67" s="80">
        <v>0.65</v>
      </c>
      <c r="G67" s="74">
        <v>1815</v>
      </c>
      <c r="H67" s="84">
        <v>1179.75</v>
      </c>
      <c r="I67" s="84">
        <v>726.86428571428576</v>
      </c>
      <c r="J67" s="84">
        <v>452.88571428571424</v>
      </c>
    </row>
    <row r="68" spans="1:10" x14ac:dyDescent="0.25">
      <c r="A68" s="72"/>
      <c r="B68" s="72"/>
      <c r="C68" s="73" t="s">
        <v>116</v>
      </c>
      <c r="D68" s="72" t="s">
        <v>196</v>
      </c>
      <c r="E68" s="72" t="s">
        <v>148</v>
      </c>
      <c r="F68" s="80">
        <v>0.65</v>
      </c>
      <c r="G68" s="74">
        <v>1945</v>
      </c>
      <c r="H68" s="84">
        <v>1264.25</v>
      </c>
      <c r="I68" s="84">
        <v>762.58508158508164</v>
      </c>
      <c r="J68" s="84">
        <v>501.66491841491836</v>
      </c>
    </row>
    <row r="69" spans="1:10" x14ac:dyDescent="0.25">
      <c r="A69" s="72"/>
      <c r="B69" s="72"/>
      <c r="C69" s="73"/>
      <c r="D69" s="72"/>
      <c r="E69" s="72" t="s">
        <v>146</v>
      </c>
      <c r="F69" s="80">
        <v>0.65</v>
      </c>
      <c r="G69" s="74">
        <v>2375</v>
      </c>
      <c r="H69" s="84">
        <v>1543.75</v>
      </c>
      <c r="I69" s="84">
        <v>919.41491841491847</v>
      </c>
      <c r="J69" s="84">
        <v>624.33508158508153</v>
      </c>
    </row>
    <row r="70" spans="1:10" x14ac:dyDescent="0.25">
      <c r="A70" s="72"/>
      <c r="B70" s="72"/>
      <c r="C70" s="73" t="s">
        <v>117</v>
      </c>
      <c r="D70" s="72" t="s">
        <v>196</v>
      </c>
      <c r="E70" s="72" t="s">
        <v>148</v>
      </c>
      <c r="F70" s="80">
        <v>0.65</v>
      </c>
      <c r="G70" s="74">
        <v>2290</v>
      </c>
      <c r="H70" s="84">
        <v>1488.5</v>
      </c>
      <c r="I70" s="84">
        <v>841</v>
      </c>
      <c r="J70" s="84">
        <v>647.5</v>
      </c>
    </row>
    <row r="71" spans="1:10" x14ac:dyDescent="0.25">
      <c r="A71" s="72"/>
      <c r="B71" s="72"/>
      <c r="C71" s="73"/>
      <c r="D71" s="72"/>
      <c r="E71" s="72" t="s">
        <v>146</v>
      </c>
      <c r="F71" s="80">
        <v>0.65</v>
      </c>
      <c r="G71" s="74">
        <v>2346</v>
      </c>
      <c r="H71" s="84">
        <v>1524.9</v>
      </c>
      <c r="I71" s="84">
        <v>839.56851063829788</v>
      </c>
      <c r="J71" s="84">
        <v>685.33148936170221</v>
      </c>
    </row>
    <row r="72" spans="1:10" x14ac:dyDescent="0.25">
      <c r="A72" s="72"/>
      <c r="B72" s="72"/>
      <c r="C72" s="73"/>
      <c r="D72" s="72"/>
      <c r="E72" s="72" t="s">
        <v>147</v>
      </c>
      <c r="F72" s="80">
        <v>0.65</v>
      </c>
      <c r="G72" s="74">
        <v>4</v>
      </c>
      <c r="H72" s="84">
        <v>2.6</v>
      </c>
      <c r="I72" s="84">
        <v>1.4314893617021276</v>
      </c>
      <c r="J72" s="84">
        <v>1.1685106382978725</v>
      </c>
    </row>
    <row r="73" spans="1:10" s="68" customFormat="1" x14ac:dyDescent="0.25">
      <c r="A73" s="79"/>
      <c r="B73" s="79" t="s">
        <v>243</v>
      </c>
      <c r="C73" s="101"/>
      <c r="D73" s="79"/>
      <c r="E73" s="79"/>
      <c r="F73" s="82"/>
      <c r="G73" s="89">
        <v>26411</v>
      </c>
      <c r="H73" s="86">
        <v>17167.150000000001</v>
      </c>
      <c r="I73" s="86">
        <v>10092.000000000002</v>
      </c>
      <c r="J73" s="86">
        <v>7075.15</v>
      </c>
    </row>
    <row r="74" spans="1:10" s="68" customFormat="1" x14ac:dyDescent="0.25">
      <c r="A74" s="77" t="s">
        <v>244</v>
      </c>
      <c r="B74" s="77"/>
      <c r="C74" s="100"/>
      <c r="D74" s="77"/>
      <c r="E74" s="77"/>
      <c r="F74" s="81"/>
      <c r="G74" s="88">
        <v>26411</v>
      </c>
      <c r="H74" s="85">
        <v>17167.150000000001</v>
      </c>
      <c r="I74" s="85">
        <v>10092.000000000002</v>
      </c>
      <c r="J74" s="85">
        <v>7075.15</v>
      </c>
    </row>
    <row r="75" spans="1:10" x14ac:dyDescent="0.25">
      <c r="A75" s="72" t="s">
        <v>18</v>
      </c>
      <c r="B75" s="72" t="s">
        <v>112</v>
      </c>
      <c r="C75" s="73" t="s">
        <v>95</v>
      </c>
      <c r="D75" s="72" t="s">
        <v>196</v>
      </c>
      <c r="E75" s="72" t="s">
        <v>142</v>
      </c>
      <c r="F75" s="80">
        <v>0.68</v>
      </c>
      <c r="G75" s="74">
        <v>35</v>
      </c>
      <c r="H75" s="84">
        <v>23.8</v>
      </c>
      <c r="I75" s="84">
        <v>14.691358024691358</v>
      </c>
      <c r="J75" s="84">
        <v>9.1086419753086432</v>
      </c>
    </row>
    <row r="76" spans="1:10" x14ac:dyDescent="0.25">
      <c r="A76" s="72"/>
      <c r="B76" s="72"/>
      <c r="C76" s="73"/>
      <c r="D76" s="72"/>
      <c r="E76" s="72" t="s">
        <v>159</v>
      </c>
      <c r="F76" s="80">
        <v>0.83</v>
      </c>
      <c r="G76" s="74">
        <v>3</v>
      </c>
      <c r="H76" s="84">
        <v>2.4900000000000002</v>
      </c>
      <c r="I76" s="84">
        <v>1.2592592592592593</v>
      </c>
      <c r="J76" s="84">
        <v>1.2307407407407409</v>
      </c>
    </row>
    <row r="77" spans="1:10" x14ac:dyDescent="0.25">
      <c r="A77" s="72"/>
      <c r="B77" s="72"/>
      <c r="C77" s="73"/>
      <c r="D77" s="72"/>
      <c r="E77" s="72" t="s">
        <v>161</v>
      </c>
      <c r="F77" s="80">
        <v>0.7</v>
      </c>
      <c r="G77" s="74">
        <v>2616</v>
      </c>
      <c r="H77" s="84">
        <v>1831.2</v>
      </c>
      <c r="I77" s="84">
        <v>972.98227084119196</v>
      </c>
      <c r="J77" s="84">
        <v>858.21772915880808</v>
      </c>
    </row>
    <row r="78" spans="1:10" x14ac:dyDescent="0.25">
      <c r="A78" s="72"/>
      <c r="B78" s="72"/>
      <c r="C78" s="73"/>
      <c r="D78" s="72"/>
      <c r="E78" s="72" t="s">
        <v>165</v>
      </c>
      <c r="F78" s="80">
        <v>0.7</v>
      </c>
      <c r="G78" s="74">
        <v>2346</v>
      </c>
      <c r="H78" s="84">
        <v>1642.2</v>
      </c>
      <c r="I78" s="84">
        <v>983.06711187485746</v>
      </c>
      <c r="J78" s="84">
        <v>659.13288812514259</v>
      </c>
    </row>
    <row r="79" spans="1:10" x14ac:dyDescent="0.25">
      <c r="A79" s="72"/>
      <c r="B79" s="72"/>
      <c r="C79" s="73" t="s">
        <v>118</v>
      </c>
      <c r="D79" s="72" t="s">
        <v>196</v>
      </c>
      <c r="E79" s="72" t="s">
        <v>158</v>
      </c>
      <c r="F79" s="80">
        <v>0.8</v>
      </c>
      <c r="G79" s="74">
        <v>3208</v>
      </c>
      <c r="H79" s="84">
        <v>2566.4</v>
      </c>
      <c r="I79" s="84">
        <v>1972</v>
      </c>
      <c r="J79" s="84">
        <v>594.40000000000009</v>
      </c>
    </row>
    <row r="80" spans="1:10" x14ac:dyDescent="0.25">
      <c r="A80" s="72"/>
      <c r="B80" s="72"/>
      <c r="C80" s="73" t="s">
        <v>119</v>
      </c>
      <c r="D80" s="72" t="s">
        <v>196</v>
      </c>
      <c r="E80" s="72" t="s">
        <v>161</v>
      </c>
      <c r="F80" s="80">
        <v>0.7</v>
      </c>
      <c r="G80" s="74">
        <v>2783</v>
      </c>
      <c r="H80" s="84">
        <v>1948.1000000000001</v>
      </c>
      <c r="I80" s="84">
        <v>1154.7847579983593</v>
      </c>
      <c r="J80" s="84">
        <v>793.31524200164085</v>
      </c>
    </row>
    <row r="81" spans="1:10" x14ac:dyDescent="0.25">
      <c r="A81" s="72"/>
      <c r="B81" s="72"/>
      <c r="C81" s="73"/>
      <c r="D81" s="72"/>
      <c r="E81" s="72" t="s">
        <v>163</v>
      </c>
      <c r="F81" s="80">
        <v>0.76</v>
      </c>
      <c r="G81" s="74">
        <v>1974</v>
      </c>
      <c r="H81" s="84">
        <v>1500.24</v>
      </c>
      <c r="I81" s="84">
        <v>734.47698113207548</v>
      </c>
      <c r="J81" s="84">
        <v>765.76301886792453</v>
      </c>
    </row>
    <row r="82" spans="1:10" x14ac:dyDescent="0.25">
      <c r="A82" s="72"/>
      <c r="B82" s="72"/>
      <c r="C82" s="73"/>
      <c r="D82" s="72"/>
      <c r="E82" s="72" t="s">
        <v>165</v>
      </c>
      <c r="F82" s="80">
        <v>0.7</v>
      </c>
      <c r="G82" s="74">
        <v>193</v>
      </c>
      <c r="H82" s="84">
        <v>135.1</v>
      </c>
      <c r="I82" s="84">
        <v>82.73826086956521</v>
      </c>
      <c r="J82" s="84">
        <v>52.361739130434785</v>
      </c>
    </row>
    <row r="83" spans="1:10" x14ac:dyDescent="0.25">
      <c r="A83" s="72"/>
      <c r="B83" s="72"/>
      <c r="C83" s="73" t="s">
        <v>97</v>
      </c>
      <c r="D83" s="72" t="s">
        <v>196</v>
      </c>
      <c r="E83" s="72" t="s">
        <v>144</v>
      </c>
      <c r="F83" s="80">
        <v>0.79</v>
      </c>
      <c r="G83" s="74">
        <v>9</v>
      </c>
      <c r="H83" s="84">
        <v>7.11</v>
      </c>
      <c r="I83" s="84">
        <v>4.9714285714285715</v>
      </c>
      <c r="J83" s="84">
        <v>2.1385714285714288</v>
      </c>
    </row>
    <row r="84" spans="1:10" x14ac:dyDescent="0.25">
      <c r="A84" s="72"/>
      <c r="B84" s="72"/>
      <c r="C84" s="73"/>
      <c r="D84" s="72"/>
      <c r="E84" s="72" t="s">
        <v>145</v>
      </c>
      <c r="F84" s="80">
        <v>0.79</v>
      </c>
      <c r="G84" s="74">
        <v>4</v>
      </c>
      <c r="H84" s="84">
        <v>3.16</v>
      </c>
      <c r="I84" s="84">
        <v>2.2095238095238092</v>
      </c>
      <c r="J84" s="84">
        <v>0.95047619047619092</v>
      </c>
    </row>
    <row r="85" spans="1:10" x14ac:dyDescent="0.25">
      <c r="A85" s="72"/>
      <c r="B85" s="72"/>
      <c r="C85" s="73"/>
      <c r="D85" s="72"/>
      <c r="E85" s="72" t="s">
        <v>161</v>
      </c>
      <c r="F85" s="80">
        <v>0.7</v>
      </c>
      <c r="G85" s="74">
        <v>3493</v>
      </c>
      <c r="H85" s="84">
        <v>2445.1000000000004</v>
      </c>
      <c r="I85" s="84">
        <v>1964.8190476190475</v>
      </c>
      <c r="J85" s="84">
        <v>480.2809523809525</v>
      </c>
    </row>
    <row r="86" spans="1:10" x14ac:dyDescent="0.25">
      <c r="A86" s="72"/>
      <c r="B86" s="72"/>
      <c r="C86" s="73" t="s">
        <v>99</v>
      </c>
      <c r="D86" s="72" t="s">
        <v>196</v>
      </c>
      <c r="E86" s="72" t="s">
        <v>161</v>
      </c>
      <c r="F86" s="80">
        <v>0.7</v>
      </c>
      <c r="G86" s="74">
        <v>2901</v>
      </c>
      <c r="H86" s="84">
        <v>2030.7</v>
      </c>
      <c r="I86" s="84">
        <v>1742.7982456140353</v>
      </c>
      <c r="J86" s="84">
        <v>287.90175438596486</v>
      </c>
    </row>
    <row r="87" spans="1:10" x14ac:dyDescent="0.25">
      <c r="A87" s="72"/>
      <c r="B87" s="72"/>
      <c r="C87" s="73"/>
      <c r="D87" s="72"/>
      <c r="E87" s="72" t="s">
        <v>165</v>
      </c>
      <c r="F87" s="80">
        <v>0.7</v>
      </c>
      <c r="G87" s="74">
        <v>371</v>
      </c>
      <c r="H87" s="84">
        <v>259.7</v>
      </c>
      <c r="I87" s="84">
        <v>229.2017543859649</v>
      </c>
      <c r="J87" s="84">
        <v>30.498245614035085</v>
      </c>
    </row>
    <row r="88" spans="1:10" x14ac:dyDescent="0.25">
      <c r="A88" s="72"/>
      <c r="B88" s="72"/>
      <c r="C88" s="73" t="s">
        <v>101</v>
      </c>
      <c r="D88" s="72" t="s">
        <v>197</v>
      </c>
      <c r="E88" s="72" t="s">
        <v>156</v>
      </c>
      <c r="F88" s="80">
        <v>1.37</v>
      </c>
      <c r="G88" s="74">
        <v>287</v>
      </c>
      <c r="H88" s="84">
        <v>393.19</v>
      </c>
      <c r="I88" s="84">
        <v>196.13749999999999</v>
      </c>
      <c r="J88" s="84">
        <v>197.05250000000001</v>
      </c>
    </row>
    <row r="89" spans="1:10" x14ac:dyDescent="0.25">
      <c r="A89" s="72"/>
      <c r="B89" s="72"/>
      <c r="C89" s="73"/>
      <c r="D89" s="72" t="s">
        <v>198</v>
      </c>
      <c r="E89" s="72" t="s">
        <v>157</v>
      </c>
      <c r="F89" s="80">
        <v>1.24</v>
      </c>
      <c r="G89" s="74">
        <v>343</v>
      </c>
      <c r="H89" s="84">
        <v>425.32</v>
      </c>
      <c r="I89" s="84">
        <v>336.4482142857143</v>
      </c>
      <c r="J89" s="84">
        <v>88.871785714285707</v>
      </c>
    </row>
    <row r="90" spans="1:10" s="68" customFormat="1" x14ac:dyDescent="0.25">
      <c r="A90" s="79"/>
      <c r="B90" s="79" t="s">
        <v>243</v>
      </c>
      <c r="C90" s="101"/>
      <c r="D90" s="79"/>
      <c r="E90" s="79"/>
      <c r="F90" s="82"/>
      <c r="G90" s="89">
        <v>20566</v>
      </c>
      <c r="H90" s="86">
        <v>15213.810000000005</v>
      </c>
      <c r="I90" s="86">
        <v>10392.585714285715</v>
      </c>
      <c r="J90" s="86">
        <v>4821.2242857142865</v>
      </c>
    </row>
    <row r="91" spans="1:10" x14ac:dyDescent="0.25">
      <c r="A91" s="72"/>
      <c r="B91" s="72" t="s">
        <v>120</v>
      </c>
      <c r="C91" s="73" t="s">
        <v>101</v>
      </c>
      <c r="D91" s="72" t="s">
        <v>193</v>
      </c>
      <c r="E91" s="72" t="s">
        <v>176</v>
      </c>
      <c r="F91" s="80">
        <v>0.75</v>
      </c>
      <c r="G91" s="74">
        <v>1188</v>
      </c>
      <c r="H91" s="84">
        <v>891</v>
      </c>
      <c r="I91" s="84">
        <v>946.4142857142856</v>
      </c>
      <c r="J91" s="84">
        <v>-55.414285714285768</v>
      </c>
    </row>
    <row r="92" spans="1:10" s="68" customFormat="1" x14ac:dyDescent="0.25">
      <c r="A92" s="79"/>
      <c r="B92" s="79" t="s">
        <v>247</v>
      </c>
      <c r="C92" s="101"/>
      <c r="D92" s="79"/>
      <c r="E92" s="79"/>
      <c r="F92" s="82"/>
      <c r="G92" s="89">
        <v>1188</v>
      </c>
      <c r="H92" s="86">
        <v>891</v>
      </c>
      <c r="I92" s="86">
        <v>946.4142857142856</v>
      </c>
      <c r="J92" s="86">
        <v>-55.414285714285768</v>
      </c>
    </row>
    <row r="93" spans="1:10" x14ac:dyDescent="0.25">
      <c r="A93" s="72"/>
      <c r="B93" s="72" t="s">
        <v>122</v>
      </c>
      <c r="C93" s="73" t="s">
        <v>102</v>
      </c>
      <c r="D93" s="72" t="s">
        <v>199</v>
      </c>
      <c r="E93" s="72" t="s">
        <v>141</v>
      </c>
      <c r="F93" s="80">
        <v>12.47</v>
      </c>
      <c r="G93" s="74">
        <v>63</v>
      </c>
      <c r="H93" s="84">
        <v>785.61</v>
      </c>
      <c r="I93" s="84">
        <v>696.05152807391607</v>
      </c>
      <c r="J93" s="84">
        <v>89.558471926083854</v>
      </c>
    </row>
    <row r="94" spans="1:10" x14ac:dyDescent="0.25">
      <c r="A94" s="72"/>
      <c r="B94" s="72"/>
      <c r="C94" s="73" t="s">
        <v>103</v>
      </c>
      <c r="D94" s="72" t="s">
        <v>199</v>
      </c>
      <c r="E94" s="72" t="s">
        <v>141</v>
      </c>
      <c r="F94" s="80">
        <v>12.47</v>
      </c>
      <c r="G94" s="74">
        <v>63</v>
      </c>
      <c r="H94" s="84">
        <v>785.61</v>
      </c>
      <c r="I94" s="84">
        <v>1372.3548387096773</v>
      </c>
      <c r="J94" s="84">
        <v>-586.74483870967742</v>
      </c>
    </row>
    <row r="95" spans="1:10" s="68" customFormat="1" x14ac:dyDescent="0.25">
      <c r="A95" s="79"/>
      <c r="B95" s="79" t="s">
        <v>248</v>
      </c>
      <c r="C95" s="101"/>
      <c r="D95" s="79"/>
      <c r="E95" s="79"/>
      <c r="F95" s="82"/>
      <c r="G95" s="89">
        <v>126</v>
      </c>
      <c r="H95" s="86">
        <v>1571.22</v>
      </c>
      <c r="I95" s="86">
        <v>2068.4063667835935</v>
      </c>
      <c r="J95" s="86">
        <v>-497.1863667835936</v>
      </c>
    </row>
    <row r="96" spans="1:10" x14ac:dyDescent="0.25">
      <c r="A96" s="72"/>
      <c r="B96" s="72" t="s">
        <v>121</v>
      </c>
      <c r="C96" s="73" t="s">
        <v>102</v>
      </c>
      <c r="D96" s="72" t="s">
        <v>199</v>
      </c>
      <c r="E96" s="72" t="s">
        <v>140</v>
      </c>
      <c r="F96" s="80">
        <v>12.47</v>
      </c>
      <c r="G96" s="74">
        <v>67</v>
      </c>
      <c r="H96" s="84">
        <v>835.49</v>
      </c>
      <c r="I96" s="84">
        <v>782.94847192608381</v>
      </c>
      <c r="J96" s="84">
        <v>52.541528073916183</v>
      </c>
    </row>
    <row r="97" spans="1:10" x14ac:dyDescent="0.25">
      <c r="A97" s="72"/>
      <c r="B97" s="72"/>
      <c r="C97" s="73" t="s">
        <v>103</v>
      </c>
      <c r="D97" s="72" t="s">
        <v>199</v>
      </c>
      <c r="E97" s="72" t="s">
        <v>140</v>
      </c>
      <c r="F97" s="80">
        <v>12.47</v>
      </c>
      <c r="G97" s="74">
        <v>67</v>
      </c>
      <c r="H97" s="84">
        <v>835.49</v>
      </c>
      <c r="I97" s="84">
        <v>1585.6451612903227</v>
      </c>
      <c r="J97" s="84">
        <v>-750.15516129032267</v>
      </c>
    </row>
    <row r="98" spans="1:10" s="68" customFormat="1" x14ac:dyDescent="0.25">
      <c r="A98" s="79"/>
      <c r="B98" s="79" t="s">
        <v>249</v>
      </c>
      <c r="C98" s="101"/>
      <c r="D98" s="79"/>
      <c r="E98" s="79"/>
      <c r="F98" s="82"/>
      <c r="G98" s="89">
        <v>134</v>
      </c>
      <c r="H98" s="86">
        <v>1670.98</v>
      </c>
      <c r="I98" s="86">
        <v>2368.5936332164065</v>
      </c>
      <c r="J98" s="86">
        <v>-697.61363321640658</v>
      </c>
    </row>
    <row r="99" spans="1:10" s="68" customFormat="1" x14ac:dyDescent="0.25">
      <c r="A99" s="77" t="s">
        <v>250</v>
      </c>
      <c r="B99" s="77"/>
      <c r="C99" s="100"/>
      <c r="D99" s="77"/>
      <c r="E99" s="77"/>
      <c r="F99" s="81"/>
      <c r="G99" s="88">
        <v>22014</v>
      </c>
      <c r="H99" s="85">
        <v>19347.010000000002</v>
      </c>
      <c r="I99" s="85">
        <v>15776</v>
      </c>
      <c r="J99" s="85">
        <v>3571.0100000000011</v>
      </c>
    </row>
    <row r="100" spans="1:10" x14ac:dyDescent="0.25">
      <c r="A100" s="72" t="s">
        <v>19</v>
      </c>
      <c r="B100" s="72" t="s">
        <v>112</v>
      </c>
      <c r="C100" s="73" t="s">
        <v>95</v>
      </c>
      <c r="D100" s="72" t="s">
        <v>196</v>
      </c>
      <c r="E100" s="72" t="s">
        <v>162</v>
      </c>
      <c r="F100" s="80">
        <v>0.65</v>
      </c>
      <c r="G100" s="74">
        <v>13</v>
      </c>
      <c r="H100" s="84">
        <v>8.4499999999999993</v>
      </c>
      <c r="I100" s="84">
        <v>4.3895061728395062</v>
      </c>
      <c r="J100" s="84">
        <v>4.0604938271604931</v>
      </c>
    </row>
    <row r="101" spans="1:10" x14ac:dyDescent="0.25">
      <c r="A101" s="72"/>
      <c r="B101" s="72"/>
      <c r="C101" s="73"/>
      <c r="D101" s="72"/>
      <c r="E101" s="72" t="s">
        <v>166</v>
      </c>
      <c r="F101" s="80">
        <v>0.74</v>
      </c>
      <c r="G101" s="74">
        <v>6488</v>
      </c>
      <c r="H101" s="84">
        <v>4801.12</v>
      </c>
      <c r="I101" s="84">
        <v>2183.6104938271606</v>
      </c>
      <c r="J101" s="84">
        <v>2617.5095061728393</v>
      </c>
    </row>
    <row r="102" spans="1:10" x14ac:dyDescent="0.25">
      <c r="A102" s="72"/>
      <c r="B102" s="72"/>
      <c r="C102" s="73" t="s">
        <v>105</v>
      </c>
      <c r="D102" s="72" t="s">
        <v>196</v>
      </c>
      <c r="E102" s="72" t="s">
        <v>150</v>
      </c>
      <c r="F102" s="80">
        <v>0.79</v>
      </c>
      <c r="G102" s="74">
        <v>1487</v>
      </c>
      <c r="H102" s="84">
        <v>1174.73</v>
      </c>
      <c r="I102" s="84">
        <v>1050.2117495158166</v>
      </c>
      <c r="J102" s="84">
        <v>124.51825048418345</v>
      </c>
    </row>
    <row r="103" spans="1:10" x14ac:dyDescent="0.25">
      <c r="A103" s="72"/>
      <c r="B103" s="72"/>
      <c r="C103" s="73"/>
      <c r="D103" s="72"/>
      <c r="E103" s="72" t="s">
        <v>152</v>
      </c>
      <c r="F103" s="80">
        <v>0.93</v>
      </c>
      <c r="G103" s="74">
        <v>43</v>
      </c>
      <c r="H103" s="84">
        <v>39.99</v>
      </c>
      <c r="I103" s="84">
        <v>28.084776119402985</v>
      </c>
      <c r="J103" s="84">
        <v>11.905223880597017</v>
      </c>
    </row>
    <row r="104" spans="1:10" x14ac:dyDescent="0.25">
      <c r="A104" s="72"/>
      <c r="B104" s="72"/>
      <c r="C104" s="73"/>
      <c r="D104" s="72"/>
      <c r="E104" s="72" t="s">
        <v>151</v>
      </c>
      <c r="F104" s="80">
        <v>0.79</v>
      </c>
      <c r="G104" s="74">
        <v>1670</v>
      </c>
      <c r="H104" s="84">
        <v>1319.3</v>
      </c>
      <c r="I104" s="84">
        <v>1092.7531838547739</v>
      </c>
      <c r="J104" s="84">
        <v>226.54681614522602</v>
      </c>
    </row>
    <row r="105" spans="1:10" x14ac:dyDescent="0.25">
      <c r="A105" s="72"/>
      <c r="B105" s="72"/>
      <c r="C105" s="73"/>
      <c r="D105" s="72"/>
      <c r="E105" s="72" t="s">
        <v>164</v>
      </c>
      <c r="F105" s="80">
        <v>0.7</v>
      </c>
      <c r="G105" s="74">
        <v>24</v>
      </c>
      <c r="H105" s="84">
        <v>16.8</v>
      </c>
      <c r="I105" s="84">
        <v>16.950290510006457</v>
      </c>
      <c r="J105" s="84">
        <v>-0.15029051000645666</v>
      </c>
    </row>
    <row r="106" spans="1:10" x14ac:dyDescent="0.25">
      <c r="A106" s="72"/>
      <c r="B106" s="72"/>
      <c r="C106" s="73" t="s">
        <v>118</v>
      </c>
      <c r="D106" s="72" t="s">
        <v>196</v>
      </c>
      <c r="E106" s="72" t="s">
        <v>150</v>
      </c>
      <c r="F106" s="80">
        <v>0.79</v>
      </c>
      <c r="G106" s="74">
        <v>1488</v>
      </c>
      <c r="H106" s="84">
        <v>1175.52</v>
      </c>
      <c r="I106" s="84">
        <v>1050.24</v>
      </c>
      <c r="J106" s="84">
        <v>125.27999999999997</v>
      </c>
    </row>
    <row r="107" spans="1:10" x14ac:dyDescent="0.25">
      <c r="A107" s="72"/>
      <c r="B107" s="72"/>
      <c r="C107" s="73"/>
      <c r="D107" s="72"/>
      <c r="E107" s="72" t="s">
        <v>152</v>
      </c>
      <c r="F107" s="80">
        <v>0.93</v>
      </c>
      <c r="G107" s="74">
        <v>42</v>
      </c>
      <c r="H107" s="84">
        <v>39.06</v>
      </c>
      <c r="I107" s="84">
        <v>27.431641791044775</v>
      </c>
      <c r="J107" s="84">
        <v>11.628358208955227</v>
      </c>
    </row>
    <row r="108" spans="1:10" x14ac:dyDescent="0.25">
      <c r="A108" s="72"/>
      <c r="B108" s="72"/>
      <c r="C108" s="73"/>
      <c r="D108" s="72"/>
      <c r="E108" s="72" t="s">
        <v>151</v>
      </c>
      <c r="F108" s="80">
        <v>0.79</v>
      </c>
      <c r="G108" s="74">
        <v>1670</v>
      </c>
      <c r="H108" s="84">
        <v>1319.3</v>
      </c>
      <c r="I108" s="84">
        <v>1092.6831969186326</v>
      </c>
      <c r="J108" s="84">
        <v>226.61680308136727</v>
      </c>
    </row>
    <row r="109" spans="1:10" x14ac:dyDescent="0.25">
      <c r="A109" s="72"/>
      <c r="B109" s="72"/>
      <c r="C109" s="73"/>
      <c r="D109" s="72"/>
      <c r="E109" s="72" t="s">
        <v>164</v>
      </c>
      <c r="F109" s="80">
        <v>0.7</v>
      </c>
      <c r="G109" s="74">
        <v>25</v>
      </c>
      <c r="H109" s="84">
        <v>17.5</v>
      </c>
      <c r="I109" s="84">
        <v>17.64516129032258</v>
      </c>
      <c r="J109" s="84">
        <v>-0.14516129032258007</v>
      </c>
    </row>
    <row r="110" spans="1:10" x14ac:dyDescent="0.25">
      <c r="A110" s="72"/>
      <c r="B110" s="72"/>
      <c r="C110" s="73" t="s">
        <v>119</v>
      </c>
      <c r="D110" s="72" t="s">
        <v>196</v>
      </c>
      <c r="E110" s="72" t="s">
        <v>153</v>
      </c>
      <c r="F110" s="80">
        <v>0.83</v>
      </c>
      <c r="G110" s="74">
        <v>3997</v>
      </c>
      <c r="H110" s="84">
        <v>3317.51</v>
      </c>
      <c r="I110" s="84">
        <v>2186.3590000000004</v>
      </c>
      <c r="J110" s="84">
        <v>1131.1509999999998</v>
      </c>
    </row>
    <row r="111" spans="1:10" x14ac:dyDescent="0.25">
      <c r="A111" s="72"/>
      <c r="B111" s="72"/>
      <c r="C111" s="73"/>
      <c r="D111" s="72"/>
      <c r="E111" s="72" t="s">
        <v>155</v>
      </c>
      <c r="F111" s="80">
        <v>0.75</v>
      </c>
      <c r="G111" s="74">
        <v>3</v>
      </c>
      <c r="H111" s="84">
        <v>2.25</v>
      </c>
      <c r="I111" s="84">
        <v>1.641</v>
      </c>
      <c r="J111" s="84">
        <v>0.60899999999999999</v>
      </c>
    </row>
    <row r="112" spans="1:10" x14ac:dyDescent="0.25">
      <c r="A112" s="72"/>
      <c r="B112" s="72"/>
      <c r="C112" s="73" t="s">
        <v>123</v>
      </c>
      <c r="D112" s="72" t="s">
        <v>196</v>
      </c>
      <c r="E112" s="72" t="s">
        <v>153</v>
      </c>
      <c r="F112" s="80">
        <v>0.83</v>
      </c>
      <c r="G112" s="74">
        <v>3998</v>
      </c>
      <c r="H112" s="84">
        <v>3318.34</v>
      </c>
      <c r="I112" s="84">
        <v>2186.9059999999999</v>
      </c>
      <c r="J112" s="84">
        <v>1131.434</v>
      </c>
    </row>
    <row r="113" spans="1:10" x14ac:dyDescent="0.25">
      <c r="A113" s="72"/>
      <c r="B113" s="72"/>
      <c r="C113" s="73"/>
      <c r="D113" s="72"/>
      <c r="E113" s="72" t="s">
        <v>155</v>
      </c>
      <c r="F113" s="80">
        <v>0.75</v>
      </c>
      <c r="G113" s="74">
        <v>2</v>
      </c>
      <c r="H113" s="84">
        <v>1.5</v>
      </c>
      <c r="I113" s="84">
        <v>1.0940000000000001</v>
      </c>
      <c r="J113" s="84">
        <v>0.40599999999999992</v>
      </c>
    </row>
    <row r="114" spans="1:10" x14ac:dyDescent="0.25">
      <c r="A114" s="72"/>
      <c r="B114" s="72"/>
      <c r="C114" s="73" t="s">
        <v>97</v>
      </c>
      <c r="D114" s="72" t="s">
        <v>196</v>
      </c>
      <c r="E114" s="72" t="s">
        <v>154</v>
      </c>
      <c r="F114" s="80">
        <v>0.68</v>
      </c>
      <c r="G114" s="74">
        <v>920</v>
      </c>
      <c r="H114" s="84">
        <v>625.6</v>
      </c>
      <c r="I114" s="84">
        <v>544.0432432432433</v>
      </c>
      <c r="J114" s="84">
        <v>81.556756756756727</v>
      </c>
    </row>
    <row r="115" spans="1:10" x14ac:dyDescent="0.25">
      <c r="A115" s="72"/>
      <c r="B115" s="72"/>
      <c r="C115" s="73"/>
      <c r="D115" s="72"/>
      <c r="E115" s="72" t="s">
        <v>160</v>
      </c>
      <c r="F115" s="80">
        <v>0.68</v>
      </c>
      <c r="G115" s="74">
        <v>2780</v>
      </c>
      <c r="H115" s="84">
        <v>1890.4</v>
      </c>
      <c r="I115" s="84">
        <v>1643.9567567567567</v>
      </c>
      <c r="J115" s="84">
        <v>246.44324324324327</v>
      </c>
    </row>
    <row r="116" spans="1:10" x14ac:dyDescent="0.25">
      <c r="A116" s="72"/>
      <c r="B116" s="72"/>
      <c r="C116" s="73" t="s">
        <v>99</v>
      </c>
      <c r="D116" s="72" t="s">
        <v>196</v>
      </c>
      <c r="E116" s="72" t="s">
        <v>154</v>
      </c>
      <c r="F116" s="80">
        <v>0.68</v>
      </c>
      <c r="G116" s="74">
        <v>920</v>
      </c>
      <c r="H116" s="84">
        <v>625.6</v>
      </c>
      <c r="I116" s="84">
        <v>544.0432432432433</v>
      </c>
      <c r="J116" s="84">
        <v>81.556756756756727</v>
      </c>
    </row>
    <row r="117" spans="1:10" x14ac:dyDescent="0.25">
      <c r="A117" s="72"/>
      <c r="B117" s="72"/>
      <c r="C117" s="73"/>
      <c r="D117" s="72"/>
      <c r="E117" s="72" t="s">
        <v>160</v>
      </c>
      <c r="F117" s="80">
        <v>0.68</v>
      </c>
      <c r="G117" s="74">
        <v>2780</v>
      </c>
      <c r="H117" s="84">
        <v>1890.4</v>
      </c>
      <c r="I117" s="84">
        <v>1643.9567567567567</v>
      </c>
      <c r="J117" s="84">
        <v>246.44324324324327</v>
      </c>
    </row>
    <row r="118" spans="1:10" x14ac:dyDescent="0.25">
      <c r="A118" s="72"/>
      <c r="B118" s="72"/>
      <c r="C118" s="73" t="s">
        <v>101</v>
      </c>
      <c r="D118" s="72" t="s">
        <v>196</v>
      </c>
      <c r="E118" s="72" t="s">
        <v>169</v>
      </c>
      <c r="F118" s="80">
        <v>0.77</v>
      </c>
      <c r="G118" s="74">
        <v>3180</v>
      </c>
      <c r="H118" s="84">
        <v>2448.6</v>
      </c>
      <c r="I118" s="84">
        <v>1476.3118279569892</v>
      </c>
      <c r="J118" s="84">
        <v>972.28817204301072</v>
      </c>
    </row>
    <row r="119" spans="1:10" x14ac:dyDescent="0.25">
      <c r="A119" s="72"/>
      <c r="B119" s="72"/>
      <c r="C119" s="73"/>
      <c r="D119" s="72"/>
      <c r="E119" s="72" t="s">
        <v>167</v>
      </c>
      <c r="F119" s="80">
        <v>0.74</v>
      </c>
      <c r="G119" s="74">
        <v>160</v>
      </c>
      <c r="H119" s="84">
        <v>118.4</v>
      </c>
      <c r="I119" s="84">
        <v>78.422939068100348</v>
      </c>
      <c r="J119" s="84">
        <v>39.977060931899658</v>
      </c>
    </row>
    <row r="120" spans="1:10" x14ac:dyDescent="0.25">
      <c r="A120" s="72"/>
      <c r="B120" s="72"/>
      <c r="C120" s="73"/>
      <c r="D120" s="72"/>
      <c r="E120" s="72" t="s">
        <v>168</v>
      </c>
      <c r="F120" s="80">
        <v>0.74</v>
      </c>
      <c r="G120" s="74">
        <v>1292</v>
      </c>
      <c r="H120" s="84">
        <v>956.08</v>
      </c>
      <c r="I120" s="84">
        <v>633.2652329749103</v>
      </c>
      <c r="J120" s="84">
        <v>322.81476702508974</v>
      </c>
    </row>
    <row r="121" spans="1:10" x14ac:dyDescent="0.25">
      <c r="A121" s="72"/>
      <c r="B121" s="72"/>
      <c r="C121" s="73" t="s">
        <v>102</v>
      </c>
      <c r="D121" s="72" t="s">
        <v>196</v>
      </c>
      <c r="E121" s="72" t="s">
        <v>169</v>
      </c>
      <c r="F121" s="80">
        <v>0.77</v>
      </c>
      <c r="G121" s="74">
        <v>3180</v>
      </c>
      <c r="H121" s="84">
        <v>2448.6</v>
      </c>
      <c r="I121" s="84">
        <v>1476.140618002687</v>
      </c>
      <c r="J121" s="84">
        <v>972.45938199731302</v>
      </c>
    </row>
    <row r="122" spans="1:10" x14ac:dyDescent="0.25">
      <c r="A122" s="72"/>
      <c r="B122" s="72"/>
      <c r="C122" s="73"/>
      <c r="D122" s="72"/>
      <c r="E122" s="72" t="s">
        <v>167</v>
      </c>
      <c r="F122" s="80">
        <v>0.74</v>
      </c>
      <c r="G122" s="74">
        <v>160</v>
      </c>
      <c r="H122" s="84">
        <v>118.4</v>
      </c>
      <c r="I122" s="84">
        <v>78.387819077474248</v>
      </c>
      <c r="J122" s="84">
        <v>40.012180922525758</v>
      </c>
    </row>
    <row r="123" spans="1:10" x14ac:dyDescent="0.25">
      <c r="A123" s="72"/>
      <c r="B123" s="72"/>
      <c r="C123" s="73"/>
      <c r="D123" s="72"/>
      <c r="E123" s="72" t="s">
        <v>168</v>
      </c>
      <c r="F123" s="80">
        <v>0.74</v>
      </c>
      <c r="G123" s="74">
        <v>1293</v>
      </c>
      <c r="H123" s="84">
        <v>956.82</v>
      </c>
      <c r="I123" s="84">
        <v>633.47156291983879</v>
      </c>
      <c r="J123" s="84">
        <v>323.34843708016126</v>
      </c>
    </row>
    <row r="124" spans="1:10" x14ac:dyDescent="0.25">
      <c r="A124" s="72"/>
      <c r="B124" s="72"/>
      <c r="C124" s="73" t="s">
        <v>103</v>
      </c>
      <c r="D124" s="72" t="s">
        <v>196</v>
      </c>
      <c r="E124" s="72" t="s">
        <v>143</v>
      </c>
      <c r="F124" s="80">
        <v>0.79</v>
      </c>
      <c r="G124" s="74">
        <v>76</v>
      </c>
      <c r="H124" s="84">
        <v>60.04</v>
      </c>
      <c r="I124" s="84">
        <v>36.530755711775043</v>
      </c>
      <c r="J124" s="84">
        <v>23.509244288224956</v>
      </c>
    </row>
    <row r="125" spans="1:10" x14ac:dyDescent="0.25">
      <c r="A125" s="72"/>
      <c r="B125" s="72"/>
      <c r="C125" s="73"/>
      <c r="D125" s="72"/>
      <c r="E125" s="72" t="s">
        <v>169</v>
      </c>
      <c r="F125" s="80">
        <v>0.77</v>
      </c>
      <c r="G125" s="74">
        <v>4004</v>
      </c>
      <c r="H125" s="84">
        <v>3083.08</v>
      </c>
      <c r="I125" s="84">
        <v>1915.5457660273553</v>
      </c>
      <c r="J125" s="84">
        <v>1167.5342339726446</v>
      </c>
    </row>
    <row r="126" spans="1:10" x14ac:dyDescent="0.25">
      <c r="A126" s="72"/>
      <c r="B126" s="72"/>
      <c r="C126" s="73"/>
      <c r="D126" s="72"/>
      <c r="E126" s="72" t="s">
        <v>167</v>
      </c>
      <c r="F126" s="80">
        <v>0.74</v>
      </c>
      <c r="G126" s="74">
        <v>298</v>
      </c>
      <c r="H126" s="84">
        <v>220.52</v>
      </c>
      <c r="I126" s="84">
        <v>141.74434782608697</v>
      </c>
      <c r="J126" s="84">
        <v>78.775652173913045</v>
      </c>
    </row>
    <row r="127" spans="1:10" x14ac:dyDescent="0.25">
      <c r="A127" s="72"/>
      <c r="B127" s="72"/>
      <c r="C127" s="73"/>
      <c r="D127" s="72"/>
      <c r="E127" s="72" t="s">
        <v>168</v>
      </c>
      <c r="F127" s="80">
        <v>0.74</v>
      </c>
      <c r="G127" s="74">
        <v>198</v>
      </c>
      <c r="H127" s="84">
        <v>146.52000000000001</v>
      </c>
      <c r="I127" s="84">
        <v>94.179130434782607</v>
      </c>
      <c r="J127" s="84">
        <v>52.340869565217403</v>
      </c>
    </row>
    <row r="128" spans="1:10" x14ac:dyDescent="0.25">
      <c r="A128" s="72"/>
      <c r="B128" s="72"/>
      <c r="C128" s="73" t="s">
        <v>107</v>
      </c>
      <c r="D128" s="72" t="s">
        <v>196</v>
      </c>
      <c r="E128" s="72" t="s">
        <v>143</v>
      </c>
      <c r="F128" s="80">
        <v>0.79</v>
      </c>
      <c r="G128" s="74">
        <v>77</v>
      </c>
      <c r="H128" s="84">
        <v>60.83</v>
      </c>
      <c r="I128" s="84">
        <v>36.995169082125599</v>
      </c>
      <c r="J128" s="84">
        <v>23.834830917874399</v>
      </c>
    </row>
    <row r="129" spans="1:10" x14ac:dyDescent="0.25">
      <c r="A129" s="72"/>
      <c r="B129" s="72"/>
      <c r="C129" s="73"/>
      <c r="D129" s="72"/>
      <c r="E129" s="72" t="s">
        <v>169</v>
      </c>
      <c r="F129" s="80">
        <v>0.77</v>
      </c>
      <c r="G129" s="74">
        <v>4005</v>
      </c>
      <c r="H129" s="84">
        <v>3083.85</v>
      </c>
      <c r="I129" s="84">
        <v>1915.5570048309178</v>
      </c>
      <c r="J129" s="84">
        <v>1168.2929951690821</v>
      </c>
    </row>
    <row r="130" spans="1:10" x14ac:dyDescent="0.25">
      <c r="A130" s="72"/>
      <c r="B130" s="72"/>
      <c r="C130" s="73"/>
      <c r="D130" s="72"/>
      <c r="E130" s="72" t="s">
        <v>167</v>
      </c>
      <c r="F130" s="80">
        <v>0.74</v>
      </c>
      <c r="G130" s="74">
        <v>298</v>
      </c>
      <c r="H130" s="84">
        <v>220.52</v>
      </c>
      <c r="I130" s="84">
        <v>141.74434782608697</v>
      </c>
      <c r="J130" s="84">
        <v>78.775652173913045</v>
      </c>
    </row>
    <row r="131" spans="1:10" x14ac:dyDescent="0.25">
      <c r="A131" s="72"/>
      <c r="B131" s="72"/>
      <c r="C131" s="73"/>
      <c r="D131" s="72"/>
      <c r="E131" s="72" t="s">
        <v>168</v>
      </c>
      <c r="F131" s="80">
        <v>0.74</v>
      </c>
      <c r="G131" s="74">
        <v>197</v>
      </c>
      <c r="H131" s="84">
        <v>145.78</v>
      </c>
      <c r="I131" s="84">
        <v>93.703478260869559</v>
      </c>
      <c r="J131" s="84">
        <v>52.076521739130442</v>
      </c>
    </row>
    <row r="132" spans="1:10" x14ac:dyDescent="0.25">
      <c r="A132" s="72"/>
      <c r="B132" s="72"/>
      <c r="C132" s="73" t="s">
        <v>109</v>
      </c>
      <c r="D132" s="72" t="s">
        <v>196</v>
      </c>
      <c r="E132" s="72" t="s">
        <v>149</v>
      </c>
      <c r="F132" s="80">
        <v>0.79</v>
      </c>
      <c r="G132" s="74">
        <v>1585</v>
      </c>
      <c r="H132" s="84">
        <v>1252.1499999999999</v>
      </c>
      <c r="I132" s="84">
        <v>995.27507122507109</v>
      </c>
      <c r="J132" s="84">
        <v>256.87492877492878</v>
      </c>
    </row>
    <row r="133" spans="1:10" x14ac:dyDescent="0.25">
      <c r="A133" s="72"/>
      <c r="B133" s="72"/>
      <c r="C133" s="73"/>
      <c r="D133" s="72"/>
      <c r="E133" s="72" t="s">
        <v>150</v>
      </c>
      <c r="F133" s="80">
        <v>0.79</v>
      </c>
      <c r="G133" s="74">
        <v>812</v>
      </c>
      <c r="H133" s="84">
        <v>641.48</v>
      </c>
      <c r="I133" s="84">
        <v>537.69242877492866</v>
      </c>
      <c r="J133" s="84">
        <v>103.78757122507128</v>
      </c>
    </row>
    <row r="134" spans="1:10" x14ac:dyDescent="0.25">
      <c r="A134" s="72"/>
      <c r="B134" s="72"/>
      <c r="C134" s="73"/>
      <c r="D134" s="72"/>
      <c r="E134" s="72" t="s">
        <v>151</v>
      </c>
      <c r="F134" s="80">
        <v>0.79</v>
      </c>
      <c r="G134" s="74">
        <v>958</v>
      </c>
      <c r="H134" s="84">
        <v>756.82</v>
      </c>
      <c r="I134" s="84">
        <v>655.03250000000003</v>
      </c>
      <c r="J134" s="84">
        <v>101.78750000000002</v>
      </c>
    </row>
    <row r="135" spans="1:10" x14ac:dyDescent="0.25">
      <c r="A135" s="72"/>
      <c r="B135" s="72"/>
      <c r="C135" s="73" t="s">
        <v>110</v>
      </c>
      <c r="D135" s="72" t="s">
        <v>196</v>
      </c>
      <c r="E135" s="72" t="s">
        <v>149</v>
      </c>
      <c r="F135" s="80">
        <v>0.79</v>
      </c>
      <c r="G135" s="74">
        <v>1585</v>
      </c>
      <c r="H135" s="84">
        <v>1252.1499999999999</v>
      </c>
      <c r="I135" s="84">
        <v>995.27507122507109</v>
      </c>
      <c r="J135" s="84">
        <v>256.87492877492878</v>
      </c>
    </row>
    <row r="136" spans="1:10" x14ac:dyDescent="0.25">
      <c r="A136" s="72"/>
      <c r="B136" s="72"/>
      <c r="C136" s="73"/>
      <c r="D136" s="72"/>
      <c r="E136" s="72" t="s">
        <v>150</v>
      </c>
      <c r="F136" s="80">
        <v>0.79</v>
      </c>
      <c r="G136" s="74">
        <v>813</v>
      </c>
      <c r="H136" s="84">
        <v>642.27</v>
      </c>
      <c r="I136" s="84">
        <v>538.3761787749288</v>
      </c>
      <c r="J136" s="84">
        <v>103.89382122507121</v>
      </c>
    </row>
    <row r="137" spans="1:10" x14ac:dyDescent="0.25">
      <c r="A137" s="72"/>
      <c r="B137" s="72"/>
      <c r="C137" s="73"/>
      <c r="D137" s="72"/>
      <c r="E137" s="72" t="s">
        <v>151</v>
      </c>
      <c r="F137" s="80">
        <v>0.79</v>
      </c>
      <c r="G137" s="74">
        <v>957</v>
      </c>
      <c r="H137" s="84">
        <v>756.03</v>
      </c>
      <c r="I137" s="84">
        <v>654.34875</v>
      </c>
      <c r="J137" s="84">
        <v>101.68124999999998</v>
      </c>
    </row>
    <row r="138" spans="1:10" s="68" customFormat="1" x14ac:dyDescent="0.25">
      <c r="A138" s="79"/>
      <c r="B138" s="79" t="s">
        <v>243</v>
      </c>
      <c r="C138" s="101"/>
      <c r="D138" s="79"/>
      <c r="E138" s="79"/>
      <c r="F138" s="82"/>
      <c r="G138" s="89">
        <v>53478</v>
      </c>
      <c r="H138" s="86">
        <v>40952.30999999999</v>
      </c>
      <c r="I138" s="86">
        <v>28443.999999999996</v>
      </c>
      <c r="J138" s="86">
        <v>12508.310000000005</v>
      </c>
    </row>
    <row r="139" spans="1:10" s="68" customFormat="1" x14ac:dyDescent="0.25">
      <c r="A139" s="77" t="s">
        <v>252</v>
      </c>
      <c r="B139" s="77"/>
      <c r="C139" s="100"/>
      <c r="D139" s="77"/>
      <c r="E139" s="77"/>
      <c r="F139" s="81"/>
      <c r="G139" s="88">
        <v>53478</v>
      </c>
      <c r="H139" s="85">
        <v>40952.30999999999</v>
      </c>
      <c r="I139" s="85">
        <v>28443.999999999996</v>
      </c>
      <c r="J139" s="85">
        <v>12508.310000000005</v>
      </c>
    </row>
    <row r="140" spans="1:10" x14ac:dyDescent="0.25">
      <c r="A140" s="77" t="s">
        <v>209</v>
      </c>
      <c r="B140" s="77"/>
      <c r="C140" s="100"/>
      <c r="D140" s="77"/>
      <c r="E140" s="77"/>
      <c r="F140" s="81"/>
      <c r="G140" s="88">
        <v>138324</v>
      </c>
      <c r="H140" s="85">
        <v>105765.89000000004</v>
      </c>
      <c r="I140" s="85">
        <v>79469.238095238092</v>
      </c>
      <c r="J140" s="85">
        <v>26296.651904761904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0054-E04F-40AD-B239-7FA314F71F61}">
  <sheetPr codeName="Sheet52"/>
  <dimension ref="A1:F89"/>
  <sheetViews>
    <sheetView zoomScale="75" zoomScaleNormal="75" workbookViewId="0">
      <selection activeCell="E2" sqref="E2:F2 E4:F4 E5:F5 E6:F6"/>
    </sheetView>
  </sheetViews>
  <sheetFormatPr defaultRowHeight="15" x14ac:dyDescent="0.25"/>
  <cols>
    <col min="1" max="1" width="8" bestFit="1" customWidth="1"/>
    <col min="2" max="2" width="14.42578125" bestFit="1" customWidth="1"/>
    <col min="3" max="4" width="11.5703125" bestFit="1" customWidth="1"/>
    <col min="5" max="5" width="8.140625" bestFit="1" customWidth="1"/>
    <col min="6" max="6" width="32.7109375" style="68" bestFit="1" customWidth="1"/>
    <col min="7" max="7" width="28.85546875" bestFit="1" customWidth="1"/>
  </cols>
  <sheetData>
    <row r="1" spans="1:6" x14ac:dyDescent="0.25">
      <c r="C1" s="125" t="str">
        <f>TEXT(C2,"[$-421]mmmm")</f>
        <v>April</v>
      </c>
    </row>
    <row r="2" spans="1:6" s="118" customFormat="1" x14ac:dyDescent="0.25">
      <c r="A2" s="120" t="s">
        <v>11</v>
      </c>
      <c r="B2" s="120" t="s">
        <v>203</v>
      </c>
      <c r="C2" s="123">
        <v>45383</v>
      </c>
      <c r="D2" s="123">
        <v>45384</v>
      </c>
      <c r="E2" s="128" t="s">
        <v>187</v>
      </c>
      <c r="F2" s="129"/>
    </row>
    <row r="3" spans="1:6" x14ac:dyDescent="0.25">
      <c r="A3" s="121" t="s">
        <v>12</v>
      </c>
      <c r="B3" s="72" t="s">
        <v>204</v>
      </c>
      <c r="C3" s="124">
        <f>IFERROR(C5/C4,0)</f>
        <v>3.2565648854961835</v>
      </c>
      <c r="D3" s="124">
        <f>IFERROR(D5/D4,0)</f>
        <v>3.2565648854961835</v>
      </c>
      <c r="E3" s="122">
        <f t="shared" ref="E3:E7" si="0">SUM(C3:D3)</f>
        <v>6.513129770992367</v>
      </c>
    </row>
    <row r="4" spans="1:6" x14ac:dyDescent="0.25">
      <c r="A4" s="121"/>
      <c r="B4" s="72" t="s">
        <v>275</v>
      </c>
      <c r="C4" s="72">
        <v>655</v>
      </c>
      <c r="D4" s="72">
        <v>655</v>
      </c>
      <c r="E4" s="74">
        <f t="shared" si="0"/>
        <v>1310</v>
      </c>
      <c r="F4" s="130"/>
    </row>
    <row r="5" spans="1:6" x14ac:dyDescent="0.25">
      <c r="A5" s="121"/>
      <c r="B5" s="72" t="s">
        <v>277</v>
      </c>
      <c r="C5" s="124">
        <v>2133.0500000000002</v>
      </c>
      <c r="D5" s="124">
        <v>2133.0500000000002</v>
      </c>
      <c r="E5" s="122">
        <f t="shared" si="0"/>
        <v>4266.1000000000004</v>
      </c>
    </row>
    <row r="6" spans="1:6" x14ac:dyDescent="0.25">
      <c r="A6" s="121"/>
      <c r="B6" s="72" t="s">
        <v>276</v>
      </c>
      <c r="C6" s="124">
        <v>1824</v>
      </c>
      <c r="D6" s="124">
        <v>1824</v>
      </c>
      <c r="E6" s="122">
        <f t="shared" si="0"/>
        <v>3648</v>
      </c>
    </row>
    <row r="7" spans="1:6" x14ac:dyDescent="0.25">
      <c r="A7" s="121"/>
      <c r="B7" s="72" t="s">
        <v>278</v>
      </c>
      <c r="C7" s="122">
        <f t="shared" ref="C7:D7" si="1">C5-C6</f>
        <v>309.05000000000018</v>
      </c>
      <c r="D7" s="122">
        <f t="shared" si="1"/>
        <v>309.05000000000018</v>
      </c>
      <c r="E7" s="122">
        <f t="shared" si="0"/>
        <v>618.10000000000036</v>
      </c>
    </row>
    <row r="29" spans="1:5" ht="17.25" x14ac:dyDescent="0.3">
      <c r="A29" s="136" t="s">
        <v>302</v>
      </c>
      <c r="B29" s="136"/>
      <c r="C29" s="136"/>
      <c r="D29" s="136"/>
      <c r="E29" s="68"/>
    </row>
    <row r="30" spans="1:5" x14ac:dyDescent="0.25">
      <c r="A30" s="143" t="s">
        <v>11</v>
      </c>
      <c r="B30" s="126" t="s">
        <v>186</v>
      </c>
      <c r="C30" s="123">
        <v>45383</v>
      </c>
      <c r="D30" s="123">
        <v>45384</v>
      </c>
      <c r="E30" s="144" t="s">
        <v>187</v>
      </c>
    </row>
    <row r="31" spans="1:5" x14ac:dyDescent="0.25">
      <c r="A31" s="121" t="s">
        <v>12</v>
      </c>
      <c r="B31" s="78" t="s">
        <v>126</v>
      </c>
      <c r="C31" s="72" t="s">
        <v>281</v>
      </c>
      <c r="D31" s="72" t="s">
        <v>281</v>
      </c>
      <c r="E31" s="145"/>
    </row>
    <row r="32" spans="1:5" x14ac:dyDescent="0.25">
      <c r="A32" s="121"/>
      <c r="B32" s="78" t="s">
        <v>182</v>
      </c>
      <c r="C32" s="72" t="s">
        <v>288</v>
      </c>
      <c r="D32" s="72" t="s">
        <v>288</v>
      </c>
      <c r="E32" s="146"/>
    </row>
    <row r="33" spans="1:6" x14ac:dyDescent="0.25">
      <c r="A33" s="121"/>
      <c r="B33" s="143" t="s">
        <v>204</v>
      </c>
      <c r="C33" s="142">
        <v>3.96</v>
      </c>
      <c r="D33" s="142">
        <v>3.96</v>
      </c>
      <c r="E33" s="131">
        <f t="shared" ref="E33:E37" si="2">SUM(C33:D33)</f>
        <v>7.92</v>
      </c>
    </row>
    <row r="34" spans="1:6" x14ac:dyDescent="0.25">
      <c r="A34" s="121"/>
      <c r="B34" s="78" t="s">
        <v>300</v>
      </c>
      <c r="C34" s="72">
        <v>180</v>
      </c>
      <c r="D34" s="72">
        <v>180</v>
      </c>
      <c r="E34" s="132">
        <f t="shared" si="2"/>
        <v>360</v>
      </c>
    </row>
    <row r="35" spans="1:6" s="119" customFormat="1" x14ac:dyDescent="0.25">
      <c r="A35" s="121"/>
      <c r="B35" s="131" t="s">
        <v>277</v>
      </c>
      <c r="C35" s="122">
        <v>712.8</v>
      </c>
      <c r="D35" s="122">
        <v>712.8</v>
      </c>
      <c r="E35" s="131">
        <f t="shared" si="2"/>
        <v>1425.6</v>
      </c>
      <c r="F35" s="147"/>
    </row>
    <row r="36" spans="1:6" s="119" customFormat="1" x14ac:dyDescent="0.25">
      <c r="A36" s="121"/>
      <c r="B36" s="131" t="s">
        <v>301</v>
      </c>
      <c r="C36" s="122">
        <v>608</v>
      </c>
      <c r="D36" s="122">
        <v>608</v>
      </c>
      <c r="E36" s="131">
        <f t="shared" si="2"/>
        <v>1216</v>
      </c>
      <c r="F36" s="147"/>
    </row>
    <row r="37" spans="1:6" x14ac:dyDescent="0.25">
      <c r="A37" s="121"/>
      <c r="B37" s="78" t="s">
        <v>303</v>
      </c>
      <c r="C37" s="122">
        <f t="shared" ref="C37:D37" si="3">C35-C36</f>
        <v>104.79999999999995</v>
      </c>
      <c r="D37" s="122">
        <f t="shared" si="3"/>
        <v>104.79999999999995</v>
      </c>
      <c r="E37" s="131">
        <f t="shared" si="2"/>
        <v>209.59999999999991</v>
      </c>
    </row>
    <row r="55" spans="1:6" ht="17.25" x14ac:dyDescent="0.3">
      <c r="A55" s="136" t="s">
        <v>304</v>
      </c>
      <c r="B55" s="136"/>
      <c r="C55" s="136"/>
      <c r="D55" s="136"/>
      <c r="E55" s="68"/>
    </row>
    <row r="56" spans="1:6" x14ac:dyDescent="0.25">
      <c r="A56" s="143" t="s">
        <v>11</v>
      </c>
      <c r="B56" s="126" t="s">
        <v>186</v>
      </c>
      <c r="C56" s="123">
        <v>45383</v>
      </c>
      <c r="D56" s="123">
        <v>45384</v>
      </c>
      <c r="E56" s="144" t="s">
        <v>187</v>
      </c>
    </row>
    <row r="57" spans="1:6" x14ac:dyDescent="0.25">
      <c r="A57" s="121" t="s">
        <v>12</v>
      </c>
      <c r="B57" s="78" t="s">
        <v>126</v>
      </c>
      <c r="C57" s="78" t="s">
        <v>281</v>
      </c>
      <c r="D57" s="78" t="s">
        <v>281</v>
      </c>
      <c r="E57" s="145"/>
    </row>
    <row r="58" spans="1:6" x14ac:dyDescent="0.25">
      <c r="A58" s="121"/>
      <c r="B58" s="78" t="s">
        <v>182</v>
      </c>
      <c r="C58" s="72" t="s">
        <v>289</v>
      </c>
      <c r="D58" s="72" t="s">
        <v>289</v>
      </c>
      <c r="E58" s="146"/>
    </row>
    <row r="59" spans="1:6" x14ac:dyDescent="0.25">
      <c r="A59" s="121"/>
      <c r="B59" s="143" t="s">
        <v>204</v>
      </c>
      <c r="C59" s="142">
        <v>2.99</v>
      </c>
      <c r="D59" s="142">
        <v>2.99</v>
      </c>
      <c r="E59" s="131">
        <f t="shared" ref="E59:E63" si="4">SUM(C59:D59)</f>
        <v>5.98</v>
      </c>
    </row>
    <row r="60" spans="1:6" x14ac:dyDescent="0.25">
      <c r="A60" s="121"/>
      <c r="B60" s="78" t="s">
        <v>300</v>
      </c>
      <c r="C60" s="72">
        <v>240</v>
      </c>
      <c r="D60" s="72">
        <v>240</v>
      </c>
      <c r="E60" s="132">
        <f t="shared" si="4"/>
        <v>480</v>
      </c>
    </row>
    <row r="61" spans="1:6" s="119" customFormat="1" x14ac:dyDescent="0.25">
      <c r="A61" s="121"/>
      <c r="B61" s="131" t="s">
        <v>277</v>
      </c>
      <c r="C61" s="122">
        <v>717.6</v>
      </c>
      <c r="D61" s="122">
        <v>717.6</v>
      </c>
      <c r="E61" s="131">
        <f t="shared" si="4"/>
        <v>1435.2</v>
      </c>
      <c r="F61" s="147"/>
    </row>
    <row r="62" spans="1:6" s="119" customFormat="1" x14ac:dyDescent="0.25">
      <c r="A62" s="121"/>
      <c r="B62" s="131" t="s">
        <v>301</v>
      </c>
      <c r="C62" s="122">
        <v>608</v>
      </c>
      <c r="D62" s="122">
        <v>608</v>
      </c>
      <c r="E62" s="131">
        <f t="shared" si="4"/>
        <v>1216</v>
      </c>
      <c r="F62" s="147"/>
    </row>
    <row r="63" spans="1:6" x14ac:dyDescent="0.25">
      <c r="A63" s="121"/>
      <c r="B63" s="78" t="s">
        <v>303</v>
      </c>
      <c r="C63" s="122">
        <f t="shared" ref="C63:D63" si="5">C61-C62</f>
        <v>109.60000000000002</v>
      </c>
      <c r="D63" s="131">
        <f t="shared" si="5"/>
        <v>109.60000000000002</v>
      </c>
      <c r="E63" s="131">
        <f t="shared" si="4"/>
        <v>219.20000000000005</v>
      </c>
    </row>
    <row r="81" spans="1:6" ht="17.25" x14ac:dyDescent="0.3">
      <c r="A81" s="136" t="s">
        <v>305</v>
      </c>
      <c r="B81" s="136"/>
      <c r="C81" s="136"/>
      <c r="D81" s="136"/>
      <c r="E81" s="68"/>
    </row>
    <row r="82" spans="1:6" x14ac:dyDescent="0.25">
      <c r="A82" s="143" t="s">
        <v>11</v>
      </c>
      <c r="B82" s="126" t="s">
        <v>186</v>
      </c>
      <c r="C82" s="123">
        <v>45383</v>
      </c>
      <c r="D82" s="123">
        <v>45384</v>
      </c>
      <c r="E82" s="144" t="s">
        <v>187</v>
      </c>
    </row>
    <row r="83" spans="1:6" x14ac:dyDescent="0.25">
      <c r="A83" s="121" t="s">
        <v>12</v>
      </c>
      <c r="B83" s="78" t="s">
        <v>126</v>
      </c>
      <c r="C83" s="78" t="s">
        <v>281</v>
      </c>
      <c r="D83" s="78" t="s">
        <v>281</v>
      </c>
      <c r="E83" s="145"/>
    </row>
    <row r="84" spans="1:6" x14ac:dyDescent="0.25">
      <c r="A84" s="121"/>
      <c r="B84" s="78" t="s">
        <v>182</v>
      </c>
      <c r="C84" s="72" t="s">
        <v>289</v>
      </c>
      <c r="D84" s="72" t="s">
        <v>289</v>
      </c>
      <c r="E84" s="146"/>
    </row>
    <row r="85" spans="1:6" x14ac:dyDescent="0.25">
      <c r="A85" s="121"/>
      <c r="B85" s="143" t="s">
        <v>204</v>
      </c>
      <c r="C85" s="142">
        <v>2.9899999999999998</v>
      </c>
      <c r="D85" s="142">
        <v>2.9899999999999998</v>
      </c>
      <c r="E85" s="131">
        <f t="shared" ref="E85:E89" si="6">SUM(C85:D85)</f>
        <v>5.9799999999999995</v>
      </c>
    </row>
    <row r="86" spans="1:6" x14ac:dyDescent="0.25">
      <c r="A86" s="121"/>
      <c r="B86" s="78" t="s">
        <v>300</v>
      </c>
      <c r="C86" s="72">
        <v>235</v>
      </c>
      <c r="D86" s="72">
        <v>235</v>
      </c>
      <c r="E86" s="132">
        <f t="shared" si="6"/>
        <v>470</v>
      </c>
    </row>
    <row r="87" spans="1:6" s="119" customFormat="1" x14ac:dyDescent="0.25">
      <c r="A87" s="121"/>
      <c r="B87" s="131" t="s">
        <v>277</v>
      </c>
      <c r="C87" s="122">
        <v>702.65</v>
      </c>
      <c r="D87" s="122">
        <v>702.65</v>
      </c>
      <c r="E87" s="131">
        <f t="shared" si="6"/>
        <v>1405.3</v>
      </c>
      <c r="F87" s="147"/>
    </row>
    <row r="88" spans="1:6" s="119" customFormat="1" x14ac:dyDescent="0.25">
      <c r="A88" s="121"/>
      <c r="B88" s="131" t="s">
        <v>301</v>
      </c>
      <c r="C88" s="122">
        <v>608</v>
      </c>
      <c r="D88" s="122">
        <v>608</v>
      </c>
      <c r="E88" s="131">
        <f t="shared" si="6"/>
        <v>1216</v>
      </c>
      <c r="F88" s="147"/>
    </row>
    <row r="89" spans="1:6" x14ac:dyDescent="0.25">
      <c r="A89" s="121"/>
      <c r="B89" s="78" t="s">
        <v>303</v>
      </c>
      <c r="C89" s="122">
        <f t="shared" ref="C89:D89" si="7">C87-C88</f>
        <v>94.649999999999977</v>
      </c>
      <c r="D89" s="131">
        <f t="shared" si="7"/>
        <v>94.649999999999977</v>
      </c>
      <c r="E89" s="131">
        <f t="shared" si="6"/>
        <v>189.29999999999995</v>
      </c>
    </row>
  </sheetData>
  <mergeCells count="10">
    <mergeCell ref="A81:D81"/>
    <mergeCell ref="E82:E84"/>
    <mergeCell ref="A83:A89"/>
    <mergeCell ref="A3:A7"/>
    <mergeCell ref="A29:D29"/>
    <mergeCell ref="E30:E32"/>
    <mergeCell ref="A31:A37"/>
    <mergeCell ref="A55:D55"/>
    <mergeCell ref="E56:E58"/>
    <mergeCell ref="A57:A6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9F87B-AC11-4D4F-B656-067A5CCB8870}">
  <sheetPr codeName="Sheet53"/>
  <dimension ref="A1:AS114"/>
  <sheetViews>
    <sheetView topLeftCell="A92" zoomScale="75" zoomScaleNormal="75" workbookViewId="0">
      <selection activeCell="A107" sqref="A107:D115"/>
    </sheetView>
  </sheetViews>
  <sheetFormatPr defaultRowHeight="15" x14ac:dyDescent="0.25"/>
  <cols>
    <col min="1" max="1" width="8" bestFit="1" customWidth="1"/>
    <col min="2" max="2" width="14.42578125" bestFit="1" customWidth="1"/>
    <col min="3" max="3" width="11.5703125" bestFit="1" customWidth="1"/>
    <col min="4" max="4" width="8.140625" style="68" bestFit="1" customWidth="1"/>
    <col min="5" max="5" width="32.7109375" bestFit="1" customWidth="1"/>
    <col min="6" max="6" width="28.85546875" bestFit="1" customWidth="1"/>
  </cols>
  <sheetData>
    <row r="1" spans="1:4" x14ac:dyDescent="0.25">
      <c r="C1" s="125" t="str">
        <f>TEXT(C2,"[$-421]mmmm")</f>
        <v>April</v>
      </c>
    </row>
    <row r="2" spans="1:4" s="118" customFormat="1" x14ac:dyDescent="0.25">
      <c r="A2" s="120" t="s">
        <v>11</v>
      </c>
      <c r="B2" s="120" t="s">
        <v>203</v>
      </c>
      <c r="C2" s="123">
        <v>45384</v>
      </c>
      <c r="D2" s="128" t="s">
        <v>187</v>
      </c>
    </row>
    <row r="3" spans="1:4" x14ac:dyDescent="0.25">
      <c r="A3" s="121" t="s">
        <v>13</v>
      </c>
      <c r="B3" s="72" t="s">
        <v>204</v>
      </c>
      <c r="C3" s="124">
        <f>IFERROR(C5/C4,0)</f>
        <v>2.1322337662337665</v>
      </c>
      <c r="D3" s="131">
        <f t="shared" ref="D3:D7" si="0">SUM(C3:C3)</f>
        <v>2.1322337662337665</v>
      </c>
    </row>
    <row r="4" spans="1:4" x14ac:dyDescent="0.25">
      <c r="A4" s="121"/>
      <c r="B4" s="72" t="s">
        <v>275</v>
      </c>
      <c r="C4" s="72">
        <v>1540</v>
      </c>
      <c r="D4" s="133">
        <f t="shared" si="0"/>
        <v>1540</v>
      </c>
    </row>
    <row r="5" spans="1:4" x14ac:dyDescent="0.25">
      <c r="A5" s="121"/>
      <c r="B5" s="72" t="s">
        <v>277</v>
      </c>
      <c r="C5" s="124">
        <v>3283.6400000000003</v>
      </c>
      <c r="D5" s="131">
        <f t="shared" si="0"/>
        <v>3283.6400000000003</v>
      </c>
    </row>
    <row r="6" spans="1:4" x14ac:dyDescent="0.25">
      <c r="A6" s="121"/>
      <c r="B6" s="72" t="s">
        <v>276</v>
      </c>
      <c r="C6" s="124">
        <v>1941.2380952380952</v>
      </c>
      <c r="D6" s="131">
        <f t="shared" si="0"/>
        <v>1941.2380952380952</v>
      </c>
    </row>
    <row r="7" spans="1:4" x14ac:dyDescent="0.25">
      <c r="A7" s="121"/>
      <c r="B7" s="72" t="s">
        <v>278</v>
      </c>
      <c r="C7" s="122">
        <f>C5-C6</f>
        <v>1342.4019047619051</v>
      </c>
      <c r="D7" s="131">
        <f t="shared" si="0"/>
        <v>1342.4019047619051</v>
      </c>
    </row>
    <row r="29" spans="1:4" ht="17.25" x14ac:dyDescent="0.3">
      <c r="A29" s="136" t="s">
        <v>306</v>
      </c>
      <c r="B29" s="136"/>
      <c r="C29" s="136"/>
      <c r="D29" s="136"/>
    </row>
    <row r="30" spans="1:4" x14ac:dyDescent="0.25">
      <c r="A30" s="143" t="s">
        <v>11</v>
      </c>
      <c r="B30" s="126" t="s">
        <v>186</v>
      </c>
      <c r="C30" s="123">
        <v>45384</v>
      </c>
      <c r="D30" s="144" t="s">
        <v>187</v>
      </c>
    </row>
    <row r="31" spans="1:4" x14ac:dyDescent="0.25">
      <c r="A31" s="121" t="s">
        <v>13</v>
      </c>
      <c r="B31" s="78" t="s">
        <v>126</v>
      </c>
      <c r="C31" s="78" t="s">
        <v>285</v>
      </c>
      <c r="D31" s="145"/>
    </row>
    <row r="32" spans="1:4" x14ac:dyDescent="0.25">
      <c r="A32" s="121"/>
      <c r="B32" s="78" t="s">
        <v>182</v>
      </c>
      <c r="C32" s="72" t="s">
        <v>297</v>
      </c>
      <c r="D32" s="146"/>
    </row>
    <row r="33" spans="1:45" x14ac:dyDescent="0.25">
      <c r="A33" s="121"/>
      <c r="B33" s="143" t="s">
        <v>204</v>
      </c>
      <c r="C33" s="142">
        <v>2.89</v>
      </c>
      <c r="D33" s="131">
        <f t="shared" ref="D33:D37" si="1">SUM(C33:C33)</f>
        <v>2.89</v>
      </c>
    </row>
    <row r="34" spans="1:45" x14ac:dyDescent="0.25">
      <c r="A34" s="121"/>
      <c r="B34" s="78" t="s">
        <v>300</v>
      </c>
      <c r="C34" s="72">
        <v>339</v>
      </c>
      <c r="D34" s="132">
        <f t="shared" si="1"/>
        <v>339</v>
      </c>
    </row>
    <row r="35" spans="1:45" s="119" customFormat="1" x14ac:dyDescent="0.25">
      <c r="A35" s="121"/>
      <c r="B35" s="131" t="s">
        <v>277</v>
      </c>
      <c r="C35" s="122">
        <v>979.71</v>
      </c>
      <c r="D35" s="131">
        <f t="shared" si="1"/>
        <v>979.71</v>
      </c>
    </row>
    <row r="36" spans="1:45" s="119" customFormat="1" x14ac:dyDescent="0.25">
      <c r="A36" s="121"/>
      <c r="B36" s="131" t="s">
        <v>301</v>
      </c>
      <c r="C36" s="122">
        <v>545</v>
      </c>
      <c r="D36" s="131">
        <f t="shared" si="1"/>
        <v>545</v>
      </c>
    </row>
    <row r="37" spans="1:45" x14ac:dyDescent="0.25">
      <c r="A37" s="121"/>
      <c r="B37" s="78" t="s">
        <v>303</v>
      </c>
      <c r="C37" s="122">
        <f>C35-C36</f>
        <v>434.71000000000004</v>
      </c>
      <c r="D37" s="131">
        <f t="shared" si="1"/>
        <v>434.71000000000004</v>
      </c>
    </row>
    <row r="42" spans="1:45" ht="17.25" x14ac:dyDescent="0.3">
      <c r="A42" s="136" t="s">
        <v>307</v>
      </c>
      <c r="B42" s="136"/>
      <c r="C42" s="136"/>
      <c r="D42" s="136"/>
    </row>
    <row r="43" spans="1:45" x14ac:dyDescent="0.25">
      <c r="A43" s="143" t="s">
        <v>11</v>
      </c>
      <c r="B43" s="126" t="s">
        <v>186</v>
      </c>
      <c r="C43" s="123">
        <v>45384</v>
      </c>
      <c r="D43" s="144" t="s">
        <v>187</v>
      </c>
    </row>
    <row r="44" spans="1:45" x14ac:dyDescent="0.25">
      <c r="A44" s="121" t="s">
        <v>13</v>
      </c>
      <c r="B44" s="78" t="s">
        <v>126</v>
      </c>
      <c r="C44" s="78" t="s">
        <v>286</v>
      </c>
      <c r="D44" s="145"/>
    </row>
    <row r="45" spans="1:45" x14ac:dyDescent="0.25">
      <c r="A45" s="121"/>
      <c r="B45" s="78" t="s">
        <v>182</v>
      </c>
      <c r="C45" s="72" t="s">
        <v>298</v>
      </c>
      <c r="D45" s="146"/>
    </row>
    <row r="46" spans="1:45" x14ac:dyDescent="0.25">
      <c r="A46" s="121"/>
      <c r="B46" s="143" t="s">
        <v>204</v>
      </c>
      <c r="C46" s="142">
        <v>2.91</v>
      </c>
      <c r="D46" s="131">
        <f t="shared" ref="D46:D50" si="2">SUM(C46:C46)</f>
        <v>2.91</v>
      </c>
    </row>
    <row r="47" spans="1:45" x14ac:dyDescent="0.25">
      <c r="A47" s="121"/>
      <c r="B47" s="78" t="s">
        <v>300</v>
      </c>
      <c r="C47" s="72">
        <v>320</v>
      </c>
      <c r="D47" s="132">
        <f t="shared" si="2"/>
        <v>320</v>
      </c>
    </row>
    <row r="48" spans="1:45" x14ac:dyDescent="0.25">
      <c r="A48" s="121"/>
      <c r="B48" s="131" t="s">
        <v>277</v>
      </c>
      <c r="C48" s="122">
        <v>931.2</v>
      </c>
      <c r="D48" s="131">
        <f t="shared" si="2"/>
        <v>931.2</v>
      </c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</row>
    <row r="49" spans="1:45" x14ac:dyDescent="0.25">
      <c r="A49" s="121"/>
      <c r="B49" s="131" t="s">
        <v>301</v>
      </c>
      <c r="C49" s="122">
        <v>545</v>
      </c>
      <c r="D49" s="131">
        <f t="shared" si="2"/>
        <v>545</v>
      </c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</row>
    <row r="50" spans="1:45" x14ac:dyDescent="0.25">
      <c r="A50" s="121"/>
      <c r="B50" s="78" t="s">
        <v>303</v>
      </c>
      <c r="C50" s="122">
        <f>C48-C49</f>
        <v>386.20000000000005</v>
      </c>
      <c r="D50" s="131">
        <f t="shared" si="2"/>
        <v>386.20000000000005</v>
      </c>
    </row>
    <row r="55" spans="1:45" ht="17.25" x14ac:dyDescent="0.3">
      <c r="A55" s="136" t="s">
        <v>308</v>
      </c>
      <c r="B55" s="136"/>
      <c r="C55" s="136"/>
      <c r="D55" s="136"/>
    </row>
    <row r="56" spans="1:45" x14ac:dyDescent="0.25">
      <c r="A56" s="143" t="s">
        <v>11</v>
      </c>
      <c r="B56" s="126" t="s">
        <v>186</v>
      </c>
      <c r="C56" s="123">
        <v>45384</v>
      </c>
      <c r="D56" s="144" t="s">
        <v>187</v>
      </c>
    </row>
    <row r="57" spans="1:45" x14ac:dyDescent="0.25">
      <c r="A57" s="121" t="s">
        <v>13</v>
      </c>
      <c r="B57" s="78" t="s">
        <v>126</v>
      </c>
      <c r="C57" s="78" t="s">
        <v>309</v>
      </c>
      <c r="D57" s="145"/>
    </row>
    <row r="58" spans="1:45" x14ac:dyDescent="0.25">
      <c r="A58" s="121"/>
      <c r="B58" s="78" t="s">
        <v>182</v>
      </c>
      <c r="C58" s="72" t="s">
        <v>310</v>
      </c>
      <c r="D58" s="146"/>
    </row>
    <row r="59" spans="1:45" x14ac:dyDescent="0.25">
      <c r="A59" s="121"/>
      <c r="B59" s="143" t="s">
        <v>204</v>
      </c>
      <c r="C59" s="142">
        <v>1.23</v>
      </c>
      <c r="D59" s="131">
        <f t="shared" ref="D59:D63" si="3">SUM(C59:C59)</f>
        <v>1.23</v>
      </c>
    </row>
    <row r="60" spans="1:45" x14ac:dyDescent="0.25">
      <c r="A60" s="121"/>
      <c r="B60" s="78" t="s">
        <v>300</v>
      </c>
      <c r="C60" s="72">
        <v>636</v>
      </c>
      <c r="D60" s="132">
        <f t="shared" si="3"/>
        <v>636</v>
      </c>
    </row>
    <row r="61" spans="1:45" s="119" customFormat="1" x14ac:dyDescent="0.25">
      <c r="A61" s="121"/>
      <c r="B61" s="131" t="s">
        <v>277</v>
      </c>
      <c r="C61" s="122">
        <v>782.28</v>
      </c>
      <c r="D61" s="131">
        <f t="shared" si="3"/>
        <v>782.28</v>
      </c>
    </row>
    <row r="62" spans="1:45" s="119" customFormat="1" x14ac:dyDescent="0.25">
      <c r="A62" s="121"/>
      <c r="B62" s="131" t="s">
        <v>301</v>
      </c>
      <c r="C62" s="122">
        <v>495.17142857142852</v>
      </c>
      <c r="D62" s="131">
        <f t="shared" si="3"/>
        <v>495.17142857142852</v>
      </c>
    </row>
    <row r="63" spans="1:45" x14ac:dyDescent="0.25">
      <c r="A63" s="121"/>
      <c r="B63" s="78" t="s">
        <v>303</v>
      </c>
      <c r="C63" s="122">
        <f>C61-C62</f>
        <v>287.10857142857145</v>
      </c>
      <c r="D63" s="131">
        <f t="shared" si="3"/>
        <v>287.10857142857145</v>
      </c>
    </row>
    <row r="68" spans="1:45" ht="17.25" x14ac:dyDescent="0.3">
      <c r="A68" s="136" t="s">
        <v>311</v>
      </c>
      <c r="B68" s="136"/>
      <c r="C68" s="136"/>
      <c r="D68" s="136"/>
    </row>
    <row r="69" spans="1:45" x14ac:dyDescent="0.25">
      <c r="A69" s="143" t="s">
        <v>11</v>
      </c>
      <c r="B69" s="126" t="s">
        <v>186</v>
      </c>
      <c r="C69" s="123">
        <v>45384</v>
      </c>
      <c r="D69" s="144" t="s">
        <v>187</v>
      </c>
    </row>
    <row r="70" spans="1:45" x14ac:dyDescent="0.25">
      <c r="A70" s="121" t="s">
        <v>13</v>
      </c>
      <c r="B70" s="78" t="s">
        <v>126</v>
      </c>
      <c r="C70" s="78" t="s">
        <v>285</v>
      </c>
      <c r="D70" s="145"/>
    </row>
    <row r="71" spans="1:45" x14ac:dyDescent="0.25">
      <c r="A71" s="121"/>
      <c r="B71" s="78" t="s">
        <v>182</v>
      </c>
      <c r="C71" s="72" t="s">
        <v>299</v>
      </c>
      <c r="D71" s="146"/>
    </row>
    <row r="72" spans="1:45" x14ac:dyDescent="0.25">
      <c r="A72" s="121"/>
      <c r="B72" s="143" t="s">
        <v>204</v>
      </c>
      <c r="C72" s="142">
        <v>2.41</v>
      </c>
      <c r="D72" s="131">
        <f t="shared" ref="D72:D76" si="4">SUM(C72:C72)</f>
        <v>2.41</v>
      </c>
    </row>
    <row r="73" spans="1:45" x14ac:dyDescent="0.25">
      <c r="A73" s="121"/>
      <c r="B73" s="78" t="s">
        <v>300</v>
      </c>
      <c r="C73" s="72">
        <v>245</v>
      </c>
      <c r="D73" s="132">
        <f t="shared" si="4"/>
        <v>245</v>
      </c>
    </row>
    <row r="74" spans="1:45" x14ac:dyDescent="0.25">
      <c r="A74" s="121"/>
      <c r="B74" s="131" t="s">
        <v>277</v>
      </c>
      <c r="C74" s="122">
        <v>590.45000000000005</v>
      </c>
      <c r="D74" s="131">
        <f t="shared" si="4"/>
        <v>590.45000000000005</v>
      </c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</row>
    <row r="75" spans="1:45" x14ac:dyDescent="0.25">
      <c r="A75" s="121"/>
      <c r="B75" s="131" t="s">
        <v>301</v>
      </c>
      <c r="C75" s="122">
        <v>356.06666666666666</v>
      </c>
      <c r="D75" s="131">
        <f t="shared" si="4"/>
        <v>356.06666666666666</v>
      </c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</row>
    <row r="76" spans="1:45" x14ac:dyDescent="0.25">
      <c r="A76" s="121"/>
      <c r="B76" s="78" t="s">
        <v>303</v>
      </c>
      <c r="C76" s="122">
        <f>C74-C75</f>
        <v>234.38333333333338</v>
      </c>
      <c r="D76" s="131">
        <f t="shared" si="4"/>
        <v>234.38333333333338</v>
      </c>
    </row>
    <row r="87" spans="1:45" s="119" customFormat="1" x14ac:dyDescent="0.25">
      <c r="A87"/>
      <c r="B87"/>
      <c r="C87"/>
      <c r="D87" s="68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s="119" customFormat="1" x14ac:dyDescent="0.25">
      <c r="A88"/>
      <c r="B88"/>
      <c r="C88"/>
      <c r="D88" s="6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113" spans="1:45" s="119" customFormat="1" x14ac:dyDescent="0.25">
      <c r="A113"/>
      <c r="B113"/>
      <c r="C113"/>
      <c r="D113" s="68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s="119" customFormat="1" x14ac:dyDescent="0.25">
      <c r="A114"/>
      <c r="B114"/>
      <c r="C114"/>
      <c r="D114" s="68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</sheetData>
  <mergeCells count="13">
    <mergeCell ref="A55:D55"/>
    <mergeCell ref="D56:D58"/>
    <mergeCell ref="A57:A63"/>
    <mergeCell ref="A68:D68"/>
    <mergeCell ref="D69:D71"/>
    <mergeCell ref="A70:A76"/>
    <mergeCell ref="A3:A7"/>
    <mergeCell ref="A29:D29"/>
    <mergeCell ref="D30:D32"/>
    <mergeCell ref="A31:A37"/>
    <mergeCell ref="A42:D42"/>
    <mergeCell ref="D43:D45"/>
    <mergeCell ref="A44:A5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521F-4824-4687-90EF-924642331CB0}">
  <sheetPr codeName="Sheet54"/>
  <dimension ref="A1:F37"/>
  <sheetViews>
    <sheetView zoomScale="75" zoomScaleNormal="75" workbookViewId="0">
      <selection activeCell="E2" sqref="E2:F2 E4:F4 E5:F5 E6:F6"/>
    </sheetView>
  </sheetViews>
  <sheetFormatPr defaultRowHeight="15" x14ac:dyDescent="0.25"/>
  <cols>
    <col min="1" max="1" width="8" bestFit="1" customWidth="1"/>
    <col min="2" max="2" width="14.42578125" bestFit="1" customWidth="1"/>
    <col min="3" max="4" width="9.85546875" bestFit="1" customWidth="1"/>
    <col min="5" max="5" width="8.7109375" bestFit="1" customWidth="1"/>
    <col min="6" max="6" width="32.7109375" style="68" bestFit="1" customWidth="1"/>
    <col min="7" max="7" width="28.85546875" bestFit="1" customWidth="1"/>
  </cols>
  <sheetData>
    <row r="1" spans="1:6" x14ac:dyDescent="0.25">
      <c r="C1" s="125" t="str">
        <f>TEXT(C2,"[$-421]mmmm")</f>
        <v>April</v>
      </c>
    </row>
    <row r="2" spans="1:6" s="118" customFormat="1" x14ac:dyDescent="0.25">
      <c r="A2" s="120" t="s">
        <v>11</v>
      </c>
      <c r="B2" s="120" t="s">
        <v>203</v>
      </c>
      <c r="C2" s="123">
        <v>45383</v>
      </c>
      <c r="D2" s="123">
        <v>45384</v>
      </c>
      <c r="E2" s="128" t="s">
        <v>187</v>
      </c>
      <c r="F2" s="129"/>
    </row>
    <row r="3" spans="1:6" x14ac:dyDescent="0.25">
      <c r="A3" s="121" t="s">
        <v>14</v>
      </c>
      <c r="B3" s="72" t="s">
        <v>204</v>
      </c>
      <c r="C3" s="124">
        <f>IFERROR(C5/C4,0)</f>
        <v>3.0199999999999996</v>
      </c>
      <c r="D3" s="124">
        <f>IFERROR(D5/D4,0)</f>
        <v>3.02</v>
      </c>
      <c r="E3" s="122">
        <f t="shared" ref="E3:E7" si="0">SUM(C3:D3)</f>
        <v>6.0399999999999991</v>
      </c>
    </row>
    <row r="4" spans="1:6" x14ac:dyDescent="0.25">
      <c r="A4" s="121"/>
      <c r="B4" s="72" t="s">
        <v>275</v>
      </c>
      <c r="C4" s="72">
        <v>57</v>
      </c>
      <c r="D4" s="72">
        <v>61</v>
      </c>
      <c r="E4" s="74">
        <f t="shared" si="0"/>
        <v>118</v>
      </c>
      <c r="F4" s="130"/>
    </row>
    <row r="5" spans="1:6" x14ac:dyDescent="0.25">
      <c r="A5" s="121"/>
      <c r="B5" s="72" t="s">
        <v>277</v>
      </c>
      <c r="C5" s="124">
        <v>172.14</v>
      </c>
      <c r="D5" s="124">
        <v>184.22</v>
      </c>
      <c r="E5" s="122">
        <f t="shared" si="0"/>
        <v>356.36</v>
      </c>
    </row>
    <row r="6" spans="1:6" x14ac:dyDescent="0.25">
      <c r="A6" s="121"/>
      <c r="B6" s="72" t="s">
        <v>276</v>
      </c>
      <c r="C6" s="124">
        <v>874</v>
      </c>
      <c r="D6" s="124">
        <v>874</v>
      </c>
      <c r="E6" s="122">
        <f t="shared" si="0"/>
        <v>1748</v>
      </c>
    </row>
    <row r="7" spans="1:6" x14ac:dyDescent="0.25">
      <c r="A7" s="121"/>
      <c r="B7" s="72" t="s">
        <v>278</v>
      </c>
      <c r="C7" s="122">
        <f t="shared" ref="C7:D7" si="1">C5-C6</f>
        <v>-701.86</v>
      </c>
      <c r="D7" s="122">
        <f t="shared" si="1"/>
        <v>-689.78</v>
      </c>
      <c r="E7" s="122">
        <f t="shared" si="0"/>
        <v>-1391.6399999999999</v>
      </c>
    </row>
    <row r="29" spans="1:5" ht="17.25" x14ac:dyDescent="0.3">
      <c r="A29" s="136" t="s">
        <v>312</v>
      </c>
      <c r="B29" s="136"/>
      <c r="C29" s="136"/>
      <c r="D29" s="136"/>
      <c r="E29" s="68"/>
    </row>
    <row r="30" spans="1:5" x14ac:dyDescent="0.25">
      <c r="A30" s="143" t="s">
        <v>11</v>
      </c>
      <c r="B30" s="126" t="s">
        <v>186</v>
      </c>
      <c r="C30" s="123">
        <v>45383</v>
      </c>
      <c r="D30" s="123">
        <v>45384</v>
      </c>
      <c r="E30" s="144" t="s">
        <v>187</v>
      </c>
    </row>
    <row r="31" spans="1:5" x14ac:dyDescent="0.25">
      <c r="A31" s="121" t="s">
        <v>14</v>
      </c>
      <c r="B31" s="78" t="s">
        <v>126</v>
      </c>
      <c r="C31" s="78" t="s">
        <v>281</v>
      </c>
      <c r="D31" s="72" t="s">
        <v>281</v>
      </c>
      <c r="E31" s="145"/>
    </row>
    <row r="32" spans="1:5" x14ac:dyDescent="0.25">
      <c r="A32" s="121"/>
      <c r="B32" s="78" t="s">
        <v>182</v>
      </c>
      <c r="C32" s="72" t="s">
        <v>290</v>
      </c>
      <c r="D32" s="72" t="s">
        <v>290</v>
      </c>
      <c r="E32" s="146"/>
    </row>
    <row r="33" spans="1:6" x14ac:dyDescent="0.25">
      <c r="A33" s="121"/>
      <c r="B33" s="143" t="s">
        <v>204</v>
      </c>
      <c r="C33" s="142">
        <v>3.0199999999999996</v>
      </c>
      <c r="D33" s="142">
        <v>3.02</v>
      </c>
      <c r="E33" s="131">
        <f t="shared" ref="E33:E37" si="2">SUM(C33:D33)</f>
        <v>6.0399999999999991</v>
      </c>
    </row>
    <row r="34" spans="1:6" x14ac:dyDescent="0.25">
      <c r="A34" s="121"/>
      <c r="B34" s="78" t="s">
        <v>300</v>
      </c>
      <c r="C34" s="72">
        <v>57</v>
      </c>
      <c r="D34" s="72">
        <v>61</v>
      </c>
      <c r="E34" s="132">
        <f t="shared" si="2"/>
        <v>118</v>
      </c>
    </row>
    <row r="35" spans="1:6" s="119" customFormat="1" x14ac:dyDescent="0.25">
      <c r="A35" s="121"/>
      <c r="B35" s="131" t="s">
        <v>277</v>
      </c>
      <c r="C35" s="122">
        <v>172.14</v>
      </c>
      <c r="D35" s="122">
        <v>184.22</v>
      </c>
      <c r="E35" s="131">
        <f t="shared" si="2"/>
        <v>356.36</v>
      </c>
      <c r="F35" s="147"/>
    </row>
    <row r="36" spans="1:6" s="119" customFormat="1" x14ac:dyDescent="0.25">
      <c r="A36" s="121"/>
      <c r="B36" s="131" t="s">
        <v>301</v>
      </c>
      <c r="C36" s="122">
        <v>874</v>
      </c>
      <c r="D36" s="122">
        <v>874</v>
      </c>
      <c r="E36" s="131">
        <f t="shared" si="2"/>
        <v>1748</v>
      </c>
      <c r="F36" s="147"/>
    </row>
    <row r="37" spans="1:6" x14ac:dyDescent="0.25">
      <c r="A37" s="121"/>
      <c r="B37" s="78" t="s">
        <v>303</v>
      </c>
      <c r="C37" s="122">
        <f t="shared" ref="C37:D37" si="3">C35-C36</f>
        <v>-701.86</v>
      </c>
      <c r="D37" s="122">
        <f t="shared" si="3"/>
        <v>-689.78</v>
      </c>
      <c r="E37" s="131">
        <f t="shared" si="2"/>
        <v>-1391.6399999999999</v>
      </c>
    </row>
  </sheetData>
  <mergeCells count="4">
    <mergeCell ref="A3:A7"/>
    <mergeCell ref="A29:D29"/>
    <mergeCell ref="E30:E32"/>
    <mergeCell ref="A31:A3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8A037-20AD-4161-A773-B61F8C181347}">
  <sheetPr codeName="Sheet55"/>
  <dimension ref="A1:F141"/>
  <sheetViews>
    <sheetView zoomScale="75" zoomScaleNormal="75" workbookViewId="0">
      <selection activeCell="E2" sqref="E2:F2 E4:F4 E5:F5 E6:F6"/>
    </sheetView>
  </sheetViews>
  <sheetFormatPr defaultRowHeight="15" x14ac:dyDescent="0.25"/>
  <cols>
    <col min="1" max="1" width="8" bestFit="1" customWidth="1"/>
    <col min="2" max="2" width="14.42578125" bestFit="1" customWidth="1"/>
    <col min="3" max="4" width="11.5703125" bestFit="1" customWidth="1"/>
    <col min="5" max="5" width="8.140625" bestFit="1" customWidth="1"/>
    <col min="6" max="6" width="32.7109375" style="68" bestFit="1" customWidth="1"/>
    <col min="7" max="7" width="28.85546875" bestFit="1" customWidth="1"/>
  </cols>
  <sheetData>
    <row r="1" spans="1:6" x14ac:dyDescent="0.25">
      <c r="C1" s="125" t="str">
        <f>TEXT(C2,"[$-421]mmmm")</f>
        <v>April</v>
      </c>
    </row>
    <row r="2" spans="1:6" s="118" customFormat="1" x14ac:dyDescent="0.25">
      <c r="A2" s="120" t="s">
        <v>11</v>
      </c>
      <c r="B2" s="120" t="s">
        <v>203</v>
      </c>
      <c r="C2" s="123">
        <v>45383</v>
      </c>
      <c r="D2" s="123">
        <v>45384</v>
      </c>
      <c r="E2" s="128" t="s">
        <v>187</v>
      </c>
      <c r="F2" s="129"/>
    </row>
    <row r="3" spans="1:6" x14ac:dyDescent="0.25">
      <c r="A3" s="121" t="s">
        <v>15</v>
      </c>
      <c r="B3" s="72" t="s">
        <v>204</v>
      </c>
      <c r="C3" s="124">
        <f>IFERROR(C5/C4,0)</f>
        <v>0.67017708709793999</v>
      </c>
      <c r="D3" s="124">
        <f>IFERROR(D5/D4,0)</f>
        <v>0.67557765876052034</v>
      </c>
      <c r="E3" s="122">
        <f t="shared" ref="E3:E7" si="0">SUM(C3:D3)</f>
        <v>1.3457547458584602</v>
      </c>
    </row>
    <row r="4" spans="1:6" x14ac:dyDescent="0.25">
      <c r="A4" s="121"/>
      <c r="B4" s="72" t="s">
        <v>275</v>
      </c>
      <c r="C4" s="72">
        <v>5534</v>
      </c>
      <c r="D4" s="72">
        <v>5228</v>
      </c>
      <c r="E4" s="74">
        <f t="shared" si="0"/>
        <v>10762</v>
      </c>
      <c r="F4" s="130"/>
    </row>
    <row r="5" spans="1:6" x14ac:dyDescent="0.25">
      <c r="A5" s="121"/>
      <c r="B5" s="72" t="s">
        <v>277</v>
      </c>
      <c r="C5" s="124">
        <v>3708.76</v>
      </c>
      <c r="D5" s="124">
        <v>3531.92</v>
      </c>
      <c r="E5" s="122">
        <f t="shared" si="0"/>
        <v>7240.68</v>
      </c>
    </row>
    <row r="6" spans="1:6" x14ac:dyDescent="0.25">
      <c r="A6" s="121"/>
      <c r="B6" s="72" t="s">
        <v>276</v>
      </c>
      <c r="C6" s="124">
        <v>3040</v>
      </c>
      <c r="D6" s="124">
        <v>3040</v>
      </c>
      <c r="E6" s="122">
        <f t="shared" si="0"/>
        <v>6080</v>
      </c>
    </row>
    <row r="7" spans="1:6" x14ac:dyDescent="0.25">
      <c r="A7" s="121"/>
      <c r="B7" s="72" t="s">
        <v>278</v>
      </c>
      <c r="C7" s="122">
        <f t="shared" ref="C7:D7" si="1">C5-C6</f>
        <v>668.76000000000022</v>
      </c>
      <c r="D7" s="122">
        <f t="shared" si="1"/>
        <v>491.92000000000007</v>
      </c>
      <c r="E7" s="122">
        <f t="shared" si="0"/>
        <v>1160.6800000000003</v>
      </c>
    </row>
    <row r="29" spans="1:5" ht="17.25" x14ac:dyDescent="0.3">
      <c r="A29" s="136" t="s">
        <v>313</v>
      </c>
      <c r="B29" s="136"/>
      <c r="C29" s="136"/>
      <c r="D29" s="136"/>
      <c r="E29" s="68"/>
    </row>
    <row r="30" spans="1:5" x14ac:dyDescent="0.25">
      <c r="A30" s="143" t="s">
        <v>11</v>
      </c>
      <c r="B30" s="126" t="s">
        <v>186</v>
      </c>
      <c r="C30" s="123">
        <v>45383</v>
      </c>
      <c r="D30" s="123">
        <v>45384</v>
      </c>
      <c r="E30" s="144" t="s">
        <v>187</v>
      </c>
    </row>
    <row r="31" spans="1:5" x14ac:dyDescent="0.25">
      <c r="A31" s="121" t="s">
        <v>15</v>
      </c>
      <c r="B31" s="78" t="s">
        <v>126</v>
      </c>
      <c r="C31" s="78" t="s">
        <v>282</v>
      </c>
      <c r="D31" s="78" t="s">
        <v>282</v>
      </c>
      <c r="E31" s="145"/>
    </row>
    <row r="32" spans="1:5" x14ac:dyDescent="0.25">
      <c r="A32" s="121"/>
      <c r="B32" s="78" t="s">
        <v>182</v>
      </c>
      <c r="C32" s="72" t="s">
        <v>291</v>
      </c>
      <c r="D32" s="72" t="s">
        <v>291</v>
      </c>
      <c r="E32" s="146"/>
    </row>
    <row r="33" spans="1:6" x14ac:dyDescent="0.25">
      <c r="A33" s="121"/>
      <c r="B33" s="143" t="s">
        <v>204</v>
      </c>
      <c r="C33" s="142">
        <v>0.39</v>
      </c>
      <c r="D33" s="142">
        <v>0.39</v>
      </c>
      <c r="E33" s="131">
        <f t="shared" ref="E33:E37" si="2">SUM(C33:D33)</f>
        <v>0.78</v>
      </c>
    </row>
    <row r="34" spans="1:6" x14ac:dyDescent="0.25">
      <c r="A34" s="121"/>
      <c r="B34" s="78" t="s">
        <v>300</v>
      </c>
      <c r="C34" s="72">
        <v>1800</v>
      </c>
      <c r="D34" s="72">
        <v>1800</v>
      </c>
      <c r="E34" s="132">
        <f t="shared" si="2"/>
        <v>3600</v>
      </c>
    </row>
    <row r="35" spans="1:6" s="119" customFormat="1" x14ac:dyDescent="0.25">
      <c r="A35" s="121"/>
      <c r="B35" s="131" t="s">
        <v>277</v>
      </c>
      <c r="C35" s="122">
        <v>702</v>
      </c>
      <c r="D35" s="122">
        <v>702</v>
      </c>
      <c r="E35" s="131">
        <f t="shared" si="2"/>
        <v>1404</v>
      </c>
      <c r="F35" s="147"/>
    </row>
    <row r="36" spans="1:6" s="119" customFormat="1" x14ac:dyDescent="0.25">
      <c r="A36" s="121"/>
      <c r="B36" s="131" t="s">
        <v>301</v>
      </c>
      <c r="C36" s="122">
        <v>608</v>
      </c>
      <c r="D36" s="122">
        <v>608</v>
      </c>
      <c r="E36" s="131">
        <f t="shared" si="2"/>
        <v>1216</v>
      </c>
      <c r="F36" s="147"/>
    </row>
    <row r="37" spans="1:6" x14ac:dyDescent="0.25">
      <c r="A37" s="121"/>
      <c r="B37" s="78" t="s">
        <v>303</v>
      </c>
      <c r="C37" s="122">
        <f t="shared" ref="C37:D37" si="3">C35-C36</f>
        <v>94</v>
      </c>
      <c r="D37" s="131">
        <f t="shared" si="3"/>
        <v>94</v>
      </c>
      <c r="E37" s="131">
        <f t="shared" si="2"/>
        <v>188</v>
      </c>
    </row>
    <row r="55" spans="1:6" ht="17.25" x14ac:dyDescent="0.3">
      <c r="A55" s="136" t="s">
        <v>314</v>
      </c>
      <c r="B55" s="136"/>
      <c r="C55" s="136"/>
      <c r="D55" s="136"/>
      <c r="E55" s="68"/>
    </row>
    <row r="56" spans="1:6" x14ac:dyDescent="0.25">
      <c r="A56" s="143" t="s">
        <v>11</v>
      </c>
      <c r="B56" s="126" t="s">
        <v>186</v>
      </c>
      <c r="C56" s="123">
        <v>45383</v>
      </c>
      <c r="D56" s="123">
        <v>45384</v>
      </c>
      <c r="E56" s="144" t="s">
        <v>187</v>
      </c>
    </row>
    <row r="57" spans="1:6" x14ac:dyDescent="0.25">
      <c r="A57" s="121" t="s">
        <v>15</v>
      </c>
      <c r="B57" s="78" t="s">
        <v>126</v>
      </c>
      <c r="C57" s="78" t="s">
        <v>281</v>
      </c>
      <c r="D57" s="78" t="s">
        <v>315</v>
      </c>
      <c r="E57" s="145"/>
    </row>
    <row r="58" spans="1:6" x14ac:dyDescent="0.25">
      <c r="A58" s="121"/>
      <c r="B58" s="78" t="s">
        <v>182</v>
      </c>
      <c r="C58" s="72" t="s">
        <v>292</v>
      </c>
      <c r="D58" s="72" t="s">
        <v>316</v>
      </c>
      <c r="E58" s="146"/>
    </row>
    <row r="59" spans="1:6" x14ac:dyDescent="0.25">
      <c r="A59" s="121"/>
      <c r="B59" s="143" t="s">
        <v>204</v>
      </c>
      <c r="C59" s="142">
        <v>1.54</v>
      </c>
      <c r="D59" s="142">
        <v>1.54</v>
      </c>
      <c r="E59" s="131">
        <f t="shared" ref="E59:E63" si="4">SUM(C59:D59)</f>
        <v>3.08</v>
      </c>
    </row>
    <row r="60" spans="1:6" x14ac:dyDescent="0.25">
      <c r="A60" s="121"/>
      <c r="B60" s="78" t="s">
        <v>300</v>
      </c>
      <c r="C60" s="72">
        <v>435</v>
      </c>
      <c r="D60" s="72">
        <v>410</v>
      </c>
      <c r="E60" s="132">
        <f t="shared" si="4"/>
        <v>845</v>
      </c>
    </row>
    <row r="61" spans="1:6" s="119" customFormat="1" x14ac:dyDescent="0.25">
      <c r="A61" s="121"/>
      <c r="B61" s="131" t="s">
        <v>277</v>
      </c>
      <c r="C61" s="122">
        <v>669.9</v>
      </c>
      <c r="D61" s="122">
        <v>631.4</v>
      </c>
      <c r="E61" s="131">
        <f t="shared" si="4"/>
        <v>1301.3</v>
      </c>
      <c r="F61" s="147"/>
    </row>
    <row r="62" spans="1:6" s="119" customFormat="1" x14ac:dyDescent="0.25">
      <c r="A62" s="121"/>
      <c r="B62" s="131" t="s">
        <v>301</v>
      </c>
      <c r="C62" s="122">
        <v>608</v>
      </c>
      <c r="D62" s="122">
        <v>608</v>
      </c>
      <c r="E62" s="131">
        <f t="shared" si="4"/>
        <v>1216</v>
      </c>
      <c r="F62" s="147"/>
    </row>
    <row r="63" spans="1:6" x14ac:dyDescent="0.25">
      <c r="A63" s="121"/>
      <c r="B63" s="78" t="s">
        <v>303</v>
      </c>
      <c r="C63" s="122">
        <f t="shared" ref="C63:D63" si="5">C61-C62</f>
        <v>61.899999999999977</v>
      </c>
      <c r="D63" s="131">
        <f t="shared" si="5"/>
        <v>23.399999999999977</v>
      </c>
      <c r="E63" s="131">
        <f t="shared" si="4"/>
        <v>85.299999999999955</v>
      </c>
    </row>
    <row r="81" spans="1:6" ht="17.25" x14ac:dyDescent="0.3">
      <c r="A81" s="136" t="s">
        <v>317</v>
      </c>
      <c r="B81" s="136"/>
      <c r="C81" s="136"/>
      <c r="D81" s="136"/>
      <c r="E81" s="68"/>
    </row>
    <row r="82" spans="1:6" x14ac:dyDescent="0.25">
      <c r="A82" s="143" t="s">
        <v>11</v>
      </c>
      <c r="B82" s="126" t="s">
        <v>186</v>
      </c>
      <c r="C82" s="123">
        <v>45383</v>
      </c>
      <c r="D82" s="123">
        <v>45384</v>
      </c>
      <c r="E82" s="144" t="s">
        <v>187</v>
      </c>
    </row>
    <row r="83" spans="1:6" x14ac:dyDescent="0.25">
      <c r="A83" s="121" t="s">
        <v>15</v>
      </c>
      <c r="B83" s="78" t="s">
        <v>126</v>
      </c>
      <c r="C83" s="78" t="s">
        <v>281</v>
      </c>
      <c r="D83" s="78" t="s">
        <v>281</v>
      </c>
      <c r="E83" s="145"/>
    </row>
    <row r="84" spans="1:6" x14ac:dyDescent="0.25">
      <c r="A84" s="121"/>
      <c r="B84" s="78" t="s">
        <v>182</v>
      </c>
      <c r="C84" s="72" t="s">
        <v>292</v>
      </c>
      <c r="D84" s="72" t="s">
        <v>292</v>
      </c>
      <c r="E84" s="146"/>
    </row>
    <row r="85" spans="1:6" x14ac:dyDescent="0.25">
      <c r="A85" s="121"/>
      <c r="B85" s="143" t="s">
        <v>204</v>
      </c>
      <c r="C85" s="142">
        <v>1.54</v>
      </c>
      <c r="D85" s="142">
        <v>1.54</v>
      </c>
      <c r="E85" s="131">
        <f t="shared" ref="E85:E89" si="6">SUM(C85:D85)</f>
        <v>3.08</v>
      </c>
    </row>
    <row r="86" spans="1:6" x14ac:dyDescent="0.25">
      <c r="A86" s="121"/>
      <c r="B86" s="78" t="s">
        <v>300</v>
      </c>
      <c r="C86" s="72">
        <v>435</v>
      </c>
      <c r="D86" s="72">
        <v>410</v>
      </c>
      <c r="E86" s="132">
        <f t="shared" si="6"/>
        <v>845</v>
      </c>
    </row>
    <row r="87" spans="1:6" s="119" customFormat="1" x14ac:dyDescent="0.25">
      <c r="A87" s="121"/>
      <c r="B87" s="131" t="s">
        <v>277</v>
      </c>
      <c r="C87" s="122">
        <v>669.9</v>
      </c>
      <c r="D87" s="122">
        <v>631.4</v>
      </c>
      <c r="E87" s="131">
        <f t="shared" si="6"/>
        <v>1301.3</v>
      </c>
      <c r="F87" s="147"/>
    </row>
    <row r="88" spans="1:6" s="119" customFormat="1" x14ac:dyDescent="0.25">
      <c r="A88" s="121"/>
      <c r="B88" s="131" t="s">
        <v>301</v>
      </c>
      <c r="C88" s="122">
        <v>608</v>
      </c>
      <c r="D88" s="122">
        <v>608</v>
      </c>
      <c r="E88" s="131">
        <f t="shared" si="6"/>
        <v>1216</v>
      </c>
      <c r="F88" s="147"/>
    </row>
    <row r="89" spans="1:6" x14ac:dyDescent="0.25">
      <c r="A89" s="121"/>
      <c r="B89" s="78" t="s">
        <v>303</v>
      </c>
      <c r="C89" s="122">
        <f t="shared" ref="C89:D89" si="7">C87-C88</f>
        <v>61.899999999999977</v>
      </c>
      <c r="D89" s="131">
        <f t="shared" si="7"/>
        <v>23.399999999999977</v>
      </c>
      <c r="E89" s="131">
        <f t="shared" si="6"/>
        <v>85.299999999999955</v>
      </c>
    </row>
    <row r="107" spans="1:5" ht="17.25" x14ac:dyDescent="0.3">
      <c r="A107" s="136" t="s">
        <v>318</v>
      </c>
      <c r="B107" s="136"/>
      <c r="C107" s="136"/>
      <c r="D107" s="136"/>
      <c r="E107" s="68"/>
    </row>
    <row r="108" spans="1:5" x14ac:dyDescent="0.25">
      <c r="A108" s="143" t="s">
        <v>11</v>
      </c>
      <c r="B108" s="126" t="s">
        <v>186</v>
      </c>
      <c r="C108" s="123">
        <v>45383</v>
      </c>
      <c r="D108" s="123">
        <v>45384</v>
      </c>
      <c r="E108" s="144" t="s">
        <v>187</v>
      </c>
    </row>
    <row r="109" spans="1:5" x14ac:dyDescent="0.25">
      <c r="A109" s="121" t="s">
        <v>15</v>
      </c>
      <c r="B109" s="78" t="s">
        <v>126</v>
      </c>
      <c r="C109" s="78" t="s">
        <v>282</v>
      </c>
      <c r="D109" s="78" t="s">
        <v>282</v>
      </c>
      <c r="E109" s="145"/>
    </row>
    <row r="110" spans="1:5" x14ac:dyDescent="0.25">
      <c r="A110" s="121"/>
      <c r="B110" s="78" t="s">
        <v>182</v>
      </c>
      <c r="C110" s="72" t="s">
        <v>291</v>
      </c>
      <c r="D110" s="72" t="s">
        <v>291</v>
      </c>
      <c r="E110" s="146"/>
    </row>
    <row r="111" spans="1:5" x14ac:dyDescent="0.25">
      <c r="A111" s="121"/>
      <c r="B111" s="143" t="s">
        <v>204</v>
      </c>
      <c r="C111" s="142">
        <v>0.39</v>
      </c>
      <c r="D111" s="142">
        <v>0.39</v>
      </c>
      <c r="E111" s="131">
        <f t="shared" ref="E111:E115" si="8">SUM(C111:D111)</f>
        <v>0.78</v>
      </c>
    </row>
    <row r="112" spans="1:5" x14ac:dyDescent="0.25">
      <c r="A112" s="121"/>
      <c r="B112" s="78" t="s">
        <v>300</v>
      </c>
      <c r="C112" s="72">
        <v>2364</v>
      </c>
      <c r="D112" s="72">
        <v>2108</v>
      </c>
      <c r="E112" s="132">
        <f t="shared" si="8"/>
        <v>4472</v>
      </c>
    </row>
    <row r="113" spans="1:6" s="119" customFormat="1" x14ac:dyDescent="0.25">
      <c r="A113" s="121"/>
      <c r="B113" s="131" t="s">
        <v>277</v>
      </c>
      <c r="C113" s="122">
        <v>921.96</v>
      </c>
      <c r="D113" s="122">
        <v>822.12</v>
      </c>
      <c r="E113" s="131">
        <f t="shared" si="8"/>
        <v>1744.08</v>
      </c>
      <c r="F113" s="147"/>
    </row>
    <row r="114" spans="1:6" s="119" customFormat="1" x14ac:dyDescent="0.25">
      <c r="A114" s="121"/>
      <c r="B114" s="131" t="s">
        <v>301</v>
      </c>
      <c r="C114" s="122">
        <v>608</v>
      </c>
      <c r="D114" s="122">
        <v>608</v>
      </c>
      <c r="E114" s="131">
        <f t="shared" si="8"/>
        <v>1216</v>
      </c>
      <c r="F114" s="147"/>
    </row>
    <row r="115" spans="1:6" x14ac:dyDescent="0.25">
      <c r="A115" s="121"/>
      <c r="B115" s="78" t="s">
        <v>303</v>
      </c>
      <c r="C115" s="122">
        <f t="shared" ref="C115:D115" si="9">C113-C114</f>
        <v>313.96000000000004</v>
      </c>
      <c r="D115" s="131">
        <f t="shared" si="9"/>
        <v>214.12</v>
      </c>
      <c r="E115" s="131">
        <f t="shared" si="8"/>
        <v>528.08000000000004</v>
      </c>
    </row>
    <row r="133" spans="1:6" ht="17.25" x14ac:dyDescent="0.3">
      <c r="A133" s="136" t="s">
        <v>319</v>
      </c>
      <c r="B133" s="136"/>
      <c r="C133" s="136"/>
      <c r="D133" s="136"/>
      <c r="E133" s="68"/>
    </row>
    <row r="134" spans="1:6" x14ac:dyDescent="0.25">
      <c r="A134" s="143" t="s">
        <v>11</v>
      </c>
      <c r="B134" s="126" t="s">
        <v>186</v>
      </c>
      <c r="C134" s="123">
        <v>45383</v>
      </c>
      <c r="D134" s="123">
        <v>45384</v>
      </c>
      <c r="E134" s="144" t="s">
        <v>187</v>
      </c>
    </row>
    <row r="135" spans="1:6" x14ac:dyDescent="0.25">
      <c r="A135" s="121" t="s">
        <v>15</v>
      </c>
      <c r="B135" s="78" t="s">
        <v>126</v>
      </c>
      <c r="C135" s="78" t="s">
        <v>281</v>
      </c>
      <c r="D135" s="78" t="s">
        <v>281</v>
      </c>
      <c r="E135" s="145"/>
    </row>
    <row r="136" spans="1:6" x14ac:dyDescent="0.25">
      <c r="A136" s="121"/>
      <c r="B136" s="78" t="s">
        <v>182</v>
      </c>
      <c r="C136" s="72" t="s">
        <v>290</v>
      </c>
      <c r="D136" s="72" t="s">
        <v>290</v>
      </c>
      <c r="E136" s="146"/>
    </row>
    <row r="137" spans="1:6" x14ac:dyDescent="0.25">
      <c r="A137" s="121"/>
      <c r="B137" s="143" t="s">
        <v>204</v>
      </c>
      <c r="C137" s="142">
        <v>1.49</v>
      </c>
      <c r="D137" s="142">
        <v>1.49</v>
      </c>
      <c r="E137" s="131">
        <f t="shared" ref="E137:E141" si="10">SUM(C137:D137)</f>
        <v>2.98</v>
      </c>
    </row>
    <row r="138" spans="1:6" x14ac:dyDescent="0.25">
      <c r="A138" s="121"/>
      <c r="B138" s="78" t="s">
        <v>300</v>
      </c>
      <c r="C138" s="72">
        <v>500</v>
      </c>
      <c r="D138" s="72">
        <v>500</v>
      </c>
      <c r="E138" s="132">
        <f t="shared" si="10"/>
        <v>1000</v>
      </c>
    </row>
    <row r="139" spans="1:6" s="119" customFormat="1" x14ac:dyDescent="0.25">
      <c r="A139" s="121"/>
      <c r="B139" s="131" t="s">
        <v>277</v>
      </c>
      <c r="C139" s="122">
        <v>745</v>
      </c>
      <c r="D139" s="122">
        <v>745</v>
      </c>
      <c r="E139" s="131">
        <f t="shared" si="10"/>
        <v>1490</v>
      </c>
      <c r="F139" s="147"/>
    </row>
    <row r="140" spans="1:6" s="119" customFormat="1" x14ac:dyDescent="0.25">
      <c r="A140" s="121"/>
      <c r="B140" s="131" t="s">
        <v>301</v>
      </c>
      <c r="C140" s="122">
        <v>608</v>
      </c>
      <c r="D140" s="122">
        <v>608</v>
      </c>
      <c r="E140" s="131">
        <f t="shared" si="10"/>
        <v>1216</v>
      </c>
      <c r="F140" s="147"/>
    </row>
    <row r="141" spans="1:6" x14ac:dyDescent="0.25">
      <c r="A141" s="121"/>
      <c r="B141" s="78" t="s">
        <v>303</v>
      </c>
      <c r="C141" s="122">
        <f t="shared" ref="C141:D141" si="11">C139-C140</f>
        <v>137</v>
      </c>
      <c r="D141" s="131">
        <f t="shared" si="11"/>
        <v>137</v>
      </c>
      <c r="E141" s="131">
        <f t="shared" si="10"/>
        <v>274</v>
      </c>
    </row>
  </sheetData>
  <mergeCells count="16">
    <mergeCell ref="A133:D133"/>
    <mergeCell ref="E134:E136"/>
    <mergeCell ref="A135:A141"/>
    <mergeCell ref="A81:D81"/>
    <mergeCell ref="E82:E84"/>
    <mergeCell ref="A83:A89"/>
    <mergeCell ref="A107:D107"/>
    <mergeCell ref="E108:E110"/>
    <mergeCell ref="A109:A115"/>
    <mergeCell ref="A3:A7"/>
    <mergeCell ref="A29:D29"/>
    <mergeCell ref="E30:E32"/>
    <mergeCell ref="A31:A37"/>
    <mergeCell ref="A55:D55"/>
    <mergeCell ref="E56:E58"/>
    <mergeCell ref="A57:A63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FD2D2-B04F-43E0-92DF-EAF7FA569B42}">
  <sheetPr codeName="Sheet56"/>
  <dimension ref="A1:F271"/>
  <sheetViews>
    <sheetView zoomScale="75" zoomScaleNormal="75" workbookViewId="0">
      <selection activeCell="E2" sqref="E2:F2 E4:F4 E5:F5 E6:F6"/>
    </sheetView>
  </sheetViews>
  <sheetFormatPr defaultRowHeight="15" x14ac:dyDescent="0.25"/>
  <cols>
    <col min="1" max="1" width="8" bestFit="1" customWidth="1"/>
    <col min="2" max="2" width="14.42578125" bestFit="1" customWidth="1"/>
    <col min="3" max="4" width="11.5703125" bestFit="1" customWidth="1"/>
    <col min="5" max="5" width="9.28515625" bestFit="1" customWidth="1"/>
    <col min="6" max="6" width="32.7109375" style="68" bestFit="1" customWidth="1"/>
    <col min="7" max="7" width="28.85546875" bestFit="1" customWidth="1"/>
  </cols>
  <sheetData>
    <row r="1" spans="1:6" x14ac:dyDescent="0.25">
      <c r="C1" s="125" t="str">
        <f>TEXT(C2,"[$-421]mmmm")</f>
        <v>April</v>
      </c>
    </row>
    <row r="2" spans="1:6" s="118" customFormat="1" x14ac:dyDescent="0.25">
      <c r="A2" s="120" t="s">
        <v>11</v>
      </c>
      <c r="B2" s="120" t="s">
        <v>203</v>
      </c>
      <c r="C2" s="123">
        <v>45383</v>
      </c>
      <c r="D2" s="123">
        <v>45384</v>
      </c>
      <c r="E2" s="128" t="s">
        <v>187</v>
      </c>
      <c r="F2" s="129"/>
    </row>
    <row r="3" spans="1:6" x14ac:dyDescent="0.25">
      <c r="A3" s="121" t="s">
        <v>16</v>
      </c>
      <c r="B3" s="72" t="s">
        <v>204</v>
      </c>
      <c r="C3" s="124">
        <f>IFERROR(C5/C4,0)</f>
        <v>0.61100423928403202</v>
      </c>
      <c r="D3" s="124">
        <f>IFERROR(D5/D4,0)</f>
        <v>0.57594475138121537</v>
      </c>
      <c r="E3" s="122">
        <f t="shared" ref="E3:E7" si="0">SUM(C3:D3)</f>
        <v>1.1869489906652473</v>
      </c>
    </row>
    <row r="4" spans="1:6" x14ac:dyDescent="0.25">
      <c r="A4" s="121"/>
      <c r="B4" s="72" t="s">
        <v>275</v>
      </c>
      <c r="C4" s="72">
        <v>10615</v>
      </c>
      <c r="D4" s="72">
        <v>9955</v>
      </c>
      <c r="E4" s="74">
        <f t="shared" si="0"/>
        <v>20570</v>
      </c>
      <c r="F4" s="130"/>
    </row>
    <row r="5" spans="1:6" x14ac:dyDescent="0.25">
      <c r="A5" s="121"/>
      <c r="B5" s="72" t="s">
        <v>277</v>
      </c>
      <c r="C5" s="124">
        <v>6485.81</v>
      </c>
      <c r="D5" s="124">
        <v>5733.5299999999988</v>
      </c>
      <c r="E5" s="122">
        <f t="shared" si="0"/>
        <v>12219.34</v>
      </c>
    </row>
    <row r="6" spans="1:6" x14ac:dyDescent="0.25">
      <c r="A6" s="121"/>
      <c r="B6" s="72" t="s">
        <v>276</v>
      </c>
      <c r="C6" s="124">
        <v>5260</v>
      </c>
      <c r="D6" s="124">
        <v>5260</v>
      </c>
      <c r="E6" s="122">
        <f t="shared" si="0"/>
        <v>10520</v>
      </c>
    </row>
    <row r="7" spans="1:6" x14ac:dyDescent="0.25">
      <c r="A7" s="121"/>
      <c r="B7" s="72" t="s">
        <v>278</v>
      </c>
      <c r="C7" s="122">
        <f t="shared" ref="C7:D7" si="1">C5-C6</f>
        <v>1225.8100000000004</v>
      </c>
      <c r="D7" s="122">
        <f t="shared" si="1"/>
        <v>473.52999999999884</v>
      </c>
      <c r="E7" s="122">
        <f t="shared" si="0"/>
        <v>1699.3399999999992</v>
      </c>
    </row>
    <row r="29" spans="1:5" ht="17.25" x14ac:dyDescent="0.3">
      <c r="A29" s="136" t="s">
        <v>320</v>
      </c>
      <c r="B29" s="136"/>
      <c r="C29" s="136"/>
      <c r="D29" s="136"/>
      <c r="E29" s="68"/>
    </row>
    <row r="30" spans="1:5" x14ac:dyDescent="0.25">
      <c r="A30" s="143" t="s">
        <v>11</v>
      </c>
      <c r="B30" s="126" t="s">
        <v>186</v>
      </c>
      <c r="C30" s="123">
        <v>45383</v>
      </c>
      <c r="D30" s="123">
        <v>45384</v>
      </c>
      <c r="E30" s="144" t="s">
        <v>187</v>
      </c>
    </row>
    <row r="31" spans="1:5" x14ac:dyDescent="0.25">
      <c r="A31" s="121" t="s">
        <v>16</v>
      </c>
      <c r="B31" s="78" t="s">
        <v>126</v>
      </c>
      <c r="C31" s="78" t="s">
        <v>283</v>
      </c>
      <c r="D31" s="78" t="s">
        <v>283</v>
      </c>
      <c r="E31" s="145"/>
    </row>
    <row r="32" spans="1:5" x14ac:dyDescent="0.25">
      <c r="A32" s="121"/>
      <c r="B32" s="78" t="s">
        <v>182</v>
      </c>
      <c r="C32" s="72" t="s">
        <v>293</v>
      </c>
      <c r="D32" s="72" t="s">
        <v>293</v>
      </c>
      <c r="E32" s="146"/>
    </row>
    <row r="33" spans="1:6" x14ac:dyDescent="0.25">
      <c r="A33" s="121"/>
      <c r="B33" s="143" t="s">
        <v>204</v>
      </c>
      <c r="C33" s="142">
        <v>1.77</v>
      </c>
      <c r="D33" s="142">
        <v>1.77</v>
      </c>
      <c r="E33" s="131">
        <f t="shared" ref="E33:E37" si="2">SUM(C33:D33)</f>
        <v>3.54</v>
      </c>
    </row>
    <row r="34" spans="1:6" x14ac:dyDescent="0.25">
      <c r="A34" s="121"/>
      <c r="B34" s="78" t="s">
        <v>300</v>
      </c>
      <c r="C34" s="72">
        <v>230</v>
      </c>
      <c r="D34" s="72">
        <v>280</v>
      </c>
      <c r="E34" s="132">
        <f t="shared" si="2"/>
        <v>510</v>
      </c>
    </row>
    <row r="35" spans="1:6" s="119" customFormat="1" x14ac:dyDescent="0.25">
      <c r="A35" s="121"/>
      <c r="B35" s="131" t="s">
        <v>277</v>
      </c>
      <c r="C35" s="122">
        <v>407.1</v>
      </c>
      <c r="D35" s="122">
        <v>495.6</v>
      </c>
      <c r="E35" s="131">
        <f t="shared" si="2"/>
        <v>902.7</v>
      </c>
      <c r="F35" s="147"/>
    </row>
    <row r="36" spans="1:6" s="119" customFormat="1" x14ac:dyDescent="0.25">
      <c r="A36" s="121"/>
      <c r="B36" s="131" t="s">
        <v>301</v>
      </c>
      <c r="C36" s="122">
        <v>526</v>
      </c>
      <c r="D36" s="122">
        <v>526</v>
      </c>
      <c r="E36" s="131">
        <f t="shared" si="2"/>
        <v>1052</v>
      </c>
      <c r="F36" s="147"/>
    </row>
    <row r="37" spans="1:6" x14ac:dyDescent="0.25">
      <c r="A37" s="121"/>
      <c r="B37" s="78" t="s">
        <v>303</v>
      </c>
      <c r="C37" s="122">
        <f t="shared" ref="C37:D37" si="3">C35-C36</f>
        <v>-118.89999999999998</v>
      </c>
      <c r="D37" s="131">
        <f t="shared" si="3"/>
        <v>-30.399999999999977</v>
      </c>
      <c r="E37" s="131">
        <f t="shared" si="2"/>
        <v>-149.29999999999995</v>
      </c>
    </row>
    <row r="55" spans="1:6" ht="17.25" x14ac:dyDescent="0.3">
      <c r="A55" s="136" t="s">
        <v>321</v>
      </c>
      <c r="B55" s="136"/>
      <c r="C55" s="136"/>
      <c r="D55" s="136"/>
      <c r="E55" s="68"/>
    </row>
    <row r="56" spans="1:6" x14ac:dyDescent="0.25">
      <c r="A56" s="143" t="s">
        <v>11</v>
      </c>
      <c r="B56" s="126" t="s">
        <v>186</v>
      </c>
      <c r="C56" s="123">
        <v>45383</v>
      </c>
      <c r="D56" s="123">
        <v>45384</v>
      </c>
      <c r="E56" s="144" t="s">
        <v>187</v>
      </c>
    </row>
    <row r="57" spans="1:6" x14ac:dyDescent="0.25">
      <c r="A57" s="121" t="s">
        <v>16</v>
      </c>
      <c r="B57" s="78" t="s">
        <v>126</v>
      </c>
      <c r="C57" s="78" t="s">
        <v>281</v>
      </c>
      <c r="D57" s="78" t="s">
        <v>281</v>
      </c>
      <c r="E57" s="145"/>
    </row>
    <row r="58" spans="1:6" x14ac:dyDescent="0.25">
      <c r="A58" s="121"/>
      <c r="B58" s="78" t="s">
        <v>182</v>
      </c>
      <c r="C58" s="72" t="s">
        <v>294</v>
      </c>
      <c r="D58" s="72" t="s">
        <v>294</v>
      </c>
      <c r="E58" s="146"/>
    </row>
    <row r="59" spans="1:6" x14ac:dyDescent="0.25">
      <c r="A59" s="121"/>
      <c r="B59" s="143" t="s">
        <v>204</v>
      </c>
      <c r="C59" s="142">
        <v>0.45</v>
      </c>
      <c r="D59" s="142">
        <v>0.45</v>
      </c>
      <c r="E59" s="131">
        <f t="shared" ref="E59:E63" si="4">SUM(C59:D59)</f>
        <v>0.9</v>
      </c>
    </row>
    <row r="60" spans="1:6" x14ac:dyDescent="0.25">
      <c r="A60" s="121"/>
      <c r="B60" s="78" t="s">
        <v>300</v>
      </c>
      <c r="C60" s="72">
        <v>1050</v>
      </c>
      <c r="D60" s="72">
        <v>1240</v>
      </c>
      <c r="E60" s="132">
        <f t="shared" si="4"/>
        <v>2290</v>
      </c>
    </row>
    <row r="61" spans="1:6" s="119" customFormat="1" x14ac:dyDescent="0.25">
      <c r="A61" s="121"/>
      <c r="B61" s="131" t="s">
        <v>277</v>
      </c>
      <c r="C61" s="122">
        <v>472.5</v>
      </c>
      <c r="D61" s="122">
        <v>558</v>
      </c>
      <c r="E61" s="131">
        <f t="shared" si="4"/>
        <v>1030.5</v>
      </c>
      <c r="F61" s="147"/>
    </row>
    <row r="62" spans="1:6" s="119" customFormat="1" x14ac:dyDescent="0.25">
      <c r="A62" s="121"/>
      <c r="B62" s="131" t="s">
        <v>301</v>
      </c>
      <c r="C62" s="122">
        <v>526</v>
      </c>
      <c r="D62" s="122">
        <v>526</v>
      </c>
      <c r="E62" s="131">
        <f t="shared" si="4"/>
        <v>1052</v>
      </c>
      <c r="F62" s="147"/>
    </row>
    <row r="63" spans="1:6" x14ac:dyDescent="0.25">
      <c r="A63" s="121"/>
      <c r="B63" s="78" t="s">
        <v>303</v>
      </c>
      <c r="C63" s="122">
        <f t="shared" ref="C63:D63" si="5">C61-C62</f>
        <v>-53.5</v>
      </c>
      <c r="D63" s="131">
        <f t="shared" si="5"/>
        <v>32</v>
      </c>
      <c r="E63" s="131">
        <f t="shared" si="4"/>
        <v>-21.5</v>
      </c>
    </row>
    <row r="81" spans="1:6" ht="17.25" x14ac:dyDescent="0.3">
      <c r="A81" s="136" t="s">
        <v>322</v>
      </c>
      <c r="B81" s="136"/>
      <c r="C81" s="136"/>
      <c r="D81" s="136"/>
      <c r="E81" s="68"/>
    </row>
    <row r="82" spans="1:6" x14ac:dyDescent="0.25">
      <c r="A82" s="143" t="s">
        <v>11</v>
      </c>
      <c r="B82" s="126" t="s">
        <v>186</v>
      </c>
      <c r="C82" s="123">
        <v>45383</v>
      </c>
      <c r="D82" s="123">
        <v>45384</v>
      </c>
      <c r="E82" s="144" t="s">
        <v>187</v>
      </c>
    </row>
    <row r="83" spans="1:6" x14ac:dyDescent="0.25">
      <c r="A83" s="121" t="s">
        <v>16</v>
      </c>
      <c r="B83" s="78" t="s">
        <v>126</v>
      </c>
      <c r="C83" s="78" t="s">
        <v>283</v>
      </c>
      <c r="D83" s="78" t="s">
        <v>323</v>
      </c>
      <c r="E83" s="145"/>
    </row>
    <row r="84" spans="1:6" x14ac:dyDescent="0.25">
      <c r="A84" s="121"/>
      <c r="B84" s="78" t="s">
        <v>182</v>
      </c>
      <c r="C84" s="72" t="s">
        <v>293</v>
      </c>
      <c r="D84" s="72" t="s">
        <v>324</v>
      </c>
      <c r="E84" s="146"/>
    </row>
    <row r="85" spans="1:6" x14ac:dyDescent="0.25">
      <c r="A85" s="121"/>
      <c r="B85" s="143" t="s">
        <v>204</v>
      </c>
      <c r="C85" s="142">
        <v>1.77</v>
      </c>
      <c r="D85" s="142">
        <v>1.77</v>
      </c>
      <c r="E85" s="131">
        <f t="shared" ref="E85:E89" si="6">SUM(C85:D85)</f>
        <v>3.54</v>
      </c>
    </row>
    <row r="86" spans="1:6" x14ac:dyDescent="0.25">
      <c r="A86" s="121"/>
      <c r="B86" s="78" t="s">
        <v>300</v>
      </c>
      <c r="C86" s="72">
        <v>210</v>
      </c>
      <c r="D86" s="72">
        <v>280</v>
      </c>
      <c r="E86" s="132">
        <f t="shared" si="6"/>
        <v>490</v>
      </c>
    </row>
    <row r="87" spans="1:6" s="119" customFormat="1" x14ac:dyDescent="0.25">
      <c r="A87" s="121"/>
      <c r="B87" s="131" t="s">
        <v>277</v>
      </c>
      <c r="C87" s="122">
        <v>371.7</v>
      </c>
      <c r="D87" s="122">
        <v>495.6</v>
      </c>
      <c r="E87" s="131">
        <f t="shared" si="6"/>
        <v>867.3</v>
      </c>
      <c r="F87" s="147"/>
    </row>
    <row r="88" spans="1:6" s="119" customFormat="1" x14ac:dyDescent="0.25">
      <c r="A88" s="121"/>
      <c r="B88" s="131" t="s">
        <v>301</v>
      </c>
      <c r="C88" s="122">
        <v>526</v>
      </c>
      <c r="D88" s="122">
        <v>526</v>
      </c>
      <c r="E88" s="131">
        <f t="shared" si="6"/>
        <v>1052</v>
      </c>
      <c r="F88" s="147"/>
    </row>
    <row r="89" spans="1:6" x14ac:dyDescent="0.25">
      <c r="A89" s="121"/>
      <c r="B89" s="78" t="s">
        <v>303</v>
      </c>
      <c r="C89" s="122">
        <f t="shared" ref="C89:D89" si="7">C87-C88</f>
        <v>-154.30000000000001</v>
      </c>
      <c r="D89" s="131">
        <f t="shared" si="7"/>
        <v>-30.399999999999977</v>
      </c>
      <c r="E89" s="131">
        <f t="shared" si="6"/>
        <v>-184.7</v>
      </c>
    </row>
    <row r="107" spans="1:5" ht="17.25" x14ac:dyDescent="0.3">
      <c r="A107" s="136" t="s">
        <v>325</v>
      </c>
      <c r="B107" s="136"/>
      <c r="C107" s="136"/>
      <c r="D107" s="136"/>
      <c r="E107" s="68"/>
    </row>
    <row r="108" spans="1:5" x14ac:dyDescent="0.25">
      <c r="A108" s="143" t="s">
        <v>11</v>
      </c>
      <c r="B108" s="126" t="s">
        <v>186</v>
      </c>
      <c r="C108" s="123">
        <v>45383</v>
      </c>
      <c r="D108" s="123">
        <v>45384</v>
      </c>
      <c r="E108" s="144" t="s">
        <v>187</v>
      </c>
    </row>
    <row r="109" spans="1:5" x14ac:dyDescent="0.25">
      <c r="A109" s="121" t="s">
        <v>16</v>
      </c>
      <c r="B109" s="78" t="s">
        <v>126</v>
      </c>
      <c r="C109" s="78" t="s">
        <v>281</v>
      </c>
      <c r="D109" s="78" t="s">
        <v>281</v>
      </c>
      <c r="E109" s="145"/>
    </row>
    <row r="110" spans="1:5" x14ac:dyDescent="0.25">
      <c r="A110" s="121"/>
      <c r="B110" s="78" t="s">
        <v>182</v>
      </c>
      <c r="C110" s="72" t="s">
        <v>294</v>
      </c>
      <c r="D110" s="72" t="s">
        <v>294</v>
      </c>
      <c r="E110" s="146"/>
    </row>
    <row r="111" spans="1:5" x14ac:dyDescent="0.25">
      <c r="A111" s="121"/>
      <c r="B111" s="143" t="s">
        <v>204</v>
      </c>
      <c r="C111" s="142">
        <v>0.45</v>
      </c>
      <c r="D111" s="142">
        <v>0.45</v>
      </c>
      <c r="E111" s="131">
        <f t="shared" ref="E111:E115" si="8">SUM(C111:D111)</f>
        <v>0.9</v>
      </c>
    </row>
    <row r="112" spans="1:5" x14ac:dyDescent="0.25">
      <c r="A112" s="121"/>
      <c r="B112" s="78" t="s">
        <v>300</v>
      </c>
      <c r="C112" s="72">
        <v>1590</v>
      </c>
      <c r="D112" s="72">
        <v>1455</v>
      </c>
      <c r="E112" s="132">
        <f t="shared" si="8"/>
        <v>3045</v>
      </c>
    </row>
    <row r="113" spans="1:6" s="119" customFormat="1" x14ac:dyDescent="0.25">
      <c r="A113" s="121"/>
      <c r="B113" s="131" t="s">
        <v>277</v>
      </c>
      <c r="C113" s="122">
        <v>715.5</v>
      </c>
      <c r="D113" s="122">
        <v>654.75</v>
      </c>
      <c r="E113" s="131">
        <f t="shared" si="8"/>
        <v>1370.25</v>
      </c>
      <c r="F113" s="147"/>
    </row>
    <row r="114" spans="1:6" s="119" customFormat="1" x14ac:dyDescent="0.25">
      <c r="A114" s="121"/>
      <c r="B114" s="131" t="s">
        <v>301</v>
      </c>
      <c r="C114" s="122">
        <v>526</v>
      </c>
      <c r="D114" s="122">
        <v>526</v>
      </c>
      <c r="E114" s="131">
        <f t="shared" si="8"/>
        <v>1052</v>
      </c>
      <c r="F114" s="147"/>
    </row>
    <row r="115" spans="1:6" x14ac:dyDescent="0.25">
      <c r="A115" s="121"/>
      <c r="B115" s="78" t="s">
        <v>303</v>
      </c>
      <c r="C115" s="122">
        <f t="shared" ref="C115:D115" si="9">C113-C114</f>
        <v>189.5</v>
      </c>
      <c r="D115" s="131">
        <f t="shared" si="9"/>
        <v>128.75</v>
      </c>
      <c r="E115" s="131">
        <f t="shared" si="8"/>
        <v>318.25</v>
      </c>
    </row>
    <row r="133" spans="1:6" ht="17.25" x14ac:dyDescent="0.3">
      <c r="A133" s="136" t="s">
        <v>326</v>
      </c>
      <c r="B133" s="136"/>
      <c r="C133" s="136"/>
      <c r="D133" s="136"/>
      <c r="E133" s="68"/>
    </row>
    <row r="134" spans="1:6" x14ac:dyDescent="0.25">
      <c r="A134" s="143" t="s">
        <v>11</v>
      </c>
      <c r="B134" s="126" t="s">
        <v>186</v>
      </c>
      <c r="C134" s="123">
        <v>45383</v>
      </c>
      <c r="D134" s="123">
        <v>45384</v>
      </c>
      <c r="E134" s="144" t="s">
        <v>187</v>
      </c>
    </row>
    <row r="135" spans="1:6" x14ac:dyDescent="0.25">
      <c r="A135" s="121" t="s">
        <v>16</v>
      </c>
      <c r="B135" s="78" t="s">
        <v>126</v>
      </c>
      <c r="C135" s="78" t="s">
        <v>315</v>
      </c>
      <c r="D135" s="78" t="s">
        <v>281</v>
      </c>
      <c r="E135" s="145"/>
    </row>
    <row r="136" spans="1:6" x14ac:dyDescent="0.25">
      <c r="A136" s="121"/>
      <c r="B136" s="78" t="s">
        <v>182</v>
      </c>
      <c r="C136" s="72" t="s">
        <v>327</v>
      </c>
      <c r="D136" s="72" t="s">
        <v>294</v>
      </c>
      <c r="E136" s="146"/>
    </row>
    <row r="137" spans="1:6" x14ac:dyDescent="0.25">
      <c r="A137" s="121"/>
      <c r="B137" s="143" t="s">
        <v>204</v>
      </c>
      <c r="C137" s="142">
        <v>0.45</v>
      </c>
      <c r="D137" s="142">
        <v>0.45</v>
      </c>
      <c r="E137" s="131">
        <f t="shared" ref="E137:E141" si="10">SUM(C137:D137)</f>
        <v>0.9</v>
      </c>
    </row>
    <row r="138" spans="1:6" x14ac:dyDescent="0.25">
      <c r="A138" s="121"/>
      <c r="B138" s="78" t="s">
        <v>300</v>
      </c>
      <c r="C138" s="72">
        <v>1730</v>
      </c>
      <c r="D138" s="72">
        <v>1520</v>
      </c>
      <c r="E138" s="132">
        <f t="shared" si="10"/>
        <v>3250</v>
      </c>
    </row>
    <row r="139" spans="1:6" s="119" customFormat="1" x14ac:dyDescent="0.25">
      <c r="A139" s="121"/>
      <c r="B139" s="131" t="s">
        <v>277</v>
      </c>
      <c r="C139" s="122">
        <v>778.5</v>
      </c>
      <c r="D139" s="122">
        <v>684</v>
      </c>
      <c r="E139" s="131">
        <f t="shared" si="10"/>
        <v>1462.5</v>
      </c>
      <c r="F139" s="147"/>
    </row>
    <row r="140" spans="1:6" s="119" customFormat="1" x14ac:dyDescent="0.25">
      <c r="A140" s="121"/>
      <c r="B140" s="131" t="s">
        <v>301</v>
      </c>
      <c r="C140" s="122">
        <v>526</v>
      </c>
      <c r="D140" s="122">
        <v>526</v>
      </c>
      <c r="E140" s="131">
        <f t="shared" si="10"/>
        <v>1052</v>
      </c>
      <c r="F140" s="147"/>
    </row>
    <row r="141" spans="1:6" x14ac:dyDescent="0.25">
      <c r="A141" s="121"/>
      <c r="B141" s="78" t="s">
        <v>303</v>
      </c>
      <c r="C141" s="122">
        <f t="shared" ref="C141:D141" si="11">C139-C140</f>
        <v>252.5</v>
      </c>
      <c r="D141" s="131">
        <f t="shared" si="11"/>
        <v>158</v>
      </c>
      <c r="E141" s="131">
        <f t="shared" si="10"/>
        <v>410.5</v>
      </c>
    </row>
    <row r="159" spans="1:5" ht="17.25" x14ac:dyDescent="0.3">
      <c r="A159" s="136" t="s">
        <v>328</v>
      </c>
      <c r="B159" s="136"/>
      <c r="C159" s="136"/>
      <c r="D159" s="136"/>
      <c r="E159" s="68"/>
    </row>
    <row r="160" spans="1:5" x14ac:dyDescent="0.25">
      <c r="A160" s="143" t="s">
        <v>11</v>
      </c>
      <c r="B160" s="126" t="s">
        <v>186</v>
      </c>
      <c r="C160" s="123">
        <v>45383</v>
      </c>
      <c r="D160" s="123">
        <v>45384</v>
      </c>
      <c r="E160" s="144" t="s">
        <v>187</v>
      </c>
    </row>
    <row r="161" spans="1:6" x14ac:dyDescent="0.25">
      <c r="A161" s="121" t="s">
        <v>16</v>
      </c>
      <c r="B161" s="78" t="s">
        <v>126</v>
      </c>
      <c r="C161" s="78" t="s">
        <v>315</v>
      </c>
      <c r="D161" s="78" t="s">
        <v>315</v>
      </c>
      <c r="E161" s="145"/>
    </row>
    <row r="162" spans="1:6" x14ac:dyDescent="0.25">
      <c r="A162" s="121"/>
      <c r="B162" s="78" t="s">
        <v>182</v>
      </c>
      <c r="C162" s="72" t="s">
        <v>327</v>
      </c>
      <c r="D162" s="72" t="s">
        <v>327</v>
      </c>
      <c r="E162" s="146"/>
    </row>
    <row r="163" spans="1:6" x14ac:dyDescent="0.25">
      <c r="A163" s="121"/>
      <c r="B163" s="143" t="s">
        <v>204</v>
      </c>
      <c r="C163" s="142">
        <v>0.3</v>
      </c>
      <c r="D163" s="142">
        <v>0.3</v>
      </c>
      <c r="E163" s="131">
        <f t="shared" ref="E163:E167" si="12">SUM(C163:D163)</f>
        <v>0.6</v>
      </c>
    </row>
    <row r="164" spans="1:6" x14ac:dyDescent="0.25">
      <c r="A164" s="121"/>
      <c r="B164" s="78" t="s">
        <v>300</v>
      </c>
      <c r="C164" s="72">
        <v>1540</v>
      </c>
      <c r="D164" s="72">
        <v>1480</v>
      </c>
      <c r="E164" s="132">
        <f t="shared" si="12"/>
        <v>3020</v>
      </c>
    </row>
    <row r="165" spans="1:6" s="119" customFormat="1" x14ac:dyDescent="0.25">
      <c r="A165" s="121"/>
      <c r="B165" s="131" t="s">
        <v>277</v>
      </c>
      <c r="C165" s="122">
        <v>462</v>
      </c>
      <c r="D165" s="122">
        <v>444</v>
      </c>
      <c r="E165" s="131">
        <f t="shared" si="12"/>
        <v>906</v>
      </c>
      <c r="F165" s="147"/>
    </row>
    <row r="166" spans="1:6" s="119" customFormat="1" x14ac:dyDescent="0.25">
      <c r="A166" s="121"/>
      <c r="B166" s="131" t="s">
        <v>301</v>
      </c>
      <c r="C166" s="122">
        <v>526</v>
      </c>
      <c r="D166" s="122">
        <v>526</v>
      </c>
      <c r="E166" s="131">
        <f t="shared" si="12"/>
        <v>1052</v>
      </c>
      <c r="F166" s="147"/>
    </row>
    <row r="167" spans="1:6" x14ac:dyDescent="0.25">
      <c r="A167" s="121"/>
      <c r="B167" s="78" t="s">
        <v>303</v>
      </c>
      <c r="C167" s="122">
        <f t="shared" ref="C167:D167" si="13">C165-C166</f>
        <v>-64</v>
      </c>
      <c r="D167" s="131">
        <f t="shared" si="13"/>
        <v>-82</v>
      </c>
      <c r="E167" s="131">
        <f t="shared" si="12"/>
        <v>-146</v>
      </c>
    </row>
    <row r="185" spans="1:6" ht="17.25" x14ac:dyDescent="0.3">
      <c r="A185" s="136" t="s">
        <v>329</v>
      </c>
      <c r="B185" s="136"/>
      <c r="C185" s="136"/>
      <c r="D185" s="136"/>
      <c r="E185" s="68"/>
    </row>
    <row r="186" spans="1:6" x14ac:dyDescent="0.25">
      <c r="A186" s="143" t="s">
        <v>11</v>
      </c>
      <c r="B186" s="126" t="s">
        <v>186</v>
      </c>
      <c r="C186" s="123">
        <v>45383</v>
      </c>
      <c r="D186" s="123">
        <v>45384</v>
      </c>
      <c r="E186" s="144" t="s">
        <v>187</v>
      </c>
    </row>
    <row r="187" spans="1:6" x14ac:dyDescent="0.25">
      <c r="A187" s="121" t="s">
        <v>16</v>
      </c>
      <c r="B187" s="78" t="s">
        <v>126</v>
      </c>
      <c r="C187" s="78" t="s">
        <v>315</v>
      </c>
      <c r="D187" s="78" t="s">
        <v>315</v>
      </c>
      <c r="E187" s="145"/>
    </row>
    <row r="188" spans="1:6" x14ac:dyDescent="0.25">
      <c r="A188" s="121"/>
      <c r="B188" s="78" t="s">
        <v>182</v>
      </c>
      <c r="C188" s="72" t="s">
        <v>327</v>
      </c>
      <c r="D188" s="72" t="s">
        <v>327</v>
      </c>
      <c r="E188" s="146"/>
    </row>
    <row r="189" spans="1:6" x14ac:dyDescent="0.25">
      <c r="A189" s="121"/>
      <c r="B189" s="143" t="s">
        <v>204</v>
      </c>
      <c r="C189" s="142">
        <v>0.3</v>
      </c>
      <c r="D189" s="142">
        <v>0.3</v>
      </c>
      <c r="E189" s="131">
        <f t="shared" ref="E189:E193" si="14">SUM(C189:D189)</f>
        <v>0.6</v>
      </c>
    </row>
    <row r="190" spans="1:6" x14ac:dyDescent="0.25">
      <c r="A190" s="121"/>
      <c r="B190" s="78" t="s">
        <v>300</v>
      </c>
      <c r="C190" s="72">
        <v>1450</v>
      </c>
      <c r="D190" s="72">
        <v>1490</v>
      </c>
      <c r="E190" s="132">
        <f t="shared" si="14"/>
        <v>2940</v>
      </c>
    </row>
    <row r="191" spans="1:6" s="119" customFormat="1" x14ac:dyDescent="0.25">
      <c r="A191" s="121"/>
      <c r="B191" s="131" t="s">
        <v>277</v>
      </c>
      <c r="C191" s="122">
        <v>435</v>
      </c>
      <c r="D191" s="122">
        <v>447</v>
      </c>
      <c r="E191" s="131">
        <f t="shared" si="14"/>
        <v>882</v>
      </c>
      <c r="F191" s="147"/>
    </row>
    <row r="192" spans="1:6" s="119" customFormat="1" x14ac:dyDescent="0.25">
      <c r="A192" s="121"/>
      <c r="B192" s="131" t="s">
        <v>301</v>
      </c>
      <c r="C192" s="122">
        <v>526</v>
      </c>
      <c r="D192" s="122">
        <v>526</v>
      </c>
      <c r="E192" s="131">
        <f t="shared" si="14"/>
        <v>1052</v>
      </c>
      <c r="F192" s="147"/>
    </row>
    <row r="193" spans="1:5" x14ac:dyDescent="0.25">
      <c r="A193" s="121"/>
      <c r="B193" s="78" t="s">
        <v>303</v>
      </c>
      <c r="C193" s="122">
        <f t="shared" ref="C193:D193" si="15">C191-C192</f>
        <v>-91</v>
      </c>
      <c r="D193" s="131">
        <f t="shared" si="15"/>
        <v>-79</v>
      </c>
      <c r="E193" s="131">
        <f t="shared" si="14"/>
        <v>-170</v>
      </c>
    </row>
    <row r="211" spans="1:6" ht="17.25" x14ac:dyDescent="0.3">
      <c r="A211" s="136" t="s">
        <v>330</v>
      </c>
      <c r="B211" s="136"/>
      <c r="C211" s="136"/>
      <c r="D211" s="136"/>
      <c r="E211" s="68"/>
    </row>
    <row r="212" spans="1:6" x14ac:dyDescent="0.25">
      <c r="A212" s="143" t="s">
        <v>11</v>
      </c>
      <c r="B212" s="126" t="s">
        <v>186</v>
      </c>
      <c r="C212" s="123">
        <v>45383</v>
      </c>
      <c r="D212" s="123">
        <v>45384</v>
      </c>
      <c r="E212" s="144" t="s">
        <v>187</v>
      </c>
    </row>
    <row r="213" spans="1:6" x14ac:dyDescent="0.25">
      <c r="A213" s="121" t="s">
        <v>16</v>
      </c>
      <c r="B213" s="78" t="s">
        <v>126</v>
      </c>
      <c r="C213" s="78" t="s">
        <v>331</v>
      </c>
      <c r="D213" s="78" t="s">
        <v>284</v>
      </c>
      <c r="E213" s="145"/>
    </row>
    <row r="214" spans="1:6" x14ac:dyDescent="0.25">
      <c r="A214" s="121"/>
      <c r="B214" s="78" t="s">
        <v>182</v>
      </c>
      <c r="C214" s="72" t="s">
        <v>332</v>
      </c>
      <c r="D214" s="72" t="s">
        <v>295</v>
      </c>
      <c r="E214" s="146"/>
    </row>
    <row r="215" spans="1:6" x14ac:dyDescent="0.25">
      <c r="A215" s="121"/>
      <c r="B215" s="143" t="s">
        <v>204</v>
      </c>
      <c r="C215" s="142">
        <v>1.3357651991614254</v>
      </c>
      <c r="D215" s="142">
        <v>1.35</v>
      </c>
      <c r="E215" s="131">
        <f t="shared" ref="E215:E219" si="16">SUM(C215:D215)</f>
        <v>2.6857651991614255</v>
      </c>
    </row>
    <row r="216" spans="1:6" x14ac:dyDescent="0.25">
      <c r="A216" s="121"/>
      <c r="B216" s="78" t="s">
        <v>300</v>
      </c>
      <c r="C216" s="72">
        <v>954</v>
      </c>
      <c r="D216" s="72">
        <v>630</v>
      </c>
      <c r="E216" s="132">
        <f t="shared" si="16"/>
        <v>1584</v>
      </c>
    </row>
    <row r="217" spans="1:6" s="119" customFormat="1" x14ac:dyDescent="0.25">
      <c r="A217" s="121"/>
      <c r="B217" s="131" t="s">
        <v>277</v>
      </c>
      <c r="C217" s="122">
        <v>1274.32</v>
      </c>
      <c r="D217" s="122">
        <v>850.5</v>
      </c>
      <c r="E217" s="131">
        <f t="shared" si="16"/>
        <v>2124.8199999999997</v>
      </c>
      <c r="F217" s="147"/>
    </row>
    <row r="218" spans="1:6" s="119" customFormat="1" x14ac:dyDescent="0.25">
      <c r="A218" s="121"/>
      <c r="B218" s="131" t="s">
        <v>301</v>
      </c>
      <c r="C218" s="122">
        <v>526</v>
      </c>
      <c r="D218" s="122">
        <v>526</v>
      </c>
      <c r="E218" s="131">
        <f t="shared" si="16"/>
        <v>1052</v>
      </c>
      <c r="F218" s="147"/>
    </row>
    <row r="219" spans="1:6" x14ac:dyDescent="0.25">
      <c r="A219" s="121"/>
      <c r="B219" s="78" t="s">
        <v>303</v>
      </c>
      <c r="C219" s="122">
        <f t="shared" ref="C219:D219" si="17">C217-C218</f>
        <v>748.31999999999994</v>
      </c>
      <c r="D219" s="131">
        <f t="shared" si="17"/>
        <v>324.5</v>
      </c>
      <c r="E219" s="131">
        <f t="shared" si="16"/>
        <v>1072.82</v>
      </c>
    </row>
    <row r="237" spans="1:5" ht="17.25" x14ac:dyDescent="0.3">
      <c r="A237" s="136" t="s">
        <v>333</v>
      </c>
      <c r="B237" s="136"/>
      <c r="C237" s="136"/>
      <c r="D237" s="136"/>
      <c r="E237" s="68"/>
    </row>
    <row r="238" spans="1:5" x14ac:dyDescent="0.25">
      <c r="A238" s="143" t="s">
        <v>11</v>
      </c>
      <c r="B238" s="126" t="s">
        <v>186</v>
      </c>
      <c r="C238" s="123">
        <v>45383</v>
      </c>
      <c r="D238" s="123">
        <v>45384</v>
      </c>
      <c r="E238" s="144" t="s">
        <v>187</v>
      </c>
    </row>
    <row r="239" spans="1:5" x14ac:dyDescent="0.25">
      <c r="A239" s="121" t="s">
        <v>16</v>
      </c>
      <c r="B239" s="78" t="s">
        <v>126</v>
      </c>
      <c r="C239" s="78" t="s">
        <v>331</v>
      </c>
      <c r="D239" s="78" t="s">
        <v>334</v>
      </c>
      <c r="E239" s="145"/>
    </row>
    <row r="240" spans="1:5" x14ac:dyDescent="0.25">
      <c r="A240" s="121"/>
      <c r="B240" s="78" t="s">
        <v>182</v>
      </c>
      <c r="C240" s="72" t="s">
        <v>332</v>
      </c>
      <c r="D240" s="72" t="s">
        <v>335</v>
      </c>
      <c r="E240" s="146"/>
    </row>
    <row r="241" spans="1:6" x14ac:dyDescent="0.25">
      <c r="A241" s="121"/>
      <c r="B241" s="143" t="s">
        <v>204</v>
      </c>
      <c r="C241" s="142">
        <v>1.3467401960784315</v>
      </c>
      <c r="D241" s="142">
        <v>1.3433636363636361</v>
      </c>
      <c r="E241" s="131">
        <f t="shared" ref="E241:E245" si="18">SUM(C241:D241)</f>
        <v>2.6901038324420679</v>
      </c>
    </row>
    <row r="242" spans="1:6" x14ac:dyDescent="0.25">
      <c r="A242" s="121"/>
      <c r="B242" s="78" t="s">
        <v>300</v>
      </c>
      <c r="C242" s="72">
        <v>816</v>
      </c>
      <c r="D242" s="72">
        <v>440</v>
      </c>
      <c r="E242" s="132">
        <f t="shared" si="18"/>
        <v>1256</v>
      </c>
    </row>
    <row r="243" spans="1:6" s="119" customFormat="1" x14ac:dyDescent="0.25">
      <c r="A243" s="121"/>
      <c r="B243" s="131" t="s">
        <v>277</v>
      </c>
      <c r="C243" s="122">
        <v>1098.94</v>
      </c>
      <c r="D243" s="122">
        <v>591.07999999999993</v>
      </c>
      <c r="E243" s="131">
        <f t="shared" si="18"/>
        <v>1690.02</v>
      </c>
      <c r="F243" s="147"/>
    </row>
    <row r="244" spans="1:6" s="119" customFormat="1" x14ac:dyDescent="0.25">
      <c r="A244" s="121"/>
      <c r="B244" s="131" t="s">
        <v>301</v>
      </c>
      <c r="C244" s="122">
        <v>526</v>
      </c>
      <c r="D244" s="122">
        <v>526</v>
      </c>
      <c r="E244" s="131">
        <f t="shared" si="18"/>
        <v>1052</v>
      </c>
      <c r="F244" s="147"/>
    </row>
    <row r="245" spans="1:6" x14ac:dyDescent="0.25">
      <c r="A245" s="121"/>
      <c r="B245" s="78" t="s">
        <v>303</v>
      </c>
      <c r="C245" s="122">
        <f t="shared" ref="C245:D245" si="19">C243-C244</f>
        <v>572.94000000000005</v>
      </c>
      <c r="D245" s="131">
        <f t="shared" si="19"/>
        <v>65.079999999999927</v>
      </c>
      <c r="E245" s="131">
        <f t="shared" si="18"/>
        <v>638.02</v>
      </c>
    </row>
    <row r="263" spans="1:6" ht="17.25" x14ac:dyDescent="0.3">
      <c r="A263" s="136" t="s">
        <v>336</v>
      </c>
      <c r="B263" s="136"/>
      <c r="C263" s="136"/>
      <c r="D263" s="136"/>
      <c r="E263" s="68"/>
    </row>
    <row r="264" spans="1:6" x14ac:dyDescent="0.25">
      <c r="A264" s="143" t="s">
        <v>11</v>
      </c>
      <c r="B264" s="126" t="s">
        <v>186</v>
      </c>
      <c r="C264" s="123">
        <v>45383</v>
      </c>
      <c r="D264" s="123">
        <v>45384</v>
      </c>
      <c r="E264" s="144" t="s">
        <v>187</v>
      </c>
    </row>
    <row r="265" spans="1:6" x14ac:dyDescent="0.25">
      <c r="A265" s="121" t="s">
        <v>16</v>
      </c>
      <c r="B265" s="78" t="s">
        <v>126</v>
      </c>
      <c r="C265" s="78" t="s">
        <v>281</v>
      </c>
      <c r="D265" s="78" t="s">
        <v>281</v>
      </c>
      <c r="E265" s="145"/>
    </row>
    <row r="266" spans="1:6" x14ac:dyDescent="0.25">
      <c r="A266" s="121"/>
      <c r="B266" s="78" t="s">
        <v>182</v>
      </c>
      <c r="C266" s="72" t="s">
        <v>294</v>
      </c>
      <c r="D266" s="72" t="s">
        <v>294</v>
      </c>
      <c r="E266" s="146"/>
    </row>
    <row r="267" spans="1:6" x14ac:dyDescent="0.25">
      <c r="A267" s="121"/>
      <c r="B267" s="143" t="s">
        <v>204</v>
      </c>
      <c r="C267" s="142">
        <v>0.45</v>
      </c>
      <c r="D267" s="142">
        <v>0.45</v>
      </c>
      <c r="E267" s="131">
        <f t="shared" ref="E267:E271" si="20">SUM(C267:D267)</f>
        <v>0.9</v>
      </c>
    </row>
    <row r="268" spans="1:6" x14ac:dyDescent="0.25">
      <c r="A268" s="121"/>
      <c r="B268" s="78" t="s">
        <v>300</v>
      </c>
      <c r="C268" s="72">
        <v>1045</v>
      </c>
      <c r="D268" s="72">
        <v>1140</v>
      </c>
      <c r="E268" s="132">
        <f t="shared" si="20"/>
        <v>2185</v>
      </c>
    </row>
    <row r="269" spans="1:6" s="119" customFormat="1" x14ac:dyDescent="0.25">
      <c r="A269" s="121"/>
      <c r="B269" s="131" t="s">
        <v>277</v>
      </c>
      <c r="C269" s="122">
        <v>470.25</v>
      </c>
      <c r="D269" s="122">
        <v>513</v>
      </c>
      <c r="E269" s="131">
        <f t="shared" si="20"/>
        <v>983.25</v>
      </c>
      <c r="F269" s="147"/>
    </row>
    <row r="270" spans="1:6" s="119" customFormat="1" x14ac:dyDescent="0.25">
      <c r="A270" s="121"/>
      <c r="B270" s="131" t="s">
        <v>301</v>
      </c>
      <c r="C270" s="122">
        <v>526</v>
      </c>
      <c r="D270" s="122">
        <v>526</v>
      </c>
      <c r="E270" s="131">
        <f t="shared" si="20"/>
        <v>1052</v>
      </c>
      <c r="F270" s="147"/>
    </row>
    <row r="271" spans="1:6" x14ac:dyDescent="0.25">
      <c r="A271" s="121"/>
      <c r="B271" s="78" t="s">
        <v>303</v>
      </c>
      <c r="C271" s="122">
        <f t="shared" ref="C271:D271" si="21">C269-C270</f>
        <v>-55.75</v>
      </c>
      <c r="D271" s="131">
        <f t="shared" si="21"/>
        <v>-13</v>
      </c>
      <c r="E271" s="131">
        <f t="shared" si="20"/>
        <v>-68.75</v>
      </c>
    </row>
  </sheetData>
  <mergeCells count="31">
    <mergeCell ref="A237:D237"/>
    <mergeCell ref="E238:E240"/>
    <mergeCell ref="A239:A245"/>
    <mergeCell ref="A263:D263"/>
    <mergeCell ref="E264:E266"/>
    <mergeCell ref="A265:A271"/>
    <mergeCell ref="A185:D185"/>
    <mergeCell ref="E186:E188"/>
    <mergeCell ref="A187:A193"/>
    <mergeCell ref="A211:D211"/>
    <mergeCell ref="E212:E214"/>
    <mergeCell ref="A213:A219"/>
    <mergeCell ref="A133:D133"/>
    <mergeCell ref="E134:E136"/>
    <mergeCell ref="A135:A141"/>
    <mergeCell ref="A159:D159"/>
    <mergeCell ref="E160:E162"/>
    <mergeCell ref="A161:A167"/>
    <mergeCell ref="A81:D81"/>
    <mergeCell ref="E82:E84"/>
    <mergeCell ref="A83:A89"/>
    <mergeCell ref="A107:D107"/>
    <mergeCell ref="E108:E110"/>
    <mergeCell ref="A109:A115"/>
    <mergeCell ref="A3:A7"/>
    <mergeCell ref="A29:D29"/>
    <mergeCell ref="E30:E32"/>
    <mergeCell ref="A31:A37"/>
    <mergeCell ref="A55:D55"/>
    <mergeCell ref="E56:E58"/>
    <mergeCell ref="A57:A63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D1AA-95C8-4450-8C6D-E077D71CD382}">
  <sheetPr codeName="Sheet57"/>
  <dimension ref="A1:F63"/>
  <sheetViews>
    <sheetView zoomScale="75" zoomScaleNormal="75" workbookViewId="0">
      <selection activeCell="E2" sqref="E2:F2 E4:F4 E5:F5 E6:F6"/>
    </sheetView>
  </sheetViews>
  <sheetFormatPr defaultRowHeight="15" x14ac:dyDescent="0.25"/>
  <cols>
    <col min="1" max="1" width="8" bestFit="1" customWidth="1"/>
    <col min="2" max="2" width="14.42578125" bestFit="1" customWidth="1"/>
    <col min="3" max="4" width="9.85546875" bestFit="1" customWidth="1"/>
    <col min="5" max="5" width="8.140625" bestFit="1" customWidth="1"/>
    <col min="6" max="6" width="32.7109375" style="68" bestFit="1" customWidth="1"/>
    <col min="7" max="7" width="28.85546875" bestFit="1" customWidth="1"/>
  </cols>
  <sheetData>
    <row r="1" spans="1:6" x14ac:dyDescent="0.25">
      <c r="C1" s="125" t="str">
        <f>TEXT(C2,"[$-421]mmmm")</f>
        <v>April</v>
      </c>
    </row>
    <row r="2" spans="1:6" s="118" customFormat="1" x14ac:dyDescent="0.25">
      <c r="A2" s="120" t="s">
        <v>11</v>
      </c>
      <c r="B2" s="120" t="s">
        <v>203</v>
      </c>
      <c r="C2" s="123">
        <v>45383</v>
      </c>
      <c r="D2" s="123">
        <v>45384</v>
      </c>
      <c r="E2" s="128" t="s">
        <v>187</v>
      </c>
      <c r="F2" s="129"/>
    </row>
    <row r="3" spans="1:6" x14ac:dyDescent="0.25">
      <c r="A3" s="121" t="s">
        <v>85</v>
      </c>
      <c r="B3" s="72" t="s">
        <v>204</v>
      </c>
      <c r="C3" s="124">
        <f>IFERROR(C5/C4,0)</f>
        <v>0.42874371859296478</v>
      </c>
      <c r="D3" s="124">
        <f>IFERROR(D5/D4,0)</f>
        <v>0.45</v>
      </c>
      <c r="E3" s="122">
        <f t="shared" ref="E3:E7" si="0">SUM(C3:D3)</f>
        <v>0.87874371859296474</v>
      </c>
    </row>
    <row r="4" spans="1:6" x14ac:dyDescent="0.25">
      <c r="A4" s="121"/>
      <c r="B4" s="72" t="s">
        <v>275</v>
      </c>
      <c r="C4" s="72">
        <v>995</v>
      </c>
      <c r="D4" s="72">
        <v>1126</v>
      </c>
      <c r="E4" s="74">
        <f t="shared" si="0"/>
        <v>2121</v>
      </c>
      <c r="F4" s="130"/>
    </row>
    <row r="5" spans="1:6" x14ac:dyDescent="0.25">
      <c r="A5" s="121"/>
      <c r="B5" s="72" t="s">
        <v>277</v>
      </c>
      <c r="C5" s="124">
        <v>426.59999999999997</v>
      </c>
      <c r="D5" s="124">
        <v>506.7</v>
      </c>
      <c r="E5" s="122">
        <f t="shared" si="0"/>
        <v>933.3</v>
      </c>
    </row>
    <row r="6" spans="1:6" x14ac:dyDescent="0.25">
      <c r="A6" s="121"/>
      <c r="B6" s="72" t="s">
        <v>276</v>
      </c>
      <c r="C6" s="124">
        <v>610</v>
      </c>
      <c r="D6" s="124">
        <v>610</v>
      </c>
      <c r="E6" s="122">
        <f t="shared" si="0"/>
        <v>1220</v>
      </c>
    </row>
    <row r="7" spans="1:6" x14ac:dyDescent="0.25">
      <c r="A7" s="121"/>
      <c r="B7" s="72" t="s">
        <v>278</v>
      </c>
      <c r="C7" s="122">
        <f t="shared" ref="C7:D7" si="1">C5-C6</f>
        <v>-183.40000000000003</v>
      </c>
      <c r="D7" s="122">
        <f t="shared" si="1"/>
        <v>-103.30000000000001</v>
      </c>
      <c r="E7" s="122">
        <f t="shared" si="0"/>
        <v>-286.70000000000005</v>
      </c>
    </row>
    <row r="29" spans="1:5" ht="17.25" x14ac:dyDescent="0.3">
      <c r="A29" s="136" t="s">
        <v>372</v>
      </c>
      <c r="B29" s="136"/>
      <c r="C29" s="136"/>
      <c r="D29" s="136"/>
      <c r="E29" s="68"/>
    </row>
    <row r="30" spans="1:5" x14ac:dyDescent="0.25">
      <c r="A30" s="143" t="s">
        <v>11</v>
      </c>
      <c r="B30" s="126" t="s">
        <v>186</v>
      </c>
      <c r="C30" s="123">
        <v>45383</v>
      </c>
      <c r="D30" s="123">
        <v>45384</v>
      </c>
      <c r="E30" s="144" t="s">
        <v>187</v>
      </c>
    </row>
    <row r="31" spans="1:5" x14ac:dyDescent="0.25">
      <c r="A31" s="121" t="s">
        <v>85</v>
      </c>
      <c r="B31" s="78" t="s">
        <v>126</v>
      </c>
      <c r="C31" s="78" t="s">
        <v>281</v>
      </c>
      <c r="D31" s="78" t="s">
        <v>281</v>
      </c>
      <c r="E31" s="145"/>
    </row>
    <row r="32" spans="1:5" x14ac:dyDescent="0.25">
      <c r="A32" s="121"/>
      <c r="B32" s="78" t="s">
        <v>182</v>
      </c>
      <c r="C32" s="72" t="s">
        <v>294</v>
      </c>
      <c r="D32" s="72" t="s">
        <v>294</v>
      </c>
      <c r="E32" s="146"/>
    </row>
    <row r="33" spans="1:6" x14ac:dyDescent="0.25">
      <c r="A33" s="121"/>
      <c r="B33" s="143" t="s">
        <v>204</v>
      </c>
      <c r="C33" s="142">
        <v>0.45</v>
      </c>
      <c r="D33" s="142">
        <v>0.45</v>
      </c>
      <c r="E33" s="131">
        <f t="shared" ref="E33:E37" si="2">SUM(C33:D33)</f>
        <v>0.9</v>
      </c>
    </row>
    <row r="34" spans="1:6" x14ac:dyDescent="0.25">
      <c r="A34" s="121"/>
      <c r="B34" s="78" t="s">
        <v>300</v>
      </c>
      <c r="C34" s="72">
        <v>290</v>
      </c>
      <c r="D34" s="72">
        <v>575</v>
      </c>
      <c r="E34" s="132">
        <f t="shared" si="2"/>
        <v>865</v>
      </c>
    </row>
    <row r="35" spans="1:6" s="119" customFormat="1" x14ac:dyDescent="0.25">
      <c r="A35" s="121"/>
      <c r="B35" s="131" t="s">
        <v>277</v>
      </c>
      <c r="C35" s="122">
        <v>130.5</v>
      </c>
      <c r="D35" s="122">
        <v>258.75</v>
      </c>
      <c r="E35" s="131">
        <f t="shared" si="2"/>
        <v>389.25</v>
      </c>
      <c r="F35" s="147"/>
    </row>
    <row r="36" spans="1:6" s="119" customFormat="1" x14ac:dyDescent="0.25">
      <c r="A36" s="121"/>
      <c r="B36" s="131" t="s">
        <v>301</v>
      </c>
      <c r="C36" s="122">
        <v>305</v>
      </c>
      <c r="D36" s="122">
        <v>305</v>
      </c>
      <c r="E36" s="131">
        <f t="shared" si="2"/>
        <v>610</v>
      </c>
      <c r="F36" s="147"/>
    </row>
    <row r="37" spans="1:6" x14ac:dyDescent="0.25">
      <c r="A37" s="121"/>
      <c r="B37" s="78" t="s">
        <v>303</v>
      </c>
      <c r="C37" s="122">
        <f t="shared" ref="C37:D37" si="3">C35-C36</f>
        <v>-174.5</v>
      </c>
      <c r="D37" s="131">
        <f t="shared" si="3"/>
        <v>-46.25</v>
      </c>
      <c r="E37" s="131">
        <f t="shared" si="2"/>
        <v>-220.75</v>
      </c>
    </row>
    <row r="55" spans="1:6" ht="17.25" x14ac:dyDescent="0.3">
      <c r="A55" s="136" t="s">
        <v>373</v>
      </c>
      <c r="B55" s="136"/>
      <c r="C55" s="136"/>
      <c r="D55" s="136"/>
      <c r="E55" s="68"/>
    </row>
    <row r="56" spans="1:6" x14ac:dyDescent="0.25">
      <c r="A56" s="143" t="s">
        <v>11</v>
      </c>
      <c r="B56" s="126" t="s">
        <v>186</v>
      </c>
      <c r="C56" s="123">
        <v>45383</v>
      </c>
      <c r="D56" s="123">
        <v>45384</v>
      </c>
      <c r="E56" s="144" t="s">
        <v>187</v>
      </c>
    </row>
    <row r="57" spans="1:6" x14ac:dyDescent="0.25">
      <c r="A57" s="121" t="s">
        <v>85</v>
      </c>
      <c r="B57" s="78" t="s">
        <v>126</v>
      </c>
      <c r="C57" s="78" t="s">
        <v>315</v>
      </c>
      <c r="D57" s="78" t="s">
        <v>281</v>
      </c>
      <c r="E57" s="145"/>
    </row>
    <row r="58" spans="1:6" x14ac:dyDescent="0.25">
      <c r="A58" s="121"/>
      <c r="B58" s="78" t="s">
        <v>182</v>
      </c>
      <c r="C58" s="72" t="s">
        <v>327</v>
      </c>
      <c r="D58" s="72" t="s">
        <v>294</v>
      </c>
      <c r="E58" s="146"/>
    </row>
    <row r="59" spans="1:6" x14ac:dyDescent="0.25">
      <c r="A59" s="121"/>
      <c r="B59" s="143" t="s">
        <v>204</v>
      </c>
      <c r="C59" s="142">
        <v>0.42000000000000004</v>
      </c>
      <c r="D59" s="142">
        <v>0.44999999999999996</v>
      </c>
      <c r="E59" s="131">
        <f t="shared" ref="E59:E63" si="4">SUM(C59:D59)</f>
        <v>0.87</v>
      </c>
    </row>
    <row r="60" spans="1:6" x14ac:dyDescent="0.25">
      <c r="A60" s="121"/>
      <c r="B60" s="78" t="s">
        <v>300</v>
      </c>
      <c r="C60" s="72">
        <v>705</v>
      </c>
      <c r="D60" s="72">
        <v>551</v>
      </c>
      <c r="E60" s="132">
        <f t="shared" si="4"/>
        <v>1256</v>
      </c>
    </row>
    <row r="61" spans="1:6" s="119" customFormat="1" x14ac:dyDescent="0.25">
      <c r="A61" s="121"/>
      <c r="B61" s="131" t="s">
        <v>277</v>
      </c>
      <c r="C61" s="122">
        <v>296.10000000000002</v>
      </c>
      <c r="D61" s="122">
        <v>247.95</v>
      </c>
      <c r="E61" s="131">
        <f t="shared" si="4"/>
        <v>544.04999999999995</v>
      </c>
      <c r="F61" s="147"/>
    </row>
    <row r="62" spans="1:6" s="119" customFormat="1" x14ac:dyDescent="0.25">
      <c r="A62" s="121"/>
      <c r="B62" s="131" t="s">
        <v>301</v>
      </c>
      <c r="C62" s="122">
        <v>305</v>
      </c>
      <c r="D62" s="122">
        <v>305</v>
      </c>
      <c r="E62" s="131">
        <f t="shared" si="4"/>
        <v>610</v>
      </c>
      <c r="F62" s="147"/>
    </row>
    <row r="63" spans="1:6" x14ac:dyDescent="0.25">
      <c r="A63" s="121"/>
      <c r="B63" s="78" t="s">
        <v>303</v>
      </c>
      <c r="C63" s="122">
        <f t="shared" ref="C63:D63" si="5">C61-C62</f>
        <v>-8.8999999999999773</v>
      </c>
      <c r="D63" s="131">
        <f t="shared" si="5"/>
        <v>-57.050000000000011</v>
      </c>
      <c r="E63" s="131">
        <f t="shared" si="4"/>
        <v>-65.949999999999989</v>
      </c>
    </row>
  </sheetData>
  <mergeCells count="7">
    <mergeCell ref="A3:A7"/>
    <mergeCell ref="A29:D29"/>
    <mergeCell ref="E30:E32"/>
    <mergeCell ref="A31:A37"/>
    <mergeCell ref="A55:D55"/>
    <mergeCell ref="E56:E58"/>
    <mergeCell ref="A57:A63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5B2-8606-4E9D-BC94-E3BBFC5ED634}">
  <sheetPr codeName="Sheet58"/>
  <dimension ref="A1:F167"/>
  <sheetViews>
    <sheetView zoomScale="75" zoomScaleNormal="75" workbookViewId="0">
      <selection activeCell="E2" sqref="E2:F2 E4:F4 E5:F5 E6:F6"/>
    </sheetView>
  </sheetViews>
  <sheetFormatPr defaultRowHeight="15" x14ac:dyDescent="0.25"/>
  <cols>
    <col min="1" max="1" width="8" bestFit="1" customWidth="1"/>
    <col min="2" max="2" width="14.42578125" bestFit="1" customWidth="1"/>
    <col min="3" max="4" width="11.5703125" bestFit="1" customWidth="1"/>
    <col min="5" max="5" width="9.28515625" bestFit="1" customWidth="1"/>
    <col min="6" max="6" width="32.7109375" style="68" bestFit="1" customWidth="1"/>
    <col min="7" max="7" width="28.85546875" bestFit="1" customWidth="1"/>
  </cols>
  <sheetData>
    <row r="1" spans="1:6" x14ac:dyDescent="0.25">
      <c r="C1" s="125" t="str">
        <f>TEXT(C2,"[$-421]mmmm")</f>
        <v>April</v>
      </c>
    </row>
    <row r="2" spans="1:6" s="118" customFormat="1" x14ac:dyDescent="0.25">
      <c r="A2" s="120" t="s">
        <v>11</v>
      </c>
      <c r="B2" s="120" t="s">
        <v>203</v>
      </c>
      <c r="C2" s="123">
        <v>45383</v>
      </c>
      <c r="D2" s="123">
        <v>45384</v>
      </c>
      <c r="E2" s="128" t="s">
        <v>187</v>
      </c>
      <c r="F2" s="129"/>
    </row>
    <row r="3" spans="1:6" x14ac:dyDescent="0.25">
      <c r="A3" s="121" t="s">
        <v>17</v>
      </c>
      <c r="B3" s="72" t="s">
        <v>204</v>
      </c>
      <c r="C3" s="124">
        <f>IFERROR(C5/C4,0)</f>
        <v>0.65</v>
      </c>
      <c r="D3" s="124">
        <f>IFERROR(D5/D4,0)</f>
        <v>0.65</v>
      </c>
      <c r="E3" s="122">
        <f t="shared" ref="E3:E7" si="0">SUM(C3:D3)</f>
        <v>1.3</v>
      </c>
    </row>
    <row r="4" spans="1:6" x14ac:dyDescent="0.25">
      <c r="A4" s="121"/>
      <c r="B4" s="72" t="s">
        <v>275</v>
      </c>
      <c r="C4" s="72">
        <v>13458</v>
      </c>
      <c r="D4" s="72">
        <v>12953</v>
      </c>
      <c r="E4" s="74">
        <f t="shared" si="0"/>
        <v>26411</v>
      </c>
      <c r="F4" s="130"/>
    </row>
    <row r="5" spans="1:6" x14ac:dyDescent="0.25">
      <c r="A5" s="121"/>
      <c r="B5" s="72" t="s">
        <v>277</v>
      </c>
      <c r="C5" s="124">
        <v>8747.7000000000007</v>
      </c>
      <c r="D5" s="124">
        <v>8419.4500000000007</v>
      </c>
      <c r="E5" s="122">
        <f t="shared" si="0"/>
        <v>17167.150000000001</v>
      </c>
    </row>
    <row r="6" spans="1:6" x14ac:dyDescent="0.25">
      <c r="A6" s="121"/>
      <c r="B6" s="72" t="s">
        <v>276</v>
      </c>
      <c r="C6" s="124">
        <v>5046</v>
      </c>
      <c r="D6" s="124">
        <v>5046</v>
      </c>
      <c r="E6" s="122">
        <f t="shared" si="0"/>
        <v>10092</v>
      </c>
    </row>
    <row r="7" spans="1:6" x14ac:dyDescent="0.25">
      <c r="A7" s="121"/>
      <c r="B7" s="72" t="s">
        <v>278</v>
      </c>
      <c r="C7" s="122">
        <f t="shared" ref="C7:D7" si="1">C5-C6</f>
        <v>3701.7000000000007</v>
      </c>
      <c r="D7" s="122">
        <f t="shared" si="1"/>
        <v>3373.4500000000007</v>
      </c>
      <c r="E7" s="122">
        <f t="shared" si="0"/>
        <v>7075.1500000000015</v>
      </c>
    </row>
    <row r="29" spans="1:5" ht="17.25" x14ac:dyDescent="0.3">
      <c r="A29" s="136" t="s">
        <v>337</v>
      </c>
      <c r="B29" s="136"/>
      <c r="C29" s="136"/>
      <c r="D29" s="136"/>
      <c r="E29" s="68"/>
    </row>
    <row r="30" spans="1:5" x14ac:dyDescent="0.25">
      <c r="A30" s="143" t="s">
        <v>11</v>
      </c>
      <c r="B30" s="126" t="s">
        <v>186</v>
      </c>
      <c r="C30" s="123">
        <v>45383</v>
      </c>
      <c r="D30" s="123">
        <v>45384</v>
      </c>
      <c r="E30" s="144" t="s">
        <v>187</v>
      </c>
    </row>
    <row r="31" spans="1:5" x14ac:dyDescent="0.25">
      <c r="A31" s="121" t="s">
        <v>17</v>
      </c>
      <c r="B31" s="78" t="s">
        <v>126</v>
      </c>
      <c r="C31" s="78" t="s">
        <v>338</v>
      </c>
      <c r="D31" s="78" t="s">
        <v>287</v>
      </c>
      <c r="E31" s="145"/>
    </row>
    <row r="32" spans="1:5" x14ac:dyDescent="0.25">
      <c r="A32" s="121"/>
      <c r="B32" s="78" t="s">
        <v>182</v>
      </c>
      <c r="C32" s="72" t="s">
        <v>339</v>
      </c>
      <c r="D32" s="72" t="s">
        <v>296</v>
      </c>
      <c r="E32" s="146"/>
    </row>
    <row r="33" spans="1:6" x14ac:dyDescent="0.25">
      <c r="A33" s="121"/>
      <c r="B33" s="143" t="s">
        <v>204</v>
      </c>
      <c r="C33" s="142">
        <v>0.65</v>
      </c>
      <c r="D33" s="142">
        <v>0.65</v>
      </c>
      <c r="E33" s="131">
        <f t="shared" ref="E33:E37" si="2">SUM(C33:D33)</f>
        <v>1.3</v>
      </c>
    </row>
    <row r="34" spans="1:6" x14ac:dyDescent="0.25">
      <c r="A34" s="121"/>
      <c r="B34" s="78" t="s">
        <v>300</v>
      </c>
      <c r="C34" s="72">
        <v>2450</v>
      </c>
      <c r="D34" s="72">
        <v>2295</v>
      </c>
      <c r="E34" s="132">
        <f t="shared" si="2"/>
        <v>4745</v>
      </c>
    </row>
    <row r="35" spans="1:6" s="119" customFormat="1" x14ac:dyDescent="0.25">
      <c r="A35" s="121"/>
      <c r="B35" s="131" t="s">
        <v>277</v>
      </c>
      <c r="C35" s="122">
        <v>1592.5</v>
      </c>
      <c r="D35" s="122">
        <v>1491.75</v>
      </c>
      <c r="E35" s="131">
        <f t="shared" si="2"/>
        <v>3084.25</v>
      </c>
      <c r="F35" s="147"/>
    </row>
    <row r="36" spans="1:6" s="119" customFormat="1" x14ac:dyDescent="0.25">
      <c r="A36" s="121"/>
      <c r="B36" s="131" t="s">
        <v>301</v>
      </c>
      <c r="C36" s="122">
        <v>841</v>
      </c>
      <c r="D36" s="122">
        <v>841</v>
      </c>
      <c r="E36" s="131">
        <f t="shared" si="2"/>
        <v>1682</v>
      </c>
      <c r="F36" s="147"/>
    </row>
    <row r="37" spans="1:6" x14ac:dyDescent="0.25">
      <c r="A37" s="121"/>
      <c r="B37" s="78" t="s">
        <v>303</v>
      </c>
      <c r="C37" s="122">
        <f t="shared" ref="C37:D37" si="3">C35-C36</f>
        <v>751.5</v>
      </c>
      <c r="D37" s="131">
        <f t="shared" si="3"/>
        <v>650.75</v>
      </c>
      <c r="E37" s="131">
        <f t="shared" si="2"/>
        <v>1402.25</v>
      </c>
    </row>
    <row r="55" spans="1:6" ht="17.25" x14ac:dyDescent="0.3">
      <c r="A55" s="136" t="s">
        <v>340</v>
      </c>
      <c r="B55" s="136"/>
      <c r="C55" s="136"/>
      <c r="D55" s="136"/>
      <c r="E55" s="68"/>
    </row>
    <row r="56" spans="1:6" x14ac:dyDescent="0.25">
      <c r="A56" s="143" t="s">
        <v>11</v>
      </c>
      <c r="B56" s="126" t="s">
        <v>186</v>
      </c>
      <c r="C56" s="123">
        <v>45383</v>
      </c>
      <c r="D56" s="123">
        <v>45384</v>
      </c>
      <c r="E56" s="144" t="s">
        <v>187</v>
      </c>
    </row>
    <row r="57" spans="1:6" x14ac:dyDescent="0.25">
      <c r="A57" s="121" t="s">
        <v>17</v>
      </c>
      <c r="B57" s="78" t="s">
        <v>126</v>
      </c>
      <c r="C57" s="78" t="s">
        <v>338</v>
      </c>
      <c r="D57" s="78" t="s">
        <v>338</v>
      </c>
      <c r="E57" s="145"/>
    </row>
    <row r="58" spans="1:6" x14ac:dyDescent="0.25">
      <c r="A58" s="121"/>
      <c r="B58" s="78" t="s">
        <v>182</v>
      </c>
      <c r="C58" s="72" t="s">
        <v>339</v>
      </c>
      <c r="D58" s="72" t="s">
        <v>339</v>
      </c>
      <c r="E58" s="146"/>
    </row>
    <row r="59" spans="1:6" x14ac:dyDescent="0.25">
      <c r="A59" s="121"/>
      <c r="B59" s="143" t="s">
        <v>204</v>
      </c>
      <c r="C59" s="142">
        <v>0.65</v>
      </c>
      <c r="D59" s="142">
        <v>0.65</v>
      </c>
      <c r="E59" s="131">
        <f t="shared" ref="E59:E63" si="4">SUM(C59:D59)</f>
        <v>1.3</v>
      </c>
    </row>
    <row r="60" spans="1:6" x14ac:dyDescent="0.25">
      <c r="A60" s="121"/>
      <c r="B60" s="78" t="s">
        <v>300</v>
      </c>
      <c r="C60" s="72">
        <v>2183</v>
      </c>
      <c r="D60" s="72">
        <v>2370</v>
      </c>
      <c r="E60" s="132">
        <f t="shared" si="4"/>
        <v>4553</v>
      </c>
    </row>
    <row r="61" spans="1:6" s="119" customFormat="1" x14ac:dyDescent="0.25">
      <c r="A61" s="121"/>
      <c r="B61" s="131" t="s">
        <v>277</v>
      </c>
      <c r="C61" s="122">
        <v>1418.95</v>
      </c>
      <c r="D61" s="122">
        <v>1540.5</v>
      </c>
      <c r="E61" s="131">
        <f t="shared" si="4"/>
        <v>2959.45</v>
      </c>
      <c r="F61" s="147"/>
    </row>
    <row r="62" spans="1:6" s="119" customFormat="1" x14ac:dyDescent="0.25">
      <c r="A62" s="121"/>
      <c r="B62" s="131" t="s">
        <v>301</v>
      </c>
      <c r="C62" s="122">
        <v>841</v>
      </c>
      <c r="D62" s="122">
        <v>841</v>
      </c>
      <c r="E62" s="131">
        <f t="shared" si="4"/>
        <v>1682</v>
      </c>
      <c r="F62" s="147"/>
    </row>
    <row r="63" spans="1:6" x14ac:dyDescent="0.25">
      <c r="A63" s="121"/>
      <c r="B63" s="78" t="s">
        <v>303</v>
      </c>
      <c r="C63" s="122">
        <f t="shared" ref="C63:D63" si="5">C61-C62</f>
        <v>577.95000000000005</v>
      </c>
      <c r="D63" s="131">
        <f t="shared" si="5"/>
        <v>699.5</v>
      </c>
      <c r="E63" s="131">
        <f t="shared" si="4"/>
        <v>1277.45</v>
      </c>
    </row>
    <row r="81" spans="1:6" ht="17.25" x14ac:dyDescent="0.3">
      <c r="A81" s="136" t="s">
        <v>341</v>
      </c>
      <c r="B81" s="136"/>
      <c r="C81" s="136"/>
      <c r="D81" s="136"/>
      <c r="E81" s="68"/>
    </row>
    <row r="82" spans="1:6" x14ac:dyDescent="0.25">
      <c r="A82" s="143" t="s">
        <v>11</v>
      </c>
      <c r="B82" s="126" t="s">
        <v>186</v>
      </c>
      <c r="C82" s="123">
        <v>45383</v>
      </c>
      <c r="D82" s="123">
        <v>45384</v>
      </c>
      <c r="E82" s="144" t="s">
        <v>187</v>
      </c>
    </row>
    <row r="83" spans="1:6" x14ac:dyDescent="0.25">
      <c r="A83" s="121" t="s">
        <v>17</v>
      </c>
      <c r="B83" s="78" t="s">
        <v>126</v>
      </c>
      <c r="C83" s="78" t="s">
        <v>287</v>
      </c>
      <c r="D83" s="78" t="s">
        <v>342</v>
      </c>
      <c r="E83" s="145"/>
    </row>
    <row r="84" spans="1:6" x14ac:dyDescent="0.25">
      <c r="A84" s="121"/>
      <c r="B84" s="78" t="s">
        <v>182</v>
      </c>
      <c r="C84" s="72" t="s">
        <v>296</v>
      </c>
      <c r="D84" s="72" t="s">
        <v>343</v>
      </c>
      <c r="E84" s="146"/>
    </row>
    <row r="85" spans="1:6" x14ac:dyDescent="0.25">
      <c r="A85" s="121"/>
      <c r="B85" s="143" t="s">
        <v>204</v>
      </c>
      <c r="C85" s="142">
        <v>0.65</v>
      </c>
      <c r="D85" s="142">
        <v>0.65</v>
      </c>
      <c r="E85" s="131">
        <f t="shared" ref="E85:E89" si="6">SUM(C85:D85)</f>
        <v>1.3</v>
      </c>
    </row>
    <row r="86" spans="1:6" x14ac:dyDescent="0.25">
      <c r="A86" s="121"/>
      <c r="B86" s="78" t="s">
        <v>300</v>
      </c>
      <c r="C86" s="72">
        <v>2200</v>
      </c>
      <c r="D86" s="72">
        <v>1878</v>
      </c>
      <c r="E86" s="132">
        <f t="shared" si="6"/>
        <v>4078</v>
      </c>
    </row>
    <row r="87" spans="1:6" s="119" customFormat="1" x14ac:dyDescent="0.25">
      <c r="A87" s="121"/>
      <c r="B87" s="131" t="s">
        <v>277</v>
      </c>
      <c r="C87" s="122">
        <v>1430</v>
      </c>
      <c r="D87" s="122">
        <v>1220.7</v>
      </c>
      <c r="E87" s="131">
        <f t="shared" si="6"/>
        <v>2650.7</v>
      </c>
      <c r="F87" s="147"/>
    </row>
    <row r="88" spans="1:6" s="119" customFormat="1" x14ac:dyDescent="0.25">
      <c r="A88" s="121"/>
      <c r="B88" s="131" t="s">
        <v>301</v>
      </c>
      <c r="C88" s="122">
        <v>841</v>
      </c>
      <c r="D88" s="122">
        <v>841</v>
      </c>
      <c r="E88" s="131">
        <f t="shared" si="6"/>
        <v>1682</v>
      </c>
      <c r="F88" s="147"/>
    </row>
    <row r="89" spans="1:6" x14ac:dyDescent="0.25">
      <c r="A89" s="121"/>
      <c r="B89" s="78" t="s">
        <v>303</v>
      </c>
      <c r="C89" s="122">
        <f t="shared" ref="C89:D89" si="7">C87-C88</f>
        <v>589</v>
      </c>
      <c r="D89" s="131">
        <f t="shared" si="7"/>
        <v>379.70000000000005</v>
      </c>
      <c r="E89" s="131">
        <f t="shared" si="6"/>
        <v>968.7</v>
      </c>
    </row>
    <row r="107" spans="1:5" ht="17.25" x14ac:dyDescent="0.3">
      <c r="A107" s="136" t="s">
        <v>344</v>
      </c>
      <c r="B107" s="136"/>
      <c r="C107" s="136"/>
      <c r="D107" s="136"/>
      <c r="E107" s="68"/>
    </row>
    <row r="108" spans="1:5" x14ac:dyDescent="0.25">
      <c r="A108" s="143" t="s">
        <v>11</v>
      </c>
      <c r="B108" s="126" t="s">
        <v>186</v>
      </c>
      <c r="C108" s="123">
        <v>45383</v>
      </c>
      <c r="D108" s="123">
        <v>45384</v>
      </c>
      <c r="E108" s="144" t="s">
        <v>187</v>
      </c>
    </row>
    <row r="109" spans="1:5" x14ac:dyDescent="0.25">
      <c r="A109" s="121" t="s">
        <v>17</v>
      </c>
      <c r="B109" s="78" t="s">
        <v>126</v>
      </c>
      <c r="C109" s="78" t="s">
        <v>338</v>
      </c>
      <c r="D109" s="78" t="s">
        <v>287</v>
      </c>
      <c r="E109" s="145"/>
    </row>
    <row r="110" spans="1:5" x14ac:dyDescent="0.25">
      <c r="A110" s="121"/>
      <c r="B110" s="78" t="s">
        <v>182</v>
      </c>
      <c r="C110" s="72" t="s">
        <v>339</v>
      </c>
      <c r="D110" s="72" t="s">
        <v>296</v>
      </c>
      <c r="E110" s="146"/>
    </row>
    <row r="111" spans="1:5" x14ac:dyDescent="0.25">
      <c r="A111" s="121"/>
      <c r="B111" s="143" t="s">
        <v>204</v>
      </c>
      <c r="C111" s="142">
        <v>0.65</v>
      </c>
      <c r="D111" s="142">
        <v>0.65</v>
      </c>
      <c r="E111" s="131">
        <f t="shared" ref="E111:E115" si="8">SUM(C111:D111)</f>
        <v>1.3</v>
      </c>
    </row>
    <row r="112" spans="1:5" x14ac:dyDescent="0.25">
      <c r="A112" s="121"/>
      <c r="B112" s="78" t="s">
        <v>300</v>
      </c>
      <c r="C112" s="72">
        <v>2100</v>
      </c>
      <c r="D112" s="72">
        <v>1975</v>
      </c>
      <c r="E112" s="132">
        <f t="shared" si="8"/>
        <v>4075</v>
      </c>
    </row>
    <row r="113" spans="1:6" s="119" customFormat="1" x14ac:dyDescent="0.25">
      <c r="A113" s="121"/>
      <c r="B113" s="131" t="s">
        <v>277</v>
      </c>
      <c r="C113" s="122">
        <v>1365</v>
      </c>
      <c r="D113" s="122">
        <v>1283.75</v>
      </c>
      <c r="E113" s="131">
        <f t="shared" si="8"/>
        <v>2648.75</v>
      </c>
      <c r="F113" s="147"/>
    </row>
    <row r="114" spans="1:6" s="119" customFormat="1" x14ac:dyDescent="0.25">
      <c r="A114" s="121"/>
      <c r="B114" s="131" t="s">
        <v>301</v>
      </c>
      <c r="C114" s="122">
        <v>841</v>
      </c>
      <c r="D114" s="122">
        <v>841</v>
      </c>
      <c r="E114" s="131">
        <f t="shared" si="8"/>
        <v>1682</v>
      </c>
      <c r="F114" s="147"/>
    </row>
    <row r="115" spans="1:6" x14ac:dyDescent="0.25">
      <c r="A115" s="121"/>
      <c r="B115" s="78" t="s">
        <v>303</v>
      </c>
      <c r="C115" s="122">
        <f t="shared" ref="C115:D115" si="9">C113-C114</f>
        <v>524</v>
      </c>
      <c r="D115" s="131">
        <f t="shared" si="9"/>
        <v>442.75</v>
      </c>
      <c r="E115" s="131">
        <f t="shared" si="8"/>
        <v>966.75</v>
      </c>
    </row>
    <row r="133" spans="1:6" ht="17.25" x14ac:dyDescent="0.3">
      <c r="A133" s="136" t="s">
        <v>345</v>
      </c>
      <c r="B133" s="136"/>
      <c r="C133" s="136"/>
      <c r="D133" s="136"/>
      <c r="E133" s="68"/>
    </row>
    <row r="134" spans="1:6" x14ac:dyDescent="0.25">
      <c r="A134" s="143" t="s">
        <v>11</v>
      </c>
      <c r="B134" s="126" t="s">
        <v>186</v>
      </c>
      <c r="C134" s="123">
        <v>45383</v>
      </c>
      <c r="D134" s="123">
        <v>45384</v>
      </c>
      <c r="E134" s="144" t="s">
        <v>187</v>
      </c>
    </row>
    <row r="135" spans="1:6" x14ac:dyDescent="0.25">
      <c r="A135" s="121" t="s">
        <v>17</v>
      </c>
      <c r="B135" s="78" t="s">
        <v>126</v>
      </c>
      <c r="C135" s="78" t="s">
        <v>287</v>
      </c>
      <c r="D135" s="78" t="s">
        <v>338</v>
      </c>
      <c r="E135" s="145"/>
    </row>
    <row r="136" spans="1:6" x14ac:dyDescent="0.25">
      <c r="A136" s="121"/>
      <c r="B136" s="78" t="s">
        <v>182</v>
      </c>
      <c r="C136" s="72" t="s">
        <v>296</v>
      </c>
      <c r="D136" s="72" t="s">
        <v>339</v>
      </c>
      <c r="E136" s="146"/>
    </row>
    <row r="137" spans="1:6" x14ac:dyDescent="0.25">
      <c r="A137" s="121"/>
      <c r="B137" s="143" t="s">
        <v>204</v>
      </c>
      <c r="C137" s="142">
        <v>0.65</v>
      </c>
      <c r="D137" s="142">
        <v>0.65</v>
      </c>
      <c r="E137" s="131">
        <f t="shared" ref="E137:E141" si="10">SUM(C137:D137)</f>
        <v>1.3</v>
      </c>
    </row>
    <row r="138" spans="1:6" x14ac:dyDescent="0.25">
      <c r="A138" s="121"/>
      <c r="B138" s="78" t="s">
        <v>300</v>
      </c>
      <c r="C138" s="72">
        <v>2175</v>
      </c>
      <c r="D138" s="72">
        <v>2145</v>
      </c>
      <c r="E138" s="132">
        <f t="shared" si="10"/>
        <v>4320</v>
      </c>
    </row>
    <row r="139" spans="1:6" s="119" customFormat="1" x14ac:dyDescent="0.25">
      <c r="A139" s="121"/>
      <c r="B139" s="131" t="s">
        <v>277</v>
      </c>
      <c r="C139" s="122">
        <v>1413.75</v>
      </c>
      <c r="D139" s="122">
        <v>1394.25</v>
      </c>
      <c r="E139" s="131">
        <f t="shared" si="10"/>
        <v>2808</v>
      </c>
      <c r="F139" s="147"/>
    </row>
    <row r="140" spans="1:6" s="119" customFormat="1" x14ac:dyDescent="0.25">
      <c r="A140" s="121"/>
      <c r="B140" s="131" t="s">
        <v>301</v>
      </c>
      <c r="C140" s="122">
        <v>841</v>
      </c>
      <c r="D140" s="122">
        <v>841</v>
      </c>
      <c r="E140" s="131">
        <f t="shared" si="10"/>
        <v>1682</v>
      </c>
      <c r="F140" s="147"/>
    </row>
    <row r="141" spans="1:6" x14ac:dyDescent="0.25">
      <c r="A141" s="121"/>
      <c r="B141" s="78" t="s">
        <v>303</v>
      </c>
      <c r="C141" s="122">
        <f t="shared" ref="C141:D141" si="11">C139-C140</f>
        <v>572.75</v>
      </c>
      <c r="D141" s="131">
        <f t="shared" si="11"/>
        <v>553.25</v>
      </c>
      <c r="E141" s="131">
        <f t="shared" si="10"/>
        <v>1126</v>
      </c>
    </row>
    <row r="159" spans="1:5" ht="17.25" x14ac:dyDescent="0.3">
      <c r="A159" s="136" t="s">
        <v>346</v>
      </c>
      <c r="B159" s="136"/>
      <c r="C159" s="136"/>
      <c r="D159" s="136"/>
      <c r="E159" s="68"/>
    </row>
    <row r="160" spans="1:5" x14ac:dyDescent="0.25">
      <c r="A160" s="143" t="s">
        <v>11</v>
      </c>
      <c r="B160" s="126" t="s">
        <v>186</v>
      </c>
      <c r="C160" s="123">
        <v>45383</v>
      </c>
      <c r="D160" s="123">
        <v>45384</v>
      </c>
      <c r="E160" s="144" t="s">
        <v>187</v>
      </c>
    </row>
    <row r="161" spans="1:6" x14ac:dyDescent="0.25">
      <c r="A161" s="121" t="s">
        <v>17</v>
      </c>
      <c r="B161" s="78" t="s">
        <v>126</v>
      </c>
      <c r="C161" s="78" t="s">
        <v>338</v>
      </c>
      <c r="D161" s="78" t="s">
        <v>287</v>
      </c>
      <c r="E161" s="145"/>
    </row>
    <row r="162" spans="1:6" x14ac:dyDescent="0.25">
      <c r="A162" s="121"/>
      <c r="B162" s="78" t="s">
        <v>182</v>
      </c>
      <c r="C162" s="72" t="s">
        <v>339</v>
      </c>
      <c r="D162" s="72" t="s">
        <v>296</v>
      </c>
      <c r="E162" s="146"/>
    </row>
    <row r="163" spans="1:6" x14ac:dyDescent="0.25">
      <c r="A163" s="121"/>
      <c r="B163" s="143" t="s">
        <v>204</v>
      </c>
      <c r="C163" s="142">
        <v>0.65</v>
      </c>
      <c r="D163" s="142">
        <v>0.65</v>
      </c>
      <c r="E163" s="131">
        <f t="shared" ref="E163:E167" si="12">SUM(C163:D163)</f>
        <v>1.3</v>
      </c>
    </row>
    <row r="164" spans="1:6" x14ac:dyDescent="0.25">
      <c r="A164" s="121"/>
      <c r="B164" s="78" t="s">
        <v>300</v>
      </c>
      <c r="C164" s="72">
        <v>2350</v>
      </c>
      <c r="D164" s="72">
        <v>2290</v>
      </c>
      <c r="E164" s="132">
        <f t="shared" si="12"/>
        <v>4640</v>
      </c>
    </row>
    <row r="165" spans="1:6" s="119" customFormat="1" x14ac:dyDescent="0.25">
      <c r="A165" s="121"/>
      <c r="B165" s="131" t="s">
        <v>277</v>
      </c>
      <c r="C165" s="122">
        <v>1527.5</v>
      </c>
      <c r="D165" s="122">
        <v>1488.5</v>
      </c>
      <c r="E165" s="131">
        <f t="shared" si="12"/>
        <v>3016</v>
      </c>
      <c r="F165" s="147"/>
    </row>
    <row r="166" spans="1:6" s="119" customFormat="1" x14ac:dyDescent="0.25">
      <c r="A166" s="121"/>
      <c r="B166" s="131" t="s">
        <v>301</v>
      </c>
      <c r="C166" s="122">
        <v>841</v>
      </c>
      <c r="D166" s="122">
        <v>841</v>
      </c>
      <c r="E166" s="131">
        <f t="shared" si="12"/>
        <v>1682</v>
      </c>
      <c r="F166" s="147"/>
    </row>
    <row r="167" spans="1:6" x14ac:dyDescent="0.25">
      <c r="A167" s="121"/>
      <c r="B167" s="78" t="s">
        <v>303</v>
      </c>
      <c r="C167" s="122">
        <f t="shared" ref="C167:D167" si="13">C165-C166</f>
        <v>686.5</v>
      </c>
      <c r="D167" s="131">
        <f t="shared" si="13"/>
        <v>647.5</v>
      </c>
      <c r="E167" s="131">
        <f t="shared" si="12"/>
        <v>1334</v>
      </c>
    </row>
  </sheetData>
  <mergeCells count="19">
    <mergeCell ref="A133:D133"/>
    <mergeCell ref="E134:E136"/>
    <mergeCell ref="A135:A141"/>
    <mergeCell ref="A159:D159"/>
    <mergeCell ref="E160:E162"/>
    <mergeCell ref="A161:A167"/>
    <mergeCell ref="A81:D81"/>
    <mergeCell ref="E82:E84"/>
    <mergeCell ref="A83:A89"/>
    <mergeCell ref="A107:D107"/>
    <mergeCell ref="E108:E110"/>
    <mergeCell ref="A109:A115"/>
    <mergeCell ref="A3:A7"/>
    <mergeCell ref="A29:D29"/>
    <mergeCell ref="E30:E32"/>
    <mergeCell ref="A31:A37"/>
    <mergeCell ref="A55:D55"/>
    <mergeCell ref="E56:E58"/>
    <mergeCell ref="A57:A6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E7D2B-3C10-45EB-8D7C-CFC70BD16A97}">
  <sheetPr codeName="Sheet59"/>
  <dimension ref="A1:F219"/>
  <sheetViews>
    <sheetView zoomScale="75" zoomScaleNormal="75" workbookViewId="0">
      <selection activeCell="E2" sqref="E2:F2 E4:F4 E5:F5 E6:F6"/>
    </sheetView>
  </sheetViews>
  <sheetFormatPr defaultRowHeight="15" x14ac:dyDescent="0.25"/>
  <cols>
    <col min="1" max="1" width="8" bestFit="1" customWidth="1"/>
    <col min="2" max="2" width="14.42578125" bestFit="1" customWidth="1"/>
    <col min="3" max="3" width="11.5703125" bestFit="1" customWidth="1"/>
    <col min="4" max="4" width="12.7109375" bestFit="1" customWidth="1"/>
    <col min="5" max="5" width="9.28515625" bestFit="1" customWidth="1"/>
    <col min="6" max="6" width="32.7109375" style="68" bestFit="1" customWidth="1"/>
    <col min="7" max="7" width="28.85546875" bestFit="1" customWidth="1"/>
  </cols>
  <sheetData>
    <row r="1" spans="1:6" x14ac:dyDescent="0.25">
      <c r="C1" s="125" t="str">
        <f>TEXT(C2,"[$-421]mmmm")</f>
        <v>April</v>
      </c>
    </row>
    <row r="2" spans="1:6" s="118" customFormat="1" x14ac:dyDescent="0.25">
      <c r="A2" s="120" t="s">
        <v>11</v>
      </c>
      <c r="B2" s="120" t="s">
        <v>203</v>
      </c>
      <c r="C2" s="123">
        <v>45383</v>
      </c>
      <c r="D2" s="123">
        <v>45384</v>
      </c>
      <c r="E2" s="128" t="s">
        <v>187</v>
      </c>
      <c r="F2" s="129"/>
    </row>
    <row r="3" spans="1:6" x14ac:dyDescent="0.25">
      <c r="A3" s="121" t="s">
        <v>18</v>
      </c>
      <c r="B3" s="72" t="s">
        <v>204</v>
      </c>
      <c r="C3" s="124">
        <f>IFERROR(C5/C4,0)</f>
        <v>0.88510311797478236</v>
      </c>
      <c r="D3" s="124">
        <f>IFERROR(D5/D4,0)</f>
        <v>0.87342103029788654</v>
      </c>
      <c r="E3" s="122">
        <f t="shared" ref="E3:E7" si="0">SUM(C3:D3)</f>
        <v>1.7585241482726688</v>
      </c>
    </row>
    <row r="4" spans="1:6" x14ac:dyDescent="0.25">
      <c r="A4" s="121"/>
      <c r="B4" s="72" t="s">
        <v>275</v>
      </c>
      <c r="C4" s="72">
        <v>10231</v>
      </c>
      <c r="D4" s="72">
        <v>11783</v>
      </c>
      <c r="E4" s="74">
        <f t="shared" si="0"/>
        <v>22014</v>
      </c>
      <c r="F4" s="130"/>
    </row>
    <row r="5" spans="1:6" x14ac:dyDescent="0.25">
      <c r="A5" s="121"/>
      <c r="B5" s="72" t="s">
        <v>277</v>
      </c>
      <c r="C5" s="124">
        <v>9055.489999999998</v>
      </c>
      <c r="D5" s="124">
        <v>10291.519999999997</v>
      </c>
      <c r="E5" s="122">
        <f t="shared" si="0"/>
        <v>19347.009999999995</v>
      </c>
    </row>
    <row r="6" spans="1:6" x14ac:dyDescent="0.25">
      <c r="A6" s="121"/>
      <c r="B6" s="72" t="s">
        <v>276</v>
      </c>
      <c r="C6" s="124">
        <v>7888</v>
      </c>
      <c r="D6" s="124">
        <v>7887.9999999999991</v>
      </c>
      <c r="E6" s="122">
        <f t="shared" si="0"/>
        <v>15776</v>
      </c>
    </row>
    <row r="7" spans="1:6" x14ac:dyDescent="0.25">
      <c r="A7" s="121"/>
      <c r="B7" s="72" t="s">
        <v>278</v>
      </c>
      <c r="C7" s="122">
        <f t="shared" ref="C7:D7" si="1">C5-C6</f>
        <v>1167.489999999998</v>
      </c>
      <c r="D7" s="122">
        <f t="shared" si="1"/>
        <v>2403.5199999999977</v>
      </c>
      <c r="E7" s="122">
        <f t="shared" si="0"/>
        <v>3571.0099999999957</v>
      </c>
    </row>
    <row r="29" spans="1:5" ht="17.25" x14ac:dyDescent="0.3">
      <c r="A29" s="136" t="s">
        <v>347</v>
      </c>
      <c r="B29" s="136"/>
      <c r="C29" s="136"/>
      <c r="D29" s="136"/>
      <c r="E29" s="68"/>
    </row>
    <row r="30" spans="1:5" x14ac:dyDescent="0.25">
      <c r="A30" s="143" t="s">
        <v>11</v>
      </c>
      <c r="B30" s="126" t="s">
        <v>186</v>
      </c>
      <c r="C30" s="123">
        <v>45383</v>
      </c>
      <c r="D30" s="123">
        <v>45384</v>
      </c>
      <c r="E30" s="144" t="s">
        <v>187</v>
      </c>
    </row>
    <row r="31" spans="1:5" x14ac:dyDescent="0.25">
      <c r="A31" s="121" t="s">
        <v>18</v>
      </c>
      <c r="B31" s="78" t="s">
        <v>126</v>
      </c>
      <c r="C31" s="78" t="s">
        <v>342</v>
      </c>
      <c r="D31" s="78" t="s">
        <v>338</v>
      </c>
      <c r="E31" s="145"/>
    </row>
    <row r="32" spans="1:5" x14ac:dyDescent="0.25">
      <c r="A32" s="121"/>
      <c r="B32" s="78" t="s">
        <v>182</v>
      </c>
      <c r="C32" s="72" t="s">
        <v>343</v>
      </c>
      <c r="D32" s="72" t="s">
        <v>339</v>
      </c>
      <c r="E32" s="146"/>
    </row>
    <row r="33" spans="1:6" x14ac:dyDescent="0.25">
      <c r="A33" s="121"/>
      <c r="B33" s="143" t="s">
        <v>204</v>
      </c>
      <c r="C33" s="142">
        <v>0.69986802894848876</v>
      </c>
      <c r="D33" s="142">
        <v>0.70000000000000007</v>
      </c>
      <c r="E33" s="131">
        <f t="shared" ref="E33:E37" si="2">SUM(C33:D33)</f>
        <v>1.3998680289484888</v>
      </c>
    </row>
    <row r="34" spans="1:6" x14ac:dyDescent="0.25">
      <c r="A34" s="121"/>
      <c r="B34" s="78" t="s">
        <v>300</v>
      </c>
      <c r="C34" s="72">
        <v>2349</v>
      </c>
      <c r="D34" s="72">
        <v>2651</v>
      </c>
      <c r="E34" s="132">
        <f t="shared" si="2"/>
        <v>5000</v>
      </c>
    </row>
    <row r="35" spans="1:6" s="119" customFormat="1" x14ac:dyDescent="0.25">
      <c r="A35" s="121"/>
      <c r="B35" s="131" t="s">
        <v>277</v>
      </c>
      <c r="C35" s="122">
        <v>1643.99</v>
      </c>
      <c r="D35" s="122">
        <v>1855.7</v>
      </c>
      <c r="E35" s="131">
        <f t="shared" si="2"/>
        <v>3499.69</v>
      </c>
      <c r="F35" s="147"/>
    </row>
    <row r="36" spans="1:6" s="119" customFormat="1" x14ac:dyDescent="0.25">
      <c r="A36" s="121"/>
      <c r="B36" s="131" t="s">
        <v>301</v>
      </c>
      <c r="C36" s="122">
        <v>986</v>
      </c>
      <c r="D36" s="122">
        <v>986</v>
      </c>
      <c r="E36" s="131">
        <f t="shared" si="2"/>
        <v>1972</v>
      </c>
      <c r="F36" s="147"/>
    </row>
    <row r="37" spans="1:6" x14ac:dyDescent="0.25">
      <c r="A37" s="121"/>
      <c r="B37" s="78" t="s">
        <v>303</v>
      </c>
      <c r="C37" s="122">
        <f t="shared" ref="C37:D37" si="3">C35-C36</f>
        <v>657.99</v>
      </c>
      <c r="D37" s="131">
        <f t="shared" si="3"/>
        <v>869.7</v>
      </c>
      <c r="E37" s="131">
        <f t="shared" si="2"/>
        <v>1527.69</v>
      </c>
    </row>
    <row r="55" spans="1:6" ht="17.25" x14ac:dyDescent="0.3">
      <c r="A55" s="136" t="s">
        <v>348</v>
      </c>
      <c r="B55" s="136"/>
      <c r="C55" s="136"/>
      <c r="D55" s="136"/>
      <c r="E55" s="68"/>
    </row>
    <row r="56" spans="1:6" x14ac:dyDescent="0.25">
      <c r="A56" s="143" t="s">
        <v>11</v>
      </c>
      <c r="B56" s="126" t="s">
        <v>186</v>
      </c>
      <c r="C56" s="123">
        <v>45383</v>
      </c>
      <c r="D56" s="123">
        <v>45384</v>
      </c>
      <c r="E56" s="144" t="s">
        <v>187</v>
      </c>
    </row>
    <row r="57" spans="1:6" x14ac:dyDescent="0.25">
      <c r="A57" s="121" t="s">
        <v>18</v>
      </c>
      <c r="B57" s="78" t="s">
        <v>126</v>
      </c>
      <c r="C57" s="78" t="s">
        <v>287</v>
      </c>
      <c r="D57" s="78" t="s">
        <v>287</v>
      </c>
      <c r="E57" s="145"/>
    </row>
    <row r="58" spans="1:6" x14ac:dyDescent="0.25">
      <c r="A58" s="121"/>
      <c r="B58" s="78" t="s">
        <v>182</v>
      </c>
      <c r="C58" s="72" t="s">
        <v>296</v>
      </c>
      <c r="D58" s="72" t="s">
        <v>296</v>
      </c>
      <c r="E58" s="146"/>
    </row>
    <row r="59" spans="1:6" x14ac:dyDescent="0.25">
      <c r="A59" s="121"/>
      <c r="B59" s="143" t="s">
        <v>204</v>
      </c>
      <c r="C59" s="142">
        <v>0.8</v>
      </c>
      <c r="D59" s="142">
        <v>0.8</v>
      </c>
      <c r="E59" s="131">
        <f t="shared" ref="E59:E63" si="4">SUM(C59:D59)</f>
        <v>1.6</v>
      </c>
    </row>
    <row r="60" spans="1:6" x14ac:dyDescent="0.25">
      <c r="A60" s="121"/>
      <c r="B60" s="78" t="s">
        <v>300</v>
      </c>
      <c r="C60" s="72">
        <v>1530</v>
      </c>
      <c r="D60" s="72">
        <v>1678</v>
      </c>
      <c r="E60" s="132">
        <f t="shared" si="4"/>
        <v>3208</v>
      </c>
    </row>
    <row r="61" spans="1:6" s="119" customFormat="1" x14ac:dyDescent="0.25">
      <c r="A61" s="121"/>
      <c r="B61" s="131" t="s">
        <v>277</v>
      </c>
      <c r="C61" s="122">
        <v>1224</v>
      </c>
      <c r="D61" s="122">
        <v>1342.4</v>
      </c>
      <c r="E61" s="131">
        <f t="shared" si="4"/>
        <v>2566.4</v>
      </c>
      <c r="F61" s="147"/>
    </row>
    <row r="62" spans="1:6" s="119" customFormat="1" x14ac:dyDescent="0.25">
      <c r="A62" s="121"/>
      <c r="B62" s="131" t="s">
        <v>301</v>
      </c>
      <c r="C62" s="122">
        <v>986</v>
      </c>
      <c r="D62" s="122">
        <v>986</v>
      </c>
      <c r="E62" s="131">
        <f t="shared" si="4"/>
        <v>1972</v>
      </c>
      <c r="F62" s="147"/>
    </row>
    <row r="63" spans="1:6" x14ac:dyDescent="0.25">
      <c r="A63" s="121"/>
      <c r="B63" s="78" t="s">
        <v>303</v>
      </c>
      <c r="C63" s="122">
        <f t="shared" ref="C63:D63" si="5">C61-C62</f>
        <v>238</v>
      </c>
      <c r="D63" s="131">
        <f t="shared" si="5"/>
        <v>356.40000000000009</v>
      </c>
      <c r="E63" s="131">
        <f t="shared" si="4"/>
        <v>594.40000000000009</v>
      </c>
    </row>
    <row r="81" spans="1:6" ht="17.25" x14ac:dyDescent="0.3">
      <c r="A81" s="136" t="s">
        <v>349</v>
      </c>
      <c r="B81" s="136"/>
      <c r="C81" s="136"/>
      <c r="D81" s="136"/>
      <c r="E81" s="68"/>
    </row>
    <row r="82" spans="1:6" x14ac:dyDescent="0.25">
      <c r="A82" s="143" t="s">
        <v>11</v>
      </c>
      <c r="B82" s="126" t="s">
        <v>186</v>
      </c>
      <c r="C82" s="123">
        <v>45383</v>
      </c>
      <c r="D82" s="123">
        <v>45384</v>
      </c>
      <c r="E82" s="144" t="s">
        <v>187</v>
      </c>
    </row>
    <row r="83" spans="1:6" x14ac:dyDescent="0.25">
      <c r="A83" s="121" t="s">
        <v>18</v>
      </c>
      <c r="B83" s="78" t="s">
        <v>126</v>
      </c>
      <c r="C83" s="78" t="s">
        <v>338</v>
      </c>
      <c r="D83" s="78" t="s">
        <v>338</v>
      </c>
      <c r="E83" s="145"/>
    </row>
    <row r="84" spans="1:6" x14ac:dyDescent="0.25">
      <c r="A84" s="121"/>
      <c r="B84" s="78" t="s">
        <v>182</v>
      </c>
      <c r="C84" s="72" t="s">
        <v>339</v>
      </c>
      <c r="D84" s="72" t="s">
        <v>339</v>
      </c>
      <c r="E84" s="146"/>
    </row>
    <row r="85" spans="1:6" x14ac:dyDescent="0.25">
      <c r="A85" s="121"/>
      <c r="B85" s="143" t="s">
        <v>204</v>
      </c>
      <c r="C85" s="142">
        <v>0.7</v>
      </c>
      <c r="D85" s="142">
        <v>0.74469433962264153</v>
      </c>
      <c r="E85" s="131">
        <f t="shared" ref="E85:E89" si="6">SUM(C85:D85)</f>
        <v>1.4446943396226415</v>
      </c>
    </row>
    <row r="86" spans="1:6" x14ac:dyDescent="0.25">
      <c r="A86" s="121"/>
      <c r="B86" s="78" t="s">
        <v>300</v>
      </c>
      <c r="C86" s="72">
        <v>2300</v>
      </c>
      <c r="D86" s="72">
        <v>2650</v>
      </c>
      <c r="E86" s="132">
        <f t="shared" si="6"/>
        <v>4950</v>
      </c>
    </row>
    <row r="87" spans="1:6" s="119" customFormat="1" x14ac:dyDescent="0.25">
      <c r="A87" s="121"/>
      <c r="B87" s="131" t="s">
        <v>277</v>
      </c>
      <c r="C87" s="122">
        <v>1610</v>
      </c>
      <c r="D87" s="122">
        <v>1973.44</v>
      </c>
      <c r="E87" s="131">
        <f t="shared" si="6"/>
        <v>3583.44</v>
      </c>
      <c r="F87" s="147"/>
    </row>
    <row r="88" spans="1:6" s="119" customFormat="1" x14ac:dyDescent="0.25">
      <c r="A88" s="121"/>
      <c r="B88" s="131" t="s">
        <v>301</v>
      </c>
      <c r="C88" s="122">
        <v>986</v>
      </c>
      <c r="D88" s="122">
        <v>986</v>
      </c>
      <c r="E88" s="131">
        <f t="shared" si="6"/>
        <v>1972</v>
      </c>
      <c r="F88" s="147"/>
    </row>
    <row r="89" spans="1:6" x14ac:dyDescent="0.25">
      <c r="A89" s="121"/>
      <c r="B89" s="78" t="s">
        <v>303</v>
      </c>
      <c r="C89" s="122">
        <f t="shared" ref="C89:D89" si="7">C87-C88</f>
        <v>624</v>
      </c>
      <c r="D89" s="131">
        <f t="shared" si="7"/>
        <v>987.44</v>
      </c>
      <c r="E89" s="131">
        <f t="shared" si="6"/>
        <v>1611.44</v>
      </c>
    </row>
    <row r="107" spans="1:5" ht="17.25" x14ac:dyDescent="0.3">
      <c r="A107" s="136" t="s">
        <v>350</v>
      </c>
      <c r="B107" s="136"/>
      <c r="C107" s="136"/>
      <c r="D107" s="136"/>
      <c r="E107" s="68"/>
    </row>
    <row r="108" spans="1:5" x14ac:dyDescent="0.25">
      <c r="A108" s="143" t="s">
        <v>11</v>
      </c>
      <c r="B108" s="126" t="s">
        <v>186</v>
      </c>
      <c r="C108" s="123">
        <v>45383</v>
      </c>
      <c r="D108" s="123">
        <v>45384</v>
      </c>
      <c r="E108" s="144" t="s">
        <v>187</v>
      </c>
    </row>
    <row r="109" spans="1:5" x14ac:dyDescent="0.25">
      <c r="A109" s="121" t="s">
        <v>18</v>
      </c>
      <c r="B109" s="78" t="s">
        <v>126</v>
      </c>
      <c r="C109" s="78" t="s">
        <v>287</v>
      </c>
      <c r="D109" s="78" t="s">
        <v>342</v>
      </c>
      <c r="E109" s="145"/>
    </row>
    <row r="110" spans="1:5" x14ac:dyDescent="0.25">
      <c r="A110" s="121"/>
      <c r="B110" s="78" t="s">
        <v>182</v>
      </c>
      <c r="C110" s="72" t="s">
        <v>296</v>
      </c>
      <c r="D110" s="72" t="s">
        <v>343</v>
      </c>
      <c r="E110" s="146"/>
    </row>
    <row r="111" spans="1:5" x14ac:dyDescent="0.25">
      <c r="A111" s="121"/>
      <c r="B111" s="143" t="s">
        <v>204</v>
      </c>
      <c r="C111" s="142">
        <v>0.70000000000000007</v>
      </c>
      <c r="D111" s="142">
        <v>0.70065546218487396</v>
      </c>
      <c r="E111" s="131">
        <f t="shared" ref="E111:E115" si="8">SUM(C111:D111)</f>
        <v>1.4006554621848739</v>
      </c>
    </row>
    <row r="112" spans="1:5" x14ac:dyDescent="0.25">
      <c r="A112" s="121"/>
      <c r="B112" s="78" t="s">
        <v>300</v>
      </c>
      <c r="C112" s="72">
        <v>1721</v>
      </c>
      <c r="D112" s="72">
        <v>1785</v>
      </c>
      <c r="E112" s="132">
        <f t="shared" si="8"/>
        <v>3506</v>
      </c>
    </row>
    <row r="113" spans="1:6" s="119" customFormat="1" x14ac:dyDescent="0.25">
      <c r="A113" s="121"/>
      <c r="B113" s="131" t="s">
        <v>277</v>
      </c>
      <c r="C113" s="122">
        <v>1204.7</v>
      </c>
      <c r="D113" s="122">
        <v>1250.67</v>
      </c>
      <c r="E113" s="131">
        <f t="shared" si="8"/>
        <v>2455.37</v>
      </c>
      <c r="F113" s="147"/>
    </row>
    <row r="114" spans="1:6" s="119" customFormat="1" x14ac:dyDescent="0.25">
      <c r="A114" s="121"/>
      <c r="B114" s="131" t="s">
        <v>301</v>
      </c>
      <c r="C114" s="122">
        <v>986</v>
      </c>
      <c r="D114" s="122">
        <v>986</v>
      </c>
      <c r="E114" s="131">
        <f t="shared" si="8"/>
        <v>1972</v>
      </c>
      <c r="F114" s="147"/>
    </row>
    <row r="115" spans="1:6" x14ac:dyDescent="0.25">
      <c r="A115" s="121"/>
      <c r="B115" s="78" t="s">
        <v>303</v>
      </c>
      <c r="C115" s="122">
        <f t="shared" ref="C115:D115" si="9">C113-C114</f>
        <v>218.70000000000005</v>
      </c>
      <c r="D115" s="131">
        <f t="shared" si="9"/>
        <v>264.67000000000007</v>
      </c>
      <c r="E115" s="131">
        <f t="shared" si="8"/>
        <v>483.37000000000012</v>
      </c>
    </row>
    <row r="133" spans="1:6" ht="17.25" x14ac:dyDescent="0.3">
      <c r="A133" s="136" t="s">
        <v>351</v>
      </c>
      <c r="B133" s="136"/>
      <c r="C133" s="136"/>
      <c r="D133" s="136"/>
      <c r="E133" s="68"/>
    </row>
    <row r="134" spans="1:6" x14ac:dyDescent="0.25">
      <c r="A134" s="143" t="s">
        <v>11</v>
      </c>
      <c r="B134" s="126" t="s">
        <v>186</v>
      </c>
      <c r="C134" s="123">
        <v>45383</v>
      </c>
      <c r="D134" s="123">
        <v>45384</v>
      </c>
      <c r="E134" s="144" t="s">
        <v>187</v>
      </c>
    </row>
    <row r="135" spans="1:6" x14ac:dyDescent="0.25">
      <c r="A135" s="121" t="s">
        <v>18</v>
      </c>
      <c r="B135" s="78" t="s">
        <v>126</v>
      </c>
      <c r="C135" s="78" t="s">
        <v>338</v>
      </c>
      <c r="D135" s="78" t="s">
        <v>287</v>
      </c>
      <c r="E135" s="145"/>
    </row>
    <row r="136" spans="1:6" x14ac:dyDescent="0.25">
      <c r="A136" s="121"/>
      <c r="B136" s="78" t="s">
        <v>182</v>
      </c>
      <c r="C136" s="72" t="s">
        <v>339</v>
      </c>
      <c r="D136" s="72" t="s">
        <v>296</v>
      </c>
      <c r="E136" s="146"/>
    </row>
    <row r="137" spans="1:6" x14ac:dyDescent="0.25">
      <c r="A137" s="121"/>
      <c r="B137" s="143" t="s">
        <v>204</v>
      </c>
      <c r="C137" s="142">
        <v>0.70000000000000007</v>
      </c>
      <c r="D137" s="142">
        <v>0.70000000000000007</v>
      </c>
      <c r="E137" s="131">
        <f t="shared" ref="E137:E141" si="10">SUM(C137:D137)</f>
        <v>1.4000000000000001</v>
      </c>
    </row>
    <row r="138" spans="1:6" x14ac:dyDescent="0.25">
      <c r="A138" s="121"/>
      <c r="B138" s="78" t="s">
        <v>300</v>
      </c>
      <c r="C138" s="72">
        <v>1596</v>
      </c>
      <c r="D138" s="72">
        <v>1676</v>
      </c>
      <c r="E138" s="132">
        <f t="shared" si="10"/>
        <v>3272</v>
      </c>
    </row>
    <row r="139" spans="1:6" s="119" customFormat="1" x14ac:dyDescent="0.25">
      <c r="A139" s="121"/>
      <c r="B139" s="131" t="s">
        <v>277</v>
      </c>
      <c r="C139" s="122">
        <v>1117.2</v>
      </c>
      <c r="D139" s="122">
        <v>1173.2</v>
      </c>
      <c r="E139" s="131">
        <f t="shared" si="10"/>
        <v>2290.4</v>
      </c>
      <c r="F139" s="147"/>
    </row>
    <row r="140" spans="1:6" s="119" customFormat="1" x14ac:dyDescent="0.25">
      <c r="A140" s="121"/>
      <c r="B140" s="131" t="s">
        <v>301</v>
      </c>
      <c r="C140" s="122">
        <v>986.00000000000011</v>
      </c>
      <c r="D140" s="122">
        <v>986</v>
      </c>
      <c r="E140" s="131">
        <f t="shared" si="10"/>
        <v>1972</v>
      </c>
      <c r="F140" s="147"/>
    </row>
    <row r="141" spans="1:6" x14ac:dyDescent="0.25">
      <c r="A141" s="121"/>
      <c r="B141" s="78" t="s">
        <v>303</v>
      </c>
      <c r="C141" s="122">
        <f t="shared" ref="C141:D141" si="11">C139-C140</f>
        <v>131.19999999999993</v>
      </c>
      <c r="D141" s="131">
        <f t="shared" si="11"/>
        <v>187.20000000000005</v>
      </c>
      <c r="E141" s="131">
        <f t="shared" si="10"/>
        <v>318.39999999999998</v>
      </c>
    </row>
    <row r="159" spans="1:5" ht="17.25" x14ac:dyDescent="0.3">
      <c r="A159" s="136" t="s">
        <v>352</v>
      </c>
      <c r="B159" s="136"/>
      <c r="C159" s="136"/>
      <c r="D159" s="136"/>
      <c r="E159" s="68"/>
    </row>
    <row r="160" spans="1:5" x14ac:dyDescent="0.25">
      <c r="A160" s="143" t="s">
        <v>11</v>
      </c>
      <c r="B160" s="126" t="s">
        <v>186</v>
      </c>
      <c r="C160" s="123">
        <v>45383</v>
      </c>
      <c r="D160" s="123">
        <v>45384</v>
      </c>
      <c r="E160" s="144" t="s">
        <v>187</v>
      </c>
    </row>
    <row r="161" spans="1:6" x14ac:dyDescent="0.25">
      <c r="A161" s="121" t="s">
        <v>18</v>
      </c>
      <c r="B161" s="78" t="s">
        <v>126</v>
      </c>
      <c r="C161" s="78" t="s">
        <v>353</v>
      </c>
      <c r="D161" s="78" t="s">
        <v>353</v>
      </c>
      <c r="E161" s="145"/>
    </row>
    <row r="162" spans="1:6" x14ac:dyDescent="0.25">
      <c r="A162" s="121"/>
      <c r="B162" s="78" t="s">
        <v>182</v>
      </c>
      <c r="C162" s="72" t="s">
        <v>354</v>
      </c>
      <c r="D162" s="72" t="s">
        <v>354</v>
      </c>
      <c r="E162" s="146"/>
    </row>
    <row r="163" spans="1:6" x14ac:dyDescent="0.25">
      <c r="A163" s="121"/>
      <c r="B163" s="143" t="s">
        <v>204</v>
      </c>
      <c r="C163" s="142">
        <v>0.95358333333333334</v>
      </c>
      <c r="D163" s="142">
        <v>0.93379310344827593</v>
      </c>
      <c r="E163" s="131">
        <f t="shared" ref="E163:E167" si="12">SUM(C163:D163)</f>
        <v>1.8873764367816093</v>
      </c>
    </row>
    <row r="164" spans="1:6" x14ac:dyDescent="0.25">
      <c r="A164" s="121"/>
      <c r="B164" s="78" t="s">
        <v>300</v>
      </c>
      <c r="C164" s="72">
        <v>600</v>
      </c>
      <c r="D164" s="72">
        <v>1218</v>
      </c>
      <c r="E164" s="132">
        <f t="shared" si="12"/>
        <v>1818</v>
      </c>
    </row>
    <row r="165" spans="1:6" s="119" customFormat="1" x14ac:dyDescent="0.25">
      <c r="A165" s="121"/>
      <c r="B165" s="131" t="s">
        <v>277</v>
      </c>
      <c r="C165" s="122">
        <v>572.15</v>
      </c>
      <c r="D165" s="122">
        <v>1137.3600000000001</v>
      </c>
      <c r="E165" s="131">
        <f t="shared" si="12"/>
        <v>1709.5100000000002</v>
      </c>
      <c r="F165" s="147"/>
    </row>
    <row r="166" spans="1:6" s="119" customFormat="1" x14ac:dyDescent="0.25">
      <c r="A166" s="121"/>
      <c r="B166" s="131" t="s">
        <v>301</v>
      </c>
      <c r="C166" s="122">
        <v>739.5</v>
      </c>
      <c r="D166" s="122">
        <v>739.5</v>
      </c>
      <c r="E166" s="131">
        <f t="shared" si="12"/>
        <v>1479</v>
      </c>
      <c r="F166" s="147"/>
    </row>
    <row r="167" spans="1:6" x14ac:dyDescent="0.25">
      <c r="A167" s="121"/>
      <c r="B167" s="78" t="s">
        <v>303</v>
      </c>
      <c r="C167" s="122">
        <f t="shared" ref="C167:D167" si="13">C165-C166</f>
        <v>-167.35000000000002</v>
      </c>
      <c r="D167" s="131">
        <f t="shared" si="13"/>
        <v>397.86000000000013</v>
      </c>
      <c r="E167" s="131">
        <f t="shared" si="12"/>
        <v>230.5100000000001</v>
      </c>
    </row>
    <row r="185" spans="1:6" ht="17.25" x14ac:dyDescent="0.3">
      <c r="A185" s="136" t="s">
        <v>355</v>
      </c>
      <c r="B185" s="136"/>
      <c r="C185" s="136"/>
      <c r="D185" s="136"/>
      <c r="E185" s="68"/>
    </row>
    <row r="186" spans="1:6" x14ac:dyDescent="0.25">
      <c r="A186" s="143" t="s">
        <v>11</v>
      </c>
      <c r="B186" s="126" t="s">
        <v>186</v>
      </c>
      <c r="C186" s="123">
        <v>45383</v>
      </c>
      <c r="D186" s="123">
        <v>45384</v>
      </c>
      <c r="E186" s="144" t="s">
        <v>187</v>
      </c>
    </row>
    <row r="187" spans="1:6" x14ac:dyDescent="0.25">
      <c r="A187" s="121" t="s">
        <v>18</v>
      </c>
      <c r="B187" s="78" t="s">
        <v>126</v>
      </c>
      <c r="C187" s="78" t="s">
        <v>356</v>
      </c>
      <c r="D187" s="78" t="s">
        <v>356</v>
      </c>
      <c r="E187" s="145"/>
    </row>
    <row r="188" spans="1:6" x14ac:dyDescent="0.25">
      <c r="A188" s="121"/>
      <c r="B188" s="78" t="s">
        <v>182</v>
      </c>
      <c r="C188" s="72" t="s">
        <v>357</v>
      </c>
      <c r="D188" s="72" t="s">
        <v>357</v>
      </c>
      <c r="E188" s="146"/>
    </row>
    <row r="189" spans="1:6" x14ac:dyDescent="0.25">
      <c r="A189" s="121"/>
      <c r="B189" s="143" t="s">
        <v>204</v>
      </c>
      <c r="C189" s="142">
        <v>12.47</v>
      </c>
      <c r="D189" s="142">
        <v>12.47</v>
      </c>
      <c r="E189" s="131">
        <f t="shared" ref="E189:E193" si="14">SUM(C189:D189)</f>
        <v>24.94</v>
      </c>
    </row>
    <row r="190" spans="1:6" x14ac:dyDescent="0.25">
      <c r="A190" s="121"/>
      <c r="B190" s="78" t="s">
        <v>300</v>
      </c>
      <c r="C190" s="72">
        <v>67</v>
      </c>
      <c r="D190" s="72">
        <v>63</v>
      </c>
      <c r="E190" s="132">
        <f t="shared" si="14"/>
        <v>130</v>
      </c>
    </row>
    <row r="191" spans="1:6" s="119" customFormat="1" x14ac:dyDescent="0.25">
      <c r="A191" s="121"/>
      <c r="B191" s="131" t="s">
        <v>277</v>
      </c>
      <c r="C191" s="122">
        <v>835.49</v>
      </c>
      <c r="D191" s="122">
        <v>785.61</v>
      </c>
      <c r="E191" s="131">
        <f t="shared" si="14"/>
        <v>1621.1</v>
      </c>
      <c r="F191" s="147"/>
    </row>
    <row r="192" spans="1:6" s="119" customFormat="1" x14ac:dyDescent="0.25">
      <c r="A192" s="121"/>
      <c r="B192" s="131" t="s">
        <v>301</v>
      </c>
      <c r="C192" s="122">
        <v>739.5</v>
      </c>
      <c r="D192" s="122">
        <v>739.49999999999989</v>
      </c>
      <c r="E192" s="131">
        <f t="shared" si="14"/>
        <v>1479</v>
      </c>
      <c r="F192" s="147"/>
    </row>
    <row r="193" spans="1:5" x14ac:dyDescent="0.25">
      <c r="A193" s="121"/>
      <c r="B193" s="78" t="s">
        <v>303</v>
      </c>
      <c r="C193" s="122">
        <f t="shared" ref="C193:D193" si="15">C191-C192</f>
        <v>95.990000000000009</v>
      </c>
      <c r="D193" s="131">
        <f t="shared" si="15"/>
        <v>46.110000000000127</v>
      </c>
      <c r="E193" s="131">
        <f t="shared" si="14"/>
        <v>142.10000000000014</v>
      </c>
    </row>
    <row r="211" spans="1:6" ht="17.25" x14ac:dyDescent="0.3">
      <c r="A211" s="136" t="s">
        <v>358</v>
      </c>
      <c r="B211" s="136"/>
      <c r="C211" s="136"/>
      <c r="D211" s="136"/>
      <c r="E211" s="68"/>
    </row>
    <row r="212" spans="1:6" x14ac:dyDescent="0.25">
      <c r="A212" s="143" t="s">
        <v>11</v>
      </c>
      <c r="B212" s="126" t="s">
        <v>186</v>
      </c>
      <c r="C212" s="123">
        <v>45383</v>
      </c>
      <c r="D212" s="123">
        <v>45384</v>
      </c>
      <c r="E212" s="144" t="s">
        <v>187</v>
      </c>
    </row>
    <row r="213" spans="1:6" x14ac:dyDescent="0.25">
      <c r="A213" s="121" t="s">
        <v>18</v>
      </c>
      <c r="B213" s="78" t="s">
        <v>126</v>
      </c>
      <c r="C213" s="78" t="s">
        <v>356</v>
      </c>
      <c r="D213" s="78" t="s">
        <v>356</v>
      </c>
      <c r="E213" s="145"/>
    </row>
    <row r="214" spans="1:6" x14ac:dyDescent="0.25">
      <c r="A214" s="121"/>
      <c r="B214" s="78" t="s">
        <v>182</v>
      </c>
      <c r="C214" s="72" t="s">
        <v>357</v>
      </c>
      <c r="D214" s="72" t="s">
        <v>357</v>
      </c>
      <c r="E214" s="146"/>
    </row>
    <row r="215" spans="1:6" x14ac:dyDescent="0.25">
      <c r="A215" s="121"/>
      <c r="B215" s="143" t="s">
        <v>204</v>
      </c>
      <c r="C215" s="142">
        <v>12.47</v>
      </c>
      <c r="D215" s="142">
        <v>12.47</v>
      </c>
      <c r="E215" s="131">
        <f t="shared" ref="E215:E219" si="16">SUM(C215:D215)</f>
        <v>24.94</v>
      </c>
    </row>
    <row r="216" spans="1:6" x14ac:dyDescent="0.25">
      <c r="A216" s="121"/>
      <c r="B216" s="78" t="s">
        <v>300</v>
      </c>
      <c r="C216" s="72">
        <v>68</v>
      </c>
      <c r="D216" s="72">
        <v>62</v>
      </c>
      <c r="E216" s="132">
        <f t="shared" si="16"/>
        <v>130</v>
      </c>
    </row>
    <row r="217" spans="1:6" s="119" customFormat="1" x14ac:dyDescent="0.25">
      <c r="A217" s="121"/>
      <c r="B217" s="131" t="s">
        <v>277</v>
      </c>
      <c r="C217" s="122">
        <v>847.96</v>
      </c>
      <c r="D217" s="122">
        <v>773.14</v>
      </c>
      <c r="E217" s="131">
        <f t="shared" si="16"/>
        <v>1621.1</v>
      </c>
      <c r="F217" s="147"/>
    </row>
    <row r="218" spans="1:6" s="119" customFormat="1" x14ac:dyDescent="0.25">
      <c r="A218" s="121"/>
      <c r="B218" s="131" t="s">
        <v>301</v>
      </c>
      <c r="C218" s="122">
        <v>1479</v>
      </c>
      <c r="D218" s="122">
        <v>1479</v>
      </c>
      <c r="E218" s="131">
        <f t="shared" si="16"/>
        <v>2958</v>
      </c>
      <c r="F218" s="147"/>
    </row>
    <row r="219" spans="1:6" x14ac:dyDescent="0.25">
      <c r="A219" s="121"/>
      <c r="B219" s="78" t="s">
        <v>303</v>
      </c>
      <c r="C219" s="122">
        <f t="shared" ref="C219:D219" si="17">C217-C218</f>
        <v>-631.04</v>
      </c>
      <c r="D219" s="131">
        <f t="shared" si="17"/>
        <v>-705.86</v>
      </c>
      <c r="E219" s="131">
        <f t="shared" si="16"/>
        <v>-1336.9</v>
      </c>
    </row>
  </sheetData>
  <mergeCells count="25">
    <mergeCell ref="A185:D185"/>
    <mergeCell ref="E186:E188"/>
    <mergeCell ref="A187:A193"/>
    <mergeCell ref="A211:D211"/>
    <mergeCell ref="E212:E214"/>
    <mergeCell ref="A213:A219"/>
    <mergeCell ref="A133:D133"/>
    <mergeCell ref="E134:E136"/>
    <mergeCell ref="A135:A141"/>
    <mergeCell ref="A159:D159"/>
    <mergeCell ref="E160:E162"/>
    <mergeCell ref="A161:A167"/>
    <mergeCell ref="A81:D81"/>
    <mergeCell ref="E82:E84"/>
    <mergeCell ref="A83:A89"/>
    <mergeCell ref="A107:D107"/>
    <mergeCell ref="E108:E110"/>
    <mergeCell ref="A109:A115"/>
    <mergeCell ref="A3:A7"/>
    <mergeCell ref="A29:D29"/>
    <mergeCell ref="E30:E32"/>
    <mergeCell ref="A31:A37"/>
    <mergeCell ref="A55:D55"/>
    <mergeCell ref="E56:E58"/>
    <mergeCell ref="A57:A6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F1A6-15DD-4021-8691-8F8A3142D8DB}">
  <sheetPr codeName="Sheet60"/>
  <dimension ref="A1:F349"/>
  <sheetViews>
    <sheetView zoomScale="75" zoomScaleNormal="75" workbookViewId="0">
      <selection activeCell="E2" sqref="E2:F2 E4:F4 E5:F5 E6:F6"/>
    </sheetView>
  </sheetViews>
  <sheetFormatPr defaultRowHeight="15" x14ac:dyDescent="0.25"/>
  <cols>
    <col min="1" max="1" width="8" bestFit="1" customWidth="1"/>
    <col min="2" max="2" width="14.42578125" bestFit="1" customWidth="1"/>
    <col min="3" max="4" width="12.7109375" bestFit="1" customWidth="1"/>
    <col min="5" max="5" width="9.28515625" bestFit="1" customWidth="1"/>
    <col min="6" max="6" width="32.7109375" style="68" bestFit="1" customWidth="1"/>
    <col min="7" max="7" width="28.85546875" bestFit="1" customWidth="1"/>
  </cols>
  <sheetData>
    <row r="1" spans="1:6" x14ac:dyDescent="0.25">
      <c r="C1" s="125" t="str">
        <f>TEXT(C2,"[$-421]mmmm")</f>
        <v>April</v>
      </c>
    </row>
    <row r="2" spans="1:6" s="118" customFormat="1" x14ac:dyDescent="0.25">
      <c r="A2" s="120" t="s">
        <v>11</v>
      </c>
      <c r="B2" s="120" t="s">
        <v>203</v>
      </c>
      <c r="C2" s="123">
        <v>45383</v>
      </c>
      <c r="D2" s="123">
        <v>45384</v>
      </c>
      <c r="E2" s="128" t="s">
        <v>187</v>
      </c>
      <c r="F2" s="129"/>
    </row>
    <row r="3" spans="1:6" x14ac:dyDescent="0.25">
      <c r="A3" s="121" t="s">
        <v>19</v>
      </c>
      <c r="B3" s="72" t="s">
        <v>204</v>
      </c>
      <c r="C3" s="124">
        <f>IFERROR(C5/C4,0)</f>
        <v>0.76444084766815956</v>
      </c>
      <c r="D3" s="124">
        <f>IFERROR(D5/D4,0)</f>
        <v>0.76709932741258191</v>
      </c>
      <c r="E3" s="122">
        <f t="shared" ref="E3:E7" si="0">SUM(C3:D3)</f>
        <v>1.5315401750807416</v>
      </c>
    </row>
    <row r="4" spans="1:6" x14ac:dyDescent="0.25">
      <c r="A4" s="121"/>
      <c r="B4" s="72" t="s">
        <v>275</v>
      </c>
      <c r="C4" s="72">
        <v>26567</v>
      </c>
      <c r="D4" s="72">
        <v>26911</v>
      </c>
      <c r="E4" s="74">
        <f t="shared" si="0"/>
        <v>53478</v>
      </c>
      <c r="F4" s="130"/>
    </row>
    <row r="5" spans="1:6" x14ac:dyDescent="0.25">
      <c r="A5" s="121"/>
      <c r="B5" s="72" t="s">
        <v>277</v>
      </c>
      <c r="C5" s="124">
        <v>20308.899999999994</v>
      </c>
      <c r="D5" s="124">
        <v>20643.409999999993</v>
      </c>
      <c r="E5" s="122">
        <f t="shared" si="0"/>
        <v>40952.309999999983</v>
      </c>
    </row>
    <row r="6" spans="1:6" x14ac:dyDescent="0.25">
      <c r="A6" s="121"/>
      <c r="B6" s="72" t="s">
        <v>276</v>
      </c>
      <c r="C6" s="124">
        <v>14222</v>
      </c>
      <c r="D6" s="124">
        <v>14221.999999999996</v>
      </c>
      <c r="E6" s="122">
        <f t="shared" si="0"/>
        <v>28443.999999999996</v>
      </c>
    </row>
    <row r="7" spans="1:6" x14ac:dyDescent="0.25">
      <c r="A7" s="121"/>
      <c r="B7" s="72" t="s">
        <v>278</v>
      </c>
      <c r="C7" s="122">
        <f t="shared" ref="C7:D7" si="1">C5-C6</f>
        <v>6086.8999999999942</v>
      </c>
      <c r="D7" s="122">
        <f t="shared" si="1"/>
        <v>6421.4099999999962</v>
      </c>
      <c r="E7" s="122">
        <f t="shared" si="0"/>
        <v>12508.30999999999</v>
      </c>
    </row>
    <row r="29" spans="1:5" ht="17.25" x14ac:dyDescent="0.3">
      <c r="A29" s="136" t="s">
        <v>359</v>
      </c>
      <c r="B29" s="136"/>
      <c r="C29" s="136"/>
      <c r="D29" s="136"/>
      <c r="E29" s="68"/>
    </row>
    <row r="30" spans="1:5" x14ac:dyDescent="0.25">
      <c r="A30" s="143" t="s">
        <v>11</v>
      </c>
      <c r="B30" s="126" t="s">
        <v>186</v>
      </c>
      <c r="C30" s="123">
        <v>45383</v>
      </c>
      <c r="D30" s="123">
        <v>45384</v>
      </c>
      <c r="E30" s="144" t="s">
        <v>187</v>
      </c>
    </row>
    <row r="31" spans="1:5" x14ac:dyDescent="0.25">
      <c r="A31" s="121" t="s">
        <v>19</v>
      </c>
      <c r="B31" s="78" t="s">
        <v>126</v>
      </c>
      <c r="C31" s="78" t="s">
        <v>338</v>
      </c>
      <c r="D31" s="78" t="s">
        <v>287</v>
      </c>
      <c r="E31" s="145"/>
    </row>
    <row r="32" spans="1:5" x14ac:dyDescent="0.25">
      <c r="A32" s="121"/>
      <c r="B32" s="78" t="s">
        <v>182</v>
      </c>
      <c r="C32" s="72" t="s">
        <v>339</v>
      </c>
      <c r="D32" s="72" t="s">
        <v>296</v>
      </c>
      <c r="E32" s="146"/>
    </row>
    <row r="33" spans="1:6" x14ac:dyDescent="0.25">
      <c r="A33" s="121"/>
      <c r="B33" s="143" t="s">
        <v>204</v>
      </c>
      <c r="C33" s="142">
        <v>0.73963888888888885</v>
      </c>
      <c r="D33" s="142">
        <v>0.74</v>
      </c>
      <c r="E33" s="131">
        <f t="shared" ref="E33:E37" si="2">SUM(C33:D33)</f>
        <v>1.4796388888888887</v>
      </c>
    </row>
    <row r="34" spans="1:6" x14ac:dyDescent="0.25">
      <c r="A34" s="121"/>
      <c r="B34" s="78" t="s">
        <v>300</v>
      </c>
      <c r="C34" s="72">
        <v>3240</v>
      </c>
      <c r="D34" s="72">
        <v>3261</v>
      </c>
      <c r="E34" s="132">
        <f t="shared" si="2"/>
        <v>6501</v>
      </c>
    </row>
    <row r="35" spans="1:6" s="119" customFormat="1" x14ac:dyDescent="0.25">
      <c r="A35" s="121"/>
      <c r="B35" s="131" t="s">
        <v>277</v>
      </c>
      <c r="C35" s="122">
        <v>2396.4299999999998</v>
      </c>
      <c r="D35" s="122">
        <v>2413.14</v>
      </c>
      <c r="E35" s="131">
        <f t="shared" si="2"/>
        <v>4809.57</v>
      </c>
      <c r="F35" s="147"/>
    </row>
    <row r="36" spans="1:6" s="119" customFormat="1" x14ac:dyDescent="0.25">
      <c r="A36" s="121"/>
      <c r="B36" s="131" t="s">
        <v>301</v>
      </c>
      <c r="C36" s="122">
        <v>1094</v>
      </c>
      <c r="D36" s="122">
        <v>1094</v>
      </c>
      <c r="E36" s="131">
        <f t="shared" si="2"/>
        <v>2188</v>
      </c>
      <c r="F36" s="147"/>
    </row>
    <row r="37" spans="1:6" x14ac:dyDescent="0.25">
      <c r="A37" s="121"/>
      <c r="B37" s="78" t="s">
        <v>303</v>
      </c>
      <c r="C37" s="122">
        <f t="shared" ref="C37:D37" si="3">C35-C36</f>
        <v>1302.4299999999998</v>
      </c>
      <c r="D37" s="131">
        <f t="shared" si="3"/>
        <v>1319.1399999999999</v>
      </c>
      <c r="E37" s="131">
        <f t="shared" si="2"/>
        <v>2621.5699999999997</v>
      </c>
    </row>
    <row r="55" spans="1:6" ht="17.25" x14ac:dyDescent="0.3">
      <c r="A55" s="136" t="s">
        <v>360</v>
      </c>
      <c r="B55" s="136"/>
      <c r="C55" s="136"/>
      <c r="D55" s="136"/>
      <c r="E55" s="68"/>
    </row>
    <row r="56" spans="1:6" x14ac:dyDescent="0.25">
      <c r="A56" s="143" t="s">
        <v>11</v>
      </c>
      <c r="B56" s="126" t="s">
        <v>186</v>
      </c>
      <c r="C56" s="123">
        <v>45383</v>
      </c>
      <c r="D56" s="123">
        <v>45384</v>
      </c>
      <c r="E56" s="144" t="s">
        <v>187</v>
      </c>
    </row>
    <row r="57" spans="1:6" x14ac:dyDescent="0.25">
      <c r="A57" s="121" t="s">
        <v>19</v>
      </c>
      <c r="B57" s="78" t="s">
        <v>126</v>
      </c>
      <c r="C57" s="78" t="s">
        <v>342</v>
      </c>
      <c r="D57" s="78" t="s">
        <v>338</v>
      </c>
      <c r="E57" s="145"/>
    </row>
    <row r="58" spans="1:6" x14ac:dyDescent="0.25">
      <c r="A58" s="121"/>
      <c r="B58" s="78" t="s">
        <v>182</v>
      </c>
      <c r="C58" s="72" t="s">
        <v>343</v>
      </c>
      <c r="D58" s="72" t="s">
        <v>339</v>
      </c>
      <c r="E58" s="146"/>
    </row>
    <row r="59" spans="1:6" x14ac:dyDescent="0.25">
      <c r="A59" s="121"/>
      <c r="B59" s="143" t="s">
        <v>204</v>
      </c>
      <c r="C59" s="142">
        <v>0.78860555196901228</v>
      </c>
      <c r="D59" s="142">
        <v>0.79359402985074623</v>
      </c>
      <c r="E59" s="131">
        <f t="shared" ref="E59:E63" si="4">SUM(C59:D59)</f>
        <v>1.5821995818197585</v>
      </c>
    </row>
    <row r="60" spans="1:6" x14ac:dyDescent="0.25">
      <c r="A60" s="121"/>
      <c r="B60" s="78" t="s">
        <v>300</v>
      </c>
      <c r="C60" s="72">
        <v>1549</v>
      </c>
      <c r="D60" s="72">
        <v>1675</v>
      </c>
      <c r="E60" s="132">
        <f t="shared" si="4"/>
        <v>3224</v>
      </c>
    </row>
    <row r="61" spans="1:6" s="119" customFormat="1" x14ac:dyDescent="0.25">
      <c r="A61" s="121"/>
      <c r="B61" s="131" t="s">
        <v>277</v>
      </c>
      <c r="C61" s="122">
        <v>1221.55</v>
      </c>
      <c r="D61" s="122">
        <v>1329.27</v>
      </c>
      <c r="E61" s="131">
        <f t="shared" si="4"/>
        <v>2550.8199999999997</v>
      </c>
      <c r="F61" s="147"/>
    </row>
    <row r="62" spans="1:6" s="119" customFormat="1" x14ac:dyDescent="0.25">
      <c r="A62" s="121"/>
      <c r="B62" s="131" t="s">
        <v>301</v>
      </c>
      <c r="C62" s="122">
        <v>1093.9999999999998</v>
      </c>
      <c r="D62" s="122">
        <v>1094</v>
      </c>
      <c r="E62" s="131">
        <f t="shared" si="4"/>
        <v>2188</v>
      </c>
      <c r="F62" s="147"/>
    </row>
    <row r="63" spans="1:6" x14ac:dyDescent="0.25">
      <c r="A63" s="121"/>
      <c r="B63" s="78" t="s">
        <v>303</v>
      </c>
      <c r="C63" s="122">
        <f t="shared" ref="C63:D63" si="5">C61-C62</f>
        <v>127.55000000000018</v>
      </c>
      <c r="D63" s="131">
        <f t="shared" si="5"/>
        <v>235.26999999999998</v>
      </c>
      <c r="E63" s="131">
        <f t="shared" si="4"/>
        <v>362.82000000000016</v>
      </c>
    </row>
    <row r="81" spans="1:6" ht="17.25" x14ac:dyDescent="0.3">
      <c r="A81" s="136" t="s">
        <v>361</v>
      </c>
      <c r="B81" s="136"/>
      <c r="C81" s="136"/>
      <c r="D81" s="136"/>
      <c r="E81" s="68"/>
    </row>
    <row r="82" spans="1:6" x14ac:dyDescent="0.25">
      <c r="A82" s="143" t="s">
        <v>11</v>
      </c>
      <c r="B82" s="126" t="s">
        <v>186</v>
      </c>
      <c r="C82" s="123">
        <v>45383</v>
      </c>
      <c r="D82" s="123">
        <v>45384</v>
      </c>
      <c r="E82" s="144" t="s">
        <v>187</v>
      </c>
    </row>
    <row r="83" spans="1:6" x14ac:dyDescent="0.25">
      <c r="A83" s="121" t="s">
        <v>19</v>
      </c>
      <c r="B83" s="78" t="s">
        <v>126</v>
      </c>
      <c r="C83" s="78" t="s">
        <v>342</v>
      </c>
      <c r="D83" s="78" t="s">
        <v>338</v>
      </c>
      <c r="E83" s="145"/>
    </row>
    <row r="84" spans="1:6" x14ac:dyDescent="0.25">
      <c r="A84" s="121"/>
      <c r="B84" s="78" t="s">
        <v>182</v>
      </c>
      <c r="C84" s="72" t="s">
        <v>343</v>
      </c>
      <c r="D84" s="72" t="s">
        <v>339</v>
      </c>
      <c r="E84" s="146"/>
    </row>
    <row r="85" spans="1:6" x14ac:dyDescent="0.25">
      <c r="A85" s="121"/>
      <c r="B85" s="143" t="s">
        <v>204</v>
      </c>
      <c r="C85" s="142">
        <v>0.78854838709677422</v>
      </c>
      <c r="D85" s="142">
        <v>0.79351044776119395</v>
      </c>
      <c r="E85" s="131">
        <f t="shared" ref="E85:E89" si="6">SUM(C85:D85)</f>
        <v>1.5820588348579681</v>
      </c>
    </row>
    <row r="86" spans="1:6" x14ac:dyDescent="0.25">
      <c r="A86" s="121"/>
      <c r="B86" s="78" t="s">
        <v>300</v>
      </c>
      <c r="C86" s="72">
        <v>1550</v>
      </c>
      <c r="D86" s="72">
        <v>1675</v>
      </c>
      <c r="E86" s="132">
        <f t="shared" si="6"/>
        <v>3225</v>
      </c>
    </row>
    <row r="87" spans="1:6" s="119" customFormat="1" x14ac:dyDescent="0.25">
      <c r="A87" s="121"/>
      <c r="B87" s="131" t="s">
        <v>277</v>
      </c>
      <c r="C87" s="122">
        <v>1222.25</v>
      </c>
      <c r="D87" s="122">
        <v>1329.1299999999999</v>
      </c>
      <c r="E87" s="131">
        <f t="shared" si="6"/>
        <v>2551.38</v>
      </c>
      <c r="F87" s="147"/>
    </row>
    <row r="88" spans="1:6" s="119" customFormat="1" x14ac:dyDescent="0.25">
      <c r="A88" s="121"/>
      <c r="B88" s="131" t="s">
        <v>301</v>
      </c>
      <c r="C88" s="122">
        <v>1094</v>
      </c>
      <c r="D88" s="122">
        <v>1094</v>
      </c>
      <c r="E88" s="131">
        <f t="shared" si="6"/>
        <v>2188</v>
      </c>
      <c r="F88" s="147"/>
    </row>
    <row r="89" spans="1:6" x14ac:dyDescent="0.25">
      <c r="A89" s="121"/>
      <c r="B89" s="78" t="s">
        <v>303</v>
      </c>
      <c r="C89" s="122">
        <f t="shared" ref="C89:D89" si="7">C87-C88</f>
        <v>128.25</v>
      </c>
      <c r="D89" s="131">
        <f t="shared" si="7"/>
        <v>235.12999999999988</v>
      </c>
      <c r="E89" s="131">
        <f t="shared" si="6"/>
        <v>363.37999999999988</v>
      </c>
    </row>
    <row r="107" spans="1:5" ht="17.25" x14ac:dyDescent="0.3">
      <c r="A107" s="136" t="s">
        <v>362</v>
      </c>
      <c r="B107" s="136"/>
      <c r="C107" s="136"/>
      <c r="D107" s="136"/>
      <c r="E107" s="68"/>
    </row>
    <row r="108" spans="1:5" x14ac:dyDescent="0.25">
      <c r="A108" s="143" t="s">
        <v>11</v>
      </c>
      <c r="B108" s="126" t="s">
        <v>186</v>
      </c>
      <c r="C108" s="123">
        <v>45383</v>
      </c>
      <c r="D108" s="123">
        <v>45384</v>
      </c>
      <c r="E108" s="144" t="s">
        <v>187</v>
      </c>
    </row>
    <row r="109" spans="1:5" x14ac:dyDescent="0.25">
      <c r="A109" s="121" t="s">
        <v>19</v>
      </c>
      <c r="B109" s="78" t="s">
        <v>126</v>
      </c>
      <c r="C109" s="78" t="s">
        <v>287</v>
      </c>
      <c r="D109" s="78" t="s">
        <v>338</v>
      </c>
      <c r="E109" s="145"/>
    </row>
    <row r="110" spans="1:5" x14ac:dyDescent="0.25">
      <c r="A110" s="121"/>
      <c r="B110" s="78" t="s">
        <v>182</v>
      </c>
      <c r="C110" s="72" t="s">
        <v>296</v>
      </c>
      <c r="D110" s="72" t="s">
        <v>339</v>
      </c>
      <c r="E110" s="146"/>
    </row>
    <row r="111" spans="1:5" x14ac:dyDescent="0.25">
      <c r="A111" s="121"/>
      <c r="B111" s="143" t="s">
        <v>204</v>
      </c>
      <c r="C111" s="142">
        <v>0.83</v>
      </c>
      <c r="D111" s="142">
        <v>0.82987999999999995</v>
      </c>
      <c r="E111" s="131">
        <f t="shared" ref="E111:E115" si="8">SUM(C111:D111)</f>
        <v>1.6598799999999998</v>
      </c>
    </row>
    <row r="112" spans="1:5" x14ac:dyDescent="0.25">
      <c r="A112" s="121"/>
      <c r="B112" s="78" t="s">
        <v>300</v>
      </c>
      <c r="C112" s="72">
        <v>2000</v>
      </c>
      <c r="D112" s="72">
        <v>2000</v>
      </c>
      <c r="E112" s="132">
        <f t="shared" si="8"/>
        <v>4000</v>
      </c>
    </row>
    <row r="113" spans="1:6" s="119" customFormat="1" x14ac:dyDescent="0.25">
      <c r="A113" s="121"/>
      <c r="B113" s="131" t="s">
        <v>277</v>
      </c>
      <c r="C113" s="122">
        <v>1660</v>
      </c>
      <c r="D113" s="122">
        <v>1659.76</v>
      </c>
      <c r="E113" s="131">
        <f t="shared" si="8"/>
        <v>3319.76</v>
      </c>
      <c r="F113" s="147"/>
    </row>
    <row r="114" spans="1:6" s="119" customFormat="1" x14ac:dyDescent="0.25">
      <c r="A114" s="121"/>
      <c r="B114" s="131" t="s">
        <v>301</v>
      </c>
      <c r="C114" s="122">
        <v>1094</v>
      </c>
      <c r="D114" s="122">
        <v>1094.0000000000002</v>
      </c>
      <c r="E114" s="131">
        <f t="shared" si="8"/>
        <v>2188</v>
      </c>
      <c r="F114" s="147"/>
    </row>
    <row r="115" spans="1:6" x14ac:dyDescent="0.25">
      <c r="A115" s="121"/>
      <c r="B115" s="78" t="s">
        <v>303</v>
      </c>
      <c r="C115" s="122">
        <f t="shared" ref="C115:D115" si="9">C113-C114</f>
        <v>566</v>
      </c>
      <c r="D115" s="131">
        <f t="shared" si="9"/>
        <v>565.75999999999976</v>
      </c>
      <c r="E115" s="131">
        <f t="shared" si="8"/>
        <v>1131.7599999999998</v>
      </c>
    </row>
    <row r="133" spans="1:6" ht="17.25" x14ac:dyDescent="0.3">
      <c r="A133" s="136" t="s">
        <v>363</v>
      </c>
      <c r="B133" s="136"/>
      <c r="C133" s="136"/>
      <c r="D133" s="136"/>
      <c r="E133" s="68"/>
    </row>
    <row r="134" spans="1:6" x14ac:dyDescent="0.25">
      <c r="A134" s="143" t="s">
        <v>11</v>
      </c>
      <c r="B134" s="126" t="s">
        <v>186</v>
      </c>
      <c r="C134" s="123">
        <v>45383</v>
      </c>
      <c r="D134" s="123">
        <v>45384</v>
      </c>
      <c r="E134" s="144" t="s">
        <v>187</v>
      </c>
    </row>
    <row r="135" spans="1:6" x14ac:dyDescent="0.25">
      <c r="A135" s="121" t="s">
        <v>19</v>
      </c>
      <c r="B135" s="78" t="s">
        <v>126</v>
      </c>
      <c r="C135" s="78" t="s">
        <v>287</v>
      </c>
      <c r="D135" s="78" t="s">
        <v>338</v>
      </c>
      <c r="E135" s="145"/>
    </row>
    <row r="136" spans="1:6" x14ac:dyDescent="0.25">
      <c r="A136" s="121"/>
      <c r="B136" s="78" t="s">
        <v>182</v>
      </c>
      <c r="C136" s="72" t="s">
        <v>296</v>
      </c>
      <c r="D136" s="72" t="s">
        <v>339</v>
      </c>
      <c r="E136" s="146"/>
    </row>
    <row r="137" spans="1:6" x14ac:dyDescent="0.25">
      <c r="A137" s="121"/>
      <c r="B137" s="143" t="s">
        <v>204</v>
      </c>
      <c r="C137" s="142">
        <v>0.83</v>
      </c>
      <c r="D137" s="142">
        <v>0.82991999999999999</v>
      </c>
      <c r="E137" s="131">
        <f t="shared" ref="E137:E141" si="10">SUM(C137:D137)</f>
        <v>1.6599200000000001</v>
      </c>
    </row>
    <row r="138" spans="1:6" x14ac:dyDescent="0.25">
      <c r="A138" s="121"/>
      <c r="B138" s="78" t="s">
        <v>300</v>
      </c>
      <c r="C138" s="72">
        <v>2000</v>
      </c>
      <c r="D138" s="72">
        <v>2000</v>
      </c>
      <c r="E138" s="132">
        <f t="shared" si="10"/>
        <v>4000</v>
      </c>
    </row>
    <row r="139" spans="1:6" s="119" customFormat="1" x14ac:dyDescent="0.25">
      <c r="A139" s="121"/>
      <c r="B139" s="131" t="s">
        <v>277</v>
      </c>
      <c r="C139" s="122">
        <v>1660</v>
      </c>
      <c r="D139" s="122">
        <v>1659.84</v>
      </c>
      <c r="E139" s="131">
        <f t="shared" si="10"/>
        <v>3319.84</v>
      </c>
      <c r="F139" s="147"/>
    </row>
    <row r="140" spans="1:6" s="119" customFormat="1" x14ac:dyDescent="0.25">
      <c r="A140" s="121"/>
      <c r="B140" s="131" t="s">
        <v>301</v>
      </c>
      <c r="C140" s="122">
        <v>1094</v>
      </c>
      <c r="D140" s="122">
        <v>1094</v>
      </c>
      <c r="E140" s="131">
        <f t="shared" si="10"/>
        <v>2188</v>
      </c>
      <c r="F140" s="147"/>
    </row>
    <row r="141" spans="1:6" x14ac:dyDescent="0.25">
      <c r="A141" s="121"/>
      <c r="B141" s="78" t="s">
        <v>303</v>
      </c>
      <c r="C141" s="122">
        <f t="shared" ref="C141:D141" si="11">C139-C140</f>
        <v>566</v>
      </c>
      <c r="D141" s="131">
        <f t="shared" si="11"/>
        <v>565.83999999999992</v>
      </c>
      <c r="E141" s="131">
        <f t="shared" si="10"/>
        <v>1131.8399999999999</v>
      </c>
    </row>
    <row r="159" spans="1:5" ht="17.25" x14ac:dyDescent="0.3">
      <c r="A159" s="136" t="s">
        <v>364</v>
      </c>
      <c r="B159" s="136"/>
      <c r="C159" s="136"/>
      <c r="D159" s="136"/>
      <c r="E159" s="68"/>
    </row>
    <row r="160" spans="1:5" x14ac:dyDescent="0.25">
      <c r="A160" s="143" t="s">
        <v>11</v>
      </c>
      <c r="B160" s="126" t="s">
        <v>186</v>
      </c>
      <c r="C160" s="123">
        <v>45383</v>
      </c>
      <c r="D160" s="123">
        <v>45384</v>
      </c>
      <c r="E160" s="144" t="s">
        <v>187</v>
      </c>
    </row>
    <row r="161" spans="1:6" x14ac:dyDescent="0.25">
      <c r="A161" s="121" t="s">
        <v>19</v>
      </c>
      <c r="B161" s="78" t="s">
        <v>126</v>
      </c>
      <c r="C161" s="78" t="s">
        <v>287</v>
      </c>
      <c r="D161" s="78" t="s">
        <v>338</v>
      </c>
      <c r="E161" s="145"/>
    </row>
    <row r="162" spans="1:6" x14ac:dyDescent="0.25">
      <c r="A162" s="121"/>
      <c r="B162" s="78" t="s">
        <v>182</v>
      </c>
      <c r="C162" s="72" t="s">
        <v>296</v>
      </c>
      <c r="D162" s="72" t="s">
        <v>339</v>
      </c>
      <c r="E162" s="146"/>
    </row>
    <row r="163" spans="1:6" x14ac:dyDescent="0.25">
      <c r="A163" s="121"/>
      <c r="B163" s="143" t="s">
        <v>204</v>
      </c>
      <c r="C163" s="142">
        <v>0.68</v>
      </c>
      <c r="D163" s="142">
        <v>0.68</v>
      </c>
      <c r="E163" s="131">
        <f t="shared" ref="E163:E167" si="12">SUM(C163:D163)</f>
        <v>1.36</v>
      </c>
    </row>
    <row r="164" spans="1:6" x14ac:dyDescent="0.25">
      <c r="A164" s="121"/>
      <c r="B164" s="78" t="s">
        <v>300</v>
      </c>
      <c r="C164" s="72">
        <v>1850</v>
      </c>
      <c r="D164" s="72">
        <v>1850</v>
      </c>
      <c r="E164" s="132">
        <f t="shared" si="12"/>
        <v>3700</v>
      </c>
    </row>
    <row r="165" spans="1:6" s="119" customFormat="1" x14ac:dyDescent="0.25">
      <c r="A165" s="121"/>
      <c r="B165" s="131" t="s">
        <v>277</v>
      </c>
      <c r="C165" s="122">
        <v>1258</v>
      </c>
      <c r="D165" s="122">
        <v>1258</v>
      </c>
      <c r="E165" s="131">
        <f t="shared" si="12"/>
        <v>2516</v>
      </c>
      <c r="F165" s="147"/>
    </row>
    <row r="166" spans="1:6" s="119" customFormat="1" x14ac:dyDescent="0.25">
      <c r="A166" s="121"/>
      <c r="B166" s="131" t="s">
        <v>301</v>
      </c>
      <c r="C166" s="122">
        <v>1094</v>
      </c>
      <c r="D166" s="122">
        <v>1094</v>
      </c>
      <c r="E166" s="131">
        <f t="shared" si="12"/>
        <v>2188</v>
      </c>
      <c r="F166" s="147"/>
    </row>
    <row r="167" spans="1:6" x14ac:dyDescent="0.25">
      <c r="A167" s="121"/>
      <c r="B167" s="78" t="s">
        <v>303</v>
      </c>
      <c r="C167" s="122">
        <f t="shared" ref="C167:D167" si="13">C165-C166</f>
        <v>164</v>
      </c>
      <c r="D167" s="131">
        <f t="shared" si="13"/>
        <v>164</v>
      </c>
      <c r="E167" s="131">
        <f t="shared" si="12"/>
        <v>328</v>
      </c>
    </row>
    <row r="185" spans="1:6" ht="17.25" x14ac:dyDescent="0.3">
      <c r="A185" s="136" t="s">
        <v>365</v>
      </c>
      <c r="B185" s="136"/>
      <c r="C185" s="136"/>
      <c r="D185" s="136"/>
      <c r="E185" s="68"/>
    </row>
    <row r="186" spans="1:6" x14ac:dyDescent="0.25">
      <c r="A186" s="143" t="s">
        <v>11</v>
      </c>
      <c r="B186" s="126" t="s">
        <v>186</v>
      </c>
      <c r="C186" s="123">
        <v>45383</v>
      </c>
      <c r="D186" s="123">
        <v>45384</v>
      </c>
      <c r="E186" s="144" t="s">
        <v>187</v>
      </c>
    </row>
    <row r="187" spans="1:6" x14ac:dyDescent="0.25">
      <c r="A187" s="121" t="s">
        <v>19</v>
      </c>
      <c r="B187" s="78" t="s">
        <v>126</v>
      </c>
      <c r="C187" s="78" t="s">
        <v>287</v>
      </c>
      <c r="D187" s="78" t="s">
        <v>338</v>
      </c>
      <c r="E187" s="145"/>
    </row>
    <row r="188" spans="1:6" x14ac:dyDescent="0.25">
      <c r="A188" s="121"/>
      <c r="B188" s="78" t="s">
        <v>182</v>
      </c>
      <c r="C188" s="72" t="s">
        <v>296</v>
      </c>
      <c r="D188" s="72" t="s">
        <v>339</v>
      </c>
      <c r="E188" s="146"/>
    </row>
    <row r="189" spans="1:6" x14ac:dyDescent="0.25">
      <c r="A189" s="121"/>
      <c r="B189" s="143" t="s">
        <v>204</v>
      </c>
      <c r="C189" s="142">
        <v>0.68</v>
      </c>
      <c r="D189" s="142">
        <v>0.68</v>
      </c>
      <c r="E189" s="131">
        <f t="shared" ref="E189:E193" si="14">SUM(C189:D189)</f>
        <v>1.36</v>
      </c>
    </row>
    <row r="190" spans="1:6" x14ac:dyDescent="0.25">
      <c r="A190" s="121"/>
      <c r="B190" s="78" t="s">
        <v>300</v>
      </c>
      <c r="C190" s="72">
        <v>1850</v>
      </c>
      <c r="D190" s="72">
        <v>1850</v>
      </c>
      <c r="E190" s="132">
        <f t="shared" si="14"/>
        <v>3700</v>
      </c>
    </row>
    <row r="191" spans="1:6" s="119" customFormat="1" x14ac:dyDescent="0.25">
      <c r="A191" s="121"/>
      <c r="B191" s="131" t="s">
        <v>277</v>
      </c>
      <c r="C191" s="122">
        <v>1258</v>
      </c>
      <c r="D191" s="122">
        <v>1258</v>
      </c>
      <c r="E191" s="131">
        <f t="shared" si="14"/>
        <v>2516</v>
      </c>
      <c r="F191" s="147"/>
    </row>
    <row r="192" spans="1:6" s="119" customFormat="1" x14ac:dyDescent="0.25">
      <c r="A192" s="121"/>
      <c r="B192" s="131" t="s">
        <v>301</v>
      </c>
      <c r="C192" s="122">
        <v>1094</v>
      </c>
      <c r="D192" s="122">
        <v>1094</v>
      </c>
      <c r="E192" s="131">
        <f t="shared" si="14"/>
        <v>2188</v>
      </c>
      <c r="F192" s="147"/>
    </row>
    <row r="193" spans="1:5" x14ac:dyDescent="0.25">
      <c r="A193" s="121"/>
      <c r="B193" s="78" t="s">
        <v>303</v>
      </c>
      <c r="C193" s="122">
        <f t="shared" ref="C193:D193" si="15">C191-C192</f>
        <v>164</v>
      </c>
      <c r="D193" s="131">
        <f t="shared" si="15"/>
        <v>164</v>
      </c>
      <c r="E193" s="131">
        <f t="shared" si="14"/>
        <v>328</v>
      </c>
    </row>
    <row r="211" spans="1:6" ht="17.25" x14ac:dyDescent="0.3">
      <c r="A211" s="136" t="s">
        <v>366</v>
      </c>
      <c r="B211" s="136"/>
      <c r="C211" s="136"/>
      <c r="D211" s="136"/>
      <c r="E211" s="68"/>
    </row>
    <row r="212" spans="1:6" x14ac:dyDescent="0.25">
      <c r="A212" s="143" t="s">
        <v>11</v>
      </c>
      <c r="B212" s="126" t="s">
        <v>186</v>
      </c>
      <c r="C212" s="123">
        <v>45383</v>
      </c>
      <c r="D212" s="123">
        <v>45384</v>
      </c>
      <c r="E212" s="144" t="s">
        <v>187</v>
      </c>
    </row>
    <row r="213" spans="1:6" x14ac:dyDescent="0.25">
      <c r="A213" s="121" t="s">
        <v>19</v>
      </c>
      <c r="B213" s="78" t="s">
        <v>126</v>
      </c>
      <c r="C213" s="78" t="s">
        <v>342</v>
      </c>
      <c r="D213" s="78" t="s">
        <v>287</v>
      </c>
      <c r="E213" s="145"/>
    </row>
    <row r="214" spans="1:6" x14ac:dyDescent="0.25">
      <c r="A214" s="121"/>
      <c r="B214" s="78" t="s">
        <v>182</v>
      </c>
      <c r="C214" s="72" t="s">
        <v>343</v>
      </c>
      <c r="D214" s="72" t="s">
        <v>296</v>
      </c>
      <c r="E214" s="146"/>
    </row>
    <row r="215" spans="1:6" x14ac:dyDescent="0.25">
      <c r="A215" s="121"/>
      <c r="B215" s="143" t="s">
        <v>204</v>
      </c>
      <c r="C215" s="142">
        <v>0.75048387096774194</v>
      </c>
      <c r="D215" s="142">
        <v>0.77</v>
      </c>
      <c r="E215" s="131">
        <f t="shared" ref="E215:E219" si="16">SUM(C215:D215)</f>
        <v>1.520483870967742</v>
      </c>
    </row>
    <row r="216" spans="1:6" x14ac:dyDescent="0.25">
      <c r="A216" s="121"/>
      <c r="B216" s="78" t="s">
        <v>300</v>
      </c>
      <c r="C216" s="72">
        <v>2232</v>
      </c>
      <c r="D216" s="72">
        <v>2400</v>
      </c>
      <c r="E216" s="132">
        <f t="shared" si="16"/>
        <v>4632</v>
      </c>
    </row>
    <row r="217" spans="1:6" s="119" customFormat="1" x14ac:dyDescent="0.25">
      <c r="A217" s="121"/>
      <c r="B217" s="131" t="s">
        <v>277</v>
      </c>
      <c r="C217" s="122">
        <v>1675.08</v>
      </c>
      <c r="D217" s="122">
        <v>1848</v>
      </c>
      <c r="E217" s="131">
        <f t="shared" si="16"/>
        <v>3523.08</v>
      </c>
      <c r="F217" s="147"/>
    </row>
    <row r="218" spans="1:6" s="119" customFormat="1" x14ac:dyDescent="0.25">
      <c r="A218" s="121"/>
      <c r="B218" s="131" t="s">
        <v>301</v>
      </c>
      <c r="C218" s="122">
        <v>1094</v>
      </c>
      <c r="D218" s="122">
        <v>1094</v>
      </c>
      <c r="E218" s="131">
        <f t="shared" si="16"/>
        <v>2188</v>
      </c>
      <c r="F218" s="147"/>
    </row>
    <row r="219" spans="1:6" x14ac:dyDescent="0.25">
      <c r="A219" s="121"/>
      <c r="B219" s="78" t="s">
        <v>303</v>
      </c>
      <c r="C219" s="122">
        <f t="shared" ref="C219:D219" si="17">C217-C218</f>
        <v>581.07999999999993</v>
      </c>
      <c r="D219" s="131">
        <f t="shared" si="17"/>
        <v>754</v>
      </c>
      <c r="E219" s="131">
        <f t="shared" si="16"/>
        <v>1335.08</v>
      </c>
    </row>
    <row r="237" spans="1:5" ht="17.25" x14ac:dyDescent="0.3">
      <c r="A237" s="136" t="s">
        <v>367</v>
      </c>
      <c r="B237" s="136"/>
      <c r="C237" s="136"/>
      <c r="D237" s="136"/>
      <c r="E237" s="68"/>
    </row>
    <row r="238" spans="1:5" x14ac:dyDescent="0.25">
      <c r="A238" s="143" t="s">
        <v>11</v>
      </c>
      <c r="B238" s="126" t="s">
        <v>186</v>
      </c>
      <c r="C238" s="123">
        <v>45383</v>
      </c>
      <c r="D238" s="123">
        <v>45384</v>
      </c>
      <c r="E238" s="144" t="s">
        <v>187</v>
      </c>
    </row>
    <row r="239" spans="1:5" x14ac:dyDescent="0.25">
      <c r="A239" s="121" t="s">
        <v>19</v>
      </c>
      <c r="B239" s="78" t="s">
        <v>126</v>
      </c>
      <c r="C239" s="78" t="s">
        <v>342</v>
      </c>
      <c r="D239" s="78" t="s">
        <v>287</v>
      </c>
      <c r="E239" s="145"/>
    </row>
    <row r="240" spans="1:5" x14ac:dyDescent="0.25">
      <c r="A240" s="121"/>
      <c r="B240" s="78" t="s">
        <v>182</v>
      </c>
      <c r="C240" s="72" t="s">
        <v>343</v>
      </c>
      <c r="D240" s="72" t="s">
        <v>296</v>
      </c>
      <c r="E240" s="146"/>
    </row>
    <row r="241" spans="1:6" x14ac:dyDescent="0.25">
      <c r="A241" s="121"/>
      <c r="B241" s="143" t="s">
        <v>204</v>
      </c>
      <c r="C241" s="142">
        <v>0.75047917599641745</v>
      </c>
      <c r="D241" s="142">
        <v>0.77</v>
      </c>
      <c r="E241" s="131">
        <f t="shared" ref="E241:E245" si="18">SUM(C241:D241)</f>
        <v>1.5204791759964174</v>
      </c>
    </row>
    <row r="242" spans="1:6" x14ac:dyDescent="0.25">
      <c r="A242" s="121"/>
      <c r="B242" s="78" t="s">
        <v>300</v>
      </c>
      <c r="C242" s="72">
        <v>2233</v>
      </c>
      <c r="D242" s="72">
        <v>2400</v>
      </c>
      <c r="E242" s="132">
        <f t="shared" si="18"/>
        <v>4633</v>
      </c>
    </row>
    <row r="243" spans="1:6" s="119" customFormat="1" x14ac:dyDescent="0.25">
      <c r="A243" s="121"/>
      <c r="B243" s="131" t="s">
        <v>277</v>
      </c>
      <c r="C243" s="122">
        <v>1675.8200000000002</v>
      </c>
      <c r="D243" s="122">
        <v>1848</v>
      </c>
      <c r="E243" s="131">
        <f t="shared" si="18"/>
        <v>3523.82</v>
      </c>
      <c r="F243" s="147"/>
    </row>
    <row r="244" spans="1:6" s="119" customFormat="1" x14ac:dyDescent="0.25">
      <c r="A244" s="121"/>
      <c r="B244" s="131" t="s">
        <v>301</v>
      </c>
      <c r="C244" s="122">
        <v>1094</v>
      </c>
      <c r="D244" s="122">
        <v>1094</v>
      </c>
      <c r="E244" s="131">
        <f t="shared" si="18"/>
        <v>2188</v>
      </c>
      <c r="F244" s="147"/>
    </row>
    <row r="245" spans="1:6" x14ac:dyDescent="0.25">
      <c r="A245" s="121"/>
      <c r="B245" s="78" t="s">
        <v>303</v>
      </c>
      <c r="C245" s="122">
        <f t="shared" ref="C245:D245" si="19">C243-C244</f>
        <v>581.82000000000016</v>
      </c>
      <c r="D245" s="131">
        <f t="shared" si="19"/>
        <v>754</v>
      </c>
      <c r="E245" s="131">
        <f t="shared" si="18"/>
        <v>1335.8200000000002</v>
      </c>
    </row>
    <row r="263" spans="1:6" ht="17.25" x14ac:dyDescent="0.3">
      <c r="A263" s="136" t="s">
        <v>368</v>
      </c>
      <c r="B263" s="136"/>
      <c r="C263" s="136"/>
      <c r="D263" s="136"/>
      <c r="E263" s="68"/>
    </row>
    <row r="264" spans="1:6" x14ac:dyDescent="0.25">
      <c r="A264" s="143" t="s">
        <v>11</v>
      </c>
      <c r="B264" s="126" t="s">
        <v>186</v>
      </c>
      <c r="C264" s="123">
        <v>45383</v>
      </c>
      <c r="D264" s="123">
        <v>45384</v>
      </c>
      <c r="E264" s="144" t="s">
        <v>187</v>
      </c>
    </row>
    <row r="265" spans="1:6" x14ac:dyDescent="0.25">
      <c r="A265" s="121" t="s">
        <v>19</v>
      </c>
      <c r="B265" s="78" t="s">
        <v>126</v>
      </c>
      <c r="C265" s="78" t="s">
        <v>338</v>
      </c>
      <c r="D265" s="78" t="s">
        <v>342</v>
      </c>
      <c r="E265" s="145"/>
    </row>
    <row r="266" spans="1:6" x14ac:dyDescent="0.25">
      <c r="A266" s="121"/>
      <c r="B266" s="78" t="s">
        <v>182</v>
      </c>
      <c r="C266" s="72" t="s">
        <v>339</v>
      </c>
      <c r="D266" s="72" t="s">
        <v>343</v>
      </c>
      <c r="E266" s="146"/>
    </row>
    <row r="267" spans="1:6" x14ac:dyDescent="0.25">
      <c r="A267" s="121"/>
      <c r="B267" s="143" t="s">
        <v>204</v>
      </c>
      <c r="C267" s="142">
        <v>0.77066783831282948</v>
      </c>
      <c r="D267" s="142">
        <v>0.76353043478260862</v>
      </c>
      <c r="E267" s="131">
        <f t="shared" ref="E267:E271" si="20">SUM(C267:D267)</f>
        <v>1.5341982730954382</v>
      </c>
    </row>
    <row r="268" spans="1:6" x14ac:dyDescent="0.25">
      <c r="A268" s="121"/>
      <c r="B268" s="78" t="s">
        <v>300</v>
      </c>
      <c r="C268" s="72">
        <v>2276</v>
      </c>
      <c r="D268" s="72">
        <v>2300</v>
      </c>
      <c r="E268" s="132">
        <f t="shared" si="20"/>
        <v>4576</v>
      </c>
    </row>
    <row r="269" spans="1:6" s="119" customFormat="1" x14ac:dyDescent="0.25">
      <c r="A269" s="121"/>
      <c r="B269" s="131" t="s">
        <v>277</v>
      </c>
      <c r="C269" s="122">
        <v>1754.04</v>
      </c>
      <c r="D269" s="122">
        <v>1756.12</v>
      </c>
      <c r="E269" s="131">
        <f t="shared" si="20"/>
        <v>3510.16</v>
      </c>
      <c r="F269" s="147"/>
    </row>
    <row r="270" spans="1:6" s="119" customFormat="1" x14ac:dyDescent="0.25">
      <c r="A270" s="121"/>
      <c r="B270" s="131" t="s">
        <v>301</v>
      </c>
      <c r="C270" s="122">
        <v>1094</v>
      </c>
      <c r="D270" s="122">
        <v>1094</v>
      </c>
      <c r="E270" s="131">
        <f t="shared" si="20"/>
        <v>2188</v>
      </c>
      <c r="F270" s="147"/>
    </row>
    <row r="271" spans="1:6" x14ac:dyDescent="0.25">
      <c r="A271" s="121"/>
      <c r="B271" s="78" t="s">
        <v>303</v>
      </c>
      <c r="C271" s="122">
        <f t="shared" ref="C271:D271" si="21">C269-C270</f>
        <v>660.04</v>
      </c>
      <c r="D271" s="131">
        <f t="shared" si="21"/>
        <v>662.11999999999989</v>
      </c>
      <c r="E271" s="131">
        <f t="shared" si="20"/>
        <v>1322.1599999999999</v>
      </c>
    </row>
    <row r="289" spans="1:6" ht="17.25" x14ac:dyDescent="0.3">
      <c r="A289" s="136" t="s">
        <v>369</v>
      </c>
      <c r="B289" s="136"/>
      <c r="C289" s="136"/>
      <c r="D289" s="136"/>
      <c r="E289" s="68"/>
    </row>
    <row r="290" spans="1:6" x14ac:dyDescent="0.25">
      <c r="A290" s="143" t="s">
        <v>11</v>
      </c>
      <c r="B290" s="126" t="s">
        <v>186</v>
      </c>
      <c r="C290" s="123">
        <v>45383</v>
      </c>
      <c r="D290" s="123">
        <v>45384</v>
      </c>
      <c r="E290" s="144" t="s">
        <v>187</v>
      </c>
    </row>
    <row r="291" spans="1:6" x14ac:dyDescent="0.25">
      <c r="A291" s="121" t="s">
        <v>19</v>
      </c>
      <c r="B291" s="78" t="s">
        <v>126</v>
      </c>
      <c r="C291" s="78" t="s">
        <v>338</v>
      </c>
      <c r="D291" s="78" t="s">
        <v>342</v>
      </c>
      <c r="E291" s="145"/>
    </row>
    <row r="292" spans="1:6" x14ac:dyDescent="0.25">
      <c r="A292" s="121"/>
      <c r="B292" s="78" t="s">
        <v>182</v>
      </c>
      <c r="C292" s="72" t="s">
        <v>339</v>
      </c>
      <c r="D292" s="72" t="s">
        <v>343</v>
      </c>
      <c r="E292" s="146"/>
    </row>
    <row r="293" spans="1:6" x14ac:dyDescent="0.25">
      <c r="A293" s="121"/>
      <c r="B293" s="143" t="s">
        <v>204</v>
      </c>
      <c r="C293" s="142">
        <v>0.77067632850241541</v>
      </c>
      <c r="D293" s="142">
        <v>0.76354347826086955</v>
      </c>
      <c r="E293" s="131">
        <f t="shared" ref="E293:E297" si="22">SUM(C293:D293)</f>
        <v>1.5342198067632848</v>
      </c>
    </row>
    <row r="294" spans="1:6" x14ac:dyDescent="0.25">
      <c r="A294" s="121"/>
      <c r="B294" s="78" t="s">
        <v>300</v>
      </c>
      <c r="C294" s="72">
        <v>2277</v>
      </c>
      <c r="D294" s="72">
        <v>2300</v>
      </c>
      <c r="E294" s="132">
        <f t="shared" si="22"/>
        <v>4577</v>
      </c>
    </row>
    <row r="295" spans="1:6" s="119" customFormat="1" x14ac:dyDescent="0.25">
      <c r="A295" s="121"/>
      <c r="B295" s="131" t="s">
        <v>277</v>
      </c>
      <c r="C295" s="122">
        <v>1754.83</v>
      </c>
      <c r="D295" s="122">
        <v>1756.1499999999999</v>
      </c>
      <c r="E295" s="131">
        <f t="shared" si="22"/>
        <v>3510.9799999999996</v>
      </c>
      <c r="F295" s="147"/>
    </row>
    <row r="296" spans="1:6" s="119" customFormat="1" x14ac:dyDescent="0.25">
      <c r="A296" s="121"/>
      <c r="B296" s="131" t="s">
        <v>301</v>
      </c>
      <c r="C296" s="122">
        <v>1094</v>
      </c>
      <c r="D296" s="122">
        <v>1094</v>
      </c>
      <c r="E296" s="131">
        <f t="shared" si="22"/>
        <v>2188</v>
      </c>
      <c r="F296" s="147"/>
    </row>
    <row r="297" spans="1:6" x14ac:dyDescent="0.25">
      <c r="A297" s="121"/>
      <c r="B297" s="78" t="s">
        <v>303</v>
      </c>
      <c r="C297" s="122">
        <f t="shared" ref="C297:D297" si="23">C295-C296</f>
        <v>660.82999999999993</v>
      </c>
      <c r="D297" s="131">
        <f t="shared" si="23"/>
        <v>662.14999999999986</v>
      </c>
      <c r="E297" s="131">
        <f t="shared" si="22"/>
        <v>1322.9799999999998</v>
      </c>
    </row>
    <row r="315" spans="1:5" ht="17.25" x14ac:dyDescent="0.3">
      <c r="A315" s="136" t="s">
        <v>370</v>
      </c>
      <c r="B315" s="136"/>
      <c r="C315" s="136"/>
      <c r="D315" s="136"/>
      <c r="E315" s="68"/>
    </row>
    <row r="316" spans="1:5" x14ac:dyDescent="0.25">
      <c r="A316" s="143" t="s">
        <v>11</v>
      </c>
      <c r="B316" s="126" t="s">
        <v>186</v>
      </c>
      <c r="C316" s="123">
        <v>45383</v>
      </c>
      <c r="D316" s="123">
        <v>45384</v>
      </c>
      <c r="E316" s="144" t="s">
        <v>187</v>
      </c>
    </row>
    <row r="317" spans="1:5" x14ac:dyDescent="0.25">
      <c r="A317" s="121" t="s">
        <v>19</v>
      </c>
      <c r="B317" s="78" t="s">
        <v>126</v>
      </c>
      <c r="C317" s="78" t="s">
        <v>338</v>
      </c>
      <c r="D317" s="78" t="s">
        <v>342</v>
      </c>
      <c r="E317" s="145"/>
    </row>
    <row r="318" spans="1:5" x14ac:dyDescent="0.25">
      <c r="A318" s="121"/>
      <c r="B318" s="78" t="s">
        <v>182</v>
      </c>
      <c r="C318" s="72" t="s">
        <v>339</v>
      </c>
      <c r="D318" s="72" t="s">
        <v>343</v>
      </c>
      <c r="E318" s="146"/>
    </row>
    <row r="319" spans="1:5" x14ac:dyDescent="0.25">
      <c r="A319" s="121"/>
      <c r="B319" s="143" t="s">
        <v>204</v>
      </c>
      <c r="C319" s="142">
        <v>0.78999999999999992</v>
      </c>
      <c r="D319" s="142">
        <v>0.79</v>
      </c>
      <c r="E319" s="131">
        <f t="shared" ref="E319:E323" si="24">SUM(C319:D319)</f>
        <v>1.58</v>
      </c>
    </row>
    <row r="320" spans="1:5" x14ac:dyDescent="0.25">
      <c r="A320" s="121"/>
      <c r="B320" s="78" t="s">
        <v>300</v>
      </c>
      <c r="C320" s="72">
        <v>1755</v>
      </c>
      <c r="D320" s="72">
        <v>1600</v>
      </c>
      <c r="E320" s="132">
        <f t="shared" si="24"/>
        <v>3355</v>
      </c>
    </row>
    <row r="321" spans="1:6" s="119" customFormat="1" x14ac:dyDescent="0.25">
      <c r="A321" s="121"/>
      <c r="B321" s="131" t="s">
        <v>277</v>
      </c>
      <c r="C321" s="122">
        <v>1386.4499999999998</v>
      </c>
      <c r="D321" s="122">
        <v>1264</v>
      </c>
      <c r="E321" s="131">
        <f t="shared" si="24"/>
        <v>2650.45</v>
      </c>
      <c r="F321" s="147"/>
    </row>
    <row r="322" spans="1:6" s="119" customFormat="1" x14ac:dyDescent="0.25">
      <c r="A322" s="121"/>
      <c r="B322" s="131" t="s">
        <v>301</v>
      </c>
      <c r="C322" s="122">
        <v>1094</v>
      </c>
      <c r="D322" s="122">
        <v>1094</v>
      </c>
      <c r="E322" s="131">
        <f t="shared" si="24"/>
        <v>2188</v>
      </c>
      <c r="F322" s="147"/>
    </row>
    <row r="323" spans="1:6" x14ac:dyDescent="0.25">
      <c r="A323" s="121"/>
      <c r="B323" s="78" t="s">
        <v>303</v>
      </c>
      <c r="C323" s="122">
        <f t="shared" ref="C323:D323" si="25">C321-C322</f>
        <v>292.44999999999982</v>
      </c>
      <c r="D323" s="131">
        <f t="shared" si="25"/>
        <v>170</v>
      </c>
      <c r="E323" s="131">
        <f t="shared" si="24"/>
        <v>462.44999999999982</v>
      </c>
    </row>
    <row r="341" spans="1:6" ht="17.25" x14ac:dyDescent="0.3">
      <c r="A341" s="136" t="s">
        <v>371</v>
      </c>
      <c r="B341" s="136"/>
      <c r="C341" s="136"/>
      <c r="D341" s="136"/>
      <c r="E341" s="68"/>
    </row>
    <row r="342" spans="1:6" x14ac:dyDescent="0.25">
      <c r="A342" s="143" t="s">
        <v>11</v>
      </c>
      <c r="B342" s="126" t="s">
        <v>186</v>
      </c>
      <c r="C342" s="123">
        <v>45383</v>
      </c>
      <c r="D342" s="123">
        <v>45384</v>
      </c>
      <c r="E342" s="144" t="s">
        <v>187</v>
      </c>
    </row>
    <row r="343" spans="1:6" x14ac:dyDescent="0.25">
      <c r="A343" s="121" t="s">
        <v>19</v>
      </c>
      <c r="B343" s="78" t="s">
        <v>126</v>
      </c>
      <c r="C343" s="78" t="s">
        <v>338</v>
      </c>
      <c r="D343" s="78" t="s">
        <v>342</v>
      </c>
      <c r="E343" s="145"/>
    </row>
    <row r="344" spans="1:6" x14ac:dyDescent="0.25">
      <c r="A344" s="121"/>
      <c r="B344" s="78" t="s">
        <v>182</v>
      </c>
      <c r="C344" s="72" t="s">
        <v>339</v>
      </c>
      <c r="D344" s="72" t="s">
        <v>343</v>
      </c>
      <c r="E344" s="146"/>
    </row>
    <row r="345" spans="1:6" x14ac:dyDescent="0.25">
      <c r="A345" s="121"/>
      <c r="B345" s="143" t="s">
        <v>204</v>
      </c>
      <c r="C345" s="142">
        <v>0.78999999999999992</v>
      </c>
      <c r="D345" s="142">
        <v>0.79</v>
      </c>
      <c r="E345" s="131">
        <f t="shared" ref="E345:E349" si="26">SUM(C345:D345)</f>
        <v>1.58</v>
      </c>
    </row>
    <row r="346" spans="1:6" x14ac:dyDescent="0.25">
      <c r="A346" s="121"/>
      <c r="B346" s="78" t="s">
        <v>300</v>
      </c>
      <c r="C346" s="72">
        <v>1755</v>
      </c>
      <c r="D346" s="72">
        <v>1600</v>
      </c>
      <c r="E346" s="132">
        <f t="shared" si="26"/>
        <v>3355</v>
      </c>
    </row>
    <row r="347" spans="1:6" s="119" customFormat="1" x14ac:dyDescent="0.25">
      <c r="A347" s="121"/>
      <c r="B347" s="131" t="s">
        <v>277</v>
      </c>
      <c r="C347" s="122">
        <v>1386.4499999999998</v>
      </c>
      <c r="D347" s="122">
        <v>1264</v>
      </c>
      <c r="E347" s="131">
        <f t="shared" si="26"/>
        <v>2650.45</v>
      </c>
      <c r="F347" s="147"/>
    </row>
    <row r="348" spans="1:6" s="119" customFormat="1" x14ac:dyDescent="0.25">
      <c r="A348" s="121"/>
      <c r="B348" s="131" t="s">
        <v>301</v>
      </c>
      <c r="C348" s="122">
        <v>1094</v>
      </c>
      <c r="D348" s="122">
        <v>1094</v>
      </c>
      <c r="E348" s="131">
        <f t="shared" si="26"/>
        <v>2188</v>
      </c>
      <c r="F348" s="147"/>
    </row>
    <row r="349" spans="1:6" x14ac:dyDescent="0.25">
      <c r="A349" s="121"/>
      <c r="B349" s="78" t="s">
        <v>303</v>
      </c>
      <c r="C349" s="122">
        <f t="shared" ref="C349:D349" si="27">C347-C348</f>
        <v>292.44999999999982</v>
      </c>
      <c r="D349" s="131">
        <f t="shared" si="27"/>
        <v>170</v>
      </c>
      <c r="E349" s="131">
        <f t="shared" si="26"/>
        <v>462.44999999999982</v>
      </c>
    </row>
  </sheetData>
  <mergeCells count="40">
    <mergeCell ref="A341:D341"/>
    <mergeCell ref="E342:E344"/>
    <mergeCell ref="A343:A349"/>
    <mergeCell ref="A289:D289"/>
    <mergeCell ref="E290:E292"/>
    <mergeCell ref="A291:A297"/>
    <mergeCell ref="A315:D315"/>
    <mergeCell ref="E316:E318"/>
    <mergeCell ref="A317:A323"/>
    <mergeCell ref="A237:D237"/>
    <mergeCell ref="E238:E240"/>
    <mergeCell ref="A239:A245"/>
    <mergeCell ref="A263:D263"/>
    <mergeCell ref="E264:E266"/>
    <mergeCell ref="A265:A271"/>
    <mergeCell ref="A185:D185"/>
    <mergeCell ref="E186:E188"/>
    <mergeCell ref="A187:A193"/>
    <mergeCell ref="A211:D211"/>
    <mergeCell ref="E212:E214"/>
    <mergeCell ref="A213:A219"/>
    <mergeCell ref="A133:D133"/>
    <mergeCell ref="E134:E136"/>
    <mergeCell ref="A135:A141"/>
    <mergeCell ref="A159:D159"/>
    <mergeCell ref="E160:E162"/>
    <mergeCell ref="A161:A167"/>
    <mergeCell ref="A81:D81"/>
    <mergeCell ref="E82:E84"/>
    <mergeCell ref="A83:A89"/>
    <mergeCell ref="A107:D107"/>
    <mergeCell ref="E108:E110"/>
    <mergeCell ref="A109:A115"/>
    <mergeCell ref="A3:A7"/>
    <mergeCell ref="A29:D29"/>
    <mergeCell ref="E30:E32"/>
    <mergeCell ref="A31:A37"/>
    <mergeCell ref="A55:D55"/>
    <mergeCell ref="E56:E58"/>
    <mergeCell ref="A57:A6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BANTUAN</vt:lpstr>
      <vt:lpstr>RPA</vt:lpstr>
      <vt:lpstr>RekapUnWO_CM0_DOS</vt:lpstr>
      <vt:lpstr>Resume per Buyer</vt:lpstr>
      <vt:lpstr>Resume Per Line</vt:lpstr>
      <vt:lpstr>Resume PL</vt:lpstr>
      <vt:lpstr>Resume PL Daily</vt:lpstr>
      <vt:lpstr>Periode 01 - 02 Apr</vt:lpstr>
      <vt:lpstr>CBA</vt:lpstr>
      <vt:lpstr>CHW</vt:lpstr>
      <vt:lpstr>CJL</vt:lpstr>
      <vt:lpstr>CNJ2</vt:lpstr>
      <vt:lpstr>CVA</vt:lpstr>
      <vt:lpstr>CVA2</vt:lpstr>
      <vt:lpstr>KLB</vt:lpstr>
      <vt:lpstr>MJ1</vt:lpstr>
      <vt:lpstr>MJ2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2024-04-04T04:04:03Z</cp:lastPrinted>
  <dcterms:created xsi:type="dcterms:W3CDTF">2015-06-05T18:17:20Z</dcterms:created>
  <dcterms:modified xsi:type="dcterms:W3CDTF">2024-04-04T04:04:17Z</dcterms:modified>
</cp:coreProperties>
</file>