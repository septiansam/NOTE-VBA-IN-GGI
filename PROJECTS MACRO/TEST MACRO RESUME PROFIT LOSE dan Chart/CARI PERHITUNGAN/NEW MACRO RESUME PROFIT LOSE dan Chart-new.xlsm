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10.8.0.35\Bersama\IT\SEPTIAN\TEST  P-L LINE COST\CARI PERHITUNGAN\"/>
    </mc:Choice>
  </mc:AlternateContent>
  <xr:revisionPtr revIDLastSave="0" documentId="13_ncr:1_{10512BE9-E991-47A8-89A0-28CF80309F56}" xr6:coauthVersionLast="47" xr6:coauthVersionMax="47" xr10:uidLastSave="{00000000-0000-0000-0000-000000000000}"/>
  <bookViews>
    <workbookView xWindow="-120" yWindow="-120" windowWidth="20730" windowHeight="11160" tabRatio="851" xr2:uid="{00000000-000D-0000-FFFF-FFFF00000000}"/>
  </bookViews>
  <sheets>
    <sheet name="BANTUAN" sheetId="1" r:id="rId1"/>
    <sheet name="RPA" sheetId="1504" r:id="rId2"/>
    <sheet name="RekapUnWO_CM0_DOS" sheetId="1510" r:id="rId3"/>
    <sheet name="TES1" sheetId="1516" r:id="rId4"/>
    <sheet name="TES2" sheetId="1517" r:id="rId5"/>
    <sheet name="OLAHAN" sheetId="1518" r:id="rId6"/>
    <sheet name="TEMP" sheetId="1519" r:id="rId7"/>
  </sheets>
  <functionGroups builtInGroupCount="19"/>
  <definedNames>
    <definedName name="_xlnm._FilterDatabase" localSheetId="3" hidden="1">'TES1'!$A$1:$L$274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2" i="1518" l="1"/>
  <c r="O3" i="1518"/>
  <c r="O4" i="1518"/>
  <c r="O5" i="1518"/>
  <c r="O6" i="1518"/>
  <c r="O7" i="1518"/>
  <c r="O8" i="1518"/>
  <c r="O9" i="1518"/>
  <c r="O10" i="1518"/>
  <c r="O11" i="1518"/>
  <c r="O12" i="1518"/>
  <c r="O13" i="1518"/>
  <c r="O14" i="1518"/>
  <c r="O15" i="1518"/>
  <c r="O16" i="1518"/>
  <c r="O17" i="1518"/>
  <c r="O18" i="1518"/>
  <c r="O19" i="1518"/>
  <c r="O20" i="1518"/>
  <c r="O21" i="1518"/>
  <c r="O22" i="1518"/>
  <c r="O23" i="1518"/>
  <c r="O24" i="1518"/>
  <c r="O25" i="1518"/>
  <c r="O26" i="1518"/>
  <c r="O27" i="1518"/>
  <c r="O28" i="1518"/>
  <c r="O29" i="1518"/>
  <c r="O30" i="1518"/>
  <c r="O31" i="1518"/>
  <c r="O32" i="1518"/>
  <c r="O33" i="1518"/>
  <c r="O34" i="1518"/>
  <c r="O35" i="1518"/>
  <c r="O36" i="1518"/>
  <c r="O37" i="1518"/>
  <c r="O38" i="1518"/>
  <c r="O39" i="1518"/>
  <c r="O40" i="1518"/>
  <c r="O41" i="1518"/>
  <c r="O42" i="1518"/>
  <c r="O43" i="1518"/>
  <c r="O44" i="1518"/>
  <c r="O45" i="1518"/>
  <c r="O46" i="1518"/>
  <c r="O47" i="1518"/>
  <c r="O48" i="1518"/>
  <c r="O49" i="1518"/>
  <c r="O50" i="1518"/>
  <c r="O51" i="1518"/>
  <c r="O52" i="1518"/>
  <c r="O53" i="1518"/>
  <c r="O54" i="1518"/>
  <c r="O55" i="1518"/>
  <c r="O56" i="1518"/>
  <c r="O57" i="1518"/>
  <c r="O58" i="1518"/>
  <c r="O59" i="1518"/>
  <c r="O60" i="1518"/>
  <c r="O61" i="1518"/>
  <c r="O62" i="1518"/>
  <c r="O63" i="1518"/>
  <c r="O64" i="1518"/>
  <c r="O65" i="1518"/>
  <c r="O66" i="1518"/>
  <c r="O67" i="1518"/>
  <c r="O68" i="1518"/>
  <c r="O69" i="1518"/>
  <c r="O70" i="1518"/>
  <c r="O71" i="1518"/>
  <c r="O72" i="1518"/>
  <c r="O73" i="1518"/>
  <c r="O74" i="1518"/>
  <c r="O75" i="1518"/>
  <c r="O76" i="1518"/>
  <c r="O77" i="1518"/>
  <c r="O78" i="1518"/>
  <c r="O79" i="1518"/>
  <c r="O80" i="1518"/>
  <c r="O81" i="1518"/>
  <c r="O82" i="1518"/>
  <c r="O83" i="1518"/>
  <c r="O84" i="1518"/>
  <c r="O85" i="1518"/>
  <c r="O86" i="1518"/>
  <c r="O87" i="1518"/>
  <c r="O88" i="1518"/>
  <c r="O89" i="1518"/>
  <c r="O90" i="1518"/>
  <c r="O91" i="1518"/>
  <c r="O92" i="1518"/>
  <c r="O93" i="1518"/>
  <c r="O94" i="1518"/>
  <c r="O95" i="1518"/>
  <c r="O96" i="1518"/>
  <c r="O97" i="1518"/>
  <c r="O98" i="1518"/>
  <c r="O99" i="1518"/>
  <c r="O100" i="1518"/>
  <c r="O101" i="1518"/>
  <c r="O102" i="1518"/>
  <c r="O103" i="1518"/>
  <c r="O104" i="1518"/>
  <c r="O105" i="1518"/>
  <c r="O106" i="1518"/>
  <c r="O107" i="1518"/>
  <c r="O108" i="1518"/>
  <c r="O109" i="1518"/>
  <c r="O110" i="1518"/>
  <c r="O111" i="1518"/>
  <c r="O112" i="1518"/>
  <c r="O113" i="1518"/>
  <c r="O114" i="1518"/>
  <c r="O115" i="1518"/>
  <c r="O116" i="1518"/>
  <c r="O117" i="1518"/>
  <c r="O118" i="1518"/>
  <c r="O119" i="1518"/>
  <c r="O120" i="1518"/>
  <c r="O121" i="1518"/>
  <c r="O122" i="1518"/>
  <c r="O123" i="1518"/>
  <c r="O124" i="1518"/>
  <c r="O125" i="1518"/>
  <c r="O126" i="1518"/>
  <c r="O127" i="1518"/>
  <c r="O128" i="1518"/>
  <c r="O129" i="1518"/>
  <c r="O130" i="1518"/>
  <c r="O131" i="1518"/>
  <c r="O132" i="1518"/>
  <c r="O133" i="1518"/>
  <c r="O134" i="1518"/>
  <c r="O135" i="1518"/>
  <c r="O136" i="1518"/>
  <c r="O137" i="1518"/>
  <c r="O138" i="1518"/>
  <c r="O139" i="1518"/>
  <c r="O140" i="1518"/>
  <c r="O141" i="1518"/>
  <c r="O142" i="1518"/>
  <c r="O143" i="1518"/>
  <c r="O144" i="1518"/>
  <c r="O145" i="1518"/>
  <c r="O146" i="1518"/>
  <c r="O147" i="1518"/>
  <c r="O148" i="1518"/>
  <c r="O149" i="1518"/>
  <c r="O150" i="1518"/>
  <c r="O151" i="1518"/>
  <c r="O152" i="1518"/>
  <c r="O153" i="1518"/>
  <c r="O154" i="1518"/>
  <c r="O155" i="1518"/>
  <c r="O156" i="1518"/>
  <c r="O157" i="1518"/>
  <c r="O158" i="1518"/>
  <c r="O159" i="1518"/>
  <c r="O160" i="1518"/>
  <c r="O161" i="1518"/>
  <c r="O162" i="1518"/>
  <c r="O163" i="1518"/>
  <c r="O164" i="1518"/>
  <c r="O165" i="1518"/>
  <c r="O166" i="1518"/>
  <c r="O167" i="1518"/>
  <c r="O168" i="1518"/>
  <c r="O169" i="1518"/>
  <c r="O170" i="1518"/>
  <c r="O171" i="1518"/>
  <c r="O172" i="1518"/>
  <c r="O173" i="1518"/>
  <c r="O174" i="1518"/>
  <c r="C9" i="1519"/>
  <c r="C8" i="1519"/>
  <c r="C7" i="1519"/>
  <c r="C6" i="1519"/>
  <c r="C5" i="1519"/>
  <c r="C4" i="1519"/>
  <c r="C3" i="1519"/>
  <c r="C2" i="1519"/>
  <c r="J36" i="1518" l="1"/>
  <c r="J132" i="1518"/>
  <c r="I2" i="1518"/>
  <c r="J2" i="1518" s="1"/>
  <c r="I3" i="1518"/>
  <c r="J3" i="1518" s="1"/>
  <c r="I4" i="1518"/>
  <c r="J4" i="1518" s="1"/>
  <c r="I5" i="1518"/>
  <c r="J5" i="1518" s="1"/>
  <c r="I6" i="1518"/>
  <c r="J6" i="1518" s="1"/>
  <c r="I7" i="1518"/>
  <c r="J7" i="1518" s="1"/>
  <c r="I8" i="1518"/>
  <c r="J8" i="1518" s="1"/>
  <c r="I9" i="1518"/>
  <c r="J9" i="1518" s="1"/>
  <c r="I10" i="1518"/>
  <c r="J10" i="1518" s="1"/>
  <c r="I11" i="1518"/>
  <c r="J11" i="1518" s="1"/>
  <c r="I12" i="1518"/>
  <c r="J12" i="1518" s="1"/>
  <c r="I13" i="1518"/>
  <c r="J13" i="1518" s="1"/>
  <c r="I14" i="1518"/>
  <c r="J14" i="1518" s="1"/>
  <c r="I15" i="1518"/>
  <c r="J15" i="1518" s="1"/>
  <c r="I16" i="1518"/>
  <c r="J16" i="1518" s="1"/>
  <c r="I17" i="1518"/>
  <c r="J17" i="1518" s="1"/>
  <c r="I18" i="1518"/>
  <c r="J18" i="1518" s="1"/>
  <c r="I19" i="1518"/>
  <c r="J19" i="1518" s="1"/>
  <c r="I20" i="1518"/>
  <c r="J20" i="1518" s="1"/>
  <c r="I21" i="1518"/>
  <c r="J21" i="1518" s="1"/>
  <c r="I22" i="1518"/>
  <c r="J22" i="1518" s="1"/>
  <c r="I23" i="1518"/>
  <c r="J23" i="1518" s="1"/>
  <c r="I24" i="1518"/>
  <c r="J24" i="1518" s="1"/>
  <c r="I25" i="1518"/>
  <c r="J25" i="1518" s="1"/>
  <c r="I26" i="1518"/>
  <c r="J26" i="1518" s="1"/>
  <c r="I27" i="1518"/>
  <c r="J27" i="1518" s="1"/>
  <c r="I28" i="1518"/>
  <c r="J28" i="1518" s="1"/>
  <c r="I29" i="1518"/>
  <c r="J29" i="1518" s="1"/>
  <c r="I30" i="1518"/>
  <c r="J30" i="1518" s="1"/>
  <c r="I31" i="1518"/>
  <c r="J31" i="1518" s="1"/>
  <c r="I32" i="1518"/>
  <c r="J32" i="1518" s="1"/>
  <c r="I33" i="1518"/>
  <c r="J33" i="1518" s="1"/>
  <c r="I34" i="1518"/>
  <c r="J34" i="1518" s="1"/>
  <c r="I35" i="1518"/>
  <c r="J35" i="1518" s="1"/>
  <c r="I36" i="1518"/>
  <c r="I37" i="1518"/>
  <c r="J37" i="1518" s="1"/>
  <c r="I38" i="1518"/>
  <c r="J38" i="1518" s="1"/>
  <c r="I39" i="1518"/>
  <c r="J39" i="1518" s="1"/>
  <c r="I40" i="1518"/>
  <c r="J40" i="1518" s="1"/>
  <c r="I41" i="1518"/>
  <c r="J41" i="1518" s="1"/>
  <c r="I42" i="1518"/>
  <c r="J42" i="1518" s="1"/>
  <c r="I43" i="1518"/>
  <c r="J43" i="1518" s="1"/>
  <c r="I44" i="1518"/>
  <c r="J44" i="1518" s="1"/>
  <c r="I45" i="1518"/>
  <c r="J45" i="1518" s="1"/>
  <c r="I46" i="1518"/>
  <c r="J46" i="1518" s="1"/>
  <c r="I47" i="1518"/>
  <c r="J47" i="1518" s="1"/>
  <c r="I48" i="1518"/>
  <c r="J48" i="1518" s="1"/>
  <c r="I49" i="1518"/>
  <c r="J49" i="1518" s="1"/>
  <c r="I50" i="1518"/>
  <c r="J50" i="1518" s="1"/>
  <c r="I51" i="1518"/>
  <c r="J51" i="1518" s="1"/>
  <c r="I52" i="1518"/>
  <c r="J52" i="1518" s="1"/>
  <c r="I53" i="1518"/>
  <c r="J53" i="1518" s="1"/>
  <c r="I54" i="1518"/>
  <c r="J54" i="1518" s="1"/>
  <c r="I55" i="1518"/>
  <c r="J55" i="1518" s="1"/>
  <c r="I56" i="1518"/>
  <c r="J56" i="1518" s="1"/>
  <c r="I57" i="1518"/>
  <c r="J57" i="1518" s="1"/>
  <c r="I58" i="1518"/>
  <c r="J58" i="1518" s="1"/>
  <c r="I59" i="1518"/>
  <c r="J59" i="1518" s="1"/>
  <c r="I60" i="1518"/>
  <c r="J60" i="1518" s="1"/>
  <c r="I61" i="1518"/>
  <c r="J61" i="1518" s="1"/>
  <c r="I62" i="1518"/>
  <c r="J62" i="1518" s="1"/>
  <c r="I63" i="1518"/>
  <c r="J63" i="1518" s="1"/>
  <c r="I64" i="1518"/>
  <c r="J64" i="1518" s="1"/>
  <c r="I65" i="1518"/>
  <c r="J65" i="1518" s="1"/>
  <c r="I66" i="1518"/>
  <c r="J66" i="1518" s="1"/>
  <c r="I67" i="1518"/>
  <c r="J67" i="1518" s="1"/>
  <c r="I68" i="1518"/>
  <c r="J68" i="1518" s="1"/>
  <c r="I69" i="1518"/>
  <c r="J69" i="1518" s="1"/>
  <c r="I70" i="1518"/>
  <c r="J70" i="1518" s="1"/>
  <c r="I71" i="1518"/>
  <c r="J71" i="1518" s="1"/>
  <c r="I72" i="1518"/>
  <c r="J72" i="1518" s="1"/>
  <c r="I73" i="1518"/>
  <c r="J73" i="1518" s="1"/>
  <c r="I74" i="1518"/>
  <c r="J74" i="1518" s="1"/>
  <c r="I75" i="1518"/>
  <c r="J75" i="1518" s="1"/>
  <c r="I76" i="1518"/>
  <c r="J76" i="1518" s="1"/>
  <c r="I77" i="1518"/>
  <c r="J77" i="1518" s="1"/>
  <c r="I78" i="1518"/>
  <c r="J78" i="1518" s="1"/>
  <c r="I79" i="1518"/>
  <c r="J79" i="1518" s="1"/>
  <c r="I80" i="1518"/>
  <c r="J80" i="1518" s="1"/>
  <c r="I81" i="1518"/>
  <c r="J81" i="1518" s="1"/>
  <c r="I82" i="1518"/>
  <c r="J82" i="1518" s="1"/>
  <c r="I83" i="1518"/>
  <c r="J83" i="1518" s="1"/>
  <c r="I84" i="1518"/>
  <c r="J84" i="1518" s="1"/>
  <c r="I85" i="1518"/>
  <c r="J85" i="1518" s="1"/>
  <c r="I86" i="1518"/>
  <c r="J86" i="1518" s="1"/>
  <c r="I87" i="1518"/>
  <c r="J87" i="1518" s="1"/>
  <c r="I88" i="1518"/>
  <c r="J88" i="1518" s="1"/>
  <c r="I89" i="1518"/>
  <c r="J89" i="1518" s="1"/>
  <c r="I90" i="1518"/>
  <c r="J90" i="1518" s="1"/>
  <c r="I91" i="1518"/>
  <c r="J91" i="1518" s="1"/>
  <c r="I92" i="1518"/>
  <c r="J92" i="1518" s="1"/>
  <c r="I93" i="1518"/>
  <c r="J93" i="1518" s="1"/>
  <c r="I94" i="1518"/>
  <c r="J94" i="1518" s="1"/>
  <c r="I95" i="1518"/>
  <c r="J95" i="1518" s="1"/>
  <c r="I96" i="1518"/>
  <c r="J96" i="1518" s="1"/>
  <c r="I97" i="1518"/>
  <c r="J97" i="1518" s="1"/>
  <c r="I98" i="1518"/>
  <c r="J98" i="1518" s="1"/>
  <c r="I99" i="1518"/>
  <c r="J99" i="1518" s="1"/>
  <c r="I100" i="1518"/>
  <c r="J100" i="1518" s="1"/>
  <c r="I101" i="1518"/>
  <c r="J101" i="1518" s="1"/>
  <c r="I102" i="1518"/>
  <c r="J102" i="1518" s="1"/>
  <c r="I103" i="1518"/>
  <c r="J103" i="1518" s="1"/>
  <c r="I104" i="1518"/>
  <c r="J104" i="1518" s="1"/>
  <c r="I105" i="1518"/>
  <c r="J105" i="1518" s="1"/>
  <c r="I106" i="1518"/>
  <c r="J106" i="1518" s="1"/>
  <c r="I107" i="1518"/>
  <c r="J107" i="1518" s="1"/>
  <c r="I108" i="1518"/>
  <c r="J108" i="1518" s="1"/>
  <c r="I109" i="1518"/>
  <c r="J109" i="1518" s="1"/>
  <c r="I110" i="1518"/>
  <c r="J110" i="1518" s="1"/>
  <c r="I111" i="1518"/>
  <c r="J111" i="1518" s="1"/>
  <c r="I112" i="1518"/>
  <c r="J112" i="1518" s="1"/>
  <c r="I113" i="1518"/>
  <c r="J113" i="1518" s="1"/>
  <c r="I114" i="1518"/>
  <c r="J114" i="1518" s="1"/>
  <c r="I115" i="1518"/>
  <c r="J115" i="1518" s="1"/>
  <c r="I116" i="1518"/>
  <c r="J116" i="1518" s="1"/>
  <c r="I117" i="1518"/>
  <c r="J117" i="1518" s="1"/>
  <c r="I118" i="1518"/>
  <c r="J118" i="1518" s="1"/>
  <c r="I119" i="1518"/>
  <c r="J119" i="1518" s="1"/>
  <c r="I120" i="1518"/>
  <c r="J120" i="1518" s="1"/>
  <c r="I121" i="1518"/>
  <c r="J121" i="1518" s="1"/>
  <c r="I122" i="1518"/>
  <c r="J122" i="1518" s="1"/>
  <c r="I123" i="1518"/>
  <c r="J123" i="1518" s="1"/>
  <c r="I124" i="1518"/>
  <c r="J124" i="1518" s="1"/>
  <c r="I125" i="1518"/>
  <c r="J125" i="1518" s="1"/>
  <c r="I126" i="1518"/>
  <c r="J126" i="1518" s="1"/>
  <c r="I127" i="1518"/>
  <c r="J127" i="1518" s="1"/>
  <c r="I128" i="1518"/>
  <c r="J128" i="1518" s="1"/>
  <c r="I129" i="1518"/>
  <c r="J129" i="1518" s="1"/>
  <c r="I130" i="1518"/>
  <c r="J130" i="1518" s="1"/>
  <c r="I131" i="1518"/>
  <c r="J131" i="1518" s="1"/>
  <c r="I132" i="1518"/>
  <c r="I133" i="1518"/>
  <c r="J133" i="1518" s="1"/>
  <c r="I134" i="1518"/>
  <c r="J134" i="1518" s="1"/>
  <c r="I135" i="1518"/>
  <c r="J135" i="1518" s="1"/>
  <c r="I136" i="1518"/>
  <c r="J136" i="1518" s="1"/>
  <c r="I137" i="1518"/>
  <c r="J137" i="1518" s="1"/>
  <c r="I138" i="1518"/>
  <c r="J138" i="1518" s="1"/>
  <c r="I139" i="1518"/>
  <c r="J139" i="1518" s="1"/>
  <c r="I140" i="1518"/>
  <c r="J140" i="1518" s="1"/>
  <c r="I141" i="1518"/>
  <c r="J141" i="1518" s="1"/>
  <c r="I142" i="1518"/>
  <c r="J142" i="1518" s="1"/>
  <c r="I143" i="1518"/>
  <c r="J143" i="1518" s="1"/>
  <c r="I144" i="1518"/>
  <c r="J144" i="1518" s="1"/>
  <c r="I145" i="1518"/>
  <c r="J145" i="1518" s="1"/>
  <c r="I146" i="1518"/>
  <c r="J146" i="1518" s="1"/>
  <c r="I147" i="1518"/>
  <c r="J147" i="1518" s="1"/>
  <c r="I148" i="1518"/>
  <c r="J148" i="1518" s="1"/>
  <c r="I149" i="1518"/>
  <c r="J149" i="1518" s="1"/>
  <c r="I150" i="1518"/>
  <c r="J150" i="1518" s="1"/>
  <c r="I151" i="1518"/>
  <c r="J151" i="1518" s="1"/>
  <c r="I152" i="1518"/>
  <c r="J152" i="1518" s="1"/>
  <c r="I153" i="1518"/>
  <c r="J153" i="1518" s="1"/>
  <c r="I154" i="1518"/>
  <c r="J154" i="1518" s="1"/>
  <c r="I155" i="1518"/>
  <c r="J155" i="1518" s="1"/>
  <c r="I156" i="1518"/>
  <c r="J156" i="1518" s="1"/>
  <c r="I157" i="1518"/>
  <c r="J157" i="1518" s="1"/>
  <c r="I158" i="1518"/>
  <c r="J158" i="1518" s="1"/>
  <c r="I159" i="1518"/>
  <c r="J159" i="1518" s="1"/>
  <c r="I160" i="1518"/>
  <c r="J160" i="1518" s="1"/>
  <c r="I161" i="1518"/>
  <c r="J161" i="1518" s="1"/>
  <c r="I162" i="1518"/>
  <c r="J162" i="1518" s="1"/>
  <c r="I163" i="1518"/>
  <c r="J163" i="1518" s="1"/>
  <c r="I164" i="1518"/>
  <c r="J164" i="1518" s="1"/>
  <c r="I165" i="1518"/>
  <c r="J165" i="1518" s="1"/>
  <c r="I166" i="1518"/>
  <c r="J166" i="1518" s="1"/>
  <c r="I167" i="1518"/>
  <c r="J167" i="1518" s="1"/>
  <c r="I168" i="1518"/>
  <c r="J168" i="1518" s="1"/>
  <c r="I169" i="1518"/>
  <c r="J169" i="1518" s="1"/>
  <c r="I170" i="1518"/>
  <c r="J170" i="1518" s="1"/>
  <c r="I171" i="1518"/>
  <c r="J171" i="1518" s="1"/>
  <c r="I172" i="1518"/>
  <c r="J172" i="1518" s="1"/>
  <c r="I173" i="1518"/>
  <c r="J173" i="1518" s="1"/>
  <c r="I174" i="1518"/>
  <c r="J174" i="1518" s="1"/>
  <c r="H2" i="1518"/>
  <c r="H3" i="1518"/>
  <c r="H4" i="1518"/>
  <c r="H5" i="1518"/>
  <c r="H6" i="1518"/>
  <c r="H7" i="1518"/>
  <c r="H8" i="1518"/>
  <c r="H9" i="1518"/>
  <c r="H10" i="1518"/>
  <c r="H11" i="1518"/>
  <c r="H12" i="1518"/>
  <c r="H13" i="1518"/>
  <c r="H14" i="1518"/>
  <c r="H15" i="1518"/>
  <c r="H16" i="1518"/>
  <c r="H17" i="1518"/>
  <c r="H18" i="1518"/>
  <c r="H19" i="1518"/>
  <c r="H20" i="1518"/>
  <c r="H21" i="1518"/>
  <c r="H22" i="1518"/>
  <c r="H23" i="1518"/>
  <c r="H24" i="1518"/>
  <c r="H25" i="1518"/>
  <c r="H26" i="1518"/>
  <c r="H27" i="1518"/>
  <c r="H28" i="1518"/>
  <c r="H29" i="1518"/>
  <c r="H30" i="1518"/>
  <c r="H31" i="1518"/>
  <c r="H32" i="1518"/>
  <c r="H33" i="1518"/>
  <c r="H34" i="1518"/>
  <c r="H35" i="1518"/>
  <c r="H36" i="1518"/>
  <c r="H37" i="1518"/>
  <c r="H38" i="1518"/>
  <c r="H39" i="1518"/>
  <c r="H40" i="1518"/>
  <c r="H41" i="1518"/>
  <c r="H42" i="1518"/>
  <c r="H43" i="1518"/>
  <c r="H44" i="1518"/>
  <c r="H45" i="1518"/>
  <c r="H46" i="1518"/>
  <c r="H47" i="1518"/>
  <c r="H48" i="1518"/>
  <c r="H49" i="1518"/>
  <c r="H50" i="1518"/>
  <c r="H51" i="1518"/>
  <c r="H52" i="1518"/>
  <c r="H53" i="1518"/>
  <c r="H54" i="1518"/>
  <c r="H55" i="1518"/>
  <c r="H56" i="1518"/>
  <c r="H57" i="1518"/>
  <c r="H58" i="1518"/>
  <c r="H59" i="1518"/>
  <c r="H60" i="1518"/>
  <c r="H61" i="1518"/>
  <c r="H62" i="1518"/>
  <c r="H63" i="1518"/>
  <c r="H64" i="1518"/>
  <c r="H65" i="1518"/>
  <c r="H66" i="1518"/>
  <c r="H67" i="1518"/>
  <c r="H68" i="1518"/>
  <c r="H69" i="1518"/>
  <c r="H70" i="1518"/>
  <c r="H71" i="1518"/>
  <c r="H72" i="1518"/>
  <c r="H73" i="1518"/>
  <c r="H74" i="1518"/>
  <c r="H75" i="1518"/>
  <c r="H76" i="1518"/>
  <c r="H77" i="1518"/>
  <c r="H78" i="1518"/>
  <c r="H79" i="1518"/>
  <c r="H80" i="1518"/>
  <c r="H81" i="1518"/>
  <c r="H82" i="1518"/>
  <c r="H83" i="1518"/>
  <c r="H84" i="1518"/>
  <c r="H85" i="1518"/>
  <c r="H86" i="1518"/>
  <c r="H87" i="1518"/>
  <c r="H88" i="1518"/>
  <c r="H89" i="1518"/>
  <c r="H90" i="1518"/>
  <c r="H91" i="1518"/>
  <c r="H92" i="1518"/>
  <c r="H93" i="1518"/>
  <c r="H94" i="1518"/>
  <c r="H95" i="1518"/>
  <c r="H96" i="1518"/>
  <c r="H97" i="1518"/>
  <c r="H98" i="1518"/>
  <c r="H99" i="1518"/>
  <c r="H100" i="1518"/>
  <c r="H101" i="1518"/>
  <c r="H102" i="1518"/>
  <c r="H103" i="1518"/>
  <c r="H104" i="1518"/>
  <c r="H105" i="1518"/>
  <c r="H106" i="1518"/>
  <c r="H107" i="1518"/>
  <c r="H108" i="1518"/>
  <c r="H109" i="1518"/>
  <c r="H110" i="1518"/>
  <c r="H111" i="1518"/>
  <c r="H112" i="1518"/>
  <c r="H113" i="1518"/>
  <c r="H114" i="1518"/>
  <c r="H115" i="1518"/>
  <c r="H116" i="1518"/>
  <c r="H117" i="1518"/>
  <c r="H118" i="1518"/>
  <c r="H119" i="1518"/>
  <c r="H120" i="1518"/>
  <c r="H121" i="1518"/>
  <c r="H122" i="1518"/>
  <c r="H123" i="1518"/>
  <c r="H124" i="1518"/>
  <c r="H125" i="1518"/>
  <c r="H126" i="1518"/>
  <c r="H127" i="1518"/>
  <c r="H128" i="1518"/>
  <c r="H129" i="1518"/>
  <c r="H130" i="1518"/>
  <c r="H131" i="1518"/>
  <c r="H132" i="1518"/>
  <c r="H133" i="1518"/>
  <c r="H134" i="1518"/>
  <c r="H135" i="1518"/>
  <c r="H136" i="1518"/>
  <c r="H137" i="1518"/>
  <c r="H138" i="1518"/>
  <c r="H139" i="1518"/>
  <c r="H140" i="1518"/>
  <c r="H141" i="1518"/>
  <c r="H142" i="1518"/>
  <c r="H143" i="1518"/>
  <c r="H144" i="1518"/>
  <c r="H145" i="1518"/>
  <c r="H146" i="1518"/>
  <c r="H147" i="1518"/>
  <c r="H148" i="1518"/>
  <c r="H149" i="1518"/>
  <c r="H150" i="1518"/>
  <c r="H151" i="1518"/>
  <c r="H152" i="1518"/>
  <c r="H153" i="1518"/>
  <c r="H154" i="1518"/>
  <c r="H155" i="1518"/>
  <c r="H156" i="1518"/>
  <c r="H157" i="1518"/>
  <c r="H158" i="1518"/>
  <c r="H159" i="1518"/>
  <c r="H160" i="1518"/>
  <c r="H161" i="1518"/>
  <c r="H162" i="1518"/>
  <c r="H163" i="1518"/>
  <c r="H164" i="1518"/>
  <c r="H165" i="1518"/>
  <c r="H166" i="1518"/>
  <c r="H167" i="1518"/>
  <c r="H168" i="1518"/>
  <c r="H169" i="1518"/>
  <c r="H170" i="1518"/>
  <c r="H171" i="1518"/>
  <c r="H172" i="1518"/>
  <c r="H173" i="1518"/>
  <c r="H174" i="1518"/>
  <c r="D2" i="1518"/>
  <c r="D3" i="1518"/>
  <c r="D4" i="1518"/>
  <c r="D5" i="1518"/>
  <c r="D6" i="1518"/>
  <c r="D7" i="1518"/>
  <c r="D8" i="1518"/>
  <c r="D9" i="1518"/>
  <c r="D10" i="1518"/>
  <c r="D11" i="1518"/>
  <c r="D12" i="1518"/>
  <c r="D13" i="1518"/>
  <c r="D14" i="1518"/>
  <c r="D15" i="1518"/>
  <c r="D16" i="1518"/>
  <c r="D17" i="1518"/>
  <c r="D18" i="1518"/>
  <c r="D19" i="1518"/>
  <c r="D20" i="1518"/>
  <c r="D21" i="1518"/>
  <c r="D22" i="1518"/>
  <c r="D23" i="1518"/>
  <c r="D24" i="1518"/>
  <c r="D25" i="1518"/>
  <c r="D26" i="1518"/>
  <c r="D27" i="1518"/>
  <c r="D28" i="1518"/>
  <c r="D29" i="1518"/>
  <c r="D30" i="1518"/>
  <c r="D31" i="1518"/>
  <c r="D32" i="1518"/>
  <c r="D33" i="1518"/>
  <c r="D34" i="1518"/>
  <c r="D35" i="1518"/>
  <c r="D36" i="1518"/>
  <c r="D37" i="1518"/>
  <c r="D38" i="1518"/>
  <c r="D39" i="1518"/>
  <c r="D40" i="1518"/>
  <c r="D41" i="1518"/>
  <c r="D42" i="1518"/>
  <c r="D43" i="1518"/>
  <c r="D44" i="1518"/>
  <c r="D45" i="1518"/>
  <c r="D46" i="1518"/>
  <c r="D47" i="1518"/>
  <c r="D48" i="1518"/>
  <c r="D49" i="1518"/>
  <c r="D50" i="1518"/>
  <c r="D51" i="1518"/>
  <c r="D52" i="1518"/>
  <c r="D53" i="1518"/>
  <c r="D54" i="1518"/>
  <c r="D55" i="1518"/>
  <c r="D56" i="1518"/>
  <c r="D57" i="1518"/>
  <c r="D58" i="1518"/>
  <c r="D59" i="1518"/>
  <c r="D60" i="1518"/>
  <c r="D61" i="1518"/>
  <c r="D62" i="1518"/>
  <c r="D63" i="1518"/>
  <c r="D64" i="1518"/>
  <c r="D65" i="1518"/>
  <c r="D66" i="1518"/>
  <c r="D67" i="1518"/>
  <c r="D68" i="1518"/>
  <c r="D69" i="1518"/>
  <c r="D70" i="1518"/>
  <c r="D71" i="1518"/>
  <c r="D72" i="1518"/>
  <c r="D73" i="1518"/>
  <c r="D74" i="1518"/>
  <c r="D75" i="1518"/>
  <c r="D76" i="1518"/>
  <c r="D77" i="1518"/>
  <c r="D78" i="1518"/>
  <c r="D79" i="1518"/>
  <c r="D80" i="1518"/>
  <c r="D81" i="1518"/>
  <c r="D82" i="1518"/>
  <c r="D83" i="1518"/>
  <c r="D84" i="1518"/>
  <c r="D85" i="1518"/>
  <c r="D86" i="1518"/>
  <c r="D87" i="1518"/>
  <c r="D88" i="1518"/>
  <c r="D89" i="1518"/>
  <c r="D90" i="1518"/>
  <c r="D91" i="1518"/>
  <c r="D92" i="1518"/>
  <c r="D93" i="1518"/>
  <c r="D94" i="1518"/>
  <c r="D95" i="1518"/>
  <c r="D96" i="1518"/>
  <c r="D97" i="1518"/>
  <c r="D98" i="1518"/>
  <c r="D99" i="1518"/>
  <c r="D100" i="1518"/>
  <c r="D101" i="1518"/>
  <c r="D102" i="1518"/>
  <c r="D103" i="1518"/>
  <c r="D104" i="1518"/>
  <c r="D105" i="1518"/>
  <c r="D106" i="1518"/>
  <c r="D107" i="1518"/>
  <c r="D108" i="1518"/>
  <c r="D109" i="1518"/>
  <c r="D110" i="1518"/>
  <c r="D111" i="1518"/>
  <c r="D112" i="1518"/>
  <c r="D113" i="1518"/>
  <c r="D114" i="1518"/>
  <c r="D115" i="1518"/>
  <c r="D116" i="1518"/>
  <c r="D117" i="1518"/>
  <c r="D118" i="1518"/>
  <c r="D119" i="1518"/>
  <c r="D120" i="1518"/>
  <c r="D121" i="1518"/>
  <c r="D122" i="1518"/>
  <c r="D123" i="1518"/>
  <c r="D124" i="1518"/>
  <c r="D125" i="1518"/>
  <c r="D126" i="1518"/>
  <c r="D127" i="1518"/>
  <c r="D128" i="1518"/>
  <c r="D129" i="1518"/>
  <c r="D130" i="1518"/>
  <c r="D131" i="1518"/>
  <c r="D132" i="1518"/>
  <c r="D133" i="1518"/>
  <c r="D134" i="1518"/>
  <c r="D135" i="1518"/>
  <c r="D136" i="1518"/>
  <c r="D137" i="1518"/>
  <c r="D138" i="1518"/>
  <c r="D139" i="1518"/>
  <c r="D140" i="1518"/>
  <c r="D141" i="1518"/>
  <c r="D142" i="1518"/>
  <c r="D143" i="1518"/>
  <c r="D144" i="1518"/>
  <c r="D145" i="1518"/>
  <c r="D146" i="1518"/>
  <c r="D147" i="1518"/>
  <c r="D148" i="1518"/>
  <c r="D149" i="1518"/>
  <c r="D150" i="1518"/>
  <c r="D151" i="1518"/>
  <c r="D152" i="1518"/>
  <c r="D153" i="1518"/>
  <c r="D154" i="1518"/>
  <c r="D155" i="1518"/>
  <c r="D156" i="1518"/>
  <c r="D157" i="1518"/>
  <c r="D158" i="1518"/>
  <c r="D159" i="1518"/>
  <c r="D160" i="1518"/>
  <c r="D161" i="1518"/>
  <c r="D162" i="1518"/>
  <c r="D163" i="1518"/>
  <c r="D164" i="1518"/>
  <c r="D165" i="1518"/>
  <c r="D166" i="1518"/>
  <c r="D167" i="1518"/>
  <c r="D168" i="1518"/>
  <c r="D169" i="1518"/>
  <c r="D170" i="1518"/>
  <c r="D171" i="1518"/>
  <c r="D172" i="1518"/>
  <c r="D173" i="1518"/>
  <c r="D174" i="1518"/>
  <c r="P5" i="1"/>
  <c r="AX1" i="1" l="1"/>
  <c r="Y1" i="1" l="1"/>
  <c r="M1" i="1" l="1"/>
  <c r="O6" i="1" s="1"/>
  <c r="P6" i="1" l="1"/>
  <c r="P7" i="1"/>
  <c r="L141" i="1"/>
  <c r="N1" i="1" l="1"/>
  <c r="N4" i="1" s="1"/>
  <c r="M4" i="1"/>
  <c r="M5" i="1"/>
  <c r="M2" i="1"/>
  <c r="M3" i="1"/>
  <c r="N3" i="1" l="1"/>
  <c r="N2" i="1"/>
  <c r="O1" i="1"/>
  <c r="P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379F9947-B49D-4730-8DA2-5A218AA366CD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Isi Nomor Line,
Bukan Nomor Urut</t>
        </r>
      </text>
    </comment>
  </commentList>
</comments>
</file>

<file path=xl/sharedStrings.xml><?xml version="1.0" encoding="utf-8"?>
<sst xmlns="http://schemas.openxmlformats.org/spreadsheetml/2006/main" count="1580" uniqueCount="307">
  <si>
    <t>LOKASI FILE WO BUYER</t>
  </si>
  <si>
    <t>LOKASI FILE GCC</t>
  </si>
  <si>
    <t>NAMA FILE GCC</t>
  </si>
  <si>
    <t>TIDAK</t>
  </si>
  <si>
    <t>DATA  DIHITUNG SETENGAH</t>
  </si>
  <si>
    <t>CNJ2 LINE_2</t>
  </si>
  <si>
    <t>NOTE:</t>
  </si>
  <si>
    <r>
      <t xml:space="preserve">Sebelum Klik </t>
    </r>
    <r>
      <rPr>
        <b/>
        <sz val="11"/>
        <color theme="1"/>
        <rFont val="Calibri"/>
        <family val="2"/>
        <scheme val="minor"/>
      </rPr>
      <t>Tombol CM0</t>
    </r>
    <r>
      <rPr>
        <sz val="11"/>
        <color theme="1"/>
        <rFont val="Calibri"/>
        <family val="2"/>
        <scheme val="minor"/>
      </rPr>
      <t xml:space="preserve"> dan </t>
    </r>
    <r>
      <rPr>
        <b/>
        <sz val="11"/>
        <color theme="1"/>
        <rFont val="Calibri"/>
        <family val="2"/>
        <scheme val="minor"/>
      </rPr>
      <t>RESUME</t>
    </r>
    <r>
      <rPr>
        <sz val="11"/>
        <color theme="1"/>
        <rFont val="Calibri"/>
        <family val="2"/>
        <scheme val="minor"/>
      </rPr>
      <t xml:space="preserve"> pastikan Klik Tombol TARIK terlebih dahulu</t>
    </r>
  </si>
  <si>
    <r>
      <t xml:space="preserve">Tombol </t>
    </r>
    <r>
      <rPr>
        <b/>
        <sz val="11"/>
        <color theme="1"/>
        <rFont val="Calibri"/>
        <family val="2"/>
        <scheme val="minor"/>
      </rPr>
      <t>CLEAR</t>
    </r>
    <r>
      <rPr>
        <sz val="11"/>
        <color theme="1"/>
        <rFont val="Calibri"/>
        <family val="2"/>
        <scheme val="minor"/>
      </rPr>
      <t xml:space="preserve"> untuk menghapus semua sheets kecuali sheet BANTUAN</t>
    </r>
  </si>
  <si>
    <r>
      <t>Tombol</t>
    </r>
    <r>
      <rPr>
        <b/>
        <sz val="11"/>
        <color theme="1"/>
        <rFont val="Calibri"/>
        <family val="2"/>
        <scheme val="minor"/>
      </rPr>
      <t xml:space="preserve"> TARIK</t>
    </r>
    <r>
      <rPr>
        <sz val="11"/>
        <color theme="1"/>
        <rFont val="Calibri"/>
        <family val="2"/>
        <scheme val="minor"/>
      </rPr>
      <t xml:space="preserve"> untuk memindahkan data GCC ke Sheet RPA</t>
    </r>
  </si>
  <si>
    <t>Untuk CNJ2 Line 2 Bisa pilih Dropdown terlebih dahulu</t>
  </si>
  <si>
    <t>Factory</t>
  </si>
  <si>
    <t>CBA</t>
  </si>
  <si>
    <t>CHW</t>
  </si>
  <si>
    <t>CJL</t>
  </si>
  <si>
    <t>CNJ2</t>
  </si>
  <si>
    <t>CVA</t>
  </si>
  <si>
    <t>KLB</t>
  </si>
  <si>
    <t>MJ1</t>
  </si>
  <si>
    <t>MJ2</t>
  </si>
  <si>
    <t>HASIL SPLIT CHART</t>
  </si>
  <si>
    <t>Cahaya Busana Abadi</t>
  </si>
  <si>
    <t>CV Chawan</t>
  </si>
  <si>
    <t>Gistex Cileunyi Japan</t>
  </si>
  <si>
    <t>Gistex Cileunyi</t>
  </si>
  <si>
    <t>CV Anugrah</t>
  </si>
  <si>
    <t>Gistex Kalibenda</t>
  </si>
  <si>
    <t>Gistex Majalengka 1</t>
  </si>
  <si>
    <t>Gistex Majalengka 2</t>
  </si>
  <si>
    <t>\\10.8.0.35\Bersama\IT\RPA\SPLIT</t>
  </si>
  <si>
    <t>\\10.8.0.35\Bersama\IT\REXY\Profit Loss\Tarikan WO Buyer</t>
  </si>
  <si>
    <t>-</t>
  </si>
  <si>
    <t>Cileunyi</t>
  </si>
  <si>
    <t>-&gt;</t>
  </si>
  <si>
    <t>Damar</t>
  </si>
  <si>
    <t>(ddarma@gistexgroup.com)</t>
  </si>
  <si>
    <t>Maja-1</t>
  </si>
  <si>
    <t>Kiki</t>
  </si>
  <si>
    <t>kzulfikar@gistexgroup.com)</t>
  </si>
  <si>
    <t>Maja-2</t>
  </si>
  <si>
    <t>Rudiyanto</t>
  </si>
  <si>
    <t>Chawan</t>
  </si>
  <si>
    <t>&amp;</t>
  </si>
  <si>
    <t>Kalibenda-&gt;</t>
  </si>
  <si>
    <t>Parsikin</t>
  </si>
  <si>
    <t>(parsikin@gistexgroup.com)</t>
  </si>
  <si>
    <t>CNJ</t>
  </si>
  <si>
    <t>Group</t>
  </si>
  <si>
    <t>belum</t>
  </si>
  <si>
    <t>dulu</t>
  </si>
  <si>
    <t>ddarma@gistexgroup.com</t>
  </si>
  <si>
    <t>parsikin@gistexgroup.com</t>
  </si>
  <si>
    <t>rhartono@gistexgroup.com</t>
  </si>
  <si>
    <t>CLN</t>
  </si>
  <si>
    <t>\\10.8.0.35\bersama\\IT\RPA\SPLIT\GI-IS - Cost Factory Report Cahaya Busana Abadi.xlsx</t>
  </si>
  <si>
    <t>\\10.8.0.35\bersama\\IT\RPA\SPLIT\GI-IS - Cost Factory Report CV Chawan.xlsx</t>
  </si>
  <si>
    <t>\\10.8.0.35\bersama\\IT\RPA\SPLIT\GI-IS - Cost Factory Report Gistex Cileunyi Japan.xlsx</t>
  </si>
  <si>
    <t>\\10.8.0.35\bersama\\IT\RPA\SPLIT\GI-IS - Cost Factory ReportGistex Cileunyi.xlsx</t>
  </si>
  <si>
    <t>\\10.8.0.35\bersama\\IT\RPA\SPLIT\GI-IS - Cost Factory Report CNJ2.xlsx</t>
  </si>
  <si>
    <t>\\10.8.0.35\bersama\\IT\RPA\SPLIT\GI-IS - Cost Factory Report CV Anugrah.xlsx</t>
  </si>
  <si>
    <t>\\10.8.0.35\bersama\\IT\RPA\SPLIT\GI-IS - Cost Factory Report Gistex Kalibenda.xlsx</t>
  </si>
  <si>
    <t>\\10.8.0.35\bersama\\IT\RPA\SPLIT\GI-IS - Cost Factory Report Gistex Majalengka 1.xlsx</t>
  </si>
  <si>
    <t>\\10.8.0.35\bersama\\IT\RPA\SPLIT\GI-IS - Cost Factory Report Gistex Majalengka 2.xlsx</t>
  </si>
  <si>
    <t>\\10.8.0.35\Bersama\IT\REXY\OUTPUT SEWING\MACRO OUTPUT REPORT SEWING.xlsm</t>
  </si>
  <si>
    <t>LOKASI OUTPUT SEWING</t>
  </si>
  <si>
    <t>\\10.8.0.35\Bersama\IT\REXY\Profit Loss\MACRO-CM0NOOR.xlsm</t>
  </si>
  <si>
    <t>LOKASI  UNPLANNED</t>
  </si>
  <si>
    <t>MACRO OUTPUT REPORT SEWING.xlsm</t>
  </si>
  <si>
    <t>MACRO-CM0NOOR.xlsm</t>
  </si>
  <si>
    <t>FILE OUTPUT SEWING</t>
  </si>
  <si>
    <t>FILE UNPLANNED</t>
  </si>
  <si>
    <t>08 Jan 23</t>
  </si>
  <si>
    <t>NAMA FILE REKAP ORDER</t>
  </si>
  <si>
    <t>LOKASI FILE</t>
  </si>
  <si>
    <t>\\10.8.0.35\Bersama\IT\REXY\Profit Loss\Tarikan Recap CM</t>
  </si>
  <si>
    <t>tarikanRecapCM</t>
  </si>
  <si>
    <t>cnj.lina@gmail.com</t>
  </si>
  <si>
    <t>CNJ GROUP</t>
  </si>
  <si>
    <t>\\10.8.0.35\Bersama\IT\RPA\SPLIT\GI-IS - Cost Factory Report CNJ GROUP.xlsx</t>
  </si>
  <si>
    <t>UPDATE 3/27/23</t>
  </si>
  <si>
    <t>CM 0</t>
  </si>
  <si>
    <t>\\10.8.0.35\Bersama\IT\RPA</t>
  </si>
  <si>
    <t>kzulfikar@gistexgroup.com, frahmawati@gistexgroup.com</t>
  </si>
  <si>
    <t>\\10.8.0.35\Bersama\IT\REXY\Profit Loss\Tarikan GCC</t>
  </si>
  <si>
    <t>GGI-IS - Cost Factory Report</t>
  </si>
  <si>
    <t>CVA2</t>
  </si>
  <si>
    <t>CV Anugrah 2</t>
  </si>
  <si>
    <t>\\10.8.0.35\bersama\\IT\RPA\SPLIT\GI-IS - Cost Factory Report CV Anugrah 2.xlsx</t>
  </si>
  <si>
    <t>WO</t>
  </si>
  <si>
    <t>NAMA FILE</t>
  </si>
  <si>
    <t>Tarikan WO Buyer 03 April 2024</t>
  </si>
  <si>
    <t>1 April  2024</t>
  </si>
  <si>
    <t>\\10.5.0.27\bersama\LINE COST</t>
  </si>
  <si>
    <t>Line</t>
  </si>
  <si>
    <t>Buyer</t>
  </si>
  <si>
    <t>L1</t>
  </si>
  <si>
    <t>MARUBENI CORPORATION JEPANG</t>
  </si>
  <si>
    <t>L2</t>
  </si>
  <si>
    <t>MARUBENI INTEX Co., Ltd.</t>
  </si>
  <si>
    <t>L3</t>
  </si>
  <si>
    <t>PT. BUANA DAYA GEMILANG</t>
  </si>
  <si>
    <t>L4</t>
  </si>
  <si>
    <t>L5</t>
  </si>
  <si>
    <t>L6</t>
  </si>
  <si>
    <t>ASMARA KARYA ABADI, PT.</t>
  </si>
  <si>
    <t>L10</t>
  </si>
  <si>
    <t>MARUBENI FASHION LINK LTD.</t>
  </si>
  <si>
    <t>L7</t>
  </si>
  <si>
    <t>KANMO RETAIL GROUP</t>
  </si>
  <si>
    <t>L8</t>
  </si>
  <si>
    <t>L9</t>
  </si>
  <si>
    <t>L1A</t>
  </si>
  <si>
    <t>AGRON, INC.</t>
  </si>
  <si>
    <t>L1B</t>
  </si>
  <si>
    <t>L2A</t>
  </si>
  <si>
    <t>L2B</t>
  </si>
  <si>
    <t>L3A</t>
  </si>
  <si>
    <t>L3B</t>
  </si>
  <si>
    <t>L11</t>
  </si>
  <si>
    <t>L12</t>
  </si>
  <si>
    <t>CV. BI-ENSI FESYENINDO</t>
  </si>
  <si>
    <t>RED WING SHOE COMPANY LLC</t>
  </si>
  <si>
    <t>RED WING SHOE COMPANY</t>
  </si>
  <si>
    <t>L13</t>
  </si>
  <si>
    <t>RS MITRA KELUARGA</t>
  </si>
  <si>
    <t>EIGERINDO MULTI PRODUK INDUSTRI, PT.</t>
  </si>
  <si>
    <t>BUYER</t>
  </si>
  <si>
    <t>CRPANMCUGA-3915   SN24</t>
  </si>
  <si>
    <t>JCT  MCUGA-3910   SN24</t>
  </si>
  <si>
    <t>PANTSMCUKZN839-90 SN24</t>
  </si>
  <si>
    <t>LEG  MFL24140     24AH</t>
  </si>
  <si>
    <t>LEG  MFL24140N    24AH</t>
  </si>
  <si>
    <t>LEG  MFL28145     24AH</t>
  </si>
  <si>
    <t>LEG  MFL54141     24AH</t>
  </si>
  <si>
    <t>LEG  MFL54141.2   24AH</t>
  </si>
  <si>
    <t>LEG  MFL28142     24AH</t>
  </si>
  <si>
    <t>TOP  MCU133-61    SN24</t>
  </si>
  <si>
    <t>TOP  MCU133-65    SN24</t>
  </si>
  <si>
    <t>TOP  MCU133-91    SN24</t>
  </si>
  <si>
    <t>PANTSMCU155-91    SN24</t>
  </si>
  <si>
    <t>CVRL RED61105-54  24R9</t>
  </si>
  <si>
    <t>CVRL RED61105-58  4R15</t>
  </si>
  <si>
    <t>BRF  ADS5152367   24R3</t>
  </si>
  <si>
    <t>BRF  ADS5151835XXL24R2</t>
  </si>
  <si>
    <t>BRF  ADS5151824   24R4</t>
  </si>
  <si>
    <t>BRF  ADS5151824XXL24R3</t>
  </si>
  <si>
    <t>BRF  ADS5158043   24R3</t>
  </si>
  <si>
    <t>BRF  ADS5158043XXLSN24</t>
  </si>
  <si>
    <t>BRF  ADS5158041   24R1</t>
  </si>
  <si>
    <t>BRF  ADS5157977   24R3</t>
  </si>
  <si>
    <t>BRF  ADS5157983   24R2</t>
  </si>
  <si>
    <t>BRF  ADS5157992   24R3</t>
  </si>
  <si>
    <t>BRF  ADS5157985   24R3</t>
  </si>
  <si>
    <t>BRF  ADS5157996   24R3</t>
  </si>
  <si>
    <t>BRF  ADS5157987   24R3</t>
  </si>
  <si>
    <t>BRF  ADS5157997   24R3</t>
  </si>
  <si>
    <t>CNECKADS5157982   24R3</t>
  </si>
  <si>
    <t>TATO ADS5157998   24R3</t>
  </si>
  <si>
    <t>BRF  ADS5158007   24R2</t>
  </si>
  <si>
    <t>BRF  ADS5158009   24R3</t>
  </si>
  <si>
    <t>BRF  ADS5158003   24R3</t>
  </si>
  <si>
    <t>BRF  ADS5158590   24R1</t>
  </si>
  <si>
    <t>BRF  ADS5158594XXL24R1</t>
  </si>
  <si>
    <t>BRF  ADS5158591   24R1</t>
  </si>
  <si>
    <t>BRF  ADS5158619   24R1</t>
  </si>
  <si>
    <t>BRF  ADS5158618   24R1</t>
  </si>
  <si>
    <t>BRF  ADS5158617   24R1</t>
  </si>
  <si>
    <t>BRF  ADS5158608   24R1</t>
  </si>
  <si>
    <t>BRF  ADS5158609   24R1</t>
  </si>
  <si>
    <t>BRF  ADS5158603   24R1</t>
  </si>
  <si>
    <t>LEG  MOTHC659     SS24</t>
  </si>
  <si>
    <t>LEG  MOTHC912     SS24</t>
  </si>
  <si>
    <t>LEG  MOTHC927     SS24</t>
  </si>
  <si>
    <t>TOP  ARASK2153    SS24</t>
  </si>
  <si>
    <t>SPANTEIG910009476 LC23</t>
  </si>
  <si>
    <t>TSHRTBDGOREGON    LC24</t>
  </si>
  <si>
    <t>TSHRTBSIFAMO      LC24</t>
  </si>
  <si>
    <t>TOP  RMKWOMEN TOP2LC24</t>
  </si>
  <si>
    <t>BOTTMRMKWOMAN BTM2LC24</t>
  </si>
  <si>
    <t>MANSTRMKMANSET    LC24</t>
  </si>
  <si>
    <t>MANSTRMKMANSET 2  LC24</t>
  </si>
  <si>
    <t>MANSTRMKMANSET 3  LC24</t>
  </si>
  <si>
    <t>STYLE</t>
  </si>
  <si>
    <t>KETERANGAN 1</t>
  </si>
  <si>
    <t>KETERANGAN 2</t>
  </si>
  <si>
    <t>KETERANGAN 3</t>
  </si>
  <si>
    <t xml:space="preserve"> MANSTRMKMANSET 3  24L1, BOTTMRMKWOMAN BTM7LC24</t>
  </si>
  <si>
    <t>Line Cost GM1</t>
  </si>
  <si>
    <t>Date</t>
  </si>
  <si>
    <t>Ftry</t>
  </si>
  <si>
    <t>OR</t>
  </si>
  <si>
    <t>Output</t>
  </si>
  <si>
    <t>CM(USD)</t>
  </si>
  <si>
    <t>Amt.CM(USD)</t>
  </si>
  <si>
    <t>Cost.Line(USD)</t>
  </si>
  <si>
    <t>Profit.Lost(USD)</t>
  </si>
  <si>
    <t>Indikator</t>
  </si>
  <si>
    <t>Reason</t>
  </si>
  <si>
    <t>Total CBA Line L1</t>
  </si>
  <si>
    <t>Total CBA Line L2</t>
  </si>
  <si>
    <t>Total CBA Line L3</t>
  </si>
  <si>
    <t>Total CJL Line L3</t>
  </si>
  <si>
    <t>Total CNJ2 Line L1</t>
  </si>
  <si>
    <t>Total CNJ2 Line L3</t>
  </si>
  <si>
    <t>Total CNJ2 Line L4</t>
  </si>
  <si>
    <t>Total CNJ2 Line L5</t>
  </si>
  <si>
    <t>Total CNJ2 Line L6</t>
  </si>
  <si>
    <t>Total CVA Line L1</t>
  </si>
  <si>
    <t>Total CVA Line L10</t>
  </si>
  <si>
    <t>Total CVA Line L2</t>
  </si>
  <si>
    <t>Total CVA Line L3</t>
  </si>
  <si>
    <t>Total CVA Line L4</t>
  </si>
  <si>
    <t>Total CVA Line L5</t>
  </si>
  <si>
    <t>Total CVA Line L6</t>
  </si>
  <si>
    <t>Total CVA Line L7</t>
  </si>
  <si>
    <t>Total CVA Line L8</t>
  </si>
  <si>
    <t>Total CVA Line L9</t>
  </si>
  <si>
    <t>Total CVA2 Line L1</t>
  </si>
  <si>
    <t>Total CVA2 Line L2</t>
  </si>
  <si>
    <t>Total KLB Line L1A</t>
  </si>
  <si>
    <t>Total KLB Line L1B</t>
  </si>
  <si>
    <t>Total KLB Line L2A</t>
  </si>
  <si>
    <t>Total KLB Line L2B</t>
  </si>
  <si>
    <t>Total KLB Line L3A</t>
  </si>
  <si>
    <t>Total KLB Line L3B</t>
  </si>
  <si>
    <t>Total MJ1 Line L1</t>
  </si>
  <si>
    <t>Total MJ1 Line L11</t>
  </si>
  <si>
    <t>Total MJ1 Line L12</t>
  </si>
  <si>
    <t>Total MJ1 Line L2</t>
  </si>
  <si>
    <t>Total MJ1 Line L3</t>
  </si>
  <si>
    <t>Total MJ1 Line L4</t>
  </si>
  <si>
    <t>Total MJ1 Line L5</t>
  </si>
  <si>
    <t>Total MJ1 Line L6</t>
  </si>
  <si>
    <t>Total MJ2 Line L1</t>
  </si>
  <si>
    <t>Total MJ2 Line L10</t>
  </si>
  <si>
    <t>Total MJ2 Line L11</t>
  </si>
  <si>
    <t>Total MJ2 Line L12</t>
  </si>
  <si>
    <t>Total MJ2 Line L13</t>
  </si>
  <si>
    <t>Total MJ2 Line L2</t>
  </si>
  <si>
    <t>Total MJ2 Line L3</t>
  </si>
  <si>
    <t>Total MJ2 Line L4</t>
  </si>
  <si>
    <t>Total MJ2 Line L5</t>
  </si>
  <si>
    <t>Total MJ2 Line L6</t>
  </si>
  <si>
    <t>Total MJ2 Line L7</t>
  </si>
  <si>
    <t>Total MJ2 Line L8</t>
  </si>
  <si>
    <t>Total MJ2 Line L9</t>
  </si>
  <si>
    <t>Total CHW Line L1</t>
  </si>
  <si>
    <t>Total CHW Line L2</t>
  </si>
  <si>
    <t>Total CHW Line L3</t>
  </si>
  <si>
    <t>Total CHW Line L4</t>
  </si>
  <si>
    <t>Absensi</t>
  </si>
  <si>
    <t>Target tidak tercapai</t>
  </si>
  <si>
    <t>Mesin rusak</t>
  </si>
  <si>
    <t>Ganti style</t>
  </si>
  <si>
    <t>þÿ</t>
  </si>
  <si>
    <t>PT. GISTEX GARMEN INDONESIA</t>
  </si>
  <si>
    <t>Report WO Buyer</t>
  </si>
  <si>
    <t>Page -</t>
  </si>
  <si>
    <t>of</t>
  </si>
  <si>
    <t>BPLANT</t>
  </si>
  <si>
    <t>TYPE</t>
  </si>
  <si>
    <t>WO/WK</t>
  </si>
  <si>
    <t>SO NUMBER</t>
  </si>
  <si>
    <t>ORD DATE</t>
  </si>
  <si>
    <t>REQ DATE</t>
  </si>
  <si>
    <t>2ND ITEM NUMBER</t>
  </si>
  <si>
    <t>QTY ORDER</t>
  </si>
  <si>
    <t>BID</t>
  </si>
  <si>
    <t>REFERENCE</t>
  </si>
  <si>
    <t>ALAMAT</t>
  </si>
  <si>
    <t>WK</t>
  </si>
  <si>
    <t>AUE25600</t>
  </si>
  <si>
    <t>BP.1070</t>
  </si>
  <si>
    <t>CVC BABY FLAT KNIT LEGGIN</t>
  </si>
  <si>
    <t>CVC NEWBORN FLAT KNIT LEG</t>
  </si>
  <si>
    <t>C GIRLS RIBKNIT LEGGINGS</t>
  </si>
  <si>
    <t>C BABY GIRL FLAT KNIT LEG</t>
  </si>
  <si>
    <t>BP.1119</t>
  </si>
  <si>
    <t>ATTN; ACCOUNTS PAYABLE</t>
  </si>
  <si>
    <t>ATTN: MFG ACCOUNTS PAYABLE</t>
  </si>
  <si>
    <t>2440 SO. SEPULVEDA BLVD</t>
  </si>
  <si>
    <t>MG TW 3PK CROPPED LEGGING</t>
  </si>
  <si>
    <t>Gedung Menara Era 12 th Floor</t>
  </si>
  <si>
    <t>JG CW CROPPED LEGGINGS BL</t>
  </si>
  <si>
    <t>JG TK CROPPED LEGGINGS</t>
  </si>
  <si>
    <t>LADIES SPORT TOP</t>
  </si>
  <si>
    <t>PERUMAHAN INDRA PRASTA II</t>
  </si>
  <si>
    <t>EIGERINDO MULTI PRODUK INDUSTR</t>
  </si>
  <si>
    <t>RAINTOUR BOARD SHORT</t>
  </si>
  <si>
    <t>JL. RAYA TERUSAN KOPO KM. 11.5 NO. 127A</t>
  </si>
  <si>
    <t>OREGON T-SHIRT</t>
  </si>
  <si>
    <t>Jl. Raya Pegangsaan Dua No.98</t>
  </si>
  <si>
    <t>JALAN CIMINCRANG NO.2B RT003/RW 003</t>
  </si>
  <si>
    <t>BOTTMRMKWOMAN BTM7LC24</t>
  </si>
  <si>
    <t>Scrub Penunjang Medis Far</t>
  </si>
  <si>
    <t>Manset</t>
  </si>
  <si>
    <t>MANSTRMKMANSET 3  24L1</t>
  </si>
  <si>
    <t>MANSET</t>
  </si>
  <si>
    <t>02 April 2024</t>
  </si>
  <si>
    <t>CONCAT</t>
  </si>
  <si>
    <t>BUYER2</t>
  </si>
  <si>
    <t>ITEM</t>
  </si>
  <si>
    <t>Total Output(PC)</t>
  </si>
  <si>
    <t>Cost.Proporsional(US)</t>
  </si>
  <si>
    <t>Actual Cost(PC)</t>
  </si>
  <si>
    <t>Balance CM</t>
  </si>
  <si>
    <t>Proposional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</si>
</sst>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dddd"/>
    <numFmt numFmtId="165" formatCode="m/d/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Bahnschrift SemiBold Condensed"/>
      <family val="2"/>
    </font>
    <font>
      <sz val="11"/>
      <color theme="1"/>
      <name val="Bahnschrift Light"/>
      <family val="2"/>
    </font>
    <font>
      <sz val="11"/>
      <color theme="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44" fontId="5" fillId="0" borderId="0" applyFont="0" applyFill="0" applyBorder="0" applyAlignment="0" applyProtection="0"/>
  </cellStyleXfs>
  <cellXfs count="73">
    <xf numFmtId="0" fontId="0" fillId="0" borderId="0" xfId="0"/>
    <xf numFmtId="14" fontId="0" fillId="0" borderId="0" xfId="0" applyNumberFormat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0" fillId="4" borderId="6" xfId="0" applyFill="1" applyBorder="1"/>
    <xf numFmtId="0" fontId="0" fillId="4" borderId="7" xfId="0" applyFill="1" applyBorder="1"/>
    <xf numFmtId="0" fontId="0" fillId="3" borderId="4" xfId="0" applyFill="1" applyBorder="1"/>
    <xf numFmtId="0" fontId="0" fillId="3" borderId="0" xfId="0" applyFill="1"/>
    <xf numFmtId="14" fontId="0" fillId="3" borderId="0" xfId="0" applyNumberFormat="1" applyFill="1"/>
    <xf numFmtId="0" fontId="0" fillId="4" borderId="0" xfId="0" applyFill="1"/>
    <xf numFmtId="0" fontId="1" fillId="6" borderId="1" xfId="0" applyFont="1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4" fillId="5" borderId="15" xfId="0" applyFont="1" applyFill="1" applyBorder="1"/>
    <xf numFmtId="0" fontId="1" fillId="2" borderId="15" xfId="0" applyFont="1" applyFill="1" applyBorder="1"/>
    <xf numFmtId="0" fontId="3" fillId="0" borderId="0" xfId="1"/>
    <xf numFmtId="0" fontId="6" fillId="0" borderId="0" xfId="1" applyFont="1"/>
    <xf numFmtId="0" fontId="7" fillId="0" borderId="0" xfId="0" applyFont="1"/>
    <xf numFmtId="0" fontId="8" fillId="0" borderId="0" xfId="0" applyFont="1"/>
    <xf numFmtId="14" fontId="9" fillId="0" borderId="0" xfId="0" applyNumberFormat="1" applyFont="1"/>
    <xf numFmtId="0" fontId="9" fillId="0" borderId="0" xfId="0" applyFont="1"/>
    <xf numFmtId="0" fontId="0" fillId="7" borderId="0" xfId="0" applyFill="1"/>
    <xf numFmtId="0" fontId="0" fillId="7" borderId="5" xfId="0" applyFill="1" applyBorder="1"/>
    <xf numFmtId="0" fontId="9" fillId="7" borderId="5" xfId="0" applyFont="1" applyFill="1" applyBorder="1"/>
    <xf numFmtId="0" fontId="9" fillId="7" borderId="0" xfId="0" applyFont="1" applyFill="1"/>
    <xf numFmtId="0" fontId="9" fillId="7" borderId="7" xfId="0" applyFont="1" applyFill="1" applyBorder="1"/>
    <xf numFmtId="0" fontId="9" fillId="7" borderId="8" xfId="0" applyFont="1" applyFill="1" applyBorder="1"/>
    <xf numFmtId="0" fontId="9" fillId="7" borderId="2" xfId="0" applyFont="1" applyFill="1" applyBorder="1"/>
    <xf numFmtId="0" fontId="0" fillId="7" borderId="2" xfId="0" applyFill="1" applyBorder="1"/>
    <xf numFmtId="0" fontId="0" fillId="7" borderId="7" xfId="0" applyFill="1" applyBorder="1"/>
    <xf numFmtId="0" fontId="3" fillId="7" borderId="11" xfId="1" applyFill="1" applyBorder="1"/>
    <xf numFmtId="16" fontId="0" fillId="7" borderId="9" xfId="0" quotePrefix="1" applyNumberFormat="1" applyFill="1" applyBorder="1"/>
    <xf numFmtId="0" fontId="3" fillId="7" borderId="10" xfId="1" applyFill="1" applyBorder="1"/>
    <xf numFmtId="0" fontId="2" fillId="7" borderId="11" xfId="0" applyFont="1" applyFill="1" applyBorder="1"/>
    <xf numFmtId="0" fontId="0" fillId="6" borderId="0" xfId="0" applyFill="1"/>
    <xf numFmtId="164" fontId="0" fillId="0" borderId="0" xfId="0" applyNumberFormat="1"/>
    <xf numFmtId="165" fontId="0" fillId="0" borderId="0" xfId="0" applyNumberFormat="1"/>
    <xf numFmtId="0" fontId="0" fillId="3" borderId="9" xfId="0" applyFill="1" applyBorder="1"/>
    <xf numFmtId="0" fontId="3" fillId="3" borderId="10" xfId="1" applyFill="1" applyBorder="1"/>
    <xf numFmtId="0" fontId="3" fillId="0" borderId="0" xfId="1" applyBorder="1"/>
    <xf numFmtId="16" fontId="3" fillId="0" borderId="0" xfId="1" quotePrefix="1" applyNumberFormat="1"/>
    <xf numFmtId="0" fontId="0" fillId="3" borderId="1" xfId="0" applyFill="1" applyBorder="1"/>
    <xf numFmtId="0" fontId="0" fillId="4" borderId="1" xfId="0" applyFill="1" applyBorder="1"/>
    <xf numFmtId="0" fontId="0" fillId="2" borderId="1" xfId="0" applyFill="1" applyBorder="1"/>
    <xf numFmtId="0" fontId="0" fillId="2" borderId="2" xfId="0" applyFill="1" applyBorder="1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5" borderId="0" xfId="0" applyFill="1"/>
  </cellXfs>
  <cellStyles count="4">
    <cellStyle name="Currency 2" xfId="3" xr:uid="{00000000-0005-0000-0000-000000000000}"/>
    <cellStyle name="Hyperlink" xfId="1" builtinId="8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51546</xdr:rowOff>
    </xdr:from>
    <xdr:to>
      <xdr:col>2</xdr:col>
      <xdr:colOff>28575</xdr:colOff>
      <xdr:row>5</xdr:row>
      <xdr:rowOff>129426</xdr:rowOff>
    </xdr:to>
    <xdr:sp macro="[0]!tarik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CF24EB87-75B6-4A1F-AFFC-E9DF4B3DF161}"/>
            </a:ext>
          </a:extLst>
        </xdr:cNvPr>
        <xdr:cNvSpPr/>
      </xdr:nvSpPr>
      <xdr:spPr bwMode="auto">
        <a:xfrm>
          <a:off x="295275" y="451596"/>
          <a:ext cx="1295400" cy="668430"/>
        </a:xfrm>
        <a:prstGeom prst="flowChartAlternateProcess">
          <a:avLst/>
        </a:prstGeom>
        <a:solidFill>
          <a:srgbClr val="FFC000"/>
        </a:solidFill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latin typeface="+mn-lt"/>
            </a:rPr>
            <a:t>TARIK</a:t>
          </a:r>
        </a:p>
      </xdr:txBody>
    </xdr:sp>
    <xdr:clientData/>
  </xdr:twoCellAnchor>
  <xdr:twoCellAnchor>
    <xdr:from>
      <xdr:col>1</xdr:col>
      <xdr:colOff>20171</xdr:colOff>
      <xdr:row>9</xdr:row>
      <xdr:rowOff>132230</xdr:rowOff>
    </xdr:from>
    <xdr:to>
      <xdr:col>2</xdr:col>
      <xdr:colOff>22412</xdr:colOff>
      <xdr:row>13</xdr:row>
      <xdr:rowOff>8405</xdr:rowOff>
    </xdr:to>
    <xdr:sp macro="[0]!RESUMEEEE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F217AACA-CBB8-494A-AE7F-C3CD038AA684}"/>
            </a:ext>
          </a:extLst>
        </xdr:cNvPr>
        <xdr:cNvSpPr/>
      </xdr:nvSpPr>
      <xdr:spPr bwMode="auto">
        <a:xfrm>
          <a:off x="286871" y="1913405"/>
          <a:ext cx="1297641" cy="714375"/>
        </a:xfrm>
        <a:prstGeom prst="flowChartAlternateProcess">
          <a:avLst/>
        </a:prstGeom>
        <a:solidFill>
          <a:srgbClr val="00FF00"/>
        </a:solidFill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latin typeface="+mn-lt"/>
            </a:rPr>
            <a:t>RESUME</a:t>
          </a:r>
        </a:p>
      </xdr:txBody>
    </xdr:sp>
    <xdr:clientData/>
  </xdr:twoCellAnchor>
  <xdr:twoCellAnchor>
    <xdr:from>
      <xdr:col>1</xdr:col>
      <xdr:colOff>31377</xdr:colOff>
      <xdr:row>6</xdr:row>
      <xdr:rowOff>4480</xdr:rowOff>
    </xdr:from>
    <xdr:to>
      <xdr:col>2</xdr:col>
      <xdr:colOff>33618</xdr:colOff>
      <xdr:row>9</xdr:row>
      <xdr:rowOff>71155</xdr:rowOff>
    </xdr:to>
    <xdr:sp macro="[0]!TOMBOLCM0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F938FEC0-008E-4007-9D75-D5BAA1D90B72}"/>
            </a:ext>
          </a:extLst>
        </xdr:cNvPr>
        <xdr:cNvSpPr/>
      </xdr:nvSpPr>
      <xdr:spPr bwMode="auto">
        <a:xfrm>
          <a:off x="298077" y="1195105"/>
          <a:ext cx="1297641" cy="657225"/>
        </a:xfrm>
        <a:prstGeom prst="flowChartAlternateProcess">
          <a:avLst/>
        </a:prstGeom>
        <a:solidFill>
          <a:srgbClr val="FFC000"/>
        </a:solidFill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latin typeface="+mn-lt"/>
            </a:rPr>
            <a:t>CM 0</a:t>
          </a:r>
        </a:p>
      </xdr:txBody>
    </xdr:sp>
    <xdr:clientData/>
  </xdr:twoCellAnchor>
  <xdr:twoCellAnchor>
    <xdr:from>
      <xdr:col>1</xdr:col>
      <xdr:colOff>9525</xdr:colOff>
      <xdr:row>17</xdr:row>
      <xdr:rowOff>189382</xdr:rowOff>
    </xdr:from>
    <xdr:to>
      <xdr:col>2</xdr:col>
      <xdr:colOff>9525</xdr:colOff>
      <xdr:row>20</xdr:row>
      <xdr:rowOff>256057</xdr:rowOff>
    </xdr:to>
    <xdr:sp macro="[0]!APUSSS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5EAF88D4-9301-46EA-AA49-52AC89873DB5}"/>
            </a:ext>
          </a:extLst>
        </xdr:cNvPr>
        <xdr:cNvSpPr/>
      </xdr:nvSpPr>
      <xdr:spPr bwMode="auto">
        <a:xfrm>
          <a:off x="276225" y="3589807"/>
          <a:ext cx="1295400" cy="638175"/>
        </a:xfrm>
        <a:prstGeom prst="flowChartAlternateProcess">
          <a:avLst/>
        </a:prstGeom>
        <a:solidFill>
          <a:srgbClr val="FFC000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solidFill>
                <a:srgbClr val="FF0000"/>
              </a:solidFill>
              <a:latin typeface="+mn-lt"/>
            </a:rPr>
            <a:t>CLEAR</a:t>
          </a:r>
        </a:p>
      </xdr:txBody>
    </xdr:sp>
    <xdr:clientData/>
  </xdr:twoCellAnchor>
  <xdr:twoCellAnchor>
    <xdr:from>
      <xdr:col>1</xdr:col>
      <xdr:colOff>25213</xdr:colOff>
      <xdr:row>13</xdr:row>
      <xdr:rowOff>100294</xdr:rowOff>
    </xdr:from>
    <xdr:to>
      <xdr:col>2</xdr:col>
      <xdr:colOff>27454</xdr:colOff>
      <xdr:row>17</xdr:row>
      <xdr:rowOff>32498</xdr:rowOff>
    </xdr:to>
    <xdr:sp macro="[0]!splitt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DD98E7CD-225A-45E6-8D56-88A5D9F1B3FA}"/>
            </a:ext>
          </a:extLst>
        </xdr:cNvPr>
        <xdr:cNvSpPr/>
      </xdr:nvSpPr>
      <xdr:spPr bwMode="auto">
        <a:xfrm>
          <a:off x="291913" y="2719669"/>
          <a:ext cx="1297641" cy="713254"/>
        </a:xfrm>
        <a:prstGeom prst="flowChartAlternateProcess">
          <a:avLst/>
        </a:prstGeom>
        <a:solidFill>
          <a:srgbClr val="FFC000"/>
        </a:solidFill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latin typeface="+mn-lt"/>
            </a:rPr>
            <a:t>SPLIT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Users\rexy.IT03\Desktop\TES\BEKAP\SPLIT\GI-IS%20-%20Cost%20Factory%20Report%20Gistex%20Cileunyi%20Japan.xlsx" TargetMode="External"/><Relationship Id="rId13" Type="http://schemas.openxmlformats.org/officeDocument/2006/relationships/hyperlink" Target="file:///C:\Users\rexy.IT03\Desktop\TES\BEKAP\SPLIT\GI-IS%20-%20Cost%20Factory%20Report%20Gistex%20Majalengka%202.xlsx" TargetMode="External"/><Relationship Id="rId18" Type="http://schemas.openxmlformats.org/officeDocument/2006/relationships/hyperlink" Target="mailto:cnj.lina@gmail.com" TargetMode="External"/><Relationship Id="rId26" Type="http://schemas.openxmlformats.org/officeDocument/2006/relationships/hyperlink" Target="file:///\\10.5.0.27\bersama\LINE%20COST" TargetMode="External"/><Relationship Id="rId3" Type="http://schemas.openxmlformats.org/officeDocument/2006/relationships/hyperlink" Target="..\..\REXY\Profit%20Loss\Tarikan%20Recap%20CM" TargetMode="External"/><Relationship Id="rId21" Type="http://schemas.openxmlformats.org/officeDocument/2006/relationships/hyperlink" Target="..\RPA" TargetMode="External"/><Relationship Id="rId7" Type="http://schemas.openxmlformats.org/officeDocument/2006/relationships/hyperlink" Target="file:///C:\Users\rexy.IT03\Desktop\TES\BEKAP\SPLIT\GI-IS%20-%20Cost%20Factory%20Report%20CV%20Chawan.xlsx" TargetMode="External"/><Relationship Id="rId12" Type="http://schemas.openxmlformats.org/officeDocument/2006/relationships/hyperlink" Target="file:///C:\Users\rexy.IT03\Desktop\TES\BEKAP\SPLIT\GI-IS%20-%20Cost%20Factory%20Report%20Gistex%20Majalengka%201.xlsx" TargetMode="External"/><Relationship Id="rId17" Type="http://schemas.openxmlformats.org/officeDocument/2006/relationships/hyperlink" Target="mailto:rhartono@gistexgroup.com" TargetMode="External"/><Relationship Id="rId25" Type="http://schemas.openxmlformats.org/officeDocument/2006/relationships/hyperlink" Target="SPLIT/GI-IS%20-%20Cost%20Factory%20Report%20CV%20Anugrah%202.xlsx" TargetMode="External"/><Relationship Id="rId2" Type="http://schemas.openxmlformats.org/officeDocument/2006/relationships/hyperlink" Target="..\..\REXY\Profit%20Loss\Tarikan%20WO%20Buyer" TargetMode="External"/><Relationship Id="rId16" Type="http://schemas.openxmlformats.org/officeDocument/2006/relationships/hyperlink" Target="mailto:kzulfikar@gistexgroup.com)" TargetMode="External"/><Relationship Id="rId20" Type="http://schemas.openxmlformats.org/officeDocument/2006/relationships/hyperlink" Target="../SPLIT/GI-IS%20-%20Cost%20Factory%20Report%20CNJ%20GROUP.xlsx" TargetMode="External"/><Relationship Id="rId1" Type="http://schemas.openxmlformats.org/officeDocument/2006/relationships/hyperlink" Target="file:///C:\Users\rexy.IT03\Desktop\TES\BEKAP\SPLIT" TargetMode="External"/><Relationship Id="rId6" Type="http://schemas.openxmlformats.org/officeDocument/2006/relationships/hyperlink" Target="file:///C:\Users\rexy.IT03\Desktop\TES\BEKAP\SPLIT\GI-IS%20-%20Cost%20Factory%20Report%20Cahaya%20Busana%20Abadi.xlsx" TargetMode="External"/><Relationship Id="rId11" Type="http://schemas.openxmlformats.org/officeDocument/2006/relationships/hyperlink" Target="file:///C:\Users\rexy.IT03\Desktop\TES\BEKAP\SPLIT\GI-IS%20-%20Cost%20Factory%20Report%20Gistex%20Kalibenda.xlsx" TargetMode="External"/><Relationship Id="rId24" Type="http://schemas.openxmlformats.org/officeDocument/2006/relationships/hyperlink" Target="SPLIT/GI-IS%20-%20Cost%20Factory%20Report%20CV%20Anugrah.xlsx" TargetMode="External"/><Relationship Id="rId5" Type="http://schemas.openxmlformats.org/officeDocument/2006/relationships/hyperlink" Target="mailto:rhartono@gistexgroup.com" TargetMode="External"/><Relationship Id="rId15" Type="http://schemas.openxmlformats.org/officeDocument/2006/relationships/hyperlink" Target="../REXY/Profit%20Loss/MACRO-CM0NOOR.xlsm" TargetMode="External"/><Relationship Id="rId23" Type="http://schemas.openxmlformats.org/officeDocument/2006/relationships/hyperlink" Target="../REXY/Profit%20Loss/Tarikan%20GCC" TargetMode="External"/><Relationship Id="rId28" Type="http://schemas.openxmlformats.org/officeDocument/2006/relationships/drawing" Target="../drawings/drawing1.xml"/><Relationship Id="rId10" Type="http://schemas.openxmlformats.org/officeDocument/2006/relationships/hyperlink" Target="file:///C:\Users\rexy.IT03\Desktop\TES\BEKAP\SPLIT\GI-IS%20-%20Cost%20Factory%20Report%20CNJ2.xlsx" TargetMode="External"/><Relationship Id="rId19" Type="http://schemas.openxmlformats.org/officeDocument/2006/relationships/hyperlink" Target="mailto:cnj.lina@gmail.com" TargetMode="External"/><Relationship Id="rId4" Type="http://schemas.openxmlformats.org/officeDocument/2006/relationships/hyperlink" Target="mailto:kzulfikar@gistexgroup.com)" TargetMode="External"/><Relationship Id="rId9" Type="http://schemas.openxmlformats.org/officeDocument/2006/relationships/hyperlink" Target="file:///C:\Users\rexy.IT03\Desktop\TES\BEKAP\SPLIT\GI-IS%20-%20Cost%20Factory%20ReportGistex%20Cileunyi.xlsx" TargetMode="External"/><Relationship Id="rId14" Type="http://schemas.openxmlformats.org/officeDocument/2006/relationships/hyperlink" Target="file:///C:\Users\rexy.IT03\Desktop\TES\REXY\OUTPUT%20SEWING\MACRO%20OUTPUT%20REPORT%20SEWING.xlsm" TargetMode="External"/><Relationship Id="rId22" Type="http://schemas.openxmlformats.org/officeDocument/2006/relationships/hyperlink" Target="..\REXY\Profit%20Loss\Tarikan%20GCC" TargetMode="External"/><Relationship Id="rId27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Z141"/>
  <sheetViews>
    <sheetView tabSelected="1" zoomScale="70" zoomScaleNormal="70" zoomScaleSheetLayoutView="85" workbookViewId="0"/>
  </sheetViews>
  <sheetFormatPr defaultRowHeight="15" x14ac:dyDescent="0.25"/>
  <cols>
    <col min="1" max="1" width="4" customWidth="1"/>
    <col min="2" max="2" width="19.42578125" customWidth="1"/>
    <col min="3" max="3" width="5.140625" customWidth="1"/>
    <col min="4" max="4" width="4.28515625" customWidth="1"/>
    <col min="5" max="5" width="35.28515625" bestFit="1" customWidth="1"/>
    <col min="6" max="6" width="61.5703125" customWidth="1"/>
    <col min="8" max="8" width="15.28515625" customWidth="1"/>
    <col min="9" max="9" width="4.42578125" customWidth="1"/>
    <col min="12" max="12" width="9.7109375" customWidth="1"/>
    <col min="13" max="14" width="26.42578125" style="43" customWidth="1"/>
    <col min="15" max="16" width="15.140625" style="43" customWidth="1"/>
    <col min="17" max="17" width="23.42578125" style="43" customWidth="1"/>
    <col min="18" max="18" width="9" style="43" customWidth="1"/>
    <col min="19" max="19" width="9.140625" customWidth="1"/>
    <col min="23" max="24" width="9.140625" customWidth="1"/>
    <col min="25" max="25" width="12" bestFit="1" customWidth="1"/>
    <col min="26" max="28" width="9.140625" customWidth="1"/>
    <col min="29" max="29" width="13.5703125" bestFit="1" customWidth="1"/>
    <col min="30" max="30" width="9.140625" customWidth="1"/>
    <col min="31" max="31" width="13.85546875" bestFit="1" customWidth="1"/>
    <col min="32" max="32" width="22.85546875" bestFit="1" customWidth="1"/>
    <col min="33" max="33" width="88.7109375" bestFit="1" customWidth="1"/>
    <col min="34" max="34" width="27.7109375" bestFit="1" customWidth="1"/>
    <col min="35" max="35" width="10.42578125" customWidth="1"/>
    <col min="37" max="37" width="7.28515625" bestFit="1" customWidth="1"/>
    <col min="38" max="38" width="13.140625" customWidth="1"/>
    <col min="39" max="40" width="28.140625" bestFit="1" customWidth="1"/>
    <col min="41" max="41" width="13.85546875" bestFit="1" customWidth="1"/>
    <col min="43" max="43" width="81.7109375" bestFit="1" customWidth="1"/>
    <col min="48" max="48" width="87.85546875" bestFit="1" customWidth="1"/>
    <col min="49" max="49" width="40.5703125" bestFit="1" customWidth="1"/>
    <col min="50" max="50" width="12" bestFit="1" customWidth="1"/>
    <col min="51" max="51" width="8.7109375" bestFit="1" customWidth="1"/>
    <col min="52" max="52" width="9.5703125" bestFit="1" customWidth="1"/>
  </cols>
  <sheetData>
    <row r="1" spans="1:52" ht="15.75" thickBot="1" x14ac:dyDescent="0.3">
      <c r="A1" s="64"/>
      <c r="B1" s="9"/>
      <c r="C1" s="9"/>
      <c r="D1" s="9"/>
      <c r="E1" s="9"/>
      <c r="F1" s="9"/>
      <c r="G1" s="9"/>
      <c r="H1" s="9"/>
      <c r="I1" s="10"/>
      <c r="J1" s="45"/>
      <c r="L1" s="1"/>
      <c r="M1" s="42">
        <f ca="1">TODAY()</f>
        <v>45386</v>
      </c>
      <c r="N1" s="42">
        <f ca="1">M1-1</f>
        <v>45385</v>
      </c>
      <c r="O1" s="43" t="str">
        <f ca="1">M2&amp; " " &amp;M3&amp;" "&amp;M4</f>
        <v>4 April 2024</v>
      </c>
      <c r="P1" s="43" t="str">
        <f ca="1">N2&amp; " " &amp;N3&amp;" "&amp;N4</f>
        <v>03 April 2024</v>
      </c>
      <c r="R1" s="43" t="s">
        <v>71</v>
      </c>
      <c r="Y1" s="1">
        <f ca="1">TODAY()-2</f>
        <v>45384</v>
      </c>
      <c r="AC1" t="s">
        <v>5</v>
      </c>
      <c r="AE1" t="s">
        <v>11</v>
      </c>
      <c r="AO1" t="s">
        <v>77</v>
      </c>
      <c r="AQ1" s="63" t="s">
        <v>78</v>
      </c>
      <c r="AR1" s="38" t="s">
        <v>76</v>
      </c>
      <c r="AV1" s="41" t="s">
        <v>64</v>
      </c>
      <c r="AW1" s="40" t="s">
        <v>69</v>
      </c>
      <c r="AX1" s="1">
        <f ca="1">TODAY()</f>
        <v>45386</v>
      </c>
      <c r="AY1" s="58"/>
      <c r="AZ1" s="59"/>
    </row>
    <row r="2" spans="1:52" ht="15.75" thickBot="1" x14ac:dyDescent="0.3">
      <c r="A2" s="21"/>
      <c r="B2" s="65"/>
      <c r="C2" s="15"/>
      <c r="D2" s="16"/>
      <c r="E2" s="22"/>
      <c r="F2" s="22"/>
      <c r="G2" s="22"/>
      <c r="H2" s="22"/>
      <c r="I2" s="11"/>
      <c r="J2" s="45"/>
      <c r="M2" s="43">
        <f ca="1">DAY(M1)</f>
        <v>4</v>
      </c>
      <c r="N2" s="43" t="str">
        <f ca="1">IF(DAY(N1)&lt;10,CONCATENATE("0",DAY(N1)),DAY(N1))</f>
        <v>03</v>
      </c>
      <c r="AC2" t="s">
        <v>3</v>
      </c>
      <c r="AE2" t="s">
        <v>12</v>
      </c>
      <c r="AF2" t="s">
        <v>21</v>
      </c>
      <c r="AG2" s="38" t="s">
        <v>54</v>
      </c>
      <c r="AH2" s="38"/>
      <c r="AI2" s="39" t="s">
        <v>31</v>
      </c>
      <c r="AJ2" t="s">
        <v>32</v>
      </c>
      <c r="AK2" t="s">
        <v>33</v>
      </c>
      <c r="AL2" t="s">
        <v>34</v>
      </c>
      <c r="AM2" t="s">
        <v>35</v>
      </c>
      <c r="AV2" s="38" t="s">
        <v>63</v>
      </c>
      <c r="AW2" s="40" t="s">
        <v>67</v>
      </c>
      <c r="AX2" s="1">
        <v>45386</v>
      </c>
    </row>
    <row r="3" spans="1:52" ht="15.75" thickBot="1" x14ac:dyDescent="0.3">
      <c r="A3" s="66"/>
      <c r="B3" s="67"/>
      <c r="C3" s="2"/>
      <c r="D3" s="24"/>
      <c r="E3" s="37" t="s">
        <v>20</v>
      </c>
      <c r="F3" s="53" t="s">
        <v>29</v>
      </c>
      <c r="G3" s="22"/>
      <c r="H3" s="22"/>
      <c r="I3" s="11"/>
      <c r="J3" s="45"/>
      <c r="M3" s="43" t="str">
        <f ca="1">TEXT(M1,"mmmm")</f>
        <v>April</v>
      </c>
      <c r="N3" s="43" t="str">
        <f ca="1">TEXT(N1,"mmmm")</f>
        <v>April</v>
      </c>
      <c r="AE3" t="s">
        <v>13</v>
      </c>
      <c r="AF3" t="s">
        <v>22</v>
      </c>
      <c r="AG3" s="38" t="s">
        <v>55</v>
      </c>
      <c r="AH3" s="38" t="s">
        <v>51</v>
      </c>
      <c r="AI3" s="39" t="s">
        <v>31</v>
      </c>
      <c r="AJ3" t="s">
        <v>36</v>
      </c>
      <c r="AK3" t="s">
        <v>33</v>
      </c>
      <c r="AL3" t="s">
        <v>37</v>
      </c>
      <c r="AM3" s="38" t="s">
        <v>38</v>
      </c>
      <c r="AN3" s="38" t="s">
        <v>38</v>
      </c>
      <c r="AV3" s="40"/>
      <c r="AW3" s="40"/>
    </row>
    <row r="4" spans="1:52" ht="15.75" thickBot="1" x14ac:dyDescent="0.3">
      <c r="A4" s="3"/>
      <c r="B4" s="4"/>
      <c r="C4" s="5"/>
      <c r="D4" s="17"/>
      <c r="E4" s="22"/>
      <c r="F4" s="23"/>
      <c r="G4" s="22"/>
      <c r="H4" s="22"/>
      <c r="I4" s="11"/>
      <c r="J4" s="45"/>
      <c r="M4" s="43">
        <f ca="1">YEAR(M1)</f>
        <v>2024</v>
      </c>
      <c r="N4" s="43">
        <f ca="1">YEAR(N1)</f>
        <v>2024</v>
      </c>
      <c r="AE4" t="s">
        <v>14</v>
      </c>
      <c r="AF4" t="s">
        <v>23</v>
      </c>
      <c r="AG4" s="38" t="s">
        <v>56</v>
      </c>
      <c r="AH4" s="38" t="s">
        <v>50</v>
      </c>
      <c r="AI4" s="39" t="s">
        <v>31</v>
      </c>
      <c r="AJ4" t="s">
        <v>39</v>
      </c>
      <c r="AK4" t="s">
        <v>33</v>
      </c>
      <c r="AL4" t="s">
        <v>40</v>
      </c>
      <c r="AM4" s="38" t="s">
        <v>52</v>
      </c>
      <c r="AV4" s="40" t="s">
        <v>66</v>
      </c>
      <c r="AW4" s="40" t="s">
        <v>70</v>
      </c>
    </row>
    <row r="5" spans="1:52" x14ac:dyDescent="0.25">
      <c r="A5" s="3"/>
      <c r="B5" s="4"/>
      <c r="C5" s="5"/>
      <c r="D5" s="17"/>
      <c r="E5" s="33" t="s">
        <v>2</v>
      </c>
      <c r="F5" s="54" t="s">
        <v>84</v>
      </c>
      <c r="G5" s="22"/>
      <c r="H5" s="22"/>
      <c r="I5" s="11"/>
      <c r="J5" s="45"/>
      <c r="M5" s="43">
        <f ca="1">MONTH(M1)</f>
        <v>4</v>
      </c>
      <c r="N5" s="42"/>
      <c r="O5" s="42">
        <v>45383</v>
      </c>
      <c r="P5" s="42" t="str">
        <f>TEXT(O5,"dd")</f>
        <v>01</v>
      </c>
      <c r="Q5" s="43" t="s">
        <v>91</v>
      </c>
      <c r="AE5" t="s">
        <v>53</v>
      </c>
      <c r="AF5" t="s">
        <v>24</v>
      </c>
      <c r="AG5" s="38" t="s">
        <v>57</v>
      </c>
      <c r="AH5" s="38" t="s">
        <v>50</v>
      </c>
      <c r="AI5" s="39" t="s">
        <v>31</v>
      </c>
      <c r="AJ5" t="s">
        <v>41</v>
      </c>
      <c r="AK5" t="s">
        <v>42</v>
      </c>
      <c r="AL5" t="s">
        <v>43</v>
      </c>
      <c r="AM5" t="s">
        <v>44</v>
      </c>
      <c r="AN5" t="s">
        <v>45</v>
      </c>
      <c r="AV5" s="38" t="s">
        <v>65</v>
      </c>
      <c r="AW5" s="40" t="s">
        <v>68</v>
      </c>
    </row>
    <row r="6" spans="1:52" ht="15.75" thickBot="1" x14ac:dyDescent="0.3">
      <c r="A6" s="3"/>
      <c r="B6" s="4"/>
      <c r="C6" s="5"/>
      <c r="D6" s="17"/>
      <c r="E6" s="34" t="s">
        <v>1</v>
      </c>
      <c r="F6" s="55" t="s">
        <v>83</v>
      </c>
      <c r="G6" s="22"/>
      <c r="H6" s="22"/>
      <c r="I6" s="11"/>
      <c r="J6" s="45"/>
      <c r="O6" s="42">
        <f ca="1">M1-3</f>
        <v>45383</v>
      </c>
      <c r="P6" s="43">
        <f ca="1">DAY(O6)</f>
        <v>1</v>
      </c>
      <c r="AE6" t="s">
        <v>15</v>
      </c>
      <c r="AF6" t="s">
        <v>15</v>
      </c>
      <c r="AG6" s="38" t="s">
        <v>58</v>
      </c>
      <c r="AH6" s="38"/>
      <c r="AI6" s="39" t="s">
        <v>31</v>
      </c>
      <c r="AJ6" t="s">
        <v>46</v>
      </c>
      <c r="AK6" t="s">
        <v>47</v>
      </c>
      <c r="AL6" t="s">
        <v>33</v>
      </c>
      <c r="AM6" t="s">
        <v>48</v>
      </c>
      <c r="AN6" t="s">
        <v>49</v>
      </c>
    </row>
    <row r="7" spans="1:52" x14ac:dyDescent="0.25">
      <c r="A7" s="3"/>
      <c r="B7" s="4"/>
      <c r="C7" s="5"/>
      <c r="D7" s="17"/>
      <c r="E7" s="22"/>
      <c r="F7" s="22"/>
      <c r="G7" s="22"/>
      <c r="H7" s="22"/>
      <c r="I7" s="11"/>
      <c r="J7" s="45"/>
      <c r="L7" s="68"/>
      <c r="P7" s="43" t="str">
        <f ca="1">TEXT(O6,"MMMM")</f>
        <v>April</v>
      </c>
      <c r="AE7" t="s">
        <v>16</v>
      </c>
      <c r="AF7" t="s">
        <v>25</v>
      </c>
      <c r="AG7" s="38" t="s">
        <v>59</v>
      </c>
      <c r="AH7" s="38"/>
      <c r="AI7" s="39"/>
      <c r="AM7" s="38" t="s">
        <v>76</v>
      </c>
      <c r="AV7" t="s">
        <v>80</v>
      </c>
    </row>
    <row r="8" spans="1:52" ht="15.75" thickBot="1" x14ac:dyDescent="0.3">
      <c r="A8" s="3"/>
      <c r="B8" s="4"/>
      <c r="C8" s="5"/>
      <c r="D8" s="17"/>
      <c r="E8" s="22"/>
      <c r="F8" s="22"/>
      <c r="G8" s="22"/>
      <c r="H8" s="22"/>
      <c r="I8" s="11"/>
      <c r="J8" s="45"/>
      <c r="P8" s="42"/>
      <c r="AE8" t="s">
        <v>17</v>
      </c>
      <c r="AF8" t="s">
        <v>26</v>
      </c>
      <c r="AG8" s="38" t="s">
        <v>60</v>
      </c>
      <c r="AH8" s="38" t="s">
        <v>51</v>
      </c>
      <c r="AI8" s="39"/>
      <c r="AV8" s="38" t="s">
        <v>81</v>
      </c>
    </row>
    <row r="9" spans="1:52" ht="15.75" thickBot="1" x14ac:dyDescent="0.3">
      <c r="A9" s="3"/>
      <c r="B9" s="4"/>
      <c r="C9" s="5"/>
      <c r="D9" s="17"/>
      <c r="E9" s="35" t="s">
        <v>0</v>
      </c>
      <c r="F9" s="53" t="s">
        <v>30</v>
      </c>
      <c r="G9" s="22"/>
      <c r="H9" s="22"/>
      <c r="I9" s="11"/>
      <c r="J9" s="45"/>
      <c r="AE9" t="s">
        <v>18</v>
      </c>
      <c r="AF9" t="s">
        <v>27</v>
      </c>
      <c r="AG9" s="38" t="s">
        <v>61</v>
      </c>
      <c r="AH9" s="38" t="s">
        <v>82</v>
      </c>
      <c r="AI9" s="39"/>
    </row>
    <row r="10" spans="1:52" x14ac:dyDescent="0.25">
      <c r="A10" s="3"/>
      <c r="B10" s="4"/>
      <c r="C10" s="5"/>
      <c r="D10" s="17"/>
      <c r="E10" s="22"/>
      <c r="F10" s="22"/>
      <c r="G10" s="22"/>
      <c r="H10" s="22"/>
      <c r="I10" s="11"/>
      <c r="J10" s="45"/>
      <c r="M10" s="54" t="s">
        <v>84</v>
      </c>
      <c r="AE10" t="s">
        <v>19</v>
      </c>
      <c r="AF10" t="s">
        <v>28</v>
      </c>
      <c r="AG10" s="38" t="s">
        <v>62</v>
      </c>
      <c r="AH10" s="38" t="s">
        <v>52</v>
      </c>
      <c r="AI10" s="39"/>
    </row>
    <row r="11" spans="1:52" ht="15.75" thickBot="1" x14ac:dyDescent="0.3">
      <c r="A11" s="3"/>
      <c r="B11" s="4"/>
      <c r="C11" s="5"/>
      <c r="D11" s="17"/>
      <c r="E11" s="22"/>
      <c r="F11" s="22"/>
      <c r="G11" s="22"/>
      <c r="H11" s="22"/>
      <c r="I11" s="11"/>
      <c r="J11" s="45"/>
      <c r="M11" s="55" t="s">
        <v>83</v>
      </c>
      <c r="AE11" t="s">
        <v>85</v>
      </c>
      <c r="AF11" t="s">
        <v>86</v>
      </c>
      <c r="AG11" s="38" t="s">
        <v>87</v>
      </c>
    </row>
    <row r="12" spans="1:52" ht="19.5" thickBot="1" x14ac:dyDescent="0.35">
      <c r="A12" s="3"/>
      <c r="B12" s="4"/>
      <c r="C12" s="5"/>
      <c r="D12" s="24"/>
      <c r="E12" s="36" t="s">
        <v>4</v>
      </c>
      <c r="F12" s="56" t="s">
        <v>3</v>
      </c>
      <c r="G12" s="22"/>
      <c r="H12" s="22"/>
      <c r="I12" s="11"/>
      <c r="J12" s="45"/>
      <c r="AG12" s="62"/>
    </row>
    <row r="13" spans="1:52" ht="15.75" thickBot="1" x14ac:dyDescent="0.3">
      <c r="A13" s="3"/>
      <c r="B13" s="4"/>
      <c r="C13" s="5"/>
      <c r="D13" s="17"/>
      <c r="E13" s="22"/>
      <c r="F13" s="22"/>
      <c r="G13" s="22"/>
      <c r="H13" s="22"/>
      <c r="I13" s="11"/>
      <c r="J13" s="45"/>
      <c r="M13" s="69" t="s">
        <v>187</v>
      </c>
    </row>
    <row r="14" spans="1:52" x14ac:dyDescent="0.25">
      <c r="A14" s="3"/>
      <c r="B14" s="4"/>
      <c r="C14" s="5"/>
      <c r="D14" s="24"/>
      <c r="E14" s="33" t="s">
        <v>72</v>
      </c>
      <c r="F14" s="60" t="s">
        <v>75</v>
      </c>
      <c r="G14" s="22"/>
      <c r="H14" s="22"/>
      <c r="I14" s="11"/>
      <c r="J14" s="45"/>
      <c r="M14" s="38" t="s">
        <v>92</v>
      </c>
    </row>
    <row r="15" spans="1:52" ht="15.75" thickBot="1" x14ac:dyDescent="0.3">
      <c r="A15" s="3"/>
      <c r="B15" s="4"/>
      <c r="C15" s="5"/>
      <c r="D15" s="24"/>
      <c r="E15" s="34" t="s">
        <v>73</v>
      </c>
      <c r="F15" s="61" t="s">
        <v>74</v>
      </c>
      <c r="G15" s="22"/>
      <c r="H15" s="22"/>
      <c r="I15" s="11"/>
      <c r="J15" s="45"/>
      <c r="L15" s="38"/>
    </row>
    <row r="16" spans="1:52" ht="15.75" thickBot="1" x14ac:dyDescent="0.3">
      <c r="A16" s="3"/>
      <c r="B16" s="4"/>
      <c r="C16" s="5"/>
      <c r="D16" s="17"/>
      <c r="E16" s="22"/>
      <c r="F16" s="22"/>
      <c r="G16" s="22"/>
      <c r="H16" s="22"/>
      <c r="I16" s="11"/>
      <c r="J16" s="45"/>
    </row>
    <row r="17" spans="1:12" x14ac:dyDescent="0.25">
      <c r="A17" s="3"/>
      <c r="B17" s="4"/>
      <c r="C17" s="5"/>
      <c r="D17" s="17"/>
      <c r="E17" s="22"/>
      <c r="F17" s="25" t="s">
        <v>6</v>
      </c>
      <c r="G17" s="26"/>
      <c r="H17" s="27"/>
      <c r="I17" s="11"/>
      <c r="J17" s="45"/>
      <c r="L17" s="38"/>
    </row>
    <row r="18" spans="1:12" x14ac:dyDescent="0.25">
      <c r="A18" s="3"/>
      <c r="B18" s="4"/>
      <c r="C18" s="5"/>
      <c r="D18" s="17"/>
      <c r="E18" s="22"/>
      <c r="F18" s="28" t="s">
        <v>9</v>
      </c>
      <c r="G18" s="57"/>
      <c r="H18" s="29"/>
      <c r="I18" s="11"/>
      <c r="J18" s="45"/>
    </row>
    <row r="19" spans="1:12" x14ac:dyDescent="0.25">
      <c r="A19" s="3"/>
      <c r="B19" s="4"/>
      <c r="C19" s="5"/>
      <c r="D19" s="17"/>
      <c r="E19" s="22"/>
      <c r="F19" s="28" t="s">
        <v>7</v>
      </c>
      <c r="G19" s="57"/>
      <c r="H19" s="29"/>
      <c r="I19" s="11"/>
      <c r="J19" s="45"/>
    </row>
    <row r="20" spans="1:12" x14ac:dyDescent="0.25">
      <c r="A20" s="3"/>
      <c r="B20" s="4"/>
      <c r="C20" s="5"/>
      <c r="D20" s="17"/>
      <c r="E20" s="22"/>
      <c r="F20" s="28"/>
      <c r="G20" s="57"/>
      <c r="H20" s="29"/>
      <c r="I20" s="11"/>
      <c r="J20" s="45"/>
    </row>
    <row r="21" spans="1:12" ht="27" customHeight="1" thickBot="1" x14ac:dyDescent="0.3">
      <c r="A21" s="6"/>
      <c r="B21" s="7"/>
      <c r="C21" s="8"/>
      <c r="D21" s="17"/>
      <c r="E21" s="22"/>
      <c r="F21" s="28" t="s">
        <v>8</v>
      </c>
      <c r="G21" s="57"/>
      <c r="H21" s="29"/>
      <c r="I21" s="11"/>
      <c r="J21" s="45"/>
    </row>
    <row r="22" spans="1:12" ht="15.75" thickBot="1" x14ac:dyDescent="0.3">
      <c r="A22" s="21"/>
      <c r="B22" s="19"/>
      <c r="C22" s="20"/>
      <c r="D22" s="18"/>
      <c r="E22" s="22"/>
      <c r="F22" s="28"/>
      <c r="G22" s="57"/>
      <c r="H22" s="29"/>
      <c r="I22" s="11"/>
      <c r="J22" s="45"/>
    </row>
    <row r="23" spans="1:12" x14ac:dyDescent="0.25">
      <c r="A23" s="21"/>
      <c r="B23" s="22"/>
      <c r="C23" s="22"/>
      <c r="D23" s="22"/>
      <c r="E23" s="22"/>
      <c r="F23" s="28" t="s">
        <v>10</v>
      </c>
      <c r="G23" s="57"/>
      <c r="H23" s="29"/>
      <c r="I23" s="11"/>
      <c r="J23" s="45"/>
    </row>
    <row r="24" spans="1:12" ht="15.75" thickBot="1" x14ac:dyDescent="0.3">
      <c r="A24" s="21"/>
      <c r="B24" s="22"/>
      <c r="C24" s="22"/>
      <c r="D24" s="22"/>
      <c r="E24" s="22"/>
      <c r="F24" s="30"/>
      <c r="G24" s="31"/>
      <c r="H24" s="32"/>
      <c r="I24" s="11"/>
      <c r="J24" s="45"/>
    </row>
    <row r="25" spans="1:12" x14ac:dyDescent="0.25">
      <c r="A25" s="21"/>
      <c r="B25" s="22"/>
      <c r="C25" s="22"/>
      <c r="D25" s="22"/>
      <c r="E25" s="22"/>
      <c r="F25" s="22"/>
      <c r="G25" s="22"/>
      <c r="H25" s="22"/>
      <c r="I25" s="11"/>
      <c r="J25" s="45"/>
    </row>
    <row r="26" spans="1:12" ht="15.75" thickBot="1" x14ac:dyDescent="0.3">
      <c r="A26" s="13"/>
      <c r="B26" s="22"/>
      <c r="C26" s="14"/>
      <c r="D26" s="14"/>
      <c r="E26" s="14"/>
      <c r="F26" s="14"/>
      <c r="G26" s="14"/>
      <c r="H26" s="14"/>
      <c r="I26" s="12"/>
      <c r="J26" s="45"/>
    </row>
    <row r="27" spans="1:12" x14ac:dyDescent="0.25">
      <c r="A27" s="51"/>
      <c r="B27" s="50"/>
      <c r="C27" s="47"/>
      <c r="D27" s="47"/>
      <c r="E27" s="47"/>
      <c r="F27" s="47"/>
      <c r="G27" s="47"/>
      <c r="H27" s="47"/>
      <c r="I27" s="47"/>
      <c r="J27" s="46"/>
    </row>
    <row r="28" spans="1:12" x14ac:dyDescent="0.25">
      <c r="A28" s="44"/>
      <c r="B28" s="47"/>
      <c r="C28" s="47"/>
      <c r="D28" s="47"/>
      <c r="E28" s="47"/>
      <c r="F28" s="47"/>
      <c r="G28" s="47"/>
      <c r="H28" s="47"/>
      <c r="I28" s="47"/>
      <c r="J28" s="46"/>
    </row>
    <row r="29" spans="1:12" ht="15.75" thickBot="1" x14ac:dyDescent="0.3">
      <c r="A29" s="52"/>
      <c r="B29" s="48"/>
      <c r="C29" s="48"/>
      <c r="D29" s="48"/>
      <c r="E29" s="48"/>
      <c r="F29" s="48"/>
      <c r="G29" s="48"/>
      <c r="H29" s="48"/>
      <c r="I29" s="48"/>
      <c r="J29" s="49"/>
    </row>
    <row r="31" spans="1:12" x14ac:dyDescent="0.25">
      <c r="B31" t="s">
        <v>79</v>
      </c>
    </row>
    <row r="141" spans="12:12" x14ac:dyDescent="0.25">
      <c r="L141">
        <f>L11+L17+L24+L34+L42+L49+L55+L62+L69+L75+L84+L91+L99+L104+L110+L115+L120+L126+L132+L139</f>
        <v>0</v>
      </c>
    </row>
  </sheetData>
  <dataValidations disablePrompts="1" count="1">
    <dataValidation type="list" allowBlank="1" showInputMessage="1" showErrorMessage="1" sqref="F12" xr:uid="{AA2435E8-A899-4C6F-8272-122C8204930C}">
      <formula1>$AC$1:$AC$2</formula1>
    </dataValidation>
  </dataValidations>
  <hyperlinks>
    <hyperlink ref="F3" r:id="rId1" xr:uid="{F261A97F-1315-42F9-9C74-16AE4D341003}"/>
    <hyperlink ref="F9" r:id="rId2" xr:uid="{04D6E4AF-C8D3-4DE0-B871-AD05D9BE9B50}"/>
    <hyperlink ref="F15" r:id="rId3" xr:uid="{1E3E3DD6-4492-4906-8D65-D4F304923EFE}"/>
    <hyperlink ref="AN3" r:id="rId4" xr:uid="{8CC1CCFD-3E7E-4AFB-BAF7-A73ADD9C0F0B}"/>
    <hyperlink ref="AH10" r:id="rId5" xr:uid="{80FEEE17-9529-4A69-9BCB-5C7DDF64AA83}"/>
    <hyperlink ref="AG2" r:id="rId6" xr:uid="{A75F3545-D058-4E41-8117-949A00A16551}"/>
    <hyperlink ref="AG3" r:id="rId7" xr:uid="{10A36D9C-C905-4002-A9E7-D992017C552A}"/>
    <hyperlink ref="AG4" r:id="rId8" xr:uid="{8F3AE81A-B371-4DA0-8563-44669D72B65F}"/>
    <hyperlink ref="AG5" r:id="rId9" xr:uid="{11B37880-3FEA-454A-BFD7-47CCCF7EF68E}"/>
    <hyperlink ref="AG6" r:id="rId10" xr:uid="{D76182AC-A918-4C06-B10B-B88E8471E77B}"/>
    <hyperlink ref="AG8" r:id="rId11" xr:uid="{03827E8E-2D55-4AEE-A7B2-BC7CD037E439}"/>
    <hyperlink ref="AG9" r:id="rId12" xr:uid="{4AD6849B-88D6-4637-A60B-E7CEEE2F3303}"/>
    <hyperlink ref="AG10" r:id="rId13" xr:uid="{FF9154D0-7B1B-4022-8C5D-8D53F90645FA}"/>
    <hyperlink ref="AV2" r:id="rId14" xr:uid="{9D0F6010-E716-4FAF-87A2-C1122C43D158}"/>
    <hyperlink ref="AV5" r:id="rId15" xr:uid="{3FF9C772-04CB-4B8D-8F63-9E20CB0340DB}"/>
    <hyperlink ref="AM3" r:id="rId16" xr:uid="{92D7728D-C289-4BF9-91F4-349942891B6C}"/>
    <hyperlink ref="AM4" r:id="rId17" xr:uid="{79B87FD7-A2F6-4763-A840-E879B995DC33}"/>
    <hyperlink ref="AM7" r:id="rId18" xr:uid="{EE8463B8-B045-4B58-B09E-81DF35C3046E}"/>
    <hyperlink ref="AR1" r:id="rId19" xr:uid="{DE0C8034-05A5-4EF7-9230-1973D9BDDEA0}"/>
    <hyperlink ref="AQ1" r:id="rId20" xr:uid="{5D031744-FE78-4BB6-8F63-4FAFC41C2D9F}"/>
    <hyperlink ref="AV8" r:id="rId21" xr:uid="{45F5C69B-8A0F-4896-868D-A7596AD823A2}"/>
    <hyperlink ref="M11" r:id="rId22" xr:uid="{2DB30C43-CCB0-4DE8-A857-AEC126542D91}"/>
    <hyperlink ref="F6" r:id="rId23" xr:uid="{B7E0B573-EE1D-4043-83EC-17BB1BCF0867}"/>
    <hyperlink ref="AG7" r:id="rId24" xr:uid="{0C232AFA-C5AB-44DB-8FBB-125A17D20D26}"/>
    <hyperlink ref="AG11" r:id="rId25" xr:uid="{95A879BD-48B1-44B4-8DDD-D8CDDCEBEDF2}"/>
    <hyperlink ref="M14" r:id="rId26" xr:uid="{4741793D-6BC0-405C-A665-5744650476D7}"/>
  </hyperlinks>
  <pageMargins left="0.7" right="0.7" top="0.75" bottom="0.75" header="0.3" footer="0.3"/>
  <pageSetup paperSize="9" orientation="portrait" r:id="rId27"/>
  <drawing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39685-B803-41E8-A981-5E2E3A04759D}">
  <sheetPr codeName="Sheet9"/>
  <dimension ref="A1:C64"/>
  <sheetViews>
    <sheetView workbookViewId="0"/>
  </sheetViews>
  <sheetFormatPr defaultRowHeight="15" x14ac:dyDescent="0.25"/>
  <sheetData>
    <row r="1" spans="1:3" x14ac:dyDescent="0.25">
      <c r="A1" t="s">
        <v>88</v>
      </c>
      <c r="C1" t="s">
        <v>89</v>
      </c>
    </row>
    <row r="2" spans="1:3" x14ac:dyDescent="0.25">
      <c r="A2">
        <v>181647</v>
      </c>
      <c r="C2" t="s">
        <v>90</v>
      </c>
    </row>
    <row r="3" spans="1:3" x14ac:dyDescent="0.25">
      <c r="A3">
        <v>181646</v>
      </c>
    </row>
    <row r="4" spans="1:3" x14ac:dyDescent="0.25">
      <c r="A4">
        <v>181771</v>
      </c>
    </row>
    <row r="5" spans="1:3" x14ac:dyDescent="0.25">
      <c r="A5">
        <v>182131</v>
      </c>
    </row>
    <row r="6" spans="1:3" x14ac:dyDescent="0.25">
      <c r="A6">
        <v>182079</v>
      </c>
    </row>
    <row r="7" spans="1:3" x14ac:dyDescent="0.25">
      <c r="A7">
        <v>182086</v>
      </c>
    </row>
    <row r="8" spans="1:3" x14ac:dyDescent="0.25">
      <c r="A8">
        <v>182101</v>
      </c>
    </row>
    <row r="9" spans="1:3" x14ac:dyDescent="0.25">
      <c r="A9">
        <v>181900</v>
      </c>
    </row>
    <row r="10" spans="1:3" x14ac:dyDescent="0.25">
      <c r="A10">
        <v>181820</v>
      </c>
    </row>
    <row r="11" spans="1:3" x14ac:dyDescent="0.25">
      <c r="A11">
        <v>181821</v>
      </c>
    </row>
    <row r="12" spans="1:3" x14ac:dyDescent="0.25">
      <c r="A12">
        <v>181870</v>
      </c>
    </row>
    <row r="13" spans="1:3" x14ac:dyDescent="0.25">
      <c r="A13">
        <v>181872</v>
      </c>
    </row>
    <row r="14" spans="1:3" x14ac:dyDescent="0.25">
      <c r="A14">
        <v>181693</v>
      </c>
    </row>
    <row r="15" spans="1:3" x14ac:dyDescent="0.25">
      <c r="A15">
        <v>181694</v>
      </c>
    </row>
    <row r="16" spans="1:3" x14ac:dyDescent="0.25">
      <c r="A16">
        <v>181868</v>
      </c>
    </row>
    <row r="17" spans="1:1" x14ac:dyDescent="0.25">
      <c r="A17">
        <v>182008</v>
      </c>
    </row>
    <row r="18" spans="1:1" x14ac:dyDescent="0.25">
      <c r="A18">
        <v>182135</v>
      </c>
    </row>
    <row r="19" spans="1:1" x14ac:dyDescent="0.25">
      <c r="A19">
        <v>182137</v>
      </c>
    </row>
    <row r="20" spans="1:1" x14ac:dyDescent="0.25">
      <c r="A20">
        <v>182136</v>
      </c>
    </row>
    <row r="21" spans="1:1" x14ac:dyDescent="0.25">
      <c r="A21">
        <v>181945</v>
      </c>
    </row>
    <row r="22" spans="1:1" x14ac:dyDescent="0.25">
      <c r="A22">
        <v>182168</v>
      </c>
    </row>
    <row r="23" spans="1:1" x14ac:dyDescent="0.25">
      <c r="A23">
        <v>182197</v>
      </c>
    </row>
    <row r="24" spans="1:1" x14ac:dyDescent="0.25">
      <c r="A24">
        <v>182167</v>
      </c>
    </row>
    <row r="25" spans="1:1" x14ac:dyDescent="0.25">
      <c r="A25">
        <v>182173</v>
      </c>
    </row>
    <row r="26" spans="1:1" x14ac:dyDescent="0.25">
      <c r="A26">
        <v>182164</v>
      </c>
    </row>
    <row r="27" spans="1:1" x14ac:dyDescent="0.25">
      <c r="A27">
        <v>182165</v>
      </c>
    </row>
    <row r="28" spans="1:1" x14ac:dyDescent="0.25">
      <c r="A28">
        <v>182287</v>
      </c>
    </row>
    <row r="29" spans="1:1" x14ac:dyDescent="0.25">
      <c r="A29">
        <v>182289</v>
      </c>
    </row>
    <row r="30" spans="1:1" x14ac:dyDescent="0.25">
      <c r="A30">
        <v>182296</v>
      </c>
    </row>
    <row r="31" spans="1:1" x14ac:dyDescent="0.25">
      <c r="A31">
        <v>182299</v>
      </c>
    </row>
    <row r="32" spans="1:1" x14ac:dyDescent="0.25">
      <c r="A32">
        <v>182280</v>
      </c>
    </row>
    <row r="33" spans="1:1" x14ac:dyDescent="0.25">
      <c r="A33">
        <v>182360</v>
      </c>
    </row>
    <row r="34" spans="1:1" x14ac:dyDescent="0.25">
      <c r="A34">
        <v>182179</v>
      </c>
    </row>
    <row r="35" spans="1:1" x14ac:dyDescent="0.25">
      <c r="A35">
        <v>182208</v>
      </c>
    </row>
    <row r="36" spans="1:1" x14ac:dyDescent="0.25">
      <c r="A36">
        <v>182151</v>
      </c>
    </row>
    <row r="37" spans="1:1" x14ac:dyDescent="0.25">
      <c r="A37">
        <v>182152</v>
      </c>
    </row>
    <row r="38" spans="1:1" x14ac:dyDescent="0.25">
      <c r="A38">
        <v>182195</v>
      </c>
    </row>
    <row r="39" spans="1:1" x14ac:dyDescent="0.25">
      <c r="A39">
        <v>182157</v>
      </c>
    </row>
    <row r="40" spans="1:1" x14ac:dyDescent="0.25">
      <c r="A40">
        <v>182170</v>
      </c>
    </row>
    <row r="41" spans="1:1" x14ac:dyDescent="0.25">
      <c r="A41">
        <v>182209</v>
      </c>
    </row>
    <row r="42" spans="1:1" x14ac:dyDescent="0.25">
      <c r="A42">
        <v>182210</v>
      </c>
    </row>
    <row r="43" spans="1:1" x14ac:dyDescent="0.25">
      <c r="A43">
        <v>182211</v>
      </c>
    </row>
    <row r="44" spans="1:1" x14ac:dyDescent="0.25">
      <c r="A44">
        <v>181956</v>
      </c>
    </row>
    <row r="45" spans="1:1" x14ac:dyDescent="0.25">
      <c r="A45">
        <v>182150</v>
      </c>
    </row>
    <row r="46" spans="1:1" x14ac:dyDescent="0.25">
      <c r="A46">
        <v>182307</v>
      </c>
    </row>
    <row r="47" spans="1:1" x14ac:dyDescent="0.25">
      <c r="A47">
        <v>181906</v>
      </c>
    </row>
    <row r="48" spans="1:1" x14ac:dyDescent="0.25">
      <c r="A48">
        <v>182338</v>
      </c>
    </row>
    <row r="49" spans="1:1" x14ac:dyDescent="0.25">
      <c r="A49">
        <v>182344</v>
      </c>
    </row>
    <row r="50" spans="1:1" x14ac:dyDescent="0.25">
      <c r="A50">
        <v>182354</v>
      </c>
    </row>
    <row r="51" spans="1:1" x14ac:dyDescent="0.25">
      <c r="A51">
        <v>182506</v>
      </c>
    </row>
    <row r="52" spans="1:1" x14ac:dyDescent="0.25">
      <c r="A52">
        <v>182308</v>
      </c>
    </row>
    <row r="53" spans="1:1" x14ac:dyDescent="0.25">
      <c r="A53">
        <v>182330</v>
      </c>
    </row>
    <row r="54" spans="1:1" x14ac:dyDescent="0.25">
      <c r="A54">
        <v>182080</v>
      </c>
    </row>
    <row r="55" spans="1:1" x14ac:dyDescent="0.25">
      <c r="A55">
        <v>181897</v>
      </c>
    </row>
    <row r="56" spans="1:1" x14ac:dyDescent="0.25">
      <c r="A56">
        <v>181695</v>
      </c>
    </row>
    <row r="57" spans="1:1" x14ac:dyDescent="0.25">
      <c r="A57">
        <v>182191</v>
      </c>
    </row>
    <row r="58" spans="1:1" x14ac:dyDescent="0.25">
      <c r="A58">
        <v>181957</v>
      </c>
    </row>
    <row r="59" spans="1:1" x14ac:dyDescent="0.25">
      <c r="A59">
        <v>181958</v>
      </c>
    </row>
    <row r="60" spans="1:1" x14ac:dyDescent="0.25">
      <c r="A60">
        <v>182292</v>
      </c>
    </row>
    <row r="61" spans="1:1" x14ac:dyDescent="0.25">
      <c r="A61">
        <v>182298</v>
      </c>
    </row>
    <row r="62" spans="1:1" x14ac:dyDescent="0.25">
      <c r="A62">
        <v>182153</v>
      </c>
    </row>
    <row r="63" spans="1:1" x14ac:dyDescent="0.25">
      <c r="A63">
        <v>182161</v>
      </c>
    </row>
    <row r="64" spans="1:1" x14ac:dyDescent="0.25">
      <c r="A64">
        <v>182159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CEDAD-7FE4-4BA2-B2E8-ACEDC9D10979}">
  <sheetPr codeName="Sheet15"/>
  <dimension ref="A1:C2"/>
  <sheetViews>
    <sheetView workbookViewId="0">
      <selection activeCell="B2" sqref="B2"/>
    </sheetView>
  </sheetViews>
  <sheetFormatPr defaultRowHeight="15" x14ac:dyDescent="0.25"/>
  <cols>
    <col min="1" max="1" width="14.5703125" style="70" bestFit="1" customWidth="1"/>
    <col min="2" max="2" width="55.28515625" style="70" bestFit="1" customWidth="1"/>
    <col min="3" max="3" width="14.5703125" style="70" bestFit="1" customWidth="1"/>
    <col min="4" max="16384" width="9.140625" style="70"/>
  </cols>
  <sheetData>
    <row r="1" spans="1:3" x14ac:dyDescent="0.25">
      <c r="A1" s="70" t="s">
        <v>183</v>
      </c>
      <c r="B1" s="70" t="s">
        <v>184</v>
      </c>
      <c r="C1" s="70" t="s">
        <v>185</v>
      </c>
    </row>
    <row r="2" spans="1:3" x14ac:dyDescent="0.25">
      <c r="A2" s="70" t="s">
        <v>31</v>
      </c>
      <c r="B2" s="70" t="s">
        <v>186</v>
      </c>
      <c r="C2" s="70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CD80A-3012-41F2-9E69-73BABD4A7C36}">
  <sheetPr codeName="Sheet21" filterMode="1"/>
  <dimension ref="A1:AD274"/>
  <sheetViews>
    <sheetView topLeftCell="S1" workbookViewId="0">
      <selection activeCell="AC1" sqref="AC1:AD1048576"/>
    </sheetView>
  </sheetViews>
  <sheetFormatPr defaultRowHeight="15" x14ac:dyDescent="0.25"/>
  <sheetData>
    <row r="1" spans="1:30" x14ac:dyDescent="0.25">
      <c r="A1" t="s">
        <v>188</v>
      </c>
      <c r="B1" t="s">
        <v>189</v>
      </c>
      <c r="C1" t="s">
        <v>93</v>
      </c>
      <c r="D1" t="s">
        <v>190</v>
      </c>
      <c r="E1" t="s">
        <v>88</v>
      </c>
      <c r="F1" t="s">
        <v>94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AC1">
        <v>45383</v>
      </c>
      <c r="AD1">
        <v>45384</v>
      </c>
    </row>
    <row r="2" spans="1:30" x14ac:dyDescent="0.25">
      <c r="A2">
        <v>45383</v>
      </c>
      <c r="B2" t="s">
        <v>12</v>
      </c>
      <c r="C2" t="s">
        <v>95</v>
      </c>
      <c r="D2">
        <v>23001579</v>
      </c>
      <c r="E2">
        <v>181647</v>
      </c>
      <c r="F2" t="s">
        <v>96</v>
      </c>
      <c r="G2">
        <v>180</v>
      </c>
      <c r="H2">
        <v>3.96</v>
      </c>
      <c r="I2">
        <v>712.8</v>
      </c>
      <c r="J2">
        <v>608</v>
      </c>
      <c r="AC2">
        <v>1</v>
      </c>
      <c r="AD2" t="s">
        <v>298</v>
      </c>
    </row>
    <row r="3" spans="1:30" hidden="1" x14ac:dyDescent="0.25">
      <c r="H3" t="s">
        <v>198</v>
      </c>
      <c r="I3">
        <v>712.8</v>
      </c>
      <c r="J3">
        <v>608</v>
      </c>
      <c r="K3">
        <v>104.8</v>
      </c>
    </row>
    <row r="4" spans="1:30" x14ac:dyDescent="0.25">
      <c r="A4">
        <v>45383</v>
      </c>
      <c r="B4" t="s">
        <v>12</v>
      </c>
      <c r="C4" t="s">
        <v>97</v>
      </c>
      <c r="D4">
        <v>23001578</v>
      </c>
      <c r="E4">
        <v>181646</v>
      </c>
      <c r="F4" t="s">
        <v>98</v>
      </c>
      <c r="G4">
        <v>240</v>
      </c>
      <c r="H4">
        <v>2.99</v>
      </c>
      <c r="I4">
        <v>717.6</v>
      </c>
      <c r="J4">
        <v>608</v>
      </c>
    </row>
    <row r="5" spans="1:30" hidden="1" x14ac:dyDescent="0.25">
      <c r="H5" t="s">
        <v>199</v>
      </c>
      <c r="I5">
        <v>717.6</v>
      </c>
      <c r="J5">
        <v>608</v>
      </c>
      <c r="K5">
        <v>109.6</v>
      </c>
    </row>
    <row r="6" spans="1:30" x14ac:dyDescent="0.25">
      <c r="A6">
        <v>45383</v>
      </c>
      <c r="B6" t="s">
        <v>12</v>
      </c>
      <c r="C6" t="s">
        <v>99</v>
      </c>
      <c r="D6">
        <v>23001578</v>
      </c>
      <c r="E6">
        <v>181646</v>
      </c>
      <c r="F6" t="s">
        <v>98</v>
      </c>
      <c r="G6">
        <v>235</v>
      </c>
      <c r="H6">
        <v>2.99</v>
      </c>
      <c r="I6">
        <v>702.65</v>
      </c>
      <c r="J6">
        <v>608</v>
      </c>
    </row>
    <row r="7" spans="1:30" hidden="1" x14ac:dyDescent="0.25">
      <c r="H7" t="s">
        <v>200</v>
      </c>
      <c r="I7">
        <v>702.65</v>
      </c>
      <c r="J7">
        <v>608</v>
      </c>
      <c r="K7">
        <v>94.65</v>
      </c>
    </row>
    <row r="8" spans="1:30" x14ac:dyDescent="0.25">
      <c r="A8">
        <v>45383</v>
      </c>
      <c r="B8" t="s">
        <v>14</v>
      </c>
      <c r="C8" t="s">
        <v>99</v>
      </c>
      <c r="D8">
        <v>23001600</v>
      </c>
      <c r="E8">
        <v>181771</v>
      </c>
      <c r="F8" t="s">
        <v>96</v>
      </c>
      <c r="G8">
        <v>57</v>
      </c>
      <c r="H8">
        <v>3.02</v>
      </c>
      <c r="I8">
        <v>172.14</v>
      </c>
      <c r="J8">
        <v>874</v>
      </c>
    </row>
    <row r="9" spans="1:30" hidden="1" x14ac:dyDescent="0.25">
      <c r="H9" t="s">
        <v>201</v>
      </c>
      <c r="I9">
        <v>172.14</v>
      </c>
      <c r="J9">
        <v>874</v>
      </c>
      <c r="K9">
        <v>-701.86</v>
      </c>
    </row>
    <row r="10" spans="1:30" x14ac:dyDescent="0.25">
      <c r="A10">
        <v>45383</v>
      </c>
      <c r="B10" t="s">
        <v>15</v>
      </c>
      <c r="C10" t="s">
        <v>95</v>
      </c>
      <c r="D10">
        <v>24001019</v>
      </c>
      <c r="E10">
        <v>182131</v>
      </c>
      <c r="F10" t="s">
        <v>100</v>
      </c>
      <c r="G10">
        <v>1800</v>
      </c>
      <c r="H10">
        <v>0.39</v>
      </c>
      <c r="I10">
        <v>702</v>
      </c>
      <c r="J10">
        <v>608</v>
      </c>
    </row>
    <row r="11" spans="1:30" hidden="1" x14ac:dyDescent="0.25">
      <c r="H11" t="s">
        <v>202</v>
      </c>
      <c r="I11">
        <v>702</v>
      </c>
      <c r="J11">
        <v>608</v>
      </c>
      <c r="K11">
        <v>94</v>
      </c>
    </row>
    <row r="12" spans="1:30" x14ac:dyDescent="0.25">
      <c r="A12">
        <v>45383</v>
      </c>
      <c r="B12" t="s">
        <v>15</v>
      </c>
      <c r="C12" t="s">
        <v>99</v>
      </c>
      <c r="D12">
        <v>24001005</v>
      </c>
      <c r="E12">
        <v>182079</v>
      </c>
      <c r="F12" t="s">
        <v>96</v>
      </c>
      <c r="G12">
        <v>435</v>
      </c>
      <c r="H12">
        <v>1.54</v>
      </c>
      <c r="I12">
        <v>669.9</v>
      </c>
      <c r="J12">
        <v>608</v>
      </c>
    </row>
    <row r="13" spans="1:30" hidden="1" x14ac:dyDescent="0.25">
      <c r="H13" t="s">
        <v>203</v>
      </c>
      <c r="I13">
        <v>669.9</v>
      </c>
      <c r="J13">
        <v>608</v>
      </c>
      <c r="K13">
        <v>61.9</v>
      </c>
    </row>
    <row r="14" spans="1:30" x14ac:dyDescent="0.25">
      <c r="A14">
        <v>45383</v>
      </c>
      <c r="B14" t="s">
        <v>15</v>
      </c>
      <c r="C14" t="s">
        <v>101</v>
      </c>
      <c r="D14">
        <v>24001011</v>
      </c>
      <c r="E14">
        <v>182086</v>
      </c>
      <c r="F14" t="s">
        <v>96</v>
      </c>
      <c r="G14">
        <v>435</v>
      </c>
      <c r="H14">
        <v>1.54</v>
      </c>
      <c r="I14">
        <v>669.9</v>
      </c>
      <c r="J14">
        <v>608</v>
      </c>
    </row>
    <row r="15" spans="1:30" hidden="1" x14ac:dyDescent="0.25">
      <c r="H15" t="s">
        <v>204</v>
      </c>
      <c r="I15">
        <v>669.9</v>
      </c>
      <c r="J15">
        <v>608</v>
      </c>
      <c r="K15">
        <v>61.9</v>
      </c>
    </row>
    <row r="16" spans="1:30" x14ac:dyDescent="0.25">
      <c r="A16">
        <v>45383</v>
      </c>
      <c r="B16" t="s">
        <v>15</v>
      </c>
      <c r="C16" t="s">
        <v>102</v>
      </c>
      <c r="D16">
        <v>24001019</v>
      </c>
      <c r="E16">
        <v>182131</v>
      </c>
      <c r="F16" t="s">
        <v>100</v>
      </c>
      <c r="G16">
        <v>2364</v>
      </c>
      <c r="H16">
        <v>0.39</v>
      </c>
      <c r="I16">
        <v>921.96</v>
      </c>
      <c r="J16">
        <v>608</v>
      </c>
    </row>
    <row r="17" spans="1:11" hidden="1" x14ac:dyDescent="0.25">
      <c r="H17" t="s">
        <v>205</v>
      </c>
      <c r="I17">
        <v>921.96</v>
      </c>
      <c r="J17">
        <v>608</v>
      </c>
      <c r="K17">
        <v>313.95999999999998</v>
      </c>
    </row>
    <row r="18" spans="1:11" x14ac:dyDescent="0.25">
      <c r="A18">
        <v>45383</v>
      </c>
      <c r="B18" t="s">
        <v>15</v>
      </c>
      <c r="C18" t="s">
        <v>103</v>
      </c>
      <c r="D18">
        <v>24001027</v>
      </c>
      <c r="E18">
        <v>182101</v>
      </c>
      <c r="F18" t="s">
        <v>96</v>
      </c>
      <c r="G18">
        <v>500</v>
      </c>
      <c r="H18">
        <v>1.49</v>
      </c>
      <c r="I18">
        <v>745</v>
      </c>
      <c r="J18">
        <v>608</v>
      </c>
    </row>
    <row r="19" spans="1:11" hidden="1" x14ac:dyDescent="0.25">
      <c r="H19" t="s">
        <v>206</v>
      </c>
      <c r="I19">
        <v>745</v>
      </c>
      <c r="J19">
        <v>608</v>
      </c>
      <c r="K19">
        <v>137</v>
      </c>
    </row>
    <row r="20" spans="1:11" x14ac:dyDescent="0.25">
      <c r="A20">
        <v>45383</v>
      </c>
      <c r="B20" t="s">
        <v>16</v>
      </c>
      <c r="C20" t="s">
        <v>95</v>
      </c>
      <c r="D20">
        <v>23001219</v>
      </c>
      <c r="E20">
        <v>181900</v>
      </c>
      <c r="F20" t="s">
        <v>104</v>
      </c>
      <c r="G20">
        <v>230</v>
      </c>
      <c r="H20">
        <v>1.77</v>
      </c>
      <c r="I20">
        <v>407.1</v>
      </c>
      <c r="J20">
        <v>526</v>
      </c>
    </row>
    <row r="21" spans="1:11" hidden="1" x14ac:dyDescent="0.25">
      <c r="H21" t="s">
        <v>207</v>
      </c>
      <c r="I21">
        <v>407.1</v>
      </c>
      <c r="J21">
        <v>526</v>
      </c>
      <c r="K21">
        <v>-118.9</v>
      </c>
    </row>
    <row r="22" spans="1:11" x14ac:dyDescent="0.25">
      <c r="A22">
        <v>45383</v>
      </c>
      <c r="B22" t="s">
        <v>16</v>
      </c>
      <c r="C22" t="s">
        <v>105</v>
      </c>
      <c r="D22">
        <v>23001617</v>
      </c>
      <c r="E22">
        <v>181820</v>
      </c>
      <c r="F22" t="s">
        <v>106</v>
      </c>
      <c r="G22">
        <v>1050</v>
      </c>
      <c r="H22">
        <v>0.45</v>
      </c>
      <c r="I22">
        <v>472.5</v>
      </c>
      <c r="J22">
        <v>526</v>
      </c>
    </row>
    <row r="23" spans="1:11" hidden="1" x14ac:dyDescent="0.25">
      <c r="H23" t="s">
        <v>208</v>
      </c>
      <c r="I23">
        <v>472.5</v>
      </c>
      <c r="J23">
        <v>526</v>
      </c>
      <c r="K23">
        <v>-53.5</v>
      </c>
    </row>
    <row r="24" spans="1:11" x14ac:dyDescent="0.25">
      <c r="A24">
        <v>45383</v>
      </c>
      <c r="B24" t="s">
        <v>16</v>
      </c>
      <c r="C24" t="s">
        <v>97</v>
      </c>
      <c r="D24">
        <v>23001219</v>
      </c>
      <c r="E24">
        <v>181900</v>
      </c>
      <c r="F24" t="s">
        <v>104</v>
      </c>
      <c r="G24">
        <v>210</v>
      </c>
      <c r="H24">
        <v>1.77</v>
      </c>
      <c r="I24">
        <v>371.7</v>
      </c>
      <c r="J24">
        <v>526</v>
      </c>
    </row>
    <row r="25" spans="1:11" hidden="1" x14ac:dyDescent="0.25">
      <c r="H25" t="s">
        <v>209</v>
      </c>
      <c r="I25">
        <v>371.7</v>
      </c>
      <c r="J25">
        <v>526</v>
      </c>
      <c r="K25">
        <v>-154.30000000000001</v>
      </c>
    </row>
    <row r="26" spans="1:11" x14ac:dyDescent="0.25">
      <c r="A26">
        <v>45383</v>
      </c>
      <c r="B26" t="s">
        <v>16</v>
      </c>
      <c r="C26" t="s">
        <v>99</v>
      </c>
      <c r="D26">
        <v>23001616</v>
      </c>
      <c r="E26">
        <v>181821</v>
      </c>
      <c r="F26" t="s">
        <v>106</v>
      </c>
      <c r="G26">
        <v>1590</v>
      </c>
      <c r="H26">
        <v>0.45</v>
      </c>
      <c r="I26">
        <v>715.5</v>
      </c>
      <c r="J26">
        <v>526</v>
      </c>
    </row>
    <row r="27" spans="1:11" hidden="1" x14ac:dyDescent="0.25">
      <c r="H27" t="s">
        <v>210</v>
      </c>
      <c r="I27">
        <v>715.5</v>
      </c>
      <c r="J27">
        <v>526</v>
      </c>
      <c r="K27">
        <v>189.5</v>
      </c>
    </row>
    <row r="28" spans="1:11" x14ac:dyDescent="0.25">
      <c r="A28">
        <v>45383</v>
      </c>
      <c r="B28" t="s">
        <v>16</v>
      </c>
      <c r="C28" t="s">
        <v>101</v>
      </c>
      <c r="D28">
        <v>23001617</v>
      </c>
      <c r="E28">
        <v>181820</v>
      </c>
      <c r="F28" t="s">
        <v>106</v>
      </c>
      <c r="G28">
        <v>490</v>
      </c>
      <c r="H28">
        <v>0.45</v>
      </c>
      <c r="I28">
        <v>220.5</v>
      </c>
      <c r="J28">
        <v>526</v>
      </c>
    </row>
    <row r="29" spans="1:11" x14ac:dyDescent="0.25">
      <c r="A29">
        <v>45383</v>
      </c>
      <c r="B29" t="s">
        <v>16</v>
      </c>
      <c r="C29" t="s">
        <v>101</v>
      </c>
      <c r="D29">
        <v>23001616</v>
      </c>
      <c r="E29">
        <v>181821</v>
      </c>
      <c r="F29" t="s">
        <v>106</v>
      </c>
      <c r="G29">
        <v>1240</v>
      </c>
      <c r="H29">
        <v>0.45</v>
      </c>
      <c r="I29">
        <v>558</v>
      </c>
      <c r="J29">
        <v>526</v>
      </c>
    </row>
    <row r="30" spans="1:11" hidden="1" x14ac:dyDescent="0.25">
      <c r="H30" t="s">
        <v>211</v>
      </c>
      <c r="I30">
        <v>778.5</v>
      </c>
      <c r="J30">
        <v>526</v>
      </c>
      <c r="K30">
        <v>252.5</v>
      </c>
    </row>
    <row r="31" spans="1:11" x14ac:dyDescent="0.25">
      <c r="A31">
        <v>45383</v>
      </c>
      <c r="B31" t="s">
        <v>16</v>
      </c>
      <c r="C31" t="s">
        <v>102</v>
      </c>
      <c r="D31">
        <v>23001625</v>
      </c>
      <c r="E31">
        <v>181870</v>
      </c>
      <c r="F31" t="s">
        <v>106</v>
      </c>
      <c r="G31">
        <v>1001</v>
      </c>
      <c r="H31">
        <v>0.3</v>
      </c>
      <c r="I31">
        <v>300.3</v>
      </c>
      <c r="J31">
        <v>526</v>
      </c>
    </row>
    <row r="32" spans="1:11" x14ac:dyDescent="0.25">
      <c r="A32">
        <v>45383</v>
      </c>
      <c r="B32" t="s">
        <v>16</v>
      </c>
      <c r="C32" t="s">
        <v>102</v>
      </c>
      <c r="D32">
        <v>23001627</v>
      </c>
      <c r="E32">
        <v>181872</v>
      </c>
      <c r="F32" t="s">
        <v>106</v>
      </c>
      <c r="G32">
        <v>539</v>
      </c>
      <c r="H32">
        <v>0.3</v>
      </c>
      <c r="I32">
        <v>161.69999999999999</v>
      </c>
      <c r="J32">
        <v>526</v>
      </c>
    </row>
    <row r="33" spans="1:11" hidden="1" x14ac:dyDescent="0.25">
      <c r="H33" t="s">
        <v>212</v>
      </c>
      <c r="I33">
        <v>462</v>
      </c>
      <c r="J33">
        <v>526</v>
      </c>
      <c r="K33">
        <v>-64</v>
      </c>
    </row>
    <row r="34" spans="1:11" x14ac:dyDescent="0.25">
      <c r="A34">
        <v>45383</v>
      </c>
      <c r="B34" t="s">
        <v>16</v>
      </c>
      <c r="C34" t="s">
        <v>103</v>
      </c>
      <c r="D34">
        <v>23001625</v>
      </c>
      <c r="E34">
        <v>181870</v>
      </c>
      <c r="F34" t="s">
        <v>106</v>
      </c>
      <c r="G34">
        <v>504</v>
      </c>
      <c r="H34">
        <v>0.3</v>
      </c>
      <c r="I34">
        <v>151.19999999999999</v>
      </c>
      <c r="J34">
        <v>526</v>
      </c>
    </row>
    <row r="35" spans="1:11" x14ac:dyDescent="0.25">
      <c r="A35">
        <v>45383</v>
      </c>
      <c r="B35" t="s">
        <v>16</v>
      </c>
      <c r="C35" t="s">
        <v>103</v>
      </c>
      <c r="D35">
        <v>23001627</v>
      </c>
      <c r="E35">
        <v>181872</v>
      </c>
      <c r="F35" t="s">
        <v>106</v>
      </c>
      <c r="G35">
        <v>946</v>
      </c>
      <c r="H35">
        <v>0.3</v>
      </c>
      <c r="I35">
        <v>283.8</v>
      </c>
      <c r="J35">
        <v>526</v>
      </c>
    </row>
    <row r="36" spans="1:11" hidden="1" x14ac:dyDescent="0.25">
      <c r="H36" t="s">
        <v>213</v>
      </c>
      <c r="I36">
        <v>435</v>
      </c>
      <c r="J36">
        <v>526</v>
      </c>
      <c r="K36">
        <v>-91</v>
      </c>
    </row>
    <row r="37" spans="1:11" x14ac:dyDescent="0.25">
      <c r="A37">
        <v>45383</v>
      </c>
      <c r="B37" t="s">
        <v>16</v>
      </c>
      <c r="C37" t="s">
        <v>107</v>
      </c>
      <c r="D37">
        <v>23001170</v>
      </c>
      <c r="E37">
        <v>181693</v>
      </c>
      <c r="F37" t="s">
        <v>108</v>
      </c>
      <c r="G37">
        <v>760</v>
      </c>
      <c r="H37">
        <v>1.35</v>
      </c>
      <c r="I37">
        <v>1026</v>
      </c>
      <c r="J37">
        <v>526</v>
      </c>
    </row>
    <row r="38" spans="1:11" x14ac:dyDescent="0.25">
      <c r="A38">
        <v>45383</v>
      </c>
      <c r="B38" t="s">
        <v>16</v>
      </c>
      <c r="C38" t="s">
        <v>107</v>
      </c>
      <c r="D38">
        <v>23001171</v>
      </c>
      <c r="E38">
        <v>181694</v>
      </c>
      <c r="F38" t="s">
        <v>108</v>
      </c>
      <c r="G38">
        <v>194</v>
      </c>
      <c r="H38">
        <v>1.28</v>
      </c>
      <c r="I38">
        <v>248.32</v>
      </c>
      <c r="J38">
        <v>526</v>
      </c>
    </row>
    <row r="39" spans="1:11" hidden="1" x14ac:dyDescent="0.25">
      <c r="H39" t="s">
        <v>214</v>
      </c>
      <c r="I39">
        <v>1274.32</v>
      </c>
      <c r="J39">
        <v>526</v>
      </c>
      <c r="K39">
        <v>748.32</v>
      </c>
    </row>
    <row r="40" spans="1:11" x14ac:dyDescent="0.25">
      <c r="A40">
        <v>45383</v>
      </c>
      <c r="B40" t="s">
        <v>16</v>
      </c>
      <c r="C40" t="s">
        <v>109</v>
      </c>
      <c r="D40">
        <v>23001170</v>
      </c>
      <c r="E40">
        <v>181693</v>
      </c>
      <c r="F40" t="s">
        <v>108</v>
      </c>
      <c r="G40">
        <v>778</v>
      </c>
      <c r="H40">
        <v>1.35</v>
      </c>
      <c r="I40">
        <v>1050.3</v>
      </c>
      <c r="J40">
        <v>526</v>
      </c>
    </row>
    <row r="41" spans="1:11" x14ac:dyDescent="0.25">
      <c r="A41">
        <v>45383</v>
      </c>
      <c r="B41" t="s">
        <v>16</v>
      </c>
      <c r="C41" t="s">
        <v>109</v>
      </c>
      <c r="D41">
        <v>23001171</v>
      </c>
      <c r="E41">
        <v>181694</v>
      </c>
      <c r="F41" t="s">
        <v>108</v>
      </c>
      <c r="G41">
        <v>38</v>
      </c>
      <c r="H41">
        <v>1.28</v>
      </c>
      <c r="I41">
        <v>48.64</v>
      </c>
      <c r="J41">
        <v>526</v>
      </c>
    </row>
    <row r="42" spans="1:11" hidden="1" x14ac:dyDescent="0.25">
      <c r="H42" t="s">
        <v>215</v>
      </c>
      <c r="I42">
        <v>1098.94</v>
      </c>
      <c r="J42">
        <v>526</v>
      </c>
      <c r="K42">
        <v>572.94000000000005</v>
      </c>
    </row>
    <row r="43" spans="1:11" x14ac:dyDescent="0.25">
      <c r="A43">
        <v>45383</v>
      </c>
      <c r="B43" t="s">
        <v>16</v>
      </c>
      <c r="C43" t="s">
        <v>110</v>
      </c>
      <c r="D43">
        <v>23001617</v>
      </c>
      <c r="E43">
        <v>181820</v>
      </c>
      <c r="F43" t="s">
        <v>106</v>
      </c>
      <c r="G43">
        <v>1045</v>
      </c>
      <c r="H43">
        <v>0.45</v>
      </c>
      <c r="I43">
        <v>470.25</v>
      </c>
      <c r="J43">
        <v>526</v>
      </c>
    </row>
    <row r="44" spans="1:11" hidden="1" x14ac:dyDescent="0.25">
      <c r="H44" t="s">
        <v>216</v>
      </c>
      <c r="I44">
        <v>470.25</v>
      </c>
      <c r="J44">
        <v>526</v>
      </c>
      <c r="K44">
        <v>-55.75</v>
      </c>
    </row>
    <row r="45" spans="1:11" x14ac:dyDescent="0.25">
      <c r="A45">
        <v>45383</v>
      </c>
      <c r="B45" t="s">
        <v>85</v>
      </c>
      <c r="C45" t="s">
        <v>95</v>
      </c>
      <c r="D45">
        <v>23001617</v>
      </c>
      <c r="E45">
        <v>181820</v>
      </c>
      <c r="F45" t="s">
        <v>106</v>
      </c>
      <c r="G45">
        <v>290</v>
      </c>
      <c r="H45">
        <v>0.45</v>
      </c>
      <c r="I45">
        <v>130.5</v>
      </c>
      <c r="J45">
        <v>305</v>
      </c>
    </row>
    <row r="46" spans="1:11" hidden="1" x14ac:dyDescent="0.25">
      <c r="H46" t="s">
        <v>217</v>
      </c>
      <c r="I46">
        <v>130.5</v>
      </c>
      <c r="J46">
        <v>305</v>
      </c>
      <c r="K46">
        <v>-174.5</v>
      </c>
    </row>
    <row r="47" spans="1:11" x14ac:dyDescent="0.25">
      <c r="A47">
        <v>45383</v>
      </c>
      <c r="B47" t="s">
        <v>85</v>
      </c>
      <c r="C47" t="s">
        <v>97</v>
      </c>
      <c r="D47">
        <v>23001623</v>
      </c>
      <c r="E47">
        <v>181868</v>
      </c>
      <c r="F47" t="s">
        <v>106</v>
      </c>
      <c r="G47">
        <v>570</v>
      </c>
      <c r="H47">
        <v>0.42</v>
      </c>
      <c r="I47">
        <v>239.4</v>
      </c>
      <c r="J47">
        <v>305</v>
      </c>
    </row>
    <row r="48" spans="1:11" x14ac:dyDescent="0.25">
      <c r="A48">
        <v>45383</v>
      </c>
      <c r="B48" t="s">
        <v>85</v>
      </c>
      <c r="C48" t="s">
        <v>97</v>
      </c>
      <c r="D48">
        <v>23001621</v>
      </c>
      <c r="E48">
        <v>182008</v>
      </c>
      <c r="F48" t="s">
        <v>106</v>
      </c>
      <c r="G48">
        <v>135</v>
      </c>
      <c r="H48">
        <v>0.42</v>
      </c>
      <c r="I48">
        <v>56.7</v>
      </c>
      <c r="J48">
        <v>305</v>
      </c>
    </row>
    <row r="49" spans="1:11" hidden="1" x14ac:dyDescent="0.25">
      <c r="H49" t="s">
        <v>218</v>
      </c>
      <c r="I49">
        <v>296.10000000000002</v>
      </c>
      <c r="J49">
        <v>305</v>
      </c>
      <c r="K49">
        <v>-8.9</v>
      </c>
    </row>
    <row r="50" spans="1:11" x14ac:dyDescent="0.25">
      <c r="A50">
        <v>45383</v>
      </c>
      <c r="B50" t="s">
        <v>17</v>
      </c>
      <c r="C50" t="s">
        <v>111</v>
      </c>
      <c r="D50">
        <v>24001071</v>
      </c>
      <c r="E50">
        <v>182135</v>
      </c>
      <c r="F50" t="s">
        <v>112</v>
      </c>
      <c r="G50">
        <v>1825</v>
      </c>
      <c r="H50">
        <v>0.65</v>
      </c>
      <c r="I50">
        <v>1186.25</v>
      </c>
      <c r="J50">
        <v>841</v>
      </c>
    </row>
    <row r="51" spans="1:11" x14ac:dyDescent="0.25">
      <c r="A51">
        <v>45383</v>
      </c>
      <c r="B51" t="s">
        <v>17</v>
      </c>
      <c r="C51" t="s">
        <v>111</v>
      </c>
      <c r="D51">
        <v>24001108</v>
      </c>
      <c r="E51">
        <v>182137</v>
      </c>
      <c r="F51" t="s">
        <v>112</v>
      </c>
      <c r="G51">
        <v>625</v>
      </c>
      <c r="H51">
        <v>0.65</v>
      </c>
      <c r="I51">
        <v>406.25</v>
      </c>
      <c r="J51">
        <v>841</v>
      </c>
    </row>
    <row r="52" spans="1:11" hidden="1" x14ac:dyDescent="0.25">
      <c r="H52" t="s">
        <v>219</v>
      </c>
      <c r="I52">
        <v>1592.5</v>
      </c>
      <c r="J52">
        <v>841</v>
      </c>
      <c r="K52">
        <v>751.5</v>
      </c>
    </row>
    <row r="53" spans="1:11" x14ac:dyDescent="0.25">
      <c r="A53">
        <v>45383</v>
      </c>
      <c r="B53" t="s">
        <v>17</v>
      </c>
      <c r="C53" t="s">
        <v>113</v>
      </c>
      <c r="D53">
        <v>24001071</v>
      </c>
      <c r="E53">
        <v>182135</v>
      </c>
      <c r="F53" t="s">
        <v>112</v>
      </c>
      <c r="G53">
        <v>500</v>
      </c>
      <c r="H53">
        <v>0.65</v>
      </c>
      <c r="I53">
        <v>325</v>
      </c>
      <c r="J53">
        <v>841</v>
      </c>
    </row>
    <row r="54" spans="1:11" x14ac:dyDescent="0.25">
      <c r="A54">
        <v>45383</v>
      </c>
      <c r="B54" t="s">
        <v>17</v>
      </c>
      <c r="C54" t="s">
        <v>113</v>
      </c>
      <c r="D54">
        <v>24001108</v>
      </c>
      <c r="E54">
        <v>182137</v>
      </c>
      <c r="F54" t="s">
        <v>112</v>
      </c>
      <c r="G54">
        <v>1683</v>
      </c>
      <c r="H54">
        <v>0.65</v>
      </c>
      <c r="I54">
        <v>1093.95</v>
      </c>
      <c r="J54">
        <v>841</v>
      </c>
    </row>
    <row r="55" spans="1:11" hidden="1" x14ac:dyDescent="0.25">
      <c r="H55" t="s">
        <v>220</v>
      </c>
      <c r="I55">
        <v>1418.95</v>
      </c>
      <c r="J55">
        <v>841</v>
      </c>
      <c r="K55">
        <v>577.95000000000005</v>
      </c>
    </row>
    <row r="56" spans="1:11" x14ac:dyDescent="0.25">
      <c r="A56">
        <v>45383</v>
      </c>
      <c r="B56" t="s">
        <v>17</v>
      </c>
      <c r="C56" t="s">
        <v>114</v>
      </c>
      <c r="D56">
        <v>24001071</v>
      </c>
      <c r="E56">
        <v>182135</v>
      </c>
      <c r="F56" t="s">
        <v>112</v>
      </c>
      <c r="G56">
        <v>2200</v>
      </c>
      <c r="H56">
        <v>0.65</v>
      </c>
      <c r="I56">
        <v>1430</v>
      </c>
      <c r="J56">
        <v>841</v>
      </c>
    </row>
    <row r="57" spans="1:11" hidden="1" x14ac:dyDescent="0.25">
      <c r="H57" t="s">
        <v>221</v>
      </c>
      <c r="I57">
        <v>1430</v>
      </c>
      <c r="J57">
        <v>841</v>
      </c>
      <c r="K57">
        <v>589</v>
      </c>
    </row>
    <row r="58" spans="1:11" x14ac:dyDescent="0.25">
      <c r="A58">
        <v>45383</v>
      </c>
      <c r="B58" t="s">
        <v>17</v>
      </c>
      <c r="C58" t="s">
        <v>115</v>
      </c>
      <c r="D58">
        <v>24001071</v>
      </c>
      <c r="E58">
        <v>182135</v>
      </c>
      <c r="F58" t="s">
        <v>112</v>
      </c>
      <c r="G58">
        <v>1815</v>
      </c>
      <c r="H58">
        <v>0.65</v>
      </c>
      <c r="I58">
        <v>1179.75</v>
      </c>
      <c r="J58">
        <v>841</v>
      </c>
    </row>
    <row r="59" spans="1:11" x14ac:dyDescent="0.25">
      <c r="A59">
        <v>45383</v>
      </c>
      <c r="B59" t="s">
        <v>17</v>
      </c>
      <c r="C59" t="s">
        <v>115</v>
      </c>
      <c r="D59">
        <v>24001108</v>
      </c>
      <c r="E59">
        <v>182137</v>
      </c>
      <c r="F59" t="s">
        <v>112</v>
      </c>
      <c r="G59">
        <v>285</v>
      </c>
      <c r="H59">
        <v>0.65</v>
      </c>
      <c r="I59">
        <v>185.25</v>
      </c>
      <c r="J59">
        <v>841</v>
      </c>
    </row>
    <row r="60" spans="1:11" hidden="1" x14ac:dyDescent="0.25">
      <c r="H60" t="s">
        <v>222</v>
      </c>
      <c r="I60">
        <v>1365</v>
      </c>
      <c r="J60">
        <v>841</v>
      </c>
      <c r="K60">
        <v>524</v>
      </c>
    </row>
    <row r="61" spans="1:11" x14ac:dyDescent="0.25">
      <c r="A61">
        <v>45383</v>
      </c>
      <c r="B61" t="s">
        <v>17</v>
      </c>
      <c r="C61" t="s">
        <v>116</v>
      </c>
      <c r="D61">
        <v>24001071</v>
      </c>
      <c r="E61">
        <v>182135</v>
      </c>
      <c r="F61" t="s">
        <v>112</v>
      </c>
      <c r="G61">
        <v>2175</v>
      </c>
      <c r="H61">
        <v>0.65</v>
      </c>
      <c r="I61">
        <v>1413.75</v>
      </c>
      <c r="J61">
        <v>841</v>
      </c>
    </row>
    <row r="62" spans="1:11" hidden="1" x14ac:dyDescent="0.25">
      <c r="H62" t="s">
        <v>223</v>
      </c>
      <c r="I62">
        <v>1413.75</v>
      </c>
      <c r="J62">
        <v>841</v>
      </c>
      <c r="K62">
        <v>572.75</v>
      </c>
    </row>
    <row r="63" spans="1:11" x14ac:dyDescent="0.25">
      <c r="A63">
        <v>45383</v>
      </c>
      <c r="B63" t="s">
        <v>17</v>
      </c>
      <c r="C63" t="s">
        <v>117</v>
      </c>
      <c r="D63">
        <v>24001071</v>
      </c>
      <c r="E63">
        <v>182135</v>
      </c>
      <c r="F63" t="s">
        <v>112</v>
      </c>
      <c r="G63">
        <v>2346</v>
      </c>
      <c r="H63">
        <v>0.65</v>
      </c>
      <c r="I63">
        <v>1524.9</v>
      </c>
      <c r="J63">
        <v>841</v>
      </c>
    </row>
    <row r="64" spans="1:11" x14ac:dyDescent="0.25">
      <c r="A64">
        <v>45383</v>
      </c>
      <c r="B64" t="s">
        <v>17</v>
      </c>
      <c r="C64" t="s">
        <v>117</v>
      </c>
      <c r="D64">
        <v>24001072</v>
      </c>
      <c r="E64">
        <v>182136</v>
      </c>
      <c r="F64" t="s">
        <v>112</v>
      </c>
      <c r="G64">
        <v>4</v>
      </c>
      <c r="H64">
        <v>0.65</v>
      </c>
      <c r="I64">
        <v>2.6</v>
      </c>
      <c r="J64">
        <v>841</v>
      </c>
    </row>
    <row r="65" spans="1:11" hidden="1" x14ac:dyDescent="0.25">
      <c r="H65" t="s">
        <v>224</v>
      </c>
      <c r="I65">
        <v>1527.5</v>
      </c>
      <c r="J65">
        <v>841</v>
      </c>
      <c r="K65">
        <v>686.5</v>
      </c>
    </row>
    <row r="66" spans="1:11" x14ac:dyDescent="0.25">
      <c r="A66">
        <v>45383</v>
      </c>
      <c r="B66" t="s">
        <v>18</v>
      </c>
      <c r="C66" t="s">
        <v>95</v>
      </c>
      <c r="D66">
        <v>23002463</v>
      </c>
      <c r="E66">
        <v>181945</v>
      </c>
      <c r="F66" t="s">
        <v>112</v>
      </c>
      <c r="G66">
        <v>35</v>
      </c>
      <c r="H66">
        <v>0.68</v>
      </c>
      <c r="I66">
        <v>23.8</v>
      </c>
      <c r="J66">
        <v>986</v>
      </c>
    </row>
    <row r="67" spans="1:11" x14ac:dyDescent="0.25">
      <c r="A67">
        <v>45383</v>
      </c>
      <c r="B67" t="s">
        <v>18</v>
      </c>
      <c r="C67" t="s">
        <v>95</v>
      </c>
      <c r="D67">
        <v>24001020</v>
      </c>
      <c r="E67">
        <v>182168</v>
      </c>
      <c r="F67" t="s">
        <v>112</v>
      </c>
      <c r="G67">
        <v>3</v>
      </c>
      <c r="H67">
        <v>0.83</v>
      </c>
      <c r="I67">
        <v>2.4900000000000002</v>
      </c>
      <c r="J67">
        <v>986</v>
      </c>
    </row>
    <row r="68" spans="1:11" x14ac:dyDescent="0.25">
      <c r="A68">
        <v>45383</v>
      </c>
      <c r="B68" t="s">
        <v>18</v>
      </c>
      <c r="C68" t="s">
        <v>95</v>
      </c>
      <c r="D68">
        <v>24001093</v>
      </c>
      <c r="E68">
        <v>182197</v>
      </c>
      <c r="F68" t="s">
        <v>112</v>
      </c>
      <c r="G68">
        <v>2311</v>
      </c>
      <c r="H68">
        <v>0.7</v>
      </c>
      <c r="I68">
        <v>1617.7</v>
      </c>
      <c r="J68">
        <v>986</v>
      </c>
    </row>
    <row r="69" spans="1:11" hidden="1" x14ac:dyDescent="0.25">
      <c r="H69" t="s">
        <v>225</v>
      </c>
      <c r="I69">
        <v>1643.99</v>
      </c>
      <c r="J69">
        <v>986</v>
      </c>
      <c r="K69">
        <v>657.99</v>
      </c>
    </row>
    <row r="70" spans="1:11" x14ac:dyDescent="0.25">
      <c r="A70">
        <v>45383</v>
      </c>
      <c r="B70" t="s">
        <v>18</v>
      </c>
      <c r="C70" t="s">
        <v>118</v>
      </c>
      <c r="D70">
        <v>24001088</v>
      </c>
      <c r="E70">
        <v>182167</v>
      </c>
      <c r="F70" t="s">
        <v>112</v>
      </c>
      <c r="G70">
        <v>1530</v>
      </c>
      <c r="H70">
        <v>0.8</v>
      </c>
      <c r="I70">
        <v>1224</v>
      </c>
      <c r="J70">
        <v>986</v>
      </c>
    </row>
    <row r="71" spans="1:11" hidden="1" x14ac:dyDescent="0.25">
      <c r="H71" t="s">
        <v>226</v>
      </c>
      <c r="I71">
        <v>1224</v>
      </c>
      <c r="J71">
        <v>986</v>
      </c>
      <c r="K71">
        <v>238</v>
      </c>
    </row>
    <row r="72" spans="1:11" x14ac:dyDescent="0.25">
      <c r="A72">
        <v>45383</v>
      </c>
      <c r="B72" t="s">
        <v>18</v>
      </c>
      <c r="C72" t="s">
        <v>119</v>
      </c>
      <c r="D72">
        <v>24001092</v>
      </c>
      <c r="E72">
        <v>182173</v>
      </c>
      <c r="F72" t="s">
        <v>112</v>
      </c>
      <c r="G72">
        <v>2107</v>
      </c>
      <c r="H72">
        <v>0.7</v>
      </c>
      <c r="I72">
        <v>1474.9</v>
      </c>
      <c r="J72">
        <v>986</v>
      </c>
    </row>
    <row r="73" spans="1:11" x14ac:dyDescent="0.25">
      <c r="A73">
        <v>45383</v>
      </c>
      <c r="B73" t="s">
        <v>18</v>
      </c>
      <c r="C73" t="s">
        <v>119</v>
      </c>
      <c r="D73">
        <v>24001093</v>
      </c>
      <c r="E73">
        <v>182197</v>
      </c>
      <c r="F73" t="s">
        <v>112</v>
      </c>
      <c r="G73">
        <v>193</v>
      </c>
      <c r="H73">
        <v>0.7</v>
      </c>
      <c r="I73">
        <v>135.1</v>
      </c>
      <c r="J73">
        <v>986</v>
      </c>
    </row>
    <row r="74" spans="1:11" hidden="1" x14ac:dyDescent="0.25">
      <c r="H74" t="s">
        <v>227</v>
      </c>
      <c r="I74">
        <v>1610</v>
      </c>
      <c r="J74">
        <v>986</v>
      </c>
      <c r="K74">
        <v>624</v>
      </c>
    </row>
    <row r="75" spans="1:11" x14ac:dyDescent="0.25">
      <c r="A75">
        <v>45383</v>
      </c>
      <c r="B75" t="s">
        <v>18</v>
      </c>
      <c r="C75" t="s">
        <v>97</v>
      </c>
      <c r="D75">
        <v>24001092</v>
      </c>
      <c r="E75">
        <v>182173</v>
      </c>
      <c r="F75" t="s">
        <v>112</v>
      </c>
      <c r="G75">
        <v>1721</v>
      </c>
      <c r="H75">
        <v>0.7</v>
      </c>
      <c r="I75">
        <v>1204.7</v>
      </c>
      <c r="J75">
        <v>986</v>
      </c>
    </row>
    <row r="76" spans="1:11" hidden="1" x14ac:dyDescent="0.25">
      <c r="H76" t="s">
        <v>228</v>
      </c>
      <c r="I76">
        <v>1204.7</v>
      </c>
      <c r="J76">
        <v>986</v>
      </c>
      <c r="K76">
        <v>218.7</v>
      </c>
    </row>
    <row r="77" spans="1:11" x14ac:dyDescent="0.25">
      <c r="A77">
        <v>45383</v>
      </c>
      <c r="B77" t="s">
        <v>18</v>
      </c>
      <c r="C77" t="s">
        <v>99</v>
      </c>
      <c r="D77">
        <v>24001092</v>
      </c>
      <c r="E77">
        <v>182173</v>
      </c>
      <c r="F77" t="s">
        <v>112</v>
      </c>
      <c r="G77">
        <v>1225</v>
      </c>
      <c r="H77">
        <v>0.7</v>
      </c>
      <c r="I77">
        <v>857.5</v>
      </c>
      <c r="J77">
        <v>986</v>
      </c>
    </row>
    <row r="78" spans="1:11" x14ac:dyDescent="0.25">
      <c r="A78">
        <v>45383</v>
      </c>
      <c r="B78" t="s">
        <v>18</v>
      </c>
      <c r="C78" t="s">
        <v>99</v>
      </c>
      <c r="D78">
        <v>24001093</v>
      </c>
      <c r="E78">
        <v>182197</v>
      </c>
      <c r="F78" t="s">
        <v>112</v>
      </c>
      <c r="G78">
        <v>371</v>
      </c>
      <c r="H78">
        <v>0.7</v>
      </c>
      <c r="I78">
        <v>259.7</v>
      </c>
      <c r="J78">
        <v>986</v>
      </c>
    </row>
    <row r="79" spans="1:11" hidden="1" x14ac:dyDescent="0.25">
      <c r="H79" t="s">
        <v>229</v>
      </c>
      <c r="I79">
        <v>1117.2</v>
      </c>
      <c r="J79">
        <v>986</v>
      </c>
      <c r="K79">
        <v>131.19999999999999</v>
      </c>
    </row>
    <row r="80" spans="1:11" x14ac:dyDescent="0.25">
      <c r="A80">
        <v>45383</v>
      </c>
      <c r="B80" t="s">
        <v>18</v>
      </c>
      <c r="C80" t="s">
        <v>101</v>
      </c>
      <c r="D80">
        <v>24001029</v>
      </c>
      <c r="E80">
        <v>182164</v>
      </c>
      <c r="F80" t="s">
        <v>112</v>
      </c>
      <c r="G80">
        <v>35</v>
      </c>
      <c r="H80">
        <v>1.37</v>
      </c>
      <c r="I80">
        <v>47.95</v>
      </c>
      <c r="J80">
        <v>986</v>
      </c>
    </row>
    <row r="81" spans="1:11" x14ac:dyDescent="0.25">
      <c r="A81">
        <v>45383</v>
      </c>
      <c r="B81" t="s">
        <v>18</v>
      </c>
      <c r="C81" t="s">
        <v>101</v>
      </c>
      <c r="D81">
        <v>24001031</v>
      </c>
      <c r="E81">
        <v>182165</v>
      </c>
      <c r="F81" t="s">
        <v>112</v>
      </c>
      <c r="G81">
        <v>205</v>
      </c>
      <c r="H81">
        <v>1.24</v>
      </c>
      <c r="I81">
        <v>254.2</v>
      </c>
      <c r="J81">
        <v>986</v>
      </c>
    </row>
    <row r="82" spans="1:11" x14ac:dyDescent="0.25">
      <c r="A82">
        <v>45383</v>
      </c>
      <c r="B82" t="s">
        <v>18</v>
      </c>
      <c r="C82" t="s">
        <v>101</v>
      </c>
      <c r="D82">
        <v>24001020</v>
      </c>
      <c r="E82">
        <v>182287</v>
      </c>
      <c r="F82" t="s">
        <v>120</v>
      </c>
      <c r="G82">
        <v>198</v>
      </c>
      <c r="H82">
        <v>0.75</v>
      </c>
      <c r="I82">
        <v>148.5</v>
      </c>
      <c r="J82">
        <v>986</v>
      </c>
    </row>
    <row r="83" spans="1:11" x14ac:dyDescent="0.25">
      <c r="A83">
        <v>45383</v>
      </c>
      <c r="B83" t="s">
        <v>18</v>
      </c>
      <c r="C83" t="s">
        <v>101</v>
      </c>
      <c r="D83">
        <v>24001020</v>
      </c>
      <c r="E83">
        <v>182289</v>
      </c>
      <c r="F83" t="s">
        <v>120</v>
      </c>
      <c r="G83">
        <v>1</v>
      </c>
      <c r="H83">
        <v>0.75</v>
      </c>
      <c r="I83">
        <v>0.75</v>
      </c>
      <c r="J83">
        <v>986</v>
      </c>
    </row>
    <row r="84" spans="1:11" x14ac:dyDescent="0.25">
      <c r="A84">
        <v>45383</v>
      </c>
      <c r="B84" t="s">
        <v>18</v>
      </c>
      <c r="C84" t="s">
        <v>101</v>
      </c>
      <c r="D84">
        <v>24001020</v>
      </c>
      <c r="E84">
        <v>182296</v>
      </c>
      <c r="F84" t="s">
        <v>120</v>
      </c>
      <c r="G84">
        <v>92</v>
      </c>
      <c r="H84">
        <v>0.75</v>
      </c>
      <c r="I84">
        <v>69</v>
      </c>
      <c r="J84">
        <v>986</v>
      </c>
    </row>
    <row r="85" spans="1:11" x14ac:dyDescent="0.25">
      <c r="A85">
        <v>45383</v>
      </c>
      <c r="B85" t="s">
        <v>18</v>
      </c>
      <c r="C85" t="s">
        <v>101</v>
      </c>
      <c r="D85">
        <v>24001020</v>
      </c>
      <c r="E85">
        <v>182299</v>
      </c>
      <c r="F85" t="s">
        <v>120</v>
      </c>
      <c r="G85">
        <v>69</v>
      </c>
      <c r="H85">
        <v>0.75</v>
      </c>
      <c r="I85">
        <v>51.75</v>
      </c>
      <c r="J85">
        <v>986</v>
      </c>
    </row>
    <row r="86" spans="1:11" hidden="1" x14ac:dyDescent="0.25">
      <c r="H86" t="s">
        <v>230</v>
      </c>
      <c r="I86">
        <v>572.15</v>
      </c>
      <c r="J86">
        <v>986</v>
      </c>
      <c r="K86">
        <v>-413.85</v>
      </c>
    </row>
    <row r="87" spans="1:11" x14ac:dyDescent="0.25">
      <c r="A87">
        <v>45383</v>
      </c>
      <c r="B87" t="s">
        <v>18</v>
      </c>
      <c r="C87" t="s">
        <v>102</v>
      </c>
      <c r="D87">
        <v>24001069</v>
      </c>
      <c r="E87">
        <v>182280</v>
      </c>
      <c r="F87" t="s">
        <v>121</v>
      </c>
      <c r="G87">
        <v>5</v>
      </c>
      <c r="H87">
        <v>12.47</v>
      </c>
      <c r="I87">
        <v>62.35</v>
      </c>
      <c r="J87">
        <v>986</v>
      </c>
    </row>
    <row r="88" spans="1:11" x14ac:dyDescent="0.25">
      <c r="A88">
        <v>45383</v>
      </c>
      <c r="B88" t="s">
        <v>18</v>
      </c>
      <c r="C88" t="s">
        <v>102</v>
      </c>
      <c r="D88">
        <v>24001077</v>
      </c>
      <c r="E88">
        <v>182360</v>
      </c>
      <c r="F88" t="s">
        <v>122</v>
      </c>
      <c r="G88">
        <v>62</v>
      </c>
      <c r="H88">
        <v>12.47</v>
      </c>
      <c r="I88">
        <v>773.14</v>
      </c>
      <c r="J88">
        <v>986</v>
      </c>
    </row>
    <row r="89" spans="1:11" hidden="1" x14ac:dyDescent="0.25">
      <c r="H89" t="s">
        <v>231</v>
      </c>
      <c r="I89">
        <v>835.49</v>
      </c>
      <c r="J89">
        <v>986</v>
      </c>
      <c r="K89">
        <v>-150.51</v>
      </c>
    </row>
    <row r="90" spans="1:11" x14ac:dyDescent="0.25">
      <c r="A90">
        <v>45383</v>
      </c>
      <c r="B90" t="s">
        <v>18</v>
      </c>
      <c r="C90" t="s">
        <v>103</v>
      </c>
      <c r="D90">
        <v>24001069</v>
      </c>
      <c r="E90">
        <v>182280</v>
      </c>
      <c r="F90" t="s">
        <v>121</v>
      </c>
      <c r="G90">
        <v>6</v>
      </c>
      <c r="H90">
        <v>12.47</v>
      </c>
      <c r="I90">
        <v>74.819999999999993</v>
      </c>
      <c r="J90">
        <v>986</v>
      </c>
    </row>
    <row r="91" spans="1:11" x14ac:dyDescent="0.25">
      <c r="A91">
        <v>45383</v>
      </c>
      <c r="B91" t="s">
        <v>18</v>
      </c>
      <c r="C91" t="s">
        <v>103</v>
      </c>
      <c r="D91">
        <v>24001077</v>
      </c>
      <c r="E91">
        <v>182360</v>
      </c>
      <c r="F91" t="s">
        <v>122</v>
      </c>
      <c r="G91">
        <v>62</v>
      </c>
      <c r="H91">
        <v>12.47</v>
      </c>
      <c r="I91">
        <v>773.14</v>
      </c>
      <c r="J91">
        <v>986</v>
      </c>
    </row>
    <row r="92" spans="1:11" hidden="1" x14ac:dyDescent="0.25">
      <c r="H92" t="s">
        <v>232</v>
      </c>
      <c r="I92">
        <v>847.96</v>
      </c>
      <c r="J92">
        <v>986</v>
      </c>
      <c r="K92">
        <v>-138.04</v>
      </c>
    </row>
    <row r="93" spans="1:11" x14ac:dyDescent="0.25">
      <c r="A93">
        <v>45383</v>
      </c>
      <c r="B93" t="s">
        <v>19</v>
      </c>
      <c r="C93" t="s">
        <v>95</v>
      </c>
      <c r="D93">
        <v>24001098</v>
      </c>
      <c r="E93">
        <v>182179</v>
      </c>
      <c r="F93" t="s">
        <v>112</v>
      </c>
      <c r="G93">
        <v>13</v>
      </c>
      <c r="H93">
        <v>0.65</v>
      </c>
      <c r="I93">
        <v>8.4499999999999993</v>
      </c>
      <c r="J93">
        <v>1094</v>
      </c>
    </row>
    <row r="94" spans="1:11" x14ac:dyDescent="0.25">
      <c r="A94">
        <v>45383</v>
      </c>
      <c r="B94" t="s">
        <v>19</v>
      </c>
      <c r="C94" t="s">
        <v>95</v>
      </c>
      <c r="D94">
        <v>24001102</v>
      </c>
      <c r="E94">
        <v>182208</v>
      </c>
      <c r="F94" t="s">
        <v>112</v>
      </c>
      <c r="G94">
        <v>3227</v>
      </c>
      <c r="H94">
        <v>0.74</v>
      </c>
      <c r="I94">
        <v>2387.98</v>
      </c>
      <c r="J94">
        <v>1094</v>
      </c>
    </row>
    <row r="95" spans="1:11" hidden="1" x14ac:dyDescent="0.25">
      <c r="H95" t="s">
        <v>233</v>
      </c>
      <c r="I95">
        <v>2396.4299999999998</v>
      </c>
      <c r="J95">
        <v>1094</v>
      </c>
      <c r="K95">
        <v>1302.43</v>
      </c>
    </row>
    <row r="96" spans="1:11" x14ac:dyDescent="0.25">
      <c r="A96">
        <v>45383</v>
      </c>
      <c r="B96" t="s">
        <v>19</v>
      </c>
      <c r="C96" t="s">
        <v>105</v>
      </c>
      <c r="D96">
        <v>24001083</v>
      </c>
      <c r="E96">
        <v>182151</v>
      </c>
      <c r="F96" t="s">
        <v>112</v>
      </c>
      <c r="G96">
        <v>1487</v>
      </c>
      <c r="H96">
        <v>0.79</v>
      </c>
      <c r="I96">
        <v>1174.73</v>
      </c>
      <c r="J96">
        <v>1094</v>
      </c>
    </row>
    <row r="97" spans="1:11" x14ac:dyDescent="0.25">
      <c r="A97">
        <v>45383</v>
      </c>
      <c r="B97" t="s">
        <v>19</v>
      </c>
      <c r="C97" t="s">
        <v>105</v>
      </c>
      <c r="D97">
        <v>24001084</v>
      </c>
      <c r="E97">
        <v>182152</v>
      </c>
      <c r="F97" t="s">
        <v>112</v>
      </c>
      <c r="G97">
        <v>38</v>
      </c>
      <c r="H97">
        <v>0.79</v>
      </c>
      <c r="I97">
        <v>30.02</v>
      </c>
      <c r="J97">
        <v>1094</v>
      </c>
    </row>
    <row r="98" spans="1:11" x14ac:dyDescent="0.25">
      <c r="A98">
        <v>45383</v>
      </c>
      <c r="B98" t="s">
        <v>19</v>
      </c>
      <c r="C98" t="s">
        <v>105</v>
      </c>
      <c r="D98">
        <v>24001091</v>
      </c>
      <c r="E98">
        <v>182195</v>
      </c>
      <c r="F98" t="s">
        <v>112</v>
      </c>
      <c r="G98">
        <v>24</v>
      </c>
      <c r="H98">
        <v>0.7</v>
      </c>
      <c r="I98">
        <v>16.8</v>
      </c>
      <c r="J98">
        <v>1094</v>
      </c>
    </row>
    <row r="99" spans="1:11" hidden="1" x14ac:dyDescent="0.25">
      <c r="H99" t="s">
        <v>234</v>
      </c>
      <c r="I99">
        <v>1221.55</v>
      </c>
      <c r="J99">
        <v>1094</v>
      </c>
      <c r="K99">
        <v>127.55</v>
      </c>
    </row>
    <row r="100" spans="1:11" x14ac:dyDescent="0.25">
      <c r="A100">
        <v>45383</v>
      </c>
      <c r="B100" t="s">
        <v>19</v>
      </c>
      <c r="C100" t="s">
        <v>118</v>
      </c>
      <c r="D100">
        <v>24001083</v>
      </c>
      <c r="E100">
        <v>182151</v>
      </c>
      <c r="F100" t="s">
        <v>112</v>
      </c>
      <c r="G100">
        <v>1488</v>
      </c>
      <c r="H100">
        <v>0.79</v>
      </c>
      <c r="I100">
        <v>1175.52</v>
      </c>
      <c r="J100">
        <v>1094</v>
      </c>
    </row>
    <row r="101" spans="1:11" x14ac:dyDescent="0.25">
      <c r="A101">
        <v>45383</v>
      </c>
      <c r="B101" t="s">
        <v>19</v>
      </c>
      <c r="C101" t="s">
        <v>118</v>
      </c>
      <c r="D101">
        <v>24001084</v>
      </c>
      <c r="E101">
        <v>182152</v>
      </c>
      <c r="F101" t="s">
        <v>112</v>
      </c>
      <c r="G101">
        <v>37</v>
      </c>
      <c r="H101">
        <v>0.79</v>
      </c>
      <c r="I101">
        <v>29.23</v>
      </c>
      <c r="J101">
        <v>1094</v>
      </c>
    </row>
    <row r="102" spans="1:11" x14ac:dyDescent="0.25">
      <c r="A102">
        <v>45383</v>
      </c>
      <c r="B102" t="s">
        <v>19</v>
      </c>
      <c r="C102" t="s">
        <v>118</v>
      </c>
      <c r="D102">
        <v>24001091</v>
      </c>
      <c r="E102">
        <v>182195</v>
      </c>
      <c r="F102" t="s">
        <v>112</v>
      </c>
      <c r="G102">
        <v>25</v>
      </c>
      <c r="H102">
        <v>0.7</v>
      </c>
      <c r="I102">
        <v>17.5</v>
      </c>
      <c r="J102">
        <v>1094</v>
      </c>
    </row>
    <row r="103" spans="1:11" hidden="1" x14ac:dyDescent="0.25">
      <c r="H103" t="s">
        <v>235</v>
      </c>
      <c r="I103">
        <v>1222.25</v>
      </c>
      <c r="J103">
        <v>1094</v>
      </c>
      <c r="K103">
        <v>128.25</v>
      </c>
    </row>
    <row r="104" spans="1:11" x14ac:dyDescent="0.25">
      <c r="A104">
        <v>45383</v>
      </c>
      <c r="B104" t="s">
        <v>19</v>
      </c>
      <c r="C104" t="s">
        <v>119</v>
      </c>
      <c r="D104">
        <v>24001019</v>
      </c>
      <c r="E104">
        <v>182157</v>
      </c>
      <c r="F104" t="s">
        <v>112</v>
      </c>
      <c r="G104">
        <v>2000</v>
      </c>
      <c r="H104">
        <v>0.83</v>
      </c>
      <c r="I104">
        <v>1660</v>
      </c>
      <c r="J104">
        <v>1094</v>
      </c>
    </row>
    <row r="105" spans="1:11" hidden="1" x14ac:dyDescent="0.25">
      <c r="H105" t="s">
        <v>236</v>
      </c>
      <c r="I105">
        <v>1660</v>
      </c>
      <c r="J105">
        <v>1094</v>
      </c>
      <c r="K105">
        <v>566</v>
      </c>
    </row>
    <row r="106" spans="1:11" x14ac:dyDescent="0.25">
      <c r="A106">
        <v>45383</v>
      </c>
      <c r="B106" t="s">
        <v>19</v>
      </c>
      <c r="C106" t="s">
        <v>123</v>
      </c>
      <c r="D106">
        <v>24001019</v>
      </c>
      <c r="E106">
        <v>182157</v>
      </c>
      <c r="F106" t="s">
        <v>112</v>
      </c>
      <c r="G106">
        <v>2000</v>
      </c>
      <c r="H106">
        <v>0.83</v>
      </c>
      <c r="I106">
        <v>1660</v>
      </c>
      <c r="J106">
        <v>1094</v>
      </c>
    </row>
    <row r="107" spans="1:11" hidden="1" x14ac:dyDescent="0.25">
      <c r="H107" t="s">
        <v>237</v>
      </c>
      <c r="I107">
        <v>1660</v>
      </c>
      <c r="J107">
        <v>1094</v>
      </c>
      <c r="K107">
        <v>566</v>
      </c>
    </row>
    <row r="108" spans="1:11" x14ac:dyDescent="0.25">
      <c r="A108">
        <v>45383</v>
      </c>
      <c r="B108" t="s">
        <v>19</v>
      </c>
      <c r="C108" t="s">
        <v>97</v>
      </c>
      <c r="D108">
        <v>24001023</v>
      </c>
      <c r="E108">
        <v>182170</v>
      </c>
      <c r="F108" t="s">
        <v>112</v>
      </c>
      <c r="G108">
        <v>1850</v>
      </c>
      <c r="H108">
        <v>0.68</v>
      </c>
      <c r="I108">
        <v>1258</v>
      </c>
      <c r="J108">
        <v>1094</v>
      </c>
    </row>
    <row r="109" spans="1:11" hidden="1" x14ac:dyDescent="0.25">
      <c r="H109" t="s">
        <v>238</v>
      </c>
      <c r="I109">
        <v>1258</v>
      </c>
      <c r="J109">
        <v>1094</v>
      </c>
      <c r="K109">
        <v>164</v>
      </c>
    </row>
    <row r="110" spans="1:11" x14ac:dyDescent="0.25">
      <c r="A110">
        <v>45383</v>
      </c>
      <c r="B110" t="s">
        <v>19</v>
      </c>
      <c r="C110" t="s">
        <v>99</v>
      </c>
      <c r="D110">
        <v>24001023</v>
      </c>
      <c r="E110">
        <v>182170</v>
      </c>
      <c r="F110" t="s">
        <v>112</v>
      </c>
      <c r="G110">
        <v>1850</v>
      </c>
      <c r="H110">
        <v>0.68</v>
      </c>
      <c r="I110">
        <v>1258</v>
      </c>
      <c r="J110">
        <v>1094</v>
      </c>
    </row>
    <row r="111" spans="1:11" hidden="1" x14ac:dyDescent="0.25">
      <c r="H111" t="s">
        <v>239</v>
      </c>
      <c r="I111">
        <v>1258</v>
      </c>
      <c r="J111">
        <v>1094</v>
      </c>
      <c r="K111">
        <v>164</v>
      </c>
    </row>
    <row r="112" spans="1:11" x14ac:dyDescent="0.25">
      <c r="A112">
        <v>45383</v>
      </c>
      <c r="B112" t="s">
        <v>19</v>
      </c>
      <c r="C112" t="s">
        <v>101</v>
      </c>
      <c r="D112">
        <v>24001061</v>
      </c>
      <c r="E112">
        <v>182209</v>
      </c>
      <c r="F112" t="s">
        <v>112</v>
      </c>
      <c r="G112">
        <v>160</v>
      </c>
      <c r="H112">
        <v>0.74</v>
      </c>
      <c r="I112">
        <v>118.4</v>
      </c>
      <c r="J112">
        <v>1094</v>
      </c>
    </row>
    <row r="113" spans="1:11" x14ac:dyDescent="0.25">
      <c r="A113">
        <v>45383</v>
      </c>
      <c r="B113" t="s">
        <v>19</v>
      </c>
      <c r="C113" t="s">
        <v>101</v>
      </c>
      <c r="D113">
        <v>24001103</v>
      </c>
      <c r="E113">
        <v>182210</v>
      </c>
      <c r="F113" t="s">
        <v>112</v>
      </c>
      <c r="G113">
        <v>1292</v>
      </c>
      <c r="H113">
        <v>0.74</v>
      </c>
      <c r="I113">
        <v>956.08</v>
      </c>
      <c r="J113">
        <v>1094</v>
      </c>
    </row>
    <row r="114" spans="1:11" x14ac:dyDescent="0.25">
      <c r="A114">
        <v>45383</v>
      </c>
      <c r="B114" t="s">
        <v>19</v>
      </c>
      <c r="C114" t="s">
        <v>101</v>
      </c>
      <c r="D114">
        <v>24001064</v>
      </c>
      <c r="E114">
        <v>182211</v>
      </c>
      <c r="F114" t="s">
        <v>112</v>
      </c>
      <c r="G114">
        <v>780</v>
      </c>
      <c r="H114">
        <v>0.77</v>
      </c>
      <c r="I114">
        <v>600.6</v>
      </c>
      <c r="J114">
        <v>1094</v>
      </c>
    </row>
    <row r="115" spans="1:11" hidden="1" x14ac:dyDescent="0.25">
      <c r="H115" t="s">
        <v>240</v>
      </c>
      <c r="I115">
        <v>1675.08</v>
      </c>
      <c r="J115">
        <v>1094</v>
      </c>
      <c r="K115">
        <v>581.08000000000004</v>
      </c>
    </row>
    <row r="116" spans="1:11" x14ac:dyDescent="0.25">
      <c r="A116">
        <v>45383</v>
      </c>
      <c r="B116" t="s">
        <v>19</v>
      </c>
      <c r="C116" t="s">
        <v>102</v>
      </c>
      <c r="D116">
        <v>24001061</v>
      </c>
      <c r="E116">
        <v>182209</v>
      </c>
      <c r="F116" t="s">
        <v>112</v>
      </c>
      <c r="G116">
        <v>160</v>
      </c>
      <c r="H116">
        <v>0.74</v>
      </c>
      <c r="I116">
        <v>118.4</v>
      </c>
      <c r="J116">
        <v>1094</v>
      </c>
    </row>
    <row r="117" spans="1:11" x14ac:dyDescent="0.25">
      <c r="A117">
        <v>45383</v>
      </c>
      <c r="B117" t="s">
        <v>19</v>
      </c>
      <c r="C117" t="s">
        <v>102</v>
      </c>
      <c r="D117">
        <v>24001103</v>
      </c>
      <c r="E117">
        <v>182210</v>
      </c>
      <c r="F117" t="s">
        <v>112</v>
      </c>
      <c r="G117">
        <v>1293</v>
      </c>
      <c r="H117">
        <v>0.74</v>
      </c>
      <c r="I117">
        <v>956.82</v>
      </c>
      <c r="J117">
        <v>1094</v>
      </c>
    </row>
    <row r="118" spans="1:11" x14ac:dyDescent="0.25">
      <c r="A118">
        <v>45383</v>
      </c>
      <c r="B118" t="s">
        <v>19</v>
      </c>
      <c r="C118" t="s">
        <v>102</v>
      </c>
      <c r="D118">
        <v>24001064</v>
      </c>
      <c r="E118">
        <v>182211</v>
      </c>
      <c r="F118" t="s">
        <v>112</v>
      </c>
      <c r="G118">
        <v>780</v>
      </c>
      <c r="H118">
        <v>0.77</v>
      </c>
      <c r="I118">
        <v>600.6</v>
      </c>
      <c r="J118">
        <v>1094</v>
      </c>
    </row>
    <row r="119" spans="1:11" hidden="1" x14ac:dyDescent="0.25">
      <c r="H119" t="s">
        <v>241</v>
      </c>
      <c r="I119">
        <v>1675.82</v>
      </c>
      <c r="J119">
        <v>1094</v>
      </c>
      <c r="K119">
        <v>581.82000000000005</v>
      </c>
    </row>
    <row r="120" spans="1:11" x14ac:dyDescent="0.25">
      <c r="A120">
        <v>45383</v>
      </c>
      <c r="B120" t="s">
        <v>19</v>
      </c>
      <c r="C120" t="s">
        <v>103</v>
      </c>
      <c r="D120">
        <v>23002474</v>
      </c>
      <c r="E120">
        <v>181956</v>
      </c>
      <c r="F120" t="s">
        <v>112</v>
      </c>
      <c r="G120">
        <v>76</v>
      </c>
      <c r="H120">
        <v>0.79</v>
      </c>
      <c r="I120">
        <v>60.04</v>
      </c>
      <c r="J120">
        <v>1094</v>
      </c>
    </row>
    <row r="121" spans="1:11" x14ac:dyDescent="0.25">
      <c r="A121">
        <v>45383</v>
      </c>
      <c r="B121" t="s">
        <v>19</v>
      </c>
      <c r="C121" t="s">
        <v>103</v>
      </c>
      <c r="D121">
        <v>24001064</v>
      </c>
      <c r="E121">
        <v>182211</v>
      </c>
      <c r="F121" t="s">
        <v>112</v>
      </c>
      <c r="G121">
        <v>2200</v>
      </c>
      <c r="H121">
        <v>0.77</v>
      </c>
      <c r="I121">
        <v>1694</v>
      </c>
      <c r="J121">
        <v>1094</v>
      </c>
    </row>
    <row r="122" spans="1:11" hidden="1" x14ac:dyDescent="0.25">
      <c r="H122" t="s">
        <v>242</v>
      </c>
      <c r="I122">
        <v>1754.04</v>
      </c>
      <c r="J122">
        <v>1094</v>
      </c>
      <c r="K122">
        <v>660.04</v>
      </c>
    </row>
    <row r="123" spans="1:11" x14ac:dyDescent="0.25">
      <c r="A123">
        <v>45383</v>
      </c>
      <c r="B123" t="s">
        <v>19</v>
      </c>
      <c r="C123" t="s">
        <v>107</v>
      </c>
      <c r="D123">
        <v>23002474</v>
      </c>
      <c r="E123">
        <v>181956</v>
      </c>
      <c r="F123" t="s">
        <v>112</v>
      </c>
      <c r="G123">
        <v>77</v>
      </c>
      <c r="H123">
        <v>0.79</v>
      </c>
      <c r="I123">
        <v>60.83</v>
      </c>
      <c r="J123">
        <v>1094</v>
      </c>
    </row>
    <row r="124" spans="1:11" x14ac:dyDescent="0.25">
      <c r="A124">
        <v>45383</v>
      </c>
      <c r="B124" t="s">
        <v>19</v>
      </c>
      <c r="C124" t="s">
        <v>107</v>
      </c>
      <c r="D124">
        <v>24001064</v>
      </c>
      <c r="E124">
        <v>182211</v>
      </c>
      <c r="F124" t="s">
        <v>112</v>
      </c>
      <c r="G124">
        <v>2200</v>
      </c>
      <c r="H124">
        <v>0.77</v>
      </c>
      <c r="I124">
        <v>1694</v>
      </c>
      <c r="J124">
        <v>1094</v>
      </c>
    </row>
    <row r="125" spans="1:11" hidden="1" x14ac:dyDescent="0.25">
      <c r="H125" t="s">
        <v>243</v>
      </c>
      <c r="I125">
        <v>1754.83</v>
      </c>
      <c r="J125">
        <v>1094</v>
      </c>
      <c r="K125">
        <v>660.83</v>
      </c>
    </row>
    <row r="126" spans="1:11" x14ac:dyDescent="0.25">
      <c r="A126">
        <v>45383</v>
      </c>
      <c r="B126" t="s">
        <v>19</v>
      </c>
      <c r="C126" t="s">
        <v>109</v>
      </c>
      <c r="D126">
        <v>24001206</v>
      </c>
      <c r="E126">
        <v>182150</v>
      </c>
      <c r="F126" t="s">
        <v>112</v>
      </c>
      <c r="G126">
        <v>1465</v>
      </c>
      <c r="H126">
        <v>0.79</v>
      </c>
      <c r="I126">
        <v>1157.3499999999999</v>
      </c>
      <c r="J126">
        <v>1094</v>
      </c>
    </row>
    <row r="127" spans="1:11" x14ac:dyDescent="0.25">
      <c r="A127">
        <v>45383</v>
      </c>
      <c r="B127" t="s">
        <v>19</v>
      </c>
      <c r="C127" t="s">
        <v>109</v>
      </c>
      <c r="D127">
        <v>24001083</v>
      </c>
      <c r="E127">
        <v>182151</v>
      </c>
      <c r="F127" t="s">
        <v>112</v>
      </c>
      <c r="G127">
        <v>290</v>
      </c>
      <c r="H127">
        <v>0.79</v>
      </c>
      <c r="I127">
        <v>229.1</v>
      </c>
      <c r="J127">
        <v>1094</v>
      </c>
    </row>
    <row r="128" spans="1:11" hidden="1" x14ac:dyDescent="0.25">
      <c r="H128" t="s">
        <v>244</v>
      </c>
      <c r="I128">
        <v>1386.45</v>
      </c>
      <c r="J128">
        <v>1094</v>
      </c>
      <c r="K128">
        <v>292.45</v>
      </c>
    </row>
    <row r="129" spans="1:11" x14ac:dyDescent="0.25">
      <c r="A129">
        <v>45383</v>
      </c>
      <c r="B129" t="s">
        <v>19</v>
      </c>
      <c r="C129" t="s">
        <v>110</v>
      </c>
      <c r="D129">
        <v>24001206</v>
      </c>
      <c r="E129">
        <v>182150</v>
      </c>
      <c r="F129" t="s">
        <v>112</v>
      </c>
      <c r="G129">
        <v>1465</v>
      </c>
      <c r="H129">
        <v>0.79</v>
      </c>
      <c r="I129">
        <v>1157.3499999999999</v>
      </c>
      <c r="J129">
        <v>1094</v>
      </c>
    </row>
    <row r="130" spans="1:11" x14ac:dyDescent="0.25">
      <c r="A130">
        <v>45383</v>
      </c>
      <c r="B130" t="s">
        <v>19</v>
      </c>
      <c r="C130" t="s">
        <v>110</v>
      </c>
      <c r="D130">
        <v>24001083</v>
      </c>
      <c r="E130">
        <v>182151</v>
      </c>
      <c r="F130" t="s">
        <v>112</v>
      </c>
      <c r="G130">
        <v>290</v>
      </c>
      <c r="H130">
        <v>0.79</v>
      </c>
      <c r="I130">
        <v>229.1</v>
      </c>
      <c r="J130">
        <v>1094</v>
      </c>
    </row>
    <row r="131" spans="1:11" hidden="1" x14ac:dyDescent="0.25">
      <c r="H131" t="s">
        <v>245</v>
      </c>
      <c r="I131">
        <v>1386.45</v>
      </c>
      <c r="J131">
        <v>1094</v>
      </c>
      <c r="K131">
        <v>292.45</v>
      </c>
    </row>
    <row r="132" spans="1:11" x14ac:dyDescent="0.25">
      <c r="A132">
        <v>45384</v>
      </c>
      <c r="B132" t="s">
        <v>12</v>
      </c>
      <c r="C132" t="s">
        <v>95</v>
      </c>
      <c r="D132">
        <v>23001579</v>
      </c>
      <c r="E132">
        <v>181647</v>
      </c>
      <c r="F132" t="s">
        <v>96</v>
      </c>
      <c r="G132">
        <v>180</v>
      </c>
      <c r="H132">
        <v>3.96</v>
      </c>
      <c r="I132">
        <v>712.8</v>
      </c>
      <c r="J132">
        <v>608</v>
      </c>
    </row>
    <row r="133" spans="1:11" hidden="1" x14ac:dyDescent="0.25">
      <c r="H133" t="s">
        <v>198</v>
      </c>
      <c r="I133">
        <v>712.8</v>
      </c>
      <c r="J133">
        <v>608</v>
      </c>
      <c r="K133">
        <v>104.8</v>
      </c>
    </row>
    <row r="134" spans="1:11" x14ac:dyDescent="0.25">
      <c r="A134">
        <v>45384</v>
      </c>
      <c r="B134" t="s">
        <v>12</v>
      </c>
      <c r="C134" t="s">
        <v>97</v>
      </c>
      <c r="D134">
        <v>23001578</v>
      </c>
      <c r="E134">
        <v>181646</v>
      </c>
      <c r="F134" t="s">
        <v>98</v>
      </c>
      <c r="G134">
        <v>240</v>
      </c>
      <c r="H134">
        <v>2.99</v>
      </c>
      <c r="I134">
        <v>717.6</v>
      </c>
      <c r="J134">
        <v>608</v>
      </c>
    </row>
    <row r="135" spans="1:11" hidden="1" x14ac:dyDescent="0.25">
      <c r="H135" t="s">
        <v>199</v>
      </c>
      <c r="I135">
        <v>717.6</v>
      </c>
      <c r="J135">
        <v>608</v>
      </c>
      <c r="K135">
        <v>109.6</v>
      </c>
    </row>
    <row r="136" spans="1:11" x14ac:dyDescent="0.25">
      <c r="A136">
        <v>45384</v>
      </c>
      <c r="B136" t="s">
        <v>12</v>
      </c>
      <c r="C136" t="s">
        <v>99</v>
      </c>
      <c r="D136">
        <v>23001578</v>
      </c>
      <c r="E136">
        <v>181646</v>
      </c>
      <c r="F136" t="s">
        <v>98</v>
      </c>
      <c r="G136">
        <v>235</v>
      </c>
      <c r="H136">
        <v>2.99</v>
      </c>
      <c r="I136">
        <v>702.65</v>
      </c>
      <c r="J136">
        <v>608</v>
      </c>
    </row>
    <row r="137" spans="1:11" hidden="1" x14ac:dyDescent="0.25">
      <c r="H137" t="s">
        <v>200</v>
      </c>
      <c r="I137">
        <v>702.65</v>
      </c>
      <c r="J137">
        <v>608</v>
      </c>
      <c r="K137">
        <v>94.65</v>
      </c>
    </row>
    <row r="138" spans="1:11" x14ac:dyDescent="0.25">
      <c r="A138">
        <v>45384</v>
      </c>
      <c r="B138" t="s">
        <v>13</v>
      </c>
      <c r="C138" t="s">
        <v>95</v>
      </c>
      <c r="D138">
        <v>23001228</v>
      </c>
      <c r="E138">
        <v>182307</v>
      </c>
      <c r="F138" t="s">
        <v>124</v>
      </c>
      <c r="G138">
        <v>339</v>
      </c>
      <c r="H138">
        <v>2.89</v>
      </c>
      <c r="I138">
        <v>979.71</v>
      </c>
      <c r="J138">
        <v>545</v>
      </c>
    </row>
    <row r="139" spans="1:11" hidden="1" x14ac:dyDescent="0.25">
      <c r="H139" t="s">
        <v>246</v>
      </c>
      <c r="I139">
        <v>979.71</v>
      </c>
      <c r="J139">
        <v>545</v>
      </c>
      <c r="K139">
        <v>434.71</v>
      </c>
    </row>
    <row r="140" spans="1:11" x14ac:dyDescent="0.25">
      <c r="A140">
        <v>45384</v>
      </c>
      <c r="B140" t="s">
        <v>13</v>
      </c>
      <c r="C140" t="s">
        <v>97</v>
      </c>
      <c r="D140">
        <v>23001347</v>
      </c>
      <c r="E140">
        <v>181906</v>
      </c>
      <c r="F140" t="s">
        <v>125</v>
      </c>
      <c r="G140">
        <v>320</v>
      </c>
      <c r="H140">
        <v>2.91</v>
      </c>
      <c r="I140">
        <v>931.2</v>
      </c>
      <c r="J140">
        <v>545</v>
      </c>
    </row>
    <row r="141" spans="1:11" hidden="1" x14ac:dyDescent="0.25">
      <c r="H141" t="s">
        <v>247</v>
      </c>
      <c r="I141">
        <v>931.2</v>
      </c>
      <c r="J141">
        <v>545</v>
      </c>
      <c r="K141">
        <v>386.2</v>
      </c>
    </row>
    <row r="142" spans="1:11" x14ac:dyDescent="0.25">
      <c r="A142">
        <v>45384</v>
      </c>
      <c r="B142" t="s">
        <v>13</v>
      </c>
      <c r="C142" t="s">
        <v>99</v>
      </c>
      <c r="D142">
        <v>23001227</v>
      </c>
      <c r="E142">
        <v>182338</v>
      </c>
      <c r="F142" t="s">
        <v>124</v>
      </c>
      <c r="G142">
        <v>374</v>
      </c>
      <c r="H142">
        <v>1.23</v>
      </c>
      <c r="I142">
        <v>460.02</v>
      </c>
      <c r="J142">
        <v>545</v>
      </c>
    </row>
    <row r="143" spans="1:11" x14ac:dyDescent="0.25">
      <c r="A143">
        <v>45384</v>
      </c>
      <c r="B143" t="s">
        <v>13</v>
      </c>
      <c r="C143" t="s">
        <v>99</v>
      </c>
      <c r="D143">
        <v>23001233</v>
      </c>
      <c r="E143">
        <v>182344</v>
      </c>
      <c r="F143" t="s">
        <v>124</v>
      </c>
      <c r="G143">
        <v>194</v>
      </c>
      <c r="H143">
        <v>1.23</v>
      </c>
      <c r="I143">
        <v>238.62</v>
      </c>
      <c r="J143">
        <v>545</v>
      </c>
    </row>
    <row r="144" spans="1:11" x14ac:dyDescent="0.25">
      <c r="A144">
        <v>45384</v>
      </c>
      <c r="B144" t="s">
        <v>13</v>
      </c>
      <c r="C144" t="s">
        <v>99</v>
      </c>
      <c r="D144">
        <v>24001016</v>
      </c>
      <c r="E144">
        <v>182354</v>
      </c>
      <c r="F144" t="s">
        <v>124</v>
      </c>
      <c r="G144">
        <v>68</v>
      </c>
      <c r="H144">
        <v>1.23</v>
      </c>
      <c r="I144">
        <v>83.64</v>
      </c>
      <c r="J144">
        <v>545</v>
      </c>
    </row>
    <row r="145" spans="1:13" x14ac:dyDescent="0.25">
      <c r="A145">
        <v>45384</v>
      </c>
      <c r="B145" t="s">
        <v>13</v>
      </c>
      <c r="C145" t="s">
        <v>99</v>
      </c>
      <c r="D145">
        <v>24001100</v>
      </c>
      <c r="E145">
        <v>182506</v>
      </c>
      <c r="F145" t="s">
        <v>124</v>
      </c>
      <c r="G145">
        <v>64</v>
      </c>
      <c r="H145">
        <v>0</v>
      </c>
      <c r="I145">
        <v>0</v>
      </c>
      <c r="J145">
        <v>545</v>
      </c>
    </row>
    <row r="146" spans="1:13" hidden="1" x14ac:dyDescent="0.25">
      <c r="H146" t="s">
        <v>248</v>
      </c>
      <c r="I146">
        <v>782.28</v>
      </c>
      <c r="J146">
        <v>545</v>
      </c>
      <c r="K146">
        <v>237.28</v>
      </c>
    </row>
    <row r="147" spans="1:13" x14ac:dyDescent="0.25">
      <c r="A147">
        <v>45384</v>
      </c>
      <c r="B147" t="s">
        <v>13</v>
      </c>
      <c r="C147" t="s">
        <v>101</v>
      </c>
      <c r="D147">
        <v>23001229</v>
      </c>
      <c r="E147">
        <v>182308</v>
      </c>
      <c r="F147" t="s">
        <v>124</v>
      </c>
      <c r="G147">
        <v>245</v>
      </c>
      <c r="H147">
        <v>2.41</v>
      </c>
      <c r="I147">
        <v>590.45000000000005</v>
      </c>
      <c r="J147">
        <v>545</v>
      </c>
    </row>
    <row r="148" spans="1:13" x14ac:dyDescent="0.25">
      <c r="A148">
        <v>45384</v>
      </c>
      <c r="B148" t="s">
        <v>13</v>
      </c>
      <c r="C148" t="s">
        <v>101</v>
      </c>
      <c r="D148">
        <v>24001034</v>
      </c>
      <c r="E148">
        <v>182330</v>
      </c>
      <c r="F148" t="s">
        <v>124</v>
      </c>
      <c r="G148">
        <v>130</v>
      </c>
      <c r="H148">
        <v>0</v>
      </c>
      <c r="I148">
        <v>0</v>
      </c>
      <c r="J148">
        <v>545</v>
      </c>
    </row>
    <row r="149" spans="1:13" hidden="1" x14ac:dyDescent="0.25">
      <c r="H149" t="s">
        <v>249</v>
      </c>
      <c r="I149">
        <v>590.45000000000005</v>
      </c>
      <c r="J149">
        <v>545</v>
      </c>
      <c r="K149">
        <v>45.45</v>
      </c>
    </row>
    <row r="150" spans="1:13" x14ac:dyDescent="0.25">
      <c r="A150">
        <v>45384</v>
      </c>
      <c r="B150" t="s">
        <v>14</v>
      </c>
      <c r="C150" t="s">
        <v>99</v>
      </c>
      <c r="D150">
        <v>23001600</v>
      </c>
      <c r="E150">
        <v>181771</v>
      </c>
      <c r="F150" t="s">
        <v>96</v>
      </c>
      <c r="G150">
        <v>61</v>
      </c>
      <c r="H150">
        <v>3.02</v>
      </c>
      <c r="I150">
        <v>184.22</v>
      </c>
      <c r="J150">
        <v>874</v>
      </c>
    </row>
    <row r="151" spans="1:13" hidden="1" x14ac:dyDescent="0.25">
      <c r="H151" t="s">
        <v>201</v>
      </c>
      <c r="I151">
        <v>184.22</v>
      </c>
      <c r="J151">
        <v>874</v>
      </c>
      <c r="K151">
        <v>-689.78</v>
      </c>
      <c r="M151" t="s">
        <v>250</v>
      </c>
    </row>
    <row r="152" spans="1:13" x14ac:dyDescent="0.25">
      <c r="A152">
        <v>45384</v>
      </c>
      <c r="B152" t="s">
        <v>15</v>
      </c>
      <c r="C152" t="s">
        <v>95</v>
      </c>
      <c r="D152">
        <v>24001019</v>
      </c>
      <c r="E152">
        <v>182131</v>
      </c>
      <c r="F152" t="s">
        <v>100</v>
      </c>
      <c r="G152">
        <v>1800</v>
      </c>
      <c r="H152">
        <v>0.39</v>
      </c>
      <c r="I152">
        <v>702</v>
      </c>
      <c r="J152">
        <v>608</v>
      </c>
    </row>
    <row r="153" spans="1:13" hidden="1" x14ac:dyDescent="0.25">
      <c r="H153" t="s">
        <v>202</v>
      </c>
      <c r="I153">
        <v>702</v>
      </c>
      <c r="J153">
        <v>608</v>
      </c>
      <c r="K153">
        <v>94</v>
      </c>
    </row>
    <row r="154" spans="1:13" x14ac:dyDescent="0.25">
      <c r="A154">
        <v>45384</v>
      </c>
      <c r="B154" t="s">
        <v>15</v>
      </c>
      <c r="C154" t="s">
        <v>99</v>
      </c>
      <c r="D154">
        <v>24001005</v>
      </c>
      <c r="E154">
        <v>182079</v>
      </c>
      <c r="F154" t="s">
        <v>96</v>
      </c>
      <c r="G154">
        <v>28</v>
      </c>
      <c r="H154">
        <v>1.54</v>
      </c>
      <c r="I154">
        <v>43.12</v>
      </c>
      <c r="J154">
        <v>608</v>
      </c>
    </row>
    <row r="155" spans="1:13" x14ac:dyDescent="0.25">
      <c r="A155">
        <v>45384</v>
      </c>
      <c r="B155" t="s">
        <v>15</v>
      </c>
      <c r="C155" t="s">
        <v>99</v>
      </c>
      <c r="D155">
        <v>24001006</v>
      </c>
      <c r="E155">
        <v>182080</v>
      </c>
      <c r="F155" t="s">
        <v>96</v>
      </c>
      <c r="G155">
        <v>382</v>
      </c>
      <c r="H155">
        <v>1.54</v>
      </c>
      <c r="I155">
        <v>588.28</v>
      </c>
      <c r="J155">
        <v>608</v>
      </c>
    </row>
    <row r="156" spans="1:13" hidden="1" x14ac:dyDescent="0.25">
      <c r="H156" t="s">
        <v>203</v>
      </c>
      <c r="I156">
        <v>631.4</v>
      </c>
      <c r="J156">
        <v>608</v>
      </c>
      <c r="K156">
        <v>23.4</v>
      </c>
    </row>
    <row r="157" spans="1:13" x14ac:dyDescent="0.25">
      <c r="A157">
        <v>45384</v>
      </c>
      <c r="B157" t="s">
        <v>15</v>
      </c>
      <c r="C157" t="s">
        <v>101</v>
      </c>
      <c r="D157">
        <v>24001011</v>
      </c>
      <c r="E157">
        <v>182086</v>
      </c>
      <c r="F157" t="s">
        <v>96</v>
      </c>
      <c r="G157">
        <v>410</v>
      </c>
      <c r="H157">
        <v>1.54</v>
      </c>
      <c r="I157">
        <v>631.4</v>
      </c>
      <c r="J157">
        <v>608</v>
      </c>
    </row>
    <row r="158" spans="1:13" hidden="1" x14ac:dyDescent="0.25">
      <c r="H158" t="s">
        <v>204</v>
      </c>
      <c r="I158">
        <v>631.4</v>
      </c>
      <c r="J158">
        <v>608</v>
      </c>
      <c r="K158">
        <v>23.4</v>
      </c>
    </row>
    <row r="159" spans="1:13" x14ac:dyDescent="0.25">
      <c r="A159">
        <v>45384</v>
      </c>
      <c r="B159" t="s">
        <v>15</v>
      </c>
      <c r="C159" t="s">
        <v>102</v>
      </c>
      <c r="D159">
        <v>24001019</v>
      </c>
      <c r="E159">
        <v>182131</v>
      </c>
      <c r="F159" t="s">
        <v>100</v>
      </c>
      <c r="G159">
        <v>2108</v>
      </c>
      <c r="H159">
        <v>0.39</v>
      </c>
      <c r="I159">
        <v>822.12</v>
      </c>
      <c r="J159">
        <v>608</v>
      </c>
    </row>
    <row r="160" spans="1:13" hidden="1" x14ac:dyDescent="0.25">
      <c r="H160" t="s">
        <v>205</v>
      </c>
      <c r="I160">
        <v>822.12</v>
      </c>
      <c r="J160">
        <v>608</v>
      </c>
      <c r="K160">
        <v>214.12</v>
      </c>
    </row>
    <row r="161" spans="1:13" x14ac:dyDescent="0.25">
      <c r="A161">
        <v>45384</v>
      </c>
      <c r="B161" t="s">
        <v>15</v>
      </c>
      <c r="C161" t="s">
        <v>103</v>
      </c>
      <c r="D161">
        <v>24001027</v>
      </c>
      <c r="E161">
        <v>182101</v>
      </c>
      <c r="F161" t="s">
        <v>96</v>
      </c>
      <c r="G161">
        <v>500</v>
      </c>
      <c r="H161">
        <v>1.49</v>
      </c>
      <c r="I161">
        <v>745</v>
      </c>
      <c r="J161">
        <v>608</v>
      </c>
    </row>
    <row r="162" spans="1:13" hidden="1" x14ac:dyDescent="0.25">
      <c r="H162" t="s">
        <v>206</v>
      </c>
      <c r="I162">
        <v>745</v>
      </c>
      <c r="J162">
        <v>608</v>
      </c>
      <c r="K162">
        <v>137</v>
      </c>
    </row>
    <row r="163" spans="1:13" x14ac:dyDescent="0.25">
      <c r="A163">
        <v>45384</v>
      </c>
      <c r="B163" t="s">
        <v>16</v>
      </c>
      <c r="C163" t="s">
        <v>95</v>
      </c>
      <c r="D163">
        <v>23001219</v>
      </c>
      <c r="E163">
        <v>181900</v>
      </c>
      <c r="F163" t="s">
        <v>104</v>
      </c>
      <c r="G163">
        <v>280</v>
      </c>
      <c r="H163">
        <v>1.77</v>
      </c>
      <c r="I163">
        <v>495.6</v>
      </c>
      <c r="J163">
        <v>526</v>
      </c>
    </row>
    <row r="164" spans="1:13" hidden="1" x14ac:dyDescent="0.25">
      <c r="H164" t="s">
        <v>207</v>
      </c>
      <c r="I164">
        <v>495.6</v>
      </c>
      <c r="J164">
        <v>526</v>
      </c>
      <c r="K164">
        <v>-30.4</v>
      </c>
      <c r="M164" t="s">
        <v>251</v>
      </c>
    </row>
    <row r="165" spans="1:13" x14ac:dyDescent="0.25">
      <c r="A165">
        <v>45384</v>
      </c>
      <c r="B165" t="s">
        <v>16</v>
      </c>
      <c r="C165" t="s">
        <v>105</v>
      </c>
      <c r="D165">
        <v>23001617</v>
      </c>
      <c r="E165">
        <v>181820</v>
      </c>
      <c r="F165" t="s">
        <v>106</v>
      </c>
      <c r="G165">
        <v>1240</v>
      </c>
      <c r="H165">
        <v>0.45</v>
      </c>
      <c r="I165">
        <v>558</v>
      </c>
      <c r="J165">
        <v>526</v>
      </c>
    </row>
    <row r="166" spans="1:13" hidden="1" x14ac:dyDescent="0.25">
      <c r="H166" t="s">
        <v>208</v>
      </c>
      <c r="I166">
        <v>558</v>
      </c>
      <c r="J166">
        <v>526</v>
      </c>
      <c r="K166">
        <v>32</v>
      </c>
    </row>
    <row r="167" spans="1:13" x14ac:dyDescent="0.25">
      <c r="A167">
        <v>45384</v>
      </c>
      <c r="B167" t="s">
        <v>16</v>
      </c>
      <c r="C167" t="s">
        <v>97</v>
      </c>
      <c r="D167">
        <v>23001219</v>
      </c>
      <c r="E167">
        <v>181897</v>
      </c>
      <c r="F167" t="s">
        <v>104</v>
      </c>
      <c r="G167">
        <v>55</v>
      </c>
      <c r="H167">
        <v>1.77</v>
      </c>
      <c r="I167">
        <v>97.35</v>
      </c>
      <c r="J167">
        <v>526</v>
      </c>
    </row>
    <row r="168" spans="1:13" x14ac:dyDescent="0.25">
      <c r="A168">
        <v>45384</v>
      </c>
      <c r="B168" t="s">
        <v>16</v>
      </c>
      <c r="C168" t="s">
        <v>97</v>
      </c>
      <c r="D168">
        <v>23001219</v>
      </c>
      <c r="E168">
        <v>181900</v>
      </c>
      <c r="F168" t="s">
        <v>104</v>
      </c>
      <c r="G168">
        <v>225</v>
      </c>
      <c r="H168">
        <v>1.77</v>
      </c>
      <c r="I168">
        <v>398.25</v>
      </c>
      <c r="J168">
        <v>526</v>
      </c>
    </row>
    <row r="169" spans="1:13" hidden="1" x14ac:dyDescent="0.25">
      <c r="H169" t="s">
        <v>209</v>
      </c>
      <c r="I169">
        <v>495.6</v>
      </c>
      <c r="J169">
        <v>526</v>
      </c>
      <c r="K169">
        <v>-30.4</v>
      </c>
      <c r="M169" t="s">
        <v>251</v>
      </c>
    </row>
    <row r="170" spans="1:13" x14ac:dyDescent="0.25">
      <c r="A170">
        <v>45384</v>
      </c>
      <c r="B170" t="s">
        <v>16</v>
      </c>
      <c r="C170" t="s">
        <v>99</v>
      </c>
      <c r="D170">
        <v>23001617</v>
      </c>
      <c r="E170">
        <v>181820</v>
      </c>
      <c r="F170" t="s">
        <v>106</v>
      </c>
      <c r="G170">
        <v>1455</v>
      </c>
      <c r="H170">
        <v>0.45</v>
      </c>
      <c r="I170">
        <v>654.75</v>
      </c>
      <c r="J170">
        <v>526</v>
      </c>
    </row>
    <row r="171" spans="1:13" hidden="1" x14ac:dyDescent="0.25">
      <c r="H171" t="s">
        <v>210</v>
      </c>
      <c r="I171">
        <v>654.75</v>
      </c>
      <c r="J171">
        <v>526</v>
      </c>
      <c r="K171">
        <v>128.75</v>
      </c>
    </row>
    <row r="172" spans="1:13" x14ac:dyDescent="0.25">
      <c r="A172">
        <v>45384</v>
      </c>
      <c r="B172" t="s">
        <v>16</v>
      </c>
      <c r="C172" t="s">
        <v>101</v>
      </c>
      <c r="D172">
        <v>23001617</v>
      </c>
      <c r="E172">
        <v>181820</v>
      </c>
      <c r="F172" t="s">
        <v>106</v>
      </c>
      <c r="G172">
        <v>1520</v>
      </c>
      <c r="H172">
        <v>0.45</v>
      </c>
      <c r="I172">
        <v>684</v>
      </c>
      <c r="J172">
        <v>526</v>
      </c>
    </row>
    <row r="173" spans="1:13" hidden="1" x14ac:dyDescent="0.25">
      <c r="H173" t="s">
        <v>211</v>
      </c>
      <c r="I173">
        <v>684</v>
      </c>
      <c r="J173">
        <v>526</v>
      </c>
      <c r="K173">
        <v>158</v>
      </c>
    </row>
    <row r="174" spans="1:13" x14ac:dyDescent="0.25">
      <c r="A174">
        <v>45384</v>
      </c>
      <c r="B174" t="s">
        <v>16</v>
      </c>
      <c r="C174" t="s">
        <v>102</v>
      </c>
      <c r="D174">
        <v>23001625</v>
      </c>
      <c r="E174">
        <v>181870</v>
      </c>
      <c r="F174" t="s">
        <v>106</v>
      </c>
      <c r="G174">
        <v>994</v>
      </c>
      <c r="H174">
        <v>0.3</v>
      </c>
      <c r="I174">
        <v>298.2</v>
      </c>
      <c r="J174">
        <v>526</v>
      </c>
    </row>
    <row r="175" spans="1:13" x14ac:dyDescent="0.25">
      <c r="A175">
        <v>45384</v>
      </c>
      <c r="B175" t="s">
        <v>16</v>
      </c>
      <c r="C175" t="s">
        <v>102</v>
      </c>
      <c r="D175">
        <v>23001627</v>
      </c>
      <c r="E175">
        <v>181872</v>
      </c>
      <c r="F175" t="s">
        <v>106</v>
      </c>
      <c r="G175">
        <v>486</v>
      </c>
      <c r="H175">
        <v>0.3</v>
      </c>
      <c r="I175">
        <v>145.80000000000001</v>
      </c>
      <c r="J175">
        <v>526</v>
      </c>
    </row>
    <row r="176" spans="1:13" hidden="1" x14ac:dyDescent="0.25">
      <c r="H176" t="s">
        <v>212</v>
      </c>
      <c r="I176">
        <v>444</v>
      </c>
      <c r="J176">
        <v>526</v>
      </c>
      <c r="K176">
        <v>-82</v>
      </c>
      <c r="M176" t="s">
        <v>252</v>
      </c>
    </row>
    <row r="177" spans="1:13" x14ac:dyDescent="0.25">
      <c r="A177">
        <v>45384</v>
      </c>
      <c r="B177" t="s">
        <v>16</v>
      </c>
      <c r="C177" t="s">
        <v>103</v>
      </c>
      <c r="D177">
        <v>23001625</v>
      </c>
      <c r="E177">
        <v>181870</v>
      </c>
      <c r="F177" t="s">
        <v>106</v>
      </c>
      <c r="G177">
        <v>525</v>
      </c>
      <c r="H177">
        <v>0.3</v>
      </c>
      <c r="I177">
        <v>157.5</v>
      </c>
      <c r="J177">
        <v>526</v>
      </c>
    </row>
    <row r="178" spans="1:13" x14ac:dyDescent="0.25">
      <c r="A178">
        <v>45384</v>
      </c>
      <c r="B178" t="s">
        <v>16</v>
      </c>
      <c r="C178" t="s">
        <v>103</v>
      </c>
      <c r="D178">
        <v>23001627</v>
      </c>
      <c r="E178">
        <v>181872</v>
      </c>
      <c r="F178" t="s">
        <v>106</v>
      </c>
      <c r="G178">
        <v>965</v>
      </c>
      <c r="H178">
        <v>0.3</v>
      </c>
      <c r="I178">
        <v>289.5</v>
      </c>
      <c r="J178">
        <v>526</v>
      </c>
    </row>
    <row r="179" spans="1:13" hidden="1" x14ac:dyDescent="0.25">
      <c r="H179" t="s">
        <v>213</v>
      </c>
      <c r="I179">
        <v>447</v>
      </c>
      <c r="J179">
        <v>526</v>
      </c>
      <c r="K179">
        <v>-79</v>
      </c>
      <c r="M179" t="s">
        <v>253</v>
      </c>
    </row>
    <row r="180" spans="1:13" x14ac:dyDescent="0.25">
      <c r="A180">
        <v>45384</v>
      </c>
      <c r="B180" t="s">
        <v>16</v>
      </c>
      <c r="C180" t="s">
        <v>107</v>
      </c>
      <c r="D180">
        <v>23001170</v>
      </c>
      <c r="E180">
        <v>181693</v>
      </c>
      <c r="F180" t="s">
        <v>108</v>
      </c>
      <c r="G180">
        <v>630</v>
      </c>
      <c r="H180">
        <v>1.35</v>
      </c>
      <c r="I180">
        <v>850.5</v>
      </c>
      <c r="J180">
        <v>526</v>
      </c>
    </row>
    <row r="181" spans="1:13" hidden="1" x14ac:dyDescent="0.25">
      <c r="H181" t="s">
        <v>214</v>
      </c>
      <c r="I181">
        <v>850.5</v>
      </c>
      <c r="J181">
        <v>526</v>
      </c>
      <c r="K181">
        <v>324.5</v>
      </c>
    </row>
    <row r="182" spans="1:13" x14ac:dyDescent="0.25">
      <c r="A182">
        <v>45384</v>
      </c>
      <c r="B182" t="s">
        <v>16</v>
      </c>
      <c r="C182" t="s">
        <v>109</v>
      </c>
      <c r="D182">
        <v>23001170</v>
      </c>
      <c r="E182">
        <v>181693</v>
      </c>
      <c r="F182" t="s">
        <v>108</v>
      </c>
      <c r="G182">
        <v>304</v>
      </c>
      <c r="H182">
        <v>1.35</v>
      </c>
      <c r="I182">
        <v>410.4</v>
      </c>
      <c r="J182">
        <v>526</v>
      </c>
    </row>
    <row r="183" spans="1:13" x14ac:dyDescent="0.25">
      <c r="A183">
        <v>45384</v>
      </c>
      <c r="B183" t="s">
        <v>16</v>
      </c>
      <c r="C183" t="s">
        <v>109</v>
      </c>
      <c r="D183">
        <v>23001171</v>
      </c>
      <c r="E183">
        <v>181694</v>
      </c>
      <c r="F183" t="s">
        <v>108</v>
      </c>
      <c r="G183">
        <v>76</v>
      </c>
      <c r="H183">
        <v>1.28</v>
      </c>
      <c r="I183">
        <v>97.28</v>
      </c>
      <c r="J183">
        <v>526</v>
      </c>
    </row>
    <row r="184" spans="1:13" x14ac:dyDescent="0.25">
      <c r="A184">
        <v>45384</v>
      </c>
      <c r="B184" t="s">
        <v>16</v>
      </c>
      <c r="C184" t="s">
        <v>109</v>
      </c>
      <c r="D184">
        <v>23001172</v>
      </c>
      <c r="E184">
        <v>181695</v>
      </c>
      <c r="F184" t="s">
        <v>108</v>
      </c>
      <c r="G184">
        <v>60</v>
      </c>
      <c r="H184">
        <v>1.39</v>
      </c>
      <c r="I184">
        <v>83.4</v>
      </c>
      <c r="J184">
        <v>526</v>
      </c>
    </row>
    <row r="185" spans="1:13" hidden="1" x14ac:dyDescent="0.25">
      <c r="H185" t="s">
        <v>215</v>
      </c>
      <c r="I185">
        <v>591.08000000000004</v>
      </c>
      <c r="J185">
        <v>526</v>
      </c>
      <c r="K185">
        <v>65.08</v>
      </c>
    </row>
    <row r="186" spans="1:13" x14ac:dyDescent="0.25">
      <c r="A186">
        <v>45384</v>
      </c>
      <c r="B186" t="s">
        <v>16</v>
      </c>
      <c r="C186" t="s">
        <v>110</v>
      </c>
      <c r="D186">
        <v>23001617</v>
      </c>
      <c r="E186">
        <v>181820</v>
      </c>
      <c r="F186" t="s">
        <v>106</v>
      </c>
      <c r="G186">
        <v>1140</v>
      </c>
      <c r="H186">
        <v>0.45</v>
      </c>
      <c r="I186">
        <v>513</v>
      </c>
      <c r="J186">
        <v>526</v>
      </c>
    </row>
    <row r="187" spans="1:13" hidden="1" x14ac:dyDescent="0.25">
      <c r="H187" t="s">
        <v>216</v>
      </c>
      <c r="I187">
        <v>513</v>
      </c>
      <c r="J187">
        <v>526</v>
      </c>
      <c r="K187">
        <v>-13</v>
      </c>
      <c r="M187" t="s">
        <v>251</v>
      </c>
    </row>
    <row r="188" spans="1:13" x14ac:dyDescent="0.25">
      <c r="A188">
        <v>45384</v>
      </c>
      <c r="B188" t="s">
        <v>85</v>
      </c>
      <c r="C188" t="s">
        <v>95</v>
      </c>
      <c r="D188">
        <v>23001617</v>
      </c>
      <c r="E188">
        <v>181820</v>
      </c>
      <c r="F188" t="s">
        <v>106</v>
      </c>
      <c r="G188">
        <v>575</v>
      </c>
      <c r="H188">
        <v>0.45</v>
      </c>
      <c r="I188">
        <v>258.75</v>
      </c>
      <c r="J188">
        <v>305</v>
      </c>
    </row>
    <row r="189" spans="1:13" hidden="1" x14ac:dyDescent="0.25">
      <c r="H189" t="s">
        <v>217</v>
      </c>
      <c r="I189">
        <v>258.75</v>
      </c>
      <c r="J189">
        <v>305</v>
      </c>
      <c r="K189">
        <v>-46.25</v>
      </c>
    </row>
    <row r="190" spans="1:13" x14ac:dyDescent="0.25">
      <c r="A190">
        <v>45384</v>
      </c>
      <c r="B190" t="s">
        <v>85</v>
      </c>
      <c r="C190" t="s">
        <v>97</v>
      </c>
      <c r="D190">
        <v>23001617</v>
      </c>
      <c r="E190">
        <v>181820</v>
      </c>
      <c r="F190" t="s">
        <v>106</v>
      </c>
      <c r="G190">
        <v>551</v>
      </c>
      <c r="H190">
        <v>0.45</v>
      </c>
      <c r="I190">
        <v>247.95</v>
      </c>
      <c r="J190">
        <v>305</v>
      </c>
    </row>
    <row r="191" spans="1:13" hidden="1" x14ac:dyDescent="0.25">
      <c r="H191" t="s">
        <v>218</v>
      </c>
      <c r="I191">
        <v>247.95</v>
      </c>
      <c r="J191">
        <v>305</v>
      </c>
      <c r="K191">
        <v>-57.05</v>
      </c>
    </row>
    <row r="192" spans="1:13" x14ac:dyDescent="0.25">
      <c r="A192">
        <v>45384</v>
      </c>
      <c r="B192" t="s">
        <v>17</v>
      </c>
      <c r="C192" t="s">
        <v>111</v>
      </c>
      <c r="D192">
        <v>24001108</v>
      </c>
      <c r="E192">
        <v>182137</v>
      </c>
      <c r="F192" t="s">
        <v>112</v>
      </c>
      <c r="G192">
        <v>2295</v>
      </c>
      <c r="H192">
        <v>0.65</v>
      </c>
      <c r="I192">
        <v>1491.75</v>
      </c>
      <c r="J192">
        <v>841</v>
      </c>
    </row>
    <row r="193" spans="1:11" hidden="1" x14ac:dyDescent="0.25">
      <c r="H193" t="s">
        <v>219</v>
      </c>
      <c r="I193">
        <v>1491.75</v>
      </c>
      <c r="J193">
        <v>841</v>
      </c>
      <c r="K193">
        <v>650.75</v>
      </c>
    </row>
    <row r="194" spans="1:11" x14ac:dyDescent="0.25">
      <c r="A194">
        <v>45384</v>
      </c>
      <c r="B194" t="s">
        <v>17</v>
      </c>
      <c r="C194" t="s">
        <v>113</v>
      </c>
      <c r="D194">
        <v>24001071</v>
      </c>
      <c r="E194">
        <v>182135</v>
      </c>
      <c r="F194" t="s">
        <v>112</v>
      </c>
      <c r="G194">
        <v>2</v>
      </c>
      <c r="H194">
        <v>0.65</v>
      </c>
      <c r="I194">
        <v>1.3</v>
      </c>
      <c r="J194">
        <v>841</v>
      </c>
    </row>
    <row r="195" spans="1:11" x14ac:dyDescent="0.25">
      <c r="A195">
        <v>45384</v>
      </c>
      <c r="B195" t="s">
        <v>17</v>
      </c>
      <c r="C195" t="s">
        <v>113</v>
      </c>
      <c r="D195">
        <v>24001108</v>
      </c>
      <c r="E195">
        <v>182137</v>
      </c>
      <c r="F195" t="s">
        <v>112</v>
      </c>
      <c r="G195">
        <v>2368</v>
      </c>
      <c r="H195">
        <v>0.65</v>
      </c>
      <c r="I195">
        <v>1539.2</v>
      </c>
      <c r="J195">
        <v>841</v>
      </c>
    </row>
    <row r="196" spans="1:11" hidden="1" x14ac:dyDescent="0.25">
      <c r="H196" t="s">
        <v>220</v>
      </c>
      <c r="I196">
        <v>1540.5</v>
      </c>
      <c r="J196">
        <v>841</v>
      </c>
      <c r="K196">
        <v>699.5</v>
      </c>
    </row>
    <row r="197" spans="1:11" x14ac:dyDescent="0.25">
      <c r="A197">
        <v>45384</v>
      </c>
      <c r="B197" t="s">
        <v>17</v>
      </c>
      <c r="C197" t="s">
        <v>114</v>
      </c>
      <c r="D197">
        <v>24001071</v>
      </c>
      <c r="E197">
        <v>182135</v>
      </c>
      <c r="F197" t="s">
        <v>112</v>
      </c>
      <c r="G197">
        <v>9</v>
      </c>
      <c r="H197">
        <v>0.65</v>
      </c>
      <c r="I197">
        <v>5.85</v>
      </c>
      <c r="J197">
        <v>841</v>
      </c>
    </row>
    <row r="198" spans="1:11" x14ac:dyDescent="0.25">
      <c r="A198">
        <v>45384</v>
      </c>
      <c r="B198" t="s">
        <v>17</v>
      </c>
      <c r="C198" t="s">
        <v>114</v>
      </c>
      <c r="D198">
        <v>24001072</v>
      </c>
      <c r="E198">
        <v>182136</v>
      </c>
      <c r="F198" t="s">
        <v>112</v>
      </c>
      <c r="G198">
        <v>4</v>
      </c>
      <c r="H198">
        <v>0.65</v>
      </c>
      <c r="I198">
        <v>2.6</v>
      </c>
      <c r="J198">
        <v>841</v>
      </c>
    </row>
    <row r="199" spans="1:11" x14ac:dyDescent="0.25">
      <c r="A199">
        <v>45384</v>
      </c>
      <c r="B199" t="s">
        <v>17</v>
      </c>
      <c r="C199" t="s">
        <v>114</v>
      </c>
      <c r="D199">
        <v>24001108</v>
      </c>
      <c r="E199">
        <v>182137</v>
      </c>
      <c r="F199" t="s">
        <v>112</v>
      </c>
      <c r="G199">
        <v>1865</v>
      </c>
      <c r="H199">
        <v>0.65</v>
      </c>
      <c r="I199">
        <v>1212.25</v>
      </c>
      <c r="J199">
        <v>841</v>
      </c>
    </row>
    <row r="200" spans="1:11" hidden="1" x14ac:dyDescent="0.25">
      <c r="H200" t="s">
        <v>221</v>
      </c>
      <c r="I200">
        <v>1220.7</v>
      </c>
      <c r="J200">
        <v>841</v>
      </c>
      <c r="K200">
        <v>379.7</v>
      </c>
    </row>
    <row r="201" spans="1:11" x14ac:dyDescent="0.25">
      <c r="A201">
        <v>45384</v>
      </c>
      <c r="B201" t="s">
        <v>17</v>
      </c>
      <c r="C201" t="s">
        <v>115</v>
      </c>
      <c r="D201">
        <v>24001108</v>
      </c>
      <c r="E201">
        <v>182137</v>
      </c>
      <c r="F201" t="s">
        <v>112</v>
      </c>
      <c r="G201">
        <v>1975</v>
      </c>
      <c r="H201">
        <v>0.65</v>
      </c>
      <c r="I201">
        <v>1283.75</v>
      </c>
      <c r="J201">
        <v>841</v>
      </c>
    </row>
    <row r="202" spans="1:11" hidden="1" x14ac:dyDescent="0.25">
      <c r="H202" t="s">
        <v>222</v>
      </c>
      <c r="I202">
        <v>1283.75</v>
      </c>
      <c r="J202">
        <v>841</v>
      </c>
      <c r="K202">
        <v>442.75</v>
      </c>
    </row>
    <row r="203" spans="1:11" x14ac:dyDescent="0.25">
      <c r="A203">
        <v>45384</v>
      </c>
      <c r="B203" t="s">
        <v>17</v>
      </c>
      <c r="C203" t="s">
        <v>116</v>
      </c>
      <c r="D203">
        <v>24001071</v>
      </c>
      <c r="E203">
        <v>182135</v>
      </c>
      <c r="F203" t="s">
        <v>112</v>
      </c>
      <c r="G203">
        <v>200</v>
      </c>
      <c r="H203">
        <v>0.65</v>
      </c>
      <c r="I203">
        <v>130</v>
      </c>
      <c r="J203">
        <v>841</v>
      </c>
    </row>
    <row r="204" spans="1:11" x14ac:dyDescent="0.25">
      <c r="A204">
        <v>45384</v>
      </c>
      <c r="B204" t="s">
        <v>17</v>
      </c>
      <c r="C204" t="s">
        <v>116</v>
      </c>
      <c r="D204">
        <v>24001108</v>
      </c>
      <c r="E204">
        <v>182137</v>
      </c>
      <c r="F204" t="s">
        <v>112</v>
      </c>
      <c r="G204">
        <v>1945</v>
      </c>
      <c r="H204">
        <v>0.65</v>
      </c>
      <c r="I204">
        <v>1264.25</v>
      </c>
      <c r="J204">
        <v>841</v>
      </c>
    </row>
    <row r="205" spans="1:11" hidden="1" x14ac:dyDescent="0.25">
      <c r="H205" t="s">
        <v>223</v>
      </c>
      <c r="I205">
        <v>1394.25</v>
      </c>
      <c r="J205">
        <v>841</v>
      </c>
      <c r="K205">
        <v>553.25</v>
      </c>
    </row>
    <row r="206" spans="1:11" x14ac:dyDescent="0.25">
      <c r="A206">
        <v>45384</v>
      </c>
      <c r="B206" t="s">
        <v>17</v>
      </c>
      <c r="C206" t="s">
        <v>117</v>
      </c>
      <c r="D206">
        <v>24001108</v>
      </c>
      <c r="E206">
        <v>182137</v>
      </c>
      <c r="F206" t="s">
        <v>112</v>
      </c>
      <c r="G206">
        <v>2290</v>
      </c>
      <c r="H206">
        <v>0.65</v>
      </c>
      <c r="I206">
        <v>1488.5</v>
      </c>
      <c r="J206">
        <v>841</v>
      </c>
    </row>
    <row r="207" spans="1:11" hidden="1" x14ac:dyDescent="0.25">
      <c r="H207" t="s">
        <v>224</v>
      </c>
      <c r="I207">
        <v>1488.5</v>
      </c>
      <c r="J207">
        <v>841</v>
      </c>
      <c r="K207">
        <v>647.5</v>
      </c>
    </row>
    <row r="208" spans="1:11" x14ac:dyDescent="0.25">
      <c r="A208">
        <v>45384</v>
      </c>
      <c r="B208" t="s">
        <v>18</v>
      </c>
      <c r="C208" t="s">
        <v>95</v>
      </c>
      <c r="D208">
        <v>24001092</v>
      </c>
      <c r="E208">
        <v>182173</v>
      </c>
      <c r="F208" t="s">
        <v>112</v>
      </c>
      <c r="G208">
        <v>2616</v>
      </c>
      <c r="H208">
        <v>0.7</v>
      </c>
      <c r="I208">
        <v>1831.2</v>
      </c>
      <c r="J208">
        <v>986</v>
      </c>
    </row>
    <row r="209" spans="1:11" x14ac:dyDescent="0.25">
      <c r="A209">
        <v>45384</v>
      </c>
      <c r="B209" t="s">
        <v>18</v>
      </c>
      <c r="C209" t="s">
        <v>95</v>
      </c>
      <c r="D209">
        <v>24001093</v>
      </c>
      <c r="E209">
        <v>182197</v>
      </c>
      <c r="F209" t="s">
        <v>112</v>
      </c>
      <c r="G209">
        <v>35</v>
      </c>
      <c r="H209">
        <v>0.7</v>
      </c>
      <c r="I209">
        <v>24.5</v>
      </c>
      <c r="J209">
        <v>986</v>
      </c>
    </row>
    <row r="210" spans="1:11" hidden="1" x14ac:dyDescent="0.25">
      <c r="H210" t="s">
        <v>225</v>
      </c>
      <c r="I210">
        <v>1855.7</v>
      </c>
      <c r="J210">
        <v>986</v>
      </c>
      <c r="K210">
        <v>869.7</v>
      </c>
    </row>
    <row r="211" spans="1:11" x14ac:dyDescent="0.25">
      <c r="A211">
        <v>45384</v>
      </c>
      <c r="B211" t="s">
        <v>18</v>
      </c>
      <c r="C211" t="s">
        <v>118</v>
      </c>
      <c r="D211">
        <v>24001088</v>
      </c>
      <c r="E211">
        <v>182167</v>
      </c>
      <c r="F211" t="s">
        <v>112</v>
      </c>
      <c r="G211">
        <v>1678</v>
      </c>
      <c r="H211">
        <v>0.8</v>
      </c>
      <c r="I211">
        <v>1342.4</v>
      </c>
      <c r="J211">
        <v>986</v>
      </c>
    </row>
    <row r="212" spans="1:11" hidden="1" x14ac:dyDescent="0.25">
      <c r="H212" t="s">
        <v>226</v>
      </c>
      <c r="I212">
        <v>1342.4</v>
      </c>
      <c r="J212">
        <v>986</v>
      </c>
      <c r="K212">
        <v>356.4</v>
      </c>
    </row>
    <row r="213" spans="1:11" x14ac:dyDescent="0.25">
      <c r="A213">
        <v>45384</v>
      </c>
      <c r="B213" t="s">
        <v>18</v>
      </c>
      <c r="C213" t="s">
        <v>119</v>
      </c>
      <c r="D213">
        <v>24001092</v>
      </c>
      <c r="E213">
        <v>182173</v>
      </c>
      <c r="F213" t="s">
        <v>112</v>
      </c>
      <c r="G213">
        <v>676</v>
      </c>
      <c r="H213">
        <v>0.7</v>
      </c>
      <c r="I213">
        <v>473.2</v>
      </c>
      <c r="J213">
        <v>986</v>
      </c>
    </row>
    <row r="214" spans="1:11" x14ac:dyDescent="0.25">
      <c r="A214">
        <v>45384</v>
      </c>
      <c r="B214" t="s">
        <v>18</v>
      </c>
      <c r="C214" t="s">
        <v>119</v>
      </c>
      <c r="D214">
        <v>24001116</v>
      </c>
      <c r="E214">
        <v>182191</v>
      </c>
      <c r="F214" t="s">
        <v>112</v>
      </c>
      <c r="G214">
        <v>1974</v>
      </c>
      <c r="H214">
        <v>0.76</v>
      </c>
      <c r="I214">
        <v>1500.24</v>
      </c>
      <c r="J214">
        <v>986</v>
      </c>
    </row>
    <row r="215" spans="1:11" hidden="1" x14ac:dyDescent="0.25">
      <c r="H215" t="s">
        <v>227</v>
      </c>
      <c r="I215">
        <v>1973.44</v>
      </c>
      <c r="J215">
        <v>986</v>
      </c>
      <c r="K215">
        <v>987.44</v>
      </c>
    </row>
    <row r="216" spans="1:11" x14ac:dyDescent="0.25">
      <c r="A216">
        <v>45384</v>
      </c>
      <c r="B216" t="s">
        <v>18</v>
      </c>
      <c r="C216" t="s">
        <v>97</v>
      </c>
      <c r="D216">
        <v>23002483</v>
      </c>
      <c r="E216">
        <v>181957</v>
      </c>
      <c r="F216" t="s">
        <v>112</v>
      </c>
      <c r="G216">
        <v>9</v>
      </c>
      <c r="H216">
        <v>0.79</v>
      </c>
      <c r="I216">
        <v>7.11</v>
      </c>
      <c r="J216">
        <v>986</v>
      </c>
    </row>
    <row r="217" spans="1:11" x14ac:dyDescent="0.25">
      <c r="A217">
        <v>45384</v>
      </c>
      <c r="B217" t="s">
        <v>18</v>
      </c>
      <c r="C217" t="s">
        <v>97</v>
      </c>
      <c r="D217">
        <v>23002476</v>
      </c>
      <c r="E217">
        <v>181958</v>
      </c>
      <c r="F217" t="s">
        <v>112</v>
      </c>
      <c r="G217">
        <v>4</v>
      </c>
      <c r="H217">
        <v>0.79</v>
      </c>
      <c r="I217">
        <v>3.16</v>
      </c>
      <c r="J217">
        <v>986</v>
      </c>
    </row>
    <row r="218" spans="1:11" x14ac:dyDescent="0.25">
      <c r="A218">
        <v>45384</v>
      </c>
      <c r="B218" t="s">
        <v>18</v>
      </c>
      <c r="C218" t="s">
        <v>97</v>
      </c>
      <c r="D218">
        <v>24001092</v>
      </c>
      <c r="E218">
        <v>182173</v>
      </c>
      <c r="F218" t="s">
        <v>112</v>
      </c>
      <c r="G218">
        <v>1772</v>
      </c>
      <c r="H218">
        <v>0.7</v>
      </c>
      <c r="I218">
        <v>1240.4000000000001</v>
      </c>
      <c r="J218">
        <v>986</v>
      </c>
    </row>
    <row r="219" spans="1:11" hidden="1" x14ac:dyDescent="0.25">
      <c r="H219" t="s">
        <v>228</v>
      </c>
      <c r="I219">
        <v>1250.67</v>
      </c>
      <c r="J219">
        <v>986</v>
      </c>
      <c r="K219">
        <v>264.67</v>
      </c>
    </row>
    <row r="220" spans="1:11" x14ac:dyDescent="0.25">
      <c r="A220">
        <v>45384</v>
      </c>
      <c r="B220" t="s">
        <v>18</v>
      </c>
      <c r="C220" t="s">
        <v>99</v>
      </c>
      <c r="D220">
        <v>24001092</v>
      </c>
      <c r="E220">
        <v>182173</v>
      </c>
      <c r="F220" t="s">
        <v>112</v>
      </c>
      <c r="G220">
        <v>1676</v>
      </c>
      <c r="H220">
        <v>0.7</v>
      </c>
      <c r="I220">
        <v>1173.2</v>
      </c>
      <c r="J220">
        <v>986</v>
      </c>
    </row>
    <row r="221" spans="1:11" hidden="1" x14ac:dyDescent="0.25">
      <c r="H221" t="s">
        <v>229</v>
      </c>
      <c r="I221">
        <v>1173.2</v>
      </c>
      <c r="J221">
        <v>986</v>
      </c>
      <c r="K221">
        <v>187.2</v>
      </c>
    </row>
    <row r="222" spans="1:11" x14ac:dyDescent="0.25">
      <c r="A222">
        <v>45384</v>
      </c>
      <c r="B222" t="s">
        <v>18</v>
      </c>
      <c r="C222" t="s">
        <v>101</v>
      </c>
      <c r="D222">
        <v>24001029</v>
      </c>
      <c r="E222">
        <v>182164</v>
      </c>
      <c r="F222" t="s">
        <v>112</v>
      </c>
      <c r="G222">
        <v>252</v>
      </c>
      <c r="H222">
        <v>1.37</v>
      </c>
      <c r="I222">
        <v>345.24</v>
      </c>
      <c r="J222">
        <v>986</v>
      </c>
    </row>
    <row r="223" spans="1:11" x14ac:dyDescent="0.25">
      <c r="A223">
        <v>45384</v>
      </c>
      <c r="B223" t="s">
        <v>18</v>
      </c>
      <c r="C223" t="s">
        <v>101</v>
      </c>
      <c r="D223">
        <v>24001031</v>
      </c>
      <c r="E223">
        <v>182165</v>
      </c>
      <c r="F223" t="s">
        <v>112</v>
      </c>
      <c r="G223">
        <v>138</v>
      </c>
      <c r="H223">
        <v>1.24</v>
      </c>
      <c r="I223">
        <v>171.12</v>
      </c>
      <c r="J223">
        <v>986</v>
      </c>
    </row>
    <row r="224" spans="1:11" x14ac:dyDescent="0.25">
      <c r="A224">
        <v>45384</v>
      </c>
      <c r="B224" t="s">
        <v>18</v>
      </c>
      <c r="C224" t="s">
        <v>101</v>
      </c>
      <c r="D224">
        <v>24001020</v>
      </c>
      <c r="E224">
        <v>182289</v>
      </c>
      <c r="F224" t="s">
        <v>120</v>
      </c>
      <c r="G224">
        <v>335</v>
      </c>
      <c r="H224">
        <v>0.75</v>
      </c>
      <c r="I224">
        <v>251.25</v>
      </c>
      <c r="J224">
        <v>986</v>
      </c>
    </row>
    <row r="225" spans="1:13" x14ac:dyDescent="0.25">
      <c r="A225">
        <v>45384</v>
      </c>
      <c r="B225" t="s">
        <v>18</v>
      </c>
      <c r="C225" t="s">
        <v>101</v>
      </c>
      <c r="D225">
        <v>24001020</v>
      </c>
      <c r="E225">
        <v>182292</v>
      </c>
      <c r="F225" t="s">
        <v>120</v>
      </c>
      <c r="G225">
        <v>2</v>
      </c>
      <c r="H225">
        <v>0.75</v>
      </c>
      <c r="I225">
        <v>1.5</v>
      </c>
      <c r="J225">
        <v>986</v>
      </c>
    </row>
    <row r="226" spans="1:13" x14ac:dyDescent="0.25">
      <c r="A226">
        <v>45384</v>
      </c>
      <c r="B226" t="s">
        <v>18</v>
      </c>
      <c r="C226" t="s">
        <v>101</v>
      </c>
      <c r="D226">
        <v>24001020</v>
      </c>
      <c r="E226">
        <v>182298</v>
      </c>
      <c r="F226" t="s">
        <v>120</v>
      </c>
      <c r="G226">
        <v>2</v>
      </c>
      <c r="H226">
        <v>0.75</v>
      </c>
      <c r="I226">
        <v>1.5</v>
      </c>
      <c r="J226">
        <v>986</v>
      </c>
    </row>
    <row r="227" spans="1:13" x14ac:dyDescent="0.25">
      <c r="A227">
        <v>45384</v>
      </c>
      <c r="B227" t="s">
        <v>18</v>
      </c>
      <c r="C227" t="s">
        <v>101</v>
      </c>
      <c r="D227">
        <v>24001020</v>
      </c>
      <c r="E227">
        <v>182299</v>
      </c>
      <c r="F227" t="s">
        <v>120</v>
      </c>
      <c r="G227">
        <v>489</v>
      </c>
      <c r="H227">
        <v>0.75</v>
      </c>
      <c r="I227">
        <v>366.75</v>
      </c>
      <c r="J227">
        <v>986</v>
      </c>
    </row>
    <row r="228" spans="1:13" hidden="1" x14ac:dyDescent="0.25">
      <c r="H228" t="s">
        <v>230</v>
      </c>
      <c r="I228">
        <v>1137.3599999999999</v>
      </c>
      <c r="J228">
        <v>986</v>
      </c>
      <c r="K228">
        <v>151.36000000000001</v>
      </c>
    </row>
    <row r="229" spans="1:13" x14ac:dyDescent="0.25">
      <c r="A229">
        <v>45384</v>
      </c>
      <c r="B229" t="s">
        <v>18</v>
      </c>
      <c r="C229" t="s">
        <v>102</v>
      </c>
      <c r="D229">
        <v>24001069</v>
      </c>
      <c r="E229">
        <v>182280</v>
      </c>
      <c r="F229" t="s">
        <v>121</v>
      </c>
      <c r="G229">
        <v>62</v>
      </c>
      <c r="H229">
        <v>12.47</v>
      </c>
      <c r="I229">
        <v>773.14</v>
      </c>
      <c r="J229">
        <v>986</v>
      </c>
    </row>
    <row r="230" spans="1:13" x14ac:dyDescent="0.25">
      <c r="A230">
        <v>45384</v>
      </c>
      <c r="B230" t="s">
        <v>18</v>
      </c>
      <c r="C230" t="s">
        <v>102</v>
      </c>
      <c r="D230">
        <v>24001077</v>
      </c>
      <c r="E230">
        <v>182360</v>
      </c>
      <c r="F230" t="s">
        <v>122</v>
      </c>
      <c r="G230">
        <v>1</v>
      </c>
      <c r="H230">
        <v>12.47</v>
      </c>
      <c r="I230">
        <v>12.47</v>
      </c>
      <c r="J230">
        <v>986</v>
      </c>
    </row>
    <row r="231" spans="1:13" hidden="1" x14ac:dyDescent="0.25">
      <c r="H231" t="s">
        <v>231</v>
      </c>
      <c r="I231">
        <v>785.61</v>
      </c>
      <c r="J231">
        <v>986</v>
      </c>
      <c r="K231">
        <v>-200.39</v>
      </c>
      <c r="M231" t="s">
        <v>251</v>
      </c>
    </row>
    <row r="232" spans="1:13" x14ac:dyDescent="0.25">
      <c r="A232">
        <v>45384</v>
      </c>
      <c r="B232" t="s">
        <v>18</v>
      </c>
      <c r="C232" t="s">
        <v>103</v>
      </c>
      <c r="D232">
        <v>24001069</v>
      </c>
      <c r="E232">
        <v>182280</v>
      </c>
      <c r="F232" t="s">
        <v>121</v>
      </c>
      <c r="G232">
        <v>61</v>
      </c>
      <c r="H232">
        <v>12.47</v>
      </c>
      <c r="I232">
        <v>760.67</v>
      </c>
      <c r="J232">
        <v>986</v>
      </c>
    </row>
    <row r="233" spans="1:13" x14ac:dyDescent="0.25">
      <c r="A233">
        <v>45384</v>
      </c>
      <c r="B233" t="s">
        <v>18</v>
      </c>
      <c r="C233" t="s">
        <v>103</v>
      </c>
      <c r="D233">
        <v>24001077</v>
      </c>
      <c r="E233">
        <v>182360</v>
      </c>
      <c r="F233" t="s">
        <v>122</v>
      </c>
      <c r="G233">
        <v>1</v>
      </c>
      <c r="H233">
        <v>12.47</v>
      </c>
      <c r="I233">
        <v>12.47</v>
      </c>
      <c r="J233">
        <v>986</v>
      </c>
    </row>
    <row r="234" spans="1:13" hidden="1" x14ac:dyDescent="0.25">
      <c r="H234" t="s">
        <v>232</v>
      </c>
      <c r="I234">
        <v>773.14</v>
      </c>
      <c r="J234">
        <v>986</v>
      </c>
      <c r="K234">
        <v>-212.86</v>
      </c>
      <c r="M234" t="s">
        <v>251</v>
      </c>
    </row>
    <row r="235" spans="1:13" x14ac:dyDescent="0.25">
      <c r="A235">
        <v>45384</v>
      </c>
      <c r="B235" t="s">
        <v>19</v>
      </c>
      <c r="C235" t="s">
        <v>95</v>
      </c>
      <c r="D235">
        <v>24001102</v>
      </c>
      <c r="E235">
        <v>182208</v>
      </c>
      <c r="F235" t="s">
        <v>112</v>
      </c>
      <c r="G235">
        <v>3261</v>
      </c>
      <c r="H235">
        <v>0.74</v>
      </c>
      <c r="I235">
        <v>2413.14</v>
      </c>
      <c r="J235">
        <v>1094</v>
      </c>
    </row>
    <row r="236" spans="1:13" hidden="1" x14ac:dyDescent="0.25">
      <c r="H236" t="s">
        <v>233</v>
      </c>
      <c r="I236">
        <v>2413.14</v>
      </c>
      <c r="J236">
        <v>1094</v>
      </c>
      <c r="K236">
        <v>1319.14</v>
      </c>
    </row>
    <row r="237" spans="1:13" x14ac:dyDescent="0.25">
      <c r="A237">
        <v>45384</v>
      </c>
      <c r="B237" t="s">
        <v>19</v>
      </c>
      <c r="C237" t="s">
        <v>105</v>
      </c>
      <c r="D237">
        <v>24001084</v>
      </c>
      <c r="E237">
        <v>182152</v>
      </c>
      <c r="F237" t="s">
        <v>112</v>
      </c>
      <c r="G237">
        <v>1632</v>
      </c>
      <c r="H237">
        <v>0.79</v>
      </c>
      <c r="I237">
        <v>1289.28</v>
      </c>
      <c r="J237">
        <v>1094</v>
      </c>
    </row>
    <row r="238" spans="1:13" x14ac:dyDescent="0.25">
      <c r="A238">
        <v>45384</v>
      </c>
      <c r="B238" t="s">
        <v>19</v>
      </c>
      <c r="C238" t="s">
        <v>105</v>
      </c>
      <c r="D238">
        <v>24001085</v>
      </c>
      <c r="E238">
        <v>182153</v>
      </c>
      <c r="F238" t="s">
        <v>112</v>
      </c>
      <c r="G238">
        <v>43</v>
      </c>
      <c r="H238">
        <v>0.93</v>
      </c>
      <c r="I238">
        <v>39.99</v>
      </c>
      <c r="J238">
        <v>1094</v>
      </c>
    </row>
    <row r="239" spans="1:13" hidden="1" x14ac:dyDescent="0.25">
      <c r="H239" t="s">
        <v>234</v>
      </c>
      <c r="I239">
        <v>1329.27</v>
      </c>
      <c r="J239">
        <v>1094</v>
      </c>
      <c r="K239">
        <v>235.27</v>
      </c>
    </row>
    <row r="240" spans="1:13" x14ac:dyDescent="0.25">
      <c r="A240">
        <v>45384</v>
      </c>
      <c r="B240" t="s">
        <v>19</v>
      </c>
      <c r="C240" t="s">
        <v>118</v>
      </c>
      <c r="D240">
        <v>24001084</v>
      </c>
      <c r="E240">
        <v>182152</v>
      </c>
      <c r="F240" t="s">
        <v>112</v>
      </c>
      <c r="G240">
        <v>1633</v>
      </c>
      <c r="H240">
        <v>0.79</v>
      </c>
      <c r="I240">
        <v>1290.07</v>
      </c>
      <c r="J240">
        <v>1094</v>
      </c>
    </row>
    <row r="241" spans="1:11" x14ac:dyDescent="0.25">
      <c r="A241">
        <v>45384</v>
      </c>
      <c r="B241" t="s">
        <v>19</v>
      </c>
      <c r="C241" t="s">
        <v>118</v>
      </c>
      <c r="D241">
        <v>24001085</v>
      </c>
      <c r="E241">
        <v>182153</v>
      </c>
      <c r="F241" t="s">
        <v>112</v>
      </c>
      <c r="G241">
        <v>42</v>
      </c>
      <c r="H241">
        <v>0.93</v>
      </c>
      <c r="I241">
        <v>39.06</v>
      </c>
      <c r="J241">
        <v>1094</v>
      </c>
    </row>
    <row r="242" spans="1:11" hidden="1" x14ac:dyDescent="0.25">
      <c r="H242" t="s">
        <v>235</v>
      </c>
      <c r="I242">
        <v>1329.13</v>
      </c>
      <c r="J242">
        <v>1094</v>
      </c>
      <c r="K242">
        <v>235.13</v>
      </c>
    </row>
    <row r="243" spans="1:11" x14ac:dyDescent="0.25">
      <c r="A243">
        <v>45384</v>
      </c>
      <c r="B243" t="s">
        <v>19</v>
      </c>
      <c r="C243" t="s">
        <v>119</v>
      </c>
      <c r="D243">
        <v>24001019</v>
      </c>
      <c r="E243">
        <v>182157</v>
      </c>
      <c r="F243" t="s">
        <v>112</v>
      </c>
      <c r="G243">
        <v>1997</v>
      </c>
      <c r="H243">
        <v>0.83</v>
      </c>
      <c r="I243">
        <v>1657.51</v>
      </c>
      <c r="J243">
        <v>1094</v>
      </c>
    </row>
    <row r="244" spans="1:11" x14ac:dyDescent="0.25">
      <c r="A244">
        <v>45384</v>
      </c>
      <c r="B244" t="s">
        <v>19</v>
      </c>
      <c r="C244" t="s">
        <v>119</v>
      </c>
      <c r="D244">
        <v>24001026</v>
      </c>
      <c r="E244">
        <v>182161</v>
      </c>
      <c r="F244" t="s">
        <v>112</v>
      </c>
      <c r="G244">
        <v>3</v>
      </c>
      <c r="H244">
        <v>0.75</v>
      </c>
      <c r="I244">
        <v>2.25</v>
      </c>
      <c r="J244">
        <v>1094</v>
      </c>
    </row>
    <row r="245" spans="1:11" hidden="1" x14ac:dyDescent="0.25">
      <c r="H245" t="s">
        <v>236</v>
      </c>
      <c r="I245">
        <v>1659.76</v>
      </c>
      <c r="J245">
        <v>1094</v>
      </c>
      <c r="K245">
        <v>565.76</v>
      </c>
    </row>
    <row r="246" spans="1:11" x14ac:dyDescent="0.25">
      <c r="A246">
        <v>45384</v>
      </c>
      <c r="B246" t="s">
        <v>19</v>
      </c>
      <c r="C246" t="s">
        <v>123</v>
      </c>
      <c r="D246">
        <v>24001019</v>
      </c>
      <c r="E246">
        <v>182157</v>
      </c>
      <c r="F246" t="s">
        <v>112</v>
      </c>
      <c r="G246">
        <v>1998</v>
      </c>
      <c r="H246">
        <v>0.83</v>
      </c>
      <c r="I246">
        <v>1658.34</v>
      </c>
      <c r="J246">
        <v>1094</v>
      </c>
    </row>
    <row r="247" spans="1:11" x14ac:dyDescent="0.25">
      <c r="A247">
        <v>45384</v>
      </c>
      <c r="B247" t="s">
        <v>19</v>
      </c>
      <c r="C247" t="s">
        <v>123</v>
      </c>
      <c r="D247">
        <v>24001026</v>
      </c>
      <c r="E247">
        <v>182161</v>
      </c>
      <c r="F247" t="s">
        <v>112</v>
      </c>
      <c r="G247">
        <v>2</v>
      </c>
      <c r="H247">
        <v>0.75</v>
      </c>
      <c r="I247">
        <v>1.5</v>
      </c>
      <c r="J247">
        <v>1094</v>
      </c>
    </row>
    <row r="248" spans="1:11" hidden="1" x14ac:dyDescent="0.25">
      <c r="H248" t="s">
        <v>237</v>
      </c>
      <c r="I248">
        <v>1659.84</v>
      </c>
      <c r="J248">
        <v>1094</v>
      </c>
      <c r="K248">
        <v>565.84</v>
      </c>
    </row>
    <row r="249" spans="1:11" x14ac:dyDescent="0.25">
      <c r="A249">
        <v>45384</v>
      </c>
      <c r="B249" t="s">
        <v>19</v>
      </c>
      <c r="C249" t="s">
        <v>97</v>
      </c>
      <c r="D249">
        <v>24001024</v>
      </c>
      <c r="E249">
        <v>182159</v>
      </c>
      <c r="F249" t="s">
        <v>112</v>
      </c>
      <c r="G249">
        <v>920</v>
      </c>
      <c r="H249">
        <v>0.68</v>
      </c>
      <c r="I249">
        <v>625.6</v>
      </c>
      <c r="J249">
        <v>1094</v>
      </c>
    </row>
    <row r="250" spans="1:11" x14ac:dyDescent="0.25">
      <c r="A250">
        <v>45384</v>
      </c>
      <c r="B250" t="s">
        <v>19</v>
      </c>
      <c r="C250" t="s">
        <v>97</v>
      </c>
      <c r="D250">
        <v>24001023</v>
      </c>
      <c r="E250">
        <v>182170</v>
      </c>
      <c r="F250" t="s">
        <v>112</v>
      </c>
      <c r="G250">
        <v>930</v>
      </c>
      <c r="H250">
        <v>0.68</v>
      </c>
      <c r="I250">
        <v>632.4</v>
      </c>
      <c r="J250">
        <v>1094</v>
      </c>
    </row>
    <row r="251" spans="1:11" hidden="1" x14ac:dyDescent="0.25">
      <c r="H251" t="s">
        <v>238</v>
      </c>
      <c r="I251">
        <v>1258</v>
      </c>
      <c r="J251">
        <v>1094</v>
      </c>
      <c r="K251">
        <v>164</v>
      </c>
    </row>
    <row r="252" spans="1:11" x14ac:dyDescent="0.25">
      <c r="A252">
        <v>45384</v>
      </c>
      <c r="B252" t="s">
        <v>19</v>
      </c>
      <c r="C252" t="s">
        <v>99</v>
      </c>
      <c r="D252">
        <v>24001024</v>
      </c>
      <c r="E252">
        <v>182159</v>
      </c>
      <c r="F252" t="s">
        <v>112</v>
      </c>
      <c r="G252">
        <v>920</v>
      </c>
      <c r="H252">
        <v>0.68</v>
      </c>
      <c r="I252">
        <v>625.6</v>
      </c>
      <c r="J252">
        <v>1094</v>
      </c>
    </row>
    <row r="253" spans="1:11" x14ac:dyDescent="0.25">
      <c r="A253">
        <v>45384</v>
      </c>
      <c r="B253" t="s">
        <v>19</v>
      </c>
      <c r="C253" t="s">
        <v>99</v>
      </c>
      <c r="D253">
        <v>24001023</v>
      </c>
      <c r="E253">
        <v>182170</v>
      </c>
      <c r="F253" t="s">
        <v>112</v>
      </c>
      <c r="G253">
        <v>930</v>
      </c>
      <c r="H253">
        <v>0.68</v>
      </c>
      <c r="I253">
        <v>632.4</v>
      </c>
      <c r="J253">
        <v>1094</v>
      </c>
    </row>
    <row r="254" spans="1:11" hidden="1" x14ac:dyDescent="0.25">
      <c r="H254" t="s">
        <v>239</v>
      </c>
      <c r="I254">
        <v>1258</v>
      </c>
      <c r="J254">
        <v>1094</v>
      </c>
      <c r="K254">
        <v>164</v>
      </c>
    </row>
    <row r="255" spans="1:11" x14ac:dyDescent="0.25">
      <c r="A255">
        <v>45384</v>
      </c>
      <c r="B255" t="s">
        <v>19</v>
      </c>
      <c r="C255" t="s">
        <v>101</v>
      </c>
      <c r="D255">
        <v>24001064</v>
      </c>
      <c r="E255">
        <v>182211</v>
      </c>
      <c r="F255" t="s">
        <v>112</v>
      </c>
      <c r="G255">
        <v>2400</v>
      </c>
      <c r="H255">
        <v>0.77</v>
      </c>
      <c r="I255">
        <v>1848</v>
      </c>
      <c r="J255">
        <v>1094</v>
      </c>
    </row>
    <row r="256" spans="1:11" hidden="1" x14ac:dyDescent="0.25">
      <c r="H256" t="s">
        <v>240</v>
      </c>
      <c r="I256">
        <v>1848</v>
      </c>
      <c r="J256">
        <v>1094</v>
      </c>
      <c r="K256">
        <v>754</v>
      </c>
    </row>
    <row r="257" spans="1:11" x14ac:dyDescent="0.25">
      <c r="A257">
        <v>45384</v>
      </c>
      <c r="B257" t="s">
        <v>19</v>
      </c>
      <c r="C257" t="s">
        <v>102</v>
      </c>
      <c r="D257">
        <v>24001064</v>
      </c>
      <c r="E257">
        <v>182211</v>
      </c>
      <c r="F257" t="s">
        <v>112</v>
      </c>
      <c r="G257">
        <v>2400</v>
      </c>
      <c r="H257">
        <v>0.77</v>
      </c>
      <c r="I257">
        <v>1848</v>
      </c>
      <c r="J257">
        <v>1094</v>
      </c>
    </row>
    <row r="258" spans="1:11" hidden="1" x14ac:dyDescent="0.25">
      <c r="H258" t="s">
        <v>241</v>
      </c>
      <c r="I258">
        <v>1848</v>
      </c>
      <c r="J258">
        <v>1094</v>
      </c>
      <c r="K258">
        <v>754</v>
      </c>
    </row>
    <row r="259" spans="1:11" x14ac:dyDescent="0.25">
      <c r="A259">
        <v>45384</v>
      </c>
      <c r="B259" t="s">
        <v>19</v>
      </c>
      <c r="C259" t="s">
        <v>103</v>
      </c>
      <c r="D259">
        <v>24001061</v>
      </c>
      <c r="E259">
        <v>182209</v>
      </c>
      <c r="F259" t="s">
        <v>112</v>
      </c>
      <c r="G259">
        <v>298</v>
      </c>
      <c r="H259">
        <v>0.74</v>
      </c>
      <c r="I259">
        <v>220.52</v>
      </c>
      <c r="J259">
        <v>1094</v>
      </c>
    </row>
    <row r="260" spans="1:11" x14ac:dyDescent="0.25">
      <c r="A260">
        <v>45384</v>
      </c>
      <c r="B260" t="s">
        <v>19</v>
      </c>
      <c r="C260" t="s">
        <v>103</v>
      </c>
      <c r="D260">
        <v>24001103</v>
      </c>
      <c r="E260">
        <v>182210</v>
      </c>
      <c r="F260" t="s">
        <v>112</v>
      </c>
      <c r="G260">
        <v>198</v>
      </c>
      <c r="H260">
        <v>0.74</v>
      </c>
      <c r="I260">
        <v>146.52000000000001</v>
      </c>
      <c r="J260">
        <v>1094</v>
      </c>
    </row>
    <row r="261" spans="1:11" x14ac:dyDescent="0.25">
      <c r="A261">
        <v>45384</v>
      </c>
      <c r="B261" t="s">
        <v>19</v>
      </c>
      <c r="C261" t="s">
        <v>103</v>
      </c>
      <c r="D261">
        <v>24001064</v>
      </c>
      <c r="E261">
        <v>182211</v>
      </c>
      <c r="F261" t="s">
        <v>112</v>
      </c>
      <c r="G261">
        <v>1804</v>
      </c>
      <c r="H261">
        <v>0.77</v>
      </c>
      <c r="I261">
        <v>1389.08</v>
      </c>
      <c r="J261">
        <v>1094</v>
      </c>
    </row>
    <row r="262" spans="1:11" hidden="1" x14ac:dyDescent="0.25">
      <c r="H262" t="s">
        <v>242</v>
      </c>
      <c r="I262">
        <v>1756.12</v>
      </c>
      <c r="J262">
        <v>1094</v>
      </c>
      <c r="K262">
        <v>662.12</v>
      </c>
    </row>
    <row r="263" spans="1:11" x14ac:dyDescent="0.25">
      <c r="A263">
        <v>45384</v>
      </c>
      <c r="B263" t="s">
        <v>19</v>
      </c>
      <c r="C263" t="s">
        <v>107</v>
      </c>
      <c r="D263">
        <v>24001061</v>
      </c>
      <c r="E263">
        <v>182209</v>
      </c>
      <c r="F263" t="s">
        <v>112</v>
      </c>
      <c r="G263">
        <v>298</v>
      </c>
      <c r="H263">
        <v>0.74</v>
      </c>
      <c r="I263">
        <v>220.52</v>
      </c>
      <c r="J263">
        <v>1094</v>
      </c>
    </row>
    <row r="264" spans="1:11" x14ac:dyDescent="0.25">
      <c r="A264">
        <v>45384</v>
      </c>
      <c r="B264" t="s">
        <v>19</v>
      </c>
      <c r="C264" t="s">
        <v>107</v>
      </c>
      <c r="D264">
        <v>24001103</v>
      </c>
      <c r="E264">
        <v>182210</v>
      </c>
      <c r="F264" t="s">
        <v>112</v>
      </c>
      <c r="G264">
        <v>197</v>
      </c>
      <c r="H264">
        <v>0.74</v>
      </c>
      <c r="I264">
        <v>145.78</v>
      </c>
      <c r="J264">
        <v>1094</v>
      </c>
    </row>
    <row r="265" spans="1:11" x14ac:dyDescent="0.25">
      <c r="A265">
        <v>45384</v>
      </c>
      <c r="B265" t="s">
        <v>19</v>
      </c>
      <c r="C265" t="s">
        <v>107</v>
      </c>
      <c r="D265">
        <v>24001064</v>
      </c>
      <c r="E265">
        <v>182211</v>
      </c>
      <c r="F265" t="s">
        <v>112</v>
      </c>
      <c r="G265">
        <v>1805</v>
      </c>
      <c r="H265">
        <v>0.77</v>
      </c>
      <c r="I265">
        <v>1389.85</v>
      </c>
      <c r="J265">
        <v>1094</v>
      </c>
    </row>
    <row r="266" spans="1:11" hidden="1" x14ac:dyDescent="0.25">
      <c r="H266" t="s">
        <v>243</v>
      </c>
      <c r="I266">
        <v>1756.15</v>
      </c>
      <c r="J266">
        <v>1094</v>
      </c>
      <c r="K266">
        <v>662.15</v>
      </c>
    </row>
    <row r="267" spans="1:11" x14ac:dyDescent="0.25">
      <c r="A267">
        <v>45384</v>
      </c>
      <c r="B267" t="s">
        <v>19</v>
      </c>
      <c r="C267" t="s">
        <v>109</v>
      </c>
      <c r="D267">
        <v>24001206</v>
      </c>
      <c r="E267">
        <v>182150</v>
      </c>
      <c r="F267" t="s">
        <v>112</v>
      </c>
      <c r="G267">
        <v>120</v>
      </c>
      <c r="H267">
        <v>0.79</v>
      </c>
      <c r="I267">
        <v>94.8</v>
      </c>
      <c r="J267">
        <v>1094</v>
      </c>
    </row>
    <row r="268" spans="1:11" x14ac:dyDescent="0.25">
      <c r="A268">
        <v>45384</v>
      </c>
      <c r="B268" t="s">
        <v>19</v>
      </c>
      <c r="C268" t="s">
        <v>109</v>
      </c>
      <c r="D268">
        <v>24001083</v>
      </c>
      <c r="E268">
        <v>182151</v>
      </c>
      <c r="F268" t="s">
        <v>112</v>
      </c>
      <c r="G268">
        <v>522</v>
      </c>
      <c r="H268">
        <v>0.79</v>
      </c>
      <c r="I268">
        <v>412.38</v>
      </c>
      <c r="J268">
        <v>1094</v>
      </c>
    </row>
    <row r="269" spans="1:11" x14ac:dyDescent="0.25">
      <c r="A269">
        <v>45384</v>
      </c>
      <c r="B269" t="s">
        <v>19</v>
      </c>
      <c r="C269" t="s">
        <v>109</v>
      </c>
      <c r="D269">
        <v>24001084</v>
      </c>
      <c r="E269">
        <v>182152</v>
      </c>
      <c r="F269" t="s">
        <v>112</v>
      </c>
      <c r="G269">
        <v>958</v>
      </c>
      <c r="H269">
        <v>0.79</v>
      </c>
      <c r="I269">
        <v>756.82</v>
      </c>
      <c r="J269">
        <v>1094</v>
      </c>
    </row>
    <row r="270" spans="1:11" hidden="1" x14ac:dyDescent="0.25">
      <c r="H270" t="s">
        <v>244</v>
      </c>
      <c r="I270">
        <v>1264</v>
      </c>
      <c r="J270">
        <v>1094</v>
      </c>
      <c r="K270">
        <v>170</v>
      </c>
    </row>
    <row r="271" spans="1:11" x14ac:dyDescent="0.25">
      <c r="A271">
        <v>45384</v>
      </c>
      <c r="B271" t="s">
        <v>19</v>
      </c>
      <c r="C271" t="s">
        <v>110</v>
      </c>
      <c r="D271">
        <v>24001206</v>
      </c>
      <c r="E271">
        <v>182150</v>
      </c>
      <c r="F271" t="s">
        <v>112</v>
      </c>
      <c r="G271">
        <v>120</v>
      </c>
      <c r="H271">
        <v>0.79</v>
      </c>
      <c r="I271">
        <v>94.8</v>
      </c>
      <c r="J271">
        <v>1094</v>
      </c>
    </row>
    <row r="272" spans="1:11" x14ac:dyDescent="0.25">
      <c r="A272">
        <v>45384</v>
      </c>
      <c r="B272" t="s">
        <v>19</v>
      </c>
      <c r="C272" t="s">
        <v>110</v>
      </c>
      <c r="D272">
        <v>24001083</v>
      </c>
      <c r="E272">
        <v>182151</v>
      </c>
      <c r="F272" t="s">
        <v>112</v>
      </c>
      <c r="G272">
        <v>523</v>
      </c>
      <c r="H272">
        <v>0.79</v>
      </c>
      <c r="I272">
        <v>413.17</v>
      </c>
      <c r="J272">
        <v>1094</v>
      </c>
    </row>
    <row r="273" spans="1:11" x14ac:dyDescent="0.25">
      <c r="A273">
        <v>45384</v>
      </c>
      <c r="B273" t="s">
        <v>19</v>
      </c>
      <c r="C273" t="s">
        <v>110</v>
      </c>
      <c r="D273">
        <v>24001084</v>
      </c>
      <c r="E273">
        <v>182152</v>
      </c>
      <c r="F273" t="s">
        <v>112</v>
      </c>
      <c r="G273">
        <v>957</v>
      </c>
      <c r="H273">
        <v>0.79</v>
      </c>
      <c r="I273">
        <v>756.03</v>
      </c>
      <c r="J273">
        <v>1094</v>
      </c>
    </row>
    <row r="274" spans="1:11" hidden="1" x14ac:dyDescent="0.25">
      <c r="H274" t="s">
        <v>245</v>
      </c>
      <c r="I274">
        <v>1264</v>
      </c>
      <c r="J274">
        <v>1094</v>
      </c>
      <c r="K274">
        <v>170</v>
      </c>
    </row>
  </sheetData>
  <autoFilter ref="A1:L274" xr:uid="{064CD80A-3012-41F2-9E69-73BABD4A7C36}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62D07-2AF7-4714-BD34-62A7B3618431}">
  <sheetPr codeName="Sheet22"/>
  <dimension ref="A1:Q67"/>
  <sheetViews>
    <sheetView workbookViewId="0">
      <selection sqref="A1:XFD1048576"/>
    </sheetView>
  </sheetViews>
  <sheetFormatPr defaultRowHeight="15" x14ac:dyDescent="0.25"/>
  <sheetData>
    <row r="1" spans="1:17" x14ac:dyDescent="0.25">
      <c r="A1" t="s">
        <v>254</v>
      </c>
      <c r="H1" t="s">
        <v>255</v>
      </c>
      <c r="P1">
        <v>45385</v>
      </c>
      <c r="Q1">
        <v>0.56589120370370372</v>
      </c>
    </row>
    <row r="2" spans="1:17" x14ac:dyDescent="0.25">
      <c r="H2" t="s">
        <v>256</v>
      </c>
    </row>
    <row r="3" spans="1:17" x14ac:dyDescent="0.25">
      <c r="P3" t="s">
        <v>257</v>
      </c>
      <c r="Q3" t="s">
        <v>258</v>
      </c>
    </row>
    <row r="4" spans="1:17" x14ac:dyDescent="0.25">
      <c r="A4" t="s">
        <v>259</v>
      </c>
      <c r="B4" t="s">
        <v>260</v>
      </c>
      <c r="C4" t="s">
        <v>261</v>
      </c>
      <c r="D4" t="s">
        <v>262</v>
      </c>
      <c r="E4" t="s">
        <v>263</v>
      </c>
      <c r="G4" t="s">
        <v>264</v>
      </c>
      <c r="H4" t="s">
        <v>265</v>
      </c>
      <c r="J4" t="s">
        <v>266</v>
      </c>
      <c r="L4" t="s">
        <v>267</v>
      </c>
      <c r="M4" t="s">
        <v>126</v>
      </c>
      <c r="P4" t="s">
        <v>268</v>
      </c>
      <c r="Q4" t="s">
        <v>269</v>
      </c>
    </row>
    <row r="5" spans="1:17" x14ac:dyDescent="0.25">
      <c r="A5">
        <v>1201</v>
      </c>
      <c r="B5" t="s">
        <v>270</v>
      </c>
      <c r="C5">
        <v>181646</v>
      </c>
      <c r="D5">
        <v>23001578</v>
      </c>
      <c r="E5">
        <v>45286</v>
      </c>
      <c r="G5">
        <v>45652</v>
      </c>
      <c r="H5" t="s">
        <v>127</v>
      </c>
      <c r="J5">
        <v>12100</v>
      </c>
      <c r="L5">
        <v>55738459</v>
      </c>
      <c r="M5" t="s">
        <v>96</v>
      </c>
      <c r="P5" t="s">
        <v>271</v>
      </c>
    </row>
    <row r="6" spans="1:17" x14ac:dyDescent="0.25">
      <c r="A6">
        <v>1201</v>
      </c>
      <c r="B6" t="s">
        <v>270</v>
      </c>
      <c r="C6">
        <v>181647</v>
      </c>
      <c r="D6">
        <v>23001579</v>
      </c>
      <c r="E6">
        <v>45286</v>
      </c>
      <c r="G6">
        <v>45652</v>
      </c>
      <c r="H6" t="s">
        <v>128</v>
      </c>
      <c r="J6">
        <v>4640</v>
      </c>
      <c r="L6">
        <v>55738459</v>
      </c>
      <c r="M6" t="s">
        <v>96</v>
      </c>
      <c r="P6" t="s">
        <v>271</v>
      </c>
    </row>
    <row r="7" spans="1:17" x14ac:dyDescent="0.25">
      <c r="A7">
        <v>1201</v>
      </c>
      <c r="B7" t="s">
        <v>88</v>
      </c>
      <c r="C7">
        <v>181771</v>
      </c>
      <c r="D7">
        <v>23001600</v>
      </c>
      <c r="E7">
        <v>45288</v>
      </c>
      <c r="G7">
        <v>45321</v>
      </c>
      <c r="H7" t="s">
        <v>129</v>
      </c>
      <c r="J7">
        <v>1000</v>
      </c>
      <c r="L7">
        <v>55738459</v>
      </c>
      <c r="M7" t="s">
        <v>96</v>
      </c>
      <c r="P7" t="s">
        <v>272</v>
      </c>
    </row>
    <row r="8" spans="1:17" x14ac:dyDescent="0.25">
      <c r="A8">
        <v>1201</v>
      </c>
      <c r="B8" t="s">
        <v>270</v>
      </c>
      <c r="C8">
        <v>181820</v>
      </c>
      <c r="D8">
        <v>23001617</v>
      </c>
      <c r="E8">
        <v>45300</v>
      </c>
      <c r="G8">
        <v>45420</v>
      </c>
      <c r="H8" t="s">
        <v>130</v>
      </c>
      <c r="J8">
        <v>54000</v>
      </c>
      <c r="L8">
        <v>55391977</v>
      </c>
      <c r="M8" t="s">
        <v>106</v>
      </c>
      <c r="P8" t="s">
        <v>273</v>
      </c>
    </row>
    <row r="9" spans="1:17" x14ac:dyDescent="0.25">
      <c r="A9">
        <v>1201</v>
      </c>
      <c r="B9" t="s">
        <v>270</v>
      </c>
      <c r="C9">
        <v>181821</v>
      </c>
      <c r="D9">
        <v>23001616</v>
      </c>
      <c r="E9">
        <v>45300</v>
      </c>
      <c r="G9">
        <v>45448</v>
      </c>
      <c r="H9" t="s">
        <v>131</v>
      </c>
      <c r="J9">
        <v>37000</v>
      </c>
      <c r="L9">
        <v>55391977</v>
      </c>
      <c r="M9" t="s">
        <v>106</v>
      </c>
      <c r="P9" t="s">
        <v>274</v>
      </c>
    </row>
    <row r="10" spans="1:17" x14ac:dyDescent="0.25">
      <c r="A10">
        <v>1201</v>
      </c>
      <c r="B10" t="s">
        <v>270</v>
      </c>
      <c r="C10">
        <v>181868</v>
      </c>
      <c r="D10">
        <v>23001623</v>
      </c>
      <c r="E10">
        <v>45303</v>
      </c>
      <c r="G10">
        <v>45404</v>
      </c>
      <c r="H10" t="s">
        <v>132</v>
      </c>
      <c r="J10">
        <v>55500</v>
      </c>
      <c r="L10">
        <v>55391977</v>
      </c>
      <c r="M10" t="s">
        <v>106</v>
      </c>
      <c r="P10" t="s">
        <v>275</v>
      </c>
    </row>
    <row r="11" spans="1:17" x14ac:dyDescent="0.25">
      <c r="A11">
        <v>1201</v>
      </c>
      <c r="B11" t="s">
        <v>270</v>
      </c>
      <c r="C11">
        <v>181870</v>
      </c>
      <c r="D11">
        <v>23001625</v>
      </c>
      <c r="E11">
        <v>45303</v>
      </c>
      <c r="G11">
        <v>45404</v>
      </c>
      <c r="H11" t="s">
        <v>133</v>
      </c>
      <c r="J11">
        <v>15000</v>
      </c>
      <c r="L11">
        <v>55391977</v>
      </c>
      <c r="M11" t="s">
        <v>106</v>
      </c>
      <c r="P11" t="s">
        <v>276</v>
      </c>
    </row>
    <row r="12" spans="1:17" x14ac:dyDescent="0.25">
      <c r="A12">
        <v>1201</v>
      </c>
      <c r="B12" t="s">
        <v>270</v>
      </c>
      <c r="C12">
        <v>181872</v>
      </c>
      <c r="D12">
        <v>23001627</v>
      </c>
      <c r="E12">
        <v>45303</v>
      </c>
      <c r="G12">
        <v>45404</v>
      </c>
      <c r="H12" t="s">
        <v>134</v>
      </c>
      <c r="J12">
        <v>15000</v>
      </c>
      <c r="L12">
        <v>55391977</v>
      </c>
      <c r="M12" t="s">
        <v>106</v>
      </c>
      <c r="P12" t="s">
        <v>276</v>
      </c>
    </row>
    <row r="13" spans="1:17" x14ac:dyDescent="0.25">
      <c r="A13">
        <v>1201</v>
      </c>
      <c r="B13" t="s">
        <v>270</v>
      </c>
      <c r="C13">
        <v>182008</v>
      </c>
      <c r="D13">
        <v>23001621</v>
      </c>
      <c r="E13">
        <v>45307</v>
      </c>
      <c r="G13">
        <v>45404</v>
      </c>
      <c r="H13" t="s">
        <v>135</v>
      </c>
      <c r="J13">
        <v>80000</v>
      </c>
      <c r="L13">
        <v>55391977</v>
      </c>
      <c r="M13" t="s">
        <v>106</v>
      </c>
      <c r="P13" t="s">
        <v>275</v>
      </c>
    </row>
    <row r="14" spans="1:17" x14ac:dyDescent="0.25">
      <c r="A14">
        <v>1201</v>
      </c>
      <c r="B14" t="s">
        <v>270</v>
      </c>
      <c r="C14">
        <v>182079</v>
      </c>
      <c r="D14">
        <v>24001005</v>
      </c>
      <c r="E14">
        <v>45331</v>
      </c>
      <c r="G14">
        <v>45473</v>
      </c>
      <c r="H14" t="s">
        <v>136</v>
      </c>
      <c r="J14">
        <v>460</v>
      </c>
      <c r="L14">
        <v>55738459</v>
      </c>
      <c r="M14" t="s">
        <v>96</v>
      </c>
      <c r="P14" t="s">
        <v>277</v>
      </c>
    </row>
    <row r="15" spans="1:17" x14ac:dyDescent="0.25">
      <c r="A15">
        <v>1201</v>
      </c>
      <c r="B15" t="s">
        <v>270</v>
      </c>
      <c r="C15">
        <v>182080</v>
      </c>
      <c r="D15">
        <v>24001006</v>
      </c>
      <c r="E15">
        <v>45331</v>
      </c>
      <c r="G15">
        <v>45473</v>
      </c>
      <c r="H15" t="s">
        <v>137</v>
      </c>
      <c r="J15">
        <v>630</v>
      </c>
      <c r="L15">
        <v>55738459</v>
      </c>
      <c r="M15" t="s">
        <v>96</v>
      </c>
      <c r="P15" t="s">
        <v>277</v>
      </c>
    </row>
    <row r="16" spans="1:17" x14ac:dyDescent="0.25">
      <c r="A16">
        <v>1201</v>
      </c>
      <c r="B16" t="s">
        <v>270</v>
      </c>
      <c r="C16">
        <v>182086</v>
      </c>
      <c r="D16">
        <v>24001011</v>
      </c>
      <c r="E16">
        <v>45331</v>
      </c>
      <c r="G16">
        <v>45473</v>
      </c>
      <c r="H16" t="s">
        <v>138</v>
      </c>
      <c r="J16">
        <v>1500</v>
      </c>
      <c r="L16">
        <v>55738459</v>
      </c>
      <c r="M16" t="s">
        <v>96</v>
      </c>
      <c r="P16" t="s">
        <v>277</v>
      </c>
    </row>
    <row r="17" spans="1:17" x14ac:dyDescent="0.25">
      <c r="A17">
        <v>1201</v>
      </c>
      <c r="B17" t="s">
        <v>270</v>
      </c>
      <c r="C17">
        <v>182101</v>
      </c>
      <c r="D17">
        <v>24001027</v>
      </c>
      <c r="E17">
        <v>45331</v>
      </c>
      <c r="G17">
        <v>45473</v>
      </c>
      <c r="H17" t="s">
        <v>139</v>
      </c>
      <c r="J17">
        <v>2640</v>
      </c>
      <c r="L17">
        <v>55738459</v>
      </c>
      <c r="M17" t="s">
        <v>96</v>
      </c>
      <c r="P17" t="s">
        <v>277</v>
      </c>
    </row>
    <row r="18" spans="1:17" x14ac:dyDescent="0.25">
      <c r="A18">
        <v>1201</v>
      </c>
      <c r="B18" t="s">
        <v>88</v>
      </c>
      <c r="C18">
        <v>182280</v>
      </c>
      <c r="D18">
        <v>24001069</v>
      </c>
      <c r="E18">
        <v>45348</v>
      </c>
      <c r="G18">
        <v>45393</v>
      </c>
      <c r="H18" t="s">
        <v>140</v>
      </c>
      <c r="J18">
        <v>900</v>
      </c>
      <c r="L18">
        <v>57398700</v>
      </c>
      <c r="M18" t="s">
        <v>121</v>
      </c>
      <c r="P18">
        <v>3506282</v>
      </c>
      <c r="Q18" t="s">
        <v>278</v>
      </c>
    </row>
    <row r="19" spans="1:17" x14ac:dyDescent="0.25">
      <c r="A19">
        <v>1201</v>
      </c>
      <c r="B19" t="s">
        <v>88</v>
      </c>
      <c r="C19">
        <v>182360</v>
      </c>
      <c r="D19">
        <v>24001077</v>
      </c>
      <c r="E19">
        <v>45359</v>
      </c>
      <c r="G19">
        <v>45420</v>
      </c>
      <c r="H19" t="s">
        <v>141</v>
      </c>
      <c r="J19">
        <v>90</v>
      </c>
      <c r="L19">
        <v>57420882</v>
      </c>
      <c r="M19" t="s">
        <v>122</v>
      </c>
      <c r="Q19" t="s">
        <v>279</v>
      </c>
    </row>
    <row r="20" spans="1:17" x14ac:dyDescent="0.25">
      <c r="A20">
        <v>1204</v>
      </c>
      <c r="B20" t="s">
        <v>88</v>
      </c>
      <c r="C20">
        <v>181945</v>
      </c>
      <c r="D20">
        <v>23002463</v>
      </c>
      <c r="E20">
        <v>45306</v>
      </c>
      <c r="G20">
        <v>45422</v>
      </c>
      <c r="H20" t="s">
        <v>142</v>
      </c>
      <c r="J20">
        <v>14472</v>
      </c>
      <c r="L20">
        <v>57225201</v>
      </c>
      <c r="M20" t="s">
        <v>112</v>
      </c>
      <c r="P20">
        <v>147154</v>
      </c>
      <c r="Q20" t="s">
        <v>280</v>
      </c>
    </row>
    <row r="21" spans="1:17" x14ac:dyDescent="0.25">
      <c r="A21">
        <v>1204</v>
      </c>
      <c r="B21" t="s">
        <v>88</v>
      </c>
      <c r="C21">
        <v>181956</v>
      </c>
      <c r="D21">
        <v>23002474</v>
      </c>
      <c r="E21">
        <v>45306</v>
      </c>
      <c r="G21">
        <v>45422</v>
      </c>
      <c r="H21" t="s">
        <v>143</v>
      </c>
      <c r="J21">
        <v>2052</v>
      </c>
      <c r="L21">
        <v>57225201</v>
      </c>
      <c r="M21" t="s">
        <v>112</v>
      </c>
      <c r="P21">
        <v>147154</v>
      </c>
      <c r="Q21" t="s">
        <v>280</v>
      </c>
    </row>
    <row r="22" spans="1:17" x14ac:dyDescent="0.25">
      <c r="A22">
        <v>1204</v>
      </c>
      <c r="B22" t="s">
        <v>88</v>
      </c>
      <c r="C22">
        <v>181957</v>
      </c>
      <c r="D22">
        <v>23002483</v>
      </c>
      <c r="E22">
        <v>45306</v>
      </c>
      <c r="G22">
        <v>45422</v>
      </c>
      <c r="H22" t="s">
        <v>144</v>
      </c>
      <c r="J22">
        <v>9180</v>
      </c>
      <c r="L22">
        <v>57225201</v>
      </c>
      <c r="M22" t="s">
        <v>112</v>
      </c>
      <c r="P22">
        <v>147154</v>
      </c>
      <c r="Q22" t="s">
        <v>280</v>
      </c>
    </row>
    <row r="23" spans="1:17" x14ac:dyDescent="0.25">
      <c r="A23">
        <v>1204</v>
      </c>
      <c r="B23" t="s">
        <v>88</v>
      </c>
      <c r="C23">
        <v>181958</v>
      </c>
      <c r="D23">
        <v>23002476</v>
      </c>
      <c r="E23">
        <v>45306</v>
      </c>
      <c r="G23">
        <v>45422</v>
      </c>
      <c r="H23" t="s">
        <v>145</v>
      </c>
      <c r="J23">
        <v>1944</v>
      </c>
      <c r="L23">
        <v>57225201</v>
      </c>
      <c r="M23" t="s">
        <v>112</v>
      </c>
      <c r="P23">
        <v>147154</v>
      </c>
      <c r="Q23" t="s">
        <v>280</v>
      </c>
    </row>
    <row r="24" spans="1:17" x14ac:dyDescent="0.25">
      <c r="A24">
        <v>1204</v>
      </c>
      <c r="B24" t="s">
        <v>88</v>
      </c>
      <c r="C24">
        <v>182135</v>
      </c>
      <c r="D24">
        <v>24001071</v>
      </c>
      <c r="E24">
        <v>45342</v>
      </c>
      <c r="G24">
        <v>45394</v>
      </c>
      <c r="H24" t="s">
        <v>146</v>
      </c>
      <c r="J24">
        <v>62100</v>
      </c>
      <c r="L24">
        <v>57225201</v>
      </c>
      <c r="M24" t="s">
        <v>112</v>
      </c>
      <c r="P24">
        <v>10</v>
      </c>
      <c r="Q24" t="s">
        <v>280</v>
      </c>
    </row>
    <row r="25" spans="1:17" x14ac:dyDescent="0.25">
      <c r="A25">
        <v>1204</v>
      </c>
      <c r="B25" t="s">
        <v>88</v>
      </c>
      <c r="C25">
        <v>182136</v>
      </c>
      <c r="D25">
        <v>24001072</v>
      </c>
      <c r="E25">
        <v>45342</v>
      </c>
      <c r="G25">
        <v>45394</v>
      </c>
      <c r="H25" t="s">
        <v>147</v>
      </c>
      <c r="J25">
        <v>2592</v>
      </c>
      <c r="L25">
        <v>57225201</v>
      </c>
      <c r="M25" t="s">
        <v>112</v>
      </c>
      <c r="P25">
        <v>10</v>
      </c>
      <c r="Q25" t="s">
        <v>280</v>
      </c>
    </row>
    <row r="26" spans="1:17" x14ac:dyDescent="0.25">
      <c r="A26">
        <v>1204</v>
      </c>
      <c r="B26" t="s">
        <v>88</v>
      </c>
      <c r="C26">
        <v>182137</v>
      </c>
      <c r="D26">
        <v>24001108</v>
      </c>
      <c r="E26">
        <v>45342</v>
      </c>
      <c r="G26">
        <v>45394</v>
      </c>
      <c r="H26" t="s">
        <v>148</v>
      </c>
      <c r="J26">
        <v>29916</v>
      </c>
      <c r="L26">
        <v>57225201</v>
      </c>
      <c r="M26" t="s">
        <v>112</v>
      </c>
      <c r="P26">
        <v>10</v>
      </c>
      <c r="Q26" t="s">
        <v>280</v>
      </c>
    </row>
    <row r="27" spans="1:17" x14ac:dyDescent="0.25">
      <c r="A27">
        <v>1204</v>
      </c>
      <c r="B27" t="s">
        <v>88</v>
      </c>
      <c r="C27">
        <v>182150</v>
      </c>
      <c r="D27">
        <v>24001206</v>
      </c>
      <c r="E27">
        <v>45343</v>
      </c>
      <c r="G27">
        <v>45394</v>
      </c>
      <c r="H27" t="s">
        <v>149</v>
      </c>
      <c r="J27">
        <v>14796</v>
      </c>
      <c r="L27">
        <v>57225201</v>
      </c>
      <c r="M27" t="s">
        <v>112</v>
      </c>
      <c r="P27">
        <v>5</v>
      </c>
      <c r="Q27" t="s">
        <v>280</v>
      </c>
    </row>
    <row r="28" spans="1:17" x14ac:dyDescent="0.25">
      <c r="A28">
        <v>1204</v>
      </c>
      <c r="B28" t="s">
        <v>88</v>
      </c>
      <c r="C28">
        <v>182151</v>
      </c>
      <c r="D28">
        <v>24001083</v>
      </c>
      <c r="E28">
        <v>45343</v>
      </c>
      <c r="G28">
        <v>45394</v>
      </c>
      <c r="H28" t="s">
        <v>150</v>
      </c>
      <c r="J28">
        <v>4860</v>
      </c>
      <c r="L28">
        <v>57225201</v>
      </c>
      <c r="M28" t="s">
        <v>112</v>
      </c>
      <c r="P28">
        <v>5</v>
      </c>
      <c r="Q28" t="s">
        <v>280</v>
      </c>
    </row>
    <row r="29" spans="1:17" x14ac:dyDescent="0.25">
      <c r="A29">
        <v>1204</v>
      </c>
      <c r="B29" t="s">
        <v>88</v>
      </c>
      <c r="C29">
        <v>182152</v>
      </c>
      <c r="D29">
        <v>24001084</v>
      </c>
      <c r="E29">
        <v>45343</v>
      </c>
      <c r="G29">
        <v>45394</v>
      </c>
      <c r="H29" t="s">
        <v>151</v>
      </c>
      <c r="J29">
        <v>5940</v>
      </c>
      <c r="L29">
        <v>57225201</v>
      </c>
      <c r="M29" t="s">
        <v>112</v>
      </c>
      <c r="P29">
        <v>5</v>
      </c>
      <c r="Q29" t="s">
        <v>280</v>
      </c>
    </row>
    <row r="30" spans="1:17" x14ac:dyDescent="0.25">
      <c r="A30">
        <v>1204</v>
      </c>
      <c r="B30" t="s">
        <v>88</v>
      </c>
      <c r="C30">
        <v>182153</v>
      </c>
      <c r="D30">
        <v>24001085</v>
      </c>
      <c r="E30">
        <v>45343</v>
      </c>
      <c r="G30">
        <v>45394</v>
      </c>
      <c r="H30" t="s">
        <v>152</v>
      </c>
      <c r="J30">
        <v>6588</v>
      </c>
      <c r="L30">
        <v>57225201</v>
      </c>
      <c r="M30" t="s">
        <v>112</v>
      </c>
      <c r="P30">
        <v>5</v>
      </c>
      <c r="Q30" t="s">
        <v>280</v>
      </c>
    </row>
    <row r="31" spans="1:17" x14ac:dyDescent="0.25">
      <c r="A31">
        <v>1204</v>
      </c>
      <c r="B31" t="s">
        <v>88</v>
      </c>
      <c r="C31">
        <v>182157</v>
      </c>
      <c r="D31">
        <v>24001019</v>
      </c>
      <c r="E31">
        <v>45343</v>
      </c>
      <c r="G31">
        <v>45394</v>
      </c>
      <c r="H31" t="s">
        <v>153</v>
      </c>
      <c r="J31">
        <v>17928</v>
      </c>
      <c r="L31">
        <v>57225201</v>
      </c>
      <c r="M31" t="s">
        <v>112</v>
      </c>
      <c r="P31">
        <v>5</v>
      </c>
      <c r="Q31" t="s">
        <v>280</v>
      </c>
    </row>
    <row r="32" spans="1:17" x14ac:dyDescent="0.25">
      <c r="A32">
        <v>1204</v>
      </c>
      <c r="B32" t="s">
        <v>88</v>
      </c>
      <c r="C32">
        <v>182159</v>
      </c>
      <c r="D32">
        <v>24001024</v>
      </c>
      <c r="E32">
        <v>45343</v>
      </c>
      <c r="G32">
        <v>45394</v>
      </c>
      <c r="H32" t="s">
        <v>154</v>
      </c>
      <c r="J32">
        <v>13068</v>
      </c>
      <c r="L32">
        <v>57225201</v>
      </c>
      <c r="M32" t="s">
        <v>112</v>
      </c>
      <c r="P32">
        <v>5</v>
      </c>
      <c r="Q32" t="s">
        <v>280</v>
      </c>
    </row>
    <row r="33" spans="1:17" x14ac:dyDescent="0.25">
      <c r="A33">
        <v>1204</v>
      </c>
      <c r="B33" t="s">
        <v>88</v>
      </c>
      <c r="C33">
        <v>182161</v>
      </c>
      <c r="D33">
        <v>24001026</v>
      </c>
      <c r="E33">
        <v>45343</v>
      </c>
      <c r="G33">
        <v>45394</v>
      </c>
      <c r="H33" t="s">
        <v>155</v>
      </c>
      <c r="J33">
        <v>6156</v>
      </c>
      <c r="L33">
        <v>57225201</v>
      </c>
      <c r="M33" t="s">
        <v>112</v>
      </c>
      <c r="P33">
        <v>5</v>
      </c>
      <c r="Q33" t="s">
        <v>280</v>
      </c>
    </row>
    <row r="34" spans="1:17" x14ac:dyDescent="0.25">
      <c r="A34">
        <v>1204</v>
      </c>
      <c r="B34" t="s">
        <v>88</v>
      </c>
      <c r="C34">
        <v>182164</v>
      </c>
      <c r="D34">
        <v>24001029</v>
      </c>
      <c r="E34">
        <v>45343</v>
      </c>
      <c r="G34">
        <v>45394</v>
      </c>
      <c r="H34" t="s">
        <v>156</v>
      </c>
      <c r="J34">
        <v>2952</v>
      </c>
      <c r="L34">
        <v>57225201</v>
      </c>
      <c r="M34" t="s">
        <v>112</v>
      </c>
      <c r="P34">
        <v>5</v>
      </c>
      <c r="Q34" t="s">
        <v>280</v>
      </c>
    </row>
    <row r="35" spans="1:17" x14ac:dyDescent="0.25">
      <c r="A35">
        <v>1204</v>
      </c>
      <c r="B35" t="s">
        <v>88</v>
      </c>
      <c r="C35">
        <v>182165</v>
      </c>
      <c r="D35">
        <v>24001031</v>
      </c>
      <c r="E35">
        <v>45343</v>
      </c>
      <c r="G35">
        <v>45394</v>
      </c>
      <c r="H35" t="s">
        <v>157</v>
      </c>
      <c r="J35">
        <v>6624</v>
      </c>
      <c r="L35">
        <v>57225201</v>
      </c>
      <c r="M35" t="s">
        <v>112</v>
      </c>
      <c r="P35">
        <v>5</v>
      </c>
      <c r="Q35" t="s">
        <v>280</v>
      </c>
    </row>
    <row r="36" spans="1:17" x14ac:dyDescent="0.25">
      <c r="A36">
        <v>1204</v>
      </c>
      <c r="B36" t="s">
        <v>88</v>
      </c>
      <c r="C36">
        <v>182167</v>
      </c>
      <c r="D36">
        <v>24001088</v>
      </c>
      <c r="E36">
        <v>45343</v>
      </c>
      <c r="G36">
        <v>45394</v>
      </c>
      <c r="H36" t="s">
        <v>158</v>
      </c>
      <c r="J36">
        <v>5940</v>
      </c>
      <c r="L36">
        <v>57225201</v>
      </c>
      <c r="M36" t="s">
        <v>112</v>
      </c>
      <c r="P36">
        <v>6</v>
      </c>
      <c r="Q36" t="s">
        <v>280</v>
      </c>
    </row>
    <row r="37" spans="1:17" x14ac:dyDescent="0.25">
      <c r="A37">
        <v>1204</v>
      </c>
      <c r="B37" t="s">
        <v>88</v>
      </c>
      <c r="C37">
        <v>182168</v>
      </c>
      <c r="D37">
        <v>24001020</v>
      </c>
      <c r="E37">
        <v>45343</v>
      </c>
      <c r="G37">
        <v>45394</v>
      </c>
      <c r="H37" t="s">
        <v>159</v>
      </c>
      <c r="J37">
        <v>11448</v>
      </c>
      <c r="L37">
        <v>57225201</v>
      </c>
      <c r="M37" t="s">
        <v>112</v>
      </c>
      <c r="P37">
        <v>6</v>
      </c>
      <c r="Q37" t="s">
        <v>280</v>
      </c>
    </row>
    <row r="38" spans="1:17" x14ac:dyDescent="0.25">
      <c r="A38">
        <v>1204</v>
      </c>
      <c r="B38" t="s">
        <v>88</v>
      </c>
      <c r="C38">
        <v>182170</v>
      </c>
      <c r="D38">
        <v>24001023</v>
      </c>
      <c r="E38">
        <v>45343</v>
      </c>
      <c r="G38">
        <v>45394</v>
      </c>
      <c r="H38" t="s">
        <v>160</v>
      </c>
      <c r="J38">
        <v>10692</v>
      </c>
      <c r="L38">
        <v>57225201</v>
      </c>
      <c r="M38" t="s">
        <v>112</v>
      </c>
      <c r="P38">
        <v>6</v>
      </c>
      <c r="Q38" t="s">
        <v>280</v>
      </c>
    </row>
    <row r="39" spans="1:17" x14ac:dyDescent="0.25">
      <c r="A39">
        <v>1204</v>
      </c>
      <c r="B39" t="s">
        <v>88</v>
      </c>
      <c r="C39">
        <v>182173</v>
      </c>
      <c r="D39">
        <v>24001092</v>
      </c>
      <c r="E39">
        <v>45343</v>
      </c>
      <c r="G39">
        <v>45394</v>
      </c>
      <c r="H39" t="s">
        <v>161</v>
      </c>
      <c r="J39">
        <v>16308</v>
      </c>
      <c r="L39">
        <v>57225201</v>
      </c>
      <c r="M39" t="s">
        <v>112</v>
      </c>
      <c r="P39">
        <v>7</v>
      </c>
      <c r="Q39" t="s">
        <v>280</v>
      </c>
    </row>
    <row r="40" spans="1:17" x14ac:dyDescent="0.25">
      <c r="A40">
        <v>1204</v>
      </c>
      <c r="B40" t="s">
        <v>88</v>
      </c>
      <c r="C40">
        <v>182179</v>
      </c>
      <c r="D40">
        <v>24001098</v>
      </c>
      <c r="E40">
        <v>45343</v>
      </c>
      <c r="G40">
        <v>45394</v>
      </c>
      <c r="H40" t="s">
        <v>162</v>
      </c>
      <c r="J40">
        <v>1620</v>
      </c>
      <c r="L40">
        <v>57225201</v>
      </c>
      <c r="M40" t="s">
        <v>112</v>
      </c>
      <c r="P40">
        <v>7</v>
      </c>
      <c r="Q40" t="s">
        <v>280</v>
      </c>
    </row>
    <row r="41" spans="1:17" x14ac:dyDescent="0.25">
      <c r="A41">
        <v>1204</v>
      </c>
      <c r="B41" t="s">
        <v>88</v>
      </c>
      <c r="C41">
        <v>182191</v>
      </c>
      <c r="D41">
        <v>24001116</v>
      </c>
      <c r="E41">
        <v>45343</v>
      </c>
      <c r="G41">
        <v>45394</v>
      </c>
      <c r="H41" t="s">
        <v>163</v>
      </c>
      <c r="J41">
        <v>10944</v>
      </c>
      <c r="L41">
        <v>57225201</v>
      </c>
      <c r="M41" t="s">
        <v>112</v>
      </c>
      <c r="P41">
        <v>7</v>
      </c>
      <c r="Q41" t="s">
        <v>280</v>
      </c>
    </row>
    <row r="42" spans="1:17" x14ac:dyDescent="0.25">
      <c r="A42">
        <v>1204</v>
      </c>
      <c r="B42" t="s">
        <v>88</v>
      </c>
      <c r="C42">
        <v>182195</v>
      </c>
      <c r="D42">
        <v>24001091</v>
      </c>
      <c r="E42">
        <v>45343</v>
      </c>
      <c r="G42">
        <v>45394</v>
      </c>
      <c r="H42" t="s">
        <v>164</v>
      </c>
      <c r="J42">
        <v>9504</v>
      </c>
      <c r="L42">
        <v>57225201</v>
      </c>
      <c r="M42" t="s">
        <v>112</v>
      </c>
      <c r="P42">
        <v>8</v>
      </c>
      <c r="Q42" t="s">
        <v>280</v>
      </c>
    </row>
    <row r="43" spans="1:17" x14ac:dyDescent="0.25">
      <c r="A43">
        <v>1204</v>
      </c>
      <c r="B43" t="s">
        <v>88</v>
      </c>
      <c r="C43">
        <v>182197</v>
      </c>
      <c r="D43">
        <v>24001093</v>
      </c>
      <c r="E43">
        <v>45343</v>
      </c>
      <c r="G43">
        <v>45394</v>
      </c>
      <c r="H43" t="s">
        <v>165</v>
      </c>
      <c r="J43">
        <v>15984</v>
      </c>
      <c r="L43">
        <v>57225201</v>
      </c>
      <c r="M43" t="s">
        <v>112</v>
      </c>
      <c r="P43">
        <v>8</v>
      </c>
      <c r="Q43" t="s">
        <v>280</v>
      </c>
    </row>
    <row r="44" spans="1:17" x14ac:dyDescent="0.25">
      <c r="A44">
        <v>1204</v>
      </c>
      <c r="B44" t="s">
        <v>88</v>
      </c>
      <c r="C44">
        <v>182208</v>
      </c>
      <c r="D44">
        <v>24001102</v>
      </c>
      <c r="E44">
        <v>45343</v>
      </c>
      <c r="G44">
        <v>45394</v>
      </c>
      <c r="H44" t="s">
        <v>166</v>
      </c>
      <c r="J44">
        <v>15408</v>
      </c>
      <c r="L44">
        <v>57225201</v>
      </c>
      <c r="M44" t="s">
        <v>112</v>
      </c>
      <c r="P44">
        <v>8</v>
      </c>
      <c r="Q44" t="s">
        <v>280</v>
      </c>
    </row>
    <row r="45" spans="1:17" x14ac:dyDescent="0.25">
      <c r="A45">
        <v>1204</v>
      </c>
      <c r="B45" t="s">
        <v>88</v>
      </c>
      <c r="C45">
        <v>182209</v>
      </c>
      <c r="D45">
        <v>24001061</v>
      </c>
      <c r="E45">
        <v>45343</v>
      </c>
      <c r="G45">
        <v>45394</v>
      </c>
      <c r="H45" t="s">
        <v>167</v>
      </c>
      <c r="J45">
        <v>10800</v>
      </c>
      <c r="L45">
        <v>57225201</v>
      </c>
      <c r="M45" t="s">
        <v>112</v>
      </c>
      <c r="P45">
        <v>8</v>
      </c>
      <c r="Q45" t="s">
        <v>280</v>
      </c>
    </row>
    <row r="46" spans="1:17" x14ac:dyDescent="0.25">
      <c r="A46">
        <v>1204</v>
      </c>
      <c r="B46" t="s">
        <v>88</v>
      </c>
      <c r="C46">
        <v>182210</v>
      </c>
      <c r="D46">
        <v>24001103</v>
      </c>
      <c r="E46">
        <v>45343</v>
      </c>
      <c r="G46">
        <v>45394</v>
      </c>
      <c r="H46" t="s">
        <v>168</v>
      </c>
      <c r="J46">
        <v>18864</v>
      </c>
      <c r="L46">
        <v>57225201</v>
      </c>
      <c r="M46" t="s">
        <v>112</v>
      </c>
      <c r="P46">
        <v>8</v>
      </c>
      <c r="Q46" t="s">
        <v>280</v>
      </c>
    </row>
    <row r="47" spans="1:17" x14ac:dyDescent="0.25">
      <c r="A47">
        <v>1204</v>
      </c>
      <c r="B47" t="s">
        <v>88</v>
      </c>
      <c r="C47">
        <v>182211</v>
      </c>
      <c r="D47">
        <v>24001064</v>
      </c>
      <c r="E47">
        <v>45343</v>
      </c>
      <c r="G47">
        <v>45394</v>
      </c>
      <c r="H47" t="s">
        <v>169</v>
      </c>
      <c r="J47">
        <v>15408</v>
      </c>
      <c r="L47">
        <v>57225201</v>
      </c>
      <c r="M47" t="s">
        <v>112</v>
      </c>
      <c r="P47">
        <v>8</v>
      </c>
      <c r="Q47" t="s">
        <v>280</v>
      </c>
    </row>
    <row r="48" spans="1:17" x14ac:dyDescent="0.25">
      <c r="A48">
        <v>1205</v>
      </c>
      <c r="B48" t="s">
        <v>270</v>
      </c>
      <c r="C48">
        <v>181693</v>
      </c>
      <c r="D48">
        <v>23001170</v>
      </c>
      <c r="E48">
        <v>45287</v>
      </c>
      <c r="G48">
        <v>45448</v>
      </c>
      <c r="H48" t="s">
        <v>170</v>
      </c>
      <c r="J48">
        <v>2400</v>
      </c>
      <c r="L48">
        <v>57353376</v>
      </c>
      <c r="M48" t="s">
        <v>108</v>
      </c>
      <c r="P48" t="s">
        <v>281</v>
      </c>
      <c r="Q48" t="s">
        <v>282</v>
      </c>
    </row>
    <row r="49" spans="1:17" x14ac:dyDescent="0.25">
      <c r="A49">
        <v>1205</v>
      </c>
      <c r="B49" t="s">
        <v>270</v>
      </c>
      <c r="C49">
        <v>181694</v>
      </c>
      <c r="D49">
        <v>23001171</v>
      </c>
      <c r="E49">
        <v>45287</v>
      </c>
      <c r="G49">
        <v>45448</v>
      </c>
      <c r="H49" t="s">
        <v>171</v>
      </c>
      <c r="J49">
        <v>2556</v>
      </c>
      <c r="L49">
        <v>57353376</v>
      </c>
      <c r="M49" t="s">
        <v>108</v>
      </c>
      <c r="P49" t="s">
        <v>283</v>
      </c>
      <c r="Q49" t="s">
        <v>282</v>
      </c>
    </row>
    <row r="50" spans="1:17" x14ac:dyDescent="0.25">
      <c r="A50">
        <v>1205</v>
      </c>
      <c r="B50" t="s">
        <v>270</v>
      </c>
      <c r="C50">
        <v>181695</v>
      </c>
      <c r="D50">
        <v>23001172</v>
      </c>
      <c r="E50">
        <v>45287</v>
      </c>
      <c r="G50">
        <v>45448</v>
      </c>
      <c r="H50" t="s">
        <v>172</v>
      </c>
      <c r="J50">
        <v>2400</v>
      </c>
      <c r="L50">
        <v>57353376</v>
      </c>
      <c r="M50" t="s">
        <v>108</v>
      </c>
      <c r="P50" t="s">
        <v>284</v>
      </c>
      <c r="Q50" t="s">
        <v>282</v>
      </c>
    </row>
    <row r="51" spans="1:17" x14ac:dyDescent="0.25">
      <c r="A51">
        <v>1205</v>
      </c>
      <c r="B51" t="s">
        <v>270</v>
      </c>
      <c r="C51">
        <v>181897</v>
      </c>
      <c r="D51">
        <v>23001219</v>
      </c>
      <c r="E51">
        <v>45303</v>
      </c>
      <c r="G51">
        <v>45383</v>
      </c>
      <c r="H51" t="s">
        <v>173</v>
      </c>
      <c r="J51">
        <v>300</v>
      </c>
      <c r="L51">
        <v>53000005</v>
      </c>
      <c r="M51" t="s">
        <v>104</v>
      </c>
      <c r="P51" t="s">
        <v>285</v>
      </c>
      <c r="Q51" t="s">
        <v>286</v>
      </c>
    </row>
    <row r="52" spans="1:17" x14ac:dyDescent="0.25">
      <c r="A52">
        <v>1205</v>
      </c>
      <c r="B52" t="s">
        <v>270</v>
      </c>
      <c r="C52">
        <v>181900</v>
      </c>
      <c r="D52">
        <v>23001219</v>
      </c>
      <c r="E52">
        <v>45303</v>
      </c>
      <c r="G52">
        <v>45383</v>
      </c>
      <c r="H52" t="s">
        <v>173</v>
      </c>
      <c r="J52">
        <v>1050</v>
      </c>
      <c r="L52">
        <v>53000005</v>
      </c>
      <c r="M52" t="s">
        <v>104</v>
      </c>
      <c r="P52" t="s">
        <v>285</v>
      </c>
      <c r="Q52" t="s">
        <v>286</v>
      </c>
    </row>
    <row r="53" spans="1:17" x14ac:dyDescent="0.25">
      <c r="A53">
        <v>1205</v>
      </c>
      <c r="B53" t="s">
        <v>270</v>
      </c>
      <c r="C53">
        <v>181906</v>
      </c>
      <c r="D53">
        <v>23001347</v>
      </c>
      <c r="E53">
        <v>45303</v>
      </c>
      <c r="G53">
        <v>45446</v>
      </c>
      <c r="H53" t="s">
        <v>174</v>
      </c>
      <c r="J53">
        <v>2400</v>
      </c>
      <c r="L53">
        <v>56461771</v>
      </c>
      <c r="M53" t="s">
        <v>287</v>
      </c>
      <c r="P53" t="s">
        <v>288</v>
      </c>
      <c r="Q53" t="s">
        <v>289</v>
      </c>
    </row>
    <row r="54" spans="1:17" x14ac:dyDescent="0.25">
      <c r="A54">
        <v>1205</v>
      </c>
      <c r="B54" t="s">
        <v>270</v>
      </c>
      <c r="C54">
        <v>182131</v>
      </c>
      <c r="D54">
        <v>24001019</v>
      </c>
      <c r="E54">
        <v>45341</v>
      </c>
      <c r="G54">
        <v>45380</v>
      </c>
      <c r="H54" t="s">
        <v>175</v>
      </c>
      <c r="J54">
        <v>60000</v>
      </c>
      <c r="L54">
        <v>57434547</v>
      </c>
      <c r="M54" t="s">
        <v>100</v>
      </c>
      <c r="P54" t="s">
        <v>290</v>
      </c>
      <c r="Q54" t="s">
        <v>291</v>
      </c>
    </row>
    <row r="55" spans="1:17" x14ac:dyDescent="0.25">
      <c r="A55">
        <v>1205</v>
      </c>
      <c r="B55" t="s">
        <v>270</v>
      </c>
      <c r="C55">
        <v>182287</v>
      </c>
      <c r="D55">
        <v>24001020</v>
      </c>
      <c r="E55">
        <v>45349</v>
      </c>
      <c r="G55">
        <v>45355</v>
      </c>
      <c r="H55" t="s">
        <v>176</v>
      </c>
      <c r="J55">
        <v>888</v>
      </c>
      <c r="L55">
        <v>57357490</v>
      </c>
      <c r="M55" t="s">
        <v>120</v>
      </c>
      <c r="Q55" t="s">
        <v>292</v>
      </c>
    </row>
    <row r="56" spans="1:17" x14ac:dyDescent="0.25">
      <c r="A56">
        <v>1205</v>
      </c>
      <c r="B56" t="s">
        <v>270</v>
      </c>
      <c r="C56">
        <v>182289</v>
      </c>
      <c r="D56">
        <v>24001020</v>
      </c>
      <c r="E56">
        <v>45349</v>
      </c>
      <c r="G56">
        <v>45355</v>
      </c>
      <c r="H56" t="s">
        <v>176</v>
      </c>
      <c r="J56">
        <v>888</v>
      </c>
      <c r="L56">
        <v>57357490</v>
      </c>
      <c r="M56" t="s">
        <v>120</v>
      </c>
      <c r="Q56" t="s">
        <v>292</v>
      </c>
    </row>
    <row r="57" spans="1:17" x14ac:dyDescent="0.25">
      <c r="A57">
        <v>1205</v>
      </c>
      <c r="B57" t="s">
        <v>270</v>
      </c>
      <c r="C57">
        <v>182292</v>
      </c>
      <c r="D57">
        <v>24001020</v>
      </c>
      <c r="E57">
        <v>45349</v>
      </c>
      <c r="G57">
        <v>45355</v>
      </c>
      <c r="H57" t="s">
        <v>176</v>
      </c>
      <c r="J57">
        <v>960</v>
      </c>
      <c r="L57">
        <v>57357490</v>
      </c>
      <c r="M57" t="s">
        <v>120</v>
      </c>
      <c r="Q57" t="s">
        <v>292</v>
      </c>
    </row>
    <row r="58" spans="1:17" x14ac:dyDescent="0.25">
      <c r="A58">
        <v>1205</v>
      </c>
      <c r="B58" t="s">
        <v>270</v>
      </c>
      <c r="C58">
        <v>182296</v>
      </c>
      <c r="D58">
        <v>24001020</v>
      </c>
      <c r="E58">
        <v>45349</v>
      </c>
      <c r="G58">
        <v>45355</v>
      </c>
      <c r="H58" t="s">
        <v>176</v>
      </c>
      <c r="J58">
        <v>888</v>
      </c>
      <c r="L58">
        <v>57357490</v>
      </c>
      <c r="M58" t="s">
        <v>120</v>
      </c>
      <c r="Q58" t="s">
        <v>292</v>
      </c>
    </row>
    <row r="59" spans="1:17" x14ac:dyDescent="0.25">
      <c r="A59">
        <v>1205</v>
      </c>
      <c r="B59" t="s">
        <v>270</v>
      </c>
      <c r="C59">
        <v>182298</v>
      </c>
      <c r="D59">
        <v>24001020</v>
      </c>
      <c r="E59">
        <v>45349</v>
      </c>
      <c r="G59">
        <v>45355</v>
      </c>
      <c r="H59" t="s">
        <v>176</v>
      </c>
      <c r="J59">
        <v>960</v>
      </c>
      <c r="L59">
        <v>57357490</v>
      </c>
      <c r="M59" t="s">
        <v>120</v>
      </c>
      <c r="Q59" t="s">
        <v>292</v>
      </c>
    </row>
    <row r="60" spans="1:17" x14ac:dyDescent="0.25">
      <c r="A60">
        <v>1205</v>
      </c>
      <c r="B60" t="s">
        <v>270</v>
      </c>
      <c r="C60">
        <v>182299</v>
      </c>
      <c r="D60">
        <v>24001020</v>
      </c>
      <c r="E60">
        <v>45349</v>
      </c>
      <c r="G60">
        <v>45355</v>
      </c>
      <c r="H60" t="s">
        <v>176</v>
      </c>
      <c r="J60">
        <v>888</v>
      </c>
      <c r="L60">
        <v>57357490</v>
      </c>
      <c r="M60" t="s">
        <v>120</v>
      </c>
      <c r="Q60" t="s">
        <v>292</v>
      </c>
    </row>
    <row r="61" spans="1:17" x14ac:dyDescent="0.25">
      <c r="A61">
        <v>1205</v>
      </c>
      <c r="B61" t="s">
        <v>270</v>
      </c>
      <c r="C61">
        <v>182307</v>
      </c>
      <c r="D61">
        <v>23001228</v>
      </c>
      <c r="E61">
        <v>45352</v>
      </c>
      <c r="G61">
        <v>45380</v>
      </c>
      <c r="H61" t="s">
        <v>177</v>
      </c>
      <c r="J61">
        <v>1167</v>
      </c>
      <c r="L61">
        <v>57430706</v>
      </c>
      <c r="M61" t="s">
        <v>124</v>
      </c>
    </row>
    <row r="62" spans="1:17" x14ac:dyDescent="0.25">
      <c r="A62">
        <v>1205</v>
      </c>
      <c r="B62" t="s">
        <v>270</v>
      </c>
      <c r="C62">
        <v>182308</v>
      </c>
      <c r="D62">
        <v>23001229</v>
      </c>
      <c r="E62">
        <v>45352</v>
      </c>
      <c r="G62">
        <v>45380</v>
      </c>
      <c r="H62" t="s">
        <v>178</v>
      </c>
      <c r="J62">
        <v>1167</v>
      </c>
      <c r="L62">
        <v>57430706</v>
      </c>
      <c r="M62" t="s">
        <v>124</v>
      </c>
    </row>
    <row r="63" spans="1:17" x14ac:dyDescent="0.25">
      <c r="A63">
        <v>1205</v>
      </c>
      <c r="B63" t="s">
        <v>270</v>
      </c>
      <c r="C63">
        <v>182330</v>
      </c>
      <c r="D63">
        <v>24001034</v>
      </c>
      <c r="E63">
        <v>45358</v>
      </c>
      <c r="G63">
        <v>45373</v>
      </c>
      <c r="H63" t="s">
        <v>293</v>
      </c>
      <c r="J63">
        <v>903</v>
      </c>
      <c r="L63">
        <v>57430706</v>
      </c>
      <c r="M63" t="s">
        <v>124</v>
      </c>
      <c r="P63" t="s">
        <v>294</v>
      </c>
    </row>
    <row r="64" spans="1:17" x14ac:dyDescent="0.25">
      <c r="A64">
        <v>1205</v>
      </c>
      <c r="B64" t="s">
        <v>270</v>
      </c>
      <c r="C64">
        <v>182338</v>
      </c>
      <c r="D64">
        <v>23001227</v>
      </c>
      <c r="E64">
        <v>45358</v>
      </c>
      <c r="G64">
        <v>45373</v>
      </c>
      <c r="H64" t="s">
        <v>179</v>
      </c>
      <c r="J64">
        <v>2150</v>
      </c>
      <c r="L64">
        <v>57430706</v>
      </c>
      <c r="M64" t="s">
        <v>124</v>
      </c>
      <c r="P64" t="s">
        <v>295</v>
      </c>
    </row>
    <row r="65" spans="1:16" x14ac:dyDescent="0.25">
      <c r="A65">
        <v>1205</v>
      </c>
      <c r="B65" t="s">
        <v>270</v>
      </c>
      <c r="C65">
        <v>182344</v>
      </c>
      <c r="D65">
        <v>23001233</v>
      </c>
      <c r="E65">
        <v>45358</v>
      </c>
      <c r="G65">
        <v>45373</v>
      </c>
      <c r="H65" t="s">
        <v>180</v>
      </c>
      <c r="J65">
        <v>681</v>
      </c>
      <c r="L65">
        <v>57430706</v>
      </c>
      <c r="M65" t="s">
        <v>124</v>
      </c>
      <c r="P65" t="s">
        <v>295</v>
      </c>
    </row>
    <row r="66" spans="1:16" x14ac:dyDescent="0.25">
      <c r="A66">
        <v>1205</v>
      </c>
      <c r="B66" t="s">
        <v>270</v>
      </c>
      <c r="C66">
        <v>182354</v>
      </c>
      <c r="D66">
        <v>24001016</v>
      </c>
      <c r="E66">
        <v>45358</v>
      </c>
      <c r="G66">
        <v>45373</v>
      </c>
      <c r="H66" t="s">
        <v>181</v>
      </c>
      <c r="J66">
        <v>66</v>
      </c>
      <c r="L66">
        <v>57430706</v>
      </c>
      <c r="M66" t="s">
        <v>124</v>
      </c>
      <c r="P66" t="s">
        <v>295</v>
      </c>
    </row>
    <row r="67" spans="1:16" x14ac:dyDescent="0.25">
      <c r="A67">
        <v>1205</v>
      </c>
      <c r="B67" t="s">
        <v>270</v>
      </c>
      <c r="C67">
        <v>182506</v>
      </c>
      <c r="D67">
        <v>24001100</v>
      </c>
      <c r="E67">
        <v>45369</v>
      </c>
      <c r="G67">
        <v>45386</v>
      </c>
      <c r="H67" t="s">
        <v>296</v>
      </c>
      <c r="J67">
        <v>63</v>
      </c>
      <c r="L67">
        <v>57430706</v>
      </c>
      <c r="M67" t="s">
        <v>124</v>
      </c>
      <c r="P67" t="s">
        <v>297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EF3A2-3012-48D0-B635-AF562FEBB0C9}">
  <sheetPr codeName="Sheet23"/>
  <dimension ref="A1:T174"/>
  <sheetViews>
    <sheetView workbookViewId="0">
      <selection activeCell="H15" sqref="H15"/>
    </sheetView>
  </sheetViews>
  <sheetFormatPr defaultRowHeight="15" x14ac:dyDescent="0.25"/>
  <sheetData>
    <row r="1" spans="1:20" x14ac:dyDescent="0.25">
      <c r="A1" t="s">
        <v>188</v>
      </c>
      <c r="B1" t="s">
        <v>189</v>
      </c>
      <c r="C1" t="s">
        <v>93</v>
      </c>
      <c r="D1" t="s">
        <v>299</v>
      </c>
      <c r="E1" t="s">
        <v>190</v>
      </c>
      <c r="F1" t="s">
        <v>88</v>
      </c>
      <c r="G1" t="s">
        <v>94</v>
      </c>
      <c r="H1" t="s">
        <v>300</v>
      </c>
      <c r="I1" t="s">
        <v>182</v>
      </c>
      <c r="J1" t="s">
        <v>301</v>
      </c>
      <c r="K1" t="s">
        <v>191</v>
      </c>
      <c r="L1" t="s">
        <v>192</v>
      </c>
      <c r="M1" t="s">
        <v>193</v>
      </c>
      <c r="N1" t="s">
        <v>194</v>
      </c>
      <c r="O1" t="s">
        <v>302</v>
      </c>
      <c r="P1" t="s">
        <v>303</v>
      </c>
      <c r="Q1" t="s">
        <v>192</v>
      </c>
      <c r="R1" t="s">
        <v>304</v>
      </c>
      <c r="S1" t="s">
        <v>305</v>
      </c>
      <c r="T1" t="s">
        <v>195</v>
      </c>
    </row>
    <row r="2" spans="1:20" x14ac:dyDescent="0.25">
      <c r="A2">
        <v>45383</v>
      </c>
      <c r="B2" t="s">
        <v>12</v>
      </c>
      <c r="C2" t="s">
        <v>95</v>
      </c>
      <c r="D2" t="str">
        <f t="shared" ref="D2:D33" si="0">A2&amp;"-"&amp;B2&amp;"-"&amp;C2</f>
        <v>45383-CBA-L1</v>
      </c>
      <c r="E2">
        <v>23001579</v>
      </c>
      <c r="F2">
        <v>181647</v>
      </c>
      <c r="G2" t="s">
        <v>96</v>
      </c>
      <c r="H2" t="str">
        <f>_xlfn.IFNA(VLOOKUP(F2,'TES2'!C:M,11,0),G2)</f>
        <v>MARUBENI CORPORATION JEPANG</v>
      </c>
      <c r="I2" t="str">
        <f>_xlfn.IFNA(VLOOKUP(F2,'TES2'!C:I,6,0),"Data Tidak Ditemukan")</f>
        <v>JCT  MCUGA-3910   SN24</v>
      </c>
      <c r="J2" t="str">
        <f t="shared" ref="J2:J33" si="1">IF(I2="Data Tidak Ditemukan","TIDAK ADA DATA",LEFT(I2,5))</f>
        <v xml:space="preserve">JCT  </v>
      </c>
      <c r="K2">
        <v>180</v>
      </c>
      <c r="L2">
        <v>3.96</v>
      </c>
      <c r="M2">
        <v>712.8</v>
      </c>
      <c r="N2">
        <v>608</v>
      </c>
      <c r="O2">
        <f>IFERROR(IF(B2="MJ1",VLOOKUP(C2,TEMP!A:B,2,0)*OLAHAN!N2,OLAHAN!N2),N2)</f>
        <v>608</v>
      </c>
      <c r="Q2">
        <v>3.96</v>
      </c>
    </row>
    <row r="3" spans="1:20" x14ac:dyDescent="0.25">
      <c r="A3">
        <v>45383</v>
      </c>
      <c r="B3" t="s">
        <v>12</v>
      </c>
      <c r="C3" t="s">
        <v>97</v>
      </c>
      <c r="D3" t="str">
        <f t="shared" si="0"/>
        <v>45383-CBA-L2</v>
      </c>
      <c r="E3">
        <v>23001578</v>
      </c>
      <c r="F3">
        <v>181646</v>
      </c>
      <c r="G3" t="s">
        <v>98</v>
      </c>
      <c r="H3" t="str">
        <f>_xlfn.IFNA(VLOOKUP(F3,'TES2'!C:M,11,0),G3)</f>
        <v>MARUBENI CORPORATION JEPANG</v>
      </c>
      <c r="I3" t="str">
        <f>_xlfn.IFNA(VLOOKUP(F3,'TES2'!C:I,6,0),"Data Tidak Ditemukan")</f>
        <v>CRPANMCUGA-3915   SN24</v>
      </c>
      <c r="J3" t="str">
        <f t="shared" si="1"/>
        <v>CRPAN</v>
      </c>
      <c r="K3">
        <v>240</v>
      </c>
      <c r="L3">
        <v>2.99</v>
      </c>
      <c r="M3">
        <v>717.6</v>
      </c>
      <c r="N3">
        <v>608</v>
      </c>
      <c r="O3">
        <f>IFERROR(IF(B3="MJ1",VLOOKUP(C3,TEMP!A:B,2,0)*OLAHAN!N3,OLAHAN!N3),N3)</f>
        <v>608</v>
      </c>
      <c r="Q3">
        <v>2.99</v>
      </c>
    </row>
    <row r="4" spans="1:20" x14ac:dyDescent="0.25">
      <c r="A4">
        <v>45383</v>
      </c>
      <c r="B4" t="s">
        <v>12</v>
      </c>
      <c r="C4" t="s">
        <v>99</v>
      </c>
      <c r="D4" t="str">
        <f t="shared" si="0"/>
        <v>45383-CBA-L3</v>
      </c>
      <c r="E4">
        <v>23001578</v>
      </c>
      <c r="F4">
        <v>181646</v>
      </c>
      <c r="G4" t="s">
        <v>98</v>
      </c>
      <c r="H4" t="str">
        <f>_xlfn.IFNA(VLOOKUP(F4,'TES2'!C:M,11,0),G4)</f>
        <v>MARUBENI CORPORATION JEPANG</v>
      </c>
      <c r="I4" t="str">
        <f>_xlfn.IFNA(VLOOKUP(F4,'TES2'!C:I,6,0),"Data Tidak Ditemukan")</f>
        <v>CRPANMCUGA-3915   SN24</v>
      </c>
      <c r="J4" t="str">
        <f t="shared" si="1"/>
        <v>CRPAN</v>
      </c>
      <c r="K4">
        <v>235</v>
      </c>
      <c r="L4">
        <v>2.99</v>
      </c>
      <c r="M4">
        <v>702.65</v>
      </c>
      <c r="N4">
        <v>608</v>
      </c>
      <c r="O4">
        <f>IFERROR(IF(B4="MJ1",VLOOKUP(C4,TEMP!A:B,2,0)*OLAHAN!N4,OLAHAN!N4),N4)</f>
        <v>608</v>
      </c>
      <c r="Q4">
        <v>2.99</v>
      </c>
    </row>
    <row r="5" spans="1:20" x14ac:dyDescent="0.25">
      <c r="A5">
        <v>45383</v>
      </c>
      <c r="B5" t="s">
        <v>14</v>
      </c>
      <c r="C5" t="s">
        <v>99</v>
      </c>
      <c r="D5" t="str">
        <f t="shared" si="0"/>
        <v>45383-CJL-L3</v>
      </c>
      <c r="E5">
        <v>23001600</v>
      </c>
      <c r="F5">
        <v>181771</v>
      </c>
      <c r="G5" t="s">
        <v>96</v>
      </c>
      <c r="H5" t="str">
        <f>_xlfn.IFNA(VLOOKUP(F5,'TES2'!C:M,11,0),G5)</f>
        <v>MARUBENI CORPORATION JEPANG</v>
      </c>
      <c r="I5" t="str">
        <f>_xlfn.IFNA(VLOOKUP(F5,'TES2'!C:I,6,0),"Data Tidak Ditemukan")</f>
        <v>PANTSMCUKZN839-90 SN24</v>
      </c>
      <c r="J5" t="str">
        <f t="shared" si="1"/>
        <v>PANTS</v>
      </c>
      <c r="K5">
        <v>57</v>
      </c>
      <c r="L5">
        <v>3.02</v>
      </c>
      <c r="M5">
        <v>172.14</v>
      </c>
      <c r="N5">
        <v>874</v>
      </c>
      <c r="O5">
        <f>IFERROR(IF(B5="MJ1",VLOOKUP(C5,TEMP!A:B,2,0)*OLAHAN!N5,OLAHAN!N5),N5)</f>
        <v>874</v>
      </c>
      <c r="Q5">
        <v>3.02</v>
      </c>
    </row>
    <row r="6" spans="1:20" x14ac:dyDescent="0.25">
      <c r="A6">
        <v>45383</v>
      </c>
      <c r="B6" t="s">
        <v>15</v>
      </c>
      <c r="C6" t="s">
        <v>95</v>
      </c>
      <c r="D6" t="str">
        <f t="shared" si="0"/>
        <v>45383-CNJ2-L1</v>
      </c>
      <c r="E6">
        <v>24001019</v>
      </c>
      <c r="F6">
        <v>182131</v>
      </c>
      <c r="G6" t="s">
        <v>100</v>
      </c>
      <c r="H6" t="str">
        <f>_xlfn.IFNA(VLOOKUP(F6,'TES2'!C:M,11,0),G6)</f>
        <v>PT. BUANA DAYA GEMILANG</v>
      </c>
      <c r="I6" t="str">
        <f>_xlfn.IFNA(VLOOKUP(F6,'TES2'!C:I,6,0),"Data Tidak Ditemukan")</f>
        <v>TSHRTBDGOREGON    LC24</v>
      </c>
      <c r="J6" t="str">
        <f t="shared" si="1"/>
        <v>TSHRT</v>
      </c>
      <c r="K6">
        <v>1800</v>
      </c>
      <c r="L6">
        <v>0.39</v>
      </c>
      <c r="M6">
        <v>702</v>
      </c>
      <c r="N6">
        <v>608</v>
      </c>
      <c r="O6">
        <f>IFERROR(IF(B6="MJ1",VLOOKUP(C6,TEMP!A:B,2,0)*OLAHAN!N6,OLAHAN!N6),N6)</f>
        <v>608</v>
      </c>
      <c r="Q6">
        <v>0.39</v>
      </c>
    </row>
    <row r="7" spans="1:20" x14ac:dyDescent="0.25">
      <c r="A7">
        <v>45383</v>
      </c>
      <c r="B7" t="s">
        <v>15</v>
      </c>
      <c r="C7" t="s">
        <v>99</v>
      </c>
      <c r="D7" t="str">
        <f t="shared" si="0"/>
        <v>45383-CNJ2-L3</v>
      </c>
      <c r="E7">
        <v>24001005</v>
      </c>
      <c r="F7">
        <v>182079</v>
      </c>
      <c r="G7" t="s">
        <v>96</v>
      </c>
      <c r="H7" t="str">
        <f>_xlfn.IFNA(VLOOKUP(F7,'TES2'!C:M,11,0),G7)</f>
        <v>MARUBENI CORPORATION JEPANG</v>
      </c>
      <c r="I7" t="str">
        <f>_xlfn.IFNA(VLOOKUP(F7,'TES2'!C:I,6,0),"Data Tidak Ditemukan")</f>
        <v>TOP  MCU133-61    SN24</v>
      </c>
      <c r="J7" t="str">
        <f t="shared" si="1"/>
        <v xml:space="preserve">TOP  </v>
      </c>
      <c r="K7">
        <v>435</v>
      </c>
      <c r="L7">
        <v>1.54</v>
      </c>
      <c r="M7">
        <v>669.9</v>
      </c>
      <c r="N7">
        <v>608</v>
      </c>
      <c r="O7">
        <f>IFERROR(IF(B7="MJ1",VLOOKUP(C7,TEMP!A:B,2,0)*OLAHAN!N7,OLAHAN!N7),N7)</f>
        <v>608</v>
      </c>
      <c r="Q7">
        <v>1.54</v>
      </c>
    </row>
    <row r="8" spans="1:20" x14ac:dyDescent="0.25">
      <c r="A8">
        <v>45383</v>
      </c>
      <c r="B8" t="s">
        <v>15</v>
      </c>
      <c r="C8" t="s">
        <v>101</v>
      </c>
      <c r="D8" t="str">
        <f t="shared" si="0"/>
        <v>45383-CNJ2-L4</v>
      </c>
      <c r="E8">
        <v>24001011</v>
      </c>
      <c r="F8">
        <v>182086</v>
      </c>
      <c r="G8" t="s">
        <v>96</v>
      </c>
      <c r="H8" t="str">
        <f>_xlfn.IFNA(VLOOKUP(F8,'TES2'!C:M,11,0),G8)</f>
        <v>MARUBENI CORPORATION JEPANG</v>
      </c>
      <c r="I8" t="str">
        <f>_xlfn.IFNA(VLOOKUP(F8,'TES2'!C:I,6,0),"Data Tidak Ditemukan")</f>
        <v>TOP  MCU133-91    SN24</v>
      </c>
      <c r="J8" t="str">
        <f t="shared" si="1"/>
        <v xml:space="preserve">TOP  </v>
      </c>
      <c r="K8">
        <v>435</v>
      </c>
      <c r="L8">
        <v>1.54</v>
      </c>
      <c r="M8">
        <v>669.9</v>
      </c>
      <c r="N8">
        <v>608</v>
      </c>
      <c r="O8">
        <f>IFERROR(IF(B8="MJ1",VLOOKUP(C8,TEMP!A:B,2,0)*OLAHAN!N8,OLAHAN!N8),N8)</f>
        <v>608</v>
      </c>
      <c r="Q8">
        <v>1.54</v>
      </c>
    </row>
    <row r="9" spans="1:20" x14ac:dyDescent="0.25">
      <c r="A9">
        <v>45383</v>
      </c>
      <c r="B9" t="s">
        <v>15</v>
      </c>
      <c r="C9" t="s">
        <v>102</v>
      </c>
      <c r="D9" t="str">
        <f t="shared" si="0"/>
        <v>45383-CNJ2-L5</v>
      </c>
      <c r="E9">
        <v>24001019</v>
      </c>
      <c r="F9">
        <v>182131</v>
      </c>
      <c r="G9" t="s">
        <v>100</v>
      </c>
      <c r="H9" t="str">
        <f>_xlfn.IFNA(VLOOKUP(F9,'TES2'!C:M,11,0),G9)</f>
        <v>PT. BUANA DAYA GEMILANG</v>
      </c>
      <c r="I9" t="str">
        <f>_xlfn.IFNA(VLOOKUP(F9,'TES2'!C:I,6,0),"Data Tidak Ditemukan")</f>
        <v>TSHRTBDGOREGON    LC24</v>
      </c>
      <c r="J9" t="str">
        <f t="shared" si="1"/>
        <v>TSHRT</v>
      </c>
      <c r="K9">
        <v>2364</v>
      </c>
      <c r="L9">
        <v>0.39</v>
      </c>
      <c r="M9">
        <v>921.96</v>
      </c>
      <c r="N9">
        <v>608</v>
      </c>
      <c r="O9">
        <f>IFERROR(IF(B9="MJ1",VLOOKUP(C9,TEMP!A:B,2,0)*OLAHAN!N9,OLAHAN!N9),N9)</f>
        <v>608</v>
      </c>
      <c r="Q9">
        <v>0.39</v>
      </c>
    </row>
    <row r="10" spans="1:20" x14ac:dyDescent="0.25">
      <c r="A10">
        <v>45383</v>
      </c>
      <c r="B10" t="s">
        <v>15</v>
      </c>
      <c r="C10" t="s">
        <v>103</v>
      </c>
      <c r="D10" t="str">
        <f t="shared" si="0"/>
        <v>45383-CNJ2-L6</v>
      </c>
      <c r="E10">
        <v>24001027</v>
      </c>
      <c r="F10">
        <v>182101</v>
      </c>
      <c r="G10" t="s">
        <v>96</v>
      </c>
      <c r="H10" t="str">
        <f>_xlfn.IFNA(VLOOKUP(F10,'TES2'!C:M,11,0),G10)</f>
        <v>MARUBENI CORPORATION JEPANG</v>
      </c>
      <c r="I10" t="str">
        <f>_xlfn.IFNA(VLOOKUP(F10,'TES2'!C:I,6,0),"Data Tidak Ditemukan")</f>
        <v>PANTSMCU155-91    SN24</v>
      </c>
      <c r="J10" t="str">
        <f t="shared" si="1"/>
        <v>PANTS</v>
      </c>
      <c r="K10">
        <v>500</v>
      </c>
      <c r="L10">
        <v>1.49</v>
      </c>
      <c r="M10">
        <v>745</v>
      </c>
      <c r="N10">
        <v>608</v>
      </c>
      <c r="O10">
        <f>IFERROR(IF(B10="MJ1",VLOOKUP(C10,TEMP!A:B,2,0)*OLAHAN!N10,OLAHAN!N10),N10)</f>
        <v>608</v>
      </c>
      <c r="Q10">
        <v>1.49</v>
      </c>
    </row>
    <row r="11" spans="1:20" x14ac:dyDescent="0.25">
      <c r="A11">
        <v>45383</v>
      </c>
      <c r="B11" t="s">
        <v>16</v>
      </c>
      <c r="C11" t="s">
        <v>95</v>
      </c>
      <c r="D11" t="str">
        <f t="shared" si="0"/>
        <v>45383-CVA-L1</v>
      </c>
      <c r="E11">
        <v>23001219</v>
      </c>
      <c r="F11">
        <v>181900</v>
      </c>
      <c r="G11" t="s">
        <v>104</v>
      </c>
      <c r="H11" t="str">
        <f>_xlfn.IFNA(VLOOKUP(F11,'TES2'!C:M,11,0),G11)</f>
        <v>ASMARA KARYA ABADI, PT.</v>
      </c>
      <c r="I11" t="str">
        <f>_xlfn.IFNA(VLOOKUP(F11,'TES2'!C:I,6,0),"Data Tidak Ditemukan")</f>
        <v>TOP  ARASK2153    SS24</v>
      </c>
      <c r="J11" t="str">
        <f t="shared" si="1"/>
        <v xml:space="preserve">TOP  </v>
      </c>
      <c r="K11">
        <v>230</v>
      </c>
      <c r="L11">
        <v>1.77</v>
      </c>
      <c r="M11">
        <v>407.1</v>
      </c>
      <c r="N11">
        <v>526</v>
      </c>
      <c r="O11">
        <f>IFERROR(IF(B11="MJ1",VLOOKUP(C11,TEMP!A:B,2,0)*OLAHAN!N11,OLAHAN!N11),N11)</f>
        <v>526</v>
      </c>
      <c r="Q11">
        <v>1.77</v>
      </c>
    </row>
    <row r="12" spans="1:20" x14ac:dyDescent="0.25">
      <c r="A12">
        <v>45383</v>
      </c>
      <c r="B12" t="s">
        <v>16</v>
      </c>
      <c r="C12" t="s">
        <v>105</v>
      </c>
      <c r="D12" t="str">
        <f t="shared" si="0"/>
        <v>45383-CVA-L10</v>
      </c>
      <c r="E12">
        <v>23001617</v>
      </c>
      <c r="F12">
        <v>181820</v>
      </c>
      <c r="G12" t="s">
        <v>106</v>
      </c>
      <c r="H12" t="str">
        <f>_xlfn.IFNA(VLOOKUP(F12,'TES2'!C:M,11,0),G12)</f>
        <v>MARUBENI FASHION LINK LTD.</v>
      </c>
      <c r="I12" t="str">
        <f>_xlfn.IFNA(VLOOKUP(F12,'TES2'!C:I,6,0),"Data Tidak Ditemukan")</f>
        <v>LEG  MFL24140     24AH</v>
      </c>
      <c r="J12" t="str">
        <f t="shared" si="1"/>
        <v xml:space="preserve">LEG  </v>
      </c>
      <c r="K12">
        <v>1050</v>
      </c>
      <c r="L12">
        <v>0.45</v>
      </c>
      <c r="M12">
        <v>472.5</v>
      </c>
      <c r="N12">
        <v>526</v>
      </c>
      <c r="O12">
        <f>IFERROR(IF(B12="MJ1",VLOOKUP(C12,TEMP!A:B,2,0)*OLAHAN!N12,OLAHAN!N12),N12)</f>
        <v>526</v>
      </c>
      <c r="Q12">
        <v>0.45</v>
      </c>
    </row>
    <row r="13" spans="1:20" x14ac:dyDescent="0.25">
      <c r="A13">
        <v>45383</v>
      </c>
      <c r="B13" t="s">
        <v>16</v>
      </c>
      <c r="C13" t="s">
        <v>97</v>
      </c>
      <c r="D13" t="str">
        <f t="shared" si="0"/>
        <v>45383-CVA-L2</v>
      </c>
      <c r="E13">
        <v>23001219</v>
      </c>
      <c r="F13">
        <v>181900</v>
      </c>
      <c r="G13" t="s">
        <v>104</v>
      </c>
      <c r="H13" t="str">
        <f>_xlfn.IFNA(VLOOKUP(F13,'TES2'!C:M,11,0),G13)</f>
        <v>ASMARA KARYA ABADI, PT.</v>
      </c>
      <c r="I13" t="str">
        <f>_xlfn.IFNA(VLOOKUP(F13,'TES2'!C:I,6,0),"Data Tidak Ditemukan")</f>
        <v>TOP  ARASK2153    SS24</v>
      </c>
      <c r="J13" t="str">
        <f t="shared" si="1"/>
        <v xml:space="preserve">TOP  </v>
      </c>
      <c r="K13">
        <v>210</v>
      </c>
      <c r="L13">
        <v>1.77</v>
      </c>
      <c r="M13">
        <v>371.7</v>
      </c>
      <c r="N13">
        <v>526</v>
      </c>
      <c r="O13">
        <f>IFERROR(IF(B13="MJ1",VLOOKUP(C13,TEMP!A:B,2,0)*OLAHAN!N13,OLAHAN!N13),N13)</f>
        <v>526</v>
      </c>
      <c r="Q13">
        <v>1.77</v>
      </c>
    </row>
    <row r="14" spans="1:20" x14ac:dyDescent="0.25">
      <c r="A14">
        <v>45383</v>
      </c>
      <c r="B14" t="s">
        <v>16</v>
      </c>
      <c r="C14" t="s">
        <v>99</v>
      </c>
      <c r="D14" t="str">
        <f t="shared" si="0"/>
        <v>45383-CVA-L3</v>
      </c>
      <c r="E14">
        <v>23001616</v>
      </c>
      <c r="F14">
        <v>181821</v>
      </c>
      <c r="G14" t="s">
        <v>106</v>
      </c>
      <c r="H14" t="str">
        <f>_xlfn.IFNA(VLOOKUP(F14,'TES2'!C:M,11,0),G14)</f>
        <v>MARUBENI FASHION LINK LTD.</v>
      </c>
      <c r="I14" t="str">
        <f>_xlfn.IFNA(VLOOKUP(F14,'TES2'!C:I,6,0),"Data Tidak Ditemukan")</f>
        <v>LEG  MFL24140N    24AH</v>
      </c>
      <c r="J14" t="str">
        <f t="shared" si="1"/>
        <v xml:space="preserve">LEG  </v>
      </c>
      <c r="K14">
        <v>1590</v>
      </c>
      <c r="L14">
        <v>0.45</v>
      </c>
      <c r="M14">
        <v>715.5</v>
      </c>
      <c r="N14">
        <v>526</v>
      </c>
      <c r="O14">
        <f>IFERROR(IF(B14="MJ1",VLOOKUP(C14,TEMP!A:B,2,0)*OLAHAN!N14,OLAHAN!N14),N14)</f>
        <v>526</v>
      </c>
      <c r="Q14">
        <v>0.45</v>
      </c>
    </row>
    <row r="15" spans="1:20" x14ac:dyDescent="0.25">
      <c r="A15">
        <v>45383</v>
      </c>
      <c r="B15" t="s">
        <v>16</v>
      </c>
      <c r="C15" t="s">
        <v>101</v>
      </c>
      <c r="D15" t="str">
        <f t="shared" si="0"/>
        <v>45383-CVA-L4</v>
      </c>
      <c r="E15">
        <v>23001617</v>
      </c>
      <c r="F15">
        <v>181820</v>
      </c>
      <c r="G15" t="s">
        <v>106</v>
      </c>
      <c r="H15" t="str">
        <f>_xlfn.IFNA(VLOOKUP(F15,'TES2'!C:M,11,0),G15)</f>
        <v>MARUBENI FASHION LINK LTD.</v>
      </c>
      <c r="I15" t="str">
        <f>_xlfn.IFNA(VLOOKUP(F15,'TES2'!C:I,6,0),"Data Tidak Ditemukan")</f>
        <v>LEG  MFL24140     24AH</v>
      </c>
      <c r="J15" t="str">
        <f t="shared" si="1"/>
        <v xml:space="preserve">LEG  </v>
      </c>
      <c r="K15">
        <v>490</v>
      </c>
      <c r="L15">
        <v>0.45</v>
      </c>
      <c r="M15">
        <v>220.5</v>
      </c>
      <c r="N15">
        <v>526</v>
      </c>
      <c r="O15">
        <f>IFERROR(IF(B15="MJ1",VLOOKUP(C15,TEMP!A:B,2,0)*OLAHAN!N15,OLAHAN!N15),N15)</f>
        <v>526</v>
      </c>
      <c r="Q15">
        <v>0.45</v>
      </c>
    </row>
    <row r="16" spans="1:20" x14ac:dyDescent="0.25">
      <c r="A16">
        <v>45383</v>
      </c>
      <c r="B16" t="s">
        <v>16</v>
      </c>
      <c r="C16" t="s">
        <v>101</v>
      </c>
      <c r="D16" t="str">
        <f t="shared" si="0"/>
        <v>45383-CVA-L4</v>
      </c>
      <c r="E16">
        <v>23001616</v>
      </c>
      <c r="F16">
        <v>181821</v>
      </c>
      <c r="G16" t="s">
        <v>106</v>
      </c>
      <c r="H16" t="str">
        <f>_xlfn.IFNA(VLOOKUP(F16,'TES2'!C:M,11,0),G16)</f>
        <v>MARUBENI FASHION LINK LTD.</v>
      </c>
      <c r="I16" t="str">
        <f>_xlfn.IFNA(VLOOKUP(F16,'TES2'!C:I,6,0),"Data Tidak Ditemukan")</f>
        <v>LEG  MFL24140N    24AH</v>
      </c>
      <c r="J16" t="str">
        <f t="shared" si="1"/>
        <v xml:space="preserve">LEG  </v>
      </c>
      <c r="K16">
        <v>1240</v>
      </c>
      <c r="L16">
        <v>0.45</v>
      </c>
      <c r="M16">
        <v>558</v>
      </c>
      <c r="N16">
        <v>526</v>
      </c>
      <c r="O16">
        <f>IFERROR(IF(B16="MJ1",VLOOKUP(C16,TEMP!A:B,2,0)*OLAHAN!N16,OLAHAN!N16),N16)</f>
        <v>526</v>
      </c>
      <c r="Q16">
        <v>0.45</v>
      </c>
    </row>
    <row r="17" spans="1:17" x14ac:dyDescent="0.25">
      <c r="A17">
        <v>45383</v>
      </c>
      <c r="B17" t="s">
        <v>16</v>
      </c>
      <c r="C17" t="s">
        <v>102</v>
      </c>
      <c r="D17" t="str">
        <f t="shared" si="0"/>
        <v>45383-CVA-L5</v>
      </c>
      <c r="E17">
        <v>23001625</v>
      </c>
      <c r="F17">
        <v>181870</v>
      </c>
      <c r="G17" t="s">
        <v>106</v>
      </c>
      <c r="H17" t="str">
        <f>_xlfn.IFNA(VLOOKUP(F17,'TES2'!C:M,11,0),G17)</f>
        <v>MARUBENI FASHION LINK LTD.</v>
      </c>
      <c r="I17" t="str">
        <f>_xlfn.IFNA(VLOOKUP(F17,'TES2'!C:I,6,0),"Data Tidak Ditemukan")</f>
        <v>LEG  MFL54141     24AH</v>
      </c>
      <c r="J17" t="str">
        <f t="shared" si="1"/>
        <v xml:space="preserve">LEG  </v>
      </c>
      <c r="K17">
        <v>1001</v>
      </c>
      <c r="L17">
        <v>0.3</v>
      </c>
      <c r="M17">
        <v>300.3</v>
      </c>
      <c r="N17">
        <v>526</v>
      </c>
      <c r="O17">
        <f>IFERROR(IF(B17="MJ1",VLOOKUP(C17,TEMP!A:B,2,0)*OLAHAN!N17,OLAHAN!N17),N17)</f>
        <v>526</v>
      </c>
      <c r="Q17">
        <v>0.3</v>
      </c>
    </row>
    <row r="18" spans="1:17" x14ac:dyDescent="0.25">
      <c r="A18">
        <v>45383</v>
      </c>
      <c r="B18" t="s">
        <v>16</v>
      </c>
      <c r="C18" t="s">
        <v>102</v>
      </c>
      <c r="D18" t="str">
        <f t="shared" si="0"/>
        <v>45383-CVA-L5</v>
      </c>
      <c r="E18">
        <v>23001627</v>
      </c>
      <c r="F18">
        <v>181872</v>
      </c>
      <c r="G18" t="s">
        <v>106</v>
      </c>
      <c r="H18" t="str">
        <f>_xlfn.IFNA(VLOOKUP(F18,'TES2'!C:M,11,0),G18)</f>
        <v>MARUBENI FASHION LINK LTD.</v>
      </c>
      <c r="I18" t="str">
        <f>_xlfn.IFNA(VLOOKUP(F18,'TES2'!C:I,6,0),"Data Tidak Ditemukan")</f>
        <v>LEG  MFL54141.2   24AH</v>
      </c>
      <c r="J18" t="str">
        <f t="shared" si="1"/>
        <v xml:space="preserve">LEG  </v>
      </c>
      <c r="K18">
        <v>539</v>
      </c>
      <c r="L18">
        <v>0.3</v>
      </c>
      <c r="M18">
        <v>161.69999999999999</v>
      </c>
      <c r="N18">
        <v>526</v>
      </c>
      <c r="O18">
        <f>IFERROR(IF(B18="MJ1",VLOOKUP(C18,TEMP!A:B,2,0)*OLAHAN!N18,OLAHAN!N18),N18)</f>
        <v>526</v>
      </c>
      <c r="Q18">
        <v>0.3</v>
      </c>
    </row>
    <row r="19" spans="1:17" x14ac:dyDescent="0.25">
      <c r="A19">
        <v>45383</v>
      </c>
      <c r="B19" t="s">
        <v>16</v>
      </c>
      <c r="C19" t="s">
        <v>103</v>
      </c>
      <c r="D19" t="str">
        <f t="shared" si="0"/>
        <v>45383-CVA-L6</v>
      </c>
      <c r="E19">
        <v>23001625</v>
      </c>
      <c r="F19">
        <v>181870</v>
      </c>
      <c r="G19" t="s">
        <v>106</v>
      </c>
      <c r="H19" t="str">
        <f>_xlfn.IFNA(VLOOKUP(F19,'TES2'!C:M,11,0),G19)</f>
        <v>MARUBENI FASHION LINK LTD.</v>
      </c>
      <c r="I19" t="str">
        <f>_xlfn.IFNA(VLOOKUP(F19,'TES2'!C:I,6,0),"Data Tidak Ditemukan")</f>
        <v>LEG  MFL54141     24AH</v>
      </c>
      <c r="J19" t="str">
        <f t="shared" si="1"/>
        <v xml:space="preserve">LEG  </v>
      </c>
      <c r="K19">
        <v>504</v>
      </c>
      <c r="L19">
        <v>0.3</v>
      </c>
      <c r="M19">
        <v>151.19999999999999</v>
      </c>
      <c r="N19">
        <v>526</v>
      </c>
      <c r="O19">
        <f>IFERROR(IF(B19="MJ1",VLOOKUP(C19,TEMP!A:B,2,0)*OLAHAN!N19,OLAHAN!N19),N19)</f>
        <v>526</v>
      </c>
      <c r="Q19">
        <v>0.3</v>
      </c>
    </row>
    <row r="20" spans="1:17" x14ac:dyDescent="0.25">
      <c r="A20">
        <v>45383</v>
      </c>
      <c r="B20" t="s">
        <v>16</v>
      </c>
      <c r="C20" t="s">
        <v>103</v>
      </c>
      <c r="D20" t="str">
        <f t="shared" si="0"/>
        <v>45383-CVA-L6</v>
      </c>
      <c r="E20">
        <v>23001627</v>
      </c>
      <c r="F20">
        <v>181872</v>
      </c>
      <c r="G20" t="s">
        <v>106</v>
      </c>
      <c r="H20" t="str">
        <f>_xlfn.IFNA(VLOOKUP(F20,'TES2'!C:M,11,0),G20)</f>
        <v>MARUBENI FASHION LINK LTD.</v>
      </c>
      <c r="I20" t="str">
        <f>_xlfn.IFNA(VLOOKUP(F20,'TES2'!C:I,6,0),"Data Tidak Ditemukan")</f>
        <v>LEG  MFL54141.2   24AH</v>
      </c>
      <c r="J20" t="str">
        <f t="shared" si="1"/>
        <v xml:space="preserve">LEG  </v>
      </c>
      <c r="K20">
        <v>946</v>
      </c>
      <c r="L20">
        <v>0.3</v>
      </c>
      <c r="M20">
        <v>283.8</v>
      </c>
      <c r="N20">
        <v>526</v>
      </c>
      <c r="O20">
        <f>IFERROR(IF(B20="MJ1",VLOOKUP(C20,TEMP!A:B,2,0)*OLAHAN!N20,OLAHAN!N20),N20)</f>
        <v>526</v>
      </c>
      <c r="Q20">
        <v>0.3</v>
      </c>
    </row>
    <row r="21" spans="1:17" x14ac:dyDescent="0.25">
      <c r="A21">
        <v>45383</v>
      </c>
      <c r="B21" t="s">
        <v>16</v>
      </c>
      <c r="C21" t="s">
        <v>107</v>
      </c>
      <c r="D21" t="str">
        <f t="shared" si="0"/>
        <v>45383-CVA-L7</v>
      </c>
      <c r="E21">
        <v>23001170</v>
      </c>
      <c r="F21">
        <v>181693</v>
      </c>
      <c r="G21" t="s">
        <v>108</v>
      </c>
      <c r="H21" t="str">
        <f>_xlfn.IFNA(VLOOKUP(F21,'TES2'!C:M,11,0),G21)</f>
        <v>KANMO RETAIL GROUP</v>
      </c>
      <c r="I21" t="str">
        <f>_xlfn.IFNA(VLOOKUP(F21,'TES2'!C:I,6,0),"Data Tidak Ditemukan")</f>
        <v>LEG  MOTHC659     SS24</v>
      </c>
      <c r="J21" t="str">
        <f t="shared" si="1"/>
        <v xml:space="preserve">LEG  </v>
      </c>
      <c r="K21">
        <v>760</v>
      </c>
      <c r="L21">
        <v>1.35</v>
      </c>
      <c r="M21">
        <v>1026</v>
      </c>
      <c r="N21">
        <v>526</v>
      </c>
      <c r="O21">
        <f>IFERROR(IF(B21="MJ1",VLOOKUP(C21,TEMP!A:B,2,0)*OLAHAN!N21,OLAHAN!N21),N21)</f>
        <v>526</v>
      </c>
      <c r="Q21">
        <v>1.35</v>
      </c>
    </row>
    <row r="22" spans="1:17" x14ac:dyDescent="0.25">
      <c r="A22">
        <v>45383</v>
      </c>
      <c r="B22" t="s">
        <v>16</v>
      </c>
      <c r="C22" t="s">
        <v>107</v>
      </c>
      <c r="D22" t="str">
        <f t="shared" si="0"/>
        <v>45383-CVA-L7</v>
      </c>
      <c r="E22">
        <v>23001171</v>
      </c>
      <c r="F22">
        <v>181694</v>
      </c>
      <c r="G22" t="s">
        <v>108</v>
      </c>
      <c r="H22" t="str">
        <f>_xlfn.IFNA(VLOOKUP(F22,'TES2'!C:M,11,0),G22)</f>
        <v>KANMO RETAIL GROUP</v>
      </c>
      <c r="I22" t="str">
        <f>_xlfn.IFNA(VLOOKUP(F22,'TES2'!C:I,6,0),"Data Tidak Ditemukan")</f>
        <v>LEG  MOTHC912     SS24</v>
      </c>
      <c r="J22" t="str">
        <f t="shared" si="1"/>
        <v xml:space="preserve">LEG  </v>
      </c>
      <c r="K22">
        <v>194</v>
      </c>
      <c r="L22">
        <v>1.28</v>
      </c>
      <c r="M22">
        <v>248.32</v>
      </c>
      <c r="N22">
        <v>526</v>
      </c>
      <c r="O22">
        <f>IFERROR(IF(B22="MJ1",VLOOKUP(C22,TEMP!A:B,2,0)*OLAHAN!N22,OLAHAN!N22),N22)</f>
        <v>526</v>
      </c>
      <c r="Q22">
        <v>1.28</v>
      </c>
    </row>
    <row r="23" spans="1:17" x14ac:dyDescent="0.25">
      <c r="A23">
        <v>45383</v>
      </c>
      <c r="B23" t="s">
        <v>16</v>
      </c>
      <c r="C23" t="s">
        <v>109</v>
      </c>
      <c r="D23" t="str">
        <f t="shared" si="0"/>
        <v>45383-CVA-L8</v>
      </c>
      <c r="E23">
        <v>23001170</v>
      </c>
      <c r="F23">
        <v>181693</v>
      </c>
      <c r="G23" t="s">
        <v>108</v>
      </c>
      <c r="H23" t="str">
        <f>_xlfn.IFNA(VLOOKUP(F23,'TES2'!C:M,11,0),G23)</f>
        <v>KANMO RETAIL GROUP</v>
      </c>
      <c r="I23" t="str">
        <f>_xlfn.IFNA(VLOOKUP(F23,'TES2'!C:I,6,0),"Data Tidak Ditemukan")</f>
        <v>LEG  MOTHC659     SS24</v>
      </c>
      <c r="J23" t="str">
        <f t="shared" si="1"/>
        <v xml:space="preserve">LEG  </v>
      </c>
      <c r="K23">
        <v>778</v>
      </c>
      <c r="L23">
        <v>1.35</v>
      </c>
      <c r="M23">
        <v>1050.3</v>
      </c>
      <c r="N23">
        <v>526</v>
      </c>
      <c r="O23">
        <f>IFERROR(IF(B23="MJ1",VLOOKUP(C23,TEMP!A:B,2,0)*OLAHAN!N23,OLAHAN!N23),N23)</f>
        <v>526</v>
      </c>
      <c r="Q23">
        <v>1.35</v>
      </c>
    </row>
    <row r="24" spans="1:17" x14ac:dyDescent="0.25">
      <c r="A24">
        <v>45383</v>
      </c>
      <c r="B24" t="s">
        <v>16</v>
      </c>
      <c r="C24" t="s">
        <v>109</v>
      </c>
      <c r="D24" t="str">
        <f t="shared" si="0"/>
        <v>45383-CVA-L8</v>
      </c>
      <c r="E24">
        <v>23001171</v>
      </c>
      <c r="F24">
        <v>181694</v>
      </c>
      <c r="G24" t="s">
        <v>108</v>
      </c>
      <c r="H24" t="str">
        <f>_xlfn.IFNA(VLOOKUP(F24,'TES2'!C:M,11,0),G24)</f>
        <v>KANMO RETAIL GROUP</v>
      </c>
      <c r="I24" t="str">
        <f>_xlfn.IFNA(VLOOKUP(F24,'TES2'!C:I,6,0),"Data Tidak Ditemukan")</f>
        <v>LEG  MOTHC912     SS24</v>
      </c>
      <c r="J24" t="str">
        <f t="shared" si="1"/>
        <v xml:space="preserve">LEG  </v>
      </c>
      <c r="K24">
        <v>38</v>
      </c>
      <c r="L24">
        <v>1.28</v>
      </c>
      <c r="M24">
        <v>48.64</v>
      </c>
      <c r="N24">
        <v>526</v>
      </c>
      <c r="O24">
        <f>IFERROR(IF(B24="MJ1",VLOOKUP(C24,TEMP!A:B,2,0)*OLAHAN!N24,OLAHAN!N24),N24)</f>
        <v>526</v>
      </c>
      <c r="Q24">
        <v>1.28</v>
      </c>
    </row>
    <row r="25" spans="1:17" x14ac:dyDescent="0.25">
      <c r="A25">
        <v>45383</v>
      </c>
      <c r="B25" t="s">
        <v>16</v>
      </c>
      <c r="C25" t="s">
        <v>110</v>
      </c>
      <c r="D25" t="str">
        <f t="shared" si="0"/>
        <v>45383-CVA-L9</v>
      </c>
      <c r="E25">
        <v>23001617</v>
      </c>
      <c r="F25">
        <v>181820</v>
      </c>
      <c r="G25" t="s">
        <v>106</v>
      </c>
      <c r="H25" t="str">
        <f>_xlfn.IFNA(VLOOKUP(F25,'TES2'!C:M,11,0),G25)</f>
        <v>MARUBENI FASHION LINK LTD.</v>
      </c>
      <c r="I25" t="str">
        <f>_xlfn.IFNA(VLOOKUP(F25,'TES2'!C:I,6,0),"Data Tidak Ditemukan")</f>
        <v>LEG  MFL24140     24AH</v>
      </c>
      <c r="J25" t="str">
        <f t="shared" si="1"/>
        <v xml:space="preserve">LEG  </v>
      </c>
      <c r="K25">
        <v>1045</v>
      </c>
      <c r="L25">
        <v>0.45</v>
      </c>
      <c r="M25">
        <v>470.25</v>
      </c>
      <c r="N25">
        <v>526</v>
      </c>
      <c r="O25">
        <f>IFERROR(IF(B25="MJ1",VLOOKUP(C25,TEMP!A:B,2,0)*OLAHAN!N25,OLAHAN!N25),N25)</f>
        <v>526</v>
      </c>
      <c r="Q25">
        <v>0.45</v>
      </c>
    </row>
    <row r="26" spans="1:17" x14ac:dyDescent="0.25">
      <c r="A26">
        <v>45383</v>
      </c>
      <c r="B26" t="s">
        <v>85</v>
      </c>
      <c r="C26" t="s">
        <v>95</v>
      </c>
      <c r="D26" t="str">
        <f t="shared" si="0"/>
        <v>45383-CVA2-L1</v>
      </c>
      <c r="E26">
        <v>23001617</v>
      </c>
      <c r="F26">
        <v>181820</v>
      </c>
      <c r="G26" t="s">
        <v>106</v>
      </c>
      <c r="H26" t="str">
        <f>_xlfn.IFNA(VLOOKUP(F26,'TES2'!C:M,11,0),G26)</f>
        <v>MARUBENI FASHION LINK LTD.</v>
      </c>
      <c r="I26" t="str">
        <f>_xlfn.IFNA(VLOOKUP(F26,'TES2'!C:I,6,0),"Data Tidak Ditemukan")</f>
        <v>LEG  MFL24140     24AH</v>
      </c>
      <c r="J26" t="str">
        <f t="shared" si="1"/>
        <v xml:space="preserve">LEG  </v>
      </c>
      <c r="K26">
        <v>290</v>
      </c>
      <c r="L26">
        <v>0.45</v>
      </c>
      <c r="M26">
        <v>130.5</v>
      </c>
      <c r="N26">
        <v>305</v>
      </c>
      <c r="O26">
        <f>IFERROR(IF(B26="MJ1",VLOOKUP(C26,TEMP!A:B,2,0)*OLAHAN!N26,OLAHAN!N26),N26)</f>
        <v>305</v>
      </c>
      <c r="Q26">
        <v>0.45</v>
      </c>
    </row>
    <row r="27" spans="1:17" x14ac:dyDescent="0.25">
      <c r="A27">
        <v>45383</v>
      </c>
      <c r="B27" t="s">
        <v>85</v>
      </c>
      <c r="C27" t="s">
        <v>97</v>
      </c>
      <c r="D27" t="str">
        <f t="shared" si="0"/>
        <v>45383-CVA2-L2</v>
      </c>
      <c r="E27">
        <v>23001623</v>
      </c>
      <c r="F27">
        <v>181868</v>
      </c>
      <c r="G27" t="s">
        <v>106</v>
      </c>
      <c r="H27" t="str">
        <f>_xlfn.IFNA(VLOOKUP(F27,'TES2'!C:M,11,0),G27)</f>
        <v>MARUBENI FASHION LINK LTD.</v>
      </c>
      <c r="I27" t="str">
        <f>_xlfn.IFNA(VLOOKUP(F27,'TES2'!C:I,6,0),"Data Tidak Ditemukan")</f>
        <v>LEG  MFL28145     24AH</v>
      </c>
      <c r="J27" t="str">
        <f t="shared" si="1"/>
        <v xml:space="preserve">LEG  </v>
      </c>
      <c r="K27">
        <v>570</v>
      </c>
      <c r="L27">
        <v>0.42</v>
      </c>
      <c r="M27">
        <v>239.4</v>
      </c>
      <c r="N27">
        <v>305</v>
      </c>
      <c r="O27">
        <f>IFERROR(IF(B27="MJ1",VLOOKUP(C27,TEMP!A:B,2,0)*OLAHAN!N27,OLAHAN!N27),N27)</f>
        <v>305</v>
      </c>
      <c r="Q27">
        <v>0.42</v>
      </c>
    </row>
    <row r="28" spans="1:17" x14ac:dyDescent="0.25">
      <c r="A28">
        <v>45383</v>
      </c>
      <c r="B28" t="s">
        <v>85</v>
      </c>
      <c r="C28" t="s">
        <v>97</v>
      </c>
      <c r="D28" t="str">
        <f t="shared" si="0"/>
        <v>45383-CVA2-L2</v>
      </c>
      <c r="E28">
        <v>23001621</v>
      </c>
      <c r="F28">
        <v>182008</v>
      </c>
      <c r="G28" t="s">
        <v>106</v>
      </c>
      <c r="H28" t="str">
        <f>_xlfn.IFNA(VLOOKUP(F28,'TES2'!C:M,11,0),G28)</f>
        <v>MARUBENI FASHION LINK LTD.</v>
      </c>
      <c r="I28" t="str">
        <f>_xlfn.IFNA(VLOOKUP(F28,'TES2'!C:I,6,0),"Data Tidak Ditemukan")</f>
        <v>LEG  MFL28142     24AH</v>
      </c>
      <c r="J28" t="str">
        <f t="shared" si="1"/>
        <v xml:space="preserve">LEG  </v>
      </c>
      <c r="K28">
        <v>135</v>
      </c>
      <c r="L28">
        <v>0.42</v>
      </c>
      <c r="M28">
        <v>56.7</v>
      </c>
      <c r="N28">
        <v>305</v>
      </c>
      <c r="O28">
        <f>IFERROR(IF(B28="MJ1",VLOOKUP(C28,TEMP!A:B,2,0)*OLAHAN!N28,OLAHAN!N28),N28)</f>
        <v>305</v>
      </c>
      <c r="Q28">
        <v>0.42</v>
      </c>
    </row>
    <row r="29" spans="1:17" x14ac:dyDescent="0.25">
      <c r="A29">
        <v>45383</v>
      </c>
      <c r="B29" t="s">
        <v>17</v>
      </c>
      <c r="C29" t="s">
        <v>111</v>
      </c>
      <c r="D29" t="str">
        <f t="shared" si="0"/>
        <v>45383-KLB-L1A</v>
      </c>
      <c r="E29">
        <v>24001071</v>
      </c>
      <c r="F29">
        <v>182135</v>
      </c>
      <c r="G29" t="s">
        <v>112</v>
      </c>
      <c r="H29" t="str">
        <f>_xlfn.IFNA(VLOOKUP(F29,'TES2'!C:M,11,0),G29)</f>
        <v>AGRON, INC.</v>
      </c>
      <c r="I29" t="str">
        <f>_xlfn.IFNA(VLOOKUP(F29,'TES2'!C:I,6,0),"Data Tidak Ditemukan")</f>
        <v>BRF  ADS5158043   24R3</v>
      </c>
      <c r="J29" t="str">
        <f t="shared" si="1"/>
        <v xml:space="preserve">BRF  </v>
      </c>
      <c r="K29">
        <v>1825</v>
      </c>
      <c r="L29">
        <v>0.65</v>
      </c>
      <c r="M29">
        <v>1186.25</v>
      </c>
      <c r="N29">
        <v>841</v>
      </c>
      <c r="O29">
        <f>IFERROR(IF(B29="MJ1",VLOOKUP(C29,TEMP!A:B,2,0)*OLAHAN!N29,OLAHAN!N29),N29)</f>
        <v>841</v>
      </c>
      <c r="Q29">
        <v>0.65</v>
      </c>
    </row>
    <row r="30" spans="1:17" x14ac:dyDescent="0.25">
      <c r="A30">
        <v>45383</v>
      </c>
      <c r="B30" t="s">
        <v>17</v>
      </c>
      <c r="C30" t="s">
        <v>111</v>
      </c>
      <c r="D30" t="str">
        <f t="shared" si="0"/>
        <v>45383-KLB-L1A</v>
      </c>
      <c r="E30">
        <v>24001108</v>
      </c>
      <c r="F30">
        <v>182137</v>
      </c>
      <c r="G30" t="s">
        <v>112</v>
      </c>
      <c r="H30" t="str">
        <f>_xlfn.IFNA(VLOOKUP(F30,'TES2'!C:M,11,0),G30)</f>
        <v>AGRON, INC.</v>
      </c>
      <c r="I30" t="str">
        <f>_xlfn.IFNA(VLOOKUP(F30,'TES2'!C:I,6,0),"Data Tidak Ditemukan")</f>
        <v>BRF  ADS5158041   24R1</v>
      </c>
      <c r="J30" t="str">
        <f t="shared" si="1"/>
        <v xml:space="preserve">BRF  </v>
      </c>
      <c r="K30">
        <v>625</v>
      </c>
      <c r="L30">
        <v>0.65</v>
      </c>
      <c r="M30">
        <v>406.25</v>
      </c>
      <c r="N30">
        <v>841</v>
      </c>
      <c r="O30">
        <f>IFERROR(IF(B30="MJ1",VLOOKUP(C30,TEMP!A:B,2,0)*OLAHAN!N30,OLAHAN!N30),N30)</f>
        <v>841</v>
      </c>
      <c r="Q30">
        <v>0.65</v>
      </c>
    </row>
    <row r="31" spans="1:17" x14ac:dyDescent="0.25">
      <c r="A31">
        <v>45383</v>
      </c>
      <c r="B31" t="s">
        <v>17</v>
      </c>
      <c r="C31" t="s">
        <v>113</v>
      </c>
      <c r="D31" t="str">
        <f t="shared" si="0"/>
        <v>45383-KLB-L1B</v>
      </c>
      <c r="E31">
        <v>24001071</v>
      </c>
      <c r="F31">
        <v>182135</v>
      </c>
      <c r="G31" t="s">
        <v>112</v>
      </c>
      <c r="H31" t="str">
        <f>_xlfn.IFNA(VLOOKUP(F31,'TES2'!C:M,11,0),G31)</f>
        <v>AGRON, INC.</v>
      </c>
      <c r="I31" t="str">
        <f>_xlfn.IFNA(VLOOKUP(F31,'TES2'!C:I,6,0),"Data Tidak Ditemukan")</f>
        <v>BRF  ADS5158043   24R3</v>
      </c>
      <c r="J31" t="str">
        <f t="shared" si="1"/>
        <v xml:space="preserve">BRF  </v>
      </c>
      <c r="K31">
        <v>500</v>
      </c>
      <c r="L31">
        <v>0.65</v>
      </c>
      <c r="M31">
        <v>325</v>
      </c>
      <c r="N31">
        <v>841</v>
      </c>
      <c r="O31">
        <f>IFERROR(IF(B31="MJ1",VLOOKUP(C31,TEMP!A:B,2,0)*OLAHAN!N31,OLAHAN!N31),N31)</f>
        <v>841</v>
      </c>
      <c r="Q31">
        <v>0.65</v>
      </c>
    </row>
    <row r="32" spans="1:17" x14ac:dyDescent="0.25">
      <c r="A32">
        <v>45383</v>
      </c>
      <c r="B32" t="s">
        <v>17</v>
      </c>
      <c r="C32" t="s">
        <v>113</v>
      </c>
      <c r="D32" t="str">
        <f t="shared" si="0"/>
        <v>45383-KLB-L1B</v>
      </c>
      <c r="E32">
        <v>24001108</v>
      </c>
      <c r="F32">
        <v>182137</v>
      </c>
      <c r="G32" t="s">
        <v>112</v>
      </c>
      <c r="H32" t="str">
        <f>_xlfn.IFNA(VLOOKUP(F32,'TES2'!C:M,11,0),G32)</f>
        <v>AGRON, INC.</v>
      </c>
      <c r="I32" t="str">
        <f>_xlfn.IFNA(VLOOKUP(F32,'TES2'!C:I,6,0),"Data Tidak Ditemukan")</f>
        <v>BRF  ADS5158041   24R1</v>
      </c>
      <c r="J32" t="str">
        <f t="shared" si="1"/>
        <v xml:space="preserve">BRF  </v>
      </c>
      <c r="K32">
        <v>1683</v>
      </c>
      <c r="L32">
        <v>0.65</v>
      </c>
      <c r="M32">
        <v>1093.95</v>
      </c>
      <c r="N32">
        <v>841</v>
      </c>
      <c r="O32">
        <f>IFERROR(IF(B32="MJ1",VLOOKUP(C32,TEMP!A:B,2,0)*OLAHAN!N32,OLAHAN!N32),N32)</f>
        <v>841</v>
      </c>
      <c r="Q32">
        <v>0.65</v>
      </c>
    </row>
    <row r="33" spans="1:17" x14ac:dyDescent="0.25">
      <c r="A33">
        <v>45383</v>
      </c>
      <c r="B33" t="s">
        <v>17</v>
      </c>
      <c r="C33" t="s">
        <v>114</v>
      </c>
      <c r="D33" t="str">
        <f t="shared" si="0"/>
        <v>45383-KLB-L2A</v>
      </c>
      <c r="E33">
        <v>24001071</v>
      </c>
      <c r="F33">
        <v>182135</v>
      </c>
      <c r="G33" t="s">
        <v>112</v>
      </c>
      <c r="H33" t="str">
        <f>_xlfn.IFNA(VLOOKUP(F33,'TES2'!C:M,11,0),G33)</f>
        <v>AGRON, INC.</v>
      </c>
      <c r="I33" t="str">
        <f>_xlfn.IFNA(VLOOKUP(F33,'TES2'!C:I,6,0),"Data Tidak Ditemukan")</f>
        <v>BRF  ADS5158043   24R3</v>
      </c>
      <c r="J33" t="str">
        <f t="shared" si="1"/>
        <v xml:space="preserve">BRF  </v>
      </c>
      <c r="K33">
        <v>2200</v>
      </c>
      <c r="L33">
        <v>0.65</v>
      </c>
      <c r="M33">
        <v>1430</v>
      </c>
      <c r="N33">
        <v>841</v>
      </c>
      <c r="O33">
        <f>IFERROR(IF(B33="MJ1",VLOOKUP(C33,TEMP!A:B,2,0)*OLAHAN!N33,OLAHAN!N33),N33)</f>
        <v>841</v>
      </c>
      <c r="Q33">
        <v>0.65</v>
      </c>
    </row>
    <row r="34" spans="1:17" x14ac:dyDescent="0.25">
      <c r="A34">
        <v>45383</v>
      </c>
      <c r="B34" t="s">
        <v>17</v>
      </c>
      <c r="C34" t="s">
        <v>115</v>
      </c>
      <c r="D34" t="str">
        <f t="shared" ref="D34:D65" si="2">A34&amp;"-"&amp;B34&amp;"-"&amp;C34</f>
        <v>45383-KLB-L2B</v>
      </c>
      <c r="E34">
        <v>24001071</v>
      </c>
      <c r="F34">
        <v>182135</v>
      </c>
      <c r="G34" t="s">
        <v>112</v>
      </c>
      <c r="H34" t="str">
        <f>_xlfn.IFNA(VLOOKUP(F34,'TES2'!C:M,11,0),G34)</f>
        <v>AGRON, INC.</v>
      </c>
      <c r="I34" t="str">
        <f>_xlfn.IFNA(VLOOKUP(F34,'TES2'!C:I,6,0),"Data Tidak Ditemukan")</f>
        <v>BRF  ADS5158043   24R3</v>
      </c>
      <c r="J34" t="str">
        <f t="shared" ref="J34:J65" si="3">IF(I34="Data Tidak Ditemukan","TIDAK ADA DATA",LEFT(I34,5))</f>
        <v xml:space="preserve">BRF  </v>
      </c>
      <c r="K34">
        <v>1815</v>
      </c>
      <c r="L34">
        <v>0.65</v>
      </c>
      <c r="M34">
        <v>1179.75</v>
      </c>
      <c r="N34">
        <v>841</v>
      </c>
      <c r="O34">
        <f>IFERROR(IF(B34="MJ1",VLOOKUP(C34,TEMP!A:B,2,0)*OLAHAN!N34,OLAHAN!N34),N34)</f>
        <v>841</v>
      </c>
      <c r="Q34">
        <v>0.65</v>
      </c>
    </row>
    <row r="35" spans="1:17" x14ac:dyDescent="0.25">
      <c r="A35">
        <v>45383</v>
      </c>
      <c r="B35" t="s">
        <v>17</v>
      </c>
      <c r="C35" t="s">
        <v>115</v>
      </c>
      <c r="D35" t="str">
        <f t="shared" si="2"/>
        <v>45383-KLB-L2B</v>
      </c>
      <c r="E35">
        <v>24001108</v>
      </c>
      <c r="F35">
        <v>182137</v>
      </c>
      <c r="G35" t="s">
        <v>112</v>
      </c>
      <c r="H35" t="str">
        <f>_xlfn.IFNA(VLOOKUP(F35,'TES2'!C:M,11,0),G35)</f>
        <v>AGRON, INC.</v>
      </c>
      <c r="I35" t="str">
        <f>_xlfn.IFNA(VLOOKUP(F35,'TES2'!C:I,6,0),"Data Tidak Ditemukan")</f>
        <v>BRF  ADS5158041   24R1</v>
      </c>
      <c r="J35" t="str">
        <f t="shared" si="3"/>
        <v xml:space="preserve">BRF  </v>
      </c>
      <c r="K35">
        <v>285</v>
      </c>
      <c r="L35">
        <v>0.65</v>
      </c>
      <c r="M35">
        <v>185.25</v>
      </c>
      <c r="N35">
        <v>841</v>
      </c>
      <c r="O35">
        <f>IFERROR(IF(B35="MJ1",VLOOKUP(C35,TEMP!A:B,2,0)*OLAHAN!N35,OLAHAN!N35),N35)</f>
        <v>841</v>
      </c>
      <c r="Q35">
        <v>0.65</v>
      </c>
    </row>
    <row r="36" spans="1:17" x14ac:dyDescent="0.25">
      <c r="A36">
        <v>45383</v>
      </c>
      <c r="B36" t="s">
        <v>17</v>
      </c>
      <c r="C36" t="s">
        <v>116</v>
      </c>
      <c r="D36" t="str">
        <f t="shared" si="2"/>
        <v>45383-KLB-L3A</v>
      </c>
      <c r="E36">
        <v>24001071</v>
      </c>
      <c r="F36">
        <v>182135</v>
      </c>
      <c r="G36" t="s">
        <v>112</v>
      </c>
      <c r="H36" t="str">
        <f>_xlfn.IFNA(VLOOKUP(F36,'TES2'!C:M,11,0),G36)</f>
        <v>AGRON, INC.</v>
      </c>
      <c r="I36" t="str">
        <f>_xlfn.IFNA(VLOOKUP(F36,'TES2'!C:I,6,0),"Data Tidak Ditemukan")</f>
        <v>BRF  ADS5158043   24R3</v>
      </c>
      <c r="J36" t="str">
        <f t="shared" si="3"/>
        <v xml:space="preserve">BRF  </v>
      </c>
      <c r="K36">
        <v>2175</v>
      </c>
      <c r="L36">
        <v>0.65</v>
      </c>
      <c r="M36">
        <v>1413.75</v>
      </c>
      <c r="N36">
        <v>841</v>
      </c>
      <c r="O36">
        <f>IFERROR(IF(B36="MJ1",VLOOKUP(C36,TEMP!A:B,2,0)*OLAHAN!N36,OLAHAN!N36),N36)</f>
        <v>841</v>
      </c>
      <c r="Q36">
        <v>0.65</v>
      </c>
    </row>
    <row r="37" spans="1:17" x14ac:dyDescent="0.25">
      <c r="A37">
        <v>45383</v>
      </c>
      <c r="B37" t="s">
        <v>17</v>
      </c>
      <c r="C37" t="s">
        <v>117</v>
      </c>
      <c r="D37" t="str">
        <f t="shared" si="2"/>
        <v>45383-KLB-L3B</v>
      </c>
      <c r="E37">
        <v>24001071</v>
      </c>
      <c r="F37">
        <v>182135</v>
      </c>
      <c r="G37" t="s">
        <v>112</v>
      </c>
      <c r="H37" t="str">
        <f>_xlfn.IFNA(VLOOKUP(F37,'TES2'!C:M,11,0),G37)</f>
        <v>AGRON, INC.</v>
      </c>
      <c r="I37" t="str">
        <f>_xlfn.IFNA(VLOOKUP(F37,'TES2'!C:I,6,0),"Data Tidak Ditemukan")</f>
        <v>BRF  ADS5158043   24R3</v>
      </c>
      <c r="J37" t="str">
        <f t="shared" si="3"/>
        <v xml:space="preserve">BRF  </v>
      </c>
      <c r="K37">
        <v>2346</v>
      </c>
      <c r="L37">
        <v>0.65</v>
      </c>
      <c r="M37">
        <v>1524.9</v>
      </c>
      <c r="N37">
        <v>841</v>
      </c>
      <c r="O37">
        <f>IFERROR(IF(B37="MJ1",VLOOKUP(C37,TEMP!A:B,2,0)*OLAHAN!N37,OLAHAN!N37),N37)</f>
        <v>841</v>
      </c>
      <c r="Q37">
        <v>0.65</v>
      </c>
    </row>
    <row r="38" spans="1:17" x14ac:dyDescent="0.25">
      <c r="A38">
        <v>45383</v>
      </c>
      <c r="B38" t="s">
        <v>17</v>
      </c>
      <c r="C38" t="s">
        <v>117</v>
      </c>
      <c r="D38" t="str">
        <f t="shared" si="2"/>
        <v>45383-KLB-L3B</v>
      </c>
      <c r="E38">
        <v>24001072</v>
      </c>
      <c r="F38">
        <v>182136</v>
      </c>
      <c r="G38" t="s">
        <v>112</v>
      </c>
      <c r="H38" t="str">
        <f>_xlfn.IFNA(VLOOKUP(F38,'TES2'!C:M,11,0),G38)</f>
        <v>AGRON, INC.</v>
      </c>
      <c r="I38" t="str">
        <f>_xlfn.IFNA(VLOOKUP(F38,'TES2'!C:I,6,0),"Data Tidak Ditemukan")</f>
        <v>BRF  ADS5158043XXLSN24</v>
      </c>
      <c r="J38" t="str">
        <f t="shared" si="3"/>
        <v xml:space="preserve">BRF  </v>
      </c>
      <c r="K38">
        <v>4</v>
      </c>
      <c r="L38">
        <v>0.65</v>
      </c>
      <c r="M38">
        <v>2.6</v>
      </c>
      <c r="N38">
        <v>841</v>
      </c>
      <c r="O38">
        <f>IFERROR(IF(B38="MJ1",VLOOKUP(C38,TEMP!A:B,2,0)*OLAHAN!N38,OLAHAN!N38),N38)</f>
        <v>841</v>
      </c>
      <c r="Q38">
        <v>0.65</v>
      </c>
    </row>
    <row r="39" spans="1:17" x14ac:dyDescent="0.25">
      <c r="A39">
        <v>45383</v>
      </c>
      <c r="B39" t="s">
        <v>18</v>
      </c>
      <c r="C39" t="s">
        <v>95</v>
      </c>
      <c r="D39" t="str">
        <f t="shared" si="2"/>
        <v>45383-MJ1-L1</v>
      </c>
      <c r="E39">
        <v>23002463</v>
      </c>
      <c r="F39">
        <v>181945</v>
      </c>
      <c r="G39" t="s">
        <v>112</v>
      </c>
      <c r="H39" t="str">
        <f>_xlfn.IFNA(VLOOKUP(F39,'TES2'!C:M,11,0),G39)</f>
        <v>AGRON, INC.</v>
      </c>
      <c r="I39" t="str">
        <f>_xlfn.IFNA(VLOOKUP(F39,'TES2'!C:I,6,0),"Data Tidak Ditemukan")</f>
        <v>BRF  ADS5152367   24R3</v>
      </c>
      <c r="J39" t="str">
        <f t="shared" si="3"/>
        <v xml:space="preserve">BRF  </v>
      </c>
      <c r="K39">
        <v>35</v>
      </c>
      <c r="L39">
        <v>0.68</v>
      </c>
      <c r="M39">
        <v>23.8</v>
      </c>
      <c r="N39">
        <v>986</v>
      </c>
      <c r="O39">
        <f>IFERROR(IF(B39="MJ1",VLOOKUP(C39,TEMP!A:B,2,0)*OLAHAN!N39,OLAHAN!N39),N39)</f>
        <v>986</v>
      </c>
      <c r="Q39">
        <v>0.68</v>
      </c>
    </row>
    <row r="40" spans="1:17" x14ac:dyDescent="0.25">
      <c r="A40">
        <v>45383</v>
      </c>
      <c r="B40" t="s">
        <v>18</v>
      </c>
      <c r="C40" t="s">
        <v>95</v>
      </c>
      <c r="D40" t="str">
        <f t="shared" si="2"/>
        <v>45383-MJ1-L1</v>
      </c>
      <c r="E40">
        <v>24001020</v>
      </c>
      <c r="F40">
        <v>182168</v>
      </c>
      <c r="G40" t="s">
        <v>112</v>
      </c>
      <c r="H40" t="str">
        <f>_xlfn.IFNA(VLOOKUP(F40,'TES2'!C:M,11,0),G40)</f>
        <v>AGRON, INC.</v>
      </c>
      <c r="I40" t="str">
        <f>_xlfn.IFNA(VLOOKUP(F40,'TES2'!C:I,6,0),"Data Tidak Ditemukan")</f>
        <v>BRF  ADS5158009   24R3</v>
      </c>
      <c r="J40" t="str">
        <f t="shared" si="3"/>
        <v xml:space="preserve">BRF  </v>
      </c>
      <c r="K40">
        <v>3</v>
      </c>
      <c r="L40">
        <v>0.83</v>
      </c>
      <c r="M40">
        <v>2.4900000000000002</v>
      </c>
      <c r="N40">
        <v>986</v>
      </c>
      <c r="O40">
        <f>IFERROR(IF(B40="MJ1",VLOOKUP(C40,TEMP!A:B,2,0)*OLAHAN!N40,OLAHAN!N40),N40)</f>
        <v>986</v>
      </c>
      <c r="Q40">
        <v>0.83</v>
      </c>
    </row>
    <row r="41" spans="1:17" x14ac:dyDescent="0.25">
      <c r="A41">
        <v>45383</v>
      </c>
      <c r="B41" t="s">
        <v>18</v>
      </c>
      <c r="C41" t="s">
        <v>95</v>
      </c>
      <c r="D41" t="str">
        <f t="shared" si="2"/>
        <v>45383-MJ1-L1</v>
      </c>
      <c r="E41">
        <v>24001093</v>
      </c>
      <c r="F41">
        <v>182197</v>
      </c>
      <c r="G41" t="s">
        <v>112</v>
      </c>
      <c r="H41" t="str">
        <f>_xlfn.IFNA(VLOOKUP(F41,'TES2'!C:M,11,0),G41)</f>
        <v>AGRON, INC.</v>
      </c>
      <c r="I41" t="str">
        <f>_xlfn.IFNA(VLOOKUP(F41,'TES2'!C:I,6,0),"Data Tidak Ditemukan")</f>
        <v>BRF  ADS5158618   24R1</v>
      </c>
      <c r="J41" t="str">
        <f t="shared" si="3"/>
        <v xml:space="preserve">BRF  </v>
      </c>
      <c r="K41">
        <v>2311</v>
      </c>
      <c r="L41">
        <v>0.7</v>
      </c>
      <c r="M41">
        <v>1617.7</v>
      </c>
      <c r="N41">
        <v>986</v>
      </c>
      <c r="O41">
        <f>IFERROR(IF(B41="MJ1",VLOOKUP(C41,TEMP!A:B,2,0)*OLAHAN!N41,OLAHAN!N41),N41)</f>
        <v>986</v>
      </c>
      <c r="Q41">
        <v>0.7</v>
      </c>
    </row>
    <row r="42" spans="1:17" x14ac:dyDescent="0.25">
      <c r="A42">
        <v>45383</v>
      </c>
      <c r="B42" t="s">
        <v>18</v>
      </c>
      <c r="C42" t="s">
        <v>118</v>
      </c>
      <c r="D42" t="str">
        <f t="shared" si="2"/>
        <v>45383-MJ1-L11</v>
      </c>
      <c r="E42">
        <v>24001088</v>
      </c>
      <c r="F42">
        <v>182167</v>
      </c>
      <c r="G42" t="s">
        <v>112</v>
      </c>
      <c r="H42" t="str">
        <f>_xlfn.IFNA(VLOOKUP(F42,'TES2'!C:M,11,0),G42)</f>
        <v>AGRON, INC.</v>
      </c>
      <c r="I42" t="str">
        <f>_xlfn.IFNA(VLOOKUP(F42,'TES2'!C:I,6,0),"Data Tidak Ditemukan")</f>
        <v>BRF  ADS5158007   24R2</v>
      </c>
      <c r="J42" t="str">
        <f t="shared" si="3"/>
        <v xml:space="preserve">BRF  </v>
      </c>
      <c r="K42">
        <v>1530</v>
      </c>
      <c r="L42">
        <v>0.8</v>
      </c>
      <c r="M42">
        <v>1224</v>
      </c>
      <c r="N42">
        <v>986</v>
      </c>
      <c r="O42">
        <f>IFERROR(IF(B42="MJ1",VLOOKUP(C42,TEMP!A:B,2,0)*OLAHAN!N42,OLAHAN!N42),N42)</f>
        <v>986</v>
      </c>
      <c r="Q42">
        <v>0.8</v>
      </c>
    </row>
    <row r="43" spans="1:17" x14ac:dyDescent="0.25">
      <c r="A43">
        <v>45383</v>
      </c>
      <c r="B43" t="s">
        <v>18</v>
      </c>
      <c r="C43" t="s">
        <v>119</v>
      </c>
      <c r="D43" t="str">
        <f t="shared" si="2"/>
        <v>45383-MJ1-L12</v>
      </c>
      <c r="E43">
        <v>24001092</v>
      </c>
      <c r="F43">
        <v>182173</v>
      </c>
      <c r="G43" t="s">
        <v>112</v>
      </c>
      <c r="H43" t="str">
        <f>_xlfn.IFNA(VLOOKUP(F43,'TES2'!C:M,11,0),G43)</f>
        <v>AGRON, INC.</v>
      </c>
      <c r="I43" t="str">
        <f>_xlfn.IFNA(VLOOKUP(F43,'TES2'!C:I,6,0),"Data Tidak Ditemukan")</f>
        <v>BRF  ADS5158590   24R1</v>
      </c>
      <c r="J43" t="str">
        <f t="shared" si="3"/>
        <v xml:space="preserve">BRF  </v>
      </c>
      <c r="K43">
        <v>2107</v>
      </c>
      <c r="L43">
        <v>0.7</v>
      </c>
      <c r="M43">
        <v>1474.9</v>
      </c>
      <c r="N43">
        <v>986</v>
      </c>
      <c r="O43">
        <f>IFERROR(IF(B43="MJ1",VLOOKUP(C43,TEMP!A:B,2,0)*OLAHAN!N43,OLAHAN!N43),N43)</f>
        <v>986</v>
      </c>
      <c r="Q43">
        <v>0.7</v>
      </c>
    </row>
    <row r="44" spans="1:17" x14ac:dyDescent="0.25">
      <c r="A44">
        <v>45383</v>
      </c>
      <c r="B44" t="s">
        <v>18</v>
      </c>
      <c r="C44" t="s">
        <v>119</v>
      </c>
      <c r="D44" t="str">
        <f t="shared" si="2"/>
        <v>45383-MJ1-L12</v>
      </c>
      <c r="E44">
        <v>24001093</v>
      </c>
      <c r="F44">
        <v>182197</v>
      </c>
      <c r="G44" t="s">
        <v>112</v>
      </c>
      <c r="H44" t="str">
        <f>_xlfn.IFNA(VLOOKUP(F44,'TES2'!C:M,11,0),G44)</f>
        <v>AGRON, INC.</v>
      </c>
      <c r="I44" t="str">
        <f>_xlfn.IFNA(VLOOKUP(F44,'TES2'!C:I,6,0),"Data Tidak Ditemukan")</f>
        <v>BRF  ADS5158618   24R1</v>
      </c>
      <c r="J44" t="str">
        <f t="shared" si="3"/>
        <v xml:space="preserve">BRF  </v>
      </c>
      <c r="K44">
        <v>193</v>
      </c>
      <c r="L44">
        <v>0.7</v>
      </c>
      <c r="M44">
        <v>135.1</v>
      </c>
      <c r="N44">
        <v>986</v>
      </c>
      <c r="O44">
        <f>IFERROR(IF(B44="MJ1",VLOOKUP(C44,TEMP!A:B,2,0)*OLAHAN!N44,OLAHAN!N44),N44)</f>
        <v>986</v>
      </c>
      <c r="Q44">
        <v>0.7</v>
      </c>
    </row>
    <row r="45" spans="1:17" x14ac:dyDescent="0.25">
      <c r="A45">
        <v>45383</v>
      </c>
      <c r="B45" t="s">
        <v>18</v>
      </c>
      <c r="C45" t="s">
        <v>97</v>
      </c>
      <c r="D45" t="str">
        <f t="shared" si="2"/>
        <v>45383-MJ1-L2</v>
      </c>
      <c r="E45">
        <v>24001092</v>
      </c>
      <c r="F45">
        <v>182173</v>
      </c>
      <c r="G45" t="s">
        <v>112</v>
      </c>
      <c r="H45" t="str">
        <f>_xlfn.IFNA(VLOOKUP(F45,'TES2'!C:M,11,0),G45)</f>
        <v>AGRON, INC.</v>
      </c>
      <c r="I45" t="str">
        <f>_xlfn.IFNA(VLOOKUP(F45,'TES2'!C:I,6,0),"Data Tidak Ditemukan")</f>
        <v>BRF  ADS5158590   24R1</v>
      </c>
      <c r="J45" t="str">
        <f t="shared" si="3"/>
        <v xml:space="preserve">BRF  </v>
      </c>
      <c r="K45">
        <v>1721</v>
      </c>
      <c r="L45">
        <v>0.7</v>
      </c>
      <c r="M45">
        <v>1204.7</v>
      </c>
      <c r="N45">
        <v>986</v>
      </c>
      <c r="O45">
        <f>IFERROR(IF(B45="MJ1",VLOOKUP(C45,TEMP!A:B,2,0)*OLAHAN!N45,OLAHAN!N45),N45)</f>
        <v>986</v>
      </c>
      <c r="Q45">
        <v>0.7</v>
      </c>
    </row>
    <row r="46" spans="1:17" x14ac:dyDescent="0.25">
      <c r="A46">
        <v>45383</v>
      </c>
      <c r="B46" t="s">
        <v>18</v>
      </c>
      <c r="C46" t="s">
        <v>99</v>
      </c>
      <c r="D46" t="str">
        <f t="shared" si="2"/>
        <v>45383-MJ1-L3</v>
      </c>
      <c r="E46">
        <v>24001092</v>
      </c>
      <c r="F46">
        <v>182173</v>
      </c>
      <c r="G46" t="s">
        <v>112</v>
      </c>
      <c r="H46" t="str">
        <f>_xlfn.IFNA(VLOOKUP(F46,'TES2'!C:M,11,0),G46)</f>
        <v>AGRON, INC.</v>
      </c>
      <c r="I46" t="str">
        <f>_xlfn.IFNA(VLOOKUP(F46,'TES2'!C:I,6,0),"Data Tidak Ditemukan")</f>
        <v>BRF  ADS5158590   24R1</v>
      </c>
      <c r="J46" t="str">
        <f t="shared" si="3"/>
        <v xml:space="preserve">BRF  </v>
      </c>
      <c r="K46">
        <v>1225</v>
      </c>
      <c r="L46">
        <v>0.7</v>
      </c>
      <c r="M46">
        <v>857.5</v>
      </c>
      <c r="N46">
        <v>986</v>
      </c>
      <c r="O46">
        <f>IFERROR(IF(B46="MJ1",VLOOKUP(C46,TEMP!A:B,2,0)*OLAHAN!N46,OLAHAN!N46),N46)</f>
        <v>986</v>
      </c>
      <c r="Q46">
        <v>0.7</v>
      </c>
    </row>
    <row r="47" spans="1:17" x14ac:dyDescent="0.25">
      <c r="A47">
        <v>45383</v>
      </c>
      <c r="B47" t="s">
        <v>18</v>
      </c>
      <c r="C47" t="s">
        <v>99</v>
      </c>
      <c r="D47" t="str">
        <f t="shared" si="2"/>
        <v>45383-MJ1-L3</v>
      </c>
      <c r="E47">
        <v>24001093</v>
      </c>
      <c r="F47">
        <v>182197</v>
      </c>
      <c r="G47" t="s">
        <v>112</v>
      </c>
      <c r="H47" t="str">
        <f>_xlfn.IFNA(VLOOKUP(F47,'TES2'!C:M,11,0),G47)</f>
        <v>AGRON, INC.</v>
      </c>
      <c r="I47" t="str">
        <f>_xlfn.IFNA(VLOOKUP(F47,'TES2'!C:I,6,0),"Data Tidak Ditemukan")</f>
        <v>BRF  ADS5158618   24R1</v>
      </c>
      <c r="J47" t="str">
        <f t="shared" si="3"/>
        <v xml:space="preserve">BRF  </v>
      </c>
      <c r="K47">
        <v>371</v>
      </c>
      <c r="L47">
        <v>0.7</v>
      </c>
      <c r="M47">
        <v>259.7</v>
      </c>
      <c r="N47">
        <v>986</v>
      </c>
      <c r="O47">
        <f>IFERROR(IF(B47="MJ1",VLOOKUP(C47,TEMP!A:B,2,0)*OLAHAN!N47,OLAHAN!N47),N47)</f>
        <v>986</v>
      </c>
      <c r="Q47">
        <v>0.7</v>
      </c>
    </row>
    <row r="48" spans="1:17" x14ac:dyDescent="0.25">
      <c r="A48">
        <v>45383</v>
      </c>
      <c r="B48" t="s">
        <v>18</v>
      </c>
      <c r="C48" t="s">
        <v>101</v>
      </c>
      <c r="D48" t="str">
        <f t="shared" si="2"/>
        <v>45383-MJ1-L4</v>
      </c>
      <c r="E48">
        <v>24001029</v>
      </c>
      <c r="F48">
        <v>182164</v>
      </c>
      <c r="G48" t="s">
        <v>112</v>
      </c>
      <c r="H48" t="str">
        <f>_xlfn.IFNA(VLOOKUP(F48,'TES2'!C:M,11,0),G48)</f>
        <v>AGRON, INC.</v>
      </c>
      <c r="I48" t="str">
        <f>_xlfn.IFNA(VLOOKUP(F48,'TES2'!C:I,6,0),"Data Tidak Ditemukan")</f>
        <v>CNECKADS5157982   24R3</v>
      </c>
      <c r="J48" t="str">
        <f t="shared" si="3"/>
        <v>CNECK</v>
      </c>
      <c r="K48">
        <v>35</v>
      </c>
      <c r="L48">
        <v>1.37</v>
      </c>
      <c r="M48">
        <v>47.95</v>
      </c>
      <c r="N48">
        <v>986</v>
      </c>
      <c r="O48">
        <f>IFERROR(IF(B48="MJ1",VLOOKUP(C48,TEMP!A:B,2,0)*OLAHAN!N48,OLAHAN!N48),N48)</f>
        <v>739.5</v>
      </c>
      <c r="Q48">
        <v>1.37</v>
      </c>
    </row>
    <row r="49" spans="1:17" x14ac:dyDescent="0.25">
      <c r="A49">
        <v>45383</v>
      </c>
      <c r="B49" t="s">
        <v>18</v>
      </c>
      <c r="C49" t="s">
        <v>101</v>
      </c>
      <c r="D49" t="str">
        <f t="shared" si="2"/>
        <v>45383-MJ1-L4</v>
      </c>
      <c r="E49">
        <v>24001031</v>
      </c>
      <c r="F49">
        <v>182165</v>
      </c>
      <c r="G49" t="s">
        <v>112</v>
      </c>
      <c r="H49" t="str">
        <f>_xlfn.IFNA(VLOOKUP(F49,'TES2'!C:M,11,0),G49)</f>
        <v>AGRON, INC.</v>
      </c>
      <c r="I49" t="str">
        <f>_xlfn.IFNA(VLOOKUP(F49,'TES2'!C:I,6,0),"Data Tidak Ditemukan")</f>
        <v>TATO ADS5157998   24R3</v>
      </c>
      <c r="J49" t="str">
        <f t="shared" si="3"/>
        <v xml:space="preserve">TATO </v>
      </c>
      <c r="K49">
        <v>205</v>
      </c>
      <c r="L49">
        <v>1.24</v>
      </c>
      <c r="M49">
        <v>254.2</v>
      </c>
      <c r="N49">
        <v>986</v>
      </c>
      <c r="O49">
        <f>IFERROR(IF(B49="MJ1",VLOOKUP(C49,TEMP!A:B,2,0)*OLAHAN!N49,OLAHAN!N49),N49)</f>
        <v>739.5</v>
      </c>
      <c r="Q49">
        <v>1.24</v>
      </c>
    </row>
    <row r="50" spans="1:17" x14ac:dyDescent="0.25">
      <c r="A50">
        <v>45383</v>
      </c>
      <c r="B50" t="s">
        <v>18</v>
      </c>
      <c r="C50" t="s">
        <v>101</v>
      </c>
      <c r="D50" t="str">
        <f t="shared" si="2"/>
        <v>45383-MJ1-L4</v>
      </c>
      <c r="E50">
        <v>24001020</v>
      </c>
      <c r="F50">
        <v>182287</v>
      </c>
      <c r="G50" t="s">
        <v>120</v>
      </c>
      <c r="H50" t="str">
        <f>_xlfn.IFNA(VLOOKUP(F50,'TES2'!C:M,11,0),G50)</f>
        <v>CV. BI-ENSI FESYENINDO</v>
      </c>
      <c r="I50" t="str">
        <f>_xlfn.IFNA(VLOOKUP(F50,'TES2'!C:I,6,0),"Data Tidak Ditemukan")</f>
        <v>TSHRTBSIFAMO      LC24</v>
      </c>
      <c r="J50" t="str">
        <f t="shared" si="3"/>
        <v>TSHRT</v>
      </c>
      <c r="K50">
        <v>198</v>
      </c>
      <c r="L50">
        <v>0.75</v>
      </c>
      <c r="M50">
        <v>148.5</v>
      </c>
      <c r="N50">
        <v>986</v>
      </c>
      <c r="O50">
        <f>IFERROR(IF(B50="MJ1",VLOOKUP(C50,TEMP!A:B,2,0)*OLAHAN!N50,OLAHAN!N50),N50)</f>
        <v>739.5</v>
      </c>
      <c r="Q50">
        <v>0.75</v>
      </c>
    </row>
    <row r="51" spans="1:17" x14ac:dyDescent="0.25">
      <c r="A51">
        <v>45383</v>
      </c>
      <c r="B51" t="s">
        <v>18</v>
      </c>
      <c r="C51" t="s">
        <v>101</v>
      </c>
      <c r="D51" t="str">
        <f t="shared" si="2"/>
        <v>45383-MJ1-L4</v>
      </c>
      <c r="E51">
        <v>24001020</v>
      </c>
      <c r="F51">
        <v>182289</v>
      </c>
      <c r="G51" t="s">
        <v>120</v>
      </c>
      <c r="H51" t="str">
        <f>_xlfn.IFNA(VLOOKUP(F51,'TES2'!C:M,11,0),G51)</f>
        <v>CV. BI-ENSI FESYENINDO</v>
      </c>
      <c r="I51" t="str">
        <f>_xlfn.IFNA(VLOOKUP(F51,'TES2'!C:I,6,0),"Data Tidak Ditemukan")</f>
        <v>TSHRTBSIFAMO      LC24</v>
      </c>
      <c r="J51" t="str">
        <f t="shared" si="3"/>
        <v>TSHRT</v>
      </c>
      <c r="K51">
        <v>1</v>
      </c>
      <c r="L51">
        <v>0.75</v>
      </c>
      <c r="M51">
        <v>0.75</v>
      </c>
      <c r="N51">
        <v>986</v>
      </c>
      <c r="O51">
        <f>IFERROR(IF(B51="MJ1",VLOOKUP(C51,TEMP!A:B,2,0)*OLAHAN!N51,OLAHAN!N51),N51)</f>
        <v>739.5</v>
      </c>
      <c r="Q51">
        <v>0.75</v>
      </c>
    </row>
    <row r="52" spans="1:17" x14ac:dyDescent="0.25">
      <c r="A52">
        <v>45383</v>
      </c>
      <c r="B52" t="s">
        <v>18</v>
      </c>
      <c r="C52" t="s">
        <v>101</v>
      </c>
      <c r="D52" t="str">
        <f t="shared" si="2"/>
        <v>45383-MJ1-L4</v>
      </c>
      <c r="E52">
        <v>24001020</v>
      </c>
      <c r="F52">
        <v>182296</v>
      </c>
      <c r="G52" t="s">
        <v>120</v>
      </c>
      <c r="H52" t="str">
        <f>_xlfn.IFNA(VLOOKUP(F52,'TES2'!C:M,11,0),G52)</f>
        <v>CV. BI-ENSI FESYENINDO</v>
      </c>
      <c r="I52" t="str">
        <f>_xlfn.IFNA(VLOOKUP(F52,'TES2'!C:I,6,0),"Data Tidak Ditemukan")</f>
        <v>TSHRTBSIFAMO      LC24</v>
      </c>
      <c r="J52" t="str">
        <f t="shared" si="3"/>
        <v>TSHRT</v>
      </c>
      <c r="K52">
        <v>92</v>
      </c>
      <c r="L52">
        <v>0.75</v>
      </c>
      <c r="M52">
        <v>69</v>
      </c>
      <c r="N52">
        <v>986</v>
      </c>
      <c r="O52">
        <f>IFERROR(IF(B52="MJ1",VLOOKUP(C52,TEMP!A:B,2,0)*OLAHAN!N52,OLAHAN!N52),N52)</f>
        <v>739.5</v>
      </c>
      <c r="Q52">
        <v>0.75</v>
      </c>
    </row>
    <row r="53" spans="1:17" x14ac:dyDescent="0.25">
      <c r="A53">
        <v>45383</v>
      </c>
      <c r="B53" t="s">
        <v>18</v>
      </c>
      <c r="C53" t="s">
        <v>101</v>
      </c>
      <c r="D53" t="str">
        <f t="shared" si="2"/>
        <v>45383-MJ1-L4</v>
      </c>
      <c r="E53">
        <v>24001020</v>
      </c>
      <c r="F53">
        <v>182299</v>
      </c>
      <c r="G53" t="s">
        <v>120</v>
      </c>
      <c r="H53" t="str">
        <f>_xlfn.IFNA(VLOOKUP(F53,'TES2'!C:M,11,0),G53)</f>
        <v>CV. BI-ENSI FESYENINDO</v>
      </c>
      <c r="I53" t="str">
        <f>_xlfn.IFNA(VLOOKUP(F53,'TES2'!C:I,6,0),"Data Tidak Ditemukan")</f>
        <v>TSHRTBSIFAMO      LC24</v>
      </c>
      <c r="J53" t="str">
        <f t="shared" si="3"/>
        <v>TSHRT</v>
      </c>
      <c r="K53">
        <v>69</v>
      </c>
      <c r="L53">
        <v>0.75</v>
      </c>
      <c r="M53">
        <v>51.75</v>
      </c>
      <c r="N53">
        <v>986</v>
      </c>
      <c r="O53">
        <f>IFERROR(IF(B53="MJ1",VLOOKUP(C53,TEMP!A:B,2,0)*OLAHAN!N53,OLAHAN!N53),N53)</f>
        <v>739.5</v>
      </c>
      <c r="Q53">
        <v>0.75</v>
      </c>
    </row>
    <row r="54" spans="1:17" x14ac:dyDescent="0.25">
      <c r="A54">
        <v>45383</v>
      </c>
      <c r="B54" t="s">
        <v>18</v>
      </c>
      <c r="C54" t="s">
        <v>102</v>
      </c>
      <c r="D54" t="str">
        <f t="shared" si="2"/>
        <v>45383-MJ1-L5</v>
      </c>
      <c r="E54">
        <v>24001069</v>
      </c>
      <c r="F54">
        <v>182280</v>
      </c>
      <c r="G54" t="s">
        <v>121</v>
      </c>
      <c r="H54" t="str">
        <f>_xlfn.IFNA(VLOOKUP(F54,'TES2'!C:M,11,0),G54)</f>
        <v>RED WING SHOE COMPANY LLC</v>
      </c>
      <c r="I54" t="str">
        <f>_xlfn.IFNA(VLOOKUP(F54,'TES2'!C:I,6,0),"Data Tidak Ditemukan")</f>
        <v>CVRL RED61105-54  24R9</v>
      </c>
      <c r="J54" t="str">
        <f t="shared" si="3"/>
        <v xml:space="preserve">CVRL </v>
      </c>
      <c r="K54">
        <v>5</v>
      </c>
      <c r="L54">
        <v>12.47</v>
      </c>
      <c r="M54">
        <v>62.35</v>
      </c>
      <c r="N54">
        <v>986</v>
      </c>
      <c r="O54">
        <f>IFERROR(IF(B54="MJ1",VLOOKUP(C54,TEMP!A:B,2,0)*OLAHAN!N54,OLAHAN!N54),N54)</f>
        <v>739.5</v>
      </c>
      <c r="Q54">
        <v>12.47</v>
      </c>
    </row>
    <row r="55" spans="1:17" x14ac:dyDescent="0.25">
      <c r="A55">
        <v>45383</v>
      </c>
      <c r="B55" t="s">
        <v>18</v>
      </c>
      <c r="C55" t="s">
        <v>102</v>
      </c>
      <c r="D55" t="str">
        <f t="shared" si="2"/>
        <v>45383-MJ1-L5</v>
      </c>
      <c r="E55">
        <v>24001077</v>
      </c>
      <c r="F55">
        <v>182360</v>
      </c>
      <c r="G55" t="s">
        <v>122</v>
      </c>
      <c r="H55" t="str">
        <f>_xlfn.IFNA(VLOOKUP(F55,'TES2'!C:M,11,0),G55)</f>
        <v>RED WING SHOE COMPANY</v>
      </c>
      <c r="I55" t="str">
        <f>_xlfn.IFNA(VLOOKUP(F55,'TES2'!C:I,6,0),"Data Tidak Ditemukan")</f>
        <v>CVRL RED61105-58  4R15</v>
      </c>
      <c r="J55" t="str">
        <f t="shared" si="3"/>
        <v xml:space="preserve">CVRL </v>
      </c>
      <c r="K55">
        <v>62</v>
      </c>
      <c r="L55">
        <v>12.47</v>
      </c>
      <c r="M55">
        <v>773.14</v>
      </c>
      <c r="N55">
        <v>986</v>
      </c>
      <c r="O55">
        <f>IFERROR(IF(B55="MJ1",VLOOKUP(C55,TEMP!A:B,2,0)*OLAHAN!N55,OLAHAN!N55),N55)</f>
        <v>739.5</v>
      </c>
      <c r="Q55">
        <v>12.47</v>
      </c>
    </row>
    <row r="56" spans="1:17" x14ac:dyDescent="0.25">
      <c r="A56">
        <v>45383</v>
      </c>
      <c r="B56" t="s">
        <v>18</v>
      </c>
      <c r="C56" t="s">
        <v>103</v>
      </c>
      <c r="D56" t="str">
        <f t="shared" si="2"/>
        <v>45383-MJ1-L6</v>
      </c>
      <c r="E56">
        <v>24001069</v>
      </c>
      <c r="F56">
        <v>182280</v>
      </c>
      <c r="G56" t="s">
        <v>121</v>
      </c>
      <c r="H56" t="str">
        <f>_xlfn.IFNA(VLOOKUP(F56,'TES2'!C:M,11,0),G56)</f>
        <v>RED WING SHOE COMPANY LLC</v>
      </c>
      <c r="I56" t="str">
        <f>_xlfn.IFNA(VLOOKUP(F56,'TES2'!C:I,6,0),"Data Tidak Ditemukan")</f>
        <v>CVRL RED61105-54  24R9</v>
      </c>
      <c r="J56" t="str">
        <f t="shared" si="3"/>
        <v xml:space="preserve">CVRL </v>
      </c>
      <c r="K56">
        <v>6</v>
      </c>
      <c r="L56">
        <v>12.47</v>
      </c>
      <c r="M56">
        <v>74.819999999999993</v>
      </c>
      <c r="N56">
        <v>986</v>
      </c>
      <c r="O56">
        <f>IFERROR(IF(B56="MJ1",VLOOKUP(C56,TEMP!A:B,2,0)*OLAHAN!N56,OLAHAN!N56),N56)</f>
        <v>1479</v>
      </c>
      <c r="Q56">
        <v>12.47</v>
      </c>
    </row>
    <row r="57" spans="1:17" x14ac:dyDescent="0.25">
      <c r="A57">
        <v>45383</v>
      </c>
      <c r="B57" t="s">
        <v>18</v>
      </c>
      <c r="C57" t="s">
        <v>103</v>
      </c>
      <c r="D57" t="str">
        <f t="shared" si="2"/>
        <v>45383-MJ1-L6</v>
      </c>
      <c r="E57">
        <v>24001077</v>
      </c>
      <c r="F57">
        <v>182360</v>
      </c>
      <c r="G57" t="s">
        <v>122</v>
      </c>
      <c r="H57" t="str">
        <f>_xlfn.IFNA(VLOOKUP(F57,'TES2'!C:M,11,0),G57)</f>
        <v>RED WING SHOE COMPANY</v>
      </c>
      <c r="I57" t="str">
        <f>_xlfn.IFNA(VLOOKUP(F57,'TES2'!C:I,6,0),"Data Tidak Ditemukan")</f>
        <v>CVRL RED61105-58  4R15</v>
      </c>
      <c r="J57" t="str">
        <f t="shared" si="3"/>
        <v xml:space="preserve">CVRL </v>
      </c>
      <c r="K57">
        <v>62</v>
      </c>
      <c r="L57">
        <v>12.47</v>
      </c>
      <c r="M57">
        <v>773.14</v>
      </c>
      <c r="N57">
        <v>986</v>
      </c>
      <c r="O57">
        <f>IFERROR(IF(B57="MJ1",VLOOKUP(C57,TEMP!A:B,2,0)*OLAHAN!N57,OLAHAN!N57),N57)</f>
        <v>1479</v>
      </c>
      <c r="Q57">
        <v>12.47</v>
      </c>
    </row>
    <row r="58" spans="1:17" x14ac:dyDescent="0.25">
      <c r="A58">
        <v>45383</v>
      </c>
      <c r="B58" t="s">
        <v>19</v>
      </c>
      <c r="C58" t="s">
        <v>95</v>
      </c>
      <c r="D58" t="str">
        <f t="shared" si="2"/>
        <v>45383-MJ2-L1</v>
      </c>
      <c r="E58">
        <v>24001098</v>
      </c>
      <c r="F58">
        <v>182179</v>
      </c>
      <c r="G58" t="s">
        <v>112</v>
      </c>
      <c r="H58" t="str">
        <f>_xlfn.IFNA(VLOOKUP(F58,'TES2'!C:M,11,0),G58)</f>
        <v>AGRON, INC.</v>
      </c>
      <c r="I58" t="str">
        <f>_xlfn.IFNA(VLOOKUP(F58,'TES2'!C:I,6,0),"Data Tidak Ditemukan")</f>
        <v>BRF  ADS5158594XXL24R1</v>
      </c>
      <c r="J58" t="str">
        <f t="shared" si="3"/>
        <v xml:space="preserve">BRF  </v>
      </c>
      <c r="K58">
        <v>13</v>
      </c>
      <c r="L58">
        <v>0.65</v>
      </c>
      <c r="M58">
        <v>8.4499999999999993</v>
      </c>
      <c r="N58">
        <v>1094</v>
      </c>
      <c r="O58">
        <f>IFERROR(IF(B58="MJ1",VLOOKUP(C58,TEMP!A:B,2,0)*OLAHAN!N58,OLAHAN!N58),N58)</f>
        <v>1094</v>
      </c>
      <c r="Q58">
        <v>0.65</v>
      </c>
    </row>
    <row r="59" spans="1:17" x14ac:dyDescent="0.25">
      <c r="A59">
        <v>45383</v>
      </c>
      <c r="B59" t="s">
        <v>19</v>
      </c>
      <c r="C59" t="s">
        <v>95</v>
      </c>
      <c r="D59" t="str">
        <f t="shared" si="2"/>
        <v>45383-MJ2-L1</v>
      </c>
      <c r="E59">
        <v>24001102</v>
      </c>
      <c r="F59">
        <v>182208</v>
      </c>
      <c r="G59" t="s">
        <v>112</v>
      </c>
      <c r="H59" t="str">
        <f>_xlfn.IFNA(VLOOKUP(F59,'TES2'!C:M,11,0),G59)</f>
        <v>AGRON, INC.</v>
      </c>
      <c r="I59" t="str">
        <f>_xlfn.IFNA(VLOOKUP(F59,'TES2'!C:I,6,0),"Data Tidak Ditemukan")</f>
        <v>BRF  ADS5158617   24R1</v>
      </c>
      <c r="J59" t="str">
        <f t="shared" si="3"/>
        <v xml:space="preserve">BRF  </v>
      </c>
      <c r="K59">
        <v>3227</v>
      </c>
      <c r="L59">
        <v>0.74</v>
      </c>
      <c r="M59">
        <v>2387.98</v>
      </c>
      <c r="N59">
        <v>1094</v>
      </c>
      <c r="O59">
        <f>IFERROR(IF(B59="MJ1",VLOOKUP(C59,TEMP!A:B,2,0)*OLAHAN!N59,OLAHAN!N59),N59)</f>
        <v>1094</v>
      </c>
      <c r="Q59">
        <v>0.74</v>
      </c>
    </row>
    <row r="60" spans="1:17" x14ac:dyDescent="0.25">
      <c r="A60">
        <v>45383</v>
      </c>
      <c r="B60" t="s">
        <v>19</v>
      </c>
      <c r="C60" t="s">
        <v>105</v>
      </c>
      <c r="D60" t="str">
        <f t="shared" si="2"/>
        <v>45383-MJ2-L10</v>
      </c>
      <c r="E60">
        <v>24001083</v>
      </c>
      <c r="F60">
        <v>182151</v>
      </c>
      <c r="G60" t="s">
        <v>112</v>
      </c>
      <c r="H60" t="str">
        <f>_xlfn.IFNA(VLOOKUP(F60,'TES2'!C:M,11,0),G60)</f>
        <v>AGRON, INC.</v>
      </c>
      <c r="I60" t="str">
        <f>_xlfn.IFNA(VLOOKUP(F60,'TES2'!C:I,6,0),"Data Tidak Ditemukan")</f>
        <v>BRF  ADS5157983   24R2</v>
      </c>
      <c r="J60" t="str">
        <f t="shared" si="3"/>
        <v xml:space="preserve">BRF  </v>
      </c>
      <c r="K60">
        <v>1487</v>
      </c>
      <c r="L60">
        <v>0.79</v>
      </c>
      <c r="M60">
        <v>1174.73</v>
      </c>
      <c r="N60">
        <v>1094</v>
      </c>
      <c r="O60">
        <f>IFERROR(IF(B60="MJ1",VLOOKUP(C60,TEMP!A:B,2,0)*OLAHAN!N60,OLAHAN!N60),N60)</f>
        <v>1094</v>
      </c>
      <c r="Q60">
        <v>0.79</v>
      </c>
    </row>
    <row r="61" spans="1:17" x14ac:dyDescent="0.25">
      <c r="A61">
        <v>45383</v>
      </c>
      <c r="B61" t="s">
        <v>19</v>
      </c>
      <c r="C61" t="s">
        <v>105</v>
      </c>
      <c r="D61" t="str">
        <f t="shared" si="2"/>
        <v>45383-MJ2-L10</v>
      </c>
      <c r="E61">
        <v>24001084</v>
      </c>
      <c r="F61">
        <v>182152</v>
      </c>
      <c r="G61" t="s">
        <v>112</v>
      </c>
      <c r="H61" t="str">
        <f>_xlfn.IFNA(VLOOKUP(F61,'TES2'!C:M,11,0),G61)</f>
        <v>AGRON, INC.</v>
      </c>
      <c r="I61" t="str">
        <f>_xlfn.IFNA(VLOOKUP(F61,'TES2'!C:I,6,0),"Data Tidak Ditemukan")</f>
        <v>BRF  ADS5157992   24R3</v>
      </c>
      <c r="J61" t="str">
        <f t="shared" si="3"/>
        <v xml:space="preserve">BRF  </v>
      </c>
      <c r="K61">
        <v>38</v>
      </c>
      <c r="L61">
        <v>0.79</v>
      </c>
      <c r="M61">
        <v>30.02</v>
      </c>
      <c r="N61">
        <v>1094</v>
      </c>
      <c r="O61">
        <f>IFERROR(IF(B61="MJ1",VLOOKUP(C61,TEMP!A:B,2,0)*OLAHAN!N61,OLAHAN!N61),N61)</f>
        <v>1094</v>
      </c>
      <c r="Q61">
        <v>0.79</v>
      </c>
    </row>
    <row r="62" spans="1:17" x14ac:dyDescent="0.25">
      <c r="A62">
        <v>45383</v>
      </c>
      <c r="B62" t="s">
        <v>19</v>
      </c>
      <c r="C62" t="s">
        <v>105</v>
      </c>
      <c r="D62" t="str">
        <f t="shared" si="2"/>
        <v>45383-MJ2-L10</v>
      </c>
      <c r="E62">
        <v>24001091</v>
      </c>
      <c r="F62">
        <v>182195</v>
      </c>
      <c r="G62" t="s">
        <v>112</v>
      </c>
      <c r="H62" t="str">
        <f>_xlfn.IFNA(VLOOKUP(F62,'TES2'!C:M,11,0),G62)</f>
        <v>AGRON, INC.</v>
      </c>
      <c r="I62" t="str">
        <f>_xlfn.IFNA(VLOOKUP(F62,'TES2'!C:I,6,0),"Data Tidak Ditemukan")</f>
        <v>BRF  ADS5158619   24R1</v>
      </c>
      <c r="J62" t="str">
        <f t="shared" si="3"/>
        <v xml:space="preserve">BRF  </v>
      </c>
      <c r="K62">
        <v>24</v>
      </c>
      <c r="L62">
        <v>0.7</v>
      </c>
      <c r="M62">
        <v>16.8</v>
      </c>
      <c r="N62">
        <v>1094</v>
      </c>
      <c r="O62">
        <f>IFERROR(IF(B62="MJ1",VLOOKUP(C62,TEMP!A:B,2,0)*OLAHAN!N62,OLAHAN!N62),N62)</f>
        <v>1094</v>
      </c>
      <c r="Q62">
        <v>0.7</v>
      </c>
    </row>
    <row r="63" spans="1:17" x14ac:dyDescent="0.25">
      <c r="A63">
        <v>45383</v>
      </c>
      <c r="B63" t="s">
        <v>19</v>
      </c>
      <c r="C63" t="s">
        <v>118</v>
      </c>
      <c r="D63" t="str">
        <f t="shared" si="2"/>
        <v>45383-MJ2-L11</v>
      </c>
      <c r="E63">
        <v>24001083</v>
      </c>
      <c r="F63">
        <v>182151</v>
      </c>
      <c r="G63" t="s">
        <v>112</v>
      </c>
      <c r="H63" t="str">
        <f>_xlfn.IFNA(VLOOKUP(F63,'TES2'!C:M,11,0),G63)</f>
        <v>AGRON, INC.</v>
      </c>
      <c r="I63" t="str">
        <f>_xlfn.IFNA(VLOOKUP(F63,'TES2'!C:I,6,0),"Data Tidak Ditemukan")</f>
        <v>BRF  ADS5157983   24R2</v>
      </c>
      <c r="J63" t="str">
        <f t="shared" si="3"/>
        <v xml:space="preserve">BRF  </v>
      </c>
      <c r="K63">
        <v>1488</v>
      </c>
      <c r="L63">
        <v>0.79</v>
      </c>
      <c r="M63">
        <v>1175.52</v>
      </c>
      <c r="N63">
        <v>1094</v>
      </c>
      <c r="O63">
        <f>IFERROR(IF(B63="MJ1",VLOOKUP(C63,TEMP!A:B,2,0)*OLAHAN!N63,OLAHAN!N63),N63)</f>
        <v>1094</v>
      </c>
      <c r="Q63">
        <v>0.79</v>
      </c>
    </row>
    <row r="64" spans="1:17" x14ac:dyDescent="0.25">
      <c r="A64">
        <v>45383</v>
      </c>
      <c r="B64" t="s">
        <v>19</v>
      </c>
      <c r="C64" t="s">
        <v>118</v>
      </c>
      <c r="D64" t="str">
        <f t="shared" si="2"/>
        <v>45383-MJ2-L11</v>
      </c>
      <c r="E64">
        <v>24001084</v>
      </c>
      <c r="F64">
        <v>182152</v>
      </c>
      <c r="G64" t="s">
        <v>112</v>
      </c>
      <c r="H64" t="str">
        <f>_xlfn.IFNA(VLOOKUP(F64,'TES2'!C:M,11,0),G64)</f>
        <v>AGRON, INC.</v>
      </c>
      <c r="I64" t="str">
        <f>_xlfn.IFNA(VLOOKUP(F64,'TES2'!C:I,6,0),"Data Tidak Ditemukan")</f>
        <v>BRF  ADS5157992   24R3</v>
      </c>
      <c r="J64" t="str">
        <f t="shared" si="3"/>
        <v xml:space="preserve">BRF  </v>
      </c>
      <c r="K64">
        <v>37</v>
      </c>
      <c r="L64">
        <v>0.79</v>
      </c>
      <c r="M64">
        <v>29.23</v>
      </c>
      <c r="N64">
        <v>1094</v>
      </c>
      <c r="O64">
        <f>IFERROR(IF(B64="MJ1",VLOOKUP(C64,TEMP!A:B,2,0)*OLAHAN!N64,OLAHAN!N64),N64)</f>
        <v>1094</v>
      </c>
      <c r="Q64">
        <v>0.79</v>
      </c>
    </row>
    <row r="65" spans="1:17" x14ac:dyDescent="0.25">
      <c r="A65">
        <v>45383</v>
      </c>
      <c r="B65" t="s">
        <v>19</v>
      </c>
      <c r="C65" t="s">
        <v>118</v>
      </c>
      <c r="D65" t="str">
        <f t="shared" si="2"/>
        <v>45383-MJ2-L11</v>
      </c>
      <c r="E65">
        <v>24001091</v>
      </c>
      <c r="F65">
        <v>182195</v>
      </c>
      <c r="G65" t="s">
        <v>112</v>
      </c>
      <c r="H65" t="str">
        <f>_xlfn.IFNA(VLOOKUP(F65,'TES2'!C:M,11,0),G65)</f>
        <v>AGRON, INC.</v>
      </c>
      <c r="I65" t="str">
        <f>_xlfn.IFNA(VLOOKUP(F65,'TES2'!C:I,6,0),"Data Tidak Ditemukan")</f>
        <v>BRF  ADS5158619   24R1</v>
      </c>
      <c r="J65" t="str">
        <f t="shared" si="3"/>
        <v xml:space="preserve">BRF  </v>
      </c>
      <c r="K65">
        <v>25</v>
      </c>
      <c r="L65">
        <v>0.7</v>
      </c>
      <c r="M65">
        <v>17.5</v>
      </c>
      <c r="N65">
        <v>1094</v>
      </c>
      <c r="O65">
        <f>IFERROR(IF(B65="MJ1",VLOOKUP(C65,TEMP!A:B,2,0)*OLAHAN!N65,OLAHAN!N65),N65)</f>
        <v>1094</v>
      </c>
      <c r="Q65">
        <v>0.7</v>
      </c>
    </row>
    <row r="66" spans="1:17" x14ac:dyDescent="0.25">
      <c r="A66">
        <v>45383</v>
      </c>
      <c r="B66" t="s">
        <v>19</v>
      </c>
      <c r="C66" t="s">
        <v>119</v>
      </c>
      <c r="D66" t="str">
        <f t="shared" ref="D66:D97" si="4">A66&amp;"-"&amp;B66&amp;"-"&amp;C66</f>
        <v>45383-MJ2-L12</v>
      </c>
      <c r="E66">
        <v>24001019</v>
      </c>
      <c r="F66">
        <v>182157</v>
      </c>
      <c r="G66" t="s">
        <v>112</v>
      </c>
      <c r="H66" t="str">
        <f>_xlfn.IFNA(VLOOKUP(F66,'TES2'!C:M,11,0),G66)</f>
        <v>AGRON, INC.</v>
      </c>
      <c r="I66" t="str">
        <f>_xlfn.IFNA(VLOOKUP(F66,'TES2'!C:I,6,0),"Data Tidak Ditemukan")</f>
        <v>BRF  ADS5157996   24R3</v>
      </c>
      <c r="J66" t="str">
        <f t="shared" ref="J66:J97" si="5">IF(I66="Data Tidak Ditemukan","TIDAK ADA DATA",LEFT(I66,5))</f>
        <v xml:space="preserve">BRF  </v>
      </c>
      <c r="K66">
        <v>2000</v>
      </c>
      <c r="L66">
        <v>0.83</v>
      </c>
      <c r="M66">
        <v>1660</v>
      </c>
      <c r="N66">
        <v>1094</v>
      </c>
      <c r="O66">
        <f>IFERROR(IF(B66="MJ1",VLOOKUP(C66,TEMP!A:B,2,0)*OLAHAN!N66,OLAHAN!N66),N66)</f>
        <v>1094</v>
      </c>
      <c r="Q66">
        <v>0.83</v>
      </c>
    </row>
    <row r="67" spans="1:17" x14ac:dyDescent="0.25">
      <c r="A67">
        <v>45383</v>
      </c>
      <c r="B67" t="s">
        <v>19</v>
      </c>
      <c r="C67" t="s">
        <v>123</v>
      </c>
      <c r="D67" t="str">
        <f t="shared" si="4"/>
        <v>45383-MJ2-L13</v>
      </c>
      <c r="E67">
        <v>24001019</v>
      </c>
      <c r="F67">
        <v>182157</v>
      </c>
      <c r="G67" t="s">
        <v>112</v>
      </c>
      <c r="H67" t="str">
        <f>_xlfn.IFNA(VLOOKUP(F67,'TES2'!C:M,11,0),G67)</f>
        <v>AGRON, INC.</v>
      </c>
      <c r="I67" t="str">
        <f>_xlfn.IFNA(VLOOKUP(F67,'TES2'!C:I,6,0),"Data Tidak Ditemukan")</f>
        <v>BRF  ADS5157996   24R3</v>
      </c>
      <c r="J67" t="str">
        <f t="shared" si="5"/>
        <v xml:space="preserve">BRF  </v>
      </c>
      <c r="K67">
        <v>2000</v>
      </c>
      <c r="L67">
        <v>0.83</v>
      </c>
      <c r="M67">
        <v>1660</v>
      </c>
      <c r="N67">
        <v>1094</v>
      </c>
      <c r="O67">
        <f>IFERROR(IF(B67="MJ1",VLOOKUP(C67,TEMP!A:B,2,0)*OLAHAN!N67,OLAHAN!N67),N67)</f>
        <v>1094</v>
      </c>
      <c r="Q67">
        <v>0.83</v>
      </c>
    </row>
    <row r="68" spans="1:17" x14ac:dyDescent="0.25">
      <c r="A68">
        <v>45383</v>
      </c>
      <c r="B68" t="s">
        <v>19</v>
      </c>
      <c r="C68" t="s">
        <v>97</v>
      </c>
      <c r="D68" t="str">
        <f t="shared" si="4"/>
        <v>45383-MJ2-L2</v>
      </c>
      <c r="E68">
        <v>24001023</v>
      </c>
      <c r="F68">
        <v>182170</v>
      </c>
      <c r="G68" t="s">
        <v>112</v>
      </c>
      <c r="H68" t="str">
        <f>_xlfn.IFNA(VLOOKUP(F68,'TES2'!C:M,11,0),G68)</f>
        <v>AGRON, INC.</v>
      </c>
      <c r="I68" t="str">
        <f>_xlfn.IFNA(VLOOKUP(F68,'TES2'!C:I,6,0),"Data Tidak Ditemukan")</f>
        <v>BRF  ADS5158003   24R3</v>
      </c>
      <c r="J68" t="str">
        <f t="shared" si="5"/>
        <v xml:space="preserve">BRF  </v>
      </c>
      <c r="K68">
        <v>1850</v>
      </c>
      <c r="L68">
        <v>0.68</v>
      </c>
      <c r="M68">
        <v>1258</v>
      </c>
      <c r="N68">
        <v>1094</v>
      </c>
      <c r="O68">
        <f>IFERROR(IF(B68="MJ1",VLOOKUP(C68,TEMP!A:B,2,0)*OLAHAN!N68,OLAHAN!N68),N68)</f>
        <v>1094</v>
      </c>
      <c r="Q68">
        <v>0.68</v>
      </c>
    </row>
    <row r="69" spans="1:17" x14ac:dyDescent="0.25">
      <c r="A69">
        <v>45383</v>
      </c>
      <c r="B69" t="s">
        <v>19</v>
      </c>
      <c r="C69" t="s">
        <v>99</v>
      </c>
      <c r="D69" t="str">
        <f t="shared" si="4"/>
        <v>45383-MJ2-L3</v>
      </c>
      <c r="E69">
        <v>24001023</v>
      </c>
      <c r="F69">
        <v>182170</v>
      </c>
      <c r="G69" t="s">
        <v>112</v>
      </c>
      <c r="H69" t="str">
        <f>_xlfn.IFNA(VLOOKUP(F69,'TES2'!C:M,11,0),G69)</f>
        <v>AGRON, INC.</v>
      </c>
      <c r="I69" t="str">
        <f>_xlfn.IFNA(VLOOKUP(F69,'TES2'!C:I,6,0),"Data Tidak Ditemukan")</f>
        <v>BRF  ADS5158003   24R3</v>
      </c>
      <c r="J69" t="str">
        <f t="shared" si="5"/>
        <v xml:space="preserve">BRF  </v>
      </c>
      <c r="K69">
        <v>1850</v>
      </c>
      <c r="L69">
        <v>0.68</v>
      </c>
      <c r="M69">
        <v>1258</v>
      </c>
      <c r="N69">
        <v>1094</v>
      </c>
      <c r="O69">
        <f>IFERROR(IF(B69="MJ1",VLOOKUP(C69,TEMP!A:B,2,0)*OLAHAN!N69,OLAHAN!N69),N69)</f>
        <v>1094</v>
      </c>
      <c r="Q69">
        <v>0.68</v>
      </c>
    </row>
    <row r="70" spans="1:17" x14ac:dyDescent="0.25">
      <c r="A70">
        <v>45383</v>
      </c>
      <c r="B70" t="s">
        <v>19</v>
      </c>
      <c r="C70" t="s">
        <v>101</v>
      </c>
      <c r="D70" t="str">
        <f t="shared" si="4"/>
        <v>45383-MJ2-L4</v>
      </c>
      <c r="E70">
        <v>24001061</v>
      </c>
      <c r="F70">
        <v>182209</v>
      </c>
      <c r="G70" t="s">
        <v>112</v>
      </c>
      <c r="H70" t="str">
        <f>_xlfn.IFNA(VLOOKUP(F70,'TES2'!C:M,11,0),G70)</f>
        <v>AGRON, INC.</v>
      </c>
      <c r="I70" t="str">
        <f>_xlfn.IFNA(VLOOKUP(F70,'TES2'!C:I,6,0),"Data Tidak Ditemukan")</f>
        <v>BRF  ADS5158608   24R1</v>
      </c>
      <c r="J70" t="str">
        <f t="shared" si="5"/>
        <v xml:space="preserve">BRF  </v>
      </c>
      <c r="K70">
        <v>160</v>
      </c>
      <c r="L70">
        <v>0.74</v>
      </c>
      <c r="M70">
        <v>118.4</v>
      </c>
      <c r="N70">
        <v>1094</v>
      </c>
      <c r="O70">
        <f>IFERROR(IF(B70="MJ1",VLOOKUP(C70,TEMP!A:B,2,0)*OLAHAN!N70,OLAHAN!N70),N70)</f>
        <v>1094</v>
      </c>
      <c r="Q70">
        <v>0.74</v>
      </c>
    </row>
    <row r="71" spans="1:17" x14ac:dyDescent="0.25">
      <c r="A71">
        <v>45383</v>
      </c>
      <c r="B71" t="s">
        <v>19</v>
      </c>
      <c r="C71" t="s">
        <v>101</v>
      </c>
      <c r="D71" t="str">
        <f t="shared" si="4"/>
        <v>45383-MJ2-L4</v>
      </c>
      <c r="E71">
        <v>24001103</v>
      </c>
      <c r="F71">
        <v>182210</v>
      </c>
      <c r="G71" t="s">
        <v>112</v>
      </c>
      <c r="H71" t="str">
        <f>_xlfn.IFNA(VLOOKUP(F71,'TES2'!C:M,11,0),G71)</f>
        <v>AGRON, INC.</v>
      </c>
      <c r="I71" t="str">
        <f>_xlfn.IFNA(VLOOKUP(F71,'TES2'!C:I,6,0),"Data Tidak Ditemukan")</f>
        <v>BRF  ADS5158609   24R1</v>
      </c>
      <c r="J71" t="str">
        <f t="shared" si="5"/>
        <v xml:space="preserve">BRF  </v>
      </c>
      <c r="K71">
        <v>1292</v>
      </c>
      <c r="L71">
        <v>0.74</v>
      </c>
      <c r="M71">
        <v>956.08</v>
      </c>
      <c r="N71">
        <v>1094</v>
      </c>
      <c r="O71">
        <f>IFERROR(IF(B71="MJ1",VLOOKUP(C71,TEMP!A:B,2,0)*OLAHAN!N71,OLAHAN!N71),N71)</f>
        <v>1094</v>
      </c>
      <c r="Q71">
        <v>0.74</v>
      </c>
    </row>
    <row r="72" spans="1:17" x14ac:dyDescent="0.25">
      <c r="A72">
        <v>45383</v>
      </c>
      <c r="B72" t="s">
        <v>19</v>
      </c>
      <c r="C72" t="s">
        <v>101</v>
      </c>
      <c r="D72" t="str">
        <f t="shared" si="4"/>
        <v>45383-MJ2-L4</v>
      </c>
      <c r="E72">
        <v>24001064</v>
      </c>
      <c r="F72">
        <v>182211</v>
      </c>
      <c r="G72" t="s">
        <v>112</v>
      </c>
      <c r="H72" t="str">
        <f>_xlfn.IFNA(VLOOKUP(F72,'TES2'!C:M,11,0),G72)</f>
        <v>AGRON, INC.</v>
      </c>
      <c r="I72" t="str">
        <f>_xlfn.IFNA(VLOOKUP(F72,'TES2'!C:I,6,0),"Data Tidak Ditemukan")</f>
        <v>BRF  ADS5158603   24R1</v>
      </c>
      <c r="J72" t="str">
        <f t="shared" si="5"/>
        <v xml:space="preserve">BRF  </v>
      </c>
      <c r="K72">
        <v>780</v>
      </c>
      <c r="L72">
        <v>0.77</v>
      </c>
      <c r="M72">
        <v>600.6</v>
      </c>
      <c r="N72">
        <v>1094</v>
      </c>
      <c r="O72">
        <f>IFERROR(IF(B72="MJ1",VLOOKUP(C72,TEMP!A:B,2,0)*OLAHAN!N72,OLAHAN!N72),N72)</f>
        <v>1094</v>
      </c>
      <c r="Q72">
        <v>0.77</v>
      </c>
    </row>
    <row r="73" spans="1:17" x14ac:dyDescent="0.25">
      <c r="A73">
        <v>45383</v>
      </c>
      <c r="B73" t="s">
        <v>19</v>
      </c>
      <c r="C73" t="s">
        <v>102</v>
      </c>
      <c r="D73" t="str">
        <f t="shared" si="4"/>
        <v>45383-MJ2-L5</v>
      </c>
      <c r="E73">
        <v>24001061</v>
      </c>
      <c r="F73">
        <v>182209</v>
      </c>
      <c r="G73" t="s">
        <v>112</v>
      </c>
      <c r="H73" t="str">
        <f>_xlfn.IFNA(VLOOKUP(F73,'TES2'!C:M,11,0),G73)</f>
        <v>AGRON, INC.</v>
      </c>
      <c r="I73" t="str">
        <f>_xlfn.IFNA(VLOOKUP(F73,'TES2'!C:I,6,0),"Data Tidak Ditemukan")</f>
        <v>BRF  ADS5158608   24R1</v>
      </c>
      <c r="J73" t="str">
        <f t="shared" si="5"/>
        <v xml:space="preserve">BRF  </v>
      </c>
      <c r="K73">
        <v>160</v>
      </c>
      <c r="L73">
        <v>0.74</v>
      </c>
      <c r="M73">
        <v>118.4</v>
      </c>
      <c r="N73">
        <v>1094</v>
      </c>
      <c r="O73">
        <f>IFERROR(IF(B73="MJ1",VLOOKUP(C73,TEMP!A:B,2,0)*OLAHAN!N73,OLAHAN!N73),N73)</f>
        <v>1094</v>
      </c>
      <c r="Q73">
        <v>0.74</v>
      </c>
    </row>
    <row r="74" spans="1:17" x14ac:dyDescent="0.25">
      <c r="A74">
        <v>45383</v>
      </c>
      <c r="B74" t="s">
        <v>19</v>
      </c>
      <c r="C74" t="s">
        <v>102</v>
      </c>
      <c r="D74" t="str">
        <f t="shared" si="4"/>
        <v>45383-MJ2-L5</v>
      </c>
      <c r="E74">
        <v>24001103</v>
      </c>
      <c r="F74">
        <v>182210</v>
      </c>
      <c r="G74" t="s">
        <v>112</v>
      </c>
      <c r="H74" t="str">
        <f>_xlfn.IFNA(VLOOKUP(F74,'TES2'!C:M,11,0),G74)</f>
        <v>AGRON, INC.</v>
      </c>
      <c r="I74" t="str">
        <f>_xlfn.IFNA(VLOOKUP(F74,'TES2'!C:I,6,0),"Data Tidak Ditemukan")</f>
        <v>BRF  ADS5158609   24R1</v>
      </c>
      <c r="J74" t="str">
        <f t="shared" si="5"/>
        <v xml:space="preserve">BRF  </v>
      </c>
      <c r="K74">
        <v>1293</v>
      </c>
      <c r="L74">
        <v>0.74</v>
      </c>
      <c r="M74">
        <v>956.82</v>
      </c>
      <c r="N74">
        <v>1094</v>
      </c>
      <c r="O74">
        <f>IFERROR(IF(B74="MJ1",VLOOKUP(C74,TEMP!A:B,2,0)*OLAHAN!N74,OLAHAN!N74),N74)</f>
        <v>1094</v>
      </c>
      <c r="Q74">
        <v>0.74</v>
      </c>
    </row>
    <row r="75" spans="1:17" x14ac:dyDescent="0.25">
      <c r="A75">
        <v>45383</v>
      </c>
      <c r="B75" t="s">
        <v>19</v>
      </c>
      <c r="C75" t="s">
        <v>102</v>
      </c>
      <c r="D75" t="str">
        <f t="shared" si="4"/>
        <v>45383-MJ2-L5</v>
      </c>
      <c r="E75">
        <v>24001064</v>
      </c>
      <c r="F75">
        <v>182211</v>
      </c>
      <c r="G75" t="s">
        <v>112</v>
      </c>
      <c r="H75" t="str">
        <f>_xlfn.IFNA(VLOOKUP(F75,'TES2'!C:M,11,0),G75)</f>
        <v>AGRON, INC.</v>
      </c>
      <c r="I75" t="str">
        <f>_xlfn.IFNA(VLOOKUP(F75,'TES2'!C:I,6,0),"Data Tidak Ditemukan")</f>
        <v>BRF  ADS5158603   24R1</v>
      </c>
      <c r="J75" t="str">
        <f t="shared" si="5"/>
        <v xml:space="preserve">BRF  </v>
      </c>
      <c r="K75">
        <v>780</v>
      </c>
      <c r="L75">
        <v>0.77</v>
      </c>
      <c r="M75">
        <v>600.6</v>
      </c>
      <c r="N75">
        <v>1094</v>
      </c>
      <c r="O75">
        <f>IFERROR(IF(B75="MJ1",VLOOKUP(C75,TEMP!A:B,2,0)*OLAHAN!N75,OLAHAN!N75),N75)</f>
        <v>1094</v>
      </c>
      <c r="Q75">
        <v>0.77</v>
      </c>
    </row>
    <row r="76" spans="1:17" x14ac:dyDescent="0.25">
      <c r="A76">
        <v>45383</v>
      </c>
      <c r="B76" t="s">
        <v>19</v>
      </c>
      <c r="C76" t="s">
        <v>103</v>
      </c>
      <c r="D76" t="str">
        <f t="shared" si="4"/>
        <v>45383-MJ2-L6</v>
      </c>
      <c r="E76">
        <v>23002474</v>
      </c>
      <c r="F76">
        <v>181956</v>
      </c>
      <c r="G76" t="s">
        <v>112</v>
      </c>
      <c r="H76" t="str">
        <f>_xlfn.IFNA(VLOOKUP(F76,'TES2'!C:M,11,0),G76)</f>
        <v>AGRON, INC.</v>
      </c>
      <c r="I76" t="str">
        <f>_xlfn.IFNA(VLOOKUP(F76,'TES2'!C:I,6,0),"Data Tidak Ditemukan")</f>
        <v>BRF  ADS5151835XXL24R2</v>
      </c>
      <c r="J76" t="str">
        <f t="shared" si="5"/>
        <v xml:space="preserve">BRF  </v>
      </c>
      <c r="K76">
        <v>76</v>
      </c>
      <c r="L76">
        <v>0.79</v>
      </c>
      <c r="M76">
        <v>60.04</v>
      </c>
      <c r="N76">
        <v>1094</v>
      </c>
      <c r="O76">
        <f>IFERROR(IF(B76="MJ1",VLOOKUP(C76,TEMP!A:B,2,0)*OLAHAN!N76,OLAHAN!N76),N76)</f>
        <v>1094</v>
      </c>
      <c r="Q76">
        <v>0.79</v>
      </c>
    </row>
    <row r="77" spans="1:17" x14ac:dyDescent="0.25">
      <c r="A77">
        <v>45383</v>
      </c>
      <c r="B77" t="s">
        <v>19</v>
      </c>
      <c r="C77" t="s">
        <v>103</v>
      </c>
      <c r="D77" t="str">
        <f t="shared" si="4"/>
        <v>45383-MJ2-L6</v>
      </c>
      <c r="E77">
        <v>24001064</v>
      </c>
      <c r="F77">
        <v>182211</v>
      </c>
      <c r="G77" t="s">
        <v>112</v>
      </c>
      <c r="H77" t="str">
        <f>_xlfn.IFNA(VLOOKUP(F77,'TES2'!C:M,11,0),G77)</f>
        <v>AGRON, INC.</v>
      </c>
      <c r="I77" t="str">
        <f>_xlfn.IFNA(VLOOKUP(F77,'TES2'!C:I,6,0),"Data Tidak Ditemukan")</f>
        <v>BRF  ADS5158603   24R1</v>
      </c>
      <c r="J77" t="str">
        <f t="shared" si="5"/>
        <v xml:space="preserve">BRF  </v>
      </c>
      <c r="K77">
        <v>2200</v>
      </c>
      <c r="L77">
        <v>0.77</v>
      </c>
      <c r="M77">
        <v>1694</v>
      </c>
      <c r="N77">
        <v>1094</v>
      </c>
      <c r="O77">
        <f>IFERROR(IF(B77="MJ1",VLOOKUP(C77,TEMP!A:B,2,0)*OLAHAN!N77,OLAHAN!N77),N77)</f>
        <v>1094</v>
      </c>
      <c r="Q77">
        <v>0.77</v>
      </c>
    </row>
    <row r="78" spans="1:17" x14ac:dyDescent="0.25">
      <c r="A78">
        <v>45383</v>
      </c>
      <c r="B78" t="s">
        <v>19</v>
      </c>
      <c r="C78" t="s">
        <v>107</v>
      </c>
      <c r="D78" t="str">
        <f t="shared" si="4"/>
        <v>45383-MJ2-L7</v>
      </c>
      <c r="E78">
        <v>23002474</v>
      </c>
      <c r="F78">
        <v>181956</v>
      </c>
      <c r="G78" t="s">
        <v>112</v>
      </c>
      <c r="H78" t="str">
        <f>_xlfn.IFNA(VLOOKUP(F78,'TES2'!C:M,11,0),G78)</f>
        <v>AGRON, INC.</v>
      </c>
      <c r="I78" t="str">
        <f>_xlfn.IFNA(VLOOKUP(F78,'TES2'!C:I,6,0),"Data Tidak Ditemukan")</f>
        <v>BRF  ADS5151835XXL24R2</v>
      </c>
      <c r="J78" t="str">
        <f t="shared" si="5"/>
        <v xml:space="preserve">BRF  </v>
      </c>
      <c r="K78">
        <v>77</v>
      </c>
      <c r="L78">
        <v>0.79</v>
      </c>
      <c r="M78">
        <v>60.83</v>
      </c>
      <c r="N78">
        <v>1094</v>
      </c>
      <c r="O78">
        <f>IFERROR(IF(B78="MJ1",VLOOKUP(C78,TEMP!A:B,2,0)*OLAHAN!N78,OLAHAN!N78),N78)</f>
        <v>1094</v>
      </c>
      <c r="Q78">
        <v>0.79</v>
      </c>
    </row>
    <row r="79" spans="1:17" x14ac:dyDescent="0.25">
      <c r="A79">
        <v>45383</v>
      </c>
      <c r="B79" t="s">
        <v>19</v>
      </c>
      <c r="C79" t="s">
        <v>107</v>
      </c>
      <c r="D79" t="str">
        <f t="shared" si="4"/>
        <v>45383-MJ2-L7</v>
      </c>
      <c r="E79">
        <v>24001064</v>
      </c>
      <c r="F79">
        <v>182211</v>
      </c>
      <c r="G79" t="s">
        <v>112</v>
      </c>
      <c r="H79" t="str">
        <f>_xlfn.IFNA(VLOOKUP(F79,'TES2'!C:M,11,0),G79)</f>
        <v>AGRON, INC.</v>
      </c>
      <c r="I79" t="str">
        <f>_xlfn.IFNA(VLOOKUP(F79,'TES2'!C:I,6,0),"Data Tidak Ditemukan")</f>
        <v>BRF  ADS5158603   24R1</v>
      </c>
      <c r="J79" t="str">
        <f t="shared" si="5"/>
        <v xml:space="preserve">BRF  </v>
      </c>
      <c r="K79">
        <v>2200</v>
      </c>
      <c r="L79">
        <v>0.77</v>
      </c>
      <c r="M79">
        <v>1694</v>
      </c>
      <c r="N79">
        <v>1094</v>
      </c>
      <c r="O79">
        <f>IFERROR(IF(B79="MJ1",VLOOKUP(C79,TEMP!A:B,2,0)*OLAHAN!N79,OLAHAN!N79),N79)</f>
        <v>1094</v>
      </c>
      <c r="Q79">
        <v>0.77</v>
      </c>
    </row>
    <row r="80" spans="1:17" x14ac:dyDescent="0.25">
      <c r="A80">
        <v>45383</v>
      </c>
      <c r="B80" t="s">
        <v>19</v>
      </c>
      <c r="C80" t="s">
        <v>109</v>
      </c>
      <c r="D80" t="str">
        <f t="shared" si="4"/>
        <v>45383-MJ2-L8</v>
      </c>
      <c r="E80">
        <v>24001206</v>
      </c>
      <c r="F80">
        <v>182150</v>
      </c>
      <c r="G80" t="s">
        <v>112</v>
      </c>
      <c r="H80" t="str">
        <f>_xlfn.IFNA(VLOOKUP(F80,'TES2'!C:M,11,0),G80)</f>
        <v>AGRON, INC.</v>
      </c>
      <c r="I80" t="str">
        <f>_xlfn.IFNA(VLOOKUP(F80,'TES2'!C:I,6,0),"Data Tidak Ditemukan")</f>
        <v>BRF  ADS5157977   24R3</v>
      </c>
      <c r="J80" t="str">
        <f t="shared" si="5"/>
        <v xml:space="preserve">BRF  </v>
      </c>
      <c r="K80">
        <v>1465</v>
      </c>
      <c r="L80">
        <v>0.79</v>
      </c>
      <c r="M80">
        <v>1157.3499999999999</v>
      </c>
      <c r="N80">
        <v>1094</v>
      </c>
      <c r="O80">
        <f>IFERROR(IF(B80="MJ1",VLOOKUP(C80,TEMP!A:B,2,0)*OLAHAN!N80,OLAHAN!N80),N80)</f>
        <v>1094</v>
      </c>
      <c r="Q80">
        <v>0.79</v>
      </c>
    </row>
    <row r="81" spans="1:17" x14ac:dyDescent="0.25">
      <c r="A81">
        <v>45383</v>
      </c>
      <c r="B81" t="s">
        <v>19</v>
      </c>
      <c r="C81" t="s">
        <v>109</v>
      </c>
      <c r="D81" t="str">
        <f t="shared" si="4"/>
        <v>45383-MJ2-L8</v>
      </c>
      <c r="E81">
        <v>24001083</v>
      </c>
      <c r="F81">
        <v>182151</v>
      </c>
      <c r="G81" t="s">
        <v>112</v>
      </c>
      <c r="H81" t="str">
        <f>_xlfn.IFNA(VLOOKUP(F81,'TES2'!C:M,11,0),G81)</f>
        <v>AGRON, INC.</v>
      </c>
      <c r="I81" t="str">
        <f>_xlfn.IFNA(VLOOKUP(F81,'TES2'!C:I,6,0),"Data Tidak Ditemukan")</f>
        <v>BRF  ADS5157983   24R2</v>
      </c>
      <c r="J81" t="str">
        <f t="shared" si="5"/>
        <v xml:space="preserve">BRF  </v>
      </c>
      <c r="K81">
        <v>290</v>
      </c>
      <c r="L81">
        <v>0.79</v>
      </c>
      <c r="M81">
        <v>229.1</v>
      </c>
      <c r="N81">
        <v>1094</v>
      </c>
      <c r="O81">
        <f>IFERROR(IF(B81="MJ1",VLOOKUP(C81,TEMP!A:B,2,0)*OLAHAN!N81,OLAHAN!N81),N81)</f>
        <v>1094</v>
      </c>
      <c r="Q81">
        <v>0.79</v>
      </c>
    </row>
    <row r="82" spans="1:17" x14ac:dyDescent="0.25">
      <c r="A82">
        <v>45383</v>
      </c>
      <c r="B82" t="s">
        <v>19</v>
      </c>
      <c r="C82" t="s">
        <v>110</v>
      </c>
      <c r="D82" t="str">
        <f t="shared" si="4"/>
        <v>45383-MJ2-L9</v>
      </c>
      <c r="E82">
        <v>24001206</v>
      </c>
      <c r="F82">
        <v>182150</v>
      </c>
      <c r="G82" t="s">
        <v>112</v>
      </c>
      <c r="H82" t="str">
        <f>_xlfn.IFNA(VLOOKUP(F82,'TES2'!C:M,11,0),G82)</f>
        <v>AGRON, INC.</v>
      </c>
      <c r="I82" t="str">
        <f>_xlfn.IFNA(VLOOKUP(F82,'TES2'!C:I,6,0),"Data Tidak Ditemukan")</f>
        <v>BRF  ADS5157977   24R3</v>
      </c>
      <c r="J82" t="str">
        <f t="shared" si="5"/>
        <v xml:space="preserve">BRF  </v>
      </c>
      <c r="K82">
        <v>1465</v>
      </c>
      <c r="L82">
        <v>0.79</v>
      </c>
      <c r="M82">
        <v>1157.3499999999999</v>
      </c>
      <c r="N82">
        <v>1094</v>
      </c>
      <c r="O82">
        <f>IFERROR(IF(B82="MJ1",VLOOKUP(C82,TEMP!A:B,2,0)*OLAHAN!N82,OLAHAN!N82),N82)</f>
        <v>1094</v>
      </c>
      <c r="Q82">
        <v>0.79</v>
      </c>
    </row>
    <row r="83" spans="1:17" x14ac:dyDescent="0.25">
      <c r="A83">
        <v>45383</v>
      </c>
      <c r="B83" t="s">
        <v>19</v>
      </c>
      <c r="C83" t="s">
        <v>110</v>
      </c>
      <c r="D83" t="str">
        <f t="shared" si="4"/>
        <v>45383-MJ2-L9</v>
      </c>
      <c r="E83">
        <v>24001083</v>
      </c>
      <c r="F83">
        <v>182151</v>
      </c>
      <c r="G83" t="s">
        <v>112</v>
      </c>
      <c r="H83" t="str">
        <f>_xlfn.IFNA(VLOOKUP(F83,'TES2'!C:M,11,0),G83)</f>
        <v>AGRON, INC.</v>
      </c>
      <c r="I83" t="str">
        <f>_xlfn.IFNA(VLOOKUP(F83,'TES2'!C:I,6,0),"Data Tidak Ditemukan")</f>
        <v>BRF  ADS5157983   24R2</v>
      </c>
      <c r="J83" t="str">
        <f t="shared" si="5"/>
        <v xml:space="preserve">BRF  </v>
      </c>
      <c r="K83">
        <v>290</v>
      </c>
      <c r="L83">
        <v>0.79</v>
      </c>
      <c r="M83">
        <v>229.1</v>
      </c>
      <c r="N83">
        <v>1094</v>
      </c>
      <c r="O83">
        <f>IFERROR(IF(B83="MJ1",VLOOKUP(C83,TEMP!A:B,2,0)*OLAHAN!N83,OLAHAN!N83),N83)</f>
        <v>1094</v>
      </c>
      <c r="Q83">
        <v>0.79</v>
      </c>
    </row>
    <row r="84" spans="1:17" x14ac:dyDescent="0.25">
      <c r="A84">
        <v>45384</v>
      </c>
      <c r="B84" t="s">
        <v>12</v>
      </c>
      <c r="C84" t="s">
        <v>95</v>
      </c>
      <c r="D84" t="str">
        <f t="shared" si="4"/>
        <v>45384-CBA-L1</v>
      </c>
      <c r="E84">
        <v>23001579</v>
      </c>
      <c r="F84">
        <v>181647</v>
      </c>
      <c r="G84" t="s">
        <v>96</v>
      </c>
      <c r="H84" t="str">
        <f>_xlfn.IFNA(VLOOKUP(F84,'TES2'!C:M,11,0),G84)</f>
        <v>MARUBENI CORPORATION JEPANG</v>
      </c>
      <c r="I84" t="str">
        <f>_xlfn.IFNA(VLOOKUP(F84,'TES2'!C:I,6,0),"Data Tidak Ditemukan")</f>
        <v>JCT  MCUGA-3910   SN24</v>
      </c>
      <c r="J84" t="str">
        <f t="shared" si="5"/>
        <v xml:space="preserve">JCT  </v>
      </c>
      <c r="K84">
        <v>180</v>
      </c>
      <c r="L84">
        <v>3.96</v>
      </c>
      <c r="M84">
        <v>712.8</v>
      </c>
      <c r="N84">
        <v>608</v>
      </c>
      <c r="O84">
        <f>IFERROR(IF(B84="MJ1",VLOOKUP(C84,TEMP!A:B,2,0)*OLAHAN!N84,OLAHAN!N84),N84)</f>
        <v>608</v>
      </c>
      <c r="Q84">
        <v>3.96</v>
      </c>
    </row>
    <row r="85" spans="1:17" x14ac:dyDescent="0.25">
      <c r="A85">
        <v>45384</v>
      </c>
      <c r="B85" t="s">
        <v>12</v>
      </c>
      <c r="C85" t="s">
        <v>97</v>
      </c>
      <c r="D85" t="str">
        <f t="shared" si="4"/>
        <v>45384-CBA-L2</v>
      </c>
      <c r="E85">
        <v>23001578</v>
      </c>
      <c r="F85">
        <v>181646</v>
      </c>
      <c r="G85" t="s">
        <v>98</v>
      </c>
      <c r="H85" t="str">
        <f>_xlfn.IFNA(VLOOKUP(F85,'TES2'!C:M,11,0),G85)</f>
        <v>MARUBENI CORPORATION JEPANG</v>
      </c>
      <c r="I85" t="str">
        <f>_xlfn.IFNA(VLOOKUP(F85,'TES2'!C:I,6,0),"Data Tidak Ditemukan")</f>
        <v>CRPANMCUGA-3915   SN24</v>
      </c>
      <c r="J85" t="str">
        <f t="shared" si="5"/>
        <v>CRPAN</v>
      </c>
      <c r="K85">
        <v>240</v>
      </c>
      <c r="L85">
        <v>2.99</v>
      </c>
      <c r="M85">
        <v>717.6</v>
      </c>
      <c r="N85">
        <v>608</v>
      </c>
      <c r="O85">
        <f>IFERROR(IF(B85="MJ1",VLOOKUP(C85,TEMP!A:B,2,0)*OLAHAN!N85,OLAHAN!N85),N85)</f>
        <v>608</v>
      </c>
      <c r="Q85">
        <v>2.99</v>
      </c>
    </row>
    <row r="86" spans="1:17" x14ac:dyDescent="0.25">
      <c r="A86">
        <v>45384</v>
      </c>
      <c r="B86" t="s">
        <v>12</v>
      </c>
      <c r="C86" t="s">
        <v>99</v>
      </c>
      <c r="D86" t="str">
        <f t="shared" si="4"/>
        <v>45384-CBA-L3</v>
      </c>
      <c r="E86">
        <v>23001578</v>
      </c>
      <c r="F86">
        <v>181646</v>
      </c>
      <c r="G86" t="s">
        <v>98</v>
      </c>
      <c r="H86" t="str">
        <f>_xlfn.IFNA(VLOOKUP(F86,'TES2'!C:M,11,0),G86)</f>
        <v>MARUBENI CORPORATION JEPANG</v>
      </c>
      <c r="I86" t="str">
        <f>_xlfn.IFNA(VLOOKUP(F86,'TES2'!C:I,6,0),"Data Tidak Ditemukan")</f>
        <v>CRPANMCUGA-3915   SN24</v>
      </c>
      <c r="J86" t="str">
        <f t="shared" si="5"/>
        <v>CRPAN</v>
      </c>
      <c r="K86">
        <v>235</v>
      </c>
      <c r="L86">
        <v>2.99</v>
      </c>
      <c r="M86">
        <v>702.65</v>
      </c>
      <c r="N86">
        <v>608</v>
      </c>
      <c r="O86">
        <f>IFERROR(IF(B86="MJ1",VLOOKUP(C86,TEMP!A:B,2,0)*OLAHAN!N86,OLAHAN!N86),N86)</f>
        <v>608</v>
      </c>
      <c r="Q86">
        <v>2.99</v>
      </c>
    </row>
    <row r="87" spans="1:17" x14ac:dyDescent="0.25">
      <c r="A87">
        <v>45384</v>
      </c>
      <c r="B87" t="s">
        <v>13</v>
      </c>
      <c r="C87" t="s">
        <v>95</v>
      </c>
      <c r="D87" t="str">
        <f t="shared" si="4"/>
        <v>45384-CHW-L1</v>
      </c>
      <c r="E87">
        <v>23001228</v>
      </c>
      <c r="F87">
        <v>182307</v>
      </c>
      <c r="G87" t="s">
        <v>124</v>
      </c>
      <c r="H87" t="str">
        <f>_xlfn.IFNA(VLOOKUP(F87,'TES2'!C:M,11,0),G87)</f>
        <v>RS MITRA KELUARGA</v>
      </c>
      <c r="I87" t="str">
        <f>_xlfn.IFNA(VLOOKUP(F87,'TES2'!C:I,6,0),"Data Tidak Ditemukan")</f>
        <v>TOP  RMKWOMEN TOP2LC24</v>
      </c>
      <c r="J87" t="str">
        <f t="shared" si="5"/>
        <v xml:space="preserve">TOP  </v>
      </c>
      <c r="K87">
        <v>339</v>
      </c>
      <c r="L87">
        <v>2.89</v>
      </c>
      <c r="M87">
        <v>979.71</v>
      </c>
      <c r="N87">
        <v>545</v>
      </c>
      <c r="O87">
        <f>IFERROR(IF(B87="MJ1",VLOOKUP(C87,TEMP!A:B,2,0)*OLAHAN!N87,OLAHAN!N87),N87)</f>
        <v>545</v>
      </c>
      <c r="Q87">
        <v>2.89</v>
      </c>
    </row>
    <row r="88" spans="1:17" x14ac:dyDescent="0.25">
      <c r="A88">
        <v>45384</v>
      </c>
      <c r="B88" t="s">
        <v>13</v>
      </c>
      <c r="C88" t="s">
        <v>97</v>
      </c>
      <c r="D88" t="str">
        <f t="shared" si="4"/>
        <v>45384-CHW-L2</v>
      </c>
      <c r="E88">
        <v>23001347</v>
      </c>
      <c r="F88">
        <v>181906</v>
      </c>
      <c r="G88" t="s">
        <v>125</v>
      </c>
      <c r="H88" t="str">
        <f>_xlfn.IFNA(VLOOKUP(F88,'TES2'!C:M,11,0),G88)</f>
        <v>EIGERINDO MULTI PRODUK INDUSTR</v>
      </c>
      <c r="I88" t="str">
        <f>_xlfn.IFNA(VLOOKUP(F88,'TES2'!C:I,6,0),"Data Tidak Ditemukan")</f>
        <v>SPANTEIG910009476 LC23</v>
      </c>
      <c r="J88" t="str">
        <f t="shared" si="5"/>
        <v>SPANT</v>
      </c>
      <c r="K88">
        <v>320</v>
      </c>
      <c r="L88">
        <v>2.91</v>
      </c>
      <c r="M88">
        <v>931.2</v>
      </c>
      <c r="N88">
        <v>545</v>
      </c>
      <c r="O88">
        <f>IFERROR(IF(B88="MJ1",VLOOKUP(C88,TEMP!A:B,2,0)*OLAHAN!N88,OLAHAN!N88),N88)</f>
        <v>545</v>
      </c>
      <c r="Q88">
        <v>2.91</v>
      </c>
    </row>
    <row r="89" spans="1:17" x14ac:dyDescent="0.25">
      <c r="A89">
        <v>45384</v>
      </c>
      <c r="B89" t="s">
        <v>13</v>
      </c>
      <c r="C89" t="s">
        <v>99</v>
      </c>
      <c r="D89" t="str">
        <f t="shared" si="4"/>
        <v>45384-CHW-L3</v>
      </c>
      <c r="E89">
        <v>23001227</v>
      </c>
      <c r="F89">
        <v>182338</v>
      </c>
      <c r="G89" t="s">
        <v>124</v>
      </c>
      <c r="H89" t="str">
        <f>_xlfn.IFNA(VLOOKUP(F89,'TES2'!C:M,11,0),G89)</f>
        <v>RS MITRA KELUARGA</v>
      </c>
      <c r="I89" t="str">
        <f>_xlfn.IFNA(VLOOKUP(F89,'TES2'!C:I,6,0),"Data Tidak Ditemukan")</f>
        <v>MANSTRMKMANSET    LC24</v>
      </c>
      <c r="J89" t="str">
        <f t="shared" si="5"/>
        <v>MANST</v>
      </c>
      <c r="K89">
        <v>374</v>
      </c>
      <c r="L89">
        <v>1.23</v>
      </c>
      <c r="M89">
        <v>460.02</v>
      </c>
      <c r="N89">
        <v>545</v>
      </c>
      <c r="O89">
        <f>IFERROR(IF(B89="MJ1",VLOOKUP(C89,TEMP!A:B,2,0)*OLAHAN!N89,OLAHAN!N89),N89)</f>
        <v>545</v>
      </c>
      <c r="Q89">
        <v>1.23</v>
      </c>
    </row>
    <row r="90" spans="1:17" x14ac:dyDescent="0.25">
      <c r="A90">
        <v>45384</v>
      </c>
      <c r="B90" t="s">
        <v>13</v>
      </c>
      <c r="C90" t="s">
        <v>99</v>
      </c>
      <c r="D90" t="str">
        <f t="shared" si="4"/>
        <v>45384-CHW-L3</v>
      </c>
      <c r="E90">
        <v>23001233</v>
      </c>
      <c r="F90">
        <v>182344</v>
      </c>
      <c r="G90" t="s">
        <v>124</v>
      </c>
      <c r="H90" t="str">
        <f>_xlfn.IFNA(VLOOKUP(F90,'TES2'!C:M,11,0),G90)</f>
        <v>RS MITRA KELUARGA</v>
      </c>
      <c r="I90" t="str">
        <f>_xlfn.IFNA(VLOOKUP(F90,'TES2'!C:I,6,0),"Data Tidak Ditemukan")</f>
        <v>MANSTRMKMANSET 2  LC24</v>
      </c>
      <c r="J90" t="str">
        <f t="shared" si="5"/>
        <v>MANST</v>
      </c>
      <c r="K90">
        <v>194</v>
      </c>
      <c r="L90">
        <v>1.23</v>
      </c>
      <c r="M90">
        <v>238.62</v>
      </c>
      <c r="N90">
        <v>545</v>
      </c>
      <c r="O90">
        <f>IFERROR(IF(B90="MJ1",VLOOKUP(C90,TEMP!A:B,2,0)*OLAHAN!N90,OLAHAN!N90),N90)</f>
        <v>545</v>
      </c>
      <c r="Q90">
        <v>1.23</v>
      </c>
    </row>
    <row r="91" spans="1:17" x14ac:dyDescent="0.25">
      <c r="A91">
        <v>45384</v>
      </c>
      <c r="B91" t="s">
        <v>13</v>
      </c>
      <c r="C91" t="s">
        <v>99</v>
      </c>
      <c r="D91" t="str">
        <f t="shared" si="4"/>
        <v>45384-CHW-L3</v>
      </c>
      <c r="E91">
        <v>24001016</v>
      </c>
      <c r="F91">
        <v>182354</v>
      </c>
      <c r="G91" t="s">
        <v>124</v>
      </c>
      <c r="H91" t="str">
        <f>_xlfn.IFNA(VLOOKUP(F91,'TES2'!C:M,11,0),G91)</f>
        <v>RS MITRA KELUARGA</v>
      </c>
      <c r="I91" t="str">
        <f>_xlfn.IFNA(VLOOKUP(F91,'TES2'!C:I,6,0),"Data Tidak Ditemukan")</f>
        <v>MANSTRMKMANSET 3  LC24</v>
      </c>
      <c r="J91" t="str">
        <f t="shared" si="5"/>
        <v>MANST</v>
      </c>
      <c r="K91">
        <v>68</v>
      </c>
      <c r="L91">
        <v>1.23</v>
      </c>
      <c r="M91">
        <v>83.64</v>
      </c>
      <c r="N91">
        <v>545</v>
      </c>
      <c r="O91">
        <f>IFERROR(IF(B91="MJ1",VLOOKUP(C91,TEMP!A:B,2,0)*OLAHAN!N91,OLAHAN!N91),N91)</f>
        <v>545</v>
      </c>
      <c r="Q91">
        <v>1.23</v>
      </c>
    </row>
    <row r="92" spans="1:17" x14ac:dyDescent="0.25">
      <c r="A92">
        <v>45384</v>
      </c>
      <c r="B92" t="s">
        <v>13</v>
      </c>
      <c r="C92" t="s">
        <v>99</v>
      </c>
      <c r="D92" t="str">
        <f t="shared" si="4"/>
        <v>45384-CHW-L3</v>
      </c>
      <c r="E92">
        <v>24001100</v>
      </c>
      <c r="F92">
        <v>182506</v>
      </c>
      <c r="G92" t="s">
        <v>124</v>
      </c>
      <c r="H92" t="str">
        <f>_xlfn.IFNA(VLOOKUP(F92,'TES2'!C:M,11,0),G92)</f>
        <v>RS MITRA KELUARGA</v>
      </c>
      <c r="I92" t="str">
        <f>_xlfn.IFNA(VLOOKUP(F92,'TES2'!C:I,6,0),"Data Tidak Ditemukan")</f>
        <v>MANSTRMKMANSET 3  24L1</v>
      </c>
      <c r="J92" t="str">
        <f t="shared" si="5"/>
        <v>MANST</v>
      </c>
      <c r="K92">
        <v>64</v>
      </c>
      <c r="L92">
        <v>0</v>
      </c>
      <c r="M92">
        <v>0</v>
      </c>
      <c r="N92">
        <v>545</v>
      </c>
      <c r="O92">
        <f>IFERROR(IF(B92="MJ1",VLOOKUP(C92,TEMP!A:B,2,0)*OLAHAN!N92,OLAHAN!N92),N92)</f>
        <v>545</v>
      </c>
      <c r="Q92">
        <v>0</v>
      </c>
    </row>
    <row r="93" spans="1:17" x14ac:dyDescent="0.25">
      <c r="A93">
        <v>45384</v>
      </c>
      <c r="B93" t="s">
        <v>13</v>
      </c>
      <c r="C93" t="s">
        <v>101</v>
      </c>
      <c r="D93" t="str">
        <f t="shared" si="4"/>
        <v>45384-CHW-L4</v>
      </c>
      <c r="E93">
        <v>23001229</v>
      </c>
      <c r="F93">
        <v>182308</v>
      </c>
      <c r="G93" t="s">
        <v>124</v>
      </c>
      <c r="H93" t="str">
        <f>_xlfn.IFNA(VLOOKUP(F93,'TES2'!C:M,11,0),G93)</f>
        <v>RS MITRA KELUARGA</v>
      </c>
      <c r="I93" t="str">
        <f>_xlfn.IFNA(VLOOKUP(F93,'TES2'!C:I,6,0),"Data Tidak Ditemukan")</f>
        <v>BOTTMRMKWOMAN BTM2LC24</v>
      </c>
      <c r="J93" t="str">
        <f t="shared" si="5"/>
        <v>BOTTM</v>
      </c>
      <c r="K93">
        <v>245</v>
      </c>
      <c r="L93">
        <v>2.41</v>
      </c>
      <c r="M93">
        <v>590.45000000000005</v>
      </c>
      <c r="N93">
        <v>545</v>
      </c>
      <c r="O93">
        <f>IFERROR(IF(B93="MJ1",VLOOKUP(C93,TEMP!A:B,2,0)*OLAHAN!N93,OLAHAN!N93),N93)</f>
        <v>545</v>
      </c>
      <c r="Q93">
        <v>2.41</v>
      </c>
    </row>
    <row r="94" spans="1:17" x14ac:dyDescent="0.25">
      <c r="A94">
        <v>45384</v>
      </c>
      <c r="B94" t="s">
        <v>13</v>
      </c>
      <c r="C94" t="s">
        <v>101</v>
      </c>
      <c r="D94" t="str">
        <f t="shared" si="4"/>
        <v>45384-CHW-L4</v>
      </c>
      <c r="E94">
        <v>24001034</v>
      </c>
      <c r="F94">
        <v>182330</v>
      </c>
      <c r="G94" t="s">
        <v>124</v>
      </c>
      <c r="H94" t="str">
        <f>_xlfn.IFNA(VLOOKUP(F94,'TES2'!C:M,11,0),G94)</f>
        <v>RS MITRA KELUARGA</v>
      </c>
      <c r="I94" t="str">
        <f>_xlfn.IFNA(VLOOKUP(F94,'TES2'!C:I,6,0),"Data Tidak Ditemukan")</f>
        <v>BOTTMRMKWOMAN BTM7LC24</v>
      </c>
      <c r="J94" t="str">
        <f t="shared" si="5"/>
        <v>BOTTM</v>
      </c>
      <c r="K94">
        <v>130</v>
      </c>
      <c r="L94">
        <v>0</v>
      </c>
      <c r="M94">
        <v>0</v>
      </c>
      <c r="N94">
        <v>545</v>
      </c>
      <c r="O94">
        <f>IFERROR(IF(B94="MJ1",VLOOKUP(C94,TEMP!A:B,2,0)*OLAHAN!N94,OLAHAN!N94),N94)</f>
        <v>545</v>
      </c>
      <c r="Q94">
        <v>0</v>
      </c>
    </row>
    <row r="95" spans="1:17" x14ac:dyDescent="0.25">
      <c r="A95">
        <v>45384</v>
      </c>
      <c r="B95" t="s">
        <v>14</v>
      </c>
      <c r="C95" t="s">
        <v>99</v>
      </c>
      <c r="D95" t="str">
        <f t="shared" si="4"/>
        <v>45384-CJL-L3</v>
      </c>
      <c r="E95">
        <v>23001600</v>
      </c>
      <c r="F95">
        <v>181771</v>
      </c>
      <c r="G95" t="s">
        <v>96</v>
      </c>
      <c r="H95" t="str">
        <f>_xlfn.IFNA(VLOOKUP(F95,'TES2'!C:M,11,0),G95)</f>
        <v>MARUBENI CORPORATION JEPANG</v>
      </c>
      <c r="I95" t="str">
        <f>_xlfn.IFNA(VLOOKUP(F95,'TES2'!C:I,6,0),"Data Tidak Ditemukan")</f>
        <v>PANTSMCUKZN839-90 SN24</v>
      </c>
      <c r="J95" t="str">
        <f t="shared" si="5"/>
        <v>PANTS</v>
      </c>
      <c r="K95">
        <v>61</v>
      </c>
      <c r="L95">
        <v>3.02</v>
      </c>
      <c r="M95">
        <v>184.22</v>
      </c>
      <c r="N95">
        <v>874</v>
      </c>
      <c r="O95">
        <f>IFERROR(IF(B95="MJ1",VLOOKUP(C95,TEMP!A:B,2,0)*OLAHAN!N95,OLAHAN!N95),N95)</f>
        <v>874</v>
      </c>
      <c r="Q95">
        <v>3.02</v>
      </c>
    </row>
    <row r="96" spans="1:17" x14ac:dyDescent="0.25">
      <c r="A96">
        <v>45384</v>
      </c>
      <c r="B96" t="s">
        <v>15</v>
      </c>
      <c r="C96" t="s">
        <v>95</v>
      </c>
      <c r="D96" t="str">
        <f t="shared" si="4"/>
        <v>45384-CNJ2-L1</v>
      </c>
      <c r="E96">
        <v>24001019</v>
      </c>
      <c r="F96">
        <v>182131</v>
      </c>
      <c r="G96" t="s">
        <v>100</v>
      </c>
      <c r="H96" t="str">
        <f>_xlfn.IFNA(VLOOKUP(F96,'TES2'!C:M,11,0),G96)</f>
        <v>PT. BUANA DAYA GEMILANG</v>
      </c>
      <c r="I96" t="str">
        <f>_xlfn.IFNA(VLOOKUP(F96,'TES2'!C:I,6,0),"Data Tidak Ditemukan")</f>
        <v>TSHRTBDGOREGON    LC24</v>
      </c>
      <c r="J96" t="str">
        <f t="shared" si="5"/>
        <v>TSHRT</v>
      </c>
      <c r="K96">
        <v>1800</v>
      </c>
      <c r="L96">
        <v>0.39</v>
      </c>
      <c r="M96">
        <v>702</v>
      </c>
      <c r="N96">
        <v>608</v>
      </c>
      <c r="O96">
        <f>IFERROR(IF(B96="MJ1",VLOOKUP(C96,TEMP!A:B,2,0)*OLAHAN!N96,OLAHAN!N96),N96)</f>
        <v>608</v>
      </c>
      <c r="Q96">
        <v>0.39</v>
      </c>
    </row>
    <row r="97" spans="1:17" x14ac:dyDescent="0.25">
      <c r="A97">
        <v>45384</v>
      </c>
      <c r="B97" t="s">
        <v>15</v>
      </c>
      <c r="C97" t="s">
        <v>99</v>
      </c>
      <c r="D97" t="str">
        <f t="shared" si="4"/>
        <v>45384-CNJ2-L3</v>
      </c>
      <c r="E97">
        <v>24001005</v>
      </c>
      <c r="F97">
        <v>182079</v>
      </c>
      <c r="G97" t="s">
        <v>96</v>
      </c>
      <c r="H97" t="str">
        <f>_xlfn.IFNA(VLOOKUP(F97,'TES2'!C:M,11,0),G97)</f>
        <v>MARUBENI CORPORATION JEPANG</v>
      </c>
      <c r="I97" t="str">
        <f>_xlfn.IFNA(VLOOKUP(F97,'TES2'!C:I,6,0),"Data Tidak Ditemukan")</f>
        <v>TOP  MCU133-61    SN24</v>
      </c>
      <c r="J97" t="str">
        <f t="shared" si="5"/>
        <v xml:space="preserve">TOP  </v>
      </c>
      <c r="K97">
        <v>28</v>
      </c>
      <c r="L97">
        <v>1.54</v>
      </c>
      <c r="M97">
        <v>43.12</v>
      </c>
      <c r="N97">
        <v>608</v>
      </c>
      <c r="O97">
        <f>IFERROR(IF(B97="MJ1",VLOOKUP(C97,TEMP!A:B,2,0)*OLAHAN!N97,OLAHAN!N97),N97)</f>
        <v>608</v>
      </c>
      <c r="Q97">
        <v>1.54</v>
      </c>
    </row>
    <row r="98" spans="1:17" x14ac:dyDescent="0.25">
      <c r="A98">
        <v>45384</v>
      </c>
      <c r="B98" t="s">
        <v>15</v>
      </c>
      <c r="C98" t="s">
        <v>99</v>
      </c>
      <c r="D98" t="str">
        <f t="shared" ref="D98:D129" si="6">A98&amp;"-"&amp;B98&amp;"-"&amp;C98</f>
        <v>45384-CNJ2-L3</v>
      </c>
      <c r="E98">
        <v>24001006</v>
      </c>
      <c r="F98">
        <v>182080</v>
      </c>
      <c r="G98" t="s">
        <v>96</v>
      </c>
      <c r="H98" t="str">
        <f>_xlfn.IFNA(VLOOKUP(F98,'TES2'!C:M,11,0),G98)</f>
        <v>MARUBENI CORPORATION JEPANG</v>
      </c>
      <c r="I98" t="str">
        <f>_xlfn.IFNA(VLOOKUP(F98,'TES2'!C:I,6,0),"Data Tidak Ditemukan")</f>
        <v>TOP  MCU133-65    SN24</v>
      </c>
      <c r="J98" t="str">
        <f t="shared" ref="J98:J129" si="7">IF(I98="Data Tidak Ditemukan","TIDAK ADA DATA",LEFT(I98,5))</f>
        <v xml:space="preserve">TOP  </v>
      </c>
      <c r="K98">
        <v>382</v>
      </c>
      <c r="L98">
        <v>1.54</v>
      </c>
      <c r="M98">
        <v>588.28</v>
      </c>
      <c r="N98">
        <v>608</v>
      </c>
      <c r="O98">
        <f>IFERROR(IF(B98="MJ1",VLOOKUP(C98,TEMP!A:B,2,0)*OLAHAN!N98,OLAHAN!N98),N98)</f>
        <v>608</v>
      </c>
      <c r="Q98">
        <v>1.54</v>
      </c>
    </row>
    <row r="99" spans="1:17" x14ac:dyDescent="0.25">
      <c r="A99">
        <v>45384</v>
      </c>
      <c r="B99" t="s">
        <v>15</v>
      </c>
      <c r="C99" t="s">
        <v>101</v>
      </c>
      <c r="D99" t="str">
        <f t="shared" si="6"/>
        <v>45384-CNJ2-L4</v>
      </c>
      <c r="E99">
        <v>24001011</v>
      </c>
      <c r="F99">
        <v>182086</v>
      </c>
      <c r="G99" t="s">
        <v>96</v>
      </c>
      <c r="H99" t="str">
        <f>_xlfn.IFNA(VLOOKUP(F99,'TES2'!C:M,11,0),G99)</f>
        <v>MARUBENI CORPORATION JEPANG</v>
      </c>
      <c r="I99" t="str">
        <f>_xlfn.IFNA(VLOOKUP(F99,'TES2'!C:I,6,0),"Data Tidak Ditemukan")</f>
        <v>TOP  MCU133-91    SN24</v>
      </c>
      <c r="J99" t="str">
        <f t="shared" si="7"/>
        <v xml:space="preserve">TOP  </v>
      </c>
      <c r="K99">
        <v>410</v>
      </c>
      <c r="L99">
        <v>1.54</v>
      </c>
      <c r="M99">
        <v>631.4</v>
      </c>
      <c r="N99">
        <v>608</v>
      </c>
      <c r="O99">
        <f>IFERROR(IF(B99="MJ1",VLOOKUP(C99,TEMP!A:B,2,0)*OLAHAN!N99,OLAHAN!N99),N99)</f>
        <v>608</v>
      </c>
      <c r="Q99">
        <v>1.54</v>
      </c>
    </row>
    <row r="100" spans="1:17" x14ac:dyDescent="0.25">
      <c r="A100">
        <v>45384</v>
      </c>
      <c r="B100" t="s">
        <v>15</v>
      </c>
      <c r="C100" t="s">
        <v>102</v>
      </c>
      <c r="D100" t="str">
        <f t="shared" si="6"/>
        <v>45384-CNJ2-L5</v>
      </c>
      <c r="E100">
        <v>24001019</v>
      </c>
      <c r="F100">
        <v>182131</v>
      </c>
      <c r="G100" t="s">
        <v>100</v>
      </c>
      <c r="H100" t="str">
        <f>_xlfn.IFNA(VLOOKUP(F100,'TES2'!C:M,11,0),G100)</f>
        <v>PT. BUANA DAYA GEMILANG</v>
      </c>
      <c r="I100" t="str">
        <f>_xlfn.IFNA(VLOOKUP(F100,'TES2'!C:I,6,0),"Data Tidak Ditemukan")</f>
        <v>TSHRTBDGOREGON    LC24</v>
      </c>
      <c r="J100" t="str">
        <f t="shared" si="7"/>
        <v>TSHRT</v>
      </c>
      <c r="K100">
        <v>2108</v>
      </c>
      <c r="L100">
        <v>0.39</v>
      </c>
      <c r="M100">
        <v>822.12</v>
      </c>
      <c r="N100">
        <v>608</v>
      </c>
      <c r="O100">
        <f>IFERROR(IF(B100="MJ1",VLOOKUP(C100,TEMP!A:B,2,0)*OLAHAN!N100,OLAHAN!N100),N100)</f>
        <v>608</v>
      </c>
      <c r="Q100">
        <v>0.39</v>
      </c>
    </row>
    <row r="101" spans="1:17" x14ac:dyDescent="0.25">
      <c r="A101">
        <v>45384</v>
      </c>
      <c r="B101" t="s">
        <v>15</v>
      </c>
      <c r="C101" t="s">
        <v>103</v>
      </c>
      <c r="D101" t="str">
        <f t="shared" si="6"/>
        <v>45384-CNJ2-L6</v>
      </c>
      <c r="E101">
        <v>24001027</v>
      </c>
      <c r="F101">
        <v>182101</v>
      </c>
      <c r="G101" t="s">
        <v>96</v>
      </c>
      <c r="H101" t="str">
        <f>_xlfn.IFNA(VLOOKUP(F101,'TES2'!C:M,11,0),G101)</f>
        <v>MARUBENI CORPORATION JEPANG</v>
      </c>
      <c r="I101" t="str">
        <f>_xlfn.IFNA(VLOOKUP(F101,'TES2'!C:I,6,0),"Data Tidak Ditemukan")</f>
        <v>PANTSMCU155-91    SN24</v>
      </c>
      <c r="J101" t="str">
        <f t="shared" si="7"/>
        <v>PANTS</v>
      </c>
      <c r="K101">
        <v>500</v>
      </c>
      <c r="L101">
        <v>1.49</v>
      </c>
      <c r="M101">
        <v>745</v>
      </c>
      <c r="N101">
        <v>608</v>
      </c>
      <c r="O101">
        <f>IFERROR(IF(B101="MJ1",VLOOKUP(C101,TEMP!A:B,2,0)*OLAHAN!N101,OLAHAN!N101),N101)</f>
        <v>608</v>
      </c>
      <c r="Q101">
        <v>1.49</v>
      </c>
    </row>
    <row r="102" spans="1:17" x14ac:dyDescent="0.25">
      <c r="A102">
        <v>45384</v>
      </c>
      <c r="B102" t="s">
        <v>16</v>
      </c>
      <c r="C102" t="s">
        <v>95</v>
      </c>
      <c r="D102" t="str">
        <f t="shared" si="6"/>
        <v>45384-CVA-L1</v>
      </c>
      <c r="E102">
        <v>23001219</v>
      </c>
      <c r="F102">
        <v>181900</v>
      </c>
      <c r="G102" t="s">
        <v>104</v>
      </c>
      <c r="H102" t="str">
        <f>_xlfn.IFNA(VLOOKUP(F102,'TES2'!C:M,11,0),G102)</f>
        <v>ASMARA KARYA ABADI, PT.</v>
      </c>
      <c r="I102" t="str">
        <f>_xlfn.IFNA(VLOOKUP(F102,'TES2'!C:I,6,0),"Data Tidak Ditemukan")</f>
        <v>TOP  ARASK2153    SS24</v>
      </c>
      <c r="J102" t="str">
        <f t="shared" si="7"/>
        <v xml:space="preserve">TOP  </v>
      </c>
      <c r="K102">
        <v>280</v>
      </c>
      <c r="L102">
        <v>1.77</v>
      </c>
      <c r="M102">
        <v>495.6</v>
      </c>
      <c r="N102">
        <v>526</v>
      </c>
      <c r="O102">
        <f>IFERROR(IF(B102="MJ1",VLOOKUP(C102,TEMP!A:B,2,0)*OLAHAN!N102,OLAHAN!N102),N102)</f>
        <v>526</v>
      </c>
      <c r="Q102">
        <v>1.77</v>
      </c>
    </row>
    <row r="103" spans="1:17" x14ac:dyDescent="0.25">
      <c r="A103">
        <v>45384</v>
      </c>
      <c r="B103" t="s">
        <v>16</v>
      </c>
      <c r="C103" t="s">
        <v>105</v>
      </c>
      <c r="D103" t="str">
        <f t="shared" si="6"/>
        <v>45384-CVA-L10</v>
      </c>
      <c r="E103">
        <v>23001617</v>
      </c>
      <c r="F103">
        <v>181820</v>
      </c>
      <c r="G103" t="s">
        <v>106</v>
      </c>
      <c r="H103" t="str">
        <f>_xlfn.IFNA(VLOOKUP(F103,'TES2'!C:M,11,0),G103)</f>
        <v>MARUBENI FASHION LINK LTD.</v>
      </c>
      <c r="I103" t="str">
        <f>_xlfn.IFNA(VLOOKUP(F103,'TES2'!C:I,6,0),"Data Tidak Ditemukan")</f>
        <v>LEG  MFL24140     24AH</v>
      </c>
      <c r="J103" t="str">
        <f t="shared" si="7"/>
        <v xml:space="preserve">LEG  </v>
      </c>
      <c r="K103">
        <v>1240</v>
      </c>
      <c r="L103">
        <v>0.45</v>
      </c>
      <c r="M103">
        <v>558</v>
      </c>
      <c r="N103">
        <v>526</v>
      </c>
      <c r="O103">
        <f>IFERROR(IF(B103="MJ1",VLOOKUP(C103,TEMP!A:B,2,0)*OLAHAN!N103,OLAHAN!N103),N103)</f>
        <v>526</v>
      </c>
      <c r="Q103">
        <v>0.45</v>
      </c>
    </row>
    <row r="104" spans="1:17" x14ac:dyDescent="0.25">
      <c r="A104">
        <v>45384</v>
      </c>
      <c r="B104" t="s">
        <v>16</v>
      </c>
      <c r="C104" t="s">
        <v>97</v>
      </c>
      <c r="D104" t="str">
        <f t="shared" si="6"/>
        <v>45384-CVA-L2</v>
      </c>
      <c r="E104">
        <v>23001219</v>
      </c>
      <c r="F104">
        <v>181897</v>
      </c>
      <c r="G104" t="s">
        <v>104</v>
      </c>
      <c r="H104" t="str">
        <f>_xlfn.IFNA(VLOOKUP(F104,'TES2'!C:M,11,0),G104)</f>
        <v>ASMARA KARYA ABADI, PT.</v>
      </c>
      <c r="I104" t="str">
        <f>_xlfn.IFNA(VLOOKUP(F104,'TES2'!C:I,6,0),"Data Tidak Ditemukan")</f>
        <v>TOP  ARASK2153    SS24</v>
      </c>
      <c r="J104" t="str">
        <f t="shared" si="7"/>
        <v xml:space="preserve">TOP  </v>
      </c>
      <c r="K104">
        <v>55</v>
      </c>
      <c r="L104">
        <v>1.77</v>
      </c>
      <c r="M104">
        <v>97.35</v>
      </c>
      <c r="N104">
        <v>526</v>
      </c>
      <c r="O104">
        <f>IFERROR(IF(B104="MJ1",VLOOKUP(C104,TEMP!A:B,2,0)*OLAHAN!N104,OLAHAN!N104),N104)</f>
        <v>526</v>
      </c>
      <c r="Q104">
        <v>1.77</v>
      </c>
    </row>
    <row r="105" spans="1:17" x14ac:dyDescent="0.25">
      <c r="A105">
        <v>45384</v>
      </c>
      <c r="B105" t="s">
        <v>16</v>
      </c>
      <c r="C105" t="s">
        <v>97</v>
      </c>
      <c r="D105" t="str">
        <f t="shared" si="6"/>
        <v>45384-CVA-L2</v>
      </c>
      <c r="E105">
        <v>23001219</v>
      </c>
      <c r="F105">
        <v>181900</v>
      </c>
      <c r="G105" t="s">
        <v>104</v>
      </c>
      <c r="H105" t="str">
        <f>_xlfn.IFNA(VLOOKUP(F105,'TES2'!C:M,11,0),G105)</f>
        <v>ASMARA KARYA ABADI, PT.</v>
      </c>
      <c r="I105" t="str">
        <f>_xlfn.IFNA(VLOOKUP(F105,'TES2'!C:I,6,0),"Data Tidak Ditemukan")</f>
        <v>TOP  ARASK2153    SS24</v>
      </c>
      <c r="J105" t="str">
        <f t="shared" si="7"/>
        <v xml:space="preserve">TOP  </v>
      </c>
      <c r="K105">
        <v>225</v>
      </c>
      <c r="L105">
        <v>1.77</v>
      </c>
      <c r="M105">
        <v>398.25</v>
      </c>
      <c r="N105">
        <v>526</v>
      </c>
      <c r="O105">
        <f>IFERROR(IF(B105="MJ1",VLOOKUP(C105,TEMP!A:B,2,0)*OLAHAN!N105,OLAHAN!N105),N105)</f>
        <v>526</v>
      </c>
      <c r="Q105">
        <v>1.77</v>
      </c>
    </row>
    <row r="106" spans="1:17" x14ac:dyDescent="0.25">
      <c r="A106">
        <v>45384</v>
      </c>
      <c r="B106" t="s">
        <v>16</v>
      </c>
      <c r="C106" t="s">
        <v>99</v>
      </c>
      <c r="D106" t="str">
        <f t="shared" si="6"/>
        <v>45384-CVA-L3</v>
      </c>
      <c r="E106">
        <v>23001617</v>
      </c>
      <c r="F106">
        <v>181820</v>
      </c>
      <c r="G106" t="s">
        <v>106</v>
      </c>
      <c r="H106" t="str">
        <f>_xlfn.IFNA(VLOOKUP(F106,'TES2'!C:M,11,0),G106)</f>
        <v>MARUBENI FASHION LINK LTD.</v>
      </c>
      <c r="I106" t="str">
        <f>_xlfn.IFNA(VLOOKUP(F106,'TES2'!C:I,6,0),"Data Tidak Ditemukan")</f>
        <v>LEG  MFL24140     24AH</v>
      </c>
      <c r="J106" t="str">
        <f t="shared" si="7"/>
        <v xml:space="preserve">LEG  </v>
      </c>
      <c r="K106">
        <v>1455</v>
      </c>
      <c r="L106">
        <v>0.45</v>
      </c>
      <c r="M106">
        <v>654.75</v>
      </c>
      <c r="N106">
        <v>526</v>
      </c>
      <c r="O106">
        <f>IFERROR(IF(B106="MJ1",VLOOKUP(C106,TEMP!A:B,2,0)*OLAHAN!N106,OLAHAN!N106),N106)</f>
        <v>526</v>
      </c>
      <c r="Q106">
        <v>0.45</v>
      </c>
    </row>
    <row r="107" spans="1:17" x14ac:dyDescent="0.25">
      <c r="A107">
        <v>45384</v>
      </c>
      <c r="B107" t="s">
        <v>16</v>
      </c>
      <c r="C107" t="s">
        <v>101</v>
      </c>
      <c r="D107" t="str">
        <f t="shared" si="6"/>
        <v>45384-CVA-L4</v>
      </c>
      <c r="E107">
        <v>23001617</v>
      </c>
      <c r="F107">
        <v>181820</v>
      </c>
      <c r="G107" t="s">
        <v>106</v>
      </c>
      <c r="H107" t="str">
        <f>_xlfn.IFNA(VLOOKUP(F107,'TES2'!C:M,11,0),G107)</f>
        <v>MARUBENI FASHION LINK LTD.</v>
      </c>
      <c r="I107" t="str">
        <f>_xlfn.IFNA(VLOOKUP(F107,'TES2'!C:I,6,0),"Data Tidak Ditemukan")</f>
        <v>LEG  MFL24140     24AH</v>
      </c>
      <c r="J107" t="str">
        <f t="shared" si="7"/>
        <v xml:space="preserve">LEG  </v>
      </c>
      <c r="K107">
        <v>1520</v>
      </c>
      <c r="L107">
        <v>0.45</v>
      </c>
      <c r="M107">
        <v>684</v>
      </c>
      <c r="N107">
        <v>526</v>
      </c>
      <c r="O107">
        <f>IFERROR(IF(B107="MJ1",VLOOKUP(C107,TEMP!A:B,2,0)*OLAHAN!N107,OLAHAN!N107),N107)</f>
        <v>526</v>
      </c>
      <c r="Q107">
        <v>0.45</v>
      </c>
    </row>
    <row r="108" spans="1:17" x14ac:dyDescent="0.25">
      <c r="A108">
        <v>45384</v>
      </c>
      <c r="B108" t="s">
        <v>16</v>
      </c>
      <c r="C108" t="s">
        <v>102</v>
      </c>
      <c r="D108" t="str">
        <f t="shared" si="6"/>
        <v>45384-CVA-L5</v>
      </c>
      <c r="E108">
        <v>23001625</v>
      </c>
      <c r="F108">
        <v>181870</v>
      </c>
      <c r="G108" t="s">
        <v>106</v>
      </c>
      <c r="H108" t="str">
        <f>_xlfn.IFNA(VLOOKUP(F108,'TES2'!C:M,11,0),G108)</f>
        <v>MARUBENI FASHION LINK LTD.</v>
      </c>
      <c r="I108" t="str">
        <f>_xlfn.IFNA(VLOOKUP(F108,'TES2'!C:I,6,0),"Data Tidak Ditemukan")</f>
        <v>LEG  MFL54141     24AH</v>
      </c>
      <c r="J108" t="str">
        <f t="shared" si="7"/>
        <v xml:space="preserve">LEG  </v>
      </c>
      <c r="K108">
        <v>994</v>
      </c>
      <c r="L108">
        <v>0.3</v>
      </c>
      <c r="M108">
        <v>298.2</v>
      </c>
      <c r="N108">
        <v>526</v>
      </c>
      <c r="O108">
        <f>IFERROR(IF(B108="MJ1",VLOOKUP(C108,TEMP!A:B,2,0)*OLAHAN!N108,OLAHAN!N108),N108)</f>
        <v>526</v>
      </c>
      <c r="Q108">
        <v>0.3</v>
      </c>
    </row>
    <row r="109" spans="1:17" x14ac:dyDescent="0.25">
      <c r="A109">
        <v>45384</v>
      </c>
      <c r="B109" t="s">
        <v>16</v>
      </c>
      <c r="C109" t="s">
        <v>102</v>
      </c>
      <c r="D109" t="str">
        <f t="shared" si="6"/>
        <v>45384-CVA-L5</v>
      </c>
      <c r="E109">
        <v>23001627</v>
      </c>
      <c r="F109">
        <v>181872</v>
      </c>
      <c r="G109" t="s">
        <v>106</v>
      </c>
      <c r="H109" t="str">
        <f>_xlfn.IFNA(VLOOKUP(F109,'TES2'!C:M,11,0),G109)</f>
        <v>MARUBENI FASHION LINK LTD.</v>
      </c>
      <c r="I109" t="str">
        <f>_xlfn.IFNA(VLOOKUP(F109,'TES2'!C:I,6,0),"Data Tidak Ditemukan")</f>
        <v>LEG  MFL54141.2   24AH</v>
      </c>
      <c r="J109" t="str">
        <f t="shared" si="7"/>
        <v xml:space="preserve">LEG  </v>
      </c>
      <c r="K109">
        <v>486</v>
      </c>
      <c r="L109">
        <v>0.3</v>
      </c>
      <c r="M109">
        <v>145.80000000000001</v>
      </c>
      <c r="N109">
        <v>526</v>
      </c>
      <c r="O109">
        <f>IFERROR(IF(B109="MJ1",VLOOKUP(C109,TEMP!A:B,2,0)*OLAHAN!N109,OLAHAN!N109),N109)</f>
        <v>526</v>
      </c>
      <c r="Q109">
        <v>0.3</v>
      </c>
    </row>
    <row r="110" spans="1:17" x14ac:dyDescent="0.25">
      <c r="A110">
        <v>45384</v>
      </c>
      <c r="B110" t="s">
        <v>16</v>
      </c>
      <c r="C110" t="s">
        <v>103</v>
      </c>
      <c r="D110" t="str">
        <f t="shared" si="6"/>
        <v>45384-CVA-L6</v>
      </c>
      <c r="E110">
        <v>23001625</v>
      </c>
      <c r="F110">
        <v>181870</v>
      </c>
      <c r="G110" t="s">
        <v>106</v>
      </c>
      <c r="H110" t="str">
        <f>_xlfn.IFNA(VLOOKUP(F110,'TES2'!C:M,11,0),G110)</f>
        <v>MARUBENI FASHION LINK LTD.</v>
      </c>
      <c r="I110" t="str">
        <f>_xlfn.IFNA(VLOOKUP(F110,'TES2'!C:I,6,0),"Data Tidak Ditemukan")</f>
        <v>LEG  MFL54141     24AH</v>
      </c>
      <c r="J110" t="str">
        <f t="shared" si="7"/>
        <v xml:space="preserve">LEG  </v>
      </c>
      <c r="K110">
        <v>525</v>
      </c>
      <c r="L110">
        <v>0.3</v>
      </c>
      <c r="M110">
        <v>157.5</v>
      </c>
      <c r="N110">
        <v>526</v>
      </c>
      <c r="O110">
        <f>IFERROR(IF(B110="MJ1",VLOOKUP(C110,TEMP!A:B,2,0)*OLAHAN!N110,OLAHAN!N110),N110)</f>
        <v>526</v>
      </c>
      <c r="Q110">
        <v>0.3</v>
      </c>
    </row>
    <row r="111" spans="1:17" x14ac:dyDescent="0.25">
      <c r="A111">
        <v>45384</v>
      </c>
      <c r="B111" t="s">
        <v>16</v>
      </c>
      <c r="C111" t="s">
        <v>103</v>
      </c>
      <c r="D111" t="str">
        <f t="shared" si="6"/>
        <v>45384-CVA-L6</v>
      </c>
      <c r="E111">
        <v>23001627</v>
      </c>
      <c r="F111">
        <v>181872</v>
      </c>
      <c r="G111" t="s">
        <v>106</v>
      </c>
      <c r="H111" t="str">
        <f>_xlfn.IFNA(VLOOKUP(F111,'TES2'!C:M,11,0),G111)</f>
        <v>MARUBENI FASHION LINK LTD.</v>
      </c>
      <c r="I111" t="str">
        <f>_xlfn.IFNA(VLOOKUP(F111,'TES2'!C:I,6,0),"Data Tidak Ditemukan")</f>
        <v>LEG  MFL54141.2   24AH</v>
      </c>
      <c r="J111" t="str">
        <f t="shared" si="7"/>
        <v xml:space="preserve">LEG  </v>
      </c>
      <c r="K111">
        <v>965</v>
      </c>
      <c r="L111">
        <v>0.3</v>
      </c>
      <c r="M111">
        <v>289.5</v>
      </c>
      <c r="N111">
        <v>526</v>
      </c>
      <c r="O111">
        <f>IFERROR(IF(B111="MJ1",VLOOKUP(C111,TEMP!A:B,2,0)*OLAHAN!N111,OLAHAN!N111),N111)</f>
        <v>526</v>
      </c>
      <c r="Q111">
        <v>0.3</v>
      </c>
    </row>
    <row r="112" spans="1:17" x14ac:dyDescent="0.25">
      <c r="A112">
        <v>45384</v>
      </c>
      <c r="B112" t="s">
        <v>16</v>
      </c>
      <c r="C112" t="s">
        <v>107</v>
      </c>
      <c r="D112" t="str">
        <f t="shared" si="6"/>
        <v>45384-CVA-L7</v>
      </c>
      <c r="E112">
        <v>23001170</v>
      </c>
      <c r="F112">
        <v>181693</v>
      </c>
      <c r="G112" t="s">
        <v>108</v>
      </c>
      <c r="H112" t="str">
        <f>_xlfn.IFNA(VLOOKUP(F112,'TES2'!C:M,11,0),G112)</f>
        <v>KANMO RETAIL GROUP</v>
      </c>
      <c r="I112" t="str">
        <f>_xlfn.IFNA(VLOOKUP(F112,'TES2'!C:I,6,0),"Data Tidak Ditemukan")</f>
        <v>LEG  MOTHC659     SS24</v>
      </c>
      <c r="J112" t="str">
        <f t="shared" si="7"/>
        <v xml:space="preserve">LEG  </v>
      </c>
      <c r="K112">
        <v>630</v>
      </c>
      <c r="L112">
        <v>1.35</v>
      </c>
      <c r="M112">
        <v>850.5</v>
      </c>
      <c r="N112">
        <v>526</v>
      </c>
      <c r="O112">
        <f>IFERROR(IF(B112="MJ1",VLOOKUP(C112,TEMP!A:B,2,0)*OLAHAN!N112,OLAHAN!N112),N112)</f>
        <v>526</v>
      </c>
      <c r="Q112">
        <v>1.35</v>
      </c>
    </row>
    <row r="113" spans="1:17" x14ac:dyDescent="0.25">
      <c r="A113">
        <v>45384</v>
      </c>
      <c r="B113" t="s">
        <v>16</v>
      </c>
      <c r="C113" t="s">
        <v>109</v>
      </c>
      <c r="D113" t="str">
        <f t="shared" si="6"/>
        <v>45384-CVA-L8</v>
      </c>
      <c r="E113">
        <v>23001170</v>
      </c>
      <c r="F113">
        <v>181693</v>
      </c>
      <c r="G113" t="s">
        <v>108</v>
      </c>
      <c r="H113" t="str">
        <f>_xlfn.IFNA(VLOOKUP(F113,'TES2'!C:M,11,0),G113)</f>
        <v>KANMO RETAIL GROUP</v>
      </c>
      <c r="I113" t="str">
        <f>_xlfn.IFNA(VLOOKUP(F113,'TES2'!C:I,6,0),"Data Tidak Ditemukan")</f>
        <v>LEG  MOTHC659     SS24</v>
      </c>
      <c r="J113" t="str">
        <f t="shared" si="7"/>
        <v xml:space="preserve">LEG  </v>
      </c>
      <c r="K113">
        <v>304</v>
      </c>
      <c r="L113">
        <v>1.35</v>
      </c>
      <c r="M113">
        <v>410.4</v>
      </c>
      <c r="N113">
        <v>526</v>
      </c>
      <c r="O113">
        <f>IFERROR(IF(B113="MJ1",VLOOKUP(C113,TEMP!A:B,2,0)*OLAHAN!N113,OLAHAN!N113),N113)</f>
        <v>526</v>
      </c>
      <c r="Q113">
        <v>1.35</v>
      </c>
    </row>
    <row r="114" spans="1:17" x14ac:dyDescent="0.25">
      <c r="A114">
        <v>45384</v>
      </c>
      <c r="B114" t="s">
        <v>16</v>
      </c>
      <c r="C114" t="s">
        <v>109</v>
      </c>
      <c r="D114" t="str">
        <f t="shared" si="6"/>
        <v>45384-CVA-L8</v>
      </c>
      <c r="E114">
        <v>23001171</v>
      </c>
      <c r="F114">
        <v>181694</v>
      </c>
      <c r="G114" t="s">
        <v>108</v>
      </c>
      <c r="H114" t="str">
        <f>_xlfn.IFNA(VLOOKUP(F114,'TES2'!C:M,11,0),G114)</f>
        <v>KANMO RETAIL GROUP</v>
      </c>
      <c r="I114" t="str">
        <f>_xlfn.IFNA(VLOOKUP(F114,'TES2'!C:I,6,0),"Data Tidak Ditemukan")</f>
        <v>LEG  MOTHC912     SS24</v>
      </c>
      <c r="J114" t="str">
        <f t="shared" si="7"/>
        <v xml:space="preserve">LEG  </v>
      </c>
      <c r="K114">
        <v>76</v>
      </c>
      <c r="L114">
        <v>1.28</v>
      </c>
      <c r="M114">
        <v>97.28</v>
      </c>
      <c r="N114">
        <v>526</v>
      </c>
      <c r="O114">
        <f>IFERROR(IF(B114="MJ1",VLOOKUP(C114,TEMP!A:B,2,0)*OLAHAN!N114,OLAHAN!N114),N114)</f>
        <v>526</v>
      </c>
      <c r="Q114">
        <v>1.28</v>
      </c>
    </row>
    <row r="115" spans="1:17" x14ac:dyDescent="0.25">
      <c r="A115">
        <v>45384</v>
      </c>
      <c r="B115" t="s">
        <v>16</v>
      </c>
      <c r="C115" t="s">
        <v>109</v>
      </c>
      <c r="D115" t="str">
        <f t="shared" si="6"/>
        <v>45384-CVA-L8</v>
      </c>
      <c r="E115">
        <v>23001172</v>
      </c>
      <c r="F115">
        <v>181695</v>
      </c>
      <c r="G115" t="s">
        <v>108</v>
      </c>
      <c r="H115" t="str">
        <f>_xlfn.IFNA(VLOOKUP(F115,'TES2'!C:M,11,0),G115)</f>
        <v>KANMO RETAIL GROUP</v>
      </c>
      <c r="I115" t="str">
        <f>_xlfn.IFNA(VLOOKUP(F115,'TES2'!C:I,6,0),"Data Tidak Ditemukan")</f>
        <v>LEG  MOTHC927     SS24</v>
      </c>
      <c r="J115" t="str">
        <f t="shared" si="7"/>
        <v xml:space="preserve">LEG  </v>
      </c>
      <c r="K115">
        <v>60</v>
      </c>
      <c r="L115">
        <v>1.39</v>
      </c>
      <c r="M115">
        <v>83.4</v>
      </c>
      <c r="N115">
        <v>526</v>
      </c>
      <c r="O115">
        <f>IFERROR(IF(B115="MJ1",VLOOKUP(C115,TEMP!A:B,2,0)*OLAHAN!N115,OLAHAN!N115),N115)</f>
        <v>526</v>
      </c>
      <c r="Q115">
        <v>1.39</v>
      </c>
    </row>
    <row r="116" spans="1:17" x14ac:dyDescent="0.25">
      <c r="A116">
        <v>45384</v>
      </c>
      <c r="B116" t="s">
        <v>16</v>
      </c>
      <c r="C116" t="s">
        <v>110</v>
      </c>
      <c r="D116" t="str">
        <f t="shared" si="6"/>
        <v>45384-CVA-L9</v>
      </c>
      <c r="E116">
        <v>23001617</v>
      </c>
      <c r="F116">
        <v>181820</v>
      </c>
      <c r="G116" t="s">
        <v>106</v>
      </c>
      <c r="H116" t="str">
        <f>_xlfn.IFNA(VLOOKUP(F116,'TES2'!C:M,11,0),G116)</f>
        <v>MARUBENI FASHION LINK LTD.</v>
      </c>
      <c r="I116" t="str">
        <f>_xlfn.IFNA(VLOOKUP(F116,'TES2'!C:I,6,0),"Data Tidak Ditemukan")</f>
        <v>LEG  MFL24140     24AH</v>
      </c>
      <c r="J116" t="str">
        <f t="shared" si="7"/>
        <v xml:space="preserve">LEG  </v>
      </c>
      <c r="K116">
        <v>1140</v>
      </c>
      <c r="L116">
        <v>0.45</v>
      </c>
      <c r="M116">
        <v>513</v>
      </c>
      <c r="N116">
        <v>526</v>
      </c>
      <c r="O116">
        <f>IFERROR(IF(B116="MJ1",VLOOKUP(C116,TEMP!A:B,2,0)*OLAHAN!N116,OLAHAN!N116),N116)</f>
        <v>526</v>
      </c>
      <c r="Q116">
        <v>0.45</v>
      </c>
    </row>
    <row r="117" spans="1:17" x14ac:dyDescent="0.25">
      <c r="A117">
        <v>45384</v>
      </c>
      <c r="B117" t="s">
        <v>85</v>
      </c>
      <c r="C117" t="s">
        <v>95</v>
      </c>
      <c r="D117" t="str">
        <f t="shared" si="6"/>
        <v>45384-CVA2-L1</v>
      </c>
      <c r="E117">
        <v>23001617</v>
      </c>
      <c r="F117">
        <v>181820</v>
      </c>
      <c r="G117" t="s">
        <v>106</v>
      </c>
      <c r="H117" t="str">
        <f>_xlfn.IFNA(VLOOKUP(F117,'TES2'!C:M,11,0),G117)</f>
        <v>MARUBENI FASHION LINK LTD.</v>
      </c>
      <c r="I117" t="str">
        <f>_xlfn.IFNA(VLOOKUP(F117,'TES2'!C:I,6,0),"Data Tidak Ditemukan")</f>
        <v>LEG  MFL24140     24AH</v>
      </c>
      <c r="J117" t="str">
        <f t="shared" si="7"/>
        <v xml:space="preserve">LEG  </v>
      </c>
      <c r="K117">
        <v>575</v>
      </c>
      <c r="L117">
        <v>0.45</v>
      </c>
      <c r="M117">
        <v>258.75</v>
      </c>
      <c r="N117">
        <v>305</v>
      </c>
      <c r="O117">
        <f>IFERROR(IF(B117="MJ1",VLOOKUP(C117,TEMP!A:B,2,0)*OLAHAN!N117,OLAHAN!N117),N117)</f>
        <v>305</v>
      </c>
      <c r="Q117">
        <v>0.45</v>
      </c>
    </row>
    <row r="118" spans="1:17" x14ac:dyDescent="0.25">
      <c r="A118">
        <v>45384</v>
      </c>
      <c r="B118" t="s">
        <v>85</v>
      </c>
      <c r="C118" t="s">
        <v>97</v>
      </c>
      <c r="D118" t="str">
        <f t="shared" si="6"/>
        <v>45384-CVA2-L2</v>
      </c>
      <c r="E118">
        <v>23001617</v>
      </c>
      <c r="F118">
        <v>181820</v>
      </c>
      <c r="G118" t="s">
        <v>106</v>
      </c>
      <c r="H118" t="str">
        <f>_xlfn.IFNA(VLOOKUP(F118,'TES2'!C:M,11,0),G118)</f>
        <v>MARUBENI FASHION LINK LTD.</v>
      </c>
      <c r="I118" t="str">
        <f>_xlfn.IFNA(VLOOKUP(F118,'TES2'!C:I,6,0),"Data Tidak Ditemukan")</f>
        <v>LEG  MFL24140     24AH</v>
      </c>
      <c r="J118" t="str">
        <f t="shared" si="7"/>
        <v xml:space="preserve">LEG  </v>
      </c>
      <c r="K118">
        <v>551</v>
      </c>
      <c r="L118">
        <v>0.45</v>
      </c>
      <c r="M118">
        <v>247.95</v>
      </c>
      <c r="N118">
        <v>305</v>
      </c>
      <c r="O118">
        <f>IFERROR(IF(B118="MJ1",VLOOKUP(C118,TEMP!A:B,2,0)*OLAHAN!N118,OLAHAN!N118),N118)</f>
        <v>305</v>
      </c>
      <c r="Q118">
        <v>0.45</v>
      </c>
    </row>
    <row r="119" spans="1:17" x14ac:dyDescent="0.25">
      <c r="A119">
        <v>45384</v>
      </c>
      <c r="B119" t="s">
        <v>17</v>
      </c>
      <c r="C119" t="s">
        <v>111</v>
      </c>
      <c r="D119" t="str">
        <f t="shared" si="6"/>
        <v>45384-KLB-L1A</v>
      </c>
      <c r="E119">
        <v>24001108</v>
      </c>
      <c r="F119">
        <v>182137</v>
      </c>
      <c r="G119" t="s">
        <v>112</v>
      </c>
      <c r="H119" t="str">
        <f>_xlfn.IFNA(VLOOKUP(F119,'TES2'!C:M,11,0),G119)</f>
        <v>AGRON, INC.</v>
      </c>
      <c r="I119" t="str">
        <f>_xlfn.IFNA(VLOOKUP(F119,'TES2'!C:I,6,0),"Data Tidak Ditemukan")</f>
        <v>BRF  ADS5158041   24R1</v>
      </c>
      <c r="J119" t="str">
        <f t="shared" si="7"/>
        <v xml:space="preserve">BRF  </v>
      </c>
      <c r="K119">
        <v>2295</v>
      </c>
      <c r="L119">
        <v>0.65</v>
      </c>
      <c r="M119">
        <v>1491.75</v>
      </c>
      <c r="N119">
        <v>841</v>
      </c>
      <c r="O119">
        <f>IFERROR(IF(B119="MJ1",VLOOKUP(C119,TEMP!A:B,2,0)*OLAHAN!N119,OLAHAN!N119),N119)</f>
        <v>841</v>
      </c>
      <c r="Q119">
        <v>0.65</v>
      </c>
    </row>
    <row r="120" spans="1:17" x14ac:dyDescent="0.25">
      <c r="A120">
        <v>45384</v>
      </c>
      <c r="B120" t="s">
        <v>17</v>
      </c>
      <c r="C120" t="s">
        <v>113</v>
      </c>
      <c r="D120" t="str">
        <f t="shared" si="6"/>
        <v>45384-KLB-L1B</v>
      </c>
      <c r="E120">
        <v>24001071</v>
      </c>
      <c r="F120">
        <v>182135</v>
      </c>
      <c r="G120" t="s">
        <v>112</v>
      </c>
      <c r="H120" t="str">
        <f>_xlfn.IFNA(VLOOKUP(F120,'TES2'!C:M,11,0),G120)</f>
        <v>AGRON, INC.</v>
      </c>
      <c r="I120" t="str">
        <f>_xlfn.IFNA(VLOOKUP(F120,'TES2'!C:I,6,0),"Data Tidak Ditemukan")</f>
        <v>BRF  ADS5158043   24R3</v>
      </c>
      <c r="J120" t="str">
        <f t="shared" si="7"/>
        <v xml:space="preserve">BRF  </v>
      </c>
      <c r="K120">
        <v>2</v>
      </c>
      <c r="L120">
        <v>0.65</v>
      </c>
      <c r="M120">
        <v>1.3</v>
      </c>
      <c r="N120">
        <v>841</v>
      </c>
      <c r="O120">
        <f>IFERROR(IF(B120="MJ1",VLOOKUP(C120,TEMP!A:B,2,0)*OLAHAN!N120,OLAHAN!N120),N120)</f>
        <v>841</v>
      </c>
      <c r="Q120">
        <v>0.65</v>
      </c>
    </row>
    <row r="121" spans="1:17" x14ac:dyDescent="0.25">
      <c r="A121">
        <v>45384</v>
      </c>
      <c r="B121" t="s">
        <v>17</v>
      </c>
      <c r="C121" t="s">
        <v>113</v>
      </c>
      <c r="D121" t="str">
        <f t="shared" si="6"/>
        <v>45384-KLB-L1B</v>
      </c>
      <c r="E121">
        <v>24001108</v>
      </c>
      <c r="F121">
        <v>182137</v>
      </c>
      <c r="G121" t="s">
        <v>112</v>
      </c>
      <c r="H121" t="str">
        <f>_xlfn.IFNA(VLOOKUP(F121,'TES2'!C:M,11,0),G121)</f>
        <v>AGRON, INC.</v>
      </c>
      <c r="I121" t="str">
        <f>_xlfn.IFNA(VLOOKUP(F121,'TES2'!C:I,6,0),"Data Tidak Ditemukan")</f>
        <v>BRF  ADS5158041   24R1</v>
      </c>
      <c r="J121" t="str">
        <f t="shared" si="7"/>
        <v xml:space="preserve">BRF  </v>
      </c>
      <c r="K121">
        <v>2368</v>
      </c>
      <c r="L121">
        <v>0.65</v>
      </c>
      <c r="M121">
        <v>1539.2</v>
      </c>
      <c r="N121">
        <v>841</v>
      </c>
      <c r="O121">
        <f>IFERROR(IF(B121="MJ1",VLOOKUP(C121,TEMP!A:B,2,0)*OLAHAN!N121,OLAHAN!N121),N121)</f>
        <v>841</v>
      </c>
      <c r="Q121">
        <v>0.65</v>
      </c>
    </row>
    <row r="122" spans="1:17" x14ac:dyDescent="0.25">
      <c r="A122">
        <v>45384</v>
      </c>
      <c r="B122" t="s">
        <v>17</v>
      </c>
      <c r="C122" t="s">
        <v>114</v>
      </c>
      <c r="D122" t="str">
        <f t="shared" si="6"/>
        <v>45384-KLB-L2A</v>
      </c>
      <c r="E122">
        <v>24001071</v>
      </c>
      <c r="F122">
        <v>182135</v>
      </c>
      <c r="G122" t="s">
        <v>112</v>
      </c>
      <c r="H122" t="str">
        <f>_xlfn.IFNA(VLOOKUP(F122,'TES2'!C:M,11,0),G122)</f>
        <v>AGRON, INC.</v>
      </c>
      <c r="I122" t="str">
        <f>_xlfn.IFNA(VLOOKUP(F122,'TES2'!C:I,6,0),"Data Tidak Ditemukan")</f>
        <v>BRF  ADS5158043   24R3</v>
      </c>
      <c r="J122" t="str">
        <f t="shared" si="7"/>
        <v xml:space="preserve">BRF  </v>
      </c>
      <c r="K122">
        <v>9</v>
      </c>
      <c r="L122">
        <v>0.65</v>
      </c>
      <c r="M122">
        <v>5.85</v>
      </c>
      <c r="N122">
        <v>841</v>
      </c>
      <c r="O122">
        <f>IFERROR(IF(B122="MJ1",VLOOKUP(C122,TEMP!A:B,2,0)*OLAHAN!N122,OLAHAN!N122),N122)</f>
        <v>841</v>
      </c>
      <c r="Q122">
        <v>0.65</v>
      </c>
    </row>
    <row r="123" spans="1:17" x14ac:dyDescent="0.25">
      <c r="A123">
        <v>45384</v>
      </c>
      <c r="B123" t="s">
        <v>17</v>
      </c>
      <c r="C123" t="s">
        <v>114</v>
      </c>
      <c r="D123" t="str">
        <f t="shared" si="6"/>
        <v>45384-KLB-L2A</v>
      </c>
      <c r="E123">
        <v>24001072</v>
      </c>
      <c r="F123">
        <v>182136</v>
      </c>
      <c r="G123" t="s">
        <v>112</v>
      </c>
      <c r="H123" t="str">
        <f>_xlfn.IFNA(VLOOKUP(F123,'TES2'!C:M,11,0),G123)</f>
        <v>AGRON, INC.</v>
      </c>
      <c r="I123" t="str">
        <f>_xlfn.IFNA(VLOOKUP(F123,'TES2'!C:I,6,0),"Data Tidak Ditemukan")</f>
        <v>BRF  ADS5158043XXLSN24</v>
      </c>
      <c r="J123" t="str">
        <f t="shared" si="7"/>
        <v xml:space="preserve">BRF  </v>
      </c>
      <c r="K123">
        <v>4</v>
      </c>
      <c r="L123">
        <v>0.65</v>
      </c>
      <c r="M123">
        <v>2.6</v>
      </c>
      <c r="N123">
        <v>841</v>
      </c>
      <c r="O123">
        <f>IFERROR(IF(B123="MJ1",VLOOKUP(C123,TEMP!A:B,2,0)*OLAHAN!N123,OLAHAN!N123),N123)</f>
        <v>841</v>
      </c>
      <c r="Q123">
        <v>0.65</v>
      </c>
    </row>
    <row r="124" spans="1:17" x14ac:dyDescent="0.25">
      <c r="A124">
        <v>45384</v>
      </c>
      <c r="B124" t="s">
        <v>17</v>
      </c>
      <c r="C124" t="s">
        <v>114</v>
      </c>
      <c r="D124" t="str">
        <f t="shared" si="6"/>
        <v>45384-KLB-L2A</v>
      </c>
      <c r="E124">
        <v>24001108</v>
      </c>
      <c r="F124">
        <v>182137</v>
      </c>
      <c r="G124" t="s">
        <v>112</v>
      </c>
      <c r="H124" t="str">
        <f>_xlfn.IFNA(VLOOKUP(F124,'TES2'!C:M,11,0),G124)</f>
        <v>AGRON, INC.</v>
      </c>
      <c r="I124" t="str">
        <f>_xlfn.IFNA(VLOOKUP(F124,'TES2'!C:I,6,0),"Data Tidak Ditemukan")</f>
        <v>BRF  ADS5158041   24R1</v>
      </c>
      <c r="J124" t="str">
        <f t="shared" si="7"/>
        <v xml:space="preserve">BRF  </v>
      </c>
      <c r="K124">
        <v>1865</v>
      </c>
      <c r="L124">
        <v>0.65</v>
      </c>
      <c r="M124">
        <v>1212.25</v>
      </c>
      <c r="N124">
        <v>841</v>
      </c>
      <c r="O124">
        <f>IFERROR(IF(B124="MJ1",VLOOKUP(C124,TEMP!A:B,2,0)*OLAHAN!N124,OLAHAN!N124),N124)</f>
        <v>841</v>
      </c>
      <c r="Q124">
        <v>0.65</v>
      </c>
    </row>
    <row r="125" spans="1:17" x14ac:dyDescent="0.25">
      <c r="A125">
        <v>45384</v>
      </c>
      <c r="B125" t="s">
        <v>17</v>
      </c>
      <c r="C125" t="s">
        <v>115</v>
      </c>
      <c r="D125" t="str">
        <f t="shared" si="6"/>
        <v>45384-KLB-L2B</v>
      </c>
      <c r="E125">
        <v>24001108</v>
      </c>
      <c r="F125">
        <v>182137</v>
      </c>
      <c r="G125" t="s">
        <v>112</v>
      </c>
      <c r="H125" t="str">
        <f>_xlfn.IFNA(VLOOKUP(F125,'TES2'!C:M,11,0),G125)</f>
        <v>AGRON, INC.</v>
      </c>
      <c r="I125" t="str">
        <f>_xlfn.IFNA(VLOOKUP(F125,'TES2'!C:I,6,0),"Data Tidak Ditemukan")</f>
        <v>BRF  ADS5158041   24R1</v>
      </c>
      <c r="J125" t="str">
        <f t="shared" si="7"/>
        <v xml:space="preserve">BRF  </v>
      </c>
      <c r="K125">
        <v>1975</v>
      </c>
      <c r="L125">
        <v>0.65</v>
      </c>
      <c r="M125">
        <v>1283.75</v>
      </c>
      <c r="N125">
        <v>841</v>
      </c>
      <c r="O125">
        <f>IFERROR(IF(B125="MJ1",VLOOKUP(C125,TEMP!A:B,2,0)*OLAHAN!N125,OLAHAN!N125),N125)</f>
        <v>841</v>
      </c>
      <c r="Q125">
        <v>0.65</v>
      </c>
    </row>
    <row r="126" spans="1:17" x14ac:dyDescent="0.25">
      <c r="A126">
        <v>45384</v>
      </c>
      <c r="B126" t="s">
        <v>17</v>
      </c>
      <c r="C126" t="s">
        <v>116</v>
      </c>
      <c r="D126" t="str">
        <f t="shared" si="6"/>
        <v>45384-KLB-L3A</v>
      </c>
      <c r="E126">
        <v>24001071</v>
      </c>
      <c r="F126">
        <v>182135</v>
      </c>
      <c r="G126" t="s">
        <v>112</v>
      </c>
      <c r="H126" t="str">
        <f>_xlfn.IFNA(VLOOKUP(F126,'TES2'!C:M,11,0),G126)</f>
        <v>AGRON, INC.</v>
      </c>
      <c r="I126" t="str">
        <f>_xlfn.IFNA(VLOOKUP(F126,'TES2'!C:I,6,0),"Data Tidak Ditemukan")</f>
        <v>BRF  ADS5158043   24R3</v>
      </c>
      <c r="J126" t="str">
        <f t="shared" si="7"/>
        <v xml:space="preserve">BRF  </v>
      </c>
      <c r="K126">
        <v>200</v>
      </c>
      <c r="L126">
        <v>0.65</v>
      </c>
      <c r="M126">
        <v>130</v>
      </c>
      <c r="N126">
        <v>841</v>
      </c>
      <c r="O126">
        <f>IFERROR(IF(B126="MJ1",VLOOKUP(C126,TEMP!A:B,2,0)*OLAHAN!N126,OLAHAN!N126),N126)</f>
        <v>841</v>
      </c>
      <c r="Q126">
        <v>0.65</v>
      </c>
    </row>
    <row r="127" spans="1:17" x14ac:dyDescent="0.25">
      <c r="A127">
        <v>45384</v>
      </c>
      <c r="B127" t="s">
        <v>17</v>
      </c>
      <c r="C127" t="s">
        <v>116</v>
      </c>
      <c r="D127" t="str">
        <f t="shared" si="6"/>
        <v>45384-KLB-L3A</v>
      </c>
      <c r="E127">
        <v>24001108</v>
      </c>
      <c r="F127">
        <v>182137</v>
      </c>
      <c r="G127" t="s">
        <v>112</v>
      </c>
      <c r="H127" t="str">
        <f>_xlfn.IFNA(VLOOKUP(F127,'TES2'!C:M,11,0),G127)</f>
        <v>AGRON, INC.</v>
      </c>
      <c r="I127" t="str">
        <f>_xlfn.IFNA(VLOOKUP(F127,'TES2'!C:I,6,0),"Data Tidak Ditemukan")</f>
        <v>BRF  ADS5158041   24R1</v>
      </c>
      <c r="J127" t="str">
        <f t="shared" si="7"/>
        <v xml:space="preserve">BRF  </v>
      </c>
      <c r="K127">
        <v>1945</v>
      </c>
      <c r="L127">
        <v>0.65</v>
      </c>
      <c r="M127">
        <v>1264.25</v>
      </c>
      <c r="N127">
        <v>841</v>
      </c>
      <c r="O127">
        <f>IFERROR(IF(B127="MJ1",VLOOKUP(C127,TEMP!A:B,2,0)*OLAHAN!N127,OLAHAN!N127),N127)</f>
        <v>841</v>
      </c>
      <c r="Q127">
        <v>0.65</v>
      </c>
    </row>
    <row r="128" spans="1:17" x14ac:dyDescent="0.25">
      <c r="A128">
        <v>45384</v>
      </c>
      <c r="B128" t="s">
        <v>17</v>
      </c>
      <c r="C128" t="s">
        <v>117</v>
      </c>
      <c r="D128" t="str">
        <f t="shared" si="6"/>
        <v>45384-KLB-L3B</v>
      </c>
      <c r="E128">
        <v>24001108</v>
      </c>
      <c r="F128">
        <v>182137</v>
      </c>
      <c r="G128" t="s">
        <v>112</v>
      </c>
      <c r="H128" t="str">
        <f>_xlfn.IFNA(VLOOKUP(F128,'TES2'!C:M,11,0),G128)</f>
        <v>AGRON, INC.</v>
      </c>
      <c r="I128" t="str">
        <f>_xlfn.IFNA(VLOOKUP(F128,'TES2'!C:I,6,0),"Data Tidak Ditemukan")</f>
        <v>BRF  ADS5158041   24R1</v>
      </c>
      <c r="J128" t="str">
        <f t="shared" si="7"/>
        <v xml:space="preserve">BRF  </v>
      </c>
      <c r="K128">
        <v>2290</v>
      </c>
      <c r="L128">
        <v>0.65</v>
      </c>
      <c r="M128">
        <v>1488.5</v>
      </c>
      <c r="N128">
        <v>841</v>
      </c>
      <c r="O128">
        <f>IFERROR(IF(B128="MJ1",VLOOKUP(C128,TEMP!A:B,2,0)*OLAHAN!N128,OLAHAN!N128),N128)</f>
        <v>841</v>
      </c>
      <c r="Q128">
        <v>0.65</v>
      </c>
    </row>
    <row r="129" spans="1:17" x14ac:dyDescent="0.25">
      <c r="A129">
        <v>45384</v>
      </c>
      <c r="B129" t="s">
        <v>18</v>
      </c>
      <c r="C129" t="s">
        <v>95</v>
      </c>
      <c r="D129" t="str">
        <f t="shared" si="6"/>
        <v>45384-MJ1-L1</v>
      </c>
      <c r="E129">
        <v>24001092</v>
      </c>
      <c r="F129">
        <v>182173</v>
      </c>
      <c r="G129" t="s">
        <v>112</v>
      </c>
      <c r="H129" t="str">
        <f>_xlfn.IFNA(VLOOKUP(F129,'TES2'!C:M,11,0),G129)</f>
        <v>AGRON, INC.</v>
      </c>
      <c r="I129" t="str">
        <f>_xlfn.IFNA(VLOOKUP(F129,'TES2'!C:I,6,0),"Data Tidak Ditemukan")</f>
        <v>BRF  ADS5158590   24R1</v>
      </c>
      <c r="J129" t="str">
        <f t="shared" si="7"/>
        <v xml:space="preserve">BRF  </v>
      </c>
      <c r="K129">
        <v>2616</v>
      </c>
      <c r="L129">
        <v>0.7</v>
      </c>
      <c r="M129">
        <v>1831.2</v>
      </c>
      <c r="N129">
        <v>986</v>
      </c>
      <c r="O129">
        <f>IFERROR(IF(B129="MJ1",VLOOKUP(C129,TEMP!A:B,2,0)*OLAHAN!N129,OLAHAN!N129),N129)</f>
        <v>986</v>
      </c>
      <c r="Q129">
        <v>0.7</v>
      </c>
    </row>
    <row r="130" spans="1:17" x14ac:dyDescent="0.25">
      <c r="A130">
        <v>45384</v>
      </c>
      <c r="B130" t="s">
        <v>18</v>
      </c>
      <c r="C130" t="s">
        <v>95</v>
      </c>
      <c r="D130" t="str">
        <f t="shared" ref="D130:D161" si="8">A130&amp;"-"&amp;B130&amp;"-"&amp;C130</f>
        <v>45384-MJ1-L1</v>
      </c>
      <c r="E130">
        <v>24001093</v>
      </c>
      <c r="F130">
        <v>182197</v>
      </c>
      <c r="G130" t="s">
        <v>112</v>
      </c>
      <c r="H130" t="str">
        <f>_xlfn.IFNA(VLOOKUP(F130,'TES2'!C:M,11,0),G130)</f>
        <v>AGRON, INC.</v>
      </c>
      <c r="I130" t="str">
        <f>_xlfn.IFNA(VLOOKUP(F130,'TES2'!C:I,6,0),"Data Tidak Ditemukan")</f>
        <v>BRF  ADS5158618   24R1</v>
      </c>
      <c r="J130" t="str">
        <f t="shared" ref="J130:J161" si="9">IF(I130="Data Tidak Ditemukan","TIDAK ADA DATA",LEFT(I130,5))</f>
        <v xml:space="preserve">BRF  </v>
      </c>
      <c r="K130">
        <v>35</v>
      </c>
      <c r="L130">
        <v>0.7</v>
      </c>
      <c r="M130">
        <v>24.5</v>
      </c>
      <c r="N130">
        <v>986</v>
      </c>
      <c r="O130">
        <f>IFERROR(IF(B130="MJ1",VLOOKUP(C130,TEMP!A:B,2,0)*OLAHAN!N130,OLAHAN!N130),N130)</f>
        <v>986</v>
      </c>
      <c r="Q130">
        <v>0.7</v>
      </c>
    </row>
    <row r="131" spans="1:17" x14ac:dyDescent="0.25">
      <c r="A131">
        <v>45384</v>
      </c>
      <c r="B131" t="s">
        <v>18</v>
      </c>
      <c r="C131" t="s">
        <v>118</v>
      </c>
      <c r="D131" t="str">
        <f t="shared" si="8"/>
        <v>45384-MJ1-L11</v>
      </c>
      <c r="E131">
        <v>24001088</v>
      </c>
      <c r="F131">
        <v>182167</v>
      </c>
      <c r="G131" t="s">
        <v>112</v>
      </c>
      <c r="H131" t="str">
        <f>_xlfn.IFNA(VLOOKUP(F131,'TES2'!C:M,11,0),G131)</f>
        <v>AGRON, INC.</v>
      </c>
      <c r="I131" t="str">
        <f>_xlfn.IFNA(VLOOKUP(F131,'TES2'!C:I,6,0),"Data Tidak Ditemukan")</f>
        <v>BRF  ADS5158007   24R2</v>
      </c>
      <c r="J131" t="str">
        <f t="shared" si="9"/>
        <v xml:space="preserve">BRF  </v>
      </c>
      <c r="K131">
        <v>1678</v>
      </c>
      <c r="L131">
        <v>0.8</v>
      </c>
      <c r="M131">
        <v>1342.4</v>
      </c>
      <c r="N131">
        <v>986</v>
      </c>
      <c r="O131">
        <f>IFERROR(IF(B131="MJ1",VLOOKUP(C131,TEMP!A:B,2,0)*OLAHAN!N131,OLAHAN!N131),N131)</f>
        <v>986</v>
      </c>
      <c r="Q131">
        <v>0.8</v>
      </c>
    </row>
    <row r="132" spans="1:17" x14ac:dyDescent="0.25">
      <c r="A132">
        <v>45384</v>
      </c>
      <c r="B132" t="s">
        <v>18</v>
      </c>
      <c r="C132" t="s">
        <v>119</v>
      </c>
      <c r="D132" t="str">
        <f t="shared" si="8"/>
        <v>45384-MJ1-L12</v>
      </c>
      <c r="E132">
        <v>24001092</v>
      </c>
      <c r="F132">
        <v>182173</v>
      </c>
      <c r="G132" t="s">
        <v>112</v>
      </c>
      <c r="H132" t="str">
        <f>_xlfn.IFNA(VLOOKUP(F132,'TES2'!C:M,11,0),G132)</f>
        <v>AGRON, INC.</v>
      </c>
      <c r="I132" t="str">
        <f>_xlfn.IFNA(VLOOKUP(F132,'TES2'!C:I,6,0),"Data Tidak Ditemukan")</f>
        <v>BRF  ADS5158590   24R1</v>
      </c>
      <c r="J132" t="str">
        <f t="shared" si="9"/>
        <v xml:space="preserve">BRF  </v>
      </c>
      <c r="K132">
        <v>676</v>
      </c>
      <c r="L132">
        <v>0.7</v>
      </c>
      <c r="M132">
        <v>473.2</v>
      </c>
      <c r="N132">
        <v>986</v>
      </c>
      <c r="O132">
        <f>IFERROR(IF(B132="MJ1",VLOOKUP(C132,TEMP!A:B,2,0)*OLAHAN!N132,OLAHAN!N132),N132)</f>
        <v>986</v>
      </c>
      <c r="Q132">
        <v>0.7</v>
      </c>
    </row>
    <row r="133" spans="1:17" x14ac:dyDescent="0.25">
      <c r="A133">
        <v>45384</v>
      </c>
      <c r="B133" t="s">
        <v>18</v>
      </c>
      <c r="C133" t="s">
        <v>119</v>
      </c>
      <c r="D133" t="str">
        <f t="shared" si="8"/>
        <v>45384-MJ1-L12</v>
      </c>
      <c r="E133">
        <v>24001116</v>
      </c>
      <c r="F133">
        <v>182191</v>
      </c>
      <c r="G133" t="s">
        <v>112</v>
      </c>
      <c r="H133" t="str">
        <f>_xlfn.IFNA(VLOOKUP(F133,'TES2'!C:M,11,0),G133)</f>
        <v>AGRON, INC.</v>
      </c>
      <c r="I133" t="str">
        <f>_xlfn.IFNA(VLOOKUP(F133,'TES2'!C:I,6,0),"Data Tidak Ditemukan")</f>
        <v>BRF  ADS5158591   24R1</v>
      </c>
      <c r="J133" t="str">
        <f t="shared" si="9"/>
        <v xml:space="preserve">BRF  </v>
      </c>
      <c r="K133">
        <v>1974</v>
      </c>
      <c r="L133">
        <v>0.76</v>
      </c>
      <c r="M133">
        <v>1500.24</v>
      </c>
      <c r="N133">
        <v>986</v>
      </c>
      <c r="O133">
        <f>IFERROR(IF(B133="MJ1",VLOOKUP(C133,TEMP!A:B,2,0)*OLAHAN!N133,OLAHAN!N133),N133)</f>
        <v>986</v>
      </c>
      <c r="Q133">
        <v>0.76</v>
      </c>
    </row>
    <row r="134" spans="1:17" x14ac:dyDescent="0.25">
      <c r="A134">
        <v>45384</v>
      </c>
      <c r="B134" t="s">
        <v>18</v>
      </c>
      <c r="C134" t="s">
        <v>97</v>
      </c>
      <c r="D134" t="str">
        <f t="shared" si="8"/>
        <v>45384-MJ1-L2</v>
      </c>
      <c r="E134">
        <v>23002483</v>
      </c>
      <c r="F134">
        <v>181957</v>
      </c>
      <c r="G134" t="s">
        <v>112</v>
      </c>
      <c r="H134" t="str">
        <f>_xlfn.IFNA(VLOOKUP(F134,'TES2'!C:M,11,0),G134)</f>
        <v>AGRON, INC.</v>
      </c>
      <c r="I134" t="str">
        <f>_xlfn.IFNA(VLOOKUP(F134,'TES2'!C:I,6,0),"Data Tidak Ditemukan")</f>
        <v>BRF  ADS5151824   24R4</v>
      </c>
      <c r="J134" t="str">
        <f t="shared" si="9"/>
        <v xml:space="preserve">BRF  </v>
      </c>
      <c r="K134">
        <v>9</v>
      </c>
      <c r="L134">
        <v>0.79</v>
      </c>
      <c r="M134">
        <v>7.11</v>
      </c>
      <c r="N134">
        <v>986</v>
      </c>
      <c r="O134">
        <f>IFERROR(IF(B134="MJ1",VLOOKUP(C134,TEMP!A:B,2,0)*OLAHAN!N134,OLAHAN!N134),N134)</f>
        <v>986</v>
      </c>
      <c r="Q134">
        <v>0.79</v>
      </c>
    </row>
    <row r="135" spans="1:17" x14ac:dyDescent="0.25">
      <c r="A135">
        <v>45384</v>
      </c>
      <c r="B135" t="s">
        <v>18</v>
      </c>
      <c r="C135" t="s">
        <v>97</v>
      </c>
      <c r="D135" t="str">
        <f t="shared" si="8"/>
        <v>45384-MJ1-L2</v>
      </c>
      <c r="E135">
        <v>23002476</v>
      </c>
      <c r="F135">
        <v>181958</v>
      </c>
      <c r="G135" t="s">
        <v>112</v>
      </c>
      <c r="H135" t="str">
        <f>_xlfn.IFNA(VLOOKUP(F135,'TES2'!C:M,11,0),G135)</f>
        <v>AGRON, INC.</v>
      </c>
      <c r="I135" t="str">
        <f>_xlfn.IFNA(VLOOKUP(F135,'TES2'!C:I,6,0),"Data Tidak Ditemukan")</f>
        <v>BRF  ADS5151824XXL24R3</v>
      </c>
      <c r="J135" t="str">
        <f t="shared" si="9"/>
        <v xml:space="preserve">BRF  </v>
      </c>
      <c r="K135">
        <v>4</v>
      </c>
      <c r="L135">
        <v>0.79</v>
      </c>
      <c r="M135">
        <v>3.16</v>
      </c>
      <c r="N135">
        <v>986</v>
      </c>
      <c r="O135">
        <f>IFERROR(IF(B135="MJ1",VLOOKUP(C135,TEMP!A:B,2,0)*OLAHAN!N135,OLAHAN!N135),N135)</f>
        <v>986</v>
      </c>
      <c r="Q135">
        <v>0.79</v>
      </c>
    </row>
    <row r="136" spans="1:17" x14ac:dyDescent="0.25">
      <c r="A136">
        <v>45384</v>
      </c>
      <c r="B136" t="s">
        <v>18</v>
      </c>
      <c r="C136" t="s">
        <v>97</v>
      </c>
      <c r="D136" t="str">
        <f t="shared" si="8"/>
        <v>45384-MJ1-L2</v>
      </c>
      <c r="E136">
        <v>24001092</v>
      </c>
      <c r="F136">
        <v>182173</v>
      </c>
      <c r="G136" t="s">
        <v>112</v>
      </c>
      <c r="H136" t="str">
        <f>_xlfn.IFNA(VLOOKUP(F136,'TES2'!C:M,11,0),G136)</f>
        <v>AGRON, INC.</v>
      </c>
      <c r="I136" t="str">
        <f>_xlfn.IFNA(VLOOKUP(F136,'TES2'!C:I,6,0),"Data Tidak Ditemukan")</f>
        <v>BRF  ADS5158590   24R1</v>
      </c>
      <c r="J136" t="str">
        <f t="shared" si="9"/>
        <v xml:space="preserve">BRF  </v>
      </c>
      <c r="K136">
        <v>1772</v>
      </c>
      <c r="L136">
        <v>0.7</v>
      </c>
      <c r="M136">
        <v>1240.4000000000001</v>
      </c>
      <c r="N136">
        <v>986</v>
      </c>
      <c r="O136">
        <f>IFERROR(IF(B136="MJ1",VLOOKUP(C136,TEMP!A:B,2,0)*OLAHAN!N136,OLAHAN!N136),N136)</f>
        <v>986</v>
      </c>
      <c r="Q136">
        <v>0.7</v>
      </c>
    </row>
    <row r="137" spans="1:17" x14ac:dyDescent="0.25">
      <c r="A137">
        <v>45384</v>
      </c>
      <c r="B137" t="s">
        <v>18</v>
      </c>
      <c r="C137" t="s">
        <v>99</v>
      </c>
      <c r="D137" t="str">
        <f t="shared" si="8"/>
        <v>45384-MJ1-L3</v>
      </c>
      <c r="E137">
        <v>24001092</v>
      </c>
      <c r="F137">
        <v>182173</v>
      </c>
      <c r="G137" t="s">
        <v>112</v>
      </c>
      <c r="H137" t="str">
        <f>_xlfn.IFNA(VLOOKUP(F137,'TES2'!C:M,11,0),G137)</f>
        <v>AGRON, INC.</v>
      </c>
      <c r="I137" t="str">
        <f>_xlfn.IFNA(VLOOKUP(F137,'TES2'!C:I,6,0),"Data Tidak Ditemukan")</f>
        <v>BRF  ADS5158590   24R1</v>
      </c>
      <c r="J137" t="str">
        <f t="shared" si="9"/>
        <v xml:space="preserve">BRF  </v>
      </c>
      <c r="K137">
        <v>1676</v>
      </c>
      <c r="L137">
        <v>0.7</v>
      </c>
      <c r="M137">
        <v>1173.2</v>
      </c>
      <c r="N137">
        <v>986</v>
      </c>
      <c r="O137">
        <f>IFERROR(IF(B137="MJ1",VLOOKUP(C137,TEMP!A:B,2,0)*OLAHAN!N137,OLAHAN!N137),N137)</f>
        <v>986</v>
      </c>
      <c r="Q137">
        <v>0.7</v>
      </c>
    </row>
    <row r="138" spans="1:17" x14ac:dyDescent="0.25">
      <c r="A138">
        <v>45384</v>
      </c>
      <c r="B138" t="s">
        <v>18</v>
      </c>
      <c r="C138" t="s">
        <v>101</v>
      </c>
      <c r="D138" t="str">
        <f t="shared" si="8"/>
        <v>45384-MJ1-L4</v>
      </c>
      <c r="E138">
        <v>24001029</v>
      </c>
      <c r="F138">
        <v>182164</v>
      </c>
      <c r="G138" t="s">
        <v>112</v>
      </c>
      <c r="H138" t="str">
        <f>_xlfn.IFNA(VLOOKUP(F138,'TES2'!C:M,11,0),G138)</f>
        <v>AGRON, INC.</v>
      </c>
      <c r="I138" t="str">
        <f>_xlfn.IFNA(VLOOKUP(F138,'TES2'!C:I,6,0),"Data Tidak Ditemukan")</f>
        <v>CNECKADS5157982   24R3</v>
      </c>
      <c r="J138" t="str">
        <f t="shared" si="9"/>
        <v>CNECK</v>
      </c>
      <c r="K138">
        <v>252</v>
      </c>
      <c r="L138">
        <v>1.37</v>
      </c>
      <c r="M138">
        <v>345.24</v>
      </c>
      <c r="N138">
        <v>986</v>
      </c>
      <c r="O138">
        <f>IFERROR(IF(B138="MJ1",VLOOKUP(C138,TEMP!A:B,2,0)*OLAHAN!N138,OLAHAN!N138),N138)</f>
        <v>739.5</v>
      </c>
      <c r="Q138">
        <v>1.37</v>
      </c>
    </row>
    <row r="139" spans="1:17" x14ac:dyDescent="0.25">
      <c r="A139">
        <v>45384</v>
      </c>
      <c r="B139" t="s">
        <v>18</v>
      </c>
      <c r="C139" t="s">
        <v>101</v>
      </c>
      <c r="D139" t="str">
        <f t="shared" si="8"/>
        <v>45384-MJ1-L4</v>
      </c>
      <c r="E139">
        <v>24001031</v>
      </c>
      <c r="F139">
        <v>182165</v>
      </c>
      <c r="G139" t="s">
        <v>112</v>
      </c>
      <c r="H139" t="str">
        <f>_xlfn.IFNA(VLOOKUP(F139,'TES2'!C:M,11,0),G139)</f>
        <v>AGRON, INC.</v>
      </c>
      <c r="I139" t="str">
        <f>_xlfn.IFNA(VLOOKUP(F139,'TES2'!C:I,6,0),"Data Tidak Ditemukan")</f>
        <v>TATO ADS5157998   24R3</v>
      </c>
      <c r="J139" t="str">
        <f t="shared" si="9"/>
        <v xml:space="preserve">TATO </v>
      </c>
      <c r="K139">
        <v>138</v>
      </c>
      <c r="L139">
        <v>1.24</v>
      </c>
      <c r="M139">
        <v>171.12</v>
      </c>
      <c r="N139">
        <v>986</v>
      </c>
      <c r="O139">
        <f>IFERROR(IF(B139="MJ1",VLOOKUP(C139,TEMP!A:B,2,0)*OLAHAN!N139,OLAHAN!N139),N139)</f>
        <v>739.5</v>
      </c>
      <c r="Q139">
        <v>1.24</v>
      </c>
    </row>
    <row r="140" spans="1:17" x14ac:dyDescent="0.25">
      <c r="A140">
        <v>45384</v>
      </c>
      <c r="B140" t="s">
        <v>18</v>
      </c>
      <c r="C140" t="s">
        <v>101</v>
      </c>
      <c r="D140" t="str">
        <f t="shared" si="8"/>
        <v>45384-MJ1-L4</v>
      </c>
      <c r="E140">
        <v>24001020</v>
      </c>
      <c r="F140">
        <v>182289</v>
      </c>
      <c r="G140" t="s">
        <v>120</v>
      </c>
      <c r="H140" t="str">
        <f>_xlfn.IFNA(VLOOKUP(F140,'TES2'!C:M,11,0),G140)</f>
        <v>CV. BI-ENSI FESYENINDO</v>
      </c>
      <c r="I140" t="str">
        <f>_xlfn.IFNA(VLOOKUP(F140,'TES2'!C:I,6,0),"Data Tidak Ditemukan")</f>
        <v>TSHRTBSIFAMO      LC24</v>
      </c>
      <c r="J140" t="str">
        <f t="shared" si="9"/>
        <v>TSHRT</v>
      </c>
      <c r="K140">
        <v>335</v>
      </c>
      <c r="L140">
        <v>0.75</v>
      </c>
      <c r="M140">
        <v>251.25</v>
      </c>
      <c r="N140">
        <v>986</v>
      </c>
      <c r="O140">
        <f>IFERROR(IF(B140="MJ1",VLOOKUP(C140,TEMP!A:B,2,0)*OLAHAN!N140,OLAHAN!N140),N140)</f>
        <v>739.5</v>
      </c>
      <c r="Q140">
        <v>0.75</v>
      </c>
    </row>
    <row r="141" spans="1:17" x14ac:dyDescent="0.25">
      <c r="A141">
        <v>45384</v>
      </c>
      <c r="B141" t="s">
        <v>18</v>
      </c>
      <c r="C141" t="s">
        <v>101</v>
      </c>
      <c r="D141" t="str">
        <f t="shared" si="8"/>
        <v>45384-MJ1-L4</v>
      </c>
      <c r="E141">
        <v>24001020</v>
      </c>
      <c r="F141">
        <v>182292</v>
      </c>
      <c r="G141" t="s">
        <v>120</v>
      </c>
      <c r="H141" t="str">
        <f>_xlfn.IFNA(VLOOKUP(F141,'TES2'!C:M,11,0),G141)</f>
        <v>CV. BI-ENSI FESYENINDO</v>
      </c>
      <c r="I141" t="str">
        <f>_xlfn.IFNA(VLOOKUP(F141,'TES2'!C:I,6,0),"Data Tidak Ditemukan")</f>
        <v>TSHRTBSIFAMO      LC24</v>
      </c>
      <c r="J141" t="str">
        <f t="shared" si="9"/>
        <v>TSHRT</v>
      </c>
      <c r="K141">
        <v>2</v>
      </c>
      <c r="L141">
        <v>0.75</v>
      </c>
      <c r="M141">
        <v>1.5</v>
      </c>
      <c r="N141">
        <v>986</v>
      </c>
      <c r="O141">
        <f>IFERROR(IF(B141="MJ1",VLOOKUP(C141,TEMP!A:B,2,0)*OLAHAN!N141,OLAHAN!N141),N141)</f>
        <v>739.5</v>
      </c>
      <c r="Q141">
        <v>0.75</v>
      </c>
    </row>
    <row r="142" spans="1:17" x14ac:dyDescent="0.25">
      <c r="A142">
        <v>45384</v>
      </c>
      <c r="B142" t="s">
        <v>18</v>
      </c>
      <c r="C142" t="s">
        <v>101</v>
      </c>
      <c r="D142" t="str">
        <f t="shared" si="8"/>
        <v>45384-MJ1-L4</v>
      </c>
      <c r="E142">
        <v>24001020</v>
      </c>
      <c r="F142">
        <v>182298</v>
      </c>
      <c r="G142" t="s">
        <v>120</v>
      </c>
      <c r="H142" t="str">
        <f>_xlfn.IFNA(VLOOKUP(F142,'TES2'!C:M,11,0),G142)</f>
        <v>CV. BI-ENSI FESYENINDO</v>
      </c>
      <c r="I142" t="str">
        <f>_xlfn.IFNA(VLOOKUP(F142,'TES2'!C:I,6,0),"Data Tidak Ditemukan")</f>
        <v>TSHRTBSIFAMO      LC24</v>
      </c>
      <c r="J142" t="str">
        <f t="shared" si="9"/>
        <v>TSHRT</v>
      </c>
      <c r="K142">
        <v>2</v>
      </c>
      <c r="L142">
        <v>0.75</v>
      </c>
      <c r="M142">
        <v>1.5</v>
      </c>
      <c r="N142">
        <v>986</v>
      </c>
      <c r="O142">
        <f>IFERROR(IF(B142="MJ1",VLOOKUP(C142,TEMP!A:B,2,0)*OLAHAN!N142,OLAHAN!N142),N142)</f>
        <v>739.5</v>
      </c>
      <c r="Q142">
        <v>0.75</v>
      </c>
    </row>
    <row r="143" spans="1:17" x14ac:dyDescent="0.25">
      <c r="A143">
        <v>45384</v>
      </c>
      <c r="B143" t="s">
        <v>18</v>
      </c>
      <c r="C143" t="s">
        <v>101</v>
      </c>
      <c r="D143" t="str">
        <f t="shared" si="8"/>
        <v>45384-MJ1-L4</v>
      </c>
      <c r="E143">
        <v>24001020</v>
      </c>
      <c r="F143">
        <v>182299</v>
      </c>
      <c r="G143" t="s">
        <v>120</v>
      </c>
      <c r="H143" t="str">
        <f>_xlfn.IFNA(VLOOKUP(F143,'TES2'!C:M,11,0),G143)</f>
        <v>CV. BI-ENSI FESYENINDO</v>
      </c>
      <c r="I143" t="str">
        <f>_xlfn.IFNA(VLOOKUP(F143,'TES2'!C:I,6,0),"Data Tidak Ditemukan")</f>
        <v>TSHRTBSIFAMO      LC24</v>
      </c>
      <c r="J143" t="str">
        <f t="shared" si="9"/>
        <v>TSHRT</v>
      </c>
      <c r="K143">
        <v>489</v>
      </c>
      <c r="L143">
        <v>0.75</v>
      </c>
      <c r="M143">
        <v>366.75</v>
      </c>
      <c r="N143">
        <v>986</v>
      </c>
      <c r="O143">
        <f>IFERROR(IF(B143="MJ1",VLOOKUP(C143,TEMP!A:B,2,0)*OLAHAN!N143,OLAHAN!N143),N143)</f>
        <v>739.5</v>
      </c>
      <c r="Q143">
        <v>0.75</v>
      </c>
    </row>
    <row r="144" spans="1:17" x14ac:dyDescent="0.25">
      <c r="A144">
        <v>45384</v>
      </c>
      <c r="B144" t="s">
        <v>18</v>
      </c>
      <c r="C144" t="s">
        <v>102</v>
      </c>
      <c r="D144" t="str">
        <f t="shared" si="8"/>
        <v>45384-MJ1-L5</v>
      </c>
      <c r="E144">
        <v>24001069</v>
      </c>
      <c r="F144">
        <v>182280</v>
      </c>
      <c r="G144" t="s">
        <v>121</v>
      </c>
      <c r="H144" t="str">
        <f>_xlfn.IFNA(VLOOKUP(F144,'TES2'!C:M,11,0),G144)</f>
        <v>RED WING SHOE COMPANY LLC</v>
      </c>
      <c r="I144" t="str">
        <f>_xlfn.IFNA(VLOOKUP(F144,'TES2'!C:I,6,0),"Data Tidak Ditemukan")</f>
        <v>CVRL RED61105-54  24R9</v>
      </c>
      <c r="J144" t="str">
        <f t="shared" si="9"/>
        <v xml:space="preserve">CVRL </v>
      </c>
      <c r="K144">
        <v>62</v>
      </c>
      <c r="L144">
        <v>12.47</v>
      </c>
      <c r="M144">
        <v>773.14</v>
      </c>
      <c r="N144">
        <v>986</v>
      </c>
      <c r="O144">
        <f>IFERROR(IF(B144="MJ1",VLOOKUP(C144,TEMP!A:B,2,0)*OLAHAN!N144,OLAHAN!N144),N144)</f>
        <v>739.5</v>
      </c>
      <c r="Q144">
        <v>12.47</v>
      </c>
    </row>
    <row r="145" spans="1:17" x14ac:dyDescent="0.25">
      <c r="A145">
        <v>45384</v>
      </c>
      <c r="B145" t="s">
        <v>18</v>
      </c>
      <c r="C145" t="s">
        <v>102</v>
      </c>
      <c r="D145" t="str">
        <f t="shared" si="8"/>
        <v>45384-MJ1-L5</v>
      </c>
      <c r="E145">
        <v>24001077</v>
      </c>
      <c r="F145">
        <v>182360</v>
      </c>
      <c r="G145" t="s">
        <v>122</v>
      </c>
      <c r="H145" t="str">
        <f>_xlfn.IFNA(VLOOKUP(F145,'TES2'!C:M,11,0),G145)</f>
        <v>RED WING SHOE COMPANY</v>
      </c>
      <c r="I145" t="str">
        <f>_xlfn.IFNA(VLOOKUP(F145,'TES2'!C:I,6,0),"Data Tidak Ditemukan")</f>
        <v>CVRL RED61105-58  4R15</v>
      </c>
      <c r="J145" t="str">
        <f t="shared" si="9"/>
        <v xml:space="preserve">CVRL </v>
      </c>
      <c r="K145">
        <v>1</v>
      </c>
      <c r="L145">
        <v>12.47</v>
      </c>
      <c r="M145">
        <v>12.47</v>
      </c>
      <c r="N145">
        <v>986</v>
      </c>
      <c r="O145">
        <f>IFERROR(IF(B145="MJ1",VLOOKUP(C145,TEMP!A:B,2,0)*OLAHAN!N145,OLAHAN!N145),N145)</f>
        <v>739.5</v>
      </c>
      <c r="Q145">
        <v>12.47</v>
      </c>
    </row>
    <row r="146" spans="1:17" x14ac:dyDescent="0.25">
      <c r="A146">
        <v>45384</v>
      </c>
      <c r="B146" t="s">
        <v>18</v>
      </c>
      <c r="C146" t="s">
        <v>103</v>
      </c>
      <c r="D146" t="str">
        <f t="shared" si="8"/>
        <v>45384-MJ1-L6</v>
      </c>
      <c r="E146">
        <v>24001069</v>
      </c>
      <c r="F146">
        <v>182280</v>
      </c>
      <c r="G146" t="s">
        <v>121</v>
      </c>
      <c r="H146" t="str">
        <f>_xlfn.IFNA(VLOOKUP(F146,'TES2'!C:M,11,0),G146)</f>
        <v>RED WING SHOE COMPANY LLC</v>
      </c>
      <c r="I146" t="str">
        <f>_xlfn.IFNA(VLOOKUP(F146,'TES2'!C:I,6,0),"Data Tidak Ditemukan")</f>
        <v>CVRL RED61105-54  24R9</v>
      </c>
      <c r="J146" t="str">
        <f t="shared" si="9"/>
        <v xml:space="preserve">CVRL </v>
      </c>
      <c r="K146">
        <v>61</v>
      </c>
      <c r="L146">
        <v>12.47</v>
      </c>
      <c r="M146">
        <v>760.67</v>
      </c>
      <c r="N146">
        <v>986</v>
      </c>
      <c r="O146">
        <f>IFERROR(IF(B146="MJ1",VLOOKUP(C146,TEMP!A:B,2,0)*OLAHAN!N146,OLAHAN!N146),N146)</f>
        <v>1479</v>
      </c>
      <c r="Q146">
        <v>12.47</v>
      </c>
    </row>
    <row r="147" spans="1:17" x14ac:dyDescent="0.25">
      <c r="A147">
        <v>45384</v>
      </c>
      <c r="B147" t="s">
        <v>18</v>
      </c>
      <c r="C147" t="s">
        <v>103</v>
      </c>
      <c r="D147" t="str">
        <f t="shared" si="8"/>
        <v>45384-MJ1-L6</v>
      </c>
      <c r="E147">
        <v>24001077</v>
      </c>
      <c r="F147">
        <v>182360</v>
      </c>
      <c r="G147" t="s">
        <v>122</v>
      </c>
      <c r="H147" t="str">
        <f>_xlfn.IFNA(VLOOKUP(F147,'TES2'!C:M,11,0),G147)</f>
        <v>RED WING SHOE COMPANY</v>
      </c>
      <c r="I147" t="str">
        <f>_xlfn.IFNA(VLOOKUP(F147,'TES2'!C:I,6,0),"Data Tidak Ditemukan")</f>
        <v>CVRL RED61105-58  4R15</v>
      </c>
      <c r="J147" t="str">
        <f t="shared" si="9"/>
        <v xml:space="preserve">CVRL </v>
      </c>
      <c r="K147">
        <v>1</v>
      </c>
      <c r="L147">
        <v>12.47</v>
      </c>
      <c r="M147">
        <v>12.47</v>
      </c>
      <c r="N147">
        <v>986</v>
      </c>
      <c r="O147">
        <f>IFERROR(IF(B147="MJ1",VLOOKUP(C147,TEMP!A:B,2,0)*OLAHAN!N147,OLAHAN!N147),N147)</f>
        <v>1479</v>
      </c>
      <c r="Q147">
        <v>12.47</v>
      </c>
    </row>
    <row r="148" spans="1:17" x14ac:dyDescent="0.25">
      <c r="A148">
        <v>45384</v>
      </c>
      <c r="B148" t="s">
        <v>19</v>
      </c>
      <c r="C148" t="s">
        <v>95</v>
      </c>
      <c r="D148" t="str">
        <f t="shared" si="8"/>
        <v>45384-MJ2-L1</v>
      </c>
      <c r="E148">
        <v>24001102</v>
      </c>
      <c r="F148">
        <v>182208</v>
      </c>
      <c r="G148" t="s">
        <v>112</v>
      </c>
      <c r="H148" t="str">
        <f>_xlfn.IFNA(VLOOKUP(F148,'TES2'!C:M,11,0),G148)</f>
        <v>AGRON, INC.</v>
      </c>
      <c r="I148" t="str">
        <f>_xlfn.IFNA(VLOOKUP(F148,'TES2'!C:I,6,0),"Data Tidak Ditemukan")</f>
        <v>BRF  ADS5158617   24R1</v>
      </c>
      <c r="J148" t="str">
        <f t="shared" si="9"/>
        <v xml:space="preserve">BRF  </v>
      </c>
      <c r="K148">
        <v>3261</v>
      </c>
      <c r="L148">
        <v>0.74</v>
      </c>
      <c r="M148">
        <v>2413.14</v>
      </c>
      <c r="N148">
        <v>1094</v>
      </c>
      <c r="O148">
        <f>IFERROR(IF(B148="MJ1",VLOOKUP(C148,TEMP!A:B,2,0)*OLAHAN!N148,OLAHAN!N148),N148)</f>
        <v>1094</v>
      </c>
      <c r="Q148">
        <v>0.74</v>
      </c>
    </row>
    <row r="149" spans="1:17" x14ac:dyDescent="0.25">
      <c r="A149">
        <v>45384</v>
      </c>
      <c r="B149" t="s">
        <v>19</v>
      </c>
      <c r="C149" t="s">
        <v>105</v>
      </c>
      <c r="D149" t="str">
        <f t="shared" si="8"/>
        <v>45384-MJ2-L10</v>
      </c>
      <c r="E149">
        <v>24001084</v>
      </c>
      <c r="F149">
        <v>182152</v>
      </c>
      <c r="G149" t="s">
        <v>112</v>
      </c>
      <c r="H149" t="str">
        <f>_xlfn.IFNA(VLOOKUP(F149,'TES2'!C:M,11,0),G149)</f>
        <v>AGRON, INC.</v>
      </c>
      <c r="I149" t="str">
        <f>_xlfn.IFNA(VLOOKUP(F149,'TES2'!C:I,6,0),"Data Tidak Ditemukan")</f>
        <v>BRF  ADS5157992   24R3</v>
      </c>
      <c r="J149" t="str">
        <f t="shared" si="9"/>
        <v xml:space="preserve">BRF  </v>
      </c>
      <c r="K149">
        <v>1632</v>
      </c>
      <c r="L149">
        <v>0.79</v>
      </c>
      <c r="M149">
        <v>1289.28</v>
      </c>
      <c r="N149">
        <v>1094</v>
      </c>
      <c r="O149">
        <f>IFERROR(IF(B149="MJ1",VLOOKUP(C149,TEMP!A:B,2,0)*OLAHAN!N149,OLAHAN!N149),N149)</f>
        <v>1094</v>
      </c>
      <c r="Q149">
        <v>0.79</v>
      </c>
    </row>
    <row r="150" spans="1:17" x14ac:dyDescent="0.25">
      <c r="A150">
        <v>45384</v>
      </c>
      <c r="B150" t="s">
        <v>19</v>
      </c>
      <c r="C150" t="s">
        <v>105</v>
      </c>
      <c r="D150" t="str">
        <f t="shared" si="8"/>
        <v>45384-MJ2-L10</v>
      </c>
      <c r="E150">
        <v>24001085</v>
      </c>
      <c r="F150">
        <v>182153</v>
      </c>
      <c r="G150" t="s">
        <v>112</v>
      </c>
      <c r="H150" t="str">
        <f>_xlfn.IFNA(VLOOKUP(F150,'TES2'!C:M,11,0),G150)</f>
        <v>AGRON, INC.</v>
      </c>
      <c r="I150" t="str">
        <f>_xlfn.IFNA(VLOOKUP(F150,'TES2'!C:I,6,0),"Data Tidak Ditemukan")</f>
        <v>BRF  ADS5157985   24R3</v>
      </c>
      <c r="J150" t="str">
        <f t="shared" si="9"/>
        <v xml:space="preserve">BRF  </v>
      </c>
      <c r="K150">
        <v>43</v>
      </c>
      <c r="L150">
        <v>0.93</v>
      </c>
      <c r="M150">
        <v>39.99</v>
      </c>
      <c r="N150">
        <v>1094</v>
      </c>
      <c r="O150">
        <f>IFERROR(IF(B150="MJ1",VLOOKUP(C150,TEMP!A:B,2,0)*OLAHAN!N150,OLAHAN!N150),N150)</f>
        <v>1094</v>
      </c>
      <c r="Q150">
        <v>0.93</v>
      </c>
    </row>
    <row r="151" spans="1:17" x14ac:dyDescent="0.25">
      <c r="A151">
        <v>45384</v>
      </c>
      <c r="B151" t="s">
        <v>19</v>
      </c>
      <c r="C151" t="s">
        <v>118</v>
      </c>
      <c r="D151" t="str">
        <f t="shared" si="8"/>
        <v>45384-MJ2-L11</v>
      </c>
      <c r="E151">
        <v>24001084</v>
      </c>
      <c r="F151">
        <v>182152</v>
      </c>
      <c r="G151" t="s">
        <v>112</v>
      </c>
      <c r="H151" t="str">
        <f>_xlfn.IFNA(VLOOKUP(F151,'TES2'!C:M,11,0),G151)</f>
        <v>AGRON, INC.</v>
      </c>
      <c r="I151" t="str">
        <f>_xlfn.IFNA(VLOOKUP(F151,'TES2'!C:I,6,0),"Data Tidak Ditemukan")</f>
        <v>BRF  ADS5157992   24R3</v>
      </c>
      <c r="J151" t="str">
        <f t="shared" si="9"/>
        <v xml:space="preserve">BRF  </v>
      </c>
      <c r="K151">
        <v>1633</v>
      </c>
      <c r="L151">
        <v>0.79</v>
      </c>
      <c r="M151">
        <v>1290.07</v>
      </c>
      <c r="N151">
        <v>1094</v>
      </c>
      <c r="O151">
        <f>IFERROR(IF(B151="MJ1",VLOOKUP(C151,TEMP!A:B,2,0)*OLAHAN!N151,OLAHAN!N151),N151)</f>
        <v>1094</v>
      </c>
      <c r="Q151">
        <v>0.79</v>
      </c>
    </row>
    <row r="152" spans="1:17" x14ac:dyDescent="0.25">
      <c r="A152">
        <v>45384</v>
      </c>
      <c r="B152" t="s">
        <v>19</v>
      </c>
      <c r="C152" t="s">
        <v>118</v>
      </c>
      <c r="D152" t="str">
        <f t="shared" si="8"/>
        <v>45384-MJ2-L11</v>
      </c>
      <c r="E152">
        <v>24001085</v>
      </c>
      <c r="F152">
        <v>182153</v>
      </c>
      <c r="G152" t="s">
        <v>112</v>
      </c>
      <c r="H152" t="str">
        <f>_xlfn.IFNA(VLOOKUP(F152,'TES2'!C:M,11,0),G152)</f>
        <v>AGRON, INC.</v>
      </c>
      <c r="I152" t="str">
        <f>_xlfn.IFNA(VLOOKUP(F152,'TES2'!C:I,6,0),"Data Tidak Ditemukan")</f>
        <v>BRF  ADS5157985   24R3</v>
      </c>
      <c r="J152" t="str">
        <f t="shared" si="9"/>
        <v xml:space="preserve">BRF  </v>
      </c>
      <c r="K152">
        <v>42</v>
      </c>
      <c r="L152">
        <v>0.93</v>
      </c>
      <c r="M152">
        <v>39.06</v>
      </c>
      <c r="N152">
        <v>1094</v>
      </c>
      <c r="O152">
        <f>IFERROR(IF(B152="MJ1",VLOOKUP(C152,TEMP!A:B,2,0)*OLAHAN!N152,OLAHAN!N152),N152)</f>
        <v>1094</v>
      </c>
      <c r="Q152">
        <v>0.93</v>
      </c>
    </row>
    <row r="153" spans="1:17" x14ac:dyDescent="0.25">
      <c r="A153">
        <v>45384</v>
      </c>
      <c r="B153" t="s">
        <v>19</v>
      </c>
      <c r="C153" t="s">
        <v>119</v>
      </c>
      <c r="D153" t="str">
        <f t="shared" si="8"/>
        <v>45384-MJ2-L12</v>
      </c>
      <c r="E153">
        <v>24001019</v>
      </c>
      <c r="F153">
        <v>182157</v>
      </c>
      <c r="G153" t="s">
        <v>112</v>
      </c>
      <c r="H153" t="str">
        <f>_xlfn.IFNA(VLOOKUP(F153,'TES2'!C:M,11,0),G153)</f>
        <v>AGRON, INC.</v>
      </c>
      <c r="I153" t="str">
        <f>_xlfn.IFNA(VLOOKUP(F153,'TES2'!C:I,6,0),"Data Tidak Ditemukan")</f>
        <v>BRF  ADS5157996   24R3</v>
      </c>
      <c r="J153" t="str">
        <f t="shared" si="9"/>
        <v xml:space="preserve">BRF  </v>
      </c>
      <c r="K153">
        <v>1997</v>
      </c>
      <c r="L153">
        <v>0.83</v>
      </c>
      <c r="M153">
        <v>1657.51</v>
      </c>
      <c r="N153">
        <v>1094</v>
      </c>
      <c r="O153">
        <f>IFERROR(IF(B153="MJ1",VLOOKUP(C153,TEMP!A:B,2,0)*OLAHAN!N153,OLAHAN!N153),N153)</f>
        <v>1094</v>
      </c>
      <c r="Q153">
        <v>0.83</v>
      </c>
    </row>
    <row r="154" spans="1:17" x14ac:dyDescent="0.25">
      <c r="A154">
        <v>45384</v>
      </c>
      <c r="B154" t="s">
        <v>19</v>
      </c>
      <c r="C154" t="s">
        <v>119</v>
      </c>
      <c r="D154" t="str">
        <f t="shared" si="8"/>
        <v>45384-MJ2-L12</v>
      </c>
      <c r="E154">
        <v>24001026</v>
      </c>
      <c r="F154">
        <v>182161</v>
      </c>
      <c r="G154" t="s">
        <v>112</v>
      </c>
      <c r="H154" t="str">
        <f>_xlfn.IFNA(VLOOKUP(F154,'TES2'!C:M,11,0),G154)</f>
        <v>AGRON, INC.</v>
      </c>
      <c r="I154" t="str">
        <f>_xlfn.IFNA(VLOOKUP(F154,'TES2'!C:I,6,0),"Data Tidak Ditemukan")</f>
        <v>BRF  ADS5157997   24R3</v>
      </c>
      <c r="J154" t="str">
        <f t="shared" si="9"/>
        <v xml:space="preserve">BRF  </v>
      </c>
      <c r="K154">
        <v>3</v>
      </c>
      <c r="L154">
        <v>0.75</v>
      </c>
      <c r="M154">
        <v>2.25</v>
      </c>
      <c r="N154">
        <v>1094</v>
      </c>
      <c r="O154">
        <f>IFERROR(IF(B154="MJ1",VLOOKUP(C154,TEMP!A:B,2,0)*OLAHAN!N154,OLAHAN!N154),N154)</f>
        <v>1094</v>
      </c>
      <c r="Q154">
        <v>0.75</v>
      </c>
    </row>
    <row r="155" spans="1:17" x14ac:dyDescent="0.25">
      <c r="A155">
        <v>45384</v>
      </c>
      <c r="B155" t="s">
        <v>19</v>
      </c>
      <c r="C155" t="s">
        <v>123</v>
      </c>
      <c r="D155" t="str">
        <f t="shared" si="8"/>
        <v>45384-MJ2-L13</v>
      </c>
      <c r="E155">
        <v>24001019</v>
      </c>
      <c r="F155">
        <v>182157</v>
      </c>
      <c r="G155" t="s">
        <v>112</v>
      </c>
      <c r="H155" t="str">
        <f>_xlfn.IFNA(VLOOKUP(F155,'TES2'!C:M,11,0),G155)</f>
        <v>AGRON, INC.</v>
      </c>
      <c r="I155" t="str">
        <f>_xlfn.IFNA(VLOOKUP(F155,'TES2'!C:I,6,0),"Data Tidak Ditemukan")</f>
        <v>BRF  ADS5157996   24R3</v>
      </c>
      <c r="J155" t="str">
        <f t="shared" si="9"/>
        <v xml:space="preserve">BRF  </v>
      </c>
      <c r="K155">
        <v>1998</v>
      </c>
      <c r="L155">
        <v>0.83</v>
      </c>
      <c r="M155">
        <v>1658.34</v>
      </c>
      <c r="N155">
        <v>1094</v>
      </c>
      <c r="O155">
        <f>IFERROR(IF(B155="MJ1",VLOOKUP(C155,TEMP!A:B,2,0)*OLAHAN!N155,OLAHAN!N155),N155)</f>
        <v>1094</v>
      </c>
      <c r="Q155">
        <v>0.83</v>
      </c>
    </row>
    <row r="156" spans="1:17" x14ac:dyDescent="0.25">
      <c r="A156">
        <v>45384</v>
      </c>
      <c r="B156" t="s">
        <v>19</v>
      </c>
      <c r="C156" t="s">
        <v>123</v>
      </c>
      <c r="D156" t="str">
        <f t="shared" si="8"/>
        <v>45384-MJ2-L13</v>
      </c>
      <c r="E156">
        <v>24001026</v>
      </c>
      <c r="F156">
        <v>182161</v>
      </c>
      <c r="G156" t="s">
        <v>112</v>
      </c>
      <c r="H156" t="str">
        <f>_xlfn.IFNA(VLOOKUP(F156,'TES2'!C:M,11,0),G156)</f>
        <v>AGRON, INC.</v>
      </c>
      <c r="I156" t="str">
        <f>_xlfn.IFNA(VLOOKUP(F156,'TES2'!C:I,6,0),"Data Tidak Ditemukan")</f>
        <v>BRF  ADS5157997   24R3</v>
      </c>
      <c r="J156" t="str">
        <f t="shared" si="9"/>
        <v xml:space="preserve">BRF  </v>
      </c>
      <c r="K156">
        <v>2</v>
      </c>
      <c r="L156">
        <v>0.75</v>
      </c>
      <c r="M156">
        <v>1.5</v>
      </c>
      <c r="N156">
        <v>1094</v>
      </c>
      <c r="O156">
        <f>IFERROR(IF(B156="MJ1",VLOOKUP(C156,TEMP!A:B,2,0)*OLAHAN!N156,OLAHAN!N156),N156)</f>
        <v>1094</v>
      </c>
      <c r="Q156">
        <v>0.75</v>
      </c>
    </row>
    <row r="157" spans="1:17" x14ac:dyDescent="0.25">
      <c r="A157">
        <v>45384</v>
      </c>
      <c r="B157" t="s">
        <v>19</v>
      </c>
      <c r="C157" t="s">
        <v>97</v>
      </c>
      <c r="D157" t="str">
        <f t="shared" si="8"/>
        <v>45384-MJ2-L2</v>
      </c>
      <c r="E157">
        <v>24001024</v>
      </c>
      <c r="F157">
        <v>182159</v>
      </c>
      <c r="G157" t="s">
        <v>112</v>
      </c>
      <c r="H157" t="str">
        <f>_xlfn.IFNA(VLOOKUP(F157,'TES2'!C:M,11,0),G157)</f>
        <v>AGRON, INC.</v>
      </c>
      <c r="I157" t="str">
        <f>_xlfn.IFNA(VLOOKUP(F157,'TES2'!C:I,6,0),"Data Tidak Ditemukan")</f>
        <v>BRF  ADS5157987   24R3</v>
      </c>
      <c r="J157" t="str">
        <f t="shared" si="9"/>
        <v xml:space="preserve">BRF  </v>
      </c>
      <c r="K157">
        <v>920</v>
      </c>
      <c r="L157">
        <v>0.68</v>
      </c>
      <c r="M157">
        <v>625.6</v>
      </c>
      <c r="N157">
        <v>1094</v>
      </c>
      <c r="O157">
        <f>IFERROR(IF(B157="MJ1",VLOOKUP(C157,TEMP!A:B,2,0)*OLAHAN!N157,OLAHAN!N157),N157)</f>
        <v>1094</v>
      </c>
      <c r="Q157">
        <v>0.68</v>
      </c>
    </row>
    <row r="158" spans="1:17" x14ac:dyDescent="0.25">
      <c r="A158">
        <v>45384</v>
      </c>
      <c r="B158" t="s">
        <v>19</v>
      </c>
      <c r="C158" t="s">
        <v>97</v>
      </c>
      <c r="D158" t="str">
        <f t="shared" si="8"/>
        <v>45384-MJ2-L2</v>
      </c>
      <c r="E158">
        <v>24001023</v>
      </c>
      <c r="F158">
        <v>182170</v>
      </c>
      <c r="G158" t="s">
        <v>112</v>
      </c>
      <c r="H158" t="str">
        <f>_xlfn.IFNA(VLOOKUP(F158,'TES2'!C:M,11,0),G158)</f>
        <v>AGRON, INC.</v>
      </c>
      <c r="I158" t="str">
        <f>_xlfn.IFNA(VLOOKUP(F158,'TES2'!C:I,6,0),"Data Tidak Ditemukan")</f>
        <v>BRF  ADS5158003   24R3</v>
      </c>
      <c r="J158" t="str">
        <f t="shared" si="9"/>
        <v xml:space="preserve">BRF  </v>
      </c>
      <c r="K158">
        <v>930</v>
      </c>
      <c r="L158">
        <v>0.68</v>
      </c>
      <c r="M158">
        <v>632.4</v>
      </c>
      <c r="N158">
        <v>1094</v>
      </c>
      <c r="O158">
        <f>IFERROR(IF(B158="MJ1",VLOOKUP(C158,TEMP!A:B,2,0)*OLAHAN!N158,OLAHAN!N158),N158)</f>
        <v>1094</v>
      </c>
      <c r="Q158">
        <v>0.68</v>
      </c>
    </row>
    <row r="159" spans="1:17" x14ac:dyDescent="0.25">
      <c r="A159">
        <v>45384</v>
      </c>
      <c r="B159" t="s">
        <v>19</v>
      </c>
      <c r="C159" t="s">
        <v>99</v>
      </c>
      <c r="D159" t="str">
        <f t="shared" si="8"/>
        <v>45384-MJ2-L3</v>
      </c>
      <c r="E159">
        <v>24001024</v>
      </c>
      <c r="F159">
        <v>182159</v>
      </c>
      <c r="G159" t="s">
        <v>112</v>
      </c>
      <c r="H159" t="str">
        <f>_xlfn.IFNA(VLOOKUP(F159,'TES2'!C:M,11,0),G159)</f>
        <v>AGRON, INC.</v>
      </c>
      <c r="I159" t="str">
        <f>_xlfn.IFNA(VLOOKUP(F159,'TES2'!C:I,6,0),"Data Tidak Ditemukan")</f>
        <v>BRF  ADS5157987   24R3</v>
      </c>
      <c r="J159" t="str">
        <f t="shared" si="9"/>
        <v xml:space="preserve">BRF  </v>
      </c>
      <c r="K159">
        <v>920</v>
      </c>
      <c r="L159">
        <v>0.68</v>
      </c>
      <c r="M159">
        <v>625.6</v>
      </c>
      <c r="N159">
        <v>1094</v>
      </c>
      <c r="O159">
        <f>IFERROR(IF(B159="MJ1",VLOOKUP(C159,TEMP!A:B,2,0)*OLAHAN!N159,OLAHAN!N159),N159)</f>
        <v>1094</v>
      </c>
      <c r="Q159">
        <v>0.68</v>
      </c>
    </row>
    <row r="160" spans="1:17" x14ac:dyDescent="0.25">
      <c r="A160">
        <v>45384</v>
      </c>
      <c r="B160" t="s">
        <v>19</v>
      </c>
      <c r="C160" t="s">
        <v>99</v>
      </c>
      <c r="D160" t="str">
        <f t="shared" si="8"/>
        <v>45384-MJ2-L3</v>
      </c>
      <c r="E160">
        <v>24001023</v>
      </c>
      <c r="F160">
        <v>182170</v>
      </c>
      <c r="G160" t="s">
        <v>112</v>
      </c>
      <c r="H160" t="str">
        <f>_xlfn.IFNA(VLOOKUP(F160,'TES2'!C:M,11,0),G160)</f>
        <v>AGRON, INC.</v>
      </c>
      <c r="I160" t="str">
        <f>_xlfn.IFNA(VLOOKUP(F160,'TES2'!C:I,6,0),"Data Tidak Ditemukan")</f>
        <v>BRF  ADS5158003   24R3</v>
      </c>
      <c r="J160" t="str">
        <f t="shared" si="9"/>
        <v xml:space="preserve">BRF  </v>
      </c>
      <c r="K160">
        <v>930</v>
      </c>
      <c r="L160">
        <v>0.68</v>
      </c>
      <c r="M160">
        <v>632.4</v>
      </c>
      <c r="N160">
        <v>1094</v>
      </c>
      <c r="O160">
        <f>IFERROR(IF(B160="MJ1",VLOOKUP(C160,TEMP!A:B,2,0)*OLAHAN!N160,OLAHAN!N160),N160)</f>
        <v>1094</v>
      </c>
      <c r="Q160">
        <v>0.68</v>
      </c>
    </row>
    <row r="161" spans="1:17" x14ac:dyDescent="0.25">
      <c r="A161">
        <v>45384</v>
      </c>
      <c r="B161" t="s">
        <v>19</v>
      </c>
      <c r="C161" t="s">
        <v>101</v>
      </c>
      <c r="D161" t="str">
        <f t="shared" si="8"/>
        <v>45384-MJ2-L4</v>
      </c>
      <c r="E161">
        <v>24001064</v>
      </c>
      <c r="F161">
        <v>182211</v>
      </c>
      <c r="G161" t="s">
        <v>112</v>
      </c>
      <c r="H161" t="str">
        <f>_xlfn.IFNA(VLOOKUP(F161,'TES2'!C:M,11,0),G161)</f>
        <v>AGRON, INC.</v>
      </c>
      <c r="I161" t="str">
        <f>_xlfn.IFNA(VLOOKUP(F161,'TES2'!C:I,6,0),"Data Tidak Ditemukan")</f>
        <v>BRF  ADS5158603   24R1</v>
      </c>
      <c r="J161" t="str">
        <f t="shared" si="9"/>
        <v xml:space="preserve">BRF  </v>
      </c>
      <c r="K161">
        <v>2400</v>
      </c>
      <c r="L161">
        <v>0.77</v>
      </c>
      <c r="M161">
        <v>1848</v>
      </c>
      <c r="N161">
        <v>1094</v>
      </c>
      <c r="O161">
        <f>IFERROR(IF(B161="MJ1",VLOOKUP(C161,TEMP!A:B,2,0)*OLAHAN!N161,OLAHAN!N161),N161)</f>
        <v>1094</v>
      </c>
      <c r="Q161">
        <v>0.77</v>
      </c>
    </row>
    <row r="162" spans="1:17" x14ac:dyDescent="0.25">
      <c r="A162">
        <v>45384</v>
      </c>
      <c r="B162" t="s">
        <v>19</v>
      </c>
      <c r="C162" t="s">
        <v>102</v>
      </c>
      <c r="D162" t="str">
        <f t="shared" ref="D162:D193" si="10">A162&amp;"-"&amp;B162&amp;"-"&amp;C162</f>
        <v>45384-MJ2-L5</v>
      </c>
      <c r="E162">
        <v>24001064</v>
      </c>
      <c r="F162">
        <v>182211</v>
      </c>
      <c r="G162" t="s">
        <v>112</v>
      </c>
      <c r="H162" t="str">
        <f>_xlfn.IFNA(VLOOKUP(F162,'TES2'!C:M,11,0),G162)</f>
        <v>AGRON, INC.</v>
      </c>
      <c r="I162" t="str">
        <f>_xlfn.IFNA(VLOOKUP(F162,'TES2'!C:I,6,0),"Data Tidak Ditemukan")</f>
        <v>BRF  ADS5158603   24R1</v>
      </c>
      <c r="J162" t="str">
        <f t="shared" ref="J162:J193" si="11">IF(I162="Data Tidak Ditemukan","TIDAK ADA DATA",LEFT(I162,5))</f>
        <v xml:space="preserve">BRF  </v>
      </c>
      <c r="K162">
        <v>2400</v>
      </c>
      <c r="L162">
        <v>0.77</v>
      </c>
      <c r="M162">
        <v>1848</v>
      </c>
      <c r="N162">
        <v>1094</v>
      </c>
      <c r="O162">
        <f>IFERROR(IF(B162="MJ1",VLOOKUP(C162,TEMP!A:B,2,0)*OLAHAN!N162,OLAHAN!N162),N162)</f>
        <v>1094</v>
      </c>
      <c r="Q162">
        <v>0.77</v>
      </c>
    </row>
    <row r="163" spans="1:17" x14ac:dyDescent="0.25">
      <c r="A163">
        <v>45384</v>
      </c>
      <c r="B163" t="s">
        <v>19</v>
      </c>
      <c r="C163" t="s">
        <v>103</v>
      </c>
      <c r="D163" t="str">
        <f t="shared" si="10"/>
        <v>45384-MJ2-L6</v>
      </c>
      <c r="E163">
        <v>24001061</v>
      </c>
      <c r="F163">
        <v>182209</v>
      </c>
      <c r="G163" t="s">
        <v>112</v>
      </c>
      <c r="H163" t="str">
        <f>_xlfn.IFNA(VLOOKUP(F163,'TES2'!C:M,11,0),G163)</f>
        <v>AGRON, INC.</v>
      </c>
      <c r="I163" t="str">
        <f>_xlfn.IFNA(VLOOKUP(F163,'TES2'!C:I,6,0),"Data Tidak Ditemukan")</f>
        <v>BRF  ADS5158608   24R1</v>
      </c>
      <c r="J163" t="str">
        <f t="shared" si="11"/>
        <v xml:space="preserve">BRF  </v>
      </c>
      <c r="K163">
        <v>298</v>
      </c>
      <c r="L163">
        <v>0.74</v>
      </c>
      <c r="M163">
        <v>220.52</v>
      </c>
      <c r="N163">
        <v>1094</v>
      </c>
      <c r="O163">
        <f>IFERROR(IF(B163="MJ1",VLOOKUP(C163,TEMP!A:B,2,0)*OLAHAN!N163,OLAHAN!N163),N163)</f>
        <v>1094</v>
      </c>
      <c r="Q163">
        <v>0.74</v>
      </c>
    </row>
    <row r="164" spans="1:17" x14ac:dyDescent="0.25">
      <c r="A164">
        <v>45384</v>
      </c>
      <c r="B164" t="s">
        <v>19</v>
      </c>
      <c r="C164" t="s">
        <v>103</v>
      </c>
      <c r="D164" t="str">
        <f t="shared" si="10"/>
        <v>45384-MJ2-L6</v>
      </c>
      <c r="E164">
        <v>24001103</v>
      </c>
      <c r="F164">
        <v>182210</v>
      </c>
      <c r="G164" t="s">
        <v>112</v>
      </c>
      <c r="H164" t="str">
        <f>_xlfn.IFNA(VLOOKUP(F164,'TES2'!C:M,11,0),G164)</f>
        <v>AGRON, INC.</v>
      </c>
      <c r="I164" t="str">
        <f>_xlfn.IFNA(VLOOKUP(F164,'TES2'!C:I,6,0),"Data Tidak Ditemukan")</f>
        <v>BRF  ADS5158609   24R1</v>
      </c>
      <c r="J164" t="str">
        <f t="shared" si="11"/>
        <v xml:space="preserve">BRF  </v>
      </c>
      <c r="K164">
        <v>198</v>
      </c>
      <c r="L164">
        <v>0.74</v>
      </c>
      <c r="M164">
        <v>146.52000000000001</v>
      </c>
      <c r="N164">
        <v>1094</v>
      </c>
      <c r="O164">
        <f>IFERROR(IF(B164="MJ1",VLOOKUP(C164,TEMP!A:B,2,0)*OLAHAN!N164,OLAHAN!N164),N164)</f>
        <v>1094</v>
      </c>
      <c r="Q164">
        <v>0.74</v>
      </c>
    </row>
    <row r="165" spans="1:17" x14ac:dyDescent="0.25">
      <c r="A165">
        <v>45384</v>
      </c>
      <c r="B165" t="s">
        <v>19</v>
      </c>
      <c r="C165" t="s">
        <v>103</v>
      </c>
      <c r="D165" t="str">
        <f t="shared" si="10"/>
        <v>45384-MJ2-L6</v>
      </c>
      <c r="E165">
        <v>24001064</v>
      </c>
      <c r="F165">
        <v>182211</v>
      </c>
      <c r="G165" t="s">
        <v>112</v>
      </c>
      <c r="H165" t="str">
        <f>_xlfn.IFNA(VLOOKUP(F165,'TES2'!C:M,11,0),G165)</f>
        <v>AGRON, INC.</v>
      </c>
      <c r="I165" t="str">
        <f>_xlfn.IFNA(VLOOKUP(F165,'TES2'!C:I,6,0),"Data Tidak Ditemukan")</f>
        <v>BRF  ADS5158603   24R1</v>
      </c>
      <c r="J165" t="str">
        <f t="shared" si="11"/>
        <v xml:space="preserve">BRF  </v>
      </c>
      <c r="K165">
        <v>1804</v>
      </c>
      <c r="L165">
        <v>0.77</v>
      </c>
      <c r="M165">
        <v>1389.08</v>
      </c>
      <c r="N165">
        <v>1094</v>
      </c>
      <c r="O165">
        <f>IFERROR(IF(B165="MJ1",VLOOKUP(C165,TEMP!A:B,2,0)*OLAHAN!N165,OLAHAN!N165),N165)</f>
        <v>1094</v>
      </c>
      <c r="Q165">
        <v>0.77</v>
      </c>
    </row>
    <row r="166" spans="1:17" x14ac:dyDescent="0.25">
      <c r="A166">
        <v>45384</v>
      </c>
      <c r="B166" t="s">
        <v>19</v>
      </c>
      <c r="C166" t="s">
        <v>107</v>
      </c>
      <c r="D166" t="str">
        <f t="shared" si="10"/>
        <v>45384-MJ2-L7</v>
      </c>
      <c r="E166">
        <v>24001061</v>
      </c>
      <c r="F166">
        <v>182209</v>
      </c>
      <c r="G166" t="s">
        <v>112</v>
      </c>
      <c r="H166" t="str">
        <f>_xlfn.IFNA(VLOOKUP(F166,'TES2'!C:M,11,0),G166)</f>
        <v>AGRON, INC.</v>
      </c>
      <c r="I166" t="str">
        <f>_xlfn.IFNA(VLOOKUP(F166,'TES2'!C:I,6,0),"Data Tidak Ditemukan")</f>
        <v>BRF  ADS5158608   24R1</v>
      </c>
      <c r="J166" t="str">
        <f t="shared" si="11"/>
        <v xml:space="preserve">BRF  </v>
      </c>
      <c r="K166">
        <v>298</v>
      </c>
      <c r="L166">
        <v>0.74</v>
      </c>
      <c r="M166">
        <v>220.52</v>
      </c>
      <c r="N166">
        <v>1094</v>
      </c>
      <c r="O166">
        <f>IFERROR(IF(B166="MJ1",VLOOKUP(C166,TEMP!A:B,2,0)*OLAHAN!N166,OLAHAN!N166),N166)</f>
        <v>1094</v>
      </c>
      <c r="Q166">
        <v>0.74</v>
      </c>
    </row>
    <row r="167" spans="1:17" x14ac:dyDescent="0.25">
      <c r="A167">
        <v>45384</v>
      </c>
      <c r="B167" t="s">
        <v>19</v>
      </c>
      <c r="C167" t="s">
        <v>107</v>
      </c>
      <c r="D167" t="str">
        <f t="shared" si="10"/>
        <v>45384-MJ2-L7</v>
      </c>
      <c r="E167">
        <v>24001103</v>
      </c>
      <c r="F167">
        <v>182210</v>
      </c>
      <c r="G167" t="s">
        <v>112</v>
      </c>
      <c r="H167" t="str">
        <f>_xlfn.IFNA(VLOOKUP(F167,'TES2'!C:M,11,0),G167)</f>
        <v>AGRON, INC.</v>
      </c>
      <c r="I167" t="str">
        <f>_xlfn.IFNA(VLOOKUP(F167,'TES2'!C:I,6,0),"Data Tidak Ditemukan")</f>
        <v>BRF  ADS5158609   24R1</v>
      </c>
      <c r="J167" t="str">
        <f t="shared" si="11"/>
        <v xml:space="preserve">BRF  </v>
      </c>
      <c r="K167">
        <v>197</v>
      </c>
      <c r="L167">
        <v>0.74</v>
      </c>
      <c r="M167">
        <v>145.78</v>
      </c>
      <c r="N167">
        <v>1094</v>
      </c>
      <c r="O167">
        <f>IFERROR(IF(B167="MJ1",VLOOKUP(C167,TEMP!A:B,2,0)*OLAHAN!N167,OLAHAN!N167),N167)</f>
        <v>1094</v>
      </c>
      <c r="Q167">
        <v>0.74</v>
      </c>
    </row>
    <row r="168" spans="1:17" x14ac:dyDescent="0.25">
      <c r="A168">
        <v>45384</v>
      </c>
      <c r="B168" t="s">
        <v>19</v>
      </c>
      <c r="C168" t="s">
        <v>107</v>
      </c>
      <c r="D168" t="str">
        <f t="shared" si="10"/>
        <v>45384-MJ2-L7</v>
      </c>
      <c r="E168">
        <v>24001064</v>
      </c>
      <c r="F168">
        <v>182211</v>
      </c>
      <c r="G168" t="s">
        <v>112</v>
      </c>
      <c r="H168" t="str">
        <f>_xlfn.IFNA(VLOOKUP(F168,'TES2'!C:M,11,0),G168)</f>
        <v>AGRON, INC.</v>
      </c>
      <c r="I168" t="str">
        <f>_xlfn.IFNA(VLOOKUP(F168,'TES2'!C:I,6,0),"Data Tidak Ditemukan")</f>
        <v>BRF  ADS5158603   24R1</v>
      </c>
      <c r="J168" t="str">
        <f t="shared" si="11"/>
        <v xml:space="preserve">BRF  </v>
      </c>
      <c r="K168">
        <v>1805</v>
      </c>
      <c r="L168">
        <v>0.77</v>
      </c>
      <c r="M168">
        <v>1389.85</v>
      </c>
      <c r="N168">
        <v>1094</v>
      </c>
      <c r="O168">
        <f>IFERROR(IF(B168="MJ1",VLOOKUP(C168,TEMP!A:B,2,0)*OLAHAN!N168,OLAHAN!N168),N168)</f>
        <v>1094</v>
      </c>
      <c r="Q168">
        <v>0.77</v>
      </c>
    </row>
    <row r="169" spans="1:17" x14ac:dyDescent="0.25">
      <c r="A169">
        <v>45384</v>
      </c>
      <c r="B169" t="s">
        <v>19</v>
      </c>
      <c r="C169" t="s">
        <v>109</v>
      </c>
      <c r="D169" t="str">
        <f t="shared" si="10"/>
        <v>45384-MJ2-L8</v>
      </c>
      <c r="E169">
        <v>24001206</v>
      </c>
      <c r="F169">
        <v>182150</v>
      </c>
      <c r="G169" t="s">
        <v>112</v>
      </c>
      <c r="H169" t="str">
        <f>_xlfn.IFNA(VLOOKUP(F169,'TES2'!C:M,11,0),G169)</f>
        <v>AGRON, INC.</v>
      </c>
      <c r="I169" t="str">
        <f>_xlfn.IFNA(VLOOKUP(F169,'TES2'!C:I,6,0),"Data Tidak Ditemukan")</f>
        <v>BRF  ADS5157977   24R3</v>
      </c>
      <c r="J169" t="str">
        <f t="shared" si="11"/>
        <v xml:space="preserve">BRF  </v>
      </c>
      <c r="K169">
        <v>120</v>
      </c>
      <c r="L169">
        <v>0.79</v>
      </c>
      <c r="M169">
        <v>94.8</v>
      </c>
      <c r="N169">
        <v>1094</v>
      </c>
      <c r="O169">
        <f>IFERROR(IF(B169="MJ1",VLOOKUP(C169,TEMP!A:B,2,0)*OLAHAN!N169,OLAHAN!N169),N169)</f>
        <v>1094</v>
      </c>
      <c r="Q169">
        <v>0.79</v>
      </c>
    </row>
    <row r="170" spans="1:17" x14ac:dyDescent="0.25">
      <c r="A170">
        <v>45384</v>
      </c>
      <c r="B170" t="s">
        <v>19</v>
      </c>
      <c r="C170" t="s">
        <v>109</v>
      </c>
      <c r="D170" t="str">
        <f t="shared" si="10"/>
        <v>45384-MJ2-L8</v>
      </c>
      <c r="E170">
        <v>24001083</v>
      </c>
      <c r="F170">
        <v>182151</v>
      </c>
      <c r="G170" t="s">
        <v>112</v>
      </c>
      <c r="H170" t="str">
        <f>_xlfn.IFNA(VLOOKUP(F170,'TES2'!C:M,11,0),G170)</f>
        <v>AGRON, INC.</v>
      </c>
      <c r="I170" t="str">
        <f>_xlfn.IFNA(VLOOKUP(F170,'TES2'!C:I,6,0),"Data Tidak Ditemukan")</f>
        <v>BRF  ADS5157983   24R2</v>
      </c>
      <c r="J170" t="str">
        <f t="shared" si="11"/>
        <v xml:space="preserve">BRF  </v>
      </c>
      <c r="K170">
        <v>522</v>
      </c>
      <c r="L170">
        <v>0.79</v>
      </c>
      <c r="M170">
        <v>412.38</v>
      </c>
      <c r="N170">
        <v>1094</v>
      </c>
      <c r="O170">
        <f>IFERROR(IF(B170="MJ1",VLOOKUP(C170,TEMP!A:B,2,0)*OLAHAN!N170,OLAHAN!N170),N170)</f>
        <v>1094</v>
      </c>
      <c r="Q170">
        <v>0.79</v>
      </c>
    </row>
    <row r="171" spans="1:17" x14ac:dyDescent="0.25">
      <c r="A171">
        <v>45384</v>
      </c>
      <c r="B171" t="s">
        <v>19</v>
      </c>
      <c r="C171" t="s">
        <v>109</v>
      </c>
      <c r="D171" t="str">
        <f t="shared" si="10"/>
        <v>45384-MJ2-L8</v>
      </c>
      <c r="E171">
        <v>24001084</v>
      </c>
      <c r="F171">
        <v>182152</v>
      </c>
      <c r="G171" t="s">
        <v>112</v>
      </c>
      <c r="H171" t="str">
        <f>_xlfn.IFNA(VLOOKUP(F171,'TES2'!C:M,11,0),G171)</f>
        <v>AGRON, INC.</v>
      </c>
      <c r="I171" t="str">
        <f>_xlfn.IFNA(VLOOKUP(F171,'TES2'!C:I,6,0),"Data Tidak Ditemukan")</f>
        <v>BRF  ADS5157992   24R3</v>
      </c>
      <c r="J171" t="str">
        <f t="shared" si="11"/>
        <v xml:space="preserve">BRF  </v>
      </c>
      <c r="K171">
        <v>958</v>
      </c>
      <c r="L171">
        <v>0.79</v>
      </c>
      <c r="M171">
        <v>756.82</v>
      </c>
      <c r="N171">
        <v>1094</v>
      </c>
      <c r="O171">
        <f>IFERROR(IF(B171="MJ1",VLOOKUP(C171,TEMP!A:B,2,0)*OLAHAN!N171,OLAHAN!N171),N171)</f>
        <v>1094</v>
      </c>
      <c r="Q171">
        <v>0.79</v>
      </c>
    </row>
    <row r="172" spans="1:17" x14ac:dyDescent="0.25">
      <c r="A172">
        <v>45384</v>
      </c>
      <c r="B172" t="s">
        <v>19</v>
      </c>
      <c r="C172" t="s">
        <v>110</v>
      </c>
      <c r="D172" t="str">
        <f t="shared" si="10"/>
        <v>45384-MJ2-L9</v>
      </c>
      <c r="E172">
        <v>24001206</v>
      </c>
      <c r="F172">
        <v>182150</v>
      </c>
      <c r="G172" t="s">
        <v>112</v>
      </c>
      <c r="H172" t="str">
        <f>_xlfn.IFNA(VLOOKUP(F172,'TES2'!C:M,11,0),G172)</f>
        <v>AGRON, INC.</v>
      </c>
      <c r="I172" t="str">
        <f>_xlfn.IFNA(VLOOKUP(F172,'TES2'!C:I,6,0),"Data Tidak Ditemukan")</f>
        <v>BRF  ADS5157977   24R3</v>
      </c>
      <c r="J172" t="str">
        <f t="shared" si="11"/>
        <v xml:space="preserve">BRF  </v>
      </c>
      <c r="K172">
        <v>120</v>
      </c>
      <c r="L172">
        <v>0.79</v>
      </c>
      <c r="M172">
        <v>94.8</v>
      </c>
      <c r="N172">
        <v>1094</v>
      </c>
      <c r="O172">
        <f>IFERROR(IF(B172="MJ1",VLOOKUP(C172,TEMP!A:B,2,0)*OLAHAN!N172,OLAHAN!N172),N172)</f>
        <v>1094</v>
      </c>
      <c r="Q172">
        <v>0.79</v>
      </c>
    </row>
    <row r="173" spans="1:17" x14ac:dyDescent="0.25">
      <c r="A173">
        <v>45384</v>
      </c>
      <c r="B173" t="s">
        <v>19</v>
      </c>
      <c r="C173" t="s">
        <v>110</v>
      </c>
      <c r="D173" t="str">
        <f t="shared" si="10"/>
        <v>45384-MJ2-L9</v>
      </c>
      <c r="E173">
        <v>24001083</v>
      </c>
      <c r="F173">
        <v>182151</v>
      </c>
      <c r="G173" t="s">
        <v>112</v>
      </c>
      <c r="H173" t="str">
        <f>_xlfn.IFNA(VLOOKUP(F173,'TES2'!C:M,11,0),G173)</f>
        <v>AGRON, INC.</v>
      </c>
      <c r="I173" t="str">
        <f>_xlfn.IFNA(VLOOKUP(F173,'TES2'!C:I,6,0),"Data Tidak Ditemukan")</f>
        <v>BRF  ADS5157983   24R2</v>
      </c>
      <c r="J173" t="str">
        <f t="shared" si="11"/>
        <v xml:space="preserve">BRF  </v>
      </c>
      <c r="K173">
        <v>523</v>
      </c>
      <c r="L173">
        <v>0.79</v>
      </c>
      <c r="M173">
        <v>413.17</v>
      </c>
      <c r="N173">
        <v>1094</v>
      </c>
      <c r="O173">
        <f>IFERROR(IF(B173="MJ1",VLOOKUP(C173,TEMP!A:B,2,0)*OLAHAN!N173,OLAHAN!N173),N173)</f>
        <v>1094</v>
      </c>
      <c r="Q173">
        <v>0.79</v>
      </c>
    </row>
    <row r="174" spans="1:17" x14ac:dyDescent="0.25">
      <c r="A174">
        <v>45384</v>
      </c>
      <c r="B174" t="s">
        <v>19</v>
      </c>
      <c r="C174" t="s">
        <v>110</v>
      </c>
      <c r="D174" t="str">
        <f t="shared" si="10"/>
        <v>45384-MJ2-L9</v>
      </c>
      <c r="E174">
        <v>24001084</v>
      </c>
      <c r="F174">
        <v>182152</v>
      </c>
      <c r="G174" t="s">
        <v>112</v>
      </c>
      <c r="H174" t="str">
        <f>_xlfn.IFNA(VLOOKUP(F174,'TES2'!C:M,11,0),G174)</f>
        <v>AGRON, INC.</v>
      </c>
      <c r="I174" t="str">
        <f>_xlfn.IFNA(VLOOKUP(F174,'TES2'!C:I,6,0),"Data Tidak Ditemukan")</f>
        <v>BRF  ADS5157992   24R3</v>
      </c>
      <c r="J174" t="str">
        <f t="shared" si="11"/>
        <v xml:space="preserve">BRF  </v>
      </c>
      <c r="K174">
        <v>957</v>
      </c>
      <c r="L174">
        <v>0.79</v>
      </c>
      <c r="M174">
        <v>756.03</v>
      </c>
      <c r="N174">
        <v>1094</v>
      </c>
      <c r="O174">
        <f>IFERROR(IF(B174="MJ1",VLOOKUP(C174,TEMP!A:B,2,0)*OLAHAN!N174,OLAHAN!N174),N174)</f>
        <v>1094</v>
      </c>
      <c r="Q174">
        <v>0.79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F2888-CAD0-4A11-A44A-109D3CE7D01C}">
  <sheetPr codeName="Sheet24"/>
  <dimension ref="A1:C10"/>
  <sheetViews>
    <sheetView workbookViewId="0"/>
  </sheetViews>
  <sheetFormatPr defaultRowHeight="15" x14ac:dyDescent="0.25"/>
  <cols>
    <col min="1" max="1" width="10" customWidth="1"/>
    <col min="2" max="2" width="15.85546875" bestFit="1" customWidth="1"/>
  </cols>
  <sheetData>
    <row r="1" spans="1:3" x14ac:dyDescent="0.25">
      <c r="A1" s="71" t="s">
        <v>93</v>
      </c>
      <c r="B1" s="68" t="s">
        <v>306</v>
      </c>
      <c r="C1" s="72">
        <v>986</v>
      </c>
    </row>
    <row r="2" spans="1:3" x14ac:dyDescent="0.25">
      <c r="A2" s="70" t="s">
        <v>95</v>
      </c>
      <c r="B2">
        <v>1</v>
      </c>
      <c r="C2">
        <f>$C$1*B2</f>
        <v>986</v>
      </c>
    </row>
    <row r="3" spans="1:3" x14ac:dyDescent="0.25">
      <c r="A3" s="70" t="s">
        <v>97</v>
      </c>
      <c r="B3">
        <v>1</v>
      </c>
      <c r="C3">
        <f t="shared" ref="C3:C9" si="0">$C$1*B3</f>
        <v>986</v>
      </c>
    </row>
    <row r="4" spans="1:3" x14ac:dyDescent="0.25">
      <c r="A4" s="70" t="s">
        <v>99</v>
      </c>
      <c r="B4">
        <v>1</v>
      </c>
      <c r="C4">
        <f t="shared" si="0"/>
        <v>986</v>
      </c>
    </row>
    <row r="5" spans="1:3" x14ac:dyDescent="0.25">
      <c r="A5" s="70" t="s">
        <v>101</v>
      </c>
      <c r="B5">
        <v>0.75</v>
      </c>
      <c r="C5">
        <f t="shared" si="0"/>
        <v>739.5</v>
      </c>
    </row>
    <row r="6" spans="1:3" x14ac:dyDescent="0.25">
      <c r="A6" s="70" t="s">
        <v>102</v>
      </c>
      <c r="B6">
        <v>0.75</v>
      </c>
      <c r="C6">
        <f t="shared" si="0"/>
        <v>739.5</v>
      </c>
    </row>
    <row r="7" spans="1:3" x14ac:dyDescent="0.25">
      <c r="A7" s="70" t="s">
        <v>103</v>
      </c>
      <c r="B7">
        <v>1.5</v>
      </c>
      <c r="C7">
        <f t="shared" si="0"/>
        <v>1479</v>
      </c>
    </row>
    <row r="8" spans="1:3" x14ac:dyDescent="0.25">
      <c r="A8" s="70" t="s">
        <v>118</v>
      </c>
      <c r="B8">
        <v>1</v>
      </c>
      <c r="C8">
        <f t="shared" si="0"/>
        <v>986</v>
      </c>
    </row>
    <row r="9" spans="1:3" x14ac:dyDescent="0.25">
      <c r="A9" s="70" t="s">
        <v>119</v>
      </c>
      <c r="B9">
        <v>1</v>
      </c>
      <c r="C9">
        <f t="shared" si="0"/>
        <v>986</v>
      </c>
    </row>
    <row r="10" spans="1:3" x14ac:dyDescent="0.25">
      <c r="B10">
        <v>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BANTUAN</vt:lpstr>
      <vt:lpstr>RPA</vt:lpstr>
      <vt:lpstr>RekapUnWO_CM0_DOS</vt:lpstr>
      <vt:lpstr>TES1</vt:lpstr>
      <vt:lpstr>TES2</vt:lpstr>
      <vt:lpstr>OLAHAN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2024-04-04T04:04:03Z</cp:lastPrinted>
  <dcterms:created xsi:type="dcterms:W3CDTF">2015-06-05T18:17:20Z</dcterms:created>
  <dcterms:modified xsi:type="dcterms:W3CDTF">2024-04-04T05:55:14Z</dcterms:modified>
</cp:coreProperties>
</file>