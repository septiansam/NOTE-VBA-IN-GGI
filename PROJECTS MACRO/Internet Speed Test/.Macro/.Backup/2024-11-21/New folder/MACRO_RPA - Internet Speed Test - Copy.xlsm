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Internet Speed Test\.Macro\.Backup\2024-11-21\New folder\"/>
    </mc:Choice>
  </mc:AlternateContent>
  <xr:revisionPtr revIDLastSave="0" documentId="13_ncr:1_{EB61E056-72CE-4459-B4AC-8EC32C199AFE}" xr6:coauthVersionLast="47" xr6:coauthVersionMax="47" xr10:uidLastSave="{00000000-0000-0000-0000-000000000000}"/>
  <bookViews>
    <workbookView xWindow="20370" yWindow="-120" windowWidth="20730" windowHeight="11160" tabRatio="860" activeTab="4" xr2:uid="{00000000-000D-0000-FFFF-FFFF00000000}"/>
  </bookViews>
  <sheets>
    <sheet name="Ref_WA" sheetId="39" r:id="rId1"/>
    <sheet name="HOME" sheetId="79" r:id="rId2"/>
    <sheet name="CC1_1201" sheetId="430" r:id="rId3"/>
    <sheet name="CC2_1204" sheetId="431" r:id="rId4"/>
    <sheet name="OLAH1_Bandwidth" sheetId="438" r:id="rId5"/>
    <sheet name="CEHCK_CLN" sheetId="441" r:id="rId6"/>
    <sheet name="RPA_WA1" sheetId="440" r:id="rId7"/>
  </sheets>
  <functionGroups builtInGroupCount="19"/>
  <externalReferences>
    <externalReference r:id="rId8"/>
  </externalReferences>
  <definedNames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430" l="1"/>
  <c r="J14" i="430"/>
  <c r="J15" i="430"/>
  <c r="J2" i="430"/>
  <c r="J3" i="430"/>
  <c r="J4" i="430"/>
  <c r="J5" i="430"/>
  <c r="J6" i="430"/>
  <c r="J7" i="430"/>
  <c r="J8" i="430"/>
  <c r="J9" i="430"/>
  <c r="J10" i="430"/>
  <c r="J11" i="430"/>
  <c r="J12" i="430"/>
  <c r="I13" i="430"/>
  <c r="I14" i="430"/>
  <c r="I15" i="430"/>
  <c r="I2" i="430"/>
  <c r="I3" i="430"/>
  <c r="I4" i="430"/>
  <c r="I5" i="430"/>
  <c r="I6" i="430"/>
  <c r="I7" i="430"/>
  <c r="I8" i="430"/>
  <c r="I9" i="430"/>
  <c r="I10" i="430"/>
  <c r="I11" i="430"/>
  <c r="I12" i="430"/>
  <c r="E2" i="438"/>
  <c r="D2" i="438"/>
  <c r="E10" i="430"/>
  <c r="E11" i="430"/>
  <c r="E12" i="430"/>
  <c r="E13" i="430"/>
  <c r="E14" i="430"/>
  <c r="E15" i="430"/>
  <c r="E2" i="430"/>
  <c r="E3" i="430"/>
  <c r="E4" i="430"/>
  <c r="E5" i="430"/>
  <c r="E6" i="430"/>
  <c r="E7" i="430"/>
  <c r="E8" i="430"/>
  <c r="E3" i="438" l="1"/>
  <c r="D3" i="438"/>
  <c r="A2" i="441"/>
  <c r="B3" i="430" l="1"/>
  <c r="B4" i="430"/>
  <c r="B5" i="430"/>
  <c r="B6" i="430"/>
  <c r="B7" i="430"/>
  <c r="B8" i="430"/>
  <c r="B9" i="430"/>
  <c r="B10" i="430"/>
  <c r="C10" i="430" s="1"/>
  <c r="B11" i="430"/>
  <c r="G11" i="430" s="1"/>
  <c r="B12" i="430"/>
  <c r="G12" i="430" s="1"/>
  <c r="B13" i="430"/>
  <c r="C13" i="430" s="1"/>
  <c r="B14" i="430"/>
  <c r="C14" i="430" s="1"/>
  <c r="B15" i="430"/>
  <c r="B2" i="430"/>
  <c r="G2" i="430" s="1"/>
  <c r="H2" i="430" s="1"/>
  <c r="G13" i="430" l="1"/>
  <c r="H13" i="430" s="1"/>
  <c r="G10" i="430"/>
  <c r="H10" i="430" s="1"/>
  <c r="H11" i="430"/>
  <c r="G9" i="430"/>
  <c r="H9" i="430" s="1"/>
  <c r="G8" i="430"/>
  <c r="H8" i="430" s="1"/>
  <c r="H12" i="430"/>
  <c r="G7" i="430"/>
  <c r="H7" i="430" s="1"/>
  <c r="G6" i="430"/>
  <c r="H6" i="430" s="1"/>
  <c r="G5" i="430"/>
  <c r="H5" i="430" s="1"/>
  <c r="G4" i="430"/>
  <c r="H4" i="430" s="1"/>
  <c r="G15" i="430"/>
  <c r="H15" i="430" s="1"/>
  <c r="G3" i="430"/>
  <c r="H3" i="430" s="1"/>
  <c r="G14" i="430"/>
  <c r="H14" i="430" s="1"/>
  <c r="C11" i="430"/>
  <c r="D11" i="430" s="1"/>
  <c r="C12" i="430"/>
  <c r="D12" i="430" s="1"/>
  <c r="C8" i="430"/>
  <c r="D8" i="430" s="1"/>
  <c r="C7" i="430"/>
  <c r="D7" i="430" s="1"/>
  <c r="C9" i="430"/>
  <c r="D9" i="430" s="1"/>
  <c r="C6" i="430"/>
  <c r="D6" i="430" s="1"/>
  <c r="C5" i="430"/>
  <c r="D5" i="430" s="1"/>
  <c r="C2" i="430"/>
  <c r="D2" i="430" s="1"/>
  <c r="C4" i="430"/>
  <c r="D4" i="430" s="1"/>
  <c r="C15" i="430"/>
  <c r="D15" i="430" s="1"/>
  <c r="C3" i="430"/>
  <c r="D3" i="430" s="1"/>
  <c r="D13" i="430"/>
  <c r="D14" i="430"/>
  <c r="D10" i="430"/>
  <c r="F5" i="430" l="1"/>
  <c r="F12" i="430"/>
  <c r="E9" i="430"/>
  <c r="F9" i="430" s="1"/>
  <c r="F7" i="430" l="1"/>
  <c r="F6" i="430"/>
  <c r="F13" i="430"/>
  <c r="F10" i="430"/>
  <c r="F8" i="430"/>
  <c r="F15" i="430"/>
  <c r="F14" i="430"/>
  <c r="F11" i="430"/>
  <c r="F3" i="430"/>
  <c r="F2" i="430"/>
  <c r="F4" i="430"/>
</calcChain>
</file>

<file path=xl/sharedStrings.xml><?xml version="1.0" encoding="utf-8"?>
<sst xmlns="http://schemas.openxmlformats.org/spreadsheetml/2006/main" count="90" uniqueCount="49">
  <si>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</si>
  <si>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</si>
  <si>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</si>
  <si>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</si>
  <si>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</si>
  <si>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</si>
  <si>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</si>
  <si>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</si>
  <si>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</si>
  <si>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</si>
  <si>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</si>
  <si>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</si>
  <si>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 xml:space="preserve">   Speedtest by Ookla</t>
  </si>
  <si>
    <t xml:space="preserve">      Server: PT. Telekomunikasi Indonesia - Bandung (id: 7580)</t>
  </si>
  <si>
    <t xml:space="preserve"> Packet Loss:     0.0%</t>
  </si>
  <si>
    <t>BUFFER MINIMUM SPEED</t>
  </si>
  <si>
    <t>subtitute</t>
  </si>
  <si>
    <t>Row MBPS "Download"</t>
  </si>
  <si>
    <t>mid "Download"</t>
  </si>
  <si>
    <t>Row "Download"</t>
  </si>
  <si>
    <t>Row "Upload"</t>
  </si>
  <si>
    <t>mid "Upload"</t>
  </si>
  <si>
    <t>Get Speed "Download"</t>
  </si>
  <si>
    <t>Get Speed "Upload"</t>
  </si>
  <si>
    <t>Row MBPS "Upload"</t>
  </si>
  <si>
    <t>BU</t>
  </si>
  <si>
    <t>CHECK</t>
  </si>
  <si>
    <t>GET DOWNLOAD</t>
  </si>
  <si>
    <t>GET UPLOAD</t>
  </si>
  <si>
    <t>CC DOWNLOAD</t>
  </si>
  <si>
    <t>CC UPLOAD</t>
  </si>
  <si>
    <t>BOST DOWNLOAD SPEED 1201</t>
  </si>
  <si>
    <t>BOST DOWNLOAD SPEED 1204</t>
  </si>
  <si>
    <t>CONTACT</t>
  </si>
  <si>
    <t>MSG</t>
  </si>
  <si>
    <t>Nama PIC</t>
  </si>
  <si>
    <t>Hadi</t>
  </si>
  <si>
    <t>RPA GGI &amp; MAKRO GGI</t>
  </si>
  <si>
    <t>Kapasitas Bandwidth Internet saat ini adalah:
|*CILEUNYI:*
_Download_: 6.35 Mbps
_Upload_: 1856.65 Mbps
|*MAJALENGKA:*
_Download_: 6.35 Mbps
_Upload_: 1856.65 Mbps</t>
  </si>
  <si>
    <t>Contact Name</t>
  </si>
  <si>
    <t>Sumirat</t>
  </si>
  <si>
    <t xml:space="preserve">Date/Time: Thu 11/21/2024 13:20:31.84 </t>
  </si>
  <si>
    <t xml:space="preserve">         ISP: PT Comtronics Systems</t>
  </si>
  <si>
    <t>Idle Latency:     5.24 ms   (jitter: 0.18ms, low: 5.06ms, high: 5.36ms)</t>
  </si>
  <si>
    <t xml:space="preserve">    Download:   184.40 Mbps (data used: 173.4 MB)                                                   </t>
  </si>
  <si>
    <t xml:space="preserve">                 32.49 ms   (jitter: 2.31ms, low: 5.51ms, high: 95.45ms)</t>
  </si>
  <si>
    <t xml:space="preserve">      Upload:   167.89 Mbps (data used: 76.0 MB)                                                   </t>
  </si>
  <si>
    <t xml:space="preserve">                 47.58 ms   (jitter: 3.08ms, low: 14.29ms, high: 54.41ms)</t>
  </si>
  <si>
    <t xml:space="preserve">  Result URL: https://www.speedtest.net/result/c/bbdb16e8-620b-455e-b01c-ac7776d6b123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</si>
</sst>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47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14" fontId="0" fillId="0" borderId="0" xfId="0" applyNumberFormat="1"/>
    <xf numFmtId="0" fontId="17" fillId="0" borderId="0" xfId="0" applyFont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0" xfId="0" applyFill="1"/>
    <xf numFmtId="49" fontId="2" fillId="0" borderId="0" xfId="2" applyNumberFormat="1"/>
    <xf numFmtId="47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7" fillId="5" borderId="0" xfId="0" applyFont="1" applyFill="1"/>
    <xf numFmtId="0" fontId="16" fillId="0" borderId="0" xfId="0" applyFont="1"/>
    <xf numFmtId="0" fontId="16" fillId="0" borderId="0" xfId="0" applyFont="1" applyAlignment="1">
      <alignment vertical="center"/>
    </xf>
    <xf numFmtId="0" fontId="16" fillId="0" borderId="0" xfId="0" quotePrefix="1" applyFont="1"/>
    <xf numFmtId="0" fontId="1" fillId="0" borderId="0" xfId="2" applyFont="1"/>
    <xf numFmtId="0" fontId="16" fillId="0" borderId="0" xfId="0" applyFont="1" applyAlignment="1"/>
    <xf numFmtId="0" fontId="16" fillId="0" borderId="0" xfId="0" applyFont="1" applyAlignment="1">
      <alignment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14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1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4"/>
  <sheetViews>
    <sheetView topLeftCell="B1" zoomScale="85" zoomScaleNormal="85" workbookViewId="0">
      <selection activeCell="B4" sqref="B4"/>
    </sheetView>
  </sheetViews>
  <sheetFormatPr defaultColWidth="8.7109375" defaultRowHeight="15"/>
  <cols>
    <col min="1" max="1" width="9.7109375" style="27" customWidth="1"/>
    <col min="2" max="2" width="21.28515625" style="4" bestFit="1" customWidth="1"/>
    <col min="3" max="16384" width="8.7109375" style="4"/>
  </cols>
  <sheetData>
    <row r="1" spans="1:3">
      <c r="A1" s="20" t="s">
        <v>35</v>
      </c>
      <c r="B1" s="20" t="s">
        <v>39</v>
      </c>
      <c r="C1" s="20"/>
    </row>
    <row r="2" spans="1:3">
      <c r="A2" t="s">
        <v>36</v>
      </c>
      <c r="B2" t="s">
        <v>37</v>
      </c>
    </row>
    <row r="3" spans="1:3">
      <c r="B3" s="35" t="s">
        <v>40</v>
      </c>
    </row>
    <row r="4" spans="1:3">
      <c r="B4" s="36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>
      <c r="A1" s="44"/>
      <c r="B1" s="44"/>
      <c r="C1" s="45" t="s">
        <v>1</v>
      </c>
      <c r="D1" s="45"/>
      <c r="E1" s="45"/>
      <c r="F1" s="45"/>
      <c r="G1" s="45"/>
      <c r="H1" s="45"/>
    </row>
    <row r="2" spans="1:8" ht="1.5" customHeight="1">
      <c r="A2" s="22"/>
      <c r="B2" s="23"/>
      <c r="C2" s="11"/>
      <c r="D2" s="11"/>
      <c r="E2" s="11"/>
      <c r="F2" s="11"/>
      <c r="G2" s="11"/>
      <c r="H2" s="11"/>
    </row>
    <row r="3" spans="1:8" ht="7.5" customHeight="1">
      <c r="A3" s="44"/>
      <c r="B3" s="44"/>
      <c r="C3" s="12"/>
      <c r="D3" s="12"/>
      <c r="E3" s="12"/>
      <c r="F3" s="12"/>
      <c r="G3" s="12"/>
      <c r="H3" s="12"/>
    </row>
    <row r="4" spans="1:8" ht="15.75">
      <c r="A4" s="44"/>
      <c r="B4" s="44"/>
      <c r="C4" s="5" t="s">
        <v>2</v>
      </c>
      <c r="D4" s="6" t="s">
        <v>3</v>
      </c>
      <c r="E4" s="42" t="s">
        <v>4</v>
      </c>
      <c r="F4" s="43"/>
      <c r="G4" s="6" t="s">
        <v>5</v>
      </c>
      <c r="H4" s="7" t="s">
        <v>6</v>
      </c>
    </row>
    <row r="5" spans="1:8">
      <c r="A5" s="44"/>
      <c r="B5" s="44"/>
      <c r="C5" s="41"/>
      <c r="D5" s="8" t="s">
        <v>15</v>
      </c>
      <c r="E5" s="14" t="s">
        <v>0</v>
      </c>
      <c r="F5" s="30">
        <v>180</v>
      </c>
      <c r="G5" s="25" t="s">
        <v>0</v>
      </c>
      <c r="H5" s="39" t="s">
        <v>7</v>
      </c>
    </row>
    <row r="6" spans="1:8">
      <c r="A6" s="44"/>
      <c r="B6" s="44"/>
      <c r="C6" s="41"/>
      <c r="D6" s="8" t="s">
        <v>31</v>
      </c>
      <c r="E6" s="14" t="s">
        <v>0</v>
      </c>
      <c r="F6" s="30">
        <v>10</v>
      </c>
      <c r="G6" s="9" t="s">
        <v>0</v>
      </c>
      <c r="H6" s="46"/>
    </row>
    <row r="7" spans="1:8">
      <c r="A7" s="44"/>
      <c r="B7" s="44"/>
      <c r="C7" s="41"/>
      <c r="D7" s="8" t="s">
        <v>32</v>
      </c>
      <c r="E7" s="14" t="s">
        <v>0</v>
      </c>
      <c r="F7" s="30">
        <v>0</v>
      </c>
      <c r="G7" s="9"/>
      <c r="H7" s="46"/>
    </row>
    <row r="8" spans="1:8">
      <c r="A8" s="44"/>
      <c r="B8" s="44"/>
      <c r="C8" s="41"/>
      <c r="D8" s="8"/>
      <c r="E8" s="14" t="s">
        <v>0</v>
      </c>
      <c r="F8" s="31"/>
      <c r="G8" s="9"/>
      <c r="H8" s="46"/>
    </row>
    <row r="9" spans="1:8">
      <c r="A9" s="44"/>
      <c r="B9" s="44"/>
      <c r="C9" s="41"/>
      <c r="D9" s="8"/>
      <c r="E9" s="14"/>
      <c r="F9" s="13"/>
      <c r="G9" s="9"/>
      <c r="H9" s="46"/>
    </row>
    <row r="10" spans="1:8" ht="1.5" customHeight="1">
      <c r="A10" s="44"/>
      <c r="B10" s="44"/>
      <c r="C10" s="11"/>
      <c r="D10" s="11"/>
      <c r="E10" s="11"/>
      <c r="F10" s="11"/>
      <c r="G10" s="11"/>
      <c r="H10" s="11"/>
    </row>
    <row r="11" spans="1:8" ht="7.5" customHeight="1">
      <c r="C11" s="12"/>
      <c r="D11" s="12"/>
      <c r="E11" s="12"/>
      <c r="F11" s="12"/>
      <c r="G11" s="12"/>
      <c r="H11" s="12"/>
    </row>
    <row r="12" spans="1:8" ht="15.75">
      <c r="C12" s="5" t="s">
        <v>2</v>
      </c>
      <c r="D12" s="6" t="s">
        <v>3</v>
      </c>
      <c r="E12" s="42" t="s">
        <v>4</v>
      </c>
      <c r="F12" s="43"/>
      <c r="G12" s="6" t="s">
        <v>5</v>
      </c>
      <c r="H12" s="7" t="s">
        <v>6</v>
      </c>
    </row>
    <row r="13" spans="1:8">
      <c r="C13" s="41"/>
      <c r="D13" s="8" t="s">
        <v>8</v>
      </c>
      <c r="E13" s="14" t="s">
        <v>0</v>
      </c>
      <c r="F13" s="26" t="s">
        <v>10</v>
      </c>
      <c r="G13" s="25" t="s">
        <v>0</v>
      </c>
      <c r="H13" s="39" t="s">
        <v>7</v>
      </c>
    </row>
    <row r="14" spans="1:8">
      <c r="C14" s="41"/>
      <c r="D14" s="8" t="s">
        <v>9</v>
      </c>
      <c r="E14" s="14" t="s">
        <v>0</v>
      </c>
      <c r="F14" s="26" t="s">
        <v>11</v>
      </c>
      <c r="G14" s="25" t="s">
        <v>0</v>
      </c>
      <c r="H14" s="46"/>
    </row>
    <row r="15" spans="1:8">
      <c r="C15" s="41"/>
      <c r="D15" s="8"/>
      <c r="E15" s="14"/>
      <c r="F15" s="18"/>
      <c r="G15" s="25" t="s">
        <v>0</v>
      </c>
      <c r="H15" s="46"/>
    </row>
    <row r="16" spans="1:8">
      <c r="C16" s="41"/>
      <c r="D16" s="8"/>
      <c r="E16" s="14"/>
      <c r="F16" s="15"/>
      <c r="G16" s="25" t="s">
        <v>0</v>
      </c>
      <c r="H16" s="46"/>
    </row>
    <row r="17" spans="3:8" ht="1.5" customHeight="1">
      <c r="C17" s="11"/>
      <c r="D17" s="11"/>
      <c r="E17" s="11"/>
      <c r="F17" s="11"/>
      <c r="G17" s="11"/>
      <c r="H17" s="11"/>
    </row>
    <row r="18" spans="3:8" ht="7.5" customHeight="1">
      <c r="C18" s="12"/>
      <c r="D18" s="12"/>
      <c r="E18" s="12"/>
      <c r="F18" s="12"/>
      <c r="G18" s="12"/>
      <c r="H18" s="12"/>
    </row>
    <row r="19" spans="3:8" ht="15.75">
      <c r="C19" s="5" t="s">
        <v>2</v>
      </c>
      <c r="D19" s="6" t="s">
        <v>3</v>
      </c>
      <c r="E19" s="42" t="s">
        <v>4</v>
      </c>
      <c r="F19" s="43"/>
      <c r="G19" s="6" t="s">
        <v>5</v>
      </c>
      <c r="H19" s="7" t="s">
        <v>6</v>
      </c>
    </row>
    <row r="20" spans="3:8">
      <c r="C20" s="41"/>
      <c r="D20" s="8"/>
      <c r="E20" s="1"/>
      <c r="F20" s="17"/>
      <c r="G20" s="16" t="s">
        <v>0</v>
      </c>
      <c r="H20" s="39" t="s">
        <v>7</v>
      </c>
    </row>
    <row r="21" spans="3:8">
      <c r="C21" s="41"/>
      <c r="D21" s="8"/>
      <c r="E21" s="1"/>
      <c r="F21" s="18"/>
      <c r="G21" s="9" t="s">
        <v>0</v>
      </c>
      <c r="H21" s="40"/>
    </row>
    <row r="22" spans="3:8">
      <c r="C22" s="41"/>
      <c r="D22" s="8"/>
      <c r="E22" s="1"/>
      <c r="F22" s="18"/>
      <c r="G22" s="9" t="s">
        <v>0</v>
      </c>
      <c r="H22" s="40"/>
    </row>
    <row r="23" spans="3:8">
      <c r="C23" s="41"/>
      <c r="D23" s="8"/>
      <c r="E23" s="2"/>
      <c r="F23" s="15"/>
      <c r="G23" s="10"/>
      <c r="H23" s="40"/>
    </row>
    <row r="24" spans="3:8" ht="1.5" customHeight="1">
      <c r="C24" s="11"/>
      <c r="D24" s="11"/>
      <c r="E24" s="11"/>
      <c r="F24" s="11"/>
      <c r="G24" s="11"/>
      <c r="H24" s="11"/>
    </row>
    <row r="25" spans="3:8" ht="7.5" customHeight="1">
      <c r="C25" s="12"/>
      <c r="D25" s="12"/>
      <c r="E25" s="12"/>
      <c r="F25" s="12"/>
      <c r="G25" s="12"/>
      <c r="H25" s="12"/>
    </row>
    <row r="26" spans="3:8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4DA8C-DBF8-4531-B86A-348F8758645E}">
  <sheetPr codeName="Sheet16"/>
  <dimension ref="A1:J15"/>
  <sheetViews>
    <sheetView workbookViewId="0">
      <selection activeCell="E13" sqref="E13"/>
    </sheetView>
  </sheetViews>
  <sheetFormatPr defaultRowHeight="15"/>
  <cols>
    <col min="1" max="1" width="40.28515625" customWidth="1"/>
    <col min="2" max="2" width="81.140625" bestFit="1" customWidth="1"/>
    <col min="3" max="3" width="16.140625" bestFit="1" customWidth="1"/>
    <col min="4" max="4" width="29.7109375" bestFit="1" customWidth="1"/>
    <col min="5" max="5" width="21.85546875" bestFit="1" customWidth="1"/>
    <col min="6" max="6" width="22.7109375" customWidth="1"/>
    <col min="7" max="7" width="13.42578125" bestFit="1" customWidth="1"/>
    <col min="8" max="8" width="28.5703125" bestFit="1" customWidth="1"/>
    <col min="9" max="9" width="18.85546875" customWidth="1"/>
    <col min="10" max="10" width="21.7109375" bestFit="1" customWidth="1"/>
  </cols>
  <sheetData>
    <row r="1" spans="1:10">
      <c r="A1" t="s">
        <v>41</v>
      </c>
      <c r="B1" s="24" t="s">
        <v>16</v>
      </c>
      <c r="C1" t="s">
        <v>19</v>
      </c>
      <c r="D1" t="s">
        <v>18</v>
      </c>
      <c r="E1" t="s">
        <v>17</v>
      </c>
      <c r="F1" t="s">
        <v>22</v>
      </c>
      <c r="G1" t="s">
        <v>20</v>
      </c>
      <c r="H1" t="s">
        <v>21</v>
      </c>
      <c r="I1" t="s">
        <v>24</v>
      </c>
      <c r="J1" t="s">
        <v>23</v>
      </c>
    </row>
    <row r="2" spans="1:10">
      <c r="B2" t="str">
        <f>SUBSTITUTE(A2," ","")</f>
        <v/>
      </c>
      <c r="C2">
        <f t="shared" ref="C2:C15" si="0">IFERROR(FIND("Download:",B2,1)+9,0)</f>
        <v>0</v>
      </c>
      <c r="D2">
        <f t="shared" ref="D2:D15" si="1">IFERROR(MID(B2,C2,1000),0)</f>
        <v>0</v>
      </c>
      <c r="E2">
        <f t="shared" ref="E2:E15" si="2">IFERROR(FIND("Mbps",D2,1)-1,0)</f>
        <v>0</v>
      </c>
      <c r="F2" t="str">
        <f>LEFT(D2,E2)</f>
        <v/>
      </c>
      <c r="G2">
        <f t="shared" ref="G2:G15" si="3">IFERROR(FIND("Upload:",B2,1)+7,0)</f>
        <v>0</v>
      </c>
      <c r="H2">
        <f t="shared" ref="H2:H15" si="4">IFERROR(MID(B2,G2,1000),0)</f>
        <v>0</v>
      </c>
      <c r="I2">
        <f t="shared" ref="I2:I15" si="5">IFERROR(FIND("Mbps",H2,1)-1,0)</f>
        <v>0</v>
      </c>
      <c r="J2" t="str">
        <f t="shared" ref="J2:J15" si="6">LEFT(H2,I2)</f>
        <v/>
      </c>
    </row>
    <row r="3" spans="1:10">
      <c r="A3" t="s">
        <v>12</v>
      </c>
      <c r="B3" t="str">
        <f t="shared" ref="B3:B15" si="7">SUBSTITUTE(A3," ","")</f>
        <v>SpeedtestbyOokla</v>
      </c>
      <c r="C3">
        <f t="shared" si="0"/>
        <v>0</v>
      </c>
      <c r="D3">
        <f t="shared" si="1"/>
        <v>0</v>
      </c>
      <c r="E3">
        <f t="shared" si="2"/>
        <v>0</v>
      </c>
      <c r="F3" t="str">
        <f t="shared" ref="F3:F15" si="8">LEFT(D3,E3)</f>
        <v/>
      </c>
      <c r="G3">
        <f t="shared" si="3"/>
        <v>0</v>
      </c>
      <c r="H3">
        <f t="shared" si="4"/>
        <v>0</v>
      </c>
      <c r="I3">
        <f t="shared" si="5"/>
        <v>0</v>
      </c>
      <c r="J3" t="str">
        <f t="shared" si="6"/>
        <v/>
      </c>
    </row>
    <row r="4" spans="1:10">
      <c r="B4" t="str">
        <f t="shared" si="7"/>
        <v/>
      </c>
      <c r="C4">
        <f t="shared" si="0"/>
        <v>0</v>
      </c>
      <c r="D4">
        <f t="shared" si="1"/>
        <v>0</v>
      </c>
      <c r="E4">
        <f t="shared" si="2"/>
        <v>0</v>
      </c>
      <c r="F4" t="str">
        <f t="shared" si="8"/>
        <v/>
      </c>
      <c r="G4">
        <f t="shared" si="3"/>
        <v>0</v>
      </c>
      <c r="H4">
        <f t="shared" si="4"/>
        <v>0</v>
      </c>
      <c r="I4">
        <f t="shared" si="5"/>
        <v>0</v>
      </c>
      <c r="J4" t="str">
        <f t="shared" si="6"/>
        <v/>
      </c>
    </row>
    <row r="5" spans="1:10">
      <c r="A5" t="s">
        <v>13</v>
      </c>
      <c r="B5" t="str">
        <f t="shared" si="7"/>
        <v>Server:PT.TelekomunikasiIndonesia-Bandung(id:7580)</v>
      </c>
      <c r="C5">
        <f t="shared" si="0"/>
        <v>0</v>
      </c>
      <c r="D5">
        <f t="shared" si="1"/>
        <v>0</v>
      </c>
      <c r="E5">
        <f t="shared" si="2"/>
        <v>0</v>
      </c>
      <c r="F5" t="str">
        <f t="shared" si="8"/>
        <v/>
      </c>
      <c r="G5">
        <f t="shared" si="3"/>
        <v>0</v>
      </c>
      <c r="H5">
        <f t="shared" si="4"/>
        <v>0</v>
      </c>
      <c r="I5">
        <f t="shared" si="5"/>
        <v>0</v>
      </c>
      <c r="J5" t="str">
        <f t="shared" si="6"/>
        <v/>
      </c>
    </row>
    <row r="6" spans="1:10">
      <c r="A6" t="s">
        <v>42</v>
      </c>
      <c r="B6" t="str">
        <f t="shared" si="7"/>
        <v>ISP:PTComtronicsSystems</v>
      </c>
      <c r="C6">
        <f t="shared" si="0"/>
        <v>0</v>
      </c>
      <c r="D6">
        <f t="shared" si="1"/>
        <v>0</v>
      </c>
      <c r="E6">
        <f t="shared" si="2"/>
        <v>0</v>
      </c>
      <c r="F6" t="str">
        <f t="shared" si="8"/>
        <v/>
      </c>
      <c r="G6">
        <f t="shared" si="3"/>
        <v>0</v>
      </c>
      <c r="H6">
        <f t="shared" si="4"/>
        <v>0</v>
      </c>
      <c r="I6">
        <f t="shared" si="5"/>
        <v>0</v>
      </c>
      <c r="J6" t="str">
        <f t="shared" si="6"/>
        <v/>
      </c>
    </row>
    <row r="7" spans="1:10">
      <c r="A7" t="s">
        <v>43</v>
      </c>
      <c r="B7" t="str">
        <f t="shared" si="7"/>
        <v>IdleLatency:5.24ms(jitter:0.18ms,low:5.06ms,high:5.36ms)</v>
      </c>
      <c r="C7">
        <f t="shared" si="0"/>
        <v>0</v>
      </c>
      <c r="D7">
        <f t="shared" si="1"/>
        <v>0</v>
      </c>
      <c r="E7">
        <f t="shared" si="2"/>
        <v>0</v>
      </c>
      <c r="F7" t="str">
        <f t="shared" si="8"/>
        <v/>
      </c>
      <c r="G7">
        <f t="shared" si="3"/>
        <v>0</v>
      </c>
      <c r="H7">
        <f t="shared" si="4"/>
        <v>0</v>
      </c>
      <c r="I7">
        <f t="shared" si="5"/>
        <v>0</v>
      </c>
      <c r="J7" t="str">
        <f t="shared" si="6"/>
        <v/>
      </c>
    </row>
    <row r="8" spans="1:10">
      <c r="B8" t="str">
        <f t="shared" si="7"/>
        <v/>
      </c>
      <c r="C8">
        <f t="shared" si="0"/>
        <v>0</v>
      </c>
      <c r="D8">
        <f t="shared" si="1"/>
        <v>0</v>
      </c>
      <c r="E8">
        <f t="shared" si="2"/>
        <v>0</v>
      </c>
      <c r="F8" t="str">
        <f t="shared" si="8"/>
        <v/>
      </c>
      <c r="G8">
        <f t="shared" si="3"/>
        <v>0</v>
      </c>
      <c r="H8">
        <f t="shared" si="4"/>
        <v>0</v>
      </c>
      <c r="I8">
        <f t="shared" si="5"/>
        <v>0</v>
      </c>
      <c r="J8" t="str">
        <f t="shared" si="6"/>
        <v/>
      </c>
    </row>
    <row r="9" spans="1:10">
      <c r="A9" t="s">
        <v>44</v>
      </c>
      <c r="B9" t="str">
        <f t="shared" si="7"/>
        <v>Download:184.40Mbps(dataused:173.4MB)</v>
      </c>
      <c r="C9">
        <f t="shared" si="0"/>
        <v>10</v>
      </c>
      <c r="D9" t="str">
        <f t="shared" si="1"/>
        <v>184.40Mbps(dataused:173.4MB)</v>
      </c>
      <c r="E9">
        <f>IFERROR(FIND("Mbps",D9,1)-1,0)</f>
        <v>6</v>
      </c>
      <c r="F9" t="str">
        <f t="shared" si="8"/>
        <v>184.40</v>
      </c>
      <c r="G9">
        <f t="shared" si="3"/>
        <v>0</v>
      </c>
      <c r="H9">
        <f t="shared" si="4"/>
        <v>0</v>
      </c>
      <c r="I9">
        <f t="shared" si="5"/>
        <v>0</v>
      </c>
      <c r="J9" t="str">
        <f t="shared" si="6"/>
        <v/>
      </c>
    </row>
    <row r="10" spans="1:10">
      <c r="A10" t="s">
        <v>45</v>
      </c>
      <c r="B10" t="str">
        <f t="shared" si="7"/>
        <v>32.49ms(jitter:2.31ms,low:5.51ms,high:95.45ms)</v>
      </c>
      <c r="C10">
        <f t="shared" si="0"/>
        <v>0</v>
      </c>
      <c r="D10">
        <f t="shared" si="1"/>
        <v>0</v>
      </c>
      <c r="E10">
        <f t="shared" si="2"/>
        <v>0</v>
      </c>
      <c r="F10" t="str">
        <f t="shared" si="8"/>
        <v/>
      </c>
      <c r="G10">
        <f t="shared" si="3"/>
        <v>0</v>
      </c>
      <c r="H10">
        <f t="shared" si="4"/>
        <v>0</v>
      </c>
      <c r="I10">
        <f t="shared" si="5"/>
        <v>0</v>
      </c>
      <c r="J10" t="str">
        <f t="shared" si="6"/>
        <v/>
      </c>
    </row>
    <row r="11" spans="1:10">
      <c r="B11" t="str">
        <f t="shared" si="7"/>
        <v/>
      </c>
      <c r="C11">
        <f t="shared" si="0"/>
        <v>0</v>
      </c>
      <c r="D11">
        <f t="shared" si="1"/>
        <v>0</v>
      </c>
      <c r="E11">
        <f t="shared" si="2"/>
        <v>0</v>
      </c>
      <c r="F11" t="str">
        <f t="shared" si="8"/>
        <v/>
      </c>
      <c r="G11">
        <f t="shared" si="3"/>
        <v>0</v>
      </c>
      <c r="H11">
        <f t="shared" si="4"/>
        <v>0</v>
      </c>
      <c r="I11">
        <f t="shared" si="5"/>
        <v>0</v>
      </c>
      <c r="J11" t="str">
        <f t="shared" si="6"/>
        <v/>
      </c>
    </row>
    <row r="12" spans="1:10">
      <c r="A12" t="s">
        <v>46</v>
      </c>
      <c r="B12" t="str">
        <f t="shared" si="7"/>
        <v>Upload:167.89Mbps(dataused:76.0MB)</v>
      </c>
      <c r="C12">
        <f t="shared" si="0"/>
        <v>0</v>
      </c>
      <c r="D12">
        <f t="shared" si="1"/>
        <v>0</v>
      </c>
      <c r="E12">
        <f t="shared" si="2"/>
        <v>0</v>
      </c>
      <c r="F12" t="str">
        <f t="shared" si="8"/>
        <v/>
      </c>
      <c r="G12">
        <f t="shared" si="3"/>
        <v>8</v>
      </c>
      <c r="H12" t="str">
        <f t="shared" si="4"/>
        <v>167.89Mbps(dataused:76.0MB)</v>
      </c>
      <c r="I12">
        <f>IFERROR(FIND("Mbps",H12,1)-1,0)</f>
        <v>6</v>
      </c>
      <c r="J12" t="str">
        <f>LEFT(H12,I12)</f>
        <v>167.89</v>
      </c>
    </row>
    <row r="13" spans="1:10">
      <c r="A13" t="s">
        <v>47</v>
      </c>
      <c r="B13" t="str">
        <f t="shared" si="7"/>
        <v>47.58ms(jitter:3.08ms,low:14.29ms,high:54.41ms)</v>
      </c>
      <c r="C13">
        <f t="shared" si="0"/>
        <v>0</v>
      </c>
      <c r="D13">
        <f t="shared" si="1"/>
        <v>0</v>
      </c>
      <c r="E13">
        <f t="shared" si="2"/>
        <v>0</v>
      </c>
      <c r="F13" t="str">
        <f t="shared" si="8"/>
        <v/>
      </c>
      <c r="G13">
        <f t="shared" si="3"/>
        <v>0</v>
      </c>
      <c r="H13">
        <f t="shared" si="4"/>
        <v>0</v>
      </c>
      <c r="I13">
        <f t="shared" si="5"/>
        <v>0</v>
      </c>
      <c r="J13" t="str">
        <f t="shared" si="6"/>
        <v/>
      </c>
    </row>
    <row r="14" spans="1:10">
      <c r="A14" t="s">
        <v>14</v>
      </c>
      <c r="B14" t="str">
        <f t="shared" si="7"/>
        <v>PacketLoss:0.0%</v>
      </c>
      <c r="C14">
        <f t="shared" si="0"/>
        <v>0</v>
      </c>
      <c r="D14">
        <f t="shared" si="1"/>
        <v>0</v>
      </c>
      <c r="E14">
        <f t="shared" si="2"/>
        <v>0</v>
      </c>
      <c r="F14" t="str">
        <f t="shared" si="8"/>
        <v/>
      </c>
      <c r="G14">
        <f t="shared" si="3"/>
        <v>0</v>
      </c>
      <c r="H14">
        <f t="shared" si="4"/>
        <v>0</v>
      </c>
      <c r="I14">
        <f t="shared" si="5"/>
        <v>0</v>
      </c>
      <c r="J14" t="str">
        <f t="shared" si="6"/>
        <v/>
      </c>
    </row>
    <row r="15" spans="1:10">
      <c r="A15" t="s">
        <v>48</v>
      </c>
      <c r="B15" t="str">
        <f t="shared" si="7"/>
        <v>ResultURL:https://www.speedtest.net/result/c/bbdb16e8-620b-455e-b01c-ac7776d6b123</v>
      </c>
      <c r="C15">
        <f t="shared" si="0"/>
        <v>0</v>
      </c>
      <c r="D15">
        <f t="shared" si="1"/>
        <v>0</v>
      </c>
      <c r="E15">
        <f t="shared" si="2"/>
        <v>0</v>
      </c>
      <c r="F15" t="str">
        <f t="shared" si="8"/>
        <v/>
      </c>
      <c r="G15">
        <f t="shared" si="3"/>
        <v>0</v>
      </c>
      <c r="H15">
        <f t="shared" si="4"/>
        <v>0</v>
      </c>
      <c r="I15">
        <f t="shared" si="5"/>
        <v>0</v>
      </c>
      <c r="J15" t="str">
        <f t="shared" si="6"/>
        <v/>
      </c>
    </row>
  </sheetData>
  <pageMargins left="0.7" right="0.7" top="0.75" bottom="0.75" header="0.3" footer="0.3"/>
  <ignoredErrors>
    <ignoredError sqref="E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13F3E-418C-4E63-A799-6BD886327009}">
  <sheetPr codeName="Sheet17"/>
  <dimension ref="A1:D15"/>
  <sheetViews>
    <sheetView workbookViewId="0"/>
  </sheetViews>
  <sheetFormatPr defaultRowHeight="15"/>
  <cols>
    <col min="1" max="1" width="11" bestFit="1" customWidth="1"/>
    <col min="2" max="2" width="10.5703125" bestFit="1" customWidth="1"/>
    <col min="3" max="3" width="11" bestFit="1" customWidth="1"/>
    <col min="4" max="4" width="71.42578125" bestFit="1" customWidth="1"/>
    <col min="5" max="5" width="9.7109375" bestFit="1" customWidth="1"/>
    <col min="6" max="6" width="7.7109375" bestFit="1" customWidth="1"/>
    <col min="7" max="8" width="8.7109375" bestFit="1" customWidth="1"/>
    <col min="9" max="9" width="9.85546875" bestFit="1" customWidth="1"/>
    <col min="10" max="10" width="8.85546875" bestFit="1" customWidth="1"/>
    <col min="19" max="19" width="83.85546875" bestFit="1" customWidth="1"/>
    <col min="27" max="27" width="92.28515625" bestFit="1" customWidth="1"/>
    <col min="28" max="28" width="81.140625" bestFit="1" customWidth="1"/>
  </cols>
  <sheetData>
    <row r="1" spans="1:4">
      <c r="A1" s="33" t="s">
        <v>41</v>
      </c>
      <c r="C1" s="19"/>
      <c r="D1" s="28"/>
    </row>
    <row r="3" spans="1:4">
      <c r="A3" t="s">
        <v>12</v>
      </c>
    </row>
    <row r="5" spans="1:4">
      <c r="A5" t="s">
        <v>13</v>
      </c>
    </row>
    <row r="6" spans="1:4">
      <c r="A6" t="s">
        <v>42</v>
      </c>
    </row>
    <row r="7" spans="1:4">
      <c r="A7" t="s">
        <v>43</v>
      </c>
    </row>
    <row r="9" spans="1:4">
      <c r="A9" t="s">
        <v>44</v>
      </c>
    </row>
    <row r="10" spans="1:4">
      <c r="A10" t="s">
        <v>45</v>
      </c>
    </row>
    <row r="12" spans="1:4">
      <c r="A12" t="s">
        <v>46</v>
      </c>
    </row>
    <row r="13" spans="1:4">
      <c r="A13" t="s">
        <v>47</v>
      </c>
    </row>
    <row r="14" spans="1:4">
      <c r="A14" t="s">
        <v>14</v>
      </c>
      <c r="D14" s="29"/>
    </row>
    <row r="15" spans="1:4">
      <c r="A15" t="s">
        <v>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A1A6-3FBC-49AB-826B-9262FDBA3A94}">
  <sheetPr codeName="Sheet24"/>
  <dimension ref="A1:E3"/>
  <sheetViews>
    <sheetView tabSelected="1" workbookViewId="0">
      <selection activeCell="B3" sqref="B3"/>
    </sheetView>
  </sheetViews>
  <sheetFormatPr defaultRowHeight="15"/>
  <cols>
    <col min="2" max="2" width="15.85546875" customWidth="1"/>
    <col min="3" max="3" width="12" customWidth="1"/>
    <col min="4" max="4" width="16.7109375" customWidth="1"/>
    <col min="5" max="5" width="13.7109375" customWidth="1"/>
  </cols>
  <sheetData>
    <row r="1" spans="1:5">
      <c r="A1" s="32" t="s">
        <v>25</v>
      </c>
      <c r="B1" s="32" t="s">
        <v>29</v>
      </c>
      <c r="C1" s="32" t="s">
        <v>30</v>
      </c>
      <c r="D1" s="32" t="s">
        <v>27</v>
      </c>
      <c r="E1" s="32" t="s">
        <v>28</v>
      </c>
    </row>
    <row r="2" spans="1:5">
      <c r="A2">
        <v>1201</v>
      </c>
      <c r="B2">
        <v>196.07</v>
      </c>
      <c r="C2">
        <v>71.260000000000005</v>
      </c>
      <c r="D2">
        <f>B2+HOME!$F$6</f>
        <v>206.07</v>
      </c>
      <c r="E2">
        <f>C2+HOME!$F$6</f>
        <v>81.260000000000005</v>
      </c>
    </row>
    <row r="3" spans="1:5">
      <c r="A3">
        <v>1204</v>
      </c>
      <c r="B3">
        <v>123</v>
      </c>
      <c r="C3">
        <v>131</v>
      </c>
      <c r="D3">
        <f>B3+HOME!$F$7</f>
        <v>123</v>
      </c>
      <c r="E3">
        <f>C3+HOME!$F$7</f>
        <v>131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38781-3A33-44B5-B475-0F7D4B46DE7B}">
  <sheetPr codeName="Sheet27"/>
  <dimension ref="A1:A2"/>
  <sheetViews>
    <sheetView workbookViewId="0">
      <selection activeCell="G10" sqref="G10"/>
    </sheetView>
  </sheetViews>
  <sheetFormatPr defaultRowHeight="15"/>
  <sheetData>
    <row r="1" spans="1:1">
      <c r="A1" s="33" t="s">
        <v>26</v>
      </c>
    </row>
    <row r="2" spans="1:1">
      <c r="A2">
        <f>IF(OLAH1_Bandwidth!D2&lt;HOME!$F$5,0,1)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1694-D74B-47CF-90DE-480ED385AD87}">
  <sheetPr codeName="Sheet26"/>
  <dimension ref="A1:B3"/>
  <sheetViews>
    <sheetView zoomScale="85" zoomScaleNormal="85" workbookViewId="0">
      <selection activeCell="B11" sqref="B11"/>
    </sheetView>
  </sheetViews>
  <sheetFormatPr defaultRowHeight="15"/>
  <cols>
    <col min="1" max="1" width="21" bestFit="1" customWidth="1"/>
    <col min="2" max="2" width="26.7109375" bestFit="1" customWidth="1"/>
  </cols>
  <sheetData>
    <row r="1" spans="1:2">
      <c r="A1" t="s">
        <v>33</v>
      </c>
      <c r="B1" t="s">
        <v>34</v>
      </c>
    </row>
    <row r="2" spans="1:2" ht="135">
      <c r="A2" s="34" t="s">
        <v>37</v>
      </c>
      <c r="B2" s="38" t="s">
        <v>38</v>
      </c>
    </row>
    <row r="3" spans="1:2">
      <c r="A3" s="21" t="s">
        <v>40</v>
      </c>
      <c r="B3" s="37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CC1_1201</vt:lpstr>
      <vt:lpstr>CC2_1204</vt:lpstr>
      <vt:lpstr>OLAH1_Bandwidth</vt:lpstr>
      <vt:lpstr>CEHCK_CLN</vt:lpstr>
      <vt:lpstr>RPA_WA1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2024-11-21T09:05:36Z</dcterms:modified>
</cp:coreProperties>
</file>