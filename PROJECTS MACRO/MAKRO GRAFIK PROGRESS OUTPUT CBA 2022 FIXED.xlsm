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ALDI MACRO\FENI-GRAFIK\"/>
    </mc:Choice>
  </mc:AlternateContent>
  <xr:revisionPtr revIDLastSave="0" documentId="13_ncr:1_{5392ACB2-85BB-4AB3-90E1-3A49D733B1FD}" xr6:coauthVersionLast="47" xr6:coauthVersionMax="47" xr10:uidLastSave="{00000000-0000-0000-0000-000000000000}"/>
  <bookViews>
    <workbookView xWindow="-120" yWindow="-120" windowWidth="20730" windowHeight="11310" tabRatio="746" firstSheet="1" activeTab="1" xr2:uid="{4724BBC5-6F1C-4B6E-A788-602F23005275}"/>
  </bookViews>
  <sheets>
    <sheet name="TEMPLATE" sheetId="15" state="hidden" r:id="rId1"/>
    <sheet name="TOMBOL" sheetId="9" r:id="rId2"/>
    <sheet name="LINE 1" sheetId="10" r:id="rId3"/>
    <sheet name="LINE 2" sheetId="11" r:id="rId4"/>
    <sheet name="LINE 3" sheetId="12" r:id="rId5"/>
    <sheet name="DETIL" sheetId="364" r:id="rId6"/>
    <sheet name="REKAP SETIAP BUYER" sheetId="393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11" i="393" l="1"/>
  <c r="N11" i="393"/>
  <c r="M11" i="393"/>
  <c r="L11" i="393"/>
  <c r="K11" i="393"/>
  <c r="J11" i="393"/>
  <c r="I11" i="393"/>
  <c r="H11" i="393"/>
  <c r="G11" i="393"/>
  <c r="F11" i="393"/>
  <c r="E11" i="393"/>
  <c r="D11" i="393"/>
  <c r="C11" i="393"/>
  <c r="O10" i="393"/>
  <c r="O9" i="393"/>
  <c r="O8" i="393"/>
  <c r="O7" i="393"/>
  <c r="O6" i="393"/>
  <c r="O5" i="393"/>
  <c r="O4" i="393"/>
  <c r="R41" i="364"/>
  <c r="R40" i="364"/>
  <c r="R39" i="364"/>
  <c r="R38" i="364"/>
  <c r="R37" i="364"/>
  <c r="R36" i="364"/>
  <c r="R35" i="364"/>
  <c r="R34" i="364"/>
  <c r="R33" i="364"/>
  <c r="R32" i="364"/>
  <c r="R31" i="364"/>
  <c r="R30" i="364"/>
  <c r="R29" i="364"/>
  <c r="R28" i="364"/>
  <c r="R27" i="364"/>
  <c r="R26" i="364"/>
  <c r="R25" i="364"/>
  <c r="R24" i="364"/>
  <c r="R23" i="364"/>
  <c r="R22" i="364"/>
  <c r="R21" i="364"/>
  <c r="R20" i="364"/>
  <c r="R19" i="364"/>
  <c r="R18" i="364"/>
  <c r="R17" i="364"/>
  <c r="R16" i="364"/>
  <c r="R15" i="364"/>
  <c r="R14" i="364"/>
  <c r="R13" i="364"/>
  <c r="R12" i="364"/>
  <c r="R11" i="364"/>
  <c r="R10" i="364"/>
  <c r="R9" i="364"/>
  <c r="R8" i="364"/>
  <c r="R7" i="364"/>
  <c r="R6" i="364"/>
  <c r="R5" i="364"/>
  <c r="Q42" i="364"/>
  <c r="P42" i="364"/>
  <c r="O42" i="364"/>
  <c r="N42" i="364"/>
  <c r="M42" i="364"/>
  <c r="L42" i="364"/>
  <c r="K42" i="364"/>
  <c r="J42" i="364"/>
  <c r="I42" i="364"/>
  <c r="H42" i="364"/>
  <c r="G42" i="364"/>
  <c r="F42" i="364"/>
  <c r="BD1" i="9"/>
  <c r="AB206" i="11"/>
  <c r="AA206" i="11"/>
  <c r="Z206" i="11"/>
  <c r="Y206" i="11"/>
  <c r="X206" i="11"/>
  <c r="W206" i="11"/>
  <c r="V206" i="11"/>
  <c r="U206" i="11"/>
  <c r="T206" i="11"/>
  <c r="S206" i="11"/>
  <c r="R206" i="11"/>
  <c r="Q206" i="11"/>
  <c r="P206" i="11"/>
  <c r="O206" i="11"/>
  <c r="N206" i="11"/>
  <c r="M206" i="11"/>
  <c r="L206" i="11"/>
  <c r="K206" i="11"/>
  <c r="J206" i="11"/>
  <c r="I206" i="11"/>
  <c r="H206" i="11"/>
  <c r="G206" i="11"/>
  <c r="F206" i="11"/>
  <c r="E206" i="11"/>
  <c r="AB211" i="10"/>
  <c r="AA211" i="10"/>
  <c r="Z211" i="10"/>
  <c r="Y211" i="10"/>
  <c r="X211" i="10"/>
  <c r="W211" i="10"/>
  <c r="V211" i="10"/>
  <c r="U211" i="10"/>
  <c r="T211" i="10"/>
  <c r="S211" i="10"/>
  <c r="R211" i="10"/>
  <c r="Q211" i="10"/>
  <c r="P211" i="10"/>
  <c r="O211" i="10"/>
  <c r="N211" i="10"/>
  <c r="M211" i="10"/>
  <c r="L211" i="10"/>
  <c r="K211" i="10"/>
  <c r="J211" i="10"/>
  <c r="I211" i="10"/>
  <c r="H211" i="10"/>
  <c r="G211" i="10"/>
  <c r="F211" i="10"/>
  <c r="E211" i="10"/>
  <c r="BE5" i="9"/>
  <c r="BD2" i="9"/>
  <c r="BF4" i="9" s="1"/>
  <c r="BK1" i="9"/>
  <c r="BL1" i="9" s="1"/>
  <c r="R42" i="364" l="1"/>
  <c r="BG4" i="9"/>
  <c r="BL5" i="9"/>
  <c r="BG3" i="9"/>
  <c r="BE3" i="9"/>
  <c r="BF5" i="9" l="1"/>
  <c r="BF3" i="9"/>
  <c r="BJ3" i="9" l="1"/>
  <c r="BK2" i="9" s="1"/>
  <c r="BK3" i="9"/>
  <c r="BK4" i="9" l="1"/>
  <c r="BH3" i="9"/>
  <c r="BI3" i="9" l="1"/>
  <c r="Y146" i="10" l="1"/>
  <c r="X146" i="10"/>
  <c r="W146" i="10"/>
  <c r="V146" i="10"/>
  <c r="U146" i="10"/>
  <c r="T146" i="10"/>
  <c r="S146" i="10"/>
  <c r="R146" i="10"/>
  <c r="Q146" i="10"/>
  <c r="P146" i="10"/>
  <c r="O146" i="10"/>
  <c r="N146" i="10"/>
  <c r="M146" i="10"/>
  <c r="L146" i="10"/>
  <c r="K146" i="10"/>
  <c r="J146" i="10"/>
  <c r="I146" i="10"/>
  <c r="H146" i="10"/>
  <c r="G146" i="10"/>
  <c r="F146" i="10"/>
  <c r="E146" i="10"/>
  <c r="Y141" i="11"/>
  <c r="X141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E141" i="11"/>
  <c r="T136" i="12"/>
  <c r="I136" i="12"/>
  <c r="H136" i="12"/>
  <c r="G136" i="12"/>
  <c r="F136" i="12"/>
  <c r="E136" i="12"/>
  <c r="AD104" i="12"/>
  <c r="AC104" i="12"/>
  <c r="AA108" i="11"/>
  <c r="Z108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E108" i="11"/>
  <c r="AD113" i="10"/>
  <c r="AC113" i="10"/>
  <c r="AB113" i="10"/>
  <c r="AA113" i="10"/>
  <c r="Z113" i="10"/>
  <c r="Y113" i="10"/>
  <c r="X113" i="10"/>
  <c r="W113" i="10"/>
  <c r="V113" i="10"/>
  <c r="U113" i="10"/>
  <c r="T113" i="10"/>
  <c r="S113" i="10"/>
  <c r="R113" i="10"/>
  <c r="Q113" i="10"/>
  <c r="P113" i="10"/>
  <c r="O113" i="10"/>
  <c r="N113" i="10"/>
  <c r="M113" i="10"/>
  <c r="L113" i="10"/>
  <c r="K113" i="10"/>
  <c r="J113" i="10"/>
  <c r="I113" i="10"/>
  <c r="H113" i="10"/>
  <c r="G113" i="10"/>
  <c r="F113" i="10"/>
  <c r="E113" i="10"/>
  <c r="AF73" i="12"/>
  <c r="AE73" i="12"/>
  <c r="AD73" i="12"/>
  <c r="AC73" i="12"/>
  <c r="AB73" i="12"/>
  <c r="AA73" i="12"/>
  <c r="Z73" i="12"/>
  <c r="Y73" i="12"/>
  <c r="X73" i="12"/>
  <c r="W73" i="12"/>
  <c r="V73" i="12"/>
  <c r="U73" i="12"/>
  <c r="T73" i="12"/>
  <c r="S73" i="12"/>
  <c r="R73" i="12"/>
  <c r="Q73" i="12"/>
  <c r="P73" i="12"/>
  <c r="O73" i="12"/>
  <c r="N73" i="12"/>
  <c r="M73" i="12"/>
  <c r="L73" i="12"/>
  <c r="K73" i="12"/>
  <c r="J73" i="12"/>
  <c r="I73" i="12"/>
  <c r="H73" i="12"/>
  <c r="G73" i="12"/>
  <c r="F73" i="12"/>
  <c r="E73" i="12"/>
  <c r="AF72" i="11"/>
  <c r="AE72" i="11"/>
  <c r="AD72" i="11"/>
  <c r="AC72" i="11"/>
  <c r="AB72" i="11"/>
  <c r="AA72" i="11"/>
  <c r="Z72" i="1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E72" i="11"/>
  <c r="AF75" i="10"/>
  <c r="AE75" i="10"/>
  <c r="AD75" i="10"/>
  <c r="AC75" i="10"/>
  <c r="AB75" i="10"/>
  <c r="AA75" i="10"/>
  <c r="Z75" i="10"/>
  <c r="Y75" i="10"/>
  <c r="X75" i="10"/>
  <c r="W75" i="10"/>
  <c r="V75" i="10"/>
  <c r="U75" i="10"/>
  <c r="T75" i="10"/>
  <c r="S75" i="10"/>
  <c r="R75" i="10"/>
  <c r="Q75" i="10"/>
  <c r="P75" i="10"/>
  <c r="O75" i="10"/>
  <c r="N75" i="10"/>
  <c r="M75" i="10"/>
  <c r="L75" i="10"/>
  <c r="K75" i="10"/>
  <c r="J75" i="10"/>
  <c r="I75" i="10"/>
  <c r="H75" i="10"/>
  <c r="G75" i="10"/>
  <c r="F75" i="10"/>
  <c r="E75" i="10"/>
  <c r="AA41" i="10"/>
  <c r="Z41" i="10"/>
  <c r="Y41" i="10"/>
  <c r="X41" i="10"/>
  <c r="W41" i="10"/>
  <c r="V41" i="10"/>
  <c r="U41" i="10"/>
  <c r="T41" i="10"/>
  <c r="S41" i="10"/>
  <c r="R41" i="10"/>
  <c r="Q41" i="10"/>
  <c r="P41" i="10"/>
  <c r="O41" i="10"/>
  <c r="N41" i="10"/>
  <c r="M41" i="10"/>
  <c r="L41" i="10"/>
  <c r="K41" i="10"/>
  <c r="J41" i="10"/>
  <c r="I41" i="10"/>
  <c r="H41" i="10"/>
  <c r="G41" i="10"/>
  <c r="F41" i="10"/>
  <c r="E41" i="10"/>
  <c r="AA41" i="11"/>
  <c r="Z41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E41" i="11"/>
  <c r="AA41" i="12"/>
  <c r="Z41" i="12"/>
  <c r="Y41" i="12"/>
  <c r="X41" i="12"/>
  <c r="W41" i="12"/>
  <c r="V41" i="12"/>
  <c r="U41" i="12"/>
  <c r="T41" i="12"/>
  <c r="S41" i="12"/>
  <c r="R41" i="12"/>
  <c r="Q41" i="12"/>
  <c r="P41" i="12"/>
  <c r="O41" i="12"/>
  <c r="N41" i="12"/>
  <c r="M41" i="12"/>
  <c r="L41" i="12"/>
  <c r="K41" i="12"/>
  <c r="J41" i="12"/>
  <c r="I41" i="12"/>
  <c r="H41" i="12"/>
  <c r="G41" i="12"/>
  <c r="F41" i="12"/>
  <c r="E41" i="12"/>
  <c r="AC8" i="11" l="1"/>
  <c r="AB8" i="11"/>
  <c r="AA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Q8" i="15" l="1"/>
  <c r="P8" i="15"/>
  <c r="O8" i="15"/>
  <c r="N8" i="15"/>
  <c r="M8" i="15"/>
  <c r="L8" i="15"/>
  <c r="K8" i="15"/>
  <c r="J8" i="15"/>
  <c r="I8" i="15"/>
  <c r="H8" i="15"/>
  <c r="G8" i="15"/>
  <c r="F8" i="15"/>
  <c r="R7" i="15"/>
  <c r="R6" i="15"/>
  <c r="R5" i="15"/>
  <c r="R8" i="15" l="1"/>
  <c r="BM1" i="9"/>
  <c r="BN1" i="9" l="1"/>
  <c r="BL2" i="9" s="1"/>
  <c r="BC3" i="9"/>
  <c r="BC4" i="9"/>
  <c r="BC5" i="9"/>
  <c r="BC6" i="9"/>
  <c r="BC7" i="9"/>
  <c r="BC8" i="9"/>
  <c r="BC9" i="9"/>
  <c r="BC10" i="9"/>
  <c r="BC11" i="9"/>
  <c r="BC12" i="9"/>
  <c r="BC13" i="9"/>
  <c r="BC2" i="9"/>
  <c r="BE15" i="9"/>
  <c r="BE14" i="9"/>
  <c r="BE13" i="9"/>
  <c r="BE12" i="9"/>
  <c r="BE11" i="9"/>
  <c r="BE10" i="9"/>
  <c r="BE9" i="9"/>
  <c r="BE8" i="9"/>
  <c r="BE7" i="9"/>
  <c r="BE6" i="9"/>
</calcChain>
</file>

<file path=xl/sharedStrings.xml><?xml version="1.0" encoding="utf-8"?>
<sst xmlns="http://schemas.openxmlformats.org/spreadsheetml/2006/main" count="526" uniqueCount="107">
  <si>
    <t>JANUARY</t>
  </si>
  <si>
    <t>TARGET / HARI</t>
  </si>
  <si>
    <t>AVERAGE / JAM</t>
  </si>
  <si>
    <t>WORKING HOUR</t>
  </si>
  <si>
    <t>AVERAGE / HARI</t>
  </si>
  <si>
    <t>BUYER</t>
  </si>
  <si>
    <t>ITEM</t>
  </si>
  <si>
    <t>APRIL</t>
  </si>
  <si>
    <t>TOTAL</t>
  </si>
  <si>
    <t>OUTPUT</t>
  </si>
  <si>
    <t>AITOZ</t>
  </si>
  <si>
    <t>BIG BORN</t>
  </si>
  <si>
    <t>CARGO PANTS</t>
  </si>
  <si>
    <t>JACKET</t>
  </si>
  <si>
    <t>COCOS</t>
  </si>
  <si>
    <t>layout</t>
  </si>
  <si>
    <t>HALF CARGO PANTS</t>
  </si>
  <si>
    <t>SHIRT</t>
  </si>
  <si>
    <t>DETAIL PRODUCTION OUTPUT AT CBA TH 2022</t>
  </si>
  <si>
    <t>LINE</t>
  </si>
  <si>
    <t>STYLE</t>
  </si>
  <si>
    <t>FEBRUARY</t>
  </si>
  <si>
    <t>MARCH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</si>
  <si>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</si>
  <si>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</si>
  <si>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</si>
  <si>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</si>
  <si>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</si>
  <si>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</si>
  <si>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</si>
  <si>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</si>
  <si>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6560</t>
  </si>
  <si>
    <t>3915</t>
  </si>
  <si>
    <t>3916</t>
  </si>
  <si>
    <t>SNB-21</t>
  </si>
  <si>
    <t>853</t>
  </si>
  <si>
    <t>LONG SLEEVE JACKET</t>
  </si>
  <si>
    <t>857</t>
  </si>
  <si>
    <t>SNB-23</t>
  </si>
  <si>
    <t>RECAP OUTPUT CBA 2022</t>
  </si>
  <si>
    <t>DESEMBER</t>
  </si>
  <si>
    <t>BLOUS ON</t>
  </si>
  <si>
    <t>PANTS</t>
  </si>
  <si>
    <t>TOP</t>
  </si>
  <si>
    <t>UNIMATE</t>
  </si>
  <si>
    <t>851</t>
  </si>
  <si>
    <t>KAZEN</t>
  </si>
  <si>
    <t>NISHIMATSUYA</t>
  </si>
  <si>
    <t>TODDLER CAPRI</t>
  </si>
  <si>
    <t>BABY CAPRI</t>
  </si>
  <si>
    <t>SCHOOL SHORTPANTS</t>
  </si>
  <si>
    <t>TODDLER SHORTPANTS</t>
  </si>
  <si>
    <t>BOXER</t>
  </si>
  <si>
    <t>H&amp;M</t>
  </si>
  <si>
    <t>EC22SS44303</t>
  </si>
  <si>
    <t>22M-ASDJ851</t>
  </si>
  <si>
    <t>22M-ASD129</t>
  </si>
  <si>
    <t>22M-ASD130</t>
  </si>
  <si>
    <t>5 BLACKPACK</t>
  </si>
  <si>
    <t>3910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</si>
  <si>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</si>
  <si>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</si>
  <si>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</si>
  <si>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</si>
  <si>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</si>
  <si>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</si>
  <si>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</si>
  <si>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</si>
  <si>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</si>
  <si>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</si>
  <si>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</si>
  <si>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</si>
  <si>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Bulan</t>
  </si>
  <si>
    <t>Tanggal :</t>
  </si>
  <si>
    <t>Buyer</t>
  </si>
  <si>
    <t>Item</t>
  </si>
  <si>
    <t>today</t>
  </si>
  <si>
    <t>banyak hari</t>
  </si>
  <si>
    <t>bulan</t>
  </si>
  <si>
    <t>isi kolom</t>
  </si>
  <si>
    <t>hari</t>
  </si>
  <si>
    <t>Senin</t>
  </si>
  <si>
    <t>Selasa</t>
  </si>
  <si>
    <t>Rabu</t>
  </si>
  <si>
    <t>Kamis</t>
  </si>
  <si>
    <t>Jumat</t>
  </si>
  <si>
    <t>Sabtu</t>
  </si>
  <si>
    <t>Minggu</t>
  </si>
  <si>
    <t xml:space="preserve"> HALF CARGO PANTS</t>
  </si>
  <si>
    <t xml:space="preserve"> JACKET</t>
  </si>
  <si>
    <t>Tanggal libur selain minggu (bulan ini)</t>
  </si>
  <si>
    <t>133</t>
  </si>
  <si>
    <t>Style</t>
  </si>
  <si>
    <r>
      <t xml:space="preserve">Data Buyer dan Item </t>
    </r>
    <r>
      <rPr>
        <b/>
        <sz val="11"/>
        <color theme="1"/>
        <rFont val="Calibri"/>
        <family val="2"/>
        <scheme val="minor"/>
      </rPr>
      <t>LINE 2</t>
    </r>
    <r>
      <rPr>
        <sz val="11"/>
        <color theme="1"/>
        <rFont val="Calibri"/>
        <family val="2"/>
        <scheme val="minor"/>
      </rPr>
      <t xml:space="preserve"> (bulan ini)</t>
    </r>
  </si>
  <si>
    <r>
      <t xml:space="preserve">Data Buyer dan Item </t>
    </r>
    <r>
      <rPr>
        <b/>
        <sz val="11"/>
        <color theme="1"/>
        <rFont val="Calibri"/>
        <family val="2"/>
        <scheme val="minor"/>
      </rPr>
      <t>LINE 3</t>
    </r>
    <r>
      <rPr>
        <sz val="11"/>
        <color theme="1"/>
        <rFont val="Calibri"/>
        <family val="2"/>
        <scheme val="minor"/>
      </rPr>
      <t xml:space="preserve"> (bulan ini)</t>
    </r>
  </si>
  <si>
    <r>
      <t>Data Buyer dan Item</t>
    </r>
    <r>
      <rPr>
        <b/>
        <sz val="11"/>
        <color theme="1"/>
        <rFont val="Calibri"/>
        <family val="2"/>
        <scheme val="minor"/>
      </rPr>
      <t xml:space="preserve"> LINE 1</t>
    </r>
    <r>
      <rPr>
        <sz val="11"/>
        <color theme="1"/>
        <rFont val="Calibri"/>
        <family val="2"/>
        <scheme val="minor"/>
      </rPr>
      <t xml:space="preserve"> (bulan ini)</t>
    </r>
  </si>
  <si>
    <t>nomor chart</t>
  </si>
  <si>
    <t>LAYOUT</t>
  </si>
  <si>
    <t xml:space="preserve">H&amp;M </t>
  </si>
  <si>
    <t>Tanggal hari minggu yang tidak libur</t>
  </si>
  <si>
    <t xml:space="preserve">COCOS </t>
  </si>
  <si>
    <t>LINE 1</t>
  </si>
  <si>
    <t>LINE 2</t>
  </si>
  <si>
    <t>LINE 3</t>
  </si>
  <si>
    <t>856</t>
  </si>
  <si>
    <t xml:space="preserve">BIG BORN </t>
  </si>
  <si>
    <t>5PK BLACK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</si>
</sst>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#,##0;[Red]#,##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charset val="1"/>
    </font>
    <font>
      <sz val="11"/>
      <color indexed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charset val="1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7" fillId="0" borderId="0"/>
  </cellStyleXfs>
  <cellXfs count="132">
    <xf numFmtId="0" fontId="0" fillId="0" borderId="0" xfId="0"/>
    <xf numFmtId="0" fontId="0" fillId="0" borderId="2" xfId="0" applyBorder="1" applyAlignment="1">
      <alignment horizontal="left" vertical="center"/>
    </xf>
    <xf numFmtId="3" fontId="3" fillId="0" borderId="1" xfId="1" applyNumberFormat="1" applyFont="1" applyBorder="1" applyAlignment="1">
      <alignment horizontal="right" vertical="center"/>
    </xf>
    <xf numFmtId="0" fontId="0" fillId="0" borderId="4" xfId="0" applyBorder="1"/>
    <xf numFmtId="0" fontId="0" fillId="0" borderId="2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8" xfId="0" applyBorder="1" applyAlignment="1">
      <alignment horizontal="left" vertical="center"/>
    </xf>
    <xf numFmtId="49" fontId="0" fillId="0" borderId="28" xfId="0" applyNumberFormat="1" applyBorder="1" applyAlignment="1">
      <alignment horizontal="left" vertical="center"/>
    </xf>
    <xf numFmtId="3" fontId="0" fillId="0" borderId="2" xfId="0" applyNumberFormat="1" applyBorder="1" applyAlignment="1">
      <alignment horizontal="center" vertical="center"/>
    </xf>
    <xf numFmtId="3" fontId="0" fillId="0" borderId="28" xfId="0" applyNumberFormat="1" applyBorder="1" applyAlignment="1">
      <alignment horizontal="center" vertical="center"/>
    </xf>
    <xf numFmtId="0" fontId="0" fillId="0" borderId="2" xfId="0" applyBorder="1"/>
    <xf numFmtId="0" fontId="0" fillId="0" borderId="28" xfId="0" applyBorder="1"/>
    <xf numFmtId="49" fontId="0" fillId="0" borderId="2" xfId="0" applyNumberFormat="1" applyBorder="1" applyAlignment="1">
      <alignment horizontal="left"/>
    </xf>
    <xf numFmtId="0" fontId="0" fillId="0" borderId="5" xfId="0" applyBorder="1"/>
    <xf numFmtId="3" fontId="1" fillId="0" borderId="27" xfId="0" applyNumberFormat="1" applyFont="1" applyBorder="1" applyAlignment="1">
      <alignment horizontal="center" vertical="center"/>
    </xf>
    <xf numFmtId="3" fontId="1" fillId="0" borderId="6" xfId="0" applyNumberFormat="1" applyFont="1" applyBorder="1" applyAlignment="1">
      <alignment horizontal="center" vertical="center"/>
    </xf>
    <xf numFmtId="3" fontId="1" fillId="0" borderId="22" xfId="0" applyNumberFormat="1" applyFont="1" applyBorder="1" applyAlignment="1">
      <alignment horizontal="center" vertical="center"/>
    </xf>
    <xf numFmtId="3" fontId="1" fillId="0" borderId="8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vertical="center"/>
    </xf>
    <xf numFmtId="14" fontId="0" fillId="0" borderId="0" xfId="0" applyNumberFormat="1"/>
    <xf numFmtId="0" fontId="0" fillId="0" borderId="1" xfId="0" applyBorder="1"/>
    <xf numFmtId="0" fontId="0" fillId="0" borderId="17" xfId="0" applyBorder="1"/>
    <xf numFmtId="0" fontId="0" fillId="0" borderId="12" xfId="0" applyBorder="1"/>
    <xf numFmtId="0" fontId="0" fillId="0" borderId="11" xfId="0" applyBorder="1"/>
    <xf numFmtId="0" fontId="0" fillId="0" borderId="18" xfId="0" applyBorder="1"/>
    <xf numFmtId="0" fontId="0" fillId="0" borderId="1" xfId="0" applyBorder="1" applyAlignment="1">
      <alignment horizontal="center" vertical="center"/>
    </xf>
    <xf numFmtId="0" fontId="0" fillId="0" borderId="16" xfId="0" applyBorder="1"/>
    <xf numFmtId="0" fontId="0" fillId="0" borderId="17" xfId="0" applyBorder="1" applyAlignment="1">
      <alignment vertical="center"/>
    </xf>
    <xf numFmtId="0" fontId="0" fillId="0" borderId="10" xfId="0" applyBorder="1"/>
    <xf numFmtId="0" fontId="0" fillId="0" borderId="12" xfId="0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17" xfId="0" applyNumberFormat="1" applyBorder="1" applyAlignment="1">
      <alignment horizontal="left"/>
    </xf>
    <xf numFmtId="0" fontId="1" fillId="0" borderId="32" xfId="0" applyFont="1" applyBorder="1" applyAlignment="1">
      <alignment vertical="center"/>
    </xf>
    <xf numFmtId="0" fontId="1" fillId="0" borderId="1" xfId="0" applyFont="1" applyBorder="1"/>
    <xf numFmtId="49" fontId="1" fillId="0" borderId="1" xfId="0" applyNumberFormat="1" applyFont="1" applyBorder="1"/>
    <xf numFmtId="3" fontId="0" fillId="0" borderId="1" xfId="0" applyNumberFormat="1" applyBorder="1" applyAlignment="1">
      <alignment horizontal="right" vertical="center"/>
    </xf>
    <xf numFmtId="0" fontId="1" fillId="0" borderId="0" xfId="0" applyFont="1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2" borderId="20" xfId="0" applyFill="1" applyBorder="1"/>
    <xf numFmtId="0" fontId="0" fillId="2" borderId="21" xfId="0" applyFill="1" applyBorder="1" applyAlignment="1">
      <alignment horizontal="center" vertical="center"/>
    </xf>
    <xf numFmtId="3" fontId="0" fillId="0" borderId="1" xfId="0" applyNumberFormat="1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3" xfId="0" applyBorder="1"/>
    <xf numFmtId="49" fontId="0" fillId="0" borderId="23" xfId="0" applyNumberFormat="1" applyBorder="1" applyAlignment="1">
      <alignment horizontal="left"/>
    </xf>
    <xf numFmtId="3" fontId="0" fillId="0" borderId="23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3" fontId="0" fillId="0" borderId="33" xfId="0" applyNumberFormat="1" applyBorder="1" applyAlignment="1">
      <alignment horizontal="center" vertical="center"/>
    </xf>
    <xf numFmtId="3" fontId="3" fillId="0" borderId="1" xfId="1" applyNumberFormat="1" applyFont="1" applyBorder="1" applyAlignment="1">
      <alignment vertical="center"/>
    </xf>
    <xf numFmtId="0" fontId="0" fillId="0" borderId="14" xfId="0" applyBorder="1"/>
    <xf numFmtId="164" fontId="0" fillId="0" borderId="1" xfId="0" applyNumberFormat="1" applyBorder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0" fillId="0" borderId="34" xfId="0" applyBorder="1"/>
    <xf numFmtId="0" fontId="0" fillId="0" borderId="1" xfId="0" applyBorder="1" applyAlignment="1">
      <alignment horizontal="left"/>
    </xf>
    <xf numFmtId="0" fontId="4" fillId="0" borderId="34" xfId="0" applyFont="1" applyBorder="1" applyAlignment="1">
      <alignment horizontal="center" vertical="center"/>
    </xf>
    <xf numFmtId="0" fontId="0" fillId="0" borderId="34" xfId="0" applyBorder="1" applyAlignment="1">
      <alignment horizontal="left"/>
    </xf>
    <xf numFmtId="3" fontId="9" fillId="0" borderId="1" xfId="1" applyNumberFormat="1" applyFont="1" applyBorder="1" applyAlignment="1">
      <alignment horizontal="right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3" fontId="0" fillId="0" borderId="1" xfId="0" applyNumberFormat="1" applyBorder="1" applyAlignment="1">
      <alignment horizontal="center"/>
    </xf>
    <xf numFmtId="3" fontId="0" fillId="0" borderId="38" xfId="0" applyNumberFormat="1" applyBorder="1" applyAlignment="1">
      <alignment horizontal="center"/>
    </xf>
    <xf numFmtId="3" fontId="1" fillId="0" borderId="1" xfId="0" applyNumberFormat="1" applyFont="1" applyBorder="1" applyAlignment="1">
      <alignment horizontal="center"/>
    </xf>
    <xf numFmtId="3" fontId="0" fillId="0" borderId="34" xfId="0" applyNumberFormat="1" applyBorder="1" applyAlignment="1">
      <alignment horizontal="center"/>
    </xf>
    <xf numFmtId="3" fontId="0" fillId="0" borderId="37" xfId="0" applyNumberFormat="1" applyBorder="1" applyAlignment="1">
      <alignment horizontal="center"/>
    </xf>
    <xf numFmtId="3" fontId="1" fillId="0" borderId="34" xfId="0" applyNumberFormat="1" applyFont="1" applyBorder="1" applyAlignment="1">
      <alignment horizontal="center"/>
    </xf>
    <xf numFmtId="3" fontId="0" fillId="0" borderId="1" xfId="0" applyNumberFormat="1" applyBorder="1"/>
    <xf numFmtId="3" fontId="0" fillId="0" borderId="34" xfId="0" applyNumberFormat="1" applyBorder="1"/>
    <xf numFmtId="3" fontId="0" fillId="0" borderId="14" xfId="0" applyNumberFormat="1" applyBorder="1"/>
    <xf numFmtId="3" fontId="0" fillId="0" borderId="11" xfId="0" applyNumberFormat="1" applyBorder="1"/>
    <xf numFmtId="3" fontId="0" fillId="0" borderId="15" xfId="0" applyNumberFormat="1" applyBorder="1"/>
    <xf numFmtId="3" fontId="0" fillId="0" borderId="17" xfId="0" applyNumberFormat="1" applyBorder="1"/>
    <xf numFmtId="3" fontId="0" fillId="0" borderId="12" xfId="0" applyNumberFormat="1" applyBorder="1"/>
    <xf numFmtId="3" fontId="0" fillId="0" borderId="36" xfId="0" applyNumberFormat="1" applyBorder="1"/>
    <xf numFmtId="49" fontId="0" fillId="0" borderId="39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0" fontId="0" fillId="0" borderId="29" xfId="0" applyBorder="1" applyAlignment="1">
      <alignment horizontal="center" vertical="center"/>
    </xf>
    <xf numFmtId="0" fontId="0" fillId="0" borderId="14" xfId="0" applyBorder="1" applyAlignment="1">
      <alignment horizontal="left"/>
    </xf>
    <xf numFmtId="0" fontId="0" fillId="0" borderId="11" xfId="0" applyBorder="1" applyAlignment="1">
      <alignment horizontal="left"/>
    </xf>
    <xf numFmtId="165" fontId="0" fillId="0" borderId="0" xfId="0" applyNumberFormat="1"/>
    <xf numFmtId="0" fontId="1" fillId="0" borderId="1" xfId="0" applyFont="1" applyBorder="1" applyAlignment="1">
      <alignment horizontal="center"/>
    </xf>
    <xf numFmtId="0" fontId="0" fillId="0" borderId="34" xfId="0" applyBorder="1" applyAlignment="1">
      <alignment horizontal="center" vertical="center"/>
    </xf>
    <xf numFmtId="165" fontId="0" fillId="0" borderId="1" xfId="0" applyNumberFormat="1" applyBorder="1"/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49" fontId="0" fillId="0" borderId="23" xfId="0" applyNumberFormat="1" applyBorder="1" applyAlignment="1">
      <alignment horizontal="center" vertical="center"/>
    </xf>
    <xf numFmtId="49" fontId="0" fillId="0" borderId="26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3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0" fillId="0" borderId="31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1" fillId="0" borderId="42" xfId="0" applyFont="1" applyBorder="1" applyAlignment="1">
      <alignment horizontal="left" vertical="center"/>
    </xf>
    <xf numFmtId="0" fontId="0" fillId="0" borderId="14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4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14" fontId="0" fillId="0" borderId="0" xfId="0" applyNumberFormat="1" applyBorder="1"/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0" fillId="0" borderId="31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8" xfId="0" applyBorder="1" applyAlignment="1">
      <alignment horizontal="center" wrapText="1"/>
    </xf>
  </cellXfs>
  <cellStyles count="3">
    <cellStyle name="Excel Built-in Normal" xfId="1" xr:uid="{C0C7ED80-5CE0-4057-A773-44861E0935A6}"/>
    <cellStyle name="Normal" xfId="0" builtinId="0"/>
    <cellStyle name="Normal 3" xfId="2" xr:uid="{420AD3B9-1214-4357-B466-D87EE87AC01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1 IN January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1'!$B$4</c:f>
              <c:strCache>
                <c:ptCount val="1"/>
                <c:pt idx="0">
                  <c:v>AITOZ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1'!$E$3:$AC$3</c:f>
              <c:numCache>
                <c:formatCode>General</c:formatCode>
                <c:ptCount val="2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31</c:v>
                </c:pt>
              </c:numCache>
            </c:numRef>
          </c:cat>
          <c:val>
            <c:numRef>
              <c:f>'LINE 1'!$E$4:$AC$4</c:f>
              <c:numCache>
                <c:formatCode>#,##0</c:formatCode>
                <c:ptCount val="25"/>
                <c:pt idx="0">
                  <c:v>180</c:v>
                </c:pt>
                <c:pt idx="1">
                  <c:v>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A2-4843-BF5B-4EEE795B0851}"/>
            </c:ext>
          </c:extLst>
        </c:ser>
        <c:ser>
          <c:idx val="1"/>
          <c:order val="1"/>
          <c:tx>
            <c:strRef>
              <c:f>'LINE 1'!$B$5</c:f>
              <c:strCache>
                <c:ptCount val="1"/>
                <c:pt idx="0">
                  <c:v>COCOS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1'!$E$3:$AC$3</c:f>
              <c:numCache>
                <c:formatCode>General</c:formatCode>
                <c:ptCount val="2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31</c:v>
                </c:pt>
              </c:numCache>
            </c:numRef>
          </c:cat>
          <c:val>
            <c:numRef>
              <c:f>'LINE 1'!$E$5:$AC$5</c:f>
              <c:numCache>
                <c:formatCode>#,##0</c:formatCode>
                <c:ptCount val="25"/>
                <c:pt idx="15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A2-4843-BF5B-4EEE795B0851}"/>
            </c:ext>
          </c:extLst>
        </c:ser>
        <c:ser>
          <c:idx val="2"/>
          <c:order val="2"/>
          <c:tx>
            <c:strRef>
              <c:f>'LINE 1'!$B$6</c:f>
              <c:strCache>
                <c:ptCount val="1"/>
                <c:pt idx="0">
                  <c:v>COCOS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1'!$E$3:$AC$3</c:f>
              <c:numCache>
                <c:formatCode>General</c:formatCode>
                <c:ptCount val="2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31</c:v>
                </c:pt>
              </c:numCache>
            </c:numRef>
          </c:cat>
          <c:val>
            <c:numRef>
              <c:f>'LINE 1'!$E$6:$AC$6</c:f>
              <c:numCache>
                <c:formatCode>#,##0</c:formatCode>
                <c:ptCount val="25"/>
                <c:pt idx="2">
                  <c:v>0</c:v>
                </c:pt>
                <c:pt idx="3">
                  <c:v>150</c:v>
                </c:pt>
                <c:pt idx="4">
                  <c:v>150</c:v>
                </c:pt>
                <c:pt idx="5">
                  <c:v>100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260</c:v>
                </c:pt>
                <c:pt idx="11">
                  <c:v>100</c:v>
                </c:pt>
                <c:pt idx="12">
                  <c:v>270</c:v>
                </c:pt>
                <c:pt idx="13">
                  <c:v>226</c:v>
                </c:pt>
                <c:pt idx="14">
                  <c:v>260</c:v>
                </c:pt>
                <c:pt idx="15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2-4843-BF5B-4EEE795B0851}"/>
            </c:ext>
          </c:extLst>
        </c:ser>
        <c:ser>
          <c:idx val="3"/>
          <c:order val="3"/>
          <c:tx>
            <c:strRef>
              <c:f>'LINE 1'!$B$7</c:f>
              <c:strCache>
                <c:ptCount val="1"/>
                <c:pt idx="0">
                  <c:v>UNIMATE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1'!$E$3:$AC$3</c:f>
              <c:numCache>
                <c:formatCode>General</c:formatCode>
                <c:ptCount val="2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31</c:v>
                </c:pt>
              </c:numCache>
            </c:numRef>
          </c:cat>
          <c:val>
            <c:numRef>
              <c:f>'LINE 1'!$E$7:$AC$7</c:f>
              <c:numCache>
                <c:formatCode>#,##0</c:formatCode>
                <c:ptCount val="25"/>
                <c:pt idx="16">
                  <c:v>0</c:v>
                </c:pt>
                <c:pt idx="17">
                  <c:v>80</c:v>
                </c:pt>
                <c:pt idx="18">
                  <c:v>150</c:v>
                </c:pt>
                <c:pt idx="19">
                  <c:v>190</c:v>
                </c:pt>
                <c:pt idx="20">
                  <c:v>190</c:v>
                </c:pt>
                <c:pt idx="21">
                  <c:v>200</c:v>
                </c:pt>
                <c:pt idx="22">
                  <c:v>200</c:v>
                </c:pt>
                <c:pt idx="23">
                  <c:v>150</c:v>
                </c:pt>
                <c:pt idx="24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2-4843-BF5B-4EEE795B0851}"/>
            </c:ext>
          </c:extLst>
        </c:ser>
        <c:ser>
          <c:idx val="4"/>
          <c:order val="4"/>
          <c:tx>
            <c:strRef>
              <c:f>'LINE 1'!$B$8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1'!$E$3:$AC$3</c:f>
              <c:numCache>
                <c:formatCode>General</c:formatCode>
                <c:ptCount val="2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31</c:v>
                </c:pt>
              </c:numCache>
            </c:numRef>
          </c:cat>
          <c:val>
            <c:numRef>
              <c:f>'LINE 1'!$E$8:$AC$8</c:f>
              <c:numCache>
                <c:formatCode>#,##0</c:formatCode>
                <c:ptCount val="25"/>
                <c:pt idx="0">
                  <c:v>200</c:v>
                </c:pt>
                <c:pt idx="1">
                  <c:v>113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100</c:v>
                </c:pt>
                <c:pt idx="6">
                  <c:v>290</c:v>
                </c:pt>
                <c:pt idx="7">
                  <c:v>290</c:v>
                </c:pt>
                <c:pt idx="8">
                  <c:v>290</c:v>
                </c:pt>
                <c:pt idx="9">
                  <c:v>290</c:v>
                </c:pt>
                <c:pt idx="10">
                  <c:v>290</c:v>
                </c:pt>
                <c:pt idx="11">
                  <c:v>100</c:v>
                </c:pt>
                <c:pt idx="12">
                  <c:v>290</c:v>
                </c:pt>
                <c:pt idx="13">
                  <c:v>290</c:v>
                </c:pt>
                <c:pt idx="14">
                  <c:v>290</c:v>
                </c:pt>
                <c:pt idx="15">
                  <c:v>101</c:v>
                </c:pt>
                <c:pt idx="16">
                  <c:v>0</c:v>
                </c:pt>
                <c:pt idx="17">
                  <c:v>80</c:v>
                </c:pt>
                <c:pt idx="18">
                  <c:v>150</c:v>
                </c:pt>
                <c:pt idx="19">
                  <c:v>190</c:v>
                </c:pt>
                <c:pt idx="20">
                  <c:v>190</c:v>
                </c:pt>
                <c:pt idx="21">
                  <c:v>200</c:v>
                </c:pt>
                <c:pt idx="22">
                  <c:v>200</c:v>
                </c:pt>
                <c:pt idx="23">
                  <c:v>150</c:v>
                </c:pt>
                <c:pt idx="24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A2-4843-BF5B-4EEE795B0851}"/>
            </c:ext>
          </c:extLst>
        </c:ser>
        <c:ser>
          <c:idx val="5"/>
          <c:order val="5"/>
          <c:tx>
            <c:strRef>
              <c:f>'LINE 1'!$B$9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6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1'!$E$3:$AC$3</c:f>
              <c:numCache>
                <c:formatCode>General</c:formatCode>
                <c:ptCount val="2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31</c:v>
                </c:pt>
              </c:numCache>
            </c:numRef>
          </c:cat>
          <c:val>
            <c:numRef>
              <c:f>'LINE 1'!$E$9:$AC$9</c:f>
              <c:numCache>
                <c:formatCode>#,##0</c:formatCode>
                <c:ptCount val="25"/>
                <c:pt idx="0">
                  <c:v>18</c:v>
                </c:pt>
                <c:pt idx="1">
                  <c:v>11.3</c:v>
                </c:pt>
                <c:pt idx="2">
                  <c:v>0</c:v>
                </c:pt>
                <c:pt idx="3">
                  <c:v>18.75</c:v>
                </c:pt>
                <c:pt idx="4">
                  <c:v>18.75</c:v>
                </c:pt>
                <c:pt idx="5">
                  <c:v>20</c:v>
                </c:pt>
                <c:pt idx="6">
                  <c:v>24</c:v>
                </c:pt>
                <c:pt idx="7">
                  <c:v>24</c:v>
                </c:pt>
                <c:pt idx="8">
                  <c:v>25.263157894736842</c:v>
                </c:pt>
                <c:pt idx="9">
                  <c:v>25.263157894736842</c:v>
                </c:pt>
                <c:pt idx="10">
                  <c:v>26</c:v>
                </c:pt>
                <c:pt idx="11">
                  <c:v>20</c:v>
                </c:pt>
                <c:pt idx="12">
                  <c:v>27</c:v>
                </c:pt>
                <c:pt idx="13">
                  <c:v>22.6</c:v>
                </c:pt>
                <c:pt idx="14">
                  <c:v>26</c:v>
                </c:pt>
                <c:pt idx="15">
                  <c:v>10.1</c:v>
                </c:pt>
                <c:pt idx="16">
                  <c:v>0</c:v>
                </c:pt>
                <c:pt idx="17">
                  <c:v>11.428571428571429</c:v>
                </c:pt>
                <c:pt idx="18">
                  <c:v>16.666666666666668</c:v>
                </c:pt>
                <c:pt idx="19">
                  <c:v>21.111111111111111</c:v>
                </c:pt>
                <c:pt idx="20">
                  <c:v>21.111111111111111</c:v>
                </c:pt>
                <c:pt idx="21">
                  <c:v>22.222222222222221</c:v>
                </c:pt>
                <c:pt idx="22">
                  <c:v>22.222222222222221</c:v>
                </c:pt>
                <c:pt idx="23">
                  <c:v>21.428571428571427</c:v>
                </c:pt>
                <c:pt idx="24">
                  <c:v>22.222222222222221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3A2-4843-BF5B-4EEE795B0851}"/>
            </c:ext>
          </c:extLst>
        </c:ser>
        <c:ser>
          <c:idx val="6"/>
          <c:order val="6"/>
          <c:tx>
            <c:strRef>
              <c:f>'LINE 1'!$B$10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60000"/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1'!$E$3:$AC$3</c:f>
              <c:numCache>
                <c:formatCode>General</c:formatCode>
                <c:ptCount val="2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31</c:v>
                </c:pt>
              </c:numCache>
            </c:numRef>
          </c:cat>
          <c:val>
            <c:numRef>
              <c:f>'LINE 1'!$E$10:$AC$10</c:f>
              <c:numCache>
                <c:formatCode>#,##0</c:formatCode>
                <c:ptCount val="25"/>
                <c:pt idx="0">
                  <c:v>147</c:v>
                </c:pt>
                <c:pt idx="1">
                  <c:v>147</c:v>
                </c:pt>
                <c:pt idx="2">
                  <c:v>181</c:v>
                </c:pt>
                <c:pt idx="3">
                  <c:v>181</c:v>
                </c:pt>
                <c:pt idx="4">
                  <c:v>181</c:v>
                </c:pt>
                <c:pt idx="5">
                  <c:v>181</c:v>
                </c:pt>
                <c:pt idx="6">
                  <c:v>181</c:v>
                </c:pt>
                <c:pt idx="7">
                  <c:v>181</c:v>
                </c:pt>
                <c:pt idx="8">
                  <c:v>181</c:v>
                </c:pt>
                <c:pt idx="9">
                  <c:v>181</c:v>
                </c:pt>
                <c:pt idx="10">
                  <c:v>181</c:v>
                </c:pt>
                <c:pt idx="11">
                  <c:v>181</c:v>
                </c:pt>
                <c:pt idx="12">
                  <c:v>181</c:v>
                </c:pt>
                <c:pt idx="13">
                  <c:v>181</c:v>
                </c:pt>
                <c:pt idx="14">
                  <c:v>181</c:v>
                </c:pt>
                <c:pt idx="15">
                  <c:v>181</c:v>
                </c:pt>
                <c:pt idx="16">
                  <c:v>151</c:v>
                </c:pt>
                <c:pt idx="17">
                  <c:v>151</c:v>
                </c:pt>
                <c:pt idx="18">
                  <c:v>151</c:v>
                </c:pt>
                <c:pt idx="19">
                  <c:v>151</c:v>
                </c:pt>
                <c:pt idx="20">
                  <c:v>151</c:v>
                </c:pt>
                <c:pt idx="21">
                  <c:v>151</c:v>
                </c:pt>
                <c:pt idx="22">
                  <c:v>151</c:v>
                </c:pt>
                <c:pt idx="23">
                  <c:v>151</c:v>
                </c:pt>
                <c:pt idx="24">
                  <c:v>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3A2-4843-BF5B-4EEE795B085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20930175"/>
        <c:axId val="1920916447"/>
      </c:lineChart>
      <c:catAx>
        <c:axId val="19209301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JANUARY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0916447"/>
        <c:crosses val="autoZero"/>
        <c:auto val="1"/>
        <c:lblAlgn val="ctr"/>
        <c:lblOffset val="100"/>
        <c:noMultiLvlLbl val="0"/>
      </c:catAx>
      <c:valAx>
        <c:axId val="1920916447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20930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1 IN February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1'!$B$38</c:f>
              <c:strCache>
                <c:ptCount val="1"/>
                <c:pt idx="0">
                  <c:v>UNIMATE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1'!$E$37:$AA$37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28</c:v>
                </c:pt>
              </c:numCache>
            </c:numRef>
          </c:cat>
          <c:val>
            <c:numRef>
              <c:f>'LINE 1'!$E$38:$AA$38</c:f>
              <c:numCache>
                <c:formatCode>#,##0</c:formatCode>
                <c:ptCount val="23"/>
                <c:pt idx="0">
                  <c:v>210</c:v>
                </c:pt>
                <c:pt idx="1">
                  <c:v>210</c:v>
                </c:pt>
                <c:pt idx="2">
                  <c:v>210</c:v>
                </c:pt>
                <c:pt idx="3">
                  <c:v>150</c:v>
                </c:pt>
                <c:pt idx="4">
                  <c:v>220</c:v>
                </c:pt>
                <c:pt idx="5">
                  <c:v>230</c:v>
                </c:pt>
                <c:pt idx="6">
                  <c:v>235</c:v>
                </c:pt>
                <c:pt idx="7">
                  <c:v>235</c:v>
                </c:pt>
                <c:pt idx="8">
                  <c:v>220</c:v>
                </c:pt>
                <c:pt idx="9">
                  <c:v>150</c:v>
                </c:pt>
                <c:pt idx="10">
                  <c:v>235</c:v>
                </c:pt>
                <c:pt idx="11">
                  <c:v>210</c:v>
                </c:pt>
                <c:pt idx="12">
                  <c:v>165</c:v>
                </c:pt>
                <c:pt idx="13">
                  <c:v>180</c:v>
                </c:pt>
                <c:pt idx="14">
                  <c:v>180</c:v>
                </c:pt>
                <c:pt idx="15">
                  <c:v>150</c:v>
                </c:pt>
                <c:pt idx="16">
                  <c:v>180</c:v>
                </c:pt>
                <c:pt idx="17">
                  <c:v>155</c:v>
                </c:pt>
                <c:pt idx="18">
                  <c:v>230</c:v>
                </c:pt>
                <c:pt idx="19">
                  <c:v>200</c:v>
                </c:pt>
                <c:pt idx="20">
                  <c:v>220</c:v>
                </c:pt>
                <c:pt idx="21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F9-440A-A5FA-66BACD3695B5}"/>
            </c:ext>
          </c:extLst>
        </c:ser>
        <c:ser>
          <c:idx val="1"/>
          <c:order val="1"/>
          <c:tx>
            <c:strRef>
              <c:f>'LINE 1'!$B$39</c:f>
              <c:strCache>
                <c:ptCount val="1"/>
                <c:pt idx="0">
                  <c:v>BIG BORN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1'!$E$37:$AA$37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28</c:v>
                </c:pt>
              </c:numCache>
            </c:numRef>
          </c:cat>
          <c:val>
            <c:numRef>
              <c:f>'LINE 1'!$E$39:$AA$39</c:f>
              <c:numCache>
                <c:formatCode>#,##0</c:formatCode>
                <c:ptCount val="23"/>
                <c:pt idx="22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F9-440A-A5FA-66BACD3695B5}"/>
            </c:ext>
          </c:extLst>
        </c:ser>
        <c:ser>
          <c:idx val="2"/>
          <c:order val="2"/>
          <c:tx>
            <c:strRef>
              <c:f>'LINE 1'!$B$40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1'!$E$37:$AA$37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28</c:v>
                </c:pt>
              </c:numCache>
            </c:numRef>
          </c:cat>
          <c:val>
            <c:numRef>
              <c:f>'LINE 1'!$E$40:$AA$40</c:f>
              <c:numCache>
                <c:formatCode>#,##0</c:formatCode>
                <c:ptCount val="23"/>
                <c:pt idx="0">
                  <c:v>210</c:v>
                </c:pt>
                <c:pt idx="1">
                  <c:v>210</c:v>
                </c:pt>
                <c:pt idx="2">
                  <c:v>210</c:v>
                </c:pt>
                <c:pt idx="3">
                  <c:v>150</c:v>
                </c:pt>
                <c:pt idx="4">
                  <c:v>220</c:v>
                </c:pt>
                <c:pt idx="5">
                  <c:v>230</c:v>
                </c:pt>
                <c:pt idx="6">
                  <c:v>235</c:v>
                </c:pt>
                <c:pt idx="7">
                  <c:v>235</c:v>
                </c:pt>
                <c:pt idx="8">
                  <c:v>235</c:v>
                </c:pt>
                <c:pt idx="9">
                  <c:v>150</c:v>
                </c:pt>
                <c:pt idx="10">
                  <c:v>235</c:v>
                </c:pt>
                <c:pt idx="11">
                  <c:v>235</c:v>
                </c:pt>
                <c:pt idx="12">
                  <c:v>235</c:v>
                </c:pt>
                <c:pt idx="13">
                  <c:v>235</c:v>
                </c:pt>
                <c:pt idx="14">
                  <c:v>235</c:v>
                </c:pt>
                <c:pt idx="15">
                  <c:v>150</c:v>
                </c:pt>
                <c:pt idx="16">
                  <c:v>180</c:v>
                </c:pt>
                <c:pt idx="17">
                  <c:v>155</c:v>
                </c:pt>
                <c:pt idx="18">
                  <c:v>230</c:v>
                </c:pt>
                <c:pt idx="19">
                  <c:v>200</c:v>
                </c:pt>
                <c:pt idx="20">
                  <c:v>230</c:v>
                </c:pt>
                <c:pt idx="21">
                  <c:v>230</c:v>
                </c:pt>
                <c:pt idx="2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F9-440A-A5FA-66BACD3695B5}"/>
            </c:ext>
          </c:extLst>
        </c:ser>
        <c:ser>
          <c:idx val="3"/>
          <c:order val="3"/>
          <c:tx>
            <c:strRef>
              <c:f>'LINE 1'!$B$41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1'!$E$37:$AA$37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28</c:v>
                </c:pt>
              </c:numCache>
            </c:numRef>
          </c:cat>
          <c:val>
            <c:numRef>
              <c:f>'LINE 1'!$E$41:$AA$41</c:f>
              <c:numCache>
                <c:formatCode>#,##0</c:formatCode>
                <c:ptCount val="23"/>
                <c:pt idx="0">
                  <c:v>23.333333333333332</c:v>
                </c:pt>
                <c:pt idx="1">
                  <c:v>23.333333333333332</c:v>
                </c:pt>
                <c:pt idx="2">
                  <c:v>23.333333333333332</c:v>
                </c:pt>
                <c:pt idx="3">
                  <c:v>21.428571428571427</c:v>
                </c:pt>
                <c:pt idx="4">
                  <c:v>24.444444444444443</c:v>
                </c:pt>
                <c:pt idx="5">
                  <c:v>23</c:v>
                </c:pt>
                <c:pt idx="6">
                  <c:v>26.111111111111111</c:v>
                </c:pt>
                <c:pt idx="7">
                  <c:v>26.111111111111111</c:v>
                </c:pt>
                <c:pt idx="8">
                  <c:v>22</c:v>
                </c:pt>
                <c:pt idx="9">
                  <c:v>21.428571428571427</c:v>
                </c:pt>
                <c:pt idx="10">
                  <c:v>26.111111111111111</c:v>
                </c:pt>
                <c:pt idx="11">
                  <c:v>23.333333333333332</c:v>
                </c:pt>
                <c:pt idx="12">
                  <c:v>23.571428571428573</c:v>
                </c:pt>
                <c:pt idx="13">
                  <c:v>25.714285714285715</c:v>
                </c:pt>
                <c:pt idx="14">
                  <c:v>25.714285714285715</c:v>
                </c:pt>
                <c:pt idx="15">
                  <c:v>21.428571428571427</c:v>
                </c:pt>
                <c:pt idx="16">
                  <c:v>25.714285714285715</c:v>
                </c:pt>
                <c:pt idx="17">
                  <c:v>25.833333333333332</c:v>
                </c:pt>
                <c:pt idx="18">
                  <c:v>23</c:v>
                </c:pt>
                <c:pt idx="19">
                  <c:v>28.571428571428573</c:v>
                </c:pt>
                <c:pt idx="20">
                  <c:v>24.444444444444443</c:v>
                </c:pt>
                <c:pt idx="21">
                  <c:v>6.8571428571428568</c:v>
                </c:pt>
                <c:pt idx="22">
                  <c:v>3.125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F9-440A-A5FA-66BACD3695B5}"/>
            </c:ext>
          </c:extLst>
        </c:ser>
        <c:ser>
          <c:idx val="4"/>
          <c:order val="4"/>
          <c:tx>
            <c:strRef>
              <c:f>'LINE 1'!$B$42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1'!$E$37:$AA$37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28</c:v>
                </c:pt>
              </c:numCache>
            </c:numRef>
          </c:cat>
          <c:val>
            <c:numRef>
              <c:f>'LINE 1'!$E$42:$AA$42</c:f>
              <c:numCache>
                <c:formatCode>#,##0</c:formatCode>
                <c:ptCount val="23"/>
                <c:pt idx="0">
                  <c:v>192</c:v>
                </c:pt>
                <c:pt idx="1">
                  <c:v>192</c:v>
                </c:pt>
                <c:pt idx="2">
                  <c:v>192</c:v>
                </c:pt>
                <c:pt idx="3">
                  <c:v>192</c:v>
                </c:pt>
                <c:pt idx="4">
                  <c:v>192</c:v>
                </c:pt>
                <c:pt idx="5">
                  <c:v>192</c:v>
                </c:pt>
                <c:pt idx="6">
                  <c:v>192</c:v>
                </c:pt>
                <c:pt idx="7">
                  <c:v>192</c:v>
                </c:pt>
                <c:pt idx="8">
                  <c:v>192</c:v>
                </c:pt>
                <c:pt idx="9">
                  <c:v>192</c:v>
                </c:pt>
                <c:pt idx="10">
                  <c:v>192</c:v>
                </c:pt>
                <c:pt idx="11">
                  <c:v>192</c:v>
                </c:pt>
                <c:pt idx="12">
                  <c:v>192</c:v>
                </c:pt>
                <c:pt idx="13">
                  <c:v>192</c:v>
                </c:pt>
                <c:pt idx="14">
                  <c:v>192</c:v>
                </c:pt>
                <c:pt idx="15">
                  <c:v>192</c:v>
                </c:pt>
                <c:pt idx="16">
                  <c:v>192</c:v>
                </c:pt>
                <c:pt idx="17">
                  <c:v>192</c:v>
                </c:pt>
                <c:pt idx="18">
                  <c:v>192</c:v>
                </c:pt>
                <c:pt idx="19">
                  <c:v>192</c:v>
                </c:pt>
                <c:pt idx="20">
                  <c:v>192</c:v>
                </c:pt>
                <c:pt idx="21">
                  <c:v>192</c:v>
                </c:pt>
                <c:pt idx="22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F9-440A-A5FA-66BACD3695B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20942239"/>
        <c:axId val="1920943903"/>
      </c:lineChart>
      <c:catAx>
        <c:axId val="19209422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FEBRUARY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0943903"/>
        <c:crosses val="autoZero"/>
        <c:auto val="1"/>
        <c:lblAlgn val="ctr"/>
        <c:lblOffset val="100"/>
        <c:noMultiLvlLbl val="0"/>
      </c:catAx>
      <c:valAx>
        <c:axId val="1920943903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20942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1 IN March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1'!$B$70</c:f>
              <c:strCache>
                <c:ptCount val="1"/>
                <c:pt idx="0">
                  <c:v>BIG BORN 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1'!$E$69:$AF$69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</c:numCache>
            </c:numRef>
          </c:cat>
          <c:val>
            <c:numRef>
              <c:f>'LINE 1'!$E$70:$AF$70</c:f>
              <c:numCache>
                <c:formatCode>#,##0</c:formatCode>
                <c:ptCount val="28"/>
                <c:pt idx="0">
                  <c:v>165</c:v>
                </c:pt>
                <c:pt idx="1">
                  <c:v>190</c:v>
                </c:pt>
                <c:pt idx="2">
                  <c:v>180</c:v>
                </c:pt>
                <c:pt idx="3">
                  <c:v>190</c:v>
                </c:pt>
                <c:pt idx="4">
                  <c:v>140</c:v>
                </c:pt>
                <c:pt idx="5">
                  <c:v>185</c:v>
                </c:pt>
                <c:pt idx="6">
                  <c:v>190</c:v>
                </c:pt>
                <c:pt idx="7">
                  <c:v>200</c:v>
                </c:pt>
                <c:pt idx="8">
                  <c:v>205</c:v>
                </c:pt>
                <c:pt idx="9">
                  <c:v>230</c:v>
                </c:pt>
                <c:pt idx="10">
                  <c:v>150</c:v>
                </c:pt>
                <c:pt idx="11">
                  <c:v>200</c:v>
                </c:pt>
                <c:pt idx="12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25-4729-BFF9-9F2F73B6F92E}"/>
            </c:ext>
          </c:extLst>
        </c:ser>
        <c:ser>
          <c:idx val="1"/>
          <c:order val="1"/>
          <c:tx>
            <c:strRef>
              <c:f>'LINE 1'!$B$71</c:f>
              <c:strCache>
                <c:ptCount val="1"/>
                <c:pt idx="0">
                  <c:v>H&amp;M 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1'!$E$69:$AF$69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</c:numCache>
            </c:numRef>
          </c:cat>
          <c:val>
            <c:numRef>
              <c:f>'LINE 1'!$E$71:$AF$71</c:f>
              <c:numCache>
                <c:formatCode>#,##0</c:formatCode>
                <c:ptCount val="28"/>
                <c:pt idx="13">
                  <c:v>1520</c:v>
                </c:pt>
                <c:pt idx="14">
                  <c:v>1550</c:v>
                </c:pt>
                <c:pt idx="15">
                  <c:v>1870</c:v>
                </c:pt>
                <c:pt idx="16">
                  <c:v>1420</c:v>
                </c:pt>
                <c:pt idx="17">
                  <c:v>1454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25-4729-BFF9-9F2F73B6F92E}"/>
            </c:ext>
          </c:extLst>
        </c:ser>
        <c:ser>
          <c:idx val="2"/>
          <c:order val="2"/>
          <c:tx>
            <c:strRef>
              <c:f>'LINE 1'!$B$72</c:f>
              <c:strCache>
                <c:ptCount val="1"/>
                <c:pt idx="0">
                  <c:v>NISHIMATSUYA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1'!$E$69:$AF$69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</c:numCache>
            </c:numRef>
          </c:cat>
          <c:val>
            <c:numRef>
              <c:f>'LINE 1'!$E$72:$AF$72</c:f>
              <c:numCache>
                <c:formatCode>#,##0</c:formatCode>
                <c:ptCount val="28"/>
                <c:pt idx="18">
                  <c:v>50</c:v>
                </c:pt>
                <c:pt idx="19">
                  <c:v>325</c:v>
                </c:pt>
                <c:pt idx="20">
                  <c:v>560</c:v>
                </c:pt>
                <c:pt idx="21">
                  <c:v>600</c:v>
                </c:pt>
                <c:pt idx="22">
                  <c:v>450</c:v>
                </c:pt>
                <c:pt idx="23">
                  <c:v>450</c:v>
                </c:pt>
                <c:pt idx="24">
                  <c:v>1000</c:v>
                </c:pt>
                <c:pt idx="25">
                  <c:v>1150</c:v>
                </c:pt>
                <c:pt idx="26">
                  <c:v>1050</c:v>
                </c:pt>
                <c:pt idx="27">
                  <c:v>1050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25-4729-BFF9-9F2F73B6F92E}"/>
            </c:ext>
          </c:extLst>
        </c:ser>
        <c:ser>
          <c:idx val="3"/>
          <c:order val="3"/>
          <c:tx>
            <c:strRef>
              <c:f>'LINE 1'!$B$73</c:f>
              <c:strCache>
                <c:ptCount val="1"/>
                <c:pt idx="0">
                  <c:v>NISHIMATSUYA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1'!$E$69:$AF$69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</c:numCache>
            </c:numRef>
          </c:cat>
          <c:val>
            <c:numRef>
              <c:f>'LINE 1'!$E$73:$AF$73</c:f>
              <c:numCache>
                <c:formatCode>#,##0</c:formatCode>
                <c:ptCount val="28"/>
                <c:pt idx="18">
                  <c:v>170</c:v>
                </c:pt>
                <c:pt idx="19">
                  <c:v>470</c:v>
                </c:pt>
                <c:pt idx="20">
                  <c:v>550</c:v>
                </c:pt>
                <c:pt idx="21">
                  <c:v>700</c:v>
                </c:pt>
                <c:pt idx="22">
                  <c:v>550</c:v>
                </c:pt>
                <c:pt idx="23">
                  <c:v>550</c:v>
                </c:pt>
                <c:pt idx="24">
                  <c:v>1000</c:v>
                </c:pt>
                <c:pt idx="25">
                  <c:v>1150</c:v>
                </c:pt>
                <c:pt idx="26">
                  <c:v>1200</c:v>
                </c:pt>
                <c:pt idx="27">
                  <c:v>1100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E25-4729-BFF9-9F2F73B6F92E}"/>
            </c:ext>
          </c:extLst>
        </c:ser>
        <c:ser>
          <c:idx val="4"/>
          <c:order val="4"/>
          <c:tx>
            <c:strRef>
              <c:f>'LINE 1'!$B$74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1'!$E$69:$AF$69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</c:numCache>
            </c:numRef>
          </c:cat>
          <c:val>
            <c:numRef>
              <c:f>'LINE 1'!$E$74:$AF$74</c:f>
              <c:numCache>
                <c:formatCode>#,##0</c:formatCode>
                <c:ptCount val="28"/>
                <c:pt idx="0">
                  <c:v>200</c:v>
                </c:pt>
                <c:pt idx="1">
                  <c:v>200</c:v>
                </c:pt>
                <c:pt idx="2">
                  <c:v>179</c:v>
                </c:pt>
                <c:pt idx="3">
                  <c:v>200</c:v>
                </c:pt>
                <c:pt idx="4">
                  <c:v>150</c:v>
                </c:pt>
                <c:pt idx="5">
                  <c:v>230</c:v>
                </c:pt>
                <c:pt idx="6">
                  <c:v>230</c:v>
                </c:pt>
                <c:pt idx="7">
                  <c:v>230</c:v>
                </c:pt>
                <c:pt idx="8">
                  <c:v>230</c:v>
                </c:pt>
                <c:pt idx="9">
                  <c:v>230</c:v>
                </c:pt>
                <c:pt idx="10">
                  <c:v>150</c:v>
                </c:pt>
                <c:pt idx="11">
                  <c:v>256</c:v>
                </c:pt>
                <c:pt idx="12">
                  <c:v>56</c:v>
                </c:pt>
                <c:pt idx="13">
                  <c:v>1500</c:v>
                </c:pt>
                <c:pt idx="14">
                  <c:v>1500</c:v>
                </c:pt>
                <c:pt idx="15">
                  <c:v>1850</c:v>
                </c:pt>
                <c:pt idx="16">
                  <c:v>1400</c:v>
                </c:pt>
                <c:pt idx="17">
                  <c:v>1454</c:v>
                </c:pt>
                <c:pt idx="18">
                  <c:v>800</c:v>
                </c:pt>
                <c:pt idx="19">
                  <c:v>800</c:v>
                </c:pt>
                <c:pt idx="20">
                  <c:v>1400</c:v>
                </c:pt>
                <c:pt idx="21">
                  <c:v>1300</c:v>
                </c:pt>
                <c:pt idx="22">
                  <c:v>1000</c:v>
                </c:pt>
                <c:pt idx="23">
                  <c:v>1000</c:v>
                </c:pt>
                <c:pt idx="24">
                  <c:v>2000</c:v>
                </c:pt>
                <c:pt idx="25">
                  <c:v>2600</c:v>
                </c:pt>
                <c:pt idx="26">
                  <c:v>2500</c:v>
                </c:pt>
                <c:pt idx="2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E25-4729-BFF9-9F2F73B6F92E}"/>
            </c:ext>
          </c:extLst>
        </c:ser>
        <c:ser>
          <c:idx val="5"/>
          <c:order val="5"/>
          <c:tx>
            <c:strRef>
              <c:f>'LINE 1'!$B$75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6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1'!$E$69:$AF$69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</c:numCache>
            </c:numRef>
          </c:cat>
          <c:val>
            <c:numRef>
              <c:f>'LINE 1'!$E$75:$AF$75</c:f>
              <c:numCache>
                <c:formatCode>#,##0</c:formatCode>
                <c:ptCount val="28"/>
                <c:pt idx="0">
                  <c:v>16.5</c:v>
                </c:pt>
                <c:pt idx="1">
                  <c:v>19</c:v>
                </c:pt>
                <c:pt idx="2">
                  <c:v>20</c:v>
                </c:pt>
                <c:pt idx="3">
                  <c:v>19</c:v>
                </c:pt>
                <c:pt idx="4">
                  <c:v>20</c:v>
                </c:pt>
                <c:pt idx="5">
                  <c:v>18.5</c:v>
                </c:pt>
                <c:pt idx="6">
                  <c:v>19</c:v>
                </c:pt>
                <c:pt idx="7">
                  <c:v>20</c:v>
                </c:pt>
                <c:pt idx="8">
                  <c:v>20.5</c:v>
                </c:pt>
                <c:pt idx="9">
                  <c:v>20</c:v>
                </c:pt>
                <c:pt idx="10">
                  <c:v>20</c:v>
                </c:pt>
                <c:pt idx="11">
                  <c:v>19.047619047619047</c:v>
                </c:pt>
                <c:pt idx="12">
                  <c:v>5.6</c:v>
                </c:pt>
                <c:pt idx="13">
                  <c:v>168.88888888888889</c:v>
                </c:pt>
                <c:pt idx="14">
                  <c:v>172.22222222222223</c:v>
                </c:pt>
                <c:pt idx="15">
                  <c:v>187</c:v>
                </c:pt>
                <c:pt idx="16">
                  <c:v>202.85714285714286</c:v>
                </c:pt>
                <c:pt idx="17">
                  <c:v>181.75</c:v>
                </c:pt>
                <c:pt idx="18">
                  <c:v>18.333333333333332</c:v>
                </c:pt>
                <c:pt idx="19">
                  <c:v>66.25</c:v>
                </c:pt>
                <c:pt idx="20">
                  <c:v>92.5</c:v>
                </c:pt>
                <c:pt idx="21">
                  <c:v>130</c:v>
                </c:pt>
                <c:pt idx="22">
                  <c:v>125</c:v>
                </c:pt>
                <c:pt idx="23">
                  <c:v>142.85714285714286</c:v>
                </c:pt>
                <c:pt idx="24">
                  <c:v>166.66666666666666</c:v>
                </c:pt>
                <c:pt idx="25">
                  <c:v>191.66666666666666</c:v>
                </c:pt>
                <c:pt idx="26">
                  <c:v>187.5</c:v>
                </c:pt>
                <c:pt idx="27">
                  <c:v>179.16666666666666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E25-4729-BFF9-9F2F73B6F92E}"/>
            </c:ext>
          </c:extLst>
        </c:ser>
        <c:ser>
          <c:idx val="6"/>
          <c:order val="6"/>
          <c:tx>
            <c:strRef>
              <c:f>'LINE 1'!$B$76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60000"/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1'!$E$69:$AF$69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</c:numCache>
            </c:numRef>
          </c:cat>
          <c:val>
            <c:numRef>
              <c:f>'LINE 1'!$E$76:$AF$76</c:f>
              <c:numCache>
                <c:formatCode>#,##0</c:formatCode>
                <c:ptCount val="28"/>
                <c:pt idx="0">
                  <c:v>175</c:v>
                </c:pt>
                <c:pt idx="1">
                  <c:v>175</c:v>
                </c:pt>
                <c:pt idx="2">
                  <c:v>175</c:v>
                </c:pt>
                <c:pt idx="3">
                  <c:v>175</c:v>
                </c:pt>
                <c:pt idx="4">
                  <c:v>175</c:v>
                </c:pt>
                <c:pt idx="5">
                  <c:v>175</c:v>
                </c:pt>
                <c:pt idx="6">
                  <c:v>175</c:v>
                </c:pt>
                <c:pt idx="7">
                  <c:v>175</c:v>
                </c:pt>
                <c:pt idx="8">
                  <c:v>175</c:v>
                </c:pt>
                <c:pt idx="9">
                  <c:v>175</c:v>
                </c:pt>
                <c:pt idx="10">
                  <c:v>175</c:v>
                </c:pt>
                <c:pt idx="11">
                  <c:v>175</c:v>
                </c:pt>
                <c:pt idx="12">
                  <c:v>175</c:v>
                </c:pt>
                <c:pt idx="13">
                  <c:v>1563</c:v>
                </c:pt>
                <c:pt idx="14">
                  <c:v>1563</c:v>
                </c:pt>
                <c:pt idx="15">
                  <c:v>1563</c:v>
                </c:pt>
                <c:pt idx="16">
                  <c:v>1563</c:v>
                </c:pt>
                <c:pt idx="17">
                  <c:v>1563</c:v>
                </c:pt>
                <c:pt idx="18">
                  <c:v>1413</c:v>
                </c:pt>
                <c:pt idx="19">
                  <c:v>1413</c:v>
                </c:pt>
                <c:pt idx="20">
                  <c:v>1413</c:v>
                </c:pt>
                <c:pt idx="21">
                  <c:v>1413</c:v>
                </c:pt>
                <c:pt idx="22">
                  <c:v>1413</c:v>
                </c:pt>
                <c:pt idx="23">
                  <c:v>1413</c:v>
                </c:pt>
                <c:pt idx="24">
                  <c:v>1413</c:v>
                </c:pt>
                <c:pt idx="25">
                  <c:v>1413</c:v>
                </c:pt>
                <c:pt idx="26">
                  <c:v>1413</c:v>
                </c:pt>
                <c:pt idx="27">
                  <c:v>1413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E25-4729-BFF9-9F2F73B6F92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20959711"/>
        <c:axId val="1920963455"/>
      </c:lineChart>
      <c:catAx>
        <c:axId val="19209597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MARCH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0963455"/>
        <c:crosses val="autoZero"/>
        <c:auto val="1"/>
        <c:lblAlgn val="ctr"/>
        <c:lblOffset val="100"/>
        <c:noMultiLvlLbl val="0"/>
      </c:catAx>
      <c:valAx>
        <c:axId val="1920963455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20959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1 IN April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1'!$B$104</c:f>
              <c:strCache>
                <c:ptCount val="1"/>
                <c:pt idx="0">
                  <c:v>NISHIMATSUYA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1'!$E$103:$AE$103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cat>
          <c:val>
            <c:numRef>
              <c:f>'LINE 1'!$E$104:$AE$104</c:f>
              <c:numCache>
                <c:formatCode>#,##0</c:formatCode>
                <c:ptCount val="27"/>
                <c:pt idx="0">
                  <c:v>1200</c:v>
                </c:pt>
                <c:pt idx="1">
                  <c:v>780</c:v>
                </c:pt>
                <c:pt idx="2">
                  <c:v>1100</c:v>
                </c:pt>
                <c:pt idx="3">
                  <c:v>1110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1174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69-4BA3-8BB6-F63BC96F143B}"/>
            </c:ext>
          </c:extLst>
        </c:ser>
        <c:ser>
          <c:idx val="1"/>
          <c:order val="1"/>
          <c:tx>
            <c:strRef>
              <c:f>'LINE 1'!$B$105</c:f>
              <c:strCache>
                <c:ptCount val="1"/>
                <c:pt idx="0">
                  <c:v>NISHIMATSUYA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1'!$E$103:$AE$103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cat>
          <c:val>
            <c:numRef>
              <c:f>'LINE 1'!$E$105:$AE$105</c:f>
              <c:numCache>
                <c:formatCode>#,##0</c:formatCode>
                <c:ptCount val="27"/>
                <c:pt idx="0">
                  <c:v>1200</c:v>
                </c:pt>
                <c:pt idx="1">
                  <c:v>780</c:v>
                </c:pt>
                <c:pt idx="2">
                  <c:v>1000</c:v>
                </c:pt>
                <c:pt idx="3">
                  <c:v>1100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69-4BA3-8BB6-F63BC96F143B}"/>
            </c:ext>
          </c:extLst>
        </c:ser>
        <c:ser>
          <c:idx val="2"/>
          <c:order val="2"/>
          <c:tx>
            <c:strRef>
              <c:f>'LINE 1'!$B$106</c:f>
              <c:strCache>
                <c:ptCount val="1"/>
                <c:pt idx="0">
                  <c:v>NISHIMATSUYA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1'!$E$103:$AE$103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cat>
          <c:val>
            <c:numRef>
              <c:f>'LINE 1'!$E$106:$AE$106</c:f>
              <c:numCache>
                <c:formatCode>#,##0</c:formatCode>
                <c:ptCount val="27"/>
                <c:pt idx="9">
                  <c:v>641</c:v>
                </c:pt>
                <c:pt idx="10">
                  <c:v>1200</c:v>
                </c:pt>
                <c:pt idx="11">
                  <c:v>2622</c:v>
                </c:pt>
                <c:pt idx="12">
                  <c:v>2900</c:v>
                </c:pt>
                <c:pt idx="13">
                  <c:v>2100</c:v>
                </c:pt>
                <c:pt idx="14">
                  <c:v>2815</c:v>
                </c:pt>
                <c:pt idx="15">
                  <c:v>2951</c:v>
                </c:pt>
                <c:pt idx="16">
                  <c:v>357</c:v>
                </c:pt>
                <c:pt idx="17">
                  <c:v>36</c:v>
                </c:pt>
                <c:pt idx="18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69-4BA3-8BB6-F63BC96F143B}"/>
            </c:ext>
          </c:extLst>
        </c:ser>
        <c:ser>
          <c:idx val="3"/>
          <c:order val="3"/>
          <c:tx>
            <c:strRef>
              <c:f>'LINE 1'!$B$107</c:f>
              <c:strCache>
                <c:ptCount val="1"/>
                <c:pt idx="0">
                  <c:v>NISHIMATSUYA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1'!$E$103:$AE$103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cat>
          <c:val>
            <c:numRef>
              <c:f>'LINE 1'!$E$107:$AE$107</c:f>
              <c:numCache>
                <c:formatCode>#,##0</c:formatCode>
                <c:ptCount val="27"/>
                <c:pt idx="8">
                  <c:v>200</c:v>
                </c:pt>
                <c:pt idx="9">
                  <c:v>510</c:v>
                </c:pt>
                <c:pt idx="10">
                  <c:v>1400</c:v>
                </c:pt>
                <c:pt idx="11">
                  <c:v>378</c:v>
                </c:pt>
                <c:pt idx="18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69-4BA3-8BB6-F63BC96F143B}"/>
            </c:ext>
          </c:extLst>
        </c:ser>
        <c:ser>
          <c:idx val="4"/>
          <c:order val="4"/>
          <c:tx>
            <c:strRef>
              <c:f>'LINE 1'!$B$108</c:f>
              <c:strCache>
                <c:ptCount val="1"/>
                <c:pt idx="0">
                  <c:v>NISHIMATSUYA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1'!$E$103:$AE$103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cat>
          <c:val>
            <c:numRef>
              <c:f>'LINE 1'!$E$108:$AE$108</c:f>
              <c:numCache>
                <c:formatCode>#,##0</c:formatCode>
                <c:ptCount val="27"/>
                <c:pt idx="14">
                  <c:v>250</c:v>
                </c:pt>
                <c:pt idx="15">
                  <c:v>259</c:v>
                </c:pt>
                <c:pt idx="16">
                  <c:v>2193</c:v>
                </c:pt>
                <c:pt idx="17">
                  <c:v>2714</c:v>
                </c:pt>
                <c:pt idx="18">
                  <c:v>1890</c:v>
                </c:pt>
                <c:pt idx="19">
                  <c:v>1282</c:v>
                </c:pt>
                <c:pt idx="20">
                  <c:v>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69-4BA3-8BB6-F63BC96F143B}"/>
            </c:ext>
          </c:extLst>
        </c:ser>
        <c:ser>
          <c:idx val="5"/>
          <c:order val="5"/>
          <c:tx>
            <c:strRef>
              <c:f>'LINE 1'!$B$109</c:f>
              <c:strCache>
                <c:ptCount val="1"/>
                <c:pt idx="0">
                  <c:v>NISHIMATSUYA</c:v>
                </c:pt>
              </c:strCache>
            </c:strRef>
          </c:tx>
          <c:spPr>
            <a:ln w="19050" cap="rnd" cmpd="sng" algn="ctr">
              <a:solidFill>
                <a:schemeClr val="accent6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1'!$E$103:$AE$103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cat>
          <c:val>
            <c:numRef>
              <c:f>'LINE 1'!$E$109:$AE$109</c:f>
              <c:numCache>
                <c:formatCode>#,##0</c:formatCode>
                <c:ptCount val="27"/>
                <c:pt idx="18">
                  <c:v>747</c:v>
                </c:pt>
                <c:pt idx="19">
                  <c:v>750</c:v>
                </c:pt>
                <c:pt idx="20">
                  <c:v>890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569-4BA3-8BB6-F63BC96F143B}"/>
            </c:ext>
          </c:extLst>
        </c:ser>
        <c:ser>
          <c:idx val="6"/>
          <c:order val="6"/>
          <c:tx>
            <c:strRef>
              <c:f>'LINE 1'!$B$110</c:f>
              <c:strCache>
                <c:ptCount val="1"/>
                <c:pt idx="0">
                  <c:v>NISHIMATSUYA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60000"/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1'!$E$103:$AE$103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cat>
          <c:val>
            <c:numRef>
              <c:f>'LINE 1'!$E$110:$AE$110</c:f>
              <c:numCache>
                <c:formatCode>#,##0</c:formatCode>
                <c:ptCount val="27"/>
                <c:pt idx="19">
                  <c:v>35</c:v>
                </c:pt>
                <c:pt idx="20">
                  <c:v>1278</c:v>
                </c:pt>
                <c:pt idx="21">
                  <c:v>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569-4BA3-8BB6-F63BC96F143B}"/>
            </c:ext>
          </c:extLst>
        </c:ser>
        <c:ser>
          <c:idx val="7"/>
          <c:order val="7"/>
          <c:tx>
            <c:strRef>
              <c:f>'LINE 1'!$B$111</c:f>
              <c:strCache>
                <c:ptCount val="1"/>
                <c:pt idx="0">
                  <c:v>H&amp;M 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60000"/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1'!$E$103:$AE$103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cat>
          <c:val>
            <c:numRef>
              <c:f>'LINE 1'!$E$111:$AE$111</c:f>
              <c:numCache>
                <c:formatCode>#,##0</c:formatCode>
                <c:ptCount val="27"/>
                <c:pt idx="22">
                  <c:v>3250</c:v>
                </c:pt>
                <c:pt idx="23">
                  <c:v>2871</c:v>
                </c:pt>
                <c:pt idx="24">
                  <c:v>3850</c:v>
                </c:pt>
                <c:pt idx="25">
                  <c:v>3200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569-4BA3-8BB6-F63BC96F143B}"/>
            </c:ext>
          </c:extLst>
        </c:ser>
        <c:ser>
          <c:idx val="8"/>
          <c:order val="8"/>
          <c:tx>
            <c:strRef>
              <c:f>'LINE 1'!$B$112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3">
                  <a:lumMod val="60000"/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1'!$E$103:$AE$103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cat>
          <c:val>
            <c:numRef>
              <c:f>'LINE 1'!$E$112:$AE$112</c:f>
              <c:numCache>
                <c:formatCode>#,##0</c:formatCode>
                <c:ptCount val="27"/>
                <c:pt idx="0">
                  <c:v>2500</c:v>
                </c:pt>
                <c:pt idx="1">
                  <c:v>1560</c:v>
                </c:pt>
                <c:pt idx="2">
                  <c:v>2500</c:v>
                </c:pt>
                <c:pt idx="3">
                  <c:v>2300</c:v>
                </c:pt>
                <c:pt idx="4">
                  <c:v>2300</c:v>
                </c:pt>
                <c:pt idx="5">
                  <c:v>2300</c:v>
                </c:pt>
                <c:pt idx="6">
                  <c:v>2300</c:v>
                </c:pt>
                <c:pt idx="7">
                  <c:v>1721</c:v>
                </c:pt>
                <c:pt idx="8">
                  <c:v>3000</c:v>
                </c:pt>
                <c:pt idx="9">
                  <c:v>3000</c:v>
                </c:pt>
                <c:pt idx="10">
                  <c:v>3000</c:v>
                </c:pt>
                <c:pt idx="11">
                  <c:v>3000</c:v>
                </c:pt>
                <c:pt idx="12">
                  <c:v>3000</c:v>
                </c:pt>
                <c:pt idx="13">
                  <c:v>2100</c:v>
                </c:pt>
                <c:pt idx="14">
                  <c:v>3500</c:v>
                </c:pt>
                <c:pt idx="15">
                  <c:v>3500</c:v>
                </c:pt>
                <c:pt idx="16">
                  <c:v>3500</c:v>
                </c:pt>
                <c:pt idx="17">
                  <c:v>3500</c:v>
                </c:pt>
                <c:pt idx="18">
                  <c:v>3500</c:v>
                </c:pt>
                <c:pt idx="19">
                  <c:v>2800</c:v>
                </c:pt>
                <c:pt idx="20">
                  <c:v>3130</c:v>
                </c:pt>
                <c:pt idx="21">
                  <c:v>405</c:v>
                </c:pt>
                <c:pt idx="22">
                  <c:v>4000</c:v>
                </c:pt>
                <c:pt idx="23">
                  <c:v>4200</c:v>
                </c:pt>
                <c:pt idx="24">
                  <c:v>4200</c:v>
                </c:pt>
                <c:pt idx="2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569-4BA3-8BB6-F63BC96F143B}"/>
            </c:ext>
          </c:extLst>
        </c:ser>
        <c:ser>
          <c:idx val="9"/>
          <c:order val="9"/>
          <c:tx>
            <c:strRef>
              <c:f>'LINE 1'!$B$113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60000"/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1'!$E$103:$AE$103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cat>
          <c:val>
            <c:numRef>
              <c:f>'LINE 1'!$E$113:$AE$113</c:f>
              <c:numCache>
                <c:formatCode>#,##0</c:formatCode>
                <c:ptCount val="27"/>
                <c:pt idx="0">
                  <c:v>200</c:v>
                </c:pt>
                <c:pt idx="1">
                  <c:v>164.21052631578948</c:v>
                </c:pt>
                <c:pt idx="2">
                  <c:v>175</c:v>
                </c:pt>
                <c:pt idx="3">
                  <c:v>232.63157894736841</c:v>
                </c:pt>
                <c:pt idx="4">
                  <c:v>242.10526315789474</c:v>
                </c:pt>
                <c:pt idx="5">
                  <c:v>242.10526315789474</c:v>
                </c:pt>
                <c:pt idx="6">
                  <c:v>242.10526315789474</c:v>
                </c:pt>
                <c:pt idx="7">
                  <c:v>181.15789473684211</c:v>
                </c:pt>
                <c:pt idx="8">
                  <c:v>16.666666666666668</c:v>
                </c:pt>
                <c:pt idx="9">
                  <c:v>95.916666666666671</c:v>
                </c:pt>
                <c:pt idx="10">
                  <c:v>216.66666666666666</c:v>
                </c:pt>
                <c:pt idx="11">
                  <c:v>285.71428571428572</c:v>
                </c:pt>
                <c:pt idx="12">
                  <c:v>290</c:v>
                </c:pt>
                <c:pt idx="13">
                  <c:v>280</c:v>
                </c:pt>
                <c:pt idx="14">
                  <c:v>255.41666666666666</c:v>
                </c:pt>
                <c:pt idx="15">
                  <c:v>256.8</c:v>
                </c:pt>
                <c:pt idx="16">
                  <c:v>204</c:v>
                </c:pt>
                <c:pt idx="17">
                  <c:v>220</c:v>
                </c:pt>
                <c:pt idx="18">
                  <c:v>218.4</c:v>
                </c:pt>
                <c:pt idx="19">
                  <c:v>206.7</c:v>
                </c:pt>
                <c:pt idx="20">
                  <c:v>212.48</c:v>
                </c:pt>
                <c:pt idx="21">
                  <c:v>57.857142857142854</c:v>
                </c:pt>
                <c:pt idx="22">
                  <c:v>325</c:v>
                </c:pt>
                <c:pt idx="23">
                  <c:v>287.10000000000002</c:v>
                </c:pt>
                <c:pt idx="24">
                  <c:v>385</c:v>
                </c:pt>
                <c:pt idx="25">
                  <c:v>376.47058823529414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569-4BA3-8BB6-F63BC96F143B}"/>
            </c:ext>
          </c:extLst>
        </c:ser>
        <c:ser>
          <c:idx val="10"/>
          <c:order val="10"/>
          <c:tx>
            <c:strRef>
              <c:f>'LINE 1'!$B$114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5">
                  <a:lumMod val="60000"/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1'!$E$103:$AE$103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cat>
          <c:val>
            <c:numRef>
              <c:f>'LINE 1'!$E$114:$AE$114</c:f>
              <c:numCache>
                <c:formatCode>#,##0</c:formatCode>
                <c:ptCount val="27"/>
                <c:pt idx="0">
                  <c:v>2111</c:v>
                </c:pt>
                <c:pt idx="1">
                  <c:v>2111</c:v>
                </c:pt>
                <c:pt idx="2">
                  <c:v>2111</c:v>
                </c:pt>
                <c:pt idx="3">
                  <c:v>2111</c:v>
                </c:pt>
                <c:pt idx="4">
                  <c:v>2111</c:v>
                </c:pt>
                <c:pt idx="5">
                  <c:v>2111</c:v>
                </c:pt>
                <c:pt idx="6">
                  <c:v>2111</c:v>
                </c:pt>
                <c:pt idx="7">
                  <c:v>2111</c:v>
                </c:pt>
                <c:pt idx="8">
                  <c:v>2242</c:v>
                </c:pt>
                <c:pt idx="9">
                  <c:v>2242</c:v>
                </c:pt>
                <c:pt idx="10">
                  <c:v>2242</c:v>
                </c:pt>
                <c:pt idx="11">
                  <c:v>2242</c:v>
                </c:pt>
                <c:pt idx="12">
                  <c:v>2242</c:v>
                </c:pt>
                <c:pt idx="13">
                  <c:v>2242</c:v>
                </c:pt>
                <c:pt idx="14">
                  <c:v>2242</c:v>
                </c:pt>
                <c:pt idx="15">
                  <c:v>2242</c:v>
                </c:pt>
                <c:pt idx="16">
                  <c:v>2242</c:v>
                </c:pt>
                <c:pt idx="17">
                  <c:v>2242</c:v>
                </c:pt>
                <c:pt idx="18">
                  <c:v>2242</c:v>
                </c:pt>
                <c:pt idx="19">
                  <c:v>2242</c:v>
                </c:pt>
                <c:pt idx="20">
                  <c:v>2242</c:v>
                </c:pt>
                <c:pt idx="21">
                  <c:v>2242</c:v>
                </c:pt>
                <c:pt idx="22">
                  <c:v>3293</c:v>
                </c:pt>
                <c:pt idx="23">
                  <c:v>3293</c:v>
                </c:pt>
                <c:pt idx="24">
                  <c:v>3293</c:v>
                </c:pt>
                <c:pt idx="25">
                  <c:v>3293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569-4BA3-8BB6-F63BC96F143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8612127"/>
        <c:axId val="1968612543"/>
      </c:lineChart>
      <c:catAx>
        <c:axId val="196861212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APRIL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612543"/>
        <c:crosses val="autoZero"/>
        <c:auto val="1"/>
        <c:lblAlgn val="ctr"/>
        <c:lblOffset val="100"/>
        <c:noMultiLvlLbl val="0"/>
      </c:catAx>
      <c:valAx>
        <c:axId val="1968612543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8612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1 IN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1'!$B$142</c:f>
              <c:strCache>
                <c:ptCount val="1"/>
                <c:pt idx="0">
                  <c:v>H&amp;M 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1'!$E$141:$Y$141</c:f>
              <c:numCache>
                <c:formatCode>#,##0</c:formatCode>
                <c:ptCount val="21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30</c:v>
                </c:pt>
                <c:pt idx="20">
                  <c:v>31</c:v>
                </c:pt>
              </c:numCache>
            </c:numRef>
          </c:cat>
          <c:val>
            <c:numRef>
              <c:f>'LINE 1'!$E$142:$Y$142</c:f>
              <c:numCache>
                <c:formatCode>#,##0</c:formatCode>
                <c:ptCount val="21"/>
                <c:pt idx="0">
                  <c:v>191</c:v>
                </c:pt>
                <c:pt idx="16">
                  <c:v>1180</c:v>
                </c:pt>
                <c:pt idx="17">
                  <c:v>2470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1B-4C77-878C-B2A8669DC23B}"/>
            </c:ext>
          </c:extLst>
        </c:ser>
        <c:ser>
          <c:idx val="1"/>
          <c:order val="1"/>
          <c:tx>
            <c:strRef>
              <c:f>'LINE 1'!$B$143</c:f>
              <c:strCache>
                <c:ptCount val="1"/>
                <c:pt idx="0">
                  <c:v>COCOS 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1'!$E$141:$Y$141</c:f>
              <c:numCache>
                <c:formatCode>#,##0</c:formatCode>
                <c:ptCount val="21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30</c:v>
                </c:pt>
                <c:pt idx="20">
                  <c:v>31</c:v>
                </c:pt>
              </c:numCache>
            </c:numRef>
          </c:cat>
          <c:val>
            <c:numRef>
              <c:f>'LINE 1'!$E$143:$Y$143</c:f>
              <c:numCache>
                <c:formatCode>#,##0</c:formatCode>
                <c:ptCount val="21"/>
                <c:pt idx="1">
                  <c:v>0</c:v>
                </c:pt>
                <c:pt idx="2">
                  <c:v>95</c:v>
                </c:pt>
                <c:pt idx="3">
                  <c:v>155</c:v>
                </c:pt>
                <c:pt idx="4">
                  <c:v>210</c:v>
                </c:pt>
                <c:pt idx="5">
                  <c:v>248</c:v>
                </c:pt>
                <c:pt idx="6">
                  <c:v>240</c:v>
                </c:pt>
                <c:pt idx="7">
                  <c:v>350</c:v>
                </c:pt>
                <c:pt idx="8">
                  <c:v>250</c:v>
                </c:pt>
                <c:pt idx="9">
                  <c:v>350</c:v>
                </c:pt>
                <c:pt idx="10">
                  <c:v>390</c:v>
                </c:pt>
                <c:pt idx="11">
                  <c:v>390</c:v>
                </c:pt>
                <c:pt idx="12">
                  <c:v>290</c:v>
                </c:pt>
                <c:pt idx="13">
                  <c:v>412</c:v>
                </c:pt>
                <c:pt idx="14">
                  <c:v>412</c:v>
                </c:pt>
                <c:pt idx="15">
                  <c:v>373</c:v>
                </c:pt>
                <c:pt idx="16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1B-4C77-878C-B2A8669DC23B}"/>
            </c:ext>
          </c:extLst>
        </c:ser>
        <c:ser>
          <c:idx val="2"/>
          <c:order val="2"/>
          <c:tx>
            <c:strRef>
              <c:f>'LINE 1'!$B$144</c:f>
              <c:strCache>
                <c:ptCount val="1"/>
                <c:pt idx="0">
                  <c:v>COCOS 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1'!$E$141:$Y$141</c:f>
              <c:numCache>
                <c:formatCode>#,##0</c:formatCode>
                <c:ptCount val="21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30</c:v>
                </c:pt>
                <c:pt idx="20">
                  <c:v>31</c:v>
                </c:pt>
              </c:numCache>
            </c:numRef>
          </c:cat>
          <c:val>
            <c:numRef>
              <c:f>'LINE 1'!$E$144:$Y$144</c:f>
              <c:numCache>
                <c:formatCode>#,##0</c:formatCode>
                <c:ptCount val="21"/>
                <c:pt idx="18">
                  <c:v>0</c:v>
                </c:pt>
                <c:pt idx="19">
                  <c:v>0</c:v>
                </c:pt>
                <c:pt idx="20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1B-4C77-878C-B2A8669DC23B}"/>
            </c:ext>
          </c:extLst>
        </c:ser>
        <c:ser>
          <c:idx val="3"/>
          <c:order val="3"/>
          <c:tx>
            <c:strRef>
              <c:f>'LINE 1'!$B$145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1'!$E$141:$Y$141</c:f>
              <c:numCache>
                <c:formatCode>#,##0</c:formatCode>
                <c:ptCount val="21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30</c:v>
                </c:pt>
                <c:pt idx="20">
                  <c:v>31</c:v>
                </c:pt>
              </c:numCache>
            </c:numRef>
          </c:cat>
          <c:val>
            <c:numRef>
              <c:f>'LINE 1'!$E$145:$Y$145</c:f>
              <c:numCache>
                <c:formatCode>#,##0</c:formatCode>
                <c:ptCount val="21"/>
                <c:pt idx="0">
                  <c:v>191</c:v>
                </c:pt>
                <c:pt idx="1">
                  <c:v>150</c:v>
                </c:pt>
                <c:pt idx="2">
                  <c:v>100</c:v>
                </c:pt>
                <c:pt idx="3">
                  <c:v>160</c:v>
                </c:pt>
                <c:pt idx="4">
                  <c:v>200</c:v>
                </c:pt>
                <c:pt idx="5">
                  <c:v>248</c:v>
                </c:pt>
                <c:pt idx="6">
                  <c:v>240</c:v>
                </c:pt>
                <c:pt idx="7">
                  <c:v>362</c:v>
                </c:pt>
                <c:pt idx="8">
                  <c:v>380</c:v>
                </c:pt>
                <c:pt idx="9">
                  <c:v>380</c:v>
                </c:pt>
                <c:pt idx="10">
                  <c:v>380</c:v>
                </c:pt>
                <c:pt idx="11">
                  <c:v>380</c:v>
                </c:pt>
                <c:pt idx="12">
                  <c:v>290</c:v>
                </c:pt>
                <c:pt idx="13">
                  <c:v>412</c:v>
                </c:pt>
                <c:pt idx="14">
                  <c:v>412</c:v>
                </c:pt>
                <c:pt idx="15">
                  <c:v>387</c:v>
                </c:pt>
                <c:pt idx="16">
                  <c:v>1700</c:v>
                </c:pt>
                <c:pt idx="17">
                  <c:v>2470</c:v>
                </c:pt>
                <c:pt idx="18">
                  <c:v>0</c:v>
                </c:pt>
                <c:pt idx="19">
                  <c:v>300</c:v>
                </c:pt>
                <c:pt idx="20">
                  <c:v>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1B-4C77-878C-B2A8669DC23B}"/>
            </c:ext>
          </c:extLst>
        </c:ser>
        <c:ser>
          <c:idx val="4"/>
          <c:order val="4"/>
          <c:tx>
            <c:strRef>
              <c:f>'LINE 1'!$B$146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1'!$E$141:$Y$141</c:f>
              <c:numCache>
                <c:formatCode>#,##0</c:formatCode>
                <c:ptCount val="21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30</c:v>
                </c:pt>
                <c:pt idx="20">
                  <c:v>31</c:v>
                </c:pt>
              </c:numCache>
            </c:numRef>
          </c:cat>
          <c:val>
            <c:numRef>
              <c:f>'LINE 1'!$E$146:$Y$146</c:f>
              <c:numCache>
                <c:formatCode>#,##0</c:formatCode>
                <c:ptCount val="21"/>
                <c:pt idx="0">
                  <c:v>38.200000000000003</c:v>
                </c:pt>
                <c:pt idx="1">
                  <c:v>0</c:v>
                </c:pt>
                <c:pt idx="2">
                  <c:v>9.5</c:v>
                </c:pt>
                <c:pt idx="3">
                  <c:v>15.5</c:v>
                </c:pt>
                <c:pt idx="4">
                  <c:v>21</c:v>
                </c:pt>
                <c:pt idx="5">
                  <c:v>24.8</c:v>
                </c:pt>
                <c:pt idx="6">
                  <c:v>30</c:v>
                </c:pt>
                <c:pt idx="7">
                  <c:v>38.888888888888886</c:v>
                </c:pt>
                <c:pt idx="8">
                  <c:v>21.739130434782609</c:v>
                </c:pt>
                <c:pt idx="9">
                  <c:v>35</c:v>
                </c:pt>
                <c:pt idx="10">
                  <c:v>39</c:v>
                </c:pt>
                <c:pt idx="11">
                  <c:v>39</c:v>
                </c:pt>
                <c:pt idx="12">
                  <c:v>36.25</c:v>
                </c:pt>
                <c:pt idx="13">
                  <c:v>41.2</c:v>
                </c:pt>
                <c:pt idx="14">
                  <c:v>41.2</c:v>
                </c:pt>
                <c:pt idx="15">
                  <c:v>37.299999999999997</c:v>
                </c:pt>
                <c:pt idx="16">
                  <c:v>118</c:v>
                </c:pt>
                <c:pt idx="17">
                  <c:v>214.78260869565219</c:v>
                </c:pt>
                <c:pt idx="18">
                  <c:v>0</c:v>
                </c:pt>
                <c:pt idx="19">
                  <c:v>0</c:v>
                </c:pt>
                <c:pt idx="20">
                  <c:v>14.782608695652174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1B-4C77-878C-B2A8669DC23B}"/>
            </c:ext>
          </c:extLst>
        </c:ser>
        <c:ser>
          <c:idx val="5"/>
          <c:order val="5"/>
          <c:tx>
            <c:strRef>
              <c:f>'LINE 1'!$B$147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6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1'!$E$141:$Y$141</c:f>
              <c:numCache>
                <c:formatCode>#,##0</c:formatCode>
                <c:ptCount val="21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30</c:v>
                </c:pt>
                <c:pt idx="20">
                  <c:v>31</c:v>
                </c:pt>
              </c:numCache>
            </c:numRef>
          </c:cat>
          <c:val>
            <c:numRef>
              <c:f>'LINE 1'!$E$147:$Y$147</c:f>
              <c:numCache>
                <c:formatCode>#,##0</c:formatCode>
                <c:ptCount val="21"/>
                <c:pt idx="0">
                  <c:v>850</c:v>
                </c:pt>
                <c:pt idx="1">
                  <c:v>278</c:v>
                </c:pt>
                <c:pt idx="2">
                  <c:v>278</c:v>
                </c:pt>
                <c:pt idx="3">
                  <c:v>278</c:v>
                </c:pt>
                <c:pt idx="4">
                  <c:v>278</c:v>
                </c:pt>
                <c:pt idx="5">
                  <c:v>278</c:v>
                </c:pt>
                <c:pt idx="6">
                  <c:v>278</c:v>
                </c:pt>
                <c:pt idx="7">
                  <c:v>278</c:v>
                </c:pt>
                <c:pt idx="8">
                  <c:v>278</c:v>
                </c:pt>
                <c:pt idx="9">
                  <c:v>278</c:v>
                </c:pt>
                <c:pt idx="10">
                  <c:v>278</c:v>
                </c:pt>
                <c:pt idx="11">
                  <c:v>278</c:v>
                </c:pt>
                <c:pt idx="12">
                  <c:v>278</c:v>
                </c:pt>
                <c:pt idx="13">
                  <c:v>278</c:v>
                </c:pt>
                <c:pt idx="14">
                  <c:v>278</c:v>
                </c:pt>
                <c:pt idx="15">
                  <c:v>278</c:v>
                </c:pt>
                <c:pt idx="16">
                  <c:v>850</c:v>
                </c:pt>
                <c:pt idx="17">
                  <c:v>850</c:v>
                </c:pt>
                <c:pt idx="18">
                  <c:v>57</c:v>
                </c:pt>
                <c:pt idx="19">
                  <c:v>57</c:v>
                </c:pt>
                <c:pt idx="20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B1B-4C77-878C-B2A8669DC23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27949903"/>
        <c:axId val="2027947823"/>
      </c:lineChart>
      <c:catAx>
        <c:axId val="20279499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MAY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947823"/>
        <c:crosses val="autoZero"/>
        <c:auto val="1"/>
        <c:lblAlgn val="ctr"/>
        <c:lblOffset val="100"/>
        <c:noMultiLvlLbl val="0"/>
      </c:catAx>
      <c:valAx>
        <c:axId val="2027947823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027949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1 IN June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1'!$B$175</c:f>
              <c:strCache>
                <c:ptCount val="1"/>
                <c:pt idx="0">
                  <c:v>COCOS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1'!$E$174:$AD$174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</c:numCache>
            </c:numRef>
          </c:cat>
          <c:val>
            <c:numRef>
              <c:f>'LINE 1'!$E$175:$AD$175</c:f>
              <c:numCache>
                <c:formatCode>General</c:formatCode>
                <c:ptCount val="26"/>
                <c:pt idx="0">
                  <c:v>170</c:v>
                </c:pt>
                <c:pt idx="1">
                  <c:v>165</c:v>
                </c:pt>
                <c:pt idx="2">
                  <c:v>180</c:v>
                </c:pt>
                <c:pt idx="3">
                  <c:v>30</c:v>
                </c:pt>
                <c:pt idx="4">
                  <c:v>120</c:v>
                </c:pt>
                <c:pt idx="5">
                  <c:v>215</c:v>
                </c:pt>
                <c:pt idx="6">
                  <c:v>180</c:v>
                </c:pt>
                <c:pt idx="7">
                  <c:v>200</c:v>
                </c:pt>
                <c:pt idx="8">
                  <c:v>225</c:v>
                </c:pt>
                <c:pt idx="9">
                  <c:v>170</c:v>
                </c:pt>
                <c:pt idx="10">
                  <c:v>230</c:v>
                </c:pt>
                <c:pt idx="11">
                  <c:v>245</c:v>
                </c:pt>
                <c:pt idx="12">
                  <c:v>240</c:v>
                </c:pt>
                <c:pt idx="13">
                  <c:v>230</c:v>
                </c:pt>
                <c:pt idx="14">
                  <c:v>240</c:v>
                </c:pt>
                <c:pt idx="15">
                  <c:v>196</c:v>
                </c:pt>
                <c:pt idx="16">
                  <c:v>245</c:v>
                </c:pt>
                <c:pt idx="17">
                  <c:v>245</c:v>
                </c:pt>
                <c:pt idx="18">
                  <c:v>245</c:v>
                </c:pt>
                <c:pt idx="19">
                  <c:v>240</c:v>
                </c:pt>
                <c:pt idx="20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AF-411A-9EFA-19C615C17228}"/>
            </c:ext>
          </c:extLst>
        </c:ser>
        <c:ser>
          <c:idx val="1"/>
          <c:order val="1"/>
          <c:tx>
            <c:strRef>
              <c:f>'LINE 1'!$B$176</c:f>
              <c:strCache>
                <c:ptCount val="1"/>
                <c:pt idx="0">
                  <c:v>H&amp;M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1'!$E$174:$AD$174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</c:numCache>
            </c:numRef>
          </c:cat>
          <c:val>
            <c:numRef>
              <c:f>'LINE 1'!$E$176:$AD$176</c:f>
              <c:numCache>
                <c:formatCode>General</c:formatCode>
                <c:ptCount val="26"/>
                <c:pt idx="3">
                  <c:v>1000</c:v>
                </c:pt>
                <c:pt idx="4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AF-411A-9EFA-19C615C17228}"/>
            </c:ext>
          </c:extLst>
        </c:ser>
        <c:ser>
          <c:idx val="2"/>
          <c:order val="2"/>
          <c:tx>
            <c:strRef>
              <c:f>'LINE 1'!$B$177</c:f>
              <c:strCache>
                <c:ptCount val="1"/>
                <c:pt idx="0">
                  <c:v>AITOZ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1'!$E$174:$AD$174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</c:numCache>
            </c:numRef>
          </c:cat>
          <c:val>
            <c:numRef>
              <c:f>'LINE 1'!$E$177:$AD$177</c:f>
              <c:numCache>
                <c:formatCode>General</c:formatCode>
                <c:ptCount val="26"/>
                <c:pt idx="21">
                  <c:v>26</c:v>
                </c:pt>
                <c:pt idx="22">
                  <c:v>180</c:v>
                </c:pt>
                <c:pt idx="23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AF-411A-9EFA-19C615C17228}"/>
            </c:ext>
          </c:extLst>
        </c:ser>
        <c:ser>
          <c:idx val="3"/>
          <c:order val="3"/>
          <c:tx>
            <c:strRef>
              <c:f>'LINE 1'!$B$178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1'!$E$174:$AD$174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</c:numCache>
            </c:numRef>
          </c:cat>
          <c:val>
            <c:numRef>
              <c:f>'LINE 1'!$E$178:$AD$178</c:f>
              <c:numCache>
                <c:formatCode>General</c:formatCode>
                <c:ptCount val="26"/>
                <c:pt idx="23">
                  <c:v>92</c:v>
                </c:pt>
                <c:pt idx="24">
                  <c:v>205</c:v>
                </c:pt>
                <c:pt idx="25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6AF-411A-9EFA-19C615C17228}"/>
            </c:ext>
          </c:extLst>
        </c:ser>
        <c:ser>
          <c:idx val="4"/>
          <c:order val="4"/>
          <c:tx>
            <c:strRef>
              <c:f>'LINE 1'!$B$179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1'!$E$174:$AD$174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</c:numCache>
            </c:numRef>
          </c:cat>
          <c:val>
            <c:numRef>
              <c:f>'LINE 1'!$E$179:$AD$179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6AF-411A-9EFA-19C615C17228}"/>
            </c:ext>
          </c:extLst>
        </c:ser>
        <c:ser>
          <c:idx val="5"/>
          <c:order val="5"/>
          <c:tx>
            <c:strRef>
              <c:f>'LINE 1'!$B$180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6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1'!$E$174:$AD$174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</c:numCache>
            </c:numRef>
          </c:cat>
          <c:val>
            <c:numRef>
              <c:f>'LINE 1'!$E$180:$AD$180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6AF-411A-9EFA-19C615C172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20944319"/>
        <c:axId val="1920963871"/>
      </c:lineChart>
      <c:catAx>
        <c:axId val="19209443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JUNE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0963871"/>
        <c:crosses val="autoZero"/>
        <c:auto val="1"/>
        <c:lblAlgn val="ctr"/>
        <c:lblOffset val="100"/>
        <c:noMultiLvlLbl val="0"/>
      </c:catAx>
      <c:valAx>
        <c:axId val="192096387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209443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1 IN July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1'!$B$208</c:f>
              <c:strCache>
                <c:ptCount val="1"/>
                <c:pt idx="0">
                  <c:v>COCOS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1'!$E$207:$AB$207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</c:numCache>
            </c:numRef>
          </c:cat>
          <c:val>
            <c:numRef>
              <c:f>'LINE 1'!$E$208:$AB$208</c:f>
              <c:numCache>
                <c:formatCode>General</c:formatCode>
                <c:ptCount val="24"/>
                <c:pt idx="0">
                  <c:v>235</c:v>
                </c:pt>
                <c:pt idx="1">
                  <c:v>230</c:v>
                </c:pt>
                <c:pt idx="2">
                  <c:v>285</c:v>
                </c:pt>
                <c:pt idx="3">
                  <c:v>240</c:v>
                </c:pt>
                <c:pt idx="4">
                  <c:v>240</c:v>
                </c:pt>
                <c:pt idx="5">
                  <c:v>285</c:v>
                </c:pt>
                <c:pt idx="6">
                  <c:v>285</c:v>
                </c:pt>
                <c:pt idx="7">
                  <c:v>225</c:v>
                </c:pt>
                <c:pt idx="8">
                  <c:v>260</c:v>
                </c:pt>
                <c:pt idx="9">
                  <c:v>275</c:v>
                </c:pt>
                <c:pt idx="10">
                  <c:v>285</c:v>
                </c:pt>
                <c:pt idx="11">
                  <c:v>290</c:v>
                </c:pt>
                <c:pt idx="12">
                  <c:v>230</c:v>
                </c:pt>
                <c:pt idx="13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20-4A57-83EA-40E2979A353C}"/>
            </c:ext>
          </c:extLst>
        </c:ser>
        <c:ser>
          <c:idx val="1"/>
          <c:order val="1"/>
          <c:tx>
            <c:strRef>
              <c:f>'LINE 1'!$B$209</c:f>
              <c:strCache>
                <c:ptCount val="1"/>
                <c:pt idx="0">
                  <c:v>AITOZ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1'!$E$207:$AB$207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</c:numCache>
            </c:numRef>
          </c:cat>
          <c:val>
            <c:numRef>
              <c:f>'LINE 1'!$E$209:$AB$209</c:f>
              <c:numCache>
                <c:formatCode>General</c:formatCode>
                <c:ptCount val="24"/>
                <c:pt idx="14">
                  <c:v>60</c:v>
                </c:pt>
                <c:pt idx="15">
                  <c:v>180</c:v>
                </c:pt>
                <c:pt idx="16">
                  <c:v>155</c:v>
                </c:pt>
                <c:pt idx="17">
                  <c:v>216</c:v>
                </c:pt>
                <c:pt idx="18">
                  <c:v>180</c:v>
                </c:pt>
                <c:pt idx="19">
                  <c:v>245</c:v>
                </c:pt>
                <c:pt idx="20">
                  <c:v>210</c:v>
                </c:pt>
                <c:pt idx="21">
                  <c:v>220</c:v>
                </c:pt>
                <c:pt idx="22">
                  <c:v>240</c:v>
                </c:pt>
                <c:pt idx="23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20-4A57-83EA-40E2979A353C}"/>
            </c:ext>
          </c:extLst>
        </c:ser>
        <c:ser>
          <c:idx val="2"/>
          <c:order val="2"/>
          <c:tx>
            <c:strRef>
              <c:f>'LINE 1'!$B$210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1'!$E$207:$AB$207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</c:numCache>
            </c:numRef>
          </c:cat>
          <c:val>
            <c:numRef>
              <c:f>'LINE 1'!$E$210:$AB$210</c:f>
              <c:numCache>
                <c:formatCode>General</c:formatCode>
                <c:ptCount val="24"/>
                <c:pt idx="0">
                  <c:v>285</c:v>
                </c:pt>
                <c:pt idx="1">
                  <c:v>230</c:v>
                </c:pt>
                <c:pt idx="2">
                  <c:v>285</c:v>
                </c:pt>
                <c:pt idx="3">
                  <c:v>285</c:v>
                </c:pt>
                <c:pt idx="4">
                  <c:v>285</c:v>
                </c:pt>
                <c:pt idx="5">
                  <c:v>285</c:v>
                </c:pt>
                <c:pt idx="6">
                  <c:v>285</c:v>
                </c:pt>
                <c:pt idx="7">
                  <c:v>285</c:v>
                </c:pt>
                <c:pt idx="8">
                  <c:v>285</c:v>
                </c:pt>
                <c:pt idx="9">
                  <c:v>285</c:v>
                </c:pt>
                <c:pt idx="10">
                  <c:v>285</c:v>
                </c:pt>
                <c:pt idx="11">
                  <c:v>285</c:v>
                </c:pt>
                <c:pt idx="12">
                  <c:v>230</c:v>
                </c:pt>
                <c:pt idx="13">
                  <c:v>99</c:v>
                </c:pt>
                <c:pt idx="14">
                  <c:v>250</c:v>
                </c:pt>
                <c:pt idx="15">
                  <c:v>260</c:v>
                </c:pt>
                <c:pt idx="16">
                  <c:v>216</c:v>
                </c:pt>
                <c:pt idx="17">
                  <c:v>216</c:v>
                </c:pt>
                <c:pt idx="18">
                  <c:v>180</c:v>
                </c:pt>
                <c:pt idx="19">
                  <c:v>250</c:v>
                </c:pt>
                <c:pt idx="20">
                  <c:v>250</c:v>
                </c:pt>
                <c:pt idx="21">
                  <c:v>250</c:v>
                </c:pt>
                <c:pt idx="22">
                  <c:v>250</c:v>
                </c:pt>
                <c:pt idx="23">
                  <c:v>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20-4A57-83EA-40E2979A353C}"/>
            </c:ext>
          </c:extLst>
        </c:ser>
        <c:ser>
          <c:idx val="3"/>
          <c:order val="3"/>
          <c:tx>
            <c:strRef>
              <c:f>'LINE 1'!$B$211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1'!$E$207:$AB$207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</c:numCache>
            </c:numRef>
          </c:cat>
          <c:val>
            <c:numRef>
              <c:f>'LINE 1'!$E$211:$AB$211</c:f>
              <c:numCache>
                <c:formatCode>#,##0;[Red]#,##0</c:formatCode>
                <c:ptCount val="24"/>
                <c:pt idx="0">
                  <c:v>31.666666666666668</c:v>
                </c:pt>
                <c:pt idx="1">
                  <c:v>32.857142857142854</c:v>
                </c:pt>
                <c:pt idx="2">
                  <c:v>31.666666666666668</c:v>
                </c:pt>
                <c:pt idx="3">
                  <c:v>31.666666666666668</c:v>
                </c:pt>
                <c:pt idx="4">
                  <c:v>31.666666666666668</c:v>
                </c:pt>
                <c:pt idx="5">
                  <c:v>31.666666666666668</c:v>
                </c:pt>
                <c:pt idx="6">
                  <c:v>31.666666666666668</c:v>
                </c:pt>
                <c:pt idx="7">
                  <c:v>31.666666666666668</c:v>
                </c:pt>
                <c:pt idx="8">
                  <c:v>31.666666666666668</c:v>
                </c:pt>
                <c:pt idx="9">
                  <c:v>31.666666666666668</c:v>
                </c:pt>
                <c:pt idx="10">
                  <c:v>31.666666666666668</c:v>
                </c:pt>
                <c:pt idx="11">
                  <c:v>31.666666666666668</c:v>
                </c:pt>
                <c:pt idx="12">
                  <c:v>32.857142857142854</c:v>
                </c:pt>
                <c:pt idx="13">
                  <c:v>12.375</c:v>
                </c:pt>
                <c:pt idx="14">
                  <c:v>31.25</c:v>
                </c:pt>
                <c:pt idx="15">
                  <c:v>28.888888888888889</c:v>
                </c:pt>
                <c:pt idx="16">
                  <c:v>24</c:v>
                </c:pt>
                <c:pt idx="17">
                  <c:v>27</c:v>
                </c:pt>
                <c:pt idx="18">
                  <c:v>25.714285714285715</c:v>
                </c:pt>
                <c:pt idx="19">
                  <c:v>27.777777777777779</c:v>
                </c:pt>
                <c:pt idx="20">
                  <c:v>27.777777777777779</c:v>
                </c:pt>
                <c:pt idx="21">
                  <c:v>27.777777777777779</c:v>
                </c:pt>
                <c:pt idx="22">
                  <c:v>27.777777777777779</c:v>
                </c:pt>
                <c:pt idx="23">
                  <c:v>27.777777777777779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20-4A57-83EA-40E2979A353C}"/>
            </c:ext>
          </c:extLst>
        </c:ser>
        <c:ser>
          <c:idx val="4"/>
          <c:order val="4"/>
          <c:tx>
            <c:strRef>
              <c:f>'LINE 1'!$B$212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1'!$E$207:$AB$207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</c:numCache>
            </c:numRef>
          </c:cat>
          <c:val>
            <c:numRef>
              <c:f>'LINE 1'!$E$212:$AB$212</c:f>
              <c:numCache>
                <c:formatCode>General</c:formatCode>
                <c:ptCount val="24"/>
                <c:pt idx="0">
                  <c:v>247</c:v>
                </c:pt>
                <c:pt idx="1">
                  <c:v>247</c:v>
                </c:pt>
                <c:pt idx="2">
                  <c:v>247</c:v>
                </c:pt>
                <c:pt idx="3">
                  <c:v>247</c:v>
                </c:pt>
                <c:pt idx="4">
                  <c:v>247</c:v>
                </c:pt>
                <c:pt idx="5">
                  <c:v>247</c:v>
                </c:pt>
                <c:pt idx="6">
                  <c:v>247</c:v>
                </c:pt>
                <c:pt idx="7">
                  <c:v>247</c:v>
                </c:pt>
                <c:pt idx="8">
                  <c:v>247</c:v>
                </c:pt>
                <c:pt idx="9">
                  <c:v>247</c:v>
                </c:pt>
                <c:pt idx="10">
                  <c:v>247</c:v>
                </c:pt>
                <c:pt idx="11">
                  <c:v>247</c:v>
                </c:pt>
                <c:pt idx="12">
                  <c:v>247</c:v>
                </c:pt>
                <c:pt idx="13">
                  <c:v>247</c:v>
                </c:pt>
                <c:pt idx="14">
                  <c:v>190</c:v>
                </c:pt>
                <c:pt idx="15">
                  <c:v>190</c:v>
                </c:pt>
                <c:pt idx="16">
                  <c:v>190</c:v>
                </c:pt>
                <c:pt idx="17">
                  <c:v>190</c:v>
                </c:pt>
                <c:pt idx="18">
                  <c:v>190</c:v>
                </c:pt>
                <c:pt idx="19">
                  <c:v>190</c:v>
                </c:pt>
                <c:pt idx="20">
                  <c:v>190</c:v>
                </c:pt>
                <c:pt idx="21">
                  <c:v>190</c:v>
                </c:pt>
                <c:pt idx="22">
                  <c:v>190</c:v>
                </c:pt>
                <c:pt idx="23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220-4A57-83EA-40E2979A353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27899151"/>
        <c:axId val="2027890831"/>
      </c:lineChart>
      <c:catAx>
        <c:axId val="20278991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JULY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890831"/>
        <c:crosses val="autoZero"/>
        <c:auto val="1"/>
        <c:lblAlgn val="ctr"/>
        <c:lblOffset val="100"/>
        <c:noMultiLvlLbl val="0"/>
      </c:catAx>
      <c:valAx>
        <c:axId val="202789083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027899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2 IN January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2'!$B$4</c:f>
              <c:strCache>
                <c:ptCount val="1"/>
                <c:pt idx="0">
                  <c:v>AITOZ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2'!$E$3:$AC$3</c:f>
              <c:numCache>
                <c:formatCode>General</c:formatCode>
                <c:ptCount val="2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31</c:v>
                </c:pt>
              </c:numCache>
            </c:numRef>
          </c:cat>
          <c:val>
            <c:numRef>
              <c:f>'LINE 2'!$E$4:$AC$4</c:f>
              <c:numCache>
                <c:formatCode>#,##0</c:formatCode>
                <c:ptCount val="25"/>
                <c:pt idx="0">
                  <c:v>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C3-435F-8618-B0FA8ACEBCBF}"/>
            </c:ext>
          </c:extLst>
        </c:ser>
        <c:ser>
          <c:idx val="1"/>
          <c:order val="1"/>
          <c:tx>
            <c:strRef>
              <c:f>'LINE 2'!$B$5</c:f>
              <c:strCache>
                <c:ptCount val="1"/>
                <c:pt idx="0">
                  <c:v>COCOS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2'!$E$3:$AC$3</c:f>
              <c:numCache>
                <c:formatCode>General</c:formatCode>
                <c:ptCount val="2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31</c:v>
                </c:pt>
              </c:numCache>
            </c:numRef>
          </c:cat>
          <c:val>
            <c:numRef>
              <c:f>'LINE 2'!$E$5:$AC$5</c:f>
              <c:numCache>
                <c:formatCode>#,##0</c:formatCode>
                <c:ptCount val="25"/>
                <c:pt idx="1">
                  <c:v>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100</c:v>
                </c:pt>
                <c:pt idx="6">
                  <c:v>280</c:v>
                </c:pt>
                <c:pt idx="7">
                  <c:v>280</c:v>
                </c:pt>
                <c:pt idx="8">
                  <c:v>280</c:v>
                </c:pt>
                <c:pt idx="9">
                  <c:v>280</c:v>
                </c:pt>
                <c:pt idx="10">
                  <c:v>280</c:v>
                </c:pt>
                <c:pt idx="11">
                  <c:v>100</c:v>
                </c:pt>
                <c:pt idx="12">
                  <c:v>280</c:v>
                </c:pt>
                <c:pt idx="13">
                  <c:v>280</c:v>
                </c:pt>
                <c:pt idx="14">
                  <c:v>280</c:v>
                </c:pt>
                <c:pt idx="15">
                  <c:v>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C3-435F-8618-B0FA8ACEBCBF}"/>
            </c:ext>
          </c:extLst>
        </c:ser>
        <c:ser>
          <c:idx val="2"/>
          <c:order val="2"/>
          <c:tx>
            <c:strRef>
              <c:f>'LINE 2'!$B$6</c:f>
              <c:strCache>
                <c:ptCount val="1"/>
                <c:pt idx="0">
                  <c:v>BIG BORN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2'!$E$3:$AC$3</c:f>
              <c:numCache>
                <c:formatCode>General</c:formatCode>
                <c:ptCount val="2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31</c:v>
                </c:pt>
              </c:numCache>
            </c:numRef>
          </c:cat>
          <c:val>
            <c:numRef>
              <c:f>'LINE 2'!$E$6:$AC$6</c:f>
              <c:numCache>
                <c:formatCode>#,##0</c:formatCode>
                <c:ptCount val="25"/>
                <c:pt idx="16">
                  <c:v>0</c:v>
                </c:pt>
                <c:pt idx="17">
                  <c:v>100</c:v>
                </c:pt>
                <c:pt idx="18">
                  <c:v>150</c:v>
                </c:pt>
                <c:pt idx="19">
                  <c:v>190</c:v>
                </c:pt>
                <c:pt idx="20">
                  <c:v>190</c:v>
                </c:pt>
                <c:pt idx="21">
                  <c:v>200</c:v>
                </c:pt>
                <c:pt idx="22">
                  <c:v>200</c:v>
                </c:pt>
                <c:pt idx="23">
                  <c:v>150</c:v>
                </c:pt>
                <c:pt idx="24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C3-435F-8618-B0FA8ACEBCBF}"/>
            </c:ext>
          </c:extLst>
        </c:ser>
        <c:ser>
          <c:idx val="3"/>
          <c:order val="3"/>
          <c:tx>
            <c:strRef>
              <c:f>'LINE 2'!$B$7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2'!$E$3:$AC$3</c:f>
              <c:numCache>
                <c:formatCode>General</c:formatCode>
                <c:ptCount val="2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31</c:v>
                </c:pt>
              </c:numCache>
            </c:numRef>
          </c:cat>
          <c:val>
            <c:numRef>
              <c:f>'LINE 2'!$E$7:$AC$7</c:f>
              <c:numCache>
                <c:formatCode>#,##0</c:formatCode>
                <c:ptCount val="25"/>
                <c:pt idx="0">
                  <c:v>182</c:v>
                </c:pt>
                <c:pt idx="1">
                  <c:v>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100</c:v>
                </c:pt>
                <c:pt idx="6">
                  <c:v>290</c:v>
                </c:pt>
                <c:pt idx="7">
                  <c:v>290</c:v>
                </c:pt>
                <c:pt idx="8">
                  <c:v>290</c:v>
                </c:pt>
                <c:pt idx="9">
                  <c:v>290</c:v>
                </c:pt>
                <c:pt idx="10">
                  <c:v>290</c:v>
                </c:pt>
                <c:pt idx="11">
                  <c:v>100</c:v>
                </c:pt>
                <c:pt idx="12">
                  <c:v>290</c:v>
                </c:pt>
                <c:pt idx="13">
                  <c:v>290</c:v>
                </c:pt>
                <c:pt idx="14">
                  <c:v>290</c:v>
                </c:pt>
                <c:pt idx="15">
                  <c:v>168</c:v>
                </c:pt>
                <c:pt idx="16">
                  <c:v>0</c:v>
                </c:pt>
                <c:pt idx="17">
                  <c:v>100</c:v>
                </c:pt>
                <c:pt idx="18">
                  <c:v>150</c:v>
                </c:pt>
                <c:pt idx="19">
                  <c:v>190</c:v>
                </c:pt>
                <c:pt idx="20">
                  <c:v>190</c:v>
                </c:pt>
                <c:pt idx="21">
                  <c:v>200</c:v>
                </c:pt>
                <c:pt idx="22">
                  <c:v>200</c:v>
                </c:pt>
                <c:pt idx="23">
                  <c:v>150</c:v>
                </c:pt>
                <c:pt idx="24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C3-435F-8618-B0FA8ACEBCBF}"/>
            </c:ext>
          </c:extLst>
        </c:ser>
        <c:ser>
          <c:idx val="4"/>
          <c:order val="4"/>
          <c:tx>
            <c:strRef>
              <c:f>'LINE 2'!$B$8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2'!$E$3:$AC$3</c:f>
              <c:numCache>
                <c:formatCode>General</c:formatCode>
                <c:ptCount val="2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31</c:v>
                </c:pt>
              </c:numCache>
            </c:numRef>
          </c:cat>
          <c:val>
            <c:numRef>
              <c:f>'LINE 2'!$E$8:$AC$8</c:f>
              <c:numCache>
                <c:formatCode>#,##0</c:formatCode>
                <c:ptCount val="25"/>
                <c:pt idx="0">
                  <c:v>18.2</c:v>
                </c:pt>
                <c:pt idx="1">
                  <c:v>0</c:v>
                </c:pt>
                <c:pt idx="2">
                  <c:v>15</c:v>
                </c:pt>
                <c:pt idx="3">
                  <c:v>25</c:v>
                </c:pt>
                <c:pt idx="4">
                  <c:v>25</c:v>
                </c:pt>
                <c:pt idx="5">
                  <c:v>20</c:v>
                </c:pt>
                <c:pt idx="6">
                  <c:v>28</c:v>
                </c:pt>
                <c:pt idx="7">
                  <c:v>28</c:v>
                </c:pt>
                <c:pt idx="8">
                  <c:v>29.473684210526315</c:v>
                </c:pt>
                <c:pt idx="9">
                  <c:v>29.473684210526315</c:v>
                </c:pt>
                <c:pt idx="10">
                  <c:v>28</c:v>
                </c:pt>
                <c:pt idx="11">
                  <c:v>20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16.8</c:v>
                </c:pt>
                <c:pt idx="16">
                  <c:v>0</c:v>
                </c:pt>
                <c:pt idx="17">
                  <c:v>14.285714285714286</c:v>
                </c:pt>
                <c:pt idx="18">
                  <c:v>16.666666666666668</c:v>
                </c:pt>
                <c:pt idx="19">
                  <c:v>21.111111111111111</c:v>
                </c:pt>
                <c:pt idx="20">
                  <c:v>21.111111111111111</c:v>
                </c:pt>
                <c:pt idx="21">
                  <c:v>22.222222222222221</c:v>
                </c:pt>
                <c:pt idx="22">
                  <c:v>22.222222222222221</c:v>
                </c:pt>
                <c:pt idx="23">
                  <c:v>21.428571428571427</c:v>
                </c:pt>
                <c:pt idx="24">
                  <c:v>25.555555555555557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C3-435F-8618-B0FA8ACEBCBF}"/>
            </c:ext>
          </c:extLst>
        </c:ser>
        <c:ser>
          <c:idx val="5"/>
          <c:order val="5"/>
          <c:tx>
            <c:strRef>
              <c:f>'LINE 2'!$B$9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6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2'!$E$3:$AC$3</c:f>
              <c:numCache>
                <c:formatCode>General</c:formatCode>
                <c:ptCount val="2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31</c:v>
                </c:pt>
              </c:numCache>
            </c:numRef>
          </c:cat>
          <c:val>
            <c:numRef>
              <c:f>'LINE 2'!$E$9:$AC$9</c:f>
              <c:numCache>
                <c:formatCode>#,##0</c:formatCode>
                <c:ptCount val="25"/>
                <c:pt idx="0">
                  <c:v>182</c:v>
                </c:pt>
                <c:pt idx="1">
                  <c:v>214</c:v>
                </c:pt>
                <c:pt idx="2">
                  <c:v>214</c:v>
                </c:pt>
                <c:pt idx="3">
                  <c:v>214</c:v>
                </c:pt>
                <c:pt idx="4">
                  <c:v>214</c:v>
                </c:pt>
                <c:pt idx="5">
                  <c:v>214</c:v>
                </c:pt>
                <c:pt idx="6">
                  <c:v>214</c:v>
                </c:pt>
                <c:pt idx="7">
                  <c:v>214</c:v>
                </c:pt>
                <c:pt idx="8">
                  <c:v>214</c:v>
                </c:pt>
                <c:pt idx="9">
                  <c:v>214</c:v>
                </c:pt>
                <c:pt idx="10">
                  <c:v>214</c:v>
                </c:pt>
                <c:pt idx="11">
                  <c:v>214</c:v>
                </c:pt>
                <c:pt idx="12">
                  <c:v>214</c:v>
                </c:pt>
                <c:pt idx="13">
                  <c:v>214</c:v>
                </c:pt>
                <c:pt idx="14">
                  <c:v>214</c:v>
                </c:pt>
                <c:pt idx="15">
                  <c:v>214</c:v>
                </c:pt>
                <c:pt idx="16">
                  <c:v>157</c:v>
                </c:pt>
                <c:pt idx="17">
                  <c:v>157</c:v>
                </c:pt>
                <c:pt idx="18">
                  <c:v>157</c:v>
                </c:pt>
                <c:pt idx="19">
                  <c:v>157</c:v>
                </c:pt>
                <c:pt idx="20">
                  <c:v>157</c:v>
                </c:pt>
                <c:pt idx="21">
                  <c:v>157</c:v>
                </c:pt>
                <c:pt idx="22">
                  <c:v>157</c:v>
                </c:pt>
                <c:pt idx="23">
                  <c:v>157</c:v>
                </c:pt>
                <c:pt idx="24">
                  <c:v>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5C3-435F-8618-B0FA8ACEBCB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20946399"/>
        <c:axId val="1920965119"/>
      </c:lineChart>
      <c:catAx>
        <c:axId val="19209463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JANUARY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0965119"/>
        <c:crosses val="autoZero"/>
        <c:auto val="1"/>
        <c:lblAlgn val="ctr"/>
        <c:lblOffset val="100"/>
        <c:noMultiLvlLbl val="0"/>
      </c:catAx>
      <c:valAx>
        <c:axId val="1920965119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20946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2 IN February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2'!$B$37</c:f>
              <c:strCache>
                <c:ptCount val="1"/>
                <c:pt idx="0">
                  <c:v>BIG BORN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2'!$E$36:$AA$36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28</c:v>
                </c:pt>
              </c:numCache>
            </c:numRef>
          </c:cat>
          <c:val>
            <c:numRef>
              <c:f>'LINE 2'!$E$37:$AA$37</c:f>
              <c:numCache>
                <c:formatCode>#,##0</c:formatCode>
                <c:ptCount val="23"/>
                <c:pt idx="0">
                  <c:v>230</c:v>
                </c:pt>
                <c:pt idx="1">
                  <c:v>230</c:v>
                </c:pt>
                <c:pt idx="2">
                  <c:v>181</c:v>
                </c:pt>
                <c:pt idx="3">
                  <c:v>1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B2-4468-90FA-D4EAB885AC98}"/>
            </c:ext>
          </c:extLst>
        </c:ser>
        <c:ser>
          <c:idx val="1"/>
          <c:order val="1"/>
          <c:tx>
            <c:strRef>
              <c:f>'LINE 2'!$B$38</c:f>
              <c:strCache>
                <c:ptCount val="1"/>
                <c:pt idx="0">
                  <c:v>BIG BORN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2'!$E$36:$AA$36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28</c:v>
                </c:pt>
              </c:numCache>
            </c:numRef>
          </c:cat>
          <c:val>
            <c:numRef>
              <c:f>'LINE 2'!$E$38:$AA$38</c:f>
              <c:numCache>
                <c:formatCode>#,##0</c:formatCode>
                <c:ptCount val="23"/>
                <c:pt idx="2">
                  <c:v>49</c:v>
                </c:pt>
                <c:pt idx="3">
                  <c:v>149</c:v>
                </c:pt>
                <c:pt idx="4">
                  <c:v>240</c:v>
                </c:pt>
                <c:pt idx="5">
                  <c:v>245</c:v>
                </c:pt>
                <c:pt idx="6">
                  <c:v>250</c:v>
                </c:pt>
                <c:pt idx="7">
                  <c:v>255</c:v>
                </c:pt>
                <c:pt idx="8">
                  <c:v>255</c:v>
                </c:pt>
                <c:pt idx="9">
                  <c:v>150</c:v>
                </c:pt>
                <c:pt idx="10">
                  <c:v>255</c:v>
                </c:pt>
                <c:pt idx="11">
                  <c:v>248</c:v>
                </c:pt>
                <c:pt idx="12">
                  <c:v>215</c:v>
                </c:pt>
                <c:pt idx="13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B2-4468-90FA-D4EAB885AC98}"/>
            </c:ext>
          </c:extLst>
        </c:ser>
        <c:ser>
          <c:idx val="2"/>
          <c:order val="2"/>
          <c:tx>
            <c:strRef>
              <c:f>'LINE 2'!$B$39</c:f>
              <c:strCache>
                <c:ptCount val="1"/>
                <c:pt idx="0">
                  <c:v>KAZEN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2'!$E$36:$AA$36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28</c:v>
                </c:pt>
              </c:numCache>
            </c:numRef>
          </c:cat>
          <c:val>
            <c:numRef>
              <c:f>'LINE 2'!$E$39:$AA$39</c:f>
              <c:numCache>
                <c:formatCode>#,##0</c:formatCode>
                <c:ptCount val="23"/>
                <c:pt idx="14">
                  <c:v>0</c:v>
                </c:pt>
                <c:pt idx="15">
                  <c:v>0</c:v>
                </c:pt>
                <c:pt idx="16">
                  <c:v>300</c:v>
                </c:pt>
                <c:pt idx="17">
                  <c:v>330</c:v>
                </c:pt>
                <c:pt idx="18">
                  <c:v>360</c:v>
                </c:pt>
                <c:pt idx="19">
                  <c:v>280</c:v>
                </c:pt>
                <c:pt idx="20">
                  <c:v>340</c:v>
                </c:pt>
                <c:pt idx="21">
                  <c:v>210</c:v>
                </c:pt>
                <c:pt idx="22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B2-4468-90FA-D4EAB885AC98}"/>
            </c:ext>
          </c:extLst>
        </c:ser>
        <c:ser>
          <c:idx val="3"/>
          <c:order val="3"/>
          <c:tx>
            <c:strRef>
              <c:f>'LINE 2'!$B$40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2'!$E$36:$AA$36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28</c:v>
                </c:pt>
              </c:numCache>
            </c:numRef>
          </c:cat>
          <c:val>
            <c:numRef>
              <c:f>'LINE 2'!$E$40:$AA$40</c:f>
              <c:numCache>
                <c:formatCode>#,##0</c:formatCode>
                <c:ptCount val="23"/>
                <c:pt idx="0">
                  <c:v>230</c:v>
                </c:pt>
                <c:pt idx="1">
                  <c:v>230</c:v>
                </c:pt>
                <c:pt idx="2">
                  <c:v>230</c:v>
                </c:pt>
                <c:pt idx="3">
                  <c:v>150</c:v>
                </c:pt>
                <c:pt idx="4">
                  <c:v>240</c:v>
                </c:pt>
                <c:pt idx="5">
                  <c:v>245</c:v>
                </c:pt>
                <c:pt idx="6">
                  <c:v>250</c:v>
                </c:pt>
                <c:pt idx="7">
                  <c:v>255</c:v>
                </c:pt>
                <c:pt idx="8">
                  <c:v>255</c:v>
                </c:pt>
                <c:pt idx="9">
                  <c:v>150</c:v>
                </c:pt>
                <c:pt idx="10">
                  <c:v>255</c:v>
                </c:pt>
                <c:pt idx="11">
                  <c:v>255</c:v>
                </c:pt>
                <c:pt idx="12">
                  <c:v>255</c:v>
                </c:pt>
                <c:pt idx="13">
                  <c:v>190</c:v>
                </c:pt>
                <c:pt idx="14">
                  <c:v>0</c:v>
                </c:pt>
                <c:pt idx="15">
                  <c:v>0</c:v>
                </c:pt>
                <c:pt idx="16">
                  <c:v>300</c:v>
                </c:pt>
                <c:pt idx="17">
                  <c:v>330</c:v>
                </c:pt>
                <c:pt idx="18">
                  <c:v>360</c:v>
                </c:pt>
                <c:pt idx="19">
                  <c:v>280</c:v>
                </c:pt>
                <c:pt idx="20">
                  <c:v>400</c:v>
                </c:pt>
                <c:pt idx="21">
                  <c:v>300</c:v>
                </c:pt>
                <c:pt idx="22">
                  <c:v>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9B2-4468-90FA-D4EAB885AC98}"/>
            </c:ext>
          </c:extLst>
        </c:ser>
        <c:ser>
          <c:idx val="4"/>
          <c:order val="4"/>
          <c:tx>
            <c:strRef>
              <c:f>'LINE 2'!$B$41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2'!$E$36:$AA$36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28</c:v>
                </c:pt>
              </c:numCache>
            </c:numRef>
          </c:cat>
          <c:val>
            <c:numRef>
              <c:f>'LINE 2'!$E$41:$AA$41</c:f>
              <c:numCache>
                <c:formatCode>#,##0</c:formatCode>
                <c:ptCount val="23"/>
                <c:pt idx="0">
                  <c:v>24.210526315789473</c:v>
                </c:pt>
                <c:pt idx="1">
                  <c:v>25.555555555555557</c:v>
                </c:pt>
                <c:pt idx="2">
                  <c:v>19.05263157894737</c:v>
                </c:pt>
                <c:pt idx="3">
                  <c:v>21.285714285714285</c:v>
                </c:pt>
                <c:pt idx="4">
                  <c:v>26.666666666666668</c:v>
                </c:pt>
                <c:pt idx="5">
                  <c:v>27.222222222222221</c:v>
                </c:pt>
                <c:pt idx="6">
                  <c:v>27.777777777777779</c:v>
                </c:pt>
                <c:pt idx="7">
                  <c:v>28.333333333333332</c:v>
                </c:pt>
                <c:pt idx="8">
                  <c:v>28.333333333333332</c:v>
                </c:pt>
                <c:pt idx="9">
                  <c:v>21.428571428571427</c:v>
                </c:pt>
                <c:pt idx="10">
                  <c:v>28.333333333333332</c:v>
                </c:pt>
                <c:pt idx="11">
                  <c:v>27.555555555555557</c:v>
                </c:pt>
                <c:pt idx="12">
                  <c:v>28.666666666666668</c:v>
                </c:pt>
                <c:pt idx="13">
                  <c:v>27.142857142857142</c:v>
                </c:pt>
                <c:pt idx="14">
                  <c:v>0</c:v>
                </c:pt>
                <c:pt idx="15">
                  <c:v>0</c:v>
                </c:pt>
                <c:pt idx="16">
                  <c:v>42.857142857142854</c:v>
                </c:pt>
                <c:pt idx="17">
                  <c:v>47.142857142857146</c:v>
                </c:pt>
                <c:pt idx="18">
                  <c:v>36</c:v>
                </c:pt>
                <c:pt idx="19">
                  <c:v>40</c:v>
                </c:pt>
                <c:pt idx="20">
                  <c:v>40</c:v>
                </c:pt>
                <c:pt idx="21">
                  <c:v>37.5</c:v>
                </c:pt>
                <c:pt idx="22">
                  <c:v>41.176470588235297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9B2-4468-90FA-D4EAB885AC98}"/>
            </c:ext>
          </c:extLst>
        </c:ser>
        <c:ser>
          <c:idx val="5"/>
          <c:order val="5"/>
          <c:tx>
            <c:strRef>
              <c:f>'LINE 2'!$B$42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6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2'!$E$36:$AA$36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28</c:v>
                </c:pt>
              </c:numCache>
            </c:numRef>
          </c:cat>
          <c:val>
            <c:numRef>
              <c:f>'LINE 2'!$E$42:$AA$42</c:f>
              <c:numCache>
                <c:formatCode>#,##0</c:formatCode>
                <c:ptCount val="23"/>
                <c:pt idx="0">
                  <c:v>214</c:v>
                </c:pt>
                <c:pt idx="1">
                  <c:v>214</c:v>
                </c:pt>
                <c:pt idx="2">
                  <c:v>214</c:v>
                </c:pt>
                <c:pt idx="3">
                  <c:v>223</c:v>
                </c:pt>
                <c:pt idx="4">
                  <c:v>223</c:v>
                </c:pt>
                <c:pt idx="5">
                  <c:v>223</c:v>
                </c:pt>
                <c:pt idx="6">
                  <c:v>223</c:v>
                </c:pt>
                <c:pt idx="7">
                  <c:v>223</c:v>
                </c:pt>
                <c:pt idx="8">
                  <c:v>223</c:v>
                </c:pt>
                <c:pt idx="9">
                  <c:v>223</c:v>
                </c:pt>
                <c:pt idx="10">
                  <c:v>223</c:v>
                </c:pt>
                <c:pt idx="11">
                  <c:v>223</c:v>
                </c:pt>
                <c:pt idx="12">
                  <c:v>223</c:v>
                </c:pt>
                <c:pt idx="13">
                  <c:v>223</c:v>
                </c:pt>
                <c:pt idx="14">
                  <c:v>231</c:v>
                </c:pt>
                <c:pt idx="15">
                  <c:v>231</c:v>
                </c:pt>
                <c:pt idx="16">
                  <c:v>231</c:v>
                </c:pt>
                <c:pt idx="17">
                  <c:v>231</c:v>
                </c:pt>
                <c:pt idx="18">
                  <c:v>231</c:v>
                </c:pt>
                <c:pt idx="19">
                  <c:v>231</c:v>
                </c:pt>
                <c:pt idx="20">
                  <c:v>231</c:v>
                </c:pt>
                <c:pt idx="21">
                  <c:v>231</c:v>
                </c:pt>
                <c:pt idx="22">
                  <c:v>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9B2-4468-90FA-D4EAB885AC9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19661311"/>
        <c:axId val="1919656319"/>
      </c:lineChart>
      <c:catAx>
        <c:axId val="19196613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FEBRUARY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656319"/>
        <c:crosses val="autoZero"/>
        <c:auto val="1"/>
        <c:lblAlgn val="ctr"/>
        <c:lblOffset val="100"/>
        <c:noMultiLvlLbl val="0"/>
      </c:catAx>
      <c:valAx>
        <c:axId val="1919656319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19661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2 IN March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2'!$B$70</c:f>
              <c:strCache>
                <c:ptCount val="1"/>
                <c:pt idx="0">
                  <c:v>KAZEN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2'!$E$69:$AF$69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</c:numCache>
            </c:numRef>
          </c:cat>
          <c:val>
            <c:numRef>
              <c:f>'LINE 2'!$E$70:$AF$70</c:f>
              <c:numCache>
                <c:formatCode>#,##0</c:formatCode>
                <c:ptCount val="28"/>
                <c:pt idx="0">
                  <c:v>465</c:v>
                </c:pt>
                <c:pt idx="1">
                  <c:v>450</c:v>
                </c:pt>
                <c:pt idx="2">
                  <c:v>360</c:v>
                </c:pt>
                <c:pt idx="3">
                  <c:v>400</c:v>
                </c:pt>
                <c:pt idx="4">
                  <c:v>350</c:v>
                </c:pt>
                <c:pt idx="5">
                  <c:v>430</c:v>
                </c:pt>
                <c:pt idx="6">
                  <c:v>430</c:v>
                </c:pt>
                <c:pt idx="7">
                  <c:v>410</c:v>
                </c:pt>
                <c:pt idx="8">
                  <c:v>350</c:v>
                </c:pt>
                <c:pt idx="9">
                  <c:v>470</c:v>
                </c:pt>
                <c:pt idx="10">
                  <c:v>350</c:v>
                </c:pt>
                <c:pt idx="11">
                  <c:v>470</c:v>
                </c:pt>
                <c:pt idx="12">
                  <c:v>470</c:v>
                </c:pt>
                <c:pt idx="13">
                  <c:v>430</c:v>
                </c:pt>
                <c:pt idx="14">
                  <c:v>430</c:v>
                </c:pt>
                <c:pt idx="15">
                  <c:v>420</c:v>
                </c:pt>
                <c:pt idx="16">
                  <c:v>350</c:v>
                </c:pt>
                <c:pt idx="17">
                  <c:v>425</c:v>
                </c:pt>
                <c:pt idx="18">
                  <c:v>470</c:v>
                </c:pt>
                <c:pt idx="19">
                  <c:v>470</c:v>
                </c:pt>
                <c:pt idx="20">
                  <c:v>470</c:v>
                </c:pt>
                <c:pt idx="21">
                  <c:v>470</c:v>
                </c:pt>
                <c:pt idx="22">
                  <c:v>300</c:v>
                </c:pt>
                <c:pt idx="23">
                  <c:v>300</c:v>
                </c:pt>
                <c:pt idx="24">
                  <c:v>400</c:v>
                </c:pt>
                <c:pt idx="25">
                  <c:v>450</c:v>
                </c:pt>
                <c:pt idx="26">
                  <c:v>470</c:v>
                </c:pt>
                <c:pt idx="27">
                  <c:v>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87-4CBE-BA51-879E72645521}"/>
            </c:ext>
          </c:extLst>
        </c:ser>
        <c:ser>
          <c:idx val="1"/>
          <c:order val="1"/>
          <c:tx>
            <c:strRef>
              <c:f>'LINE 2'!$B$71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2'!$E$69:$AF$69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</c:numCache>
            </c:numRef>
          </c:cat>
          <c:val>
            <c:numRef>
              <c:f>'LINE 2'!$E$71:$AF$71</c:f>
              <c:numCache>
                <c:formatCode>#,##0</c:formatCode>
                <c:ptCount val="28"/>
                <c:pt idx="0">
                  <c:v>500</c:v>
                </c:pt>
                <c:pt idx="1">
                  <c:v>500</c:v>
                </c:pt>
                <c:pt idx="2">
                  <c:v>450</c:v>
                </c:pt>
                <c:pt idx="3">
                  <c:v>500</c:v>
                </c:pt>
                <c:pt idx="4">
                  <c:v>350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450</c:v>
                </c:pt>
                <c:pt idx="9">
                  <c:v>470</c:v>
                </c:pt>
                <c:pt idx="10">
                  <c:v>350</c:v>
                </c:pt>
                <c:pt idx="11">
                  <c:v>470</c:v>
                </c:pt>
                <c:pt idx="12">
                  <c:v>470</c:v>
                </c:pt>
                <c:pt idx="13">
                  <c:v>470</c:v>
                </c:pt>
                <c:pt idx="14">
                  <c:v>470</c:v>
                </c:pt>
                <c:pt idx="15">
                  <c:v>470</c:v>
                </c:pt>
                <c:pt idx="16">
                  <c:v>350</c:v>
                </c:pt>
                <c:pt idx="17">
                  <c:v>470</c:v>
                </c:pt>
                <c:pt idx="18">
                  <c:v>470</c:v>
                </c:pt>
                <c:pt idx="19">
                  <c:v>470</c:v>
                </c:pt>
                <c:pt idx="20">
                  <c:v>470</c:v>
                </c:pt>
                <c:pt idx="21">
                  <c:v>470</c:v>
                </c:pt>
                <c:pt idx="22">
                  <c:v>300</c:v>
                </c:pt>
                <c:pt idx="23">
                  <c:v>300</c:v>
                </c:pt>
                <c:pt idx="24">
                  <c:v>470</c:v>
                </c:pt>
                <c:pt idx="25">
                  <c:v>470</c:v>
                </c:pt>
                <c:pt idx="26">
                  <c:v>470</c:v>
                </c:pt>
                <c:pt idx="27">
                  <c:v>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87-4CBE-BA51-879E72645521}"/>
            </c:ext>
          </c:extLst>
        </c:ser>
        <c:ser>
          <c:idx val="2"/>
          <c:order val="2"/>
          <c:tx>
            <c:strRef>
              <c:f>'LINE 2'!$B$72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2'!$E$69:$AF$69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</c:numCache>
            </c:numRef>
          </c:cat>
          <c:val>
            <c:numRef>
              <c:f>'LINE 2'!$E$72:$AF$72</c:f>
              <c:numCache>
                <c:formatCode>#,##0</c:formatCode>
                <c:ptCount val="28"/>
                <c:pt idx="0">
                  <c:v>46.5</c:v>
                </c:pt>
                <c:pt idx="1">
                  <c:v>45</c:v>
                </c:pt>
                <c:pt idx="2">
                  <c:v>40</c:v>
                </c:pt>
                <c:pt idx="3">
                  <c:v>40</c:v>
                </c:pt>
                <c:pt idx="4">
                  <c:v>43.75</c:v>
                </c:pt>
                <c:pt idx="5">
                  <c:v>43</c:v>
                </c:pt>
                <c:pt idx="6">
                  <c:v>43</c:v>
                </c:pt>
                <c:pt idx="7">
                  <c:v>41</c:v>
                </c:pt>
                <c:pt idx="8">
                  <c:v>35</c:v>
                </c:pt>
                <c:pt idx="9">
                  <c:v>42.727272727272727</c:v>
                </c:pt>
                <c:pt idx="10">
                  <c:v>43.75</c:v>
                </c:pt>
                <c:pt idx="11">
                  <c:v>47</c:v>
                </c:pt>
                <c:pt idx="12">
                  <c:v>47</c:v>
                </c:pt>
                <c:pt idx="13">
                  <c:v>43</c:v>
                </c:pt>
                <c:pt idx="14">
                  <c:v>43</c:v>
                </c:pt>
                <c:pt idx="15">
                  <c:v>42</c:v>
                </c:pt>
                <c:pt idx="16">
                  <c:v>50</c:v>
                </c:pt>
                <c:pt idx="17">
                  <c:v>42.5</c:v>
                </c:pt>
                <c:pt idx="18">
                  <c:v>42.727272727272727</c:v>
                </c:pt>
                <c:pt idx="19">
                  <c:v>42.727272727272727</c:v>
                </c:pt>
                <c:pt idx="20">
                  <c:v>42.727272727272727</c:v>
                </c:pt>
                <c:pt idx="21">
                  <c:v>42.727272727272727</c:v>
                </c:pt>
                <c:pt idx="22">
                  <c:v>42.857142857142854</c:v>
                </c:pt>
                <c:pt idx="23">
                  <c:v>42.857142857142854</c:v>
                </c:pt>
                <c:pt idx="24">
                  <c:v>33.333333333333336</c:v>
                </c:pt>
                <c:pt idx="25">
                  <c:v>37.5</c:v>
                </c:pt>
                <c:pt idx="26">
                  <c:v>39.166666666666664</c:v>
                </c:pt>
                <c:pt idx="27">
                  <c:v>38.333333333333336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87-4CBE-BA51-879E72645521}"/>
            </c:ext>
          </c:extLst>
        </c:ser>
        <c:ser>
          <c:idx val="3"/>
          <c:order val="3"/>
          <c:tx>
            <c:strRef>
              <c:f>'LINE 2'!$B$73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2'!$E$69:$AF$69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</c:numCache>
            </c:numRef>
          </c:cat>
          <c:val>
            <c:numRef>
              <c:f>'LINE 2'!$E$73:$AF$73</c:f>
              <c:numCache>
                <c:formatCode>#,##0</c:formatCode>
                <c:ptCount val="28"/>
                <c:pt idx="0">
                  <c:v>419</c:v>
                </c:pt>
                <c:pt idx="1">
                  <c:v>419</c:v>
                </c:pt>
                <c:pt idx="2">
                  <c:v>419</c:v>
                </c:pt>
                <c:pt idx="3">
                  <c:v>419</c:v>
                </c:pt>
                <c:pt idx="4">
                  <c:v>419</c:v>
                </c:pt>
                <c:pt idx="5">
                  <c:v>419</c:v>
                </c:pt>
                <c:pt idx="6">
                  <c:v>419</c:v>
                </c:pt>
                <c:pt idx="7">
                  <c:v>419</c:v>
                </c:pt>
                <c:pt idx="8">
                  <c:v>419</c:v>
                </c:pt>
                <c:pt idx="9">
                  <c:v>419</c:v>
                </c:pt>
                <c:pt idx="10">
                  <c:v>419</c:v>
                </c:pt>
                <c:pt idx="11">
                  <c:v>419</c:v>
                </c:pt>
                <c:pt idx="12">
                  <c:v>419</c:v>
                </c:pt>
                <c:pt idx="13">
                  <c:v>419</c:v>
                </c:pt>
                <c:pt idx="14">
                  <c:v>419</c:v>
                </c:pt>
                <c:pt idx="15">
                  <c:v>419</c:v>
                </c:pt>
                <c:pt idx="16">
                  <c:v>419</c:v>
                </c:pt>
                <c:pt idx="17">
                  <c:v>419</c:v>
                </c:pt>
                <c:pt idx="18">
                  <c:v>419</c:v>
                </c:pt>
                <c:pt idx="19">
                  <c:v>419</c:v>
                </c:pt>
                <c:pt idx="20">
                  <c:v>419</c:v>
                </c:pt>
                <c:pt idx="21">
                  <c:v>419</c:v>
                </c:pt>
                <c:pt idx="22">
                  <c:v>419</c:v>
                </c:pt>
                <c:pt idx="23">
                  <c:v>419</c:v>
                </c:pt>
                <c:pt idx="24">
                  <c:v>419</c:v>
                </c:pt>
                <c:pt idx="25">
                  <c:v>419</c:v>
                </c:pt>
                <c:pt idx="26">
                  <c:v>419</c:v>
                </c:pt>
                <c:pt idx="27">
                  <c:v>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87-4CBE-BA51-879E7264552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8583423"/>
        <c:axId val="1968590079"/>
      </c:lineChart>
      <c:catAx>
        <c:axId val="1968583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MARCH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590079"/>
        <c:crosses val="autoZero"/>
        <c:auto val="1"/>
        <c:lblAlgn val="ctr"/>
        <c:lblOffset val="100"/>
        <c:noMultiLvlLbl val="0"/>
      </c:catAx>
      <c:valAx>
        <c:axId val="1968590079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8583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2 IN April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2'!$B$101</c:f>
              <c:strCache>
                <c:ptCount val="1"/>
                <c:pt idx="0">
                  <c:v>KAZEN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2'!$E$100:$AE$100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cat>
          <c:val>
            <c:numRef>
              <c:f>'LINE 2'!$E$101:$AE$101</c:f>
              <c:numCache>
                <c:formatCode>#,##0</c:formatCode>
                <c:ptCount val="27"/>
                <c:pt idx="0">
                  <c:v>470</c:v>
                </c:pt>
                <c:pt idx="1">
                  <c:v>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B9-4B8B-A441-E1C40A7EBF24}"/>
            </c:ext>
          </c:extLst>
        </c:ser>
        <c:ser>
          <c:idx val="1"/>
          <c:order val="1"/>
          <c:tx>
            <c:strRef>
              <c:f>'LINE 2'!$B$102</c:f>
              <c:strCache>
                <c:ptCount val="1"/>
                <c:pt idx="0">
                  <c:v>H&amp;M 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2'!$E$100:$AE$100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cat>
          <c:val>
            <c:numRef>
              <c:f>'LINE 2'!$E$102:$AE$102</c:f>
              <c:numCache>
                <c:formatCode>#,##0</c:formatCode>
                <c:ptCount val="27"/>
                <c:pt idx="2">
                  <c:v>1375</c:v>
                </c:pt>
                <c:pt idx="3">
                  <c:v>2050</c:v>
                </c:pt>
                <c:pt idx="4">
                  <c:v>2050</c:v>
                </c:pt>
                <c:pt idx="5">
                  <c:v>2050</c:v>
                </c:pt>
                <c:pt idx="6">
                  <c:v>2100</c:v>
                </c:pt>
                <c:pt idx="7">
                  <c:v>1650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B9-4B8B-A441-E1C40A7EBF24}"/>
            </c:ext>
          </c:extLst>
        </c:ser>
        <c:ser>
          <c:idx val="2"/>
          <c:order val="2"/>
          <c:tx>
            <c:strRef>
              <c:f>'LINE 2'!$B$103</c:f>
              <c:strCache>
                <c:ptCount val="1"/>
                <c:pt idx="0">
                  <c:v>NISHIMATSUYA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2'!$E$100:$AE$100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cat>
          <c:val>
            <c:numRef>
              <c:f>'LINE 2'!$E$103:$AE$103</c:f>
              <c:numCache>
                <c:formatCode>#,##0</c:formatCode>
                <c:ptCount val="27"/>
                <c:pt idx="8">
                  <c:v>1250</c:v>
                </c:pt>
                <c:pt idx="9">
                  <c:v>1300</c:v>
                </c:pt>
                <c:pt idx="10">
                  <c:v>1500</c:v>
                </c:pt>
                <c:pt idx="11">
                  <c:v>1500</c:v>
                </c:pt>
                <c:pt idx="12">
                  <c:v>412</c:v>
                </c:pt>
                <c:pt idx="19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B9-4B8B-A441-E1C40A7EBF24}"/>
            </c:ext>
          </c:extLst>
        </c:ser>
        <c:ser>
          <c:idx val="3"/>
          <c:order val="3"/>
          <c:tx>
            <c:strRef>
              <c:f>'LINE 2'!$B$104</c:f>
              <c:strCache>
                <c:ptCount val="1"/>
                <c:pt idx="0">
                  <c:v>NISHIMATSUYA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2'!$E$100:$AE$100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cat>
          <c:val>
            <c:numRef>
              <c:f>'LINE 2'!$E$104:$AE$104</c:f>
              <c:numCache>
                <c:formatCode>#,##0</c:formatCode>
                <c:ptCount val="27"/>
                <c:pt idx="12">
                  <c:v>474</c:v>
                </c:pt>
                <c:pt idx="20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EB9-4B8B-A441-E1C40A7EBF24}"/>
            </c:ext>
          </c:extLst>
        </c:ser>
        <c:ser>
          <c:idx val="4"/>
          <c:order val="4"/>
          <c:tx>
            <c:strRef>
              <c:f>'LINE 2'!$B$105</c:f>
              <c:strCache>
                <c:ptCount val="1"/>
                <c:pt idx="0">
                  <c:v>NISHIMATSUYA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2'!$E$100:$AE$100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cat>
          <c:val>
            <c:numRef>
              <c:f>'LINE 2'!$E$105:$AE$105</c:f>
              <c:numCache>
                <c:formatCode>#,##0</c:formatCode>
                <c:ptCount val="27"/>
                <c:pt idx="13">
                  <c:v>1050</c:v>
                </c:pt>
                <c:pt idx="14">
                  <c:v>1300</c:v>
                </c:pt>
                <c:pt idx="15">
                  <c:v>1400</c:v>
                </c:pt>
                <c:pt idx="16">
                  <c:v>1400</c:v>
                </c:pt>
                <c:pt idx="17">
                  <c:v>1300</c:v>
                </c:pt>
                <c:pt idx="18">
                  <c:v>1400</c:v>
                </c:pt>
                <c:pt idx="19">
                  <c:v>1121</c:v>
                </c:pt>
                <c:pt idx="20">
                  <c:v>1367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EB9-4B8B-A441-E1C40A7EBF24}"/>
            </c:ext>
          </c:extLst>
        </c:ser>
        <c:ser>
          <c:idx val="5"/>
          <c:order val="5"/>
          <c:tx>
            <c:strRef>
              <c:f>'LINE 2'!$B$106</c:f>
              <c:strCache>
                <c:ptCount val="1"/>
                <c:pt idx="0">
                  <c:v>KAZEN</c:v>
                </c:pt>
              </c:strCache>
            </c:strRef>
          </c:tx>
          <c:spPr>
            <a:ln w="19050" cap="rnd" cmpd="sng" algn="ctr">
              <a:solidFill>
                <a:schemeClr val="accent6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2'!$E$100:$AE$100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cat>
          <c:val>
            <c:numRef>
              <c:f>'LINE 2'!$E$106:$AE$106</c:f>
              <c:numCache>
                <c:formatCode>#,##0</c:formatCode>
                <c:ptCount val="27"/>
                <c:pt idx="21">
                  <c:v>185</c:v>
                </c:pt>
                <c:pt idx="22">
                  <c:v>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EB9-4B8B-A441-E1C40A7EBF24}"/>
            </c:ext>
          </c:extLst>
        </c:ser>
        <c:ser>
          <c:idx val="6"/>
          <c:order val="6"/>
          <c:tx>
            <c:strRef>
              <c:f>'LINE 2'!$B$107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60000"/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2'!$E$100:$AE$100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cat>
          <c:val>
            <c:numRef>
              <c:f>'LINE 2'!$E$107:$AE$107</c:f>
              <c:numCache>
                <c:formatCode>#,##0</c:formatCode>
                <c:ptCount val="27"/>
                <c:pt idx="0">
                  <c:v>470</c:v>
                </c:pt>
                <c:pt idx="1">
                  <c:v>271</c:v>
                </c:pt>
                <c:pt idx="2">
                  <c:v>2250</c:v>
                </c:pt>
                <c:pt idx="3">
                  <c:v>2100</c:v>
                </c:pt>
                <c:pt idx="4">
                  <c:v>2100</c:v>
                </c:pt>
                <c:pt idx="5">
                  <c:v>2100</c:v>
                </c:pt>
                <c:pt idx="6">
                  <c:v>2100</c:v>
                </c:pt>
                <c:pt idx="7">
                  <c:v>1650</c:v>
                </c:pt>
                <c:pt idx="8">
                  <c:v>1450</c:v>
                </c:pt>
                <c:pt idx="9">
                  <c:v>1450</c:v>
                </c:pt>
                <c:pt idx="10">
                  <c:v>1500</c:v>
                </c:pt>
                <c:pt idx="11">
                  <c:v>1500</c:v>
                </c:pt>
                <c:pt idx="12">
                  <c:v>1500</c:v>
                </c:pt>
                <c:pt idx="13">
                  <c:v>1050</c:v>
                </c:pt>
                <c:pt idx="14">
                  <c:v>1515</c:v>
                </c:pt>
                <c:pt idx="15">
                  <c:v>1750</c:v>
                </c:pt>
                <c:pt idx="16">
                  <c:v>1750</c:v>
                </c:pt>
                <c:pt idx="17">
                  <c:v>1750</c:v>
                </c:pt>
                <c:pt idx="18">
                  <c:v>1750</c:v>
                </c:pt>
                <c:pt idx="19">
                  <c:v>1400</c:v>
                </c:pt>
                <c:pt idx="20">
                  <c:v>1442</c:v>
                </c:pt>
                <c:pt idx="21">
                  <c:v>0</c:v>
                </c:pt>
                <c:pt idx="22">
                  <c:v>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EB9-4B8B-A441-E1C40A7EBF24}"/>
            </c:ext>
          </c:extLst>
        </c:ser>
        <c:ser>
          <c:idx val="7"/>
          <c:order val="7"/>
          <c:tx>
            <c:strRef>
              <c:f>'LINE 2'!$B$108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60000"/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2'!$E$100:$AE$100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cat>
          <c:val>
            <c:numRef>
              <c:f>'LINE 2'!$E$108:$AE$108</c:f>
              <c:numCache>
                <c:formatCode>#,##0</c:formatCode>
                <c:ptCount val="27"/>
                <c:pt idx="0">
                  <c:v>39.166666666666664</c:v>
                </c:pt>
                <c:pt idx="1">
                  <c:v>29.777777777777779</c:v>
                </c:pt>
                <c:pt idx="2">
                  <c:v>114.58333333333333</c:v>
                </c:pt>
                <c:pt idx="3">
                  <c:v>170.83333333333334</c:v>
                </c:pt>
                <c:pt idx="4">
                  <c:v>183.85650224215246</c:v>
                </c:pt>
                <c:pt idx="5">
                  <c:v>186.36363636363637</c:v>
                </c:pt>
                <c:pt idx="6">
                  <c:v>182.60869565217391</c:v>
                </c:pt>
                <c:pt idx="7">
                  <c:v>173.68421052631578</c:v>
                </c:pt>
                <c:pt idx="8">
                  <c:v>104.16666666666667</c:v>
                </c:pt>
                <c:pt idx="9">
                  <c:v>108.33333333333333</c:v>
                </c:pt>
                <c:pt idx="10">
                  <c:v>125</c:v>
                </c:pt>
                <c:pt idx="11">
                  <c:v>142.85714285714286</c:v>
                </c:pt>
                <c:pt idx="12">
                  <c:v>88.6</c:v>
                </c:pt>
                <c:pt idx="13">
                  <c:v>110.52631578947368</c:v>
                </c:pt>
                <c:pt idx="14">
                  <c:v>108.33333333333333</c:v>
                </c:pt>
                <c:pt idx="15">
                  <c:v>112</c:v>
                </c:pt>
                <c:pt idx="16">
                  <c:v>112</c:v>
                </c:pt>
                <c:pt idx="17">
                  <c:v>104</c:v>
                </c:pt>
                <c:pt idx="18">
                  <c:v>112</c:v>
                </c:pt>
                <c:pt idx="19">
                  <c:v>116</c:v>
                </c:pt>
                <c:pt idx="20">
                  <c:v>115.36</c:v>
                </c:pt>
                <c:pt idx="21">
                  <c:v>26.428571428571427</c:v>
                </c:pt>
                <c:pt idx="22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EB9-4B8B-A441-E1C40A7EBF24}"/>
            </c:ext>
          </c:extLst>
        </c:ser>
        <c:ser>
          <c:idx val="8"/>
          <c:order val="8"/>
          <c:tx>
            <c:strRef>
              <c:f>'LINE 2'!$B$109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3">
                  <a:lumMod val="60000"/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2'!$E$100:$AE$100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cat>
          <c:val>
            <c:numRef>
              <c:f>'LINE 2'!$E$109:$AE$109</c:f>
              <c:numCache>
                <c:formatCode>#,##0</c:formatCode>
                <c:ptCount val="27"/>
                <c:pt idx="0">
                  <c:v>369</c:v>
                </c:pt>
                <c:pt idx="1">
                  <c:v>369</c:v>
                </c:pt>
                <c:pt idx="2">
                  <c:v>1879</c:v>
                </c:pt>
                <c:pt idx="3">
                  <c:v>1879</c:v>
                </c:pt>
                <c:pt idx="4">
                  <c:v>1879</c:v>
                </c:pt>
                <c:pt idx="5">
                  <c:v>1879</c:v>
                </c:pt>
                <c:pt idx="6">
                  <c:v>1879</c:v>
                </c:pt>
                <c:pt idx="7">
                  <c:v>1879</c:v>
                </c:pt>
                <c:pt idx="8">
                  <c:v>1056</c:v>
                </c:pt>
                <c:pt idx="9">
                  <c:v>1056</c:v>
                </c:pt>
                <c:pt idx="10">
                  <c:v>1056</c:v>
                </c:pt>
                <c:pt idx="11">
                  <c:v>1056</c:v>
                </c:pt>
                <c:pt idx="12">
                  <c:v>1056</c:v>
                </c:pt>
                <c:pt idx="13">
                  <c:v>1056</c:v>
                </c:pt>
                <c:pt idx="14">
                  <c:v>1056</c:v>
                </c:pt>
                <c:pt idx="15">
                  <c:v>1056</c:v>
                </c:pt>
                <c:pt idx="16">
                  <c:v>1056</c:v>
                </c:pt>
                <c:pt idx="17">
                  <c:v>1056</c:v>
                </c:pt>
                <c:pt idx="18">
                  <c:v>1056</c:v>
                </c:pt>
                <c:pt idx="19">
                  <c:v>1056</c:v>
                </c:pt>
                <c:pt idx="20">
                  <c:v>1056</c:v>
                </c:pt>
                <c:pt idx="21">
                  <c:v>383</c:v>
                </c:pt>
                <c:pt idx="22">
                  <c:v>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EB9-4B8B-A441-E1C40A7EBF2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3166383"/>
        <c:axId val="1963165551"/>
      </c:lineChart>
      <c:catAx>
        <c:axId val="19631663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APRIL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165551"/>
        <c:crosses val="autoZero"/>
        <c:auto val="1"/>
        <c:lblAlgn val="ctr"/>
        <c:lblOffset val="100"/>
        <c:noMultiLvlLbl val="0"/>
      </c:catAx>
      <c:valAx>
        <c:axId val="1963165551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3166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2 IN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2'!$B$137</c:f>
              <c:strCache>
                <c:ptCount val="1"/>
                <c:pt idx="0">
                  <c:v>H&amp;M 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2'!$E$136:$Y$136</c:f>
              <c:numCache>
                <c:formatCode>#,##0</c:formatCode>
                <c:ptCount val="21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30</c:v>
                </c:pt>
                <c:pt idx="20">
                  <c:v>31</c:v>
                </c:pt>
              </c:numCache>
            </c:numRef>
          </c:cat>
          <c:val>
            <c:numRef>
              <c:f>'LINE 2'!$E$137:$Y$137</c:f>
              <c:numCache>
                <c:formatCode>#,##0</c:formatCode>
                <c:ptCount val="21"/>
                <c:pt idx="0">
                  <c:v>398</c:v>
                </c:pt>
                <c:pt idx="1">
                  <c:v>292</c:v>
                </c:pt>
                <c:pt idx="16">
                  <c:v>1400</c:v>
                </c:pt>
                <c:pt idx="17">
                  <c:v>2000</c:v>
                </c:pt>
                <c:pt idx="18">
                  <c:v>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01-4D6F-A8F9-D3841622B4F0}"/>
            </c:ext>
          </c:extLst>
        </c:ser>
        <c:ser>
          <c:idx val="1"/>
          <c:order val="1"/>
          <c:tx>
            <c:strRef>
              <c:f>'LINE 2'!$B$138</c:f>
              <c:strCache>
                <c:ptCount val="1"/>
                <c:pt idx="0">
                  <c:v>COCOS 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2'!$E$136:$Y$136</c:f>
              <c:numCache>
                <c:formatCode>#,##0</c:formatCode>
                <c:ptCount val="21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30</c:v>
                </c:pt>
                <c:pt idx="20">
                  <c:v>31</c:v>
                </c:pt>
              </c:numCache>
            </c:numRef>
          </c:cat>
          <c:val>
            <c:numRef>
              <c:f>'LINE 2'!$E$138:$Y$138</c:f>
              <c:numCache>
                <c:formatCode>#,##0</c:formatCode>
                <c:ptCount val="21"/>
                <c:pt idx="2">
                  <c:v>95</c:v>
                </c:pt>
                <c:pt idx="3">
                  <c:v>125</c:v>
                </c:pt>
                <c:pt idx="4">
                  <c:v>215</c:v>
                </c:pt>
                <c:pt idx="5">
                  <c:v>248</c:v>
                </c:pt>
                <c:pt idx="6">
                  <c:v>240</c:v>
                </c:pt>
                <c:pt idx="7">
                  <c:v>350</c:v>
                </c:pt>
                <c:pt idx="8">
                  <c:v>350</c:v>
                </c:pt>
                <c:pt idx="9">
                  <c:v>340</c:v>
                </c:pt>
                <c:pt idx="10">
                  <c:v>390</c:v>
                </c:pt>
                <c:pt idx="11">
                  <c:v>390</c:v>
                </c:pt>
                <c:pt idx="12">
                  <c:v>290</c:v>
                </c:pt>
                <c:pt idx="13">
                  <c:v>412</c:v>
                </c:pt>
                <c:pt idx="14">
                  <c:v>412</c:v>
                </c:pt>
                <c:pt idx="15">
                  <c:v>392</c:v>
                </c:pt>
                <c:pt idx="16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01-4D6F-A8F9-D3841622B4F0}"/>
            </c:ext>
          </c:extLst>
        </c:ser>
        <c:ser>
          <c:idx val="2"/>
          <c:order val="2"/>
          <c:tx>
            <c:strRef>
              <c:f>'LINE 2'!$B$139</c:f>
              <c:strCache>
                <c:ptCount val="1"/>
                <c:pt idx="0">
                  <c:v>COCOS 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2'!$E$136:$Y$136</c:f>
              <c:numCache>
                <c:formatCode>#,##0</c:formatCode>
                <c:ptCount val="21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30</c:v>
                </c:pt>
                <c:pt idx="20">
                  <c:v>31</c:v>
                </c:pt>
              </c:numCache>
            </c:numRef>
          </c:cat>
          <c:val>
            <c:numRef>
              <c:f>'LINE 2'!$E$139:$Y$139</c:f>
              <c:numCache>
                <c:formatCode>#,##0</c:formatCode>
                <c:ptCount val="21"/>
                <c:pt idx="19">
                  <c:v>170</c:v>
                </c:pt>
                <c:pt idx="20">
                  <c:v>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01-4D6F-A8F9-D3841622B4F0}"/>
            </c:ext>
          </c:extLst>
        </c:ser>
        <c:ser>
          <c:idx val="3"/>
          <c:order val="3"/>
          <c:tx>
            <c:strRef>
              <c:f>'LINE 2'!$B$140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2'!$E$136:$Y$136</c:f>
              <c:numCache>
                <c:formatCode>#,##0</c:formatCode>
                <c:ptCount val="21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30</c:v>
                </c:pt>
                <c:pt idx="20">
                  <c:v>31</c:v>
                </c:pt>
              </c:numCache>
            </c:numRef>
          </c:cat>
          <c:val>
            <c:numRef>
              <c:f>'LINE 2'!$E$140:$Y$140</c:f>
              <c:numCache>
                <c:formatCode>#,##0</c:formatCode>
                <c:ptCount val="21"/>
                <c:pt idx="0">
                  <c:v>398</c:v>
                </c:pt>
                <c:pt idx="1">
                  <c:v>150</c:v>
                </c:pt>
                <c:pt idx="2">
                  <c:v>100</c:v>
                </c:pt>
                <c:pt idx="3">
                  <c:v>160</c:v>
                </c:pt>
                <c:pt idx="4">
                  <c:v>200</c:v>
                </c:pt>
                <c:pt idx="5">
                  <c:v>248</c:v>
                </c:pt>
                <c:pt idx="6">
                  <c:v>240</c:v>
                </c:pt>
                <c:pt idx="7">
                  <c:v>362</c:v>
                </c:pt>
                <c:pt idx="8">
                  <c:v>380</c:v>
                </c:pt>
                <c:pt idx="9">
                  <c:v>380</c:v>
                </c:pt>
                <c:pt idx="10">
                  <c:v>380</c:v>
                </c:pt>
                <c:pt idx="11">
                  <c:v>380</c:v>
                </c:pt>
                <c:pt idx="12">
                  <c:v>290</c:v>
                </c:pt>
                <c:pt idx="13">
                  <c:v>412</c:v>
                </c:pt>
                <c:pt idx="14">
                  <c:v>412</c:v>
                </c:pt>
                <c:pt idx="15">
                  <c:v>404</c:v>
                </c:pt>
                <c:pt idx="16">
                  <c:v>1700</c:v>
                </c:pt>
                <c:pt idx="17">
                  <c:v>2250</c:v>
                </c:pt>
                <c:pt idx="18">
                  <c:v>250</c:v>
                </c:pt>
                <c:pt idx="19">
                  <c:v>390</c:v>
                </c:pt>
                <c:pt idx="20">
                  <c:v>390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501-4D6F-A8F9-D3841622B4F0}"/>
            </c:ext>
          </c:extLst>
        </c:ser>
        <c:ser>
          <c:idx val="4"/>
          <c:order val="4"/>
          <c:tx>
            <c:strRef>
              <c:f>'LINE 2'!$B$141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2'!$E$136:$Y$136</c:f>
              <c:numCache>
                <c:formatCode>#,##0</c:formatCode>
                <c:ptCount val="21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30</c:v>
                </c:pt>
                <c:pt idx="20">
                  <c:v>31</c:v>
                </c:pt>
              </c:numCache>
            </c:numRef>
          </c:cat>
          <c:val>
            <c:numRef>
              <c:f>'LINE 2'!$E$141:$Y$141</c:f>
              <c:numCache>
                <c:formatCode>#,##0</c:formatCode>
                <c:ptCount val="21"/>
                <c:pt idx="0">
                  <c:v>79.599999999999994</c:v>
                </c:pt>
                <c:pt idx="1">
                  <c:v>29.2</c:v>
                </c:pt>
                <c:pt idx="2">
                  <c:v>9.5</c:v>
                </c:pt>
                <c:pt idx="3">
                  <c:v>12.5</c:v>
                </c:pt>
                <c:pt idx="4">
                  <c:v>21.5</c:v>
                </c:pt>
                <c:pt idx="5">
                  <c:v>24.8</c:v>
                </c:pt>
                <c:pt idx="6">
                  <c:v>30</c:v>
                </c:pt>
                <c:pt idx="7">
                  <c:v>38.888888888888886</c:v>
                </c:pt>
                <c:pt idx="8">
                  <c:v>30.434782608695652</c:v>
                </c:pt>
                <c:pt idx="9">
                  <c:v>34</c:v>
                </c:pt>
                <c:pt idx="10">
                  <c:v>39</c:v>
                </c:pt>
                <c:pt idx="11">
                  <c:v>39</c:v>
                </c:pt>
                <c:pt idx="12">
                  <c:v>36.25</c:v>
                </c:pt>
                <c:pt idx="13">
                  <c:v>41.2</c:v>
                </c:pt>
                <c:pt idx="14">
                  <c:v>41.2</c:v>
                </c:pt>
                <c:pt idx="15">
                  <c:v>39.200000000000003</c:v>
                </c:pt>
                <c:pt idx="16">
                  <c:v>140</c:v>
                </c:pt>
                <c:pt idx="17">
                  <c:v>173.91304347826087</c:v>
                </c:pt>
                <c:pt idx="18">
                  <c:v>50</c:v>
                </c:pt>
                <c:pt idx="19">
                  <c:v>17</c:v>
                </c:pt>
                <c:pt idx="20">
                  <c:v>29.130434782608695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501-4D6F-A8F9-D3841622B4F0}"/>
            </c:ext>
          </c:extLst>
        </c:ser>
        <c:ser>
          <c:idx val="5"/>
          <c:order val="5"/>
          <c:tx>
            <c:strRef>
              <c:f>'LINE 2'!$B$142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6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2'!$E$136:$Y$136</c:f>
              <c:numCache>
                <c:formatCode>#,##0</c:formatCode>
                <c:ptCount val="21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30</c:v>
                </c:pt>
                <c:pt idx="20">
                  <c:v>31</c:v>
                </c:pt>
              </c:numCache>
            </c:numRef>
          </c:cat>
          <c:val>
            <c:numRef>
              <c:f>'LINE 2'!$E$142:$Y$142</c:f>
              <c:numCache>
                <c:formatCode>#,##0</c:formatCode>
                <c:ptCount val="21"/>
                <c:pt idx="0">
                  <c:v>868</c:v>
                </c:pt>
                <c:pt idx="1">
                  <c:v>868</c:v>
                </c:pt>
                <c:pt idx="2">
                  <c:v>304</c:v>
                </c:pt>
                <c:pt idx="3">
                  <c:v>304</c:v>
                </c:pt>
                <c:pt idx="4">
                  <c:v>304</c:v>
                </c:pt>
                <c:pt idx="5">
                  <c:v>304</c:v>
                </c:pt>
                <c:pt idx="6">
                  <c:v>304</c:v>
                </c:pt>
                <c:pt idx="7">
                  <c:v>304</c:v>
                </c:pt>
                <c:pt idx="8">
                  <c:v>304</c:v>
                </c:pt>
                <c:pt idx="9">
                  <c:v>304</c:v>
                </c:pt>
                <c:pt idx="10">
                  <c:v>304</c:v>
                </c:pt>
                <c:pt idx="11">
                  <c:v>304</c:v>
                </c:pt>
                <c:pt idx="12">
                  <c:v>304</c:v>
                </c:pt>
                <c:pt idx="13">
                  <c:v>304</c:v>
                </c:pt>
                <c:pt idx="14">
                  <c:v>304</c:v>
                </c:pt>
                <c:pt idx="15">
                  <c:v>304</c:v>
                </c:pt>
                <c:pt idx="16">
                  <c:v>868</c:v>
                </c:pt>
                <c:pt idx="17">
                  <c:v>868</c:v>
                </c:pt>
                <c:pt idx="18">
                  <c:v>868</c:v>
                </c:pt>
                <c:pt idx="19">
                  <c:v>253</c:v>
                </c:pt>
                <c:pt idx="20">
                  <c:v>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501-4D6F-A8F9-D3841622B4F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27939503"/>
        <c:axId val="2027920367"/>
      </c:lineChart>
      <c:catAx>
        <c:axId val="20279395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MAY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920367"/>
        <c:crosses val="autoZero"/>
        <c:auto val="1"/>
        <c:lblAlgn val="ctr"/>
        <c:lblOffset val="100"/>
        <c:noMultiLvlLbl val="0"/>
      </c:catAx>
      <c:valAx>
        <c:axId val="2027920367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027939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2 IN June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2'!$B$170</c:f>
              <c:strCache>
                <c:ptCount val="1"/>
                <c:pt idx="0">
                  <c:v>COCOS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2'!$E$169:$AD$169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</c:numCache>
            </c:numRef>
          </c:cat>
          <c:val>
            <c:numRef>
              <c:f>'LINE 2'!$E$170:$AD$170</c:f>
              <c:numCache>
                <c:formatCode>General</c:formatCode>
                <c:ptCount val="26"/>
                <c:pt idx="0">
                  <c:v>250</c:v>
                </c:pt>
                <c:pt idx="1">
                  <c:v>242</c:v>
                </c:pt>
                <c:pt idx="2">
                  <c:v>300</c:v>
                </c:pt>
                <c:pt idx="3">
                  <c:v>20</c:v>
                </c:pt>
                <c:pt idx="4">
                  <c:v>220</c:v>
                </c:pt>
                <c:pt idx="5">
                  <c:v>290</c:v>
                </c:pt>
                <c:pt idx="6">
                  <c:v>235</c:v>
                </c:pt>
                <c:pt idx="7">
                  <c:v>246</c:v>
                </c:pt>
                <c:pt idx="8">
                  <c:v>265</c:v>
                </c:pt>
                <c:pt idx="9">
                  <c:v>200</c:v>
                </c:pt>
                <c:pt idx="10">
                  <c:v>270</c:v>
                </c:pt>
                <c:pt idx="11">
                  <c:v>257</c:v>
                </c:pt>
                <c:pt idx="12">
                  <c:v>285</c:v>
                </c:pt>
                <c:pt idx="13">
                  <c:v>285</c:v>
                </c:pt>
                <c:pt idx="14">
                  <c:v>285</c:v>
                </c:pt>
                <c:pt idx="15">
                  <c:v>231</c:v>
                </c:pt>
                <c:pt idx="16">
                  <c:v>285</c:v>
                </c:pt>
                <c:pt idx="17">
                  <c:v>285</c:v>
                </c:pt>
                <c:pt idx="18">
                  <c:v>285</c:v>
                </c:pt>
                <c:pt idx="19">
                  <c:v>285</c:v>
                </c:pt>
                <c:pt idx="20">
                  <c:v>285</c:v>
                </c:pt>
                <c:pt idx="21">
                  <c:v>231</c:v>
                </c:pt>
                <c:pt idx="22">
                  <c:v>285</c:v>
                </c:pt>
                <c:pt idx="23">
                  <c:v>285</c:v>
                </c:pt>
                <c:pt idx="24">
                  <c:v>280</c:v>
                </c:pt>
                <c:pt idx="25">
                  <c:v>270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35-425B-B726-005F7CCADD48}"/>
            </c:ext>
          </c:extLst>
        </c:ser>
        <c:ser>
          <c:idx val="1"/>
          <c:order val="1"/>
          <c:tx>
            <c:strRef>
              <c:f>'LINE 2'!$B$171</c:f>
              <c:strCache>
                <c:ptCount val="1"/>
                <c:pt idx="0">
                  <c:v>COCOS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2'!$E$169:$AD$169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</c:numCache>
            </c:numRef>
          </c:cat>
          <c:val>
            <c:numRef>
              <c:f>'LINE 2'!$E$171:$AD$171</c:f>
              <c:numCache>
                <c:formatCode>General</c:formatCode>
                <c:ptCount val="26"/>
                <c:pt idx="1">
                  <c:v>33</c:v>
                </c:pt>
                <c:pt idx="7">
                  <c:v>19</c:v>
                </c:pt>
                <c:pt idx="11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35-425B-B726-005F7CCADD48}"/>
            </c:ext>
          </c:extLst>
        </c:ser>
        <c:ser>
          <c:idx val="2"/>
          <c:order val="2"/>
          <c:tx>
            <c:strRef>
              <c:f>'LINE 2'!$B$172</c:f>
              <c:strCache>
                <c:ptCount val="1"/>
                <c:pt idx="0">
                  <c:v>H&amp;M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2'!$E$169:$AD$169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</c:numCache>
            </c:numRef>
          </c:cat>
          <c:val>
            <c:numRef>
              <c:f>'LINE 2'!$E$172:$AD$172</c:f>
              <c:numCache>
                <c:formatCode>General</c:formatCode>
                <c:ptCount val="26"/>
                <c:pt idx="4">
                  <c:v>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35-425B-B726-005F7CCADD48}"/>
            </c:ext>
          </c:extLst>
        </c:ser>
        <c:ser>
          <c:idx val="3"/>
          <c:order val="3"/>
          <c:tx>
            <c:strRef>
              <c:f>'LINE 2'!$B$173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2'!$E$169:$AD$169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</c:numCache>
            </c:numRef>
          </c:cat>
          <c:val>
            <c:numRef>
              <c:f>'LINE 2'!$E$173:$AD$173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35-425B-B726-005F7CCADD48}"/>
            </c:ext>
          </c:extLst>
        </c:ser>
        <c:ser>
          <c:idx val="4"/>
          <c:order val="4"/>
          <c:tx>
            <c:strRef>
              <c:f>'LINE 2'!$B$174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2'!$E$169:$AD$169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</c:numCache>
            </c:numRef>
          </c:cat>
          <c:val>
            <c:numRef>
              <c:f>'LINE 2'!$E$174:$AD$174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635-425B-B726-005F7CCADD48}"/>
            </c:ext>
          </c:extLst>
        </c:ser>
        <c:ser>
          <c:idx val="5"/>
          <c:order val="5"/>
          <c:tx>
            <c:strRef>
              <c:f>'LINE 2'!$B$175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6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2'!$E$169:$AD$169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</c:numCache>
            </c:numRef>
          </c:cat>
          <c:val>
            <c:numRef>
              <c:f>'LINE 2'!$E$175:$AD$175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635-425B-B726-005F7CCADD4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19640095"/>
        <c:axId val="1919665471"/>
      </c:lineChart>
      <c:catAx>
        <c:axId val="19196400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JUNE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665471"/>
        <c:crosses val="autoZero"/>
        <c:auto val="1"/>
        <c:lblAlgn val="ctr"/>
        <c:lblOffset val="100"/>
        <c:noMultiLvlLbl val="0"/>
      </c:catAx>
      <c:valAx>
        <c:axId val="191966547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19640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2 IN July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2'!$B$203</c:f>
              <c:strCache>
                <c:ptCount val="1"/>
                <c:pt idx="0">
                  <c:v>COCOS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2'!$E$202:$AB$202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</c:numCache>
            </c:numRef>
          </c:cat>
          <c:val>
            <c:numRef>
              <c:f>'LINE 2'!$E$203:$AB$203</c:f>
              <c:numCache>
                <c:formatCode>General</c:formatCode>
                <c:ptCount val="24"/>
                <c:pt idx="0">
                  <c:v>265</c:v>
                </c:pt>
                <c:pt idx="1">
                  <c:v>230</c:v>
                </c:pt>
                <c:pt idx="2">
                  <c:v>295</c:v>
                </c:pt>
                <c:pt idx="3">
                  <c:v>225</c:v>
                </c:pt>
                <c:pt idx="4">
                  <c:v>225</c:v>
                </c:pt>
                <c:pt idx="5">
                  <c:v>290</c:v>
                </c:pt>
                <c:pt idx="6">
                  <c:v>270</c:v>
                </c:pt>
                <c:pt idx="7">
                  <c:v>225</c:v>
                </c:pt>
                <c:pt idx="8">
                  <c:v>270</c:v>
                </c:pt>
                <c:pt idx="9">
                  <c:v>270</c:v>
                </c:pt>
                <c:pt idx="10">
                  <c:v>280</c:v>
                </c:pt>
                <c:pt idx="11">
                  <c:v>290</c:v>
                </c:pt>
                <c:pt idx="12">
                  <c:v>230</c:v>
                </c:pt>
                <c:pt idx="13">
                  <c:v>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3-4AE2-940B-527864A72705}"/>
            </c:ext>
          </c:extLst>
        </c:ser>
        <c:ser>
          <c:idx val="1"/>
          <c:order val="1"/>
          <c:tx>
            <c:strRef>
              <c:f>'LINE 2'!$B$204</c:f>
              <c:strCache>
                <c:ptCount val="1"/>
                <c:pt idx="0">
                  <c:v>AITOZ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2'!$E$202:$AB$202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</c:numCache>
            </c:numRef>
          </c:cat>
          <c:val>
            <c:numRef>
              <c:f>'LINE 2'!$E$204:$AB$204</c:f>
              <c:numCache>
                <c:formatCode>General</c:formatCode>
                <c:ptCount val="24"/>
                <c:pt idx="14">
                  <c:v>0</c:v>
                </c:pt>
                <c:pt idx="15">
                  <c:v>140</c:v>
                </c:pt>
                <c:pt idx="16">
                  <c:v>165</c:v>
                </c:pt>
                <c:pt idx="17">
                  <c:v>216</c:v>
                </c:pt>
                <c:pt idx="18">
                  <c:v>180</c:v>
                </c:pt>
                <c:pt idx="19">
                  <c:v>225</c:v>
                </c:pt>
                <c:pt idx="20">
                  <c:v>230</c:v>
                </c:pt>
                <c:pt idx="21">
                  <c:v>230</c:v>
                </c:pt>
                <c:pt idx="22">
                  <c:v>235</c:v>
                </c:pt>
                <c:pt idx="23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A3-4AE2-940B-527864A72705}"/>
            </c:ext>
          </c:extLst>
        </c:ser>
        <c:ser>
          <c:idx val="2"/>
          <c:order val="2"/>
          <c:tx>
            <c:strRef>
              <c:f>'LINE 2'!$B$205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2'!$E$202:$AB$202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</c:numCache>
            </c:numRef>
          </c:cat>
          <c:val>
            <c:numRef>
              <c:f>'LINE 2'!$E$205:$AB$205</c:f>
              <c:numCache>
                <c:formatCode>General</c:formatCode>
                <c:ptCount val="24"/>
                <c:pt idx="0">
                  <c:v>290</c:v>
                </c:pt>
                <c:pt idx="1">
                  <c:v>230</c:v>
                </c:pt>
                <c:pt idx="2">
                  <c:v>297</c:v>
                </c:pt>
                <c:pt idx="3">
                  <c:v>297</c:v>
                </c:pt>
                <c:pt idx="4">
                  <c:v>297</c:v>
                </c:pt>
                <c:pt idx="5">
                  <c:v>297</c:v>
                </c:pt>
                <c:pt idx="6">
                  <c:v>297</c:v>
                </c:pt>
                <c:pt idx="7">
                  <c:v>297</c:v>
                </c:pt>
                <c:pt idx="8">
                  <c:v>297</c:v>
                </c:pt>
                <c:pt idx="9">
                  <c:v>297</c:v>
                </c:pt>
                <c:pt idx="10">
                  <c:v>297</c:v>
                </c:pt>
                <c:pt idx="11">
                  <c:v>297</c:v>
                </c:pt>
                <c:pt idx="12">
                  <c:v>230</c:v>
                </c:pt>
                <c:pt idx="13">
                  <c:v>214</c:v>
                </c:pt>
                <c:pt idx="14">
                  <c:v>250</c:v>
                </c:pt>
                <c:pt idx="15">
                  <c:v>260</c:v>
                </c:pt>
                <c:pt idx="16">
                  <c:v>216</c:v>
                </c:pt>
                <c:pt idx="17">
                  <c:v>216</c:v>
                </c:pt>
                <c:pt idx="18">
                  <c:v>180</c:v>
                </c:pt>
                <c:pt idx="19">
                  <c:v>250</c:v>
                </c:pt>
                <c:pt idx="20">
                  <c:v>250</c:v>
                </c:pt>
                <c:pt idx="21">
                  <c:v>250</c:v>
                </c:pt>
                <c:pt idx="22">
                  <c:v>250</c:v>
                </c:pt>
                <c:pt idx="23">
                  <c:v>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A3-4AE2-940B-527864A72705}"/>
            </c:ext>
          </c:extLst>
        </c:ser>
        <c:ser>
          <c:idx val="3"/>
          <c:order val="3"/>
          <c:tx>
            <c:strRef>
              <c:f>'LINE 2'!$B$206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2'!$E$202:$AB$202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</c:numCache>
            </c:numRef>
          </c:cat>
          <c:val>
            <c:numRef>
              <c:f>'LINE 2'!$E$206:$AB$206</c:f>
              <c:numCache>
                <c:formatCode>#,##0;[Red]#,##0</c:formatCode>
                <c:ptCount val="24"/>
                <c:pt idx="0">
                  <c:v>32.222222222222221</c:v>
                </c:pt>
                <c:pt idx="1">
                  <c:v>32.857142857142854</c:v>
                </c:pt>
                <c:pt idx="2">
                  <c:v>33</c:v>
                </c:pt>
                <c:pt idx="3">
                  <c:v>33</c:v>
                </c:pt>
                <c:pt idx="4">
                  <c:v>33</c:v>
                </c:pt>
                <c:pt idx="5">
                  <c:v>31.263157894736842</c:v>
                </c:pt>
                <c:pt idx="6">
                  <c:v>33</c:v>
                </c:pt>
                <c:pt idx="7">
                  <c:v>33</c:v>
                </c:pt>
                <c:pt idx="8">
                  <c:v>33</c:v>
                </c:pt>
                <c:pt idx="9">
                  <c:v>33</c:v>
                </c:pt>
                <c:pt idx="10">
                  <c:v>33</c:v>
                </c:pt>
                <c:pt idx="11">
                  <c:v>33</c:v>
                </c:pt>
                <c:pt idx="12">
                  <c:v>32.857142857142854</c:v>
                </c:pt>
                <c:pt idx="13">
                  <c:v>26.75</c:v>
                </c:pt>
                <c:pt idx="14">
                  <c:v>31.25</c:v>
                </c:pt>
                <c:pt idx="15">
                  <c:v>28.888888888888889</c:v>
                </c:pt>
                <c:pt idx="16">
                  <c:v>24</c:v>
                </c:pt>
                <c:pt idx="17">
                  <c:v>24</c:v>
                </c:pt>
                <c:pt idx="18">
                  <c:v>25.714285714285715</c:v>
                </c:pt>
                <c:pt idx="19">
                  <c:v>27.777777777777779</c:v>
                </c:pt>
                <c:pt idx="20">
                  <c:v>27.777777777777779</c:v>
                </c:pt>
                <c:pt idx="21">
                  <c:v>27.777777777777779</c:v>
                </c:pt>
                <c:pt idx="22">
                  <c:v>27.777777777777779</c:v>
                </c:pt>
                <c:pt idx="23">
                  <c:v>27.777777777777779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A3-4AE2-940B-527864A72705}"/>
            </c:ext>
          </c:extLst>
        </c:ser>
        <c:ser>
          <c:idx val="4"/>
          <c:order val="4"/>
          <c:tx>
            <c:strRef>
              <c:f>'LINE 2'!$B$207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2'!$E$202:$AB$202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</c:numCache>
            </c:numRef>
          </c:cat>
          <c:val>
            <c:numRef>
              <c:f>'LINE 2'!$E$207:$AB$207</c:f>
              <c:numCache>
                <c:formatCode>General</c:formatCode>
                <c:ptCount val="24"/>
                <c:pt idx="0">
                  <c:v>256</c:v>
                </c:pt>
                <c:pt idx="1">
                  <c:v>256</c:v>
                </c:pt>
                <c:pt idx="2">
                  <c:v>256</c:v>
                </c:pt>
                <c:pt idx="3">
                  <c:v>256</c:v>
                </c:pt>
                <c:pt idx="4">
                  <c:v>256</c:v>
                </c:pt>
                <c:pt idx="5">
                  <c:v>256</c:v>
                </c:pt>
                <c:pt idx="6">
                  <c:v>256</c:v>
                </c:pt>
                <c:pt idx="7">
                  <c:v>256</c:v>
                </c:pt>
                <c:pt idx="8">
                  <c:v>256</c:v>
                </c:pt>
                <c:pt idx="9">
                  <c:v>256</c:v>
                </c:pt>
                <c:pt idx="10">
                  <c:v>256</c:v>
                </c:pt>
                <c:pt idx="11">
                  <c:v>256</c:v>
                </c:pt>
                <c:pt idx="12">
                  <c:v>256</c:v>
                </c:pt>
                <c:pt idx="13">
                  <c:v>256</c:v>
                </c:pt>
                <c:pt idx="14">
                  <c:v>184</c:v>
                </c:pt>
                <c:pt idx="15">
                  <c:v>184</c:v>
                </c:pt>
                <c:pt idx="16">
                  <c:v>184</c:v>
                </c:pt>
                <c:pt idx="17">
                  <c:v>184</c:v>
                </c:pt>
                <c:pt idx="18">
                  <c:v>184</c:v>
                </c:pt>
                <c:pt idx="19">
                  <c:v>184</c:v>
                </c:pt>
                <c:pt idx="20">
                  <c:v>184</c:v>
                </c:pt>
                <c:pt idx="21">
                  <c:v>184</c:v>
                </c:pt>
                <c:pt idx="22">
                  <c:v>184</c:v>
                </c:pt>
                <c:pt idx="23">
                  <c:v>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A3-4AE2-940B-527864A7270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19644671"/>
        <c:axId val="1919650079"/>
      </c:lineChart>
      <c:catAx>
        <c:axId val="19196446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JULY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650079"/>
        <c:crosses val="autoZero"/>
        <c:auto val="1"/>
        <c:lblAlgn val="ctr"/>
        <c:lblOffset val="100"/>
        <c:noMultiLvlLbl val="0"/>
      </c:catAx>
      <c:valAx>
        <c:axId val="19196500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1964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3 IN January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3'!$B$4</c:f>
              <c:strCache>
                <c:ptCount val="1"/>
                <c:pt idx="0">
                  <c:v>AITOZ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3'!$E$3:$AC$3</c:f>
              <c:numCache>
                <c:formatCode>General</c:formatCode>
                <c:ptCount val="2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31</c:v>
                </c:pt>
              </c:numCache>
            </c:numRef>
          </c:cat>
          <c:val>
            <c:numRef>
              <c:f>'LINE 3'!$E$4:$AC$4</c:f>
              <c:numCache>
                <c:formatCode>#,##0</c:formatCode>
                <c:ptCount val="25"/>
                <c:pt idx="0">
                  <c:v>190</c:v>
                </c:pt>
                <c:pt idx="1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E5-4624-8500-E90C19AA4281}"/>
            </c:ext>
          </c:extLst>
        </c:ser>
        <c:ser>
          <c:idx val="1"/>
          <c:order val="1"/>
          <c:tx>
            <c:strRef>
              <c:f>'LINE 3'!$B$5</c:f>
              <c:strCache>
                <c:ptCount val="1"/>
                <c:pt idx="0">
                  <c:v>BIG BORN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3'!$E$3:$AC$3</c:f>
              <c:numCache>
                <c:formatCode>General</c:formatCode>
                <c:ptCount val="2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31</c:v>
                </c:pt>
              </c:numCache>
            </c:numRef>
          </c:cat>
          <c:val>
            <c:numRef>
              <c:f>'LINE 3'!$E$5:$AC$5</c:f>
              <c:numCache>
                <c:formatCode>#,##0</c:formatCode>
                <c:ptCount val="25"/>
                <c:pt idx="2">
                  <c:v>0</c:v>
                </c:pt>
                <c:pt idx="3">
                  <c:v>150</c:v>
                </c:pt>
                <c:pt idx="4">
                  <c:v>160</c:v>
                </c:pt>
                <c:pt idx="5">
                  <c:v>100</c:v>
                </c:pt>
                <c:pt idx="6">
                  <c:v>190</c:v>
                </c:pt>
                <c:pt idx="7">
                  <c:v>190</c:v>
                </c:pt>
                <c:pt idx="8">
                  <c:v>190</c:v>
                </c:pt>
                <c:pt idx="9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E5-4624-8500-E90C19AA4281}"/>
            </c:ext>
          </c:extLst>
        </c:ser>
        <c:ser>
          <c:idx val="2"/>
          <c:order val="2"/>
          <c:tx>
            <c:strRef>
              <c:f>'LINE 3'!$B$6</c:f>
              <c:strCache>
                <c:ptCount val="1"/>
                <c:pt idx="0">
                  <c:v>UNIMATE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3'!$E$3:$AC$3</c:f>
              <c:numCache>
                <c:formatCode>General</c:formatCode>
                <c:ptCount val="2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31</c:v>
                </c:pt>
              </c:numCache>
            </c:numRef>
          </c:cat>
          <c:val>
            <c:numRef>
              <c:f>'LINE 3'!$E$6:$AC$6</c:f>
              <c:numCache>
                <c:formatCode>#,##0</c:formatCode>
                <c:ptCount val="25"/>
                <c:pt idx="10">
                  <c:v>0</c:v>
                </c:pt>
                <c:pt idx="11">
                  <c:v>0</c:v>
                </c:pt>
                <c:pt idx="12">
                  <c:v>90</c:v>
                </c:pt>
                <c:pt idx="13">
                  <c:v>150</c:v>
                </c:pt>
                <c:pt idx="14">
                  <c:v>190</c:v>
                </c:pt>
                <c:pt idx="15">
                  <c:v>200</c:v>
                </c:pt>
                <c:pt idx="16">
                  <c:v>200</c:v>
                </c:pt>
                <c:pt idx="17">
                  <c:v>150</c:v>
                </c:pt>
                <c:pt idx="18">
                  <c:v>205</c:v>
                </c:pt>
                <c:pt idx="19">
                  <c:v>210</c:v>
                </c:pt>
                <c:pt idx="20">
                  <c:v>210</c:v>
                </c:pt>
                <c:pt idx="21">
                  <c:v>210</c:v>
                </c:pt>
                <c:pt idx="22">
                  <c:v>210</c:v>
                </c:pt>
                <c:pt idx="23">
                  <c:v>150</c:v>
                </c:pt>
                <c:pt idx="24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E5-4624-8500-E90C19AA4281}"/>
            </c:ext>
          </c:extLst>
        </c:ser>
        <c:ser>
          <c:idx val="3"/>
          <c:order val="3"/>
          <c:tx>
            <c:strRef>
              <c:f>'LINE 3'!$B$7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3'!$E$3:$AC$3</c:f>
              <c:numCache>
                <c:formatCode>General</c:formatCode>
                <c:ptCount val="2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31</c:v>
                </c:pt>
              </c:numCache>
            </c:numRef>
          </c:cat>
          <c:val>
            <c:numRef>
              <c:f>'LINE 3'!$E$7:$AC$7</c:f>
              <c:numCache>
                <c:formatCode>#,##0</c:formatCode>
                <c:ptCount val="25"/>
                <c:pt idx="0">
                  <c:v>200</c:v>
                </c:pt>
                <c:pt idx="1">
                  <c:v>90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100</c:v>
                </c:pt>
                <c:pt idx="6">
                  <c:v>250</c:v>
                </c:pt>
                <c:pt idx="7">
                  <c:v>250</c:v>
                </c:pt>
                <c:pt idx="8">
                  <c:v>250</c:v>
                </c:pt>
                <c:pt idx="9">
                  <c:v>250</c:v>
                </c:pt>
                <c:pt idx="10">
                  <c:v>0</c:v>
                </c:pt>
                <c:pt idx="11">
                  <c:v>80</c:v>
                </c:pt>
                <c:pt idx="12">
                  <c:v>150</c:v>
                </c:pt>
                <c:pt idx="13">
                  <c:v>150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150</c:v>
                </c:pt>
                <c:pt idx="18">
                  <c:v>150</c:v>
                </c:pt>
                <c:pt idx="19">
                  <c:v>210</c:v>
                </c:pt>
                <c:pt idx="20">
                  <c:v>210</c:v>
                </c:pt>
                <c:pt idx="21">
                  <c:v>210</c:v>
                </c:pt>
                <c:pt idx="22">
                  <c:v>210</c:v>
                </c:pt>
                <c:pt idx="23">
                  <c:v>150</c:v>
                </c:pt>
                <c:pt idx="24">
                  <c:v>210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E5-4624-8500-E90C19AA4281}"/>
            </c:ext>
          </c:extLst>
        </c:ser>
        <c:ser>
          <c:idx val="4"/>
          <c:order val="4"/>
          <c:tx>
            <c:strRef>
              <c:f>'LINE 3'!$B$8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3'!$E$3:$AC$3</c:f>
              <c:numCache>
                <c:formatCode>General</c:formatCode>
                <c:ptCount val="2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31</c:v>
                </c:pt>
              </c:numCache>
            </c:numRef>
          </c:cat>
          <c:val>
            <c:numRef>
              <c:f>'LINE 3'!$E$8:$AC$8</c:f>
              <c:numCache>
                <c:formatCode>#,##0</c:formatCode>
                <c:ptCount val="25"/>
                <c:pt idx="0">
                  <c:v>19</c:v>
                </c:pt>
                <c:pt idx="1">
                  <c:v>9</c:v>
                </c:pt>
                <c:pt idx="2">
                  <c:v>0</c:v>
                </c:pt>
                <c:pt idx="3">
                  <c:v>16.666666666666668</c:v>
                </c:pt>
                <c:pt idx="4">
                  <c:v>17.777777777777779</c:v>
                </c:pt>
                <c:pt idx="5">
                  <c:v>20</c:v>
                </c:pt>
                <c:pt idx="6">
                  <c:v>19</c:v>
                </c:pt>
                <c:pt idx="7">
                  <c:v>19</c:v>
                </c:pt>
                <c:pt idx="8">
                  <c:v>20</c:v>
                </c:pt>
                <c:pt idx="9">
                  <c:v>2.3157894736842106</c:v>
                </c:pt>
                <c:pt idx="10">
                  <c:v>0</c:v>
                </c:pt>
                <c:pt idx="11">
                  <c:v>0</c:v>
                </c:pt>
                <c:pt idx="12">
                  <c:v>9</c:v>
                </c:pt>
                <c:pt idx="13">
                  <c:v>18.75</c:v>
                </c:pt>
                <c:pt idx="14">
                  <c:v>19</c:v>
                </c:pt>
                <c:pt idx="15">
                  <c:v>20</c:v>
                </c:pt>
                <c:pt idx="16">
                  <c:v>20</c:v>
                </c:pt>
                <c:pt idx="17">
                  <c:v>21.428571428571427</c:v>
                </c:pt>
                <c:pt idx="18">
                  <c:v>22.777777777777779</c:v>
                </c:pt>
                <c:pt idx="19">
                  <c:v>23.333333333333332</c:v>
                </c:pt>
                <c:pt idx="20">
                  <c:v>23.333333333333332</c:v>
                </c:pt>
                <c:pt idx="21">
                  <c:v>23.333333333333332</c:v>
                </c:pt>
                <c:pt idx="22">
                  <c:v>23.333333333333332</c:v>
                </c:pt>
                <c:pt idx="23">
                  <c:v>21.428571428571427</c:v>
                </c:pt>
                <c:pt idx="24">
                  <c:v>20.5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E5-4624-8500-E90C19AA4281}"/>
            </c:ext>
          </c:extLst>
        </c:ser>
        <c:ser>
          <c:idx val="5"/>
          <c:order val="5"/>
          <c:tx>
            <c:strRef>
              <c:f>'LINE 3'!$B$9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6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3'!$E$3:$AC$3</c:f>
              <c:numCache>
                <c:formatCode>General</c:formatCode>
                <c:ptCount val="2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31</c:v>
                </c:pt>
              </c:numCache>
            </c:numRef>
          </c:cat>
          <c:val>
            <c:numRef>
              <c:f>'LINE 3'!$E$9:$AC$9</c:f>
              <c:numCache>
                <c:formatCode>#,##0</c:formatCode>
                <c:ptCount val="25"/>
                <c:pt idx="0">
                  <c:v>140</c:v>
                </c:pt>
                <c:pt idx="1">
                  <c:v>140</c:v>
                </c:pt>
                <c:pt idx="2">
                  <c:v>125</c:v>
                </c:pt>
                <c:pt idx="3">
                  <c:v>125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159</c:v>
                </c:pt>
                <c:pt idx="11">
                  <c:v>159</c:v>
                </c:pt>
                <c:pt idx="12">
                  <c:v>159</c:v>
                </c:pt>
                <c:pt idx="13">
                  <c:v>159</c:v>
                </c:pt>
                <c:pt idx="14">
                  <c:v>159</c:v>
                </c:pt>
                <c:pt idx="15">
                  <c:v>159</c:v>
                </c:pt>
                <c:pt idx="16">
                  <c:v>159</c:v>
                </c:pt>
                <c:pt idx="17">
                  <c:v>159</c:v>
                </c:pt>
                <c:pt idx="18">
                  <c:v>159</c:v>
                </c:pt>
                <c:pt idx="19">
                  <c:v>159</c:v>
                </c:pt>
                <c:pt idx="20">
                  <c:v>159</c:v>
                </c:pt>
                <c:pt idx="21">
                  <c:v>159</c:v>
                </c:pt>
                <c:pt idx="22">
                  <c:v>159</c:v>
                </c:pt>
                <c:pt idx="23">
                  <c:v>159</c:v>
                </c:pt>
                <c:pt idx="24">
                  <c:v>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0E5-4624-8500-E90C19AA428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20915615"/>
        <c:axId val="1920927679"/>
      </c:lineChart>
      <c:catAx>
        <c:axId val="19209156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JANUARY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0927679"/>
        <c:crosses val="autoZero"/>
        <c:auto val="1"/>
        <c:lblAlgn val="ctr"/>
        <c:lblOffset val="100"/>
        <c:noMultiLvlLbl val="0"/>
      </c:catAx>
      <c:valAx>
        <c:axId val="1920927679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20915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3 IN February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3'!$B$37</c:f>
              <c:strCache>
                <c:ptCount val="1"/>
                <c:pt idx="0">
                  <c:v>UNIMATE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3'!$E$36:$AA$36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28</c:v>
                </c:pt>
              </c:numCache>
            </c:numRef>
          </c:cat>
          <c:val>
            <c:numRef>
              <c:f>'LINE 3'!$E$37:$AA$37</c:f>
              <c:numCache>
                <c:formatCode>#,##0</c:formatCode>
                <c:ptCount val="23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  <c:pt idx="3">
                  <c:v>150</c:v>
                </c:pt>
                <c:pt idx="4">
                  <c:v>230</c:v>
                </c:pt>
                <c:pt idx="5">
                  <c:v>235</c:v>
                </c:pt>
                <c:pt idx="6">
                  <c:v>240</c:v>
                </c:pt>
                <c:pt idx="7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EE-438F-B314-A7FEF3B096D8}"/>
            </c:ext>
          </c:extLst>
        </c:ser>
        <c:ser>
          <c:idx val="1"/>
          <c:order val="1"/>
          <c:tx>
            <c:strRef>
              <c:f>'LINE 3'!$B$38</c:f>
              <c:strCache>
                <c:ptCount val="1"/>
                <c:pt idx="0">
                  <c:v>UNIMATE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3'!$E$36:$AA$36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28</c:v>
                </c:pt>
              </c:numCache>
            </c:numRef>
          </c:cat>
          <c:val>
            <c:numRef>
              <c:f>'LINE 3'!$E$38:$AA$38</c:f>
              <c:numCache>
                <c:formatCode>#,##0</c:formatCode>
                <c:ptCount val="23"/>
                <c:pt idx="8">
                  <c:v>150</c:v>
                </c:pt>
                <c:pt idx="9">
                  <c:v>100</c:v>
                </c:pt>
                <c:pt idx="10">
                  <c:v>180</c:v>
                </c:pt>
                <c:pt idx="11">
                  <c:v>160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134</c:v>
                </c:pt>
                <c:pt idx="18">
                  <c:v>230</c:v>
                </c:pt>
                <c:pt idx="19">
                  <c:v>185</c:v>
                </c:pt>
                <c:pt idx="20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EE-438F-B314-A7FEF3B096D8}"/>
            </c:ext>
          </c:extLst>
        </c:ser>
        <c:ser>
          <c:idx val="2"/>
          <c:order val="2"/>
          <c:tx>
            <c:strRef>
              <c:f>'LINE 3'!$B$39</c:f>
              <c:strCache>
                <c:ptCount val="1"/>
                <c:pt idx="0">
                  <c:v>KAZEN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3'!$E$36:$AA$36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28</c:v>
                </c:pt>
              </c:numCache>
            </c:numRef>
          </c:cat>
          <c:val>
            <c:numRef>
              <c:f>'LINE 3'!$E$39:$AA$39</c:f>
              <c:numCache>
                <c:formatCode>#,##0</c:formatCode>
                <c:ptCount val="23"/>
                <c:pt idx="21">
                  <c:v>50</c:v>
                </c:pt>
                <c:pt idx="22">
                  <c:v>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EE-438F-B314-A7FEF3B096D8}"/>
            </c:ext>
          </c:extLst>
        </c:ser>
        <c:ser>
          <c:idx val="3"/>
          <c:order val="3"/>
          <c:tx>
            <c:strRef>
              <c:f>'LINE 3'!$B$40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3'!$E$36:$AA$36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28</c:v>
                </c:pt>
              </c:numCache>
            </c:numRef>
          </c:cat>
          <c:val>
            <c:numRef>
              <c:f>'LINE 3'!$E$40:$AA$40</c:f>
              <c:numCache>
                <c:formatCode>#,##0</c:formatCode>
                <c:ptCount val="23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  <c:pt idx="3">
                  <c:v>150</c:v>
                </c:pt>
                <c:pt idx="4">
                  <c:v>220</c:v>
                </c:pt>
                <c:pt idx="5">
                  <c:v>235</c:v>
                </c:pt>
                <c:pt idx="6">
                  <c:v>240</c:v>
                </c:pt>
                <c:pt idx="7">
                  <c:v>61</c:v>
                </c:pt>
                <c:pt idx="8">
                  <c:v>150</c:v>
                </c:pt>
                <c:pt idx="9">
                  <c:v>100</c:v>
                </c:pt>
                <c:pt idx="10">
                  <c:v>180</c:v>
                </c:pt>
                <c:pt idx="11">
                  <c:v>180</c:v>
                </c:pt>
                <c:pt idx="12">
                  <c:v>180</c:v>
                </c:pt>
                <c:pt idx="13">
                  <c:v>180</c:v>
                </c:pt>
                <c:pt idx="14">
                  <c:v>180</c:v>
                </c:pt>
                <c:pt idx="15">
                  <c:v>150</c:v>
                </c:pt>
                <c:pt idx="16">
                  <c:v>150</c:v>
                </c:pt>
                <c:pt idx="17">
                  <c:v>230</c:v>
                </c:pt>
                <c:pt idx="18">
                  <c:v>230</c:v>
                </c:pt>
                <c:pt idx="19">
                  <c:v>185</c:v>
                </c:pt>
                <c:pt idx="20">
                  <c:v>92</c:v>
                </c:pt>
                <c:pt idx="21">
                  <c:v>0</c:v>
                </c:pt>
                <c:pt idx="22">
                  <c:v>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EE-438F-B314-A7FEF3B096D8}"/>
            </c:ext>
          </c:extLst>
        </c:ser>
        <c:ser>
          <c:idx val="4"/>
          <c:order val="4"/>
          <c:tx>
            <c:strRef>
              <c:f>'LINE 3'!$B$41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3'!$E$36:$AA$36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28</c:v>
                </c:pt>
              </c:numCache>
            </c:numRef>
          </c:cat>
          <c:val>
            <c:numRef>
              <c:f>'LINE 3'!$E$41:$AA$41</c:f>
              <c:numCache>
                <c:formatCode>#,##0</c:formatCode>
                <c:ptCount val="23"/>
                <c:pt idx="0">
                  <c:v>24.444444444444443</c:v>
                </c:pt>
                <c:pt idx="1">
                  <c:v>24.444444444444443</c:v>
                </c:pt>
                <c:pt idx="2">
                  <c:v>24.444444444444443</c:v>
                </c:pt>
                <c:pt idx="3">
                  <c:v>21.428571428571427</c:v>
                </c:pt>
                <c:pt idx="4">
                  <c:v>25.555555555555557</c:v>
                </c:pt>
                <c:pt idx="5">
                  <c:v>26.111111111111111</c:v>
                </c:pt>
                <c:pt idx="6">
                  <c:v>26.666666666666668</c:v>
                </c:pt>
                <c:pt idx="7">
                  <c:v>6.7777777777777777</c:v>
                </c:pt>
                <c:pt idx="8">
                  <c:v>16.666666666666668</c:v>
                </c:pt>
                <c:pt idx="9">
                  <c:v>14.285714285714286</c:v>
                </c:pt>
                <c:pt idx="10">
                  <c:v>20</c:v>
                </c:pt>
                <c:pt idx="11">
                  <c:v>17.777777777777779</c:v>
                </c:pt>
                <c:pt idx="12">
                  <c:v>20</c:v>
                </c:pt>
                <c:pt idx="13">
                  <c:v>21.428571428571427</c:v>
                </c:pt>
                <c:pt idx="14">
                  <c:v>21.428571428571427</c:v>
                </c:pt>
                <c:pt idx="15">
                  <c:v>21.428571428571427</c:v>
                </c:pt>
                <c:pt idx="16">
                  <c:v>21.428571428571427</c:v>
                </c:pt>
                <c:pt idx="17">
                  <c:v>22.333333333333332</c:v>
                </c:pt>
                <c:pt idx="18">
                  <c:v>23</c:v>
                </c:pt>
                <c:pt idx="19">
                  <c:v>26.428571428571427</c:v>
                </c:pt>
                <c:pt idx="20">
                  <c:v>10.222222222222221</c:v>
                </c:pt>
                <c:pt idx="21">
                  <c:v>7.1428571428571432</c:v>
                </c:pt>
                <c:pt idx="22">
                  <c:v>37.647058823529413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AEE-438F-B314-A7FEF3B096D8}"/>
            </c:ext>
          </c:extLst>
        </c:ser>
        <c:ser>
          <c:idx val="5"/>
          <c:order val="5"/>
          <c:tx>
            <c:strRef>
              <c:f>'LINE 3'!$B$42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6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3'!$E$36:$AA$36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28</c:v>
                </c:pt>
              </c:numCache>
            </c:numRef>
          </c:cat>
          <c:val>
            <c:numRef>
              <c:f>'LINE 3'!$E$42:$AA$42</c:f>
              <c:numCache>
                <c:formatCode>#,##0</c:formatCode>
                <c:ptCount val="23"/>
                <c:pt idx="0">
                  <c:v>197</c:v>
                </c:pt>
                <c:pt idx="1">
                  <c:v>197</c:v>
                </c:pt>
                <c:pt idx="2">
                  <c:v>197</c:v>
                </c:pt>
                <c:pt idx="3">
                  <c:v>197</c:v>
                </c:pt>
                <c:pt idx="4">
                  <c:v>197</c:v>
                </c:pt>
                <c:pt idx="5">
                  <c:v>197</c:v>
                </c:pt>
                <c:pt idx="6">
                  <c:v>197</c:v>
                </c:pt>
                <c:pt idx="7">
                  <c:v>197</c:v>
                </c:pt>
                <c:pt idx="8">
                  <c:v>152</c:v>
                </c:pt>
                <c:pt idx="9">
                  <c:v>152</c:v>
                </c:pt>
                <c:pt idx="10">
                  <c:v>152</c:v>
                </c:pt>
                <c:pt idx="11">
                  <c:v>152</c:v>
                </c:pt>
                <c:pt idx="12">
                  <c:v>152</c:v>
                </c:pt>
                <c:pt idx="13">
                  <c:v>152</c:v>
                </c:pt>
                <c:pt idx="14">
                  <c:v>152</c:v>
                </c:pt>
                <c:pt idx="15">
                  <c:v>152</c:v>
                </c:pt>
                <c:pt idx="16">
                  <c:v>152</c:v>
                </c:pt>
                <c:pt idx="17">
                  <c:v>152</c:v>
                </c:pt>
                <c:pt idx="18">
                  <c:v>152</c:v>
                </c:pt>
                <c:pt idx="19">
                  <c:v>152</c:v>
                </c:pt>
                <c:pt idx="20">
                  <c:v>152</c:v>
                </c:pt>
                <c:pt idx="21">
                  <c:v>185</c:v>
                </c:pt>
                <c:pt idx="22">
                  <c:v>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AEE-438F-B314-A7FEF3B096D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92305551"/>
        <c:axId val="1792306383"/>
      </c:lineChart>
      <c:catAx>
        <c:axId val="17923055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FEBRUARY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306383"/>
        <c:crosses val="autoZero"/>
        <c:auto val="1"/>
        <c:lblAlgn val="ctr"/>
        <c:lblOffset val="100"/>
        <c:noMultiLvlLbl val="0"/>
      </c:catAx>
      <c:valAx>
        <c:axId val="1792306383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792305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3 IN March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3'!$B$70</c:f>
              <c:strCache>
                <c:ptCount val="1"/>
                <c:pt idx="0">
                  <c:v>KAZEN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3'!$E$69:$AF$69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</c:numCache>
            </c:numRef>
          </c:cat>
          <c:val>
            <c:numRef>
              <c:f>'LINE 3'!$E$70:$AF$70</c:f>
              <c:numCache>
                <c:formatCode>#,##0</c:formatCode>
                <c:ptCount val="28"/>
                <c:pt idx="0">
                  <c:v>425</c:v>
                </c:pt>
                <c:pt idx="1">
                  <c:v>435</c:v>
                </c:pt>
                <c:pt idx="2">
                  <c:v>405</c:v>
                </c:pt>
                <c:pt idx="3">
                  <c:v>385</c:v>
                </c:pt>
                <c:pt idx="4">
                  <c:v>370</c:v>
                </c:pt>
                <c:pt idx="5">
                  <c:v>500</c:v>
                </c:pt>
                <c:pt idx="6">
                  <c:v>470</c:v>
                </c:pt>
                <c:pt idx="7">
                  <c:v>420</c:v>
                </c:pt>
                <c:pt idx="8">
                  <c:v>385</c:v>
                </c:pt>
                <c:pt idx="9">
                  <c:v>470</c:v>
                </c:pt>
                <c:pt idx="10">
                  <c:v>350</c:v>
                </c:pt>
                <c:pt idx="11">
                  <c:v>470</c:v>
                </c:pt>
                <c:pt idx="12">
                  <c:v>460</c:v>
                </c:pt>
                <c:pt idx="13">
                  <c:v>400</c:v>
                </c:pt>
                <c:pt idx="14">
                  <c:v>460</c:v>
                </c:pt>
                <c:pt idx="15">
                  <c:v>470</c:v>
                </c:pt>
                <c:pt idx="16">
                  <c:v>350</c:v>
                </c:pt>
                <c:pt idx="17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4B-4F90-B4DB-188A15B60F60}"/>
            </c:ext>
          </c:extLst>
        </c:ser>
        <c:ser>
          <c:idx val="1"/>
          <c:order val="1"/>
          <c:tx>
            <c:strRef>
              <c:f>'LINE 3'!$B$71</c:f>
              <c:strCache>
                <c:ptCount val="1"/>
                <c:pt idx="0">
                  <c:v>H&amp;M 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3'!$E$69:$AF$69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</c:numCache>
            </c:numRef>
          </c:cat>
          <c:val>
            <c:numRef>
              <c:f>'LINE 3'!$E$71:$AF$71</c:f>
              <c:numCache>
                <c:formatCode>#,##0</c:formatCode>
                <c:ptCount val="28"/>
                <c:pt idx="17">
                  <c:v>200</c:v>
                </c:pt>
                <c:pt idx="18">
                  <c:v>1800</c:v>
                </c:pt>
                <c:pt idx="19">
                  <c:v>1900</c:v>
                </c:pt>
                <c:pt idx="20">
                  <c:v>1900</c:v>
                </c:pt>
                <c:pt idx="21">
                  <c:v>2000</c:v>
                </c:pt>
                <c:pt idx="22">
                  <c:v>1650</c:v>
                </c:pt>
                <c:pt idx="23">
                  <c:v>1400</c:v>
                </c:pt>
                <c:pt idx="24">
                  <c:v>2000</c:v>
                </c:pt>
                <c:pt idx="25">
                  <c:v>2000</c:v>
                </c:pt>
                <c:pt idx="26">
                  <c:v>2000</c:v>
                </c:pt>
                <c:pt idx="27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4B-4F90-B4DB-188A15B60F60}"/>
            </c:ext>
          </c:extLst>
        </c:ser>
        <c:ser>
          <c:idx val="2"/>
          <c:order val="2"/>
          <c:tx>
            <c:strRef>
              <c:f>'LINE 3'!$B$72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3'!$E$69:$AF$69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</c:numCache>
            </c:numRef>
          </c:cat>
          <c:val>
            <c:numRef>
              <c:f>'LINE 3'!$E$72:$AF$72</c:f>
              <c:numCache>
                <c:formatCode>#,##0</c:formatCode>
                <c:ptCount val="28"/>
                <c:pt idx="0">
                  <c:v>500</c:v>
                </c:pt>
                <c:pt idx="1">
                  <c:v>500</c:v>
                </c:pt>
                <c:pt idx="2">
                  <c:v>450</c:v>
                </c:pt>
                <c:pt idx="3">
                  <c:v>500</c:v>
                </c:pt>
                <c:pt idx="4">
                  <c:v>350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470</c:v>
                </c:pt>
                <c:pt idx="9">
                  <c:v>470</c:v>
                </c:pt>
                <c:pt idx="10">
                  <c:v>350</c:v>
                </c:pt>
                <c:pt idx="11">
                  <c:v>470</c:v>
                </c:pt>
                <c:pt idx="12">
                  <c:v>470</c:v>
                </c:pt>
                <c:pt idx="13">
                  <c:v>400</c:v>
                </c:pt>
                <c:pt idx="14">
                  <c:v>470</c:v>
                </c:pt>
                <c:pt idx="15">
                  <c:v>470</c:v>
                </c:pt>
                <c:pt idx="16">
                  <c:v>350</c:v>
                </c:pt>
                <c:pt idx="17">
                  <c:v>86</c:v>
                </c:pt>
                <c:pt idx="18">
                  <c:v>2200</c:v>
                </c:pt>
                <c:pt idx="19">
                  <c:v>2200</c:v>
                </c:pt>
                <c:pt idx="20">
                  <c:v>2000</c:v>
                </c:pt>
                <c:pt idx="21">
                  <c:v>2000</c:v>
                </c:pt>
                <c:pt idx="22">
                  <c:v>1650</c:v>
                </c:pt>
                <c:pt idx="23">
                  <c:v>1400</c:v>
                </c:pt>
                <c:pt idx="24">
                  <c:v>2000</c:v>
                </c:pt>
                <c:pt idx="25">
                  <c:v>2000</c:v>
                </c:pt>
                <c:pt idx="26">
                  <c:v>2000</c:v>
                </c:pt>
                <c:pt idx="27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4B-4F90-B4DB-188A15B60F60}"/>
            </c:ext>
          </c:extLst>
        </c:ser>
        <c:ser>
          <c:idx val="3"/>
          <c:order val="3"/>
          <c:tx>
            <c:strRef>
              <c:f>'LINE 3'!$B$73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3'!$E$69:$AF$69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</c:numCache>
            </c:numRef>
          </c:cat>
          <c:val>
            <c:numRef>
              <c:f>'LINE 3'!$E$73:$AF$73</c:f>
              <c:numCache>
                <c:formatCode>#,##0</c:formatCode>
                <c:ptCount val="28"/>
                <c:pt idx="0">
                  <c:v>42.5</c:v>
                </c:pt>
                <c:pt idx="1">
                  <c:v>43.5</c:v>
                </c:pt>
                <c:pt idx="2">
                  <c:v>45</c:v>
                </c:pt>
                <c:pt idx="3">
                  <c:v>38.5</c:v>
                </c:pt>
                <c:pt idx="4">
                  <c:v>46.25</c:v>
                </c:pt>
                <c:pt idx="5">
                  <c:v>50</c:v>
                </c:pt>
                <c:pt idx="6">
                  <c:v>47</c:v>
                </c:pt>
                <c:pt idx="7">
                  <c:v>42</c:v>
                </c:pt>
                <c:pt idx="8">
                  <c:v>38.5</c:v>
                </c:pt>
                <c:pt idx="9">
                  <c:v>40.869565217391305</c:v>
                </c:pt>
                <c:pt idx="10">
                  <c:v>38.888888888888886</c:v>
                </c:pt>
                <c:pt idx="11">
                  <c:v>44.761904761904759</c:v>
                </c:pt>
                <c:pt idx="12">
                  <c:v>46</c:v>
                </c:pt>
                <c:pt idx="13">
                  <c:v>40</c:v>
                </c:pt>
                <c:pt idx="14">
                  <c:v>43.80952380952381</c:v>
                </c:pt>
                <c:pt idx="15">
                  <c:v>47</c:v>
                </c:pt>
                <c:pt idx="16">
                  <c:v>50</c:v>
                </c:pt>
                <c:pt idx="17">
                  <c:v>8.6</c:v>
                </c:pt>
                <c:pt idx="18">
                  <c:v>150</c:v>
                </c:pt>
                <c:pt idx="19">
                  <c:v>158.33333333333334</c:v>
                </c:pt>
                <c:pt idx="20">
                  <c:v>158.33333333333334</c:v>
                </c:pt>
                <c:pt idx="21">
                  <c:v>166.66666666666666</c:v>
                </c:pt>
                <c:pt idx="22">
                  <c:v>194.11764705882354</c:v>
                </c:pt>
                <c:pt idx="23">
                  <c:v>200</c:v>
                </c:pt>
                <c:pt idx="24">
                  <c:v>200</c:v>
                </c:pt>
                <c:pt idx="25">
                  <c:v>166.66666666666666</c:v>
                </c:pt>
                <c:pt idx="26">
                  <c:v>166.66666666666666</c:v>
                </c:pt>
                <c:pt idx="27">
                  <c:v>166.66666666666666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4B-4F90-B4DB-188A15B60F60}"/>
            </c:ext>
          </c:extLst>
        </c:ser>
        <c:ser>
          <c:idx val="4"/>
          <c:order val="4"/>
          <c:tx>
            <c:strRef>
              <c:f>'LINE 3'!$B$74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3'!$E$69:$AF$69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</c:numCache>
            </c:numRef>
          </c:cat>
          <c:val>
            <c:numRef>
              <c:f>'LINE 3'!$E$74:$AF$74</c:f>
              <c:numCache>
                <c:formatCode>#,##0</c:formatCode>
                <c:ptCount val="28"/>
                <c:pt idx="0">
                  <c:v>406</c:v>
                </c:pt>
                <c:pt idx="1">
                  <c:v>406</c:v>
                </c:pt>
                <c:pt idx="2">
                  <c:v>406</c:v>
                </c:pt>
                <c:pt idx="3">
                  <c:v>406</c:v>
                </c:pt>
                <c:pt idx="4">
                  <c:v>406</c:v>
                </c:pt>
                <c:pt idx="5">
                  <c:v>406</c:v>
                </c:pt>
                <c:pt idx="6">
                  <c:v>406</c:v>
                </c:pt>
                <c:pt idx="7">
                  <c:v>406</c:v>
                </c:pt>
                <c:pt idx="8">
                  <c:v>406</c:v>
                </c:pt>
                <c:pt idx="9">
                  <c:v>406</c:v>
                </c:pt>
                <c:pt idx="10">
                  <c:v>406</c:v>
                </c:pt>
                <c:pt idx="11">
                  <c:v>406</c:v>
                </c:pt>
                <c:pt idx="12">
                  <c:v>406</c:v>
                </c:pt>
                <c:pt idx="13">
                  <c:v>406</c:v>
                </c:pt>
                <c:pt idx="14">
                  <c:v>406</c:v>
                </c:pt>
                <c:pt idx="15">
                  <c:v>406</c:v>
                </c:pt>
                <c:pt idx="16">
                  <c:v>406</c:v>
                </c:pt>
                <c:pt idx="17">
                  <c:v>406</c:v>
                </c:pt>
                <c:pt idx="18">
                  <c:v>1865</c:v>
                </c:pt>
                <c:pt idx="19">
                  <c:v>1865</c:v>
                </c:pt>
                <c:pt idx="20">
                  <c:v>1865</c:v>
                </c:pt>
                <c:pt idx="21">
                  <c:v>1865</c:v>
                </c:pt>
                <c:pt idx="22">
                  <c:v>1865</c:v>
                </c:pt>
                <c:pt idx="23">
                  <c:v>1865</c:v>
                </c:pt>
                <c:pt idx="24">
                  <c:v>1865</c:v>
                </c:pt>
                <c:pt idx="25">
                  <c:v>1865</c:v>
                </c:pt>
                <c:pt idx="26">
                  <c:v>1865</c:v>
                </c:pt>
                <c:pt idx="27">
                  <c:v>1865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4B-4F90-B4DB-188A15B60F6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19675871"/>
        <c:axId val="1919685855"/>
      </c:lineChart>
      <c:catAx>
        <c:axId val="19196758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MARCH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685855"/>
        <c:crosses val="autoZero"/>
        <c:auto val="1"/>
        <c:lblAlgn val="ctr"/>
        <c:lblOffset val="100"/>
        <c:noMultiLvlLbl val="0"/>
      </c:catAx>
      <c:valAx>
        <c:axId val="1919685855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19675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3 IN April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3'!$B$102</c:f>
              <c:strCache>
                <c:ptCount val="1"/>
                <c:pt idx="0">
                  <c:v>H&amp;M 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3'!$E$101:$AE$101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cat>
          <c:val>
            <c:numRef>
              <c:f>'LINE 3'!$E$102:$AE$102</c:f>
              <c:numCache>
                <c:formatCode>#,##0</c:formatCode>
                <c:ptCount val="27"/>
                <c:pt idx="24">
                  <c:v>1150</c:v>
                </c:pt>
                <c:pt idx="25">
                  <c:v>1400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A8-4860-9BD7-BB9560E5C707}"/>
            </c:ext>
          </c:extLst>
        </c:ser>
        <c:ser>
          <c:idx val="1"/>
          <c:order val="1"/>
          <c:tx>
            <c:strRef>
              <c:f>'LINE 3'!$B$103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3'!$E$101:$AE$101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cat>
          <c:val>
            <c:numRef>
              <c:f>'LINE 3'!$E$103:$AE$103</c:f>
              <c:numCache>
                <c:formatCode>#,##0</c:formatCode>
                <c:ptCount val="27"/>
                <c:pt idx="24">
                  <c:v>1200</c:v>
                </c:pt>
                <c:pt idx="2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A8-4860-9BD7-BB9560E5C707}"/>
            </c:ext>
          </c:extLst>
        </c:ser>
        <c:ser>
          <c:idx val="2"/>
          <c:order val="2"/>
          <c:tx>
            <c:strRef>
              <c:f>'LINE 3'!$B$104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3'!$E$101:$AE$101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cat>
          <c:val>
            <c:numRef>
              <c:f>'LINE 3'!$E$104:$AE$104</c:f>
              <c:numCache>
                <c:formatCode>#,##0</c:formatCode>
                <c:ptCount val="27"/>
                <c:pt idx="24">
                  <c:v>115</c:v>
                </c:pt>
                <c:pt idx="25">
                  <c:v>164.70588235294119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A8-4860-9BD7-BB9560E5C707}"/>
            </c:ext>
          </c:extLst>
        </c:ser>
        <c:ser>
          <c:idx val="3"/>
          <c:order val="3"/>
          <c:tx>
            <c:strRef>
              <c:f>'LINE 3'!$B$105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3'!$E$101:$AE$101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cat>
          <c:val>
            <c:numRef>
              <c:f>'LINE 3'!$E$105:$AE$105</c:f>
              <c:numCache>
                <c:formatCode>#,##0</c:formatCode>
                <c:ptCount val="27"/>
                <c:pt idx="24">
                  <c:v>1275</c:v>
                </c:pt>
                <c:pt idx="25">
                  <c:v>1275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A8-4860-9BD7-BB9560E5C70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92283087"/>
        <c:axId val="1792279343"/>
      </c:lineChart>
      <c:catAx>
        <c:axId val="17922830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APRIL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279343"/>
        <c:crosses val="autoZero"/>
        <c:auto val="1"/>
        <c:lblAlgn val="ctr"/>
        <c:lblOffset val="100"/>
        <c:noMultiLvlLbl val="0"/>
      </c:catAx>
      <c:valAx>
        <c:axId val="1792279343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792283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3 IN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3'!$B$133</c:f>
              <c:strCache>
                <c:ptCount val="1"/>
                <c:pt idx="0">
                  <c:v>H&amp;M 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3'!$E$132:$Y$132</c:f>
              <c:numCache>
                <c:formatCode>#,##0</c:formatCode>
                <c:ptCount val="21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30</c:v>
                </c:pt>
                <c:pt idx="20">
                  <c:v>31</c:v>
                </c:pt>
              </c:numCache>
            </c:numRef>
          </c:cat>
          <c:val>
            <c:numRef>
              <c:f>'LINE 3'!$E$133:$Y$133</c:f>
              <c:numCache>
                <c:formatCode>#,##0</c:formatCode>
                <c:ptCount val="21"/>
                <c:pt idx="0">
                  <c:v>555</c:v>
                </c:pt>
                <c:pt idx="1">
                  <c:v>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C7-4DCA-8867-C7A657671081}"/>
            </c:ext>
          </c:extLst>
        </c:ser>
        <c:ser>
          <c:idx val="1"/>
          <c:order val="1"/>
          <c:tx>
            <c:strRef>
              <c:f>'LINE 3'!$B$134</c:f>
              <c:strCache>
                <c:ptCount val="1"/>
                <c:pt idx="0">
                  <c:v>COCOS 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3'!$E$132:$Y$132</c:f>
              <c:numCache>
                <c:formatCode>#,##0</c:formatCode>
                <c:ptCount val="21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30</c:v>
                </c:pt>
                <c:pt idx="20">
                  <c:v>31</c:v>
                </c:pt>
              </c:numCache>
            </c:numRef>
          </c:cat>
          <c:val>
            <c:numRef>
              <c:f>'LINE 3'!$E$134:$Y$134</c:f>
              <c:numCache>
                <c:formatCode>#,##0</c:formatCode>
                <c:ptCount val="21"/>
                <c:pt idx="2">
                  <c:v>15</c:v>
                </c:pt>
                <c:pt idx="3">
                  <c:v>75</c:v>
                </c:pt>
                <c:pt idx="4">
                  <c:v>16</c:v>
                </c:pt>
                <c:pt idx="15">
                  <c:v>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C7-4DCA-8867-C7A657671081}"/>
            </c:ext>
          </c:extLst>
        </c:ser>
        <c:ser>
          <c:idx val="2"/>
          <c:order val="2"/>
          <c:tx>
            <c:strRef>
              <c:f>'LINE 3'!$B$135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3'!$E$132:$Y$132</c:f>
              <c:numCache>
                <c:formatCode>#,##0</c:formatCode>
                <c:ptCount val="21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30</c:v>
                </c:pt>
                <c:pt idx="20">
                  <c:v>31</c:v>
                </c:pt>
              </c:numCache>
            </c:numRef>
          </c:cat>
          <c:val>
            <c:numRef>
              <c:f>'LINE 3'!$E$135:$Y$135</c:f>
              <c:numCache>
                <c:formatCode>#,##0</c:formatCode>
                <c:ptCount val="21"/>
                <c:pt idx="0">
                  <c:v>555</c:v>
                </c:pt>
                <c:pt idx="1">
                  <c:v>150</c:v>
                </c:pt>
                <c:pt idx="2">
                  <c:v>100</c:v>
                </c:pt>
                <c:pt idx="3">
                  <c:v>160</c:v>
                </c:pt>
                <c:pt idx="4">
                  <c:v>200</c:v>
                </c:pt>
                <c:pt idx="5">
                  <c:v>560</c:v>
                </c:pt>
                <c:pt idx="6">
                  <c:v>640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600</c:v>
                </c:pt>
                <c:pt idx="13">
                  <c:v>850</c:v>
                </c:pt>
                <c:pt idx="15">
                  <c:v>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C7-4DCA-8867-C7A657671081}"/>
            </c:ext>
          </c:extLst>
        </c:ser>
        <c:ser>
          <c:idx val="3"/>
          <c:order val="3"/>
          <c:tx>
            <c:strRef>
              <c:f>'LINE 3'!$B$136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3'!$E$132:$Y$132</c:f>
              <c:numCache>
                <c:formatCode>#,##0</c:formatCode>
                <c:ptCount val="21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30</c:v>
                </c:pt>
                <c:pt idx="20">
                  <c:v>31</c:v>
                </c:pt>
              </c:numCache>
            </c:numRef>
          </c:cat>
          <c:val>
            <c:numRef>
              <c:f>'LINE 3'!$E$136:$Y$136</c:f>
              <c:numCache>
                <c:formatCode>#,##0</c:formatCode>
                <c:ptCount val="21"/>
                <c:pt idx="0">
                  <c:v>111</c:v>
                </c:pt>
                <c:pt idx="1">
                  <c:v>46.4</c:v>
                </c:pt>
                <c:pt idx="2">
                  <c:v>1.5</c:v>
                </c:pt>
                <c:pt idx="3">
                  <c:v>7.5</c:v>
                </c:pt>
                <c:pt idx="4">
                  <c:v>1.6</c:v>
                </c:pt>
                <c:pt idx="15">
                  <c:v>40.200000000000003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C7-4DCA-8867-C7A657671081}"/>
            </c:ext>
          </c:extLst>
        </c:ser>
        <c:ser>
          <c:idx val="4"/>
          <c:order val="4"/>
          <c:tx>
            <c:strRef>
              <c:f>'LINE 3'!$B$137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3'!$E$132:$Y$132</c:f>
              <c:numCache>
                <c:formatCode>#,##0</c:formatCode>
                <c:ptCount val="21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30</c:v>
                </c:pt>
                <c:pt idx="20">
                  <c:v>31</c:v>
                </c:pt>
              </c:numCache>
            </c:numRef>
          </c:cat>
          <c:val>
            <c:numRef>
              <c:f>'LINE 3'!$E$137:$Y$137</c:f>
              <c:numCache>
                <c:formatCode>#,##0</c:formatCode>
                <c:ptCount val="21"/>
                <c:pt idx="0">
                  <c:v>510</c:v>
                </c:pt>
                <c:pt idx="1">
                  <c:v>510</c:v>
                </c:pt>
                <c:pt idx="2">
                  <c:v>127</c:v>
                </c:pt>
                <c:pt idx="3">
                  <c:v>127</c:v>
                </c:pt>
                <c:pt idx="4">
                  <c:v>127</c:v>
                </c:pt>
                <c:pt idx="15">
                  <c:v>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C7-4DCA-8867-C7A65767108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20959711"/>
        <c:axId val="1920964703"/>
      </c:lineChart>
      <c:catAx>
        <c:axId val="19209597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MAY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0964703"/>
        <c:crosses val="autoZero"/>
        <c:auto val="1"/>
        <c:lblAlgn val="ctr"/>
        <c:lblOffset val="100"/>
        <c:noMultiLvlLbl val="0"/>
      </c:catAx>
      <c:valAx>
        <c:axId val="1920964703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20959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3 IN June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3'!$B$165</c:f>
              <c:strCache>
                <c:ptCount val="1"/>
                <c:pt idx="0">
                  <c:v>COCOS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3'!$E$164:$AD$164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</c:numCache>
            </c:numRef>
          </c:cat>
          <c:val>
            <c:numRef>
              <c:f>'LINE 3'!$E$165:$AD$165</c:f>
              <c:numCache>
                <c:formatCode>General</c:formatCode>
                <c:ptCount val="26"/>
                <c:pt idx="0">
                  <c:v>3915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BA-49EA-83AA-D08B658A9109}"/>
            </c:ext>
          </c:extLst>
        </c:ser>
        <c:ser>
          <c:idx val="1"/>
          <c:order val="1"/>
          <c:tx>
            <c:strRef>
              <c:f>'LINE 3'!$B$166</c:f>
              <c:strCache>
                <c:ptCount val="1"/>
                <c:pt idx="0">
                  <c:v>COCOS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3'!$E$164:$AD$164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</c:numCache>
            </c:numRef>
          </c:cat>
          <c:val>
            <c:numRef>
              <c:f>'LINE 3'!$E$166:$AD$166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BA-49EA-83AA-D08B658A9109}"/>
            </c:ext>
          </c:extLst>
        </c:ser>
        <c:ser>
          <c:idx val="2"/>
          <c:order val="2"/>
          <c:tx>
            <c:strRef>
              <c:f>'LINE 3'!$B$167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3'!$E$164:$AD$164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</c:numCache>
            </c:numRef>
          </c:cat>
          <c:val>
            <c:numRef>
              <c:f>'LINE 3'!$E$167:$AD$167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BA-49EA-83AA-D08B658A9109}"/>
            </c:ext>
          </c:extLst>
        </c:ser>
        <c:ser>
          <c:idx val="3"/>
          <c:order val="3"/>
          <c:tx>
            <c:strRef>
              <c:f>'LINE 3'!$B$168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3'!$E$164:$AD$164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</c:numCache>
            </c:numRef>
          </c:cat>
          <c:val>
            <c:numRef>
              <c:f>'LINE 3'!$E$168:$AD$168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BA-49EA-83AA-D08B658A9109}"/>
            </c:ext>
          </c:extLst>
        </c:ser>
        <c:ser>
          <c:idx val="4"/>
          <c:order val="4"/>
          <c:tx>
            <c:strRef>
              <c:f>'LINE 3'!$B$169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 3'!$E$164:$AD$164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</c:numCache>
            </c:numRef>
          </c:cat>
          <c:val>
            <c:numRef>
              <c:f>'LINE 3'!$E$169:$AD$169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9BA-49EA-83AA-D08B658A910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19687519"/>
        <c:axId val="1919668383"/>
      </c:lineChart>
      <c:catAx>
        <c:axId val="19196875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JUNE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668383"/>
        <c:crosses val="autoZero"/>
        <c:auto val="1"/>
        <c:lblAlgn val="ctr"/>
        <c:lblOffset val="100"/>
        <c:noMultiLvlLbl val="0"/>
      </c:catAx>
      <c:valAx>
        <c:axId val="191966838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19687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174625</xdr:colOff>
      <xdr:row>2</xdr:row>
      <xdr:rowOff>89956</xdr:rowOff>
    </xdr:from>
    <xdr:to>
      <xdr:col>1</xdr:col>
      <xdr:colOff>529167</xdr:colOff>
      <xdr:row>4</xdr:row>
      <xdr:rowOff>84667</xdr:rowOff>
    </xdr:to>
    <xdr:sp macro="[0]!addda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99048FB-1AEB-C47C-9AB5-C233B771CCA4}"/>
            </a:ext>
          </a:extLst>
        </xdr:cNvPr>
        <xdr:cNvSpPr/>
      </xdr:nvSpPr>
      <xdr:spPr>
        <a:xfrm>
          <a:off x="174625" y="492123"/>
          <a:ext cx="1031875" cy="3968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/>
            <a:t>ADD</a:t>
          </a:r>
          <a:r>
            <a:rPr lang="en-ID" sz="1400" baseline="0"/>
            <a:t> TABEL</a:t>
          </a:r>
          <a:endParaRPr lang="en-ID" sz="1400"/>
        </a:p>
      </xdr:txBody>
    </xdr:sp>
    <xdr:clientData/>
  </xdr:twoCellAnchor>
  <xdr:twoCellAnchor>
    <xdr:from>
      <xdr:col>0</xdr:col>
      <xdr:colOff>211668</xdr:colOff>
      <xdr:row>6</xdr:row>
      <xdr:rowOff>95250</xdr:rowOff>
    </xdr:from>
    <xdr:to>
      <xdr:col>1</xdr:col>
      <xdr:colOff>486834</xdr:colOff>
      <xdr:row>8</xdr:row>
      <xdr:rowOff>95250</xdr:rowOff>
    </xdr:to>
    <xdr:sp macro="[0]!prosesperbula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C8F8EDC-4F8F-4B39-81A9-0637375677C0}"/>
            </a:ext>
          </a:extLst>
        </xdr:cNvPr>
        <xdr:cNvSpPr/>
      </xdr:nvSpPr>
      <xdr:spPr>
        <a:xfrm>
          <a:off x="211668" y="1280583"/>
          <a:ext cx="952499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/>
            <a:t>PROSES</a:t>
          </a:r>
          <a:r>
            <a:rPr lang="en-ID" sz="1400" baseline="0"/>
            <a:t> 1</a:t>
          </a:r>
          <a:endParaRPr lang="en-ID" sz="1400"/>
        </a:p>
      </xdr:txBody>
    </xdr:sp>
    <xdr:clientData/>
  </xdr:twoCellAnchor>
  <xdr:twoCellAnchor>
    <xdr:from>
      <xdr:col>0</xdr:col>
      <xdr:colOff>201084</xdr:colOff>
      <xdr:row>10</xdr:row>
      <xdr:rowOff>74084</xdr:rowOff>
    </xdr:from>
    <xdr:to>
      <xdr:col>1</xdr:col>
      <xdr:colOff>486834</xdr:colOff>
      <xdr:row>12</xdr:row>
      <xdr:rowOff>74083</xdr:rowOff>
    </xdr:to>
    <xdr:sp macro="[0]!rekap_perbuy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A213E6C-8FC3-4A3E-BE7C-2D280120F428}"/>
            </a:ext>
          </a:extLst>
        </xdr:cNvPr>
        <xdr:cNvSpPr/>
      </xdr:nvSpPr>
      <xdr:spPr>
        <a:xfrm>
          <a:off x="201084" y="2021417"/>
          <a:ext cx="963083" cy="3809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/>
            <a:t>PROSES 2</a:t>
          </a:r>
        </a:p>
      </xdr:txBody>
    </xdr:sp>
    <xdr:clientData/>
  </xdr:twoCellAnchor>
  <xdr:twoCellAnchor>
    <xdr:from>
      <xdr:col>51</xdr:col>
      <xdr:colOff>39399</xdr:colOff>
      <xdr:row>15</xdr:row>
      <xdr:rowOff>51048</xdr:rowOff>
    </xdr:from>
    <xdr:to>
      <xdr:col>53</xdr:col>
      <xdr:colOff>481853</xdr:colOff>
      <xdr:row>18</xdr:row>
      <xdr:rowOff>118462</xdr:rowOff>
    </xdr:to>
    <xdr:sp macro="[0]!update_graph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98D33DD-72CB-44AE-B0B9-3EBEEC833A53}"/>
            </a:ext>
          </a:extLst>
        </xdr:cNvPr>
        <xdr:cNvSpPr/>
      </xdr:nvSpPr>
      <xdr:spPr>
        <a:xfrm>
          <a:off x="33735487" y="2953372"/>
          <a:ext cx="1484601" cy="65011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/>
            <a:t>UPDATE GRAPH (JGN</a:t>
          </a:r>
          <a:r>
            <a:rPr lang="en-ID" sz="1400" baseline="0"/>
            <a:t> DI KLIK)</a:t>
          </a:r>
          <a:endParaRPr lang="en-ID" sz="1400"/>
        </a:p>
      </xdr:txBody>
    </xdr:sp>
    <xdr:clientData/>
  </xdr:twoCellAnchor>
  <xdr:twoCellAnchor>
    <xdr:from>
      <xdr:col>0</xdr:col>
      <xdr:colOff>108858</xdr:colOff>
      <xdr:row>28</xdr:row>
      <xdr:rowOff>81642</xdr:rowOff>
    </xdr:from>
    <xdr:to>
      <xdr:col>6</xdr:col>
      <xdr:colOff>549087</xdr:colOff>
      <xdr:row>43</xdr:row>
      <xdr:rowOff>145678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4198088D-BCFC-6F8D-2C97-0D22A61EF4F1}"/>
            </a:ext>
          </a:extLst>
        </xdr:cNvPr>
        <xdr:cNvSpPr txBox="1"/>
      </xdr:nvSpPr>
      <xdr:spPr>
        <a:xfrm>
          <a:off x="108858" y="5942318"/>
          <a:ext cx="3723553" cy="29215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ID" sz="1800"/>
            <a:t>Dilarang</a:t>
          </a:r>
          <a:r>
            <a:rPr lang="en-ID" sz="1800" baseline="0"/>
            <a:t> mengubah nama sheets </a:t>
          </a:r>
          <a:r>
            <a:rPr lang="en-ID" sz="1800" b="1" baseline="0"/>
            <a:t>TOMBOL</a:t>
          </a:r>
          <a:r>
            <a:rPr lang="en-ID" sz="1800" baseline="0"/>
            <a:t>, </a:t>
          </a:r>
          <a:r>
            <a:rPr lang="en-ID" sz="1800" b="1" baseline="0"/>
            <a:t>LINE 1</a:t>
          </a:r>
          <a:r>
            <a:rPr lang="en-ID" sz="1800" baseline="0"/>
            <a:t>, </a:t>
          </a:r>
          <a:r>
            <a:rPr lang="en-ID" sz="1800" b="1" baseline="0"/>
            <a:t>LINE 2</a:t>
          </a:r>
          <a:r>
            <a:rPr lang="en-ID" sz="1800" baseline="0"/>
            <a:t>, </a:t>
          </a:r>
          <a:r>
            <a:rPr lang="en-ID" sz="1800" b="1" baseline="0"/>
            <a:t>LINE 3</a:t>
          </a:r>
          <a:r>
            <a:rPr lang="en-ID" sz="1800" baseline="0"/>
            <a:t>, </a:t>
          </a:r>
          <a:r>
            <a:rPr lang="en-ID" sz="1800" b="1" baseline="0"/>
            <a:t>DETIL</a:t>
          </a:r>
          <a:r>
            <a:rPr lang="en-ID" sz="1800" baseline="0"/>
            <a:t>, dan </a:t>
          </a:r>
          <a:r>
            <a:rPr lang="en-ID" sz="1800" b="1" baseline="0"/>
            <a:t>REKAP SETIAP BUYER</a:t>
          </a:r>
          <a:r>
            <a:rPr lang="en-ID" sz="1800" baseline="0"/>
            <a:t>.</a:t>
          </a:r>
        </a:p>
        <a:p>
          <a:pPr algn="l"/>
          <a:r>
            <a:rPr lang="en-ID" sz="1800" baseline="0"/>
            <a:t>Dilarang menambahkan sesuatu di dalam sel pada kolom A disetiap </a:t>
          </a:r>
          <a:r>
            <a:rPr lang="en-ID" sz="1800" b="1" baseline="0"/>
            <a:t>LINE 1</a:t>
          </a:r>
          <a:r>
            <a:rPr lang="en-ID" sz="1800" baseline="0"/>
            <a:t>, </a:t>
          </a:r>
          <a:r>
            <a:rPr lang="en-ID" sz="1800" b="1" baseline="0"/>
            <a:t>LINE 2</a:t>
          </a:r>
          <a:r>
            <a:rPr lang="en-ID" sz="1800" baseline="0"/>
            <a:t>, dan </a:t>
          </a:r>
          <a:r>
            <a:rPr lang="en-ID" sz="1800" b="1" baseline="0"/>
            <a:t>LINE 3</a:t>
          </a:r>
          <a:r>
            <a:rPr lang="en-ID" sz="1800" baseline="0"/>
            <a:t>.</a:t>
          </a:r>
        </a:p>
        <a:p>
          <a:pPr algn="l"/>
          <a:endParaRPr lang="en-ID" sz="1800" baseline="0"/>
        </a:p>
        <a:p>
          <a:pPr algn="l"/>
          <a:r>
            <a:rPr lang="en-ID" sz="1800" baseline="0"/>
            <a:t>Anda diperbolehkan untuk menambahkan sheets lain nya, sesuai dengan keperluan.</a:t>
          </a:r>
        </a:p>
      </xdr:txBody>
    </xdr:sp>
    <xdr:clientData/>
  </xdr:twoCellAnchor>
  <xdr:twoCellAnchor>
    <xdr:from>
      <xdr:col>0</xdr:col>
      <xdr:colOff>199303</xdr:colOff>
      <xdr:row>14</xdr:row>
      <xdr:rowOff>78442</xdr:rowOff>
    </xdr:from>
    <xdr:to>
      <xdr:col>1</xdr:col>
      <xdr:colOff>485053</xdr:colOff>
      <xdr:row>17</xdr:row>
      <xdr:rowOff>100852</xdr:rowOff>
    </xdr:to>
    <xdr:sp macro="[0]!update_detil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80BEB46-4692-46DA-AAC9-B9B0675C8C5C}"/>
            </a:ext>
          </a:extLst>
        </xdr:cNvPr>
        <xdr:cNvSpPr/>
      </xdr:nvSpPr>
      <xdr:spPr>
        <a:xfrm>
          <a:off x="199303" y="2790266"/>
          <a:ext cx="958103" cy="59391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/>
            <a:t>UPDATE DETIL</a:t>
          </a:r>
        </a:p>
      </xdr:txBody>
    </xdr:sp>
    <xdr:clientData/>
  </xdr:twoCellAnchor>
  <xdr:twoCellAnchor>
    <xdr:from>
      <xdr:col>7</xdr:col>
      <xdr:colOff>400210</xdr:colOff>
      <xdr:row>28</xdr:row>
      <xdr:rowOff>101653</xdr:rowOff>
    </xdr:from>
    <xdr:to>
      <xdr:col>17</xdr:col>
      <xdr:colOff>22412</xdr:colOff>
      <xdr:row>41</xdr:row>
      <xdr:rowOff>78442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3169EBB5-1FEC-A28E-5839-B278D8BC8991}"/>
            </a:ext>
          </a:extLst>
        </xdr:cNvPr>
        <xdr:cNvSpPr txBox="1"/>
      </xdr:nvSpPr>
      <xdr:spPr>
        <a:xfrm>
          <a:off x="4299857" y="5962329"/>
          <a:ext cx="8205908" cy="24532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800"/>
            <a:t>Klik</a:t>
          </a:r>
          <a:r>
            <a:rPr lang="en-ID" sz="1800" b="1"/>
            <a:t> Proses 1</a:t>
          </a:r>
          <a:r>
            <a:rPr lang="en-ID" sz="1800"/>
            <a:t> untuk</a:t>
          </a:r>
          <a:r>
            <a:rPr lang="en-ID" sz="1800" baseline="0"/>
            <a:t> membuat grafik pada bulan yang ditentukan dari setiap data tabel yang telah diisi di dalam setiap LINE.</a:t>
          </a:r>
        </a:p>
        <a:p>
          <a:r>
            <a:rPr lang="en-ID" sz="1800" baseline="0"/>
            <a:t>Klik </a:t>
          </a:r>
          <a:r>
            <a:rPr lang="en-ID" sz="1800" b="1" baseline="0"/>
            <a:t>Proses 2 </a:t>
          </a:r>
          <a:r>
            <a:rPr lang="en-ID" sz="1800" baseline="0"/>
            <a:t>untuk menambahkan data pada sheets DETIL dari data yang telah dimasukkan untuk bulan yang berkaitan/sekarang di proses.</a:t>
          </a:r>
        </a:p>
        <a:p>
          <a:r>
            <a:rPr lang="en-ID" sz="1800" baseline="0"/>
            <a:t>Klik </a:t>
          </a:r>
          <a:r>
            <a:rPr lang="en-ID" sz="1800" b="1" baseline="0"/>
            <a:t>Update Detil</a:t>
          </a:r>
          <a:r>
            <a:rPr lang="en-ID" sz="1800" baseline="0"/>
            <a:t> jika terdapat pembaruan/edit data pada data tabel di bulan tertentu untuk LINE tertentu, sehingga data pada sheets DETIL akan update baik jika ada penambahan/penghapusan Buyer ataupun penambahan/pengurangan nilai Quantity untuk Buyer tertentu pada bulan dan tanggal tertentu di LINE tertentu.</a:t>
          </a:r>
          <a:endParaRPr lang="en-ID" sz="1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12</xdr:row>
      <xdr:rowOff>0</xdr:rowOff>
    </xdr:from>
    <xdr:to>
      <xdr:col>16</xdr:col>
      <xdr:colOff>65015</xdr:colOff>
      <xdr:row>33</xdr:row>
      <xdr:rowOff>15875</xdr:rowOff>
    </xdr:to>
    <xdr:graphicFrame macro="">
      <xdr:nvGraphicFramePr>
        <xdr:cNvPr id="3" name="LINE 1January2022">
          <a:extLst>
            <a:ext uri="{FF2B5EF4-FFF2-40B4-BE49-F238E27FC236}">
              <a16:creationId xmlns:a16="http://schemas.microsoft.com/office/drawing/2014/main" id="{AFE2397E-33B7-46F1-A129-775D3F8F9F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44</xdr:row>
      <xdr:rowOff>0</xdr:rowOff>
    </xdr:from>
    <xdr:to>
      <xdr:col>16</xdr:col>
      <xdr:colOff>65015</xdr:colOff>
      <xdr:row>65</xdr:row>
      <xdr:rowOff>15875</xdr:rowOff>
    </xdr:to>
    <xdr:graphicFrame macro="">
      <xdr:nvGraphicFramePr>
        <xdr:cNvPr id="7" name="LINE 1February2022">
          <a:extLst>
            <a:ext uri="{FF2B5EF4-FFF2-40B4-BE49-F238E27FC236}">
              <a16:creationId xmlns:a16="http://schemas.microsoft.com/office/drawing/2014/main" id="{62839DB8-E764-4C78-A77E-3BFE3EBEAF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0</xdr:rowOff>
    </xdr:from>
    <xdr:to>
      <xdr:col>16</xdr:col>
      <xdr:colOff>65015</xdr:colOff>
      <xdr:row>99</xdr:row>
      <xdr:rowOff>15875</xdr:rowOff>
    </xdr:to>
    <xdr:graphicFrame macro="">
      <xdr:nvGraphicFramePr>
        <xdr:cNvPr id="10" name="LINE 1March2022">
          <a:extLst>
            <a:ext uri="{FF2B5EF4-FFF2-40B4-BE49-F238E27FC236}">
              <a16:creationId xmlns:a16="http://schemas.microsoft.com/office/drawing/2014/main" id="{4D958F9A-CE16-4275-B6C2-FABE77860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116</xdr:row>
      <xdr:rowOff>0</xdr:rowOff>
    </xdr:from>
    <xdr:to>
      <xdr:col>16</xdr:col>
      <xdr:colOff>65015</xdr:colOff>
      <xdr:row>137</xdr:row>
      <xdr:rowOff>15875</xdr:rowOff>
    </xdr:to>
    <xdr:graphicFrame macro="">
      <xdr:nvGraphicFramePr>
        <xdr:cNvPr id="13" name="LINE 1April2022">
          <a:extLst>
            <a:ext uri="{FF2B5EF4-FFF2-40B4-BE49-F238E27FC236}">
              <a16:creationId xmlns:a16="http://schemas.microsoft.com/office/drawing/2014/main" id="{1B91E398-C704-4AC6-83CF-303C581E2D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149</xdr:row>
      <xdr:rowOff>0</xdr:rowOff>
    </xdr:from>
    <xdr:to>
      <xdr:col>16</xdr:col>
      <xdr:colOff>65015</xdr:colOff>
      <xdr:row>170</xdr:row>
      <xdr:rowOff>15875</xdr:rowOff>
    </xdr:to>
    <xdr:graphicFrame macro="">
      <xdr:nvGraphicFramePr>
        <xdr:cNvPr id="16" name="LINE 1May2022">
          <a:extLst>
            <a:ext uri="{FF2B5EF4-FFF2-40B4-BE49-F238E27FC236}">
              <a16:creationId xmlns:a16="http://schemas.microsoft.com/office/drawing/2014/main" id="{A3ADBBC5-C667-4BDF-B3B4-3C429786D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182</xdr:row>
      <xdr:rowOff>0</xdr:rowOff>
    </xdr:from>
    <xdr:to>
      <xdr:col>16</xdr:col>
      <xdr:colOff>65015</xdr:colOff>
      <xdr:row>203</xdr:row>
      <xdr:rowOff>15875</xdr:rowOff>
    </xdr:to>
    <xdr:graphicFrame macro="">
      <xdr:nvGraphicFramePr>
        <xdr:cNvPr id="18" name="LINE 1June2022">
          <a:extLst>
            <a:ext uri="{FF2B5EF4-FFF2-40B4-BE49-F238E27FC236}">
              <a16:creationId xmlns:a16="http://schemas.microsoft.com/office/drawing/2014/main" id="{BCC8CCE0-4341-45B1-8519-A4FCDA3654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214</xdr:row>
      <xdr:rowOff>0</xdr:rowOff>
    </xdr:from>
    <xdr:to>
      <xdr:col>16</xdr:col>
      <xdr:colOff>65015</xdr:colOff>
      <xdr:row>235</xdr:row>
      <xdr:rowOff>15875</xdr:rowOff>
    </xdr:to>
    <xdr:graphicFrame macro="">
      <xdr:nvGraphicFramePr>
        <xdr:cNvPr id="22" name="LINE 1July2022">
          <a:extLst>
            <a:ext uri="{FF2B5EF4-FFF2-40B4-BE49-F238E27FC236}">
              <a16:creationId xmlns:a16="http://schemas.microsoft.com/office/drawing/2014/main" id="{6CA7AA81-E5EC-4183-A922-A34C76B027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11</xdr:row>
      <xdr:rowOff>0</xdr:rowOff>
    </xdr:from>
    <xdr:to>
      <xdr:col>21</xdr:col>
      <xdr:colOff>50602</xdr:colOff>
      <xdr:row>32</xdr:row>
      <xdr:rowOff>15875</xdr:rowOff>
    </xdr:to>
    <xdr:graphicFrame macro="">
      <xdr:nvGraphicFramePr>
        <xdr:cNvPr id="3" name="LINE 2January2022">
          <a:extLst>
            <a:ext uri="{FF2B5EF4-FFF2-40B4-BE49-F238E27FC236}">
              <a16:creationId xmlns:a16="http://schemas.microsoft.com/office/drawing/2014/main" id="{7F325689-14DD-4095-A234-649BC42062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44</xdr:row>
      <xdr:rowOff>0</xdr:rowOff>
    </xdr:from>
    <xdr:to>
      <xdr:col>21</xdr:col>
      <xdr:colOff>50602</xdr:colOff>
      <xdr:row>65</xdr:row>
      <xdr:rowOff>15875</xdr:rowOff>
    </xdr:to>
    <xdr:graphicFrame macro="">
      <xdr:nvGraphicFramePr>
        <xdr:cNvPr id="7" name="LINE 2February2022">
          <a:extLst>
            <a:ext uri="{FF2B5EF4-FFF2-40B4-BE49-F238E27FC236}">
              <a16:creationId xmlns:a16="http://schemas.microsoft.com/office/drawing/2014/main" id="{A8FDF08C-E648-4074-8AC9-D6F8467169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75</xdr:row>
      <xdr:rowOff>0</xdr:rowOff>
    </xdr:from>
    <xdr:to>
      <xdr:col>21</xdr:col>
      <xdr:colOff>50602</xdr:colOff>
      <xdr:row>96</xdr:row>
      <xdr:rowOff>15875</xdr:rowOff>
    </xdr:to>
    <xdr:graphicFrame macro="">
      <xdr:nvGraphicFramePr>
        <xdr:cNvPr id="10" name="LINE 2March2022">
          <a:extLst>
            <a:ext uri="{FF2B5EF4-FFF2-40B4-BE49-F238E27FC236}">
              <a16:creationId xmlns:a16="http://schemas.microsoft.com/office/drawing/2014/main" id="{D2EB9761-6572-404E-A1EA-02AFB694C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111</xdr:row>
      <xdr:rowOff>0</xdr:rowOff>
    </xdr:from>
    <xdr:to>
      <xdr:col>21</xdr:col>
      <xdr:colOff>50602</xdr:colOff>
      <xdr:row>132</xdr:row>
      <xdr:rowOff>15875</xdr:rowOff>
    </xdr:to>
    <xdr:graphicFrame macro="">
      <xdr:nvGraphicFramePr>
        <xdr:cNvPr id="13" name="LINE 2April2022">
          <a:extLst>
            <a:ext uri="{FF2B5EF4-FFF2-40B4-BE49-F238E27FC236}">
              <a16:creationId xmlns:a16="http://schemas.microsoft.com/office/drawing/2014/main" id="{99AD0201-20A3-4C85-8A77-C42CFF892C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144</xdr:row>
      <xdr:rowOff>0</xdr:rowOff>
    </xdr:from>
    <xdr:to>
      <xdr:col>21</xdr:col>
      <xdr:colOff>50602</xdr:colOff>
      <xdr:row>165</xdr:row>
      <xdr:rowOff>15875</xdr:rowOff>
    </xdr:to>
    <xdr:graphicFrame macro="">
      <xdr:nvGraphicFramePr>
        <xdr:cNvPr id="16" name="LINE 2May2022">
          <a:extLst>
            <a:ext uri="{FF2B5EF4-FFF2-40B4-BE49-F238E27FC236}">
              <a16:creationId xmlns:a16="http://schemas.microsoft.com/office/drawing/2014/main" id="{49449CBF-368A-45E9-A598-385BD2E26B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177</xdr:row>
      <xdr:rowOff>0</xdr:rowOff>
    </xdr:from>
    <xdr:to>
      <xdr:col>21</xdr:col>
      <xdr:colOff>50602</xdr:colOff>
      <xdr:row>198</xdr:row>
      <xdr:rowOff>15875</xdr:rowOff>
    </xdr:to>
    <xdr:graphicFrame macro="">
      <xdr:nvGraphicFramePr>
        <xdr:cNvPr id="18" name="LINE 2June2022">
          <a:extLst>
            <a:ext uri="{FF2B5EF4-FFF2-40B4-BE49-F238E27FC236}">
              <a16:creationId xmlns:a16="http://schemas.microsoft.com/office/drawing/2014/main" id="{E202AE4C-4F7F-4A74-8E8C-922418DD63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209</xdr:row>
      <xdr:rowOff>0</xdr:rowOff>
    </xdr:from>
    <xdr:to>
      <xdr:col>21</xdr:col>
      <xdr:colOff>50602</xdr:colOff>
      <xdr:row>230</xdr:row>
      <xdr:rowOff>15875</xdr:rowOff>
    </xdr:to>
    <xdr:graphicFrame macro="">
      <xdr:nvGraphicFramePr>
        <xdr:cNvPr id="22" name="LINE 2July2022">
          <a:extLst>
            <a:ext uri="{FF2B5EF4-FFF2-40B4-BE49-F238E27FC236}">
              <a16:creationId xmlns:a16="http://schemas.microsoft.com/office/drawing/2014/main" id="{E309FE71-15FE-4985-BA11-03A13BE8E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11</xdr:row>
      <xdr:rowOff>0</xdr:rowOff>
    </xdr:from>
    <xdr:to>
      <xdr:col>21</xdr:col>
      <xdr:colOff>269621</xdr:colOff>
      <xdr:row>32</xdr:row>
      <xdr:rowOff>15875</xdr:rowOff>
    </xdr:to>
    <xdr:graphicFrame macro="">
      <xdr:nvGraphicFramePr>
        <xdr:cNvPr id="3" name="LINE 3January2022">
          <a:extLst>
            <a:ext uri="{FF2B5EF4-FFF2-40B4-BE49-F238E27FC236}">
              <a16:creationId xmlns:a16="http://schemas.microsoft.com/office/drawing/2014/main" id="{F886DA4E-F1D4-4D6A-995A-604C679FF0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44</xdr:row>
      <xdr:rowOff>0</xdr:rowOff>
    </xdr:from>
    <xdr:to>
      <xdr:col>21</xdr:col>
      <xdr:colOff>269621</xdr:colOff>
      <xdr:row>65</xdr:row>
      <xdr:rowOff>15875</xdr:rowOff>
    </xdr:to>
    <xdr:graphicFrame macro="">
      <xdr:nvGraphicFramePr>
        <xdr:cNvPr id="7" name="LINE 3February2022">
          <a:extLst>
            <a:ext uri="{FF2B5EF4-FFF2-40B4-BE49-F238E27FC236}">
              <a16:creationId xmlns:a16="http://schemas.microsoft.com/office/drawing/2014/main" id="{E1594EA5-6CD3-4599-AF6A-C042241988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76</xdr:row>
      <xdr:rowOff>0</xdr:rowOff>
    </xdr:from>
    <xdr:to>
      <xdr:col>21</xdr:col>
      <xdr:colOff>269621</xdr:colOff>
      <xdr:row>97</xdr:row>
      <xdr:rowOff>15875</xdr:rowOff>
    </xdr:to>
    <xdr:graphicFrame macro="">
      <xdr:nvGraphicFramePr>
        <xdr:cNvPr id="10" name="LINE 3March2022">
          <a:extLst>
            <a:ext uri="{FF2B5EF4-FFF2-40B4-BE49-F238E27FC236}">
              <a16:creationId xmlns:a16="http://schemas.microsoft.com/office/drawing/2014/main" id="{F5F53E2F-1C2A-4997-A71B-C83EAD8274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107</xdr:row>
      <xdr:rowOff>0</xdr:rowOff>
    </xdr:from>
    <xdr:to>
      <xdr:col>21</xdr:col>
      <xdr:colOff>269621</xdr:colOff>
      <xdr:row>128</xdr:row>
      <xdr:rowOff>15875</xdr:rowOff>
    </xdr:to>
    <xdr:graphicFrame macro="">
      <xdr:nvGraphicFramePr>
        <xdr:cNvPr id="13" name="LINE 3April2022">
          <a:extLst>
            <a:ext uri="{FF2B5EF4-FFF2-40B4-BE49-F238E27FC236}">
              <a16:creationId xmlns:a16="http://schemas.microsoft.com/office/drawing/2014/main" id="{41AC5932-C77A-4C37-A5CB-468CB02E67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139</xdr:row>
      <xdr:rowOff>0</xdr:rowOff>
    </xdr:from>
    <xdr:to>
      <xdr:col>21</xdr:col>
      <xdr:colOff>269621</xdr:colOff>
      <xdr:row>160</xdr:row>
      <xdr:rowOff>15875</xdr:rowOff>
    </xdr:to>
    <xdr:graphicFrame macro="">
      <xdr:nvGraphicFramePr>
        <xdr:cNvPr id="16" name="LINE 3May2022">
          <a:extLst>
            <a:ext uri="{FF2B5EF4-FFF2-40B4-BE49-F238E27FC236}">
              <a16:creationId xmlns:a16="http://schemas.microsoft.com/office/drawing/2014/main" id="{E125D73F-EC24-43C4-934C-FD2E404EFD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171</xdr:row>
      <xdr:rowOff>0</xdr:rowOff>
    </xdr:from>
    <xdr:to>
      <xdr:col>21</xdr:col>
      <xdr:colOff>269621</xdr:colOff>
      <xdr:row>192</xdr:row>
      <xdr:rowOff>15875</xdr:rowOff>
    </xdr:to>
    <xdr:graphicFrame macro="">
      <xdr:nvGraphicFramePr>
        <xdr:cNvPr id="18" name="LINE 3June2022">
          <a:extLst>
            <a:ext uri="{FF2B5EF4-FFF2-40B4-BE49-F238E27FC236}">
              <a16:creationId xmlns:a16="http://schemas.microsoft.com/office/drawing/2014/main" id="{8E40411A-640F-4082-98C0-F6A2CB79A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4545C-EBCF-4E32-B0A6-7CAEEB926C61}">
  <sheetPr codeName="Sheet10"/>
  <dimension ref="A2:AH11"/>
  <sheetViews>
    <sheetView topLeftCell="I1" zoomScale="80" zoomScaleNormal="80" workbookViewId="0">
      <selection activeCell="B2" sqref="B2:R4"/>
    </sheetView>
  </sheetViews>
  <sheetFormatPr defaultRowHeight="15" x14ac:dyDescent="0.25"/>
  <cols>
    <col min="2" max="2" width="9.140625" style="22"/>
    <col min="3" max="3" width="19.28515625" customWidth="1"/>
    <col min="4" max="4" width="23.7109375" customWidth="1"/>
    <col min="5" max="5" width="15.140625" style="20" customWidth="1"/>
    <col min="6" max="18" width="16" customWidth="1"/>
  </cols>
  <sheetData>
    <row r="2" spans="1:34" ht="19.5" thickBot="1" x14ac:dyDescent="0.35">
      <c r="B2" s="94" t="s">
        <v>18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34" ht="15.75" thickBot="1" x14ac:dyDescent="0.3">
      <c r="B3" s="95" t="s">
        <v>19</v>
      </c>
      <c r="C3" s="95" t="s">
        <v>5</v>
      </c>
      <c r="D3" s="95" t="s">
        <v>6</v>
      </c>
      <c r="E3" s="97" t="s">
        <v>20</v>
      </c>
      <c r="F3" s="99" t="s">
        <v>9</v>
      </c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1"/>
      <c r="R3" s="102" t="s">
        <v>8</v>
      </c>
    </row>
    <row r="4" spans="1:34" ht="15.75" thickBot="1" x14ac:dyDescent="0.3">
      <c r="B4" s="96"/>
      <c r="C4" s="96"/>
      <c r="D4" s="96"/>
      <c r="E4" s="98"/>
      <c r="F4" s="6" t="s">
        <v>0</v>
      </c>
      <c r="G4" s="6" t="s">
        <v>21</v>
      </c>
      <c r="H4" s="6" t="s">
        <v>22</v>
      </c>
      <c r="I4" s="4" t="s">
        <v>7</v>
      </c>
      <c r="J4" s="5" t="s">
        <v>23</v>
      </c>
      <c r="K4" s="4" t="s">
        <v>24</v>
      </c>
      <c r="L4" s="5" t="s">
        <v>25</v>
      </c>
      <c r="M4" s="4" t="s">
        <v>26</v>
      </c>
      <c r="N4" s="4" t="s">
        <v>27</v>
      </c>
      <c r="O4" s="4" t="s">
        <v>28</v>
      </c>
      <c r="P4" s="4" t="s">
        <v>29</v>
      </c>
      <c r="Q4" s="7" t="s">
        <v>30</v>
      </c>
      <c r="R4" s="103"/>
    </row>
    <row r="5" spans="1:34" ht="15.75" thickBot="1" x14ac:dyDescent="0.3">
      <c r="B5" s="48" t="s">
        <v>101</v>
      </c>
      <c r="C5" s="8"/>
      <c r="D5" s="1"/>
      <c r="E5" s="9"/>
      <c r="F5" s="10"/>
      <c r="G5" s="10"/>
      <c r="H5" s="11"/>
      <c r="I5" s="10"/>
      <c r="J5" s="11"/>
      <c r="K5" s="10"/>
      <c r="L5" s="11"/>
      <c r="M5" s="10"/>
      <c r="N5" s="10"/>
      <c r="O5" s="10"/>
      <c r="P5" s="10"/>
      <c r="Q5" s="11"/>
      <c r="R5" s="10">
        <f t="shared" ref="R5:R7" si="0">SUM(F5:Q5)</f>
        <v>0</v>
      </c>
    </row>
    <row r="6" spans="1:34" ht="15.75" thickBot="1" x14ac:dyDescent="0.3">
      <c r="B6" s="48" t="s">
        <v>102</v>
      </c>
      <c r="C6" s="12"/>
      <c r="D6" s="13"/>
      <c r="E6" s="14"/>
      <c r="F6" s="10"/>
      <c r="G6" s="10"/>
      <c r="H6" s="11"/>
      <c r="I6" s="10"/>
      <c r="J6" s="11"/>
      <c r="K6" s="10"/>
      <c r="L6" s="11"/>
      <c r="M6" s="10"/>
      <c r="N6" s="10"/>
      <c r="O6" s="10"/>
      <c r="P6" s="11"/>
      <c r="Q6" s="10"/>
      <c r="R6" s="10">
        <f t="shared" si="0"/>
        <v>0</v>
      </c>
    </row>
    <row r="7" spans="1:34" ht="15.75" thickBot="1" x14ac:dyDescent="0.3">
      <c r="B7" s="49" t="s">
        <v>103</v>
      </c>
      <c r="C7" s="50"/>
      <c r="D7" s="3"/>
      <c r="E7" s="51"/>
      <c r="F7" s="52"/>
      <c r="G7" s="52"/>
      <c r="H7" s="53"/>
      <c r="I7" s="52"/>
      <c r="J7" s="53"/>
      <c r="K7" s="52"/>
      <c r="L7" s="53"/>
      <c r="M7" s="52"/>
      <c r="N7" s="52"/>
      <c r="O7" s="52"/>
      <c r="P7" s="52"/>
      <c r="Q7" s="52"/>
      <c r="R7" s="54">
        <f t="shared" si="0"/>
        <v>0</v>
      </c>
    </row>
    <row r="8" spans="1:34" ht="15.75" thickBot="1" x14ac:dyDescent="0.3">
      <c r="A8" s="15"/>
      <c r="B8" s="91" t="s">
        <v>8</v>
      </c>
      <c r="C8" s="92"/>
      <c r="D8" s="92"/>
      <c r="E8" s="93"/>
      <c r="F8" s="18">
        <f t="shared" ref="F8:R8" si="1">SUM(F5:F7)</f>
        <v>0</v>
      </c>
      <c r="G8" s="18">
        <f t="shared" si="1"/>
        <v>0</v>
      </c>
      <c r="H8" s="18">
        <f t="shared" si="1"/>
        <v>0</v>
      </c>
      <c r="I8" s="18">
        <f t="shared" si="1"/>
        <v>0</v>
      </c>
      <c r="J8" s="18">
        <f t="shared" si="1"/>
        <v>0</v>
      </c>
      <c r="K8" s="18">
        <f t="shared" si="1"/>
        <v>0</v>
      </c>
      <c r="L8" s="18">
        <f t="shared" si="1"/>
        <v>0</v>
      </c>
      <c r="M8" s="18">
        <f t="shared" si="1"/>
        <v>0</v>
      </c>
      <c r="N8" s="18">
        <f t="shared" si="1"/>
        <v>0</v>
      </c>
      <c r="O8" s="17">
        <f t="shared" si="1"/>
        <v>0</v>
      </c>
      <c r="P8" s="18">
        <f t="shared" si="1"/>
        <v>0</v>
      </c>
      <c r="Q8" s="19">
        <f t="shared" si="1"/>
        <v>0</v>
      </c>
      <c r="R8" s="18">
        <f t="shared" si="1"/>
        <v>0</v>
      </c>
    </row>
    <row r="9" spans="1:34" ht="15.75" x14ac:dyDescent="0.25">
      <c r="F9" s="3"/>
      <c r="N9" s="3"/>
      <c r="U9" s="90" t="s">
        <v>39</v>
      </c>
      <c r="V9" s="90"/>
      <c r="W9" s="90"/>
      <c r="X9" s="90"/>
      <c r="Y9" s="90"/>
      <c r="Z9" s="90"/>
      <c r="AA9" s="90"/>
      <c r="AB9" s="90"/>
      <c r="AC9" s="90"/>
      <c r="AD9" s="90"/>
      <c r="AE9" s="90"/>
      <c r="AF9" s="90"/>
      <c r="AG9" s="90"/>
      <c r="AH9" s="90"/>
    </row>
    <row r="10" spans="1:34" ht="15.75" x14ac:dyDescent="0.25"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</row>
    <row r="11" spans="1:34" x14ac:dyDescent="0.25">
      <c r="U11" s="21" t="s">
        <v>5</v>
      </c>
      <c r="V11" s="21" t="s">
        <v>0</v>
      </c>
      <c r="W11" s="21" t="s">
        <v>21</v>
      </c>
      <c r="X11" s="21" t="s">
        <v>22</v>
      </c>
      <c r="Y11" s="21" t="s">
        <v>7</v>
      </c>
      <c r="Z11" s="21" t="s">
        <v>23</v>
      </c>
      <c r="AA11" s="21" t="s">
        <v>24</v>
      </c>
      <c r="AB11" s="21" t="s">
        <v>25</v>
      </c>
      <c r="AC11" s="21" t="s">
        <v>26</v>
      </c>
      <c r="AD11" s="21" t="s">
        <v>27</v>
      </c>
      <c r="AE11" s="21" t="s">
        <v>28</v>
      </c>
      <c r="AF11" s="21" t="s">
        <v>29</v>
      </c>
      <c r="AG11" s="21" t="s">
        <v>40</v>
      </c>
      <c r="AH11" s="21" t="s">
        <v>8</v>
      </c>
    </row>
  </sheetData>
  <mergeCells count="9">
    <mergeCell ref="U9:AH9"/>
    <mergeCell ref="B8:E8"/>
    <mergeCell ref="B2:R2"/>
    <mergeCell ref="B3:B4"/>
    <mergeCell ref="C3:C4"/>
    <mergeCell ref="D3:D4"/>
    <mergeCell ref="E3:E4"/>
    <mergeCell ref="F3:Q3"/>
    <mergeCell ref="R3:R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795E0-5A15-494D-8E79-4333CC526E40}">
  <sheetPr codeName="Sheet9"/>
  <dimension ref="A1:BP28"/>
  <sheetViews>
    <sheetView tabSelected="1" zoomScale="85" zoomScaleNormal="85" workbookViewId="0">
      <selection activeCell="C7" sqref="C7"/>
    </sheetView>
  </sheetViews>
  <sheetFormatPr defaultRowHeight="15" x14ac:dyDescent="0.25"/>
  <cols>
    <col min="1" max="1" width="10.140625" style="125" customWidth="1"/>
    <col min="2" max="2" width="9.140625" style="125"/>
    <col min="3" max="3" width="6.85546875" customWidth="1"/>
    <col min="4" max="4" width="10.140625" bestFit="1" customWidth="1"/>
    <col min="5" max="5" width="12.42578125" customWidth="1"/>
    <col min="6" max="6" width="0.7109375" customWidth="1"/>
    <col min="7" max="7" width="9.28515625" bestFit="1" customWidth="1"/>
    <col min="8" max="8" width="16.42578125" bestFit="1" customWidth="1"/>
    <col min="9" max="9" width="15.7109375" bestFit="1" customWidth="1"/>
    <col min="10" max="10" width="0.85546875" customWidth="1"/>
    <col min="11" max="11" width="9.28515625" bestFit="1" customWidth="1"/>
    <col min="12" max="12" width="22.42578125" bestFit="1" customWidth="1"/>
    <col min="13" max="13" width="15.7109375" bestFit="1" customWidth="1"/>
    <col min="14" max="14" width="0.85546875" customWidth="1"/>
    <col min="15" max="15" width="9.28515625" bestFit="1" customWidth="1"/>
    <col min="16" max="16" width="22.42578125" bestFit="1" customWidth="1"/>
    <col min="17" max="17" width="15.7109375" bestFit="1" customWidth="1"/>
    <col min="18" max="18" width="10" bestFit="1" customWidth="1"/>
    <col min="20" max="20" width="20.140625" bestFit="1" customWidth="1"/>
    <col min="52" max="52" width="11.7109375" bestFit="1" customWidth="1"/>
    <col min="53" max="53" width="3.85546875" bestFit="1" customWidth="1"/>
    <col min="54" max="54" width="11.7109375" bestFit="1" customWidth="1"/>
    <col min="55" max="55" width="5.28515625" bestFit="1" customWidth="1"/>
    <col min="56" max="56" width="12.42578125" bestFit="1" customWidth="1"/>
    <col min="57" max="57" width="12" bestFit="1" customWidth="1"/>
    <col min="58" max="58" width="12.140625" bestFit="1" customWidth="1"/>
    <col min="59" max="59" width="8.140625" bestFit="1" customWidth="1"/>
    <col min="60" max="61" width="10" bestFit="1" customWidth="1"/>
    <col min="63" max="63" width="12.5703125" bestFit="1" customWidth="1"/>
    <col min="64" max="64" width="10" bestFit="1" customWidth="1"/>
    <col min="67" max="67" width="20.7109375" bestFit="1" customWidth="1"/>
  </cols>
  <sheetData>
    <row r="1" spans="1:68" ht="15.75" thickBot="1" x14ac:dyDescent="0.3">
      <c r="A1" s="124"/>
      <c r="BD1" s="24">
        <f ca="1">TODAY()</f>
        <v>44811</v>
      </c>
      <c r="BE1">
        <v>1</v>
      </c>
      <c r="BK1" t="str">
        <f>_xlfn.IFNA(MATCH(BE1,$E$5:$E$18,0),"")</f>
        <v/>
      </c>
      <c r="BL1" t="str">
        <f>BK1</f>
        <v/>
      </c>
      <c r="BM1" t="str">
        <f>_xlfn.IFNA(MATCH(BE1,$E$21:$E$25,0),"")</f>
        <v/>
      </c>
      <c r="BN1" t="str">
        <f>BM1</f>
        <v/>
      </c>
      <c r="BO1" s="38" t="s">
        <v>1</v>
      </c>
      <c r="BP1" s="23"/>
    </row>
    <row r="2" spans="1:68" ht="15.75" thickBot="1" x14ac:dyDescent="0.3">
      <c r="B2" s="126"/>
      <c r="D2" s="45" t="s">
        <v>72</v>
      </c>
      <c r="E2" s="46" t="s">
        <v>67</v>
      </c>
      <c r="AZ2" t="s">
        <v>60</v>
      </c>
      <c r="BA2">
        <v>1</v>
      </c>
      <c r="BB2" t="s">
        <v>60</v>
      </c>
      <c r="BC2" t="str">
        <f>LEFT(BB2,3)</f>
        <v>Jan</v>
      </c>
      <c r="BD2">
        <f>VLOOKUP(E2,$AZ$2:$BC$13,2,0)</f>
        <v>8</v>
      </c>
      <c r="BE2" t="s">
        <v>76</v>
      </c>
      <c r="BF2" t="s">
        <v>77</v>
      </c>
      <c r="BG2" t="s">
        <v>78</v>
      </c>
      <c r="BH2" t="s">
        <v>79</v>
      </c>
      <c r="BI2" t="s">
        <v>80</v>
      </c>
      <c r="BK2" t="str">
        <f ca="1">IF(IFERROR(MONTH($BJ$3),"")&lt;&gt;$BF$4,CONCATENATE($BF$4,"/",$BE$1,"/",$BF$5),CONCATENATE($BE$1,"/",$BF$4,"/",$BF$5))</f>
        <v>8/1/2022</v>
      </c>
      <c r="BL2">
        <f ca="1">IF(BH3=7,IF(AND(BM1&lt;&gt;"",BN1&lt;&gt;""),BE1,"LIBUR"),IF(AND(BL1&lt;&gt;"",BK1&lt;&gt;""),"LIBUR",BE1))</f>
        <v>1</v>
      </c>
      <c r="BO2" s="38" t="s">
        <v>2</v>
      </c>
      <c r="BP2" s="23"/>
    </row>
    <row r="3" spans="1:68" ht="15.75" thickBot="1" x14ac:dyDescent="0.3">
      <c r="G3" s="104" t="s">
        <v>95</v>
      </c>
      <c r="H3" s="108"/>
      <c r="I3" s="105"/>
      <c r="K3" s="104" t="s">
        <v>93</v>
      </c>
      <c r="L3" s="108"/>
      <c r="M3" s="105"/>
      <c r="O3" s="104" t="s">
        <v>94</v>
      </c>
      <c r="P3" s="108"/>
      <c r="Q3" s="105"/>
      <c r="AZ3" t="s">
        <v>61</v>
      </c>
      <c r="BA3">
        <v>2</v>
      </c>
      <c r="BB3" t="s">
        <v>61</v>
      </c>
      <c r="BC3" t="str">
        <f t="shared" ref="BC3:BC13" si="0">LEFT(BB3,3)</f>
        <v>Feb</v>
      </c>
      <c r="BE3" t="str">
        <f ca="1">13 &amp; "/" &amp; BD2 &amp; "/" &amp; YEAR(BD1)</f>
        <v>13/8/2022</v>
      </c>
      <c r="BF3">
        <f ca="1">IFERROR(DAY(EOMONTH(BE3,0)),DAY(EOMONTH(BD2&amp;"/"&amp;13&amp;"/"&amp;YEAR(BD1),0)))</f>
        <v>31</v>
      </c>
      <c r="BG3" t="str">
        <f>VLOOKUP($BF$4,$BA$2:$BC$13,3)</f>
        <v>Aug</v>
      </c>
      <c r="BH3">
        <f ca="1">IFERROR(WEEKDAY(BK2,2),WEEKDAY(MONTH(BF4 &amp; "/" &amp; BE1 &amp; "/" &amp; BF5),2))</f>
        <v>1</v>
      </c>
      <c r="BI3" t="str">
        <f ca="1">VLOOKUP($BH$3,BH4:BI10,2)</f>
        <v>Senin</v>
      </c>
      <c r="BJ3" t="str">
        <f ca="1">CONCATENATE($BE$1,"/",$BF$4,"/",$BF$5)</f>
        <v>1/8/2022</v>
      </c>
      <c r="BK3" t="str">
        <f ca="1">1 &amp; "/" &amp; BD2 &amp; "/" &amp; BF5</f>
        <v>1/8/2022</v>
      </c>
      <c r="BO3" s="38" t="s">
        <v>4</v>
      </c>
      <c r="BP3" s="23"/>
    </row>
    <row r="4" spans="1:68" ht="31.5" customHeight="1" thickBot="1" x14ac:dyDescent="0.3">
      <c r="D4" s="130" t="s">
        <v>90</v>
      </c>
      <c r="E4" s="131"/>
      <c r="G4" s="64" t="s">
        <v>74</v>
      </c>
      <c r="H4" s="25" t="s">
        <v>75</v>
      </c>
      <c r="I4" s="26" t="s">
        <v>92</v>
      </c>
      <c r="K4" s="64" t="s">
        <v>74</v>
      </c>
      <c r="L4" s="30" t="s">
        <v>75</v>
      </c>
      <c r="M4" s="26" t="s">
        <v>92</v>
      </c>
      <c r="O4" s="64" t="s">
        <v>74</v>
      </c>
      <c r="P4" s="30" t="s">
        <v>75</v>
      </c>
      <c r="Q4" s="26" t="s">
        <v>92</v>
      </c>
      <c r="AZ4" t="s">
        <v>62</v>
      </c>
      <c r="BA4">
        <v>3</v>
      </c>
      <c r="BB4" t="s">
        <v>62</v>
      </c>
      <c r="BC4" t="str">
        <f t="shared" si="0"/>
        <v>Mar</v>
      </c>
      <c r="BF4">
        <f>BD2</f>
        <v>8</v>
      </c>
      <c r="BG4" t="str">
        <f>VLOOKUP($BF$4,$BA$2:$BC$13,2)</f>
        <v>August</v>
      </c>
      <c r="BH4">
        <v>1</v>
      </c>
      <c r="BI4" t="s">
        <v>81</v>
      </c>
      <c r="BK4">
        <f ca="1">IFERROR(MONTH(BK2),MONTH(BF4&amp;"/"&amp;BE1&amp;"/"&amp;BF5))</f>
        <v>8</v>
      </c>
      <c r="BO4" s="38" t="s">
        <v>3</v>
      </c>
      <c r="BP4" s="23"/>
    </row>
    <row r="5" spans="1:68" ht="15" customHeight="1" x14ac:dyDescent="0.25">
      <c r="D5" s="99" t="s">
        <v>73</v>
      </c>
      <c r="E5" s="29">
        <v>17</v>
      </c>
      <c r="G5" s="31" t="s">
        <v>14</v>
      </c>
      <c r="H5" s="25" t="s">
        <v>12</v>
      </c>
      <c r="I5" s="80" t="s">
        <v>32</v>
      </c>
      <c r="K5" s="31" t="s">
        <v>14</v>
      </c>
      <c r="L5" s="25" t="s">
        <v>12</v>
      </c>
      <c r="M5" s="26" t="s">
        <v>32</v>
      </c>
      <c r="O5" s="31"/>
      <c r="P5" s="25"/>
      <c r="Q5" s="80"/>
      <c r="AZ5" t="s">
        <v>63</v>
      </c>
      <c r="BA5">
        <v>4</v>
      </c>
      <c r="BB5" t="s">
        <v>63</v>
      </c>
      <c r="BC5" t="str">
        <f t="shared" si="0"/>
        <v>Apr</v>
      </c>
      <c r="BE5" t="str">
        <f t="shared" ref="BE5" si="1">LEFT(BD5,3)</f>
        <v/>
      </c>
      <c r="BF5">
        <f ca="1">IFERROR(YEAR(BE3),YEAR(BD2&amp;"/"&amp;13&amp;"/"&amp;YEAR(BD1)))</f>
        <v>2022</v>
      </c>
      <c r="BH5">
        <v>2</v>
      </c>
      <c r="BI5" t="s">
        <v>82</v>
      </c>
      <c r="BK5" t="s">
        <v>96</v>
      </c>
      <c r="BL5">
        <f>BF4</f>
        <v>8</v>
      </c>
    </row>
    <row r="6" spans="1:68" x14ac:dyDescent="0.25">
      <c r="D6" s="109"/>
      <c r="E6" s="26"/>
      <c r="G6" s="31" t="s">
        <v>10</v>
      </c>
      <c r="H6" s="25" t="s">
        <v>13</v>
      </c>
      <c r="I6" s="81" t="s">
        <v>31</v>
      </c>
      <c r="K6" s="31" t="s">
        <v>10</v>
      </c>
      <c r="L6" s="25" t="s">
        <v>13</v>
      </c>
      <c r="M6" s="26" t="s">
        <v>31</v>
      </c>
      <c r="O6" s="31"/>
      <c r="P6" s="25"/>
      <c r="Q6" s="81"/>
      <c r="AZ6" t="s">
        <v>64</v>
      </c>
      <c r="BA6">
        <v>5</v>
      </c>
      <c r="BB6" t="s">
        <v>64</v>
      </c>
      <c r="BC6" t="str">
        <f t="shared" si="0"/>
        <v>May</v>
      </c>
      <c r="BE6" t="str">
        <f t="shared" ref="BE6:BE15" si="2">LEFT(BD6,3)</f>
        <v/>
      </c>
      <c r="BH6">
        <v>3</v>
      </c>
      <c r="BI6" t="s">
        <v>83</v>
      </c>
    </row>
    <row r="7" spans="1:68" x14ac:dyDescent="0.25">
      <c r="D7" s="109"/>
      <c r="E7" s="26"/>
      <c r="G7" s="31"/>
      <c r="H7" s="25"/>
      <c r="I7" s="80"/>
      <c r="K7" s="31"/>
      <c r="L7" s="25"/>
      <c r="M7" s="26"/>
      <c r="O7" s="31"/>
      <c r="P7" s="25"/>
      <c r="Q7" s="37"/>
      <c r="AZ7" t="s">
        <v>65</v>
      </c>
      <c r="BA7">
        <v>6</v>
      </c>
      <c r="BB7" t="s">
        <v>65</v>
      </c>
      <c r="BC7" t="str">
        <f t="shared" si="0"/>
        <v>Jun</v>
      </c>
      <c r="BE7" t="str">
        <f t="shared" si="2"/>
        <v/>
      </c>
      <c r="BH7">
        <v>4</v>
      </c>
      <c r="BI7" t="s">
        <v>84</v>
      </c>
    </row>
    <row r="8" spans="1:68" x14ac:dyDescent="0.25">
      <c r="D8" s="109"/>
      <c r="E8" s="26"/>
      <c r="G8" s="31"/>
      <c r="H8" s="25"/>
      <c r="I8" s="80"/>
      <c r="K8" s="31"/>
      <c r="L8" s="25"/>
      <c r="M8" s="26"/>
      <c r="O8" s="64"/>
      <c r="P8" s="25"/>
      <c r="Q8" s="35"/>
      <c r="AZ8" t="s">
        <v>66</v>
      </c>
      <c r="BA8">
        <v>7</v>
      </c>
      <c r="BB8" t="s">
        <v>66</v>
      </c>
      <c r="BC8" t="str">
        <f t="shared" si="0"/>
        <v>Jul</v>
      </c>
      <c r="BE8" t="str">
        <f t="shared" si="2"/>
        <v/>
      </c>
      <c r="BH8">
        <v>5</v>
      </c>
      <c r="BI8" t="s">
        <v>85</v>
      </c>
    </row>
    <row r="9" spans="1:68" x14ac:dyDescent="0.25">
      <c r="D9" s="109"/>
      <c r="E9" s="26"/>
      <c r="G9" s="31"/>
      <c r="H9" s="25"/>
      <c r="I9" s="80"/>
      <c r="K9" s="31"/>
      <c r="L9" s="25"/>
      <c r="M9" s="80"/>
      <c r="O9" s="64"/>
      <c r="P9" s="25"/>
      <c r="Q9" s="35"/>
      <c r="AZ9" t="s">
        <v>67</v>
      </c>
      <c r="BA9">
        <v>8</v>
      </c>
      <c r="BB9" t="s">
        <v>67</v>
      </c>
      <c r="BC9" t="str">
        <f t="shared" si="0"/>
        <v>Aug</v>
      </c>
      <c r="BE9" t="str">
        <f t="shared" si="2"/>
        <v/>
      </c>
      <c r="BH9">
        <v>6</v>
      </c>
      <c r="BI9" t="s">
        <v>86</v>
      </c>
    </row>
    <row r="10" spans="1:68" x14ac:dyDescent="0.25">
      <c r="D10" s="109"/>
      <c r="E10" s="26"/>
      <c r="G10" s="31"/>
      <c r="H10" s="25"/>
      <c r="I10" s="80"/>
      <c r="K10" s="31"/>
      <c r="L10" s="25"/>
      <c r="M10" s="82"/>
      <c r="O10" s="64"/>
      <c r="P10" s="25"/>
      <c r="Q10" s="35"/>
      <c r="AZ10" t="s">
        <v>68</v>
      </c>
      <c r="BA10">
        <v>9</v>
      </c>
      <c r="BB10" t="s">
        <v>68</v>
      </c>
      <c r="BC10" t="str">
        <f t="shared" si="0"/>
        <v>Sep</v>
      </c>
      <c r="BE10" t="str">
        <f t="shared" si="2"/>
        <v/>
      </c>
      <c r="BH10">
        <v>7</v>
      </c>
      <c r="BI10" t="s">
        <v>87</v>
      </c>
    </row>
    <row r="11" spans="1:68" x14ac:dyDescent="0.25">
      <c r="D11" s="109"/>
      <c r="E11" s="26"/>
      <c r="G11" s="31"/>
      <c r="H11" s="25"/>
      <c r="I11" s="80"/>
      <c r="K11" s="64"/>
      <c r="L11" s="25"/>
      <c r="M11" s="35"/>
      <c r="O11" s="64"/>
      <c r="P11" s="25"/>
      <c r="Q11" s="35"/>
      <c r="AZ11" t="s">
        <v>69</v>
      </c>
      <c r="BA11">
        <v>10</v>
      </c>
      <c r="BB11" t="s">
        <v>69</v>
      </c>
      <c r="BC11" t="str">
        <f t="shared" si="0"/>
        <v>Oct</v>
      </c>
      <c r="BE11" t="str">
        <f t="shared" si="2"/>
        <v/>
      </c>
    </row>
    <row r="12" spans="1:68" x14ac:dyDescent="0.25">
      <c r="D12" s="109"/>
      <c r="E12" s="26"/>
      <c r="G12" s="31"/>
      <c r="H12" s="25"/>
      <c r="I12" s="80"/>
      <c r="K12" s="64"/>
      <c r="L12" s="25"/>
      <c r="M12" s="35"/>
      <c r="O12" s="64"/>
      <c r="P12" s="25"/>
      <c r="Q12" s="35"/>
      <c r="AZ12" t="s">
        <v>70</v>
      </c>
      <c r="BA12">
        <v>11</v>
      </c>
      <c r="BB12" t="s">
        <v>70</v>
      </c>
      <c r="BC12" t="str">
        <f t="shared" si="0"/>
        <v>Nov</v>
      </c>
      <c r="BE12" t="str">
        <f t="shared" si="2"/>
        <v/>
      </c>
    </row>
    <row r="13" spans="1:68" x14ac:dyDescent="0.25">
      <c r="D13" s="109"/>
      <c r="E13" s="26"/>
      <c r="G13" s="64"/>
      <c r="H13" s="25"/>
      <c r="I13" s="32"/>
      <c r="K13" s="64"/>
      <c r="L13" s="25"/>
      <c r="M13" s="35"/>
      <c r="O13" s="64"/>
      <c r="P13" s="25"/>
      <c r="Q13" s="35"/>
      <c r="AZ13" t="s">
        <v>71</v>
      </c>
      <c r="BA13">
        <v>12</v>
      </c>
      <c r="BB13" t="s">
        <v>71</v>
      </c>
      <c r="BC13" t="str">
        <f t="shared" si="0"/>
        <v>Dec</v>
      </c>
      <c r="BE13" t="str">
        <f t="shared" si="2"/>
        <v/>
      </c>
    </row>
    <row r="14" spans="1:68" x14ac:dyDescent="0.25">
      <c r="D14" s="109"/>
      <c r="E14" s="26"/>
      <c r="G14" s="64"/>
      <c r="H14" s="25"/>
      <c r="I14" s="32"/>
      <c r="K14" s="64"/>
      <c r="L14" s="25"/>
      <c r="M14" s="35"/>
      <c r="O14" s="64"/>
      <c r="P14" s="25"/>
      <c r="Q14" s="35"/>
      <c r="BE14" t="str">
        <f t="shared" si="2"/>
        <v/>
      </c>
    </row>
    <row r="15" spans="1:68" x14ac:dyDescent="0.25">
      <c r="D15" s="109"/>
      <c r="E15" s="26"/>
      <c r="G15" s="64"/>
      <c r="H15" s="25"/>
      <c r="I15" s="32"/>
      <c r="K15" s="64"/>
      <c r="L15" s="25"/>
      <c r="M15" s="35"/>
      <c r="O15" s="64"/>
      <c r="P15" s="25"/>
      <c r="Q15" s="35"/>
      <c r="BE15" t="str">
        <f t="shared" si="2"/>
        <v/>
      </c>
    </row>
    <row r="16" spans="1:68" x14ac:dyDescent="0.25">
      <c r="D16" s="109"/>
      <c r="E16" s="26"/>
      <c r="G16" s="64"/>
      <c r="H16" s="25"/>
      <c r="I16" s="32"/>
      <c r="K16" s="64"/>
      <c r="L16" s="25"/>
      <c r="M16" s="35"/>
      <c r="O16" s="64"/>
      <c r="P16" s="25"/>
      <c r="Q16" s="35"/>
    </row>
    <row r="17" spans="1:17" x14ac:dyDescent="0.25">
      <c r="D17" s="109"/>
      <c r="E17" s="26"/>
      <c r="G17" s="64"/>
      <c r="H17" s="25"/>
      <c r="I17" s="32"/>
      <c r="K17" s="64"/>
      <c r="L17" s="25"/>
      <c r="M17" s="35"/>
      <c r="O17" s="64"/>
      <c r="P17" s="25"/>
      <c r="Q17" s="35"/>
    </row>
    <row r="18" spans="1:17" ht="15.75" thickBot="1" x14ac:dyDescent="0.3">
      <c r="D18" s="110"/>
      <c r="E18" s="27"/>
      <c r="G18" s="64"/>
      <c r="H18" s="25"/>
      <c r="I18" s="32"/>
      <c r="K18" s="64"/>
      <c r="L18" s="25"/>
      <c r="M18" s="35"/>
      <c r="O18" s="64"/>
      <c r="P18" s="25"/>
      <c r="Q18" s="35"/>
    </row>
    <row r="19" spans="1:17" ht="15.75" thickBot="1" x14ac:dyDescent="0.3">
      <c r="A19" s="127"/>
      <c r="G19" s="64"/>
      <c r="H19" s="25"/>
      <c r="I19" s="32"/>
      <c r="K19" s="64"/>
      <c r="L19" s="25"/>
      <c r="M19" s="35"/>
      <c r="O19" s="64"/>
      <c r="P19" s="25"/>
      <c r="Q19" s="35"/>
    </row>
    <row r="20" spans="1:17" ht="33.75" customHeight="1" x14ac:dyDescent="0.25">
      <c r="A20" s="127"/>
      <c r="B20" s="127"/>
      <c r="D20" s="128" t="s">
        <v>99</v>
      </c>
      <c r="E20" s="129"/>
      <c r="G20" s="64"/>
      <c r="H20" s="25"/>
      <c r="I20" s="32"/>
      <c r="K20" s="64"/>
      <c r="L20" s="25"/>
      <c r="M20" s="35"/>
      <c r="O20" s="64"/>
      <c r="P20" s="25"/>
      <c r="Q20" s="35"/>
    </row>
    <row r="21" spans="1:17" x14ac:dyDescent="0.25">
      <c r="A21" s="127"/>
      <c r="B21" s="127"/>
      <c r="C21" s="23"/>
      <c r="D21" s="106" t="s">
        <v>73</v>
      </c>
      <c r="E21" s="26"/>
      <c r="G21" s="64"/>
      <c r="H21" s="25"/>
      <c r="I21" s="32"/>
      <c r="K21" s="64"/>
      <c r="L21" s="25"/>
      <c r="M21" s="35"/>
      <c r="O21" s="64"/>
      <c r="P21" s="25"/>
      <c r="Q21" s="35"/>
    </row>
    <row r="22" spans="1:17" x14ac:dyDescent="0.25">
      <c r="A22" s="127"/>
      <c r="B22" s="127"/>
      <c r="C22" s="23"/>
      <c r="D22" s="106"/>
      <c r="E22" s="26"/>
      <c r="G22" s="64"/>
      <c r="H22" s="25"/>
      <c r="I22" s="32"/>
      <c r="K22" s="64"/>
      <c r="L22" s="25"/>
      <c r="M22" s="35"/>
      <c r="O22" s="64"/>
      <c r="P22" s="25"/>
      <c r="Q22" s="35"/>
    </row>
    <row r="23" spans="1:17" x14ac:dyDescent="0.25">
      <c r="A23" s="127"/>
      <c r="D23" s="106"/>
      <c r="E23" s="26"/>
      <c r="G23" s="64"/>
      <c r="H23" s="25"/>
      <c r="I23" s="32"/>
      <c r="K23" s="64"/>
      <c r="L23" s="25"/>
      <c r="M23" s="35"/>
      <c r="O23" s="64"/>
      <c r="P23" s="25"/>
      <c r="Q23" s="35"/>
    </row>
    <row r="24" spans="1:17" x14ac:dyDescent="0.25">
      <c r="A24" s="127"/>
      <c r="D24" s="106"/>
      <c r="E24" s="26"/>
      <c r="G24" s="64"/>
      <c r="H24" s="25"/>
      <c r="I24" s="32"/>
      <c r="K24" s="64"/>
      <c r="L24" s="25"/>
      <c r="M24" s="35"/>
      <c r="O24" s="64"/>
      <c r="P24" s="25"/>
      <c r="Q24" s="35"/>
    </row>
    <row r="25" spans="1:17" ht="15.75" thickBot="1" x14ac:dyDescent="0.3">
      <c r="A25" s="127"/>
      <c r="D25" s="107"/>
      <c r="E25" s="27"/>
      <c r="G25" s="64"/>
      <c r="H25" s="25"/>
      <c r="I25" s="32"/>
      <c r="K25" s="64"/>
      <c r="L25" s="25"/>
      <c r="M25" s="35"/>
      <c r="O25" s="64"/>
      <c r="P25" s="25"/>
      <c r="Q25" s="35"/>
    </row>
    <row r="26" spans="1:17" x14ac:dyDescent="0.25">
      <c r="A26" s="127"/>
      <c r="D26" s="23"/>
      <c r="G26" s="64"/>
      <c r="H26" s="25"/>
      <c r="I26" s="32"/>
      <c r="K26" s="64"/>
      <c r="L26" s="25"/>
      <c r="M26" s="35"/>
      <c r="O26" s="64"/>
      <c r="P26" s="25"/>
      <c r="Q26" s="35"/>
    </row>
    <row r="27" spans="1:17" x14ac:dyDescent="0.25">
      <c r="G27" s="64"/>
      <c r="H27" s="25"/>
      <c r="I27" s="32"/>
      <c r="K27" s="64"/>
      <c r="L27" s="25"/>
      <c r="M27" s="35"/>
      <c r="O27" s="64"/>
      <c r="P27" s="25"/>
      <c r="Q27" s="35"/>
    </row>
    <row r="28" spans="1:17" ht="15.75" thickBot="1" x14ac:dyDescent="0.3">
      <c r="G28" s="33"/>
      <c r="H28" s="28"/>
      <c r="I28" s="34"/>
      <c r="K28" s="65"/>
      <c r="L28" s="28"/>
      <c r="M28" s="36"/>
      <c r="O28" s="65"/>
      <c r="P28" s="28"/>
      <c r="Q28" s="36"/>
    </row>
  </sheetData>
  <mergeCells count="7">
    <mergeCell ref="D20:E20"/>
    <mergeCell ref="D21:D25"/>
    <mergeCell ref="G3:I3"/>
    <mergeCell ref="K3:M3"/>
    <mergeCell ref="O3:Q3"/>
    <mergeCell ref="D4:E4"/>
    <mergeCell ref="D5:D18"/>
  </mergeCells>
  <phoneticPr fontId="8" type="noConversion"/>
  <dataValidations count="1">
    <dataValidation type="list" allowBlank="1" showInputMessage="1" showErrorMessage="1" sqref="E2" xr:uid="{2734A747-3034-4599-A441-B331F885F8ED}">
      <formula1>$BB$2:$BB$13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E619-4545-4F31-976D-48EBE4EE8A6E}">
  <sheetPr codeName="Sheet1"/>
  <dimension ref="A3:CC214"/>
  <sheetViews>
    <sheetView topLeftCell="A215" zoomScale="70" zoomScaleNormal="70" workbookViewId="0">
      <selection activeCell="B233" sqref="B233"/>
    </sheetView>
  </sheetViews>
  <sheetFormatPr defaultColWidth="6.28515625" defaultRowHeight="15" x14ac:dyDescent="0.25"/>
  <cols>
    <col min="1" max="1" width="12.5703125" bestFit="1" customWidth="1"/>
    <col min="2" max="2" width="21.7109375" bestFit="1" customWidth="1"/>
    <col min="3" max="3" width="32.140625" bestFit="1" customWidth="1"/>
    <col min="4" max="4" width="25.28515625" bestFit="1" customWidth="1"/>
    <col min="5" max="5" width="7.140625" bestFit="1" customWidth="1"/>
    <col min="6" max="6" width="6.5703125" bestFit="1" customWidth="1"/>
    <col min="7" max="7" width="7.140625" bestFit="1" customWidth="1"/>
    <col min="8" max="11" width="7.42578125" bestFit="1" customWidth="1"/>
    <col min="12" max="12" width="6.140625" bestFit="1" customWidth="1"/>
    <col min="13" max="22" width="7.42578125" bestFit="1" customWidth="1"/>
    <col min="23" max="23" width="10.28515625" bestFit="1" customWidth="1"/>
    <col min="24" max="30" width="7.42578125" bestFit="1" customWidth="1"/>
    <col min="31" max="32" width="7.140625" bestFit="1" customWidth="1"/>
  </cols>
  <sheetData>
    <row r="3" spans="1:81" x14ac:dyDescent="0.25">
      <c r="A3" s="42" t="s">
        <v>60</v>
      </c>
      <c r="B3" s="25"/>
      <c r="C3" s="25"/>
      <c r="D3" s="39"/>
      <c r="E3" s="39">
        <v>3</v>
      </c>
      <c r="F3" s="39">
        <v>4</v>
      </c>
      <c r="G3" s="39">
        <v>5</v>
      </c>
      <c r="H3" s="39">
        <v>6</v>
      </c>
      <c r="I3" s="39">
        <v>7</v>
      </c>
      <c r="J3" s="39">
        <v>8</v>
      </c>
      <c r="K3" s="39">
        <v>10</v>
      </c>
      <c r="L3" s="39">
        <v>11</v>
      </c>
      <c r="M3" s="39">
        <v>12</v>
      </c>
      <c r="N3" s="39">
        <v>13</v>
      </c>
      <c r="O3" s="39">
        <v>14</v>
      </c>
      <c r="P3" s="39">
        <v>15</v>
      </c>
      <c r="Q3" s="39">
        <v>17</v>
      </c>
      <c r="R3" s="39">
        <v>18</v>
      </c>
      <c r="S3" s="39">
        <v>19</v>
      </c>
      <c r="T3" s="39">
        <v>20</v>
      </c>
      <c r="U3" s="39">
        <v>21</v>
      </c>
      <c r="V3" s="39">
        <v>22</v>
      </c>
      <c r="W3" s="39">
        <v>24</v>
      </c>
      <c r="X3" s="39">
        <v>25</v>
      </c>
      <c r="Y3" s="39">
        <v>26</v>
      </c>
      <c r="Z3" s="39">
        <v>27</v>
      </c>
      <c r="AA3" s="39">
        <v>28</v>
      </c>
      <c r="AB3" s="39">
        <v>29</v>
      </c>
      <c r="AC3" s="39">
        <v>31</v>
      </c>
    </row>
    <row r="4" spans="1:81" x14ac:dyDescent="0.25">
      <c r="B4" s="39" t="s">
        <v>10</v>
      </c>
      <c r="C4" s="40" t="s">
        <v>13</v>
      </c>
      <c r="D4" s="39" t="s">
        <v>31</v>
      </c>
      <c r="E4" s="2">
        <v>180</v>
      </c>
      <c r="F4" s="2">
        <v>113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CC4" s="43"/>
    </row>
    <row r="5" spans="1:81" x14ac:dyDescent="0.25">
      <c r="B5" s="39" t="s">
        <v>14</v>
      </c>
      <c r="C5" s="40" t="s">
        <v>12</v>
      </c>
      <c r="D5" s="39" t="s">
        <v>32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>
        <v>47</v>
      </c>
      <c r="U5" s="2"/>
      <c r="V5" s="2"/>
      <c r="W5" s="2"/>
      <c r="X5" s="2"/>
      <c r="Y5" s="2"/>
      <c r="Z5" s="2"/>
      <c r="AA5" s="2"/>
      <c r="AB5" s="2"/>
      <c r="AC5" s="2"/>
      <c r="CC5" s="44"/>
    </row>
    <row r="6" spans="1:81" x14ac:dyDescent="0.25">
      <c r="B6" s="39" t="s">
        <v>14</v>
      </c>
      <c r="C6" s="40" t="s">
        <v>88</v>
      </c>
      <c r="D6" s="39" t="s">
        <v>33</v>
      </c>
      <c r="E6" s="2"/>
      <c r="F6" s="2"/>
      <c r="G6" s="2">
        <v>0</v>
      </c>
      <c r="H6" s="2">
        <v>150</v>
      </c>
      <c r="I6" s="2">
        <v>150</v>
      </c>
      <c r="J6" s="2">
        <v>100</v>
      </c>
      <c r="K6" s="2">
        <v>240</v>
      </c>
      <c r="L6" s="2">
        <v>240</v>
      </c>
      <c r="M6" s="2">
        <v>240</v>
      </c>
      <c r="N6" s="2">
        <v>240</v>
      </c>
      <c r="O6" s="2">
        <v>260</v>
      </c>
      <c r="P6" s="2">
        <v>100</v>
      </c>
      <c r="Q6" s="2">
        <v>270</v>
      </c>
      <c r="R6" s="2">
        <v>226</v>
      </c>
      <c r="S6" s="2">
        <v>260</v>
      </c>
      <c r="T6" s="2">
        <v>54</v>
      </c>
      <c r="U6" s="2"/>
      <c r="V6" s="2"/>
      <c r="W6" s="2"/>
      <c r="X6" s="2"/>
      <c r="Y6" s="2"/>
      <c r="Z6" s="2"/>
      <c r="AA6" s="2"/>
      <c r="AB6" s="2"/>
      <c r="AC6" s="2"/>
      <c r="CC6" s="44"/>
    </row>
    <row r="7" spans="1:81" x14ac:dyDescent="0.25">
      <c r="B7" s="39" t="s">
        <v>44</v>
      </c>
      <c r="C7" s="40" t="s">
        <v>89</v>
      </c>
      <c r="D7" s="39" t="s">
        <v>34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>
        <v>0</v>
      </c>
      <c r="V7" s="2">
        <v>80</v>
      </c>
      <c r="W7" s="2">
        <v>150</v>
      </c>
      <c r="X7" s="2">
        <v>190</v>
      </c>
      <c r="Y7" s="2">
        <v>190</v>
      </c>
      <c r="Z7" s="2">
        <v>200</v>
      </c>
      <c r="AA7" s="2">
        <v>200</v>
      </c>
      <c r="AB7" s="2">
        <v>150</v>
      </c>
      <c r="AC7" s="2">
        <v>200</v>
      </c>
      <c r="CC7" s="44"/>
    </row>
    <row r="8" spans="1:81" x14ac:dyDescent="0.25">
      <c r="B8" s="111" t="s">
        <v>1</v>
      </c>
      <c r="C8" s="111"/>
      <c r="D8" s="111"/>
      <c r="E8" s="41">
        <v>200</v>
      </c>
      <c r="F8" s="41">
        <v>113</v>
      </c>
      <c r="G8" s="41">
        <v>150</v>
      </c>
      <c r="H8" s="41">
        <v>200</v>
      </c>
      <c r="I8" s="41">
        <v>250</v>
      </c>
      <c r="J8" s="41">
        <v>100</v>
      </c>
      <c r="K8" s="41">
        <v>290</v>
      </c>
      <c r="L8" s="41">
        <v>290</v>
      </c>
      <c r="M8" s="41">
        <v>290</v>
      </c>
      <c r="N8" s="41">
        <v>290</v>
      </c>
      <c r="O8" s="41">
        <v>290</v>
      </c>
      <c r="P8" s="41">
        <v>100</v>
      </c>
      <c r="Q8" s="41">
        <v>290</v>
      </c>
      <c r="R8" s="41">
        <v>290</v>
      </c>
      <c r="S8" s="41">
        <v>290</v>
      </c>
      <c r="T8" s="41">
        <v>101</v>
      </c>
      <c r="U8" s="41" t="s">
        <v>15</v>
      </c>
      <c r="V8" s="41">
        <v>80</v>
      </c>
      <c r="W8" s="41">
        <v>150</v>
      </c>
      <c r="X8" s="41">
        <v>190</v>
      </c>
      <c r="Y8" s="41">
        <v>190</v>
      </c>
      <c r="Z8" s="41">
        <v>200</v>
      </c>
      <c r="AA8" s="41">
        <v>200</v>
      </c>
      <c r="AB8" s="41">
        <v>150</v>
      </c>
      <c r="AC8" s="41">
        <v>200</v>
      </c>
    </row>
    <row r="9" spans="1:81" x14ac:dyDescent="0.25">
      <c r="B9" s="111" t="s">
        <v>2</v>
      </c>
      <c r="C9" s="111"/>
      <c r="D9" s="111"/>
      <c r="E9" s="41">
        <v>18</v>
      </c>
      <c r="F9" s="41">
        <v>11.3</v>
      </c>
      <c r="G9" s="41">
        <v>0</v>
      </c>
      <c r="H9" s="41">
        <v>18.75</v>
      </c>
      <c r="I9" s="41">
        <v>18.75</v>
      </c>
      <c r="J9" s="41">
        <v>20</v>
      </c>
      <c r="K9" s="41">
        <v>24</v>
      </c>
      <c r="L9" s="41">
        <v>24</v>
      </c>
      <c r="M9" s="41">
        <v>25.263157894736842</v>
      </c>
      <c r="N9" s="41">
        <v>25.263157894736842</v>
      </c>
      <c r="O9" s="41">
        <v>26</v>
      </c>
      <c r="P9" s="41">
        <v>20</v>
      </c>
      <c r="Q9" s="41">
        <v>27</v>
      </c>
      <c r="R9" s="41">
        <v>22.6</v>
      </c>
      <c r="S9" s="41">
        <v>26</v>
      </c>
      <c r="T9" s="41">
        <v>10.1</v>
      </c>
      <c r="U9" s="41">
        <v>0</v>
      </c>
      <c r="V9" s="41">
        <v>11.428571428571429</v>
      </c>
      <c r="W9" s="41">
        <v>16.666666666666668</v>
      </c>
      <c r="X9" s="41">
        <v>21.111111111111111</v>
      </c>
      <c r="Y9" s="41">
        <v>21.111111111111111</v>
      </c>
      <c r="Z9" s="41">
        <v>22.222222222222221</v>
      </c>
      <c r="AA9" s="41">
        <v>22.222222222222221</v>
      </c>
      <c r="AB9" s="41">
        <v>21.428571428571427</v>
      </c>
      <c r="AC9" s="41">
        <v>22.222222222222221</v>
      </c>
    </row>
    <row r="10" spans="1:81" x14ac:dyDescent="0.25">
      <c r="B10" s="111" t="s">
        <v>4</v>
      </c>
      <c r="C10" s="111"/>
      <c r="D10" s="111"/>
      <c r="E10" s="41">
        <v>147</v>
      </c>
      <c r="F10" s="41">
        <v>147</v>
      </c>
      <c r="G10" s="41">
        <v>181</v>
      </c>
      <c r="H10" s="41">
        <v>181</v>
      </c>
      <c r="I10" s="41">
        <v>181</v>
      </c>
      <c r="J10" s="41">
        <v>181</v>
      </c>
      <c r="K10" s="41">
        <v>181</v>
      </c>
      <c r="L10" s="41">
        <v>181</v>
      </c>
      <c r="M10" s="41">
        <v>181</v>
      </c>
      <c r="N10" s="41">
        <v>181</v>
      </c>
      <c r="O10" s="41">
        <v>181</v>
      </c>
      <c r="P10" s="41">
        <v>181</v>
      </c>
      <c r="Q10" s="41">
        <v>181</v>
      </c>
      <c r="R10" s="41">
        <v>181</v>
      </c>
      <c r="S10" s="41">
        <v>181</v>
      </c>
      <c r="T10" s="41">
        <v>181</v>
      </c>
      <c r="U10" s="41">
        <v>151</v>
      </c>
      <c r="V10" s="41">
        <v>151</v>
      </c>
      <c r="W10" s="41">
        <v>151</v>
      </c>
      <c r="X10" s="41">
        <v>151</v>
      </c>
      <c r="Y10" s="41">
        <v>151</v>
      </c>
      <c r="Z10" s="41">
        <v>151</v>
      </c>
      <c r="AA10" s="41">
        <v>151</v>
      </c>
      <c r="AB10" s="41">
        <v>151</v>
      </c>
      <c r="AC10" s="41">
        <v>151</v>
      </c>
    </row>
    <row r="11" spans="1:81" x14ac:dyDescent="0.25">
      <c r="B11" s="111" t="s">
        <v>3</v>
      </c>
      <c r="C11" s="111"/>
      <c r="D11" s="111"/>
      <c r="E11" s="41">
        <v>10</v>
      </c>
      <c r="F11" s="41">
        <v>10</v>
      </c>
      <c r="G11" s="41">
        <v>10</v>
      </c>
      <c r="H11" s="41">
        <v>8</v>
      </c>
      <c r="I11" s="41">
        <v>8</v>
      </c>
      <c r="J11" s="41">
        <v>5</v>
      </c>
      <c r="K11" s="41">
        <v>10</v>
      </c>
      <c r="L11" s="41">
        <v>10</v>
      </c>
      <c r="M11" s="41">
        <v>9.5</v>
      </c>
      <c r="N11" s="41">
        <v>9.5</v>
      </c>
      <c r="O11" s="41">
        <v>10</v>
      </c>
      <c r="P11" s="41">
        <v>5</v>
      </c>
      <c r="Q11" s="41">
        <v>10</v>
      </c>
      <c r="R11" s="41">
        <v>10</v>
      </c>
      <c r="S11" s="41">
        <v>10</v>
      </c>
      <c r="T11" s="41">
        <v>10</v>
      </c>
      <c r="U11" s="41">
        <v>10</v>
      </c>
      <c r="V11" s="41">
        <v>7</v>
      </c>
      <c r="W11" s="41">
        <v>9</v>
      </c>
      <c r="X11" s="41">
        <v>9</v>
      </c>
      <c r="Y11" s="41">
        <v>9</v>
      </c>
      <c r="Z11" s="41">
        <v>9</v>
      </c>
      <c r="AA11" s="41">
        <v>9</v>
      </c>
      <c r="AB11" s="41">
        <v>7</v>
      </c>
      <c r="AC11" s="41">
        <v>9</v>
      </c>
    </row>
    <row r="27" spans="1:29" x14ac:dyDescent="0.25">
      <c r="A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</row>
    <row r="28" spans="1:29" x14ac:dyDescent="0.25">
      <c r="B28" s="42"/>
      <c r="C28" s="42"/>
      <c r="D28" s="42"/>
    </row>
    <row r="29" spans="1:29" x14ac:dyDescent="0.25">
      <c r="B29" s="42"/>
      <c r="C29" s="42"/>
      <c r="D29" s="42"/>
    </row>
    <row r="30" spans="1:29" x14ac:dyDescent="0.25">
      <c r="B30" s="42"/>
      <c r="C30" s="42"/>
      <c r="D30" s="42"/>
    </row>
    <row r="31" spans="1:29" x14ac:dyDescent="0.25">
      <c r="B31" s="42"/>
      <c r="C31" s="42"/>
      <c r="D31" s="42"/>
    </row>
    <row r="32" spans="1:29" x14ac:dyDescent="0.25">
      <c r="B32" s="42"/>
      <c r="C32" s="42"/>
      <c r="D32" s="42"/>
    </row>
    <row r="33" spans="1:28" x14ac:dyDescent="0.25">
      <c r="B33" s="42"/>
      <c r="C33" s="42"/>
      <c r="D33" s="42"/>
    </row>
    <row r="34" spans="1:28" x14ac:dyDescent="0.25">
      <c r="B34" s="42"/>
      <c r="C34" s="42"/>
      <c r="D34" s="42"/>
    </row>
    <row r="35" spans="1:28" x14ac:dyDescent="0.25">
      <c r="B35" s="42"/>
      <c r="C35" s="42"/>
      <c r="D35" s="42"/>
    </row>
    <row r="37" spans="1:28" x14ac:dyDescent="0.25">
      <c r="A37" s="42" t="s">
        <v>61</v>
      </c>
      <c r="B37" s="39"/>
      <c r="C37" s="39"/>
      <c r="D37" s="39"/>
      <c r="E37" s="39">
        <v>2</v>
      </c>
      <c r="F37" s="39">
        <v>3</v>
      </c>
      <c r="G37" s="39">
        <v>4</v>
      </c>
      <c r="H37" s="39">
        <v>5</v>
      </c>
      <c r="I37" s="39">
        <v>7</v>
      </c>
      <c r="J37" s="39">
        <v>8</v>
      </c>
      <c r="K37" s="39">
        <v>9</v>
      </c>
      <c r="L37" s="39">
        <v>10</v>
      </c>
      <c r="M37" s="39">
        <v>11</v>
      </c>
      <c r="N37" s="39">
        <v>12</v>
      </c>
      <c r="O37" s="39">
        <v>14</v>
      </c>
      <c r="P37" s="39">
        <v>15</v>
      </c>
      <c r="Q37" s="39">
        <v>16</v>
      </c>
      <c r="R37" s="39">
        <v>17</v>
      </c>
      <c r="S37" s="39">
        <v>18</v>
      </c>
      <c r="T37" s="39">
        <v>19</v>
      </c>
      <c r="U37" s="39">
        <v>21</v>
      </c>
      <c r="V37" s="39">
        <v>22</v>
      </c>
      <c r="W37" s="39">
        <v>23</v>
      </c>
      <c r="X37" s="39">
        <v>24</v>
      </c>
      <c r="Y37" s="39">
        <v>25</v>
      </c>
      <c r="Z37" s="39">
        <v>26</v>
      </c>
      <c r="AA37" s="39">
        <v>28</v>
      </c>
      <c r="AB37" s="42"/>
    </row>
    <row r="38" spans="1:28" x14ac:dyDescent="0.25">
      <c r="B38" s="39" t="s">
        <v>44</v>
      </c>
      <c r="C38" s="39" t="s">
        <v>13</v>
      </c>
      <c r="D38" s="39" t="s">
        <v>31</v>
      </c>
      <c r="E38" s="2">
        <v>210</v>
      </c>
      <c r="F38" s="2">
        <v>210</v>
      </c>
      <c r="G38" s="2">
        <v>210</v>
      </c>
      <c r="H38" s="2">
        <v>150</v>
      </c>
      <c r="I38" s="2">
        <v>220</v>
      </c>
      <c r="J38" s="2">
        <v>230</v>
      </c>
      <c r="K38" s="2">
        <v>235</v>
      </c>
      <c r="L38" s="2">
        <v>235</v>
      </c>
      <c r="M38" s="2">
        <v>220</v>
      </c>
      <c r="N38" s="2">
        <v>150</v>
      </c>
      <c r="O38" s="2">
        <v>235</v>
      </c>
      <c r="P38" s="2">
        <v>210</v>
      </c>
      <c r="Q38" s="2">
        <v>165</v>
      </c>
      <c r="R38" s="2">
        <v>180</v>
      </c>
      <c r="S38" s="2">
        <v>180</v>
      </c>
      <c r="T38" s="2">
        <v>150</v>
      </c>
      <c r="U38" s="2">
        <v>180</v>
      </c>
      <c r="V38" s="2">
        <v>155</v>
      </c>
      <c r="W38" s="2">
        <v>230</v>
      </c>
      <c r="X38" s="2">
        <v>200</v>
      </c>
      <c r="Y38" s="2">
        <v>220</v>
      </c>
      <c r="Z38" s="2">
        <v>48</v>
      </c>
      <c r="AA38" s="55"/>
    </row>
    <row r="39" spans="1:28" x14ac:dyDescent="0.25">
      <c r="B39" s="39" t="s">
        <v>11</v>
      </c>
      <c r="C39" s="39" t="s">
        <v>41</v>
      </c>
      <c r="D39" s="39" t="s">
        <v>104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55">
        <v>25</v>
      </c>
    </row>
    <row r="40" spans="1:28" x14ac:dyDescent="0.25">
      <c r="B40" s="111" t="s">
        <v>1</v>
      </c>
      <c r="C40" s="111"/>
      <c r="D40" s="111"/>
      <c r="E40" s="41">
        <v>210</v>
      </c>
      <c r="F40" s="41">
        <v>210</v>
      </c>
      <c r="G40" s="41">
        <v>210</v>
      </c>
      <c r="H40" s="41">
        <v>150</v>
      </c>
      <c r="I40" s="41">
        <v>220</v>
      </c>
      <c r="J40" s="41">
        <v>230</v>
      </c>
      <c r="K40" s="41">
        <v>235</v>
      </c>
      <c r="L40" s="41">
        <v>235</v>
      </c>
      <c r="M40" s="41">
        <v>235</v>
      </c>
      <c r="N40" s="41">
        <v>150</v>
      </c>
      <c r="O40" s="41">
        <v>235</v>
      </c>
      <c r="P40" s="41">
        <v>235</v>
      </c>
      <c r="Q40" s="41">
        <v>235</v>
      </c>
      <c r="R40" s="41">
        <v>235</v>
      </c>
      <c r="S40" s="41">
        <v>235</v>
      </c>
      <c r="T40" s="41">
        <v>150</v>
      </c>
      <c r="U40" s="41">
        <v>180</v>
      </c>
      <c r="V40" s="41">
        <v>155</v>
      </c>
      <c r="W40" s="41">
        <v>230</v>
      </c>
      <c r="X40" s="41">
        <v>200</v>
      </c>
      <c r="Y40" s="41">
        <v>230</v>
      </c>
      <c r="Z40" s="41">
        <v>230</v>
      </c>
      <c r="AA40" s="47">
        <v>150</v>
      </c>
    </row>
    <row r="41" spans="1:28" x14ac:dyDescent="0.25">
      <c r="B41" s="111" t="s">
        <v>2</v>
      </c>
      <c r="C41" s="111"/>
      <c r="D41" s="111"/>
      <c r="E41" s="41">
        <f>E38/E43</f>
        <v>23.333333333333332</v>
      </c>
      <c r="F41" s="41">
        <f t="shared" ref="F41:Z41" si="0">F38/F43</f>
        <v>23.333333333333332</v>
      </c>
      <c r="G41" s="41">
        <f t="shared" si="0"/>
        <v>23.333333333333332</v>
      </c>
      <c r="H41" s="41">
        <f t="shared" si="0"/>
        <v>21.428571428571427</v>
      </c>
      <c r="I41" s="41">
        <f t="shared" si="0"/>
        <v>24.444444444444443</v>
      </c>
      <c r="J41" s="41">
        <f t="shared" si="0"/>
        <v>23</v>
      </c>
      <c r="K41" s="41">
        <f t="shared" si="0"/>
        <v>26.111111111111111</v>
      </c>
      <c r="L41" s="41">
        <f t="shared" si="0"/>
        <v>26.111111111111111</v>
      </c>
      <c r="M41" s="41">
        <f t="shared" si="0"/>
        <v>22</v>
      </c>
      <c r="N41" s="41">
        <f t="shared" si="0"/>
        <v>21.428571428571427</v>
      </c>
      <c r="O41" s="41">
        <f t="shared" si="0"/>
        <v>26.111111111111111</v>
      </c>
      <c r="P41" s="41">
        <f t="shared" si="0"/>
        <v>23.333333333333332</v>
      </c>
      <c r="Q41" s="41">
        <f t="shared" si="0"/>
        <v>23.571428571428573</v>
      </c>
      <c r="R41" s="41">
        <f t="shared" si="0"/>
        <v>25.714285714285715</v>
      </c>
      <c r="S41" s="41">
        <f t="shared" si="0"/>
        <v>25.714285714285715</v>
      </c>
      <c r="T41" s="41">
        <f t="shared" si="0"/>
        <v>21.428571428571427</v>
      </c>
      <c r="U41" s="41">
        <f t="shared" si="0"/>
        <v>25.714285714285715</v>
      </c>
      <c r="V41" s="41">
        <f t="shared" si="0"/>
        <v>25.833333333333332</v>
      </c>
      <c r="W41" s="41">
        <f t="shared" si="0"/>
        <v>23</v>
      </c>
      <c r="X41" s="41">
        <f t="shared" si="0"/>
        <v>28.571428571428573</v>
      </c>
      <c r="Y41" s="41">
        <f t="shared" si="0"/>
        <v>24.444444444444443</v>
      </c>
      <c r="Z41" s="41">
        <f t="shared" si="0"/>
        <v>6.8571428571428568</v>
      </c>
      <c r="AA41" s="47">
        <f>AA39/AA43</f>
        <v>3.125</v>
      </c>
    </row>
    <row r="42" spans="1:28" x14ac:dyDescent="0.25">
      <c r="B42" s="111" t="s">
        <v>4</v>
      </c>
      <c r="C42" s="111"/>
      <c r="D42" s="111"/>
      <c r="E42" s="41">
        <v>192</v>
      </c>
      <c r="F42" s="41">
        <v>192</v>
      </c>
      <c r="G42" s="41">
        <v>192</v>
      </c>
      <c r="H42" s="41">
        <v>192</v>
      </c>
      <c r="I42" s="41">
        <v>192</v>
      </c>
      <c r="J42" s="41">
        <v>192</v>
      </c>
      <c r="K42" s="41">
        <v>192</v>
      </c>
      <c r="L42" s="41">
        <v>192</v>
      </c>
      <c r="M42" s="41">
        <v>192</v>
      </c>
      <c r="N42" s="41">
        <v>192</v>
      </c>
      <c r="O42" s="41">
        <v>192</v>
      </c>
      <c r="P42" s="41">
        <v>192</v>
      </c>
      <c r="Q42" s="41">
        <v>192</v>
      </c>
      <c r="R42" s="41">
        <v>192</v>
      </c>
      <c r="S42" s="41">
        <v>192</v>
      </c>
      <c r="T42" s="41">
        <v>192</v>
      </c>
      <c r="U42" s="41">
        <v>192</v>
      </c>
      <c r="V42" s="41">
        <v>192</v>
      </c>
      <c r="W42" s="41">
        <v>192</v>
      </c>
      <c r="X42" s="41">
        <v>192</v>
      </c>
      <c r="Y42" s="41">
        <v>192</v>
      </c>
      <c r="Z42" s="41">
        <v>192</v>
      </c>
      <c r="AA42" s="47">
        <v>25</v>
      </c>
    </row>
    <row r="43" spans="1:28" x14ac:dyDescent="0.25">
      <c r="B43" s="111" t="s">
        <v>3</v>
      </c>
      <c r="C43" s="111"/>
      <c r="D43" s="111"/>
      <c r="E43" s="41">
        <v>9</v>
      </c>
      <c r="F43" s="41">
        <v>9</v>
      </c>
      <c r="G43" s="41">
        <v>9</v>
      </c>
      <c r="H43" s="41">
        <v>7</v>
      </c>
      <c r="I43" s="41">
        <v>9</v>
      </c>
      <c r="J43" s="41">
        <v>10</v>
      </c>
      <c r="K43" s="41">
        <v>9</v>
      </c>
      <c r="L43" s="41">
        <v>9</v>
      </c>
      <c r="M43" s="41">
        <v>10</v>
      </c>
      <c r="N43" s="41">
        <v>7</v>
      </c>
      <c r="O43" s="41">
        <v>9</v>
      </c>
      <c r="P43" s="41">
        <v>9</v>
      </c>
      <c r="Q43" s="41">
        <v>7</v>
      </c>
      <c r="R43" s="41">
        <v>7</v>
      </c>
      <c r="S43" s="41">
        <v>7</v>
      </c>
      <c r="T43" s="41">
        <v>7</v>
      </c>
      <c r="U43" s="41">
        <v>7</v>
      </c>
      <c r="V43" s="41">
        <v>6</v>
      </c>
      <c r="W43" s="41">
        <v>10</v>
      </c>
      <c r="X43" s="41">
        <v>7</v>
      </c>
      <c r="Y43" s="41">
        <v>9</v>
      </c>
      <c r="Z43" s="41">
        <v>7</v>
      </c>
      <c r="AA43" s="47">
        <v>8</v>
      </c>
    </row>
    <row r="44" spans="1:28" x14ac:dyDescent="0.25">
      <c r="B44" s="42"/>
      <c r="C44" s="42"/>
      <c r="D44" s="42"/>
    </row>
    <row r="69" spans="1:32" x14ac:dyDescent="0.25">
      <c r="A69" s="42" t="s">
        <v>62</v>
      </c>
      <c r="B69" s="25"/>
      <c r="C69" s="25"/>
      <c r="D69" s="25"/>
      <c r="E69" s="39">
        <v>1</v>
      </c>
      <c r="F69" s="39">
        <v>2</v>
      </c>
      <c r="G69" s="39">
        <v>3</v>
      </c>
      <c r="H69" s="39">
        <v>4</v>
      </c>
      <c r="I69" s="39">
        <v>5</v>
      </c>
      <c r="J69" s="39">
        <v>7</v>
      </c>
      <c r="K69" s="39">
        <v>8</v>
      </c>
      <c r="L69" s="39">
        <v>9</v>
      </c>
      <c r="M69" s="39">
        <v>10</v>
      </c>
      <c r="N69" s="39">
        <v>11</v>
      </c>
      <c r="O69" s="39">
        <v>12</v>
      </c>
      <c r="P69" s="39">
        <v>14</v>
      </c>
      <c r="Q69" s="39">
        <v>15</v>
      </c>
      <c r="R69" s="39">
        <v>16</v>
      </c>
      <c r="S69" s="39">
        <v>17</v>
      </c>
      <c r="T69" s="39">
        <v>18</v>
      </c>
      <c r="U69" s="39">
        <v>19</v>
      </c>
      <c r="V69" s="39">
        <v>21</v>
      </c>
      <c r="W69" s="39">
        <v>22</v>
      </c>
      <c r="X69" s="39">
        <v>23</v>
      </c>
      <c r="Y69" s="39">
        <v>24</v>
      </c>
      <c r="Z69" s="39">
        <v>25</v>
      </c>
      <c r="AA69" s="39">
        <v>26</v>
      </c>
      <c r="AB69" s="39">
        <v>27</v>
      </c>
      <c r="AC69" s="39">
        <v>28</v>
      </c>
      <c r="AD69" s="39">
        <v>29</v>
      </c>
      <c r="AE69" s="39">
        <v>30</v>
      </c>
      <c r="AF69" s="39">
        <v>31</v>
      </c>
    </row>
    <row r="70" spans="1:32" x14ac:dyDescent="0.25">
      <c r="B70" s="39" t="s">
        <v>105</v>
      </c>
      <c r="C70" s="39" t="s">
        <v>41</v>
      </c>
      <c r="D70" s="39">
        <v>856</v>
      </c>
      <c r="E70" s="2">
        <v>165</v>
      </c>
      <c r="F70" s="2">
        <v>190</v>
      </c>
      <c r="G70" s="2">
        <v>180</v>
      </c>
      <c r="H70" s="2">
        <v>190</v>
      </c>
      <c r="I70" s="2">
        <v>140</v>
      </c>
      <c r="J70" s="2">
        <v>185</v>
      </c>
      <c r="K70" s="2">
        <v>190</v>
      </c>
      <c r="L70" s="2">
        <v>200</v>
      </c>
      <c r="M70" s="2">
        <v>205</v>
      </c>
      <c r="N70" s="2">
        <v>230</v>
      </c>
      <c r="O70" s="2">
        <v>150</v>
      </c>
      <c r="P70" s="2">
        <v>200</v>
      </c>
      <c r="Q70" s="2">
        <v>56</v>
      </c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47"/>
      <c r="AE70" s="47"/>
      <c r="AF70" s="47"/>
    </row>
    <row r="71" spans="1:32" x14ac:dyDescent="0.25">
      <c r="B71" s="39" t="s">
        <v>98</v>
      </c>
      <c r="C71" s="39" t="s">
        <v>52</v>
      </c>
      <c r="D71" s="39" t="s">
        <v>58</v>
      </c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>
        <v>1520</v>
      </c>
      <c r="S71" s="2">
        <v>1550</v>
      </c>
      <c r="T71" s="2">
        <v>1870</v>
      </c>
      <c r="U71" s="2">
        <v>1420</v>
      </c>
      <c r="V71" s="2">
        <v>1454</v>
      </c>
      <c r="W71" s="2"/>
      <c r="X71" s="2"/>
      <c r="Y71" s="2"/>
      <c r="Z71" s="2"/>
      <c r="AA71" s="2"/>
      <c r="AB71" s="2"/>
      <c r="AC71" s="2"/>
      <c r="AD71" s="47"/>
      <c r="AE71" s="47"/>
      <c r="AF71" s="47"/>
    </row>
    <row r="72" spans="1:32" x14ac:dyDescent="0.25">
      <c r="B72" s="39" t="s">
        <v>47</v>
      </c>
      <c r="C72" s="39" t="s">
        <v>43</v>
      </c>
      <c r="D72" s="39" t="s">
        <v>54</v>
      </c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>
        <v>50</v>
      </c>
      <c r="X72" s="2">
        <v>325</v>
      </c>
      <c r="Y72" s="2">
        <v>560</v>
      </c>
      <c r="Z72" s="2">
        <v>600</v>
      </c>
      <c r="AA72" s="2">
        <v>450</v>
      </c>
      <c r="AB72" s="2">
        <v>450</v>
      </c>
      <c r="AC72" s="2">
        <v>1000</v>
      </c>
      <c r="AD72" s="47">
        <v>1150</v>
      </c>
      <c r="AE72" s="47">
        <v>1050</v>
      </c>
      <c r="AF72" s="47">
        <v>1050</v>
      </c>
    </row>
    <row r="73" spans="1:32" x14ac:dyDescent="0.25">
      <c r="B73" s="39" t="s">
        <v>47</v>
      </c>
      <c r="C73" s="39" t="s">
        <v>42</v>
      </c>
      <c r="D73" s="39" t="s">
        <v>54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>
        <v>170</v>
      </c>
      <c r="X73" s="2">
        <v>470</v>
      </c>
      <c r="Y73" s="2">
        <v>550</v>
      </c>
      <c r="Z73" s="2">
        <v>700</v>
      </c>
      <c r="AA73" s="2">
        <v>550</v>
      </c>
      <c r="AB73" s="2">
        <v>550</v>
      </c>
      <c r="AC73" s="2">
        <v>1000</v>
      </c>
      <c r="AD73" s="47">
        <v>1150</v>
      </c>
      <c r="AE73" s="47">
        <v>1200</v>
      </c>
      <c r="AF73" s="47">
        <v>1100</v>
      </c>
    </row>
    <row r="74" spans="1:32" x14ac:dyDescent="0.25">
      <c r="B74" s="111" t="s">
        <v>1</v>
      </c>
      <c r="C74" s="111"/>
      <c r="D74" s="111"/>
      <c r="E74" s="41">
        <v>200</v>
      </c>
      <c r="F74" s="41">
        <v>200</v>
      </c>
      <c r="G74" s="41">
        <v>179</v>
      </c>
      <c r="H74" s="41">
        <v>200</v>
      </c>
      <c r="I74" s="41">
        <v>150</v>
      </c>
      <c r="J74" s="41">
        <v>230</v>
      </c>
      <c r="K74" s="41">
        <v>230</v>
      </c>
      <c r="L74" s="41">
        <v>230</v>
      </c>
      <c r="M74" s="41">
        <v>230</v>
      </c>
      <c r="N74" s="41">
        <v>230</v>
      </c>
      <c r="O74" s="41">
        <v>150</v>
      </c>
      <c r="P74" s="41">
        <v>256</v>
      </c>
      <c r="Q74" s="41">
        <v>56</v>
      </c>
      <c r="R74" s="41">
        <v>1500</v>
      </c>
      <c r="S74" s="41">
        <v>1500</v>
      </c>
      <c r="T74" s="41">
        <v>1850</v>
      </c>
      <c r="U74" s="41">
        <v>1400</v>
      </c>
      <c r="V74" s="41">
        <v>1454</v>
      </c>
      <c r="W74" s="41">
        <v>800</v>
      </c>
      <c r="X74" s="41">
        <v>800</v>
      </c>
      <c r="Y74" s="41">
        <v>1400</v>
      </c>
      <c r="Z74" s="41">
        <v>1300</v>
      </c>
      <c r="AA74" s="41">
        <v>1000</v>
      </c>
      <c r="AB74" s="41">
        <v>1000</v>
      </c>
      <c r="AC74" s="41">
        <v>2000</v>
      </c>
      <c r="AD74" s="47">
        <v>2600</v>
      </c>
      <c r="AE74" s="47">
        <v>2500</v>
      </c>
      <c r="AF74" s="47">
        <v>2500</v>
      </c>
    </row>
    <row r="75" spans="1:32" x14ac:dyDescent="0.25">
      <c r="B75" s="111" t="s">
        <v>2</v>
      </c>
      <c r="C75" s="111"/>
      <c r="D75" s="111"/>
      <c r="E75" s="41">
        <f>E70/E77</f>
        <v>16.5</v>
      </c>
      <c r="F75" s="41">
        <f t="shared" ref="F75:Q75" si="1">F70/F77</f>
        <v>19</v>
      </c>
      <c r="G75" s="41">
        <f t="shared" si="1"/>
        <v>20</v>
      </c>
      <c r="H75" s="41">
        <f t="shared" si="1"/>
        <v>19</v>
      </c>
      <c r="I75" s="41">
        <f t="shared" si="1"/>
        <v>20</v>
      </c>
      <c r="J75" s="41">
        <f t="shared" si="1"/>
        <v>18.5</v>
      </c>
      <c r="K75" s="41">
        <f t="shared" si="1"/>
        <v>19</v>
      </c>
      <c r="L75" s="41">
        <f t="shared" si="1"/>
        <v>20</v>
      </c>
      <c r="M75" s="41">
        <f t="shared" si="1"/>
        <v>20.5</v>
      </c>
      <c r="N75" s="41">
        <f t="shared" si="1"/>
        <v>20</v>
      </c>
      <c r="O75" s="41">
        <f t="shared" si="1"/>
        <v>20</v>
      </c>
      <c r="P75" s="41">
        <f t="shared" si="1"/>
        <v>19.047619047619047</v>
      </c>
      <c r="Q75" s="41">
        <f t="shared" si="1"/>
        <v>5.6</v>
      </c>
      <c r="R75" s="41">
        <f>R71/R77</f>
        <v>168.88888888888889</v>
      </c>
      <c r="S75" s="41">
        <f t="shared" ref="S75:V75" si="2">S71/S77</f>
        <v>172.22222222222223</v>
      </c>
      <c r="T75" s="41">
        <f t="shared" si="2"/>
        <v>187</v>
      </c>
      <c r="U75" s="41">
        <f t="shared" si="2"/>
        <v>202.85714285714286</v>
      </c>
      <c r="V75" s="41">
        <f t="shared" si="2"/>
        <v>181.75</v>
      </c>
      <c r="W75" s="41">
        <f>(W72+W73)/W77</f>
        <v>18.333333333333332</v>
      </c>
      <c r="X75" s="41">
        <f t="shared" ref="X75:AF75" si="3">(X72+X73)/X77</f>
        <v>66.25</v>
      </c>
      <c r="Y75" s="41">
        <f t="shared" si="3"/>
        <v>92.5</v>
      </c>
      <c r="Z75" s="41">
        <f t="shared" si="3"/>
        <v>130</v>
      </c>
      <c r="AA75" s="41">
        <f t="shared" si="3"/>
        <v>125</v>
      </c>
      <c r="AB75" s="41">
        <f t="shared" si="3"/>
        <v>142.85714285714286</v>
      </c>
      <c r="AC75" s="41">
        <f t="shared" si="3"/>
        <v>166.66666666666666</v>
      </c>
      <c r="AD75" s="41">
        <f t="shared" si="3"/>
        <v>191.66666666666666</v>
      </c>
      <c r="AE75" s="41">
        <f t="shared" si="3"/>
        <v>187.5</v>
      </c>
      <c r="AF75" s="41">
        <f t="shared" si="3"/>
        <v>179.16666666666666</v>
      </c>
    </row>
    <row r="76" spans="1:32" x14ac:dyDescent="0.25">
      <c r="B76" s="111" t="s">
        <v>4</v>
      </c>
      <c r="C76" s="111"/>
      <c r="D76" s="111"/>
      <c r="E76" s="41">
        <v>175</v>
      </c>
      <c r="F76" s="41">
        <v>175</v>
      </c>
      <c r="G76" s="41">
        <v>175</v>
      </c>
      <c r="H76" s="41">
        <v>175</v>
      </c>
      <c r="I76" s="41">
        <v>175</v>
      </c>
      <c r="J76" s="41">
        <v>175</v>
      </c>
      <c r="K76" s="41">
        <v>175</v>
      </c>
      <c r="L76" s="41">
        <v>175</v>
      </c>
      <c r="M76" s="41">
        <v>175</v>
      </c>
      <c r="N76" s="41">
        <v>175</v>
      </c>
      <c r="O76" s="41">
        <v>175</v>
      </c>
      <c r="P76" s="41">
        <v>175</v>
      </c>
      <c r="Q76" s="41">
        <v>175</v>
      </c>
      <c r="R76" s="41">
        <v>1563</v>
      </c>
      <c r="S76" s="41">
        <v>1563</v>
      </c>
      <c r="T76" s="41">
        <v>1563</v>
      </c>
      <c r="U76" s="41">
        <v>1563</v>
      </c>
      <c r="V76" s="41">
        <v>1563</v>
      </c>
      <c r="W76" s="41">
        <v>1413</v>
      </c>
      <c r="X76" s="41">
        <v>1413</v>
      </c>
      <c r="Y76" s="41">
        <v>1413</v>
      </c>
      <c r="Z76" s="41">
        <v>1413</v>
      </c>
      <c r="AA76" s="41">
        <v>1413</v>
      </c>
      <c r="AB76" s="41">
        <v>1413</v>
      </c>
      <c r="AC76" s="41">
        <v>1413</v>
      </c>
      <c r="AD76" s="41">
        <v>1413</v>
      </c>
      <c r="AE76" s="41">
        <v>1413</v>
      </c>
      <c r="AF76" s="41">
        <v>1413</v>
      </c>
    </row>
    <row r="77" spans="1:32" x14ac:dyDescent="0.25">
      <c r="B77" s="111" t="s">
        <v>3</v>
      </c>
      <c r="C77" s="111"/>
      <c r="D77" s="111"/>
      <c r="E77" s="41">
        <v>10</v>
      </c>
      <c r="F77" s="41">
        <v>10</v>
      </c>
      <c r="G77" s="41">
        <v>9</v>
      </c>
      <c r="H77" s="41">
        <v>10</v>
      </c>
      <c r="I77" s="41">
        <v>7</v>
      </c>
      <c r="J77" s="41">
        <v>10</v>
      </c>
      <c r="K77" s="41">
        <v>10</v>
      </c>
      <c r="L77" s="41">
        <v>10</v>
      </c>
      <c r="M77" s="41">
        <v>10</v>
      </c>
      <c r="N77" s="41">
        <v>11.5</v>
      </c>
      <c r="O77" s="41">
        <v>7.5</v>
      </c>
      <c r="P77" s="41">
        <v>10.5</v>
      </c>
      <c r="Q77" s="41">
        <v>10</v>
      </c>
      <c r="R77" s="41">
        <v>9</v>
      </c>
      <c r="S77" s="41">
        <v>9</v>
      </c>
      <c r="T77" s="41">
        <v>10</v>
      </c>
      <c r="U77" s="41">
        <v>7</v>
      </c>
      <c r="V77" s="41">
        <v>8</v>
      </c>
      <c r="W77" s="41">
        <v>12</v>
      </c>
      <c r="X77" s="41">
        <v>12</v>
      </c>
      <c r="Y77" s="41">
        <v>12</v>
      </c>
      <c r="Z77" s="41">
        <v>10</v>
      </c>
      <c r="AA77" s="41">
        <v>8</v>
      </c>
      <c r="AB77" s="41">
        <v>7</v>
      </c>
      <c r="AC77" s="41">
        <v>12</v>
      </c>
      <c r="AD77" s="47">
        <v>12</v>
      </c>
      <c r="AE77" s="47">
        <v>12</v>
      </c>
      <c r="AF77" s="47">
        <v>12</v>
      </c>
    </row>
    <row r="103" spans="1:32" x14ac:dyDescent="0.25">
      <c r="A103" s="42" t="s">
        <v>63</v>
      </c>
      <c r="B103" s="25"/>
      <c r="C103" s="25"/>
      <c r="D103" s="25"/>
      <c r="E103" s="39">
        <v>1</v>
      </c>
      <c r="F103" s="39">
        <v>2</v>
      </c>
      <c r="G103" s="39">
        <v>4</v>
      </c>
      <c r="H103" s="39">
        <v>5</v>
      </c>
      <c r="I103" s="39">
        <v>6</v>
      </c>
      <c r="J103" s="39">
        <v>7</v>
      </c>
      <c r="K103" s="39">
        <v>8</v>
      </c>
      <c r="L103" s="39">
        <v>9</v>
      </c>
      <c r="M103" s="39">
        <v>11</v>
      </c>
      <c r="N103" s="39">
        <v>12</v>
      </c>
      <c r="O103" s="39">
        <v>13</v>
      </c>
      <c r="P103" s="39">
        <v>14</v>
      </c>
      <c r="Q103" s="39">
        <v>15</v>
      </c>
      <c r="R103" s="39">
        <v>16</v>
      </c>
      <c r="S103" s="39">
        <v>18</v>
      </c>
      <c r="T103" s="39">
        <v>19</v>
      </c>
      <c r="U103" s="39">
        <v>20</v>
      </c>
      <c r="V103" s="39">
        <v>21</v>
      </c>
      <c r="W103" s="39">
        <v>22</v>
      </c>
      <c r="X103" s="39">
        <v>23</v>
      </c>
      <c r="Y103" s="39">
        <v>24</v>
      </c>
      <c r="Z103" s="39">
        <v>25</v>
      </c>
      <c r="AA103" s="39">
        <v>26</v>
      </c>
      <c r="AB103" s="39">
        <v>27</v>
      </c>
      <c r="AC103" s="39">
        <v>28</v>
      </c>
      <c r="AD103" s="39">
        <v>29</v>
      </c>
      <c r="AE103" s="39">
        <v>30</v>
      </c>
      <c r="AF103" s="42"/>
    </row>
    <row r="104" spans="1:32" x14ac:dyDescent="0.25">
      <c r="B104" s="39" t="s">
        <v>47</v>
      </c>
      <c r="C104" s="39" t="s">
        <v>43</v>
      </c>
      <c r="D104" s="39" t="s">
        <v>54</v>
      </c>
      <c r="E104" s="2">
        <v>1200</v>
      </c>
      <c r="F104" s="2">
        <v>780</v>
      </c>
      <c r="G104" s="2">
        <v>1100</v>
      </c>
      <c r="H104" s="2">
        <v>1110</v>
      </c>
      <c r="I104" s="2">
        <v>1150</v>
      </c>
      <c r="J104" s="2">
        <v>1150</v>
      </c>
      <c r="K104" s="2">
        <v>1150</v>
      </c>
      <c r="L104" s="2">
        <v>1174</v>
      </c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47"/>
      <c r="AE104" s="25"/>
    </row>
    <row r="105" spans="1:32" x14ac:dyDescent="0.25">
      <c r="B105" s="39" t="s">
        <v>47</v>
      </c>
      <c r="C105" s="39" t="s">
        <v>42</v>
      </c>
      <c r="D105" s="39" t="s">
        <v>54</v>
      </c>
      <c r="E105" s="2">
        <v>1200</v>
      </c>
      <c r="F105" s="2">
        <v>780</v>
      </c>
      <c r="G105" s="2">
        <v>1000</v>
      </c>
      <c r="H105" s="2">
        <v>1100</v>
      </c>
      <c r="I105" s="2">
        <v>1150</v>
      </c>
      <c r="J105" s="2">
        <v>1150</v>
      </c>
      <c r="K105" s="2">
        <v>1150</v>
      </c>
      <c r="L105" s="2">
        <v>547</v>
      </c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47"/>
      <c r="AE105" s="25"/>
    </row>
    <row r="106" spans="1:32" x14ac:dyDescent="0.25">
      <c r="B106" s="39" t="s">
        <v>47</v>
      </c>
      <c r="C106" s="39" t="s">
        <v>48</v>
      </c>
      <c r="D106" s="39" t="s">
        <v>54</v>
      </c>
      <c r="E106" s="2"/>
      <c r="F106" s="2"/>
      <c r="G106" s="2"/>
      <c r="H106" s="2"/>
      <c r="I106" s="2"/>
      <c r="J106" s="2"/>
      <c r="K106" s="2"/>
      <c r="L106" s="2"/>
      <c r="M106" s="2"/>
      <c r="N106" s="2">
        <v>641</v>
      </c>
      <c r="O106" s="2">
        <v>1200</v>
      </c>
      <c r="P106" s="2">
        <v>2622</v>
      </c>
      <c r="Q106" s="2">
        <v>2900</v>
      </c>
      <c r="R106" s="2">
        <v>2100</v>
      </c>
      <c r="S106" s="2">
        <v>2815</v>
      </c>
      <c r="T106" s="2">
        <v>2951</v>
      </c>
      <c r="U106" s="2">
        <v>357</v>
      </c>
      <c r="V106" s="2">
        <v>36</v>
      </c>
      <c r="W106" s="2">
        <v>24</v>
      </c>
      <c r="X106" s="2"/>
      <c r="Y106" s="2"/>
      <c r="Z106" s="2"/>
      <c r="AA106" s="2"/>
      <c r="AB106" s="2"/>
      <c r="AC106" s="2"/>
      <c r="AD106" s="47"/>
      <c r="AE106" s="25"/>
    </row>
    <row r="107" spans="1:32" x14ac:dyDescent="0.25">
      <c r="B107" s="39" t="s">
        <v>47</v>
      </c>
      <c r="C107" s="39" t="s">
        <v>49</v>
      </c>
      <c r="D107" s="39" t="s">
        <v>54</v>
      </c>
      <c r="E107" s="2"/>
      <c r="F107" s="2"/>
      <c r="G107" s="2"/>
      <c r="H107" s="2"/>
      <c r="I107" s="2"/>
      <c r="J107" s="2"/>
      <c r="K107" s="2"/>
      <c r="L107" s="2"/>
      <c r="M107" s="2">
        <v>200</v>
      </c>
      <c r="N107" s="2">
        <v>510</v>
      </c>
      <c r="O107" s="2">
        <v>1400</v>
      </c>
      <c r="P107" s="2">
        <v>378</v>
      </c>
      <c r="Q107" s="2"/>
      <c r="R107" s="2"/>
      <c r="S107" s="2"/>
      <c r="T107" s="2"/>
      <c r="U107" s="2"/>
      <c r="V107" s="2"/>
      <c r="W107" s="2">
        <v>69</v>
      </c>
      <c r="X107" s="2"/>
      <c r="Y107" s="2"/>
      <c r="Z107" s="2"/>
      <c r="AA107" s="2"/>
      <c r="AB107" s="2"/>
      <c r="AC107" s="2"/>
      <c r="AD107" s="47"/>
      <c r="AE107" s="25"/>
    </row>
    <row r="108" spans="1:32" x14ac:dyDescent="0.25">
      <c r="B108" s="39" t="s">
        <v>47</v>
      </c>
      <c r="C108" s="39" t="s">
        <v>50</v>
      </c>
      <c r="D108" s="39" t="s">
        <v>55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>
        <v>250</v>
      </c>
      <c r="T108" s="2">
        <v>259</v>
      </c>
      <c r="U108" s="2">
        <v>2193</v>
      </c>
      <c r="V108" s="2">
        <v>2714</v>
      </c>
      <c r="W108" s="2">
        <v>1890</v>
      </c>
      <c r="X108" s="2">
        <v>1282</v>
      </c>
      <c r="Y108" s="2">
        <v>488</v>
      </c>
      <c r="Z108" s="2"/>
      <c r="AA108" s="2"/>
      <c r="AB108" s="2"/>
      <c r="AC108" s="2"/>
      <c r="AD108" s="47"/>
      <c r="AE108" s="25"/>
    </row>
    <row r="109" spans="1:32" x14ac:dyDescent="0.25">
      <c r="B109" s="39" t="s">
        <v>47</v>
      </c>
      <c r="C109" s="39" t="s">
        <v>51</v>
      </c>
      <c r="D109" s="39" t="s">
        <v>56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>
        <v>747</v>
      </c>
      <c r="X109" s="2">
        <v>750</v>
      </c>
      <c r="Y109" s="2">
        <v>890</v>
      </c>
      <c r="Z109" s="2"/>
      <c r="AA109" s="2"/>
      <c r="AB109" s="2"/>
      <c r="AC109" s="2"/>
      <c r="AD109" s="47"/>
      <c r="AE109" s="25"/>
    </row>
    <row r="110" spans="1:32" x14ac:dyDescent="0.25">
      <c r="B110" s="39" t="s">
        <v>47</v>
      </c>
      <c r="C110" s="39"/>
      <c r="D110" s="39" t="s">
        <v>57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>
        <v>35</v>
      </c>
      <c r="Y110" s="2">
        <v>1278</v>
      </c>
      <c r="Z110" s="2">
        <v>405</v>
      </c>
      <c r="AA110" s="2"/>
      <c r="AB110" s="2"/>
      <c r="AC110" s="2"/>
      <c r="AD110" s="47"/>
      <c r="AE110" s="25"/>
    </row>
    <row r="111" spans="1:32" x14ac:dyDescent="0.25">
      <c r="B111" s="39" t="s">
        <v>98</v>
      </c>
      <c r="C111" s="39" t="s">
        <v>52</v>
      </c>
      <c r="D111" s="39" t="s">
        <v>58</v>
      </c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>
        <v>3250</v>
      </c>
      <c r="AB111" s="2">
        <v>2871</v>
      </c>
      <c r="AC111" s="2">
        <v>3850</v>
      </c>
      <c r="AD111" s="47">
        <v>3200</v>
      </c>
      <c r="AE111" s="25"/>
    </row>
    <row r="112" spans="1:32" x14ac:dyDescent="0.25">
      <c r="B112" s="111" t="s">
        <v>1</v>
      </c>
      <c r="C112" s="111"/>
      <c r="D112" s="111"/>
      <c r="E112" s="41">
        <v>2500</v>
      </c>
      <c r="F112" s="41">
        <v>1560</v>
      </c>
      <c r="G112" s="41">
        <v>2500</v>
      </c>
      <c r="H112" s="41">
        <v>2300</v>
      </c>
      <c r="I112" s="41">
        <v>2300</v>
      </c>
      <c r="J112" s="41">
        <v>2300</v>
      </c>
      <c r="K112" s="41">
        <v>2300</v>
      </c>
      <c r="L112" s="41">
        <v>1721</v>
      </c>
      <c r="M112" s="41">
        <v>3000</v>
      </c>
      <c r="N112" s="41">
        <v>3000</v>
      </c>
      <c r="O112" s="41">
        <v>3000</v>
      </c>
      <c r="P112" s="41">
        <v>3000</v>
      </c>
      <c r="Q112" s="41">
        <v>3000</v>
      </c>
      <c r="R112" s="41">
        <v>2100</v>
      </c>
      <c r="S112" s="41">
        <v>3500</v>
      </c>
      <c r="T112" s="41">
        <v>3500</v>
      </c>
      <c r="U112" s="41">
        <v>3500</v>
      </c>
      <c r="V112" s="41">
        <v>3500</v>
      </c>
      <c r="W112" s="41">
        <v>3500</v>
      </c>
      <c r="X112" s="41">
        <v>2800</v>
      </c>
      <c r="Y112" s="41">
        <v>3130</v>
      </c>
      <c r="Z112" s="41">
        <v>405</v>
      </c>
      <c r="AA112" s="41">
        <v>4000</v>
      </c>
      <c r="AB112" s="41">
        <v>4200</v>
      </c>
      <c r="AC112" s="41">
        <v>4200</v>
      </c>
      <c r="AD112" s="47">
        <v>1700</v>
      </c>
      <c r="AE112" s="25"/>
    </row>
    <row r="113" spans="2:31" x14ac:dyDescent="0.25">
      <c r="B113" s="111" t="s">
        <v>2</v>
      </c>
      <c r="C113" s="111"/>
      <c r="D113" s="111"/>
      <c r="E113" s="41">
        <f>(E104+E105)/E115</f>
        <v>200</v>
      </c>
      <c r="F113" s="41">
        <f t="shared" ref="F113:L113" si="4">(F104+F105)/F115</f>
        <v>164.21052631578948</v>
      </c>
      <c r="G113" s="41">
        <f t="shared" si="4"/>
        <v>175</v>
      </c>
      <c r="H113" s="41">
        <f t="shared" si="4"/>
        <v>232.63157894736841</v>
      </c>
      <c r="I113" s="41">
        <f t="shared" si="4"/>
        <v>242.10526315789474</v>
      </c>
      <c r="J113" s="41">
        <f t="shared" si="4"/>
        <v>242.10526315789474</v>
      </c>
      <c r="K113" s="41">
        <f t="shared" si="4"/>
        <v>242.10526315789474</v>
      </c>
      <c r="L113" s="41">
        <f t="shared" si="4"/>
        <v>181.15789473684211</v>
      </c>
      <c r="M113" s="41">
        <f>SUM(M106:M110)/M115</f>
        <v>16.666666666666668</v>
      </c>
      <c r="N113" s="41">
        <f t="shared" ref="N113:Y113" si="5">SUM(N106:N110)/N115</f>
        <v>95.916666666666671</v>
      </c>
      <c r="O113" s="41">
        <f t="shared" si="5"/>
        <v>216.66666666666666</v>
      </c>
      <c r="P113" s="41">
        <f t="shared" si="5"/>
        <v>285.71428571428572</v>
      </c>
      <c r="Q113" s="41">
        <f t="shared" si="5"/>
        <v>290</v>
      </c>
      <c r="R113" s="41">
        <f t="shared" si="5"/>
        <v>280</v>
      </c>
      <c r="S113" s="41">
        <f t="shared" si="5"/>
        <v>255.41666666666666</v>
      </c>
      <c r="T113" s="41">
        <f t="shared" si="5"/>
        <v>256.8</v>
      </c>
      <c r="U113" s="41">
        <f t="shared" si="5"/>
        <v>204</v>
      </c>
      <c r="V113" s="41">
        <f t="shared" si="5"/>
        <v>220</v>
      </c>
      <c r="W113" s="41">
        <f t="shared" si="5"/>
        <v>218.4</v>
      </c>
      <c r="X113" s="41">
        <f t="shared" si="5"/>
        <v>206.7</v>
      </c>
      <c r="Y113" s="41">
        <f t="shared" si="5"/>
        <v>212.48</v>
      </c>
      <c r="Z113" s="41">
        <f>SUM(Z106:Z110)/Z115</f>
        <v>57.857142857142854</v>
      </c>
      <c r="AA113" s="41">
        <f>AA111/AA115</f>
        <v>325</v>
      </c>
      <c r="AB113" s="41">
        <f t="shared" ref="AB113:AD113" si="6">AB111/AB115</f>
        <v>287.10000000000002</v>
      </c>
      <c r="AC113" s="41">
        <f t="shared" si="6"/>
        <v>385</v>
      </c>
      <c r="AD113" s="41">
        <f t="shared" si="6"/>
        <v>376.47058823529414</v>
      </c>
      <c r="AE113" s="25"/>
    </row>
    <row r="114" spans="2:31" x14ac:dyDescent="0.25">
      <c r="B114" s="111" t="s">
        <v>4</v>
      </c>
      <c r="C114" s="111"/>
      <c r="D114" s="111"/>
      <c r="E114" s="41">
        <v>2111</v>
      </c>
      <c r="F114" s="41">
        <v>2111</v>
      </c>
      <c r="G114" s="41">
        <v>2111</v>
      </c>
      <c r="H114" s="41">
        <v>2111</v>
      </c>
      <c r="I114" s="41">
        <v>2111</v>
      </c>
      <c r="J114" s="41">
        <v>2111</v>
      </c>
      <c r="K114" s="41">
        <v>2111</v>
      </c>
      <c r="L114" s="41">
        <v>2111</v>
      </c>
      <c r="M114" s="41">
        <v>2242</v>
      </c>
      <c r="N114" s="41">
        <v>2242</v>
      </c>
      <c r="O114" s="41">
        <v>2242</v>
      </c>
      <c r="P114" s="41">
        <v>2242</v>
      </c>
      <c r="Q114" s="41">
        <v>2242</v>
      </c>
      <c r="R114" s="41">
        <v>2242</v>
      </c>
      <c r="S114" s="41">
        <v>2242</v>
      </c>
      <c r="T114" s="41">
        <v>2242</v>
      </c>
      <c r="U114" s="41">
        <v>2242</v>
      </c>
      <c r="V114" s="41">
        <v>2242</v>
      </c>
      <c r="W114" s="41">
        <v>2242</v>
      </c>
      <c r="X114" s="41">
        <v>2242</v>
      </c>
      <c r="Y114" s="41">
        <v>2242</v>
      </c>
      <c r="Z114" s="41">
        <v>2242</v>
      </c>
      <c r="AA114" s="41">
        <v>3293</v>
      </c>
      <c r="AB114" s="41">
        <v>3293</v>
      </c>
      <c r="AC114" s="41">
        <v>3293</v>
      </c>
      <c r="AD114" s="41">
        <v>3293</v>
      </c>
      <c r="AE114" s="25"/>
    </row>
    <row r="115" spans="2:31" x14ac:dyDescent="0.25">
      <c r="B115" s="111" t="s">
        <v>3</v>
      </c>
      <c r="C115" s="111"/>
      <c r="D115" s="111"/>
      <c r="E115" s="41">
        <v>12</v>
      </c>
      <c r="F115" s="41">
        <v>9.5</v>
      </c>
      <c r="G115" s="41">
        <v>12</v>
      </c>
      <c r="H115" s="41">
        <v>9.5</v>
      </c>
      <c r="I115" s="41">
        <v>9.5</v>
      </c>
      <c r="J115" s="41">
        <v>9.5</v>
      </c>
      <c r="K115" s="41">
        <v>9.5</v>
      </c>
      <c r="L115" s="41">
        <v>9.5</v>
      </c>
      <c r="M115" s="41">
        <v>12</v>
      </c>
      <c r="N115" s="41">
        <v>12</v>
      </c>
      <c r="O115" s="41">
        <v>12</v>
      </c>
      <c r="P115" s="41">
        <v>10.5</v>
      </c>
      <c r="Q115" s="41">
        <v>10</v>
      </c>
      <c r="R115" s="41">
        <v>7.5</v>
      </c>
      <c r="S115" s="41">
        <v>12</v>
      </c>
      <c r="T115" s="41">
        <v>12.5</v>
      </c>
      <c r="U115" s="41">
        <v>12.5</v>
      </c>
      <c r="V115" s="41">
        <v>12.5</v>
      </c>
      <c r="W115" s="41">
        <v>12.5</v>
      </c>
      <c r="X115" s="41">
        <v>10</v>
      </c>
      <c r="Y115" s="41">
        <v>12.5</v>
      </c>
      <c r="Z115" s="41">
        <v>7</v>
      </c>
      <c r="AA115" s="41">
        <v>10</v>
      </c>
      <c r="AB115" s="41">
        <v>10</v>
      </c>
      <c r="AC115" s="41">
        <v>10</v>
      </c>
      <c r="AD115" s="47">
        <v>8.5</v>
      </c>
      <c r="AE115" s="25"/>
    </row>
    <row r="140" spans="1:25" x14ac:dyDescent="0.25">
      <c r="A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</row>
    <row r="141" spans="1:25" x14ac:dyDescent="0.25">
      <c r="A141" s="42" t="s">
        <v>64</v>
      </c>
      <c r="B141" s="39"/>
      <c r="C141" s="39"/>
      <c r="D141" s="39"/>
      <c r="E141" s="63">
        <v>7</v>
      </c>
      <c r="F141" s="63">
        <v>9</v>
      </c>
      <c r="G141" s="63">
        <v>10</v>
      </c>
      <c r="H141" s="63">
        <v>11</v>
      </c>
      <c r="I141" s="63">
        <v>12</v>
      </c>
      <c r="J141" s="63">
        <v>13</v>
      </c>
      <c r="K141" s="63">
        <v>14</v>
      </c>
      <c r="L141" s="63">
        <v>16</v>
      </c>
      <c r="M141" s="63">
        <v>17</v>
      </c>
      <c r="N141" s="63">
        <v>18</v>
      </c>
      <c r="O141" s="63">
        <v>19</v>
      </c>
      <c r="P141" s="63">
        <v>20</v>
      </c>
      <c r="Q141" s="63">
        <v>21</v>
      </c>
      <c r="R141" s="63">
        <v>23</v>
      </c>
      <c r="S141" s="63">
        <v>24</v>
      </c>
      <c r="T141" s="63">
        <v>25</v>
      </c>
      <c r="U141" s="63">
        <v>26</v>
      </c>
      <c r="V141" s="63">
        <v>27</v>
      </c>
      <c r="W141" s="63">
        <v>28</v>
      </c>
      <c r="X141" s="63">
        <v>30</v>
      </c>
      <c r="Y141" s="63">
        <v>31</v>
      </c>
    </row>
    <row r="142" spans="1:25" x14ac:dyDescent="0.25">
      <c r="B142" s="39" t="s">
        <v>98</v>
      </c>
      <c r="C142" s="39" t="s">
        <v>52</v>
      </c>
      <c r="D142" s="39" t="s">
        <v>58</v>
      </c>
      <c r="E142" s="2">
        <v>191</v>
      </c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>
        <v>1180</v>
      </c>
      <c r="V142" s="2">
        <v>2470</v>
      </c>
      <c r="W142" s="2"/>
      <c r="X142" s="2"/>
      <c r="Y142" s="2"/>
    </row>
    <row r="143" spans="1:25" x14ac:dyDescent="0.25">
      <c r="B143" s="39" t="s">
        <v>100</v>
      </c>
      <c r="C143" s="39" t="s">
        <v>12</v>
      </c>
      <c r="D143" s="39" t="s">
        <v>32</v>
      </c>
      <c r="E143" s="2"/>
      <c r="F143" s="2">
        <v>0</v>
      </c>
      <c r="G143" s="2">
        <v>95</v>
      </c>
      <c r="H143" s="2">
        <v>155</v>
      </c>
      <c r="I143" s="2">
        <v>210</v>
      </c>
      <c r="J143" s="2">
        <v>248</v>
      </c>
      <c r="K143" s="2">
        <v>240</v>
      </c>
      <c r="L143" s="2">
        <v>350</v>
      </c>
      <c r="M143" s="2">
        <v>250</v>
      </c>
      <c r="N143" s="2">
        <v>350</v>
      </c>
      <c r="O143" s="2">
        <v>390</v>
      </c>
      <c r="P143" s="2">
        <v>390</v>
      </c>
      <c r="Q143" s="2">
        <v>290</v>
      </c>
      <c r="R143" s="2">
        <v>412</v>
      </c>
      <c r="S143" s="2">
        <v>412</v>
      </c>
      <c r="T143" s="2">
        <v>373</v>
      </c>
      <c r="U143" s="2">
        <v>14</v>
      </c>
      <c r="V143" s="2"/>
      <c r="W143" s="2"/>
      <c r="X143" s="2"/>
      <c r="Y143" s="2"/>
    </row>
    <row r="144" spans="1:25" x14ac:dyDescent="0.25">
      <c r="B144" s="39" t="s">
        <v>100</v>
      </c>
      <c r="C144" s="39" t="s">
        <v>13</v>
      </c>
      <c r="D144" s="39" t="s">
        <v>59</v>
      </c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>
        <v>0</v>
      </c>
      <c r="X144" s="2">
        <v>0</v>
      </c>
      <c r="Y144" s="2">
        <v>170</v>
      </c>
    </row>
    <row r="145" spans="2:25" x14ac:dyDescent="0.25">
      <c r="B145" s="111" t="s">
        <v>1</v>
      </c>
      <c r="C145" s="111"/>
      <c r="D145" s="111"/>
      <c r="E145" s="41">
        <v>191</v>
      </c>
      <c r="F145" s="41">
        <v>150</v>
      </c>
      <c r="G145" s="41">
        <v>100</v>
      </c>
      <c r="H145" s="41">
        <v>160</v>
      </c>
      <c r="I145" s="41">
        <v>200</v>
      </c>
      <c r="J145" s="41">
        <v>248</v>
      </c>
      <c r="K145" s="41">
        <v>240</v>
      </c>
      <c r="L145" s="41">
        <v>362</v>
      </c>
      <c r="M145" s="41">
        <v>380</v>
      </c>
      <c r="N145" s="41">
        <v>380</v>
      </c>
      <c r="O145" s="41">
        <v>380</v>
      </c>
      <c r="P145" s="41">
        <v>380</v>
      </c>
      <c r="Q145" s="41">
        <v>290</v>
      </c>
      <c r="R145" s="41">
        <v>412</v>
      </c>
      <c r="S145" s="41">
        <v>412</v>
      </c>
      <c r="T145" s="41">
        <v>387</v>
      </c>
      <c r="U145" s="41">
        <v>1700</v>
      </c>
      <c r="V145" s="41">
        <v>2470</v>
      </c>
      <c r="W145" s="41" t="s">
        <v>97</v>
      </c>
      <c r="X145" s="41">
        <v>300</v>
      </c>
      <c r="Y145" s="41">
        <v>300</v>
      </c>
    </row>
    <row r="146" spans="2:25" x14ac:dyDescent="0.25">
      <c r="B146" s="111" t="s">
        <v>2</v>
      </c>
      <c r="C146" s="111"/>
      <c r="D146" s="111"/>
      <c r="E146" s="41">
        <f>E142/E148</f>
        <v>38.200000000000003</v>
      </c>
      <c r="F146" s="41">
        <f>F143/F148</f>
        <v>0</v>
      </c>
      <c r="G146" s="41">
        <f t="shared" ref="G146:T146" si="7">G143/G148</f>
        <v>9.5</v>
      </c>
      <c r="H146" s="41">
        <f t="shared" si="7"/>
        <v>15.5</v>
      </c>
      <c r="I146" s="41">
        <f t="shared" si="7"/>
        <v>21</v>
      </c>
      <c r="J146" s="41">
        <f t="shared" si="7"/>
        <v>24.8</v>
      </c>
      <c r="K146" s="41">
        <f t="shared" si="7"/>
        <v>30</v>
      </c>
      <c r="L146" s="41">
        <f t="shared" si="7"/>
        <v>38.888888888888886</v>
      </c>
      <c r="M146" s="41">
        <f t="shared" si="7"/>
        <v>21.739130434782609</v>
      </c>
      <c r="N146" s="41">
        <f t="shared" si="7"/>
        <v>35</v>
      </c>
      <c r="O146" s="41">
        <f t="shared" si="7"/>
        <v>39</v>
      </c>
      <c r="P146" s="41">
        <f t="shared" si="7"/>
        <v>39</v>
      </c>
      <c r="Q146" s="41">
        <f t="shared" si="7"/>
        <v>36.25</v>
      </c>
      <c r="R146" s="41">
        <f t="shared" si="7"/>
        <v>41.2</v>
      </c>
      <c r="S146" s="41">
        <f t="shared" si="7"/>
        <v>41.2</v>
      </c>
      <c r="T146" s="41">
        <f t="shared" si="7"/>
        <v>37.299999999999997</v>
      </c>
      <c r="U146" s="41">
        <f>U142/U148</f>
        <v>118</v>
      </c>
      <c r="V146" s="41">
        <f>V142/V148</f>
        <v>214.78260869565219</v>
      </c>
      <c r="W146" s="41">
        <f>W144/W148</f>
        <v>0</v>
      </c>
      <c r="X146" s="41">
        <f t="shared" ref="X146:Y146" si="8">X144/X148</f>
        <v>0</v>
      </c>
      <c r="Y146" s="41">
        <f t="shared" si="8"/>
        <v>14.782608695652174</v>
      </c>
    </row>
    <row r="147" spans="2:25" x14ac:dyDescent="0.25">
      <c r="B147" s="111" t="s">
        <v>4</v>
      </c>
      <c r="C147" s="111"/>
      <c r="D147" s="111"/>
      <c r="E147" s="41">
        <v>850</v>
      </c>
      <c r="F147" s="41">
        <v>278</v>
      </c>
      <c r="G147" s="41">
        <v>278</v>
      </c>
      <c r="H147" s="41">
        <v>278</v>
      </c>
      <c r="I147" s="41">
        <v>278</v>
      </c>
      <c r="J147" s="41">
        <v>278</v>
      </c>
      <c r="K147" s="41">
        <v>278</v>
      </c>
      <c r="L147" s="41">
        <v>278</v>
      </c>
      <c r="M147" s="41">
        <v>278</v>
      </c>
      <c r="N147" s="41">
        <v>278</v>
      </c>
      <c r="O147" s="41">
        <v>278</v>
      </c>
      <c r="P147" s="41">
        <v>278</v>
      </c>
      <c r="Q147" s="41">
        <v>278</v>
      </c>
      <c r="R147" s="41">
        <v>278</v>
      </c>
      <c r="S147" s="41">
        <v>278</v>
      </c>
      <c r="T147" s="41">
        <v>278</v>
      </c>
      <c r="U147" s="41">
        <v>850</v>
      </c>
      <c r="V147" s="41">
        <v>850</v>
      </c>
      <c r="W147" s="41">
        <v>57</v>
      </c>
      <c r="X147" s="41">
        <v>57</v>
      </c>
      <c r="Y147" s="41">
        <v>57</v>
      </c>
    </row>
    <row r="148" spans="2:25" x14ac:dyDescent="0.25">
      <c r="B148" s="111" t="s">
        <v>3</v>
      </c>
      <c r="C148" s="111"/>
      <c r="D148" s="111"/>
      <c r="E148" s="41">
        <v>5</v>
      </c>
      <c r="F148" s="41">
        <v>10</v>
      </c>
      <c r="G148" s="41">
        <v>10</v>
      </c>
      <c r="H148" s="41">
        <v>10</v>
      </c>
      <c r="I148" s="41">
        <v>10</v>
      </c>
      <c r="J148" s="41">
        <v>10</v>
      </c>
      <c r="K148" s="41">
        <v>8</v>
      </c>
      <c r="L148" s="41">
        <v>9</v>
      </c>
      <c r="M148" s="41">
        <v>11.5</v>
      </c>
      <c r="N148" s="41">
        <v>10</v>
      </c>
      <c r="O148" s="41">
        <v>10</v>
      </c>
      <c r="P148" s="41">
        <v>10</v>
      </c>
      <c r="Q148" s="41">
        <v>8</v>
      </c>
      <c r="R148" s="41">
        <v>10</v>
      </c>
      <c r="S148" s="41">
        <v>10</v>
      </c>
      <c r="T148" s="41">
        <v>10</v>
      </c>
      <c r="U148" s="41">
        <v>10</v>
      </c>
      <c r="V148" s="41">
        <v>11.5</v>
      </c>
      <c r="W148" s="41">
        <v>5</v>
      </c>
      <c r="X148" s="41">
        <v>10</v>
      </c>
      <c r="Y148" s="41">
        <v>11.5</v>
      </c>
    </row>
    <row r="174" spans="1:30" x14ac:dyDescent="0.25">
      <c r="A174" s="42" t="s">
        <v>65</v>
      </c>
      <c r="B174" s="25"/>
      <c r="C174" s="25"/>
      <c r="D174" s="25"/>
      <c r="E174" s="39">
        <v>1</v>
      </c>
      <c r="F174" s="39">
        <v>2</v>
      </c>
      <c r="G174" s="39">
        <v>3</v>
      </c>
      <c r="H174" s="39">
        <v>4</v>
      </c>
      <c r="I174" s="39">
        <v>6</v>
      </c>
      <c r="J174" s="39">
        <v>7</v>
      </c>
      <c r="K174" s="39">
        <v>8</v>
      </c>
      <c r="L174" s="39">
        <v>9</v>
      </c>
      <c r="M174" s="39">
        <v>10</v>
      </c>
      <c r="N174" s="39">
        <v>11</v>
      </c>
      <c r="O174" s="39">
        <v>13</v>
      </c>
      <c r="P174" s="39">
        <v>14</v>
      </c>
      <c r="Q174" s="39">
        <v>15</v>
      </c>
      <c r="R174" s="39">
        <v>16</v>
      </c>
      <c r="S174" s="39">
        <v>17</v>
      </c>
      <c r="T174" s="39">
        <v>18</v>
      </c>
      <c r="U174" s="39">
        <v>20</v>
      </c>
      <c r="V174" s="39">
        <v>21</v>
      </c>
      <c r="W174" s="39">
        <v>22</v>
      </c>
      <c r="X174" s="39">
        <v>23</v>
      </c>
      <c r="Y174" s="39">
        <v>24</v>
      </c>
      <c r="Z174" s="39">
        <v>25</v>
      </c>
      <c r="AA174" s="39">
        <v>27</v>
      </c>
      <c r="AB174" s="39">
        <v>28</v>
      </c>
      <c r="AC174" s="39">
        <v>29</v>
      </c>
      <c r="AD174" s="39">
        <v>30</v>
      </c>
    </row>
    <row r="175" spans="1:30" x14ac:dyDescent="0.25">
      <c r="B175" s="39" t="s">
        <v>14</v>
      </c>
      <c r="C175" s="39" t="s">
        <v>13</v>
      </c>
      <c r="D175" s="39" t="s">
        <v>59</v>
      </c>
      <c r="E175" s="25">
        <v>170</v>
      </c>
      <c r="F175" s="25">
        <v>165</v>
      </c>
      <c r="G175" s="25">
        <v>180</v>
      </c>
      <c r="H175" s="25">
        <v>30</v>
      </c>
      <c r="I175" s="25">
        <v>120</v>
      </c>
      <c r="J175" s="25">
        <v>215</v>
      </c>
      <c r="K175" s="25">
        <v>180</v>
      </c>
      <c r="L175" s="25">
        <v>200</v>
      </c>
      <c r="M175" s="25">
        <v>225</v>
      </c>
      <c r="N175" s="25">
        <v>170</v>
      </c>
      <c r="O175" s="25">
        <v>230</v>
      </c>
      <c r="P175" s="25">
        <v>245</v>
      </c>
      <c r="Q175" s="25">
        <v>240</v>
      </c>
      <c r="R175" s="25">
        <v>230</v>
      </c>
      <c r="S175" s="25">
        <v>240</v>
      </c>
      <c r="T175" s="25">
        <v>196</v>
      </c>
      <c r="U175" s="25">
        <v>245</v>
      </c>
      <c r="V175" s="25">
        <v>245</v>
      </c>
      <c r="W175" s="25">
        <v>245</v>
      </c>
      <c r="X175" s="25">
        <v>240</v>
      </c>
      <c r="Y175" s="25">
        <v>64</v>
      </c>
      <c r="Z175" s="25"/>
      <c r="AA175" s="25"/>
      <c r="AB175" s="25"/>
      <c r="AC175" s="25"/>
      <c r="AD175" s="25"/>
    </row>
    <row r="176" spans="1:30" x14ac:dyDescent="0.25">
      <c r="B176" s="39" t="s">
        <v>53</v>
      </c>
      <c r="C176" s="39" t="s">
        <v>52</v>
      </c>
      <c r="D176" s="39" t="s">
        <v>106</v>
      </c>
      <c r="E176" s="25"/>
      <c r="F176" s="25"/>
      <c r="G176" s="25"/>
      <c r="H176" s="25">
        <v>1000</v>
      </c>
      <c r="I176" s="25">
        <v>650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</row>
    <row r="177" spans="2:30" x14ac:dyDescent="0.25">
      <c r="B177" s="39" t="s">
        <v>10</v>
      </c>
      <c r="C177" s="39" t="s">
        <v>13</v>
      </c>
      <c r="D177" s="39" t="s">
        <v>31</v>
      </c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>
        <v>26</v>
      </c>
      <c r="AA177" s="25">
        <v>180</v>
      </c>
      <c r="AB177" s="25">
        <v>50</v>
      </c>
      <c r="AC177" s="25"/>
      <c r="AD177" s="25"/>
    </row>
    <row r="178" spans="2:30" x14ac:dyDescent="0.25">
      <c r="B178" s="111" t="s">
        <v>1</v>
      </c>
      <c r="C178" s="111"/>
      <c r="D178" s="111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B178" s="25">
        <v>92</v>
      </c>
      <c r="AC178" s="25">
        <v>205</v>
      </c>
      <c r="AD178" s="25">
        <v>225</v>
      </c>
    </row>
    <row r="179" spans="2:30" x14ac:dyDescent="0.25">
      <c r="B179" s="111" t="s">
        <v>2</v>
      </c>
      <c r="C179" s="111"/>
      <c r="D179" s="111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</row>
    <row r="180" spans="2:30" x14ac:dyDescent="0.25">
      <c r="B180" s="111" t="s">
        <v>4</v>
      </c>
      <c r="C180" s="111"/>
      <c r="D180" s="111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</row>
    <row r="181" spans="2:30" x14ac:dyDescent="0.25">
      <c r="B181" s="111" t="s">
        <v>3</v>
      </c>
      <c r="C181" s="111"/>
      <c r="D181" s="111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</row>
    <row r="182" spans="2:30" x14ac:dyDescent="0.25">
      <c r="B182" s="42"/>
      <c r="C182" s="42"/>
      <c r="D182" s="42"/>
    </row>
    <row r="207" spans="1:30" x14ac:dyDescent="0.25">
      <c r="A207" s="42" t="s">
        <v>66</v>
      </c>
      <c r="B207" s="25"/>
      <c r="C207" s="25"/>
      <c r="D207" s="25"/>
      <c r="E207" s="39">
        <v>1</v>
      </c>
      <c r="F207" s="39">
        <v>2</v>
      </c>
      <c r="G207" s="39">
        <v>4</v>
      </c>
      <c r="H207" s="39">
        <v>5</v>
      </c>
      <c r="I207" s="39">
        <v>6</v>
      </c>
      <c r="J207" s="39">
        <v>7</v>
      </c>
      <c r="K207" s="39">
        <v>8</v>
      </c>
      <c r="L207" s="39">
        <v>11</v>
      </c>
      <c r="M207" s="39">
        <v>12</v>
      </c>
      <c r="N207" s="39">
        <v>13</v>
      </c>
      <c r="O207" s="39">
        <v>14</v>
      </c>
      <c r="P207" s="39">
        <v>15</v>
      </c>
      <c r="Q207" s="39">
        <v>16</v>
      </c>
      <c r="R207" s="39">
        <v>18</v>
      </c>
      <c r="S207" s="39">
        <v>19</v>
      </c>
      <c r="T207" s="39">
        <v>20</v>
      </c>
      <c r="U207" s="39">
        <v>21</v>
      </c>
      <c r="V207" s="39">
        <v>22</v>
      </c>
      <c r="W207" s="39">
        <v>23</v>
      </c>
      <c r="X207" s="39">
        <v>25</v>
      </c>
      <c r="Y207" s="39">
        <v>26</v>
      </c>
      <c r="Z207" s="39">
        <v>27</v>
      </c>
      <c r="AA207" s="39">
        <v>28</v>
      </c>
      <c r="AB207" s="39">
        <v>29</v>
      </c>
      <c r="AC207" s="42"/>
      <c r="AD207" s="42"/>
    </row>
    <row r="208" spans="1:30" x14ac:dyDescent="0.25">
      <c r="A208" s="42"/>
      <c r="B208" s="39" t="s">
        <v>14</v>
      </c>
      <c r="C208" s="39" t="s">
        <v>12</v>
      </c>
      <c r="D208" s="39" t="s">
        <v>32</v>
      </c>
      <c r="E208" s="25">
        <v>235</v>
      </c>
      <c r="F208" s="25">
        <v>230</v>
      </c>
      <c r="G208" s="25">
        <v>285</v>
      </c>
      <c r="H208" s="25">
        <v>240</v>
      </c>
      <c r="I208" s="25">
        <v>240</v>
      </c>
      <c r="J208" s="25">
        <v>285</v>
      </c>
      <c r="K208" s="25">
        <v>285</v>
      </c>
      <c r="L208" s="25">
        <v>225</v>
      </c>
      <c r="M208" s="25">
        <v>260</v>
      </c>
      <c r="N208" s="25">
        <v>275</v>
      </c>
      <c r="O208" s="25">
        <v>285</v>
      </c>
      <c r="P208" s="25">
        <v>290</v>
      </c>
      <c r="Q208" s="25">
        <v>230</v>
      </c>
      <c r="R208" s="25">
        <v>99</v>
      </c>
      <c r="S208" s="25"/>
      <c r="T208" s="25"/>
      <c r="U208" s="25"/>
      <c r="V208" s="25"/>
      <c r="W208" s="25"/>
      <c r="X208" s="25"/>
      <c r="Y208" s="25"/>
      <c r="Z208" s="25"/>
      <c r="AA208" s="25"/>
      <c r="AB208" s="25"/>
    </row>
    <row r="209" spans="2:28" x14ac:dyDescent="0.25">
      <c r="B209" s="39" t="s">
        <v>10</v>
      </c>
      <c r="C209" s="39" t="s">
        <v>13</v>
      </c>
      <c r="D209" s="39" t="s">
        <v>31</v>
      </c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>
        <v>60</v>
      </c>
      <c r="T209" s="25">
        <v>180</v>
      </c>
      <c r="U209" s="25">
        <v>155</v>
      </c>
      <c r="V209" s="25">
        <v>216</v>
      </c>
      <c r="W209" s="25">
        <v>180</v>
      </c>
      <c r="X209" s="25">
        <v>245</v>
      </c>
      <c r="Y209" s="25">
        <v>210</v>
      </c>
      <c r="Z209" s="25">
        <v>220</v>
      </c>
      <c r="AA209" s="25">
        <v>240</v>
      </c>
      <c r="AB209" s="25">
        <v>190</v>
      </c>
    </row>
    <row r="210" spans="2:28" x14ac:dyDescent="0.25">
      <c r="B210" s="111" t="s">
        <v>1</v>
      </c>
      <c r="C210" s="111"/>
      <c r="D210" s="111"/>
      <c r="E210" s="25">
        <v>285</v>
      </c>
      <c r="F210" s="25">
        <v>230</v>
      </c>
      <c r="G210" s="25">
        <v>285</v>
      </c>
      <c r="H210" s="25">
        <v>285</v>
      </c>
      <c r="I210" s="25">
        <v>285</v>
      </c>
      <c r="J210" s="25">
        <v>285</v>
      </c>
      <c r="K210" s="25">
        <v>285</v>
      </c>
      <c r="L210" s="25">
        <v>285</v>
      </c>
      <c r="M210" s="25">
        <v>285</v>
      </c>
      <c r="N210" s="25">
        <v>285</v>
      </c>
      <c r="O210" s="25">
        <v>285</v>
      </c>
      <c r="P210" s="25">
        <v>285</v>
      </c>
      <c r="Q210" s="25">
        <v>230</v>
      </c>
      <c r="R210" s="25">
        <v>99</v>
      </c>
      <c r="S210" s="25">
        <v>250</v>
      </c>
      <c r="T210" s="25">
        <v>260</v>
      </c>
      <c r="U210" s="25">
        <v>216</v>
      </c>
      <c r="V210" s="25">
        <v>216</v>
      </c>
      <c r="W210" s="25">
        <v>180</v>
      </c>
      <c r="X210" s="25">
        <v>250</v>
      </c>
      <c r="Y210" s="25">
        <v>250</v>
      </c>
      <c r="Z210" s="25">
        <v>250</v>
      </c>
      <c r="AA210" s="25">
        <v>250</v>
      </c>
      <c r="AB210" s="25">
        <v>250</v>
      </c>
    </row>
    <row r="211" spans="2:28" x14ac:dyDescent="0.25">
      <c r="B211" s="111" t="s">
        <v>2</v>
      </c>
      <c r="C211" s="111"/>
      <c r="D211" s="111"/>
      <c r="E211" s="88">
        <f>E210/E213</f>
        <v>31.666666666666668</v>
      </c>
      <c r="F211" s="88">
        <f t="shared" ref="F211:AB211" si="9">F210/F213</f>
        <v>32.857142857142854</v>
      </c>
      <c r="G211" s="88">
        <f t="shared" si="9"/>
        <v>31.666666666666668</v>
      </c>
      <c r="H211" s="88">
        <f t="shared" si="9"/>
        <v>31.666666666666668</v>
      </c>
      <c r="I211" s="88">
        <f t="shared" si="9"/>
        <v>31.666666666666668</v>
      </c>
      <c r="J211" s="88">
        <f t="shared" si="9"/>
        <v>31.666666666666668</v>
      </c>
      <c r="K211" s="88">
        <f t="shared" si="9"/>
        <v>31.666666666666668</v>
      </c>
      <c r="L211" s="88">
        <f t="shared" si="9"/>
        <v>31.666666666666668</v>
      </c>
      <c r="M211" s="88">
        <f t="shared" si="9"/>
        <v>31.666666666666668</v>
      </c>
      <c r="N211" s="88">
        <f t="shared" si="9"/>
        <v>31.666666666666668</v>
      </c>
      <c r="O211" s="88">
        <f t="shared" si="9"/>
        <v>31.666666666666668</v>
      </c>
      <c r="P211" s="88">
        <f t="shared" si="9"/>
        <v>31.666666666666668</v>
      </c>
      <c r="Q211" s="88">
        <f t="shared" si="9"/>
        <v>32.857142857142854</v>
      </c>
      <c r="R211" s="88">
        <f t="shared" si="9"/>
        <v>12.375</v>
      </c>
      <c r="S211" s="88">
        <f t="shared" si="9"/>
        <v>31.25</v>
      </c>
      <c r="T211" s="88">
        <f t="shared" si="9"/>
        <v>28.888888888888889</v>
      </c>
      <c r="U211" s="88">
        <f t="shared" si="9"/>
        <v>24</v>
      </c>
      <c r="V211" s="88">
        <f t="shared" si="9"/>
        <v>27</v>
      </c>
      <c r="W211" s="88">
        <f t="shared" si="9"/>
        <v>25.714285714285715</v>
      </c>
      <c r="X211" s="88">
        <f t="shared" si="9"/>
        <v>27.777777777777779</v>
      </c>
      <c r="Y211" s="88">
        <f t="shared" si="9"/>
        <v>27.777777777777779</v>
      </c>
      <c r="Z211" s="88">
        <f t="shared" si="9"/>
        <v>27.777777777777779</v>
      </c>
      <c r="AA211" s="88">
        <f t="shared" si="9"/>
        <v>27.777777777777779</v>
      </c>
      <c r="AB211" s="88">
        <f t="shared" si="9"/>
        <v>27.777777777777779</v>
      </c>
    </row>
    <row r="212" spans="2:28" s="85" customFormat="1" x14ac:dyDescent="0.25">
      <c r="B212" s="112" t="s">
        <v>4</v>
      </c>
      <c r="C212" s="112"/>
      <c r="D212" s="112"/>
      <c r="E212" s="25">
        <v>247</v>
      </c>
      <c r="F212" s="25">
        <v>247</v>
      </c>
      <c r="G212" s="25">
        <v>247</v>
      </c>
      <c r="H212" s="25">
        <v>247</v>
      </c>
      <c r="I212" s="25">
        <v>247</v>
      </c>
      <c r="J212" s="25">
        <v>247</v>
      </c>
      <c r="K212" s="25">
        <v>247</v>
      </c>
      <c r="L212" s="25">
        <v>247</v>
      </c>
      <c r="M212" s="25">
        <v>247</v>
      </c>
      <c r="N212" s="25">
        <v>247</v>
      </c>
      <c r="O212" s="25">
        <v>247</v>
      </c>
      <c r="P212" s="25">
        <v>247</v>
      </c>
      <c r="Q212" s="25">
        <v>247</v>
      </c>
      <c r="R212" s="25">
        <v>247</v>
      </c>
      <c r="S212" s="25">
        <v>190</v>
      </c>
      <c r="T212" s="25">
        <v>190</v>
      </c>
      <c r="U212" s="25">
        <v>190</v>
      </c>
      <c r="V212" s="25">
        <v>190</v>
      </c>
      <c r="W212" s="25">
        <v>190</v>
      </c>
      <c r="X212" s="25">
        <v>190</v>
      </c>
      <c r="Y212" s="25">
        <v>190</v>
      </c>
      <c r="Z212" s="25">
        <v>190</v>
      </c>
      <c r="AA212" s="25">
        <v>190</v>
      </c>
      <c r="AB212" s="25">
        <v>190</v>
      </c>
    </row>
    <row r="213" spans="2:28" x14ac:dyDescent="0.25">
      <c r="B213" s="111" t="s">
        <v>3</v>
      </c>
      <c r="C213" s="111"/>
      <c r="D213" s="111"/>
      <c r="E213" s="25">
        <v>9</v>
      </c>
      <c r="F213" s="25">
        <v>7</v>
      </c>
      <c r="G213" s="25">
        <v>9</v>
      </c>
      <c r="H213" s="25">
        <v>9</v>
      </c>
      <c r="I213" s="25">
        <v>9</v>
      </c>
      <c r="J213" s="25">
        <v>9</v>
      </c>
      <c r="K213" s="25">
        <v>9</v>
      </c>
      <c r="L213" s="25">
        <v>9</v>
      </c>
      <c r="M213" s="25">
        <v>9</v>
      </c>
      <c r="N213" s="25">
        <v>9</v>
      </c>
      <c r="O213" s="25">
        <v>9</v>
      </c>
      <c r="P213" s="25">
        <v>9</v>
      </c>
      <c r="Q213" s="25">
        <v>7</v>
      </c>
      <c r="R213" s="25">
        <v>8</v>
      </c>
      <c r="S213" s="25">
        <v>8</v>
      </c>
      <c r="T213" s="25">
        <v>9</v>
      </c>
      <c r="U213" s="25">
        <v>9</v>
      </c>
      <c r="V213" s="25">
        <v>8</v>
      </c>
      <c r="W213" s="25">
        <v>7</v>
      </c>
      <c r="X213" s="25">
        <v>9</v>
      </c>
      <c r="Y213" s="25">
        <v>9</v>
      </c>
      <c r="Z213" s="25">
        <v>9</v>
      </c>
      <c r="AA213" s="25">
        <v>9</v>
      </c>
      <c r="AB213" s="25">
        <v>9</v>
      </c>
    </row>
    <row r="214" spans="2:28" x14ac:dyDescent="0.25">
      <c r="B214" s="42"/>
      <c r="C214" s="42"/>
      <c r="D214" s="42"/>
    </row>
  </sheetData>
  <mergeCells count="28">
    <mergeCell ref="B76:D76"/>
    <mergeCell ref="B77:D77"/>
    <mergeCell ref="B41:D41"/>
    <mergeCell ref="B42:D42"/>
    <mergeCell ref="B43:D43"/>
    <mergeCell ref="B74:D74"/>
    <mergeCell ref="B75:D75"/>
    <mergeCell ref="B8:D8"/>
    <mergeCell ref="B9:D9"/>
    <mergeCell ref="B10:D10"/>
    <mergeCell ref="B11:D11"/>
    <mergeCell ref="B40:D40"/>
    <mergeCell ref="B145:D145"/>
    <mergeCell ref="B146:D146"/>
    <mergeCell ref="B147:D147"/>
    <mergeCell ref="B112:D112"/>
    <mergeCell ref="B113:D113"/>
    <mergeCell ref="B114:D114"/>
    <mergeCell ref="B115:D115"/>
    <mergeCell ref="B210:D210"/>
    <mergeCell ref="B211:D211"/>
    <mergeCell ref="B212:D212"/>
    <mergeCell ref="B213:D213"/>
    <mergeCell ref="B148:D148"/>
    <mergeCell ref="B179:D179"/>
    <mergeCell ref="B180:D180"/>
    <mergeCell ref="B181:D181"/>
    <mergeCell ref="B178:D178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54779-058A-4025-86E7-DDA8EAF36605}">
  <sheetPr codeName="Sheet3"/>
  <dimension ref="A3:AF208"/>
  <sheetViews>
    <sheetView topLeftCell="A194" zoomScale="80" zoomScaleNormal="80" workbookViewId="0">
      <selection activeCell="A202" sqref="A202"/>
    </sheetView>
  </sheetViews>
  <sheetFormatPr defaultColWidth="6.28515625" defaultRowHeight="15" x14ac:dyDescent="0.25"/>
  <cols>
    <col min="1" max="1" width="9.140625" bestFit="1" customWidth="1"/>
    <col min="2" max="2" width="15.28515625" bestFit="1" customWidth="1"/>
    <col min="3" max="3" width="22.85546875" bestFit="1" customWidth="1"/>
    <col min="4" max="4" width="17.42578125" bestFit="1" customWidth="1"/>
    <col min="5" max="5" width="4.42578125" bestFit="1" customWidth="1"/>
    <col min="6" max="6" width="8.42578125" bestFit="1" customWidth="1"/>
    <col min="7" max="20" width="6" bestFit="1" customWidth="1"/>
    <col min="21" max="21" width="7.28515625" bestFit="1" customWidth="1"/>
    <col min="22" max="25" width="6" bestFit="1" customWidth="1"/>
    <col min="26" max="32" width="4.42578125" bestFit="1" customWidth="1"/>
  </cols>
  <sheetData>
    <row r="3" spans="1:29" x14ac:dyDescent="0.25">
      <c r="A3" s="42" t="s">
        <v>60</v>
      </c>
      <c r="B3" s="25"/>
      <c r="C3" s="25"/>
      <c r="D3" s="25"/>
      <c r="E3" s="39">
        <v>3</v>
      </c>
      <c r="F3" s="39">
        <v>4</v>
      </c>
      <c r="G3" s="39">
        <v>5</v>
      </c>
      <c r="H3" s="39">
        <v>6</v>
      </c>
      <c r="I3" s="39">
        <v>7</v>
      </c>
      <c r="J3" s="39">
        <v>8</v>
      </c>
      <c r="K3" s="39">
        <v>10</v>
      </c>
      <c r="L3" s="39">
        <v>11</v>
      </c>
      <c r="M3" s="39">
        <v>12</v>
      </c>
      <c r="N3" s="39">
        <v>13</v>
      </c>
      <c r="O3" s="39">
        <v>14</v>
      </c>
      <c r="P3" s="39">
        <v>15</v>
      </c>
      <c r="Q3" s="39">
        <v>17</v>
      </c>
      <c r="R3" s="39">
        <v>18</v>
      </c>
      <c r="S3" s="39">
        <v>19</v>
      </c>
      <c r="T3" s="39">
        <v>20</v>
      </c>
      <c r="U3" s="39">
        <v>21</v>
      </c>
      <c r="V3" s="39">
        <v>22</v>
      </c>
      <c r="W3" s="39">
        <v>24</v>
      </c>
      <c r="X3" s="39">
        <v>25</v>
      </c>
      <c r="Y3" s="39">
        <v>26</v>
      </c>
      <c r="Z3" s="39">
        <v>27</v>
      </c>
      <c r="AA3" s="39">
        <v>28</v>
      </c>
      <c r="AB3" s="39">
        <v>29</v>
      </c>
      <c r="AC3" s="39">
        <v>31</v>
      </c>
    </row>
    <row r="4" spans="1:29" x14ac:dyDescent="0.25">
      <c r="B4" s="39" t="s">
        <v>10</v>
      </c>
      <c r="C4" s="39" t="s">
        <v>13</v>
      </c>
      <c r="D4" s="39" t="s">
        <v>31</v>
      </c>
      <c r="E4" s="2">
        <v>182</v>
      </c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spans="1:29" x14ac:dyDescent="0.25">
      <c r="B5" s="39" t="s">
        <v>14</v>
      </c>
      <c r="C5" s="39" t="s">
        <v>16</v>
      </c>
      <c r="D5" s="39" t="s">
        <v>33</v>
      </c>
      <c r="E5" s="2"/>
      <c r="F5" s="2">
        <v>0</v>
      </c>
      <c r="G5" s="2">
        <v>150</v>
      </c>
      <c r="H5" s="2">
        <v>200</v>
      </c>
      <c r="I5" s="2">
        <v>250</v>
      </c>
      <c r="J5" s="2">
        <v>100</v>
      </c>
      <c r="K5" s="2">
        <v>280</v>
      </c>
      <c r="L5" s="2">
        <v>280</v>
      </c>
      <c r="M5" s="2">
        <v>280</v>
      </c>
      <c r="N5" s="2">
        <v>280</v>
      </c>
      <c r="O5" s="2">
        <v>280</v>
      </c>
      <c r="P5" s="2">
        <v>100</v>
      </c>
      <c r="Q5" s="2">
        <v>280</v>
      </c>
      <c r="R5" s="2">
        <v>280</v>
      </c>
      <c r="S5" s="2">
        <v>280</v>
      </c>
      <c r="T5" s="2">
        <v>168</v>
      </c>
      <c r="U5" s="2"/>
      <c r="V5" s="2"/>
      <c r="W5" s="2"/>
      <c r="X5" s="2"/>
      <c r="Y5" s="2"/>
      <c r="Z5" s="2"/>
      <c r="AA5" s="2"/>
      <c r="AB5" s="2"/>
      <c r="AC5" s="2"/>
    </row>
    <row r="6" spans="1:29" x14ac:dyDescent="0.25">
      <c r="B6" s="39" t="s">
        <v>11</v>
      </c>
      <c r="C6" s="39" t="s">
        <v>12</v>
      </c>
      <c r="D6" s="39" t="s">
        <v>35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>
        <v>0</v>
      </c>
      <c r="V6" s="2">
        <v>100</v>
      </c>
      <c r="W6" s="2">
        <v>150</v>
      </c>
      <c r="X6" s="2">
        <v>190</v>
      </c>
      <c r="Y6" s="2">
        <v>190</v>
      </c>
      <c r="Z6" s="2">
        <v>200</v>
      </c>
      <c r="AA6" s="2">
        <v>200</v>
      </c>
      <c r="AB6" s="2">
        <v>150</v>
      </c>
      <c r="AC6" s="2">
        <v>230</v>
      </c>
    </row>
    <row r="7" spans="1:29" x14ac:dyDescent="0.25">
      <c r="B7" s="111" t="s">
        <v>1</v>
      </c>
      <c r="C7" s="111"/>
      <c r="D7" s="111"/>
      <c r="E7" s="41">
        <v>182</v>
      </c>
      <c r="F7" s="41" t="s">
        <v>97</v>
      </c>
      <c r="G7" s="41">
        <v>150</v>
      </c>
      <c r="H7" s="41">
        <v>200</v>
      </c>
      <c r="I7" s="41">
        <v>250</v>
      </c>
      <c r="J7" s="41">
        <v>100</v>
      </c>
      <c r="K7" s="41">
        <v>290</v>
      </c>
      <c r="L7" s="41">
        <v>290</v>
      </c>
      <c r="M7" s="41">
        <v>290</v>
      </c>
      <c r="N7" s="41">
        <v>290</v>
      </c>
      <c r="O7" s="41">
        <v>290</v>
      </c>
      <c r="P7" s="41">
        <v>100</v>
      </c>
      <c r="Q7" s="41">
        <v>290</v>
      </c>
      <c r="R7" s="41">
        <v>290</v>
      </c>
      <c r="S7" s="41">
        <v>290</v>
      </c>
      <c r="T7" s="41">
        <v>168</v>
      </c>
      <c r="U7" s="41" t="s">
        <v>15</v>
      </c>
      <c r="V7" s="41">
        <v>100</v>
      </c>
      <c r="W7" s="41">
        <v>150</v>
      </c>
      <c r="X7" s="41">
        <v>190</v>
      </c>
      <c r="Y7" s="41">
        <v>190</v>
      </c>
      <c r="Z7" s="41">
        <v>200</v>
      </c>
      <c r="AA7" s="41">
        <v>200</v>
      </c>
      <c r="AB7" s="41">
        <v>150</v>
      </c>
      <c r="AC7" s="41">
        <v>230</v>
      </c>
    </row>
    <row r="8" spans="1:29" x14ac:dyDescent="0.25">
      <c r="B8" s="111" t="s">
        <v>2</v>
      </c>
      <c r="C8" s="111"/>
      <c r="D8" s="111"/>
      <c r="E8" s="41">
        <f>E4/E10</f>
        <v>18.2</v>
      </c>
      <c r="F8" s="41">
        <f>F5/F10</f>
        <v>0</v>
      </c>
      <c r="G8" s="41">
        <f t="shared" ref="G8:T8" si="0">G5/G10</f>
        <v>15</v>
      </c>
      <c r="H8" s="41">
        <f t="shared" si="0"/>
        <v>25</v>
      </c>
      <c r="I8" s="41">
        <f t="shared" si="0"/>
        <v>25</v>
      </c>
      <c r="J8" s="41">
        <f t="shared" si="0"/>
        <v>20</v>
      </c>
      <c r="K8" s="41">
        <f t="shared" si="0"/>
        <v>28</v>
      </c>
      <c r="L8" s="41">
        <f t="shared" si="0"/>
        <v>28</v>
      </c>
      <c r="M8" s="41">
        <f t="shared" si="0"/>
        <v>29.473684210526315</v>
      </c>
      <c r="N8" s="41">
        <f t="shared" si="0"/>
        <v>29.473684210526315</v>
      </c>
      <c r="O8" s="41">
        <f t="shared" si="0"/>
        <v>28</v>
      </c>
      <c r="P8" s="41">
        <f t="shared" si="0"/>
        <v>20</v>
      </c>
      <c r="Q8" s="41">
        <f t="shared" si="0"/>
        <v>28</v>
      </c>
      <c r="R8" s="41">
        <f t="shared" si="0"/>
        <v>28</v>
      </c>
      <c r="S8" s="41">
        <f t="shared" si="0"/>
        <v>28</v>
      </c>
      <c r="T8" s="41">
        <f t="shared" si="0"/>
        <v>16.8</v>
      </c>
      <c r="U8" s="41">
        <f>U6/U10</f>
        <v>0</v>
      </c>
      <c r="V8" s="41">
        <f t="shared" ref="V8:AC8" si="1">V6/V10</f>
        <v>14.285714285714286</v>
      </c>
      <c r="W8" s="41">
        <f t="shared" si="1"/>
        <v>16.666666666666668</v>
      </c>
      <c r="X8" s="41">
        <f t="shared" si="1"/>
        <v>21.111111111111111</v>
      </c>
      <c r="Y8" s="41">
        <f t="shared" si="1"/>
        <v>21.111111111111111</v>
      </c>
      <c r="Z8" s="41">
        <f t="shared" si="1"/>
        <v>22.222222222222221</v>
      </c>
      <c r="AA8" s="41">
        <f t="shared" si="1"/>
        <v>22.222222222222221</v>
      </c>
      <c r="AB8" s="41">
        <f t="shared" si="1"/>
        <v>21.428571428571427</v>
      </c>
      <c r="AC8" s="41">
        <f t="shared" si="1"/>
        <v>25.555555555555557</v>
      </c>
    </row>
    <row r="9" spans="1:29" x14ac:dyDescent="0.25">
      <c r="B9" s="111" t="s">
        <v>4</v>
      </c>
      <c r="C9" s="111"/>
      <c r="D9" s="111"/>
      <c r="E9" s="41">
        <v>182</v>
      </c>
      <c r="F9" s="41">
        <v>214</v>
      </c>
      <c r="G9" s="41">
        <v>214</v>
      </c>
      <c r="H9" s="41">
        <v>214</v>
      </c>
      <c r="I9" s="41">
        <v>214</v>
      </c>
      <c r="J9" s="41">
        <v>214</v>
      </c>
      <c r="K9" s="41">
        <v>214</v>
      </c>
      <c r="L9" s="41">
        <v>214</v>
      </c>
      <c r="M9" s="41">
        <v>214</v>
      </c>
      <c r="N9" s="41">
        <v>214</v>
      </c>
      <c r="O9" s="41">
        <v>214</v>
      </c>
      <c r="P9" s="41">
        <v>214</v>
      </c>
      <c r="Q9" s="41">
        <v>214</v>
      </c>
      <c r="R9" s="41">
        <v>214</v>
      </c>
      <c r="S9" s="41">
        <v>214</v>
      </c>
      <c r="T9" s="41">
        <v>214</v>
      </c>
      <c r="U9" s="41">
        <v>157</v>
      </c>
      <c r="V9" s="41">
        <v>157</v>
      </c>
      <c r="W9" s="41">
        <v>157</v>
      </c>
      <c r="X9" s="41">
        <v>157</v>
      </c>
      <c r="Y9" s="41">
        <v>157</v>
      </c>
      <c r="Z9" s="41">
        <v>157</v>
      </c>
      <c r="AA9" s="41">
        <v>157</v>
      </c>
      <c r="AB9" s="41">
        <v>157</v>
      </c>
      <c r="AC9" s="41">
        <v>157</v>
      </c>
    </row>
    <row r="10" spans="1:29" x14ac:dyDescent="0.25">
      <c r="B10" s="111" t="s">
        <v>3</v>
      </c>
      <c r="C10" s="111"/>
      <c r="D10" s="111"/>
      <c r="E10" s="41">
        <v>10</v>
      </c>
      <c r="F10" s="41">
        <v>10</v>
      </c>
      <c r="G10" s="41">
        <v>10</v>
      </c>
      <c r="H10" s="41">
        <v>8</v>
      </c>
      <c r="I10" s="41">
        <v>10</v>
      </c>
      <c r="J10" s="41">
        <v>5</v>
      </c>
      <c r="K10" s="41">
        <v>10</v>
      </c>
      <c r="L10" s="41">
        <v>10</v>
      </c>
      <c r="M10" s="41">
        <v>9.5</v>
      </c>
      <c r="N10" s="41">
        <v>9.5</v>
      </c>
      <c r="O10" s="41">
        <v>10</v>
      </c>
      <c r="P10" s="41">
        <v>5</v>
      </c>
      <c r="Q10" s="41">
        <v>10</v>
      </c>
      <c r="R10" s="41">
        <v>10</v>
      </c>
      <c r="S10" s="41">
        <v>10</v>
      </c>
      <c r="T10" s="41">
        <v>10</v>
      </c>
      <c r="U10" s="41">
        <v>10</v>
      </c>
      <c r="V10" s="41">
        <v>7</v>
      </c>
      <c r="W10" s="41">
        <v>9</v>
      </c>
      <c r="X10" s="41">
        <v>9</v>
      </c>
      <c r="Y10" s="41">
        <v>9</v>
      </c>
      <c r="Z10" s="41">
        <v>9</v>
      </c>
      <c r="AA10" s="41">
        <v>9</v>
      </c>
      <c r="AB10" s="41">
        <v>7</v>
      </c>
      <c r="AC10" s="41">
        <v>9</v>
      </c>
    </row>
    <row r="27" spans="1:29" x14ac:dyDescent="0.25">
      <c r="A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</row>
    <row r="28" spans="1:29" x14ac:dyDescent="0.25">
      <c r="B28" s="42"/>
      <c r="C28" s="42"/>
      <c r="D28" s="42"/>
    </row>
    <row r="29" spans="1:29" x14ac:dyDescent="0.25">
      <c r="B29" s="42"/>
      <c r="C29" s="42"/>
      <c r="D29" s="42"/>
    </row>
    <row r="30" spans="1:29" x14ac:dyDescent="0.25">
      <c r="B30" s="42"/>
      <c r="C30" s="42"/>
      <c r="D30" s="42"/>
    </row>
    <row r="31" spans="1:29" x14ac:dyDescent="0.25">
      <c r="B31" s="42"/>
      <c r="C31" s="42"/>
      <c r="D31" s="42"/>
    </row>
    <row r="32" spans="1:29" x14ac:dyDescent="0.25">
      <c r="B32" s="42"/>
      <c r="C32" s="42"/>
      <c r="D32" s="42"/>
    </row>
    <row r="33" spans="1:28" x14ac:dyDescent="0.25">
      <c r="B33" s="42"/>
      <c r="C33" s="42"/>
      <c r="D33" s="42"/>
    </row>
    <row r="34" spans="1:28" x14ac:dyDescent="0.25">
      <c r="B34" s="42"/>
      <c r="C34" s="42"/>
      <c r="D34" s="42"/>
    </row>
    <row r="36" spans="1:28" x14ac:dyDescent="0.25">
      <c r="A36" s="42" t="s">
        <v>61</v>
      </c>
      <c r="B36" s="39"/>
      <c r="C36" s="39"/>
      <c r="D36" s="39"/>
      <c r="E36" s="39">
        <v>2</v>
      </c>
      <c r="F36" s="39">
        <v>3</v>
      </c>
      <c r="G36" s="39">
        <v>4</v>
      </c>
      <c r="H36" s="39">
        <v>5</v>
      </c>
      <c r="I36" s="39">
        <v>7</v>
      </c>
      <c r="J36" s="39">
        <v>8</v>
      </c>
      <c r="K36" s="39">
        <v>9</v>
      </c>
      <c r="L36" s="39">
        <v>10</v>
      </c>
      <c r="M36" s="39">
        <v>11</v>
      </c>
      <c r="N36" s="39">
        <v>12</v>
      </c>
      <c r="O36" s="39">
        <v>14</v>
      </c>
      <c r="P36" s="39">
        <v>15</v>
      </c>
      <c r="Q36" s="39">
        <v>16</v>
      </c>
      <c r="R36" s="39">
        <v>17</v>
      </c>
      <c r="S36" s="39">
        <v>18</v>
      </c>
      <c r="T36" s="39">
        <v>19</v>
      </c>
      <c r="U36" s="39">
        <v>21</v>
      </c>
      <c r="V36" s="39">
        <v>22</v>
      </c>
      <c r="W36" s="39">
        <v>23</v>
      </c>
      <c r="X36" s="39">
        <v>24</v>
      </c>
      <c r="Y36" s="39">
        <v>25</v>
      </c>
      <c r="Z36" s="39">
        <v>26</v>
      </c>
      <c r="AA36" s="39">
        <v>28</v>
      </c>
      <c r="AB36" s="42"/>
    </row>
    <row r="37" spans="1:28" x14ac:dyDescent="0.25">
      <c r="B37" s="39" t="s">
        <v>11</v>
      </c>
      <c r="C37" s="39" t="s">
        <v>12</v>
      </c>
      <c r="D37" s="39" t="s">
        <v>35</v>
      </c>
      <c r="E37" s="2">
        <v>230</v>
      </c>
      <c r="F37" s="2">
        <v>230</v>
      </c>
      <c r="G37" s="2">
        <v>181</v>
      </c>
      <c r="H37" s="2">
        <v>1</v>
      </c>
      <c r="I37" s="2"/>
      <c r="J37" s="2"/>
      <c r="K37" s="2"/>
      <c r="L37" s="2"/>
      <c r="M37" s="2"/>
      <c r="N37" s="2"/>
      <c r="O37" s="2"/>
      <c r="P37" s="2">
        <v>7</v>
      </c>
      <c r="Q37" s="2"/>
      <c r="R37" s="2"/>
      <c r="S37" s="2"/>
      <c r="T37" s="2"/>
      <c r="U37" s="2"/>
      <c r="V37" s="2"/>
      <c r="W37" s="2"/>
      <c r="X37" s="2"/>
      <c r="Y37" s="2"/>
      <c r="Z37" s="2"/>
      <c r="AA37" s="55"/>
    </row>
    <row r="38" spans="1:28" x14ac:dyDescent="0.25">
      <c r="B38" s="39" t="s">
        <v>11</v>
      </c>
      <c r="C38" s="39" t="s">
        <v>42</v>
      </c>
      <c r="D38" s="39" t="s">
        <v>45</v>
      </c>
      <c r="E38" s="2"/>
      <c r="F38" s="2"/>
      <c r="G38" s="2">
        <v>49</v>
      </c>
      <c r="H38" s="2">
        <v>149</v>
      </c>
      <c r="I38" s="2">
        <v>240</v>
      </c>
      <c r="J38" s="2">
        <v>245</v>
      </c>
      <c r="K38" s="2">
        <v>250</v>
      </c>
      <c r="L38" s="2">
        <v>255</v>
      </c>
      <c r="M38" s="2">
        <v>255</v>
      </c>
      <c r="N38" s="2">
        <v>150</v>
      </c>
      <c r="O38" s="2">
        <v>255</v>
      </c>
      <c r="P38" s="2">
        <v>248</v>
      </c>
      <c r="Q38" s="2">
        <v>215</v>
      </c>
      <c r="R38" s="2">
        <v>190</v>
      </c>
      <c r="S38" s="2"/>
      <c r="T38" s="2"/>
      <c r="U38" s="2"/>
      <c r="V38" s="2"/>
      <c r="W38" s="2"/>
      <c r="X38" s="2"/>
      <c r="Y38" s="2"/>
      <c r="Z38" s="2"/>
      <c r="AA38" s="55"/>
    </row>
    <row r="39" spans="1:28" x14ac:dyDescent="0.25">
      <c r="B39" s="39" t="s">
        <v>46</v>
      </c>
      <c r="C39" s="39" t="s">
        <v>43</v>
      </c>
      <c r="D39" s="39" t="s">
        <v>91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>
        <v>0</v>
      </c>
      <c r="T39" s="2">
        <v>0</v>
      </c>
      <c r="U39" s="2">
        <v>300</v>
      </c>
      <c r="V39" s="2">
        <v>330</v>
      </c>
      <c r="W39" s="2">
        <v>360</v>
      </c>
      <c r="X39" s="2">
        <v>280</v>
      </c>
      <c r="Y39" s="2">
        <v>340</v>
      </c>
      <c r="Z39" s="2">
        <v>210</v>
      </c>
      <c r="AA39" s="55">
        <v>260</v>
      </c>
    </row>
    <row r="40" spans="1:28" x14ac:dyDescent="0.25">
      <c r="B40" s="111" t="s">
        <v>1</v>
      </c>
      <c r="C40" s="111"/>
      <c r="D40" s="111"/>
      <c r="E40" s="41">
        <v>230</v>
      </c>
      <c r="F40" s="41">
        <v>230</v>
      </c>
      <c r="G40" s="41">
        <v>230</v>
      </c>
      <c r="H40" s="41">
        <v>150</v>
      </c>
      <c r="I40" s="41">
        <v>240</v>
      </c>
      <c r="J40" s="41">
        <v>245</v>
      </c>
      <c r="K40" s="41">
        <v>250</v>
      </c>
      <c r="L40" s="41">
        <v>255</v>
      </c>
      <c r="M40" s="41">
        <v>255</v>
      </c>
      <c r="N40" s="41">
        <v>150</v>
      </c>
      <c r="O40" s="41">
        <v>255</v>
      </c>
      <c r="P40" s="41">
        <v>255</v>
      </c>
      <c r="Q40" s="41">
        <v>255</v>
      </c>
      <c r="R40" s="41">
        <v>190</v>
      </c>
      <c r="S40" s="41">
        <v>0</v>
      </c>
      <c r="T40" s="41">
        <v>0</v>
      </c>
      <c r="U40" s="41">
        <v>300</v>
      </c>
      <c r="V40" s="41">
        <v>330</v>
      </c>
      <c r="W40" s="41">
        <v>360</v>
      </c>
      <c r="X40" s="41">
        <v>280</v>
      </c>
      <c r="Y40" s="41">
        <v>400</v>
      </c>
      <c r="Z40" s="41">
        <v>300</v>
      </c>
      <c r="AA40" s="47">
        <v>350</v>
      </c>
    </row>
    <row r="41" spans="1:28" x14ac:dyDescent="0.25">
      <c r="B41" s="111" t="s">
        <v>2</v>
      </c>
      <c r="C41" s="111"/>
      <c r="D41" s="111"/>
      <c r="E41" s="41">
        <f>E37/E43</f>
        <v>24.210526315789473</v>
      </c>
      <c r="F41" s="41">
        <f>F37/F43</f>
        <v>25.555555555555557</v>
      </c>
      <c r="G41" s="41">
        <f>G37/G43</f>
        <v>19.05263157894737</v>
      </c>
      <c r="H41" s="41">
        <f>H38/H43</f>
        <v>21.285714285714285</v>
      </c>
      <c r="I41" s="41">
        <f t="shared" ref="I41:R41" si="2">I38/I43</f>
        <v>26.666666666666668</v>
      </c>
      <c r="J41" s="41">
        <f t="shared" si="2"/>
        <v>27.222222222222221</v>
      </c>
      <c r="K41" s="41">
        <f t="shared" si="2"/>
        <v>27.777777777777779</v>
      </c>
      <c r="L41" s="41">
        <f t="shared" si="2"/>
        <v>28.333333333333332</v>
      </c>
      <c r="M41" s="41">
        <f t="shared" si="2"/>
        <v>28.333333333333332</v>
      </c>
      <c r="N41" s="41">
        <f t="shared" si="2"/>
        <v>21.428571428571427</v>
      </c>
      <c r="O41" s="41">
        <f t="shared" si="2"/>
        <v>28.333333333333332</v>
      </c>
      <c r="P41" s="41">
        <f t="shared" si="2"/>
        <v>27.555555555555557</v>
      </c>
      <c r="Q41" s="41">
        <f t="shared" si="2"/>
        <v>28.666666666666668</v>
      </c>
      <c r="R41" s="41">
        <f t="shared" si="2"/>
        <v>27.142857142857142</v>
      </c>
      <c r="S41" s="41">
        <f>S40/S43</f>
        <v>0</v>
      </c>
      <c r="T41" s="41">
        <f t="shared" ref="T41:AA41" si="3">T40/T43</f>
        <v>0</v>
      </c>
      <c r="U41" s="41">
        <f t="shared" si="3"/>
        <v>42.857142857142854</v>
      </c>
      <c r="V41" s="41">
        <f t="shared" si="3"/>
        <v>47.142857142857146</v>
      </c>
      <c r="W41" s="41">
        <f t="shared" si="3"/>
        <v>36</v>
      </c>
      <c r="X41" s="41">
        <f t="shared" si="3"/>
        <v>40</v>
      </c>
      <c r="Y41" s="41">
        <f t="shared" si="3"/>
        <v>40</v>
      </c>
      <c r="Z41" s="41">
        <f t="shared" si="3"/>
        <v>37.5</v>
      </c>
      <c r="AA41" s="41">
        <f t="shared" si="3"/>
        <v>41.176470588235297</v>
      </c>
    </row>
    <row r="42" spans="1:28" x14ac:dyDescent="0.25">
      <c r="B42" s="111" t="s">
        <v>4</v>
      </c>
      <c r="C42" s="111"/>
      <c r="D42" s="111"/>
      <c r="E42" s="41">
        <v>214</v>
      </c>
      <c r="F42" s="41">
        <v>214</v>
      </c>
      <c r="G42" s="41">
        <v>214</v>
      </c>
      <c r="H42" s="41">
        <v>223</v>
      </c>
      <c r="I42" s="41">
        <v>223</v>
      </c>
      <c r="J42" s="41">
        <v>223</v>
      </c>
      <c r="K42" s="41">
        <v>223</v>
      </c>
      <c r="L42" s="41">
        <v>223</v>
      </c>
      <c r="M42" s="41">
        <v>223</v>
      </c>
      <c r="N42" s="41">
        <v>223</v>
      </c>
      <c r="O42" s="41">
        <v>223</v>
      </c>
      <c r="P42" s="41">
        <v>223</v>
      </c>
      <c r="Q42" s="41">
        <v>223</v>
      </c>
      <c r="R42" s="41">
        <v>223</v>
      </c>
      <c r="S42" s="41">
        <v>231</v>
      </c>
      <c r="T42" s="41">
        <v>231</v>
      </c>
      <c r="U42" s="41">
        <v>231</v>
      </c>
      <c r="V42" s="41">
        <v>231</v>
      </c>
      <c r="W42" s="41">
        <v>231</v>
      </c>
      <c r="X42" s="41">
        <v>231</v>
      </c>
      <c r="Y42" s="41">
        <v>231</v>
      </c>
      <c r="Z42" s="41">
        <v>231</v>
      </c>
      <c r="AA42" s="41">
        <v>231</v>
      </c>
    </row>
    <row r="43" spans="1:28" x14ac:dyDescent="0.25">
      <c r="B43" s="111" t="s">
        <v>3</v>
      </c>
      <c r="C43" s="111"/>
      <c r="D43" s="111"/>
      <c r="E43" s="41">
        <v>9.5</v>
      </c>
      <c r="F43" s="41">
        <v>9</v>
      </c>
      <c r="G43" s="41">
        <v>9.5</v>
      </c>
      <c r="H43" s="41">
        <v>7</v>
      </c>
      <c r="I43" s="41">
        <v>9</v>
      </c>
      <c r="J43" s="41">
        <v>9</v>
      </c>
      <c r="K43" s="41">
        <v>9</v>
      </c>
      <c r="L43" s="41">
        <v>9</v>
      </c>
      <c r="M43" s="41">
        <v>9</v>
      </c>
      <c r="N43" s="41">
        <v>7</v>
      </c>
      <c r="O43" s="41">
        <v>9</v>
      </c>
      <c r="P43" s="41">
        <v>9</v>
      </c>
      <c r="Q43" s="41">
        <v>7.5</v>
      </c>
      <c r="R43" s="41">
        <v>7</v>
      </c>
      <c r="S43" s="41">
        <v>7</v>
      </c>
      <c r="T43" s="41">
        <v>7</v>
      </c>
      <c r="U43" s="41">
        <v>7</v>
      </c>
      <c r="V43" s="41">
        <v>7</v>
      </c>
      <c r="W43" s="41">
        <v>10</v>
      </c>
      <c r="X43" s="41">
        <v>7</v>
      </c>
      <c r="Y43" s="41">
        <v>10</v>
      </c>
      <c r="Z43" s="41">
        <v>8</v>
      </c>
      <c r="AA43" s="47">
        <v>8.5</v>
      </c>
    </row>
    <row r="69" spans="1:32" x14ac:dyDescent="0.25">
      <c r="A69" s="42" t="s">
        <v>62</v>
      </c>
      <c r="B69" s="25"/>
      <c r="C69" s="25"/>
      <c r="D69" s="25"/>
      <c r="E69" s="39">
        <v>1</v>
      </c>
      <c r="F69" s="39">
        <v>2</v>
      </c>
      <c r="G69" s="39">
        <v>3</v>
      </c>
      <c r="H69" s="39">
        <v>4</v>
      </c>
      <c r="I69" s="39">
        <v>5</v>
      </c>
      <c r="J69" s="39">
        <v>7</v>
      </c>
      <c r="K69" s="39">
        <v>8</v>
      </c>
      <c r="L69" s="39">
        <v>9</v>
      </c>
      <c r="M69" s="39">
        <v>10</v>
      </c>
      <c r="N69" s="39">
        <v>11</v>
      </c>
      <c r="O69" s="39">
        <v>12</v>
      </c>
      <c r="P69" s="39">
        <v>14</v>
      </c>
      <c r="Q69" s="39">
        <v>15</v>
      </c>
      <c r="R69" s="39">
        <v>16</v>
      </c>
      <c r="S69" s="39">
        <v>17</v>
      </c>
      <c r="T69" s="39">
        <v>18</v>
      </c>
      <c r="U69" s="39">
        <v>19</v>
      </c>
      <c r="V69" s="39">
        <v>21</v>
      </c>
      <c r="W69" s="39">
        <v>22</v>
      </c>
      <c r="X69" s="39">
        <v>23</v>
      </c>
      <c r="Y69" s="39">
        <v>24</v>
      </c>
      <c r="Z69" s="39">
        <v>25</v>
      </c>
      <c r="AA69" s="39">
        <v>26</v>
      </c>
      <c r="AB69" s="39">
        <v>27</v>
      </c>
      <c r="AC69" s="39">
        <v>28</v>
      </c>
      <c r="AD69" s="39">
        <v>29</v>
      </c>
      <c r="AE69" s="39">
        <v>30</v>
      </c>
      <c r="AF69" s="39">
        <v>31</v>
      </c>
    </row>
    <row r="70" spans="1:32" x14ac:dyDescent="0.25">
      <c r="B70" s="39" t="s">
        <v>46</v>
      </c>
      <c r="C70" s="39" t="s">
        <v>43</v>
      </c>
      <c r="D70" s="39" t="s">
        <v>91</v>
      </c>
      <c r="E70" s="2">
        <v>465</v>
      </c>
      <c r="F70" s="2">
        <v>450</v>
      </c>
      <c r="G70" s="2">
        <v>360</v>
      </c>
      <c r="H70" s="2">
        <v>400</v>
      </c>
      <c r="I70" s="2">
        <v>350</v>
      </c>
      <c r="J70" s="2">
        <v>430</v>
      </c>
      <c r="K70" s="2">
        <v>430</v>
      </c>
      <c r="L70" s="2">
        <v>410</v>
      </c>
      <c r="M70" s="2">
        <v>350</v>
      </c>
      <c r="N70" s="2">
        <v>470</v>
      </c>
      <c r="O70" s="2">
        <v>350</v>
      </c>
      <c r="P70" s="2">
        <v>470</v>
      </c>
      <c r="Q70" s="2">
        <v>470</v>
      </c>
      <c r="R70" s="2">
        <v>430</v>
      </c>
      <c r="S70" s="2">
        <v>430</v>
      </c>
      <c r="T70" s="2">
        <v>420</v>
      </c>
      <c r="U70" s="2">
        <v>350</v>
      </c>
      <c r="V70" s="2">
        <v>425</v>
      </c>
      <c r="W70" s="2">
        <v>470</v>
      </c>
      <c r="X70" s="2">
        <v>470</v>
      </c>
      <c r="Y70" s="2">
        <v>470</v>
      </c>
      <c r="Z70" s="2">
        <v>470</v>
      </c>
      <c r="AA70" s="2">
        <v>300</v>
      </c>
      <c r="AB70" s="2">
        <v>300</v>
      </c>
      <c r="AC70" s="2">
        <v>400</v>
      </c>
      <c r="AD70" s="47">
        <v>450</v>
      </c>
      <c r="AE70" s="47">
        <v>470</v>
      </c>
      <c r="AF70" s="47">
        <v>460</v>
      </c>
    </row>
    <row r="71" spans="1:32" x14ac:dyDescent="0.25">
      <c r="B71" s="111" t="s">
        <v>1</v>
      </c>
      <c r="C71" s="111"/>
      <c r="D71" s="111"/>
      <c r="E71" s="41">
        <v>500</v>
      </c>
      <c r="F71" s="41">
        <v>500</v>
      </c>
      <c r="G71" s="41">
        <v>450</v>
      </c>
      <c r="H71" s="41">
        <v>500</v>
      </c>
      <c r="I71" s="41">
        <v>350</v>
      </c>
      <c r="J71" s="41">
        <v>500</v>
      </c>
      <c r="K71" s="41">
        <v>500</v>
      </c>
      <c r="L71" s="41">
        <v>500</v>
      </c>
      <c r="M71" s="41">
        <v>450</v>
      </c>
      <c r="N71" s="41">
        <v>470</v>
      </c>
      <c r="O71" s="41">
        <v>350</v>
      </c>
      <c r="P71" s="41">
        <v>470</v>
      </c>
      <c r="Q71" s="41">
        <v>470</v>
      </c>
      <c r="R71" s="41">
        <v>470</v>
      </c>
      <c r="S71" s="41">
        <v>470</v>
      </c>
      <c r="T71" s="41">
        <v>470</v>
      </c>
      <c r="U71" s="41">
        <v>350</v>
      </c>
      <c r="V71" s="41">
        <v>470</v>
      </c>
      <c r="W71" s="41">
        <v>470</v>
      </c>
      <c r="X71" s="41">
        <v>470</v>
      </c>
      <c r="Y71" s="41">
        <v>470</v>
      </c>
      <c r="Z71" s="41">
        <v>470</v>
      </c>
      <c r="AA71" s="41">
        <v>300</v>
      </c>
      <c r="AB71" s="41">
        <v>300</v>
      </c>
      <c r="AC71" s="41">
        <v>470</v>
      </c>
      <c r="AD71" s="47">
        <v>470</v>
      </c>
      <c r="AE71" s="47">
        <v>470</v>
      </c>
      <c r="AF71" s="47">
        <v>470</v>
      </c>
    </row>
    <row r="72" spans="1:32" x14ac:dyDescent="0.25">
      <c r="B72" s="111" t="s">
        <v>2</v>
      </c>
      <c r="C72" s="111"/>
      <c r="D72" s="111"/>
      <c r="E72" s="41">
        <f>E70/E74</f>
        <v>46.5</v>
      </c>
      <c r="F72" s="41">
        <f t="shared" ref="F72:AF72" si="4">F70/F74</f>
        <v>45</v>
      </c>
      <c r="G72" s="41">
        <f t="shared" si="4"/>
        <v>40</v>
      </c>
      <c r="H72" s="41">
        <f t="shared" si="4"/>
        <v>40</v>
      </c>
      <c r="I72" s="41">
        <f t="shared" si="4"/>
        <v>43.75</v>
      </c>
      <c r="J72" s="41">
        <f t="shared" si="4"/>
        <v>43</v>
      </c>
      <c r="K72" s="41">
        <f t="shared" si="4"/>
        <v>43</v>
      </c>
      <c r="L72" s="41">
        <f t="shared" si="4"/>
        <v>41</v>
      </c>
      <c r="M72" s="41">
        <f t="shared" si="4"/>
        <v>35</v>
      </c>
      <c r="N72" s="41">
        <f t="shared" si="4"/>
        <v>42.727272727272727</v>
      </c>
      <c r="O72" s="41">
        <f t="shared" si="4"/>
        <v>43.75</v>
      </c>
      <c r="P72" s="41">
        <f t="shared" si="4"/>
        <v>47</v>
      </c>
      <c r="Q72" s="41">
        <f t="shared" si="4"/>
        <v>47</v>
      </c>
      <c r="R72" s="41">
        <f t="shared" si="4"/>
        <v>43</v>
      </c>
      <c r="S72" s="41">
        <f t="shared" si="4"/>
        <v>43</v>
      </c>
      <c r="T72" s="41">
        <f t="shared" si="4"/>
        <v>42</v>
      </c>
      <c r="U72" s="41">
        <f t="shared" si="4"/>
        <v>50</v>
      </c>
      <c r="V72" s="41">
        <f t="shared" si="4"/>
        <v>42.5</v>
      </c>
      <c r="W72" s="41">
        <f t="shared" si="4"/>
        <v>42.727272727272727</v>
      </c>
      <c r="X72" s="41">
        <f t="shared" si="4"/>
        <v>42.727272727272727</v>
      </c>
      <c r="Y72" s="41">
        <f t="shared" si="4"/>
        <v>42.727272727272727</v>
      </c>
      <c r="Z72" s="41">
        <f t="shared" si="4"/>
        <v>42.727272727272727</v>
      </c>
      <c r="AA72" s="41">
        <f t="shared" si="4"/>
        <v>42.857142857142854</v>
      </c>
      <c r="AB72" s="41">
        <f t="shared" si="4"/>
        <v>42.857142857142854</v>
      </c>
      <c r="AC72" s="41">
        <f t="shared" si="4"/>
        <v>33.333333333333336</v>
      </c>
      <c r="AD72" s="41">
        <f t="shared" si="4"/>
        <v>37.5</v>
      </c>
      <c r="AE72" s="41">
        <f t="shared" si="4"/>
        <v>39.166666666666664</v>
      </c>
      <c r="AF72" s="41">
        <f t="shared" si="4"/>
        <v>38.333333333333336</v>
      </c>
    </row>
    <row r="73" spans="1:32" x14ac:dyDescent="0.25">
      <c r="B73" s="111" t="s">
        <v>4</v>
      </c>
      <c r="C73" s="111"/>
      <c r="D73" s="111"/>
      <c r="E73" s="41">
        <v>419</v>
      </c>
      <c r="F73" s="41">
        <v>419</v>
      </c>
      <c r="G73" s="41">
        <v>419</v>
      </c>
      <c r="H73" s="41">
        <v>419</v>
      </c>
      <c r="I73" s="41">
        <v>419</v>
      </c>
      <c r="J73" s="41">
        <v>419</v>
      </c>
      <c r="K73" s="41">
        <v>419</v>
      </c>
      <c r="L73" s="41">
        <v>419</v>
      </c>
      <c r="M73" s="41">
        <v>419</v>
      </c>
      <c r="N73" s="41">
        <v>419</v>
      </c>
      <c r="O73" s="41">
        <v>419</v>
      </c>
      <c r="P73" s="41">
        <v>419</v>
      </c>
      <c r="Q73" s="41">
        <v>419</v>
      </c>
      <c r="R73" s="41">
        <v>419</v>
      </c>
      <c r="S73" s="41">
        <v>419</v>
      </c>
      <c r="T73" s="41">
        <v>419</v>
      </c>
      <c r="U73" s="41">
        <v>419</v>
      </c>
      <c r="V73" s="41">
        <v>419</v>
      </c>
      <c r="W73" s="41">
        <v>419</v>
      </c>
      <c r="X73" s="41">
        <v>419</v>
      </c>
      <c r="Y73" s="41">
        <v>419</v>
      </c>
      <c r="Z73" s="41">
        <v>419</v>
      </c>
      <c r="AA73" s="41">
        <v>419</v>
      </c>
      <c r="AB73" s="41">
        <v>419</v>
      </c>
      <c r="AC73" s="41">
        <v>419</v>
      </c>
      <c r="AD73" s="41">
        <v>419</v>
      </c>
      <c r="AE73" s="41">
        <v>419</v>
      </c>
      <c r="AF73" s="41">
        <v>419</v>
      </c>
    </row>
    <row r="74" spans="1:32" x14ac:dyDescent="0.25">
      <c r="B74" s="111" t="s">
        <v>3</v>
      </c>
      <c r="C74" s="111"/>
      <c r="D74" s="111"/>
      <c r="E74" s="41">
        <v>10</v>
      </c>
      <c r="F74" s="41">
        <v>10</v>
      </c>
      <c r="G74" s="41">
        <v>9</v>
      </c>
      <c r="H74" s="41">
        <v>10</v>
      </c>
      <c r="I74" s="41">
        <v>8</v>
      </c>
      <c r="J74" s="41">
        <v>10</v>
      </c>
      <c r="K74" s="41">
        <v>10</v>
      </c>
      <c r="L74" s="41">
        <v>10</v>
      </c>
      <c r="M74" s="41">
        <v>10</v>
      </c>
      <c r="N74" s="41">
        <v>11</v>
      </c>
      <c r="O74" s="41">
        <v>8</v>
      </c>
      <c r="P74" s="41">
        <v>10</v>
      </c>
      <c r="Q74" s="41">
        <v>10</v>
      </c>
      <c r="R74" s="41">
        <v>10</v>
      </c>
      <c r="S74" s="41">
        <v>10</v>
      </c>
      <c r="T74" s="41">
        <v>10</v>
      </c>
      <c r="U74" s="41">
        <v>7</v>
      </c>
      <c r="V74" s="41">
        <v>10</v>
      </c>
      <c r="W74" s="41">
        <v>11</v>
      </c>
      <c r="X74" s="41">
        <v>11</v>
      </c>
      <c r="Y74" s="41">
        <v>11</v>
      </c>
      <c r="Z74" s="41">
        <v>11</v>
      </c>
      <c r="AA74" s="41">
        <v>7</v>
      </c>
      <c r="AB74" s="41">
        <v>7</v>
      </c>
      <c r="AC74" s="41">
        <v>12</v>
      </c>
      <c r="AD74" s="47">
        <v>12</v>
      </c>
      <c r="AE74" s="47">
        <v>12</v>
      </c>
      <c r="AF74" s="47">
        <v>12</v>
      </c>
    </row>
    <row r="100" spans="1:32" x14ac:dyDescent="0.25">
      <c r="A100" s="42" t="s">
        <v>63</v>
      </c>
      <c r="B100" s="25"/>
      <c r="C100" s="25"/>
      <c r="D100" s="25"/>
      <c r="E100" s="39">
        <v>1</v>
      </c>
      <c r="F100" s="39">
        <v>2</v>
      </c>
      <c r="G100" s="39">
        <v>4</v>
      </c>
      <c r="H100" s="39">
        <v>5</v>
      </c>
      <c r="I100" s="39">
        <v>6</v>
      </c>
      <c r="J100" s="39">
        <v>7</v>
      </c>
      <c r="K100" s="39">
        <v>8</v>
      </c>
      <c r="L100" s="39">
        <v>9</v>
      </c>
      <c r="M100" s="39">
        <v>11</v>
      </c>
      <c r="N100" s="39">
        <v>12</v>
      </c>
      <c r="O100" s="39">
        <v>13</v>
      </c>
      <c r="P100" s="39">
        <v>14</v>
      </c>
      <c r="Q100" s="39">
        <v>15</v>
      </c>
      <c r="R100" s="39">
        <v>16</v>
      </c>
      <c r="S100" s="39">
        <v>18</v>
      </c>
      <c r="T100" s="39">
        <v>19</v>
      </c>
      <c r="U100" s="39">
        <v>20</v>
      </c>
      <c r="V100" s="39">
        <v>21</v>
      </c>
      <c r="W100" s="39">
        <v>22</v>
      </c>
      <c r="X100" s="39">
        <v>23</v>
      </c>
      <c r="Y100" s="39">
        <v>24</v>
      </c>
      <c r="Z100" s="39">
        <v>25</v>
      </c>
      <c r="AA100" s="39">
        <v>26</v>
      </c>
      <c r="AB100" s="39">
        <v>27</v>
      </c>
      <c r="AC100" s="39">
        <v>28</v>
      </c>
      <c r="AD100" s="39">
        <v>29</v>
      </c>
      <c r="AE100" s="39">
        <v>30</v>
      </c>
      <c r="AF100" s="42"/>
    </row>
    <row r="101" spans="1:32" x14ac:dyDescent="0.25">
      <c r="B101" s="39" t="s">
        <v>46</v>
      </c>
      <c r="C101" s="39" t="s">
        <v>43</v>
      </c>
      <c r="D101" s="39" t="s">
        <v>91</v>
      </c>
      <c r="E101" s="2">
        <v>470</v>
      </c>
      <c r="F101" s="2">
        <v>268</v>
      </c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47"/>
      <c r="AE101" s="25"/>
    </row>
    <row r="102" spans="1:32" x14ac:dyDescent="0.25">
      <c r="B102" s="39" t="s">
        <v>98</v>
      </c>
      <c r="C102" s="39" t="s">
        <v>52</v>
      </c>
      <c r="D102" s="39" t="s">
        <v>58</v>
      </c>
      <c r="E102" s="2"/>
      <c r="F102" s="2"/>
      <c r="G102" s="2">
        <v>1375</v>
      </c>
      <c r="H102" s="2">
        <v>2050</v>
      </c>
      <c r="I102" s="2">
        <v>2050</v>
      </c>
      <c r="J102" s="2">
        <v>2050</v>
      </c>
      <c r="K102" s="2">
        <v>2100</v>
      </c>
      <c r="L102" s="2">
        <v>1650</v>
      </c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47"/>
      <c r="AE102" s="25"/>
    </row>
    <row r="103" spans="1:32" x14ac:dyDescent="0.25">
      <c r="B103" s="39" t="s">
        <v>47</v>
      </c>
      <c r="C103" s="39" t="s">
        <v>49</v>
      </c>
      <c r="D103" s="39" t="s">
        <v>54</v>
      </c>
      <c r="E103" s="2"/>
      <c r="F103" s="2"/>
      <c r="G103" s="2"/>
      <c r="H103" s="2"/>
      <c r="I103" s="2"/>
      <c r="J103" s="2"/>
      <c r="K103" s="2"/>
      <c r="L103" s="2"/>
      <c r="M103" s="2">
        <v>1250</v>
      </c>
      <c r="N103" s="2">
        <v>1300</v>
      </c>
      <c r="O103" s="2">
        <v>1500</v>
      </c>
      <c r="P103" s="2">
        <v>1500</v>
      </c>
      <c r="Q103" s="2">
        <v>412</v>
      </c>
      <c r="R103" s="2"/>
      <c r="S103" s="2"/>
      <c r="T103" s="2"/>
      <c r="U103" s="2"/>
      <c r="V103" s="2"/>
      <c r="W103" s="2"/>
      <c r="X103" s="2">
        <v>39</v>
      </c>
      <c r="Y103" s="2"/>
      <c r="Z103" s="2"/>
      <c r="AA103" s="2"/>
      <c r="AB103" s="2"/>
      <c r="AC103" s="2"/>
      <c r="AD103" s="47"/>
      <c r="AE103" s="25"/>
    </row>
    <row r="104" spans="1:32" x14ac:dyDescent="0.25">
      <c r="B104" s="39" t="s">
        <v>47</v>
      </c>
      <c r="C104" s="39" t="s">
        <v>48</v>
      </c>
      <c r="D104" s="39" t="s">
        <v>54</v>
      </c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>
        <v>474</v>
      </c>
      <c r="R104" s="2"/>
      <c r="S104" s="2"/>
      <c r="T104" s="2"/>
      <c r="U104" s="2"/>
      <c r="V104" s="2"/>
      <c r="W104" s="2"/>
      <c r="X104" s="2"/>
      <c r="Y104" s="2">
        <v>75</v>
      </c>
      <c r="Z104" s="2"/>
      <c r="AA104" s="2"/>
      <c r="AB104" s="2"/>
      <c r="AC104" s="2"/>
      <c r="AD104" s="47"/>
      <c r="AE104" s="25"/>
    </row>
    <row r="105" spans="1:32" x14ac:dyDescent="0.25">
      <c r="B105" s="39" t="s">
        <v>47</v>
      </c>
      <c r="C105" s="39" t="s">
        <v>51</v>
      </c>
      <c r="D105" s="39" t="s">
        <v>56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>
        <v>1050</v>
      </c>
      <c r="S105" s="2">
        <v>1300</v>
      </c>
      <c r="T105" s="2">
        <v>1400</v>
      </c>
      <c r="U105" s="2">
        <v>1400</v>
      </c>
      <c r="V105" s="2">
        <v>1300</v>
      </c>
      <c r="W105" s="2">
        <v>1400</v>
      </c>
      <c r="X105" s="2">
        <v>1121</v>
      </c>
      <c r="Y105" s="2">
        <v>1367</v>
      </c>
      <c r="Z105" s="2"/>
      <c r="AA105" s="2"/>
      <c r="AB105" s="2"/>
      <c r="AC105" s="2"/>
      <c r="AD105" s="47"/>
      <c r="AE105" s="25"/>
    </row>
    <row r="106" spans="1:32" x14ac:dyDescent="0.25">
      <c r="B106" s="39" t="s">
        <v>46</v>
      </c>
      <c r="C106" s="39" t="s">
        <v>42</v>
      </c>
      <c r="D106" s="39">
        <v>133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>
        <v>185</v>
      </c>
      <c r="AA106" s="2">
        <v>580</v>
      </c>
      <c r="AB106" s="2"/>
      <c r="AC106" s="2"/>
      <c r="AD106" s="47"/>
      <c r="AE106" s="25"/>
    </row>
    <row r="107" spans="1:32" x14ac:dyDescent="0.25">
      <c r="B107" s="111" t="s">
        <v>1</v>
      </c>
      <c r="C107" s="111"/>
      <c r="D107" s="111"/>
      <c r="E107" s="41">
        <v>470</v>
      </c>
      <c r="F107" s="41">
        <v>271</v>
      </c>
      <c r="G107" s="41">
        <v>2250</v>
      </c>
      <c r="H107" s="41">
        <v>2100</v>
      </c>
      <c r="I107" s="41">
        <v>2100</v>
      </c>
      <c r="J107" s="41">
        <v>2100</v>
      </c>
      <c r="K107" s="41">
        <v>2100</v>
      </c>
      <c r="L107" s="41">
        <v>1650</v>
      </c>
      <c r="M107" s="41">
        <v>1450</v>
      </c>
      <c r="N107" s="41">
        <v>1450</v>
      </c>
      <c r="O107" s="41">
        <v>1500</v>
      </c>
      <c r="P107" s="41">
        <v>1500</v>
      </c>
      <c r="Q107" s="41">
        <v>1500</v>
      </c>
      <c r="R107" s="41">
        <v>1050</v>
      </c>
      <c r="S107" s="41">
        <v>1515</v>
      </c>
      <c r="T107" s="41">
        <v>1750</v>
      </c>
      <c r="U107" s="41">
        <v>1750</v>
      </c>
      <c r="V107" s="41">
        <v>1750</v>
      </c>
      <c r="W107" s="41">
        <v>1750</v>
      </c>
      <c r="X107" s="41">
        <v>1400</v>
      </c>
      <c r="Y107" s="41">
        <v>1442</v>
      </c>
      <c r="Z107" s="41">
        <v>0</v>
      </c>
      <c r="AA107" s="41">
        <v>580</v>
      </c>
      <c r="AB107" s="41"/>
      <c r="AC107" s="41"/>
      <c r="AD107" s="47"/>
      <c r="AE107" s="25"/>
    </row>
    <row r="108" spans="1:32" x14ac:dyDescent="0.25">
      <c r="B108" s="111" t="s">
        <v>2</v>
      </c>
      <c r="C108" s="111"/>
      <c r="D108" s="111"/>
      <c r="E108" s="41">
        <f>E101/E110</f>
        <v>39.166666666666664</v>
      </c>
      <c r="F108" s="41">
        <f>F101/F110</f>
        <v>29.777777777777779</v>
      </c>
      <c r="G108" s="41">
        <f>G102/G110</f>
        <v>114.58333333333333</v>
      </c>
      <c r="H108" s="41">
        <f t="shared" ref="H108:L108" si="5">H102/H110</f>
        <v>170.83333333333334</v>
      </c>
      <c r="I108" s="41">
        <f t="shared" si="5"/>
        <v>183.85650224215246</v>
      </c>
      <c r="J108" s="41">
        <f t="shared" si="5"/>
        <v>186.36363636363637</v>
      </c>
      <c r="K108" s="41">
        <f t="shared" si="5"/>
        <v>182.60869565217391</v>
      </c>
      <c r="L108" s="41">
        <f t="shared" si="5"/>
        <v>173.68421052631578</v>
      </c>
      <c r="M108" s="41">
        <f>SUM(M103:M105)/M110</f>
        <v>104.16666666666667</v>
      </c>
      <c r="N108" s="41">
        <f t="shared" ref="N108:Y108" si="6">SUM(N103:N105)/N110</f>
        <v>108.33333333333333</v>
      </c>
      <c r="O108" s="41">
        <f t="shared" si="6"/>
        <v>125</v>
      </c>
      <c r="P108" s="41">
        <f t="shared" si="6"/>
        <v>142.85714285714286</v>
      </c>
      <c r="Q108" s="41">
        <f t="shared" si="6"/>
        <v>88.6</v>
      </c>
      <c r="R108" s="41">
        <f t="shared" si="6"/>
        <v>110.52631578947368</v>
      </c>
      <c r="S108" s="41">
        <f t="shared" si="6"/>
        <v>108.33333333333333</v>
      </c>
      <c r="T108" s="41">
        <f t="shared" si="6"/>
        <v>112</v>
      </c>
      <c r="U108" s="41">
        <f t="shared" si="6"/>
        <v>112</v>
      </c>
      <c r="V108" s="41">
        <f t="shared" si="6"/>
        <v>104</v>
      </c>
      <c r="W108" s="41">
        <f t="shared" si="6"/>
        <v>112</v>
      </c>
      <c r="X108" s="41">
        <f t="shared" si="6"/>
        <v>116</v>
      </c>
      <c r="Y108" s="41">
        <f t="shared" si="6"/>
        <v>115.36</v>
      </c>
      <c r="Z108" s="41">
        <f>Z106/Z110</f>
        <v>26.428571428571427</v>
      </c>
      <c r="AA108" s="41">
        <f t="shared" ref="AA108" si="7">AA106/AA110</f>
        <v>58</v>
      </c>
      <c r="AB108" s="41"/>
      <c r="AC108" s="41"/>
      <c r="AD108" s="41"/>
      <c r="AE108" s="25"/>
    </row>
    <row r="109" spans="1:32" x14ac:dyDescent="0.25">
      <c r="B109" s="111" t="s">
        <v>4</v>
      </c>
      <c r="C109" s="111"/>
      <c r="D109" s="111"/>
      <c r="E109" s="41">
        <v>369</v>
      </c>
      <c r="F109" s="41">
        <v>369</v>
      </c>
      <c r="G109" s="41">
        <v>1879</v>
      </c>
      <c r="H109" s="41">
        <v>1879</v>
      </c>
      <c r="I109" s="41">
        <v>1879</v>
      </c>
      <c r="J109" s="41">
        <v>1879</v>
      </c>
      <c r="K109" s="41">
        <v>1879</v>
      </c>
      <c r="L109" s="41">
        <v>1879</v>
      </c>
      <c r="M109" s="41">
        <v>1056</v>
      </c>
      <c r="N109" s="41">
        <v>1056</v>
      </c>
      <c r="O109" s="41">
        <v>1056</v>
      </c>
      <c r="P109" s="41">
        <v>1056</v>
      </c>
      <c r="Q109" s="41">
        <v>1056</v>
      </c>
      <c r="R109" s="41">
        <v>1056</v>
      </c>
      <c r="S109" s="41">
        <v>1056</v>
      </c>
      <c r="T109" s="41">
        <v>1056</v>
      </c>
      <c r="U109" s="41">
        <v>1056</v>
      </c>
      <c r="V109" s="41">
        <v>1056</v>
      </c>
      <c r="W109" s="41">
        <v>1056</v>
      </c>
      <c r="X109" s="41">
        <v>1056</v>
      </c>
      <c r="Y109" s="41">
        <v>1056</v>
      </c>
      <c r="Z109" s="41">
        <v>383</v>
      </c>
      <c r="AA109" s="41">
        <v>383</v>
      </c>
      <c r="AB109" s="41"/>
      <c r="AC109" s="41"/>
      <c r="AD109" s="41"/>
      <c r="AE109" s="25"/>
    </row>
    <row r="110" spans="1:32" x14ac:dyDescent="0.25">
      <c r="B110" s="111" t="s">
        <v>3</v>
      </c>
      <c r="C110" s="111"/>
      <c r="D110" s="111"/>
      <c r="E110" s="41">
        <v>12</v>
      </c>
      <c r="F110" s="41">
        <v>9</v>
      </c>
      <c r="G110" s="41">
        <v>12</v>
      </c>
      <c r="H110" s="41">
        <v>12</v>
      </c>
      <c r="I110" s="41">
        <v>11.15</v>
      </c>
      <c r="J110" s="41">
        <v>11</v>
      </c>
      <c r="K110" s="41">
        <v>11.5</v>
      </c>
      <c r="L110" s="41">
        <v>9.5</v>
      </c>
      <c r="M110" s="41">
        <v>12</v>
      </c>
      <c r="N110" s="41">
        <v>12</v>
      </c>
      <c r="O110" s="41">
        <v>12</v>
      </c>
      <c r="P110" s="41">
        <v>10.5</v>
      </c>
      <c r="Q110" s="41">
        <v>10</v>
      </c>
      <c r="R110" s="41">
        <v>9.5</v>
      </c>
      <c r="S110" s="41">
        <v>12</v>
      </c>
      <c r="T110" s="41">
        <v>12.5</v>
      </c>
      <c r="U110" s="41">
        <v>12.5</v>
      </c>
      <c r="V110" s="41">
        <v>12.5</v>
      </c>
      <c r="W110" s="41">
        <v>12.5</v>
      </c>
      <c r="X110" s="41">
        <v>10</v>
      </c>
      <c r="Y110" s="41">
        <v>12.5</v>
      </c>
      <c r="Z110" s="41">
        <v>7</v>
      </c>
      <c r="AA110" s="41">
        <v>10</v>
      </c>
      <c r="AB110" s="41"/>
      <c r="AC110" s="41"/>
      <c r="AD110" s="47"/>
      <c r="AE110" s="25"/>
    </row>
    <row r="135" spans="1:25" x14ac:dyDescent="0.25">
      <c r="A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</row>
    <row r="136" spans="1:25" x14ac:dyDescent="0.25">
      <c r="A136" s="42" t="s">
        <v>64</v>
      </c>
      <c r="B136" s="39"/>
      <c r="C136" s="39"/>
      <c r="D136" s="39"/>
      <c r="E136" s="63">
        <v>7</v>
      </c>
      <c r="F136" s="63">
        <v>9</v>
      </c>
      <c r="G136" s="63">
        <v>10</v>
      </c>
      <c r="H136" s="63">
        <v>11</v>
      </c>
      <c r="I136" s="63">
        <v>12</v>
      </c>
      <c r="J136" s="63">
        <v>13</v>
      </c>
      <c r="K136" s="63">
        <v>14</v>
      </c>
      <c r="L136" s="63">
        <v>16</v>
      </c>
      <c r="M136" s="63">
        <v>17</v>
      </c>
      <c r="N136" s="63">
        <v>18</v>
      </c>
      <c r="O136" s="63">
        <v>19</v>
      </c>
      <c r="P136" s="63">
        <v>20</v>
      </c>
      <c r="Q136" s="63">
        <v>21</v>
      </c>
      <c r="R136" s="63">
        <v>23</v>
      </c>
      <c r="S136" s="63">
        <v>24</v>
      </c>
      <c r="T136" s="63">
        <v>25</v>
      </c>
      <c r="U136" s="63">
        <v>26</v>
      </c>
      <c r="V136" s="63">
        <v>27</v>
      </c>
      <c r="W136" s="63">
        <v>28</v>
      </c>
      <c r="X136" s="63">
        <v>30</v>
      </c>
      <c r="Y136" s="63">
        <v>31</v>
      </c>
    </row>
    <row r="137" spans="1:25" x14ac:dyDescent="0.25">
      <c r="B137" s="39" t="s">
        <v>98</v>
      </c>
      <c r="C137" s="39" t="s">
        <v>52</v>
      </c>
      <c r="D137" s="39" t="s">
        <v>58</v>
      </c>
      <c r="E137" s="2">
        <v>398</v>
      </c>
      <c r="F137" s="2">
        <v>292</v>
      </c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>
        <v>1400</v>
      </c>
      <c r="V137" s="2">
        <v>2000</v>
      </c>
      <c r="W137" s="2">
        <v>250</v>
      </c>
      <c r="X137" s="2"/>
      <c r="Y137" s="2"/>
    </row>
    <row r="138" spans="1:25" x14ac:dyDescent="0.25">
      <c r="B138" s="39" t="s">
        <v>100</v>
      </c>
      <c r="C138" s="39" t="s">
        <v>16</v>
      </c>
      <c r="D138" s="39" t="s">
        <v>33</v>
      </c>
      <c r="E138" s="2"/>
      <c r="F138" s="2"/>
      <c r="G138" s="2">
        <v>95</v>
      </c>
      <c r="H138" s="2">
        <v>125</v>
      </c>
      <c r="I138" s="2">
        <v>215</v>
      </c>
      <c r="J138" s="2">
        <v>248</v>
      </c>
      <c r="K138" s="2">
        <v>240</v>
      </c>
      <c r="L138" s="2">
        <v>350</v>
      </c>
      <c r="M138" s="2">
        <v>350</v>
      </c>
      <c r="N138" s="2">
        <v>340</v>
      </c>
      <c r="O138" s="2">
        <v>390</v>
      </c>
      <c r="P138" s="2">
        <v>390</v>
      </c>
      <c r="Q138" s="2">
        <v>290</v>
      </c>
      <c r="R138" s="2">
        <v>412</v>
      </c>
      <c r="S138" s="2">
        <v>412</v>
      </c>
      <c r="T138" s="2">
        <v>392</v>
      </c>
      <c r="U138" s="2">
        <v>12</v>
      </c>
      <c r="V138" s="2"/>
      <c r="W138" s="2"/>
      <c r="X138" s="2"/>
      <c r="Y138" s="2"/>
    </row>
    <row r="139" spans="1:25" x14ac:dyDescent="0.25">
      <c r="B139" s="39" t="s">
        <v>100</v>
      </c>
      <c r="C139" s="39" t="s">
        <v>12</v>
      </c>
      <c r="D139" s="39" t="s">
        <v>32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>
        <v>170</v>
      </c>
      <c r="Y139" s="2">
        <v>335</v>
      </c>
    </row>
    <row r="140" spans="1:25" x14ac:dyDescent="0.25">
      <c r="B140" s="111" t="s">
        <v>1</v>
      </c>
      <c r="C140" s="111"/>
      <c r="D140" s="111"/>
      <c r="E140" s="41">
        <v>398</v>
      </c>
      <c r="F140" s="41">
        <v>150</v>
      </c>
      <c r="G140" s="41">
        <v>100</v>
      </c>
      <c r="H140" s="41">
        <v>160</v>
      </c>
      <c r="I140" s="41">
        <v>200</v>
      </c>
      <c r="J140" s="41">
        <v>248</v>
      </c>
      <c r="K140" s="41">
        <v>240</v>
      </c>
      <c r="L140" s="41">
        <v>362</v>
      </c>
      <c r="M140" s="41">
        <v>380</v>
      </c>
      <c r="N140" s="41">
        <v>380</v>
      </c>
      <c r="O140" s="41">
        <v>380</v>
      </c>
      <c r="P140" s="41">
        <v>380</v>
      </c>
      <c r="Q140" s="41">
        <v>290</v>
      </c>
      <c r="R140" s="41">
        <v>412</v>
      </c>
      <c r="S140" s="41">
        <v>412</v>
      </c>
      <c r="T140" s="41">
        <v>404</v>
      </c>
      <c r="U140" s="41">
        <v>1700</v>
      </c>
      <c r="V140" s="41">
        <v>2250</v>
      </c>
      <c r="W140" s="41">
        <v>250</v>
      </c>
      <c r="X140" s="41">
        <v>390</v>
      </c>
      <c r="Y140" s="41">
        <v>390</v>
      </c>
    </row>
    <row r="141" spans="1:25" x14ac:dyDescent="0.25">
      <c r="B141" s="111" t="s">
        <v>2</v>
      </c>
      <c r="C141" s="111"/>
      <c r="D141" s="111"/>
      <c r="E141" s="41">
        <f>E137/E143</f>
        <v>79.599999999999994</v>
      </c>
      <c r="F141" s="41">
        <f>F137/F143</f>
        <v>29.2</v>
      </c>
      <c r="G141" s="41">
        <f>G138/G143</f>
        <v>9.5</v>
      </c>
      <c r="H141" s="41">
        <f t="shared" ref="H141:T141" si="8">H138/H143</f>
        <v>12.5</v>
      </c>
      <c r="I141" s="41">
        <f t="shared" si="8"/>
        <v>21.5</v>
      </c>
      <c r="J141" s="41">
        <f t="shared" si="8"/>
        <v>24.8</v>
      </c>
      <c r="K141" s="41">
        <f t="shared" si="8"/>
        <v>30</v>
      </c>
      <c r="L141" s="41">
        <f t="shared" si="8"/>
        <v>38.888888888888886</v>
      </c>
      <c r="M141" s="41">
        <f t="shared" si="8"/>
        <v>30.434782608695652</v>
      </c>
      <c r="N141" s="41">
        <f t="shared" si="8"/>
        <v>34</v>
      </c>
      <c r="O141" s="41">
        <f t="shared" si="8"/>
        <v>39</v>
      </c>
      <c r="P141" s="41">
        <f t="shared" si="8"/>
        <v>39</v>
      </c>
      <c r="Q141" s="41">
        <f t="shared" si="8"/>
        <v>36.25</v>
      </c>
      <c r="R141" s="41">
        <f t="shared" si="8"/>
        <v>41.2</v>
      </c>
      <c r="S141" s="41">
        <f t="shared" si="8"/>
        <v>41.2</v>
      </c>
      <c r="T141" s="41">
        <f t="shared" si="8"/>
        <v>39.200000000000003</v>
      </c>
      <c r="U141" s="41">
        <f t="shared" ref="U141:W141" si="9">U137/U143</f>
        <v>140</v>
      </c>
      <c r="V141" s="41">
        <f t="shared" si="9"/>
        <v>173.91304347826087</v>
      </c>
      <c r="W141" s="41">
        <f t="shared" si="9"/>
        <v>50</v>
      </c>
      <c r="X141" s="41">
        <f>X139/X143</f>
        <v>17</v>
      </c>
      <c r="Y141" s="41">
        <f>Y139/Y143</f>
        <v>29.130434782608695</v>
      </c>
    </row>
    <row r="142" spans="1:25" x14ac:dyDescent="0.25">
      <c r="B142" s="111" t="s">
        <v>4</v>
      </c>
      <c r="C142" s="111"/>
      <c r="D142" s="111"/>
      <c r="E142" s="41">
        <v>868</v>
      </c>
      <c r="F142" s="41">
        <v>868</v>
      </c>
      <c r="G142" s="41">
        <v>304</v>
      </c>
      <c r="H142" s="41">
        <v>304</v>
      </c>
      <c r="I142" s="41">
        <v>304</v>
      </c>
      <c r="J142" s="41">
        <v>304</v>
      </c>
      <c r="K142" s="41">
        <v>304</v>
      </c>
      <c r="L142" s="41">
        <v>304</v>
      </c>
      <c r="M142" s="41">
        <v>304</v>
      </c>
      <c r="N142" s="41">
        <v>304</v>
      </c>
      <c r="O142" s="41">
        <v>304</v>
      </c>
      <c r="P142" s="41">
        <v>304</v>
      </c>
      <c r="Q142" s="41">
        <v>304</v>
      </c>
      <c r="R142" s="41">
        <v>304</v>
      </c>
      <c r="S142" s="41">
        <v>304</v>
      </c>
      <c r="T142" s="41">
        <v>304</v>
      </c>
      <c r="U142" s="41">
        <v>868</v>
      </c>
      <c r="V142" s="41">
        <v>868</v>
      </c>
      <c r="W142" s="41">
        <v>868</v>
      </c>
      <c r="X142" s="41">
        <v>253</v>
      </c>
      <c r="Y142" s="41">
        <v>253</v>
      </c>
    </row>
    <row r="143" spans="1:25" x14ac:dyDescent="0.25">
      <c r="B143" s="111" t="s">
        <v>3</v>
      </c>
      <c r="C143" s="111"/>
      <c r="D143" s="111"/>
      <c r="E143" s="57">
        <v>5</v>
      </c>
      <c r="F143" s="57">
        <v>10</v>
      </c>
      <c r="G143" s="57">
        <v>10</v>
      </c>
      <c r="H143" s="57">
        <v>10</v>
      </c>
      <c r="I143" s="57">
        <v>10</v>
      </c>
      <c r="J143" s="57">
        <v>10</v>
      </c>
      <c r="K143" s="57">
        <v>8</v>
      </c>
      <c r="L143" s="57">
        <v>9</v>
      </c>
      <c r="M143" s="57">
        <v>11.5</v>
      </c>
      <c r="N143" s="57">
        <v>10</v>
      </c>
      <c r="O143" s="57">
        <v>10</v>
      </c>
      <c r="P143" s="57">
        <v>10</v>
      </c>
      <c r="Q143" s="57">
        <v>8</v>
      </c>
      <c r="R143" s="57">
        <v>10</v>
      </c>
      <c r="S143" s="57">
        <v>10</v>
      </c>
      <c r="T143" s="57">
        <v>10</v>
      </c>
      <c r="U143" s="57">
        <v>10</v>
      </c>
      <c r="V143" s="57">
        <v>11.5</v>
      </c>
      <c r="W143" s="57">
        <v>5</v>
      </c>
      <c r="X143" s="57">
        <v>10</v>
      </c>
      <c r="Y143" s="57">
        <v>11.5</v>
      </c>
    </row>
    <row r="169" spans="1:30" x14ac:dyDescent="0.25">
      <c r="A169" s="42" t="s">
        <v>65</v>
      </c>
      <c r="B169" s="25"/>
      <c r="C169" s="25"/>
      <c r="D169" s="25"/>
      <c r="E169" s="39">
        <v>1</v>
      </c>
      <c r="F169" s="39">
        <v>2</v>
      </c>
      <c r="G169" s="39">
        <v>3</v>
      </c>
      <c r="H169" s="39">
        <v>4</v>
      </c>
      <c r="I169" s="39">
        <v>6</v>
      </c>
      <c r="J169" s="39">
        <v>7</v>
      </c>
      <c r="K169" s="39">
        <v>8</v>
      </c>
      <c r="L169" s="39">
        <v>9</v>
      </c>
      <c r="M169" s="39">
        <v>10</v>
      </c>
      <c r="N169" s="39">
        <v>11</v>
      </c>
      <c r="O169" s="39">
        <v>13</v>
      </c>
      <c r="P169" s="39">
        <v>14</v>
      </c>
      <c r="Q169" s="39">
        <v>15</v>
      </c>
      <c r="R169" s="39">
        <v>16</v>
      </c>
      <c r="S169" s="39">
        <v>17</v>
      </c>
      <c r="T169" s="39">
        <v>18</v>
      </c>
      <c r="U169" s="39">
        <v>20</v>
      </c>
      <c r="V169" s="39">
        <v>21</v>
      </c>
      <c r="W169" s="39">
        <v>22</v>
      </c>
      <c r="X169" s="39">
        <v>23</v>
      </c>
      <c r="Y169" s="39">
        <v>24</v>
      </c>
      <c r="Z169" s="39">
        <v>25</v>
      </c>
      <c r="AA169" s="39">
        <v>27</v>
      </c>
      <c r="AB169" s="39">
        <v>28</v>
      </c>
      <c r="AC169" s="39">
        <v>29</v>
      </c>
      <c r="AD169" s="39">
        <v>30</v>
      </c>
    </row>
    <row r="170" spans="1:30" x14ac:dyDescent="0.25">
      <c r="B170" s="39" t="s">
        <v>14</v>
      </c>
      <c r="C170" s="39" t="s">
        <v>12</v>
      </c>
      <c r="D170" s="39">
        <v>3915</v>
      </c>
      <c r="E170" s="25">
        <v>250</v>
      </c>
      <c r="F170" s="25">
        <v>242</v>
      </c>
      <c r="G170" s="25">
        <v>300</v>
      </c>
      <c r="H170" s="25">
        <v>20</v>
      </c>
      <c r="I170" s="25">
        <v>220</v>
      </c>
      <c r="J170" s="25">
        <v>290</v>
      </c>
      <c r="K170" s="25">
        <v>235</v>
      </c>
      <c r="L170" s="25">
        <v>246</v>
      </c>
      <c r="M170" s="25">
        <v>265</v>
      </c>
      <c r="N170" s="25">
        <v>200</v>
      </c>
      <c r="O170" s="25">
        <v>270</v>
      </c>
      <c r="P170" s="25">
        <v>257</v>
      </c>
      <c r="Q170" s="25">
        <v>285</v>
      </c>
      <c r="R170" s="25">
        <v>285</v>
      </c>
      <c r="S170" s="25">
        <v>285</v>
      </c>
      <c r="T170" s="25">
        <v>231</v>
      </c>
      <c r="U170" s="25">
        <v>285</v>
      </c>
      <c r="V170" s="25">
        <v>285</v>
      </c>
      <c r="W170" s="25">
        <v>285</v>
      </c>
      <c r="X170" s="25">
        <v>285</v>
      </c>
      <c r="Y170" s="25">
        <v>285</v>
      </c>
      <c r="Z170" s="25">
        <v>231</v>
      </c>
      <c r="AA170" s="25">
        <v>285</v>
      </c>
      <c r="AB170" s="25">
        <v>285</v>
      </c>
      <c r="AC170" s="25">
        <v>280</v>
      </c>
      <c r="AD170" s="25">
        <v>270</v>
      </c>
    </row>
    <row r="171" spans="1:30" x14ac:dyDescent="0.25">
      <c r="B171" s="39" t="s">
        <v>14</v>
      </c>
      <c r="C171" s="39" t="s">
        <v>16</v>
      </c>
      <c r="D171" s="39">
        <v>3916</v>
      </c>
      <c r="E171" s="25"/>
      <c r="F171" s="25">
        <v>33</v>
      </c>
      <c r="G171" s="25"/>
      <c r="H171" s="25"/>
      <c r="I171" s="25"/>
      <c r="J171" s="25"/>
      <c r="K171" s="25"/>
      <c r="L171" s="25">
        <v>19</v>
      </c>
      <c r="M171" s="25"/>
      <c r="N171" s="25"/>
      <c r="O171" s="25"/>
      <c r="P171" s="25">
        <v>28</v>
      </c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  <c r="AD171" s="25"/>
    </row>
    <row r="172" spans="1:30" x14ac:dyDescent="0.25">
      <c r="B172" s="39" t="s">
        <v>53</v>
      </c>
      <c r="C172" s="39" t="s">
        <v>52</v>
      </c>
      <c r="D172" s="39" t="s">
        <v>106</v>
      </c>
      <c r="E172" s="25"/>
      <c r="F172" s="25"/>
      <c r="G172" s="25"/>
      <c r="H172" s="25"/>
      <c r="I172" s="25">
        <v>415</v>
      </c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D172" s="25"/>
    </row>
    <row r="173" spans="1:30" x14ac:dyDescent="0.25">
      <c r="B173" s="111" t="s">
        <v>1</v>
      </c>
      <c r="C173" s="111"/>
      <c r="D173" s="111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</row>
    <row r="174" spans="1:30" x14ac:dyDescent="0.25">
      <c r="B174" s="111" t="s">
        <v>2</v>
      </c>
      <c r="C174" s="111"/>
      <c r="D174" s="111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D174" s="25"/>
    </row>
    <row r="175" spans="1:30" x14ac:dyDescent="0.25">
      <c r="B175" s="111" t="s">
        <v>4</v>
      </c>
      <c r="C175" s="111"/>
      <c r="D175" s="111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  <c r="AD175" s="25"/>
    </row>
    <row r="176" spans="1:30" x14ac:dyDescent="0.25">
      <c r="B176" s="111" t="s">
        <v>3</v>
      </c>
      <c r="C176" s="111"/>
      <c r="D176" s="111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</row>
    <row r="202" spans="1:30" x14ac:dyDescent="0.25">
      <c r="A202" s="42" t="s">
        <v>66</v>
      </c>
      <c r="B202" s="25"/>
      <c r="C202" s="25"/>
      <c r="D202" s="25"/>
      <c r="E202" s="39">
        <v>1</v>
      </c>
      <c r="F202" s="39">
        <v>2</v>
      </c>
      <c r="G202" s="39">
        <v>4</v>
      </c>
      <c r="H202" s="39">
        <v>5</v>
      </c>
      <c r="I202" s="39">
        <v>6</v>
      </c>
      <c r="J202" s="39">
        <v>7</v>
      </c>
      <c r="K202" s="39">
        <v>8</v>
      </c>
      <c r="L202" s="39">
        <v>11</v>
      </c>
      <c r="M202" s="39">
        <v>12</v>
      </c>
      <c r="N202" s="39">
        <v>13</v>
      </c>
      <c r="O202" s="39">
        <v>14</v>
      </c>
      <c r="P202" s="39">
        <v>15</v>
      </c>
      <c r="Q202" s="39">
        <v>16</v>
      </c>
      <c r="R202" s="39">
        <v>18</v>
      </c>
      <c r="S202" s="39">
        <v>19</v>
      </c>
      <c r="T202" s="39">
        <v>20</v>
      </c>
      <c r="U202" s="39">
        <v>21</v>
      </c>
      <c r="V202" s="39">
        <v>22</v>
      </c>
      <c r="W202" s="39">
        <v>23</v>
      </c>
      <c r="X202" s="39">
        <v>25</v>
      </c>
      <c r="Y202" s="39">
        <v>26</v>
      </c>
      <c r="Z202" s="39">
        <v>27</v>
      </c>
      <c r="AA202" s="39">
        <v>28</v>
      </c>
      <c r="AB202" s="39">
        <v>29</v>
      </c>
      <c r="AC202" s="42"/>
      <c r="AD202" s="42"/>
    </row>
    <row r="203" spans="1:30" x14ac:dyDescent="0.25">
      <c r="B203" s="39" t="s">
        <v>14</v>
      </c>
      <c r="C203" s="39" t="s">
        <v>12</v>
      </c>
      <c r="D203" s="39" t="s">
        <v>32</v>
      </c>
      <c r="E203" s="25">
        <v>265</v>
      </c>
      <c r="F203" s="25">
        <v>230</v>
      </c>
      <c r="G203" s="25">
        <v>295</v>
      </c>
      <c r="H203" s="25">
        <v>225</v>
      </c>
      <c r="I203" s="25">
        <v>225</v>
      </c>
      <c r="J203" s="25">
        <v>290</v>
      </c>
      <c r="K203" s="25">
        <v>270</v>
      </c>
      <c r="L203" s="25">
        <v>225</v>
      </c>
      <c r="M203" s="25">
        <v>270</v>
      </c>
      <c r="N203" s="25">
        <v>270</v>
      </c>
      <c r="O203" s="25">
        <v>280</v>
      </c>
      <c r="P203" s="25">
        <v>290</v>
      </c>
      <c r="Q203" s="25">
        <v>230</v>
      </c>
      <c r="R203" s="25">
        <v>214</v>
      </c>
      <c r="S203" s="25"/>
      <c r="T203" s="25"/>
      <c r="U203" s="25"/>
      <c r="V203" s="25"/>
      <c r="W203" s="25"/>
      <c r="X203" s="25"/>
      <c r="Y203" s="25"/>
      <c r="Z203" s="25"/>
      <c r="AA203" s="25"/>
      <c r="AB203" s="25"/>
    </row>
    <row r="204" spans="1:30" x14ac:dyDescent="0.25">
      <c r="B204" s="39" t="s">
        <v>10</v>
      </c>
      <c r="C204" s="39" t="s">
        <v>13</v>
      </c>
      <c r="D204" s="39" t="s">
        <v>31</v>
      </c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>
        <v>0</v>
      </c>
      <c r="T204" s="25">
        <v>140</v>
      </c>
      <c r="U204" s="25">
        <v>165</v>
      </c>
      <c r="V204" s="25">
        <v>216</v>
      </c>
      <c r="W204" s="25">
        <v>180</v>
      </c>
      <c r="X204" s="25">
        <v>225</v>
      </c>
      <c r="Y204" s="25">
        <v>230</v>
      </c>
      <c r="Z204" s="25">
        <v>230</v>
      </c>
      <c r="AA204" s="25">
        <v>235</v>
      </c>
      <c r="AB204" s="25">
        <v>220</v>
      </c>
    </row>
    <row r="205" spans="1:30" x14ac:dyDescent="0.25">
      <c r="B205" s="111" t="s">
        <v>1</v>
      </c>
      <c r="C205" s="111"/>
      <c r="D205" s="111"/>
      <c r="E205" s="25">
        <v>290</v>
      </c>
      <c r="F205" s="25">
        <v>230</v>
      </c>
      <c r="G205" s="25">
        <v>297</v>
      </c>
      <c r="H205" s="25">
        <v>297</v>
      </c>
      <c r="I205" s="25">
        <v>297</v>
      </c>
      <c r="J205" s="25">
        <v>297</v>
      </c>
      <c r="K205" s="25">
        <v>297</v>
      </c>
      <c r="L205" s="25">
        <v>297</v>
      </c>
      <c r="M205" s="25">
        <v>297</v>
      </c>
      <c r="N205" s="25">
        <v>297</v>
      </c>
      <c r="O205" s="25">
        <v>297</v>
      </c>
      <c r="P205" s="25">
        <v>297</v>
      </c>
      <c r="Q205" s="25">
        <v>230</v>
      </c>
      <c r="R205" s="25">
        <v>214</v>
      </c>
      <c r="S205" s="25">
        <v>250</v>
      </c>
      <c r="T205" s="25">
        <v>260</v>
      </c>
      <c r="U205" s="25">
        <v>216</v>
      </c>
      <c r="V205" s="25">
        <v>216</v>
      </c>
      <c r="W205" s="25">
        <v>180</v>
      </c>
      <c r="X205" s="25">
        <v>250</v>
      </c>
      <c r="Y205" s="25">
        <v>250</v>
      </c>
      <c r="Z205" s="25">
        <v>250</v>
      </c>
      <c r="AA205" s="25">
        <v>250</v>
      </c>
      <c r="AB205" s="25">
        <v>250</v>
      </c>
    </row>
    <row r="206" spans="1:30" s="85" customFormat="1" x14ac:dyDescent="0.25">
      <c r="B206" s="112" t="s">
        <v>2</v>
      </c>
      <c r="C206" s="112"/>
      <c r="D206" s="112"/>
      <c r="E206" s="88">
        <f>E205/E208</f>
        <v>32.222222222222221</v>
      </c>
      <c r="F206" s="88">
        <f t="shared" ref="F206:AB206" si="10">F205/F208</f>
        <v>32.857142857142854</v>
      </c>
      <c r="G206" s="88">
        <f t="shared" si="10"/>
        <v>33</v>
      </c>
      <c r="H206" s="88">
        <f t="shared" si="10"/>
        <v>33</v>
      </c>
      <c r="I206" s="88">
        <f t="shared" si="10"/>
        <v>33</v>
      </c>
      <c r="J206" s="88">
        <f t="shared" si="10"/>
        <v>31.263157894736842</v>
      </c>
      <c r="K206" s="88">
        <f t="shared" si="10"/>
        <v>33</v>
      </c>
      <c r="L206" s="88">
        <f t="shared" si="10"/>
        <v>33</v>
      </c>
      <c r="M206" s="88">
        <f t="shared" si="10"/>
        <v>33</v>
      </c>
      <c r="N206" s="88">
        <f t="shared" si="10"/>
        <v>33</v>
      </c>
      <c r="O206" s="88">
        <f t="shared" si="10"/>
        <v>33</v>
      </c>
      <c r="P206" s="88">
        <f t="shared" si="10"/>
        <v>33</v>
      </c>
      <c r="Q206" s="88">
        <f t="shared" si="10"/>
        <v>32.857142857142854</v>
      </c>
      <c r="R206" s="88">
        <f t="shared" si="10"/>
        <v>26.75</v>
      </c>
      <c r="S206" s="88">
        <f t="shared" si="10"/>
        <v>31.25</v>
      </c>
      <c r="T206" s="88">
        <f t="shared" si="10"/>
        <v>28.888888888888889</v>
      </c>
      <c r="U206" s="88">
        <f t="shared" si="10"/>
        <v>24</v>
      </c>
      <c r="V206" s="88">
        <f t="shared" si="10"/>
        <v>24</v>
      </c>
      <c r="W206" s="88">
        <f t="shared" si="10"/>
        <v>25.714285714285715</v>
      </c>
      <c r="X206" s="88">
        <f t="shared" si="10"/>
        <v>27.777777777777779</v>
      </c>
      <c r="Y206" s="88">
        <f t="shared" si="10"/>
        <v>27.777777777777779</v>
      </c>
      <c r="Z206" s="88">
        <f t="shared" si="10"/>
        <v>27.777777777777779</v>
      </c>
      <c r="AA206" s="88">
        <f t="shared" si="10"/>
        <v>27.777777777777779</v>
      </c>
      <c r="AB206" s="88">
        <f t="shared" si="10"/>
        <v>27.777777777777779</v>
      </c>
    </row>
    <row r="207" spans="1:30" x14ac:dyDescent="0.25">
      <c r="B207" s="111" t="s">
        <v>4</v>
      </c>
      <c r="C207" s="111"/>
      <c r="D207" s="111"/>
      <c r="E207" s="25">
        <v>256</v>
      </c>
      <c r="F207" s="25">
        <v>256</v>
      </c>
      <c r="G207" s="25">
        <v>256</v>
      </c>
      <c r="H207" s="25">
        <v>256</v>
      </c>
      <c r="I207" s="25">
        <v>256</v>
      </c>
      <c r="J207" s="25">
        <v>256</v>
      </c>
      <c r="K207" s="25">
        <v>256</v>
      </c>
      <c r="L207" s="25">
        <v>256</v>
      </c>
      <c r="M207" s="25">
        <v>256</v>
      </c>
      <c r="N207" s="25">
        <v>256</v>
      </c>
      <c r="O207" s="25">
        <v>256</v>
      </c>
      <c r="P207" s="25">
        <v>256</v>
      </c>
      <c r="Q207" s="25">
        <v>256</v>
      </c>
      <c r="R207" s="25">
        <v>256</v>
      </c>
      <c r="S207" s="25">
        <v>184</v>
      </c>
      <c r="T207" s="25">
        <v>184</v>
      </c>
      <c r="U207" s="25">
        <v>184</v>
      </c>
      <c r="V207" s="25">
        <v>184</v>
      </c>
      <c r="W207" s="25">
        <v>184</v>
      </c>
      <c r="X207" s="25">
        <v>184</v>
      </c>
      <c r="Y207" s="25">
        <v>184</v>
      </c>
      <c r="Z207" s="25">
        <v>184</v>
      </c>
      <c r="AA207" s="25">
        <v>184</v>
      </c>
      <c r="AB207" s="25">
        <v>184</v>
      </c>
    </row>
    <row r="208" spans="1:30" x14ac:dyDescent="0.25">
      <c r="B208" s="111" t="s">
        <v>3</v>
      </c>
      <c r="C208" s="111"/>
      <c r="D208" s="111"/>
      <c r="E208" s="25">
        <v>9</v>
      </c>
      <c r="F208" s="25">
        <v>7</v>
      </c>
      <c r="G208" s="25">
        <v>9</v>
      </c>
      <c r="H208" s="25">
        <v>9</v>
      </c>
      <c r="I208" s="25">
        <v>9</v>
      </c>
      <c r="J208" s="25">
        <v>9.5</v>
      </c>
      <c r="K208" s="25">
        <v>9</v>
      </c>
      <c r="L208" s="25">
        <v>9</v>
      </c>
      <c r="M208" s="25">
        <v>9</v>
      </c>
      <c r="N208" s="25">
        <v>9</v>
      </c>
      <c r="O208" s="25">
        <v>9</v>
      </c>
      <c r="P208" s="25">
        <v>9</v>
      </c>
      <c r="Q208" s="25">
        <v>7</v>
      </c>
      <c r="R208" s="25">
        <v>8</v>
      </c>
      <c r="S208" s="25">
        <v>8</v>
      </c>
      <c r="T208" s="25">
        <v>9</v>
      </c>
      <c r="U208" s="25">
        <v>9</v>
      </c>
      <c r="V208" s="25">
        <v>9</v>
      </c>
      <c r="W208" s="25">
        <v>7</v>
      </c>
      <c r="X208" s="25">
        <v>9</v>
      </c>
      <c r="Y208" s="25">
        <v>9</v>
      </c>
      <c r="Z208" s="25">
        <v>9</v>
      </c>
      <c r="AA208" s="25">
        <v>9</v>
      </c>
      <c r="AB208" s="25">
        <v>9</v>
      </c>
    </row>
  </sheetData>
  <mergeCells count="28">
    <mergeCell ref="B7:D7"/>
    <mergeCell ref="B8:D8"/>
    <mergeCell ref="B9:D9"/>
    <mergeCell ref="B10:D10"/>
    <mergeCell ref="B40:D40"/>
    <mergeCell ref="B41:D41"/>
    <mergeCell ref="B42:D42"/>
    <mergeCell ref="B43:D43"/>
    <mergeCell ref="B71:D71"/>
    <mergeCell ref="B72:D72"/>
    <mergeCell ref="B73:D73"/>
    <mergeCell ref="B74:D74"/>
    <mergeCell ref="B143:D143"/>
    <mergeCell ref="B140:D140"/>
    <mergeCell ref="B141:D141"/>
    <mergeCell ref="B142:D142"/>
    <mergeCell ref="B107:D107"/>
    <mergeCell ref="B108:D108"/>
    <mergeCell ref="B109:D109"/>
    <mergeCell ref="B110:D110"/>
    <mergeCell ref="B205:D205"/>
    <mergeCell ref="B206:D206"/>
    <mergeCell ref="B207:D207"/>
    <mergeCell ref="B208:D208"/>
    <mergeCell ref="B173:D173"/>
    <mergeCell ref="B174:D174"/>
    <mergeCell ref="B175:D175"/>
    <mergeCell ref="B176:D176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DE2DD-3BC7-4BC4-A973-628B2EBE978F}">
  <sheetPr codeName="Sheet5"/>
  <dimension ref="A3:AF201"/>
  <sheetViews>
    <sheetView topLeftCell="A121" zoomScale="70" zoomScaleNormal="70" workbookViewId="0">
      <selection activeCell="A213" sqref="A213"/>
    </sheetView>
  </sheetViews>
  <sheetFormatPr defaultColWidth="6.28515625" defaultRowHeight="15" x14ac:dyDescent="0.25"/>
  <cols>
    <col min="1" max="1" width="11.7109375" bestFit="1" customWidth="1"/>
    <col min="2" max="2" width="13.140625" bestFit="1" customWidth="1"/>
    <col min="3" max="3" width="28.28515625" bestFit="1" customWidth="1"/>
    <col min="4" max="4" width="18.5703125" bestFit="1" customWidth="1"/>
    <col min="5" max="5" width="6.28515625" bestFit="1" customWidth="1"/>
    <col min="6" max="10" width="5.28515625" bestFit="1" customWidth="1"/>
    <col min="11" max="12" width="5" bestFit="1" customWidth="1"/>
    <col min="13" max="14" width="5.28515625" bestFit="1" customWidth="1"/>
    <col min="15" max="15" width="9.7109375" bestFit="1" customWidth="1"/>
    <col min="16" max="16" width="5.28515625" bestFit="1" customWidth="1"/>
    <col min="17" max="17" width="5" bestFit="1" customWidth="1"/>
    <col min="18" max="18" width="5.28515625" bestFit="1" customWidth="1"/>
    <col min="19" max="19" width="5" bestFit="1" customWidth="1"/>
    <col min="20" max="20" width="5.28515625" bestFit="1" customWidth="1"/>
    <col min="21" max="22" width="5" bestFit="1" customWidth="1"/>
    <col min="23" max="26" width="6.85546875" bestFit="1" customWidth="1"/>
    <col min="27" max="28" width="6.42578125" bestFit="1" customWidth="1"/>
    <col min="29" max="32" width="6.85546875" bestFit="1" customWidth="1"/>
  </cols>
  <sheetData>
    <row r="3" spans="1:29" x14ac:dyDescent="0.25">
      <c r="A3" s="42" t="s">
        <v>60</v>
      </c>
      <c r="B3" s="25"/>
      <c r="C3" s="25"/>
      <c r="D3" s="25"/>
      <c r="E3" s="39">
        <v>3</v>
      </c>
      <c r="F3" s="39">
        <v>4</v>
      </c>
      <c r="G3" s="39">
        <v>5</v>
      </c>
      <c r="H3" s="39">
        <v>6</v>
      </c>
      <c r="I3" s="39">
        <v>7</v>
      </c>
      <c r="J3" s="39">
        <v>8</v>
      </c>
      <c r="K3" s="39">
        <v>10</v>
      </c>
      <c r="L3" s="39">
        <v>11</v>
      </c>
      <c r="M3" s="39">
        <v>12</v>
      </c>
      <c r="N3" s="39">
        <v>13</v>
      </c>
      <c r="O3" s="39">
        <v>14</v>
      </c>
      <c r="P3" s="39">
        <v>15</v>
      </c>
      <c r="Q3" s="39">
        <v>17</v>
      </c>
      <c r="R3" s="39">
        <v>18</v>
      </c>
      <c r="S3" s="39">
        <v>19</v>
      </c>
      <c r="T3" s="39">
        <v>20</v>
      </c>
      <c r="U3" s="39">
        <v>21</v>
      </c>
      <c r="V3" s="39">
        <v>22</v>
      </c>
      <c r="W3" s="39">
        <v>24</v>
      </c>
      <c r="X3" s="39">
        <v>25</v>
      </c>
      <c r="Y3" s="39">
        <v>26</v>
      </c>
      <c r="Z3" s="39">
        <v>27</v>
      </c>
      <c r="AA3" s="39">
        <v>28</v>
      </c>
      <c r="AB3" s="39">
        <v>29</v>
      </c>
      <c r="AC3" s="39">
        <v>31</v>
      </c>
    </row>
    <row r="4" spans="1:29" x14ac:dyDescent="0.25">
      <c r="B4" s="39" t="s">
        <v>10</v>
      </c>
      <c r="C4" s="39" t="s">
        <v>13</v>
      </c>
      <c r="D4" s="39" t="s">
        <v>31</v>
      </c>
      <c r="E4" s="2">
        <v>190</v>
      </c>
      <c r="F4" s="2">
        <v>90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spans="1:29" x14ac:dyDescent="0.25">
      <c r="B5" s="39" t="s">
        <v>11</v>
      </c>
      <c r="C5" s="39" t="s">
        <v>36</v>
      </c>
      <c r="D5" s="39" t="s">
        <v>37</v>
      </c>
      <c r="E5" s="2"/>
      <c r="F5" s="2"/>
      <c r="G5" s="2">
        <v>0</v>
      </c>
      <c r="H5" s="2">
        <v>150</v>
      </c>
      <c r="I5" s="2">
        <v>160</v>
      </c>
      <c r="J5" s="2">
        <v>100</v>
      </c>
      <c r="K5" s="2">
        <v>190</v>
      </c>
      <c r="L5" s="2">
        <v>190</v>
      </c>
      <c r="M5" s="2">
        <v>190</v>
      </c>
      <c r="N5" s="2">
        <v>22</v>
      </c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</row>
    <row r="6" spans="1:29" x14ac:dyDescent="0.25">
      <c r="B6" s="39" t="s">
        <v>44</v>
      </c>
      <c r="C6" s="39" t="s">
        <v>17</v>
      </c>
      <c r="D6" s="39" t="s">
        <v>38</v>
      </c>
      <c r="E6" s="2"/>
      <c r="F6" s="2"/>
      <c r="G6" s="2"/>
      <c r="H6" s="2"/>
      <c r="I6" s="2"/>
      <c r="J6" s="2"/>
      <c r="K6" s="2"/>
      <c r="L6" s="2"/>
      <c r="M6" s="2"/>
      <c r="N6" s="2"/>
      <c r="O6" s="2">
        <v>0</v>
      </c>
      <c r="P6" s="2">
        <v>0</v>
      </c>
      <c r="Q6" s="2">
        <v>90</v>
      </c>
      <c r="R6" s="2">
        <v>150</v>
      </c>
      <c r="S6" s="2">
        <v>190</v>
      </c>
      <c r="T6" s="2">
        <v>200</v>
      </c>
      <c r="U6" s="2">
        <v>200</v>
      </c>
      <c r="V6" s="2">
        <v>150</v>
      </c>
      <c r="W6" s="2">
        <v>205</v>
      </c>
      <c r="X6" s="2">
        <v>210</v>
      </c>
      <c r="Y6" s="2">
        <v>210</v>
      </c>
      <c r="Z6" s="2">
        <v>210</v>
      </c>
      <c r="AA6" s="2">
        <v>210</v>
      </c>
      <c r="AB6" s="2">
        <v>150</v>
      </c>
      <c r="AC6" s="2">
        <v>205</v>
      </c>
    </row>
    <row r="7" spans="1:29" x14ac:dyDescent="0.25">
      <c r="B7" s="111" t="s">
        <v>1</v>
      </c>
      <c r="C7" s="111"/>
      <c r="D7" s="111"/>
      <c r="E7" s="41">
        <v>200</v>
      </c>
      <c r="F7" s="41">
        <v>90</v>
      </c>
      <c r="G7" s="41">
        <v>150</v>
      </c>
      <c r="H7" s="41">
        <v>200</v>
      </c>
      <c r="I7" s="41">
        <v>250</v>
      </c>
      <c r="J7" s="41">
        <v>100</v>
      </c>
      <c r="K7" s="41">
        <v>250</v>
      </c>
      <c r="L7" s="41">
        <v>250</v>
      </c>
      <c r="M7" s="41">
        <v>250</v>
      </c>
      <c r="N7" s="41">
        <v>250</v>
      </c>
      <c r="O7" s="41" t="s">
        <v>97</v>
      </c>
      <c r="P7" s="41">
        <v>80</v>
      </c>
      <c r="Q7" s="41">
        <v>150</v>
      </c>
      <c r="R7" s="41">
        <v>150</v>
      </c>
      <c r="S7" s="41">
        <v>200</v>
      </c>
      <c r="T7" s="41">
        <v>200</v>
      </c>
      <c r="U7" s="41">
        <v>200</v>
      </c>
      <c r="V7" s="41">
        <v>150</v>
      </c>
      <c r="W7" s="41">
        <v>150</v>
      </c>
      <c r="X7" s="41">
        <v>210</v>
      </c>
      <c r="Y7" s="41">
        <v>210</v>
      </c>
      <c r="Z7" s="41">
        <v>210</v>
      </c>
      <c r="AA7" s="41">
        <v>210</v>
      </c>
      <c r="AB7" s="41">
        <v>150</v>
      </c>
      <c r="AC7" s="41">
        <v>210</v>
      </c>
    </row>
    <row r="8" spans="1:29" x14ac:dyDescent="0.25">
      <c r="B8" s="111" t="s">
        <v>2</v>
      </c>
      <c r="C8" s="111"/>
      <c r="D8" s="111"/>
      <c r="E8" s="41">
        <v>19</v>
      </c>
      <c r="F8" s="41">
        <v>9</v>
      </c>
      <c r="G8" s="41">
        <v>0</v>
      </c>
      <c r="H8" s="41">
        <v>16.666666666666668</v>
      </c>
      <c r="I8" s="41">
        <v>17.777777777777779</v>
      </c>
      <c r="J8" s="41">
        <v>20</v>
      </c>
      <c r="K8" s="41">
        <v>19</v>
      </c>
      <c r="L8" s="41">
        <v>19</v>
      </c>
      <c r="M8" s="41">
        <v>20</v>
      </c>
      <c r="N8" s="41">
        <v>2.3157894736842106</v>
      </c>
      <c r="O8" s="41">
        <v>0</v>
      </c>
      <c r="P8" s="41">
        <v>0</v>
      </c>
      <c r="Q8" s="41">
        <v>9</v>
      </c>
      <c r="R8" s="41">
        <v>18.75</v>
      </c>
      <c r="S8" s="41">
        <v>19</v>
      </c>
      <c r="T8" s="41">
        <v>20</v>
      </c>
      <c r="U8" s="41">
        <v>20</v>
      </c>
      <c r="V8" s="41">
        <v>21.428571428571427</v>
      </c>
      <c r="W8" s="41">
        <v>22.777777777777779</v>
      </c>
      <c r="X8" s="41">
        <v>23.333333333333332</v>
      </c>
      <c r="Y8" s="41">
        <v>23.333333333333332</v>
      </c>
      <c r="Z8" s="41">
        <v>23.333333333333332</v>
      </c>
      <c r="AA8" s="41">
        <v>23.333333333333332</v>
      </c>
      <c r="AB8" s="41">
        <v>21.428571428571427</v>
      </c>
      <c r="AC8" s="41">
        <v>20.5</v>
      </c>
    </row>
    <row r="9" spans="1:29" x14ac:dyDescent="0.25">
      <c r="B9" s="111" t="s">
        <v>4</v>
      </c>
      <c r="C9" s="111"/>
      <c r="D9" s="111"/>
      <c r="E9" s="41">
        <v>140</v>
      </c>
      <c r="F9" s="41">
        <v>140</v>
      </c>
      <c r="G9" s="41">
        <v>125</v>
      </c>
      <c r="H9" s="41">
        <v>125</v>
      </c>
      <c r="I9" s="41">
        <v>125</v>
      </c>
      <c r="J9" s="41">
        <v>125</v>
      </c>
      <c r="K9" s="41">
        <v>125</v>
      </c>
      <c r="L9" s="41">
        <v>125</v>
      </c>
      <c r="M9" s="41">
        <v>125</v>
      </c>
      <c r="N9" s="41">
        <v>125</v>
      </c>
      <c r="O9" s="41">
        <v>159</v>
      </c>
      <c r="P9" s="41">
        <v>159</v>
      </c>
      <c r="Q9" s="41">
        <v>159</v>
      </c>
      <c r="R9" s="41">
        <v>159</v>
      </c>
      <c r="S9" s="41">
        <v>159</v>
      </c>
      <c r="T9" s="41">
        <v>159</v>
      </c>
      <c r="U9" s="41">
        <v>159</v>
      </c>
      <c r="V9" s="41">
        <v>159</v>
      </c>
      <c r="W9" s="41">
        <v>159</v>
      </c>
      <c r="X9" s="41">
        <v>159</v>
      </c>
      <c r="Y9" s="41">
        <v>159</v>
      </c>
      <c r="Z9" s="41">
        <v>159</v>
      </c>
      <c r="AA9" s="41">
        <v>159</v>
      </c>
      <c r="AB9" s="41">
        <v>159</v>
      </c>
      <c r="AC9" s="41">
        <v>159</v>
      </c>
    </row>
    <row r="10" spans="1:29" x14ac:dyDescent="0.25">
      <c r="B10" s="111" t="s">
        <v>3</v>
      </c>
      <c r="C10" s="111"/>
      <c r="D10" s="111"/>
      <c r="E10" s="41">
        <v>10</v>
      </c>
      <c r="F10" s="41">
        <v>10</v>
      </c>
      <c r="G10" s="41">
        <v>10</v>
      </c>
      <c r="H10" s="41">
        <v>9</v>
      </c>
      <c r="I10" s="41">
        <v>9</v>
      </c>
      <c r="J10" s="41">
        <v>5</v>
      </c>
      <c r="K10" s="41">
        <v>10</v>
      </c>
      <c r="L10" s="41">
        <v>10</v>
      </c>
      <c r="M10" s="41">
        <v>9.5</v>
      </c>
      <c r="N10" s="41">
        <v>9.5</v>
      </c>
      <c r="O10" s="41">
        <v>10</v>
      </c>
      <c r="P10" s="41">
        <v>5</v>
      </c>
      <c r="Q10" s="41">
        <v>10</v>
      </c>
      <c r="R10" s="41">
        <v>8</v>
      </c>
      <c r="S10" s="41">
        <v>10</v>
      </c>
      <c r="T10" s="41">
        <v>10</v>
      </c>
      <c r="U10" s="41">
        <v>10</v>
      </c>
      <c r="V10" s="41">
        <v>7</v>
      </c>
      <c r="W10" s="41">
        <v>9</v>
      </c>
      <c r="X10" s="41">
        <v>9</v>
      </c>
      <c r="Y10" s="41">
        <v>9</v>
      </c>
      <c r="Z10" s="41">
        <v>9</v>
      </c>
      <c r="AA10" s="41">
        <v>9</v>
      </c>
      <c r="AB10" s="41">
        <v>7</v>
      </c>
      <c r="AC10" s="41">
        <v>10</v>
      </c>
    </row>
    <row r="27" spans="1:29" x14ac:dyDescent="0.25">
      <c r="A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</row>
    <row r="28" spans="1:29" x14ac:dyDescent="0.25">
      <c r="B28" s="42"/>
      <c r="C28" s="42"/>
      <c r="D28" s="42"/>
    </row>
    <row r="29" spans="1:29" x14ac:dyDescent="0.25">
      <c r="B29" s="42"/>
      <c r="C29" s="42"/>
      <c r="D29" s="42"/>
    </row>
    <row r="30" spans="1:29" x14ac:dyDescent="0.25">
      <c r="B30" s="42"/>
      <c r="C30" s="42"/>
      <c r="D30" s="42"/>
    </row>
    <row r="31" spans="1:29" x14ac:dyDescent="0.25">
      <c r="B31" s="42"/>
      <c r="C31" s="42"/>
      <c r="D31" s="42"/>
    </row>
    <row r="32" spans="1:29" x14ac:dyDescent="0.25">
      <c r="B32" s="42"/>
      <c r="C32" s="42"/>
      <c r="D32" s="42"/>
    </row>
    <row r="33" spans="1:28" x14ac:dyDescent="0.25">
      <c r="B33" s="42"/>
      <c r="C33" s="42"/>
      <c r="D33" s="42"/>
    </row>
    <row r="34" spans="1:28" x14ac:dyDescent="0.25">
      <c r="B34" s="42"/>
      <c r="C34" s="42"/>
      <c r="D34" s="42"/>
    </row>
    <row r="36" spans="1:28" x14ac:dyDescent="0.25">
      <c r="A36" s="42" t="s">
        <v>61</v>
      </c>
      <c r="B36" s="39"/>
      <c r="C36" s="39"/>
      <c r="D36" s="39"/>
      <c r="E36" s="39">
        <v>2</v>
      </c>
      <c r="F36" s="39">
        <v>3</v>
      </c>
      <c r="G36" s="39">
        <v>4</v>
      </c>
      <c r="H36" s="39">
        <v>5</v>
      </c>
      <c r="I36" s="39">
        <v>7</v>
      </c>
      <c r="J36" s="39">
        <v>8</v>
      </c>
      <c r="K36" s="39">
        <v>9</v>
      </c>
      <c r="L36" s="39">
        <v>10</v>
      </c>
      <c r="M36" s="39">
        <v>11</v>
      </c>
      <c r="N36" s="39">
        <v>12</v>
      </c>
      <c r="O36" s="39">
        <v>14</v>
      </c>
      <c r="P36" s="39">
        <v>15</v>
      </c>
      <c r="Q36" s="39">
        <v>16</v>
      </c>
      <c r="R36" s="39">
        <v>17</v>
      </c>
      <c r="S36" s="39">
        <v>18</v>
      </c>
      <c r="T36" s="39">
        <v>19</v>
      </c>
      <c r="U36" s="39">
        <v>21</v>
      </c>
      <c r="V36" s="39">
        <v>22</v>
      </c>
      <c r="W36" s="39">
        <v>23</v>
      </c>
      <c r="X36" s="39">
        <v>24</v>
      </c>
      <c r="Y36" s="39">
        <v>25</v>
      </c>
      <c r="Z36" s="39">
        <v>26</v>
      </c>
      <c r="AA36" s="39">
        <v>28</v>
      </c>
      <c r="AB36" s="42"/>
    </row>
    <row r="37" spans="1:28" x14ac:dyDescent="0.25">
      <c r="B37" s="39" t="s">
        <v>44</v>
      </c>
      <c r="C37" s="39" t="s">
        <v>17</v>
      </c>
      <c r="D37" s="39" t="s">
        <v>38</v>
      </c>
      <c r="E37" s="2">
        <v>220</v>
      </c>
      <c r="F37" s="2">
        <v>220</v>
      </c>
      <c r="G37" s="2">
        <v>220</v>
      </c>
      <c r="H37" s="2">
        <v>150</v>
      </c>
      <c r="I37" s="2">
        <v>230</v>
      </c>
      <c r="J37" s="2">
        <v>235</v>
      </c>
      <c r="K37" s="2">
        <v>240</v>
      </c>
      <c r="L37" s="2">
        <v>61</v>
      </c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55"/>
    </row>
    <row r="38" spans="1:28" x14ac:dyDescent="0.25">
      <c r="B38" s="39" t="s">
        <v>44</v>
      </c>
      <c r="C38" s="39" t="s">
        <v>13</v>
      </c>
      <c r="D38" s="39" t="s">
        <v>34</v>
      </c>
      <c r="E38" s="2"/>
      <c r="F38" s="2"/>
      <c r="G38" s="2"/>
      <c r="H38" s="2"/>
      <c r="I38" s="2"/>
      <c r="J38" s="2"/>
      <c r="K38" s="2"/>
      <c r="L38" s="2"/>
      <c r="M38" s="2">
        <v>150</v>
      </c>
      <c r="N38" s="2">
        <v>100</v>
      </c>
      <c r="O38" s="2">
        <v>180</v>
      </c>
      <c r="P38" s="2">
        <v>160</v>
      </c>
      <c r="Q38" s="2">
        <v>150</v>
      </c>
      <c r="R38" s="2">
        <v>150</v>
      </c>
      <c r="S38" s="2">
        <v>150</v>
      </c>
      <c r="T38" s="2">
        <v>150</v>
      </c>
      <c r="U38" s="2">
        <v>150</v>
      </c>
      <c r="V38" s="2">
        <v>134</v>
      </c>
      <c r="W38" s="2">
        <v>230</v>
      </c>
      <c r="X38" s="2">
        <v>185</v>
      </c>
      <c r="Y38" s="2">
        <v>92</v>
      </c>
      <c r="Z38" s="2"/>
      <c r="AA38" s="55"/>
    </row>
    <row r="39" spans="1:28" x14ac:dyDescent="0.25">
      <c r="B39" s="39" t="s">
        <v>46</v>
      </c>
      <c r="C39" s="39" t="s">
        <v>43</v>
      </c>
      <c r="D39" s="39" t="s">
        <v>91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>
        <v>50</v>
      </c>
      <c r="AA39" s="55">
        <v>320</v>
      </c>
    </row>
    <row r="40" spans="1:28" x14ac:dyDescent="0.25">
      <c r="B40" s="111" t="s">
        <v>1</v>
      </c>
      <c r="C40" s="111"/>
      <c r="D40" s="111"/>
      <c r="E40" s="41">
        <v>220</v>
      </c>
      <c r="F40" s="41">
        <v>220</v>
      </c>
      <c r="G40" s="41">
        <v>220</v>
      </c>
      <c r="H40" s="41">
        <v>150</v>
      </c>
      <c r="I40" s="41">
        <v>220</v>
      </c>
      <c r="J40" s="41">
        <v>235</v>
      </c>
      <c r="K40" s="41">
        <v>240</v>
      </c>
      <c r="L40" s="41">
        <v>61</v>
      </c>
      <c r="M40" s="41">
        <v>150</v>
      </c>
      <c r="N40" s="41">
        <v>100</v>
      </c>
      <c r="O40" s="41">
        <v>180</v>
      </c>
      <c r="P40" s="41">
        <v>180</v>
      </c>
      <c r="Q40" s="41">
        <v>180</v>
      </c>
      <c r="R40" s="41">
        <v>180</v>
      </c>
      <c r="S40" s="41">
        <v>180</v>
      </c>
      <c r="T40" s="41">
        <v>150</v>
      </c>
      <c r="U40" s="41">
        <v>150</v>
      </c>
      <c r="V40" s="41">
        <v>230</v>
      </c>
      <c r="W40" s="41">
        <v>230</v>
      </c>
      <c r="X40" s="41">
        <v>185</v>
      </c>
      <c r="Y40" s="41">
        <v>92</v>
      </c>
      <c r="Z40" s="41">
        <v>0</v>
      </c>
      <c r="AA40" s="47">
        <v>350</v>
      </c>
    </row>
    <row r="41" spans="1:28" x14ac:dyDescent="0.25">
      <c r="B41" s="111" t="s">
        <v>2</v>
      </c>
      <c r="C41" s="111"/>
      <c r="D41" s="111"/>
      <c r="E41" s="41">
        <f t="shared" ref="E41:L41" si="0">E37/E43</f>
        <v>24.444444444444443</v>
      </c>
      <c r="F41" s="41">
        <f t="shared" si="0"/>
        <v>24.444444444444443</v>
      </c>
      <c r="G41" s="41">
        <f t="shared" si="0"/>
        <v>24.444444444444443</v>
      </c>
      <c r="H41" s="41">
        <f t="shared" si="0"/>
        <v>21.428571428571427</v>
      </c>
      <c r="I41" s="41">
        <f t="shared" si="0"/>
        <v>25.555555555555557</v>
      </c>
      <c r="J41" s="41">
        <f t="shared" si="0"/>
        <v>26.111111111111111</v>
      </c>
      <c r="K41" s="41">
        <f t="shared" si="0"/>
        <v>26.666666666666668</v>
      </c>
      <c r="L41" s="41">
        <f t="shared" si="0"/>
        <v>6.7777777777777777</v>
      </c>
      <c r="M41" s="41">
        <f t="shared" ref="M41:Y41" si="1">M38/M43</f>
        <v>16.666666666666668</v>
      </c>
      <c r="N41" s="41">
        <f t="shared" si="1"/>
        <v>14.285714285714286</v>
      </c>
      <c r="O41" s="41">
        <f t="shared" si="1"/>
        <v>20</v>
      </c>
      <c r="P41" s="41">
        <f t="shared" si="1"/>
        <v>17.777777777777779</v>
      </c>
      <c r="Q41" s="41">
        <f t="shared" si="1"/>
        <v>20</v>
      </c>
      <c r="R41" s="41">
        <f t="shared" si="1"/>
        <v>21.428571428571427</v>
      </c>
      <c r="S41" s="41">
        <f t="shared" si="1"/>
        <v>21.428571428571427</v>
      </c>
      <c r="T41" s="41">
        <f t="shared" si="1"/>
        <v>21.428571428571427</v>
      </c>
      <c r="U41" s="41">
        <f t="shared" si="1"/>
        <v>21.428571428571427</v>
      </c>
      <c r="V41" s="41">
        <f t="shared" si="1"/>
        <v>22.333333333333332</v>
      </c>
      <c r="W41" s="41">
        <f t="shared" si="1"/>
        <v>23</v>
      </c>
      <c r="X41" s="41">
        <f t="shared" si="1"/>
        <v>26.428571428571427</v>
      </c>
      <c r="Y41" s="41">
        <f t="shared" si="1"/>
        <v>10.222222222222221</v>
      </c>
      <c r="Z41" s="41">
        <f>Z39/Z43</f>
        <v>7.1428571428571432</v>
      </c>
      <c r="AA41" s="41">
        <f>AA39/AA43</f>
        <v>37.647058823529413</v>
      </c>
    </row>
    <row r="42" spans="1:28" x14ac:dyDescent="0.25">
      <c r="B42" s="111" t="s">
        <v>4</v>
      </c>
      <c r="C42" s="111"/>
      <c r="D42" s="111"/>
      <c r="E42" s="41">
        <v>197</v>
      </c>
      <c r="F42" s="41">
        <v>197</v>
      </c>
      <c r="G42" s="41">
        <v>197</v>
      </c>
      <c r="H42" s="41">
        <v>197</v>
      </c>
      <c r="I42" s="41">
        <v>197</v>
      </c>
      <c r="J42" s="41">
        <v>197</v>
      </c>
      <c r="K42" s="41">
        <v>197</v>
      </c>
      <c r="L42" s="41">
        <v>197</v>
      </c>
      <c r="M42" s="41">
        <v>152</v>
      </c>
      <c r="N42" s="41">
        <v>152</v>
      </c>
      <c r="O42" s="41">
        <v>152</v>
      </c>
      <c r="P42" s="41">
        <v>152</v>
      </c>
      <c r="Q42" s="41">
        <v>152</v>
      </c>
      <c r="R42" s="41">
        <v>152</v>
      </c>
      <c r="S42" s="41">
        <v>152</v>
      </c>
      <c r="T42" s="41">
        <v>152</v>
      </c>
      <c r="U42" s="41">
        <v>152</v>
      </c>
      <c r="V42" s="41">
        <v>152</v>
      </c>
      <c r="W42" s="41">
        <v>152</v>
      </c>
      <c r="X42" s="41">
        <v>152</v>
      </c>
      <c r="Y42" s="41">
        <v>152</v>
      </c>
      <c r="Z42" s="41">
        <v>185</v>
      </c>
      <c r="AA42" s="41">
        <v>185</v>
      </c>
    </row>
    <row r="43" spans="1:28" x14ac:dyDescent="0.25">
      <c r="B43" s="111" t="s">
        <v>3</v>
      </c>
      <c r="C43" s="111"/>
      <c r="D43" s="111"/>
      <c r="E43" s="41">
        <v>9</v>
      </c>
      <c r="F43" s="41">
        <v>9</v>
      </c>
      <c r="G43" s="41">
        <v>9</v>
      </c>
      <c r="H43" s="41">
        <v>7</v>
      </c>
      <c r="I43" s="41">
        <v>9</v>
      </c>
      <c r="J43" s="41">
        <v>9</v>
      </c>
      <c r="K43" s="41">
        <v>9</v>
      </c>
      <c r="L43" s="41">
        <v>9</v>
      </c>
      <c r="M43" s="41">
        <v>9</v>
      </c>
      <c r="N43" s="41">
        <v>7</v>
      </c>
      <c r="O43" s="41">
        <v>9</v>
      </c>
      <c r="P43" s="41">
        <v>9</v>
      </c>
      <c r="Q43" s="41">
        <v>7.5</v>
      </c>
      <c r="R43" s="41">
        <v>7</v>
      </c>
      <c r="S43" s="41">
        <v>7</v>
      </c>
      <c r="T43" s="41">
        <v>7</v>
      </c>
      <c r="U43" s="41">
        <v>7</v>
      </c>
      <c r="V43" s="41">
        <v>6</v>
      </c>
      <c r="W43" s="41">
        <v>10</v>
      </c>
      <c r="X43" s="41">
        <v>7</v>
      </c>
      <c r="Y43" s="41">
        <v>9</v>
      </c>
      <c r="Z43" s="41">
        <v>7</v>
      </c>
      <c r="AA43" s="47">
        <v>8.5</v>
      </c>
    </row>
    <row r="69" spans="1:32" x14ac:dyDescent="0.25">
      <c r="A69" s="42" t="s">
        <v>62</v>
      </c>
      <c r="B69" s="25"/>
      <c r="C69" s="25"/>
      <c r="D69" s="25"/>
      <c r="E69" s="39">
        <v>1</v>
      </c>
      <c r="F69" s="39">
        <v>2</v>
      </c>
      <c r="G69" s="39">
        <v>3</v>
      </c>
      <c r="H69" s="39">
        <v>4</v>
      </c>
      <c r="I69" s="39">
        <v>5</v>
      </c>
      <c r="J69" s="39">
        <v>7</v>
      </c>
      <c r="K69" s="39">
        <v>8</v>
      </c>
      <c r="L69" s="39">
        <v>9</v>
      </c>
      <c r="M69" s="39">
        <v>10</v>
      </c>
      <c r="N69" s="39">
        <v>11</v>
      </c>
      <c r="O69" s="39">
        <v>12</v>
      </c>
      <c r="P69" s="39">
        <v>14</v>
      </c>
      <c r="Q69" s="39">
        <v>15</v>
      </c>
      <c r="R69" s="39">
        <v>16</v>
      </c>
      <c r="S69" s="39">
        <v>17</v>
      </c>
      <c r="T69" s="39">
        <v>18</v>
      </c>
      <c r="U69" s="39">
        <v>19</v>
      </c>
      <c r="V69" s="39">
        <v>21</v>
      </c>
      <c r="W69" s="39">
        <v>22</v>
      </c>
      <c r="X69" s="39">
        <v>23</v>
      </c>
      <c r="Y69" s="39">
        <v>24</v>
      </c>
      <c r="Z69" s="39">
        <v>25</v>
      </c>
      <c r="AA69" s="39">
        <v>26</v>
      </c>
      <c r="AB69" s="39">
        <v>27</v>
      </c>
      <c r="AC69" s="39">
        <v>28</v>
      </c>
      <c r="AD69" s="39">
        <v>29</v>
      </c>
      <c r="AE69" s="39">
        <v>30</v>
      </c>
      <c r="AF69" s="39">
        <v>31</v>
      </c>
    </row>
    <row r="70" spans="1:32" x14ac:dyDescent="0.25">
      <c r="B70" s="39" t="s">
        <v>46</v>
      </c>
      <c r="C70" s="39" t="s">
        <v>43</v>
      </c>
      <c r="D70" s="39" t="s">
        <v>91</v>
      </c>
      <c r="E70" s="2">
        <v>425</v>
      </c>
      <c r="F70" s="2">
        <v>435</v>
      </c>
      <c r="G70" s="2">
        <v>405</v>
      </c>
      <c r="H70" s="2">
        <v>385</v>
      </c>
      <c r="I70" s="2">
        <v>370</v>
      </c>
      <c r="J70" s="2">
        <v>500</v>
      </c>
      <c r="K70" s="2">
        <v>470</v>
      </c>
      <c r="L70" s="2">
        <v>420</v>
      </c>
      <c r="M70" s="2">
        <v>385</v>
      </c>
      <c r="N70" s="2">
        <v>470</v>
      </c>
      <c r="O70" s="2">
        <v>350</v>
      </c>
      <c r="P70" s="2">
        <v>470</v>
      </c>
      <c r="Q70" s="2">
        <v>460</v>
      </c>
      <c r="R70" s="2">
        <v>400</v>
      </c>
      <c r="S70" s="2">
        <v>460</v>
      </c>
      <c r="T70" s="2">
        <v>470</v>
      </c>
      <c r="U70" s="2">
        <v>350</v>
      </c>
      <c r="V70" s="2">
        <v>86</v>
      </c>
      <c r="W70" s="2"/>
      <c r="X70" s="2"/>
      <c r="Y70" s="2"/>
      <c r="Z70" s="2"/>
      <c r="AA70" s="2"/>
      <c r="AB70" s="2"/>
      <c r="AC70" s="2"/>
      <c r="AD70" s="47"/>
      <c r="AE70" s="47"/>
      <c r="AF70" s="47"/>
    </row>
    <row r="71" spans="1:32" x14ac:dyDescent="0.25">
      <c r="B71" s="39" t="s">
        <v>98</v>
      </c>
      <c r="C71" s="39" t="s">
        <v>52</v>
      </c>
      <c r="D71" s="39" t="s">
        <v>58</v>
      </c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>
        <v>200</v>
      </c>
      <c r="W71" s="2">
        <v>1800</v>
      </c>
      <c r="X71" s="2">
        <v>1900</v>
      </c>
      <c r="Y71" s="2">
        <v>1900</v>
      </c>
      <c r="Z71" s="2">
        <v>2000</v>
      </c>
      <c r="AA71" s="2">
        <v>1650</v>
      </c>
      <c r="AB71" s="2">
        <v>1400</v>
      </c>
      <c r="AC71" s="2">
        <v>2000</v>
      </c>
      <c r="AD71" s="47">
        <v>2000</v>
      </c>
      <c r="AE71" s="47">
        <v>2000</v>
      </c>
      <c r="AF71" s="47">
        <v>2000</v>
      </c>
    </row>
    <row r="72" spans="1:32" x14ac:dyDescent="0.25">
      <c r="B72" s="111" t="s">
        <v>1</v>
      </c>
      <c r="C72" s="111"/>
      <c r="D72" s="111"/>
      <c r="E72" s="41">
        <v>500</v>
      </c>
      <c r="F72" s="41">
        <v>500</v>
      </c>
      <c r="G72" s="41">
        <v>450</v>
      </c>
      <c r="H72" s="41">
        <v>500</v>
      </c>
      <c r="I72" s="41">
        <v>350</v>
      </c>
      <c r="J72" s="41">
        <v>500</v>
      </c>
      <c r="K72" s="41">
        <v>500</v>
      </c>
      <c r="L72" s="41">
        <v>500</v>
      </c>
      <c r="M72" s="41">
        <v>470</v>
      </c>
      <c r="N72" s="41">
        <v>470</v>
      </c>
      <c r="O72" s="41">
        <v>350</v>
      </c>
      <c r="P72" s="41">
        <v>470</v>
      </c>
      <c r="Q72" s="41">
        <v>470</v>
      </c>
      <c r="R72" s="41">
        <v>400</v>
      </c>
      <c r="S72" s="41">
        <v>470</v>
      </c>
      <c r="T72" s="41">
        <v>470</v>
      </c>
      <c r="U72" s="41">
        <v>350</v>
      </c>
      <c r="V72" s="41">
        <v>86</v>
      </c>
      <c r="W72" s="41">
        <v>2200</v>
      </c>
      <c r="X72" s="41">
        <v>2200</v>
      </c>
      <c r="Y72" s="41">
        <v>2000</v>
      </c>
      <c r="Z72" s="41">
        <v>2000</v>
      </c>
      <c r="AA72" s="41">
        <v>1650</v>
      </c>
      <c r="AB72" s="41">
        <v>1400</v>
      </c>
      <c r="AC72" s="41">
        <v>2000</v>
      </c>
      <c r="AD72" s="47">
        <v>2000</v>
      </c>
      <c r="AE72" s="47">
        <v>2000</v>
      </c>
      <c r="AF72" s="47">
        <v>2000</v>
      </c>
    </row>
    <row r="73" spans="1:32" x14ac:dyDescent="0.25">
      <c r="B73" s="111" t="s">
        <v>2</v>
      </c>
      <c r="C73" s="111"/>
      <c r="D73" s="111"/>
      <c r="E73" s="41">
        <f t="shared" ref="E73:V73" si="2">E70/E75</f>
        <v>42.5</v>
      </c>
      <c r="F73" s="41">
        <f t="shared" si="2"/>
        <v>43.5</v>
      </c>
      <c r="G73" s="41">
        <f t="shared" si="2"/>
        <v>45</v>
      </c>
      <c r="H73" s="41">
        <f t="shared" si="2"/>
        <v>38.5</v>
      </c>
      <c r="I73" s="41">
        <f t="shared" si="2"/>
        <v>46.25</v>
      </c>
      <c r="J73" s="41">
        <f t="shared" si="2"/>
        <v>50</v>
      </c>
      <c r="K73" s="41">
        <f t="shared" si="2"/>
        <v>47</v>
      </c>
      <c r="L73" s="41">
        <f t="shared" si="2"/>
        <v>42</v>
      </c>
      <c r="M73" s="41">
        <f t="shared" si="2"/>
        <v>38.5</v>
      </c>
      <c r="N73" s="41">
        <f t="shared" si="2"/>
        <v>40.869565217391305</v>
      </c>
      <c r="O73" s="41">
        <f t="shared" si="2"/>
        <v>38.888888888888886</v>
      </c>
      <c r="P73" s="41">
        <f t="shared" si="2"/>
        <v>44.761904761904759</v>
      </c>
      <c r="Q73" s="41">
        <f t="shared" si="2"/>
        <v>46</v>
      </c>
      <c r="R73" s="41">
        <f t="shared" si="2"/>
        <v>40</v>
      </c>
      <c r="S73" s="41">
        <f t="shared" si="2"/>
        <v>43.80952380952381</v>
      </c>
      <c r="T73" s="41">
        <f t="shared" si="2"/>
        <v>47</v>
      </c>
      <c r="U73" s="41">
        <f t="shared" si="2"/>
        <v>50</v>
      </c>
      <c r="V73" s="41">
        <f t="shared" si="2"/>
        <v>8.6</v>
      </c>
      <c r="W73" s="41">
        <f>W71/W75</f>
        <v>150</v>
      </c>
      <c r="X73" s="41">
        <f t="shared" ref="X73:AE73" si="3">X71/X75</f>
        <v>158.33333333333334</v>
      </c>
      <c r="Y73" s="41">
        <f t="shared" si="3"/>
        <v>158.33333333333334</v>
      </c>
      <c r="Z73" s="41">
        <f t="shared" si="3"/>
        <v>166.66666666666666</v>
      </c>
      <c r="AA73" s="41">
        <f t="shared" si="3"/>
        <v>194.11764705882354</v>
      </c>
      <c r="AB73" s="41">
        <f t="shared" si="3"/>
        <v>200</v>
      </c>
      <c r="AC73" s="41">
        <f t="shared" si="3"/>
        <v>200</v>
      </c>
      <c r="AD73" s="41">
        <f t="shared" si="3"/>
        <v>166.66666666666666</v>
      </c>
      <c r="AE73" s="41">
        <f t="shared" si="3"/>
        <v>166.66666666666666</v>
      </c>
      <c r="AF73" s="41">
        <f>AF71/AF75</f>
        <v>166.66666666666666</v>
      </c>
    </row>
    <row r="74" spans="1:32" x14ac:dyDescent="0.25">
      <c r="B74" s="111" t="s">
        <v>4</v>
      </c>
      <c r="C74" s="111"/>
      <c r="D74" s="111"/>
      <c r="E74" s="41">
        <v>406</v>
      </c>
      <c r="F74" s="41">
        <v>406</v>
      </c>
      <c r="G74" s="41">
        <v>406</v>
      </c>
      <c r="H74" s="41">
        <v>406</v>
      </c>
      <c r="I74" s="41">
        <v>406</v>
      </c>
      <c r="J74" s="41">
        <v>406</v>
      </c>
      <c r="K74" s="41">
        <v>406</v>
      </c>
      <c r="L74" s="41">
        <v>406</v>
      </c>
      <c r="M74" s="41">
        <v>406</v>
      </c>
      <c r="N74" s="41">
        <v>406</v>
      </c>
      <c r="O74" s="41">
        <v>406</v>
      </c>
      <c r="P74" s="41">
        <v>406</v>
      </c>
      <c r="Q74" s="41">
        <v>406</v>
      </c>
      <c r="R74" s="41">
        <v>406</v>
      </c>
      <c r="S74" s="41">
        <v>406</v>
      </c>
      <c r="T74" s="41">
        <v>406</v>
      </c>
      <c r="U74" s="41">
        <v>406</v>
      </c>
      <c r="V74" s="41">
        <v>406</v>
      </c>
      <c r="W74" s="41">
        <v>1865</v>
      </c>
      <c r="X74" s="41">
        <v>1865</v>
      </c>
      <c r="Y74" s="41">
        <v>1865</v>
      </c>
      <c r="Z74" s="41">
        <v>1865</v>
      </c>
      <c r="AA74" s="41">
        <v>1865</v>
      </c>
      <c r="AB74" s="41">
        <v>1865</v>
      </c>
      <c r="AC74" s="41">
        <v>1865</v>
      </c>
      <c r="AD74" s="41">
        <v>1865</v>
      </c>
      <c r="AE74" s="41">
        <v>1865</v>
      </c>
      <c r="AF74" s="41">
        <v>1865</v>
      </c>
    </row>
    <row r="75" spans="1:32" x14ac:dyDescent="0.25">
      <c r="B75" s="111" t="s">
        <v>3</v>
      </c>
      <c r="C75" s="111"/>
      <c r="D75" s="111"/>
      <c r="E75" s="41">
        <v>10</v>
      </c>
      <c r="F75" s="41">
        <v>10</v>
      </c>
      <c r="G75" s="41">
        <v>9</v>
      </c>
      <c r="H75" s="41">
        <v>10</v>
      </c>
      <c r="I75" s="41">
        <v>8</v>
      </c>
      <c r="J75" s="41">
        <v>10</v>
      </c>
      <c r="K75" s="41">
        <v>10</v>
      </c>
      <c r="L75" s="41">
        <v>10</v>
      </c>
      <c r="M75" s="41">
        <v>10</v>
      </c>
      <c r="N75" s="41">
        <v>11.5</v>
      </c>
      <c r="O75" s="41">
        <v>9</v>
      </c>
      <c r="P75" s="41">
        <v>10.5</v>
      </c>
      <c r="Q75" s="41">
        <v>10</v>
      </c>
      <c r="R75" s="41">
        <v>10</v>
      </c>
      <c r="S75" s="41">
        <v>10.5</v>
      </c>
      <c r="T75" s="41">
        <v>10</v>
      </c>
      <c r="U75" s="41">
        <v>7</v>
      </c>
      <c r="V75" s="41">
        <v>10</v>
      </c>
      <c r="W75" s="41">
        <v>12</v>
      </c>
      <c r="X75" s="41">
        <v>12</v>
      </c>
      <c r="Y75" s="41">
        <v>12</v>
      </c>
      <c r="Z75" s="41">
        <v>12</v>
      </c>
      <c r="AA75" s="41">
        <v>8.5</v>
      </c>
      <c r="AB75" s="41">
        <v>7</v>
      </c>
      <c r="AC75" s="41">
        <v>10</v>
      </c>
      <c r="AD75" s="47">
        <v>12</v>
      </c>
      <c r="AE75" s="47">
        <v>12</v>
      </c>
      <c r="AF75" s="47">
        <v>12</v>
      </c>
    </row>
    <row r="101" spans="1:32" x14ac:dyDescent="0.25">
      <c r="A101" s="42" t="s">
        <v>63</v>
      </c>
      <c r="B101" s="25"/>
      <c r="C101" s="25"/>
      <c r="D101" s="25"/>
      <c r="E101" s="39">
        <v>1</v>
      </c>
      <c r="F101" s="39">
        <v>2</v>
      </c>
      <c r="G101" s="39">
        <v>4</v>
      </c>
      <c r="H101" s="39">
        <v>5</v>
      </c>
      <c r="I101" s="39">
        <v>6</v>
      </c>
      <c r="J101" s="39">
        <v>7</v>
      </c>
      <c r="K101" s="39">
        <v>8</v>
      </c>
      <c r="L101" s="39">
        <v>9</v>
      </c>
      <c r="M101" s="39">
        <v>11</v>
      </c>
      <c r="N101" s="39">
        <v>12</v>
      </c>
      <c r="O101" s="39">
        <v>13</v>
      </c>
      <c r="P101" s="39">
        <v>14</v>
      </c>
      <c r="Q101" s="39">
        <v>15</v>
      </c>
      <c r="R101" s="39">
        <v>16</v>
      </c>
      <c r="S101" s="39">
        <v>18</v>
      </c>
      <c r="T101" s="39">
        <v>19</v>
      </c>
      <c r="U101" s="39">
        <v>20</v>
      </c>
      <c r="V101" s="39">
        <v>21</v>
      </c>
      <c r="W101" s="39">
        <v>22</v>
      </c>
      <c r="X101" s="39">
        <v>23</v>
      </c>
      <c r="Y101" s="39">
        <v>24</v>
      </c>
      <c r="Z101" s="39">
        <v>25</v>
      </c>
      <c r="AA101" s="39">
        <v>26</v>
      </c>
      <c r="AB101" s="39">
        <v>27</v>
      </c>
      <c r="AC101" s="39">
        <v>28</v>
      </c>
      <c r="AD101" s="39">
        <v>29</v>
      </c>
      <c r="AE101" s="39">
        <v>30</v>
      </c>
      <c r="AF101" s="42"/>
    </row>
    <row r="102" spans="1:32" x14ac:dyDescent="0.25">
      <c r="B102" s="39" t="s">
        <v>98</v>
      </c>
      <c r="C102" s="39" t="s">
        <v>52</v>
      </c>
      <c r="D102" s="39" t="s">
        <v>58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>
        <v>1150</v>
      </c>
      <c r="AD102" s="47">
        <v>1400</v>
      </c>
      <c r="AE102" s="47"/>
    </row>
    <row r="103" spans="1:32" x14ac:dyDescent="0.25">
      <c r="B103" s="111" t="s">
        <v>1</v>
      </c>
      <c r="C103" s="111"/>
      <c r="D103" s="11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>
        <v>1200</v>
      </c>
      <c r="AD103" s="47">
        <v>1700</v>
      </c>
      <c r="AE103" s="47"/>
    </row>
    <row r="104" spans="1:32" x14ac:dyDescent="0.25">
      <c r="B104" s="111" t="s">
        <v>2</v>
      </c>
      <c r="C104" s="111"/>
      <c r="D104" s="11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>
        <f>AC102/AC106</f>
        <v>115</v>
      </c>
      <c r="AD104" s="41">
        <f>AD102/AD106</f>
        <v>164.70588235294119</v>
      </c>
      <c r="AE104" s="41"/>
    </row>
    <row r="105" spans="1:32" x14ac:dyDescent="0.25">
      <c r="B105" s="111" t="s">
        <v>4</v>
      </c>
      <c r="C105" s="111"/>
      <c r="D105" s="11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>
        <v>1275</v>
      </c>
      <c r="AD105" s="41">
        <v>1275</v>
      </c>
      <c r="AE105" s="41"/>
    </row>
    <row r="106" spans="1:32" x14ac:dyDescent="0.25">
      <c r="B106" s="111" t="s">
        <v>3</v>
      </c>
      <c r="C106" s="111"/>
      <c r="D106" s="11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>
        <v>10</v>
      </c>
      <c r="AD106" s="47">
        <v>8.5</v>
      </c>
      <c r="AE106" s="47"/>
    </row>
    <row r="107" spans="1:32" x14ac:dyDescent="0.25">
      <c r="B107" s="42"/>
      <c r="C107" s="42"/>
      <c r="D107" s="42"/>
    </row>
    <row r="131" spans="1:25" x14ac:dyDescent="0.25">
      <c r="A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</row>
    <row r="132" spans="1:25" x14ac:dyDescent="0.25">
      <c r="A132" s="42" t="s">
        <v>64</v>
      </c>
      <c r="B132" s="39"/>
      <c r="C132" s="39"/>
      <c r="D132" s="39"/>
      <c r="E132" s="63">
        <v>7</v>
      </c>
      <c r="F132" s="63">
        <v>9</v>
      </c>
      <c r="G132" s="63">
        <v>10</v>
      </c>
      <c r="H132" s="63">
        <v>11</v>
      </c>
      <c r="I132" s="63">
        <v>12</v>
      </c>
      <c r="J132" s="63">
        <v>13</v>
      </c>
      <c r="K132" s="63">
        <v>14</v>
      </c>
      <c r="L132" s="63">
        <v>16</v>
      </c>
      <c r="M132" s="63">
        <v>17</v>
      </c>
      <c r="N132" s="63">
        <v>18</v>
      </c>
      <c r="O132" s="63">
        <v>19</v>
      </c>
      <c r="P132" s="63">
        <v>20</v>
      </c>
      <c r="Q132" s="63">
        <v>21</v>
      </c>
      <c r="R132" s="63">
        <v>23</v>
      </c>
      <c r="S132" s="63">
        <v>24</v>
      </c>
      <c r="T132" s="63">
        <v>25</v>
      </c>
      <c r="U132" s="63">
        <v>26</v>
      </c>
      <c r="V132" s="63">
        <v>27</v>
      </c>
      <c r="W132" s="63">
        <v>28</v>
      </c>
      <c r="X132" s="63">
        <v>30</v>
      </c>
      <c r="Y132" s="63">
        <v>31</v>
      </c>
    </row>
    <row r="133" spans="1:25" x14ac:dyDescent="0.25">
      <c r="B133" s="39" t="s">
        <v>98</v>
      </c>
      <c r="C133" s="39" t="s">
        <v>52</v>
      </c>
      <c r="D133" s="39" t="s">
        <v>58</v>
      </c>
      <c r="E133" s="2">
        <v>555</v>
      </c>
      <c r="F133" s="2">
        <v>464</v>
      </c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</row>
    <row r="134" spans="1:25" x14ac:dyDescent="0.25">
      <c r="B134" s="39" t="s">
        <v>100</v>
      </c>
      <c r="C134" s="39" t="s">
        <v>16</v>
      </c>
      <c r="D134" s="39" t="s">
        <v>33</v>
      </c>
      <c r="E134" s="2"/>
      <c r="F134" s="2"/>
      <c r="G134" s="2">
        <v>15</v>
      </c>
      <c r="H134" s="2">
        <v>75</v>
      </c>
      <c r="I134" s="2">
        <v>16</v>
      </c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>
        <v>402</v>
      </c>
      <c r="U134" s="2"/>
      <c r="V134" s="2"/>
      <c r="W134" s="2"/>
      <c r="X134" s="2"/>
      <c r="Y134" s="2"/>
    </row>
    <row r="135" spans="1:25" x14ac:dyDescent="0.25">
      <c r="B135" s="111" t="s">
        <v>1</v>
      </c>
      <c r="C135" s="111"/>
      <c r="D135" s="111"/>
      <c r="E135" s="41">
        <v>555</v>
      </c>
      <c r="F135" s="41">
        <v>150</v>
      </c>
      <c r="G135" s="41">
        <v>100</v>
      </c>
      <c r="H135" s="41">
        <v>160</v>
      </c>
      <c r="I135" s="41">
        <v>200</v>
      </c>
      <c r="J135" s="41">
        <v>560</v>
      </c>
      <c r="K135" s="41">
        <v>640</v>
      </c>
      <c r="L135" s="41">
        <v>800</v>
      </c>
      <c r="M135" s="41">
        <v>800</v>
      </c>
      <c r="N135" s="41">
        <v>800</v>
      </c>
      <c r="O135" s="41">
        <v>800</v>
      </c>
      <c r="P135" s="41">
        <v>800</v>
      </c>
      <c r="Q135" s="41">
        <v>600</v>
      </c>
      <c r="R135" s="41">
        <v>850</v>
      </c>
      <c r="S135" s="41"/>
      <c r="T135" s="41">
        <v>402</v>
      </c>
      <c r="U135" s="41"/>
      <c r="V135" s="41"/>
      <c r="W135" s="41"/>
      <c r="X135" s="41"/>
      <c r="Y135" s="41"/>
    </row>
    <row r="136" spans="1:25" x14ac:dyDescent="0.25">
      <c r="B136" s="111" t="s">
        <v>2</v>
      </c>
      <c r="C136" s="111"/>
      <c r="D136" s="111"/>
      <c r="E136" s="41">
        <f>E133/E138</f>
        <v>111</v>
      </c>
      <c r="F136" s="41">
        <f>F133/F138</f>
        <v>46.4</v>
      </c>
      <c r="G136" s="41">
        <f>G134/G138</f>
        <v>1.5</v>
      </c>
      <c r="H136" s="41">
        <f t="shared" ref="H136:T136" si="4">H134/H138</f>
        <v>7.5</v>
      </c>
      <c r="I136" s="41">
        <f t="shared" si="4"/>
        <v>1.6</v>
      </c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>
        <f t="shared" si="4"/>
        <v>40.200000000000003</v>
      </c>
      <c r="U136" s="41"/>
      <c r="V136" s="41"/>
      <c r="W136" s="41"/>
      <c r="X136" s="41"/>
      <c r="Y136" s="41"/>
    </row>
    <row r="137" spans="1:25" x14ac:dyDescent="0.25">
      <c r="B137" s="111" t="s">
        <v>4</v>
      </c>
      <c r="C137" s="111"/>
      <c r="D137" s="111"/>
      <c r="E137" s="41">
        <v>510</v>
      </c>
      <c r="F137" s="41">
        <v>510</v>
      </c>
      <c r="G137" s="41">
        <v>127</v>
      </c>
      <c r="H137" s="41">
        <v>127</v>
      </c>
      <c r="I137" s="41">
        <v>127</v>
      </c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>
        <v>127</v>
      </c>
      <c r="U137" s="41"/>
      <c r="V137" s="41"/>
      <c r="W137" s="41"/>
      <c r="X137" s="41"/>
      <c r="Y137" s="41"/>
    </row>
    <row r="138" spans="1:25" x14ac:dyDescent="0.25">
      <c r="B138" s="111" t="s">
        <v>3</v>
      </c>
      <c r="C138" s="111"/>
      <c r="D138" s="111"/>
      <c r="E138" s="57">
        <v>5</v>
      </c>
      <c r="F138" s="57">
        <v>10</v>
      </c>
      <c r="G138" s="57">
        <v>10</v>
      </c>
      <c r="H138" s="57">
        <v>10</v>
      </c>
      <c r="I138" s="57">
        <v>10</v>
      </c>
      <c r="J138" s="57">
        <v>10</v>
      </c>
      <c r="K138" s="57">
        <v>8</v>
      </c>
      <c r="L138" s="57">
        <v>9</v>
      </c>
      <c r="M138" s="57">
        <v>10</v>
      </c>
      <c r="N138" s="57">
        <v>10</v>
      </c>
      <c r="O138" s="57">
        <v>10</v>
      </c>
      <c r="P138" s="57">
        <v>10</v>
      </c>
      <c r="Q138" s="57">
        <v>8</v>
      </c>
      <c r="R138" s="57">
        <v>10</v>
      </c>
      <c r="S138" s="57"/>
      <c r="T138" s="57">
        <v>10</v>
      </c>
      <c r="U138" s="57"/>
      <c r="V138" s="57"/>
      <c r="W138" s="57"/>
      <c r="X138" s="57"/>
      <c r="Y138" s="57"/>
    </row>
    <row r="164" spans="1:30" x14ac:dyDescent="0.25">
      <c r="A164" s="42" t="s">
        <v>65</v>
      </c>
      <c r="B164" s="25"/>
      <c r="C164" s="25"/>
      <c r="D164" s="25"/>
      <c r="E164" s="39">
        <v>1</v>
      </c>
      <c r="F164" s="39">
        <v>2</v>
      </c>
      <c r="G164" s="39">
        <v>3</v>
      </c>
      <c r="H164" s="39">
        <v>4</v>
      </c>
      <c r="I164" s="39">
        <v>6</v>
      </c>
      <c r="J164" s="39">
        <v>7</v>
      </c>
      <c r="K164" s="39">
        <v>8</v>
      </c>
      <c r="L164" s="39">
        <v>9</v>
      </c>
      <c r="M164" s="39">
        <v>10</v>
      </c>
      <c r="N164" s="39">
        <v>11</v>
      </c>
      <c r="O164" s="39">
        <v>13</v>
      </c>
      <c r="P164" s="39">
        <v>14</v>
      </c>
      <c r="Q164" s="39">
        <v>15</v>
      </c>
      <c r="R164" s="39">
        <v>16</v>
      </c>
      <c r="S164" s="39">
        <v>17</v>
      </c>
      <c r="T164" s="39">
        <v>18</v>
      </c>
      <c r="U164" s="39">
        <v>20</v>
      </c>
      <c r="V164" s="39">
        <v>21</v>
      </c>
      <c r="W164" s="39">
        <v>22</v>
      </c>
      <c r="X164" s="39">
        <v>23</v>
      </c>
      <c r="Y164" s="39">
        <v>24</v>
      </c>
      <c r="Z164" s="39">
        <v>25</v>
      </c>
      <c r="AA164" s="39">
        <v>27</v>
      </c>
      <c r="AB164" s="39">
        <v>28</v>
      </c>
      <c r="AC164" s="39">
        <v>29</v>
      </c>
      <c r="AD164" s="39">
        <v>30</v>
      </c>
    </row>
    <row r="165" spans="1:30" x14ac:dyDescent="0.25">
      <c r="B165" s="39" t="s">
        <v>14</v>
      </c>
      <c r="C165" s="39" t="s">
        <v>12</v>
      </c>
      <c r="D165" s="39" t="s">
        <v>32</v>
      </c>
      <c r="E165" s="25">
        <v>3915</v>
      </c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  <c r="AD165" s="25"/>
    </row>
    <row r="166" spans="1:30" x14ac:dyDescent="0.25">
      <c r="B166" s="39" t="s">
        <v>14</v>
      </c>
      <c r="C166" s="39" t="s">
        <v>13</v>
      </c>
      <c r="D166" s="39" t="s">
        <v>59</v>
      </c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D166" s="25"/>
    </row>
    <row r="167" spans="1:30" x14ac:dyDescent="0.25">
      <c r="B167" s="111" t="s">
        <v>1</v>
      </c>
      <c r="C167" s="111"/>
      <c r="D167" s="111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D167" s="25"/>
    </row>
    <row r="168" spans="1:30" x14ac:dyDescent="0.25">
      <c r="B168" s="111" t="s">
        <v>2</v>
      </c>
      <c r="C168" s="111"/>
      <c r="D168" s="111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  <c r="AD168" s="25"/>
    </row>
    <row r="169" spans="1:30" x14ac:dyDescent="0.25">
      <c r="B169" s="111" t="s">
        <v>4</v>
      </c>
      <c r="C169" s="111"/>
      <c r="D169" s="111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</row>
    <row r="170" spans="1:30" x14ac:dyDescent="0.25">
      <c r="B170" s="111" t="s">
        <v>3</v>
      </c>
      <c r="C170" s="111"/>
      <c r="D170" s="111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D170" s="25"/>
    </row>
    <row r="196" spans="1:30" x14ac:dyDescent="0.25">
      <c r="A196" s="42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</row>
    <row r="197" spans="1:30" x14ac:dyDescent="0.25">
      <c r="B197" s="42"/>
      <c r="C197" s="42"/>
      <c r="D197" s="42"/>
    </row>
    <row r="198" spans="1:30" x14ac:dyDescent="0.25">
      <c r="B198" s="89"/>
      <c r="C198" s="89"/>
      <c r="D198" s="89"/>
    </row>
    <row r="199" spans="1:30" x14ac:dyDescent="0.25">
      <c r="B199" s="89"/>
      <c r="C199" s="89"/>
      <c r="D199" s="89"/>
    </row>
    <row r="200" spans="1:30" x14ac:dyDescent="0.25">
      <c r="B200" s="89"/>
      <c r="C200" s="89"/>
      <c r="D200" s="89"/>
    </row>
    <row r="201" spans="1:30" x14ac:dyDescent="0.25">
      <c r="B201" s="89"/>
      <c r="C201" s="89"/>
      <c r="D201" s="89"/>
    </row>
  </sheetData>
  <mergeCells count="24">
    <mergeCell ref="B7:D7"/>
    <mergeCell ref="B8:D8"/>
    <mergeCell ref="B9:D9"/>
    <mergeCell ref="B10:D10"/>
    <mergeCell ref="B40:D40"/>
    <mergeCell ref="B41:D41"/>
    <mergeCell ref="B42:D42"/>
    <mergeCell ref="B43:D43"/>
    <mergeCell ref="B72:D72"/>
    <mergeCell ref="B73:D73"/>
    <mergeCell ref="B167:D167"/>
    <mergeCell ref="B168:D168"/>
    <mergeCell ref="B169:D169"/>
    <mergeCell ref="B170:D170"/>
    <mergeCell ref="B74:D74"/>
    <mergeCell ref="B75:D75"/>
    <mergeCell ref="B138:D138"/>
    <mergeCell ref="B135:D135"/>
    <mergeCell ref="B136:D136"/>
    <mergeCell ref="B137:D137"/>
    <mergeCell ref="B103:D103"/>
    <mergeCell ref="B104:D104"/>
    <mergeCell ref="B105:D105"/>
    <mergeCell ref="B106:D106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85B01-641B-4F54-9C53-02CF5375AA3F}">
  <sheetPr codeName="Sheet2"/>
  <dimension ref="B2:R42"/>
  <sheetViews>
    <sheetView zoomScale="55" zoomScaleNormal="55" workbookViewId="0">
      <selection activeCell="C3" sqref="C3:C4"/>
    </sheetView>
  </sheetViews>
  <sheetFormatPr defaultColWidth="16" defaultRowHeight="15" x14ac:dyDescent="0.25"/>
  <sheetData>
    <row r="2" spans="2:18" ht="19.5" thickBot="1" x14ac:dyDescent="0.35">
      <c r="B2" s="94" t="s">
        <v>18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2:18" x14ac:dyDescent="0.25">
      <c r="B3" s="113" t="s">
        <v>19</v>
      </c>
      <c r="C3" s="118" t="s">
        <v>5</v>
      </c>
      <c r="D3" s="118" t="s">
        <v>6</v>
      </c>
      <c r="E3" s="120" t="s">
        <v>20</v>
      </c>
      <c r="F3" s="118" t="s">
        <v>9</v>
      </c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22" t="s">
        <v>8</v>
      </c>
    </row>
    <row r="4" spans="2:18" ht="15.75" thickBot="1" x14ac:dyDescent="0.3">
      <c r="B4" s="114"/>
      <c r="C4" s="119"/>
      <c r="D4" s="119"/>
      <c r="E4" s="121"/>
      <c r="F4" s="87" t="s">
        <v>0</v>
      </c>
      <c r="G4" s="87" t="s">
        <v>21</v>
      </c>
      <c r="H4" s="87" t="s">
        <v>22</v>
      </c>
      <c r="I4" s="87" t="s">
        <v>7</v>
      </c>
      <c r="J4" s="87" t="s">
        <v>23</v>
      </c>
      <c r="K4" s="87" t="s">
        <v>24</v>
      </c>
      <c r="L4" s="87" t="s">
        <v>25</v>
      </c>
      <c r="M4" s="87" t="s">
        <v>26</v>
      </c>
      <c r="N4" s="87" t="s">
        <v>27</v>
      </c>
      <c r="O4" s="87" t="s">
        <v>28</v>
      </c>
      <c r="P4" s="87" t="s">
        <v>29</v>
      </c>
      <c r="Q4" s="87" t="s">
        <v>30</v>
      </c>
      <c r="R4" s="123"/>
    </row>
    <row r="5" spans="2:18" x14ac:dyDescent="0.25">
      <c r="B5" s="113" t="s">
        <v>101</v>
      </c>
      <c r="C5" s="56" t="s">
        <v>10</v>
      </c>
      <c r="D5" s="56" t="s">
        <v>13</v>
      </c>
      <c r="E5" s="83">
        <v>6560</v>
      </c>
      <c r="F5" s="74">
        <v>293</v>
      </c>
      <c r="G5" s="74"/>
      <c r="H5" s="74"/>
      <c r="I5" s="74"/>
      <c r="J5" s="74"/>
      <c r="K5" s="74">
        <v>256</v>
      </c>
      <c r="L5" s="74">
        <v>1896</v>
      </c>
      <c r="M5" s="74"/>
      <c r="N5" s="74"/>
      <c r="O5" s="74"/>
      <c r="P5" s="74"/>
      <c r="Q5" s="74"/>
      <c r="R5" s="76">
        <f>SUM(F5:Q5)</f>
        <v>2445</v>
      </c>
    </row>
    <row r="6" spans="2:18" x14ac:dyDescent="0.25">
      <c r="B6" s="106"/>
      <c r="C6" s="25" t="s">
        <v>11</v>
      </c>
      <c r="D6" s="25" t="s">
        <v>41</v>
      </c>
      <c r="E6" s="60">
        <v>856</v>
      </c>
      <c r="F6" s="72"/>
      <c r="G6" s="72">
        <v>25</v>
      </c>
      <c r="H6" s="72">
        <v>2281</v>
      </c>
      <c r="I6" s="72"/>
      <c r="J6" s="72"/>
      <c r="K6" s="72"/>
      <c r="L6" s="72"/>
      <c r="M6" s="72"/>
      <c r="N6" s="72"/>
      <c r="O6" s="72"/>
      <c r="P6" s="72"/>
      <c r="Q6" s="72"/>
      <c r="R6" s="77">
        <f t="shared" ref="R6:R41" si="0">SUM(F6:Q6)</f>
        <v>2306</v>
      </c>
    </row>
    <row r="7" spans="2:18" x14ac:dyDescent="0.25">
      <c r="B7" s="106"/>
      <c r="C7" s="25" t="s">
        <v>14</v>
      </c>
      <c r="D7" s="25" t="s">
        <v>12</v>
      </c>
      <c r="E7" s="60">
        <v>3915</v>
      </c>
      <c r="F7" s="72">
        <v>47</v>
      </c>
      <c r="G7" s="72"/>
      <c r="H7" s="72"/>
      <c r="I7" s="72"/>
      <c r="J7" s="72">
        <v>4179</v>
      </c>
      <c r="K7" s="72"/>
      <c r="L7" s="72">
        <v>3464</v>
      </c>
      <c r="M7" s="72"/>
      <c r="N7" s="72"/>
      <c r="O7" s="72"/>
      <c r="P7" s="72"/>
      <c r="Q7" s="72"/>
      <c r="R7" s="77">
        <f t="shared" si="0"/>
        <v>7690</v>
      </c>
    </row>
    <row r="8" spans="2:18" x14ac:dyDescent="0.25">
      <c r="B8" s="106"/>
      <c r="C8" s="25" t="s">
        <v>14</v>
      </c>
      <c r="D8" s="25" t="s">
        <v>16</v>
      </c>
      <c r="E8" s="60">
        <v>3916</v>
      </c>
      <c r="F8" s="72">
        <v>2530</v>
      </c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7">
        <f t="shared" si="0"/>
        <v>2530</v>
      </c>
    </row>
    <row r="9" spans="2:18" x14ac:dyDescent="0.25">
      <c r="B9" s="106"/>
      <c r="C9" s="25" t="s">
        <v>14</v>
      </c>
      <c r="D9" s="25" t="s">
        <v>13</v>
      </c>
      <c r="E9" s="60">
        <v>3910</v>
      </c>
      <c r="F9" s="72"/>
      <c r="G9" s="72"/>
      <c r="H9" s="72"/>
      <c r="I9" s="72"/>
      <c r="J9" s="72">
        <v>170</v>
      </c>
      <c r="K9" s="72">
        <v>4075</v>
      </c>
      <c r="L9" s="72"/>
      <c r="M9" s="72"/>
      <c r="N9" s="72"/>
      <c r="O9" s="72"/>
      <c r="P9" s="72"/>
      <c r="Q9" s="72"/>
      <c r="R9" s="77">
        <f t="shared" si="0"/>
        <v>4245</v>
      </c>
    </row>
    <row r="10" spans="2:18" x14ac:dyDescent="0.25">
      <c r="B10" s="106"/>
      <c r="C10" s="25" t="s">
        <v>53</v>
      </c>
      <c r="D10" s="25" t="s">
        <v>52</v>
      </c>
      <c r="E10" s="60" t="s">
        <v>58</v>
      </c>
      <c r="F10" s="72"/>
      <c r="G10" s="72"/>
      <c r="H10" s="72">
        <v>7814</v>
      </c>
      <c r="I10" s="72">
        <v>13171</v>
      </c>
      <c r="J10" s="72">
        <v>3841</v>
      </c>
      <c r="K10" s="72"/>
      <c r="L10" s="72"/>
      <c r="M10" s="72"/>
      <c r="N10" s="72"/>
      <c r="O10" s="72"/>
      <c r="P10" s="72"/>
      <c r="Q10" s="72"/>
      <c r="R10" s="77">
        <f t="shared" si="0"/>
        <v>24826</v>
      </c>
    </row>
    <row r="11" spans="2:18" x14ac:dyDescent="0.25">
      <c r="B11" s="106"/>
      <c r="C11" s="25" t="s">
        <v>53</v>
      </c>
      <c r="D11" s="25" t="s">
        <v>52</v>
      </c>
      <c r="E11" s="60" t="s">
        <v>106</v>
      </c>
      <c r="F11" s="72"/>
      <c r="G11" s="72"/>
      <c r="H11" s="72"/>
      <c r="I11" s="72"/>
      <c r="J11" s="72"/>
      <c r="K11" s="72">
        <v>1650</v>
      </c>
      <c r="L11" s="72"/>
      <c r="M11" s="72"/>
      <c r="N11" s="72"/>
      <c r="O11" s="72"/>
      <c r="P11" s="72"/>
      <c r="Q11" s="72"/>
      <c r="R11" s="77">
        <f t="shared" si="0"/>
        <v>1650</v>
      </c>
    </row>
    <row r="12" spans="2:18" x14ac:dyDescent="0.25">
      <c r="B12" s="106"/>
      <c r="C12" s="25" t="s">
        <v>47</v>
      </c>
      <c r="D12" s="25"/>
      <c r="E12" s="60" t="s">
        <v>57</v>
      </c>
      <c r="F12" s="72"/>
      <c r="G12" s="72"/>
      <c r="H12" s="72"/>
      <c r="I12" s="72">
        <v>1718</v>
      </c>
      <c r="J12" s="72"/>
      <c r="K12" s="72"/>
      <c r="L12" s="72"/>
      <c r="M12" s="72"/>
      <c r="N12" s="72"/>
      <c r="O12" s="72"/>
      <c r="P12" s="72"/>
      <c r="Q12" s="72"/>
      <c r="R12" s="77">
        <f t="shared" si="0"/>
        <v>1718</v>
      </c>
    </row>
    <row r="13" spans="2:18" x14ac:dyDescent="0.25">
      <c r="B13" s="106"/>
      <c r="C13" s="25" t="s">
        <v>47</v>
      </c>
      <c r="D13" s="25" t="s">
        <v>49</v>
      </c>
      <c r="E13" s="60" t="s">
        <v>54</v>
      </c>
      <c r="F13" s="72"/>
      <c r="G13" s="72"/>
      <c r="H13" s="72"/>
      <c r="I13" s="72">
        <v>2557</v>
      </c>
      <c r="J13" s="72"/>
      <c r="K13" s="72"/>
      <c r="L13" s="72"/>
      <c r="M13" s="72"/>
      <c r="N13" s="72"/>
      <c r="O13" s="72"/>
      <c r="P13" s="72"/>
      <c r="Q13" s="72"/>
      <c r="R13" s="77">
        <f t="shared" si="0"/>
        <v>2557</v>
      </c>
    </row>
    <row r="14" spans="2:18" x14ac:dyDescent="0.25">
      <c r="B14" s="106"/>
      <c r="C14" s="25" t="s">
        <v>47</v>
      </c>
      <c r="D14" s="25" t="s">
        <v>42</v>
      </c>
      <c r="E14" s="60" t="s">
        <v>54</v>
      </c>
      <c r="F14" s="72"/>
      <c r="G14" s="72"/>
      <c r="H14" s="72">
        <v>7440</v>
      </c>
      <c r="I14" s="72">
        <v>8077</v>
      </c>
      <c r="J14" s="72"/>
      <c r="K14" s="72"/>
      <c r="L14" s="72"/>
      <c r="M14" s="72"/>
      <c r="N14" s="72"/>
      <c r="O14" s="72"/>
      <c r="P14" s="72"/>
      <c r="Q14" s="72"/>
      <c r="R14" s="77">
        <f t="shared" si="0"/>
        <v>15517</v>
      </c>
    </row>
    <row r="15" spans="2:18" x14ac:dyDescent="0.25">
      <c r="B15" s="106"/>
      <c r="C15" s="25" t="s">
        <v>47</v>
      </c>
      <c r="D15" s="25" t="s">
        <v>50</v>
      </c>
      <c r="E15" s="60" t="s">
        <v>55</v>
      </c>
      <c r="F15" s="72"/>
      <c r="G15" s="72"/>
      <c r="H15" s="72"/>
      <c r="I15" s="72">
        <v>9076</v>
      </c>
      <c r="J15" s="72"/>
      <c r="K15" s="72"/>
      <c r="L15" s="72"/>
      <c r="M15" s="72"/>
      <c r="N15" s="72"/>
      <c r="O15" s="72"/>
      <c r="P15" s="72"/>
      <c r="Q15" s="72"/>
      <c r="R15" s="77">
        <f t="shared" si="0"/>
        <v>9076</v>
      </c>
    </row>
    <row r="16" spans="2:18" x14ac:dyDescent="0.25">
      <c r="B16" s="106"/>
      <c r="C16" s="25" t="s">
        <v>47</v>
      </c>
      <c r="D16" s="25" t="s">
        <v>48</v>
      </c>
      <c r="E16" s="60" t="s">
        <v>54</v>
      </c>
      <c r="F16" s="72"/>
      <c r="G16" s="72"/>
      <c r="H16" s="72"/>
      <c r="I16" s="72">
        <v>15646</v>
      </c>
      <c r="J16" s="72"/>
      <c r="K16" s="72"/>
      <c r="L16" s="72"/>
      <c r="M16" s="72"/>
      <c r="N16" s="72"/>
      <c r="O16" s="72"/>
      <c r="P16" s="72"/>
      <c r="Q16" s="72"/>
      <c r="R16" s="77">
        <f t="shared" si="0"/>
        <v>15646</v>
      </c>
    </row>
    <row r="17" spans="2:18" x14ac:dyDescent="0.25">
      <c r="B17" s="106"/>
      <c r="C17" s="25" t="s">
        <v>47</v>
      </c>
      <c r="D17" s="25" t="s">
        <v>51</v>
      </c>
      <c r="E17" s="60" t="s">
        <v>56</v>
      </c>
      <c r="F17" s="72"/>
      <c r="G17" s="72"/>
      <c r="H17" s="72"/>
      <c r="I17" s="72">
        <v>2387</v>
      </c>
      <c r="J17" s="72"/>
      <c r="K17" s="72"/>
      <c r="L17" s="72"/>
      <c r="M17" s="72"/>
      <c r="N17" s="72"/>
      <c r="O17" s="72"/>
      <c r="P17" s="72"/>
      <c r="Q17" s="72"/>
      <c r="R17" s="77">
        <f t="shared" si="0"/>
        <v>2387</v>
      </c>
    </row>
    <row r="18" spans="2:18" x14ac:dyDescent="0.25">
      <c r="B18" s="106"/>
      <c r="C18" s="25" t="s">
        <v>47</v>
      </c>
      <c r="D18" s="25" t="s">
        <v>43</v>
      </c>
      <c r="E18" s="60" t="s">
        <v>54</v>
      </c>
      <c r="F18" s="72"/>
      <c r="G18" s="72"/>
      <c r="H18" s="72">
        <v>6685</v>
      </c>
      <c r="I18" s="72">
        <v>8814</v>
      </c>
      <c r="J18" s="72"/>
      <c r="K18" s="72"/>
      <c r="L18" s="72"/>
      <c r="M18" s="72"/>
      <c r="N18" s="72"/>
      <c r="O18" s="72"/>
      <c r="P18" s="72"/>
      <c r="Q18" s="72"/>
      <c r="R18" s="77">
        <f t="shared" si="0"/>
        <v>15499</v>
      </c>
    </row>
    <row r="19" spans="2:18" x14ac:dyDescent="0.25">
      <c r="B19" s="106"/>
      <c r="C19" s="25" t="s">
        <v>44</v>
      </c>
      <c r="D19" s="25" t="s">
        <v>13</v>
      </c>
      <c r="E19" s="60">
        <v>6560</v>
      </c>
      <c r="F19" s="72"/>
      <c r="G19" s="72">
        <v>4223</v>
      </c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7">
        <f t="shared" si="0"/>
        <v>4223</v>
      </c>
    </row>
    <row r="20" spans="2:18" ht="15.75" thickBot="1" x14ac:dyDescent="0.3">
      <c r="B20" s="114"/>
      <c r="C20" s="59" t="s">
        <v>44</v>
      </c>
      <c r="D20" s="59" t="s">
        <v>13</v>
      </c>
      <c r="E20" s="62" t="s">
        <v>34</v>
      </c>
      <c r="F20" s="73">
        <v>1360</v>
      </c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9">
        <f t="shared" si="0"/>
        <v>1360</v>
      </c>
    </row>
    <row r="21" spans="2:18" x14ac:dyDescent="0.25">
      <c r="B21" s="113" t="s">
        <v>102</v>
      </c>
      <c r="C21" s="56" t="s">
        <v>10</v>
      </c>
      <c r="D21" s="56" t="s">
        <v>13</v>
      </c>
      <c r="E21" s="83">
        <v>6560</v>
      </c>
      <c r="F21" s="74">
        <v>182</v>
      </c>
      <c r="G21" s="74"/>
      <c r="H21" s="74"/>
      <c r="I21" s="74"/>
      <c r="J21" s="74"/>
      <c r="K21" s="74"/>
      <c r="L21" s="74">
        <v>1841</v>
      </c>
      <c r="M21" s="74"/>
      <c r="N21" s="74"/>
      <c r="O21" s="74"/>
      <c r="P21" s="74"/>
      <c r="Q21" s="74"/>
      <c r="R21" s="76">
        <f t="shared" si="0"/>
        <v>2023</v>
      </c>
    </row>
    <row r="22" spans="2:18" x14ac:dyDescent="0.25">
      <c r="B22" s="106"/>
      <c r="C22" s="25" t="s">
        <v>11</v>
      </c>
      <c r="D22" s="25" t="s">
        <v>12</v>
      </c>
      <c r="E22" s="60">
        <v>853</v>
      </c>
      <c r="F22" s="72">
        <v>1410</v>
      </c>
      <c r="G22" s="72">
        <v>649</v>
      </c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7">
        <f t="shared" si="0"/>
        <v>2059</v>
      </c>
    </row>
    <row r="23" spans="2:18" x14ac:dyDescent="0.25">
      <c r="B23" s="106"/>
      <c r="C23" s="25" t="s">
        <v>11</v>
      </c>
      <c r="D23" s="25" t="s">
        <v>42</v>
      </c>
      <c r="E23" s="60">
        <v>851</v>
      </c>
      <c r="F23" s="72"/>
      <c r="G23" s="72">
        <v>2501</v>
      </c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7">
        <f t="shared" si="0"/>
        <v>2501</v>
      </c>
    </row>
    <row r="24" spans="2:18" x14ac:dyDescent="0.25">
      <c r="B24" s="106"/>
      <c r="C24" s="25" t="s">
        <v>14</v>
      </c>
      <c r="D24" s="25" t="s">
        <v>12</v>
      </c>
      <c r="E24" s="60">
        <v>3915</v>
      </c>
      <c r="F24" s="72"/>
      <c r="G24" s="72"/>
      <c r="H24" s="72"/>
      <c r="I24" s="72"/>
      <c r="J24" s="72">
        <v>505</v>
      </c>
      <c r="K24" s="72">
        <v>6657</v>
      </c>
      <c r="L24" s="72">
        <v>3579</v>
      </c>
      <c r="M24" s="72"/>
      <c r="N24" s="72"/>
      <c r="O24" s="72"/>
      <c r="P24" s="72"/>
      <c r="Q24" s="72"/>
      <c r="R24" s="77">
        <f t="shared" si="0"/>
        <v>10741</v>
      </c>
    </row>
    <row r="25" spans="2:18" x14ac:dyDescent="0.25">
      <c r="B25" s="106"/>
      <c r="C25" s="25" t="s">
        <v>14</v>
      </c>
      <c r="D25" s="25" t="s">
        <v>16</v>
      </c>
      <c r="E25" s="60">
        <v>3916</v>
      </c>
      <c r="F25" s="72">
        <v>3208</v>
      </c>
      <c r="G25" s="72"/>
      <c r="H25" s="72"/>
      <c r="I25" s="72"/>
      <c r="J25" s="72">
        <v>4261</v>
      </c>
      <c r="K25" s="72">
        <v>80</v>
      </c>
      <c r="L25" s="72"/>
      <c r="M25" s="72"/>
      <c r="N25" s="72"/>
      <c r="O25" s="72"/>
      <c r="P25" s="72"/>
      <c r="Q25" s="72"/>
      <c r="R25" s="77">
        <f t="shared" si="0"/>
        <v>7549</v>
      </c>
    </row>
    <row r="26" spans="2:18" x14ac:dyDescent="0.25">
      <c r="B26" s="106"/>
      <c r="C26" s="25" t="s">
        <v>53</v>
      </c>
      <c r="D26" s="25" t="s">
        <v>52</v>
      </c>
      <c r="E26" s="60" t="s">
        <v>58</v>
      </c>
      <c r="F26" s="72"/>
      <c r="G26" s="72"/>
      <c r="H26" s="72"/>
      <c r="I26" s="72">
        <v>11275</v>
      </c>
      <c r="J26" s="72">
        <v>4340</v>
      </c>
      <c r="K26" s="72"/>
      <c r="L26" s="72"/>
      <c r="M26" s="72"/>
      <c r="N26" s="72"/>
      <c r="O26" s="72"/>
      <c r="P26" s="72"/>
      <c r="Q26" s="72"/>
      <c r="R26" s="77">
        <f t="shared" si="0"/>
        <v>15615</v>
      </c>
    </row>
    <row r="27" spans="2:18" x14ac:dyDescent="0.25">
      <c r="B27" s="106"/>
      <c r="C27" s="25" t="s">
        <v>53</v>
      </c>
      <c r="D27" s="25" t="s">
        <v>52</v>
      </c>
      <c r="E27" s="60" t="s">
        <v>106</v>
      </c>
      <c r="F27" s="72"/>
      <c r="G27" s="72"/>
      <c r="H27" s="72"/>
      <c r="I27" s="72"/>
      <c r="J27" s="72"/>
      <c r="K27" s="72">
        <v>415</v>
      </c>
      <c r="L27" s="72"/>
      <c r="M27" s="72"/>
      <c r="N27" s="72"/>
      <c r="O27" s="72"/>
      <c r="P27" s="72"/>
      <c r="Q27" s="72"/>
      <c r="R27" s="77">
        <f t="shared" si="0"/>
        <v>415</v>
      </c>
    </row>
    <row r="28" spans="2:18" x14ac:dyDescent="0.25">
      <c r="B28" s="106"/>
      <c r="C28" s="25" t="s">
        <v>46</v>
      </c>
      <c r="D28" s="25" t="s">
        <v>42</v>
      </c>
      <c r="E28" s="60">
        <v>133</v>
      </c>
      <c r="F28" s="72"/>
      <c r="G28" s="72"/>
      <c r="H28" s="72"/>
      <c r="I28" s="72">
        <v>765</v>
      </c>
      <c r="J28" s="72"/>
      <c r="K28" s="72"/>
      <c r="L28" s="72"/>
      <c r="M28" s="72"/>
      <c r="N28" s="72"/>
      <c r="O28" s="72"/>
      <c r="P28" s="72"/>
      <c r="Q28" s="72"/>
      <c r="R28" s="77">
        <f t="shared" si="0"/>
        <v>765</v>
      </c>
    </row>
    <row r="29" spans="2:18" x14ac:dyDescent="0.25">
      <c r="B29" s="106"/>
      <c r="C29" s="25" t="s">
        <v>46</v>
      </c>
      <c r="D29" s="25" t="s">
        <v>43</v>
      </c>
      <c r="E29" s="60">
        <v>133</v>
      </c>
      <c r="F29" s="72"/>
      <c r="G29" s="72">
        <v>2080</v>
      </c>
      <c r="H29" s="72">
        <v>11720</v>
      </c>
      <c r="I29" s="72">
        <v>738</v>
      </c>
      <c r="J29" s="72"/>
      <c r="K29" s="72"/>
      <c r="L29" s="72"/>
      <c r="M29" s="72"/>
      <c r="N29" s="72"/>
      <c r="O29" s="72"/>
      <c r="P29" s="72"/>
      <c r="Q29" s="72"/>
      <c r="R29" s="77">
        <f t="shared" si="0"/>
        <v>14538</v>
      </c>
    </row>
    <row r="30" spans="2:18" x14ac:dyDescent="0.25">
      <c r="B30" s="106"/>
      <c r="C30" s="25" t="s">
        <v>47</v>
      </c>
      <c r="D30" s="25" t="s">
        <v>49</v>
      </c>
      <c r="E30" s="60" t="s">
        <v>54</v>
      </c>
      <c r="F30" s="72"/>
      <c r="G30" s="72"/>
      <c r="H30" s="72"/>
      <c r="I30" s="72">
        <v>6001</v>
      </c>
      <c r="J30" s="72"/>
      <c r="K30" s="72"/>
      <c r="L30" s="72"/>
      <c r="M30" s="72"/>
      <c r="N30" s="72"/>
      <c r="O30" s="72"/>
      <c r="P30" s="72"/>
      <c r="Q30" s="72"/>
      <c r="R30" s="77">
        <f t="shared" si="0"/>
        <v>6001</v>
      </c>
    </row>
    <row r="31" spans="2:18" x14ac:dyDescent="0.25">
      <c r="B31" s="106"/>
      <c r="C31" s="25" t="s">
        <v>47</v>
      </c>
      <c r="D31" s="25" t="s">
        <v>48</v>
      </c>
      <c r="E31" s="60" t="s">
        <v>54</v>
      </c>
      <c r="F31" s="72"/>
      <c r="G31" s="72"/>
      <c r="H31" s="72"/>
      <c r="I31" s="72">
        <v>549</v>
      </c>
      <c r="J31" s="72"/>
      <c r="K31" s="72"/>
      <c r="L31" s="72"/>
      <c r="M31" s="72"/>
      <c r="N31" s="72"/>
      <c r="O31" s="72"/>
      <c r="P31" s="72"/>
      <c r="Q31" s="72"/>
      <c r="R31" s="77">
        <f t="shared" si="0"/>
        <v>549</v>
      </c>
    </row>
    <row r="32" spans="2:18" ht="15.75" thickBot="1" x14ac:dyDescent="0.3">
      <c r="B32" s="114"/>
      <c r="C32" s="59" t="s">
        <v>47</v>
      </c>
      <c r="D32" s="59" t="s">
        <v>51</v>
      </c>
      <c r="E32" s="62" t="s">
        <v>56</v>
      </c>
      <c r="F32" s="73"/>
      <c r="G32" s="73"/>
      <c r="H32" s="73"/>
      <c r="I32" s="73">
        <v>10338</v>
      </c>
      <c r="J32" s="73"/>
      <c r="K32" s="73"/>
      <c r="L32" s="73"/>
      <c r="M32" s="73"/>
      <c r="N32" s="73"/>
      <c r="O32" s="73"/>
      <c r="P32" s="73"/>
      <c r="Q32" s="73"/>
      <c r="R32" s="79">
        <f t="shared" si="0"/>
        <v>10338</v>
      </c>
    </row>
    <row r="33" spans="2:18" x14ac:dyDescent="0.25">
      <c r="B33" s="113" t="s">
        <v>103</v>
      </c>
      <c r="C33" s="56" t="s">
        <v>10</v>
      </c>
      <c r="D33" s="56" t="s">
        <v>13</v>
      </c>
      <c r="E33" s="83">
        <v>6560</v>
      </c>
      <c r="F33" s="74">
        <v>280</v>
      </c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6">
        <f t="shared" si="0"/>
        <v>280</v>
      </c>
    </row>
    <row r="34" spans="2:18" x14ac:dyDescent="0.25">
      <c r="B34" s="106"/>
      <c r="C34" s="25" t="s">
        <v>11</v>
      </c>
      <c r="D34" s="25" t="s">
        <v>36</v>
      </c>
      <c r="E34" s="60">
        <v>857</v>
      </c>
      <c r="F34" s="72">
        <v>1002</v>
      </c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7">
        <f t="shared" si="0"/>
        <v>1002</v>
      </c>
    </row>
    <row r="35" spans="2:18" x14ac:dyDescent="0.25">
      <c r="B35" s="106"/>
      <c r="C35" s="25" t="s">
        <v>14</v>
      </c>
      <c r="D35" s="25" t="s">
        <v>12</v>
      </c>
      <c r="E35" s="60">
        <v>3915</v>
      </c>
      <c r="F35" s="72"/>
      <c r="G35" s="72"/>
      <c r="H35" s="72"/>
      <c r="I35" s="72"/>
      <c r="J35" s="72"/>
      <c r="K35" s="72">
        <v>3915</v>
      </c>
      <c r="L35" s="72"/>
      <c r="M35" s="72"/>
      <c r="N35" s="72"/>
      <c r="O35" s="72"/>
      <c r="P35" s="72"/>
      <c r="Q35" s="72"/>
      <c r="R35" s="77">
        <f t="shared" si="0"/>
        <v>3915</v>
      </c>
    </row>
    <row r="36" spans="2:18" x14ac:dyDescent="0.25">
      <c r="B36" s="106"/>
      <c r="C36" s="25" t="s">
        <v>14</v>
      </c>
      <c r="D36" s="25" t="s">
        <v>16</v>
      </c>
      <c r="E36" s="60">
        <v>3916</v>
      </c>
      <c r="F36" s="72"/>
      <c r="G36" s="72"/>
      <c r="H36" s="72"/>
      <c r="I36" s="72"/>
      <c r="J36" s="72">
        <v>508</v>
      </c>
      <c r="K36" s="72"/>
      <c r="L36" s="72"/>
      <c r="M36" s="72"/>
      <c r="N36" s="72"/>
      <c r="O36" s="72"/>
      <c r="P36" s="72"/>
      <c r="Q36" s="72"/>
      <c r="R36" s="77">
        <f t="shared" si="0"/>
        <v>508</v>
      </c>
    </row>
    <row r="37" spans="2:18" x14ac:dyDescent="0.25">
      <c r="B37" s="106"/>
      <c r="C37" s="25" t="s">
        <v>14</v>
      </c>
      <c r="D37" s="25" t="s">
        <v>13</v>
      </c>
      <c r="E37" s="60">
        <v>3910</v>
      </c>
      <c r="F37" s="72"/>
      <c r="G37" s="72"/>
      <c r="H37" s="72"/>
      <c r="I37" s="72"/>
      <c r="J37" s="72"/>
      <c r="K37" s="72">
        <v>0</v>
      </c>
      <c r="L37" s="72"/>
      <c r="M37" s="72"/>
      <c r="N37" s="72"/>
      <c r="O37" s="72"/>
      <c r="P37" s="72"/>
      <c r="Q37" s="72"/>
      <c r="R37" s="77">
        <f t="shared" si="0"/>
        <v>0</v>
      </c>
    </row>
    <row r="38" spans="2:18" x14ac:dyDescent="0.25">
      <c r="B38" s="106"/>
      <c r="C38" s="25" t="s">
        <v>53</v>
      </c>
      <c r="D38" s="25" t="s">
        <v>52</v>
      </c>
      <c r="E38" s="60" t="s">
        <v>58</v>
      </c>
      <c r="F38" s="72"/>
      <c r="G38" s="72"/>
      <c r="H38" s="72">
        <v>18850</v>
      </c>
      <c r="I38" s="72">
        <v>2550</v>
      </c>
      <c r="J38" s="72">
        <v>1019</v>
      </c>
      <c r="K38" s="72"/>
      <c r="L38" s="72"/>
      <c r="M38" s="72"/>
      <c r="N38" s="72"/>
      <c r="O38" s="72"/>
      <c r="P38" s="72"/>
      <c r="Q38" s="72"/>
      <c r="R38" s="77">
        <f t="shared" si="0"/>
        <v>22419</v>
      </c>
    </row>
    <row r="39" spans="2:18" x14ac:dyDescent="0.25">
      <c r="B39" s="106"/>
      <c r="C39" s="25" t="s">
        <v>46</v>
      </c>
      <c r="D39" s="25" t="s">
        <v>43</v>
      </c>
      <c r="E39" s="60">
        <v>133</v>
      </c>
      <c r="F39" s="72"/>
      <c r="G39" s="72">
        <v>370</v>
      </c>
      <c r="H39" s="72">
        <v>7311</v>
      </c>
      <c r="I39" s="72"/>
      <c r="J39" s="72"/>
      <c r="K39" s="72"/>
      <c r="L39" s="72"/>
      <c r="M39" s="72"/>
      <c r="N39" s="72"/>
      <c r="O39" s="72"/>
      <c r="P39" s="72"/>
      <c r="Q39" s="72"/>
      <c r="R39" s="77">
        <f t="shared" si="0"/>
        <v>7681</v>
      </c>
    </row>
    <row r="40" spans="2:18" x14ac:dyDescent="0.25">
      <c r="B40" s="106"/>
      <c r="C40" s="25" t="s">
        <v>44</v>
      </c>
      <c r="D40" s="25" t="s">
        <v>13</v>
      </c>
      <c r="E40" s="60" t="s">
        <v>34</v>
      </c>
      <c r="F40" s="72"/>
      <c r="G40" s="72">
        <v>1981</v>
      </c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7">
        <f t="shared" si="0"/>
        <v>1981</v>
      </c>
    </row>
    <row r="41" spans="2:18" ht="15.75" thickBot="1" x14ac:dyDescent="0.3">
      <c r="B41" s="107"/>
      <c r="C41" s="28" t="s">
        <v>44</v>
      </c>
      <c r="D41" s="28" t="s">
        <v>17</v>
      </c>
      <c r="E41" s="84" t="s">
        <v>38</v>
      </c>
      <c r="F41" s="75">
        <v>2380</v>
      </c>
      <c r="G41" s="75">
        <v>1576</v>
      </c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8">
        <f t="shared" si="0"/>
        <v>3956</v>
      </c>
    </row>
    <row r="42" spans="2:18" ht="15.75" thickBot="1" x14ac:dyDescent="0.3">
      <c r="B42" s="115" t="s">
        <v>8</v>
      </c>
      <c r="C42" s="116"/>
      <c r="D42" s="116"/>
      <c r="E42" s="117"/>
      <c r="F42" s="16">
        <f>SUM(F5:F41)</f>
        <v>12692</v>
      </c>
      <c r="G42" s="16">
        <f t="shared" ref="G42:R42" si="1">SUM(G5:G41)</f>
        <v>13405</v>
      </c>
      <c r="H42" s="16">
        <f t="shared" si="1"/>
        <v>62101</v>
      </c>
      <c r="I42" s="16">
        <f t="shared" si="1"/>
        <v>93662</v>
      </c>
      <c r="J42" s="16">
        <f t="shared" si="1"/>
        <v>18823</v>
      </c>
      <c r="K42" s="16">
        <f t="shared" si="1"/>
        <v>17048</v>
      </c>
      <c r="L42" s="16">
        <f t="shared" si="1"/>
        <v>10780</v>
      </c>
      <c r="M42" s="16">
        <f t="shared" si="1"/>
        <v>0</v>
      </c>
      <c r="N42" s="16">
        <f t="shared" si="1"/>
        <v>0</v>
      </c>
      <c r="O42" s="16">
        <f t="shared" si="1"/>
        <v>0</v>
      </c>
      <c r="P42" s="16">
        <f t="shared" si="1"/>
        <v>0</v>
      </c>
      <c r="Q42" s="16">
        <f t="shared" si="1"/>
        <v>0</v>
      </c>
      <c r="R42" s="16">
        <f t="shared" si="1"/>
        <v>228511</v>
      </c>
    </row>
  </sheetData>
  <mergeCells count="11">
    <mergeCell ref="B5:B20"/>
    <mergeCell ref="B21:B32"/>
    <mergeCell ref="B33:B41"/>
    <mergeCell ref="B42:E42"/>
    <mergeCell ref="B2:R2"/>
    <mergeCell ref="B3:B4"/>
    <mergeCell ref="C3:C4"/>
    <mergeCell ref="D3:D4"/>
    <mergeCell ref="E3:E4"/>
    <mergeCell ref="F3:Q3"/>
    <mergeCell ref="R3:R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9E4A0-B56C-437F-B3A7-9F947A904C58}">
  <sheetPr codeName="Sheet4"/>
  <dimension ref="B1:O11"/>
  <sheetViews>
    <sheetView topLeftCell="E1" workbookViewId="0">
      <selection activeCell="K13" sqref="K13"/>
    </sheetView>
  </sheetViews>
  <sheetFormatPr defaultColWidth="16" defaultRowHeight="15" x14ac:dyDescent="0.25"/>
  <sheetData>
    <row r="1" spans="2:15" ht="15.75" x14ac:dyDescent="0.25">
      <c r="B1" s="90" t="s">
        <v>39</v>
      </c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</row>
    <row r="2" spans="2:15" ht="15.75" x14ac:dyDescent="0.25"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</row>
    <row r="3" spans="2:15" x14ac:dyDescent="0.25">
      <c r="B3" s="61" t="s">
        <v>5</v>
      </c>
      <c r="C3" s="61" t="s">
        <v>0</v>
      </c>
      <c r="D3" s="61" t="s">
        <v>21</v>
      </c>
      <c r="E3" s="61" t="s">
        <v>22</v>
      </c>
      <c r="F3" s="61" t="s">
        <v>7</v>
      </c>
      <c r="G3" s="61" t="s">
        <v>23</v>
      </c>
      <c r="H3" s="61" t="s">
        <v>24</v>
      </c>
      <c r="I3" s="61" t="s">
        <v>25</v>
      </c>
      <c r="J3" s="61" t="s">
        <v>26</v>
      </c>
      <c r="K3" s="61" t="s">
        <v>27</v>
      </c>
      <c r="L3" s="61" t="s">
        <v>28</v>
      </c>
      <c r="M3" s="61" t="s">
        <v>29</v>
      </c>
      <c r="N3" s="61" t="s">
        <v>40</v>
      </c>
      <c r="O3" s="61" t="s">
        <v>8</v>
      </c>
    </row>
    <row r="4" spans="2:15" x14ac:dyDescent="0.25">
      <c r="B4" s="60" t="s">
        <v>10</v>
      </c>
      <c r="C4" s="66">
        <v>755</v>
      </c>
      <c r="D4" s="66"/>
      <c r="E4" s="66"/>
      <c r="F4" s="66"/>
      <c r="G4" s="66"/>
      <c r="H4" s="66">
        <v>256</v>
      </c>
      <c r="I4" s="66">
        <v>3737</v>
      </c>
      <c r="J4" s="66"/>
      <c r="K4" s="66"/>
      <c r="L4" s="66"/>
      <c r="M4" s="66"/>
      <c r="N4" s="67"/>
      <c r="O4" s="68">
        <f>SUM(C4:N4)</f>
        <v>4748</v>
      </c>
    </row>
    <row r="5" spans="2:15" x14ac:dyDescent="0.25">
      <c r="B5" s="60" t="s">
        <v>11</v>
      </c>
      <c r="C5" s="66">
        <v>2412</v>
      </c>
      <c r="D5" s="66">
        <v>3175</v>
      </c>
      <c r="E5" s="66">
        <v>2281</v>
      </c>
      <c r="F5" s="66"/>
      <c r="G5" s="66"/>
      <c r="H5" s="66"/>
      <c r="I5" s="66"/>
      <c r="J5" s="66"/>
      <c r="K5" s="66"/>
      <c r="L5" s="66"/>
      <c r="M5" s="66"/>
      <c r="N5" s="67"/>
      <c r="O5" s="68">
        <f t="shared" ref="O5:O10" si="0">SUM(C5:N5)</f>
        <v>7868</v>
      </c>
    </row>
    <row r="6" spans="2:15" x14ac:dyDescent="0.25">
      <c r="B6" s="60" t="s">
        <v>14</v>
      </c>
      <c r="C6" s="66">
        <v>5785</v>
      </c>
      <c r="D6" s="66"/>
      <c r="E6" s="66"/>
      <c r="F6" s="66"/>
      <c r="G6" s="66">
        <v>9623</v>
      </c>
      <c r="H6" s="66">
        <v>14727</v>
      </c>
      <c r="I6" s="66">
        <v>7043</v>
      </c>
      <c r="J6" s="66"/>
      <c r="K6" s="66"/>
      <c r="L6" s="66"/>
      <c r="M6" s="66"/>
      <c r="N6" s="67"/>
      <c r="O6" s="68">
        <f t="shared" si="0"/>
        <v>37178</v>
      </c>
    </row>
    <row r="7" spans="2:15" x14ac:dyDescent="0.25">
      <c r="B7" s="60" t="s">
        <v>53</v>
      </c>
      <c r="C7" s="66"/>
      <c r="D7" s="66"/>
      <c r="E7" s="66">
        <v>26664</v>
      </c>
      <c r="F7" s="66">
        <v>26996</v>
      </c>
      <c r="G7" s="66">
        <v>9200</v>
      </c>
      <c r="H7" s="66">
        <v>2065</v>
      </c>
      <c r="I7" s="66"/>
      <c r="J7" s="66"/>
      <c r="K7" s="66"/>
      <c r="L7" s="66"/>
      <c r="M7" s="66"/>
      <c r="N7" s="67"/>
      <c r="O7" s="68">
        <f t="shared" si="0"/>
        <v>64925</v>
      </c>
    </row>
    <row r="8" spans="2:15" x14ac:dyDescent="0.25">
      <c r="B8" s="60" t="s">
        <v>46</v>
      </c>
      <c r="C8" s="66"/>
      <c r="D8" s="66">
        <v>2450</v>
      </c>
      <c r="E8" s="66">
        <v>19031</v>
      </c>
      <c r="F8" s="66">
        <v>1503</v>
      </c>
      <c r="G8" s="66"/>
      <c r="H8" s="66"/>
      <c r="I8" s="66"/>
      <c r="J8" s="66"/>
      <c r="K8" s="66"/>
      <c r="L8" s="66"/>
      <c r="M8" s="66"/>
      <c r="N8" s="67"/>
      <c r="O8" s="68">
        <f t="shared" si="0"/>
        <v>22984</v>
      </c>
    </row>
    <row r="9" spans="2:15" x14ac:dyDescent="0.25">
      <c r="B9" s="60" t="s">
        <v>47</v>
      </c>
      <c r="C9" s="66"/>
      <c r="D9" s="66"/>
      <c r="E9" s="66">
        <v>14125</v>
      </c>
      <c r="F9" s="66">
        <v>65163</v>
      </c>
      <c r="G9" s="66"/>
      <c r="H9" s="66"/>
      <c r="I9" s="66"/>
      <c r="J9" s="66"/>
      <c r="K9" s="66"/>
      <c r="L9" s="66"/>
      <c r="M9" s="66"/>
      <c r="N9" s="67"/>
      <c r="O9" s="68">
        <f t="shared" si="0"/>
        <v>79288</v>
      </c>
    </row>
    <row r="10" spans="2:15" x14ac:dyDescent="0.25">
      <c r="B10" s="62" t="s">
        <v>44</v>
      </c>
      <c r="C10" s="69">
        <v>3740</v>
      </c>
      <c r="D10" s="69">
        <v>7780</v>
      </c>
      <c r="E10" s="69"/>
      <c r="F10" s="69"/>
      <c r="G10" s="69"/>
      <c r="H10" s="69"/>
      <c r="I10" s="69"/>
      <c r="J10" s="69"/>
      <c r="K10" s="69"/>
      <c r="L10" s="69"/>
      <c r="M10" s="69"/>
      <c r="N10" s="70"/>
      <c r="O10" s="71">
        <f t="shared" si="0"/>
        <v>11520</v>
      </c>
    </row>
    <row r="11" spans="2:15" x14ac:dyDescent="0.25">
      <c r="B11" s="86" t="s">
        <v>8</v>
      </c>
      <c r="C11" s="68">
        <f>SUM(C4:C10)</f>
        <v>12692</v>
      </c>
      <c r="D11" s="68">
        <f t="shared" ref="D11:O11" si="1">SUM(D4:D10)</f>
        <v>13405</v>
      </c>
      <c r="E11" s="68">
        <f t="shared" si="1"/>
        <v>62101</v>
      </c>
      <c r="F11" s="68">
        <f t="shared" si="1"/>
        <v>93662</v>
      </c>
      <c r="G11" s="68">
        <f t="shared" si="1"/>
        <v>18823</v>
      </c>
      <c r="H11" s="68">
        <f t="shared" si="1"/>
        <v>17048</v>
      </c>
      <c r="I11" s="68">
        <f t="shared" si="1"/>
        <v>10780</v>
      </c>
      <c r="J11" s="68">
        <f t="shared" si="1"/>
        <v>0</v>
      </c>
      <c r="K11" s="68">
        <f t="shared" si="1"/>
        <v>0</v>
      </c>
      <c r="L11" s="68">
        <f t="shared" si="1"/>
        <v>0</v>
      </c>
      <c r="M11" s="68">
        <f t="shared" si="1"/>
        <v>0</v>
      </c>
      <c r="N11" s="68">
        <f t="shared" si="1"/>
        <v>0</v>
      </c>
      <c r="O11" s="68">
        <f t="shared" si="1"/>
        <v>228511</v>
      </c>
    </row>
  </sheetData>
  <mergeCells count="1">
    <mergeCell ref="B1:O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TEMPLATE</vt:lpstr>
      <vt:lpstr>TOMBOL</vt:lpstr>
      <vt:lpstr>LINE 1</vt:lpstr>
      <vt:lpstr>LINE 2</vt:lpstr>
      <vt:lpstr>LINE 3</vt:lpstr>
      <vt:lpstr>DETIL</vt:lpstr>
      <vt:lpstr>REKAP SETIAP BUYER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Aldi Prasetyo hari</cp:lastModifiedBy>
  <dcterms:created xsi:type="dcterms:W3CDTF">2022-02-04T01:52:05Z</dcterms:created>
  <dcterms:modified xsi:type="dcterms:W3CDTF">2022-09-07T06:47:48Z</dcterms:modified>
</cp:coreProperties>
</file>