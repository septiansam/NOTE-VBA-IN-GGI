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Gudang\MACRO_PROCESS - Pembetulan Stock di JDE\RPA Preference\.Macro\"/>
    </mc:Choice>
  </mc:AlternateContent>
  <xr:revisionPtr revIDLastSave="0" documentId="13_ncr:1_{7EE62007-C7F4-4B99-B07B-917B6ADAA56D}" xr6:coauthVersionLast="47" xr6:coauthVersionMax="47" xr10:uidLastSave="{00000000-0000-0000-0000-000000000000}"/>
  <bookViews>
    <workbookView xWindow="-110" yWindow="-110" windowWidth="19420" windowHeight="10300" tabRatio="887" firstSheet="1" activeTab="11" xr2:uid="{00000000-000D-0000-FFFF-FFFF00000000}"/>
  </bookViews>
  <sheets>
    <sheet name="LA" sheetId="15" state="hidden" r:id="rId1"/>
    <sheet name="HOME" sheetId="14" r:id="rId2"/>
    <sheet name="INPUTAN USER" sheetId="6" r:id="rId3"/>
    <sheet name="RPA1" sheetId="287" r:id="rId4"/>
    <sheet name="RPA2" sheetId="289" r:id="rId5"/>
    <sheet name="OL1_Collect" sheetId="291" state="hidden" r:id="rId6"/>
    <sheet name="CC1_AVB_1" sheetId="292" state="hidden" r:id="rId7"/>
    <sheet name="CC2_ILDV_1" sheetId="293" state="hidden" r:id="rId8"/>
    <sheet name="CC2_ILDV_1.2" sheetId="294" state="hidden" r:id="rId9"/>
    <sheet name="OL2_Bandingkan" sheetId="295" state="hidden" r:id="rId10"/>
    <sheet name="RPA3" sheetId="296" r:id="rId11"/>
    <sheet name="RPA4" sheetId="297" r:id="rId12"/>
    <sheet name="Sheet60" sheetId="299" r:id="rId13"/>
    <sheet name="RPA5" sheetId="298" r:id="rId14"/>
  </sheets>
  <functionGroups builtInGroupCount="19"/>
  <externalReferences>
    <externalReference r:id="rId15"/>
  </externalReferences>
  <definedNames>
    <definedName name="_xlnm._FilterDatabase" localSheetId="6" hidden="1">CC1_AVB_1!$A$9:$AB$12</definedName>
    <definedName name="_xlnm._FilterDatabase" localSheetId="7" hidden="1">CC2_ILDV_1!$A$6:$AA$10</definedName>
    <definedName name="_xlnm._FilterDatabase" localSheetId="5" hidden="1">OL1_Collect!$A$1:$J$1</definedName>
    <definedName name="_xlnm._FilterDatabase" localSheetId="9" hidden="1">OL2_Bandingkan!$A$1:$H$1</definedName>
    <definedName name="_xlnm.Print_Area" localSheetId="11">'RPA4'!$A$1:$G$1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0" i="15" l="1"/>
  <c r="D28" i="15"/>
  <c r="D19" i="15" l="1"/>
  <c r="C4" i="15"/>
  <c r="C3" i="15"/>
</calcChain>
</file>

<file path=xl/sharedStrings.xml><?xml version="1.0" encoding="utf-8"?>
<sst xmlns="http://schemas.openxmlformats.org/spreadsheetml/2006/main" count="259" uniqueCount="161">
  <si>
    <t>HEAD</t>
  </si>
  <si>
    <t>BATCH APPLICATION</t>
  </si>
  <si>
    <t>R5641021</t>
  </si>
  <si>
    <t>VERSION</t>
  </si>
  <si>
    <t>GG0001</t>
  </si>
  <si>
    <t>SAVE AS</t>
  </si>
  <si>
    <t>R564111M</t>
  </si>
  <si>
    <t>GG0002</t>
  </si>
  <si>
    <t>KODE BARANG</t>
  </si>
  <si>
    <t>BUSINESS UNIT</t>
  </si>
  <si>
    <t>ITEM NUMBER (BACA SHEET)</t>
  </si>
  <si>
    <t>BU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</si>
  <si>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</si>
  <si>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 xml:space="preserve"> •NOTE</t>
  </si>
  <si>
    <t xml:space="preserve"> •ENTITY</t>
  </si>
  <si>
    <t xml:space="preserve"> •VALUE 1</t>
  </si>
  <si>
    <t xml:space="preserve"> •VALUE 2</t>
  </si>
  <si>
    <t>•TOMBOL</t>
  </si>
  <si>
    <t>-</t>
  </si>
  <si>
    <t>Ξ☼Ξ</t>
  </si>
  <si>
    <t>Data di sh INPUTAN USER ditransfer oleh macro input user, yg sudah lulus verifikasi</t>
  </si>
  <si>
    <t>Tombol "PROSES 1"</t>
  </si>
  <si>
    <t>Call Button_Proses1</t>
  </si>
  <si>
    <t>Sub Button Proses1</t>
  </si>
  <si>
    <t>Hapus Semua Sheet kecuali bawaan Dev</t>
  </si>
  <si>
    <t>Formulasi</t>
  </si>
  <si>
    <t>Tombol "PROSES 2"</t>
  </si>
  <si>
    <t>Call Button_Proses2</t>
  </si>
  <si>
    <t>Sub Button Proses2</t>
  </si>
  <si>
    <t>Buat Header  + Appareance</t>
  </si>
  <si>
    <t>create sh "CC1_AVB_1"</t>
  </si>
  <si>
    <t>Create sh "RPA2"</t>
  </si>
  <si>
    <t>Create sh "RPA1"</t>
  </si>
  <si>
    <t>Import data</t>
  </si>
  <si>
    <t>formulasi</t>
  </si>
  <si>
    <t>CC1_AVB_1!AA9:AB9</t>
  </si>
  <si>
    <t>col AB FILTER &lt;&gt; 0</t>
  </si>
  <si>
    <t>NO</t>
  </si>
  <si>
    <t>YES</t>
  </si>
  <si>
    <t>CC1_AVB_1!H8,CC1_AVB_1!J8,CC1_AVB_1!M8,CC1_AVB_1!N8,CC1_AVB_1!AA8</t>
  </si>
  <si>
    <t>create sh "CC2_ILDV_1"</t>
  </si>
  <si>
    <t>Filter kolom "y" &lt;&gt; blank</t>
  </si>
  <si>
    <t>create sh "CC2_ILDV_1.2"</t>
  </si>
  <si>
    <t>Create Header</t>
  </si>
  <si>
    <t>hasil filter Ada datanya?</t>
  </si>
  <si>
    <t xml:space="preserve">hasil filter diCopas, kolom yg diperlukan  =  </t>
  </si>
  <si>
    <t>'CC2_ILDV_1!A6,CC2_ILDV_1!Y6</t>
  </si>
  <si>
    <t>Remove duplicate</t>
  </si>
  <si>
    <t>Clear Filter</t>
  </si>
  <si>
    <t>create sh "OL1_Collect"</t>
  </si>
  <si>
    <t>Buat Header</t>
  </si>
  <si>
    <t xml:space="preserve">hasil filter diCopas ke sh "OL1_Collect", kolom yg diperlukan  = </t>
  </si>
  <si>
    <t>sh "OL1_Collect", Filed "SOURCE" diisi dengan "AVB"</t>
  </si>
  <si>
    <t>sh "OL1_Collect", Filed "BUSINESS" diisi dari 'INPUTAN USER'!$B$2</t>
  </si>
  <si>
    <t>Select sh "CC2_ILDV_1"</t>
  </si>
  <si>
    <t>Kolom  "AA" FILTER = 1</t>
  </si>
  <si>
    <t>CC2_ILDV_1!A6,CC2_ILDV_1!B6,CC2_ILDV_1!H6,CC2_ILDV_1!M6,CC2_ILDV_1!N6,CC2_ILDV_1!R6,CC2_ILDV_1!S6,CC2_ILDV_1!U6,CC2_ILDV_1!X6</t>
  </si>
  <si>
    <t>sh "OL1_Collect", Filed "SOURCE" diisi dengan "ILDV"</t>
  </si>
  <si>
    <t>create sh "OL2_Bandingkan"</t>
  </si>
  <si>
    <t/>
  </si>
  <si>
    <t>sh "OL1_Collect" Col "j" Filter = 1</t>
  </si>
  <si>
    <t>create sh "RPA3"</t>
  </si>
  <si>
    <t>Buat Header+Appareance</t>
  </si>
  <si>
    <t>sh "OL2_Bandingkan" Col "H" Filter &lt;&gt; 0</t>
  </si>
  <si>
    <t>copy data hasil filter ke sh OL2_Bandingkan</t>
  </si>
  <si>
    <t>Field "Update" diinput "1"</t>
  </si>
  <si>
    <t>Formulasikan</t>
  </si>
  <si>
    <t>Pastevalue</t>
  </si>
  <si>
    <t>dtsupport@gistexgarmenindonesia.com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</si>
  <si>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 xml:space="preserve">History Pembetulan Stock di JDE.pdf </t>
    </r>
    <r>
      <rPr>
        <sz val="11"/>
        <color theme="4" tint="-0.499984740745262"/>
        <rFont val="Calibri"/>
        <family val="2"/>
        <scheme val="minor"/>
      </rPr>
      <t>)</t>
    </r>
  </si>
  <si>
    <t>Fomulasi col aa</t>
  </si>
  <si>
    <t>Formulasi sh "OL1_Collect"</t>
  </si>
  <si>
    <t>TO EMAIL</t>
  </si>
  <si>
    <t>TO CC</t>
  </si>
  <si>
    <t>Filed "TO" di ambil dari inputan user col D gabungkan pemisahnya pake koma</t>
  </si>
  <si>
    <t>Filed "cc" di ambil dari inputan user col E gabungkan pemisahnya pake koma</t>
  </si>
  <si>
    <t>FORMULASI</t>
  </si>
  <si>
    <t>PASTE VALUE</t>
  </si>
  <si>
    <t>END SUB</t>
  </si>
  <si>
    <t>create sh "RPA4"</t>
  </si>
  <si>
    <r>
      <t>MENU JDE RPA1  (</t>
    </r>
    <r>
      <rPr>
        <i/>
        <sz val="9"/>
        <color rgb="FFFF0000"/>
        <rFont val="Calibri"/>
        <family val="2"/>
        <scheme val="minor"/>
      </rPr>
      <t>BV</t>
    </r>
    <r>
      <rPr>
        <sz val="11"/>
        <color theme="4" tint="-0.499984740745262"/>
        <rFont val="Calibri"/>
        <family val="2"/>
        <scheme val="minor"/>
      </rPr>
      <t>)</t>
    </r>
  </si>
  <si>
    <r>
      <t>MENU JDE RPA2  (</t>
    </r>
    <r>
      <rPr>
        <i/>
        <sz val="9"/>
        <color rgb="FFFF0000"/>
        <rFont val="Calibri"/>
        <family val="2"/>
        <scheme val="minor"/>
      </rPr>
      <t>BV</t>
    </r>
    <r>
      <rPr>
        <sz val="11"/>
        <color theme="4" tint="-0.499984740745262"/>
        <rFont val="Calibri"/>
        <family val="2"/>
        <scheme val="minor"/>
      </rPr>
      <t>)</t>
    </r>
  </si>
  <si>
    <r>
      <t>MENU JDE RPA3  (</t>
    </r>
    <r>
      <rPr>
        <i/>
        <sz val="9"/>
        <color rgb="FFFF0000"/>
        <rFont val="Calibri"/>
        <family val="2"/>
        <scheme val="minor"/>
      </rPr>
      <t>BV</t>
    </r>
    <r>
      <rPr>
        <sz val="11"/>
        <color theme="4" tint="-0.499984740745262"/>
        <rFont val="Calibri"/>
        <family val="2"/>
        <scheme val="minor"/>
      </rPr>
      <t>)</t>
    </r>
  </si>
  <si>
    <t>R5641022</t>
  </si>
  <si>
    <t>create sh "RPA5"</t>
  </si>
  <si>
    <t>Buat Header+APPA</t>
  </si>
  <si>
    <t>copy data hasil filter ke sh RPA4</t>
  </si>
  <si>
    <t>Export to PDF sh "RPA4"</t>
  </si>
  <si>
    <t>paste value</t>
  </si>
  <si>
    <t>Membuat Draft untuk RPA1, RPA2 download data di JDE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</si>
  <si>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 xml:space="preserve">Download ILDV By RPA 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</si>
  <si>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 xml:space="preserve">Download AVB By RPA </t>
    </r>
    <r>
      <rPr>
        <sz val="11"/>
        <color theme="4" tint="-0.499984740745262"/>
        <rFont val="Calibri"/>
        <family val="2"/>
        <scheme val="minor"/>
      </rPr>
      <t>)</t>
    </r>
  </si>
  <si>
    <t>BV</t>
  </si>
  <si>
    <t>\\10.8.0.35\Bersama\IT\RPA Gudang\MACRO_PROCESS - Pembetulan Stock di JDE\RPA Preference\.Source\JDE\JDE_StockAvailability.xlsx</t>
  </si>
  <si>
    <t>\\10.8.0.35\Bersama\IT\RPA Gudang\MACRO_PROCESS - Pembetulan Stock di JDE\RPA Preference\.Source\JDE\JDE_ILDV.xlsx</t>
  </si>
  <si>
    <t>\\10.8.0.35\Bersama\IT\RPA Gudang\MACRO_PROCESS - Pembetulan Stock di JDE\RPA Preference\.Result\History Pembetulan Stock di JDE.pdf</t>
  </si>
  <si>
    <t>PK1</t>
  </si>
  <si>
    <t>PK2</t>
  </si>
  <si>
    <t>BUSINESS</t>
  </si>
  <si>
    <t>ITEM</t>
  </si>
  <si>
    <t>LOCATION</t>
  </si>
  <si>
    <t>LOT NUMBER</t>
  </si>
  <si>
    <t>QTY</t>
  </si>
  <si>
    <t>U/M</t>
  </si>
  <si>
    <t>SOURCE</t>
  </si>
  <si>
    <t>FILTER = 1</t>
  </si>
  <si>
    <t>þÿ</t>
  </si>
  <si>
    <t>PT. GISTEX</t>
  </si>
  <si>
    <t>Page -</t>
  </si>
  <si>
    <t>of</t>
  </si>
  <si>
    <t>ITEM AVAILABILITY PRINT</t>
  </si>
  <si>
    <t>G/L Category</t>
  </si>
  <si>
    <t>INFA</t>
  </si>
  <si>
    <t>DESCRIPTIOPN-1</t>
  </si>
  <si>
    <t>DESCRIPTIOPN-2</t>
  </si>
  <si>
    <t>LAST RECV.</t>
  </si>
  <si>
    <t>QTY.ON HAND</t>
  </si>
  <si>
    <t>NUMBER</t>
  </si>
  <si>
    <t>100% POLY DBL KNIT WAFFLE, 66"</t>
  </si>
  <si>
    <t>WFL-11421, 280G/M2, IVORY</t>
  </si>
  <si>
    <t>MT</t>
  </si>
  <si>
    <t>UPC PRICE STICKER</t>
  </si>
  <si>
    <t>LP. 4402, L</t>
  </si>
  <si>
    <t>PC</t>
  </si>
  <si>
    <t>HANGTAG EC-HG</t>
  </si>
  <si>
    <t>FIX KODE BARANG</t>
  </si>
  <si>
    <t>FILTER &lt;&gt; 0</t>
  </si>
  <si>
    <t>þÿR564111M</t>
  </si>
  <si>
    <t>ITEM LEDGER DETAIL - VERSION</t>
  </si>
  <si>
    <t>GGI CILEUNYI</t>
  </si>
  <si>
    <t>DESCRIPTION-1</t>
  </si>
  <si>
    <t>DESCRIPTION-2</t>
  </si>
  <si>
    <t>DOC</t>
  </si>
  <si>
    <t>DC.</t>
  </si>
  <si>
    <t>TR DATE</t>
  </si>
  <si>
    <t>G/L DATE</t>
  </si>
  <si>
    <t>LOT NUM</t>
  </si>
  <si>
    <t>QUANTITY</t>
  </si>
  <si>
    <t>UM</t>
  </si>
  <si>
    <t>UNIT COST</t>
  </si>
  <si>
    <t>QTY.PRIMARY</t>
  </si>
  <si>
    <t>EXTENDED AMT</t>
  </si>
  <si>
    <t>REF.NUMBR</t>
  </si>
  <si>
    <t>G/L Cat</t>
  </si>
  <si>
    <t>UNIT</t>
  </si>
  <si>
    <t>TY.</t>
  </si>
  <si>
    <t>-----------------------------------------------------------------------------------------&gt;</t>
  </si>
  <si>
    <t>TOTAL</t>
  </si>
  <si>
    <t>QTY ILDV</t>
  </si>
  <si>
    <t>QTY AVB</t>
  </si>
  <si>
    <t>filter &lt;&gt; 0</t>
  </si>
  <si>
    <t>CAT</t>
  </si>
  <si>
    <t>UPDATE</t>
  </si>
  <si>
    <t>TO</t>
  </si>
  <si>
    <t>CC</t>
  </si>
  <si>
    <t>SUBJECT</t>
  </si>
  <si>
    <t>ATTACHMENT</t>
  </si>
  <si>
    <t>History Pembetulan Stock di JDE Periode 14 November 2024</t>
  </si>
  <si>
    <t>G/L CAT</t>
  </si>
  <si>
    <t>INMK</t>
  </si>
  <si>
    <t>dtsupport@gistexgarmenindonesia.comdtsupport@gistexgarmenindonesia.comdtsupport@gistexgarmenindonesia.comdtsupport@gistexgarmenindonesia.comdtsupport@gistexgarmenindonesia.com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</si>
</sst>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8"/>
      <color rgb="FF9A9DA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i/>
      <sz val="10"/>
      <color theme="4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48"/>
      <color rgb="FFBAF6FE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9"/>
      <color rgb="FFFF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BF0FB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 style="thin">
        <color rgb="FF96E6E7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39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3" fillId="0" borderId="0" xfId="0" applyFont="1" applyAlignment="1">
      <alignment horizontal="left"/>
    </xf>
    <xf numFmtId="0" fontId="7" fillId="3" borderId="1" xfId="0" applyFont="1" applyFill="1" applyBorder="1" applyAlignment="1">
      <alignment vertical="center"/>
    </xf>
    <xf numFmtId="0" fontId="7" fillId="3" borderId="1" xfId="0" applyFont="1" applyFill="1" applyBorder="1" applyAlignment="1">
      <alignment horizontal="left" vertical="center"/>
    </xf>
    <xf numFmtId="0" fontId="7" fillId="3" borderId="1" xfId="0" applyFont="1" applyFill="1" applyBorder="1" applyAlignment="1">
      <alignment horizontal="center" vertical="center"/>
    </xf>
    <xf numFmtId="0" fontId="9" fillId="0" borderId="3" xfId="0" applyFont="1" applyBorder="1"/>
    <xf numFmtId="0" fontId="9" fillId="0" borderId="0" xfId="0" applyFont="1"/>
    <xf numFmtId="0" fontId="12" fillId="0" borderId="3" xfId="1" applyFont="1" applyFill="1" applyBorder="1" applyAlignment="1">
      <alignment horizontal="left"/>
    </xf>
    <xf numFmtId="0" fontId="0" fillId="0" borderId="4" xfId="0" applyBorder="1" applyAlignment="1">
      <alignment horizontal="left"/>
    </xf>
    <xf numFmtId="164" fontId="0" fillId="0" borderId="0" xfId="0" applyNumberFormat="1" applyAlignment="1">
      <alignment horizontal="left"/>
    </xf>
    <xf numFmtId="0" fontId="9" fillId="0" borderId="3" xfId="0" applyFont="1" applyBorder="1" applyAlignment="1">
      <alignment horizontal="left"/>
    </xf>
    <xf numFmtId="0" fontId="11" fillId="0" borderId="3" xfId="1" applyBorder="1" applyAlignment="1">
      <alignment horizontal="left"/>
    </xf>
    <xf numFmtId="0" fontId="11" fillId="0" borderId="4" xfId="1" applyBorder="1" applyAlignment="1">
      <alignment horizontal="left"/>
    </xf>
    <xf numFmtId="0" fontId="0" fillId="3" borderId="0" xfId="0" applyFill="1"/>
    <xf numFmtId="0" fontId="0" fillId="4" borderId="0" xfId="0" applyFill="1"/>
    <xf numFmtId="0" fontId="2" fillId="0" borderId="0" xfId="0" applyFont="1"/>
    <xf numFmtId="0" fontId="11" fillId="0" borderId="3" xfId="1" applyFill="1" applyBorder="1"/>
    <xf numFmtId="0" fontId="14" fillId="0" borderId="0" xfId="0" applyFont="1"/>
    <xf numFmtId="0" fontId="0" fillId="0" borderId="0" xfId="0" quotePrefix="1"/>
    <xf numFmtId="0" fontId="16" fillId="0" borderId="0" xfId="0" applyFont="1"/>
    <xf numFmtId="0" fontId="11" fillId="0" borderId="0" xfId="1"/>
    <xf numFmtId="0" fontId="1" fillId="0" borderId="0" xfId="0" applyFont="1" applyAlignment="1">
      <alignment horizontal="right"/>
    </xf>
    <xf numFmtId="0" fontId="17" fillId="0" borderId="0" xfId="0" applyFont="1"/>
    <xf numFmtId="0" fontId="0" fillId="5" borderId="0" xfId="0" applyFill="1"/>
    <xf numFmtId="49" fontId="0" fillId="0" borderId="0" xfId="0" applyNumberFormat="1"/>
    <xf numFmtId="14" fontId="0" fillId="0" borderId="0" xfId="0" applyNumberFormat="1"/>
    <xf numFmtId="21" fontId="0" fillId="0" borderId="0" xfId="0" applyNumberFormat="1"/>
    <xf numFmtId="0" fontId="18" fillId="6" borderId="6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left"/>
    </xf>
    <xf numFmtId="0" fontId="0" fillId="2" borderId="0" xfId="0" applyFill="1" applyAlignment="1">
      <alignment horizontal="center"/>
    </xf>
    <xf numFmtId="0" fontId="7" fillId="3" borderId="1" xfId="0" applyFont="1" applyFill="1" applyBorder="1" applyAlignment="1">
      <alignment horizontal="left" vertical="center"/>
    </xf>
    <xf numFmtId="0" fontId="7" fillId="3" borderId="2" xfId="0" applyFont="1" applyFill="1" applyBorder="1" applyAlignment="1">
      <alignment horizontal="left" vertical="center"/>
    </xf>
    <xf numFmtId="0" fontId="8" fillId="4" borderId="3" xfId="0" applyFont="1" applyFill="1" applyBorder="1" applyAlignment="1">
      <alignment horizontal="left" vertical="center" wrapText="1"/>
    </xf>
    <xf numFmtId="0" fontId="13" fillId="2" borderId="5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1" fillId="0" borderId="3" xfId="1" applyFill="1" applyBorder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393583</xdr:colOff>
      <xdr:row>0</xdr:row>
      <xdr:rowOff>43229</xdr:rowOff>
    </xdr:from>
    <xdr:to>
      <xdr:col>7</xdr:col>
      <xdr:colOff>777514</xdr:colOff>
      <xdr:row>1</xdr:row>
      <xdr:rowOff>100628</xdr:rowOff>
    </xdr:to>
    <xdr:pic macro="[1]!OPEN_About"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58183" y="43229"/>
          <a:ext cx="383931" cy="241549"/>
        </a:xfrm>
        <a:prstGeom prst="rect">
          <a:avLst/>
        </a:prstGeom>
      </xdr:spPr>
    </xdr:pic>
    <xdr:clientData/>
  </xdr:twoCellAnchor>
  <xdr:twoCellAnchor>
    <xdr:from>
      <xdr:col>7</xdr:col>
      <xdr:colOff>114342</xdr:colOff>
      <xdr:row>4</xdr:row>
      <xdr:rowOff>114300</xdr:rowOff>
    </xdr:from>
    <xdr:to>
      <xdr:col>7</xdr:col>
      <xdr:colOff>1263649</xdr:colOff>
      <xdr:row>6</xdr:row>
      <xdr:rowOff>158750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8978942" y="958850"/>
          <a:ext cx="1149307" cy="412750"/>
          <a:chOff x="2984128" y="906998"/>
          <a:chExt cx="1670699" cy="429245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8" y="906998"/>
            <a:ext cx="1670699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3" name="CommandButton1" hidden="1">
                <a:extLst>
                  <a:ext uri="{63B3BB69-23CF-44E3-9099-C40C66FF867C}">
                    <a14:compatExt spid="_x0000_s13313"/>
                  </a:ext>
                  <a:ext uri="{FF2B5EF4-FFF2-40B4-BE49-F238E27FC236}">
                    <a16:creationId xmlns:a16="http://schemas.microsoft.com/office/drawing/2014/main" id="{00000000-0008-0000-0100-000001340000}"/>
                  </a:ext>
                </a:extLst>
              </xdr:cNvPr>
              <xdr:cNvSpPr/>
            </xdr:nvSpPr>
            <xdr:spPr bwMode="auto">
              <a:xfrm>
                <a:off x="3159023" y="987276"/>
                <a:ext cx="1332349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7</xdr:col>
      <xdr:colOff>76242</xdr:colOff>
      <xdr:row>12</xdr:row>
      <xdr:rowOff>38100</xdr:rowOff>
    </xdr:from>
    <xdr:to>
      <xdr:col>7</xdr:col>
      <xdr:colOff>1225549</xdr:colOff>
      <xdr:row>14</xdr:row>
      <xdr:rowOff>82550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pSpPr/>
      </xdr:nvGrpSpPr>
      <xdr:grpSpPr>
        <a:xfrm>
          <a:off x="8940842" y="2114550"/>
          <a:ext cx="1149307" cy="412750"/>
          <a:chOff x="2984128" y="906998"/>
          <a:chExt cx="1670699" cy="429245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8" y="906998"/>
            <a:ext cx="1670699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4" name="CommandButton2" hidden="1">
                <a:extLst>
                  <a:ext uri="{63B3BB69-23CF-44E3-9099-C40C66FF867C}">
                    <a14:compatExt spid="_x0000_s13314"/>
                  </a:ext>
                  <a:ext uri="{FF2B5EF4-FFF2-40B4-BE49-F238E27FC236}">
                    <a16:creationId xmlns:a16="http://schemas.microsoft.com/office/drawing/2014/main" id="{00000000-0008-0000-0100-000002340000}"/>
                  </a:ext>
                </a:extLst>
              </xdr:cNvPr>
              <xdr:cNvSpPr/>
            </xdr:nvSpPr>
            <xdr:spPr bwMode="auto">
              <a:xfrm>
                <a:off x="3159022" y="987276"/>
                <a:ext cx="1332349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01.%20KANTOR\VBA\!Format\MACRO_PROCESS%20-%20Input%20Data%20di%20JDE\RPA%20Preference\.Macro\MACRO_RPA%20-%20Input%20Data%20di%20J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A"/>
      <sheetName val="HOME"/>
      <sheetName val="INPUTAN_USER"/>
      <sheetName val="RPA1"/>
      <sheetName val="CC1_GCC"/>
      <sheetName val="RPA2"/>
      <sheetName val="MACRO_RPA - Input Data di JDE"/>
    </sheetNames>
    <definedNames>
      <definedName name="OPEN_About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hyperlink" Target="file:///\\10.8.0.35\Bersama\IT\RPA%20Gudang\MACRO_PROCESS%20-%20Pembetulan%20Stock%20di%20JDE\RPA%20Preference\.Source\JDE\JDE_ILDV.xlsx" TargetMode="External"/><Relationship Id="rId1" Type="http://schemas.openxmlformats.org/officeDocument/2006/relationships/hyperlink" Target="file:///\\10.8.0.35\Bersama\IT\RPA%20Gudang\MACRO_PROCESS%20-%20Pembetulan%20Stock%20di%20JDE\RPA%20Preference\.Source\JDE\JDE_StockAvailability.xlsx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7030A0"/>
  </sheetPr>
  <dimension ref="A1:E67"/>
  <sheetViews>
    <sheetView workbookViewId="0"/>
  </sheetViews>
  <sheetFormatPr defaultRowHeight="14.5" x14ac:dyDescent="0.35"/>
  <cols>
    <col min="1" max="1" width="17.81640625" customWidth="1"/>
    <col min="2" max="2" width="36.7265625" customWidth="1"/>
    <col min="3" max="3" width="38.453125" customWidth="1"/>
    <col min="4" max="4" width="54.1796875" customWidth="1"/>
  </cols>
  <sheetData>
    <row r="1" spans="1:3" x14ac:dyDescent="0.35">
      <c r="A1" s="19" t="s">
        <v>20</v>
      </c>
    </row>
    <row r="3" spans="1:3" x14ac:dyDescent="0.35">
      <c r="A3" t="s">
        <v>21</v>
      </c>
      <c r="B3" t="s">
        <v>22</v>
      </c>
      <c r="C3" t="str">
        <f>A8</f>
        <v>Sub Button Proses1</v>
      </c>
    </row>
    <row r="4" spans="1:3" x14ac:dyDescent="0.35">
      <c r="A4" t="s">
        <v>26</v>
      </c>
      <c r="B4" t="s">
        <v>27</v>
      </c>
      <c r="C4" t="str">
        <f>A17</f>
        <v>Sub Button Proses2</v>
      </c>
    </row>
    <row r="8" spans="1:3" x14ac:dyDescent="0.35">
      <c r="A8" t="s">
        <v>23</v>
      </c>
      <c r="B8" t="s">
        <v>24</v>
      </c>
    </row>
    <row r="9" spans="1:3" x14ac:dyDescent="0.35">
      <c r="B9" s="21" t="s">
        <v>32</v>
      </c>
      <c r="C9" t="s">
        <v>29</v>
      </c>
    </row>
    <row r="10" spans="1:3" x14ac:dyDescent="0.35">
      <c r="C10" t="s">
        <v>25</v>
      </c>
    </row>
    <row r="11" spans="1:3" x14ac:dyDescent="0.35">
      <c r="C11" t="s">
        <v>88</v>
      </c>
    </row>
    <row r="12" spans="1:3" x14ac:dyDescent="0.35">
      <c r="B12" s="21" t="s">
        <v>31</v>
      </c>
      <c r="C12" t="s">
        <v>29</v>
      </c>
    </row>
    <row r="13" spans="1:3" x14ac:dyDescent="0.35">
      <c r="C13" t="s">
        <v>25</v>
      </c>
    </row>
    <row r="14" spans="1:3" x14ac:dyDescent="0.35">
      <c r="A14" s="24" t="s">
        <v>78</v>
      </c>
      <c r="C14" t="s">
        <v>88</v>
      </c>
    </row>
    <row r="15" spans="1:3" x14ac:dyDescent="0.35">
      <c r="A15" s="24"/>
    </row>
    <row r="17" spans="1:5" x14ac:dyDescent="0.35">
      <c r="A17" t="s">
        <v>28</v>
      </c>
      <c r="B17" s="21" t="s">
        <v>49</v>
      </c>
      <c r="C17" t="s">
        <v>50</v>
      </c>
    </row>
    <row r="19" spans="1:5" x14ac:dyDescent="0.35">
      <c r="B19" s="21" t="s">
        <v>30</v>
      </c>
      <c r="C19" t="s">
        <v>33</v>
      </c>
      <c r="D19" t="str">
        <f>HOME!F5</f>
        <v>\\10.8.0.35\Bersama\IT\RPA Gudang\MACRO_PROCESS - Pembetulan Stock di JDE\RPA Preference\.Source\JDE\JDE_StockAvailability.xlsx</v>
      </c>
    </row>
    <row r="20" spans="1:5" x14ac:dyDescent="0.35">
      <c r="C20" t="s">
        <v>34</v>
      </c>
      <c r="D20" s="20" t="s">
        <v>35</v>
      </c>
    </row>
    <row r="21" spans="1:5" x14ac:dyDescent="0.35">
      <c r="C21" t="s">
        <v>36</v>
      </c>
    </row>
    <row r="22" spans="1:5" x14ac:dyDescent="0.35">
      <c r="C22" t="s">
        <v>44</v>
      </c>
    </row>
    <row r="23" spans="1:5" x14ac:dyDescent="0.35">
      <c r="C23" s="1" t="s">
        <v>37</v>
      </c>
      <c r="D23" s="1" t="s">
        <v>38</v>
      </c>
    </row>
    <row r="24" spans="1:5" x14ac:dyDescent="0.35">
      <c r="C24" t="s">
        <v>48</v>
      </c>
      <c r="D24" t="s">
        <v>51</v>
      </c>
      <c r="E24" s="20" t="s">
        <v>39</v>
      </c>
    </row>
    <row r="25" spans="1:5" x14ac:dyDescent="0.35">
      <c r="D25" t="s">
        <v>52</v>
      </c>
      <c r="E25" s="20"/>
    </row>
    <row r="26" spans="1:5" x14ac:dyDescent="0.35">
      <c r="D26" t="s">
        <v>53</v>
      </c>
      <c r="E26" s="20"/>
    </row>
    <row r="28" spans="1:5" x14ac:dyDescent="0.35">
      <c r="B28" s="21" t="s">
        <v>40</v>
      </c>
      <c r="C28" t="s">
        <v>33</v>
      </c>
      <c r="D28" t="str">
        <f>HOME!$F$7</f>
        <v>\\10.8.0.35\Bersama\IT\RPA Gudang\MACRO_PROCESS - Pembetulan Stock di JDE\RPA Preference\.Source\JDE\JDE_ILDV.xlsx</v>
      </c>
    </row>
    <row r="29" spans="1:5" x14ac:dyDescent="0.35">
      <c r="C29" t="s">
        <v>41</v>
      </c>
    </row>
    <row r="30" spans="1:5" x14ac:dyDescent="0.35">
      <c r="C30" s="21" t="s">
        <v>42</v>
      </c>
      <c r="D30" t="s">
        <v>43</v>
      </c>
    </row>
    <row r="31" spans="1:5" x14ac:dyDescent="0.35">
      <c r="C31" t="s">
        <v>44</v>
      </c>
    </row>
    <row r="32" spans="1:5" x14ac:dyDescent="0.35">
      <c r="C32" s="23" t="s">
        <v>37</v>
      </c>
      <c r="D32" s="1" t="s">
        <v>38</v>
      </c>
    </row>
    <row r="33" spans="2:5" x14ac:dyDescent="0.35">
      <c r="C33" t="s">
        <v>48</v>
      </c>
      <c r="D33" t="s">
        <v>45</v>
      </c>
      <c r="E33" s="20" t="s">
        <v>46</v>
      </c>
    </row>
    <row r="34" spans="2:5" x14ac:dyDescent="0.35">
      <c r="D34" t="s">
        <v>47</v>
      </c>
    </row>
    <row r="35" spans="2:5" x14ac:dyDescent="0.35">
      <c r="D35" t="s">
        <v>48</v>
      </c>
    </row>
    <row r="37" spans="2:5" x14ac:dyDescent="0.35">
      <c r="B37" t="s">
        <v>54</v>
      </c>
      <c r="C37" t="s">
        <v>70</v>
      </c>
    </row>
    <row r="38" spans="2:5" x14ac:dyDescent="0.35">
      <c r="C38" t="s">
        <v>55</v>
      </c>
    </row>
    <row r="39" spans="2:5" x14ac:dyDescent="0.35">
      <c r="C39" t="s">
        <v>44</v>
      </c>
    </row>
    <row r="40" spans="2:5" x14ac:dyDescent="0.35">
      <c r="C40" s="1" t="s">
        <v>37</v>
      </c>
      <c r="D40" s="1" t="s">
        <v>38</v>
      </c>
    </row>
    <row r="41" spans="2:5" x14ac:dyDescent="0.35">
      <c r="C41" t="s">
        <v>48</v>
      </c>
      <c r="D41" t="s">
        <v>45</v>
      </c>
      <c r="E41" s="20" t="s">
        <v>56</v>
      </c>
    </row>
    <row r="42" spans="2:5" x14ac:dyDescent="0.35">
      <c r="D42" t="s">
        <v>57</v>
      </c>
    </row>
    <row r="43" spans="2:5" x14ac:dyDescent="0.35">
      <c r="B43" t="s">
        <v>71</v>
      </c>
      <c r="D43" s="20"/>
    </row>
    <row r="45" spans="2:5" x14ac:dyDescent="0.35">
      <c r="B45" s="21" t="s">
        <v>58</v>
      </c>
      <c r="C45" t="s">
        <v>50</v>
      </c>
    </row>
    <row r="46" spans="2:5" x14ac:dyDescent="0.35">
      <c r="C46" t="s">
        <v>60</v>
      </c>
    </row>
    <row r="47" spans="2:5" x14ac:dyDescent="0.35">
      <c r="C47" t="s">
        <v>64</v>
      </c>
      <c r="D47" s="20" t="s">
        <v>59</v>
      </c>
    </row>
    <row r="48" spans="2:5" x14ac:dyDescent="0.35">
      <c r="C48" t="s">
        <v>34</v>
      </c>
    </row>
    <row r="50" spans="2:4" x14ac:dyDescent="0.35">
      <c r="B50" s="21" t="s">
        <v>61</v>
      </c>
      <c r="C50" t="s">
        <v>85</v>
      </c>
    </row>
    <row r="51" spans="2:4" x14ac:dyDescent="0.35">
      <c r="C51" t="s">
        <v>25</v>
      </c>
    </row>
    <row r="52" spans="2:4" x14ac:dyDescent="0.35">
      <c r="C52" t="s">
        <v>88</v>
      </c>
    </row>
    <row r="53" spans="2:4" x14ac:dyDescent="0.35">
      <c r="B53" s="21" t="s">
        <v>79</v>
      </c>
      <c r="C53" t="s">
        <v>62</v>
      </c>
    </row>
    <row r="54" spans="2:4" x14ac:dyDescent="0.35">
      <c r="C54" t="s">
        <v>63</v>
      </c>
    </row>
    <row r="55" spans="2:4" x14ac:dyDescent="0.35">
      <c r="C55" t="s">
        <v>86</v>
      </c>
    </row>
    <row r="56" spans="2:4" x14ac:dyDescent="0.35">
      <c r="C56" t="s">
        <v>65</v>
      </c>
    </row>
    <row r="57" spans="2:4" x14ac:dyDescent="0.35">
      <c r="C57" t="s">
        <v>66</v>
      </c>
    </row>
    <row r="58" spans="2:4" x14ac:dyDescent="0.35">
      <c r="C58" t="s">
        <v>67</v>
      </c>
    </row>
    <row r="60" spans="2:4" x14ac:dyDescent="0.35">
      <c r="C60" t="s">
        <v>87</v>
      </c>
      <c r="D60" t="str">
        <f>HOME!F13</f>
        <v>\\10.8.0.35\Bersama\IT\RPA Gudang\MACRO_PROCESS - Pembetulan Stock di JDE\RPA Preference\.Result\History Pembetulan Stock di JDE.pdf</v>
      </c>
    </row>
    <row r="62" spans="2:4" x14ac:dyDescent="0.35">
      <c r="B62" s="21" t="s">
        <v>84</v>
      </c>
      <c r="C62" t="s">
        <v>62</v>
      </c>
    </row>
    <row r="63" spans="2:4" x14ac:dyDescent="0.35">
      <c r="C63" t="s">
        <v>74</v>
      </c>
    </row>
    <row r="64" spans="2:4" x14ac:dyDescent="0.35">
      <c r="C64" t="s">
        <v>75</v>
      </c>
    </row>
    <row r="65" spans="1:3" x14ac:dyDescent="0.35">
      <c r="C65" t="s">
        <v>76</v>
      </c>
    </row>
    <row r="66" spans="1:3" x14ac:dyDescent="0.35">
      <c r="C66" t="s">
        <v>77</v>
      </c>
    </row>
    <row r="67" spans="1:3" x14ac:dyDescent="0.35">
      <c r="A67" s="24" t="s">
        <v>78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00B0F0"/>
  </sheetPr>
  <dimension ref="A1:H16"/>
  <sheetViews>
    <sheetView showGridLines="0" workbookViewId="0">
      <selection sqref="A1:B1"/>
    </sheetView>
  </sheetViews>
  <sheetFormatPr defaultRowHeight="14.5" x14ac:dyDescent="0.35"/>
  <cols>
    <col min="1" max="1" width="1.81640625" customWidth="1"/>
    <col min="2" max="2" width="0.26953125" customWidth="1"/>
    <col min="3" max="3" width="46.453125" customWidth="1"/>
    <col min="4" max="4" width="31" customWidth="1"/>
    <col min="5" max="5" width="3" customWidth="1"/>
    <col min="6" max="6" width="30.54296875" customWidth="1"/>
    <col min="7" max="7" width="13.81640625" customWidth="1"/>
    <col min="8" max="8" width="18.26953125" customWidth="1"/>
    <col min="9" max="9" width="1.1796875" customWidth="1"/>
  </cols>
  <sheetData>
    <row r="1" spans="1:8" ht="18" customHeight="1" x14ac:dyDescent="0.35">
      <c r="A1" s="30"/>
      <c r="B1" s="30"/>
      <c r="C1" s="31" t="s">
        <v>12</v>
      </c>
      <c r="D1" s="31"/>
      <c r="E1" s="31"/>
      <c r="F1" s="31"/>
      <c r="G1" s="31"/>
      <c r="H1" s="31"/>
    </row>
    <row r="2" spans="1:8" ht="18" customHeight="1" x14ac:dyDescent="0.35">
      <c r="A2" s="2"/>
      <c r="B2" s="2"/>
      <c r="C2" s="3"/>
      <c r="D2" s="3"/>
      <c r="E2" s="3"/>
      <c r="F2" s="3"/>
      <c r="G2" s="3"/>
    </row>
    <row r="3" spans="1:8" ht="15.5" x14ac:dyDescent="0.35">
      <c r="A3" s="30"/>
      <c r="B3" s="32"/>
      <c r="C3" s="4" t="s">
        <v>13</v>
      </c>
      <c r="D3" s="5" t="s">
        <v>14</v>
      </c>
      <c r="E3" s="33" t="s">
        <v>15</v>
      </c>
      <c r="F3" s="34"/>
      <c r="G3" s="5" t="s">
        <v>16</v>
      </c>
      <c r="H3" s="6" t="s">
        <v>17</v>
      </c>
    </row>
    <row r="4" spans="1:8" ht="15" customHeight="1" x14ac:dyDescent="0.35">
      <c r="A4" s="30"/>
      <c r="B4" s="32"/>
      <c r="C4" s="35" t="s">
        <v>89</v>
      </c>
      <c r="D4" s="7" t="s">
        <v>80</v>
      </c>
      <c r="E4" s="8"/>
      <c r="F4" s="9" t="s">
        <v>2</v>
      </c>
      <c r="G4" s="10" t="s">
        <v>4</v>
      </c>
      <c r="H4" s="36" t="s">
        <v>19</v>
      </c>
    </row>
    <row r="5" spans="1:8" x14ac:dyDescent="0.35">
      <c r="A5" s="30"/>
      <c r="B5" s="32"/>
      <c r="C5" s="35"/>
      <c r="D5" s="7" t="s">
        <v>91</v>
      </c>
      <c r="E5" s="8"/>
      <c r="F5" s="22" t="s">
        <v>93</v>
      </c>
      <c r="G5" s="11" t="s">
        <v>18</v>
      </c>
      <c r="H5" s="37"/>
    </row>
    <row r="6" spans="1:8" x14ac:dyDescent="0.35">
      <c r="A6" s="30"/>
      <c r="B6" s="32"/>
      <c r="C6" s="35"/>
      <c r="D6" s="7" t="s">
        <v>81</v>
      </c>
      <c r="E6" s="8"/>
      <c r="F6" s="9" t="s">
        <v>6</v>
      </c>
      <c r="G6" s="11" t="s">
        <v>7</v>
      </c>
      <c r="H6" s="37"/>
    </row>
    <row r="7" spans="1:8" x14ac:dyDescent="0.35">
      <c r="A7" s="30"/>
      <c r="B7" s="32"/>
      <c r="C7" s="35"/>
      <c r="D7" s="7" t="s">
        <v>90</v>
      </c>
      <c r="E7" s="8"/>
      <c r="F7" s="38" t="s">
        <v>94</v>
      </c>
      <c r="G7" s="11" t="s">
        <v>18</v>
      </c>
      <c r="H7" s="37"/>
    </row>
    <row r="8" spans="1:8" x14ac:dyDescent="0.35">
      <c r="A8" s="30"/>
      <c r="B8" s="32"/>
      <c r="C8" s="35"/>
      <c r="D8" s="7" t="s">
        <v>82</v>
      </c>
      <c r="E8" s="8"/>
      <c r="F8" s="9" t="s">
        <v>83</v>
      </c>
      <c r="G8" s="11" t="s">
        <v>4</v>
      </c>
      <c r="H8" s="37"/>
    </row>
    <row r="9" spans="1:8" x14ac:dyDescent="0.35">
      <c r="A9" s="30"/>
      <c r="B9" s="32"/>
      <c r="C9" s="35"/>
      <c r="D9" s="12"/>
      <c r="E9" s="8"/>
      <c r="F9" s="13"/>
      <c r="G9" s="14"/>
      <c r="H9" s="37"/>
    </row>
    <row r="10" spans="1:8" ht="1.5" customHeight="1" x14ac:dyDescent="0.35">
      <c r="A10" s="30"/>
      <c r="B10" s="32"/>
      <c r="C10" s="15"/>
      <c r="D10" s="15"/>
      <c r="E10" s="15"/>
      <c r="F10" s="15"/>
      <c r="G10" s="15"/>
      <c r="H10" s="15"/>
    </row>
    <row r="11" spans="1:8" ht="7.5" customHeight="1" x14ac:dyDescent="0.35">
      <c r="A11" s="30"/>
      <c r="B11" s="30"/>
      <c r="C11" s="16"/>
      <c r="D11" s="16"/>
      <c r="E11" s="16"/>
      <c r="F11" s="16"/>
      <c r="G11" s="16"/>
      <c r="H11" s="16"/>
    </row>
    <row r="12" spans="1:8" ht="15.5" x14ac:dyDescent="0.35">
      <c r="A12" s="30"/>
      <c r="B12" s="30"/>
      <c r="C12" s="4" t="s">
        <v>13</v>
      </c>
      <c r="D12" s="5" t="s">
        <v>14</v>
      </c>
      <c r="E12" s="33" t="s">
        <v>15</v>
      </c>
      <c r="F12" s="34"/>
      <c r="G12" s="5" t="s">
        <v>16</v>
      </c>
      <c r="H12" s="6" t="s">
        <v>17</v>
      </c>
    </row>
    <row r="13" spans="1:8" x14ac:dyDescent="0.35">
      <c r="A13" s="30"/>
      <c r="B13" s="30"/>
      <c r="C13" s="35"/>
      <c r="D13" s="7" t="s">
        <v>69</v>
      </c>
      <c r="E13" s="17"/>
      <c r="F13" t="s">
        <v>95</v>
      </c>
      <c r="G13" s="11" t="s">
        <v>18</v>
      </c>
      <c r="H13" s="36" t="s">
        <v>19</v>
      </c>
    </row>
    <row r="14" spans="1:8" x14ac:dyDescent="0.35">
      <c r="A14" s="30"/>
      <c r="B14" s="30"/>
      <c r="C14" s="35"/>
      <c r="D14" s="7"/>
      <c r="E14" s="17"/>
      <c r="F14" s="18"/>
      <c r="G14" s="11" t="s">
        <v>18</v>
      </c>
      <c r="H14" s="37"/>
    </row>
    <row r="15" spans="1:8" x14ac:dyDescent="0.35">
      <c r="A15" s="30"/>
      <c r="B15" s="30"/>
      <c r="C15" s="35"/>
      <c r="D15" s="7"/>
      <c r="E15" s="8"/>
      <c r="F15" s="18"/>
      <c r="G15" s="14"/>
      <c r="H15" s="37"/>
    </row>
    <row r="16" spans="1:8" ht="1.5" customHeight="1" x14ac:dyDescent="0.35">
      <c r="A16" s="30"/>
      <c r="B16" s="30"/>
      <c r="C16" s="15"/>
      <c r="D16" s="15"/>
      <c r="E16" s="15"/>
      <c r="F16" s="15"/>
      <c r="G16" s="15"/>
      <c r="H16" s="15"/>
    </row>
  </sheetData>
  <mergeCells count="12">
    <mergeCell ref="A11:A16"/>
    <mergeCell ref="B11:B16"/>
    <mergeCell ref="E12:F12"/>
    <mergeCell ref="C13:C15"/>
    <mergeCell ref="H13:H15"/>
    <mergeCell ref="A1:B1"/>
    <mergeCell ref="C1:H1"/>
    <mergeCell ref="A3:A10"/>
    <mergeCell ref="B3:B10"/>
    <mergeCell ref="E3:F3"/>
    <mergeCell ref="C4:C9"/>
    <mergeCell ref="H4:H9"/>
  </mergeCells>
  <hyperlinks>
    <hyperlink ref="F5" r:id="rId1" xr:uid="{9C8CE10E-0CBF-4365-9994-4D8DEE142427}"/>
    <hyperlink ref="F7" r:id="rId2" xr:uid="{E5A01276-D257-4AB1-99A7-F0116784FF4B}"/>
  </hyperlinks>
  <pageMargins left="0.7" right="0.7" top="0.75" bottom="0.75" header="0.3" footer="0.3"/>
  <drawing r:id="rId3"/>
  <legacyDrawing r:id="rId4"/>
  <controls>
    <mc:AlternateContent xmlns:mc="http://schemas.openxmlformats.org/markup-compatibility/2006">
      <mc:Choice Requires="x14">
        <control shapeId="13314" r:id="rId5" name="CommandButton2">
          <controlPr defaultSize="0" autoLine="0" autoPict="0" r:id="rId6">
            <anchor moveWithCells="1">
              <from>
                <xdr:col>7</xdr:col>
                <xdr:colOff>196850</xdr:colOff>
                <xdr:row>12</xdr:row>
                <xdr:rowOff>114300</xdr:rowOff>
              </from>
              <to>
                <xdr:col>7</xdr:col>
                <xdr:colOff>1111250</xdr:colOff>
                <xdr:row>13</xdr:row>
                <xdr:rowOff>184150</xdr:rowOff>
              </to>
            </anchor>
          </controlPr>
        </control>
      </mc:Choice>
      <mc:Fallback>
        <control shapeId="13314" r:id="rId5" name="CommandButton2"/>
      </mc:Fallback>
    </mc:AlternateContent>
    <mc:AlternateContent xmlns:mc="http://schemas.openxmlformats.org/markup-compatibility/2006">
      <mc:Choice Requires="x14">
        <control shapeId="13313" r:id="rId7" name="CommandButton1">
          <controlPr defaultSize="0" autoLine="0" autoPict="0" r:id="rId8">
            <anchor moveWithCells="1">
              <from>
                <xdr:col>7</xdr:col>
                <xdr:colOff>234950</xdr:colOff>
                <xdr:row>5</xdr:row>
                <xdr:rowOff>6350</xdr:rowOff>
              </from>
              <to>
                <xdr:col>7</xdr:col>
                <xdr:colOff>1149350</xdr:colOff>
                <xdr:row>6</xdr:row>
                <xdr:rowOff>76200</xdr:rowOff>
              </to>
            </anchor>
          </controlPr>
        </control>
      </mc:Choice>
      <mc:Fallback>
        <control shapeId="13313" r:id="rId7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FF00"/>
  </sheetPr>
  <dimension ref="A1:G5"/>
  <sheetViews>
    <sheetView workbookViewId="0">
      <selection activeCell="G2" sqref="G2:G4"/>
    </sheetView>
  </sheetViews>
  <sheetFormatPr defaultRowHeight="14.5" x14ac:dyDescent="0.35"/>
  <cols>
    <col min="1" max="1" width="14" bestFit="1" customWidth="1"/>
    <col min="2" max="2" width="7.7265625" customWidth="1"/>
    <col min="3" max="3" width="3.1796875" customWidth="1"/>
    <col min="4" max="4" width="37.453125" bestFit="1" customWidth="1"/>
    <col min="5" max="5" width="6.1796875" bestFit="1" customWidth="1"/>
  </cols>
  <sheetData>
    <row r="1" spans="1:7" x14ac:dyDescent="0.35">
      <c r="A1" t="s">
        <v>8</v>
      </c>
      <c r="B1" t="s">
        <v>11</v>
      </c>
      <c r="C1" s="25"/>
      <c r="D1" t="s">
        <v>72</v>
      </c>
      <c r="E1" t="s">
        <v>73</v>
      </c>
      <c r="G1" s="1" t="s">
        <v>158</v>
      </c>
    </row>
    <row r="2" spans="1:7" x14ac:dyDescent="0.35">
      <c r="A2" s="26">
        <v>164390</v>
      </c>
      <c r="B2">
        <v>1201</v>
      </c>
      <c r="D2" t="s">
        <v>68</v>
      </c>
      <c r="G2" t="s">
        <v>159</v>
      </c>
    </row>
    <row r="3" spans="1:7" x14ac:dyDescent="0.35">
      <c r="A3" s="26">
        <v>212096</v>
      </c>
      <c r="E3" s="22"/>
      <c r="G3" t="s">
        <v>159</v>
      </c>
    </row>
    <row r="4" spans="1:7" x14ac:dyDescent="0.35">
      <c r="A4" s="26">
        <v>243240</v>
      </c>
      <c r="E4" s="22"/>
      <c r="G4" t="s">
        <v>159</v>
      </c>
    </row>
    <row r="5" spans="1:7" x14ac:dyDescent="0.35">
      <c r="A5" s="2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4CF8F-E486-42AA-A0C3-4ECFFF6FF61D}">
  <dimension ref="A1:F2"/>
  <sheetViews>
    <sheetView workbookViewId="0"/>
  </sheetViews>
  <sheetFormatPr defaultRowHeight="14.5" x14ac:dyDescent="0.35"/>
  <cols>
    <col min="1" max="1" width="5.54296875" bestFit="1" customWidth="1"/>
    <col min="2" max="2" width="18.26953125" bestFit="1" customWidth="1"/>
    <col min="3" max="3" width="8.1796875" bestFit="1" customWidth="1"/>
    <col min="4" max="4" width="13.36328125" bestFit="1" customWidth="1"/>
    <col min="5" max="5" width="25.26953125" bestFit="1" customWidth="1"/>
    <col min="6" max="6" width="117.26953125" bestFit="1" customWidth="1"/>
  </cols>
  <sheetData>
    <row r="1" spans="1:6" s="1" customFormat="1" x14ac:dyDescent="0.35">
      <c r="A1" s="1" t="s">
        <v>0</v>
      </c>
      <c r="B1" s="1" t="s">
        <v>1</v>
      </c>
      <c r="C1" s="1" t="s">
        <v>3</v>
      </c>
      <c r="D1" s="1" t="s">
        <v>9</v>
      </c>
      <c r="E1" s="1" t="s">
        <v>10</v>
      </c>
      <c r="F1" s="1" t="s">
        <v>5</v>
      </c>
    </row>
    <row r="2" spans="1:6" x14ac:dyDescent="0.35">
      <c r="A2" t="s">
        <v>92</v>
      </c>
      <c r="B2" t="s">
        <v>2</v>
      </c>
      <c r="C2" t="s">
        <v>4</v>
      </c>
      <c r="D2">
        <v>1201</v>
      </c>
      <c r="E2" t="s">
        <v>8</v>
      </c>
      <c r="F2" t="s">
        <v>93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C721B-BA20-446C-8EAA-7ABE14BB0036}">
  <dimension ref="A1:F2"/>
  <sheetViews>
    <sheetView workbookViewId="0"/>
  </sheetViews>
  <sheetFormatPr defaultRowHeight="14.5" x14ac:dyDescent="0.35"/>
  <cols>
    <col min="1" max="1" width="5.54296875" bestFit="1" customWidth="1"/>
    <col min="2" max="2" width="18.26953125" bestFit="1" customWidth="1"/>
    <col min="3" max="3" width="8.1796875" bestFit="1" customWidth="1"/>
    <col min="4" max="4" width="13.36328125" bestFit="1" customWidth="1"/>
    <col min="5" max="5" width="25.26953125" bestFit="1" customWidth="1"/>
    <col min="6" max="6" width="107.453125" bestFit="1" customWidth="1"/>
  </cols>
  <sheetData>
    <row r="1" spans="1:6" s="1" customFormat="1" x14ac:dyDescent="0.35">
      <c r="A1" s="1" t="s">
        <v>0</v>
      </c>
      <c r="B1" s="1" t="s">
        <v>1</v>
      </c>
      <c r="C1" s="1" t="s">
        <v>3</v>
      </c>
      <c r="D1" s="1" t="s">
        <v>9</v>
      </c>
      <c r="E1" s="1" t="s">
        <v>10</v>
      </c>
      <c r="F1" s="1" t="s">
        <v>5</v>
      </c>
    </row>
    <row r="2" spans="1:6" x14ac:dyDescent="0.35">
      <c r="A2" t="s">
        <v>92</v>
      </c>
      <c r="B2" t="s">
        <v>6</v>
      </c>
      <c r="C2" t="s">
        <v>7</v>
      </c>
      <c r="D2">
        <v>1201</v>
      </c>
      <c r="E2" t="s">
        <v>8</v>
      </c>
      <c r="F2" t="s">
        <v>94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B222B-6804-4637-BBF9-ED34955DC2CD}">
  <dimension ref="A1:J1"/>
  <sheetViews>
    <sheetView workbookViewId="0"/>
  </sheetViews>
  <sheetFormatPr defaultRowHeight="14.5" x14ac:dyDescent="0.35"/>
  <cols>
    <col min="1" max="2" width="4" bestFit="1" customWidth="1"/>
    <col min="4" max="4" width="5.08984375" bestFit="1" customWidth="1"/>
    <col min="5" max="5" width="9.453125" bestFit="1" customWidth="1"/>
    <col min="6" max="6" width="11.90625" bestFit="1" customWidth="1"/>
    <col min="7" max="7" width="4.1796875" bestFit="1" customWidth="1"/>
    <col min="8" max="8" width="4.6328125" bestFit="1" customWidth="1"/>
    <col min="9" max="9" width="7.54296875" bestFit="1" customWidth="1"/>
    <col min="10" max="10" width="9.08984375" bestFit="1" customWidth="1"/>
  </cols>
  <sheetData>
    <row r="1" spans="1:10" s="1" customFormat="1" x14ac:dyDescent="0.35">
      <c r="A1" s="1" t="s">
        <v>96</v>
      </c>
      <c r="B1" s="1" t="s">
        <v>97</v>
      </c>
      <c r="C1" s="1" t="s">
        <v>98</v>
      </c>
      <c r="D1" s="1" t="s">
        <v>99</v>
      </c>
      <c r="E1" s="1" t="s">
        <v>100</v>
      </c>
      <c r="F1" s="1" t="s">
        <v>101</v>
      </c>
      <c r="G1" s="1" t="s">
        <v>102</v>
      </c>
      <c r="H1" s="1" t="s">
        <v>103</v>
      </c>
      <c r="I1" s="1" t="s">
        <v>104</v>
      </c>
      <c r="J1" s="1" t="s">
        <v>105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34951-8E8F-4E81-BCBA-11098B3D6C87}">
  <dimension ref="A1:AB12"/>
  <sheetViews>
    <sheetView workbookViewId="0"/>
  </sheetViews>
  <sheetFormatPr defaultRowHeight="14.5" x14ac:dyDescent="0.35"/>
  <cols>
    <col min="1" max="1" width="8.90625" bestFit="1" customWidth="1"/>
    <col min="2" max="2" width="29" bestFit="1" customWidth="1"/>
    <col min="5" max="5" width="25" bestFit="1" customWidth="1"/>
    <col min="6" max="6" width="9.54296875" bestFit="1" customWidth="1"/>
    <col min="7" max="7" width="22.1796875" bestFit="1" customWidth="1"/>
    <col min="8" max="8" width="9.453125" bestFit="1" customWidth="1"/>
    <col min="10" max="10" width="11.90625" bestFit="1" customWidth="1"/>
    <col min="11" max="11" width="10" bestFit="1" customWidth="1"/>
    <col min="13" max="13" width="12.90625" bestFit="1" customWidth="1"/>
    <col min="14" max="14" width="10.453125" bestFit="1" customWidth="1"/>
    <col min="15" max="15" width="7.90625" bestFit="1" customWidth="1"/>
  </cols>
  <sheetData>
    <row r="1" spans="1:28" x14ac:dyDescent="0.35">
      <c r="A1" t="s">
        <v>106</v>
      </c>
      <c r="F1" t="s">
        <v>107</v>
      </c>
    </row>
    <row r="2" spans="1:28" x14ac:dyDescent="0.35">
      <c r="N2" s="27">
        <v>45607</v>
      </c>
      <c r="O2" s="28">
        <v>0.54848379629629629</v>
      </c>
    </row>
    <row r="3" spans="1:28" x14ac:dyDescent="0.35">
      <c r="A3" t="s">
        <v>2</v>
      </c>
    </row>
    <row r="4" spans="1:28" x14ac:dyDescent="0.35">
      <c r="N4" t="s">
        <v>108</v>
      </c>
      <c r="O4" t="s">
        <v>109</v>
      </c>
    </row>
    <row r="5" spans="1:28" x14ac:dyDescent="0.35">
      <c r="G5" t="s">
        <v>110</v>
      </c>
    </row>
    <row r="6" spans="1:28" x14ac:dyDescent="0.35">
      <c r="G6" t="s">
        <v>111</v>
      </c>
      <c r="H6" t="s">
        <v>112</v>
      </c>
    </row>
    <row r="7" spans="1:28" x14ac:dyDescent="0.35">
      <c r="A7" t="s">
        <v>99</v>
      </c>
    </row>
    <row r="8" spans="1:28" x14ac:dyDescent="0.35">
      <c r="B8" t="s">
        <v>113</v>
      </c>
      <c r="E8" t="s">
        <v>114</v>
      </c>
      <c r="H8" t="s">
        <v>100</v>
      </c>
      <c r="J8" t="s">
        <v>101</v>
      </c>
      <c r="K8" t="s">
        <v>115</v>
      </c>
      <c r="M8" t="s">
        <v>116</v>
      </c>
      <c r="N8" t="s">
        <v>103</v>
      </c>
    </row>
    <row r="9" spans="1:28" x14ac:dyDescent="0.35">
      <c r="A9" t="s">
        <v>117</v>
      </c>
      <c r="AA9" t="s">
        <v>125</v>
      </c>
      <c r="AB9" t="s">
        <v>126</v>
      </c>
    </row>
    <row r="10" spans="1:28" x14ac:dyDescent="0.35">
      <c r="A10">
        <v>164390</v>
      </c>
      <c r="B10" t="s">
        <v>118</v>
      </c>
      <c r="E10" t="s">
        <v>119</v>
      </c>
      <c r="M10">
        <v>30.48</v>
      </c>
      <c r="N10" t="s">
        <v>120</v>
      </c>
      <c r="AA10">
        <v>164390</v>
      </c>
      <c r="AB10">
        <v>0</v>
      </c>
    </row>
    <row r="11" spans="1:28" x14ac:dyDescent="0.35">
      <c r="A11">
        <v>212096</v>
      </c>
      <c r="B11" t="s">
        <v>121</v>
      </c>
      <c r="E11" t="s">
        <v>122</v>
      </c>
      <c r="M11">
        <v>37378</v>
      </c>
      <c r="N11" t="s">
        <v>123</v>
      </c>
      <c r="AA11">
        <v>212096</v>
      </c>
      <c r="AB11">
        <v>0</v>
      </c>
    </row>
    <row r="12" spans="1:28" x14ac:dyDescent="0.35">
      <c r="A12">
        <v>243240</v>
      </c>
      <c r="B12" t="s">
        <v>124</v>
      </c>
      <c r="E12">
        <v>80</v>
      </c>
      <c r="M12">
        <v>43747</v>
      </c>
      <c r="N12" t="s">
        <v>123</v>
      </c>
      <c r="AA12">
        <v>243240</v>
      </c>
      <c r="AB1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CE4E6-2C42-4F59-8644-7CB59307FE52}">
  <dimension ref="A1:AA10"/>
  <sheetViews>
    <sheetView workbookViewId="0"/>
  </sheetViews>
  <sheetFormatPr defaultRowHeight="14.5" x14ac:dyDescent="0.35"/>
  <cols>
    <col min="1" max="1" width="11.6328125" bestFit="1" customWidth="1"/>
    <col min="2" max="2" width="29" bestFit="1" customWidth="1"/>
    <col min="5" max="5" width="25" bestFit="1" customWidth="1"/>
    <col min="9" max="9" width="27.453125" bestFit="1" customWidth="1"/>
    <col min="10" max="10" width="59.54296875" bestFit="1" customWidth="1"/>
    <col min="11" max="11" width="7.81640625" bestFit="1" customWidth="1"/>
    <col min="12" max="12" width="8.6328125" bestFit="1" customWidth="1"/>
    <col min="13" max="13" width="9.453125" bestFit="1" customWidth="1"/>
    <col min="15" max="15" width="9.453125" bestFit="1" customWidth="1"/>
    <col min="17" max="17" width="3.81640625" bestFit="1" customWidth="1"/>
    <col min="18" max="18" width="9.7265625" bestFit="1" customWidth="1"/>
    <col min="19" max="19" width="12.36328125" bestFit="1" customWidth="1"/>
    <col min="21" max="21" width="14.08984375" bestFit="1" customWidth="1"/>
    <col min="22" max="22" width="7.90625" bestFit="1" customWidth="1"/>
    <col min="23" max="23" width="10.81640625" bestFit="1" customWidth="1"/>
    <col min="24" max="24" width="3.81640625" bestFit="1" customWidth="1"/>
    <col min="25" max="25" width="6.90625" bestFit="1" customWidth="1"/>
    <col min="27" max="27" width="9.08984375" bestFit="1" customWidth="1"/>
  </cols>
  <sheetData>
    <row r="1" spans="1:27" x14ac:dyDescent="0.35">
      <c r="A1" t="s">
        <v>127</v>
      </c>
      <c r="U1" s="27">
        <v>45607</v>
      </c>
      <c r="V1" s="28">
        <v>0.55814814814814817</v>
      </c>
    </row>
    <row r="2" spans="1:27" x14ac:dyDescent="0.35">
      <c r="I2" t="s">
        <v>107</v>
      </c>
    </row>
    <row r="3" spans="1:27" x14ac:dyDescent="0.35">
      <c r="U3">
        <v>1</v>
      </c>
      <c r="V3" t="s">
        <v>109</v>
      </c>
    </row>
    <row r="4" spans="1:27" x14ac:dyDescent="0.35">
      <c r="I4" t="s">
        <v>128</v>
      </c>
    </row>
    <row r="5" spans="1:27" x14ac:dyDescent="0.35">
      <c r="I5" t="s">
        <v>112</v>
      </c>
      <c r="J5" t="s">
        <v>129</v>
      </c>
    </row>
    <row r="6" spans="1:27" x14ac:dyDescent="0.35">
      <c r="A6" t="s">
        <v>99</v>
      </c>
      <c r="B6" t="s">
        <v>130</v>
      </c>
      <c r="E6" t="s">
        <v>131</v>
      </c>
      <c r="H6" t="s">
        <v>98</v>
      </c>
      <c r="I6" t="s">
        <v>132</v>
      </c>
      <c r="J6" t="s">
        <v>133</v>
      </c>
      <c r="K6" t="s">
        <v>134</v>
      </c>
      <c r="L6" t="s">
        <v>135</v>
      </c>
      <c r="M6" t="s">
        <v>100</v>
      </c>
      <c r="N6" t="s">
        <v>136</v>
      </c>
      <c r="O6" t="s">
        <v>137</v>
      </c>
      <c r="Q6" t="s">
        <v>138</v>
      </c>
      <c r="R6" t="s">
        <v>139</v>
      </c>
      <c r="S6" t="s">
        <v>140</v>
      </c>
      <c r="U6" t="s">
        <v>141</v>
      </c>
      <c r="W6" t="s">
        <v>142</v>
      </c>
      <c r="X6" t="s">
        <v>138</v>
      </c>
      <c r="Y6" t="s">
        <v>143</v>
      </c>
      <c r="AA6" t="s">
        <v>105</v>
      </c>
    </row>
    <row r="7" spans="1:27" x14ac:dyDescent="0.35">
      <c r="A7" t="s">
        <v>117</v>
      </c>
      <c r="H7" t="s">
        <v>144</v>
      </c>
      <c r="J7" t="s">
        <v>145</v>
      </c>
      <c r="AA7">
        <v>0</v>
      </c>
    </row>
    <row r="8" spans="1:27" x14ac:dyDescent="0.35">
      <c r="A8">
        <v>164390</v>
      </c>
      <c r="B8" t="s">
        <v>118</v>
      </c>
      <c r="E8" t="s">
        <v>119</v>
      </c>
      <c r="H8">
        <v>1201</v>
      </c>
      <c r="J8" t="s">
        <v>146</v>
      </c>
      <c r="R8" t="s">
        <v>147</v>
      </c>
      <c r="S8">
        <v>31.27</v>
      </c>
      <c r="U8">
        <v>112.08</v>
      </c>
      <c r="X8" t="s">
        <v>120</v>
      </c>
      <c r="AA8">
        <v>0</v>
      </c>
    </row>
    <row r="9" spans="1:27" x14ac:dyDescent="0.35">
      <c r="A9">
        <v>212096</v>
      </c>
      <c r="B9" t="s">
        <v>121</v>
      </c>
      <c r="E9" t="s">
        <v>122</v>
      </c>
      <c r="H9">
        <v>1201</v>
      </c>
      <c r="J9" t="s">
        <v>146</v>
      </c>
      <c r="R9" t="s">
        <v>147</v>
      </c>
      <c r="S9">
        <v>37378</v>
      </c>
      <c r="U9">
        <v>237.09</v>
      </c>
      <c r="X9" t="s">
        <v>123</v>
      </c>
      <c r="AA9">
        <v>0</v>
      </c>
    </row>
    <row r="10" spans="1:27" x14ac:dyDescent="0.35">
      <c r="A10">
        <v>243240</v>
      </c>
      <c r="B10" t="s">
        <v>124</v>
      </c>
      <c r="E10">
        <v>80</v>
      </c>
      <c r="H10">
        <v>1201</v>
      </c>
      <c r="J10" t="s">
        <v>146</v>
      </c>
      <c r="R10" t="s">
        <v>147</v>
      </c>
      <c r="S10">
        <v>43747</v>
      </c>
      <c r="U10">
        <v>879.58</v>
      </c>
      <c r="X10" t="s">
        <v>123</v>
      </c>
      <c r="AA10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92CEF-E84B-4B4B-8F1C-980DDBAAC327}">
  <dimension ref="A1:B1"/>
  <sheetViews>
    <sheetView workbookViewId="0"/>
  </sheetViews>
  <sheetFormatPr defaultRowHeight="14.5" x14ac:dyDescent="0.35"/>
  <cols>
    <col min="1" max="1" width="5.08984375" bestFit="1" customWidth="1"/>
    <col min="2" max="2" width="7" bestFit="1" customWidth="1"/>
  </cols>
  <sheetData>
    <row r="1" spans="1:2" s="1" customFormat="1" x14ac:dyDescent="0.35">
      <c r="A1" s="1" t="s">
        <v>99</v>
      </c>
      <c r="B1" s="1" t="s">
        <v>143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723B1-025D-4D36-A4E5-DA53E0AD304E}">
  <dimension ref="A1:H1"/>
  <sheetViews>
    <sheetView workbookViewId="0"/>
  </sheetViews>
  <sheetFormatPr defaultRowHeight="14.5" x14ac:dyDescent="0.35"/>
  <cols>
    <col min="1" max="1" width="3.81640625" bestFit="1" customWidth="1"/>
    <col min="2" max="2" width="11.90625" bestFit="1" customWidth="1"/>
    <col min="3" max="3" width="3.1796875" bestFit="1" customWidth="1"/>
    <col min="4" max="4" width="5.08984375" bestFit="1" customWidth="1"/>
    <col min="5" max="5" width="9.453125" bestFit="1" customWidth="1"/>
    <col min="6" max="6" width="8.36328125" bestFit="1" customWidth="1"/>
    <col min="7" max="7" width="8" bestFit="1" customWidth="1"/>
    <col min="8" max="8" width="8.6328125" bestFit="1" customWidth="1"/>
  </cols>
  <sheetData>
    <row r="1" spans="1:8" x14ac:dyDescent="0.35">
      <c r="A1" t="s">
        <v>96</v>
      </c>
      <c r="B1" t="s">
        <v>101</v>
      </c>
      <c r="C1" t="s">
        <v>11</v>
      </c>
      <c r="D1" t="s">
        <v>99</v>
      </c>
      <c r="E1" t="s">
        <v>100</v>
      </c>
      <c r="F1" t="s">
        <v>148</v>
      </c>
      <c r="G1" t="s">
        <v>149</v>
      </c>
      <c r="H1" t="s">
        <v>150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3E6DF-09CF-4C4D-93CE-3DC3C0DE2BD8}">
  <dimension ref="A1:C2"/>
  <sheetViews>
    <sheetView workbookViewId="0"/>
  </sheetViews>
  <sheetFormatPr defaultRowHeight="14.5" x14ac:dyDescent="0.35"/>
  <cols>
    <col min="1" max="1" width="5.54296875" bestFit="1" customWidth="1"/>
    <col min="2" max="2" width="18.26953125" bestFit="1" customWidth="1"/>
    <col min="3" max="3" width="8.1796875" bestFit="1" customWidth="1"/>
  </cols>
  <sheetData>
    <row r="1" spans="1:3" s="1" customFormat="1" x14ac:dyDescent="0.35">
      <c r="A1" s="1" t="s">
        <v>0</v>
      </c>
      <c r="B1" s="1" t="s">
        <v>1</v>
      </c>
      <c r="C1" s="1" t="s">
        <v>3</v>
      </c>
    </row>
    <row r="2" spans="1:3" x14ac:dyDescent="0.35">
      <c r="A2" t="s">
        <v>92</v>
      </c>
      <c r="B2" t="s">
        <v>83</v>
      </c>
      <c r="C2" t="s">
        <v>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37DAB-1126-4712-A29B-2A8B6F49013B}">
  <sheetPr>
    <pageSetUpPr fitToPage="1"/>
  </sheetPr>
  <dimension ref="A1:G1"/>
  <sheetViews>
    <sheetView tabSelected="1" workbookViewId="0">
      <selection activeCell="L12" sqref="L12"/>
    </sheetView>
  </sheetViews>
  <sheetFormatPr defaultRowHeight="14.5" x14ac:dyDescent="0.35"/>
  <cols>
    <col min="1" max="1" width="11.90625" bestFit="1" customWidth="1"/>
    <col min="2" max="2" width="5.26953125" customWidth="1"/>
    <col min="3" max="3" width="5.6328125" customWidth="1"/>
    <col min="4" max="4" width="8.453125" customWidth="1"/>
    <col min="5" max="5" width="9.453125" bestFit="1" customWidth="1"/>
    <col min="6" max="6" width="8.453125" bestFit="1" customWidth="1"/>
    <col min="7" max="7" width="7.6328125" bestFit="1" customWidth="1"/>
  </cols>
  <sheetData>
    <row r="1" spans="1:7" s="1" customFormat="1" x14ac:dyDescent="0.35">
      <c r="A1" s="29" t="s">
        <v>101</v>
      </c>
      <c r="B1" s="29" t="s">
        <v>11</v>
      </c>
      <c r="C1" s="29" t="s">
        <v>151</v>
      </c>
      <c r="D1" s="29" t="s">
        <v>99</v>
      </c>
      <c r="E1" s="29" t="s">
        <v>100</v>
      </c>
      <c r="F1" s="29" t="s">
        <v>148</v>
      </c>
      <c r="G1" s="29" t="s">
        <v>152</v>
      </c>
    </row>
  </sheetData>
  <printOptions horizontalCentered="1"/>
  <pageMargins left="0.7" right="0.7" top="0.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31D83-2433-4DCE-B559-EF7639E0B834}">
  <dimension ref="A1:B4"/>
  <sheetViews>
    <sheetView workbookViewId="0">
      <selection activeCell="E3" sqref="E3"/>
    </sheetView>
  </sheetViews>
  <sheetFormatPr defaultRowHeight="14.5" x14ac:dyDescent="0.35"/>
  <cols>
    <col min="1" max="1" width="13.08984375" bestFit="1" customWidth="1"/>
  </cols>
  <sheetData>
    <row r="1" spans="1:2" x14ac:dyDescent="0.35">
      <c r="A1" t="s">
        <v>8</v>
      </c>
      <c r="B1" t="s">
        <v>151</v>
      </c>
    </row>
    <row r="2" spans="1:2" x14ac:dyDescent="0.35">
      <c r="A2" s="26">
        <v>164390</v>
      </c>
      <c r="B2" t="s">
        <v>159</v>
      </c>
    </row>
    <row r="3" spans="1:2" x14ac:dyDescent="0.35">
      <c r="A3" s="26">
        <v>212096</v>
      </c>
      <c r="B3" t="s">
        <v>159</v>
      </c>
    </row>
    <row r="4" spans="1:2" x14ac:dyDescent="0.35">
      <c r="A4" s="26">
        <v>243240</v>
      </c>
      <c r="B4" t="s">
        <v>159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7970A-9A44-4F01-BE90-6266839720E4}">
  <dimension ref="A1:D2"/>
  <sheetViews>
    <sheetView workbookViewId="0"/>
  </sheetViews>
  <sheetFormatPr defaultRowHeight="14.5" x14ac:dyDescent="0.35"/>
  <cols>
    <col min="1" max="1" width="171.1796875" bestFit="1" customWidth="1"/>
    <col min="2" max="2" width="3" bestFit="1" customWidth="1"/>
    <col min="3" max="3" width="51.1796875" bestFit="1" customWidth="1"/>
    <col min="4" max="4" width="122.08984375" bestFit="1" customWidth="1"/>
  </cols>
  <sheetData>
    <row r="1" spans="1:4" s="1" customFormat="1" x14ac:dyDescent="0.35">
      <c r="A1" s="1" t="s">
        <v>153</v>
      </c>
      <c r="B1" s="1" t="s">
        <v>154</v>
      </c>
      <c r="C1" s="1" t="s">
        <v>155</v>
      </c>
      <c r="D1" s="1" t="s">
        <v>156</v>
      </c>
    </row>
    <row r="2" spans="1:4" x14ac:dyDescent="0.35">
      <c r="A2" t="s">
        <v>160</v>
      </c>
      <c r="C2" t="s">
        <v>157</v>
      </c>
      <c r="D2" t="s">
        <v>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LA</vt:lpstr>
      <vt:lpstr>HOME</vt:lpstr>
      <vt:lpstr>INPUTAN USER</vt:lpstr>
      <vt:lpstr>RPA1</vt:lpstr>
      <vt:lpstr>RPA2</vt:lpstr>
      <vt:lpstr>OL1_Collect</vt:lpstr>
      <vt:lpstr>CC1_AVB_1</vt:lpstr>
      <vt:lpstr>CC2_ILDV_1</vt:lpstr>
      <vt:lpstr>CC2_ILDV_1.2</vt:lpstr>
      <vt:lpstr>OL2_Bandingkan</vt:lpstr>
      <vt:lpstr>RPA3</vt:lpstr>
      <vt:lpstr>RPA4</vt:lpstr>
      <vt:lpstr>Sheet60</vt:lpstr>
      <vt:lpstr>RPA5</vt:lpstr>
      <vt:lpstr>'RPA4'!Print_Area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 Vivobook</dc:creator>
  <cp:lastModifiedBy>ASUS Vivobook</cp:lastModifiedBy>
  <cp:lastPrinted>2024-11-14T01:37:57Z</cp:lastPrinted>
  <dcterms:created xsi:type="dcterms:W3CDTF">2024-10-30T06:38:26Z</dcterms:created>
  <dcterms:modified xsi:type="dcterms:W3CDTF">2024-11-14T01:38:47Z</dcterms:modified>
</cp:coreProperties>
</file>