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0.8.0.35\Bersama\IT\Macro Record Projects\Local Project\MACRO_PROCESS - Pembetulan Stock di JDE\RPA Preference\.Macro\Backup\2024-10-31\New folder\"/>
    </mc:Choice>
  </mc:AlternateContent>
  <xr:revisionPtr revIDLastSave="0" documentId="13_ncr:1_{CE22AB41-8C90-4C34-B93A-01C8CB004A76}" xr6:coauthVersionLast="45" xr6:coauthVersionMax="45" xr10:uidLastSave="{00000000-0000-0000-0000-000000000000}"/>
  <bookViews>
    <workbookView xWindow="20370" yWindow="-120" windowWidth="20730" windowHeight="11160" tabRatio="887" activeTab="1" xr2:uid="{00000000-000D-0000-FFFF-FFFF00000000}"/>
  </bookViews>
  <sheets>
    <sheet name="LA" sheetId="15" r:id="rId1"/>
    <sheet name="HOME" sheetId="14" r:id="rId2"/>
    <sheet name="INPUTAN USER" sheetId="6" r:id="rId3"/>
    <sheet name="RPA1" sheetId="19" r:id="rId4"/>
    <sheet name="RPA2" sheetId="20" r:id="rId5"/>
    <sheet name="OL1_Collect" sheetId="75" r:id="rId6"/>
    <sheet name="CC1_AVB_1" sheetId="76" r:id="rId7"/>
    <sheet name="CC2_ILDV_1" sheetId="77" r:id="rId8"/>
    <sheet name="CC2_ILDV_1.2" sheetId="78" r:id="rId9"/>
    <sheet name="OL2_Bandingkan" sheetId="79" r:id="rId10"/>
    <sheet name="RPA3" sheetId="80" r:id="rId11"/>
    <sheet name="RPA4" sheetId="81" r:id="rId12"/>
    <sheet name="RPA5" sheetId="82" r:id="rId13"/>
  </sheets>
  <functionGroups builtInGroupCount="19"/>
  <externalReferences>
    <externalReference r:id="rId14"/>
  </externalReferences>
  <definedNames>
    <definedName name="_xlnm._FilterDatabase" localSheetId="6" hidden="1">CC1_AVB_1!$A$9:$AB$24</definedName>
    <definedName name="_xlnm._FilterDatabase" localSheetId="7" hidden="1">CC2_ILDV_1!$A$6:$AA$184</definedName>
    <definedName name="_xlnm._FilterDatabase" localSheetId="5" hidden="1">OL1_Collect!$A$1:$J$18</definedName>
    <definedName name="_xlnm._FilterDatabase" localSheetId="9" hidden="1">OL2_Bandingkan!$A$1:$H$15</definedName>
    <definedName name="_xlnm.Print_Area" localSheetId="11">'RPA4'!$A$1:$G$11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60" i="15" l="1"/>
  <c r="D28" i="15"/>
  <c r="D19" i="15" l="1"/>
  <c r="C4" i="15"/>
  <c r="C3" i="15"/>
</calcChain>
</file>

<file path=xl/sharedStrings.xml><?xml version="1.0" encoding="utf-8"?>
<sst xmlns="http://schemas.openxmlformats.org/spreadsheetml/2006/main" count="1473" uniqueCount="222">
  <si>
    <t>HEAD</t>
  </si>
  <si>
    <t>BATCH APPLICATION</t>
  </si>
  <si>
    <t>R5641021</t>
  </si>
  <si>
    <t>VERSION</t>
  </si>
  <si>
    <t>GG0001</t>
  </si>
  <si>
    <t>SAVE AS</t>
  </si>
  <si>
    <t>INFA</t>
  </si>
  <si>
    <t>þÿ</t>
  </si>
  <si>
    <t>PT. GISTEX</t>
  </si>
  <si>
    <t>Page -</t>
  </si>
  <si>
    <t>of</t>
  </si>
  <si>
    <t>ITEM AVAILABILITY PRINT</t>
  </si>
  <si>
    <t>G/L Category</t>
  </si>
  <si>
    <t>ITEM</t>
  </si>
  <si>
    <t>DESCRIPTIOPN-1</t>
  </si>
  <si>
    <t>DESCRIPTIOPN-2</t>
  </si>
  <si>
    <t>LOCATION</t>
  </si>
  <si>
    <t>LOT NUMBER</t>
  </si>
  <si>
    <t>LAST RECV.</t>
  </si>
  <si>
    <t>QTY.ON HAND</t>
  </si>
  <si>
    <t>U/M</t>
  </si>
  <si>
    <t>NUMBER</t>
  </si>
  <si>
    <t>YD</t>
  </si>
  <si>
    <t>JH 2</t>
  </si>
  <si>
    <t>LB</t>
  </si>
  <si>
    <t>100%CTN 30S/1 1X1RIB 190GSM W</t>
  </si>
  <si>
    <t>KG</t>
  </si>
  <si>
    <t>64",ADMIRALRED  PRINT S#638498</t>
  </si>
  <si>
    <t>CBR</t>
  </si>
  <si>
    <t>JH 2 A16</t>
  </si>
  <si>
    <t>I4 G 4 4</t>
  </si>
  <si>
    <t>MET 100% POLYESTER</t>
  </si>
  <si>
    <t>COL. KUNING KENARI</t>
  </si>
  <si>
    <t>ENZORO</t>
  </si>
  <si>
    <t>I4 G 2 1</t>
  </si>
  <si>
    <t>FILTER &lt;&gt; 0</t>
  </si>
  <si>
    <t>R564111M</t>
  </si>
  <si>
    <t>GG0002</t>
  </si>
  <si>
    <t>ILDV</t>
  </si>
  <si>
    <t>KODE BARANG</t>
  </si>
  <si>
    <t>100% POLY WAFFLE CRUSH</t>
  </si>
  <si>
    <t>APLIKASI FLOWER COL. JADE/BLUE</t>
  </si>
  <si>
    <t>100%CTN 30S/1 1X1RIB 190GSM NW</t>
  </si>
  <si>
    <t>64",LTHTRGRY  BODYSTRP #638678</t>
  </si>
  <si>
    <t>JH 2 A8</t>
  </si>
  <si>
    <t>BUSINESS UNIT</t>
  </si>
  <si>
    <t>INPUTAN USER</t>
  </si>
  <si>
    <t>ITEM NUMBER (BACA SHEET)</t>
  </si>
  <si>
    <t>þÿR564111M</t>
  </si>
  <si>
    <t>ITEM LEDGER DETAIL - VERSION</t>
  </si>
  <si>
    <t>GGI CILEUNYI</t>
  </si>
  <si>
    <t>DESCRIPTION-1</t>
  </si>
  <si>
    <t>DESCRIPTION-2</t>
  </si>
  <si>
    <t>BUSINESS</t>
  </si>
  <si>
    <t>DOC</t>
  </si>
  <si>
    <t>DC.</t>
  </si>
  <si>
    <t>TR DATE</t>
  </si>
  <si>
    <t>G/L DATE</t>
  </si>
  <si>
    <t>LOT NUM</t>
  </si>
  <si>
    <t>QUANTITY</t>
  </si>
  <si>
    <t>UM</t>
  </si>
  <si>
    <t>UNIT COST</t>
  </si>
  <si>
    <t>QTY.PRIMARY</t>
  </si>
  <si>
    <t>EXTENDED AMT</t>
  </si>
  <si>
    <t>REF.NUMBR</t>
  </si>
  <si>
    <t>G/L Cat</t>
  </si>
  <si>
    <t>UNIT</t>
  </si>
  <si>
    <t>TY.</t>
  </si>
  <si>
    <t>IB</t>
  </si>
  <si>
    <t>/LOC</t>
  </si>
  <si>
    <t>IA</t>
  </si>
  <si>
    <t>PI</t>
  </si>
  <si>
    <t>OV</t>
  </si>
  <si>
    <t>IM</t>
  </si>
  <si>
    <t>I$</t>
  </si>
  <si>
    <t>IL</t>
  </si>
  <si>
    <t>-----------------------------------------------------------------------------------------&gt;</t>
  </si>
  <si>
    <t>TOTAL</t>
  </si>
  <si>
    <t>IT</t>
  </si>
  <si>
    <t>IR</t>
  </si>
  <si>
    <t>JE 4 4</t>
  </si>
  <si>
    <t>JH 2 A13</t>
  </si>
  <si>
    <t>I4 F 104</t>
  </si>
  <si>
    <t>I1 A 114</t>
  </si>
  <si>
    <t>I1 A 125</t>
  </si>
  <si>
    <t>I2 B 4 5</t>
  </si>
  <si>
    <t>FILTER = 1</t>
  </si>
  <si>
    <t>SOURCE</t>
  </si>
  <si>
    <t>AVB</t>
  </si>
  <si>
    <t>PK2</t>
  </si>
  <si>
    <t>PK1</t>
  </si>
  <si>
    <t>104198-JH 2 A16-189302-LB</t>
  </si>
  <si>
    <t>104198-CBR-189302-LB</t>
  </si>
  <si>
    <t>183900-ENZORO-1242965-YD</t>
  </si>
  <si>
    <t>183900-I1 A 125-1411623-YD</t>
  </si>
  <si>
    <t>183900-I2 B 4 5-1242965-YD</t>
  </si>
  <si>
    <t>183900-ENZORO-1339057-YD</t>
  </si>
  <si>
    <t>BU</t>
  </si>
  <si>
    <t>CAT</t>
  </si>
  <si>
    <t>QTY AVB</t>
  </si>
  <si>
    <t>QTY ILDV</t>
  </si>
  <si>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Pengaturan</t>
    </r>
    <r>
      <rPr>
        <i/>
        <sz val="8"/>
        <color rgb="FF9A9DA1"/>
        <rFont val="Calibri"/>
        <family val="2"/>
        <scheme val="minor"/>
      </rPr>
      <t xml:space="preserve"> </t>
    </r>
    <r>
      <rPr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</si>
  <si>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t xml:space="preserve"> •NOTE</t>
  </si>
  <si>
    <t xml:space="preserve"> •ENTITY</t>
  </si>
  <si>
    <t xml:space="preserve"> •VALUE 1</t>
  </si>
  <si>
    <t xml:space="preserve"> •VALUE 2</t>
  </si>
  <si>
    <t>•TOMBOL</t>
  </si>
  <si>
    <t>-</t>
  </si>
  <si>
    <t>Ξ☼Ξ</t>
  </si>
  <si>
    <t>Data di sh INPUTAN USER ditransfer oleh macro input user, yg sudah lulus verifikasi</t>
  </si>
  <si>
    <t>Tombol "PROSES 1"</t>
  </si>
  <si>
    <t>Call Button_Proses1</t>
  </si>
  <si>
    <t>Sub Button Proses1</t>
  </si>
  <si>
    <t>\\10.8.0.35\Bersama\IT\Macro Record Projects\Local Project\MACRO_PROCESS - Pembetulan Stock di JDE\RPA Preference\.Source\JDE\JDE_StockAvailability.xlsx</t>
  </si>
  <si>
    <t>Hapus Semua Sheet kecuali bawaan Dev</t>
  </si>
  <si>
    <t>Formulasi</t>
  </si>
  <si>
    <t>Tombol "PROSES 2"</t>
  </si>
  <si>
    <t>Call Button_Proses2</t>
  </si>
  <si>
    <t>Sub Button Proses2</t>
  </si>
  <si>
    <t>Buat Header  + Appareance</t>
  </si>
  <si>
    <t>\\10.8.0.35\Bersama\IT\Macro Record Projects\Local Project\MACRO_PROCESS - Pembetulan Stock di JDE\RPA Preference\.Source\JDE\JDE_ILDV.xlsx</t>
  </si>
  <si>
    <t>create sh "CC1_AVB_1"</t>
  </si>
  <si>
    <t>Create sh "RPA2"</t>
  </si>
  <si>
    <t>Create sh "RPA1"</t>
  </si>
  <si>
    <t>Import data</t>
  </si>
  <si>
    <t>formulasi</t>
  </si>
  <si>
    <t>CC1_AVB_1!AA9:AB9</t>
  </si>
  <si>
    <t>col AB FILTER &lt;&gt; 0</t>
  </si>
  <si>
    <t>NO</t>
  </si>
  <si>
    <t>YES</t>
  </si>
  <si>
    <t>CC1_AVB_1!H8,CC1_AVB_1!J8,CC1_AVB_1!M8,CC1_AVB_1!N8,CC1_AVB_1!AA8</t>
  </si>
  <si>
    <t>create sh "CC2_ILDV_1"</t>
  </si>
  <si>
    <t>Filter kolom "y" &lt;&gt; blank</t>
  </si>
  <si>
    <t>create sh "CC2_ILDV_1.2"</t>
  </si>
  <si>
    <t>Create Header</t>
  </si>
  <si>
    <t>hasil filter Ada datanya?</t>
  </si>
  <si>
    <t xml:space="preserve">hasil filter diCopas, kolom yg diperlukan  =  </t>
  </si>
  <si>
    <t>'CC2_ILDV_1!A6,CC2_ILDV_1!Y6</t>
  </si>
  <si>
    <t>Remove duplicate</t>
  </si>
  <si>
    <t>Clear Filter</t>
  </si>
  <si>
    <t>UPDATE</t>
  </si>
  <si>
    <t>create sh "OL1_Collect"</t>
  </si>
  <si>
    <t>Buat Header</t>
  </si>
  <si>
    <t xml:space="preserve">hasil filter diCopas ke sh "OL1_Collect", kolom yg diperlukan  = </t>
  </si>
  <si>
    <t>sh "OL1_Collect", Filed "SOURCE" diisi dengan "AVB"</t>
  </si>
  <si>
    <t>sh "OL1_Collect", Filed "BUSINESS" diisi dari 'INPUTAN USER'!$B$2</t>
  </si>
  <si>
    <t>Select sh "CC2_ILDV_1"</t>
  </si>
  <si>
    <t>Kolom  "AA" FILTER = 1</t>
  </si>
  <si>
    <t>CC2_ILDV_1!A6,CC2_ILDV_1!B6,CC2_ILDV_1!H6,CC2_ILDV_1!M6,CC2_ILDV_1!N6,CC2_ILDV_1!R6,CC2_ILDV_1!S6,CC2_ILDV_1!U6,CC2_ILDV_1!X6</t>
  </si>
  <si>
    <t>sh "OL1_Collect", Filed "SOURCE" diisi dengan "ILDV"</t>
  </si>
  <si>
    <t>create sh "OL2_Bandingkan"</t>
  </si>
  <si>
    <t/>
  </si>
  <si>
    <t>QTY</t>
  </si>
  <si>
    <t>96294---YD</t>
  </si>
  <si>
    <t>96294-JH 2-92910-YD</t>
  </si>
  <si>
    <t>104198-I4 G 4 4-189302-LB</t>
  </si>
  <si>
    <t>104198---LB</t>
  </si>
  <si>
    <t>104203-JH 2 A8-188234-LB</t>
  </si>
  <si>
    <t>104203---LB</t>
  </si>
  <si>
    <t>104203-CBR-188234-LB</t>
  </si>
  <si>
    <t>183900---YD</t>
  </si>
  <si>
    <t>sh "OL1_Collect" Col "j" Filter = 1</t>
  </si>
  <si>
    <t>filter &lt;&gt; 0</t>
  </si>
  <si>
    <t>create sh "RPA3"</t>
  </si>
  <si>
    <t>Buat Header+Appareance</t>
  </si>
  <si>
    <t>sh "OL2_Bandingkan" Col "H" Filter &lt;&gt; 0</t>
  </si>
  <si>
    <t>copy data hasil filter ke sh OL2_Bandingkan</t>
  </si>
  <si>
    <t>Field "Update" diinput "1"</t>
  </si>
  <si>
    <t>Formulasikan</t>
  </si>
  <si>
    <t>Pastevalue</t>
  </si>
  <si>
    <t>dtsupport@gistexgarmenindonesia.com</t>
  </si>
  <si>
    <r>
      <t>LOKASI FILE  (</t>
    </r>
    <r>
      <rPr>
        <i/>
        <sz val="9"/>
        <color theme="4" tint="-0.499984740745262"/>
        <rFont val="Calibri"/>
        <family val="2"/>
        <scheme val="minor"/>
      </rPr>
      <t xml:space="preserve">History Pembetulan Stock di JDE.pdf </t>
    </r>
    <r>
      <rPr>
        <sz val="11"/>
        <color theme="4" tint="-0.499984740745262"/>
        <rFont val="Calibri"/>
        <family val="2"/>
        <scheme val="minor"/>
      </rPr>
      <t>)</t>
    </r>
  </si>
  <si>
    <t>\\10.8.0.35\Bersama\IT\Macro Record Projects\Local Project\MACRO_PROCESS - Pembetulan Stock di JDE\RPA Preference\.Result\History Pembetulan Stock di JDE.pdf</t>
  </si>
  <si>
    <t>Fomulasi col aa</t>
  </si>
  <si>
    <t>Formulasi sh "OL1_Collect"</t>
  </si>
  <si>
    <t>TO</t>
  </si>
  <si>
    <t>CC</t>
  </si>
  <si>
    <t>SUBJECT</t>
  </si>
  <si>
    <t>TO EMAIL</t>
  </si>
  <si>
    <t>TO CC</t>
  </si>
  <si>
    <t>asdort@gistexgarmenindonesia.com</t>
  </si>
  <si>
    <t>dad2rt@gistexgarmenindonesia.com</t>
  </si>
  <si>
    <t>Filed "TO" di ambil dari inputan user col D gabungkan pemisahnya pake koma</t>
  </si>
  <si>
    <t>Filed "cc" di ambil dari inputan user col E gabungkan pemisahnya pake koma</t>
  </si>
  <si>
    <t>FORMULASI</t>
  </si>
  <si>
    <t>PASTE VALUE</t>
  </si>
  <si>
    <t>END SUB</t>
  </si>
  <si>
    <t>create sh "RPA4"</t>
  </si>
  <si>
    <r>
      <t>MENU JDE RPA1  (</t>
    </r>
    <r>
      <rPr>
        <i/>
        <sz val="9"/>
        <color rgb="FFFF0000"/>
        <rFont val="Calibri"/>
        <family val="2"/>
        <scheme val="minor"/>
      </rPr>
      <t>BV</t>
    </r>
    <r>
      <rPr>
        <sz val="11"/>
        <color theme="4" tint="-0.499984740745262"/>
        <rFont val="Calibri"/>
        <family val="2"/>
        <scheme val="minor"/>
      </rPr>
      <t>)</t>
    </r>
  </si>
  <si>
    <r>
      <t>MENU JDE RPA2  (</t>
    </r>
    <r>
      <rPr>
        <i/>
        <sz val="9"/>
        <color rgb="FFFF0000"/>
        <rFont val="Calibri"/>
        <family val="2"/>
        <scheme val="minor"/>
      </rPr>
      <t>BV</t>
    </r>
    <r>
      <rPr>
        <sz val="11"/>
        <color theme="4" tint="-0.499984740745262"/>
        <rFont val="Calibri"/>
        <family val="2"/>
        <scheme val="minor"/>
      </rPr>
      <t>)</t>
    </r>
  </si>
  <si>
    <r>
      <t>MENU JDE RPA3  (</t>
    </r>
    <r>
      <rPr>
        <i/>
        <sz val="9"/>
        <color rgb="FFFF0000"/>
        <rFont val="Calibri"/>
        <family val="2"/>
        <scheme val="minor"/>
      </rPr>
      <t>BV</t>
    </r>
    <r>
      <rPr>
        <sz val="11"/>
        <color theme="4" tint="-0.499984740745262"/>
        <rFont val="Calibri"/>
        <family val="2"/>
        <scheme val="minor"/>
      </rPr>
      <t>)</t>
    </r>
  </si>
  <si>
    <t>R5641022</t>
  </si>
  <si>
    <t>create sh "RPA5"</t>
  </si>
  <si>
    <t>Buat Header+APPA</t>
  </si>
  <si>
    <t>copy data hasil filter ke sh RPA4</t>
  </si>
  <si>
    <t>Export to PDF sh "RPA4"</t>
  </si>
  <si>
    <t>paste value</t>
  </si>
  <si>
    <t>Membuat Draft untuk RPA1, RPA2 download data di JDE</t>
  </si>
  <si>
    <r>
      <t>LOKASI FILE  (</t>
    </r>
    <r>
      <rPr>
        <i/>
        <sz val="9"/>
        <color theme="4" tint="-0.499984740745262"/>
        <rFont val="Calibri"/>
        <family val="2"/>
        <scheme val="minor"/>
      </rPr>
      <t xml:space="preserve">Download ILDV By RPA </t>
    </r>
    <r>
      <rPr>
        <sz val="11"/>
        <color theme="4" tint="-0.499984740745262"/>
        <rFont val="Calibri"/>
        <family val="2"/>
        <scheme val="minor"/>
      </rPr>
      <t>)</t>
    </r>
  </si>
  <si>
    <r>
      <t>LOKASI FILE  (</t>
    </r>
    <r>
      <rPr>
        <i/>
        <sz val="9"/>
        <color theme="4" tint="-0.499984740745262"/>
        <rFont val="Calibri"/>
        <family val="2"/>
        <scheme val="minor"/>
      </rPr>
      <t xml:space="preserve">Download AVB By RPA </t>
    </r>
    <r>
      <rPr>
        <sz val="11"/>
        <color theme="4" tint="-0.499984740745262"/>
        <rFont val="Calibri"/>
        <family val="2"/>
        <scheme val="minor"/>
      </rPr>
      <t>)</t>
    </r>
  </si>
  <si>
    <t>BV</t>
  </si>
  <si>
    <t>FIX KODE BARANG</t>
  </si>
  <si>
    <t>96294---YD-AVB</t>
  </si>
  <si>
    <t>96294-JH 2-92910-YD-AVB</t>
  </si>
  <si>
    <t>104198-CBR-189302-LB-AVB</t>
  </si>
  <si>
    <t>104198-I4 G 4 4-189302-LB-AVB</t>
  </si>
  <si>
    <t>104198---LB-AVB</t>
  </si>
  <si>
    <t>104198-JH 2 A16-189302-LB-AVB</t>
  </si>
  <si>
    <t>104203-JH 2 A8-188234-LB-AVB</t>
  </si>
  <si>
    <t>104203---LB-AVB</t>
  </si>
  <si>
    <t>104203-CBR-188234-LB-AVB</t>
  </si>
  <si>
    <t>183900-ENZORO-1242965-YD-AVB</t>
  </si>
  <si>
    <t>183900---YD-AVB</t>
  </si>
  <si>
    <t>104198-CBR-189302-LB-ILDV</t>
  </si>
  <si>
    <t>104198-I4 G 4 4-189302-LB-ILDV</t>
  </si>
  <si>
    <t>104198-JH 2 A16-189302-LB-ILDV</t>
  </si>
  <si>
    <t>183900-ENZORO-1339057-YD-ILDV</t>
  </si>
  <si>
    <t>183900-I1 A 125-1411623-YD-ILDV</t>
  </si>
  <si>
    <t>183900-I2 B 4 5-1242965-YD-ILDV</t>
  </si>
  <si>
    <t>ATTACHMENT</t>
  </si>
  <si>
    <t>History Pembetulan Stock di JDE Periode 01 November 2024</t>
  </si>
  <si>
    <t>dtsupport@gistexgarmenindonesia.com,asdort@gistexgarmenindonesia.com,dad2rt@gistexgarmenindonesia.com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</si>
</sst>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-mm\-yyyy"/>
  </numFmts>
  <fonts count="1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8"/>
      <color rgb="FF9A9DA1"/>
      <name val="Calibri"/>
      <family val="2"/>
      <scheme val="minor"/>
    </font>
    <font>
      <b/>
      <sz val="9"/>
      <color rgb="FF00B0F0"/>
      <name val="Calibri"/>
      <family val="2"/>
      <scheme val="minor"/>
    </font>
    <font>
      <b/>
      <i/>
      <u/>
      <sz val="9"/>
      <color rgb="FF00B0F0"/>
      <name val="Calibri"/>
      <family val="2"/>
      <scheme val="minor"/>
    </font>
    <font>
      <i/>
      <sz val="8"/>
      <color theme="8" tint="0.59999389629810485"/>
      <name val="Calibri"/>
      <family val="2"/>
      <scheme val="minor"/>
    </font>
    <font>
      <b/>
      <sz val="12"/>
      <color theme="0"/>
      <name val="Calibri"/>
      <family val="2"/>
      <scheme val="minor"/>
    </font>
    <font>
      <i/>
      <sz val="10"/>
      <color theme="4" tint="-0.499984740745262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i/>
      <sz val="9"/>
      <color theme="4" tint="-0.499984740745262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sz val="48"/>
      <color rgb="FFBAF6FE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9"/>
      <color rgb="FFFF0000"/>
      <name val="Calibri"/>
      <family val="2"/>
      <scheme val="minor"/>
    </font>
    <font>
      <sz val="11"/>
      <color rgb="FF00B0F0"/>
      <name val="Calibri"/>
      <family val="2"/>
      <scheme val="minor"/>
    </font>
    <font>
      <sz val="11"/>
      <color rgb="FFC00000"/>
      <name val="Calibri"/>
      <family val="2"/>
      <scheme val="minor"/>
    </font>
    <font>
      <b/>
      <sz val="11"/>
      <color rgb="FFFFFFFF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9BF0FB"/>
        <bgColor indexed="64"/>
      </patternFill>
    </fill>
    <fill>
      <patternFill patternType="solid">
        <fgColor rgb="FF2FC9F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B0F0"/>
        <bgColor indexed="64"/>
      </patternFill>
    </fill>
  </fills>
  <borders count="7">
    <border>
      <left/>
      <right/>
      <top/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/>
      <right style="thin">
        <color theme="0" tint="-0.14999847407452621"/>
      </right>
      <top/>
      <bottom/>
      <diagonal/>
    </border>
    <border>
      <left style="thin">
        <color theme="0" tint="-0.14999847407452621"/>
      </left>
      <right style="thin">
        <color theme="0" tint="-0.14999847407452621"/>
      </right>
      <top/>
      <bottom/>
      <diagonal/>
    </border>
    <border>
      <left/>
      <right/>
      <top style="thin">
        <color rgb="FF96E6E7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39">
    <xf numFmtId="0" fontId="0" fillId="0" borderId="0" xfId="0"/>
    <xf numFmtId="14" fontId="0" fillId="0" borderId="0" xfId="0" applyNumberFormat="1"/>
    <xf numFmtId="0" fontId="1" fillId="0" borderId="0" xfId="0" applyFont="1"/>
    <xf numFmtId="21" fontId="0" fillId="0" borderId="0" xfId="0" applyNumberFormat="1"/>
    <xf numFmtId="0" fontId="0" fillId="0" borderId="0" xfId="0" applyAlignment="1">
      <alignment horizontal="center"/>
    </xf>
    <xf numFmtId="0" fontId="3" fillId="0" borderId="0" xfId="0" applyFont="1" applyAlignment="1">
      <alignment horizontal="left"/>
    </xf>
    <xf numFmtId="0" fontId="7" fillId="3" borderId="1" xfId="0" applyFont="1" applyFill="1" applyBorder="1" applyAlignment="1">
      <alignment vertical="center"/>
    </xf>
    <xf numFmtId="0" fontId="7" fillId="3" borderId="1" xfId="0" applyFont="1" applyFill="1" applyBorder="1" applyAlignment="1">
      <alignment horizontal="left" vertical="center"/>
    </xf>
    <xf numFmtId="0" fontId="7" fillId="3" borderId="1" xfId="0" applyFont="1" applyFill="1" applyBorder="1" applyAlignment="1">
      <alignment horizontal="center" vertical="center"/>
    </xf>
    <xf numFmtId="0" fontId="9" fillId="0" borderId="3" xfId="0" applyFont="1" applyBorder="1"/>
    <xf numFmtId="0" fontId="9" fillId="0" borderId="0" xfId="0" applyFont="1"/>
    <xf numFmtId="0" fontId="12" fillId="0" borderId="3" xfId="1" applyFont="1" applyFill="1" applyBorder="1" applyAlignment="1">
      <alignment horizontal="left"/>
    </xf>
    <xf numFmtId="0" fontId="0" fillId="0" borderId="4" xfId="0" applyBorder="1" applyAlignment="1">
      <alignment horizontal="left"/>
    </xf>
    <xf numFmtId="164" fontId="0" fillId="0" borderId="0" xfId="0" applyNumberFormat="1" applyAlignment="1">
      <alignment horizontal="left"/>
    </xf>
    <xf numFmtId="0" fontId="9" fillId="0" borderId="3" xfId="0" applyFont="1" applyBorder="1" applyAlignment="1">
      <alignment horizontal="left"/>
    </xf>
    <xf numFmtId="0" fontId="11" fillId="0" borderId="3" xfId="1" applyBorder="1" applyAlignment="1">
      <alignment horizontal="left"/>
    </xf>
    <xf numFmtId="0" fontId="11" fillId="0" borderId="4" xfId="1" applyBorder="1" applyAlignment="1">
      <alignment horizontal="left"/>
    </xf>
    <xf numFmtId="0" fontId="0" fillId="3" borderId="0" xfId="0" applyFill="1"/>
    <xf numFmtId="0" fontId="0" fillId="4" borderId="0" xfId="0" applyFill="1"/>
    <xf numFmtId="0" fontId="2" fillId="0" borderId="0" xfId="0" applyFont="1"/>
    <xf numFmtId="0" fontId="11" fillId="0" borderId="3" xfId="1" applyFill="1" applyBorder="1"/>
    <xf numFmtId="0" fontId="14" fillId="0" borderId="0" xfId="0" applyFont="1"/>
    <xf numFmtId="0" fontId="0" fillId="0" borderId="0" xfId="0" quotePrefix="1"/>
    <xf numFmtId="0" fontId="16" fillId="0" borderId="0" xfId="0" applyFont="1"/>
    <xf numFmtId="0" fontId="11" fillId="0" borderId="0" xfId="1"/>
    <xf numFmtId="0" fontId="1" fillId="0" borderId="0" xfId="0" applyFont="1" applyAlignment="1">
      <alignment horizontal="right"/>
    </xf>
    <xf numFmtId="0" fontId="17" fillId="0" borderId="0" xfId="0" applyFont="1"/>
    <xf numFmtId="0" fontId="0" fillId="5" borderId="0" xfId="0" applyFill="1"/>
    <xf numFmtId="0" fontId="11" fillId="0" borderId="3" xfId="1" applyFill="1" applyBorder="1" applyAlignment="1">
      <alignment horizontal="left"/>
    </xf>
    <xf numFmtId="0" fontId="0" fillId="0" borderId="6" xfId="0" applyBorder="1" applyAlignment="1">
      <alignment horizontal="center" vertical="center"/>
    </xf>
    <xf numFmtId="0" fontId="18" fillId="6" borderId="6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7" fillId="3" borderId="1" xfId="0" applyFont="1" applyFill="1" applyBorder="1" applyAlignment="1">
      <alignment horizontal="left" vertical="center"/>
    </xf>
    <xf numFmtId="0" fontId="7" fillId="3" borderId="2" xfId="0" applyFont="1" applyFill="1" applyBorder="1" applyAlignment="1">
      <alignment horizontal="left" vertical="center"/>
    </xf>
    <xf numFmtId="0" fontId="8" fillId="4" borderId="3" xfId="0" applyFont="1" applyFill="1" applyBorder="1" applyAlignment="1">
      <alignment horizontal="left" vertical="center" wrapText="1"/>
    </xf>
    <xf numFmtId="0" fontId="13" fillId="2" borderId="5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/>
    </xf>
    <xf numFmtId="0" fontId="0" fillId="2" borderId="0" xfId="0" applyFill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393583</xdr:colOff>
      <xdr:row>0</xdr:row>
      <xdr:rowOff>43229</xdr:rowOff>
    </xdr:from>
    <xdr:to>
      <xdr:col>7</xdr:col>
      <xdr:colOff>777514</xdr:colOff>
      <xdr:row>1</xdr:row>
      <xdr:rowOff>100628</xdr:rowOff>
    </xdr:to>
    <xdr:pic macro="[1]!OPEN_About"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58183" y="43229"/>
          <a:ext cx="383931" cy="241549"/>
        </a:xfrm>
        <a:prstGeom prst="rect">
          <a:avLst/>
        </a:prstGeom>
      </xdr:spPr>
    </xdr:pic>
    <xdr:clientData/>
  </xdr:twoCellAnchor>
  <xdr:twoCellAnchor>
    <xdr:from>
      <xdr:col>7</xdr:col>
      <xdr:colOff>114342</xdr:colOff>
      <xdr:row>4</xdr:row>
      <xdr:rowOff>114300</xdr:rowOff>
    </xdr:from>
    <xdr:to>
      <xdr:col>7</xdr:col>
      <xdr:colOff>1263649</xdr:colOff>
      <xdr:row>6</xdr:row>
      <xdr:rowOff>158750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pSpPr/>
      </xdr:nvGrpSpPr>
      <xdr:grpSpPr>
        <a:xfrm>
          <a:off x="8582067" y="962025"/>
          <a:ext cx="1101682" cy="425450"/>
          <a:chOff x="2984128" y="906998"/>
          <a:chExt cx="1670699" cy="429245"/>
        </a:xfrm>
      </xdr:grpSpPr>
      <xdr:pic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984128" y="906998"/>
            <a:ext cx="1670699" cy="429245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3313" name="CommandButton1" hidden="1">
                <a:extLst>
                  <a:ext uri="{63B3BB69-23CF-44E3-9099-C40C66FF867C}">
                    <a14:compatExt spid="_x0000_s13313"/>
                  </a:ext>
                  <a:ext uri="{FF2B5EF4-FFF2-40B4-BE49-F238E27FC236}">
                    <a16:creationId xmlns:a16="http://schemas.microsoft.com/office/drawing/2014/main" id="{00000000-0008-0000-0100-000001340000}"/>
                  </a:ext>
                </a:extLst>
              </xdr:cNvPr>
              <xdr:cNvSpPr/>
            </xdr:nvSpPr>
            <xdr:spPr bwMode="auto">
              <a:xfrm>
                <a:off x="3159023" y="987276"/>
                <a:ext cx="1332348" cy="26066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7</xdr:col>
      <xdr:colOff>76242</xdr:colOff>
      <xdr:row>12</xdr:row>
      <xdr:rowOff>38100</xdr:rowOff>
    </xdr:from>
    <xdr:to>
      <xdr:col>7</xdr:col>
      <xdr:colOff>1225549</xdr:colOff>
      <xdr:row>14</xdr:row>
      <xdr:rowOff>82550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pSpPr/>
      </xdr:nvGrpSpPr>
      <xdr:grpSpPr>
        <a:xfrm>
          <a:off x="8543967" y="2152650"/>
          <a:ext cx="1139782" cy="425450"/>
          <a:chOff x="2984128" y="906998"/>
          <a:chExt cx="1670699" cy="429245"/>
        </a:xfrm>
      </xdr:grpSpPr>
      <xdr:pic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984128" y="906998"/>
            <a:ext cx="1670699" cy="429245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3314" name="CommandButton2" hidden="1">
                <a:extLst>
                  <a:ext uri="{63B3BB69-23CF-44E3-9099-C40C66FF867C}">
                    <a14:compatExt spid="_x0000_s13314"/>
                  </a:ext>
                  <a:ext uri="{FF2B5EF4-FFF2-40B4-BE49-F238E27FC236}">
                    <a16:creationId xmlns:a16="http://schemas.microsoft.com/office/drawing/2014/main" id="{00000000-0008-0000-0100-000002340000}"/>
                  </a:ext>
                </a:extLst>
              </xdr:cNvPr>
              <xdr:cNvSpPr/>
            </xdr:nvSpPr>
            <xdr:spPr bwMode="auto">
              <a:xfrm>
                <a:off x="3159022" y="987276"/>
                <a:ext cx="1332349" cy="26066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001.%20KANTOR\VBA\!Format\MACRO_PROCESS%20-%20Input%20Data%20di%20JDE\RPA%20Preference\.Macro\MACRO_RPA%20-%20Input%20Data%20di%20JD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A"/>
      <sheetName val="HOME"/>
      <sheetName val="INPUTAN_USER"/>
      <sheetName val="RPA1"/>
      <sheetName val="CC1_GCC"/>
      <sheetName val="RPA2"/>
      <sheetName val="MACRO_RPA - Input Data di JDE"/>
    </sheetNames>
    <definedNames>
      <definedName name="OPEN_About"/>
    </definedNames>
    <sheetDataSet>
      <sheetData sheetId="0"/>
      <sheetData sheetId="1"/>
      <sheetData sheetId="2"/>
      <sheetData sheetId="3"/>
      <sheetData sheetId="4"/>
      <sheetData sheetId="5"/>
      <sheetData sheetId="6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2" Type="http://schemas.openxmlformats.org/officeDocument/2006/relationships/hyperlink" Target="../../../../.Source/JDE/JDE_StockAvailability.xlsx" TargetMode="External"/><Relationship Id="rId1" Type="http://schemas.openxmlformats.org/officeDocument/2006/relationships/hyperlink" Target="../.Result/History%20Pembetulan%20Stock%20di%20JDE.pdf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hyperlink" Target="mailto:dad2rt@gistexgarmenindonesia.com" TargetMode="External"/><Relationship Id="rId1" Type="http://schemas.openxmlformats.org/officeDocument/2006/relationships/hyperlink" Target="mailto:asdort@gistexgarmenindonesia.com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7030A0"/>
  </sheetPr>
  <dimension ref="A1:E67"/>
  <sheetViews>
    <sheetView workbookViewId="0"/>
  </sheetViews>
  <sheetFormatPr defaultRowHeight="15" x14ac:dyDescent="0.25"/>
  <cols>
    <col min="1" max="1" width="17.85546875" customWidth="1"/>
    <col min="2" max="2" width="36.7109375" customWidth="1"/>
    <col min="3" max="3" width="38.42578125" customWidth="1"/>
    <col min="4" max="4" width="54.140625" customWidth="1"/>
  </cols>
  <sheetData>
    <row r="1" spans="1:3" x14ac:dyDescent="0.25">
      <c r="A1" s="21" t="s">
        <v>109</v>
      </c>
    </row>
    <row r="3" spans="1:3" x14ac:dyDescent="0.25">
      <c r="A3" t="s">
        <v>110</v>
      </c>
      <c r="B3" t="s">
        <v>111</v>
      </c>
      <c r="C3" t="str">
        <f>A8</f>
        <v>Sub Button Proses1</v>
      </c>
    </row>
    <row r="4" spans="1:3" x14ac:dyDescent="0.25">
      <c r="A4" t="s">
        <v>116</v>
      </c>
      <c r="B4" t="s">
        <v>117</v>
      </c>
      <c r="C4" t="str">
        <f>A17</f>
        <v>Sub Button Proses2</v>
      </c>
    </row>
    <row r="8" spans="1:3" x14ac:dyDescent="0.25">
      <c r="A8" t="s">
        <v>112</v>
      </c>
      <c r="B8" t="s">
        <v>114</v>
      </c>
    </row>
    <row r="9" spans="1:3" x14ac:dyDescent="0.25">
      <c r="B9" s="23" t="s">
        <v>123</v>
      </c>
      <c r="C9" t="s">
        <v>119</v>
      </c>
    </row>
    <row r="10" spans="1:3" x14ac:dyDescent="0.25">
      <c r="C10" t="s">
        <v>115</v>
      </c>
    </row>
    <row r="11" spans="1:3" x14ac:dyDescent="0.25">
      <c r="C11" t="s">
        <v>196</v>
      </c>
    </row>
    <row r="12" spans="1:3" x14ac:dyDescent="0.25">
      <c r="B12" s="23" t="s">
        <v>122</v>
      </c>
      <c r="C12" t="s">
        <v>119</v>
      </c>
    </row>
    <row r="13" spans="1:3" x14ac:dyDescent="0.25">
      <c r="C13" t="s">
        <v>115</v>
      </c>
    </row>
    <row r="14" spans="1:3" x14ac:dyDescent="0.25">
      <c r="A14" s="26" t="s">
        <v>186</v>
      </c>
      <c r="C14" t="s">
        <v>196</v>
      </c>
    </row>
    <row r="15" spans="1:3" x14ac:dyDescent="0.25">
      <c r="A15" s="26"/>
    </row>
    <row r="17" spans="1:5" x14ac:dyDescent="0.25">
      <c r="A17" t="s">
        <v>118</v>
      </c>
      <c r="B17" s="23" t="s">
        <v>141</v>
      </c>
      <c r="C17" t="s">
        <v>142</v>
      </c>
    </row>
    <row r="19" spans="1:5" x14ac:dyDescent="0.25">
      <c r="B19" s="23" t="s">
        <v>121</v>
      </c>
      <c r="C19" t="s">
        <v>124</v>
      </c>
      <c r="D19" t="str">
        <f>HOME!F5</f>
        <v>\\10.8.0.35\Bersama\IT\Macro Record Projects\Local Project\MACRO_PROCESS - Pembetulan Stock di JDE\RPA Preference\.Source\JDE\JDE_StockAvailability.xlsx</v>
      </c>
    </row>
    <row r="20" spans="1:5" x14ac:dyDescent="0.25">
      <c r="C20" t="s">
        <v>125</v>
      </c>
      <c r="D20" s="22" t="s">
        <v>126</v>
      </c>
    </row>
    <row r="21" spans="1:5" x14ac:dyDescent="0.25">
      <c r="C21" t="s">
        <v>127</v>
      </c>
    </row>
    <row r="22" spans="1:5" x14ac:dyDescent="0.25">
      <c r="C22" t="s">
        <v>135</v>
      </c>
    </row>
    <row r="23" spans="1:5" x14ac:dyDescent="0.25">
      <c r="C23" s="2" t="s">
        <v>128</v>
      </c>
      <c r="D23" s="2" t="s">
        <v>129</v>
      </c>
    </row>
    <row r="24" spans="1:5" x14ac:dyDescent="0.25">
      <c r="C24" t="s">
        <v>139</v>
      </c>
      <c r="D24" t="s">
        <v>143</v>
      </c>
      <c r="E24" s="22" t="s">
        <v>130</v>
      </c>
    </row>
    <row r="25" spans="1:5" x14ac:dyDescent="0.25">
      <c r="D25" t="s">
        <v>144</v>
      </c>
      <c r="E25" s="22"/>
    </row>
    <row r="26" spans="1:5" x14ac:dyDescent="0.25">
      <c r="D26" t="s">
        <v>145</v>
      </c>
      <c r="E26" s="22"/>
    </row>
    <row r="28" spans="1:5" x14ac:dyDescent="0.25">
      <c r="B28" s="23" t="s">
        <v>131</v>
      </c>
      <c r="C28" t="s">
        <v>124</v>
      </c>
      <c r="D28" t="str">
        <f>HOME!$F$7</f>
        <v>\\10.8.0.35\Bersama\IT\Macro Record Projects\Local Project\MACRO_PROCESS - Pembetulan Stock di JDE\RPA Preference\.Source\JDE\JDE_ILDV.xlsx</v>
      </c>
    </row>
    <row r="29" spans="1:5" x14ac:dyDescent="0.25">
      <c r="C29" t="s">
        <v>132</v>
      </c>
    </row>
    <row r="30" spans="1:5" x14ac:dyDescent="0.25">
      <c r="C30" s="23" t="s">
        <v>133</v>
      </c>
      <c r="D30" t="s">
        <v>134</v>
      </c>
    </row>
    <row r="31" spans="1:5" x14ac:dyDescent="0.25">
      <c r="C31" t="s">
        <v>135</v>
      </c>
    </row>
    <row r="32" spans="1:5" x14ac:dyDescent="0.25">
      <c r="C32" s="25" t="s">
        <v>128</v>
      </c>
      <c r="D32" s="2" t="s">
        <v>129</v>
      </c>
    </row>
    <row r="33" spans="2:5" x14ac:dyDescent="0.25">
      <c r="C33" t="s">
        <v>139</v>
      </c>
      <c r="D33" t="s">
        <v>136</v>
      </c>
      <c r="E33" s="22" t="s">
        <v>137</v>
      </c>
    </row>
    <row r="34" spans="2:5" x14ac:dyDescent="0.25">
      <c r="D34" t="s">
        <v>138</v>
      </c>
    </row>
    <row r="35" spans="2:5" x14ac:dyDescent="0.25">
      <c r="D35" t="s">
        <v>139</v>
      </c>
    </row>
    <row r="37" spans="2:5" x14ac:dyDescent="0.25">
      <c r="B37" t="s">
        <v>146</v>
      </c>
      <c r="C37" t="s">
        <v>173</v>
      </c>
    </row>
    <row r="38" spans="2:5" x14ac:dyDescent="0.25">
      <c r="C38" t="s">
        <v>147</v>
      </c>
    </row>
    <row r="39" spans="2:5" x14ac:dyDescent="0.25">
      <c r="C39" t="s">
        <v>135</v>
      </c>
    </row>
    <row r="40" spans="2:5" x14ac:dyDescent="0.25">
      <c r="C40" s="2" t="s">
        <v>128</v>
      </c>
      <c r="D40" s="2" t="s">
        <v>129</v>
      </c>
    </row>
    <row r="41" spans="2:5" x14ac:dyDescent="0.25">
      <c r="C41" t="s">
        <v>139</v>
      </c>
      <c r="D41" t="s">
        <v>136</v>
      </c>
      <c r="E41" s="22" t="s">
        <v>148</v>
      </c>
    </row>
    <row r="42" spans="2:5" x14ac:dyDescent="0.25">
      <c r="D42" t="s">
        <v>149</v>
      </c>
    </row>
    <row r="43" spans="2:5" x14ac:dyDescent="0.25">
      <c r="B43" t="s">
        <v>174</v>
      </c>
      <c r="D43" s="22"/>
    </row>
    <row r="45" spans="2:5" x14ac:dyDescent="0.25">
      <c r="B45" s="23" t="s">
        <v>150</v>
      </c>
      <c r="C45" t="s">
        <v>142</v>
      </c>
    </row>
    <row r="46" spans="2:5" x14ac:dyDescent="0.25">
      <c r="C46" t="s">
        <v>161</v>
      </c>
    </row>
    <row r="47" spans="2:5" x14ac:dyDescent="0.25">
      <c r="C47" t="s">
        <v>166</v>
      </c>
      <c r="D47" s="22" t="s">
        <v>151</v>
      </c>
    </row>
    <row r="48" spans="2:5" x14ac:dyDescent="0.25">
      <c r="C48" t="s">
        <v>125</v>
      </c>
    </row>
    <row r="50" spans="2:4" x14ac:dyDescent="0.25">
      <c r="B50" s="23" t="s">
        <v>163</v>
      </c>
      <c r="C50" t="s">
        <v>193</v>
      </c>
    </row>
    <row r="51" spans="2:4" x14ac:dyDescent="0.25">
      <c r="C51" t="s">
        <v>115</v>
      </c>
    </row>
    <row r="52" spans="2:4" x14ac:dyDescent="0.25">
      <c r="C52" t="s">
        <v>196</v>
      </c>
    </row>
    <row r="53" spans="2:4" x14ac:dyDescent="0.25">
      <c r="B53" s="23" t="s">
        <v>187</v>
      </c>
      <c r="C53" t="s">
        <v>164</v>
      </c>
    </row>
    <row r="54" spans="2:4" x14ac:dyDescent="0.25">
      <c r="C54" t="s">
        <v>165</v>
      </c>
    </row>
    <row r="55" spans="2:4" x14ac:dyDescent="0.25">
      <c r="C55" t="s">
        <v>194</v>
      </c>
    </row>
    <row r="56" spans="2:4" x14ac:dyDescent="0.25">
      <c r="C56" t="s">
        <v>167</v>
      </c>
    </row>
    <row r="57" spans="2:4" x14ac:dyDescent="0.25">
      <c r="C57" t="s">
        <v>168</v>
      </c>
    </row>
    <row r="58" spans="2:4" x14ac:dyDescent="0.25">
      <c r="C58" t="s">
        <v>169</v>
      </c>
    </row>
    <row r="60" spans="2:4" x14ac:dyDescent="0.25">
      <c r="C60" t="s">
        <v>195</v>
      </c>
      <c r="D60" t="str">
        <f>HOME!F13</f>
        <v>\\10.8.0.35\Bersama\IT\Macro Record Projects\Local Project\MACRO_PROCESS - Pembetulan Stock di JDE\RPA Preference\.Result\History Pembetulan Stock di JDE.pdf</v>
      </c>
    </row>
    <row r="62" spans="2:4" x14ac:dyDescent="0.25">
      <c r="B62" s="23" t="s">
        <v>192</v>
      </c>
      <c r="C62" t="s">
        <v>164</v>
      </c>
    </row>
    <row r="63" spans="2:4" x14ac:dyDescent="0.25">
      <c r="C63" t="s">
        <v>182</v>
      </c>
    </row>
    <row r="64" spans="2:4" x14ac:dyDescent="0.25">
      <c r="C64" t="s">
        <v>183</v>
      </c>
    </row>
    <row r="65" spans="1:3" x14ac:dyDescent="0.25">
      <c r="C65" t="s">
        <v>184</v>
      </c>
    </row>
    <row r="66" spans="1:3" x14ac:dyDescent="0.25">
      <c r="C66" t="s">
        <v>185</v>
      </c>
    </row>
    <row r="67" spans="1:3" x14ac:dyDescent="0.25">
      <c r="A67" s="26" t="s">
        <v>186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00B0F0"/>
  </sheetPr>
  <dimension ref="A1:H16"/>
  <sheetViews>
    <sheetView showGridLines="0" tabSelected="1" workbookViewId="0">
      <selection sqref="A1:B1"/>
    </sheetView>
  </sheetViews>
  <sheetFormatPr defaultRowHeight="15" x14ac:dyDescent="0.25"/>
  <cols>
    <col min="1" max="1" width="1.85546875" customWidth="1"/>
    <col min="2" max="2" width="0.28515625" customWidth="1"/>
    <col min="3" max="3" width="46.42578125" customWidth="1"/>
    <col min="4" max="4" width="31" customWidth="1"/>
    <col min="5" max="5" width="3" customWidth="1"/>
    <col min="6" max="6" width="30.5703125" customWidth="1"/>
    <col min="7" max="7" width="13.85546875" customWidth="1"/>
    <col min="8" max="8" width="18.28515625" customWidth="1"/>
    <col min="9" max="9" width="1.140625" customWidth="1"/>
  </cols>
  <sheetData>
    <row r="1" spans="1:8" ht="18" customHeight="1" x14ac:dyDescent="0.25">
      <c r="A1" s="31"/>
      <c r="B1" s="31"/>
      <c r="C1" s="37" t="s">
        <v>101</v>
      </c>
      <c r="D1" s="37"/>
      <c r="E1" s="37"/>
      <c r="F1" s="37"/>
      <c r="G1" s="37"/>
      <c r="H1" s="37"/>
    </row>
    <row r="2" spans="1:8" ht="18" customHeight="1" x14ac:dyDescent="0.25">
      <c r="A2" s="4"/>
      <c r="B2" s="4"/>
      <c r="C2" s="5"/>
      <c r="D2" s="5"/>
      <c r="E2" s="5"/>
      <c r="F2" s="5"/>
      <c r="G2" s="5"/>
    </row>
    <row r="3" spans="1:8" ht="15.75" x14ac:dyDescent="0.25">
      <c r="A3" s="31"/>
      <c r="B3" s="38"/>
      <c r="C3" s="6" t="s">
        <v>102</v>
      </c>
      <c r="D3" s="7" t="s">
        <v>103</v>
      </c>
      <c r="E3" s="32" t="s">
        <v>104</v>
      </c>
      <c r="F3" s="33"/>
      <c r="G3" s="7" t="s">
        <v>105</v>
      </c>
      <c r="H3" s="8" t="s">
        <v>106</v>
      </c>
    </row>
    <row r="4" spans="1:8" ht="15" customHeight="1" x14ac:dyDescent="0.25">
      <c r="A4" s="31"/>
      <c r="B4" s="38"/>
      <c r="C4" s="34" t="s">
        <v>197</v>
      </c>
      <c r="D4" s="9" t="s">
        <v>188</v>
      </c>
      <c r="E4" s="10"/>
      <c r="F4" s="11" t="s">
        <v>2</v>
      </c>
      <c r="G4" s="12" t="s">
        <v>4</v>
      </c>
      <c r="H4" s="35" t="s">
        <v>108</v>
      </c>
    </row>
    <row r="5" spans="1:8" x14ac:dyDescent="0.25">
      <c r="A5" s="31"/>
      <c r="B5" s="38"/>
      <c r="C5" s="34"/>
      <c r="D5" s="9" t="s">
        <v>199</v>
      </c>
      <c r="E5" s="10"/>
      <c r="F5" s="28" t="s">
        <v>113</v>
      </c>
      <c r="G5" s="13" t="s">
        <v>107</v>
      </c>
      <c r="H5" s="36"/>
    </row>
    <row r="6" spans="1:8" x14ac:dyDescent="0.25">
      <c r="A6" s="31"/>
      <c r="B6" s="38"/>
      <c r="C6" s="34"/>
      <c r="D6" s="9" t="s">
        <v>189</v>
      </c>
      <c r="E6" s="10"/>
      <c r="F6" s="11" t="s">
        <v>36</v>
      </c>
      <c r="G6" s="13" t="s">
        <v>37</v>
      </c>
      <c r="H6" s="36"/>
    </row>
    <row r="7" spans="1:8" x14ac:dyDescent="0.25">
      <c r="A7" s="31"/>
      <c r="B7" s="38"/>
      <c r="C7" s="34"/>
      <c r="D7" s="9" t="s">
        <v>198</v>
      </c>
      <c r="E7" s="10"/>
      <c r="F7" s="11" t="s">
        <v>120</v>
      </c>
      <c r="G7" s="13" t="s">
        <v>107</v>
      </c>
      <c r="H7" s="36"/>
    </row>
    <row r="8" spans="1:8" x14ac:dyDescent="0.25">
      <c r="A8" s="31"/>
      <c r="B8" s="38"/>
      <c r="C8" s="34"/>
      <c r="D8" s="9" t="s">
        <v>190</v>
      </c>
      <c r="E8" s="10"/>
      <c r="F8" s="11" t="s">
        <v>191</v>
      </c>
      <c r="G8" s="13" t="s">
        <v>4</v>
      </c>
      <c r="H8" s="36"/>
    </row>
    <row r="9" spans="1:8" x14ac:dyDescent="0.25">
      <c r="A9" s="31"/>
      <c r="B9" s="38"/>
      <c r="C9" s="34"/>
      <c r="D9" s="14"/>
      <c r="E9" s="10"/>
      <c r="F9" s="15"/>
      <c r="G9" s="16"/>
      <c r="H9" s="36"/>
    </row>
    <row r="10" spans="1:8" ht="1.5" customHeight="1" x14ac:dyDescent="0.25">
      <c r="A10" s="31"/>
      <c r="B10" s="38"/>
      <c r="C10" s="17"/>
      <c r="D10" s="17"/>
      <c r="E10" s="17"/>
      <c r="F10" s="17"/>
      <c r="G10" s="17"/>
      <c r="H10" s="17"/>
    </row>
    <row r="11" spans="1:8" ht="7.5" customHeight="1" x14ac:dyDescent="0.25">
      <c r="A11" s="31"/>
      <c r="B11" s="31"/>
      <c r="C11" s="18"/>
      <c r="D11" s="18"/>
      <c r="E11" s="18"/>
      <c r="F11" s="18"/>
      <c r="G11" s="18"/>
      <c r="H11" s="18"/>
    </row>
    <row r="12" spans="1:8" ht="15.75" x14ac:dyDescent="0.25">
      <c r="A12" s="31"/>
      <c r="B12" s="31"/>
      <c r="C12" s="6" t="s">
        <v>102</v>
      </c>
      <c r="D12" s="7" t="s">
        <v>103</v>
      </c>
      <c r="E12" s="32" t="s">
        <v>104</v>
      </c>
      <c r="F12" s="33"/>
      <c r="G12" s="7" t="s">
        <v>105</v>
      </c>
      <c r="H12" s="8" t="s">
        <v>106</v>
      </c>
    </row>
    <row r="13" spans="1:8" x14ac:dyDescent="0.25">
      <c r="A13" s="31"/>
      <c r="B13" s="31"/>
      <c r="C13" s="34"/>
      <c r="D13" s="9" t="s">
        <v>171</v>
      </c>
      <c r="E13" s="19"/>
      <c r="F13" s="20" t="s">
        <v>172</v>
      </c>
      <c r="G13" s="13" t="s">
        <v>107</v>
      </c>
      <c r="H13" s="35" t="s">
        <v>108</v>
      </c>
    </row>
    <row r="14" spans="1:8" x14ac:dyDescent="0.25">
      <c r="A14" s="31"/>
      <c r="B14" s="31"/>
      <c r="C14" s="34"/>
      <c r="D14" s="9"/>
      <c r="E14" s="19"/>
      <c r="F14" s="20"/>
      <c r="G14" s="13" t="s">
        <v>107</v>
      </c>
      <c r="H14" s="36"/>
    </row>
    <row r="15" spans="1:8" x14ac:dyDescent="0.25">
      <c r="A15" s="31"/>
      <c r="B15" s="31"/>
      <c r="C15" s="34"/>
      <c r="D15" s="9"/>
      <c r="E15" s="10"/>
      <c r="F15" s="20"/>
      <c r="G15" s="16"/>
      <c r="H15" s="36"/>
    </row>
    <row r="16" spans="1:8" ht="1.5" customHeight="1" x14ac:dyDescent="0.25">
      <c r="A16" s="31"/>
      <c r="B16" s="31"/>
      <c r="C16" s="17"/>
      <c r="D16" s="17"/>
      <c r="E16" s="17"/>
      <c r="F16" s="17"/>
      <c r="G16" s="17"/>
      <c r="H16" s="17"/>
    </row>
  </sheetData>
  <mergeCells count="12">
    <mergeCell ref="A1:B1"/>
    <mergeCell ref="C1:H1"/>
    <mergeCell ref="A3:A10"/>
    <mergeCell ref="B3:B10"/>
    <mergeCell ref="E3:F3"/>
    <mergeCell ref="C4:C9"/>
    <mergeCell ref="H4:H9"/>
    <mergeCell ref="A11:A16"/>
    <mergeCell ref="B11:B16"/>
    <mergeCell ref="E12:F12"/>
    <mergeCell ref="C13:C15"/>
    <mergeCell ref="H13:H15"/>
  </mergeCells>
  <hyperlinks>
    <hyperlink ref="F13" r:id="rId1" xr:uid="{00000000-0004-0000-0100-000000000000}"/>
    <hyperlink ref="F5" r:id="rId2" xr:uid="{00000000-0004-0000-0100-000001000000}"/>
  </hyperlinks>
  <pageMargins left="0.7" right="0.7" top="0.75" bottom="0.75" header="0.3" footer="0.3"/>
  <drawing r:id="rId3"/>
  <legacyDrawing r:id="rId4"/>
  <controls>
    <mc:AlternateContent xmlns:mc="http://schemas.openxmlformats.org/markup-compatibility/2006">
      <mc:Choice Requires="x14">
        <control shapeId="13313" r:id="rId5" name="CommandButton1">
          <controlPr defaultSize="0" autoLine="0" autoPict="0" r:id="rId6">
            <anchor moveWithCells="1">
              <from>
                <xdr:col>7</xdr:col>
                <xdr:colOff>228600</xdr:colOff>
                <xdr:row>5</xdr:row>
                <xdr:rowOff>0</xdr:rowOff>
              </from>
              <to>
                <xdr:col>7</xdr:col>
                <xdr:colOff>1104900</xdr:colOff>
                <xdr:row>6</xdr:row>
                <xdr:rowOff>66675</xdr:rowOff>
              </to>
            </anchor>
          </controlPr>
        </control>
      </mc:Choice>
      <mc:Fallback>
        <control shapeId="13313" r:id="rId5" name="CommandButton1"/>
      </mc:Fallback>
    </mc:AlternateContent>
    <mc:AlternateContent xmlns:mc="http://schemas.openxmlformats.org/markup-compatibility/2006">
      <mc:Choice Requires="x14">
        <control shapeId="13314" r:id="rId7" name="CommandButton2">
          <controlPr defaultSize="0" autoLine="0" r:id="rId8">
            <anchor moveWithCells="1">
              <from>
                <xdr:col>7</xdr:col>
                <xdr:colOff>200025</xdr:colOff>
                <xdr:row>12</xdr:row>
                <xdr:rowOff>114300</xdr:rowOff>
              </from>
              <to>
                <xdr:col>7</xdr:col>
                <xdr:colOff>1104900</xdr:colOff>
                <xdr:row>13</xdr:row>
                <xdr:rowOff>180975</xdr:rowOff>
              </to>
            </anchor>
          </controlPr>
        </control>
      </mc:Choice>
      <mc:Fallback>
        <control shapeId="13314" r:id="rId7" name="CommandButton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FFFF00"/>
  </sheetPr>
  <dimension ref="A1:E5"/>
  <sheetViews>
    <sheetView workbookViewId="0">
      <selection activeCell="A2" sqref="A2:A5"/>
    </sheetView>
  </sheetViews>
  <sheetFormatPr defaultRowHeight="15" x14ac:dyDescent="0.25"/>
  <cols>
    <col min="1" max="1" width="14" bestFit="1" customWidth="1"/>
    <col min="2" max="2" width="5" bestFit="1" customWidth="1"/>
    <col min="3" max="3" width="3.140625" customWidth="1"/>
    <col min="4" max="5" width="37.42578125" bestFit="1" customWidth="1"/>
  </cols>
  <sheetData>
    <row r="1" spans="1:5" x14ac:dyDescent="0.25">
      <c r="A1" t="s">
        <v>39</v>
      </c>
      <c r="B1" t="s">
        <v>97</v>
      </c>
      <c r="C1" s="27"/>
      <c r="D1" t="s">
        <v>178</v>
      </c>
      <c r="E1" t="s">
        <v>179</v>
      </c>
    </row>
    <row r="2" spans="1:5" x14ac:dyDescent="0.25">
      <c r="A2">
        <v>96294</v>
      </c>
      <c r="B2">
        <v>1201</v>
      </c>
      <c r="D2" t="s">
        <v>170</v>
      </c>
      <c r="E2" t="s">
        <v>170</v>
      </c>
    </row>
    <row r="3" spans="1:5" x14ac:dyDescent="0.25">
      <c r="A3">
        <v>104198</v>
      </c>
      <c r="E3" s="24" t="s">
        <v>180</v>
      </c>
    </row>
    <row r="4" spans="1:5" x14ac:dyDescent="0.25">
      <c r="A4">
        <v>104203</v>
      </c>
      <c r="E4" s="24" t="s">
        <v>181</v>
      </c>
    </row>
    <row r="5" spans="1:5" x14ac:dyDescent="0.25">
      <c r="A5">
        <v>183900</v>
      </c>
    </row>
  </sheetData>
  <hyperlinks>
    <hyperlink ref="E3" r:id="rId1" xr:uid="{00000000-0004-0000-0200-000000000000}"/>
    <hyperlink ref="E4" r:id="rId2" xr:uid="{00000000-0004-0000-0200-000001000000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B7AD5-3F3E-4F5B-BCBC-0E85337E0E36}">
  <sheetPr codeName="Sheet4"/>
  <dimension ref="A1:F2"/>
  <sheetViews>
    <sheetView workbookViewId="0"/>
  </sheetViews>
  <sheetFormatPr defaultRowHeight="15" x14ac:dyDescent="0.25"/>
  <cols>
    <col min="1" max="1" width="5.85546875" bestFit="1" customWidth="1"/>
    <col min="2" max="2" width="19.42578125" bestFit="1" customWidth="1"/>
    <col min="3" max="3" width="8.85546875" bestFit="1" customWidth="1"/>
    <col min="4" max="4" width="14.5703125" bestFit="1" customWidth="1"/>
    <col min="5" max="5" width="26.85546875" bestFit="1" customWidth="1"/>
    <col min="6" max="6" width="147.5703125" bestFit="1" customWidth="1"/>
  </cols>
  <sheetData>
    <row r="1" spans="1:6" s="2" customFormat="1" x14ac:dyDescent="0.25">
      <c r="A1" s="2" t="s">
        <v>0</v>
      </c>
      <c r="B1" s="2" t="s">
        <v>1</v>
      </c>
      <c r="C1" s="2" t="s">
        <v>3</v>
      </c>
      <c r="D1" s="2" t="s">
        <v>45</v>
      </c>
      <c r="E1" s="2" t="s">
        <v>47</v>
      </c>
      <c r="F1" s="2" t="s">
        <v>5</v>
      </c>
    </row>
    <row r="2" spans="1:6" x14ac:dyDescent="0.25">
      <c r="A2" t="s">
        <v>200</v>
      </c>
      <c r="B2" t="s">
        <v>2</v>
      </c>
      <c r="C2" t="s">
        <v>4</v>
      </c>
      <c r="D2">
        <v>1201</v>
      </c>
      <c r="E2" t="s">
        <v>46</v>
      </c>
      <c r="F2" t="s">
        <v>113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505B87-D826-4FB8-83EA-5926A4B4991E}">
  <sheetPr codeName="Sheet5"/>
  <dimension ref="A1:F2"/>
  <sheetViews>
    <sheetView workbookViewId="0"/>
  </sheetViews>
  <sheetFormatPr defaultRowHeight="15" x14ac:dyDescent="0.25"/>
  <cols>
    <col min="1" max="1" width="5.85546875" bestFit="1" customWidth="1"/>
    <col min="2" max="2" width="19.42578125" bestFit="1" customWidth="1"/>
    <col min="3" max="3" width="8.85546875" bestFit="1" customWidth="1"/>
    <col min="4" max="4" width="14.5703125" bestFit="1" customWidth="1"/>
    <col min="5" max="5" width="26.85546875" bestFit="1" customWidth="1"/>
    <col min="6" max="6" width="136.42578125" bestFit="1" customWidth="1"/>
  </cols>
  <sheetData>
    <row r="1" spans="1:6" s="2" customFormat="1" x14ac:dyDescent="0.25">
      <c r="A1" s="2" t="s">
        <v>0</v>
      </c>
      <c r="B1" s="2" t="s">
        <v>1</v>
      </c>
      <c r="C1" s="2" t="s">
        <v>3</v>
      </c>
      <c r="D1" s="2" t="s">
        <v>45</v>
      </c>
      <c r="E1" s="2" t="s">
        <v>47</v>
      </c>
      <c r="F1" s="2" t="s">
        <v>5</v>
      </c>
    </row>
    <row r="2" spans="1:6" x14ac:dyDescent="0.25">
      <c r="A2" t="s">
        <v>200</v>
      </c>
      <c r="B2" t="s">
        <v>36</v>
      </c>
      <c r="C2" t="s">
        <v>37</v>
      </c>
      <c r="D2">
        <v>1201</v>
      </c>
      <c r="E2" t="s">
        <v>46</v>
      </c>
      <c r="F2" t="s">
        <v>120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8809CD-7BED-456E-897E-64B4902D8074}">
  <dimension ref="A1:J18"/>
  <sheetViews>
    <sheetView workbookViewId="0"/>
  </sheetViews>
  <sheetFormatPr defaultRowHeight="15" x14ac:dyDescent="0.25"/>
  <cols>
    <col min="1" max="1" width="26.42578125" bestFit="1" customWidth="1"/>
    <col min="2" max="2" width="31.28515625" bestFit="1" customWidth="1"/>
    <col min="3" max="3" width="9.5703125" bestFit="1" customWidth="1"/>
    <col min="4" max="4" width="7" bestFit="1" customWidth="1"/>
    <col min="5" max="5" width="10.140625" bestFit="1" customWidth="1"/>
    <col min="6" max="6" width="12.7109375" bestFit="1" customWidth="1"/>
    <col min="7" max="7" width="5.7109375" bestFit="1" customWidth="1"/>
    <col min="8" max="8" width="5.140625" bestFit="1" customWidth="1"/>
    <col min="9" max="9" width="8.140625" bestFit="1" customWidth="1"/>
    <col min="10" max="10" width="9.42578125" bestFit="1" customWidth="1"/>
  </cols>
  <sheetData>
    <row r="1" spans="1:10" s="2" customFormat="1" x14ac:dyDescent="0.25">
      <c r="A1" s="2" t="s">
        <v>90</v>
      </c>
      <c r="B1" s="2" t="s">
        <v>89</v>
      </c>
      <c r="C1" s="2" t="s">
        <v>53</v>
      </c>
      <c r="D1" s="2" t="s">
        <v>13</v>
      </c>
      <c r="E1" s="2" t="s">
        <v>16</v>
      </c>
      <c r="F1" s="2" t="s">
        <v>17</v>
      </c>
      <c r="G1" s="2" t="s">
        <v>152</v>
      </c>
      <c r="H1" s="2" t="s">
        <v>20</v>
      </c>
      <c r="I1" s="2" t="s">
        <v>87</v>
      </c>
      <c r="J1" s="2" t="s">
        <v>86</v>
      </c>
    </row>
    <row r="2" spans="1:10" x14ac:dyDescent="0.25">
      <c r="A2" t="s">
        <v>153</v>
      </c>
      <c r="B2" t="s">
        <v>202</v>
      </c>
      <c r="C2">
        <v>1201</v>
      </c>
      <c r="D2">
        <v>96294</v>
      </c>
      <c r="H2" t="s">
        <v>22</v>
      </c>
      <c r="I2" t="s">
        <v>88</v>
      </c>
      <c r="J2">
        <v>1</v>
      </c>
    </row>
    <row r="3" spans="1:10" x14ac:dyDescent="0.25">
      <c r="A3" t="s">
        <v>154</v>
      </c>
      <c r="B3" t="s">
        <v>203</v>
      </c>
      <c r="C3">
        <v>1201</v>
      </c>
      <c r="D3">
        <v>96294</v>
      </c>
      <c r="E3" t="s">
        <v>23</v>
      </c>
      <c r="F3">
        <v>92910</v>
      </c>
      <c r="H3" t="s">
        <v>22</v>
      </c>
      <c r="I3" t="s">
        <v>88</v>
      </c>
      <c r="J3">
        <v>1</v>
      </c>
    </row>
    <row r="4" spans="1:10" x14ac:dyDescent="0.25">
      <c r="A4" t="s">
        <v>92</v>
      </c>
      <c r="B4" t="s">
        <v>204</v>
      </c>
      <c r="C4">
        <v>1201</v>
      </c>
      <c r="D4">
        <v>104198</v>
      </c>
      <c r="E4" t="s">
        <v>28</v>
      </c>
      <c r="F4">
        <v>189302</v>
      </c>
      <c r="G4">
        <v>0.15</v>
      </c>
      <c r="H4" t="s">
        <v>24</v>
      </c>
      <c r="I4" t="s">
        <v>88</v>
      </c>
      <c r="J4">
        <v>1</v>
      </c>
    </row>
    <row r="5" spans="1:10" x14ac:dyDescent="0.25">
      <c r="A5" t="s">
        <v>155</v>
      </c>
      <c r="B5" t="s">
        <v>205</v>
      </c>
      <c r="C5">
        <v>1201</v>
      </c>
      <c r="D5">
        <v>104198</v>
      </c>
      <c r="E5" t="s">
        <v>30</v>
      </c>
      <c r="F5">
        <v>189302</v>
      </c>
      <c r="H5" t="s">
        <v>24</v>
      </c>
      <c r="I5" t="s">
        <v>88</v>
      </c>
      <c r="J5">
        <v>1</v>
      </c>
    </row>
    <row r="6" spans="1:10" x14ac:dyDescent="0.25">
      <c r="A6" t="s">
        <v>156</v>
      </c>
      <c r="B6" t="s">
        <v>206</v>
      </c>
      <c r="C6">
        <v>1201</v>
      </c>
      <c r="D6">
        <v>104198</v>
      </c>
      <c r="H6" t="s">
        <v>24</v>
      </c>
      <c r="I6" t="s">
        <v>88</v>
      </c>
      <c r="J6">
        <v>1</v>
      </c>
    </row>
    <row r="7" spans="1:10" x14ac:dyDescent="0.25">
      <c r="A7" t="s">
        <v>91</v>
      </c>
      <c r="B7" t="s">
        <v>207</v>
      </c>
      <c r="C7">
        <v>1201</v>
      </c>
      <c r="D7">
        <v>104198</v>
      </c>
      <c r="E7" t="s">
        <v>29</v>
      </c>
      <c r="F7">
        <v>189302</v>
      </c>
      <c r="G7">
        <v>-0.02</v>
      </c>
      <c r="H7" t="s">
        <v>24</v>
      </c>
      <c r="I7" t="s">
        <v>88</v>
      </c>
      <c r="J7">
        <v>1</v>
      </c>
    </row>
    <row r="8" spans="1:10" x14ac:dyDescent="0.25">
      <c r="A8" t="s">
        <v>157</v>
      </c>
      <c r="B8" t="s">
        <v>208</v>
      </c>
      <c r="C8">
        <v>1201</v>
      </c>
      <c r="D8">
        <v>104203</v>
      </c>
      <c r="E8" t="s">
        <v>44</v>
      </c>
      <c r="F8">
        <v>188234</v>
      </c>
      <c r="H8" t="s">
        <v>24</v>
      </c>
      <c r="I8" t="s">
        <v>88</v>
      </c>
      <c r="J8">
        <v>1</v>
      </c>
    </row>
    <row r="9" spans="1:10" x14ac:dyDescent="0.25">
      <c r="A9" t="s">
        <v>158</v>
      </c>
      <c r="B9" t="s">
        <v>209</v>
      </c>
      <c r="C9">
        <v>1201</v>
      </c>
      <c r="D9">
        <v>104203</v>
      </c>
      <c r="H9" t="s">
        <v>24</v>
      </c>
      <c r="I9" t="s">
        <v>88</v>
      </c>
      <c r="J9">
        <v>1</v>
      </c>
    </row>
    <row r="10" spans="1:10" x14ac:dyDescent="0.25">
      <c r="A10" t="s">
        <v>159</v>
      </c>
      <c r="B10" t="s">
        <v>210</v>
      </c>
      <c r="C10">
        <v>1201</v>
      </c>
      <c r="D10">
        <v>104203</v>
      </c>
      <c r="E10" t="s">
        <v>28</v>
      </c>
      <c r="F10">
        <v>188234</v>
      </c>
      <c r="H10" t="s">
        <v>24</v>
      </c>
      <c r="I10" t="s">
        <v>88</v>
      </c>
      <c r="J10">
        <v>1</v>
      </c>
    </row>
    <row r="11" spans="1:10" x14ac:dyDescent="0.25">
      <c r="A11" t="s">
        <v>93</v>
      </c>
      <c r="B11" t="s">
        <v>211</v>
      </c>
      <c r="C11">
        <v>1201</v>
      </c>
      <c r="D11">
        <v>183900</v>
      </c>
      <c r="E11" t="s">
        <v>33</v>
      </c>
      <c r="F11">
        <v>1242965</v>
      </c>
      <c r="G11">
        <v>1.23</v>
      </c>
      <c r="H11" t="s">
        <v>22</v>
      </c>
      <c r="I11" t="s">
        <v>88</v>
      </c>
      <c r="J11">
        <v>1</v>
      </c>
    </row>
    <row r="12" spans="1:10" x14ac:dyDescent="0.25">
      <c r="A12" t="s">
        <v>160</v>
      </c>
      <c r="B12" t="s">
        <v>212</v>
      </c>
      <c r="C12">
        <v>1201</v>
      </c>
      <c r="D12">
        <v>183900</v>
      </c>
      <c r="H12" t="s">
        <v>22</v>
      </c>
      <c r="I12" t="s">
        <v>88</v>
      </c>
      <c r="J12">
        <v>1</v>
      </c>
    </row>
    <row r="13" spans="1:10" x14ac:dyDescent="0.25">
      <c r="A13" t="s">
        <v>92</v>
      </c>
      <c r="B13" t="s">
        <v>213</v>
      </c>
      <c r="C13">
        <v>1201</v>
      </c>
      <c r="D13">
        <v>104198</v>
      </c>
      <c r="E13" t="s">
        <v>28</v>
      </c>
      <c r="F13">
        <v>189302</v>
      </c>
      <c r="G13">
        <v>0.15</v>
      </c>
      <c r="H13" t="s">
        <v>24</v>
      </c>
      <c r="I13" t="s">
        <v>38</v>
      </c>
      <c r="J13">
        <v>2</v>
      </c>
    </row>
    <row r="14" spans="1:10" x14ac:dyDescent="0.25">
      <c r="A14" t="s">
        <v>155</v>
      </c>
      <c r="B14" t="s">
        <v>214</v>
      </c>
      <c r="C14">
        <v>1201</v>
      </c>
      <c r="D14">
        <v>104198</v>
      </c>
      <c r="E14" t="s">
        <v>30</v>
      </c>
      <c r="F14">
        <v>189302</v>
      </c>
      <c r="H14" t="s">
        <v>24</v>
      </c>
      <c r="I14" t="s">
        <v>38</v>
      </c>
      <c r="J14">
        <v>2</v>
      </c>
    </row>
    <row r="15" spans="1:10" x14ac:dyDescent="0.25">
      <c r="A15" t="s">
        <v>91</v>
      </c>
      <c r="B15" t="s">
        <v>215</v>
      </c>
      <c r="C15">
        <v>1201</v>
      </c>
      <c r="D15">
        <v>104198</v>
      </c>
      <c r="E15" t="s">
        <v>29</v>
      </c>
      <c r="F15">
        <v>189302</v>
      </c>
      <c r="H15" t="s">
        <v>24</v>
      </c>
      <c r="I15" t="s">
        <v>38</v>
      </c>
      <c r="J15">
        <v>2</v>
      </c>
    </row>
    <row r="16" spans="1:10" x14ac:dyDescent="0.25">
      <c r="A16" t="s">
        <v>96</v>
      </c>
      <c r="B16" t="s">
        <v>216</v>
      </c>
      <c r="C16">
        <v>1201</v>
      </c>
      <c r="D16">
        <v>183900</v>
      </c>
      <c r="E16" t="s">
        <v>33</v>
      </c>
      <c r="F16">
        <v>1339057</v>
      </c>
      <c r="G16">
        <v>0.01</v>
      </c>
      <c r="H16" t="s">
        <v>22</v>
      </c>
      <c r="I16" t="s">
        <v>38</v>
      </c>
      <c r="J16">
        <v>1</v>
      </c>
    </row>
    <row r="17" spans="1:10" x14ac:dyDescent="0.25">
      <c r="A17" t="s">
        <v>94</v>
      </c>
      <c r="B17" t="s">
        <v>217</v>
      </c>
      <c r="C17">
        <v>1201</v>
      </c>
      <c r="D17">
        <v>183900</v>
      </c>
      <c r="E17" t="s">
        <v>84</v>
      </c>
      <c r="F17">
        <v>1411623</v>
      </c>
      <c r="G17">
        <v>-0.02</v>
      </c>
      <c r="H17" t="s">
        <v>22</v>
      </c>
      <c r="I17" t="s">
        <v>38</v>
      </c>
      <c r="J17">
        <v>1</v>
      </c>
    </row>
    <row r="18" spans="1:10" x14ac:dyDescent="0.25">
      <c r="A18" t="s">
        <v>95</v>
      </c>
      <c r="B18" t="s">
        <v>218</v>
      </c>
      <c r="C18">
        <v>1201</v>
      </c>
      <c r="D18">
        <v>183900</v>
      </c>
      <c r="E18" t="s">
        <v>85</v>
      </c>
      <c r="F18">
        <v>1242965</v>
      </c>
      <c r="G18">
        <v>-0.01</v>
      </c>
      <c r="H18" t="s">
        <v>22</v>
      </c>
      <c r="I18" t="s">
        <v>38</v>
      </c>
      <c r="J18">
        <v>1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46F48E-FF0C-4A4A-8919-1DE3533F969E}">
  <dimension ref="A1:AB24"/>
  <sheetViews>
    <sheetView workbookViewId="0"/>
  </sheetViews>
  <sheetFormatPr defaultRowHeight="15" x14ac:dyDescent="0.25"/>
  <cols>
    <col min="2" max="2" width="32.7109375" bestFit="1" customWidth="1"/>
    <col min="5" max="5" width="31.5703125" bestFit="1" customWidth="1"/>
    <col min="6" max="6" width="10.140625" bestFit="1" customWidth="1"/>
    <col min="7" max="7" width="23.5703125" bestFit="1" customWidth="1"/>
    <col min="8" max="8" width="10.140625" bestFit="1" customWidth="1"/>
    <col min="10" max="10" width="12.42578125" bestFit="1" customWidth="1"/>
    <col min="11" max="11" width="10.7109375" bestFit="1" customWidth="1"/>
    <col min="13" max="13" width="13.7109375" bestFit="1" customWidth="1"/>
    <col min="14" max="14" width="6.42578125" bestFit="1" customWidth="1"/>
    <col min="15" max="15" width="12" bestFit="1" customWidth="1"/>
  </cols>
  <sheetData>
    <row r="1" spans="1:28" x14ac:dyDescent="0.25">
      <c r="A1" t="s">
        <v>7</v>
      </c>
      <c r="F1" t="s">
        <v>8</v>
      </c>
    </row>
    <row r="2" spans="1:28" x14ac:dyDescent="0.25">
      <c r="N2">
        <v>45595</v>
      </c>
      <c r="O2">
        <v>0.61722222222222223</v>
      </c>
    </row>
    <row r="3" spans="1:28" x14ac:dyDescent="0.25">
      <c r="A3" t="s">
        <v>2</v>
      </c>
    </row>
    <row r="4" spans="1:28" x14ac:dyDescent="0.25">
      <c r="N4" t="s">
        <v>9</v>
      </c>
      <c r="O4" t="s">
        <v>10</v>
      </c>
    </row>
    <row r="5" spans="1:28" x14ac:dyDescent="0.25">
      <c r="G5" t="s">
        <v>11</v>
      </c>
    </row>
    <row r="6" spans="1:28" x14ac:dyDescent="0.25">
      <c r="G6" t="s">
        <v>12</v>
      </c>
      <c r="H6" t="s">
        <v>6</v>
      </c>
    </row>
    <row r="7" spans="1:28" x14ac:dyDescent="0.25">
      <c r="A7" t="s">
        <v>13</v>
      </c>
    </row>
    <row r="8" spans="1:28" x14ac:dyDescent="0.25">
      <c r="B8" t="s">
        <v>14</v>
      </c>
      <c r="E8" t="s">
        <v>15</v>
      </c>
      <c r="H8" t="s">
        <v>16</v>
      </c>
      <c r="J8" t="s">
        <v>17</v>
      </c>
      <c r="K8" t="s">
        <v>18</v>
      </c>
      <c r="M8" t="s">
        <v>19</v>
      </c>
      <c r="N8" t="s">
        <v>20</v>
      </c>
    </row>
    <row r="9" spans="1:28" x14ac:dyDescent="0.25">
      <c r="A9" t="s">
        <v>21</v>
      </c>
      <c r="AA9" t="s">
        <v>201</v>
      </c>
      <c r="AB9" t="s">
        <v>35</v>
      </c>
    </row>
    <row r="10" spans="1:28" x14ac:dyDescent="0.25">
      <c r="A10">
        <v>96294</v>
      </c>
      <c r="B10" t="s">
        <v>40</v>
      </c>
      <c r="E10" t="s">
        <v>41</v>
      </c>
      <c r="N10" t="s">
        <v>22</v>
      </c>
      <c r="AA10">
        <v>96294</v>
      </c>
      <c r="AB10">
        <v>-2</v>
      </c>
    </row>
    <row r="11" spans="1:28" x14ac:dyDescent="0.25">
      <c r="H11" t="s">
        <v>23</v>
      </c>
      <c r="J11">
        <v>92910</v>
      </c>
      <c r="N11" t="s">
        <v>22</v>
      </c>
      <c r="AA11">
        <v>96294</v>
      </c>
      <c r="AB11">
        <v>-1</v>
      </c>
    </row>
    <row r="12" spans="1:28" x14ac:dyDescent="0.25">
      <c r="A12">
        <v>96294</v>
      </c>
      <c r="N12" t="s">
        <v>22</v>
      </c>
      <c r="AA12">
        <v>96294</v>
      </c>
      <c r="AB12">
        <v>0</v>
      </c>
    </row>
    <row r="13" spans="1:28" x14ac:dyDescent="0.25">
      <c r="A13">
        <v>104198</v>
      </c>
      <c r="B13" t="s">
        <v>25</v>
      </c>
      <c r="E13" t="s">
        <v>27</v>
      </c>
      <c r="H13" t="s">
        <v>28</v>
      </c>
      <c r="J13">
        <v>189302</v>
      </c>
      <c r="M13">
        <v>0.15</v>
      </c>
      <c r="N13" t="s">
        <v>24</v>
      </c>
      <c r="AA13">
        <v>104198</v>
      </c>
      <c r="AB13">
        <v>-4</v>
      </c>
    </row>
    <row r="14" spans="1:28" x14ac:dyDescent="0.25">
      <c r="H14" t="s">
        <v>30</v>
      </c>
      <c r="J14">
        <v>189302</v>
      </c>
      <c r="K14">
        <v>45579</v>
      </c>
      <c r="N14" t="s">
        <v>24</v>
      </c>
      <c r="AA14">
        <v>104198</v>
      </c>
      <c r="AB14">
        <v>-3</v>
      </c>
    </row>
    <row r="15" spans="1:28" x14ac:dyDescent="0.25">
      <c r="N15" t="s">
        <v>24</v>
      </c>
      <c r="AA15">
        <v>104198</v>
      </c>
      <c r="AB15">
        <v>-2</v>
      </c>
    </row>
    <row r="16" spans="1:28" x14ac:dyDescent="0.25">
      <c r="H16" t="s">
        <v>29</v>
      </c>
      <c r="J16">
        <v>189302</v>
      </c>
      <c r="K16">
        <v>45579</v>
      </c>
      <c r="M16">
        <v>-0.02</v>
      </c>
      <c r="N16" t="s">
        <v>24</v>
      </c>
      <c r="AA16">
        <v>104198</v>
      </c>
      <c r="AB16">
        <v>-1</v>
      </c>
    </row>
    <row r="17" spans="1:28" x14ac:dyDescent="0.25">
      <c r="A17">
        <v>104198</v>
      </c>
      <c r="M17">
        <v>0.13</v>
      </c>
      <c r="N17" t="s">
        <v>24</v>
      </c>
      <c r="AA17">
        <v>104198</v>
      </c>
      <c r="AB17">
        <v>0</v>
      </c>
    </row>
    <row r="18" spans="1:28" x14ac:dyDescent="0.25">
      <c r="A18">
        <v>104203</v>
      </c>
      <c r="B18" t="s">
        <v>42</v>
      </c>
      <c r="E18" t="s">
        <v>43</v>
      </c>
      <c r="H18" t="s">
        <v>44</v>
      </c>
      <c r="J18">
        <v>188234</v>
      </c>
      <c r="K18">
        <v>39835</v>
      </c>
      <c r="N18" t="s">
        <v>24</v>
      </c>
      <c r="AA18">
        <v>104203</v>
      </c>
      <c r="AB18">
        <v>-3</v>
      </c>
    </row>
    <row r="19" spans="1:28" x14ac:dyDescent="0.25">
      <c r="N19" t="s">
        <v>24</v>
      </c>
      <c r="AA19">
        <v>104203</v>
      </c>
      <c r="AB19">
        <v>-2</v>
      </c>
    </row>
    <row r="20" spans="1:28" x14ac:dyDescent="0.25">
      <c r="H20" t="s">
        <v>28</v>
      </c>
      <c r="J20">
        <v>188234</v>
      </c>
      <c r="N20" t="s">
        <v>24</v>
      </c>
      <c r="AA20">
        <v>104203</v>
      </c>
      <c r="AB20">
        <v>-1</v>
      </c>
    </row>
    <row r="21" spans="1:28" x14ac:dyDescent="0.25">
      <c r="A21">
        <v>104203</v>
      </c>
      <c r="N21" t="s">
        <v>24</v>
      </c>
      <c r="AA21">
        <v>104203</v>
      </c>
      <c r="AB21">
        <v>0</v>
      </c>
    </row>
    <row r="22" spans="1:28" x14ac:dyDescent="0.25">
      <c r="A22">
        <v>183900</v>
      </c>
      <c r="B22" t="s">
        <v>31</v>
      </c>
      <c r="E22" t="s">
        <v>32</v>
      </c>
      <c r="H22" t="s">
        <v>33</v>
      </c>
      <c r="J22">
        <v>1242965</v>
      </c>
      <c r="K22">
        <v>41684</v>
      </c>
      <c r="M22">
        <v>1.23</v>
      </c>
      <c r="N22" t="s">
        <v>22</v>
      </c>
      <c r="AA22">
        <v>183900</v>
      </c>
      <c r="AB22">
        <v>-2</v>
      </c>
    </row>
    <row r="23" spans="1:28" x14ac:dyDescent="0.25">
      <c r="N23" t="s">
        <v>22</v>
      </c>
      <c r="AA23">
        <v>183900</v>
      </c>
      <c r="AB23">
        <v>-1</v>
      </c>
    </row>
    <row r="24" spans="1:28" x14ac:dyDescent="0.25">
      <c r="A24">
        <v>183900</v>
      </c>
      <c r="M24">
        <v>1.23</v>
      </c>
      <c r="N24" t="s">
        <v>22</v>
      </c>
      <c r="AA24">
        <v>183900</v>
      </c>
      <c r="AB24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BA925-9C42-46E4-B597-672CEF8BED76}">
  <dimension ref="A1:AA184"/>
  <sheetViews>
    <sheetView workbookViewId="0"/>
  </sheetViews>
  <sheetFormatPr defaultRowHeight="15" x14ac:dyDescent="0.25"/>
  <cols>
    <col min="1" max="1" width="12" bestFit="1" customWidth="1"/>
    <col min="2" max="2" width="32.7109375" bestFit="1" customWidth="1"/>
    <col min="5" max="5" width="31.5703125" bestFit="1" customWidth="1"/>
    <col min="8" max="8" width="9.42578125" bestFit="1" customWidth="1"/>
    <col min="9" max="9" width="28.7109375" bestFit="1" customWidth="1"/>
    <col min="10" max="10" width="67.5703125" bestFit="1" customWidth="1"/>
    <col min="11" max="12" width="10.7109375" bestFit="1" customWidth="1"/>
    <col min="13" max="13" width="10.140625" bestFit="1" customWidth="1"/>
    <col min="15" max="15" width="10" bestFit="1" customWidth="1"/>
    <col min="17" max="17" width="4" bestFit="1" customWidth="1"/>
    <col min="18" max="18" width="10.28515625" bestFit="1" customWidth="1"/>
    <col min="19" max="19" width="13.140625" bestFit="1" customWidth="1"/>
    <col min="21" max="21" width="14.7109375" bestFit="1" customWidth="1"/>
    <col min="22" max="22" width="9" bestFit="1" customWidth="1"/>
    <col min="23" max="23" width="11.42578125" bestFit="1" customWidth="1"/>
    <col min="24" max="24" width="4" bestFit="1" customWidth="1"/>
    <col min="25" max="25" width="7.28515625" bestFit="1" customWidth="1"/>
    <col min="27" max="27" width="9.42578125" bestFit="1" customWidth="1"/>
  </cols>
  <sheetData>
    <row r="1" spans="1:27" x14ac:dyDescent="0.25">
      <c r="A1" t="s">
        <v>48</v>
      </c>
      <c r="U1" s="1">
        <v>45595</v>
      </c>
      <c r="V1" s="3">
        <v>0.63793981481481477</v>
      </c>
    </row>
    <row r="2" spans="1:27" x14ac:dyDescent="0.25">
      <c r="I2" t="s">
        <v>8</v>
      </c>
    </row>
    <row r="3" spans="1:27" x14ac:dyDescent="0.25">
      <c r="U3">
        <v>1</v>
      </c>
      <c r="V3" t="s">
        <v>10</v>
      </c>
    </row>
    <row r="4" spans="1:27" x14ac:dyDescent="0.25">
      <c r="I4" t="s">
        <v>49</v>
      </c>
    </row>
    <row r="5" spans="1:27" x14ac:dyDescent="0.25">
      <c r="I5" t="s">
        <v>6</v>
      </c>
      <c r="J5" t="s">
        <v>50</v>
      </c>
    </row>
    <row r="6" spans="1:27" x14ac:dyDescent="0.25">
      <c r="A6" t="s">
        <v>13</v>
      </c>
      <c r="B6" t="s">
        <v>51</v>
      </c>
      <c r="E6" t="s">
        <v>52</v>
      </c>
      <c r="H6" t="s">
        <v>53</v>
      </c>
      <c r="I6" t="s">
        <v>54</v>
      </c>
      <c r="J6" t="s">
        <v>55</v>
      </c>
      <c r="K6" t="s">
        <v>56</v>
      </c>
      <c r="L6" t="s">
        <v>57</v>
      </c>
      <c r="M6" t="s">
        <v>16</v>
      </c>
      <c r="N6" t="s">
        <v>58</v>
      </c>
      <c r="O6" t="s">
        <v>59</v>
      </c>
      <c r="Q6" t="s">
        <v>60</v>
      </c>
      <c r="R6" t="s">
        <v>61</v>
      </c>
      <c r="S6" t="s">
        <v>62</v>
      </c>
      <c r="U6" t="s">
        <v>63</v>
      </c>
      <c r="W6" t="s">
        <v>64</v>
      </c>
      <c r="X6" t="s">
        <v>60</v>
      </c>
      <c r="Y6" t="s">
        <v>65</v>
      </c>
      <c r="AA6" t="s">
        <v>86</v>
      </c>
    </row>
    <row r="7" spans="1:27" x14ac:dyDescent="0.25">
      <c r="A7" t="s">
        <v>21</v>
      </c>
      <c r="H7" t="s">
        <v>66</v>
      </c>
      <c r="J7" t="s">
        <v>67</v>
      </c>
      <c r="AA7">
        <v>0</v>
      </c>
    </row>
    <row r="8" spans="1:27" x14ac:dyDescent="0.25">
      <c r="A8">
        <v>96294</v>
      </c>
      <c r="B8" t="s">
        <v>40</v>
      </c>
      <c r="E8" t="s">
        <v>41</v>
      </c>
      <c r="H8">
        <v>1201</v>
      </c>
      <c r="I8">
        <v>41021</v>
      </c>
      <c r="J8" t="s">
        <v>68</v>
      </c>
      <c r="K8" s="1">
        <v>39379</v>
      </c>
      <c r="L8" s="1">
        <v>39379</v>
      </c>
      <c r="Q8" t="s">
        <v>22</v>
      </c>
      <c r="R8">
        <v>0</v>
      </c>
      <c r="V8">
        <v>442749</v>
      </c>
      <c r="X8" t="s">
        <v>22</v>
      </c>
      <c r="Y8" t="s">
        <v>6</v>
      </c>
      <c r="AA8">
        <v>0</v>
      </c>
    </row>
    <row r="9" spans="1:27" x14ac:dyDescent="0.25">
      <c r="A9">
        <v>96294</v>
      </c>
      <c r="B9">
        <v>96294</v>
      </c>
      <c r="H9">
        <v>1201</v>
      </c>
      <c r="R9" t="s">
        <v>69</v>
      </c>
      <c r="X9" t="s">
        <v>22</v>
      </c>
      <c r="AA9">
        <v>0</v>
      </c>
    </row>
    <row r="10" spans="1:27" x14ac:dyDescent="0.25">
      <c r="A10">
        <v>96294</v>
      </c>
      <c r="B10" t="s">
        <v>40</v>
      </c>
      <c r="E10" t="s">
        <v>41</v>
      </c>
      <c r="H10">
        <v>1201</v>
      </c>
      <c r="I10">
        <v>8001046</v>
      </c>
      <c r="J10" t="s">
        <v>70</v>
      </c>
      <c r="K10" s="1">
        <v>39691</v>
      </c>
      <c r="L10" s="1">
        <v>39691</v>
      </c>
      <c r="N10">
        <v>154192</v>
      </c>
      <c r="O10">
        <v>0.01</v>
      </c>
      <c r="Q10" t="s">
        <v>22</v>
      </c>
      <c r="R10">
        <v>0</v>
      </c>
      <c r="S10">
        <v>0.01</v>
      </c>
      <c r="V10">
        <v>818652</v>
      </c>
      <c r="X10" t="s">
        <v>22</v>
      </c>
      <c r="Y10" t="s">
        <v>6</v>
      </c>
      <c r="AA10">
        <v>0</v>
      </c>
    </row>
    <row r="11" spans="1:27" x14ac:dyDescent="0.25">
      <c r="A11">
        <v>96294</v>
      </c>
      <c r="B11" t="s">
        <v>40</v>
      </c>
      <c r="E11" t="s">
        <v>41</v>
      </c>
      <c r="H11">
        <v>1201</v>
      </c>
      <c r="I11">
        <v>8001046</v>
      </c>
      <c r="J11" t="s">
        <v>70</v>
      </c>
      <c r="K11" s="1">
        <v>39691</v>
      </c>
      <c r="L11" s="1">
        <v>39691</v>
      </c>
      <c r="N11">
        <v>154192</v>
      </c>
      <c r="O11">
        <v>-0.01</v>
      </c>
      <c r="Q11" t="s">
        <v>22</v>
      </c>
      <c r="R11">
        <v>0</v>
      </c>
      <c r="S11">
        <v>-0.01</v>
      </c>
      <c r="V11">
        <v>809876</v>
      </c>
      <c r="X11" t="s">
        <v>22</v>
      </c>
      <c r="Y11" t="s">
        <v>6</v>
      </c>
      <c r="AA11">
        <v>0</v>
      </c>
    </row>
    <row r="12" spans="1:27" x14ac:dyDescent="0.25">
      <c r="A12">
        <v>96294</v>
      </c>
      <c r="B12" t="s">
        <v>40</v>
      </c>
      <c r="E12" t="s">
        <v>41</v>
      </c>
      <c r="H12">
        <v>1201</v>
      </c>
      <c r="I12">
        <v>8001046</v>
      </c>
      <c r="J12" t="s">
        <v>68</v>
      </c>
      <c r="K12" s="1">
        <v>39691</v>
      </c>
      <c r="L12" s="1">
        <v>39691</v>
      </c>
      <c r="N12">
        <v>154192</v>
      </c>
      <c r="R12">
        <v>0</v>
      </c>
      <c r="V12">
        <v>809875</v>
      </c>
      <c r="X12" t="s">
        <v>22</v>
      </c>
      <c r="Y12" t="s">
        <v>6</v>
      </c>
      <c r="AA12">
        <v>0</v>
      </c>
    </row>
    <row r="13" spans="1:27" x14ac:dyDescent="0.25">
      <c r="A13">
        <v>96294</v>
      </c>
      <c r="B13" t="s">
        <v>40</v>
      </c>
      <c r="E13" t="s">
        <v>41</v>
      </c>
      <c r="H13">
        <v>1201</v>
      </c>
      <c r="I13">
        <v>10001131</v>
      </c>
      <c r="J13" t="s">
        <v>70</v>
      </c>
      <c r="K13" s="1">
        <v>40482</v>
      </c>
      <c r="L13" s="1">
        <v>40482</v>
      </c>
      <c r="N13">
        <v>154192</v>
      </c>
      <c r="Q13" t="s">
        <v>22</v>
      </c>
      <c r="R13">
        <v>0</v>
      </c>
      <c r="V13">
        <v>2242021</v>
      </c>
      <c r="X13" t="s">
        <v>22</v>
      </c>
      <c r="Y13" t="s">
        <v>6</v>
      </c>
      <c r="AA13">
        <v>0</v>
      </c>
    </row>
    <row r="14" spans="1:27" x14ac:dyDescent="0.25">
      <c r="A14">
        <v>96294</v>
      </c>
      <c r="B14">
        <v>96294</v>
      </c>
      <c r="H14">
        <v>1201</v>
      </c>
      <c r="N14">
        <v>154192</v>
      </c>
      <c r="R14" t="s">
        <v>69</v>
      </c>
      <c r="X14" t="s">
        <v>22</v>
      </c>
      <c r="AA14">
        <v>0</v>
      </c>
    </row>
    <row r="15" spans="1:27" x14ac:dyDescent="0.25">
      <c r="A15">
        <v>96294</v>
      </c>
      <c r="B15" t="s">
        <v>40</v>
      </c>
      <c r="E15" t="s">
        <v>41</v>
      </c>
      <c r="H15">
        <v>1201</v>
      </c>
      <c r="I15">
        <v>8001090</v>
      </c>
      <c r="J15" t="s">
        <v>70</v>
      </c>
      <c r="K15" s="1">
        <v>39691</v>
      </c>
      <c r="L15" s="1">
        <v>39691</v>
      </c>
      <c r="N15">
        <v>155886</v>
      </c>
      <c r="O15">
        <v>-0.01</v>
      </c>
      <c r="Q15" t="s">
        <v>22</v>
      </c>
      <c r="R15">
        <v>0</v>
      </c>
      <c r="S15">
        <v>-0.01</v>
      </c>
      <c r="V15">
        <v>821071</v>
      </c>
      <c r="X15" t="s">
        <v>22</v>
      </c>
      <c r="Y15" t="s">
        <v>6</v>
      </c>
      <c r="AA15">
        <v>0</v>
      </c>
    </row>
    <row r="16" spans="1:27" x14ac:dyDescent="0.25">
      <c r="A16">
        <v>96294</v>
      </c>
      <c r="B16" t="s">
        <v>40</v>
      </c>
      <c r="E16" t="s">
        <v>41</v>
      </c>
      <c r="H16">
        <v>1201</v>
      </c>
      <c r="I16">
        <v>8001090</v>
      </c>
      <c r="J16" t="s">
        <v>68</v>
      </c>
      <c r="K16" s="1">
        <v>39691</v>
      </c>
      <c r="L16" s="1">
        <v>39691</v>
      </c>
      <c r="N16">
        <v>155886</v>
      </c>
      <c r="R16">
        <v>0</v>
      </c>
      <c r="V16">
        <v>821070</v>
      </c>
      <c r="X16" t="s">
        <v>22</v>
      </c>
      <c r="Y16" t="s">
        <v>6</v>
      </c>
      <c r="AA16">
        <v>0</v>
      </c>
    </row>
    <row r="17" spans="1:27" x14ac:dyDescent="0.25">
      <c r="A17">
        <v>96294</v>
      </c>
      <c r="B17" t="s">
        <v>40</v>
      </c>
      <c r="E17" t="s">
        <v>41</v>
      </c>
      <c r="H17">
        <v>1201</v>
      </c>
      <c r="I17">
        <v>1307</v>
      </c>
      <c r="J17" t="s">
        <v>71</v>
      </c>
      <c r="K17" s="1">
        <v>39910</v>
      </c>
      <c r="L17" s="1">
        <v>39903</v>
      </c>
      <c r="N17">
        <v>155886</v>
      </c>
      <c r="O17">
        <v>0.01</v>
      </c>
      <c r="Q17" t="s">
        <v>22</v>
      </c>
      <c r="R17">
        <v>0</v>
      </c>
      <c r="S17">
        <v>0.01</v>
      </c>
      <c r="V17">
        <v>1089958</v>
      </c>
      <c r="X17" t="s">
        <v>22</v>
      </c>
      <c r="Y17" t="s">
        <v>6</v>
      </c>
      <c r="AA17">
        <v>0</v>
      </c>
    </row>
    <row r="18" spans="1:27" x14ac:dyDescent="0.25">
      <c r="A18">
        <v>96294</v>
      </c>
      <c r="B18">
        <v>96294</v>
      </c>
      <c r="H18">
        <v>1201</v>
      </c>
      <c r="N18">
        <v>155886</v>
      </c>
      <c r="R18" t="s">
        <v>69</v>
      </c>
      <c r="X18" t="s">
        <v>22</v>
      </c>
      <c r="AA18">
        <v>0</v>
      </c>
    </row>
    <row r="19" spans="1:27" x14ac:dyDescent="0.25">
      <c r="A19">
        <v>96294</v>
      </c>
      <c r="B19" t="s">
        <v>40</v>
      </c>
      <c r="E19" t="s">
        <v>41</v>
      </c>
      <c r="H19">
        <v>1201</v>
      </c>
      <c r="I19">
        <v>7013925</v>
      </c>
      <c r="J19" t="s">
        <v>68</v>
      </c>
      <c r="K19" s="1">
        <v>39393</v>
      </c>
      <c r="L19" s="1">
        <v>39393</v>
      </c>
      <c r="M19" t="s">
        <v>23</v>
      </c>
      <c r="N19">
        <v>92909</v>
      </c>
      <c r="R19">
        <v>0</v>
      </c>
      <c r="V19">
        <v>470052</v>
      </c>
      <c r="X19" t="s">
        <v>22</v>
      </c>
      <c r="Y19" t="s">
        <v>6</v>
      </c>
      <c r="AA19">
        <v>0</v>
      </c>
    </row>
    <row r="20" spans="1:27" x14ac:dyDescent="0.25">
      <c r="A20">
        <v>96294</v>
      </c>
      <c r="B20" t="s">
        <v>40</v>
      </c>
      <c r="E20" t="s">
        <v>41</v>
      </c>
      <c r="H20">
        <v>1201</v>
      </c>
      <c r="I20">
        <v>7013925</v>
      </c>
      <c r="J20" t="s">
        <v>72</v>
      </c>
      <c r="K20" s="1">
        <v>39393</v>
      </c>
      <c r="L20" s="1">
        <v>39393</v>
      </c>
      <c r="M20" t="s">
        <v>23</v>
      </c>
      <c r="N20">
        <v>92909</v>
      </c>
      <c r="O20">
        <v>5</v>
      </c>
      <c r="Q20" t="s">
        <v>22</v>
      </c>
      <c r="R20">
        <v>1.98</v>
      </c>
      <c r="S20">
        <v>5</v>
      </c>
      <c r="U20">
        <v>9.9</v>
      </c>
      <c r="V20">
        <v>470053</v>
      </c>
      <c r="X20" t="s">
        <v>22</v>
      </c>
      <c r="Y20" t="s">
        <v>6</v>
      </c>
      <c r="AA20">
        <v>0</v>
      </c>
    </row>
    <row r="21" spans="1:27" x14ac:dyDescent="0.25">
      <c r="A21">
        <v>96294</v>
      </c>
      <c r="B21" t="s">
        <v>40</v>
      </c>
      <c r="E21" t="s">
        <v>41</v>
      </c>
      <c r="H21">
        <v>1201</v>
      </c>
      <c r="I21">
        <v>11956</v>
      </c>
      <c r="J21" t="s">
        <v>73</v>
      </c>
      <c r="K21" s="1">
        <v>39427</v>
      </c>
      <c r="L21" s="1">
        <v>39427</v>
      </c>
      <c r="M21" t="s">
        <v>23</v>
      </c>
      <c r="N21">
        <v>92909</v>
      </c>
      <c r="O21">
        <v>-5</v>
      </c>
      <c r="Q21" t="s">
        <v>22</v>
      </c>
      <c r="R21">
        <v>1.98</v>
      </c>
      <c r="S21">
        <v>-5</v>
      </c>
      <c r="U21">
        <v>-9.9</v>
      </c>
      <c r="V21">
        <v>499211</v>
      </c>
      <c r="X21" t="s">
        <v>22</v>
      </c>
      <c r="Y21" t="s">
        <v>6</v>
      </c>
      <c r="AA21">
        <v>0</v>
      </c>
    </row>
    <row r="22" spans="1:27" x14ac:dyDescent="0.25">
      <c r="A22">
        <v>96294</v>
      </c>
      <c r="B22">
        <v>96294</v>
      </c>
      <c r="H22">
        <v>1201</v>
      </c>
      <c r="M22" t="s">
        <v>23</v>
      </c>
      <c r="N22">
        <v>92909</v>
      </c>
      <c r="R22" t="s">
        <v>69</v>
      </c>
      <c r="X22" t="s">
        <v>22</v>
      </c>
      <c r="AA22">
        <v>0</v>
      </c>
    </row>
    <row r="23" spans="1:27" x14ac:dyDescent="0.25">
      <c r="A23">
        <v>96294</v>
      </c>
      <c r="B23" t="s">
        <v>40</v>
      </c>
      <c r="E23" t="s">
        <v>41</v>
      </c>
      <c r="H23">
        <v>1201</v>
      </c>
      <c r="I23">
        <v>7013925</v>
      </c>
      <c r="J23" t="s">
        <v>68</v>
      </c>
      <c r="K23" s="1">
        <v>39393</v>
      </c>
      <c r="L23" s="1">
        <v>39393</v>
      </c>
      <c r="M23" t="s">
        <v>23</v>
      </c>
      <c r="N23">
        <v>92910</v>
      </c>
      <c r="R23">
        <v>0</v>
      </c>
      <c r="V23">
        <v>470056</v>
      </c>
      <c r="X23" t="s">
        <v>22</v>
      </c>
      <c r="Y23" t="s">
        <v>6</v>
      </c>
      <c r="AA23">
        <v>0</v>
      </c>
    </row>
    <row r="24" spans="1:27" x14ac:dyDescent="0.25">
      <c r="A24">
        <v>96294</v>
      </c>
      <c r="B24" t="s">
        <v>40</v>
      </c>
      <c r="E24" t="s">
        <v>41</v>
      </c>
      <c r="H24">
        <v>1201</v>
      </c>
      <c r="I24">
        <v>7013925</v>
      </c>
      <c r="J24" t="s">
        <v>72</v>
      </c>
      <c r="K24" s="1">
        <v>39393</v>
      </c>
      <c r="L24" s="1">
        <v>39393</v>
      </c>
      <c r="M24" t="s">
        <v>23</v>
      </c>
      <c r="N24">
        <v>92910</v>
      </c>
      <c r="O24">
        <v>20</v>
      </c>
      <c r="Q24" t="s">
        <v>22</v>
      </c>
      <c r="R24">
        <v>1.98</v>
      </c>
      <c r="S24">
        <v>20</v>
      </c>
      <c r="U24">
        <v>39.6</v>
      </c>
      <c r="V24">
        <v>470057</v>
      </c>
      <c r="X24" t="s">
        <v>22</v>
      </c>
      <c r="Y24" t="s">
        <v>6</v>
      </c>
      <c r="AA24">
        <v>0</v>
      </c>
    </row>
    <row r="25" spans="1:27" x14ac:dyDescent="0.25">
      <c r="A25">
        <v>96294</v>
      </c>
      <c r="B25" t="s">
        <v>40</v>
      </c>
      <c r="E25" t="s">
        <v>41</v>
      </c>
      <c r="H25">
        <v>1201</v>
      </c>
      <c r="I25">
        <v>11956</v>
      </c>
      <c r="J25" t="s">
        <v>73</v>
      </c>
      <c r="K25" s="1">
        <v>39427</v>
      </c>
      <c r="L25" s="1">
        <v>39427</v>
      </c>
      <c r="M25" t="s">
        <v>23</v>
      </c>
      <c r="N25">
        <v>92910</v>
      </c>
      <c r="O25">
        <v>-2</v>
      </c>
      <c r="Q25" t="s">
        <v>22</v>
      </c>
      <c r="R25">
        <v>1.98</v>
      </c>
      <c r="S25">
        <v>-2</v>
      </c>
      <c r="U25">
        <v>-3.96</v>
      </c>
      <c r="V25">
        <v>499212</v>
      </c>
      <c r="X25" t="s">
        <v>22</v>
      </c>
      <c r="Y25" t="s">
        <v>6</v>
      </c>
      <c r="AA25">
        <v>0</v>
      </c>
    </row>
    <row r="26" spans="1:27" x14ac:dyDescent="0.25">
      <c r="A26">
        <v>96294</v>
      </c>
      <c r="B26" t="s">
        <v>40</v>
      </c>
      <c r="E26" t="s">
        <v>41</v>
      </c>
      <c r="H26">
        <v>1201</v>
      </c>
      <c r="I26">
        <v>29593</v>
      </c>
      <c r="J26" t="s">
        <v>74</v>
      </c>
      <c r="K26" s="1">
        <v>39510</v>
      </c>
      <c r="L26" s="1">
        <v>39510</v>
      </c>
      <c r="M26" t="s">
        <v>23</v>
      </c>
      <c r="N26">
        <v>92910</v>
      </c>
      <c r="O26">
        <v>-11</v>
      </c>
      <c r="Q26" t="s">
        <v>22</v>
      </c>
      <c r="R26">
        <v>1.98</v>
      </c>
      <c r="S26">
        <v>-11</v>
      </c>
      <c r="U26">
        <v>-21.78</v>
      </c>
      <c r="V26">
        <v>611599</v>
      </c>
      <c r="X26" t="s">
        <v>22</v>
      </c>
      <c r="Y26" t="s">
        <v>6</v>
      </c>
      <c r="AA26">
        <v>0</v>
      </c>
    </row>
    <row r="27" spans="1:27" x14ac:dyDescent="0.25">
      <c r="A27">
        <v>96294</v>
      </c>
      <c r="B27" t="s">
        <v>40</v>
      </c>
      <c r="E27" t="s">
        <v>41</v>
      </c>
      <c r="H27">
        <v>1201</v>
      </c>
      <c r="I27">
        <v>11954</v>
      </c>
      <c r="J27" t="s">
        <v>68</v>
      </c>
      <c r="K27" s="1">
        <v>39426</v>
      </c>
      <c r="L27" s="1">
        <v>44090</v>
      </c>
      <c r="M27" t="s">
        <v>23</v>
      </c>
      <c r="N27">
        <v>92910</v>
      </c>
      <c r="R27">
        <v>0</v>
      </c>
      <c r="V27">
        <v>12627223</v>
      </c>
      <c r="X27" t="s">
        <v>22</v>
      </c>
      <c r="Y27" t="s">
        <v>6</v>
      </c>
      <c r="AA27">
        <v>0</v>
      </c>
    </row>
    <row r="28" spans="1:27" x14ac:dyDescent="0.25">
      <c r="A28">
        <v>96294</v>
      </c>
      <c r="B28" t="s">
        <v>40</v>
      </c>
      <c r="E28" t="s">
        <v>41</v>
      </c>
      <c r="H28">
        <v>1201</v>
      </c>
      <c r="I28">
        <v>11954</v>
      </c>
      <c r="J28" t="s">
        <v>73</v>
      </c>
      <c r="K28" s="1">
        <v>39426</v>
      </c>
      <c r="L28" s="1">
        <v>44090</v>
      </c>
      <c r="M28" t="s">
        <v>23</v>
      </c>
      <c r="N28">
        <v>92910</v>
      </c>
      <c r="O28">
        <v>7</v>
      </c>
      <c r="Q28" t="s">
        <v>22</v>
      </c>
      <c r="R28">
        <v>1.98</v>
      </c>
      <c r="S28">
        <v>7</v>
      </c>
      <c r="U28">
        <v>13.86</v>
      </c>
      <c r="V28">
        <v>12627224</v>
      </c>
      <c r="X28" t="s">
        <v>22</v>
      </c>
      <c r="Y28" t="s">
        <v>6</v>
      </c>
      <c r="AA28">
        <v>0</v>
      </c>
    </row>
    <row r="29" spans="1:27" x14ac:dyDescent="0.25">
      <c r="A29">
        <v>96294</v>
      </c>
      <c r="B29" t="s">
        <v>40</v>
      </c>
      <c r="E29" t="s">
        <v>41</v>
      </c>
      <c r="H29">
        <v>1201</v>
      </c>
      <c r="I29">
        <v>11954</v>
      </c>
      <c r="J29" t="s">
        <v>73</v>
      </c>
      <c r="K29" s="1">
        <v>39426</v>
      </c>
      <c r="L29" s="1">
        <v>44090</v>
      </c>
      <c r="M29" t="s">
        <v>23</v>
      </c>
      <c r="N29">
        <v>92910</v>
      </c>
      <c r="O29">
        <v>-7</v>
      </c>
      <c r="Q29" t="s">
        <v>22</v>
      </c>
      <c r="R29">
        <v>1.98</v>
      </c>
      <c r="S29">
        <v>-7</v>
      </c>
      <c r="U29">
        <v>-13.86</v>
      </c>
      <c r="V29">
        <v>499176</v>
      </c>
      <c r="X29" t="s">
        <v>22</v>
      </c>
      <c r="Y29" t="s">
        <v>6</v>
      </c>
      <c r="AA29">
        <v>0</v>
      </c>
    </row>
    <row r="30" spans="1:27" x14ac:dyDescent="0.25">
      <c r="A30">
        <v>96294</v>
      </c>
      <c r="B30" t="s">
        <v>40</v>
      </c>
      <c r="E30" t="s">
        <v>41</v>
      </c>
      <c r="H30">
        <v>1201</v>
      </c>
      <c r="I30">
        <v>11954</v>
      </c>
      <c r="J30" t="s">
        <v>73</v>
      </c>
      <c r="K30" s="1">
        <v>44200</v>
      </c>
      <c r="L30" s="1">
        <v>44200</v>
      </c>
      <c r="M30" t="s">
        <v>23</v>
      </c>
      <c r="N30">
        <v>92910</v>
      </c>
      <c r="O30">
        <v>-7</v>
      </c>
      <c r="Q30" t="s">
        <v>22</v>
      </c>
      <c r="R30">
        <v>1.98</v>
      </c>
      <c r="S30">
        <v>-7</v>
      </c>
      <c r="U30">
        <v>-13.86</v>
      </c>
      <c r="V30">
        <v>12953271</v>
      </c>
      <c r="X30" t="s">
        <v>22</v>
      </c>
      <c r="Y30" t="s">
        <v>6</v>
      </c>
      <c r="AA30">
        <v>0</v>
      </c>
    </row>
    <row r="31" spans="1:27" x14ac:dyDescent="0.25">
      <c r="A31">
        <v>96294</v>
      </c>
      <c r="B31" t="s">
        <v>40</v>
      </c>
      <c r="E31" t="s">
        <v>41</v>
      </c>
      <c r="H31">
        <v>1201</v>
      </c>
      <c r="I31">
        <v>21001015</v>
      </c>
      <c r="J31" t="s">
        <v>75</v>
      </c>
      <c r="K31" s="1">
        <v>44225</v>
      </c>
      <c r="L31" s="1">
        <v>44225</v>
      </c>
      <c r="M31" t="s">
        <v>23</v>
      </c>
      <c r="N31">
        <v>92910</v>
      </c>
      <c r="O31">
        <v>7</v>
      </c>
      <c r="Q31" t="s">
        <v>22</v>
      </c>
      <c r="R31">
        <v>1.98</v>
      </c>
      <c r="S31">
        <v>7</v>
      </c>
      <c r="U31">
        <v>13.86</v>
      </c>
      <c r="V31">
        <v>12954812</v>
      </c>
      <c r="X31" t="s">
        <v>22</v>
      </c>
      <c r="Y31" t="s">
        <v>6</v>
      </c>
      <c r="AA31">
        <v>0</v>
      </c>
    </row>
    <row r="32" spans="1:27" x14ac:dyDescent="0.25">
      <c r="A32">
        <v>96294</v>
      </c>
      <c r="B32" t="s">
        <v>40</v>
      </c>
      <c r="E32" t="s">
        <v>41</v>
      </c>
      <c r="H32">
        <v>1201</v>
      </c>
      <c r="I32">
        <v>24001119</v>
      </c>
      <c r="J32" t="s">
        <v>75</v>
      </c>
      <c r="K32" s="1">
        <v>45579</v>
      </c>
      <c r="L32" s="1">
        <v>45579</v>
      </c>
      <c r="M32" t="s">
        <v>23</v>
      </c>
      <c r="N32">
        <v>92910</v>
      </c>
      <c r="O32">
        <v>-7</v>
      </c>
      <c r="Q32" t="s">
        <v>22</v>
      </c>
      <c r="R32">
        <v>1.98</v>
      </c>
      <c r="S32">
        <v>-7</v>
      </c>
      <c r="U32">
        <v>-13.86</v>
      </c>
      <c r="V32">
        <v>14730881</v>
      </c>
      <c r="X32" t="s">
        <v>22</v>
      </c>
      <c r="Y32" t="s">
        <v>6</v>
      </c>
      <c r="AA32">
        <v>0</v>
      </c>
    </row>
    <row r="33" spans="1:27" x14ac:dyDescent="0.25">
      <c r="A33">
        <v>96294</v>
      </c>
      <c r="B33">
        <v>96294</v>
      </c>
      <c r="H33">
        <v>1201</v>
      </c>
      <c r="M33" t="s">
        <v>23</v>
      </c>
      <c r="N33">
        <v>92910</v>
      </c>
      <c r="R33" t="s">
        <v>69</v>
      </c>
      <c r="X33" t="s">
        <v>22</v>
      </c>
      <c r="AA33">
        <v>0</v>
      </c>
    </row>
    <row r="34" spans="1:27" x14ac:dyDescent="0.25">
      <c r="A34">
        <v>96294</v>
      </c>
      <c r="B34" t="s">
        <v>40</v>
      </c>
      <c r="E34" t="s">
        <v>41</v>
      </c>
      <c r="H34">
        <v>1201</v>
      </c>
      <c r="I34">
        <v>7013925</v>
      </c>
      <c r="J34" t="s">
        <v>68</v>
      </c>
      <c r="K34" s="1">
        <v>39393</v>
      </c>
      <c r="L34" s="1">
        <v>39393</v>
      </c>
      <c r="M34" t="s">
        <v>23</v>
      </c>
      <c r="N34">
        <v>92911</v>
      </c>
      <c r="R34">
        <v>0</v>
      </c>
      <c r="V34">
        <v>470058</v>
      </c>
      <c r="X34" t="s">
        <v>22</v>
      </c>
      <c r="Y34" t="s">
        <v>6</v>
      </c>
      <c r="AA34">
        <v>0</v>
      </c>
    </row>
    <row r="35" spans="1:27" x14ac:dyDescent="0.25">
      <c r="A35">
        <v>96294</v>
      </c>
      <c r="B35" t="s">
        <v>40</v>
      </c>
      <c r="E35" t="s">
        <v>41</v>
      </c>
      <c r="H35">
        <v>1201</v>
      </c>
      <c r="I35">
        <v>7013925</v>
      </c>
      <c r="J35" t="s">
        <v>72</v>
      </c>
      <c r="K35" s="1">
        <v>39393</v>
      </c>
      <c r="L35" s="1">
        <v>39393</v>
      </c>
      <c r="M35" t="s">
        <v>23</v>
      </c>
      <c r="N35">
        <v>92911</v>
      </c>
      <c r="O35">
        <v>80</v>
      </c>
      <c r="Q35" t="s">
        <v>22</v>
      </c>
      <c r="R35">
        <v>1.98</v>
      </c>
      <c r="S35">
        <v>80</v>
      </c>
      <c r="U35">
        <v>158.4</v>
      </c>
      <c r="V35">
        <v>470059</v>
      </c>
      <c r="X35" t="s">
        <v>22</v>
      </c>
      <c r="Y35" t="s">
        <v>6</v>
      </c>
      <c r="AA35">
        <v>0</v>
      </c>
    </row>
    <row r="36" spans="1:27" x14ac:dyDescent="0.25">
      <c r="A36">
        <v>96294</v>
      </c>
      <c r="B36" t="s">
        <v>40</v>
      </c>
      <c r="E36" t="s">
        <v>41</v>
      </c>
      <c r="H36">
        <v>1201</v>
      </c>
      <c r="I36">
        <v>12149</v>
      </c>
      <c r="J36" t="s">
        <v>73</v>
      </c>
      <c r="K36" s="1">
        <v>39422</v>
      </c>
      <c r="L36" s="1">
        <v>39434</v>
      </c>
      <c r="M36" t="s">
        <v>23</v>
      </c>
      <c r="N36">
        <v>92911</v>
      </c>
      <c r="O36">
        <v>-52</v>
      </c>
      <c r="Q36" t="s">
        <v>22</v>
      </c>
      <c r="R36">
        <v>1.98</v>
      </c>
      <c r="S36">
        <v>-52</v>
      </c>
      <c r="U36">
        <v>-102.96</v>
      </c>
      <c r="V36">
        <v>499148</v>
      </c>
      <c r="X36" t="s">
        <v>22</v>
      </c>
      <c r="Y36" t="s">
        <v>6</v>
      </c>
      <c r="AA36">
        <v>0</v>
      </c>
    </row>
    <row r="37" spans="1:27" x14ac:dyDescent="0.25">
      <c r="A37">
        <v>96294</v>
      </c>
      <c r="B37" t="s">
        <v>40</v>
      </c>
      <c r="E37" t="s">
        <v>41</v>
      </c>
      <c r="H37">
        <v>1201</v>
      </c>
      <c r="I37">
        <v>29593</v>
      </c>
      <c r="J37" t="s">
        <v>74</v>
      </c>
      <c r="K37" s="1">
        <v>39510</v>
      </c>
      <c r="L37" s="1">
        <v>39510</v>
      </c>
      <c r="M37" t="s">
        <v>23</v>
      </c>
      <c r="N37">
        <v>92911</v>
      </c>
      <c r="O37">
        <v>-28</v>
      </c>
      <c r="Q37" t="s">
        <v>22</v>
      </c>
      <c r="R37">
        <v>1.98</v>
      </c>
      <c r="S37">
        <v>-28</v>
      </c>
      <c r="U37">
        <v>-55.44</v>
      </c>
      <c r="V37">
        <v>611598</v>
      </c>
      <c r="X37" t="s">
        <v>22</v>
      </c>
      <c r="Y37" t="s">
        <v>6</v>
      </c>
      <c r="AA37">
        <v>0</v>
      </c>
    </row>
    <row r="38" spans="1:27" x14ac:dyDescent="0.25">
      <c r="A38">
        <v>96294</v>
      </c>
      <c r="B38">
        <v>96294</v>
      </c>
      <c r="H38">
        <v>1201</v>
      </c>
      <c r="M38" t="s">
        <v>23</v>
      </c>
      <c r="N38">
        <v>92911</v>
      </c>
      <c r="R38" t="s">
        <v>69</v>
      </c>
      <c r="X38" t="s">
        <v>22</v>
      </c>
      <c r="AA38">
        <v>0</v>
      </c>
    </row>
    <row r="39" spans="1:27" x14ac:dyDescent="0.25">
      <c r="A39">
        <v>96294</v>
      </c>
      <c r="B39" t="s">
        <v>40</v>
      </c>
      <c r="E39" t="s">
        <v>41</v>
      </c>
      <c r="H39">
        <v>1201</v>
      </c>
      <c r="I39">
        <v>7013925</v>
      </c>
      <c r="J39" t="s">
        <v>68</v>
      </c>
      <c r="K39" s="1">
        <v>39393</v>
      </c>
      <c r="L39" s="1">
        <v>39393</v>
      </c>
      <c r="M39" t="s">
        <v>23</v>
      </c>
      <c r="N39">
        <v>92912</v>
      </c>
      <c r="R39">
        <v>0</v>
      </c>
      <c r="V39">
        <v>470062</v>
      </c>
      <c r="X39" t="s">
        <v>22</v>
      </c>
      <c r="Y39" t="s">
        <v>6</v>
      </c>
      <c r="AA39">
        <v>0</v>
      </c>
    </row>
    <row r="40" spans="1:27" x14ac:dyDescent="0.25">
      <c r="A40">
        <v>96294</v>
      </c>
      <c r="B40" t="s">
        <v>40</v>
      </c>
      <c r="E40" t="s">
        <v>41</v>
      </c>
      <c r="H40">
        <v>1201</v>
      </c>
      <c r="I40">
        <v>7013925</v>
      </c>
      <c r="J40" t="s">
        <v>72</v>
      </c>
      <c r="K40" s="1">
        <v>39393</v>
      </c>
      <c r="L40" s="1">
        <v>39393</v>
      </c>
      <c r="M40" t="s">
        <v>23</v>
      </c>
      <c r="N40">
        <v>92912</v>
      </c>
      <c r="O40">
        <v>41</v>
      </c>
      <c r="Q40" t="s">
        <v>22</v>
      </c>
      <c r="R40">
        <v>1.98</v>
      </c>
      <c r="S40">
        <v>41</v>
      </c>
      <c r="U40">
        <v>81.180000000000007</v>
      </c>
      <c r="V40">
        <v>470063</v>
      </c>
      <c r="X40" t="s">
        <v>22</v>
      </c>
      <c r="Y40" t="s">
        <v>6</v>
      </c>
      <c r="AA40">
        <v>0</v>
      </c>
    </row>
    <row r="41" spans="1:27" x14ac:dyDescent="0.25">
      <c r="A41">
        <v>96294</v>
      </c>
      <c r="B41" t="s">
        <v>40</v>
      </c>
      <c r="E41" t="s">
        <v>41</v>
      </c>
      <c r="H41">
        <v>1201</v>
      </c>
      <c r="I41">
        <v>11956</v>
      </c>
      <c r="J41" t="s">
        <v>73</v>
      </c>
      <c r="K41" s="1">
        <v>39427</v>
      </c>
      <c r="L41" s="1">
        <v>39427</v>
      </c>
      <c r="M41" t="s">
        <v>23</v>
      </c>
      <c r="N41">
        <v>92912</v>
      </c>
      <c r="O41">
        <v>-41</v>
      </c>
      <c r="Q41" t="s">
        <v>22</v>
      </c>
      <c r="R41">
        <v>1.98</v>
      </c>
      <c r="S41">
        <v>-41</v>
      </c>
      <c r="U41">
        <v>-81.180000000000007</v>
      </c>
      <c r="V41">
        <v>499207</v>
      </c>
      <c r="X41" t="s">
        <v>22</v>
      </c>
      <c r="Y41" t="s">
        <v>6</v>
      </c>
      <c r="AA41">
        <v>0</v>
      </c>
    </row>
    <row r="42" spans="1:27" x14ac:dyDescent="0.25">
      <c r="A42">
        <v>96294</v>
      </c>
      <c r="B42">
        <v>96294</v>
      </c>
      <c r="H42">
        <v>1201</v>
      </c>
      <c r="M42" t="s">
        <v>23</v>
      </c>
      <c r="N42">
        <v>92912</v>
      </c>
      <c r="R42" t="s">
        <v>69</v>
      </c>
      <c r="X42" t="s">
        <v>22</v>
      </c>
      <c r="AA42">
        <v>0</v>
      </c>
    </row>
    <row r="43" spans="1:27" x14ac:dyDescent="0.25">
      <c r="A43">
        <v>96294</v>
      </c>
      <c r="B43" t="s">
        <v>40</v>
      </c>
      <c r="E43" t="s">
        <v>41</v>
      </c>
      <c r="H43">
        <v>1201</v>
      </c>
      <c r="J43" t="s">
        <v>76</v>
      </c>
      <c r="R43" t="s">
        <v>77</v>
      </c>
      <c r="S43">
        <v>0</v>
      </c>
      <c r="U43">
        <v>0</v>
      </c>
      <c r="X43" t="s">
        <v>22</v>
      </c>
      <c r="AA43">
        <v>0</v>
      </c>
    </row>
    <row r="44" spans="1:27" x14ac:dyDescent="0.25">
      <c r="A44">
        <v>104198</v>
      </c>
      <c r="B44" t="s">
        <v>25</v>
      </c>
      <c r="E44" t="s">
        <v>27</v>
      </c>
      <c r="H44">
        <v>1201</v>
      </c>
      <c r="I44">
        <v>41021</v>
      </c>
      <c r="J44" t="s">
        <v>68</v>
      </c>
      <c r="K44" s="1">
        <v>39755</v>
      </c>
      <c r="L44" s="1">
        <v>39755</v>
      </c>
      <c r="Q44" t="s">
        <v>24</v>
      </c>
      <c r="R44">
        <v>0</v>
      </c>
      <c r="V44">
        <v>853238</v>
      </c>
      <c r="X44" t="s">
        <v>24</v>
      </c>
      <c r="Y44" t="s">
        <v>6</v>
      </c>
      <c r="AA44">
        <v>0</v>
      </c>
    </row>
    <row r="45" spans="1:27" x14ac:dyDescent="0.25">
      <c r="A45">
        <v>104198</v>
      </c>
      <c r="B45">
        <v>104198</v>
      </c>
      <c r="H45">
        <v>1201</v>
      </c>
      <c r="R45" t="s">
        <v>69</v>
      </c>
      <c r="X45" t="s">
        <v>24</v>
      </c>
      <c r="AA45">
        <v>0</v>
      </c>
    </row>
    <row r="46" spans="1:27" x14ac:dyDescent="0.25">
      <c r="A46">
        <v>104198</v>
      </c>
      <c r="B46" t="s">
        <v>25</v>
      </c>
      <c r="E46" t="s">
        <v>27</v>
      </c>
      <c r="H46">
        <v>1201</v>
      </c>
      <c r="I46">
        <v>12001374</v>
      </c>
      <c r="J46" t="s">
        <v>68</v>
      </c>
      <c r="K46" s="1">
        <v>41177</v>
      </c>
      <c r="L46" s="1">
        <v>41177</v>
      </c>
      <c r="M46" t="s">
        <v>28</v>
      </c>
      <c r="N46">
        <v>189302</v>
      </c>
      <c r="R46">
        <v>0</v>
      </c>
      <c r="V46">
        <v>4294144</v>
      </c>
      <c r="X46" t="s">
        <v>24</v>
      </c>
      <c r="Y46" t="s">
        <v>6</v>
      </c>
      <c r="AA46">
        <v>0</v>
      </c>
    </row>
    <row r="47" spans="1:27" x14ac:dyDescent="0.25">
      <c r="A47">
        <v>104198</v>
      </c>
      <c r="B47" t="s">
        <v>25</v>
      </c>
      <c r="E47" t="s">
        <v>27</v>
      </c>
      <c r="H47">
        <v>1201</v>
      </c>
      <c r="I47">
        <v>12001374</v>
      </c>
      <c r="J47" t="s">
        <v>78</v>
      </c>
      <c r="K47" s="1">
        <v>41177</v>
      </c>
      <c r="L47" s="1">
        <v>41177</v>
      </c>
      <c r="M47" t="s">
        <v>28</v>
      </c>
      <c r="N47">
        <v>189302</v>
      </c>
      <c r="O47">
        <v>189.51</v>
      </c>
      <c r="Q47" t="s">
        <v>24</v>
      </c>
      <c r="R47">
        <v>4</v>
      </c>
      <c r="S47">
        <v>189.51</v>
      </c>
      <c r="U47">
        <v>758.04</v>
      </c>
      <c r="V47">
        <v>4294145</v>
      </c>
      <c r="X47" t="s">
        <v>24</v>
      </c>
      <c r="Y47" t="s">
        <v>6</v>
      </c>
      <c r="AA47">
        <v>0</v>
      </c>
    </row>
    <row r="48" spans="1:27" x14ac:dyDescent="0.25">
      <c r="A48">
        <v>104198</v>
      </c>
      <c r="B48" t="s">
        <v>25</v>
      </c>
      <c r="E48" t="s">
        <v>27</v>
      </c>
      <c r="H48">
        <v>1201</v>
      </c>
      <c r="I48">
        <v>12001374</v>
      </c>
      <c r="J48" t="s">
        <v>78</v>
      </c>
      <c r="K48" s="1">
        <v>41177</v>
      </c>
      <c r="L48" s="1">
        <v>41177</v>
      </c>
      <c r="M48" t="s">
        <v>28</v>
      </c>
      <c r="N48">
        <v>189302</v>
      </c>
      <c r="O48">
        <v>34.979999999999997</v>
      </c>
      <c r="Q48" t="s">
        <v>24</v>
      </c>
      <c r="R48">
        <v>4</v>
      </c>
      <c r="S48">
        <v>34.979999999999997</v>
      </c>
      <c r="U48">
        <v>139.91999999999999</v>
      </c>
      <c r="V48">
        <v>4294498</v>
      </c>
      <c r="X48" t="s">
        <v>24</v>
      </c>
      <c r="Y48" t="s">
        <v>6</v>
      </c>
      <c r="AA48">
        <v>0</v>
      </c>
    </row>
    <row r="49" spans="1:27" x14ac:dyDescent="0.25">
      <c r="A49">
        <v>104198</v>
      </c>
      <c r="B49" t="s">
        <v>25</v>
      </c>
      <c r="E49" t="s">
        <v>27</v>
      </c>
      <c r="H49">
        <v>1201</v>
      </c>
      <c r="I49">
        <v>82882</v>
      </c>
      <c r="J49" t="s">
        <v>73</v>
      </c>
      <c r="K49" s="1">
        <v>41625</v>
      </c>
      <c r="L49" s="1">
        <v>41626</v>
      </c>
      <c r="M49" t="s">
        <v>28</v>
      </c>
      <c r="N49">
        <v>189302</v>
      </c>
      <c r="O49">
        <v>-224.34</v>
      </c>
      <c r="Q49" t="s">
        <v>24</v>
      </c>
      <c r="R49">
        <v>4</v>
      </c>
      <c r="S49">
        <v>-224.34</v>
      </c>
      <c r="U49">
        <v>-897.36</v>
      </c>
      <c r="V49">
        <v>5924299</v>
      </c>
      <c r="X49" t="s">
        <v>24</v>
      </c>
      <c r="Y49" t="s">
        <v>6</v>
      </c>
      <c r="AA49">
        <v>0</v>
      </c>
    </row>
    <row r="50" spans="1:27" x14ac:dyDescent="0.25">
      <c r="A50">
        <v>104198</v>
      </c>
      <c r="B50" t="s">
        <v>25</v>
      </c>
      <c r="E50" t="s">
        <v>27</v>
      </c>
      <c r="H50">
        <v>1201</v>
      </c>
      <c r="I50">
        <v>4219</v>
      </c>
      <c r="J50" t="s">
        <v>75</v>
      </c>
      <c r="K50" s="1">
        <v>41634</v>
      </c>
      <c r="L50" s="1">
        <v>41634</v>
      </c>
      <c r="M50" t="s">
        <v>28</v>
      </c>
      <c r="N50">
        <v>189302</v>
      </c>
      <c r="Q50" t="s">
        <v>24</v>
      </c>
      <c r="R50">
        <v>0</v>
      </c>
      <c r="U50">
        <v>-0.6</v>
      </c>
      <c r="V50">
        <v>5993070</v>
      </c>
      <c r="X50" t="s">
        <v>24</v>
      </c>
      <c r="Y50" t="s">
        <v>6</v>
      </c>
      <c r="AA50">
        <v>0</v>
      </c>
    </row>
    <row r="51" spans="1:27" x14ac:dyDescent="0.25">
      <c r="A51">
        <v>104198</v>
      </c>
      <c r="B51">
        <v>104198</v>
      </c>
      <c r="H51">
        <v>1201</v>
      </c>
      <c r="M51" t="s">
        <v>28</v>
      </c>
      <c r="N51">
        <v>189302</v>
      </c>
      <c r="R51" t="s">
        <v>69</v>
      </c>
      <c r="S51">
        <v>0.15</v>
      </c>
      <c r="X51" t="s">
        <v>24</v>
      </c>
      <c r="AA51">
        <v>1</v>
      </c>
    </row>
    <row r="52" spans="1:27" x14ac:dyDescent="0.25">
      <c r="A52">
        <v>104198</v>
      </c>
      <c r="B52" t="s">
        <v>25</v>
      </c>
      <c r="E52" t="s">
        <v>27</v>
      </c>
      <c r="H52">
        <v>1201</v>
      </c>
      <c r="I52">
        <v>11001092</v>
      </c>
      <c r="J52" t="s">
        <v>68</v>
      </c>
      <c r="K52" s="1">
        <v>40555</v>
      </c>
      <c r="L52" s="1">
        <v>40555</v>
      </c>
      <c r="M52" t="s">
        <v>34</v>
      </c>
      <c r="N52">
        <v>189302</v>
      </c>
      <c r="R52">
        <v>0</v>
      </c>
      <c r="V52">
        <v>2488530</v>
      </c>
      <c r="X52" t="s">
        <v>24</v>
      </c>
      <c r="Y52" t="s">
        <v>6</v>
      </c>
      <c r="AA52">
        <v>0</v>
      </c>
    </row>
    <row r="53" spans="1:27" x14ac:dyDescent="0.25">
      <c r="A53">
        <v>104198</v>
      </c>
      <c r="B53" t="s">
        <v>25</v>
      </c>
      <c r="E53" t="s">
        <v>27</v>
      </c>
      <c r="H53">
        <v>1201</v>
      </c>
      <c r="I53">
        <v>11001092</v>
      </c>
      <c r="J53" t="s">
        <v>78</v>
      </c>
      <c r="K53" s="1">
        <v>40555</v>
      </c>
      <c r="L53" s="1">
        <v>40555</v>
      </c>
      <c r="M53" t="s">
        <v>34</v>
      </c>
      <c r="N53">
        <v>189302</v>
      </c>
      <c r="O53">
        <v>96.77</v>
      </c>
      <c r="Q53" t="s">
        <v>24</v>
      </c>
      <c r="R53">
        <v>4</v>
      </c>
      <c r="S53">
        <v>96.77</v>
      </c>
      <c r="U53">
        <v>387.08</v>
      </c>
      <c r="V53">
        <v>2488531</v>
      </c>
      <c r="X53" t="s">
        <v>24</v>
      </c>
      <c r="Y53" t="s">
        <v>6</v>
      </c>
      <c r="AA53">
        <v>0</v>
      </c>
    </row>
    <row r="54" spans="1:27" x14ac:dyDescent="0.25">
      <c r="A54">
        <v>104198</v>
      </c>
      <c r="B54" t="s">
        <v>25</v>
      </c>
      <c r="E54" t="s">
        <v>27</v>
      </c>
      <c r="H54">
        <v>1201</v>
      </c>
      <c r="I54">
        <v>11001111</v>
      </c>
      <c r="J54" t="s">
        <v>78</v>
      </c>
      <c r="K54" s="1">
        <v>40562</v>
      </c>
      <c r="L54" s="1">
        <v>40562</v>
      </c>
      <c r="M54" t="s">
        <v>34</v>
      </c>
      <c r="N54">
        <v>189302</v>
      </c>
      <c r="O54">
        <v>92.74</v>
      </c>
      <c r="Q54" t="s">
        <v>24</v>
      </c>
      <c r="R54">
        <v>4</v>
      </c>
      <c r="S54">
        <v>92.74</v>
      </c>
      <c r="U54">
        <v>370.96</v>
      </c>
      <c r="V54">
        <v>2507682</v>
      </c>
      <c r="X54" t="s">
        <v>24</v>
      </c>
      <c r="Y54" t="s">
        <v>6</v>
      </c>
      <c r="AA54">
        <v>0</v>
      </c>
    </row>
    <row r="55" spans="1:27" x14ac:dyDescent="0.25">
      <c r="A55">
        <v>104198</v>
      </c>
      <c r="B55" t="s">
        <v>25</v>
      </c>
      <c r="E55" t="s">
        <v>27</v>
      </c>
      <c r="H55">
        <v>1201</v>
      </c>
      <c r="I55">
        <v>12001374</v>
      </c>
      <c r="J55" t="s">
        <v>78</v>
      </c>
      <c r="K55" s="1">
        <v>41177</v>
      </c>
      <c r="L55" s="1">
        <v>41177</v>
      </c>
      <c r="M55" t="s">
        <v>34</v>
      </c>
      <c r="N55">
        <v>189302</v>
      </c>
      <c r="O55">
        <v>-189.51</v>
      </c>
      <c r="Q55" t="s">
        <v>24</v>
      </c>
      <c r="R55">
        <v>4</v>
      </c>
      <c r="S55">
        <v>-189.51</v>
      </c>
      <c r="U55">
        <v>-758.04</v>
      </c>
      <c r="V55">
        <v>4294143</v>
      </c>
      <c r="X55" t="s">
        <v>24</v>
      </c>
      <c r="Y55" t="s">
        <v>6</v>
      </c>
      <c r="AA55">
        <v>0</v>
      </c>
    </row>
    <row r="56" spans="1:27" x14ac:dyDescent="0.25">
      <c r="A56">
        <v>104198</v>
      </c>
      <c r="B56">
        <v>104198</v>
      </c>
      <c r="H56">
        <v>1201</v>
      </c>
      <c r="M56" t="s">
        <v>34</v>
      </c>
      <c r="N56">
        <v>189302</v>
      </c>
      <c r="R56" t="s">
        <v>69</v>
      </c>
      <c r="X56" t="s">
        <v>24</v>
      </c>
      <c r="AA56">
        <v>0</v>
      </c>
    </row>
    <row r="57" spans="1:27" x14ac:dyDescent="0.25">
      <c r="A57">
        <v>104198</v>
      </c>
      <c r="B57" t="s">
        <v>25</v>
      </c>
      <c r="E57" t="s">
        <v>27</v>
      </c>
      <c r="H57">
        <v>1201</v>
      </c>
      <c r="I57">
        <v>11001146</v>
      </c>
      <c r="J57" t="s">
        <v>68</v>
      </c>
      <c r="K57" s="1">
        <v>40569</v>
      </c>
      <c r="L57" s="1">
        <v>40569</v>
      </c>
      <c r="M57" t="s">
        <v>30</v>
      </c>
      <c r="N57">
        <v>189302</v>
      </c>
      <c r="R57">
        <v>0</v>
      </c>
      <c r="V57">
        <v>2536750</v>
      </c>
      <c r="X57" t="s">
        <v>24</v>
      </c>
      <c r="Y57" t="s">
        <v>6</v>
      </c>
      <c r="AA57">
        <v>0</v>
      </c>
    </row>
    <row r="58" spans="1:27" x14ac:dyDescent="0.25">
      <c r="A58">
        <v>104198</v>
      </c>
      <c r="B58" t="s">
        <v>25</v>
      </c>
      <c r="E58" t="s">
        <v>27</v>
      </c>
      <c r="H58">
        <v>1201</v>
      </c>
      <c r="I58">
        <v>11001146</v>
      </c>
      <c r="J58" t="s">
        <v>78</v>
      </c>
      <c r="K58" s="1">
        <v>40569</v>
      </c>
      <c r="L58" s="1">
        <v>40569</v>
      </c>
      <c r="M58" t="s">
        <v>30</v>
      </c>
      <c r="N58">
        <v>189302</v>
      </c>
      <c r="O58">
        <v>15.8</v>
      </c>
      <c r="Q58" t="s">
        <v>26</v>
      </c>
      <c r="R58">
        <v>8.8566000000000003</v>
      </c>
      <c r="S58">
        <v>35.11</v>
      </c>
      <c r="U58">
        <v>139.93</v>
      </c>
      <c r="V58">
        <v>2536751</v>
      </c>
      <c r="X58" t="s">
        <v>24</v>
      </c>
      <c r="Y58" t="s">
        <v>6</v>
      </c>
      <c r="AA58">
        <v>0</v>
      </c>
    </row>
    <row r="59" spans="1:27" x14ac:dyDescent="0.25">
      <c r="A59">
        <v>104198</v>
      </c>
      <c r="B59" t="s">
        <v>25</v>
      </c>
      <c r="E59" t="s">
        <v>27</v>
      </c>
      <c r="H59">
        <v>1201</v>
      </c>
      <c r="I59">
        <v>12001374</v>
      </c>
      <c r="J59" t="s">
        <v>78</v>
      </c>
      <c r="K59" s="1">
        <v>41177</v>
      </c>
      <c r="L59" s="1">
        <v>41177</v>
      </c>
      <c r="M59" t="s">
        <v>30</v>
      </c>
      <c r="N59">
        <v>189302</v>
      </c>
      <c r="O59">
        <v>-34.979999999999997</v>
      </c>
      <c r="Q59" t="s">
        <v>24</v>
      </c>
      <c r="R59">
        <v>4</v>
      </c>
      <c r="S59">
        <v>-34.979999999999997</v>
      </c>
      <c r="U59">
        <v>-139.91999999999999</v>
      </c>
      <c r="V59">
        <v>4294497</v>
      </c>
      <c r="X59" t="s">
        <v>24</v>
      </c>
      <c r="Y59" t="s">
        <v>6</v>
      </c>
      <c r="AA59">
        <v>0</v>
      </c>
    </row>
    <row r="60" spans="1:27" x14ac:dyDescent="0.25">
      <c r="A60">
        <v>104198</v>
      </c>
      <c r="B60" t="s">
        <v>25</v>
      </c>
      <c r="E60" t="s">
        <v>27</v>
      </c>
      <c r="H60">
        <v>1201</v>
      </c>
      <c r="I60">
        <v>4219</v>
      </c>
      <c r="J60" t="s">
        <v>75</v>
      </c>
      <c r="K60" s="1">
        <v>41634</v>
      </c>
      <c r="L60" s="1">
        <v>41634</v>
      </c>
      <c r="M60" t="s">
        <v>30</v>
      </c>
      <c r="N60">
        <v>189302</v>
      </c>
      <c r="Q60" t="s">
        <v>24</v>
      </c>
      <c r="R60">
        <v>0</v>
      </c>
      <c r="U60">
        <v>-0.01</v>
      </c>
      <c r="V60">
        <v>5993069</v>
      </c>
      <c r="X60" t="s">
        <v>24</v>
      </c>
      <c r="Y60" t="s">
        <v>6</v>
      </c>
      <c r="AA60">
        <v>0</v>
      </c>
    </row>
    <row r="61" spans="1:27" x14ac:dyDescent="0.25">
      <c r="A61">
        <v>104198</v>
      </c>
      <c r="B61" t="s">
        <v>25</v>
      </c>
      <c r="E61" t="s">
        <v>27</v>
      </c>
      <c r="H61">
        <v>1201</v>
      </c>
      <c r="I61">
        <v>41021</v>
      </c>
      <c r="J61" t="s">
        <v>68</v>
      </c>
      <c r="K61" s="1">
        <v>45579</v>
      </c>
      <c r="L61" s="1">
        <v>45579</v>
      </c>
      <c r="M61" t="s">
        <v>30</v>
      </c>
      <c r="N61">
        <v>189302</v>
      </c>
      <c r="Q61" t="s">
        <v>24</v>
      </c>
      <c r="R61">
        <v>0</v>
      </c>
      <c r="V61">
        <v>14730911</v>
      </c>
      <c r="X61" t="s">
        <v>24</v>
      </c>
      <c r="Y61" t="s">
        <v>6</v>
      </c>
      <c r="AA61">
        <v>0</v>
      </c>
    </row>
    <row r="62" spans="1:27" x14ac:dyDescent="0.25">
      <c r="A62">
        <v>104198</v>
      </c>
      <c r="B62" t="s">
        <v>25</v>
      </c>
      <c r="E62" t="s">
        <v>27</v>
      </c>
      <c r="H62">
        <v>1201</v>
      </c>
      <c r="I62">
        <v>14042118</v>
      </c>
      <c r="J62" t="s">
        <v>79</v>
      </c>
      <c r="K62" s="1">
        <v>45579</v>
      </c>
      <c r="L62" s="1">
        <v>45579</v>
      </c>
      <c r="M62" t="s">
        <v>30</v>
      </c>
      <c r="N62">
        <v>189302</v>
      </c>
      <c r="O62">
        <v>-0.13</v>
      </c>
      <c r="Q62" t="s">
        <v>24</v>
      </c>
      <c r="R62">
        <v>4</v>
      </c>
      <c r="S62">
        <v>-0.13</v>
      </c>
      <c r="U62">
        <v>-0.52</v>
      </c>
      <c r="V62">
        <v>14730936</v>
      </c>
      <c r="X62" t="s">
        <v>24</v>
      </c>
      <c r="Y62" t="s">
        <v>6</v>
      </c>
      <c r="AA62">
        <v>0</v>
      </c>
    </row>
    <row r="63" spans="1:27" x14ac:dyDescent="0.25">
      <c r="A63">
        <v>104198</v>
      </c>
      <c r="B63">
        <v>104198</v>
      </c>
      <c r="H63">
        <v>1201</v>
      </c>
      <c r="M63" t="s">
        <v>30</v>
      </c>
      <c r="N63">
        <v>189302</v>
      </c>
      <c r="R63" t="s">
        <v>69</v>
      </c>
      <c r="U63">
        <v>-0.52</v>
      </c>
      <c r="X63" t="s">
        <v>24</v>
      </c>
      <c r="AA63">
        <v>1</v>
      </c>
    </row>
    <row r="64" spans="1:27" x14ac:dyDescent="0.25">
      <c r="A64">
        <v>104198</v>
      </c>
      <c r="B64" t="s">
        <v>25</v>
      </c>
      <c r="E64" t="s">
        <v>27</v>
      </c>
      <c r="H64">
        <v>1201</v>
      </c>
      <c r="I64">
        <v>9001618</v>
      </c>
      <c r="J64" t="s">
        <v>68</v>
      </c>
      <c r="K64" s="1">
        <v>40095</v>
      </c>
      <c r="L64" s="1">
        <v>40095</v>
      </c>
      <c r="M64" t="s">
        <v>80</v>
      </c>
      <c r="N64">
        <v>189302</v>
      </c>
      <c r="R64">
        <v>0</v>
      </c>
      <c r="V64">
        <v>1363971</v>
      </c>
      <c r="X64" t="s">
        <v>24</v>
      </c>
      <c r="Y64" t="s">
        <v>6</v>
      </c>
      <c r="AA64">
        <v>0</v>
      </c>
    </row>
    <row r="65" spans="1:27" x14ac:dyDescent="0.25">
      <c r="A65">
        <v>104198</v>
      </c>
      <c r="B65" t="s">
        <v>25</v>
      </c>
      <c r="E65" t="s">
        <v>27</v>
      </c>
      <c r="H65">
        <v>1201</v>
      </c>
      <c r="I65">
        <v>9001618</v>
      </c>
      <c r="J65" t="s">
        <v>78</v>
      </c>
      <c r="K65" s="1">
        <v>40095</v>
      </c>
      <c r="L65" s="1">
        <v>40095</v>
      </c>
      <c r="M65" t="s">
        <v>80</v>
      </c>
      <c r="N65">
        <v>189302</v>
      </c>
      <c r="O65">
        <v>189.5</v>
      </c>
      <c r="Q65" t="s">
        <v>24</v>
      </c>
      <c r="R65">
        <v>4</v>
      </c>
      <c r="S65">
        <v>189.5</v>
      </c>
      <c r="U65">
        <v>758</v>
      </c>
      <c r="V65">
        <v>1363972</v>
      </c>
      <c r="X65" t="s">
        <v>24</v>
      </c>
      <c r="Y65" t="s">
        <v>6</v>
      </c>
      <c r="AA65">
        <v>0</v>
      </c>
    </row>
    <row r="66" spans="1:27" x14ac:dyDescent="0.25">
      <c r="A66">
        <v>104198</v>
      </c>
      <c r="B66" t="s">
        <v>25</v>
      </c>
      <c r="E66" t="s">
        <v>27</v>
      </c>
      <c r="H66">
        <v>1201</v>
      </c>
      <c r="I66">
        <v>41111</v>
      </c>
      <c r="J66" t="s">
        <v>73</v>
      </c>
      <c r="K66" s="1">
        <v>40402</v>
      </c>
      <c r="L66" s="1">
        <v>40402</v>
      </c>
      <c r="M66" t="s">
        <v>80</v>
      </c>
      <c r="N66">
        <v>189302</v>
      </c>
      <c r="O66">
        <v>-49.39</v>
      </c>
      <c r="Q66" t="s">
        <v>24</v>
      </c>
      <c r="R66">
        <v>4</v>
      </c>
      <c r="S66">
        <v>-49.39</v>
      </c>
      <c r="U66">
        <v>-197.56</v>
      </c>
      <c r="V66">
        <v>2042832</v>
      </c>
      <c r="X66" t="s">
        <v>24</v>
      </c>
      <c r="Y66" t="s">
        <v>6</v>
      </c>
      <c r="AA66">
        <v>0</v>
      </c>
    </row>
    <row r="67" spans="1:27" x14ac:dyDescent="0.25">
      <c r="A67">
        <v>104198</v>
      </c>
      <c r="B67" t="s">
        <v>25</v>
      </c>
      <c r="E67" t="s">
        <v>27</v>
      </c>
      <c r="H67">
        <v>1201</v>
      </c>
      <c r="I67">
        <v>41149</v>
      </c>
      <c r="J67" t="s">
        <v>73</v>
      </c>
      <c r="K67" s="1">
        <v>40402</v>
      </c>
      <c r="L67" s="1">
        <v>40403</v>
      </c>
      <c r="M67" t="s">
        <v>80</v>
      </c>
      <c r="N67">
        <v>189302</v>
      </c>
      <c r="O67">
        <v>-43.34</v>
      </c>
      <c r="Q67" t="s">
        <v>24</v>
      </c>
      <c r="R67">
        <v>4</v>
      </c>
      <c r="S67">
        <v>-43.34</v>
      </c>
      <c r="U67">
        <v>-173.36</v>
      </c>
      <c r="V67">
        <v>2042829</v>
      </c>
      <c r="X67" t="s">
        <v>24</v>
      </c>
      <c r="Y67" t="s">
        <v>6</v>
      </c>
      <c r="AA67">
        <v>0</v>
      </c>
    </row>
    <row r="68" spans="1:27" x14ac:dyDescent="0.25">
      <c r="A68">
        <v>104198</v>
      </c>
      <c r="B68" t="s">
        <v>25</v>
      </c>
      <c r="E68" t="s">
        <v>27</v>
      </c>
      <c r="H68">
        <v>1201</v>
      </c>
      <c r="I68">
        <v>11001092</v>
      </c>
      <c r="J68" t="s">
        <v>78</v>
      </c>
      <c r="K68" s="1">
        <v>40555</v>
      </c>
      <c r="L68" s="1">
        <v>40555</v>
      </c>
      <c r="M68" t="s">
        <v>80</v>
      </c>
      <c r="N68">
        <v>189302</v>
      </c>
      <c r="O68">
        <v>-96.77</v>
      </c>
      <c r="Q68" t="s">
        <v>24</v>
      </c>
      <c r="R68">
        <v>4</v>
      </c>
      <c r="S68">
        <v>-96.77</v>
      </c>
      <c r="U68">
        <v>-387.08</v>
      </c>
      <c r="V68">
        <v>2488529</v>
      </c>
      <c r="X68" t="s">
        <v>24</v>
      </c>
      <c r="Y68" t="s">
        <v>6</v>
      </c>
      <c r="AA68">
        <v>0</v>
      </c>
    </row>
    <row r="69" spans="1:27" x14ac:dyDescent="0.25">
      <c r="A69">
        <v>104198</v>
      </c>
      <c r="B69">
        <v>104198</v>
      </c>
      <c r="H69">
        <v>1201</v>
      </c>
      <c r="M69" t="s">
        <v>80</v>
      </c>
      <c r="N69">
        <v>189302</v>
      </c>
      <c r="R69" t="s">
        <v>69</v>
      </c>
      <c r="X69" t="s">
        <v>24</v>
      </c>
      <c r="AA69">
        <v>0</v>
      </c>
    </row>
    <row r="70" spans="1:27" x14ac:dyDescent="0.25">
      <c r="A70">
        <v>104198</v>
      </c>
      <c r="B70" t="s">
        <v>25</v>
      </c>
      <c r="E70" t="s">
        <v>27</v>
      </c>
      <c r="H70">
        <v>1201</v>
      </c>
      <c r="I70">
        <v>9001937</v>
      </c>
      <c r="J70" t="s">
        <v>68</v>
      </c>
      <c r="K70" s="1">
        <v>39840</v>
      </c>
      <c r="L70" s="1">
        <v>39840</v>
      </c>
      <c r="M70" t="s">
        <v>81</v>
      </c>
      <c r="N70">
        <v>188297</v>
      </c>
      <c r="R70">
        <v>0</v>
      </c>
      <c r="V70">
        <v>982680</v>
      </c>
      <c r="X70" t="s">
        <v>24</v>
      </c>
      <c r="Y70" t="s">
        <v>6</v>
      </c>
      <c r="AA70">
        <v>0</v>
      </c>
    </row>
    <row r="71" spans="1:27" x14ac:dyDescent="0.25">
      <c r="A71">
        <v>104198</v>
      </c>
      <c r="B71" t="s">
        <v>25</v>
      </c>
      <c r="E71" t="s">
        <v>27</v>
      </c>
      <c r="H71">
        <v>1201</v>
      </c>
      <c r="I71">
        <v>9001937</v>
      </c>
      <c r="J71" t="s">
        <v>72</v>
      </c>
      <c r="K71" s="1">
        <v>39840</v>
      </c>
      <c r="L71" s="1">
        <v>39840</v>
      </c>
      <c r="M71" t="s">
        <v>81</v>
      </c>
      <c r="N71">
        <v>188297</v>
      </c>
      <c r="O71">
        <v>1209.4000000000001</v>
      </c>
      <c r="Q71" t="s">
        <v>24</v>
      </c>
      <c r="R71">
        <v>4</v>
      </c>
      <c r="S71">
        <v>1209.4000000000001</v>
      </c>
      <c r="U71">
        <v>4837.6000000000004</v>
      </c>
      <c r="V71">
        <v>982681</v>
      </c>
      <c r="X71" t="s">
        <v>24</v>
      </c>
      <c r="Y71" t="s">
        <v>6</v>
      </c>
      <c r="AA71">
        <v>0</v>
      </c>
    </row>
    <row r="72" spans="1:27" x14ac:dyDescent="0.25">
      <c r="A72">
        <v>104198</v>
      </c>
      <c r="B72" t="s">
        <v>25</v>
      </c>
      <c r="E72" t="s">
        <v>27</v>
      </c>
      <c r="H72">
        <v>1201</v>
      </c>
      <c r="I72">
        <v>24810</v>
      </c>
      <c r="J72" t="s">
        <v>73</v>
      </c>
      <c r="K72" s="1">
        <v>39840</v>
      </c>
      <c r="L72" s="1">
        <v>39841</v>
      </c>
      <c r="M72" t="s">
        <v>81</v>
      </c>
      <c r="N72">
        <v>188297</v>
      </c>
      <c r="O72">
        <v>-309.5</v>
      </c>
      <c r="Q72" t="s">
        <v>24</v>
      </c>
      <c r="R72">
        <v>4</v>
      </c>
      <c r="S72">
        <v>-309.5</v>
      </c>
      <c r="U72">
        <v>-1238</v>
      </c>
      <c r="V72">
        <v>984120</v>
      </c>
      <c r="X72" t="s">
        <v>24</v>
      </c>
      <c r="Y72" t="s">
        <v>6</v>
      </c>
      <c r="AA72">
        <v>0</v>
      </c>
    </row>
    <row r="73" spans="1:27" x14ac:dyDescent="0.25">
      <c r="A73">
        <v>104198</v>
      </c>
      <c r="B73" t="s">
        <v>25</v>
      </c>
      <c r="E73" t="s">
        <v>27</v>
      </c>
      <c r="H73">
        <v>1201</v>
      </c>
      <c r="I73">
        <v>9002055</v>
      </c>
      <c r="J73" t="s">
        <v>72</v>
      </c>
      <c r="K73" s="1">
        <v>39842</v>
      </c>
      <c r="L73" s="1">
        <v>39842</v>
      </c>
      <c r="M73" t="s">
        <v>81</v>
      </c>
      <c r="N73">
        <v>188297</v>
      </c>
      <c r="O73">
        <v>-1209.4000000000001</v>
      </c>
      <c r="Q73" t="s">
        <v>24</v>
      </c>
      <c r="R73">
        <v>4</v>
      </c>
      <c r="S73">
        <v>-1209.4000000000001</v>
      </c>
      <c r="U73">
        <v>-4837.6000000000004</v>
      </c>
      <c r="V73">
        <v>987270</v>
      </c>
      <c r="X73" t="s">
        <v>24</v>
      </c>
      <c r="Y73" t="s">
        <v>6</v>
      </c>
      <c r="AA73">
        <v>0</v>
      </c>
    </row>
    <row r="74" spans="1:27" x14ac:dyDescent="0.25">
      <c r="A74">
        <v>104198</v>
      </c>
      <c r="B74" t="s">
        <v>25</v>
      </c>
      <c r="E74" t="s">
        <v>27</v>
      </c>
      <c r="H74">
        <v>1201</v>
      </c>
      <c r="I74">
        <v>1329</v>
      </c>
      <c r="J74" t="s">
        <v>71</v>
      </c>
      <c r="K74" s="1">
        <v>39910</v>
      </c>
      <c r="L74" s="1">
        <v>39903</v>
      </c>
      <c r="M74" t="s">
        <v>81</v>
      </c>
      <c r="N74">
        <v>188297</v>
      </c>
      <c r="O74">
        <v>309.5</v>
      </c>
      <c r="Q74" t="s">
        <v>24</v>
      </c>
      <c r="R74">
        <v>4</v>
      </c>
      <c r="S74">
        <v>309.5</v>
      </c>
      <c r="U74">
        <v>1238</v>
      </c>
      <c r="V74">
        <v>1091369</v>
      </c>
      <c r="X74" t="s">
        <v>24</v>
      </c>
      <c r="Y74" t="s">
        <v>6</v>
      </c>
      <c r="AA74">
        <v>0</v>
      </c>
    </row>
    <row r="75" spans="1:27" x14ac:dyDescent="0.25">
      <c r="A75">
        <v>104198</v>
      </c>
      <c r="B75">
        <v>104198</v>
      </c>
      <c r="H75">
        <v>1201</v>
      </c>
      <c r="M75" t="s">
        <v>81</v>
      </c>
      <c r="N75">
        <v>188297</v>
      </c>
      <c r="R75" t="s">
        <v>69</v>
      </c>
      <c r="X75" t="s">
        <v>24</v>
      </c>
      <c r="AA75">
        <v>0</v>
      </c>
    </row>
    <row r="76" spans="1:27" x14ac:dyDescent="0.25">
      <c r="A76">
        <v>104198</v>
      </c>
      <c r="B76" t="s">
        <v>25</v>
      </c>
      <c r="E76" t="s">
        <v>27</v>
      </c>
      <c r="H76">
        <v>1201</v>
      </c>
      <c r="I76">
        <v>9002056</v>
      </c>
      <c r="J76" t="s">
        <v>68</v>
      </c>
      <c r="K76" s="1">
        <v>39835</v>
      </c>
      <c r="L76" s="1">
        <v>39835</v>
      </c>
      <c r="M76" t="s">
        <v>29</v>
      </c>
      <c r="N76">
        <v>189302</v>
      </c>
      <c r="R76">
        <v>0</v>
      </c>
      <c r="V76">
        <v>987295</v>
      </c>
      <c r="X76" t="s">
        <v>24</v>
      </c>
      <c r="Y76" t="s">
        <v>6</v>
      </c>
      <c r="AA76">
        <v>0</v>
      </c>
    </row>
    <row r="77" spans="1:27" x14ac:dyDescent="0.25">
      <c r="A77">
        <v>104198</v>
      </c>
      <c r="B77" t="s">
        <v>25</v>
      </c>
      <c r="E77" t="s">
        <v>27</v>
      </c>
      <c r="H77">
        <v>1201</v>
      </c>
      <c r="I77">
        <v>9002056</v>
      </c>
      <c r="J77" t="s">
        <v>72</v>
      </c>
      <c r="K77" s="1">
        <v>39835</v>
      </c>
      <c r="L77" s="1">
        <v>39835</v>
      </c>
      <c r="M77" t="s">
        <v>29</v>
      </c>
      <c r="N77">
        <v>189302</v>
      </c>
      <c r="O77">
        <v>1209.4000000000001</v>
      </c>
      <c r="Q77" t="s">
        <v>24</v>
      </c>
      <c r="R77">
        <v>4</v>
      </c>
      <c r="S77">
        <v>1209.4000000000001</v>
      </c>
      <c r="U77">
        <v>4837.6000000000004</v>
      </c>
      <c r="V77">
        <v>987296</v>
      </c>
      <c r="X77" t="s">
        <v>24</v>
      </c>
      <c r="Y77" t="s">
        <v>6</v>
      </c>
      <c r="AA77">
        <v>0</v>
      </c>
    </row>
    <row r="78" spans="1:27" x14ac:dyDescent="0.25">
      <c r="A78">
        <v>104198</v>
      </c>
      <c r="B78" t="s">
        <v>25</v>
      </c>
      <c r="E78" t="s">
        <v>27</v>
      </c>
      <c r="H78">
        <v>1201</v>
      </c>
      <c r="I78">
        <v>24810</v>
      </c>
      <c r="J78" t="s">
        <v>73</v>
      </c>
      <c r="K78" s="1">
        <v>39841</v>
      </c>
      <c r="L78" s="1">
        <v>39841</v>
      </c>
      <c r="M78" t="s">
        <v>29</v>
      </c>
      <c r="N78">
        <v>189302</v>
      </c>
      <c r="O78">
        <v>-676.2</v>
      </c>
      <c r="Q78" t="s">
        <v>24</v>
      </c>
      <c r="R78">
        <v>4</v>
      </c>
      <c r="S78">
        <v>-676.2</v>
      </c>
      <c r="U78">
        <v>-2704.8</v>
      </c>
      <c r="V78">
        <v>990511</v>
      </c>
      <c r="X78" t="s">
        <v>24</v>
      </c>
      <c r="Y78" t="s">
        <v>6</v>
      </c>
      <c r="AA78">
        <v>0</v>
      </c>
    </row>
    <row r="79" spans="1:27" x14ac:dyDescent="0.25">
      <c r="A79">
        <v>104198</v>
      </c>
      <c r="B79" t="s">
        <v>25</v>
      </c>
      <c r="E79" t="s">
        <v>27</v>
      </c>
      <c r="H79">
        <v>1201</v>
      </c>
      <c r="I79">
        <v>24519</v>
      </c>
      <c r="J79" t="s">
        <v>73</v>
      </c>
      <c r="K79" s="1">
        <v>39841</v>
      </c>
      <c r="L79" s="1">
        <v>39841</v>
      </c>
      <c r="M79" t="s">
        <v>29</v>
      </c>
      <c r="N79">
        <v>189302</v>
      </c>
      <c r="O79">
        <v>-34.200000000000003</v>
      </c>
      <c r="Q79" t="s">
        <v>24</v>
      </c>
      <c r="R79">
        <v>4</v>
      </c>
      <c r="S79">
        <v>-34.200000000000003</v>
      </c>
      <c r="U79">
        <v>-136.80000000000001</v>
      </c>
      <c r="V79">
        <v>990654</v>
      </c>
      <c r="X79" t="s">
        <v>24</v>
      </c>
      <c r="Y79" t="s">
        <v>6</v>
      </c>
      <c r="AA79">
        <v>0</v>
      </c>
    </row>
    <row r="80" spans="1:27" x14ac:dyDescent="0.25">
      <c r="A80">
        <v>104198</v>
      </c>
      <c r="B80" t="s">
        <v>25</v>
      </c>
      <c r="E80" t="s">
        <v>27</v>
      </c>
      <c r="H80">
        <v>1201</v>
      </c>
      <c r="I80">
        <v>1329</v>
      </c>
      <c r="J80" t="s">
        <v>71</v>
      </c>
      <c r="K80" s="1">
        <v>39910</v>
      </c>
      <c r="L80" s="1">
        <v>39903</v>
      </c>
      <c r="M80" t="s">
        <v>29</v>
      </c>
      <c r="N80">
        <v>189302</v>
      </c>
      <c r="O80">
        <v>-309.5</v>
      </c>
      <c r="Q80" t="s">
        <v>24</v>
      </c>
      <c r="R80">
        <v>4</v>
      </c>
      <c r="S80">
        <v>-309.5</v>
      </c>
      <c r="U80">
        <v>-1238</v>
      </c>
      <c r="V80">
        <v>1091370</v>
      </c>
      <c r="X80" t="s">
        <v>24</v>
      </c>
      <c r="Y80" t="s">
        <v>6</v>
      </c>
      <c r="AA80">
        <v>0</v>
      </c>
    </row>
    <row r="81" spans="1:27" x14ac:dyDescent="0.25">
      <c r="A81">
        <v>104198</v>
      </c>
      <c r="B81" t="s">
        <v>25</v>
      </c>
      <c r="E81" t="s">
        <v>27</v>
      </c>
      <c r="H81">
        <v>1201</v>
      </c>
      <c r="I81">
        <v>9001618</v>
      </c>
      <c r="J81" t="s">
        <v>78</v>
      </c>
      <c r="K81" s="1">
        <v>40095</v>
      </c>
      <c r="L81" s="1">
        <v>40095</v>
      </c>
      <c r="M81" t="s">
        <v>29</v>
      </c>
      <c r="N81">
        <v>189302</v>
      </c>
      <c r="O81">
        <v>-189.5</v>
      </c>
      <c r="Q81" t="s">
        <v>24</v>
      </c>
      <c r="R81">
        <v>4</v>
      </c>
      <c r="S81">
        <v>-189.5</v>
      </c>
      <c r="U81">
        <v>-758</v>
      </c>
      <c r="V81">
        <v>1363970</v>
      </c>
      <c r="X81" t="s">
        <v>24</v>
      </c>
      <c r="Y81" t="s">
        <v>6</v>
      </c>
      <c r="AA81">
        <v>0</v>
      </c>
    </row>
    <row r="82" spans="1:27" x14ac:dyDescent="0.25">
      <c r="A82">
        <v>104198</v>
      </c>
      <c r="B82" t="s">
        <v>25</v>
      </c>
      <c r="E82" t="s">
        <v>27</v>
      </c>
      <c r="H82">
        <v>1201</v>
      </c>
      <c r="I82">
        <v>24810</v>
      </c>
      <c r="J82" t="s">
        <v>73</v>
      </c>
      <c r="K82" s="1">
        <v>40562</v>
      </c>
      <c r="L82" s="1">
        <v>40562</v>
      </c>
      <c r="M82" t="s">
        <v>29</v>
      </c>
      <c r="N82">
        <v>189302</v>
      </c>
      <c r="O82">
        <v>92.74</v>
      </c>
      <c r="Q82" t="s">
        <v>24</v>
      </c>
      <c r="R82">
        <v>4</v>
      </c>
      <c r="S82">
        <v>92.74</v>
      </c>
      <c r="U82">
        <v>370.96</v>
      </c>
      <c r="V82">
        <v>2507665</v>
      </c>
      <c r="X82" t="s">
        <v>24</v>
      </c>
      <c r="Y82" t="s">
        <v>6</v>
      </c>
      <c r="AA82">
        <v>0</v>
      </c>
    </row>
    <row r="83" spans="1:27" x14ac:dyDescent="0.25">
      <c r="A83">
        <v>104198</v>
      </c>
      <c r="B83" t="s">
        <v>25</v>
      </c>
      <c r="E83" t="s">
        <v>27</v>
      </c>
      <c r="H83">
        <v>1201</v>
      </c>
      <c r="I83">
        <v>11001111</v>
      </c>
      <c r="J83" t="s">
        <v>78</v>
      </c>
      <c r="K83" s="1">
        <v>40562</v>
      </c>
      <c r="L83" s="1">
        <v>40562</v>
      </c>
      <c r="M83" t="s">
        <v>29</v>
      </c>
      <c r="N83">
        <v>189302</v>
      </c>
      <c r="O83">
        <v>-92.74</v>
      </c>
      <c r="Q83" t="s">
        <v>24</v>
      </c>
      <c r="R83">
        <v>4</v>
      </c>
      <c r="S83">
        <v>-92.74</v>
      </c>
      <c r="U83">
        <v>-370.96</v>
      </c>
      <c r="V83">
        <v>2507681</v>
      </c>
      <c r="X83" t="s">
        <v>24</v>
      </c>
      <c r="Y83" t="s">
        <v>6</v>
      </c>
      <c r="AA83">
        <v>0</v>
      </c>
    </row>
    <row r="84" spans="1:27" x14ac:dyDescent="0.25">
      <c r="A84">
        <v>104198</v>
      </c>
      <c r="B84" t="s">
        <v>25</v>
      </c>
      <c r="E84" t="s">
        <v>27</v>
      </c>
      <c r="H84">
        <v>1201</v>
      </c>
      <c r="I84">
        <v>24810</v>
      </c>
      <c r="J84" t="s">
        <v>73</v>
      </c>
      <c r="K84" s="1">
        <v>40569</v>
      </c>
      <c r="L84" s="1">
        <v>40569</v>
      </c>
      <c r="M84" t="s">
        <v>29</v>
      </c>
      <c r="N84">
        <v>189302</v>
      </c>
      <c r="O84">
        <v>34.979999999999997</v>
      </c>
      <c r="Q84" t="s">
        <v>24</v>
      </c>
      <c r="R84">
        <v>4</v>
      </c>
      <c r="S84">
        <v>34.979999999999997</v>
      </c>
      <c r="U84">
        <v>139.93</v>
      </c>
      <c r="V84">
        <v>2536739</v>
      </c>
      <c r="X84" t="s">
        <v>24</v>
      </c>
      <c r="Y84" t="s">
        <v>6</v>
      </c>
      <c r="AA84">
        <v>0</v>
      </c>
    </row>
    <row r="85" spans="1:27" x14ac:dyDescent="0.25">
      <c r="A85">
        <v>104198</v>
      </c>
      <c r="B85" t="s">
        <v>25</v>
      </c>
      <c r="E85" t="s">
        <v>27</v>
      </c>
      <c r="H85">
        <v>1201</v>
      </c>
      <c r="I85">
        <v>11001146</v>
      </c>
      <c r="J85" t="s">
        <v>78</v>
      </c>
      <c r="K85" s="1">
        <v>40569</v>
      </c>
      <c r="L85" s="1">
        <v>40569</v>
      </c>
      <c r="M85" t="s">
        <v>29</v>
      </c>
      <c r="N85">
        <v>189302</v>
      </c>
      <c r="O85">
        <v>-15.8</v>
      </c>
      <c r="Q85" t="s">
        <v>26</v>
      </c>
      <c r="R85">
        <v>8.8566000000000003</v>
      </c>
      <c r="S85">
        <v>-35.11</v>
      </c>
      <c r="U85">
        <v>-139.93</v>
      </c>
      <c r="V85">
        <v>2536749</v>
      </c>
      <c r="X85" t="s">
        <v>24</v>
      </c>
      <c r="Y85" t="s">
        <v>6</v>
      </c>
      <c r="AA85">
        <v>0</v>
      </c>
    </row>
    <row r="86" spans="1:27" x14ac:dyDescent="0.25">
      <c r="A86">
        <v>104198</v>
      </c>
      <c r="B86" t="s">
        <v>25</v>
      </c>
      <c r="E86" t="s">
        <v>27</v>
      </c>
      <c r="H86">
        <v>1201</v>
      </c>
      <c r="I86">
        <v>14042118</v>
      </c>
      <c r="J86" t="s">
        <v>79</v>
      </c>
      <c r="K86" s="1">
        <v>45579</v>
      </c>
      <c r="L86" s="1">
        <v>45579</v>
      </c>
      <c r="M86" t="s">
        <v>29</v>
      </c>
      <c r="N86">
        <v>189302</v>
      </c>
      <c r="O86">
        <v>0.13</v>
      </c>
      <c r="Q86" t="s">
        <v>24</v>
      </c>
      <c r="R86">
        <v>4</v>
      </c>
      <c r="S86">
        <v>0.13</v>
      </c>
      <c r="U86">
        <v>0.52</v>
      </c>
      <c r="V86">
        <v>14730937</v>
      </c>
      <c r="X86" t="s">
        <v>24</v>
      </c>
      <c r="Y86" t="s">
        <v>6</v>
      </c>
      <c r="AA86">
        <v>0</v>
      </c>
    </row>
    <row r="87" spans="1:27" x14ac:dyDescent="0.25">
      <c r="A87">
        <v>104198</v>
      </c>
      <c r="B87">
        <v>104198</v>
      </c>
      <c r="H87">
        <v>1201</v>
      </c>
      <c r="M87" t="s">
        <v>29</v>
      </c>
      <c r="N87">
        <v>189302</v>
      </c>
      <c r="R87" t="s">
        <v>69</v>
      </c>
      <c r="U87">
        <v>0.52</v>
      </c>
      <c r="X87" t="s">
        <v>24</v>
      </c>
      <c r="AA87">
        <v>1</v>
      </c>
    </row>
    <row r="88" spans="1:27" x14ac:dyDescent="0.25">
      <c r="A88">
        <v>104198</v>
      </c>
      <c r="B88" t="s">
        <v>25</v>
      </c>
      <c r="E88" t="s">
        <v>27</v>
      </c>
      <c r="H88">
        <v>1201</v>
      </c>
      <c r="J88" t="s">
        <v>76</v>
      </c>
      <c r="R88" t="s">
        <v>77</v>
      </c>
      <c r="S88">
        <v>0.15</v>
      </c>
      <c r="U88">
        <v>0</v>
      </c>
      <c r="X88" t="s">
        <v>24</v>
      </c>
      <c r="AA88">
        <v>0</v>
      </c>
    </row>
    <row r="89" spans="1:27" x14ac:dyDescent="0.25">
      <c r="A89">
        <v>104203</v>
      </c>
      <c r="B89" t="s">
        <v>42</v>
      </c>
      <c r="E89" t="s">
        <v>43</v>
      </c>
      <c r="H89">
        <v>1201</v>
      </c>
      <c r="I89">
        <v>41021</v>
      </c>
      <c r="J89" t="s">
        <v>68</v>
      </c>
      <c r="K89" s="1">
        <v>39755</v>
      </c>
      <c r="L89" s="1">
        <v>39755</v>
      </c>
      <c r="Q89" t="s">
        <v>24</v>
      </c>
      <c r="R89">
        <v>0</v>
      </c>
      <c r="V89">
        <v>853244</v>
      </c>
      <c r="X89" t="s">
        <v>24</v>
      </c>
      <c r="Y89" t="s">
        <v>6</v>
      </c>
      <c r="AA89">
        <v>0</v>
      </c>
    </row>
    <row r="90" spans="1:27" x14ac:dyDescent="0.25">
      <c r="A90">
        <v>104203</v>
      </c>
      <c r="B90">
        <v>104203</v>
      </c>
      <c r="H90">
        <v>1201</v>
      </c>
      <c r="R90" t="s">
        <v>69</v>
      </c>
      <c r="X90" t="s">
        <v>24</v>
      </c>
      <c r="AA90">
        <v>0</v>
      </c>
    </row>
    <row r="91" spans="1:27" x14ac:dyDescent="0.25">
      <c r="A91">
        <v>104203</v>
      </c>
      <c r="B91" t="s">
        <v>42</v>
      </c>
      <c r="E91" t="s">
        <v>43</v>
      </c>
      <c r="H91">
        <v>1201</v>
      </c>
      <c r="I91">
        <v>12001400</v>
      </c>
      <c r="J91" t="s">
        <v>68</v>
      </c>
      <c r="K91" s="1">
        <v>41201</v>
      </c>
      <c r="L91" s="1">
        <v>41201</v>
      </c>
      <c r="M91" t="s">
        <v>28</v>
      </c>
      <c r="N91">
        <v>188234</v>
      </c>
      <c r="R91">
        <v>0</v>
      </c>
      <c r="V91">
        <v>4371860</v>
      </c>
      <c r="X91" t="s">
        <v>24</v>
      </c>
      <c r="Y91" t="s">
        <v>6</v>
      </c>
      <c r="AA91">
        <v>0</v>
      </c>
    </row>
    <row r="92" spans="1:27" x14ac:dyDescent="0.25">
      <c r="A92">
        <v>104203</v>
      </c>
      <c r="B92" t="s">
        <v>42</v>
      </c>
      <c r="E92" t="s">
        <v>43</v>
      </c>
      <c r="H92">
        <v>1201</v>
      </c>
      <c r="I92">
        <v>12001400</v>
      </c>
      <c r="J92" t="s">
        <v>78</v>
      </c>
      <c r="K92" s="1">
        <v>41201</v>
      </c>
      <c r="L92" s="1">
        <v>41201</v>
      </c>
      <c r="M92" t="s">
        <v>28</v>
      </c>
      <c r="N92">
        <v>188234</v>
      </c>
      <c r="O92">
        <v>44.73</v>
      </c>
      <c r="Q92" t="s">
        <v>24</v>
      </c>
      <c r="R92">
        <v>3.8</v>
      </c>
      <c r="S92">
        <v>44.73</v>
      </c>
      <c r="U92">
        <v>169.97</v>
      </c>
      <c r="V92">
        <v>4371861</v>
      </c>
      <c r="X92" t="s">
        <v>24</v>
      </c>
      <c r="Y92" t="s">
        <v>6</v>
      </c>
      <c r="AA92">
        <v>0</v>
      </c>
    </row>
    <row r="93" spans="1:27" x14ac:dyDescent="0.25">
      <c r="A93">
        <v>104203</v>
      </c>
      <c r="B93" t="s">
        <v>42</v>
      </c>
      <c r="E93" t="s">
        <v>43</v>
      </c>
      <c r="H93">
        <v>1201</v>
      </c>
      <c r="I93">
        <v>81915</v>
      </c>
      <c r="J93" t="s">
        <v>73</v>
      </c>
      <c r="K93" s="1">
        <v>41570</v>
      </c>
      <c r="L93" s="1">
        <v>41571</v>
      </c>
      <c r="M93" t="s">
        <v>28</v>
      </c>
      <c r="N93">
        <v>188234</v>
      </c>
      <c r="O93">
        <v>-44.53</v>
      </c>
      <c r="Q93" t="s">
        <v>24</v>
      </c>
      <c r="R93">
        <v>3.8</v>
      </c>
      <c r="S93">
        <v>-44.53</v>
      </c>
      <c r="U93">
        <v>-169.21</v>
      </c>
      <c r="V93">
        <v>5666055</v>
      </c>
      <c r="X93" t="s">
        <v>24</v>
      </c>
      <c r="Y93" t="s">
        <v>6</v>
      </c>
      <c r="AA93">
        <v>0</v>
      </c>
    </row>
    <row r="94" spans="1:27" x14ac:dyDescent="0.25">
      <c r="A94">
        <v>104203</v>
      </c>
      <c r="B94" t="s">
        <v>42</v>
      </c>
      <c r="E94" t="s">
        <v>43</v>
      </c>
      <c r="H94">
        <v>1201</v>
      </c>
      <c r="I94">
        <v>4052</v>
      </c>
      <c r="J94" t="s">
        <v>75</v>
      </c>
      <c r="K94" s="1">
        <v>41578</v>
      </c>
      <c r="L94" s="1">
        <v>41578</v>
      </c>
      <c r="M94" t="s">
        <v>28</v>
      </c>
      <c r="N94">
        <v>188234</v>
      </c>
      <c r="Q94" t="s">
        <v>24</v>
      </c>
      <c r="R94">
        <v>0</v>
      </c>
      <c r="U94">
        <v>-0.76</v>
      </c>
      <c r="V94">
        <v>5715110</v>
      </c>
      <c r="X94" t="s">
        <v>24</v>
      </c>
      <c r="Y94" t="s">
        <v>6</v>
      </c>
      <c r="AA94">
        <v>0</v>
      </c>
    </row>
    <row r="95" spans="1:27" x14ac:dyDescent="0.25">
      <c r="A95">
        <v>104203</v>
      </c>
      <c r="B95" t="s">
        <v>42</v>
      </c>
      <c r="E95" t="s">
        <v>43</v>
      </c>
      <c r="H95">
        <v>1201</v>
      </c>
      <c r="I95">
        <v>24001119</v>
      </c>
      <c r="J95" t="s">
        <v>75</v>
      </c>
      <c r="K95" s="1">
        <v>45579</v>
      </c>
      <c r="L95" s="1">
        <v>45579</v>
      </c>
      <c r="M95" t="s">
        <v>28</v>
      </c>
      <c r="N95">
        <v>188234</v>
      </c>
      <c r="O95">
        <v>-0.2</v>
      </c>
      <c r="Q95" t="s">
        <v>24</v>
      </c>
      <c r="R95">
        <v>0</v>
      </c>
      <c r="S95">
        <v>-0.2</v>
      </c>
      <c r="V95">
        <v>14730882</v>
      </c>
      <c r="X95" t="s">
        <v>24</v>
      </c>
      <c r="Y95" t="s">
        <v>6</v>
      </c>
      <c r="AA95">
        <v>0</v>
      </c>
    </row>
    <row r="96" spans="1:27" x14ac:dyDescent="0.25">
      <c r="A96">
        <v>104203</v>
      </c>
      <c r="B96">
        <v>104203</v>
      </c>
      <c r="H96">
        <v>1201</v>
      </c>
      <c r="M96" t="s">
        <v>28</v>
      </c>
      <c r="N96">
        <v>188234</v>
      </c>
      <c r="R96" t="s">
        <v>69</v>
      </c>
      <c r="X96" t="s">
        <v>24</v>
      </c>
      <c r="AA96">
        <v>0</v>
      </c>
    </row>
    <row r="97" spans="1:27" x14ac:dyDescent="0.25">
      <c r="A97">
        <v>104203</v>
      </c>
      <c r="B97" t="s">
        <v>42</v>
      </c>
      <c r="E97" t="s">
        <v>43</v>
      </c>
      <c r="H97">
        <v>1201</v>
      </c>
      <c r="I97">
        <v>11001148</v>
      </c>
      <c r="J97" t="s">
        <v>68</v>
      </c>
      <c r="K97" s="1">
        <v>40570</v>
      </c>
      <c r="L97" s="1">
        <v>40570</v>
      </c>
      <c r="M97" t="s">
        <v>82</v>
      </c>
      <c r="N97">
        <v>188234</v>
      </c>
      <c r="R97">
        <v>0</v>
      </c>
      <c r="V97">
        <v>2538177</v>
      </c>
      <c r="X97" t="s">
        <v>24</v>
      </c>
      <c r="Y97" t="s">
        <v>6</v>
      </c>
      <c r="AA97">
        <v>0</v>
      </c>
    </row>
    <row r="98" spans="1:27" x14ac:dyDescent="0.25">
      <c r="A98">
        <v>104203</v>
      </c>
      <c r="B98" t="s">
        <v>42</v>
      </c>
      <c r="E98" t="s">
        <v>43</v>
      </c>
      <c r="H98">
        <v>1201</v>
      </c>
      <c r="I98">
        <v>11001148</v>
      </c>
      <c r="J98" t="s">
        <v>78</v>
      </c>
      <c r="K98" s="1">
        <v>40570</v>
      </c>
      <c r="L98" s="1">
        <v>40570</v>
      </c>
      <c r="M98" t="s">
        <v>82</v>
      </c>
      <c r="N98">
        <v>188234</v>
      </c>
      <c r="O98">
        <v>44.73</v>
      </c>
      <c r="Q98" t="s">
        <v>24</v>
      </c>
      <c r="R98">
        <v>3.8</v>
      </c>
      <c r="S98">
        <v>44.73</v>
      </c>
      <c r="U98">
        <v>169.97</v>
      </c>
      <c r="V98">
        <v>2538178</v>
      </c>
      <c r="X98" t="s">
        <v>24</v>
      </c>
      <c r="Y98" t="s">
        <v>6</v>
      </c>
      <c r="AA98">
        <v>0</v>
      </c>
    </row>
    <row r="99" spans="1:27" x14ac:dyDescent="0.25">
      <c r="A99">
        <v>104203</v>
      </c>
      <c r="B99" t="s">
        <v>42</v>
      </c>
      <c r="E99" t="s">
        <v>43</v>
      </c>
      <c r="H99">
        <v>1201</v>
      </c>
      <c r="I99">
        <v>12001400</v>
      </c>
      <c r="J99" t="s">
        <v>78</v>
      </c>
      <c r="K99" s="1">
        <v>41201</v>
      </c>
      <c r="L99" s="1">
        <v>41201</v>
      </c>
      <c r="M99" t="s">
        <v>82</v>
      </c>
      <c r="N99">
        <v>188234</v>
      </c>
      <c r="O99">
        <v>-44.73</v>
      </c>
      <c r="Q99" t="s">
        <v>24</v>
      </c>
      <c r="R99">
        <v>3.8</v>
      </c>
      <c r="S99">
        <v>-44.73</v>
      </c>
      <c r="U99">
        <v>-169.97</v>
      </c>
      <c r="V99">
        <v>4371859</v>
      </c>
      <c r="X99" t="s">
        <v>24</v>
      </c>
      <c r="Y99" t="s">
        <v>6</v>
      </c>
      <c r="AA99">
        <v>0</v>
      </c>
    </row>
    <row r="100" spans="1:27" x14ac:dyDescent="0.25">
      <c r="A100">
        <v>104203</v>
      </c>
      <c r="B100">
        <v>104203</v>
      </c>
      <c r="H100">
        <v>1201</v>
      </c>
      <c r="M100" t="s">
        <v>82</v>
      </c>
      <c r="N100">
        <v>188234</v>
      </c>
      <c r="R100" t="s">
        <v>69</v>
      </c>
      <c r="X100" t="s">
        <v>24</v>
      </c>
      <c r="AA100">
        <v>0</v>
      </c>
    </row>
    <row r="101" spans="1:27" x14ac:dyDescent="0.25">
      <c r="A101">
        <v>104203</v>
      </c>
      <c r="B101" t="s">
        <v>42</v>
      </c>
      <c r="E101" t="s">
        <v>43</v>
      </c>
      <c r="H101">
        <v>1201</v>
      </c>
      <c r="I101">
        <v>9001931</v>
      </c>
      <c r="J101" t="s">
        <v>68</v>
      </c>
      <c r="K101" s="1">
        <v>39835</v>
      </c>
      <c r="L101" s="1">
        <v>39835</v>
      </c>
      <c r="M101" t="s">
        <v>44</v>
      </c>
      <c r="N101">
        <v>188234</v>
      </c>
      <c r="R101">
        <v>0</v>
      </c>
      <c r="V101">
        <v>982539</v>
      </c>
      <c r="X101" t="s">
        <v>24</v>
      </c>
      <c r="Y101" t="s">
        <v>6</v>
      </c>
      <c r="AA101">
        <v>0</v>
      </c>
    </row>
    <row r="102" spans="1:27" x14ac:dyDescent="0.25">
      <c r="A102">
        <v>104203</v>
      </c>
      <c r="B102" t="s">
        <v>42</v>
      </c>
      <c r="E102" t="s">
        <v>43</v>
      </c>
      <c r="H102">
        <v>1201</v>
      </c>
      <c r="I102">
        <v>9001931</v>
      </c>
      <c r="J102" t="s">
        <v>72</v>
      </c>
      <c r="K102" s="1">
        <v>39835</v>
      </c>
      <c r="L102" s="1">
        <v>39835</v>
      </c>
      <c r="M102" t="s">
        <v>44</v>
      </c>
      <c r="N102">
        <v>188234</v>
      </c>
      <c r="O102">
        <v>532.4</v>
      </c>
      <c r="Q102" t="s">
        <v>24</v>
      </c>
      <c r="R102">
        <v>3.8</v>
      </c>
      <c r="S102">
        <v>532.4</v>
      </c>
      <c r="U102">
        <v>2023.12</v>
      </c>
      <c r="V102">
        <v>982540</v>
      </c>
      <c r="X102" t="s">
        <v>24</v>
      </c>
      <c r="Y102" t="s">
        <v>6</v>
      </c>
      <c r="AA102">
        <v>0</v>
      </c>
    </row>
    <row r="103" spans="1:27" x14ac:dyDescent="0.25">
      <c r="A103">
        <v>104203</v>
      </c>
      <c r="B103" t="s">
        <v>42</v>
      </c>
      <c r="E103" t="s">
        <v>43</v>
      </c>
      <c r="H103">
        <v>1201</v>
      </c>
      <c r="I103">
        <v>25810</v>
      </c>
      <c r="J103" t="s">
        <v>73</v>
      </c>
      <c r="K103" s="1">
        <v>39857</v>
      </c>
      <c r="L103" s="1">
        <v>39857</v>
      </c>
      <c r="M103" t="s">
        <v>44</v>
      </c>
      <c r="N103">
        <v>188234</v>
      </c>
      <c r="O103">
        <v>-532.4</v>
      </c>
      <c r="Q103" t="s">
        <v>22</v>
      </c>
      <c r="R103">
        <v>2.44</v>
      </c>
      <c r="S103">
        <v>-332.75</v>
      </c>
      <c r="U103">
        <v>-1299.05</v>
      </c>
      <c r="V103">
        <v>1018885</v>
      </c>
      <c r="X103" t="s">
        <v>24</v>
      </c>
      <c r="Y103" t="s">
        <v>6</v>
      </c>
      <c r="AA103">
        <v>0</v>
      </c>
    </row>
    <row r="104" spans="1:27" x14ac:dyDescent="0.25">
      <c r="A104">
        <v>104203</v>
      </c>
      <c r="B104" t="s">
        <v>42</v>
      </c>
      <c r="E104" t="s">
        <v>43</v>
      </c>
      <c r="H104">
        <v>1201</v>
      </c>
      <c r="I104">
        <v>25810</v>
      </c>
      <c r="J104" t="s">
        <v>73</v>
      </c>
      <c r="K104" s="1">
        <v>39904</v>
      </c>
      <c r="L104" s="1">
        <v>39905</v>
      </c>
      <c r="M104" t="s">
        <v>44</v>
      </c>
      <c r="N104">
        <v>188234</v>
      </c>
      <c r="O104">
        <v>-190.55</v>
      </c>
      <c r="Q104" t="s">
        <v>24</v>
      </c>
      <c r="R104">
        <v>3.8</v>
      </c>
      <c r="S104">
        <v>-190.55</v>
      </c>
      <c r="U104">
        <v>-724.09</v>
      </c>
      <c r="V104">
        <v>1092107</v>
      </c>
      <c r="X104" t="s">
        <v>24</v>
      </c>
      <c r="Y104" t="s">
        <v>6</v>
      </c>
      <c r="AA104">
        <v>0</v>
      </c>
    </row>
    <row r="105" spans="1:27" x14ac:dyDescent="0.25">
      <c r="A105">
        <v>104203</v>
      </c>
      <c r="B105" t="s">
        <v>42</v>
      </c>
      <c r="E105" t="s">
        <v>43</v>
      </c>
      <c r="H105">
        <v>1201</v>
      </c>
      <c r="I105">
        <v>25810</v>
      </c>
      <c r="J105" t="s">
        <v>73</v>
      </c>
      <c r="K105" s="1">
        <v>39905</v>
      </c>
      <c r="L105" s="1">
        <v>39905</v>
      </c>
      <c r="M105" t="s">
        <v>44</v>
      </c>
      <c r="N105">
        <v>188234</v>
      </c>
      <c r="O105">
        <v>532.4</v>
      </c>
      <c r="Q105" t="s">
        <v>22</v>
      </c>
      <c r="R105">
        <v>2.44</v>
      </c>
      <c r="S105">
        <v>332.75</v>
      </c>
      <c r="U105">
        <v>1299.05</v>
      </c>
      <c r="V105">
        <v>1095702</v>
      </c>
      <c r="X105" t="s">
        <v>24</v>
      </c>
      <c r="Y105" t="s">
        <v>6</v>
      </c>
      <c r="AA105">
        <v>0</v>
      </c>
    </row>
    <row r="106" spans="1:27" x14ac:dyDescent="0.25">
      <c r="A106">
        <v>104203</v>
      </c>
      <c r="B106" t="s">
        <v>42</v>
      </c>
      <c r="E106" t="s">
        <v>43</v>
      </c>
      <c r="H106">
        <v>1201</v>
      </c>
      <c r="I106">
        <v>25810</v>
      </c>
      <c r="J106" t="s">
        <v>73</v>
      </c>
      <c r="K106" s="1">
        <v>39905</v>
      </c>
      <c r="L106" s="1">
        <v>39905</v>
      </c>
      <c r="M106" t="s">
        <v>44</v>
      </c>
      <c r="N106">
        <v>188234</v>
      </c>
      <c r="O106">
        <v>-341.85</v>
      </c>
      <c r="Q106" t="s">
        <v>24</v>
      </c>
      <c r="R106">
        <v>3.8</v>
      </c>
      <c r="S106">
        <v>-341.85</v>
      </c>
      <c r="U106">
        <v>-1299.03</v>
      </c>
      <c r="V106">
        <v>1095711</v>
      </c>
      <c r="X106" t="s">
        <v>24</v>
      </c>
      <c r="Y106" t="s">
        <v>6</v>
      </c>
      <c r="AA106">
        <v>0</v>
      </c>
    </row>
    <row r="107" spans="1:27" x14ac:dyDescent="0.25">
      <c r="A107">
        <v>104203</v>
      </c>
      <c r="B107" t="s">
        <v>42</v>
      </c>
      <c r="E107" t="s">
        <v>43</v>
      </c>
      <c r="H107">
        <v>1201</v>
      </c>
      <c r="I107">
        <v>25810</v>
      </c>
      <c r="J107" t="s">
        <v>73</v>
      </c>
      <c r="K107" s="1">
        <v>40570</v>
      </c>
      <c r="L107" s="1">
        <v>40570</v>
      </c>
      <c r="M107" t="s">
        <v>44</v>
      </c>
      <c r="N107">
        <v>188234</v>
      </c>
      <c r="O107">
        <v>44.73</v>
      </c>
      <c r="Q107" t="s">
        <v>24</v>
      </c>
      <c r="R107">
        <v>3.8</v>
      </c>
      <c r="S107">
        <v>44.73</v>
      </c>
      <c r="U107">
        <v>169.96</v>
      </c>
      <c r="V107">
        <v>2537864</v>
      </c>
      <c r="X107" t="s">
        <v>24</v>
      </c>
      <c r="Y107" t="s">
        <v>6</v>
      </c>
      <c r="AA107">
        <v>0</v>
      </c>
    </row>
    <row r="108" spans="1:27" x14ac:dyDescent="0.25">
      <c r="A108">
        <v>104203</v>
      </c>
      <c r="B108" t="s">
        <v>42</v>
      </c>
      <c r="E108" t="s">
        <v>43</v>
      </c>
      <c r="H108">
        <v>1201</v>
      </c>
      <c r="I108">
        <v>11001148</v>
      </c>
      <c r="J108" t="s">
        <v>78</v>
      </c>
      <c r="K108" s="1">
        <v>40570</v>
      </c>
      <c r="L108" s="1">
        <v>40570</v>
      </c>
      <c r="M108" t="s">
        <v>44</v>
      </c>
      <c r="N108">
        <v>188234</v>
      </c>
      <c r="O108">
        <v>-44.73</v>
      </c>
      <c r="Q108" t="s">
        <v>24</v>
      </c>
      <c r="R108">
        <v>3.8</v>
      </c>
      <c r="S108">
        <v>-44.73</v>
      </c>
      <c r="U108">
        <v>-169.97</v>
      </c>
      <c r="V108">
        <v>2538176</v>
      </c>
      <c r="X108" t="s">
        <v>24</v>
      </c>
      <c r="Y108" t="s">
        <v>6</v>
      </c>
      <c r="AA108">
        <v>0</v>
      </c>
    </row>
    <row r="109" spans="1:27" x14ac:dyDescent="0.25">
      <c r="A109">
        <v>104203</v>
      </c>
      <c r="B109" t="s">
        <v>42</v>
      </c>
      <c r="E109" t="s">
        <v>43</v>
      </c>
      <c r="H109">
        <v>1201</v>
      </c>
      <c r="I109">
        <v>4041</v>
      </c>
      <c r="J109" t="s">
        <v>75</v>
      </c>
      <c r="K109" s="1">
        <v>41578</v>
      </c>
      <c r="L109" s="1">
        <v>41578</v>
      </c>
      <c r="M109" t="s">
        <v>44</v>
      </c>
      <c r="N109">
        <v>188234</v>
      </c>
      <c r="Q109" t="s">
        <v>24</v>
      </c>
      <c r="R109">
        <v>0</v>
      </c>
      <c r="U109">
        <v>0.01</v>
      </c>
      <c r="V109">
        <v>5705756</v>
      </c>
      <c r="X109" t="s">
        <v>24</v>
      </c>
      <c r="Y109" t="s">
        <v>6</v>
      </c>
      <c r="AA109">
        <v>0</v>
      </c>
    </row>
    <row r="110" spans="1:27" x14ac:dyDescent="0.25">
      <c r="A110">
        <v>104203</v>
      </c>
      <c r="B110">
        <v>104203</v>
      </c>
      <c r="H110">
        <v>1201</v>
      </c>
      <c r="M110" t="s">
        <v>44</v>
      </c>
      <c r="N110">
        <v>188234</v>
      </c>
      <c r="R110" t="s">
        <v>69</v>
      </c>
      <c r="X110" t="s">
        <v>24</v>
      </c>
      <c r="AA110">
        <v>0</v>
      </c>
    </row>
    <row r="111" spans="1:27" x14ac:dyDescent="0.25">
      <c r="A111">
        <v>104203</v>
      </c>
      <c r="B111" t="s">
        <v>42</v>
      </c>
      <c r="E111" t="s">
        <v>43</v>
      </c>
      <c r="H111">
        <v>1201</v>
      </c>
      <c r="J111" t="s">
        <v>76</v>
      </c>
      <c r="R111" t="s">
        <v>77</v>
      </c>
      <c r="S111">
        <v>0</v>
      </c>
      <c r="U111">
        <v>0</v>
      </c>
      <c r="X111" t="s">
        <v>24</v>
      </c>
      <c r="AA111">
        <v>0</v>
      </c>
    </row>
    <row r="112" spans="1:27" x14ac:dyDescent="0.25">
      <c r="A112">
        <v>183900</v>
      </c>
      <c r="B112" t="s">
        <v>31</v>
      </c>
      <c r="E112" t="s">
        <v>32</v>
      </c>
      <c r="H112">
        <v>1201</v>
      </c>
      <c r="I112">
        <v>41021</v>
      </c>
      <c r="J112" t="s">
        <v>68</v>
      </c>
      <c r="K112" s="1">
        <v>41516</v>
      </c>
      <c r="L112" s="1">
        <v>41516</v>
      </c>
      <c r="Q112" t="s">
        <v>22</v>
      </c>
      <c r="R112">
        <v>0</v>
      </c>
      <c r="V112">
        <v>5465096</v>
      </c>
      <c r="X112" t="s">
        <v>22</v>
      </c>
      <c r="Y112" t="s">
        <v>6</v>
      </c>
      <c r="AA112">
        <v>0</v>
      </c>
    </row>
    <row r="113" spans="1:27" x14ac:dyDescent="0.25">
      <c r="A113">
        <v>183900</v>
      </c>
      <c r="B113">
        <v>183900</v>
      </c>
      <c r="H113">
        <v>1201</v>
      </c>
      <c r="R113" t="s">
        <v>69</v>
      </c>
      <c r="X113" t="s">
        <v>22</v>
      </c>
      <c r="AA113">
        <v>0</v>
      </c>
    </row>
    <row r="114" spans="1:27" x14ac:dyDescent="0.25">
      <c r="A114">
        <v>183900</v>
      </c>
      <c r="B114" t="s">
        <v>31</v>
      </c>
      <c r="E114" t="s">
        <v>32</v>
      </c>
      <c r="H114">
        <v>1201</v>
      </c>
      <c r="I114">
        <v>14001001</v>
      </c>
      <c r="J114" t="s">
        <v>68</v>
      </c>
      <c r="K114" s="1">
        <v>41641</v>
      </c>
      <c r="L114" s="1">
        <v>41641</v>
      </c>
      <c r="M114" t="s">
        <v>33</v>
      </c>
      <c r="N114">
        <v>1242965</v>
      </c>
      <c r="R114">
        <v>0</v>
      </c>
      <c r="V114">
        <v>6014765</v>
      </c>
      <c r="X114" t="s">
        <v>22</v>
      </c>
      <c r="Y114" t="s">
        <v>6</v>
      </c>
      <c r="AA114">
        <v>0</v>
      </c>
    </row>
    <row r="115" spans="1:27" x14ac:dyDescent="0.25">
      <c r="A115">
        <v>183900</v>
      </c>
      <c r="B115" t="s">
        <v>31</v>
      </c>
      <c r="E115" t="s">
        <v>32</v>
      </c>
      <c r="H115">
        <v>1201</v>
      </c>
      <c r="I115">
        <v>14001001</v>
      </c>
      <c r="J115" t="s">
        <v>78</v>
      </c>
      <c r="K115" s="1">
        <v>41641</v>
      </c>
      <c r="L115" s="1">
        <v>41641</v>
      </c>
      <c r="M115" t="s">
        <v>33</v>
      </c>
      <c r="N115">
        <v>1242965</v>
      </c>
      <c r="O115">
        <v>195.48</v>
      </c>
      <c r="Q115" t="s">
        <v>22</v>
      </c>
      <c r="R115">
        <v>1.597</v>
      </c>
      <c r="S115">
        <v>195.48</v>
      </c>
      <c r="U115">
        <v>312.18</v>
      </c>
      <c r="V115">
        <v>6014766</v>
      </c>
      <c r="X115" t="s">
        <v>22</v>
      </c>
      <c r="Y115" t="s">
        <v>6</v>
      </c>
      <c r="AA115">
        <v>0</v>
      </c>
    </row>
    <row r="116" spans="1:27" x14ac:dyDescent="0.25">
      <c r="A116">
        <v>183900</v>
      </c>
      <c r="B116" t="s">
        <v>31</v>
      </c>
      <c r="E116" t="s">
        <v>32</v>
      </c>
      <c r="H116">
        <v>1201</v>
      </c>
      <c r="I116">
        <v>14004808</v>
      </c>
      <c r="J116" t="s">
        <v>72</v>
      </c>
      <c r="K116" s="1">
        <v>41676</v>
      </c>
      <c r="L116" s="1">
        <v>41641</v>
      </c>
      <c r="M116" t="s">
        <v>33</v>
      </c>
      <c r="N116">
        <v>1242965</v>
      </c>
      <c r="O116">
        <v>74.03</v>
      </c>
      <c r="Q116" t="s">
        <v>26</v>
      </c>
      <c r="R116">
        <v>3.8443000000000001</v>
      </c>
      <c r="S116">
        <v>196.7</v>
      </c>
      <c r="U116">
        <v>284.58999999999997</v>
      </c>
      <c r="V116">
        <v>6153024</v>
      </c>
      <c r="X116" t="s">
        <v>22</v>
      </c>
      <c r="Y116" t="s">
        <v>6</v>
      </c>
      <c r="AA116">
        <v>0</v>
      </c>
    </row>
    <row r="117" spans="1:27" x14ac:dyDescent="0.25">
      <c r="A117">
        <v>183900</v>
      </c>
      <c r="B117" t="s">
        <v>31</v>
      </c>
      <c r="E117" t="s">
        <v>32</v>
      </c>
      <c r="H117">
        <v>1201</v>
      </c>
      <c r="I117">
        <v>14004681</v>
      </c>
      <c r="J117" t="s">
        <v>72</v>
      </c>
      <c r="K117" s="1">
        <v>41645</v>
      </c>
      <c r="L117" s="1">
        <v>41645</v>
      </c>
      <c r="M117" t="s">
        <v>33</v>
      </c>
      <c r="N117">
        <v>1242965</v>
      </c>
      <c r="O117">
        <v>-74.03</v>
      </c>
      <c r="Q117" t="s">
        <v>26</v>
      </c>
      <c r="R117">
        <v>3.8443000000000001</v>
      </c>
      <c r="S117">
        <v>-196.7</v>
      </c>
      <c r="U117">
        <v>-284.58999999999997</v>
      </c>
      <c r="V117">
        <v>6149118</v>
      </c>
      <c r="X117" t="s">
        <v>22</v>
      </c>
      <c r="Y117" t="s">
        <v>6</v>
      </c>
      <c r="AA117">
        <v>0</v>
      </c>
    </row>
    <row r="118" spans="1:27" x14ac:dyDescent="0.25">
      <c r="A118">
        <v>183900</v>
      </c>
      <c r="B118" t="s">
        <v>31</v>
      </c>
      <c r="E118" t="s">
        <v>32</v>
      </c>
      <c r="H118">
        <v>1201</v>
      </c>
      <c r="I118">
        <v>14004677</v>
      </c>
      <c r="J118" t="s">
        <v>72</v>
      </c>
      <c r="K118" s="1">
        <v>41675</v>
      </c>
      <c r="L118" s="1">
        <v>41645</v>
      </c>
      <c r="M118" t="s">
        <v>33</v>
      </c>
      <c r="N118">
        <v>1242965</v>
      </c>
      <c r="O118">
        <v>73.650000000000006</v>
      </c>
      <c r="Q118" t="s">
        <v>26</v>
      </c>
      <c r="R118">
        <v>3.8443000000000001</v>
      </c>
      <c r="S118">
        <v>195.69</v>
      </c>
      <c r="U118">
        <v>283.13</v>
      </c>
      <c r="V118">
        <v>6148936</v>
      </c>
      <c r="X118" t="s">
        <v>22</v>
      </c>
      <c r="Y118" t="s">
        <v>6</v>
      </c>
      <c r="AA118">
        <v>0</v>
      </c>
    </row>
    <row r="119" spans="1:27" x14ac:dyDescent="0.25">
      <c r="A119">
        <v>183900</v>
      </c>
      <c r="B119" t="s">
        <v>31</v>
      </c>
      <c r="E119" t="s">
        <v>32</v>
      </c>
      <c r="H119">
        <v>1201</v>
      </c>
      <c r="I119">
        <v>14001779</v>
      </c>
      <c r="J119" t="s">
        <v>72</v>
      </c>
      <c r="K119" s="1">
        <v>41645</v>
      </c>
      <c r="L119" s="1">
        <v>41645</v>
      </c>
      <c r="M119" t="s">
        <v>33</v>
      </c>
      <c r="N119">
        <v>1242965</v>
      </c>
      <c r="O119">
        <v>-73.650000000000006</v>
      </c>
      <c r="Q119" t="s">
        <v>26</v>
      </c>
      <c r="R119">
        <v>3.8443000000000001</v>
      </c>
      <c r="S119">
        <v>-195.69</v>
      </c>
      <c r="U119">
        <v>-283.13</v>
      </c>
      <c r="V119">
        <v>6042067</v>
      </c>
      <c r="X119" t="s">
        <v>22</v>
      </c>
      <c r="Y119" t="s">
        <v>6</v>
      </c>
      <c r="AA119">
        <v>0</v>
      </c>
    </row>
    <row r="120" spans="1:27" x14ac:dyDescent="0.25">
      <c r="A120">
        <v>183900</v>
      </c>
      <c r="B120" t="s">
        <v>31</v>
      </c>
      <c r="E120" t="s">
        <v>32</v>
      </c>
      <c r="H120">
        <v>1201</v>
      </c>
      <c r="I120">
        <v>4270</v>
      </c>
      <c r="J120" t="s">
        <v>75</v>
      </c>
      <c r="K120" s="1">
        <v>41667</v>
      </c>
      <c r="L120" s="1">
        <v>41667</v>
      </c>
      <c r="M120" t="s">
        <v>33</v>
      </c>
      <c r="N120">
        <v>1242965</v>
      </c>
      <c r="Q120" t="s">
        <v>22</v>
      </c>
      <c r="R120">
        <v>0</v>
      </c>
      <c r="U120">
        <v>-0.01</v>
      </c>
      <c r="V120">
        <v>6118844</v>
      </c>
      <c r="X120" t="s">
        <v>22</v>
      </c>
      <c r="Y120" t="s">
        <v>6</v>
      </c>
      <c r="AA120">
        <v>0</v>
      </c>
    </row>
    <row r="121" spans="1:27" x14ac:dyDescent="0.25">
      <c r="A121">
        <v>183900</v>
      </c>
      <c r="B121" t="s">
        <v>31</v>
      </c>
      <c r="E121" t="s">
        <v>32</v>
      </c>
      <c r="H121">
        <v>1201</v>
      </c>
      <c r="I121">
        <v>4270</v>
      </c>
      <c r="J121" t="s">
        <v>75</v>
      </c>
      <c r="K121" s="1">
        <v>41667</v>
      </c>
      <c r="L121" s="1">
        <v>41667</v>
      </c>
      <c r="M121" t="s">
        <v>33</v>
      </c>
      <c r="N121">
        <v>1242965</v>
      </c>
      <c r="Q121" t="s">
        <v>22</v>
      </c>
      <c r="R121">
        <v>0</v>
      </c>
      <c r="U121">
        <v>0.01</v>
      </c>
      <c r="V121">
        <v>6148615</v>
      </c>
      <c r="X121" t="s">
        <v>22</v>
      </c>
      <c r="Y121" t="s">
        <v>6</v>
      </c>
      <c r="AA121">
        <v>0</v>
      </c>
    </row>
    <row r="122" spans="1:27" x14ac:dyDescent="0.25">
      <c r="A122">
        <v>183900</v>
      </c>
      <c r="B122" t="s">
        <v>31</v>
      </c>
      <c r="E122" t="s">
        <v>32</v>
      </c>
      <c r="H122">
        <v>1201</v>
      </c>
      <c r="I122">
        <v>81330</v>
      </c>
      <c r="J122" t="s">
        <v>73</v>
      </c>
      <c r="K122" s="1">
        <v>41649</v>
      </c>
      <c r="L122" s="1">
        <v>41667</v>
      </c>
      <c r="M122" t="s">
        <v>33</v>
      </c>
      <c r="N122">
        <v>1242965</v>
      </c>
      <c r="O122">
        <v>0.22</v>
      </c>
      <c r="Q122" t="s">
        <v>22</v>
      </c>
      <c r="R122">
        <v>-132.00970000000001</v>
      </c>
      <c r="S122">
        <v>0.22</v>
      </c>
      <c r="U122">
        <v>-29.04</v>
      </c>
      <c r="V122">
        <v>6042136</v>
      </c>
      <c r="X122" t="s">
        <v>22</v>
      </c>
      <c r="Y122" t="s">
        <v>6</v>
      </c>
      <c r="AA122">
        <v>0</v>
      </c>
    </row>
    <row r="123" spans="1:27" x14ac:dyDescent="0.25">
      <c r="A123">
        <v>183900</v>
      </c>
      <c r="B123" t="s">
        <v>31</v>
      </c>
      <c r="E123" t="s">
        <v>32</v>
      </c>
      <c r="H123">
        <v>1201</v>
      </c>
      <c r="I123">
        <v>4320</v>
      </c>
      <c r="J123" t="s">
        <v>75</v>
      </c>
      <c r="K123" s="1">
        <v>41669</v>
      </c>
      <c r="L123" s="1">
        <v>41669</v>
      </c>
      <c r="M123" t="s">
        <v>33</v>
      </c>
      <c r="N123">
        <v>1242965</v>
      </c>
      <c r="Q123" t="s">
        <v>22</v>
      </c>
      <c r="R123">
        <v>0</v>
      </c>
      <c r="U123">
        <v>-30.12</v>
      </c>
      <c r="V123">
        <v>6151900</v>
      </c>
      <c r="X123" t="s">
        <v>22</v>
      </c>
      <c r="Y123" t="s">
        <v>6</v>
      </c>
      <c r="AA123">
        <v>0</v>
      </c>
    </row>
    <row r="124" spans="1:27" x14ac:dyDescent="0.25">
      <c r="A124">
        <v>183900</v>
      </c>
      <c r="B124" t="s">
        <v>31</v>
      </c>
      <c r="E124" t="s">
        <v>32</v>
      </c>
      <c r="H124">
        <v>1201</v>
      </c>
      <c r="I124">
        <v>81330</v>
      </c>
      <c r="J124" t="s">
        <v>73</v>
      </c>
      <c r="K124" s="1">
        <v>41662</v>
      </c>
      <c r="L124" s="1">
        <v>41670</v>
      </c>
      <c r="M124" t="s">
        <v>33</v>
      </c>
      <c r="N124">
        <v>1242965</v>
      </c>
      <c r="O124">
        <v>-0.22</v>
      </c>
      <c r="Q124" t="s">
        <v>22</v>
      </c>
      <c r="R124">
        <v>-132.00970000000001</v>
      </c>
      <c r="S124">
        <v>-0.22</v>
      </c>
      <c r="U124">
        <v>29.04</v>
      </c>
      <c r="V124">
        <v>6148754</v>
      </c>
      <c r="X124" t="s">
        <v>22</v>
      </c>
      <c r="Y124" t="s">
        <v>6</v>
      </c>
      <c r="AA124">
        <v>0</v>
      </c>
    </row>
    <row r="125" spans="1:27" x14ac:dyDescent="0.25">
      <c r="A125">
        <v>183900</v>
      </c>
      <c r="B125" t="s">
        <v>31</v>
      </c>
      <c r="E125" t="s">
        <v>32</v>
      </c>
      <c r="H125">
        <v>1201</v>
      </c>
      <c r="I125">
        <v>81330</v>
      </c>
      <c r="J125" t="s">
        <v>73</v>
      </c>
      <c r="K125" s="1">
        <v>41662</v>
      </c>
      <c r="L125" s="1">
        <v>41670</v>
      </c>
      <c r="M125" t="s">
        <v>33</v>
      </c>
      <c r="N125">
        <v>1242965</v>
      </c>
      <c r="O125">
        <v>-1.23</v>
      </c>
      <c r="Q125" t="s">
        <v>22</v>
      </c>
      <c r="R125">
        <v>-134.86170000000001</v>
      </c>
      <c r="S125">
        <v>-1.23</v>
      </c>
      <c r="U125">
        <v>165.88</v>
      </c>
      <c r="V125">
        <v>6153021</v>
      </c>
      <c r="X125" t="s">
        <v>22</v>
      </c>
      <c r="Y125" t="s">
        <v>6</v>
      </c>
      <c r="AA125">
        <v>0</v>
      </c>
    </row>
    <row r="126" spans="1:27" x14ac:dyDescent="0.25">
      <c r="A126">
        <v>183900</v>
      </c>
      <c r="B126" t="s">
        <v>31</v>
      </c>
      <c r="E126" t="s">
        <v>32</v>
      </c>
      <c r="H126">
        <v>1201</v>
      </c>
      <c r="I126">
        <v>81330</v>
      </c>
      <c r="J126" t="s">
        <v>73</v>
      </c>
      <c r="K126" s="1">
        <v>41662</v>
      </c>
      <c r="L126" s="1">
        <v>41670</v>
      </c>
      <c r="M126" t="s">
        <v>33</v>
      </c>
      <c r="N126">
        <v>1242965</v>
      </c>
      <c r="O126">
        <v>0.22</v>
      </c>
      <c r="Q126" t="s">
        <v>22</v>
      </c>
      <c r="R126">
        <v>1.4435</v>
      </c>
      <c r="S126">
        <v>0.22</v>
      </c>
      <c r="U126">
        <v>0.32</v>
      </c>
      <c r="V126">
        <v>6153077</v>
      </c>
      <c r="X126" t="s">
        <v>22</v>
      </c>
      <c r="Y126" t="s">
        <v>6</v>
      </c>
      <c r="AA126">
        <v>0</v>
      </c>
    </row>
    <row r="127" spans="1:27" x14ac:dyDescent="0.25">
      <c r="A127">
        <v>183900</v>
      </c>
      <c r="B127" t="s">
        <v>31</v>
      </c>
      <c r="E127" t="s">
        <v>32</v>
      </c>
      <c r="H127">
        <v>1201</v>
      </c>
      <c r="I127">
        <v>81330</v>
      </c>
      <c r="J127" t="s">
        <v>73</v>
      </c>
      <c r="K127" s="1">
        <v>41662</v>
      </c>
      <c r="L127" s="1">
        <v>41670</v>
      </c>
      <c r="M127" t="s">
        <v>33</v>
      </c>
      <c r="N127">
        <v>1242965</v>
      </c>
      <c r="O127">
        <v>1.23</v>
      </c>
      <c r="Q127" t="s">
        <v>22</v>
      </c>
      <c r="R127">
        <v>2.0474000000000001</v>
      </c>
      <c r="S127">
        <v>1.23</v>
      </c>
      <c r="U127">
        <v>2.52</v>
      </c>
      <c r="V127">
        <v>6151517</v>
      </c>
      <c r="X127" t="s">
        <v>22</v>
      </c>
      <c r="Y127" t="s">
        <v>6</v>
      </c>
      <c r="AA127">
        <v>0</v>
      </c>
    </row>
    <row r="128" spans="1:27" x14ac:dyDescent="0.25">
      <c r="A128">
        <v>183900</v>
      </c>
      <c r="B128" t="s">
        <v>31</v>
      </c>
      <c r="E128" t="s">
        <v>32</v>
      </c>
      <c r="H128">
        <v>1201</v>
      </c>
      <c r="I128">
        <v>14001002</v>
      </c>
      <c r="J128" t="s">
        <v>70</v>
      </c>
      <c r="K128" s="1">
        <v>41684</v>
      </c>
      <c r="L128" s="1">
        <v>41684</v>
      </c>
      <c r="M128" t="s">
        <v>33</v>
      </c>
      <c r="N128">
        <v>1242965</v>
      </c>
      <c r="Q128" t="s">
        <v>22</v>
      </c>
      <c r="R128">
        <v>0</v>
      </c>
      <c r="U128">
        <v>-168.29</v>
      </c>
      <c r="V128">
        <v>6199286</v>
      </c>
      <c r="X128" t="s">
        <v>22</v>
      </c>
      <c r="Y128" t="s">
        <v>6</v>
      </c>
      <c r="AA128">
        <v>0</v>
      </c>
    </row>
    <row r="129" spans="1:27" x14ac:dyDescent="0.25">
      <c r="A129">
        <v>183900</v>
      </c>
      <c r="B129" t="s">
        <v>31</v>
      </c>
      <c r="E129" t="s">
        <v>32</v>
      </c>
      <c r="H129">
        <v>1201</v>
      </c>
      <c r="I129">
        <v>353</v>
      </c>
      <c r="J129" t="s">
        <v>79</v>
      </c>
      <c r="K129" s="1">
        <v>41684</v>
      </c>
      <c r="L129" s="1">
        <v>41684</v>
      </c>
      <c r="M129" t="s">
        <v>33</v>
      </c>
      <c r="N129">
        <v>1242965</v>
      </c>
      <c r="O129">
        <v>-195.7</v>
      </c>
      <c r="Q129" t="s">
        <v>22</v>
      </c>
      <c r="R129">
        <v>1.4435</v>
      </c>
      <c r="S129">
        <v>-195.7</v>
      </c>
      <c r="U129">
        <v>-282.49</v>
      </c>
      <c r="V129">
        <v>6199225</v>
      </c>
      <c r="X129" t="s">
        <v>22</v>
      </c>
      <c r="Y129" t="s">
        <v>6</v>
      </c>
      <c r="AA129">
        <v>0</v>
      </c>
    </row>
    <row r="130" spans="1:27" x14ac:dyDescent="0.25">
      <c r="A130">
        <v>183900</v>
      </c>
      <c r="B130" t="s">
        <v>31</v>
      </c>
      <c r="E130" t="s">
        <v>32</v>
      </c>
      <c r="H130">
        <v>1201</v>
      </c>
      <c r="I130">
        <v>85412</v>
      </c>
      <c r="J130" t="s">
        <v>73</v>
      </c>
      <c r="K130" s="1">
        <v>41696</v>
      </c>
      <c r="L130" s="1">
        <v>41696</v>
      </c>
      <c r="M130" t="s">
        <v>33</v>
      </c>
      <c r="N130">
        <v>1242965</v>
      </c>
      <c r="O130">
        <v>-1.23</v>
      </c>
      <c r="Q130" t="s">
        <v>22</v>
      </c>
      <c r="R130">
        <v>-135.3776</v>
      </c>
      <c r="S130">
        <v>-1.23</v>
      </c>
      <c r="U130">
        <v>166.51</v>
      </c>
      <c r="V130">
        <v>6257462</v>
      </c>
      <c r="X130" t="s">
        <v>22</v>
      </c>
      <c r="Y130" t="s">
        <v>6</v>
      </c>
      <c r="AA130">
        <v>0</v>
      </c>
    </row>
    <row r="131" spans="1:27" x14ac:dyDescent="0.25">
      <c r="A131">
        <v>183900</v>
      </c>
      <c r="B131" t="s">
        <v>31</v>
      </c>
      <c r="E131" t="s">
        <v>32</v>
      </c>
      <c r="H131">
        <v>1201</v>
      </c>
      <c r="I131">
        <v>14004106</v>
      </c>
      <c r="J131" t="s">
        <v>75</v>
      </c>
      <c r="K131" s="1">
        <v>43098</v>
      </c>
      <c r="L131" s="1">
        <v>43098</v>
      </c>
      <c r="M131" t="s">
        <v>33</v>
      </c>
      <c r="N131">
        <v>1242965</v>
      </c>
      <c r="O131">
        <v>1.23</v>
      </c>
      <c r="Q131" t="s">
        <v>22</v>
      </c>
      <c r="R131">
        <v>-135.3776</v>
      </c>
      <c r="S131">
        <v>1.23</v>
      </c>
      <c r="U131">
        <v>-166.51</v>
      </c>
      <c r="V131">
        <v>10843967</v>
      </c>
      <c r="X131" t="s">
        <v>22</v>
      </c>
      <c r="Y131" t="s">
        <v>6</v>
      </c>
      <c r="AA131">
        <v>0</v>
      </c>
    </row>
    <row r="132" spans="1:27" x14ac:dyDescent="0.25">
      <c r="A132">
        <v>183900</v>
      </c>
      <c r="B132" t="s">
        <v>31</v>
      </c>
      <c r="E132" t="s">
        <v>32</v>
      </c>
      <c r="H132">
        <v>1201</v>
      </c>
      <c r="I132">
        <v>14292758</v>
      </c>
      <c r="J132" t="s">
        <v>74</v>
      </c>
      <c r="K132" s="1">
        <v>43195</v>
      </c>
      <c r="L132" s="1">
        <v>43201</v>
      </c>
      <c r="M132" t="s">
        <v>33</v>
      </c>
      <c r="N132">
        <v>1242965</v>
      </c>
      <c r="O132">
        <v>-1.23</v>
      </c>
      <c r="Q132" t="s">
        <v>22</v>
      </c>
      <c r="R132">
        <v>-135.3776</v>
      </c>
      <c r="S132">
        <v>-1.23</v>
      </c>
      <c r="U132">
        <v>166.51</v>
      </c>
      <c r="V132">
        <v>11041673</v>
      </c>
      <c r="X132" t="s">
        <v>22</v>
      </c>
      <c r="Y132" t="s">
        <v>6</v>
      </c>
      <c r="AA132">
        <v>0</v>
      </c>
    </row>
    <row r="133" spans="1:27" x14ac:dyDescent="0.25">
      <c r="A133">
        <v>183900</v>
      </c>
      <c r="B133" t="s">
        <v>31</v>
      </c>
      <c r="E133" t="s">
        <v>32</v>
      </c>
      <c r="H133">
        <v>1201</v>
      </c>
      <c r="I133">
        <v>14004190</v>
      </c>
      <c r="J133" t="s">
        <v>75</v>
      </c>
      <c r="K133" s="1">
        <v>43220</v>
      </c>
      <c r="L133" s="1">
        <v>43220</v>
      </c>
      <c r="M133" t="s">
        <v>33</v>
      </c>
      <c r="N133">
        <v>1242965</v>
      </c>
      <c r="O133">
        <v>1.23</v>
      </c>
      <c r="Q133" t="s">
        <v>22</v>
      </c>
      <c r="R133">
        <v>-135.3776</v>
      </c>
      <c r="S133">
        <v>1.23</v>
      </c>
      <c r="U133">
        <v>-166.51</v>
      </c>
      <c r="V133">
        <v>11084961</v>
      </c>
      <c r="X133" t="s">
        <v>22</v>
      </c>
      <c r="Y133" t="s">
        <v>6</v>
      </c>
      <c r="AA133">
        <v>0</v>
      </c>
    </row>
    <row r="134" spans="1:27" x14ac:dyDescent="0.25">
      <c r="A134">
        <v>183900</v>
      </c>
      <c r="B134" t="s">
        <v>31</v>
      </c>
      <c r="E134" t="s">
        <v>32</v>
      </c>
      <c r="H134">
        <v>1201</v>
      </c>
      <c r="I134">
        <v>14292758</v>
      </c>
      <c r="J134" t="s">
        <v>74</v>
      </c>
      <c r="K134" s="1">
        <v>43195</v>
      </c>
      <c r="L134" s="1">
        <v>43224</v>
      </c>
      <c r="M134" t="s">
        <v>33</v>
      </c>
      <c r="N134">
        <v>1242965</v>
      </c>
      <c r="O134">
        <v>1.23</v>
      </c>
      <c r="Q134" t="s">
        <v>22</v>
      </c>
      <c r="R134">
        <v>-135.3776</v>
      </c>
      <c r="S134">
        <v>1.23</v>
      </c>
      <c r="U134">
        <v>-166.51</v>
      </c>
      <c r="V134">
        <v>11175164</v>
      </c>
      <c r="X134" t="s">
        <v>22</v>
      </c>
      <c r="Y134" t="s">
        <v>6</v>
      </c>
      <c r="AA134">
        <v>0</v>
      </c>
    </row>
    <row r="135" spans="1:27" x14ac:dyDescent="0.25">
      <c r="A135">
        <v>183900</v>
      </c>
      <c r="B135" t="s">
        <v>31</v>
      </c>
      <c r="E135" t="s">
        <v>32</v>
      </c>
      <c r="H135">
        <v>1201</v>
      </c>
      <c r="I135">
        <v>14301977</v>
      </c>
      <c r="J135" t="s">
        <v>74</v>
      </c>
      <c r="K135" s="1">
        <v>43251</v>
      </c>
      <c r="L135" s="1">
        <v>43251</v>
      </c>
      <c r="M135" t="s">
        <v>33</v>
      </c>
      <c r="N135">
        <v>1242965</v>
      </c>
      <c r="O135">
        <v>1.23</v>
      </c>
      <c r="Q135" t="s">
        <v>22</v>
      </c>
      <c r="R135">
        <v>-135.3776</v>
      </c>
      <c r="S135">
        <v>1.23</v>
      </c>
      <c r="U135">
        <v>-166.51</v>
      </c>
      <c r="V135">
        <v>11175170</v>
      </c>
      <c r="X135" t="s">
        <v>22</v>
      </c>
      <c r="Y135" t="s">
        <v>6</v>
      </c>
      <c r="AA135">
        <v>0</v>
      </c>
    </row>
    <row r="136" spans="1:27" x14ac:dyDescent="0.25">
      <c r="A136">
        <v>183900</v>
      </c>
      <c r="B136" t="s">
        <v>31</v>
      </c>
      <c r="E136" t="s">
        <v>32</v>
      </c>
      <c r="H136">
        <v>1201</v>
      </c>
      <c r="I136">
        <v>14301977</v>
      </c>
      <c r="J136" t="s">
        <v>74</v>
      </c>
      <c r="K136" s="1">
        <v>43251</v>
      </c>
      <c r="L136" s="1">
        <v>43251</v>
      </c>
      <c r="M136" t="s">
        <v>33</v>
      </c>
      <c r="N136">
        <v>1242965</v>
      </c>
      <c r="O136">
        <v>-1.23</v>
      </c>
      <c r="Q136" t="s">
        <v>22</v>
      </c>
      <c r="R136">
        <v>-135.3776</v>
      </c>
      <c r="S136">
        <v>-1.23</v>
      </c>
      <c r="U136">
        <v>166.51</v>
      </c>
      <c r="V136">
        <v>11161681</v>
      </c>
      <c r="X136" t="s">
        <v>22</v>
      </c>
      <c r="Y136" t="s">
        <v>6</v>
      </c>
      <c r="AA136">
        <v>0</v>
      </c>
    </row>
    <row r="137" spans="1:27" x14ac:dyDescent="0.25">
      <c r="A137">
        <v>183900</v>
      </c>
      <c r="B137" t="s">
        <v>31</v>
      </c>
      <c r="E137" t="s">
        <v>32</v>
      </c>
      <c r="H137">
        <v>1201</v>
      </c>
      <c r="I137">
        <v>14004106</v>
      </c>
      <c r="J137" t="s">
        <v>75</v>
      </c>
      <c r="K137" s="1">
        <v>43251</v>
      </c>
      <c r="L137" s="1">
        <v>43251</v>
      </c>
      <c r="M137" t="s">
        <v>33</v>
      </c>
      <c r="N137">
        <v>1242965</v>
      </c>
      <c r="O137">
        <v>-1.23</v>
      </c>
      <c r="Q137" t="s">
        <v>22</v>
      </c>
      <c r="R137">
        <v>-135.3776</v>
      </c>
      <c r="S137">
        <v>-1.23</v>
      </c>
      <c r="U137">
        <v>166.51</v>
      </c>
      <c r="V137">
        <v>11165619</v>
      </c>
      <c r="X137" t="s">
        <v>22</v>
      </c>
      <c r="Y137" t="s">
        <v>6</v>
      </c>
      <c r="AA137">
        <v>0</v>
      </c>
    </row>
    <row r="138" spans="1:27" x14ac:dyDescent="0.25">
      <c r="A138">
        <v>183900</v>
      </c>
      <c r="B138" t="s">
        <v>31</v>
      </c>
      <c r="E138" t="s">
        <v>32</v>
      </c>
      <c r="H138">
        <v>1201</v>
      </c>
      <c r="I138">
        <v>14301977</v>
      </c>
      <c r="J138" t="s">
        <v>74</v>
      </c>
      <c r="K138" s="1">
        <v>43251</v>
      </c>
      <c r="L138" s="1">
        <v>43252</v>
      </c>
      <c r="M138" t="s">
        <v>33</v>
      </c>
      <c r="N138">
        <v>1242965</v>
      </c>
      <c r="O138">
        <v>1.23</v>
      </c>
      <c r="Q138" t="s">
        <v>22</v>
      </c>
      <c r="R138">
        <v>-135.3776</v>
      </c>
      <c r="S138">
        <v>1.23</v>
      </c>
      <c r="U138">
        <v>-166.51</v>
      </c>
      <c r="V138">
        <v>11161655</v>
      </c>
      <c r="X138" t="s">
        <v>22</v>
      </c>
      <c r="Y138" t="s">
        <v>6</v>
      </c>
      <c r="AA138">
        <v>0</v>
      </c>
    </row>
    <row r="139" spans="1:27" x14ac:dyDescent="0.25">
      <c r="A139">
        <v>183900</v>
      </c>
      <c r="B139" t="s">
        <v>31</v>
      </c>
      <c r="E139" t="s">
        <v>32</v>
      </c>
      <c r="H139">
        <v>1201</v>
      </c>
      <c r="I139">
        <v>14301977</v>
      </c>
      <c r="J139" t="s">
        <v>74</v>
      </c>
      <c r="K139" s="1">
        <v>43251</v>
      </c>
      <c r="L139" s="1">
        <v>43252</v>
      </c>
      <c r="M139" t="s">
        <v>33</v>
      </c>
      <c r="N139">
        <v>1242965</v>
      </c>
      <c r="O139">
        <v>-1.23</v>
      </c>
      <c r="Q139" t="s">
        <v>22</v>
      </c>
      <c r="R139">
        <v>-135.3776</v>
      </c>
      <c r="S139">
        <v>-1.23</v>
      </c>
      <c r="U139">
        <v>166.51</v>
      </c>
      <c r="V139">
        <v>11161628</v>
      </c>
      <c r="X139" t="s">
        <v>22</v>
      </c>
      <c r="Y139" t="s">
        <v>6</v>
      </c>
      <c r="AA139">
        <v>0</v>
      </c>
    </row>
    <row r="140" spans="1:27" x14ac:dyDescent="0.25">
      <c r="A140">
        <v>183900</v>
      </c>
      <c r="B140">
        <v>183900</v>
      </c>
      <c r="H140">
        <v>1201</v>
      </c>
      <c r="M140" t="s">
        <v>33</v>
      </c>
      <c r="N140">
        <v>1242965</v>
      </c>
      <c r="R140" t="s">
        <v>69</v>
      </c>
      <c r="X140" t="s">
        <v>22</v>
      </c>
      <c r="AA140">
        <v>0</v>
      </c>
    </row>
    <row r="141" spans="1:27" x14ac:dyDescent="0.25">
      <c r="A141">
        <v>183900</v>
      </c>
      <c r="B141" t="s">
        <v>31</v>
      </c>
      <c r="E141" t="s">
        <v>32</v>
      </c>
      <c r="H141">
        <v>1201</v>
      </c>
      <c r="I141">
        <v>14004558</v>
      </c>
      <c r="J141" t="s">
        <v>68</v>
      </c>
      <c r="K141" s="1">
        <v>41673</v>
      </c>
      <c r="L141" s="1">
        <v>41673</v>
      </c>
      <c r="M141" t="s">
        <v>33</v>
      </c>
      <c r="N141">
        <v>1336789</v>
      </c>
      <c r="R141">
        <v>0</v>
      </c>
      <c r="V141">
        <v>6144185</v>
      </c>
      <c r="X141" t="s">
        <v>22</v>
      </c>
      <c r="Y141" t="s">
        <v>6</v>
      </c>
      <c r="AA141">
        <v>0</v>
      </c>
    </row>
    <row r="142" spans="1:27" x14ac:dyDescent="0.25">
      <c r="A142">
        <v>183900</v>
      </c>
      <c r="B142" t="s">
        <v>31</v>
      </c>
      <c r="E142" t="s">
        <v>32</v>
      </c>
      <c r="H142">
        <v>1201</v>
      </c>
      <c r="I142">
        <v>14004558</v>
      </c>
      <c r="J142" t="s">
        <v>72</v>
      </c>
      <c r="K142" s="1">
        <v>41673</v>
      </c>
      <c r="L142" s="1">
        <v>41673</v>
      </c>
      <c r="M142" t="s">
        <v>33</v>
      </c>
      <c r="N142">
        <v>1336789</v>
      </c>
      <c r="O142">
        <v>51.85</v>
      </c>
      <c r="Q142" t="s">
        <v>26</v>
      </c>
      <c r="R142">
        <v>4.0079000000000002</v>
      </c>
      <c r="S142">
        <v>137.77000000000001</v>
      </c>
      <c r="U142">
        <v>207.81</v>
      </c>
      <c r="V142">
        <v>6144186</v>
      </c>
      <c r="X142" t="s">
        <v>22</v>
      </c>
      <c r="Y142" t="s">
        <v>6</v>
      </c>
      <c r="AA142">
        <v>0</v>
      </c>
    </row>
    <row r="143" spans="1:27" x14ac:dyDescent="0.25">
      <c r="A143">
        <v>183900</v>
      </c>
      <c r="B143" t="s">
        <v>31</v>
      </c>
      <c r="E143" t="s">
        <v>32</v>
      </c>
      <c r="H143">
        <v>1201</v>
      </c>
      <c r="I143">
        <v>85412</v>
      </c>
      <c r="J143" t="s">
        <v>73</v>
      </c>
      <c r="K143" s="1">
        <v>41696</v>
      </c>
      <c r="L143" s="1">
        <v>41696</v>
      </c>
      <c r="M143" t="s">
        <v>33</v>
      </c>
      <c r="N143">
        <v>1336789</v>
      </c>
      <c r="O143">
        <v>-67.59</v>
      </c>
      <c r="Q143" t="s">
        <v>22</v>
      </c>
      <c r="R143">
        <v>1.5084</v>
      </c>
      <c r="S143">
        <v>-67.59</v>
      </c>
      <c r="U143">
        <v>-101.95</v>
      </c>
      <c r="V143">
        <v>6257464</v>
      </c>
      <c r="X143" t="s">
        <v>22</v>
      </c>
      <c r="Y143" t="s">
        <v>6</v>
      </c>
      <c r="AA143">
        <v>0</v>
      </c>
    </row>
    <row r="144" spans="1:27" x14ac:dyDescent="0.25">
      <c r="A144">
        <v>183900</v>
      </c>
      <c r="B144" t="s">
        <v>31</v>
      </c>
      <c r="E144" t="s">
        <v>32</v>
      </c>
      <c r="H144">
        <v>1201</v>
      </c>
      <c r="I144">
        <v>107545</v>
      </c>
      <c r="J144" t="s">
        <v>73</v>
      </c>
      <c r="K144" s="1">
        <v>42034</v>
      </c>
      <c r="L144" s="1">
        <v>42034</v>
      </c>
      <c r="M144" t="s">
        <v>33</v>
      </c>
      <c r="N144">
        <v>1336789</v>
      </c>
      <c r="O144">
        <v>-70.180000000000007</v>
      </c>
      <c r="Q144" t="s">
        <v>22</v>
      </c>
      <c r="R144">
        <v>1.5084</v>
      </c>
      <c r="S144">
        <v>-70.180000000000007</v>
      </c>
      <c r="U144">
        <v>-105.86</v>
      </c>
      <c r="V144">
        <v>7722926</v>
      </c>
      <c r="X144" t="s">
        <v>22</v>
      </c>
      <c r="Y144" t="s">
        <v>6</v>
      </c>
      <c r="AA144">
        <v>0</v>
      </c>
    </row>
    <row r="145" spans="1:27" x14ac:dyDescent="0.25">
      <c r="A145">
        <v>183900</v>
      </c>
      <c r="B145">
        <v>183900</v>
      </c>
      <c r="H145">
        <v>1201</v>
      </c>
      <c r="M145" t="s">
        <v>33</v>
      </c>
      <c r="N145">
        <v>1336789</v>
      </c>
      <c r="R145" t="s">
        <v>69</v>
      </c>
      <c r="X145" t="s">
        <v>22</v>
      </c>
      <c r="AA145">
        <v>0</v>
      </c>
    </row>
    <row r="146" spans="1:27" x14ac:dyDescent="0.25">
      <c r="A146">
        <v>183900</v>
      </c>
      <c r="B146" t="s">
        <v>31</v>
      </c>
      <c r="E146" t="s">
        <v>32</v>
      </c>
      <c r="H146">
        <v>1201</v>
      </c>
      <c r="I146">
        <v>14004810</v>
      </c>
      <c r="J146" t="s">
        <v>68</v>
      </c>
      <c r="K146" s="1">
        <v>41641</v>
      </c>
      <c r="L146" s="1">
        <v>41641</v>
      </c>
      <c r="M146" t="s">
        <v>33</v>
      </c>
      <c r="N146">
        <v>1339057</v>
      </c>
      <c r="R146">
        <v>0</v>
      </c>
      <c r="V146">
        <v>6153066</v>
      </c>
      <c r="X146" t="s">
        <v>22</v>
      </c>
      <c r="Y146" t="s">
        <v>6</v>
      </c>
      <c r="AA146">
        <v>0</v>
      </c>
    </row>
    <row r="147" spans="1:27" x14ac:dyDescent="0.25">
      <c r="A147">
        <v>183900</v>
      </c>
      <c r="B147" t="s">
        <v>31</v>
      </c>
      <c r="E147" t="s">
        <v>32</v>
      </c>
      <c r="H147">
        <v>1201</v>
      </c>
      <c r="I147">
        <v>14004810</v>
      </c>
      <c r="J147" t="s">
        <v>72</v>
      </c>
      <c r="K147" s="1">
        <v>41641</v>
      </c>
      <c r="L147" s="1">
        <v>41641</v>
      </c>
      <c r="M147" t="s">
        <v>33</v>
      </c>
      <c r="N147">
        <v>1339057</v>
      </c>
      <c r="O147">
        <v>-73.650000000000006</v>
      </c>
      <c r="Q147" t="s">
        <v>26</v>
      </c>
      <c r="R147">
        <v>3.8559000000000001</v>
      </c>
      <c r="S147">
        <v>-195.69</v>
      </c>
      <c r="U147">
        <v>-283.99</v>
      </c>
      <c r="V147">
        <v>6153067</v>
      </c>
      <c r="X147" t="s">
        <v>22</v>
      </c>
      <c r="Y147" t="s">
        <v>6</v>
      </c>
      <c r="AA147">
        <v>0</v>
      </c>
    </row>
    <row r="148" spans="1:27" x14ac:dyDescent="0.25">
      <c r="A148">
        <v>183900</v>
      </c>
      <c r="B148" t="s">
        <v>31</v>
      </c>
      <c r="E148" t="s">
        <v>32</v>
      </c>
      <c r="H148">
        <v>1201</v>
      </c>
      <c r="I148">
        <v>14001002</v>
      </c>
      <c r="J148" t="s">
        <v>70</v>
      </c>
      <c r="K148" s="1">
        <v>41684</v>
      </c>
      <c r="L148" s="1">
        <v>41684</v>
      </c>
      <c r="M148" t="s">
        <v>33</v>
      </c>
      <c r="N148">
        <v>1339057</v>
      </c>
      <c r="Q148" t="s">
        <v>22</v>
      </c>
      <c r="R148">
        <v>0</v>
      </c>
      <c r="U148">
        <v>-0.01</v>
      </c>
      <c r="V148">
        <v>6199287</v>
      </c>
      <c r="X148" t="s">
        <v>22</v>
      </c>
      <c r="Y148" t="s">
        <v>6</v>
      </c>
      <c r="AA148">
        <v>0</v>
      </c>
    </row>
    <row r="149" spans="1:27" x14ac:dyDescent="0.25">
      <c r="A149">
        <v>183900</v>
      </c>
      <c r="B149" t="s">
        <v>31</v>
      </c>
      <c r="E149" t="s">
        <v>32</v>
      </c>
      <c r="H149">
        <v>1201</v>
      </c>
      <c r="I149">
        <v>353</v>
      </c>
      <c r="J149" t="s">
        <v>79</v>
      </c>
      <c r="K149" s="1">
        <v>41684</v>
      </c>
      <c r="L149" s="1">
        <v>41684</v>
      </c>
      <c r="M149" t="s">
        <v>33</v>
      </c>
      <c r="N149">
        <v>1339057</v>
      </c>
      <c r="O149">
        <v>195.7</v>
      </c>
      <c r="Q149" t="s">
        <v>22</v>
      </c>
      <c r="R149">
        <v>1.4512</v>
      </c>
      <c r="S149">
        <v>195.7</v>
      </c>
      <c r="U149">
        <v>284</v>
      </c>
      <c r="V149">
        <v>6199226</v>
      </c>
      <c r="X149" t="s">
        <v>22</v>
      </c>
      <c r="Y149" t="s">
        <v>6</v>
      </c>
      <c r="AA149">
        <v>0</v>
      </c>
    </row>
    <row r="150" spans="1:27" x14ac:dyDescent="0.25">
      <c r="A150">
        <v>183900</v>
      </c>
      <c r="B150">
        <v>183900</v>
      </c>
      <c r="H150">
        <v>1201</v>
      </c>
      <c r="M150" t="s">
        <v>33</v>
      </c>
      <c r="N150">
        <v>1339057</v>
      </c>
      <c r="R150" t="s">
        <v>69</v>
      </c>
      <c r="S150">
        <v>0.01</v>
      </c>
      <c r="X150" t="s">
        <v>22</v>
      </c>
      <c r="AA150">
        <v>1</v>
      </c>
    </row>
    <row r="151" spans="1:27" x14ac:dyDescent="0.25">
      <c r="A151">
        <v>183900</v>
      </c>
      <c r="B151" t="s">
        <v>31</v>
      </c>
      <c r="E151" t="s">
        <v>32</v>
      </c>
      <c r="H151">
        <v>1201</v>
      </c>
      <c r="I151">
        <v>15001041</v>
      </c>
      <c r="J151" t="s">
        <v>68</v>
      </c>
      <c r="K151" s="1">
        <v>42041</v>
      </c>
      <c r="L151" s="1">
        <v>42044</v>
      </c>
      <c r="M151" t="s">
        <v>33</v>
      </c>
      <c r="N151">
        <v>1411623</v>
      </c>
      <c r="R151">
        <v>0</v>
      </c>
      <c r="V151">
        <v>7764247</v>
      </c>
      <c r="X151" t="s">
        <v>22</v>
      </c>
      <c r="Y151" t="s">
        <v>6</v>
      </c>
      <c r="AA151">
        <v>0</v>
      </c>
    </row>
    <row r="152" spans="1:27" x14ac:dyDescent="0.25">
      <c r="A152">
        <v>183900</v>
      </c>
      <c r="B152" t="s">
        <v>31</v>
      </c>
      <c r="E152" t="s">
        <v>32</v>
      </c>
      <c r="H152">
        <v>1201</v>
      </c>
      <c r="I152">
        <v>15001041</v>
      </c>
      <c r="J152" t="s">
        <v>78</v>
      </c>
      <c r="K152" s="1">
        <v>42041</v>
      </c>
      <c r="L152" s="1">
        <v>42044</v>
      </c>
      <c r="M152" t="s">
        <v>33</v>
      </c>
      <c r="N152">
        <v>1411623</v>
      </c>
      <c r="O152">
        <v>211.59</v>
      </c>
      <c r="Q152" t="s">
        <v>22</v>
      </c>
      <c r="R152">
        <v>1.6128</v>
      </c>
      <c r="S152">
        <v>211.59</v>
      </c>
      <c r="U152">
        <v>341.25</v>
      </c>
      <c r="V152">
        <v>7764248</v>
      </c>
      <c r="X152" t="s">
        <v>22</v>
      </c>
      <c r="Y152" t="s">
        <v>6</v>
      </c>
      <c r="AA152">
        <v>0</v>
      </c>
    </row>
    <row r="153" spans="1:27" x14ac:dyDescent="0.25">
      <c r="A153">
        <v>183900</v>
      </c>
      <c r="B153" t="s">
        <v>31</v>
      </c>
      <c r="E153" t="s">
        <v>32</v>
      </c>
      <c r="H153">
        <v>1201</v>
      </c>
      <c r="I153">
        <v>17001120</v>
      </c>
      <c r="J153" t="s">
        <v>78</v>
      </c>
      <c r="K153" s="1">
        <v>42961</v>
      </c>
      <c r="L153" s="1">
        <v>42972</v>
      </c>
      <c r="M153" t="s">
        <v>33</v>
      </c>
      <c r="N153">
        <v>1411623</v>
      </c>
      <c r="O153">
        <v>-211.59</v>
      </c>
      <c r="Q153" t="s">
        <v>22</v>
      </c>
      <c r="R153">
        <v>1.6128</v>
      </c>
      <c r="S153">
        <v>-211.59</v>
      </c>
      <c r="U153">
        <v>-341.25</v>
      </c>
      <c r="V153">
        <v>10654600</v>
      </c>
      <c r="X153" t="s">
        <v>22</v>
      </c>
      <c r="Y153" t="s">
        <v>6</v>
      </c>
      <c r="AA153">
        <v>0</v>
      </c>
    </row>
    <row r="154" spans="1:27" x14ac:dyDescent="0.25">
      <c r="A154">
        <v>183900</v>
      </c>
      <c r="B154">
        <v>183900</v>
      </c>
      <c r="H154">
        <v>1201</v>
      </c>
      <c r="M154" t="s">
        <v>33</v>
      </c>
      <c r="N154">
        <v>1411623</v>
      </c>
      <c r="R154" t="s">
        <v>69</v>
      </c>
      <c r="X154" t="s">
        <v>22</v>
      </c>
      <c r="AA154">
        <v>0</v>
      </c>
    </row>
    <row r="155" spans="1:27" x14ac:dyDescent="0.25">
      <c r="A155">
        <v>183900</v>
      </c>
      <c r="B155" t="s">
        <v>31</v>
      </c>
      <c r="E155" t="s">
        <v>32</v>
      </c>
      <c r="H155">
        <v>1201</v>
      </c>
      <c r="I155">
        <v>17001120</v>
      </c>
      <c r="J155" t="s">
        <v>68</v>
      </c>
      <c r="K155" s="1">
        <v>42961</v>
      </c>
      <c r="L155" s="1">
        <v>42972</v>
      </c>
      <c r="M155" t="s">
        <v>83</v>
      </c>
      <c r="N155">
        <v>1411623</v>
      </c>
      <c r="R155">
        <v>0</v>
      </c>
      <c r="V155">
        <v>10654601</v>
      </c>
      <c r="X155" t="s">
        <v>22</v>
      </c>
      <c r="Y155" t="s">
        <v>6</v>
      </c>
      <c r="AA155">
        <v>0</v>
      </c>
    </row>
    <row r="156" spans="1:27" x14ac:dyDescent="0.25">
      <c r="A156">
        <v>183900</v>
      </c>
      <c r="B156" t="s">
        <v>31</v>
      </c>
      <c r="E156" t="s">
        <v>32</v>
      </c>
      <c r="H156">
        <v>1201</v>
      </c>
      <c r="I156">
        <v>17001120</v>
      </c>
      <c r="J156" t="s">
        <v>78</v>
      </c>
      <c r="K156" s="1">
        <v>42961</v>
      </c>
      <c r="L156" s="1">
        <v>42972</v>
      </c>
      <c r="M156" t="s">
        <v>83</v>
      </c>
      <c r="N156">
        <v>1411623</v>
      </c>
      <c r="O156">
        <v>211.59</v>
      </c>
      <c r="Q156" t="s">
        <v>22</v>
      </c>
      <c r="R156">
        <v>1.6128</v>
      </c>
      <c r="S156">
        <v>211.59</v>
      </c>
      <c r="U156">
        <v>341.25</v>
      </c>
      <c r="V156">
        <v>10654602</v>
      </c>
      <c r="X156" t="s">
        <v>22</v>
      </c>
      <c r="Y156" t="s">
        <v>6</v>
      </c>
      <c r="AA156">
        <v>0</v>
      </c>
    </row>
    <row r="157" spans="1:27" x14ac:dyDescent="0.25">
      <c r="A157">
        <v>183900</v>
      </c>
      <c r="B157" t="s">
        <v>31</v>
      </c>
      <c r="E157" t="s">
        <v>32</v>
      </c>
      <c r="H157">
        <v>1201</v>
      </c>
      <c r="I157">
        <v>14278635</v>
      </c>
      <c r="J157" t="s">
        <v>74</v>
      </c>
      <c r="K157" s="1">
        <v>43068</v>
      </c>
      <c r="L157" s="1">
        <v>43068</v>
      </c>
      <c r="M157" t="s">
        <v>83</v>
      </c>
      <c r="N157">
        <v>1411623</v>
      </c>
      <c r="O157">
        <v>-5</v>
      </c>
      <c r="Q157" t="s">
        <v>22</v>
      </c>
      <c r="R157">
        <v>1.6128</v>
      </c>
      <c r="S157">
        <v>-5</v>
      </c>
      <c r="U157">
        <v>-8.06</v>
      </c>
      <c r="V157">
        <v>10788568</v>
      </c>
      <c r="X157" t="s">
        <v>22</v>
      </c>
      <c r="Y157" t="s">
        <v>6</v>
      </c>
      <c r="AA157">
        <v>0</v>
      </c>
    </row>
    <row r="158" spans="1:27" x14ac:dyDescent="0.25">
      <c r="A158">
        <v>183900</v>
      </c>
      <c r="B158" t="s">
        <v>31</v>
      </c>
      <c r="E158" t="s">
        <v>32</v>
      </c>
      <c r="H158">
        <v>1201</v>
      </c>
      <c r="I158">
        <v>17001549</v>
      </c>
      <c r="J158" t="s">
        <v>78</v>
      </c>
      <c r="K158" s="1">
        <v>43097</v>
      </c>
      <c r="L158" s="1">
        <v>43097</v>
      </c>
      <c r="M158" t="s">
        <v>83</v>
      </c>
      <c r="N158">
        <v>1411623</v>
      </c>
      <c r="O158">
        <v>-206.59</v>
      </c>
      <c r="Q158" t="s">
        <v>22</v>
      </c>
      <c r="R158">
        <v>1.6128</v>
      </c>
      <c r="S158">
        <v>-206.59</v>
      </c>
      <c r="U158">
        <v>-333.19</v>
      </c>
      <c r="V158">
        <v>10840339</v>
      </c>
      <c r="X158" t="s">
        <v>22</v>
      </c>
      <c r="Y158" t="s">
        <v>6</v>
      </c>
      <c r="AA158">
        <v>0</v>
      </c>
    </row>
    <row r="159" spans="1:27" x14ac:dyDescent="0.25">
      <c r="A159">
        <v>183900</v>
      </c>
      <c r="B159">
        <v>183900</v>
      </c>
      <c r="H159">
        <v>1201</v>
      </c>
      <c r="M159" t="s">
        <v>83</v>
      </c>
      <c r="N159">
        <v>1411623</v>
      </c>
      <c r="R159" t="s">
        <v>69</v>
      </c>
      <c r="X159" t="s">
        <v>22</v>
      </c>
      <c r="AA159">
        <v>0</v>
      </c>
    </row>
    <row r="160" spans="1:27" x14ac:dyDescent="0.25">
      <c r="A160">
        <v>183900</v>
      </c>
      <c r="B160" t="s">
        <v>31</v>
      </c>
      <c r="E160" t="s">
        <v>32</v>
      </c>
      <c r="H160">
        <v>1201</v>
      </c>
      <c r="I160">
        <v>14012216</v>
      </c>
      <c r="J160" t="s">
        <v>68</v>
      </c>
      <c r="K160" s="1">
        <v>41745</v>
      </c>
      <c r="L160" s="1">
        <v>41745</v>
      </c>
      <c r="M160" t="s">
        <v>84</v>
      </c>
      <c r="N160">
        <v>1411623</v>
      </c>
      <c r="R160">
        <v>0</v>
      </c>
      <c r="V160">
        <v>6475203</v>
      </c>
      <c r="X160" t="s">
        <v>22</v>
      </c>
      <c r="Y160" t="s">
        <v>6</v>
      </c>
      <c r="AA160">
        <v>0</v>
      </c>
    </row>
    <row r="161" spans="1:27" x14ac:dyDescent="0.25">
      <c r="A161">
        <v>183900</v>
      </c>
      <c r="B161" t="s">
        <v>31</v>
      </c>
      <c r="E161" t="s">
        <v>32</v>
      </c>
      <c r="H161">
        <v>1201</v>
      </c>
      <c r="I161">
        <v>14012216</v>
      </c>
      <c r="J161" t="s">
        <v>72</v>
      </c>
      <c r="K161" s="1">
        <v>41745</v>
      </c>
      <c r="L161" s="1">
        <v>41745</v>
      </c>
      <c r="M161" t="s">
        <v>84</v>
      </c>
      <c r="N161">
        <v>1411623</v>
      </c>
      <c r="O161">
        <v>128.15</v>
      </c>
      <c r="Q161" t="s">
        <v>26</v>
      </c>
      <c r="R161">
        <v>4.2854999999999999</v>
      </c>
      <c r="S161">
        <v>340.49</v>
      </c>
      <c r="U161">
        <v>549.19000000000005</v>
      </c>
      <c r="V161">
        <v>6475204</v>
      </c>
      <c r="X161" t="s">
        <v>22</v>
      </c>
      <c r="Y161" t="s">
        <v>6</v>
      </c>
      <c r="AA161">
        <v>0</v>
      </c>
    </row>
    <row r="162" spans="1:27" x14ac:dyDescent="0.25">
      <c r="A162">
        <v>183900</v>
      </c>
      <c r="B162" t="s">
        <v>31</v>
      </c>
      <c r="E162" t="s">
        <v>32</v>
      </c>
      <c r="H162">
        <v>1201</v>
      </c>
      <c r="I162">
        <v>90322</v>
      </c>
      <c r="J162" t="s">
        <v>73</v>
      </c>
      <c r="K162" s="1">
        <v>41782</v>
      </c>
      <c r="L162" s="1">
        <v>41787</v>
      </c>
      <c r="M162" t="s">
        <v>84</v>
      </c>
      <c r="N162">
        <v>1411623</v>
      </c>
      <c r="O162">
        <v>-128.91999999999999</v>
      </c>
      <c r="Q162" t="s">
        <v>22</v>
      </c>
      <c r="R162">
        <v>1.6128</v>
      </c>
      <c r="S162">
        <v>-128.91999999999999</v>
      </c>
      <c r="U162">
        <v>-207.92</v>
      </c>
      <c r="V162">
        <v>6633607</v>
      </c>
      <c r="X162" t="s">
        <v>22</v>
      </c>
      <c r="Y162" t="s">
        <v>6</v>
      </c>
      <c r="AA162">
        <v>0</v>
      </c>
    </row>
    <row r="163" spans="1:27" x14ac:dyDescent="0.25">
      <c r="A163">
        <v>183900</v>
      </c>
      <c r="B163" t="s">
        <v>31</v>
      </c>
      <c r="E163" t="s">
        <v>32</v>
      </c>
      <c r="H163">
        <v>1201</v>
      </c>
      <c r="I163">
        <v>15001041</v>
      </c>
      <c r="J163" t="s">
        <v>78</v>
      </c>
      <c r="K163" s="1">
        <v>42041</v>
      </c>
      <c r="L163" s="1">
        <v>42044</v>
      </c>
      <c r="M163" t="s">
        <v>84</v>
      </c>
      <c r="N163">
        <v>1411623</v>
      </c>
      <c r="O163">
        <v>-211.59</v>
      </c>
      <c r="Q163" t="s">
        <v>22</v>
      </c>
      <c r="R163">
        <v>1.6128</v>
      </c>
      <c r="S163">
        <v>-211.59</v>
      </c>
      <c r="U163">
        <v>-341.25</v>
      </c>
      <c r="V163">
        <v>7764246</v>
      </c>
      <c r="X163" t="s">
        <v>22</v>
      </c>
      <c r="Y163" t="s">
        <v>6</v>
      </c>
      <c r="AA163">
        <v>0</v>
      </c>
    </row>
    <row r="164" spans="1:27" x14ac:dyDescent="0.25">
      <c r="A164">
        <v>183900</v>
      </c>
      <c r="B164" t="s">
        <v>31</v>
      </c>
      <c r="E164" t="s">
        <v>32</v>
      </c>
      <c r="H164">
        <v>1201</v>
      </c>
      <c r="I164">
        <v>14003736</v>
      </c>
      <c r="J164" t="s">
        <v>75</v>
      </c>
      <c r="K164" s="1">
        <v>42642</v>
      </c>
      <c r="L164" s="1">
        <v>42642</v>
      </c>
      <c r="M164" t="s">
        <v>84</v>
      </c>
      <c r="N164">
        <v>1411623</v>
      </c>
      <c r="Q164" t="s">
        <v>22</v>
      </c>
      <c r="R164">
        <v>0</v>
      </c>
      <c r="U164">
        <v>-0.02</v>
      </c>
      <c r="V164">
        <v>9970869</v>
      </c>
      <c r="X164" t="s">
        <v>22</v>
      </c>
      <c r="Y164" t="s">
        <v>6</v>
      </c>
      <c r="AA164">
        <v>0</v>
      </c>
    </row>
    <row r="165" spans="1:27" x14ac:dyDescent="0.25">
      <c r="A165">
        <v>183900</v>
      </c>
      <c r="B165">
        <v>183900</v>
      </c>
      <c r="H165">
        <v>1201</v>
      </c>
      <c r="M165" t="s">
        <v>84</v>
      </c>
      <c r="N165">
        <v>1411623</v>
      </c>
      <c r="R165" t="s">
        <v>69</v>
      </c>
      <c r="S165">
        <v>-0.02</v>
      </c>
      <c r="X165" t="s">
        <v>22</v>
      </c>
      <c r="AA165">
        <v>1</v>
      </c>
    </row>
    <row r="166" spans="1:27" x14ac:dyDescent="0.25">
      <c r="A166">
        <v>183900</v>
      </c>
      <c r="B166" t="s">
        <v>31</v>
      </c>
      <c r="E166" t="s">
        <v>32</v>
      </c>
      <c r="H166">
        <v>1201</v>
      </c>
      <c r="I166">
        <v>13031503</v>
      </c>
      <c r="J166" t="s">
        <v>68</v>
      </c>
      <c r="K166" s="1">
        <v>41577</v>
      </c>
      <c r="L166" s="1">
        <v>41577</v>
      </c>
      <c r="M166" t="s">
        <v>85</v>
      </c>
      <c r="N166">
        <v>1242965</v>
      </c>
      <c r="R166">
        <v>0</v>
      </c>
      <c r="V166">
        <v>5705293</v>
      </c>
      <c r="X166" t="s">
        <v>22</v>
      </c>
      <c r="Y166" t="s">
        <v>6</v>
      </c>
      <c r="AA166">
        <v>0</v>
      </c>
    </row>
    <row r="167" spans="1:27" x14ac:dyDescent="0.25">
      <c r="A167">
        <v>183900</v>
      </c>
      <c r="B167" t="s">
        <v>31</v>
      </c>
      <c r="E167" t="s">
        <v>32</v>
      </c>
      <c r="H167">
        <v>1201</v>
      </c>
      <c r="I167">
        <v>13031503</v>
      </c>
      <c r="J167" t="s">
        <v>72</v>
      </c>
      <c r="K167" s="1">
        <v>41577</v>
      </c>
      <c r="L167" s="1">
        <v>41577</v>
      </c>
      <c r="M167" t="s">
        <v>85</v>
      </c>
      <c r="N167">
        <v>1242965</v>
      </c>
      <c r="O167">
        <v>120</v>
      </c>
      <c r="Q167" t="s">
        <v>26</v>
      </c>
      <c r="R167">
        <v>4.2434000000000003</v>
      </c>
      <c r="S167">
        <v>318.83999999999997</v>
      </c>
      <c r="U167">
        <v>509.21</v>
      </c>
      <c r="V167">
        <v>5705294</v>
      </c>
      <c r="X167" t="s">
        <v>22</v>
      </c>
      <c r="Y167" t="s">
        <v>6</v>
      </c>
      <c r="AA167">
        <v>0</v>
      </c>
    </row>
    <row r="168" spans="1:27" x14ac:dyDescent="0.25">
      <c r="A168">
        <v>183900</v>
      </c>
      <c r="B168" t="s">
        <v>31</v>
      </c>
      <c r="E168" t="s">
        <v>32</v>
      </c>
      <c r="H168">
        <v>1201</v>
      </c>
      <c r="I168">
        <v>81330</v>
      </c>
      <c r="J168" t="s">
        <v>73</v>
      </c>
      <c r="K168" s="1">
        <v>41610</v>
      </c>
      <c r="L168" s="1">
        <v>41623</v>
      </c>
      <c r="M168" t="s">
        <v>85</v>
      </c>
      <c r="N168">
        <v>1242965</v>
      </c>
      <c r="O168">
        <v>-50.97</v>
      </c>
      <c r="Q168" t="s">
        <v>22</v>
      </c>
      <c r="R168">
        <v>1.597</v>
      </c>
      <c r="S168">
        <v>-50.97</v>
      </c>
      <c r="U168">
        <v>-81.400000000000006</v>
      </c>
      <c r="V168">
        <v>5831818</v>
      </c>
      <c r="X168" t="s">
        <v>22</v>
      </c>
      <c r="Y168" t="s">
        <v>6</v>
      </c>
      <c r="AA168">
        <v>0</v>
      </c>
    </row>
    <row r="169" spans="1:27" x14ac:dyDescent="0.25">
      <c r="A169">
        <v>183900</v>
      </c>
      <c r="B169" t="s">
        <v>31</v>
      </c>
      <c r="E169" t="s">
        <v>32</v>
      </c>
      <c r="H169">
        <v>1201</v>
      </c>
      <c r="I169">
        <v>81330</v>
      </c>
      <c r="J169" t="s">
        <v>73</v>
      </c>
      <c r="K169" s="1">
        <v>41613</v>
      </c>
      <c r="L169" s="1">
        <v>41623</v>
      </c>
      <c r="M169" t="s">
        <v>85</v>
      </c>
      <c r="N169">
        <v>1242965</v>
      </c>
      <c r="O169">
        <v>-72.400000000000006</v>
      </c>
      <c r="Q169" t="s">
        <v>22</v>
      </c>
      <c r="R169">
        <v>1.597</v>
      </c>
      <c r="S169">
        <v>-72.400000000000006</v>
      </c>
      <c r="U169">
        <v>-115.62</v>
      </c>
      <c r="V169">
        <v>5860762</v>
      </c>
      <c r="X169" t="s">
        <v>22</v>
      </c>
      <c r="Y169" t="s">
        <v>6</v>
      </c>
      <c r="AA169">
        <v>0</v>
      </c>
    </row>
    <row r="170" spans="1:27" x14ac:dyDescent="0.25">
      <c r="A170">
        <v>183900</v>
      </c>
      <c r="B170" t="s">
        <v>31</v>
      </c>
      <c r="E170" t="s">
        <v>32</v>
      </c>
      <c r="H170">
        <v>1201</v>
      </c>
      <c r="I170">
        <v>14001001</v>
      </c>
      <c r="J170" t="s">
        <v>78</v>
      </c>
      <c r="K170" s="1">
        <v>41641</v>
      </c>
      <c r="L170" s="1">
        <v>41641</v>
      </c>
      <c r="M170" t="s">
        <v>85</v>
      </c>
      <c r="N170">
        <v>1242965</v>
      </c>
      <c r="O170">
        <v>-195.48</v>
      </c>
      <c r="Q170" t="s">
        <v>22</v>
      </c>
      <c r="R170">
        <v>1.597</v>
      </c>
      <c r="S170">
        <v>-195.48</v>
      </c>
      <c r="U170">
        <v>-312.18</v>
      </c>
      <c r="V170">
        <v>6014764</v>
      </c>
      <c r="X170" t="s">
        <v>22</v>
      </c>
      <c r="Y170" t="s">
        <v>6</v>
      </c>
      <c r="AA170">
        <v>0</v>
      </c>
    </row>
    <row r="171" spans="1:27" x14ac:dyDescent="0.25">
      <c r="A171">
        <v>183900</v>
      </c>
      <c r="B171" t="s">
        <v>31</v>
      </c>
      <c r="E171" t="s">
        <v>32</v>
      </c>
      <c r="H171">
        <v>1201</v>
      </c>
      <c r="I171">
        <v>4270</v>
      </c>
      <c r="J171" t="s">
        <v>75</v>
      </c>
      <c r="K171" s="1">
        <v>41667</v>
      </c>
      <c r="L171" s="1">
        <v>41667</v>
      </c>
      <c r="M171" t="s">
        <v>85</v>
      </c>
      <c r="N171">
        <v>1242965</v>
      </c>
      <c r="Q171" t="s">
        <v>22</v>
      </c>
      <c r="R171">
        <v>0</v>
      </c>
      <c r="U171">
        <v>0.01</v>
      </c>
      <c r="V171">
        <v>6148616</v>
      </c>
      <c r="X171" t="s">
        <v>22</v>
      </c>
      <c r="Y171" t="s">
        <v>6</v>
      </c>
      <c r="AA171">
        <v>0</v>
      </c>
    </row>
    <row r="172" spans="1:27" x14ac:dyDescent="0.25">
      <c r="A172">
        <v>183900</v>
      </c>
      <c r="B172" t="s">
        <v>31</v>
      </c>
      <c r="E172" t="s">
        <v>32</v>
      </c>
      <c r="H172">
        <v>1201</v>
      </c>
      <c r="I172">
        <v>4270</v>
      </c>
      <c r="J172" t="s">
        <v>75</v>
      </c>
      <c r="K172" s="1">
        <v>41667</v>
      </c>
      <c r="L172" s="1">
        <v>41667</v>
      </c>
      <c r="M172" t="s">
        <v>85</v>
      </c>
      <c r="N172">
        <v>1242965</v>
      </c>
      <c r="Q172" t="s">
        <v>22</v>
      </c>
      <c r="R172">
        <v>0</v>
      </c>
      <c r="U172">
        <v>-0.01</v>
      </c>
      <c r="V172">
        <v>6118845</v>
      </c>
      <c r="X172" t="s">
        <v>22</v>
      </c>
      <c r="Y172" t="s">
        <v>6</v>
      </c>
      <c r="AA172">
        <v>0</v>
      </c>
    </row>
    <row r="173" spans="1:27" x14ac:dyDescent="0.25">
      <c r="A173">
        <v>183900</v>
      </c>
      <c r="B173" t="s">
        <v>31</v>
      </c>
      <c r="E173" t="s">
        <v>32</v>
      </c>
      <c r="H173">
        <v>1201</v>
      </c>
      <c r="I173">
        <v>14001002</v>
      </c>
      <c r="J173" t="s">
        <v>70</v>
      </c>
      <c r="K173" s="1">
        <v>41684</v>
      </c>
      <c r="L173" s="1">
        <v>41684</v>
      </c>
      <c r="M173" t="s">
        <v>85</v>
      </c>
      <c r="N173">
        <v>1242965</v>
      </c>
      <c r="Q173" t="s">
        <v>22</v>
      </c>
      <c r="R173">
        <v>0</v>
      </c>
      <c r="U173">
        <v>-0.01</v>
      </c>
      <c r="V173">
        <v>6199288</v>
      </c>
      <c r="X173" t="s">
        <v>22</v>
      </c>
      <c r="Y173" t="s">
        <v>6</v>
      </c>
      <c r="AA173">
        <v>0</v>
      </c>
    </row>
    <row r="174" spans="1:27" x14ac:dyDescent="0.25">
      <c r="A174">
        <v>183900</v>
      </c>
      <c r="B174">
        <v>183900</v>
      </c>
      <c r="H174">
        <v>1201</v>
      </c>
      <c r="M174" t="s">
        <v>85</v>
      </c>
      <c r="N174">
        <v>1242965</v>
      </c>
      <c r="R174" t="s">
        <v>69</v>
      </c>
      <c r="S174">
        <v>-0.01</v>
      </c>
      <c r="X174" t="s">
        <v>22</v>
      </c>
      <c r="AA174">
        <v>1</v>
      </c>
    </row>
    <row r="175" spans="1:27" x14ac:dyDescent="0.25">
      <c r="A175">
        <v>183900</v>
      </c>
      <c r="B175" t="s">
        <v>31</v>
      </c>
      <c r="E175" t="s">
        <v>32</v>
      </c>
      <c r="H175">
        <v>1201</v>
      </c>
      <c r="I175">
        <v>13031558</v>
      </c>
      <c r="J175" t="s">
        <v>68</v>
      </c>
      <c r="K175" s="1">
        <v>41577</v>
      </c>
      <c r="L175" s="1">
        <v>41577</v>
      </c>
      <c r="M175" t="s">
        <v>85</v>
      </c>
      <c r="N175">
        <v>1243715</v>
      </c>
      <c r="R175">
        <v>0</v>
      </c>
      <c r="V175">
        <v>5708888</v>
      </c>
      <c r="X175" t="s">
        <v>22</v>
      </c>
      <c r="Y175" t="s">
        <v>6</v>
      </c>
      <c r="AA175">
        <v>0</v>
      </c>
    </row>
    <row r="176" spans="1:27" x14ac:dyDescent="0.25">
      <c r="A176">
        <v>183900</v>
      </c>
      <c r="B176" t="s">
        <v>31</v>
      </c>
      <c r="E176" t="s">
        <v>32</v>
      </c>
      <c r="H176">
        <v>1201</v>
      </c>
      <c r="I176">
        <v>13031558</v>
      </c>
      <c r="J176" t="s">
        <v>72</v>
      </c>
      <c r="K176" s="1">
        <v>41577</v>
      </c>
      <c r="L176" s="1">
        <v>41577</v>
      </c>
      <c r="M176" t="s">
        <v>85</v>
      </c>
      <c r="N176">
        <v>1243715</v>
      </c>
      <c r="O176">
        <v>48.81</v>
      </c>
      <c r="Q176" t="s">
        <v>26</v>
      </c>
      <c r="R176">
        <v>2.3283</v>
      </c>
      <c r="S176">
        <v>129.69</v>
      </c>
      <c r="U176">
        <v>113.64</v>
      </c>
      <c r="V176">
        <v>5708889</v>
      </c>
      <c r="X176" t="s">
        <v>22</v>
      </c>
      <c r="Y176" t="s">
        <v>6</v>
      </c>
      <c r="AA176">
        <v>0</v>
      </c>
    </row>
    <row r="177" spans="1:27" x14ac:dyDescent="0.25">
      <c r="A177">
        <v>183900</v>
      </c>
      <c r="B177" t="s">
        <v>31</v>
      </c>
      <c r="E177" t="s">
        <v>32</v>
      </c>
      <c r="H177">
        <v>1201</v>
      </c>
      <c r="I177">
        <v>81332</v>
      </c>
      <c r="J177" t="s">
        <v>73</v>
      </c>
      <c r="K177" s="1">
        <v>41596</v>
      </c>
      <c r="L177" s="1">
        <v>41598</v>
      </c>
      <c r="M177" t="s">
        <v>85</v>
      </c>
      <c r="N177">
        <v>1243715</v>
      </c>
      <c r="O177">
        <v>-46</v>
      </c>
      <c r="Q177" t="s">
        <v>22</v>
      </c>
      <c r="R177">
        <v>0.87629999999999997</v>
      </c>
      <c r="S177">
        <v>-46</v>
      </c>
      <c r="U177">
        <v>-40.31</v>
      </c>
      <c r="V177">
        <v>5775768</v>
      </c>
      <c r="X177" t="s">
        <v>22</v>
      </c>
      <c r="Y177" t="s">
        <v>6</v>
      </c>
      <c r="AA177">
        <v>0</v>
      </c>
    </row>
    <row r="178" spans="1:27" x14ac:dyDescent="0.25">
      <c r="A178">
        <v>183900</v>
      </c>
      <c r="B178" t="s">
        <v>31</v>
      </c>
      <c r="E178" t="s">
        <v>32</v>
      </c>
      <c r="H178">
        <v>1201</v>
      </c>
      <c r="I178">
        <v>81330</v>
      </c>
      <c r="J178" t="s">
        <v>73</v>
      </c>
      <c r="K178" s="1">
        <v>41592</v>
      </c>
      <c r="L178" s="1">
        <v>41599</v>
      </c>
      <c r="M178" t="s">
        <v>85</v>
      </c>
      <c r="N178">
        <v>1243715</v>
      </c>
      <c r="O178">
        <v>-68.23</v>
      </c>
      <c r="Q178" t="s">
        <v>22</v>
      </c>
      <c r="R178">
        <v>0.87629999999999997</v>
      </c>
      <c r="S178">
        <v>-68.23</v>
      </c>
      <c r="U178">
        <v>-59.79</v>
      </c>
      <c r="V178">
        <v>5759218</v>
      </c>
      <c r="X178" t="s">
        <v>22</v>
      </c>
      <c r="Y178" t="s">
        <v>6</v>
      </c>
      <c r="AA178">
        <v>0</v>
      </c>
    </row>
    <row r="179" spans="1:27" x14ac:dyDescent="0.25">
      <c r="A179">
        <v>183900</v>
      </c>
      <c r="B179" t="s">
        <v>31</v>
      </c>
      <c r="E179" t="s">
        <v>32</v>
      </c>
      <c r="H179">
        <v>1201</v>
      </c>
      <c r="I179">
        <v>81330</v>
      </c>
      <c r="J179" t="s">
        <v>73</v>
      </c>
      <c r="K179" s="1">
        <v>41610</v>
      </c>
      <c r="L179" s="1">
        <v>41623</v>
      </c>
      <c r="M179" t="s">
        <v>85</v>
      </c>
      <c r="N179">
        <v>1243715</v>
      </c>
      <c r="O179">
        <v>-15.46</v>
      </c>
      <c r="Q179" t="s">
        <v>22</v>
      </c>
      <c r="R179">
        <v>0.87629999999999997</v>
      </c>
      <c r="S179">
        <v>-15.46</v>
      </c>
      <c r="U179">
        <v>-13.55</v>
      </c>
      <c r="V179">
        <v>5831817</v>
      </c>
      <c r="X179" t="s">
        <v>22</v>
      </c>
      <c r="Y179" t="s">
        <v>6</v>
      </c>
      <c r="AA179">
        <v>0</v>
      </c>
    </row>
    <row r="180" spans="1:27" x14ac:dyDescent="0.25">
      <c r="A180">
        <v>183900</v>
      </c>
      <c r="B180" t="s">
        <v>31</v>
      </c>
      <c r="E180" t="s">
        <v>32</v>
      </c>
      <c r="H180">
        <v>1201</v>
      </c>
      <c r="I180">
        <v>4270</v>
      </c>
      <c r="J180" t="s">
        <v>75</v>
      </c>
      <c r="K180" s="1">
        <v>41667</v>
      </c>
      <c r="L180" s="1">
        <v>41667</v>
      </c>
      <c r="M180" t="s">
        <v>85</v>
      </c>
      <c r="N180">
        <v>1243715</v>
      </c>
      <c r="Q180" t="s">
        <v>22</v>
      </c>
      <c r="R180">
        <v>0</v>
      </c>
      <c r="U180">
        <v>0.01</v>
      </c>
      <c r="V180">
        <v>6118843</v>
      </c>
      <c r="X180" t="s">
        <v>22</v>
      </c>
      <c r="Y180" t="s">
        <v>6</v>
      </c>
      <c r="AA180">
        <v>0</v>
      </c>
    </row>
    <row r="181" spans="1:27" x14ac:dyDescent="0.25">
      <c r="A181">
        <v>183900</v>
      </c>
      <c r="B181" t="s">
        <v>31</v>
      </c>
      <c r="E181" t="s">
        <v>32</v>
      </c>
      <c r="H181">
        <v>1201</v>
      </c>
      <c r="I181">
        <v>4321</v>
      </c>
      <c r="J181" t="s">
        <v>75</v>
      </c>
      <c r="K181" s="1">
        <v>41669</v>
      </c>
      <c r="L181" s="1">
        <v>41669</v>
      </c>
      <c r="M181" t="s">
        <v>85</v>
      </c>
      <c r="N181">
        <v>1243715</v>
      </c>
      <c r="Q181" t="s">
        <v>22</v>
      </c>
      <c r="R181">
        <v>0</v>
      </c>
      <c r="U181">
        <v>-166.8</v>
      </c>
      <c r="V181">
        <v>6153102</v>
      </c>
      <c r="X181" t="s">
        <v>22</v>
      </c>
      <c r="Y181" t="s">
        <v>6</v>
      </c>
      <c r="AA181">
        <v>0</v>
      </c>
    </row>
    <row r="182" spans="1:27" x14ac:dyDescent="0.25">
      <c r="A182">
        <v>183900</v>
      </c>
      <c r="B182" t="s">
        <v>31</v>
      </c>
      <c r="E182" t="s">
        <v>32</v>
      </c>
      <c r="H182">
        <v>1201</v>
      </c>
      <c r="I182">
        <v>14001002</v>
      </c>
      <c r="J182" t="s">
        <v>70</v>
      </c>
      <c r="K182" s="1">
        <v>41684</v>
      </c>
      <c r="L182" s="1">
        <v>41684</v>
      </c>
      <c r="M182" t="s">
        <v>85</v>
      </c>
      <c r="N182">
        <v>1243715</v>
      </c>
      <c r="Q182" t="s">
        <v>22</v>
      </c>
      <c r="R182">
        <v>0</v>
      </c>
      <c r="U182">
        <v>166.8</v>
      </c>
      <c r="V182">
        <v>6199289</v>
      </c>
      <c r="X182" t="s">
        <v>22</v>
      </c>
      <c r="Y182" t="s">
        <v>6</v>
      </c>
      <c r="AA182">
        <v>0</v>
      </c>
    </row>
    <row r="183" spans="1:27" x14ac:dyDescent="0.25">
      <c r="A183">
        <v>183900</v>
      </c>
      <c r="B183">
        <v>183900</v>
      </c>
      <c r="H183">
        <v>1201</v>
      </c>
      <c r="M183" t="s">
        <v>85</v>
      </c>
      <c r="N183">
        <v>1243715</v>
      </c>
      <c r="R183" t="s">
        <v>69</v>
      </c>
      <c r="X183" t="s">
        <v>22</v>
      </c>
      <c r="AA183">
        <v>0</v>
      </c>
    </row>
    <row r="184" spans="1:27" x14ac:dyDescent="0.25">
      <c r="A184">
        <v>183900</v>
      </c>
      <c r="B184" t="s">
        <v>31</v>
      </c>
      <c r="E184" t="s">
        <v>32</v>
      </c>
      <c r="H184">
        <v>1201</v>
      </c>
      <c r="J184" t="s">
        <v>76</v>
      </c>
      <c r="R184" t="s">
        <v>77</v>
      </c>
      <c r="S184">
        <v>-0.02</v>
      </c>
      <c r="U184">
        <v>0</v>
      </c>
      <c r="X184" t="s">
        <v>22</v>
      </c>
      <c r="AA184"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9D19DC-DF9D-4940-8455-1DAFB991B1A7}">
  <dimension ref="A1:B5"/>
  <sheetViews>
    <sheetView workbookViewId="0"/>
  </sheetViews>
  <sheetFormatPr defaultRowHeight="15" x14ac:dyDescent="0.25"/>
  <cols>
    <col min="1" max="1" width="7" bestFit="1" customWidth="1"/>
    <col min="2" max="2" width="7.42578125" bestFit="1" customWidth="1"/>
  </cols>
  <sheetData>
    <row r="1" spans="1:2" s="2" customFormat="1" x14ac:dyDescent="0.25">
      <c r="A1" s="2" t="s">
        <v>13</v>
      </c>
      <c r="B1" s="2" t="s">
        <v>65</v>
      </c>
    </row>
    <row r="2" spans="1:2" x14ac:dyDescent="0.25">
      <c r="A2">
        <v>96294</v>
      </c>
      <c r="B2" t="s">
        <v>6</v>
      </c>
    </row>
    <row r="3" spans="1:2" x14ac:dyDescent="0.25">
      <c r="A3">
        <v>104198</v>
      </c>
      <c r="B3" t="s">
        <v>6</v>
      </c>
    </row>
    <row r="4" spans="1:2" x14ac:dyDescent="0.25">
      <c r="A4">
        <v>104203</v>
      </c>
      <c r="B4" t="s">
        <v>6</v>
      </c>
    </row>
    <row r="5" spans="1:2" x14ac:dyDescent="0.25">
      <c r="A5">
        <v>183900</v>
      </c>
      <c r="B5" t="s">
        <v>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35FCD7-7C54-4133-B35A-1A3CE8549642}">
  <dimension ref="A1:H15"/>
  <sheetViews>
    <sheetView workbookViewId="0"/>
  </sheetViews>
  <sheetFormatPr defaultRowHeight="15" x14ac:dyDescent="0.25"/>
  <cols>
    <col min="1" max="1" width="26.42578125" bestFit="1" customWidth="1"/>
    <col min="2" max="2" width="12.42578125" bestFit="1" customWidth="1"/>
    <col min="3" max="3" width="5" bestFit="1" customWidth="1"/>
    <col min="4" max="4" width="7" bestFit="1" customWidth="1"/>
    <col min="5" max="5" width="10.140625" bestFit="1" customWidth="1"/>
    <col min="6" max="6" width="8.85546875" bestFit="1" customWidth="1"/>
    <col min="7" max="7" width="8.5703125" bestFit="1" customWidth="1"/>
    <col min="8" max="8" width="10.7109375" bestFit="1" customWidth="1"/>
  </cols>
  <sheetData>
    <row r="1" spans="1:8" x14ac:dyDescent="0.25">
      <c r="A1" t="s">
        <v>90</v>
      </c>
      <c r="B1" t="s">
        <v>17</v>
      </c>
      <c r="C1" t="s">
        <v>97</v>
      </c>
      <c r="D1" t="s">
        <v>13</v>
      </c>
      <c r="E1" t="s">
        <v>16</v>
      </c>
      <c r="F1" t="s">
        <v>100</v>
      </c>
      <c r="G1" t="s">
        <v>99</v>
      </c>
      <c r="H1" t="s">
        <v>162</v>
      </c>
    </row>
    <row r="2" spans="1:8" x14ac:dyDescent="0.25">
      <c r="A2" t="s">
        <v>153</v>
      </c>
      <c r="C2">
        <v>1201</v>
      </c>
      <c r="D2">
        <v>96294</v>
      </c>
      <c r="F2">
        <v>0</v>
      </c>
      <c r="G2">
        <v>0</v>
      </c>
      <c r="H2">
        <v>0</v>
      </c>
    </row>
    <row r="3" spans="1:8" x14ac:dyDescent="0.25">
      <c r="A3" t="s">
        <v>154</v>
      </c>
      <c r="B3">
        <v>92910</v>
      </c>
      <c r="C3">
        <v>1201</v>
      </c>
      <c r="D3">
        <v>96294</v>
      </c>
      <c r="E3" t="s">
        <v>23</v>
      </c>
      <c r="F3">
        <v>0</v>
      </c>
      <c r="G3">
        <v>92910</v>
      </c>
      <c r="H3">
        <v>-92910</v>
      </c>
    </row>
    <row r="4" spans="1:8" x14ac:dyDescent="0.25">
      <c r="A4" t="s">
        <v>92</v>
      </c>
      <c r="B4">
        <v>189302</v>
      </c>
      <c r="C4">
        <v>1201</v>
      </c>
      <c r="D4">
        <v>104198</v>
      </c>
      <c r="E4" t="s">
        <v>28</v>
      </c>
      <c r="F4">
        <v>0.15</v>
      </c>
      <c r="G4">
        <v>189302</v>
      </c>
      <c r="H4">
        <v>-189301.85</v>
      </c>
    </row>
    <row r="5" spans="1:8" x14ac:dyDescent="0.25">
      <c r="A5" t="s">
        <v>155</v>
      </c>
      <c r="B5">
        <v>189302</v>
      </c>
      <c r="C5">
        <v>1201</v>
      </c>
      <c r="D5">
        <v>104198</v>
      </c>
      <c r="E5" t="s">
        <v>30</v>
      </c>
      <c r="F5">
        <v>0</v>
      </c>
      <c r="G5">
        <v>189302</v>
      </c>
      <c r="H5">
        <v>-189302</v>
      </c>
    </row>
    <row r="6" spans="1:8" x14ac:dyDescent="0.25">
      <c r="A6" t="s">
        <v>156</v>
      </c>
      <c r="C6">
        <v>1201</v>
      </c>
      <c r="D6">
        <v>104198</v>
      </c>
      <c r="F6">
        <v>0</v>
      </c>
      <c r="G6">
        <v>0</v>
      </c>
      <c r="H6">
        <v>0</v>
      </c>
    </row>
    <row r="7" spans="1:8" x14ac:dyDescent="0.25">
      <c r="A7" t="s">
        <v>91</v>
      </c>
      <c r="B7">
        <v>189302</v>
      </c>
      <c r="C7">
        <v>1201</v>
      </c>
      <c r="D7">
        <v>104198</v>
      </c>
      <c r="E7" t="s">
        <v>29</v>
      </c>
      <c r="F7">
        <v>0</v>
      </c>
      <c r="G7">
        <v>189302</v>
      </c>
      <c r="H7">
        <v>-189302</v>
      </c>
    </row>
    <row r="8" spans="1:8" x14ac:dyDescent="0.25">
      <c r="A8" t="s">
        <v>157</v>
      </c>
      <c r="B8">
        <v>188234</v>
      </c>
      <c r="C8">
        <v>1201</v>
      </c>
      <c r="D8">
        <v>104203</v>
      </c>
      <c r="E8" t="s">
        <v>44</v>
      </c>
      <c r="F8">
        <v>0</v>
      </c>
      <c r="G8">
        <v>188234</v>
      </c>
      <c r="H8">
        <v>-188234</v>
      </c>
    </row>
    <row r="9" spans="1:8" x14ac:dyDescent="0.25">
      <c r="A9" t="s">
        <v>158</v>
      </c>
      <c r="C9">
        <v>1201</v>
      </c>
      <c r="D9">
        <v>104203</v>
      </c>
      <c r="F9">
        <v>0</v>
      </c>
      <c r="G9">
        <v>0</v>
      </c>
      <c r="H9">
        <v>0</v>
      </c>
    </row>
    <row r="10" spans="1:8" x14ac:dyDescent="0.25">
      <c r="A10" t="s">
        <v>159</v>
      </c>
      <c r="B10">
        <v>188234</v>
      </c>
      <c r="C10">
        <v>1201</v>
      </c>
      <c r="D10">
        <v>104203</v>
      </c>
      <c r="E10" t="s">
        <v>28</v>
      </c>
      <c r="F10">
        <v>0</v>
      </c>
      <c r="G10">
        <v>188234</v>
      </c>
      <c r="H10">
        <v>-188234</v>
      </c>
    </row>
    <row r="11" spans="1:8" x14ac:dyDescent="0.25">
      <c r="A11" t="s">
        <v>93</v>
      </c>
      <c r="B11">
        <v>1242965</v>
      </c>
      <c r="C11">
        <v>1201</v>
      </c>
      <c r="D11">
        <v>183900</v>
      </c>
      <c r="E11" t="s">
        <v>33</v>
      </c>
      <c r="F11">
        <v>0</v>
      </c>
      <c r="G11">
        <v>1242965</v>
      </c>
      <c r="H11">
        <v>-1242965</v>
      </c>
    </row>
    <row r="12" spans="1:8" x14ac:dyDescent="0.25">
      <c r="A12" t="s">
        <v>160</v>
      </c>
      <c r="C12">
        <v>1201</v>
      </c>
      <c r="D12">
        <v>183900</v>
      </c>
      <c r="F12">
        <v>0</v>
      </c>
      <c r="G12">
        <v>0</v>
      </c>
      <c r="H12">
        <v>0</v>
      </c>
    </row>
    <row r="13" spans="1:8" x14ac:dyDescent="0.25">
      <c r="A13" t="s">
        <v>96</v>
      </c>
      <c r="B13">
        <v>1339057</v>
      </c>
      <c r="C13">
        <v>1201</v>
      </c>
      <c r="D13">
        <v>183900</v>
      </c>
      <c r="E13" t="s">
        <v>33</v>
      </c>
      <c r="F13">
        <v>0.01</v>
      </c>
      <c r="G13">
        <v>0</v>
      </c>
      <c r="H13">
        <v>0.01</v>
      </c>
    </row>
    <row r="14" spans="1:8" x14ac:dyDescent="0.25">
      <c r="A14" t="s">
        <v>94</v>
      </c>
      <c r="B14">
        <v>1411623</v>
      </c>
      <c r="C14">
        <v>1201</v>
      </c>
      <c r="D14">
        <v>183900</v>
      </c>
      <c r="E14" t="s">
        <v>84</v>
      </c>
      <c r="F14">
        <v>-0.02</v>
      </c>
      <c r="G14">
        <v>0</v>
      </c>
      <c r="H14">
        <v>-0.02</v>
      </c>
    </row>
    <row r="15" spans="1:8" x14ac:dyDescent="0.25">
      <c r="A15" t="s">
        <v>95</v>
      </c>
      <c r="B15">
        <v>1242965</v>
      </c>
      <c r="C15">
        <v>1201</v>
      </c>
      <c r="D15">
        <v>183900</v>
      </c>
      <c r="E15" t="s">
        <v>85</v>
      </c>
      <c r="F15">
        <v>-0.01</v>
      </c>
      <c r="G15">
        <v>0</v>
      </c>
      <c r="H15">
        <v>-0.01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0BAE54-4939-4BF5-8733-F3AAFAB47BF0}">
  <dimension ref="A1:C2"/>
  <sheetViews>
    <sheetView workbookViewId="0"/>
  </sheetViews>
  <sheetFormatPr defaultRowHeight="15" x14ac:dyDescent="0.25"/>
  <cols>
    <col min="1" max="1" width="5.85546875" bestFit="1" customWidth="1"/>
    <col min="2" max="2" width="19.42578125" bestFit="1" customWidth="1"/>
    <col min="3" max="3" width="8.85546875" bestFit="1" customWidth="1"/>
  </cols>
  <sheetData>
    <row r="1" spans="1:3" s="2" customFormat="1" x14ac:dyDescent="0.25">
      <c r="A1" s="2" t="s">
        <v>0</v>
      </c>
      <c r="B1" s="2" t="s">
        <v>1</v>
      </c>
      <c r="C1" s="2" t="s">
        <v>3</v>
      </c>
    </row>
    <row r="2" spans="1:3" x14ac:dyDescent="0.25">
      <c r="A2" t="s">
        <v>200</v>
      </c>
      <c r="B2" t="s">
        <v>191</v>
      </c>
      <c r="C2" t="s">
        <v>4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6399D8-11ED-4AB2-AAA8-BB6542FD5187}">
  <sheetPr>
    <pageSetUpPr fitToPage="1"/>
  </sheetPr>
  <dimension ref="A1:G11"/>
  <sheetViews>
    <sheetView workbookViewId="0"/>
  </sheetViews>
  <sheetFormatPr defaultRowHeight="15" x14ac:dyDescent="0.25"/>
  <cols>
    <col min="1" max="1" width="12.7109375" bestFit="1" customWidth="1"/>
    <col min="2" max="2" width="5" bestFit="1" customWidth="1"/>
    <col min="3" max="3" width="5.28515625" bestFit="1" customWidth="1"/>
    <col min="4" max="4" width="7" bestFit="1" customWidth="1"/>
    <col min="5" max="5" width="10.140625" bestFit="1" customWidth="1"/>
    <col min="6" max="6" width="9" bestFit="1" customWidth="1"/>
    <col min="7" max="7" width="8.140625" bestFit="1" customWidth="1"/>
  </cols>
  <sheetData>
    <row r="1" spans="1:7" s="2" customFormat="1" x14ac:dyDescent="0.25">
      <c r="A1" s="30" t="s">
        <v>17</v>
      </c>
      <c r="B1" s="30" t="s">
        <v>97</v>
      </c>
      <c r="C1" s="30" t="s">
        <v>98</v>
      </c>
      <c r="D1" s="30" t="s">
        <v>13</v>
      </c>
      <c r="E1" s="30" t="s">
        <v>16</v>
      </c>
      <c r="F1" s="30" t="s">
        <v>100</v>
      </c>
      <c r="G1" s="30" t="s">
        <v>140</v>
      </c>
    </row>
    <row r="2" spans="1:7" x14ac:dyDescent="0.25">
      <c r="A2" s="29">
        <v>92910</v>
      </c>
      <c r="B2" s="29">
        <v>1201</v>
      </c>
      <c r="C2" s="29" t="s">
        <v>6</v>
      </c>
      <c r="D2" s="29">
        <v>96294</v>
      </c>
      <c r="E2" s="29" t="s">
        <v>23</v>
      </c>
      <c r="F2" s="29">
        <v>0</v>
      </c>
      <c r="G2" s="29">
        <v>1</v>
      </c>
    </row>
    <row r="3" spans="1:7" x14ac:dyDescent="0.25">
      <c r="A3" s="29">
        <v>189302</v>
      </c>
      <c r="B3" s="29">
        <v>1201</v>
      </c>
      <c r="C3" s="29" t="s">
        <v>6</v>
      </c>
      <c r="D3" s="29">
        <v>104198</v>
      </c>
      <c r="E3" s="29" t="s">
        <v>28</v>
      </c>
      <c r="F3" s="29">
        <v>0.15</v>
      </c>
      <c r="G3" s="29">
        <v>1</v>
      </c>
    </row>
    <row r="4" spans="1:7" x14ac:dyDescent="0.25">
      <c r="A4" s="29">
        <v>189302</v>
      </c>
      <c r="B4" s="29">
        <v>1201</v>
      </c>
      <c r="C4" s="29" t="s">
        <v>6</v>
      </c>
      <c r="D4" s="29">
        <v>104198</v>
      </c>
      <c r="E4" s="29" t="s">
        <v>30</v>
      </c>
      <c r="F4" s="29">
        <v>0</v>
      </c>
      <c r="G4" s="29">
        <v>1</v>
      </c>
    </row>
    <row r="5" spans="1:7" x14ac:dyDescent="0.25">
      <c r="A5" s="29">
        <v>189302</v>
      </c>
      <c r="B5" s="29">
        <v>1201</v>
      </c>
      <c r="C5" s="29" t="s">
        <v>6</v>
      </c>
      <c r="D5" s="29">
        <v>104198</v>
      </c>
      <c r="E5" s="29" t="s">
        <v>29</v>
      </c>
      <c r="F5" s="29">
        <v>0</v>
      </c>
      <c r="G5" s="29">
        <v>1</v>
      </c>
    </row>
    <row r="6" spans="1:7" x14ac:dyDescent="0.25">
      <c r="A6" s="29">
        <v>188234</v>
      </c>
      <c r="B6" s="29">
        <v>1201</v>
      </c>
      <c r="C6" s="29" t="s">
        <v>6</v>
      </c>
      <c r="D6" s="29">
        <v>104203</v>
      </c>
      <c r="E6" s="29" t="s">
        <v>44</v>
      </c>
      <c r="F6" s="29">
        <v>0</v>
      </c>
      <c r="G6" s="29">
        <v>1</v>
      </c>
    </row>
    <row r="7" spans="1:7" x14ac:dyDescent="0.25">
      <c r="A7" s="29">
        <v>188234</v>
      </c>
      <c r="B7" s="29">
        <v>1201</v>
      </c>
      <c r="C7" s="29" t="s">
        <v>6</v>
      </c>
      <c r="D7" s="29">
        <v>104203</v>
      </c>
      <c r="E7" s="29" t="s">
        <v>28</v>
      </c>
      <c r="F7" s="29">
        <v>0</v>
      </c>
      <c r="G7" s="29">
        <v>1</v>
      </c>
    </row>
    <row r="8" spans="1:7" x14ac:dyDescent="0.25">
      <c r="A8" s="29">
        <v>1242965</v>
      </c>
      <c r="B8" s="29">
        <v>1201</v>
      </c>
      <c r="C8" s="29" t="s">
        <v>6</v>
      </c>
      <c r="D8" s="29">
        <v>183900</v>
      </c>
      <c r="E8" s="29" t="s">
        <v>33</v>
      </c>
      <c r="F8" s="29">
        <v>0</v>
      </c>
      <c r="G8" s="29">
        <v>1</v>
      </c>
    </row>
    <row r="9" spans="1:7" x14ac:dyDescent="0.25">
      <c r="A9" s="29">
        <v>1339057</v>
      </c>
      <c r="B9" s="29">
        <v>1201</v>
      </c>
      <c r="C9" s="29" t="s">
        <v>6</v>
      </c>
      <c r="D9" s="29">
        <v>183900</v>
      </c>
      <c r="E9" s="29" t="s">
        <v>33</v>
      </c>
      <c r="F9" s="29">
        <v>0.01</v>
      </c>
      <c r="G9" s="29">
        <v>1</v>
      </c>
    </row>
    <row r="10" spans="1:7" x14ac:dyDescent="0.25">
      <c r="A10" s="29">
        <v>1411623</v>
      </c>
      <c r="B10" s="29">
        <v>1201</v>
      </c>
      <c r="C10" s="29" t="s">
        <v>6</v>
      </c>
      <c r="D10" s="29">
        <v>183900</v>
      </c>
      <c r="E10" s="29" t="s">
        <v>84</v>
      </c>
      <c r="F10" s="29">
        <v>-0.02</v>
      </c>
      <c r="G10" s="29">
        <v>1</v>
      </c>
    </row>
    <row r="11" spans="1:7" x14ac:dyDescent="0.25">
      <c r="A11" s="29">
        <v>1242965</v>
      </c>
      <c r="B11" s="29">
        <v>1201</v>
      </c>
      <c r="C11" s="29" t="s">
        <v>6</v>
      </c>
      <c r="D11" s="29">
        <v>183900</v>
      </c>
      <c r="E11" s="29" t="s">
        <v>85</v>
      </c>
      <c r="F11" s="29">
        <v>-0.01</v>
      </c>
      <c r="G11" s="29">
        <v>1</v>
      </c>
    </row>
  </sheetData>
  <printOptions horizontalCentered="1"/>
  <pageMargins left="0.7" right="0.7" top="0.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9A4140-FB6B-4844-ACDE-4D1B807756DC}">
  <dimension ref="A1:D2"/>
  <sheetViews>
    <sheetView workbookViewId="0"/>
  </sheetViews>
  <sheetFormatPr defaultRowHeight="15" x14ac:dyDescent="0.25"/>
  <cols>
    <col min="1" max="1" width="37.42578125" bestFit="1" customWidth="1"/>
    <col min="2" max="2" width="106" bestFit="1" customWidth="1"/>
    <col min="3" max="3" width="55" bestFit="1" customWidth="1"/>
    <col min="4" max="4" width="152.5703125" bestFit="1" customWidth="1"/>
  </cols>
  <sheetData>
    <row r="1" spans="1:4" s="2" customFormat="1" x14ac:dyDescent="0.25">
      <c r="A1" s="2" t="s">
        <v>175</v>
      </c>
      <c r="B1" s="2" t="s">
        <v>176</v>
      </c>
      <c r="C1" s="2" t="s">
        <v>177</v>
      </c>
      <c r="D1" s="2" t="s">
        <v>219</v>
      </c>
    </row>
    <row r="2" spans="1:4" x14ac:dyDescent="0.25">
      <c r="A2" t="s">
        <v>170</v>
      </c>
      <c r="B2" t="s">
        <v>221</v>
      </c>
      <c r="C2" t="s">
        <v>220</v>
      </c>
      <c r="D2" t="s">
        <v>172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</vt:i4>
      </vt:variant>
    </vt:vector>
  </HeadingPairs>
  <TitlesOfParts>
    <vt:vector size="14" baseType="lpstr">
      <vt:lpstr>LA</vt:lpstr>
      <vt:lpstr>HOME</vt:lpstr>
      <vt:lpstr>INPUTAN USER</vt:lpstr>
      <vt:lpstr>RPA1</vt:lpstr>
      <vt:lpstr>RPA2</vt:lpstr>
      <vt:lpstr>OL1_Collect</vt:lpstr>
      <vt:lpstr>CC1_AVB_1</vt:lpstr>
      <vt:lpstr>CC2_ILDV_1</vt:lpstr>
      <vt:lpstr>CC2_ILDV_1.2</vt:lpstr>
      <vt:lpstr>OL2_Bandingkan</vt:lpstr>
      <vt:lpstr>RPA3</vt:lpstr>
      <vt:lpstr>RPA4</vt:lpstr>
      <vt:lpstr>RPA5</vt:lpstr>
      <vt:lpstr>'RPA4'!Print_Area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 Vivobook</dc:creator>
  <cp:lastModifiedBy>user</cp:lastModifiedBy>
  <cp:lastPrinted>2024-11-01T09:39:08Z</cp:lastPrinted>
  <dcterms:created xsi:type="dcterms:W3CDTF">2024-10-30T06:38:26Z</dcterms:created>
  <dcterms:modified xsi:type="dcterms:W3CDTF">2024-11-01T09:40:10Z</dcterms:modified>
</cp:coreProperties>
</file>