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Accounting\FINANCE GGI\Income Statement\Macro\New folder (2)\"/>
    </mc:Choice>
  </mc:AlternateContent>
  <xr:revisionPtr revIDLastSave="0" documentId="13_ncr:1_{614A469D-46DB-43DA-8AA4-4959446C00B2}" xr6:coauthVersionLast="47" xr6:coauthVersionMax="47" xr10:uidLastSave="{00000000-0000-0000-0000-000000000000}"/>
  <bookViews>
    <workbookView xWindow="-120" yWindow="-120" windowWidth="20640" windowHeight="11160" activeTab="2" xr2:uid="{2CCE3C95-2940-4053-8BE7-2A6EFE1350AC}"/>
  </bookViews>
  <sheets>
    <sheet name="(MENU)" sheetId="2" r:id="rId1"/>
    <sheet name="Cache_Option" sheetId="15" r:id="rId2"/>
    <sheet name="Temp_PerBranch1" sheetId="17" r:id="rId3"/>
    <sheet name="Ref_CostCat" sheetId="10" state="hidden" r:id="rId4"/>
    <sheet name="CLN" sheetId="4" r:id="rId5"/>
    <sheet name="CLN (2)" sheetId="14" state="hidden" r:id="rId6"/>
    <sheet name="MJK2" sheetId="5" r:id="rId7"/>
    <sheet name="MJK1" sheetId="6" r:id="rId8"/>
    <sheet name="BJR" sheetId="7" r:id="rId9"/>
    <sheet name="JAN-DEC" sheetId="9" state="hidden" r:id="rId10"/>
    <sheet name="01. JAN" sheetId="8" state="hidden" r:id="rId11"/>
  </sheets>
  <externalReferences>
    <externalReference r:id="rId12"/>
    <externalReference r:id="rId13"/>
  </externalReferences>
  <definedNames>
    <definedName name="Excel_BuiltIn_Print_Area_1">#REF!</definedName>
    <definedName name="Excel_BuiltIn_Print_Area_10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6">#REF!</definedName>
    <definedName name="Excel_BuiltIn_Print_Area_7">#REF!</definedName>
    <definedName name="Excel_BuiltIn_Print_Area_8">#REF!</definedName>
    <definedName name="Excel_BuiltIn_Print_Area_9">#REF!</definedName>
    <definedName name="Excel_BuiltIn_Print_Titles_10" localSheetId="10">#REF!</definedName>
    <definedName name="Excel_BuiltIn_Print_Titles_10" localSheetId="8">#REF!</definedName>
    <definedName name="Excel_BuiltIn_Print_Titles_10" localSheetId="9">#REF!</definedName>
    <definedName name="Excel_BuiltIn_Print_Titles_10" localSheetId="7">#REF!</definedName>
    <definedName name="Excel_BuiltIn_Print_Titles_10" localSheetId="6">#REF!</definedName>
    <definedName name="Excel_BuiltIn_Print_Titles_10">#REF!</definedName>
    <definedName name="Excel_BuiltIn_Print_Titles_11" localSheetId="10">#REF!</definedName>
    <definedName name="Excel_BuiltIn_Print_Titles_11" localSheetId="8">#REF!</definedName>
    <definedName name="Excel_BuiltIn_Print_Titles_11" localSheetId="9">#REF!</definedName>
    <definedName name="Excel_BuiltIn_Print_Titles_11" localSheetId="7">#REF!</definedName>
    <definedName name="Excel_BuiltIn_Print_Titles_11" localSheetId="6">#REF!</definedName>
    <definedName name="Excel_BuiltIn_Print_Titles_11">#REF!</definedName>
    <definedName name="Excel_BuiltIn_Print_Titles_12" localSheetId="10">#REF!</definedName>
    <definedName name="Excel_BuiltIn_Print_Titles_12" localSheetId="8">#REF!</definedName>
    <definedName name="Excel_BuiltIn_Print_Titles_12" localSheetId="9">#REF!</definedName>
    <definedName name="Excel_BuiltIn_Print_Titles_12" localSheetId="7">#REF!</definedName>
    <definedName name="Excel_BuiltIn_Print_Titles_12" localSheetId="6">#REF!</definedName>
    <definedName name="Excel_BuiltIn_Print_Titles_12">#REF!</definedName>
    <definedName name="Excel_BuiltIn_Print_Titles_13" localSheetId="10">#REF!</definedName>
    <definedName name="Excel_BuiltIn_Print_Titles_13" localSheetId="8">#REF!</definedName>
    <definedName name="Excel_BuiltIn_Print_Titles_13" localSheetId="9">#REF!</definedName>
    <definedName name="Excel_BuiltIn_Print_Titles_13" localSheetId="7">#REF!</definedName>
    <definedName name="Excel_BuiltIn_Print_Titles_13" localSheetId="6">#REF!</definedName>
    <definedName name="Excel_BuiltIn_Print_Titles_13">#REF!</definedName>
    <definedName name="Excel_BuiltIn_Print_Titles_6" localSheetId="10">#REF!</definedName>
    <definedName name="Excel_BuiltIn_Print_Titles_6" localSheetId="8">#REF!</definedName>
    <definedName name="Excel_BuiltIn_Print_Titles_6" localSheetId="9">#REF!</definedName>
    <definedName name="Excel_BuiltIn_Print_Titles_6" localSheetId="7">#REF!</definedName>
    <definedName name="Excel_BuiltIn_Print_Titles_6" localSheetId="6">#REF!</definedName>
    <definedName name="Excel_BuiltIn_Print_Titles_6">#REF!</definedName>
    <definedName name="Excel_BuiltIn_Print_Titles_7" localSheetId="10">#REF!</definedName>
    <definedName name="Excel_BuiltIn_Print_Titles_7" localSheetId="8">#REF!</definedName>
    <definedName name="Excel_BuiltIn_Print_Titles_7" localSheetId="9">#REF!</definedName>
    <definedName name="Excel_BuiltIn_Print_Titles_7" localSheetId="7">#REF!</definedName>
    <definedName name="Excel_BuiltIn_Print_Titles_7" localSheetId="6">#REF!</definedName>
    <definedName name="Excel_BuiltIn_Print_Titles_7">#REF!</definedName>
    <definedName name="Excel_BuiltIn_Print_Titles_8" localSheetId="10">#REF!</definedName>
    <definedName name="Excel_BuiltIn_Print_Titles_8" localSheetId="8">#REF!</definedName>
    <definedName name="Excel_BuiltIn_Print_Titles_8" localSheetId="9">#REF!</definedName>
    <definedName name="Excel_BuiltIn_Print_Titles_8" localSheetId="7">#REF!</definedName>
    <definedName name="Excel_BuiltIn_Print_Titles_8" localSheetId="6">#REF!</definedName>
    <definedName name="Excel_BuiltIn_Print_Titles_8">#REF!</definedName>
    <definedName name="Excel_BuiltIn_Print_Titles_9" localSheetId="10">#REF!</definedName>
    <definedName name="Excel_BuiltIn_Print_Titles_9" localSheetId="8">#REF!</definedName>
    <definedName name="Excel_BuiltIn_Print_Titles_9" localSheetId="9">#REF!</definedName>
    <definedName name="Excel_BuiltIn_Print_Titles_9" localSheetId="7">#REF!</definedName>
    <definedName name="Excel_BuiltIn_Print_Titles_9" localSheetId="6">#REF!</definedName>
    <definedName name="Excel_BuiltIn_Print_Titles_9">#REF!</definedName>
    <definedName name="_xlnm.Print_Area" localSheetId="10">'01. JAN'!$C$1:$H$188</definedName>
    <definedName name="_xlnm.Print_Area" localSheetId="4">CLN!$C$1:$P$255</definedName>
    <definedName name="_xlnm.Print_Area" localSheetId="5">'CLN (2)'!$C$1:$P$255</definedName>
    <definedName name="_xlnm.Print_Area" localSheetId="9">'JAN-DEC'!$C$1:$H$263</definedName>
    <definedName name="_xlnm.Print_Area" localSheetId="6">'MJK2'!$B$1:$P$253</definedName>
    <definedName name="_xlnm.Print_Area" localSheetId="2">Temp_PerBranch1!$C$1:$P$255</definedName>
    <definedName name="_xlnm.Print_Titles" localSheetId="10">'01. JAN'!$1:$4</definedName>
    <definedName name="_xlnm.Print_Titles" localSheetId="4">CLN!$1:$4</definedName>
    <definedName name="_xlnm.Print_Titles" localSheetId="5">'CLN (2)'!$1:$4</definedName>
    <definedName name="_xlnm.Print_Titles" localSheetId="9">'JAN-DEC'!$1:$4</definedName>
    <definedName name="_xlnm.Print_Titles" localSheetId="6">'MJK2'!$1:$4</definedName>
    <definedName name="_xlnm.Print_Titles" localSheetId="2">Temp_PerBranch1!$1:$4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53" i="7" l="1"/>
  <c r="O253" i="7"/>
  <c r="N253" i="7"/>
  <c r="M253" i="7"/>
  <c r="L253" i="7"/>
  <c r="K253" i="7"/>
  <c r="J253" i="7"/>
  <c r="I253" i="7"/>
  <c r="H253" i="7"/>
  <c r="G253" i="7"/>
  <c r="F253" i="7"/>
  <c r="E253" i="7"/>
  <c r="D253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P53" i="7"/>
  <c r="P52" i="7"/>
  <c r="P47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P31" i="7"/>
  <c r="P39" i="7"/>
  <c r="P49" i="7"/>
  <c r="P55" i="7"/>
  <c r="P57" i="7"/>
  <c r="P63" i="7"/>
  <c r="P65" i="7"/>
  <c r="P71" i="7"/>
  <c r="P79" i="7"/>
  <c r="P87" i="7"/>
  <c r="P95" i="7"/>
  <c r="P113" i="7"/>
  <c r="P119" i="7"/>
  <c r="P121" i="7"/>
  <c r="P127" i="7"/>
  <c r="P129" i="7"/>
  <c r="P143" i="7"/>
  <c r="P145" i="7"/>
  <c r="P151" i="7"/>
  <c r="P153" i="7"/>
  <c r="P177" i="7"/>
  <c r="P183" i="7"/>
  <c r="P199" i="7"/>
  <c r="P201" i="7"/>
  <c r="P209" i="7"/>
  <c r="P215" i="7"/>
  <c r="P225" i="7"/>
  <c r="P231" i="7"/>
  <c r="P235" i="7"/>
  <c r="P239" i="7"/>
  <c r="P249" i="7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P53" i="6"/>
  <c r="P52" i="6"/>
  <c r="P47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P253" i="5"/>
  <c r="O253" i="5"/>
  <c r="N253" i="5"/>
  <c r="M253" i="5"/>
  <c r="L253" i="5"/>
  <c r="K253" i="5"/>
  <c r="J253" i="5"/>
  <c r="I253" i="5"/>
  <c r="H253" i="5"/>
  <c r="G253" i="5"/>
  <c r="F253" i="5"/>
  <c r="E253" i="5"/>
  <c r="D253" i="5"/>
  <c r="P248" i="5"/>
  <c r="O248" i="5"/>
  <c r="N248" i="5"/>
  <c r="M248" i="5"/>
  <c r="L248" i="5"/>
  <c r="K248" i="5"/>
  <c r="J248" i="5"/>
  <c r="I248" i="5"/>
  <c r="H248" i="5"/>
  <c r="G248" i="5"/>
  <c r="F248" i="5"/>
  <c r="E248" i="5"/>
  <c r="D248" i="5"/>
  <c r="P243" i="5"/>
  <c r="O243" i="5"/>
  <c r="N243" i="5"/>
  <c r="M243" i="5"/>
  <c r="L243" i="5"/>
  <c r="K243" i="5"/>
  <c r="J243" i="5"/>
  <c r="I243" i="5"/>
  <c r="H243" i="5"/>
  <c r="G243" i="5"/>
  <c r="F243" i="5"/>
  <c r="E243" i="5"/>
  <c r="D243" i="5"/>
  <c r="P233" i="5"/>
  <c r="O233" i="5"/>
  <c r="N233" i="5"/>
  <c r="M233" i="5"/>
  <c r="L233" i="5"/>
  <c r="K233" i="5"/>
  <c r="J233" i="5"/>
  <c r="I233" i="5"/>
  <c r="H233" i="5"/>
  <c r="G233" i="5"/>
  <c r="F233" i="5"/>
  <c r="E233" i="5"/>
  <c r="D233" i="5"/>
  <c r="P229" i="5"/>
  <c r="O229" i="5"/>
  <c r="N229" i="5"/>
  <c r="M229" i="5"/>
  <c r="L229" i="5"/>
  <c r="K229" i="5"/>
  <c r="J229" i="5"/>
  <c r="I229" i="5"/>
  <c r="H229" i="5"/>
  <c r="G229" i="5"/>
  <c r="F229" i="5"/>
  <c r="E229" i="5"/>
  <c r="D229" i="5"/>
  <c r="P223" i="5"/>
  <c r="O223" i="5"/>
  <c r="N223" i="5"/>
  <c r="M223" i="5"/>
  <c r="L223" i="5"/>
  <c r="K223" i="5"/>
  <c r="J223" i="5"/>
  <c r="I223" i="5"/>
  <c r="H223" i="5"/>
  <c r="G223" i="5"/>
  <c r="F223" i="5"/>
  <c r="E223" i="5"/>
  <c r="D223" i="5"/>
  <c r="P219" i="5"/>
  <c r="O219" i="5"/>
  <c r="N219" i="5"/>
  <c r="M219" i="5"/>
  <c r="L219" i="5"/>
  <c r="K219" i="5"/>
  <c r="J219" i="5"/>
  <c r="I219" i="5"/>
  <c r="H219" i="5"/>
  <c r="G219" i="5"/>
  <c r="F219" i="5"/>
  <c r="E219" i="5"/>
  <c r="D219" i="5"/>
  <c r="P214" i="5"/>
  <c r="O214" i="5"/>
  <c r="N214" i="5"/>
  <c r="M214" i="5"/>
  <c r="L214" i="5"/>
  <c r="K214" i="5"/>
  <c r="J214" i="5"/>
  <c r="I214" i="5"/>
  <c r="H214" i="5"/>
  <c r="G214" i="5"/>
  <c r="F214" i="5"/>
  <c r="E214" i="5"/>
  <c r="D214" i="5"/>
  <c r="P206" i="5"/>
  <c r="O206" i="5"/>
  <c r="N206" i="5"/>
  <c r="M206" i="5"/>
  <c r="L206" i="5"/>
  <c r="K206" i="5"/>
  <c r="J206" i="5"/>
  <c r="I206" i="5"/>
  <c r="H206" i="5"/>
  <c r="G206" i="5"/>
  <c r="F206" i="5"/>
  <c r="E206" i="5"/>
  <c r="D206" i="5"/>
  <c r="P198" i="5"/>
  <c r="O198" i="5"/>
  <c r="N198" i="5"/>
  <c r="M198" i="5"/>
  <c r="L198" i="5"/>
  <c r="K198" i="5"/>
  <c r="J198" i="5"/>
  <c r="I198" i="5"/>
  <c r="H198" i="5"/>
  <c r="G198" i="5"/>
  <c r="F198" i="5"/>
  <c r="E198" i="5"/>
  <c r="D198" i="5"/>
  <c r="P197" i="5"/>
  <c r="O197" i="5"/>
  <c r="N197" i="5"/>
  <c r="M197" i="5"/>
  <c r="L197" i="5"/>
  <c r="K197" i="5"/>
  <c r="J197" i="5"/>
  <c r="I197" i="5"/>
  <c r="H197" i="5"/>
  <c r="G197" i="5"/>
  <c r="F197" i="5"/>
  <c r="E197" i="5"/>
  <c r="D197" i="5"/>
  <c r="P187" i="5"/>
  <c r="O187" i="5"/>
  <c r="N187" i="5"/>
  <c r="M187" i="5"/>
  <c r="L187" i="5"/>
  <c r="K187" i="5"/>
  <c r="J187" i="5"/>
  <c r="I187" i="5"/>
  <c r="H187" i="5"/>
  <c r="G187" i="5"/>
  <c r="F187" i="5"/>
  <c r="E187" i="5"/>
  <c r="D187" i="5"/>
  <c r="P182" i="5"/>
  <c r="O182" i="5"/>
  <c r="N182" i="5"/>
  <c r="M182" i="5"/>
  <c r="L182" i="5"/>
  <c r="K182" i="5"/>
  <c r="J182" i="5"/>
  <c r="I182" i="5"/>
  <c r="H182" i="5"/>
  <c r="G182" i="5"/>
  <c r="F182" i="5"/>
  <c r="E182" i="5"/>
  <c r="D182" i="5"/>
  <c r="P175" i="5"/>
  <c r="O175" i="5"/>
  <c r="N175" i="5"/>
  <c r="M175" i="5"/>
  <c r="L175" i="5"/>
  <c r="K175" i="5"/>
  <c r="J175" i="5"/>
  <c r="I175" i="5"/>
  <c r="H175" i="5"/>
  <c r="G175" i="5"/>
  <c r="F175" i="5"/>
  <c r="E175" i="5"/>
  <c r="D175" i="5"/>
  <c r="P170" i="5"/>
  <c r="O170" i="5"/>
  <c r="N170" i="5"/>
  <c r="M170" i="5"/>
  <c r="L170" i="5"/>
  <c r="K170" i="5"/>
  <c r="J170" i="5"/>
  <c r="I170" i="5"/>
  <c r="H170" i="5"/>
  <c r="G170" i="5"/>
  <c r="F170" i="5"/>
  <c r="E170" i="5"/>
  <c r="D170" i="5"/>
  <c r="P158" i="5"/>
  <c r="O158" i="5"/>
  <c r="N158" i="5"/>
  <c r="M158" i="5"/>
  <c r="L158" i="5"/>
  <c r="K158" i="5"/>
  <c r="J158" i="5"/>
  <c r="I158" i="5"/>
  <c r="H158" i="5"/>
  <c r="G158" i="5"/>
  <c r="F158" i="5"/>
  <c r="E158" i="5"/>
  <c r="D158" i="5"/>
  <c r="P154" i="5"/>
  <c r="O154" i="5"/>
  <c r="N154" i="5"/>
  <c r="M154" i="5"/>
  <c r="L154" i="5"/>
  <c r="K154" i="5"/>
  <c r="J154" i="5"/>
  <c r="I154" i="5"/>
  <c r="H154" i="5"/>
  <c r="G154" i="5"/>
  <c r="F154" i="5"/>
  <c r="E154" i="5"/>
  <c r="D154" i="5"/>
  <c r="P148" i="5"/>
  <c r="O148" i="5"/>
  <c r="N148" i="5"/>
  <c r="M148" i="5"/>
  <c r="L148" i="5"/>
  <c r="K148" i="5"/>
  <c r="J148" i="5"/>
  <c r="I148" i="5"/>
  <c r="H148" i="5"/>
  <c r="G148" i="5"/>
  <c r="F148" i="5"/>
  <c r="E148" i="5"/>
  <c r="D14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P53" i="5"/>
  <c r="P52" i="5"/>
  <c r="P47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P230" i="5"/>
  <c r="P249" i="5"/>
  <c r="P250" i="5"/>
  <c r="P253" i="4"/>
  <c r="O253" i="4"/>
  <c r="N253" i="4"/>
  <c r="M253" i="4"/>
  <c r="L253" i="4"/>
  <c r="K253" i="4"/>
  <c r="J253" i="4"/>
  <c r="I253" i="4"/>
  <c r="H253" i="4"/>
  <c r="G253" i="4"/>
  <c r="F253" i="4"/>
  <c r="E253" i="4"/>
  <c r="D253" i="4"/>
  <c r="P248" i="4"/>
  <c r="O248" i="4"/>
  <c r="N248" i="4"/>
  <c r="M248" i="4"/>
  <c r="L248" i="4"/>
  <c r="K248" i="4"/>
  <c r="J248" i="4"/>
  <c r="I248" i="4"/>
  <c r="H248" i="4"/>
  <c r="G248" i="4"/>
  <c r="F248" i="4"/>
  <c r="E248" i="4"/>
  <c r="D248" i="4"/>
  <c r="P243" i="4"/>
  <c r="O243" i="4"/>
  <c r="N243" i="4"/>
  <c r="M243" i="4"/>
  <c r="L243" i="4"/>
  <c r="K243" i="4"/>
  <c r="J243" i="4"/>
  <c r="I243" i="4"/>
  <c r="H243" i="4"/>
  <c r="G243" i="4"/>
  <c r="F243" i="4"/>
  <c r="E243" i="4"/>
  <c r="D243" i="4"/>
  <c r="P233" i="4"/>
  <c r="O233" i="4"/>
  <c r="N233" i="4"/>
  <c r="M233" i="4"/>
  <c r="L233" i="4"/>
  <c r="K233" i="4"/>
  <c r="J233" i="4"/>
  <c r="I233" i="4"/>
  <c r="H233" i="4"/>
  <c r="G233" i="4"/>
  <c r="F233" i="4"/>
  <c r="E233" i="4"/>
  <c r="D233" i="4"/>
  <c r="P229" i="4"/>
  <c r="O229" i="4"/>
  <c r="N229" i="4"/>
  <c r="M229" i="4"/>
  <c r="L229" i="4"/>
  <c r="K229" i="4"/>
  <c r="J229" i="4"/>
  <c r="I229" i="4"/>
  <c r="H229" i="4"/>
  <c r="G229" i="4"/>
  <c r="F229" i="4"/>
  <c r="E229" i="4"/>
  <c r="D229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P53" i="4"/>
  <c r="P52" i="4"/>
  <c r="P47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P22" i="4"/>
  <c r="P30" i="4"/>
  <c r="P38" i="4"/>
  <c r="P54" i="4"/>
  <c r="P62" i="4"/>
  <c r="P78" i="4"/>
  <c r="P86" i="4"/>
  <c r="P94" i="4"/>
  <c r="P102" i="4"/>
  <c r="P118" i="4"/>
  <c r="P126" i="4"/>
  <c r="P134" i="4"/>
  <c r="P142" i="4"/>
  <c r="P150" i="4"/>
  <c r="P166" i="4"/>
  <c r="P174" i="4"/>
  <c r="P190" i="4"/>
  <c r="P222" i="4"/>
  <c r="P230" i="4"/>
  <c r="P238" i="4"/>
  <c r="P240" i="4"/>
  <c r="P246" i="4"/>
  <c r="C8" i="10"/>
  <c r="P13" i="4"/>
  <c r="P37" i="4"/>
  <c r="P69" i="4"/>
  <c r="P77" i="4"/>
  <c r="P85" i="4"/>
  <c r="P93" i="4"/>
  <c r="P125" i="4"/>
  <c r="P133" i="4"/>
  <c r="P141" i="4"/>
  <c r="P149" i="4"/>
  <c r="P157" i="4"/>
  <c r="P181" i="4"/>
  <c r="P189" i="4"/>
  <c r="P204" i="4"/>
  <c r="P205" i="4"/>
  <c r="P212" i="4"/>
  <c r="P213" i="4"/>
  <c r="P236" i="4"/>
  <c r="P237" i="4"/>
  <c r="P245" i="4"/>
  <c r="P250" i="4"/>
  <c r="P252" i="4"/>
  <c r="P23" i="4"/>
  <c r="P31" i="4"/>
  <c r="P39" i="4"/>
  <c r="P55" i="4"/>
  <c r="P63" i="4"/>
  <c r="P71" i="4"/>
  <c r="P79" i="4"/>
  <c r="P87" i="4"/>
  <c r="P95" i="4"/>
  <c r="P103" i="4"/>
  <c r="P135" i="4"/>
  <c r="P143" i="4"/>
  <c r="P151" i="4"/>
  <c r="P159" i="4"/>
  <c r="P167" i="4"/>
  <c r="P191" i="4"/>
  <c r="P199" i="4"/>
  <c r="P207" i="4"/>
  <c r="P215" i="4"/>
  <c r="P231" i="4"/>
  <c r="P234" i="4"/>
  <c r="P242" i="4"/>
  <c r="P247" i="4"/>
  <c r="D15" i="17"/>
  <c r="D16" i="17" s="1"/>
  <c r="E15" i="17"/>
  <c r="F15" i="17"/>
  <c r="F16" i="17" s="1"/>
  <c r="G15" i="17"/>
  <c r="H15" i="17"/>
  <c r="H16" i="17" s="1"/>
  <c r="H253" i="17" s="1"/>
  <c r="I15" i="17"/>
  <c r="I16" i="17" s="1"/>
  <c r="J15" i="17"/>
  <c r="K15" i="17"/>
  <c r="L15" i="17"/>
  <c r="M15" i="17"/>
  <c r="N15" i="17"/>
  <c r="O15" i="17"/>
  <c r="P15" i="17"/>
  <c r="P16" i="17" s="1"/>
  <c r="E16" i="17"/>
  <c r="G16" i="17"/>
  <c r="J16" i="17"/>
  <c r="K16" i="17"/>
  <c r="L16" i="17"/>
  <c r="M16" i="17"/>
  <c r="N16" i="17"/>
  <c r="O16" i="17"/>
  <c r="P13" i="17"/>
  <c r="P9" i="17"/>
  <c r="P8" i="17"/>
  <c r="P252" i="17"/>
  <c r="P250" i="17"/>
  <c r="P249" i="17"/>
  <c r="P247" i="17"/>
  <c r="P246" i="17"/>
  <c r="P245" i="17"/>
  <c r="P244" i="17"/>
  <c r="P242" i="17"/>
  <c r="P240" i="17"/>
  <c r="P239" i="17"/>
  <c r="P238" i="17"/>
  <c r="P237" i="17"/>
  <c r="P236" i="17"/>
  <c r="P235" i="17"/>
  <c r="P234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P232" i="17"/>
  <c r="P233" i="17" s="1"/>
  <c r="P231" i="17"/>
  <c r="P230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P227" i="17"/>
  <c r="P226" i="17"/>
  <c r="P225" i="17"/>
  <c r="P224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P222" i="17"/>
  <c r="P221" i="17"/>
  <c r="P220" i="17"/>
  <c r="P219" i="17"/>
  <c r="P243" i="17" s="1"/>
  <c r="O219" i="17"/>
  <c r="O243" i="17" s="1"/>
  <c r="N219" i="17"/>
  <c r="N243" i="17" s="1"/>
  <c r="N248" i="17" s="1"/>
  <c r="M219" i="17"/>
  <c r="M243" i="17" s="1"/>
  <c r="L219" i="17"/>
  <c r="L243" i="17" s="1"/>
  <c r="K219" i="17"/>
  <c r="K243" i="17" s="1"/>
  <c r="K248" i="17" s="1"/>
  <c r="J219" i="17"/>
  <c r="J243" i="17" s="1"/>
  <c r="J248" i="17" s="1"/>
  <c r="I219" i="17"/>
  <c r="I243" i="17" s="1"/>
  <c r="I248" i="17" s="1"/>
  <c r="H219" i="17"/>
  <c r="H243" i="17" s="1"/>
  <c r="H248" i="17" s="1"/>
  <c r="G219" i="17"/>
  <c r="G243" i="17" s="1"/>
  <c r="F219" i="17"/>
  <c r="F243" i="17" s="1"/>
  <c r="F248" i="17" s="1"/>
  <c r="E219" i="17"/>
  <c r="E243" i="17" s="1"/>
  <c r="D219" i="17"/>
  <c r="D243" i="17" s="1"/>
  <c r="P218" i="17"/>
  <c r="P217" i="17"/>
  <c r="P216" i="17"/>
  <c r="P215" i="17"/>
  <c r="K214" i="17"/>
  <c r="I214" i="17"/>
  <c r="H214" i="17"/>
  <c r="P213" i="17"/>
  <c r="P212" i="17"/>
  <c r="P211" i="17"/>
  <c r="P210" i="17"/>
  <c r="P214" i="17" s="1"/>
  <c r="P209" i="17"/>
  <c r="P208" i="17"/>
  <c r="P207" i="17"/>
  <c r="P206" i="17"/>
  <c r="O206" i="17"/>
  <c r="O214" i="17" s="1"/>
  <c r="N206" i="17"/>
  <c r="N214" i="17" s="1"/>
  <c r="M206" i="17"/>
  <c r="M214" i="17" s="1"/>
  <c r="L206" i="17"/>
  <c r="L214" i="17" s="1"/>
  <c r="K206" i="17"/>
  <c r="J206" i="17"/>
  <c r="J214" i="17" s="1"/>
  <c r="I206" i="17"/>
  <c r="H206" i="17"/>
  <c r="G206" i="17"/>
  <c r="G214" i="17" s="1"/>
  <c r="F206" i="17"/>
  <c r="F214" i="17" s="1"/>
  <c r="E206" i="17"/>
  <c r="E214" i="17" s="1"/>
  <c r="D206" i="17"/>
  <c r="D214" i="17" s="1"/>
  <c r="P205" i="17"/>
  <c r="P204" i="17"/>
  <c r="P203" i="17"/>
  <c r="P202" i="17"/>
  <c r="P201" i="17"/>
  <c r="P200" i="17"/>
  <c r="P199" i="17"/>
  <c r="H198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P194" i="17"/>
  <c r="P193" i="17"/>
  <c r="P192" i="17"/>
  <c r="P197" i="17" s="1"/>
  <c r="P191" i="17"/>
  <c r="P190" i="17"/>
  <c r="P189" i="17"/>
  <c r="P188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P186" i="17"/>
  <c r="P185" i="17"/>
  <c r="P184" i="17"/>
  <c r="P187" i="17" s="1"/>
  <c r="P183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P181" i="17"/>
  <c r="P180" i="17"/>
  <c r="P179" i="17"/>
  <c r="P182" i="17" s="1"/>
  <c r="P178" i="17"/>
  <c r="P177" i="17"/>
  <c r="P176" i="17"/>
  <c r="O175" i="17"/>
  <c r="N175" i="17"/>
  <c r="M175" i="17"/>
  <c r="L175" i="17"/>
  <c r="K175" i="17"/>
  <c r="K198" i="17" s="1"/>
  <c r="J175" i="17"/>
  <c r="I175" i="17"/>
  <c r="H175" i="17"/>
  <c r="G175" i="17"/>
  <c r="F175" i="17"/>
  <c r="E175" i="17"/>
  <c r="D175" i="17"/>
  <c r="P174" i="17"/>
  <c r="P173" i="17"/>
  <c r="P172" i="17"/>
  <c r="P175" i="17" s="1"/>
  <c r="P171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P169" i="17"/>
  <c r="P168" i="17"/>
  <c r="P167" i="17"/>
  <c r="P170" i="17" s="1"/>
  <c r="P166" i="17"/>
  <c r="P165" i="17"/>
  <c r="P164" i="17"/>
  <c r="P163" i="17"/>
  <c r="P162" i="17"/>
  <c r="P161" i="17"/>
  <c r="P160" i="17"/>
  <c r="P159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P157" i="17"/>
  <c r="P158" i="17" s="1"/>
  <c r="P156" i="17"/>
  <c r="P155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P153" i="17"/>
  <c r="P152" i="17"/>
  <c r="P151" i="17"/>
  <c r="P154" i="17" s="1"/>
  <c r="P150" i="17"/>
  <c r="P149" i="17"/>
  <c r="O148" i="17"/>
  <c r="O198" i="17" s="1"/>
  <c r="N148" i="17"/>
  <c r="N198" i="17" s="1"/>
  <c r="M148" i="17"/>
  <c r="M198" i="17" s="1"/>
  <c r="L148" i="17"/>
  <c r="L198" i="17" s="1"/>
  <c r="K148" i="17"/>
  <c r="J148" i="17"/>
  <c r="J198" i="17" s="1"/>
  <c r="I148" i="17"/>
  <c r="I198" i="17" s="1"/>
  <c r="H148" i="17"/>
  <c r="G148" i="17"/>
  <c r="G198" i="17" s="1"/>
  <c r="F148" i="17"/>
  <c r="F198" i="17" s="1"/>
  <c r="E148" i="17"/>
  <c r="E198" i="17" s="1"/>
  <c r="D148" i="17"/>
  <c r="D198" i="17" s="1"/>
  <c r="P146" i="17"/>
  <c r="P145" i="17"/>
  <c r="P144" i="17"/>
  <c r="P143" i="17"/>
  <c r="P142" i="17"/>
  <c r="P141" i="17"/>
  <c r="P148" i="17" s="1"/>
  <c r="P198" i="17" s="1"/>
  <c r="P140" i="17"/>
  <c r="P139" i="17"/>
  <c r="O137" i="17"/>
  <c r="N137" i="17"/>
  <c r="M137" i="17"/>
  <c r="L137" i="17"/>
  <c r="K137" i="17"/>
  <c r="J137" i="17"/>
  <c r="I137" i="17"/>
  <c r="I138" i="17" s="1"/>
  <c r="H137" i="17"/>
  <c r="G137" i="17"/>
  <c r="F137" i="17"/>
  <c r="E137" i="17"/>
  <c r="D137" i="17"/>
  <c r="P136" i="17"/>
  <c r="P137" i="17" s="1"/>
  <c r="P138" i="17" s="1"/>
  <c r="P135" i="17"/>
  <c r="P134" i="17"/>
  <c r="P133" i="17"/>
  <c r="P131" i="17"/>
  <c r="P130" i="17"/>
  <c r="P129" i="17"/>
  <c r="O128" i="17"/>
  <c r="O132" i="17" s="1"/>
  <c r="N128" i="17"/>
  <c r="N132" i="17" s="1"/>
  <c r="N138" i="17" s="1"/>
  <c r="M128" i="17"/>
  <c r="M132" i="17" s="1"/>
  <c r="M138" i="17" s="1"/>
  <c r="L128" i="17"/>
  <c r="L132" i="17" s="1"/>
  <c r="K128" i="17"/>
  <c r="K132" i="17" s="1"/>
  <c r="K138" i="17" s="1"/>
  <c r="J128" i="17"/>
  <c r="J132" i="17" s="1"/>
  <c r="J138" i="17" s="1"/>
  <c r="I128" i="17"/>
  <c r="I132" i="17" s="1"/>
  <c r="H128" i="17"/>
  <c r="H132" i="17" s="1"/>
  <c r="H138" i="17" s="1"/>
  <c r="G128" i="17"/>
  <c r="G132" i="17" s="1"/>
  <c r="F128" i="17"/>
  <c r="F132" i="17" s="1"/>
  <c r="F138" i="17" s="1"/>
  <c r="E128" i="17"/>
  <c r="E132" i="17" s="1"/>
  <c r="E138" i="17" s="1"/>
  <c r="D128" i="17"/>
  <c r="D132" i="17" s="1"/>
  <c r="P127" i="17"/>
  <c r="P126" i="17"/>
  <c r="P125" i="17"/>
  <c r="P124" i="17"/>
  <c r="P123" i="17"/>
  <c r="P122" i="17"/>
  <c r="P128" i="17" s="1"/>
  <c r="P132" i="17" s="1"/>
  <c r="P121" i="17"/>
  <c r="P120" i="17"/>
  <c r="P119" i="17"/>
  <c r="P118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P116" i="17"/>
  <c r="P117" i="17" s="1"/>
  <c r="P115" i="17"/>
  <c r="P114" i="17"/>
  <c r="P113" i="17"/>
  <c r="L112" i="17"/>
  <c r="D112" i="17"/>
  <c r="P106" i="17"/>
  <c r="O106" i="17"/>
  <c r="N106" i="17"/>
  <c r="N111" i="17" s="1"/>
  <c r="M106" i="17"/>
  <c r="L106" i="17"/>
  <c r="K106" i="17"/>
  <c r="J106" i="17"/>
  <c r="J111" i="17" s="1"/>
  <c r="I106" i="17"/>
  <c r="H106" i="17"/>
  <c r="H111" i="17" s="1"/>
  <c r="G106" i="17"/>
  <c r="F106" i="17"/>
  <c r="F111" i="17" s="1"/>
  <c r="E106" i="17"/>
  <c r="D106" i="17"/>
  <c r="P105" i="17"/>
  <c r="P104" i="17"/>
  <c r="P103" i="17"/>
  <c r="P102" i="17"/>
  <c r="O101" i="17"/>
  <c r="N101" i="17"/>
  <c r="M101" i="17"/>
  <c r="M111" i="17" s="1"/>
  <c r="L101" i="17"/>
  <c r="K101" i="17"/>
  <c r="J101" i="17"/>
  <c r="I101" i="17"/>
  <c r="H101" i="17"/>
  <c r="G101" i="17"/>
  <c r="F101" i="17"/>
  <c r="E101" i="17"/>
  <c r="E111" i="17" s="1"/>
  <c r="D101" i="17"/>
  <c r="P100" i="17"/>
  <c r="P99" i="17"/>
  <c r="P98" i="17"/>
  <c r="P97" i="17"/>
  <c r="P96" i="17"/>
  <c r="P95" i="17"/>
  <c r="P94" i="17"/>
  <c r="P93" i="17"/>
  <c r="P92" i="17"/>
  <c r="P101" i="17" s="1"/>
  <c r="P91" i="17"/>
  <c r="P90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P88" i="17"/>
  <c r="P87" i="17"/>
  <c r="P86" i="17"/>
  <c r="P85" i="17"/>
  <c r="P84" i="17"/>
  <c r="P89" i="17" s="1"/>
  <c r="P83" i="17"/>
  <c r="O80" i="17"/>
  <c r="O111" i="17" s="1"/>
  <c r="N80" i="17"/>
  <c r="M80" i="17"/>
  <c r="L80" i="17"/>
  <c r="K80" i="17"/>
  <c r="J80" i="17"/>
  <c r="I80" i="17"/>
  <c r="H80" i="17"/>
  <c r="G80" i="17"/>
  <c r="G111" i="17" s="1"/>
  <c r="F80" i="17"/>
  <c r="E80" i="17"/>
  <c r="D80" i="17"/>
  <c r="P79" i="17"/>
  <c r="P78" i="17"/>
  <c r="P77" i="17"/>
  <c r="P76" i="17"/>
  <c r="P75" i="17"/>
  <c r="P74" i="17"/>
  <c r="P80" i="17" s="1"/>
  <c r="P73" i="17"/>
  <c r="P72" i="17"/>
  <c r="P71" i="17"/>
  <c r="P70" i="17"/>
  <c r="O70" i="17"/>
  <c r="N70" i="17"/>
  <c r="M70" i="17"/>
  <c r="L70" i="17"/>
  <c r="L111" i="17" s="1"/>
  <c r="K70" i="17"/>
  <c r="J70" i="17"/>
  <c r="I70" i="17"/>
  <c r="H70" i="17"/>
  <c r="G70" i="17"/>
  <c r="F70" i="17"/>
  <c r="E70" i="17"/>
  <c r="D70" i="17"/>
  <c r="D111" i="17" s="1"/>
  <c r="P69" i="17"/>
  <c r="P68" i="17"/>
  <c r="P67" i="17"/>
  <c r="P66" i="17"/>
  <c r="P65" i="17"/>
  <c r="P64" i="17"/>
  <c r="P63" i="17"/>
  <c r="P62" i="17"/>
  <c r="O61" i="17"/>
  <c r="N61" i="17"/>
  <c r="M61" i="17"/>
  <c r="L61" i="17"/>
  <c r="K61" i="17"/>
  <c r="K111" i="17" s="1"/>
  <c r="J61" i="17"/>
  <c r="I61" i="17"/>
  <c r="I111" i="17" s="1"/>
  <c r="H61" i="17"/>
  <c r="G61" i="17"/>
  <c r="F61" i="17"/>
  <c r="E61" i="17"/>
  <c r="D61" i="17"/>
  <c r="P60" i="17"/>
  <c r="P59" i="17"/>
  <c r="P58" i="17"/>
  <c r="P57" i="17"/>
  <c r="P56" i="17"/>
  <c r="P61" i="17" s="1"/>
  <c r="P55" i="17"/>
  <c r="P54" i="17"/>
  <c r="P53" i="17"/>
  <c r="P52" i="17"/>
  <c r="P51" i="17"/>
  <c r="P50" i="17"/>
  <c r="P49" i="17"/>
  <c r="P48" i="17"/>
  <c r="P47" i="17"/>
  <c r="P42" i="17"/>
  <c r="P41" i="17"/>
  <c r="P40" i="17"/>
  <c r="P39" i="17"/>
  <c r="P38" i="17"/>
  <c r="P37" i="17"/>
  <c r="O36" i="17"/>
  <c r="O112" i="17" s="1"/>
  <c r="N36" i="17"/>
  <c r="N112" i="17" s="1"/>
  <c r="L36" i="17"/>
  <c r="J36" i="17"/>
  <c r="J112" i="17" s="1"/>
  <c r="I36" i="17"/>
  <c r="I112" i="17" s="1"/>
  <c r="G36" i="17"/>
  <c r="G112" i="17" s="1"/>
  <c r="F36" i="17"/>
  <c r="F112" i="17" s="1"/>
  <c r="D36" i="17"/>
  <c r="P33" i="17"/>
  <c r="P32" i="17"/>
  <c r="P31" i="17"/>
  <c r="P30" i="17"/>
  <c r="O29" i="17"/>
  <c r="N29" i="17"/>
  <c r="M29" i="17"/>
  <c r="M36" i="17" s="1"/>
  <c r="M112" i="17" s="1"/>
  <c r="L29" i="17"/>
  <c r="K29" i="17"/>
  <c r="J29" i="17"/>
  <c r="I29" i="17"/>
  <c r="H29" i="17"/>
  <c r="G29" i="17"/>
  <c r="F29" i="17"/>
  <c r="E29" i="17"/>
  <c r="E36" i="17" s="1"/>
  <c r="E112" i="17" s="1"/>
  <c r="D29" i="17"/>
  <c r="P28" i="17"/>
  <c r="P27" i="17"/>
  <c r="P26" i="17"/>
  <c r="P25" i="17"/>
  <c r="P29" i="17" s="1"/>
  <c r="O24" i="17"/>
  <c r="N24" i="17"/>
  <c r="M24" i="17"/>
  <c r="L24" i="17"/>
  <c r="K24" i="17"/>
  <c r="K36" i="17" s="1"/>
  <c r="K112" i="17" s="1"/>
  <c r="J24" i="17"/>
  <c r="I24" i="17"/>
  <c r="H24" i="17"/>
  <c r="H36" i="17" s="1"/>
  <c r="H112" i="17" s="1"/>
  <c r="G24" i="17"/>
  <c r="F24" i="17"/>
  <c r="E24" i="17"/>
  <c r="D24" i="17"/>
  <c r="P23" i="17"/>
  <c r="P22" i="17"/>
  <c r="P21" i="17"/>
  <c r="P20" i="17"/>
  <c r="P24" i="17" s="1"/>
  <c r="P19" i="17"/>
  <c r="P18" i="17"/>
  <c r="P17" i="17"/>
  <c r="P12" i="17"/>
  <c r="P11" i="17"/>
  <c r="P10" i="17"/>
  <c r="P249" i="4"/>
  <c r="P244" i="4"/>
  <c r="P239" i="4"/>
  <c r="P235" i="4"/>
  <c r="P232" i="4"/>
  <c r="P227" i="4"/>
  <c r="P226" i="4"/>
  <c r="P225" i="4"/>
  <c r="P224" i="4"/>
  <c r="P221" i="4"/>
  <c r="P220" i="4"/>
  <c r="P218" i="4"/>
  <c r="P217" i="4"/>
  <c r="P216" i="4"/>
  <c r="P211" i="4"/>
  <c r="P210" i="4"/>
  <c r="P209" i="4"/>
  <c r="P208" i="4"/>
  <c r="P203" i="4"/>
  <c r="P202" i="4"/>
  <c r="P201" i="4"/>
  <c r="P200" i="4"/>
  <c r="P194" i="4"/>
  <c r="P193" i="4"/>
  <c r="P192" i="4"/>
  <c r="P188" i="4"/>
  <c r="P186" i="4"/>
  <c r="P185" i="4"/>
  <c r="P184" i="4"/>
  <c r="P183" i="4"/>
  <c r="P180" i="4"/>
  <c r="P179" i="4"/>
  <c r="P178" i="4"/>
  <c r="P177" i="4"/>
  <c r="P176" i="4"/>
  <c r="P173" i="4"/>
  <c r="P172" i="4"/>
  <c r="P171" i="4"/>
  <c r="P169" i="4"/>
  <c r="P168" i="4"/>
  <c r="P165" i="4"/>
  <c r="P164" i="4"/>
  <c r="P163" i="4"/>
  <c r="P162" i="4"/>
  <c r="P161" i="4"/>
  <c r="P160" i="4"/>
  <c r="P156" i="4"/>
  <c r="P155" i="4"/>
  <c r="P153" i="4"/>
  <c r="P152" i="4"/>
  <c r="P146" i="4"/>
  <c r="P145" i="4"/>
  <c r="P144" i="4"/>
  <c r="P140" i="4"/>
  <c r="P139" i="4"/>
  <c r="P136" i="4"/>
  <c r="P131" i="4"/>
  <c r="P130" i="4"/>
  <c r="P129" i="4"/>
  <c r="P127" i="4"/>
  <c r="P124" i="4"/>
  <c r="P123" i="4"/>
  <c r="P122" i="4"/>
  <c r="P121" i="4"/>
  <c r="P120" i="4"/>
  <c r="P119" i="4"/>
  <c r="P116" i="4"/>
  <c r="P115" i="4"/>
  <c r="P114" i="4"/>
  <c r="P113" i="4"/>
  <c r="P105" i="4"/>
  <c r="P104" i="4"/>
  <c r="P100" i="4"/>
  <c r="P99" i="4"/>
  <c r="P98" i="4"/>
  <c r="P97" i="4"/>
  <c r="P96" i="4"/>
  <c r="P92" i="4"/>
  <c r="P91" i="4"/>
  <c r="P90" i="4"/>
  <c r="P88" i="4"/>
  <c r="P84" i="4"/>
  <c r="P83" i="4"/>
  <c r="P76" i="4"/>
  <c r="P75" i="4"/>
  <c r="P74" i="4"/>
  <c r="P73" i="4"/>
  <c r="P72" i="4"/>
  <c r="P68" i="4"/>
  <c r="P67" i="4"/>
  <c r="P66" i="4"/>
  <c r="P65" i="4"/>
  <c r="P64" i="4"/>
  <c r="P60" i="4"/>
  <c r="P59" i="4"/>
  <c r="P58" i="4"/>
  <c r="P57" i="4"/>
  <c r="P56" i="4"/>
  <c r="P51" i="4"/>
  <c r="P50" i="4"/>
  <c r="P49" i="4"/>
  <c r="P48" i="4"/>
  <c r="P42" i="4"/>
  <c r="P41" i="4"/>
  <c r="P40" i="4"/>
  <c r="P33" i="4"/>
  <c r="P32" i="4"/>
  <c r="P28" i="4"/>
  <c r="P27" i="4"/>
  <c r="P26" i="4"/>
  <c r="P25" i="4"/>
  <c r="P21" i="4"/>
  <c r="P20" i="4"/>
  <c r="P19" i="4"/>
  <c r="P18" i="4"/>
  <c r="P17" i="4"/>
  <c r="P12" i="4"/>
  <c r="P11" i="4"/>
  <c r="P10" i="4"/>
  <c r="P9" i="4"/>
  <c r="P8" i="4"/>
  <c r="P252" i="7"/>
  <c r="P250" i="7"/>
  <c r="P247" i="7"/>
  <c r="P246" i="7"/>
  <c r="P245" i="7"/>
  <c r="P244" i="7"/>
  <c r="P242" i="7"/>
  <c r="P240" i="7"/>
  <c r="P238" i="7"/>
  <c r="P237" i="7"/>
  <c r="P236" i="7"/>
  <c r="P234" i="7"/>
  <c r="P232" i="7"/>
  <c r="P230" i="7"/>
  <c r="P227" i="7"/>
  <c r="P226" i="7"/>
  <c r="P224" i="7"/>
  <c r="P222" i="7"/>
  <c r="P221" i="7"/>
  <c r="P220" i="7"/>
  <c r="P218" i="7"/>
  <c r="P217" i="7"/>
  <c r="P216" i="7"/>
  <c r="P213" i="7"/>
  <c r="P212" i="7"/>
  <c r="P211" i="7"/>
  <c r="P210" i="7"/>
  <c r="P208" i="7"/>
  <c r="P207" i="7"/>
  <c r="P205" i="7"/>
  <c r="P204" i="7"/>
  <c r="P203" i="7"/>
  <c r="P202" i="7"/>
  <c r="P200" i="7"/>
  <c r="P194" i="7"/>
  <c r="P193" i="7"/>
  <c r="P192" i="7"/>
  <c r="P191" i="7"/>
  <c r="P190" i="7"/>
  <c r="P189" i="7"/>
  <c r="P188" i="7"/>
  <c r="P186" i="7"/>
  <c r="P185" i="7"/>
  <c r="P184" i="7"/>
  <c r="P181" i="7"/>
  <c r="P180" i="7"/>
  <c r="P179" i="7"/>
  <c r="P178" i="7"/>
  <c r="P176" i="7"/>
  <c r="P174" i="7"/>
  <c r="P173" i="7"/>
  <c r="P172" i="7"/>
  <c r="P171" i="7"/>
  <c r="P169" i="7"/>
  <c r="P168" i="7"/>
  <c r="P167" i="7"/>
  <c r="P166" i="7"/>
  <c r="P165" i="7"/>
  <c r="P164" i="7"/>
  <c r="P163" i="7"/>
  <c r="P162" i="7"/>
  <c r="P161" i="7"/>
  <c r="P160" i="7"/>
  <c r="P159" i="7"/>
  <c r="P157" i="7"/>
  <c r="P156" i="7"/>
  <c r="P155" i="7"/>
  <c r="P152" i="7"/>
  <c r="P150" i="7"/>
  <c r="P149" i="7"/>
  <c r="P146" i="7"/>
  <c r="P144" i="7"/>
  <c r="P142" i="7"/>
  <c r="P141" i="7"/>
  <c r="P140" i="7"/>
  <c r="P139" i="7"/>
  <c r="P136" i="7"/>
  <c r="P135" i="7"/>
  <c r="P134" i="7"/>
  <c r="P133" i="7"/>
  <c r="P131" i="7"/>
  <c r="P130" i="7"/>
  <c r="P126" i="7"/>
  <c r="P125" i="7"/>
  <c r="P124" i="7"/>
  <c r="P123" i="7"/>
  <c r="P122" i="7"/>
  <c r="P120" i="7"/>
  <c r="P118" i="7"/>
  <c r="P116" i="7"/>
  <c r="P115" i="7"/>
  <c r="P114" i="7"/>
  <c r="P105" i="7"/>
  <c r="P104" i="7"/>
  <c r="P103" i="7"/>
  <c r="P102" i="7"/>
  <c r="P100" i="7"/>
  <c r="P99" i="7"/>
  <c r="P98" i="7"/>
  <c r="P97" i="7"/>
  <c r="P96" i="7"/>
  <c r="P94" i="7"/>
  <c r="P93" i="7"/>
  <c r="P92" i="7"/>
  <c r="P91" i="7"/>
  <c r="P90" i="7"/>
  <c r="P88" i="7"/>
  <c r="P86" i="7"/>
  <c r="P85" i="7"/>
  <c r="P84" i="7"/>
  <c r="P83" i="7"/>
  <c r="P78" i="7"/>
  <c r="P77" i="7"/>
  <c r="P76" i="7"/>
  <c r="P75" i="7"/>
  <c r="P74" i="7"/>
  <c r="P73" i="7"/>
  <c r="P72" i="7"/>
  <c r="P69" i="7"/>
  <c r="P68" i="7"/>
  <c r="P67" i="7"/>
  <c r="P66" i="7"/>
  <c r="P64" i="7"/>
  <c r="P62" i="7"/>
  <c r="P60" i="7"/>
  <c r="P59" i="7"/>
  <c r="P58" i="7"/>
  <c r="P56" i="7"/>
  <c r="P54" i="7"/>
  <c r="P51" i="7"/>
  <c r="P50" i="7"/>
  <c r="P48" i="7"/>
  <c r="P42" i="7"/>
  <c r="P41" i="7"/>
  <c r="P40" i="7"/>
  <c r="P38" i="7"/>
  <c r="P37" i="7"/>
  <c r="P33" i="7"/>
  <c r="P32" i="7"/>
  <c r="P30" i="7"/>
  <c r="P28" i="7"/>
  <c r="P27" i="7"/>
  <c r="P26" i="7"/>
  <c r="P25" i="7"/>
  <c r="P23" i="7"/>
  <c r="P22" i="7"/>
  <c r="P21" i="7"/>
  <c r="P20" i="7"/>
  <c r="P19" i="7"/>
  <c r="P18" i="7"/>
  <c r="P17" i="7"/>
  <c r="P13" i="7"/>
  <c r="P12" i="7"/>
  <c r="P11" i="7"/>
  <c r="P10" i="7"/>
  <c r="P9" i="7"/>
  <c r="P8" i="7"/>
  <c r="P252" i="5"/>
  <c r="P247" i="5"/>
  <c r="P246" i="5"/>
  <c r="P245" i="5"/>
  <c r="P244" i="5"/>
  <c r="P242" i="5"/>
  <c r="P240" i="5"/>
  <c r="P239" i="5"/>
  <c r="P238" i="5"/>
  <c r="P237" i="5"/>
  <c r="P236" i="5"/>
  <c r="P235" i="5"/>
  <c r="P234" i="5"/>
  <c r="P232" i="5"/>
  <c r="P231" i="5"/>
  <c r="P227" i="5"/>
  <c r="P226" i="5"/>
  <c r="P225" i="5"/>
  <c r="P224" i="5"/>
  <c r="P222" i="5"/>
  <c r="P221" i="5"/>
  <c r="P220" i="5"/>
  <c r="P218" i="5"/>
  <c r="P217" i="5"/>
  <c r="P216" i="5"/>
  <c r="P215" i="5"/>
  <c r="P213" i="5"/>
  <c r="P212" i="5"/>
  <c r="P211" i="5"/>
  <c r="P210" i="5"/>
  <c r="P209" i="5"/>
  <c r="P208" i="5"/>
  <c r="P207" i="5"/>
  <c r="P205" i="5"/>
  <c r="P204" i="5"/>
  <c r="P203" i="5"/>
  <c r="P202" i="5"/>
  <c r="P201" i="5"/>
  <c r="P200" i="5"/>
  <c r="P199" i="5"/>
  <c r="P194" i="5"/>
  <c r="P193" i="5"/>
  <c r="P192" i="5"/>
  <c r="P191" i="5"/>
  <c r="P190" i="5"/>
  <c r="P189" i="5"/>
  <c r="P188" i="5"/>
  <c r="P186" i="5"/>
  <c r="P185" i="5"/>
  <c r="P184" i="5"/>
  <c r="P183" i="5"/>
  <c r="P181" i="5"/>
  <c r="P180" i="5"/>
  <c r="P179" i="5"/>
  <c r="P178" i="5"/>
  <c r="P177" i="5"/>
  <c r="P176" i="5"/>
  <c r="P174" i="5"/>
  <c r="P173" i="5"/>
  <c r="P172" i="5"/>
  <c r="P171" i="5"/>
  <c r="P169" i="5"/>
  <c r="P168" i="5"/>
  <c r="P167" i="5"/>
  <c r="P166" i="5"/>
  <c r="P165" i="5"/>
  <c r="P164" i="5"/>
  <c r="P163" i="5"/>
  <c r="P162" i="5"/>
  <c r="P161" i="5"/>
  <c r="P160" i="5"/>
  <c r="P159" i="5"/>
  <c r="P157" i="5"/>
  <c r="P156" i="5"/>
  <c r="P155" i="5"/>
  <c r="P153" i="5"/>
  <c r="P152" i="5"/>
  <c r="P151" i="5"/>
  <c r="P150" i="5"/>
  <c r="P149" i="5"/>
  <c r="P146" i="5"/>
  <c r="P145" i="5"/>
  <c r="P144" i="5"/>
  <c r="P143" i="5"/>
  <c r="P142" i="5"/>
  <c r="P141" i="5"/>
  <c r="P140" i="5"/>
  <c r="P139" i="5"/>
  <c r="P136" i="5"/>
  <c r="P135" i="5"/>
  <c r="P134" i="5"/>
  <c r="P133" i="5"/>
  <c r="P131" i="5"/>
  <c r="P130" i="5"/>
  <c r="P129" i="5"/>
  <c r="P127" i="5"/>
  <c r="P126" i="5"/>
  <c r="P125" i="5"/>
  <c r="P124" i="5"/>
  <c r="P123" i="5"/>
  <c r="P122" i="5"/>
  <c r="P121" i="5"/>
  <c r="P120" i="5"/>
  <c r="P119" i="5"/>
  <c r="P118" i="5"/>
  <c r="P116" i="5"/>
  <c r="P115" i="5"/>
  <c r="P114" i="5"/>
  <c r="P113" i="5"/>
  <c r="P105" i="5"/>
  <c r="P104" i="5"/>
  <c r="P103" i="5"/>
  <c r="P102" i="5"/>
  <c r="P100" i="5"/>
  <c r="Q100" i="5" s="1"/>
  <c r="P99" i="5"/>
  <c r="Q99" i="5" s="1"/>
  <c r="P98" i="5"/>
  <c r="P97" i="5"/>
  <c r="P96" i="5"/>
  <c r="Q96" i="5" s="1"/>
  <c r="P95" i="5"/>
  <c r="P94" i="5"/>
  <c r="Q94" i="5" s="1"/>
  <c r="P93" i="5"/>
  <c r="P92" i="5"/>
  <c r="P91" i="5"/>
  <c r="P90" i="5"/>
  <c r="P88" i="5"/>
  <c r="P87" i="5"/>
  <c r="P86" i="5"/>
  <c r="P85" i="5"/>
  <c r="P84" i="5"/>
  <c r="P83" i="5"/>
  <c r="P79" i="5"/>
  <c r="P78" i="5"/>
  <c r="P77" i="5"/>
  <c r="P76" i="5"/>
  <c r="P75" i="5"/>
  <c r="P74" i="5"/>
  <c r="P73" i="5"/>
  <c r="P72" i="5"/>
  <c r="P71" i="5"/>
  <c r="P69" i="5"/>
  <c r="P68" i="5"/>
  <c r="P67" i="5"/>
  <c r="P66" i="5"/>
  <c r="P65" i="5"/>
  <c r="P64" i="5"/>
  <c r="P63" i="5"/>
  <c r="P62" i="5"/>
  <c r="P60" i="5"/>
  <c r="P59" i="5"/>
  <c r="P58" i="5"/>
  <c r="P57" i="5"/>
  <c r="P56" i="5"/>
  <c r="P55" i="5"/>
  <c r="P54" i="5"/>
  <c r="P51" i="5"/>
  <c r="P50" i="5"/>
  <c r="P49" i="5"/>
  <c r="P48" i="5"/>
  <c r="P42" i="5"/>
  <c r="P41" i="5"/>
  <c r="P40" i="5"/>
  <c r="P39" i="5"/>
  <c r="P38" i="5"/>
  <c r="P37" i="5"/>
  <c r="P33" i="5"/>
  <c r="P32" i="5"/>
  <c r="P31" i="5"/>
  <c r="P30" i="5"/>
  <c r="P28" i="5"/>
  <c r="P27" i="5"/>
  <c r="P26" i="5"/>
  <c r="P25" i="5"/>
  <c r="P23" i="5"/>
  <c r="P22" i="5"/>
  <c r="P21" i="5"/>
  <c r="P20" i="5"/>
  <c r="P19" i="5"/>
  <c r="P18" i="5"/>
  <c r="P17" i="5"/>
  <c r="P13" i="5"/>
  <c r="P12" i="5"/>
  <c r="P11" i="5"/>
  <c r="P10" i="5"/>
  <c r="P9" i="5"/>
  <c r="P8" i="5"/>
  <c r="Q95" i="5"/>
  <c r="Q98" i="5"/>
  <c r="P252" i="6"/>
  <c r="P250" i="6"/>
  <c r="P249" i="6"/>
  <c r="P247" i="6"/>
  <c r="P246" i="6"/>
  <c r="P245" i="6"/>
  <c r="P244" i="6"/>
  <c r="P242" i="6"/>
  <c r="P240" i="6"/>
  <c r="P239" i="6"/>
  <c r="P238" i="6"/>
  <c r="P237" i="6"/>
  <c r="P236" i="6"/>
  <c r="P235" i="6"/>
  <c r="P234" i="6"/>
  <c r="P232" i="6"/>
  <c r="P231" i="6"/>
  <c r="P230" i="6"/>
  <c r="P227" i="6"/>
  <c r="P226" i="6"/>
  <c r="P225" i="6"/>
  <c r="P224" i="6"/>
  <c r="P222" i="6"/>
  <c r="P221" i="6"/>
  <c r="P220" i="6"/>
  <c r="P218" i="6"/>
  <c r="P217" i="6"/>
  <c r="P216" i="6"/>
  <c r="P215" i="6"/>
  <c r="P213" i="6"/>
  <c r="P212" i="6"/>
  <c r="P211" i="6"/>
  <c r="P210" i="6"/>
  <c r="P209" i="6"/>
  <c r="P208" i="6"/>
  <c r="P207" i="6"/>
  <c r="P205" i="6"/>
  <c r="P204" i="6"/>
  <c r="P203" i="6"/>
  <c r="P202" i="6"/>
  <c r="P201" i="6"/>
  <c r="P200" i="6"/>
  <c r="P199" i="6"/>
  <c r="P194" i="6"/>
  <c r="P193" i="6"/>
  <c r="P192" i="6"/>
  <c r="P191" i="6"/>
  <c r="P190" i="6"/>
  <c r="P189" i="6"/>
  <c r="P188" i="6"/>
  <c r="P186" i="6"/>
  <c r="P185" i="6"/>
  <c r="P184" i="6"/>
  <c r="P183" i="6"/>
  <c r="P181" i="6"/>
  <c r="P180" i="6"/>
  <c r="P179" i="6"/>
  <c r="P178" i="6"/>
  <c r="P177" i="6"/>
  <c r="P176" i="6"/>
  <c r="P174" i="6"/>
  <c r="P173" i="6"/>
  <c r="P172" i="6"/>
  <c r="P171" i="6"/>
  <c r="P169" i="6"/>
  <c r="P168" i="6"/>
  <c r="P167" i="6"/>
  <c r="P166" i="6"/>
  <c r="P165" i="6"/>
  <c r="P164" i="6"/>
  <c r="P163" i="6"/>
  <c r="P162" i="6"/>
  <c r="P161" i="6"/>
  <c r="P160" i="6"/>
  <c r="P159" i="6"/>
  <c r="P157" i="6"/>
  <c r="P156" i="6"/>
  <c r="P155" i="6"/>
  <c r="P153" i="6"/>
  <c r="P152" i="6"/>
  <c r="P151" i="6"/>
  <c r="P150" i="6"/>
  <c r="P149" i="6"/>
  <c r="P146" i="6"/>
  <c r="P145" i="6"/>
  <c r="P144" i="6"/>
  <c r="P143" i="6"/>
  <c r="P142" i="6"/>
  <c r="P141" i="6"/>
  <c r="P140" i="6"/>
  <c r="P139" i="6"/>
  <c r="P136" i="6"/>
  <c r="P135" i="6"/>
  <c r="P134" i="6"/>
  <c r="P133" i="6"/>
  <c r="P131" i="6"/>
  <c r="P130" i="6"/>
  <c r="P129" i="6"/>
  <c r="P127" i="6"/>
  <c r="P126" i="6"/>
  <c r="P125" i="6"/>
  <c r="P124" i="6"/>
  <c r="P123" i="6"/>
  <c r="P122" i="6"/>
  <c r="P121" i="6"/>
  <c r="P120" i="6"/>
  <c r="P119" i="6"/>
  <c r="P118" i="6"/>
  <c r="P116" i="6"/>
  <c r="P115" i="6"/>
  <c r="P114" i="6"/>
  <c r="P113" i="6"/>
  <c r="P105" i="6"/>
  <c r="P104" i="6"/>
  <c r="P103" i="6"/>
  <c r="P102" i="6"/>
  <c r="P100" i="6"/>
  <c r="P99" i="6"/>
  <c r="P98" i="6"/>
  <c r="P97" i="6"/>
  <c r="P96" i="6"/>
  <c r="P95" i="6"/>
  <c r="P94" i="6"/>
  <c r="P93" i="6"/>
  <c r="P92" i="6"/>
  <c r="P91" i="6"/>
  <c r="P90" i="6"/>
  <c r="P88" i="6"/>
  <c r="P87" i="6"/>
  <c r="P86" i="6"/>
  <c r="P85" i="6"/>
  <c r="P84" i="6"/>
  <c r="P83" i="6"/>
  <c r="P79" i="6"/>
  <c r="P78" i="6"/>
  <c r="P77" i="6"/>
  <c r="P76" i="6"/>
  <c r="P75" i="6"/>
  <c r="P74" i="6"/>
  <c r="P73" i="6"/>
  <c r="P72" i="6"/>
  <c r="P71" i="6"/>
  <c r="P69" i="6"/>
  <c r="P68" i="6"/>
  <c r="P67" i="6"/>
  <c r="P66" i="6"/>
  <c r="P65" i="6"/>
  <c r="P64" i="6"/>
  <c r="P63" i="6"/>
  <c r="P62" i="6"/>
  <c r="P60" i="6"/>
  <c r="P59" i="6"/>
  <c r="P58" i="6"/>
  <c r="P57" i="6"/>
  <c r="P56" i="6"/>
  <c r="P55" i="6"/>
  <c r="P54" i="6"/>
  <c r="P51" i="6"/>
  <c r="P50" i="6"/>
  <c r="P49" i="6"/>
  <c r="P48" i="6"/>
  <c r="P42" i="6"/>
  <c r="P41" i="6"/>
  <c r="P40" i="6"/>
  <c r="P39" i="6"/>
  <c r="P38" i="6"/>
  <c r="P37" i="6"/>
  <c r="P33" i="6"/>
  <c r="P32" i="6"/>
  <c r="P31" i="6"/>
  <c r="P30" i="6"/>
  <c r="P28" i="6"/>
  <c r="P27" i="6"/>
  <c r="P26" i="6"/>
  <c r="P25" i="6"/>
  <c r="P23" i="6"/>
  <c r="P22" i="6"/>
  <c r="P21" i="6"/>
  <c r="P20" i="6"/>
  <c r="P19" i="6"/>
  <c r="P18" i="6"/>
  <c r="P17" i="6"/>
  <c r="P13" i="6"/>
  <c r="P12" i="6"/>
  <c r="P11" i="6"/>
  <c r="P10" i="6"/>
  <c r="P9" i="6"/>
  <c r="P8" i="6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P252" i="14"/>
  <c r="A252" i="14"/>
  <c r="A251" i="14"/>
  <c r="P250" i="14"/>
  <c r="A250" i="14"/>
  <c r="P249" i="14"/>
  <c r="A249" i="14"/>
  <c r="A248" i="14"/>
  <c r="P247" i="14"/>
  <c r="A247" i="14"/>
  <c r="P246" i="14"/>
  <c r="A246" i="14"/>
  <c r="P245" i="14"/>
  <c r="A245" i="14"/>
  <c r="P244" i="14"/>
  <c r="A244" i="14"/>
  <c r="A243" i="14"/>
  <c r="P242" i="14"/>
  <c r="A242" i="14"/>
  <c r="A241" i="14"/>
  <c r="P240" i="14"/>
  <c r="A240" i="14"/>
  <c r="P239" i="14"/>
  <c r="A239" i="14"/>
  <c r="P238" i="14"/>
  <c r="A238" i="14"/>
  <c r="P237" i="14"/>
  <c r="A237" i="14"/>
  <c r="P236" i="14"/>
  <c r="A236" i="14"/>
  <c r="P235" i="14"/>
  <c r="A235" i="14"/>
  <c r="P234" i="14"/>
  <c r="A234" i="14"/>
  <c r="A233" i="14"/>
  <c r="P232" i="14"/>
  <c r="A232" i="14"/>
  <c r="P231" i="14"/>
  <c r="A231" i="14"/>
  <c r="P230" i="14"/>
  <c r="A230" i="14"/>
  <c r="D229" i="14"/>
  <c r="A229" i="14"/>
  <c r="A228" i="14"/>
  <c r="P227" i="14"/>
  <c r="A227" i="14"/>
  <c r="P226" i="14"/>
  <c r="P229" i="14" s="1"/>
  <c r="A226" i="14"/>
  <c r="P225" i="14"/>
  <c r="A225" i="14"/>
  <c r="P224" i="14"/>
  <c r="A224" i="14"/>
  <c r="P223" i="14"/>
  <c r="D223" i="14"/>
  <c r="A223" i="14"/>
  <c r="P222" i="14"/>
  <c r="A222" i="14"/>
  <c r="P221" i="14"/>
  <c r="A221" i="14"/>
  <c r="P220" i="14"/>
  <c r="A220" i="14"/>
  <c r="D219" i="14"/>
  <c r="D243" i="14" s="1"/>
  <c r="A219" i="14"/>
  <c r="P218" i="14"/>
  <c r="A218" i="14"/>
  <c r="P217" i="14"/>
  <c r="P219" i="14" s="1"/>
  <c r="P243" i="14" s="1"/>
  <c r="A217" i="14"/>
  <c r="P216" i="14"/>
  <c r="A216" i="14"/>
  <c r="P215" i="14"/>
  <c r="A215" i="14"/>
  <c r="A214" i="14"/>
  <c r="P213" i="14"/>
  <c r="A213" i="14"/>
  <c r="P212" i="14"/>
  <c r="A212" i="14"/>
  <c r="P211" i="14"/>
  <c r="A211" i="14"/>
  <c r="P210" i="14"/>
  <c r="A210" i="14"/>
  <c r="P209" i="14"/>
  <c r="A209" i="14"/>
  <c r="P208" i="14"/>
  <c r="A208" i="14"/>
  <c r="P207" i="14"/>
  <c r="A207" i="14"/>
  <c r="D206" i="14"/>
  <c r="D214" i="14" s="1"/>
  <c r="D248" i="14" s="1"/>
  <c r="A206" i="14"/>
  <c r="P205" i="14"/>
  <c r="A205" i="14"/>
  <c r="P204" i="14"/>
  <c r="A204" i="14"/>
  <c r="P203" i="14"/>
  <c r="A203" i="14"/>
  <c r="P202" i="14"/>
  <c r="A202" i="14"/>
  <c r="P201" i="14"/>
  <c r="P214" i="14" s="1"/>
  <c r="P248" i="14" s="1"/>
  <c r="A201" i="14"/>
  <c r="P200" i="14"/>
  <c r="A200" i="14"/>
  <c r="P199" i="14"/>
  <c r="A199" i="14"/>
  <c r="A198" i="14"/>
  <c r="D197" i="14"/>
  <c r="A197" i="14"/>
  <c r="A196" i="14"/>
  <c r="A195" i="14"/>
  <c r="P194" i="14"/>
  <c r="A194" i="14"/>
  <c r="P193" i="14"/>
  <c r="A193" i="14"/>
  <c r="P192" i="14"/>
  <c r="A192" i="14"/>
  <c r="P191" i="14"/>
  <c r="A191" i="14"/>
  <c r="P190" i="14"/>
  <c r="A190" i="14"/>
  <c r="P189" i="14"/>
  <c r="P197" i="14" s="1"/>
  <c r="A189" i="14"/>
  <c r="P188" i="14"/>
  <c r="A188" i="14"/>
  <c r="P187" i="14"/>
  <c r="D187" i="14"/>
  <c r="A187" i="14"/>
  <c r="P186" i="14"/>
  <c r="A186" i="14"/>
  <c r="P185" i="14"/>
  <c r="A185" i="14"/>
  <c r="P184" i="14"/>
  <c r="A184" i="14"/>
  <c r="P183" i="14"/>
  <c r="A183" i="14"/>
  <c r="D182" i="14"/>
  <c r="A182" i="14"/>
  <c r="P181" i="14"/>
  <c r="A181" i="14"/>
  <c r="P180" i="14"/>
  <c r="P182" i="14" s="1"/>
  <c r="A180" i="14"/>
  <c r="P179" i="14"/>
  <c r="A179" i="14"/>
  <c r="P178" i="14"/>
  <c r="A178" i="14"/>
  <c r="P177" i="14"/>
  <c r="A177" i="14"/>
  <c r="P176" i="14"/>
  <c r="A176" i="14"/>
  <c r="D175" i="14"/>
  <c r="A175" i="14"/>
  <c r="P174" i="14"/>
  <c r="A174" i="14"/>
  <c r="P173" i="14"/>
  <c r="P175" i="14" s="1"/>
  <c r="A173" i="14"/>
  <c r="P172" i="14"/>
  <c r="A172" i="14"/>
  <c r="P171" i="14"/>
  <c r="A171" i="14"/>
  <c r="D170" i="14"/>
  <c r="A170" i="14"/>
  <c r="P169" i="14"/>
  <c r="A169" i="14"/>
  <c r="P168" i="14"/>
  <c r="A168" i="14"/>
  <c r="P167" i="14"/>
  <c r="P170" i="14" s="1"/>
  <c r="A167" i="14"/>
  <c r="P166" i="14"/>
  <c r="A166" i="14"/>
  <c r="P165" i="14"/>
  <c r="A165" i="14"/>
  <c r="P164" i="14"/>
  <c r="A164" i="14"/>
  <c r="P163" i="14"/>
  <c r="A163" i="14"/>
  <c r="P162" i="14"/>
  <c r="A162" i="14"/>
  <c r="P161" i="14"/>
  <c r="A161" i="14"/>
  <c r="P160" i="14"/>
  <c r="A160" i="14"/>
  <c r="P159" i="14"/>
  <c r="A159" i="14"/>
  <c r="A158" i="14"/>
  <c r="P157" i="14"/>
  <c r="A157" i="14"/>
  <c r="P156" i="14"/>
  <c r="A156" i="14"/>
  <c r="P155" i="14"/>
  <c r="A155" i="14"/>
  <c r="D154" i="14"/>
  <c r="A154" i="14"/>
  <c r="P153" i="14"/>
  <c r="A153" i="14"/>
  <c r="P152" i="14"/>
  <c r="A152" i="14"/>
  <c r="P151" i="14"/>
  <c r="P154" i="14" s="1"/>
  <c r="A151" i="14"/>
  <c r="P150" i="14"/>
  <c r="A150" i="14"/>
  <c r="P149" i="14"/>
  <c r="A149" i="14"/>
  <c r="D148" i="14"/>
  <c r="D198" i="14" s="1"/>
  <c r="A148" i="14"/>
  <c r="P147" i="14"/>
  <c r="A147" i="14"/>
  <c r="P146" i="14"/>
  <c r="A146" i="14"/>
  <c r="P145" i="14"/>
  <c r="A145" i="14"/>
  <c r="P144" i="14"/>
  <c r="A144" i="14"/>
  <c r="P143" i="14"/>
  <c r="A143" i="14"/>
  <c r="P142" i="14"/>
  <c r="P148" i="14" s="1"/>
  <c r="P198" i="14" s="1"/>
  <c r="A142" i="14"/>
  <c r="P141" i="14"/>
  <c r="A141" i="14"/>
  <c r="P140" i="14"/>
  <c r="A140" i="14"/>
  <c r="P139" i="14"/>
  <c r="A139" i="14"/>
  <c r="A138" i="14"/>
  <c r="D137" i="14"/>
  <c r="A137" i="14"/>
  <c r="P136" i="14"/>
  <c r="A136" i="14"/>
  <c r="P135" i="14"/>
  <c r="P137" i="14" s="1"/>
  <c r="P138" i="14" s="1"/>
  <c r="A135" i="14"/>
  <c r="P134" i="14"/>
  <c r="A134" i="14"/>
  <c r="P133" i="14"/>
  <c r="A133" i="14"/>
  <c r="A132" i="14"/>
  <c r="P131" i="14"/>
  <c r="A131" i="14"/>
  <c r="P130" i="14"/>
  <c r="A130" i="14"/>
  <c r="P129" i="14"/>
  <c r="A129" i="14"/>
  <c r="D128" i="14"/>
  <c r="D132" i="14" s="1"/>
  <c r="D138" i="14" s="1"/>
  <c r="A128" i="14"/>
  <c r="P127" i="14"/>
  <c r="A127" i="14"/>
  <c r="P126" i="14"/>
  <c r="A126" i="14"/>
  <c r="P125" i="14"/>
  <c r="A125" i="14"/>
  <c r="P124" i="14"/>
  <c r="A124" i="14"/>
  <c r="P123" i="14"/>
  <c r="A123" i="14"/>
  <c r="P122" i="14"/>
  <c r="P128" i="14" s="1"/>
  <c r="P132" i="14" s="1"/>
  <c r="A122" i="14"/>
  <c r="P121" i="14"/>
  <c r="A121" i="14"/>
  <c r="P120" i="14"/>
  <c r="A120" i="14"/>
  <c r="P119" i="14"/>
  <c r="A119" i="14"/>
  <c r="P118" i="14"/>
  <c r="A118" i="14"/>
  <c r="D117" i="14"/>
  <c r="A117" i="14"/>
  <c r="P116" i="14"/>
  <c r="P117" i="14" s="1"/>
  <c r="A116" i="14"/>
  <c r="P115" i="14"/>
  <c r="A115" i="14"/>
  <c r="P114" i="14"/>
  <c r="A114" i="14"/>
  <c r="P113" i="14"/>
  <c r="A113" i="14"/>
  <c r="A112" i="14"/>
  <c r="A111" i="14"/>
  <c r="A110" i="14"/>
  <c r="A109" i="14"/>
  <c r="A108" i="14"/>
  <c r="A107" i="14"/>
  <c r="D106" i="14"/>
  <c r="A106" i="14"/>
  <c r="P105" i="14"/>
  <c r="A105" i="14"/>
  <c r="P104" i="14"/>
  <c r="P106" i="14" s="1"/>
  <c r="A104" i="14"/>
  <c r="P103" i="14"/>
  <c r="A103" i="14"/>
  <c r="P102" i="14"/>
  <c r="A102" i="14"/>
  <c r="P101" i="14"/>
  <c r="D101" i="14"/>
  <c r="A101" i="14"/>
  <c r="P100" i="14"/>
  <c r="A100" i="14"/>
  <c r="P99" i="14"/>
  <c r="A99" i="14"/>
  <c r="P98" i="14"/>
  <c r="A98" i="14"/>
  <c r="P97" i="14"/>
  <c r="A97" i="14"/>
  <c r="P96" i="14"/>
  <c r="A96" i="14"/>
  <c r="P95" i="14"/>
  <c r="A95" i="14"/>
  <c r="P94" i="14"/>
  <c r="A94" i="14"/>
  <c r="P93" i="14"/>
  <c r="A93" i="14"/>
  <c r="P92" i="14"/>
  <c r="A92" i="14"/>
  <c r="P91" i="14"/>
  <c r="A91" i="14"/>
  <c r="P90" i="14"/>
  <c r="A90" i="14"/>
  <c r="D89" i="14"/>
  <c r="A89" i="14"/>
  <c r="P88" i="14"/>
  <c r="A88" i="14"/>
  <c r="P87" i="14"/>
  <c r="A87" i="14"/>
  <c r="P86" i="14"/>
  <c r="A86" i="14"/>
  <c r="P85" i="14"/>
  <c r="A85" i="14"/>
  <c r="P84" i="14"/>
  <c r="P89" i="14" s="1"/>
  <c r="A84" i="14"/>
  <c r="P83" i="14"/>
  <c r="A83" i="14"/>
  <c r="A82" i="14"/>
  <c r="A81" i="14"/>
  <c r="D80" i="14"/>
  <c r="D111" i="14" s="1"/>
  <c r="A80" i="14"/>
  <c r="P79" i="14"/>
  <c r="A79" i="14"/>
  <c r="P78" i="14"/>
  <c r="A78" i="14"/>
  <c r="P77" i="14"/>
  <c r="A77" i="14"/>
  <c r="P76" i="14"/>
  <c r="A76" i="14"/>
  <c r="P75" i="14"/>
  <c r="A75" i="14"/>
  <c r="P74" i="14"/>
  <c r="P80" i="14" s="1"/>
  <c r="A74" i="14"/>
  <c r="P73" i="14"/>
  <c r="A73" i="14"/>
  <c r="P72" i="14"/>
  <c r="A72" i="14"/>
  <c r="P71" i="14"/>
  <c r="A71" i="14"/>
  <c r="D70" i="14"/>
  <c r="A70" i="14"/>
  <c r="P69" i="14"/>
  <c r="A69" i="14"/>
  <c r="P68" i="14"/>
  <c r="P70" i="14" s="1"/>
  <c r="A68" i="14"/>
  <c r="P67" i="14"/>
  <c r="A67" i="14"/>
  <c r="P66" i="14"/>
  <c r="A66" i="14"/>
  <c r="P65" i="14"/>
  <c r="A65" i="14"/>
  <c r="P64" i="14"/>
  <c r="A64" i="14"/>
  <c r="P63" i="14"/>
  <c r="A63" i="14"/>
  <c r="P62" i="14"/>
  <c r="A62" i="14"/>
  <c r="D61" i="14"/>
  <c r="A61" i="14"/>
  <c r="P60" i="14"/>
  <c r="A60" i="14"/>
  <c r="P59" i="14"/>
  <c r="A59" i="14"/>
  <c r="P58" i="14"/>
  <c r="A58" i="14"/>
  <c r="P57" i="14"/>
  <c r="P61" i="14" s="1"/>
  <c r="A57" i="14"/>
  <c r="P56" i="14"/>
  <c r="A56" i="14"/>
  <c r="P55" i="14"/>
  <c r="A55" i="14"/>
  <c r="P54" i="14"/>
  <c r="A54" i="14"/>
  <c r="A53" i="14"/>
  <c r="A52" i="14"/>
  <c r="P51" i="14"/>
  <c r="A51" i="14"/>
  <c r="P50" i="14"/>
  <c r="A50" i="14"/>
  <c r="P49" i="14"/>
  <c r="A49" i="14"/>
  <c r="P48" i="14"/>
  <c r="A48" i="14"/>
  <c r="A47" i="14"/>
  <c r="A46" i="14"/>
  <c r="A45" i="14"/>
  <c r="A44" i="14"/>
  <c r="A43" i="14"/>
  <c r="P42" i="14"/>
  <c r="A42" i="14"/>
  <c r="P41" i="14"/>
  <c r="A41" i="14"/>
  <c r="P40" i="14"/>
  <c r="A40" i="14"/>
  <c r="P39" i="14"/>
  <c r="A39" i="14"/>
  <c r="P38" i="14"/>
  <c r="A38" i="14"/>
  <c r="P37" i="14"/>
  <c r="A37" i="14"/>
  <c r="D36" i="14"/>
  <c r="D112" i="14" s="1"/>
  <c r="A36" i="14"/>
  <c r="A35" i="14"/>
  <c r="A34" i="14"/>
  <c r="P33" i="14"/>
  <c r="A33" i="14"/>
  <c r="P32" i="14"/>
  <c r="A32" i="14"/>
  <c r="P31" i="14"/>
  <c r="A31" i="14"/>
  <c r="P30" i="14"/>
  <c r="A30" i="14"/>
  <c r="A29" i="14"/>
  <c r="P28" i="14"/>
  <c r="A28" i="14"/>
  <c r="P27" i="14"/>
  <c r="A27" i="14"/>
  <c r="P26" i="14"/>
  <c r="A26" i="14"/>
  <c r="P25" i="14"/>
  <c r="A25" i="14"/>
  <c r="P24" i="14"/>
  <c r="P36" i="14" s="1"/>
  <c r="P112" i="14" s="1"/>
  <c r="D24" i="14"/>
  <c r="A24" i="14"/>
  <c r="P23" i="14"/>
  <c r="A23" i="14"/>
  <c r="P22" i="14"/>
  <c r="A22" i="14"/>
  <c r="P21" i="14"/>
  <c r="A21" i="14"/>
  <c r="P20" i="14"/>
  <c r="A20" i="14"/>
  <c r="P19" i="14"/>
  <c r="A19" i="14"/>
  <c r="P18" i="14"/>
  <c r="A18" i="14"/>
  <c r="P17" i="14"/>
  <c r="A17" i="14"/>
  <c r="N16" i="14"/>
  <c r="N253" i="14" s="1"/>
  <c r="M16" i="14"/>
  <c r="M253" i="14" s="1"/>
  <c r="J16" i="14"/>
  <c r="J253" i="14" s="1"/>
  <c r="I16" i="14"/>
  <c r="I253" i="14" s="1"/>
  <c r="E16" i="14"/>
  <c r="E253" i="14" s="1"/>
  <c r="A16" i="14"/>
  <c r="O15" i="14"/>
  <c r="O16" i="14" s="1"/>
  <c r="O253" i="14" s="1"/>
  <c r="N15" i="14"/>
  <c r="M15" i="14"/>
  <c r="L15" i="14"/>
  <c r="L16" i="14" s="1"/>
  <c r="L253" i="14" s="1"/>
  <c r="K15" i="14"/>
  <c r="K16" i="14" s="1"/>
  <c r="K253" i="14" s="1"/>
  <c r="J15" i="14"/>
  <c r="I15" i="14"/>
  <c r="H15" i="14"/>
  <c r="H16" i="14" s="1"/>
  <c r="H253" i="14" s="1"/>
  <c r="G15" i="14"/>
  <c r="G16" i="14" s="1"/>
  <c r="G253" i="14" s="1"/>
  <c r="E15" i="14"/>
  <c r="D15" i="14"/>
  <c r="D16" i="14" s="1"/>
  <c r="D253" i="14" s="1"/>
  <c r="A15" i="14"/>
  <c r="A14" i="14"/>
  <c r="A13" i="14"/>
  <c r="A12" i="14"/>
  <c r="A11" i="14"/>
  <c r="A10" i="14"/>
  <c r="A9" i="14"/>
  <c r="A8" i="14"/>
  <c r="C7" i="10"/>
  <c r="C6" i="10"/>
  <c r="G253" i="9"/>
  <c r="F253" i="9"/>
  <c r="E253" i="9"/>
  <c r="D253" i="9"/>
  <c r="H253" i="9" s="1"/>
  <c r="G252" i="9"/>
  <c r="F252" i="9"/>
  <c r="E252" i="9"/>
  <c r="D252" i="9"/>
  <c r="H252" i="9" s="1"/>
  <c r="Z251" i="9"/>
  <c r="G251" i="9"/>
  <c r="F251" i="9"/>
  <c r="E251" i="9"/>
  <c r="D251" i="9"/>
  <c r="H251" i="9" s="1"/>
  <c r="H250" i="9"/>
  <c r="G250" i="9"/>
  <c r="F250" i="9"/>
  <c r="E250" i="9"/>
  <c r="D250" i="9"/>
  <c r="G249" i="9"/>
  <c r="F249" i="9"/>
  <c r="H249" i="9" s="1"/>
  <c r="E249" i="9"/>
  <c r="D249" i="9"/>
  <c r="G248" i="9"/>
  <c r="F248" i="9"/>
  <c r="E248" i="9"/>
  <c r="D248" i="9"/>
  <c r="H248" i="9" s="1"/>
  <c r="H247" i="9"/>
  <c r="G247" i="9"/>
  <c r="F247" i="9"/>
  <c r="E247" i="9"/>
  <c r="D247" i="9"/>
  <c r="G246" i="9"/>
  <c r="F246" i="9"/>
  <c r="E246" i="9"/>
  <c r="D246" i="9"/>
  <c r="H246" i="9" s="1"/>
  <c r="G245" i="9"/>
  <c r="F245" i="9"/>
  <c r="E245" i="9"/>
  <c r="D245" i="9"/>
  <c r="H245" i="9" s="1"/>
  <c r="G244" i="9"/>
  <c r="H244" i="9" s="1"/>
  <c r="F244" i="9"/>
  <c r="E244" i="9"/>
  <c r="D244" i="9"/>
  <c r="G243" i="9"/>
  <c r="F243" i="9"/>
  <c r="E243" i="9"/>
  <c r="D243" i="9"/>
  <c r="H243" i="9" s="1"/>
  <c r="G242" i="9"/>
  <c r="F242" i="9"/>
  <c r="E242" i="9"/>
  <c r="D242" i="9"/>
  <c r="H242" i="9" s="1"/>
  <c r="Z241" i="9"/>
  <c r="G241" i="9"/>
  <c r="H241" i="9" s="1"/>
  <c r="F241" i="9"/>
  <c r="E241" i="9"/>
  <c r="D241" i="9"/>
  <c r="G240" i="9"/>
  <c r="F240" i="9"/>
  <c r="E240" i="9"/>
  <c r="D240" i="9"/>
  <c r="H240" i="9" s="1"/>
  <c r="G239" i="9"/>
  <c r="F239" i="9"/>
  <c r="E239" i="9"/>
  <c r="D239" i="9"/>
  <c r="H239" i="9" s="1"/>
  <c r="G238" i="9"/>
  <c r="F238" i="9"/>
  <c r="H238" i="9" s="1"/>
  <c r="E238" i="9"/>
  <c r="D238" i="9"/>
  <c r="G237" i="9"/>
  <c r="F237" i="9"/>
  <c r="E237" i="9"/>
  <c r="D237" i="9"/>
  <c r="H237" i="9" s="1"/>
  <c r="H236" i="9"/>
  <c r="G236" i="9"/>
  <c r="F236" i="9"/>
  <c r="E236" i="9"/>
  <c r="D236" i="9"/>
  <c r="G235" i="9"/>
  <c r="F235" i="9"/>
  <c r="E235" i="9"/>
  <c r="D235" i="9"/>
  <c r="H235" i="9" s="1"/>
  <c r="G234" i="9"/>
  <c r="F234" i="9"/>
  <c r="E234" i="9"/>
  <c r="D234" i="9"/>
  <c r="H234" i="9" s="1"/>
  <c r="G233" i="9"/>
  <c r="H233" i="9" s="1"/>
  <c r="F233" i="9"/>
  <c r="E233" i="9"/>
  <c r="D233" i="9"/>
  <c r="G232" i="9"/>
  <c r="F232" i="9"/>
  <c r="E232" i="9"/>
  <c r="D232" i="9"/>
  <c r="H232" i="9" s="1"/>
  <c r="G231" i="9"/>
  <c r="F231" i="9"/>
  <c r="E231" i="9"/>
  <c r="D231" i="9"/>
  <c r="H231" i="9" s="1"/>
  <c r="G230" i="9"/>
  <c r="F230" i="9"/>
  <c r="H230" i="9" s="1"/>
  <c r="E230" i="9"/>
  <c r="D230" i="9"/>
  <c r="G229" i="9"/>
  <c r="F229" i="9"/>
  <c r="E229" i="9"/>
  <c r="D229" i="9"/>
  <c r="H229" i="9" s="1"/>
  <c r="Z228" i="9"/>
  <c r="G228" i="9"/>
  <c r="F228" i="9"/>
  <c r="E228" i="9"/>
  <c r="D228" i="9"/>
  <c r="H228" i="9" s="1"/>
  <c r="G227" i="9"/>
  <c r="F227" i="9"/>
  <c r="E227" i="9"/>
  <c r="H227" i="9" s="1"/>
  <c r="D227" i="9"/>
  <c r="G226" i="9"/>
  <c r="F226" i="9"/>
  <c r="E226" i="9"/>
  <c r="D226" i="9"/>
  <c r="H226" i="9" s="1"/>
  <c r="H225" i="9"/>
  <c r="G225" i="9"/>
  <c r="F225" i="9"/>
  <c r="E225" i="9"/>
  <c r="D225" i="9"/>
  <c r="G224" i="9"/>
  <c r="F224" i="9"/>
  <c r="E224" i="9"/>
  <c r="D224" i="9"/>
  <c r="H224" i="9" s="1"/>
  <c r="G223" i="9"/>
  <c r="F223" i="9"/>
  <c r="E223" i="9"/>
  <c r="D223" i="9"/>
  <c r="H223" i="9" s="1"/>
  <c r="G222" i="9"/>
  <c r="H222" i="9" s="1"/>
  <c r="F222" i="9"/>
  <c r="E222" i="9"/>
  <c r="D222" i="9"/>
  <c r="G221" i="9"/>
  <c r="F221" i="9"/>
  <c r="E221" i="9"/>
  <c r="D221" i="9"/>
  <c r="H221" i="9" s="1"/>
  <c r="G220" i="9"/>
  <c r="F220" i="9"/>
  <c r="E220" i="9"/>
  <c r="D220" i="9"/>
  <c r="H220" i="9" s="1"/>
  <c r="G219" i="9"/>
  <c r="F219" i="9"/>
  <c r="E219" i="9"/>
  <c r="D219" i="9"/>
  <c r="H219" i="9" s="1"/>
  <c r="G218" i="9"/>
  <c r="F218" i="9"/>
  <c r="E218" i="9"/>
  <c r="D218" i="9"/>
  <c r="H218" i="9" s="1"/>
  <c r="H217" i="9"/>
  <c r="G217" i="9"/>
  <c r="F217" i="9"/>
  <c r="E217" i="9"/>
  <c r="D217" i="9"/>
  <c r="G216" i="9"/>
  <c r="F216" i="9"/>
  <c r="E216" i="9"/>
  <c r="H216" i="9" s="1"/>
  <c r="D216" i="9"/>
  <c r="G215" i="9"/>
  <c r="F215" i="9"/>
  <c r="E215" i="9"/>
  <c r="D215" i="9"/>
  <c r="H215" i="9" s="1"/>
  <c r="G214" i="9"/>
  <c r="H214" i="9" s="1"/>
  <c r="F214" i="9"/>
  <c r="E214" i="9"/>
  <c r="D214" i="9"/>
  <c r="G213" i="9"/>
  <c r="F213" i="9"/>
  <c r="E213" i="9"/>
  <c r="D213" i="9"/>
  <c r="H213" i="9" s="1"/>
  <c r="G212" i="9"/>
  <c r="F212" i="9"/>
  <c r="E212" i="9"/>
  <c r="D212" i="9"/>
  <c r="H212" i="9" s="1"/>
  <c r="G211" i="9"/>
  <c r="F211" i="9"/>
  <c r="E211" i="9"/>
  <c r="D211" i="9"/>
  <c r="H211" i="9" s="1"/>
  <c r="G210" i="9"/>
  <c r="F210" i="9"/>
  <c r="E210" i="9"/>
  <c r="D210" i="9"/>
  <c r="H210" i="9" s="1"/>
  <c r="H209" i="9"/>
  <c r="G209" i="9"/>
  <c r="F209" i="9"/>
  <c r="E209" i="9"/>
  <c r="D209" i="9"/>
  <c r="G208" i="9"/>
  <c r="F208" i="9"/>
  <c r="E208" i="9"/>
  <c r="H208" i="9" s="1"/>
  <c r="D208" i="9"/>
  <c r="G207" i="9"/>
  <c r="F207" i="9"/>
  <c r="E207" i="9"/>
  <c r="D207" i="9"/>
  <c r="H207" i="9" s="1"/>
  <c r="G206" i="9"/>
  <c r="H206" i="9" s="1"/>
  <c r="F206" i="9"/>
  <c r="E206" i="9"/>
  <c r="D206" i="9"/>
  <c r="G205" i="9"/>
  <c r="F205" i="9"/>
  <c r="E205" i="9"/>
  <c r="D205" i="9"/>
  <c r="H205" i="9" s="1"/>
  <c r="G204" i="9"/>
  <c r="F204" i="9"/>
  <c r="E204" i="9"/>
  <c r="D204" i="9"/>
  <c r="H204" i="9" s="1"/>
  <c r="G203" i="9"/>
  <c r="F203" i="9"/>
  <c r="E203" i="9"/>
  <c r="D203" i="9"/>
  <c r="H203" i="9" s="1"/>
  <c r="G202" i="9"/>
  <c r="F202" i="9"/>
  <c r="E202" i="9"/>
  <c r="D202" i="9"/>
  <c r="H202" i="9" s="1"/>
  <c r="H201" i="9"/>
  <c r="G201" i="9"/>
  <c r="F201" i="9"/>
  <c r="E201" i="9"/>
  <c r="D201" i="9"/>
  <c r="G200" i="9"/>
  <c r="F200" i="9"/>
  <c r="E200" i="9"/>
  <c r="H200" i="9" s="1"/>
  <c r="D200" i="9"/>
  <c r="G199" i="9"/>
  <c r="F199" i="9"/>
  <c r="E199" i="9"/>
  <c r="D199" i="9"/>
  <c r="H199" i="9" s="1"/>
  <c r="G198" i="9"/>
  <c r="H198" i="9" s="1"/>
  <c r="F198" i="9"/>
  <c r="E198" i="9"/>
  <c r="D198" i="9"/>
  <c r="G197" i="9"/>
  <c r="F197" i="9"/>
  <c r="E197" i="9"/>
  <c r="D197" i="9"/>
  <c r="H197" i="9" s="1"/>
  <c r="Z196" i="9"/>
  <c r="G196" i="9"/>
  <c r="F196" i="9"/>
  <c r="E196" i="9"/>
  <c r="D196" i="9"/>
  <c r="H196" i="9" s="1"/>
  <c r="Z195" i="9"/>
  <c r="H195" i="9"/>
  <c r="G195" i="9"/>
  <c r="F195" i="9"/>
  <c r="E195" i="9"/>
  <c r="D195" i="9"/>
  <c r="G194" i="9"/>
  <c r="F194" i="9"/>
  <c r="E194" i="9"/>
  <c r="H194" i="9" s="1"/>
  <c r="D194" i="9"/>
  <c r="G193" i="9"/>
  <c r="F193" i="9"/>
  <c r="E193" i="9"/>
  <c r="D193" i="9"/>
  <c r="H193" i="9" s="1"/>
  <c r="G192" i="9"/>
  <c r="H192" i="9" s="1"/>
  <c r="F192" i="9"/>
  <c r="E192" i="9"/>
  <c r="D192" i="9"/>
  <c r="G191" i="9"/>
  <c r="F191" i="9"/>
  <c r="E191" i="9"/>
  <c r="D191" i="9"/>
  <c r="H191" i="9" s="1"/>
  <c r="G190" i="9"/>
  <c r="F190" i="9"/>
  <c r="E190" i="9"/>
  <c r="D190" i="9"/>
  <c r="H190" i="9" s="1"/>
  <c r="G189" i="9"/>
  <c r="F189" i="9"/>
  <c r="E189" i="9"/>
  <c r="D189" i="9"/>
  <c r="H189" i="9" s="1"/>
  <c r="G188" i="9"/>
  <c r="F188" i="9"/>
  <c r="E188" i="9"/>
  <c r="D188" i="9"/>
  <c r="H188" i="9" s="1"/>
  <c r="H187" i="9"/>
  <c r="G187" i="9"/>
  <c r="F187" i="9"/>
  <c r="E187" i="9"/>
  <c r="D187" i="9"/>
  <c r="G186" i="9"/>
  <c r="F186" i="9"/>
  <c r="E186" i="9"/>
  <c r="H186" i="9" s="1"/>
  <c r="D186" i="9"/>
  <c r="Z185" i="9"/>
  <c r="G185" i="9"/>
  <c r="F185" i="9"/>
  <c r="E185" i="9"/>
  <c r="D185" i="9"/>
  <c r="H185" i="9" s="1"/>
  <c r="H184" i="9"/>
  <c r="G184" i="9"/>
  <c r="F184" i="9"/>
  <c r="E184" i="9"/>
  <c r="D184" i="9"/>
  <c r="G183" i="9"/>
  <c r="F183" i="9"/>
  <c r="E183" i="9"/>
  <c r="H183" i="9" s="1"/>
  <c r="D183" i="9"/>
  <c r="G182" i="9"/>
  <c r="F182" i="9"/>
  <c r="E182" i="9"/>
  <c r="D182" i="9"/>
  <c r="H182" i="9" s="1"/>
  <c r="Z181" i="9"/>
  <c r="H181" i="9"/>
  <c r="G181" i="9"/>
  <c r="F181" i="9"/>
  <c r="E181" i="9"/>
  <c r="D181" i="9"/>
  <c r="G180" i="9"/>
  <c r="F180" i="9"/>
  <c r="E180" i="9"/>
  <c r="H180" i="9" s="1"/>
  <c r="D180" i="9"/>
  <c r="G179" i="9"/>
  <c r="F179" i="9"/>
  <c r="E179" i="9"/>
  <c r="D179" i="9"/>
  <c r="H179" i="9" s="1"/>
  <c r="G178" i="9"/>
  <c r="H178" i="9" s="1"/>
  <c r="F178" i="9"/>
  <c r="E178" i="9"/>
  <c r="D178" i="9"/>
  <c r="G177" i="9"/>
  <c r="F177" i="9"/>
  <c r="E177" i="9"/>
  <c r="D177" i="9"/>
  <c r="H177" i="9" s="1"/>
  <c r="G176" i="9"/>
  <c r="F176" i="9"/>
  <c r="E176" i="9"/>
  <c r="D176" i="9"/>
  <c r="H176" i="9" s="1"/>
  <c r="G175" i="9"/>
  <c r="F175" i="9"/>
  <c r="E175" i="9"/>
  <c r="D175" i="9"/>
  <c r="H175" i="9" s="1"/>
  <c r="G174" i="9"/>
  <c r="F174" i="9"/>
  <c r="E174" i="9"/>
  <c r="D174" i="9"/>
  <c r="H174" i="9" s="1"/>
  <c r="H173" i="9"/>
  <c r="G173" i="9"/>
  <c r="F173" i="9"/>
  <c r="E173" i="9"/>
  <c r="D173" i="9"/>
  <c r="G172" i="9"/>
  <c r="F172" i="9"/>
  <c r="E172" i="9"/>
  <c r="H172" i="9" s="1"/>
  <c r="D172" i="9"/>
  <c r="G171" i="9"/>
  <c r="F171" i="9"/>
  <c r="E171" i="9"/>
  <c r="D171" i="9"/>
  <c r="H171" i="9" s="1"/>
  <c r="G170" i="9"/>
  <c r="H170" i="9" s="1"/>
  <c r="F170" i="9"/>
  <c r="E170" i="9"/>
  <c r="D170" i="9"/>
  <c r="G169" i="9"/>
  <c r="F169" i="9"/>
  <c r="E169" i="9"/>
  <c r="D169" i="9"/>
  <c r="H169" i="9" s="1"/>
  <c r="G168" i="9"/>
  <c r="F168" i="9"/>
  <c r="E168" i="9"/>
  <c r="D168" i="9"/>
  <c r="H168" i="9" s="1"/>
  <c r="G167" i="9"/>
  <c r="F167" i="9"/>
  <c r="E167" i="9"/>
  <c r="D167" i="9"/>
  <c r="H167" i="9" s="1"/>
  <c r="G166" i="9"/>
  <c r="F166" i="9"/>
  <c r="E166" i="9"/>
  <c r="D166" i="9"/>
  <c r="H166" i="9" s="1"/>
  <c r="H165" i="9"/>
  <c r="G165" i="9"/>
  <c r="F165" i="9"/>
  <c r="E165" i="9"/>
  <c r="D165" i="9"/>
  <c r="G164" i="9"/>
  <c r="F164" i="9"/>
  <c r="E164" i="9"/>
  <c r="H164" i="9" s="1"/>
  <c r="D164" i="9"/>
  <c r="G163" i="9"/>
  <c r="F163" i="9"/>
  <c r="E163" i="9"/>
  <c r="D163" i="9"/>
  <c r="H163" i="9" s="1"/>
  <c r="G162" i="9"/>
  <c r="H162" i="9" s="1"/>
  <c r="F162" i="9"/>
  <c r="E162" i="9"/>
  <c r="D162" i="9"/>
  <c r="G161" i="9"/>
  <c r="F161" i="9"/>
  <c r="E161" i="9"/>
  <c r="D161" i="9"/>
  <c r="H161" i="9" s="1"/>
  <c r="G160" i="9"/>
  <c r="F160" i="9"/>
  <c r="E160" i="9"/>
  <c r="D160" i="9"/>
  <c r="H160" i="9" s="1"/>
  <c r="G159" i="9"/>
  <c r="F159" i="9"/>
  <c r="E159" i="9"/>
  <c r="D159" i="9"/>
  <c r="H159" i="9" s="1"/>
  <c r="G158" i="9"/>
  <c r="F158" i="9"/>
  <c r="E158" i="9"/>
  <c r="D158" i="9"/>
  <c r="H158" i="9" s="1"/>
  <c r="H157" i="9"/>
  <c r="G157" i="9"/>
  <c r="F157" i="9"/>
  <c r="E157" i="9"/>
  <c r="D157" i="9"/>
  <c r="G156" i="9"/>
  <c r="F156" i="9"/>
  <c r="E156" i="9"/>
  <c r="H156" i="9" s="1"/>
  <c r="D156" i="9"/>
  <c r="G155" i="9"/>
  <c r="F155" i="9"/>
  <c r="E155" i="9"/>
  <c r="D155" i="9"/>
  <c r="H155" i="9" s="1"/>
  <c r="G154" i="9"/>
  <c r="H154" i="9" s="1"/>
  <c r="F154" i="9"/>
  <c r="E154" i="9"/>
  <c r="D154" i="9"/>
  <c r="G153" i="9"/>
  <c r="F153" i="9"/>
  <c r="E153" i="9"/>
  <c r="D153" i="9"/>
  <c r="H153" i="9" s="1"/>
  <c r="G152" i="9"/>
  <c r="F152" i="9"/>
  <c r="E152" i="9"/>
  <c r="D152" i="9"/>
  <c r="H152" i="9" s="1"/>
  <c r="G151" i="9"/>
  <c r="F151" i="9"/>
  <c r="E151" i="9"/>
  <c r="D151" i="9"/>
  <c r="H151" i="9" s="1"/>
  <c r="G150" i="9"/>
  <c r="F150" i="9"/>
  <c r="E150" i="9"/>
  <c r="D150" i="9"/>
  <c r="H150" i="9" s="1"/>
  <c r="H149" i="9"/>
  <c r="G149" i="9"/>
  <c r="F149" i="9"/>
  <c r="E149" i="9"/>
  <c r="D149" i="9"/>
  <c r="G148" i="9"/>
  <c r="F148" i="9"/>
  <c r="E148" i="9"/>
  <c r="H148" i="9" s="1"/>
  <c r="D148" i="9"/>
  <c r="G147" i="9"/>
  <c r="H147" i="9" s="1"/>
  <c r="G146" i="9"/>
  <c r="F146" i="9"/>
  <c r="E146" i="9"/>
  <c r="D146" i="9"/>
  <c r="H146" i="9" s="1"/>
  <c r="G145" i="9"/>
  <c r="F145" i="9"/>
  <c r="E145" i="9"/>
  <c r="D145" i="9"/>
  <c r="H145" i="9" s="1"/>
  <c r="G144" i="9"/>
  <c r="F144" i="9"/>
  <c r="E144" i="9"/>
  <c r="D144" i="9"/>
  <c r="H144" i="9" s="1"/>
  <c r="G143" i="9"/>
  <c r="F143" i="9"/>
  <c r="E143" i="9"/>
  <c r="D143" i="9"/>
  <c r="H143" i="9" s="1"/>
  <c r="H142" i="9"/>
  <c r="G142" i="9"/>
  <c r="F142" i="9"/>
  <c r="E142" i="9"/>
  <c r="D142" i="9"/>
  <c r="G141" i="9"/>
  <c r="F141" i="9"/>
  <c r="E141" i="9"/>
  <c r="H141" i="9" s="1"/>
  <c r="D141" i="9"/>
  <c r="G140" i="9"/>
  <c r="F140" i="9"/>
  <c r="E140" i="9"/>
  <c r="D140" i="9"/>
  <c r="H140" i="9" s="1"/>
  <c r="G139" i="9"/>
  <c r="H139" i="9" s="1"/>
  <c r="F139" i="9"/>
  <c r="E139" i="9"/>
  <c r="D139" i="9"/>
  <c r="G138" i="9"/>
  <c r="F138" i="9"/>
  <c r="E138" i="9"/>
  <c r="D138" i="9"/>
  <c r="H138" i="9" s="1"/>
  <c r="G137" i="9"/>
  <c r="F137" i="9"/>
  <c r="E137" i="9"/>
  <c r="D137" i="9"/>
  <c r="H137" i="9" s="1"/>
  <c r="G136" i="9"/>
  <c r="F136" i="9"/>
  <c r="H136" i="9" s="1"/>
  <c r="E136" i="9"/>
  <c r="D136" i="9"/>
  <c r="G135" i="9"/>
  <c r="F135" i="9"/>
  <c r="E135" i="9"/>
  <c r="D135" i="9"/>
  <c r="H135" i="9" s="1"/>
  <c r="H134" i="9"/>
  <c r="G134" i="9"/>
  <c r="F134" i="9"/>
  <c r="E134" i="9"/>
  <c r="D134" i="9"/>
  <c r="G133" i="9"/>
  <c r="F133" i="9"/>
  <c r="E133" i="9"/>
  <c r="H133" i="9" s="1"/>
  <c r="D133" i="9"/>
  <c r="G132" i="9"/>
  <c r="F132" i="9"/>
  <c r="E132" i="9"/>
  <c r="D132" i="9"/>
  <c r="H132" i="9" s="1"/>
  <c r="G131" i="9"/>
  <c r="H131" i="9" s="1"/>
  <c r="F131" i="9"/>
  <c r="E131" i="9"/>
  <c r="D131" i="9"/>
  <c r="G130" i="9"/>
  <c r="F130" i="9"/>
  <c r="E130" i="9"/>
  <c r="D130" i="9"/>
  <c r="H130" i="9" s="1"/>
  <c r="G129" i="9"/>
  <c r="F129" i="9"/>
  <c r="E129" i="9"/>
  <c r="D129" i="9"/>
  <c r="H129" i="9" s="1"/>
  <c r="G128" i="9"/>
  <c r="F128" i="9"/>
  <c r="H128" i="9" s="1"/>
  <c r="E128" i="9"/>
  <c r="D128" i="9"/>
  <c r="G127" i="9"/>
  <c r="F127" i="9"/>
  <c r="E127" i="9"/>
  <c r="D127" i="9"/>
  <c r="H127" i="9" s="1"/>
  <c r="H126" i="9"/>
  <c r="G126" i="9"/>
  <c r="F126" i="9"/>
  <c r="E126" i="9"/>
  <c r="D126" i="9"/>
  <c r="G125" i="9"/>
  <c r="F125" i="9"/>
  <c r="E125" i="9"/>
  <c r="H125" i="9" s="1"/>
  <c r="D125" i="9"/>
  <c r="G124" i="9"/>
  <c r="F124" i="9"/>
  <c r="E124" i="9"/>
  <c r="D124" i="9"/>
  <c r="H124" i="9" s="1"/>
  <c r="G123" i="9"/>
  <c r="H123" i="9" s="1"/>
  <c r="F123" i="9"/>
  <c r="E123" i="9"/>
  <c r="D123" i="9"/>
  <c r="G122" i="9"/>
  <c r="F122" i="9"/>
  <c r="E122" i="9"/>
  <c r="D122" i="9"/>
  <c r="H122" i="9" s="1"/>
  <c r="G121" i="9"/>
  <c r="F121" i="9"/>
  <c r="E121" i="9"/>
  <c r="D121" i="9"/>
  <c r="H121" i="9" s="1"/>
  <c r="G120" i="9"/>
  <c r="F120" i="9"/>
  <c r="H120" i="9" s="1"/>
  <c r="E120" i="9"/>
  <c r="D120" i="9"/>
  <c r="G119" i="9"/>
  <c r="F119" i="9"/>
  <c r="E119" i="9"/>
  <c r="D119" i="9"/>
  <c r="H119" i="9" s="1"/>
  <c r="H118" i="9"/>
  <c r="G118" i="9"/>
  <c r="F118" i="9"/>
  <c r="E118" i="9"/>
  <c r="D118" i="9"/>
  <c r="G117" i="9"/>
  <c r="F117" i="9"/>
  <c r="E117" i="9"/>
  <c r="H117" i="9" s="1"/>
  <c r="D117" i="9"/>
  <c r="G116" i="9"/>
  <c r="F116" i="9"/>
  <c r="E116" i="9"/>
  <c r="D116" i="9"/>
  <c r="H116" i="9" s="1"/>
  <c r="G115" i="9"/>
  <c r="H115" i="9" s="1"/>
  <c r="F115" i="9"/>
  <c r="E115" i="9"/>
  <c r="D115" i="9"/>
  <c r="G114" i="9"/>
  <c r="F114" i="9"/>
  <c r="E114" i="9"/>
  <c r="D114" i="9"/>
  <c r="H114" i="9" s="1"/>
  <c r="G113" i="9"/>
  <c r="F113" i="9"/>
  <c r="E113" i="9"/>
  <c r="D113" i="9"/>
  <c r="H113" i="9" s="1"/>
  <c r="G112" i="9"/>
  <c r="F112" i="9"/>
  <c r="H112" i="9" s="1"/>
  <c r="E112" i="9"/>
  <c r="D112" i="9"/>
  <c r="G111" i="9"/>
  <c r="F111" i="9"/>
  <c r="E111" i="9"/>
  <c r="D111" i="9"/>
  <c r="H111" i="9" s="1"/>
  <c r="Z110" i="9"/>
  <c r="G110" i="9"/>
  <c r="F110" i="9"/>
  <c r="E110" i="9"/>
  <c r="D110" i="9"/>
  <c r="H110" i="9" s="1"/>
  <c r="Z109" i="9"/>
  <c r="G109" i="9"/>
  <c r="F109" i="9"/>
  <c r="H109" i="9" s="1"/>
  <c r="E109" i="9"/>
  <c r="D109" i="9"/>
  <c r="Z108" i="9"/>
  <c r="G108" i="9"/>
  <c r="F108" i="9"/>
  <c r="E108" i="9"/>
  <c r="D108" i="9"/>
  <c r="H108" i="9" s="1"/>
  <c r="Z107" i="9"/>
  <c r="G107" i="9"/>
  <c r="F107" i="9"/>
  <c r="E107" i="9"/>
  <c r="D107" i="9"/>
  <c r="H107" i="9" s="1"/>
  <c r="G106" i="9"/>
  <c r="H106" i="9" s="1"/>
  <c r="F106" i="9"/>
  <c r="E106" i="9"/>
  <c r="D106" i="9"/>
  <c r="G105" i="9"/>
  <c r="F105" i="9"/>
  <c r="E105" i="9"/>
  <c r="D105" i="9"/>
  <c r="H105" i="9" s="1"/>
  <c r="G104" i="9"/>
  <c r="F104" i="9"/>
  <c r="E104" i="9"/>
  <c r="D104" i="9"/>
  <c r="H104" i="9" s="1"/>
  <c r="G103" i="9"/>
  <c r="F103" i="9"/>
  <c r="H103" i="9" s="1"/>
  <c r="E103" i="9"/>
  <c r="D103" i="9"/>
  <c r="G102" i="9"/>
  <c r="F102" i="9"/>
  <c r="E102" i="9"/>
  <c r="D102" i="9"/>
  <c r="H102" i="9" s="1"/>
  <c r="H101" i="9"/>
  <c r="G101" i="9"/>
  <c r="F101" i="9"/>
  <c r="E101" i="9"/>
  <c r="D101" i="9"/>
  <c r="G100" i="9"/>
  <c r="F100" i="9"/>
  <c r="E100" i="9"/>
  <c r="H100" i="9" s="1"/>
  <c r="D100" i="9"/>
  <c r="G99" i="9"/>
  <c r="F99" i="9"/>
  <c r="E99" i="9"/>
  <c r="D99" i="9"/>
  <c r="H99" i="9" s="1"/>
  <c r="G98" i="9"/>
  <c r="H98" i="9" s="1"/>
  <c r="F98" i="9"/>
  <c r="E98" i="9"/>
  <c r="D98" i="9"/>
  <c r="G97" i="9"/>
  <c r="F97" i="9"/>
  <c r="E97" i="9"/>
  <c r="D97" i="9"/>
  <c r="H97" i="9" s="1"/>
  <c r="G96" i="9"/>
  <c r="F96" i="9"/>
  <c r="E96" i="9"/>
  <c r="D96" i="9"/>
  <c r="H96" i="9" s="1"/>
  <c r="G95" i="9"/>
  <c r="F95" i="9"/>
  <c r="H95" i="9" s="1"/>
  <c r="E95" i="9"/>
  <c r="D95" i="9"/>
  <c r="G94" i="9"/>
  <c r="F94" i="9"/>
  <c r="E94" i="9"/>
  <c r="D94" i="9"/>
  <c r="H94" i="9" s="1"/>
  <c r="H93" i="9"/>
  <c r="G93" i="9"/>
  <c r="F93" i="9"/>
  <c r="E93" i="9"/>
  <c r="D93" i="9"/>
  <c r="G92" i="9"/>
  <c r="F92" i="9"/>
  <c r="E92" i="9"/>
  <c r="H92" i="9" s="1"/>
  <c r="D92" i="9"/>
  <c r="G91" i="9"/>
  <c r="F91" i="9"/>
  <c r="E91" i="9"/>
  <c r="D91" i="9"/>
  <c r="H91" i="9" s="1"/>
  <c r="G90" i="9"/>
  <c r="H90" i="9" s="1"/>
  <c r="F90" i="9"/>
  <c r="E90" i="9"/>
  <c r="D90" i="9"/>
  <c r="G89" i="9"/>
  <c r="F89" i="9"/>
  <c r="E89" i="9"/>
  <c r="D89" i="9"/>
  <c r="H89" i="9" s="1"/>
  <c r="G88" i="9"/>
  <c r="F88" i="9"/>
  <c r="E88" i="9"/>
  <c r="D88" i="9"/>
  <c r="H88" i="9" s="1"/>
  <c r="G87" i="9"/>
  <c r="F87" i="9"/>
  <c r="H87" i="9" s="1"/>
  <c r="E87" i="9"/>
  <c r="D87" i="9"/>
  <c r="G86" i="9"/>
  <c r="F86" i="9"/>
  <c r="E86" i="9"/>
  <c r="D86" i="9"/>
  <c r="H86" i="9" s="1"/>
  <c r="H85" i="9"/>
  <c r="G85" i="9"/>
  <c r="F85" i="9"/>
  <c r="E85" i="9"/>
  <c r="D85" i="9"/>
  <c r="G84" i="9"/>
  <c r="F84" i="9"/>
  <c r="E84" i="9"/>
  <c r="H84" i="9" s="1"/>
  <c r="D84" i="9"/>
  <c r="G83" i="9"/>
  <c r="F83" i="9"/>
  <c r="E83" i="9"/>
  <c r="D83" i="9"/>
  <c r="H83" i="9" s="1"/>
  <c r="Z82" i="9"/>
  <c r="H82" i="9"/>
  <c r="G82" i="9"/>
  <c r="F82" i="9"/>
  <c r="E82" i="9"/>
  <c r="D82" i="9"/>
  <c r="G81" i="9"/>
  <c r="F81" i="9"/>
  <c r="E81" i="9"/>
  <c r="H81" i="9" s="1"/>
  <c r="D81" i="9"/>
  <c r="G80" i="9"/>
  <c r="F80" i="9"/>
  <c r="E80" i="9"/>
  <c r="D80" i="9"/>
  <c r="H80" i="9" s="1"/>
  <c r="G79" i="9"/>
  <c r="H79" i="9" s="1"/>
  <c r="F79" i="9"/>
  <c r="E79" i="9"/>
  <c r="D79" i="9"/>
  <c r="G78" i="9"/>
  <c r="F78" i="9"/>
  <c r="E78" i="9"/>
  <c r="D78" i="9"/>
  <c r="H78" i="9" s="1"/>
  <c r="G77" i="9"/>
  <c r="F77" i="9"/>
  <c r="E77" i="9"/>
  <c r="D77" i="9"/>
  <c r="H77" i="9" s="1"/>
  <c r="G76" i="9"/>
  <c r="F76" i="9"/>
  <c r="H76" i="9" s="1"/>
  <c r="E76" i="9"/>
  <c r="D76" i="9"/>
  <c r="G75" i="9"/>
  <c r="F75" i="9"/>
  <c r="E75" i="9"/>
  <c r="D75" i="9"/>
  <c r="H75" i="9" s="1"/>
  <c r="H74" i="9"/>
  <c r="G74" i="9"/>
  <c r="F74" i="9"/>
  <c r="E74" i="9"/>
  <c r="D74" i="9"/>
  <c r="G73" i="9"/>
  <c r="F73" i="9"/>
  <c r="E73" i="9"/>
  <c r="H73" i="9" s="1"/>
  <c r="D73" i="9"/>
  <c r="G72" i="9"/>
  <c r="F72" i="9"/>
  <c r="E72" i="9"/>
  <c r="D72" i="9"/>
  <c r="H72" i="9" s="1"/>
  <c r="G71" i="9"/>
  <c r="H71" i="9" s="1"/>
  <c r="F71" i="9"/>
  <c r="E71" i="9"/>
  <c r="D71" i="9"/>
  <c r="G70" i="9"/>
  <c r="F70" i="9"/>
  <c r="E70" i="9"/>
  <c r="D70" i="9"/>
  <c r="H70" i="9" s="1"/>
  <c r="G69" i="9"/>
  <c r="F69" i="9"/>
  <c r="E69" i="9"/>
  <c r="D69" i="9"/>
  <c r="H69" i="9" s="1"/>
  <c r="G68" i="9"/>
  <c r="F68" i="9"/>
  <c r="H68" i="9" s="1"/>
  <c r="E68" i="9"/>
  <c r="D68" i="9"/>
  <c r="G67" i="9"/>
  <c r="F67" i="9"/>
  <c r="E67" i="9"/>
  <c r="D67" i="9"/>
  <c r="H67" i="9" s="1"/>
  <c r="H66" i="9"/>
  <c r="G66" i="9"/>
  <c r="F66" i="9"/>
  <c r="E66" i="9"/>
  <c r="D66" i="9"/>
  <c r="G65" i="9"/>
  <c r="F65" i="9"/>
  <c r="E65" i="9"/>
  <c r="H65" i="9" s="1"/>
  <c r="D65" i="9"/>
  <c r="G64" i="9"/>
  <c r="F64" i="9"/>
  <c r="E64" i="9"/>
  <c r="D64" i="9"/>
  <c r="H64" i="9" s="1"/>
  <c r="G63" i="9"/>
  <c r="H63" i="9" s="1"/>
  <c r="F63" i="9"/>
  <c r="E63" i="9"/>
  <c r="D63" i="9"/>
  <c r="G62" i="9"/>
  <c r="F62" i="9"/>
  <c r="E62" i="9"/>
  <c r="D62" i="9"/>
  <c r="H62" i="9" s="1"/>
  <c r="G61" i="9"/>
  <c r="F61" i="9"/>
  <c r="E61" i="9"/>
  <c r="D61" i="9"/>
  <c r="H61" i="9" s="1"/>
  <c r="G60" i="9"/>
  <c r="F60" i="9"/>
  <c r="H60" i="9" s="1"/>
  <c r="E60" i="9"/>
  <c r="D60" i="9"/>
  <c r="G59" i="9"/>
  <c r="F59" i="9"/>
  <c r="E59" i="9"/>
  <c r="D59" i="9"/>
  <c r="H59" i="9" s="1"/>
  <c r="H58" i="9"/>
  <c r="G58" i="9"/>
  <c r="F58" i="9"/>
  <c r="E58" i="9"/>
  <c r="D58" i="9"/>
  <c r="G57" i="9"/>
  <c r="F57" i="9"/>
  <c r="E57" i="9"/>
  <c r="H57" i="9" s="1"/>
  <c r="D57" i="9"/>
  <c r="G56" i="9"/>
  <c r="F56" i="9"/>
  <c r="E56" i="9"/>
  <c r="D56" i="9"/>
  <c r="H56" i="9" s="1"/>
  <c r="G55" i="9"/>
  <c r="H55" i="9" s="1"/>
  <c r="F55" i="9"/>
  <c r="E55" i="9"/>
  <c r="D55" i="9"/>
  <c r="G54" i="9"/>
  <c r="F54" i="9"/>
  <c r="E54" i="9"/>
  <c r="D54" i="9"/>
  <c r="H54" i="9" s="1"/>
  <c r="G53" i="9"/>
  <c r="F53" i="9"/>
  <c r="E53" i="9"/>
  <c r="D53" i="9"/>
  <c r="H53" i="9" s="1"/>
  <c r="G52" i="9"/>
  <c r="F52" i="9"/>
  <c r="H52" i="9" s="1"/>
  <c r="E52" i="9"/>
  <c r="D52" i="9"/>
  <c r="G51" i="9"/>
  <c r="F51" i="9"/>
  <c r="E51" i="9"/>
  <c r="D51" i="9"/>
  <c r="H51" i="9" s="1"/>
  <c r="H50" i="9"/>
  <c r="G50" i="9"/>
  <c r="F50" i="9"/>
  <c r="E50" i="9"/>
  <c r="D50" i="9"/>
  <c r="G49" i="9"/>
  <c r="F49" i="9"/>
  <c r="E49" i="9"/>
  <c r="H49" i="9" s="1"/>
  <c r="D49" i="9"/>
  <c r="G48" i="9"/>
  <c r="F48" i="9"/>
  <c r="E48" i="9"/>
  <c r="D48" i="9"/>
  <c r="H48" i="9" s="1"/>
  <c r="G47" i="9"/>
  <c r="H47" i="9" s="1"/>
  <c r="F47" i="9"/>
  <c r="E47" i="9"/>
  <c r="D47" i="9"/>
  <c r="Z46" i="9"/>
  <c r="G46" i="9"/>
  <c r="F46" i="9"/>
  <c r="E46" i="9"/>
  <c r="H46" i="9" s="1"/>
  <c r="D46" i="9"/>
  <c r="Z45" i="9"/>
  <c r="G45" i="9"/>
  <c r="F45" i="9"/>
  <c r="E45" i="9"/>
  <c r="D45" i="9"/>
  <c r="H45" i="9" s="1"/>
  <c r="H44" i="9"/>
  <c r="G44" i="9"/>
  <c r="F44" i="9"/>
  <c r="E44" i="9"/>
  <c r="D44" i="9"/>
  <c r="Z43" i="9"/>
  <c r="G43" i="9"/>
  <c r="F43" i="9"/>
  <c r="H43" i="9" s="1"/>
  <c r="E43" i="9"/>
  <c r="D43" i="9"/>
  <c r="G42" i="9"/>
  <c r="F42" i="9"/>
  <c r="E42" i="9"/>
  <c r="D42" i="9"/>
  <c r="H42" i="9" s="1"/>
  <c r="H41" i="9"/>
  <c r="G41" i="9"/>
  <c r="F41" i="9"/>
  <c r="E41" i="9"/>
  <c r="D41" i="9"/>
  <c r="G40" i="9"/>
  <c r="F40" i="9"/>
  <c r="E40" i="9"/>
  <c r="H40" i="9" s="1"/>
  <c r="D40" i="9"/>
  <c r="G39" i="9"/>
  <c r="F39" i="9"/>
  <c r="E39" i="9"/>
  <c r="D39" i="9"/>
  <c r="H39" i="9" s="1"/>
  <c r="G38" i="9"/>
  <c r="H38" i="9" s="1"/>
  <c r="F38" i="9"/>
  <c r="E38" i="9"/>
  <c r="D38" i="9"/>
  <c r="G37" i="9"/>
  <c r="F37" i="9"/>
  <c r="E37" i="9"/>
  <c r="D37" i="9"/>
  <c r="H37" i="9" s="1"/>
  <c r="G36" i="9"/>
  <c r="F36" i="9"/>
  <c r="E36" i="9"/>
  <c r="D36" i="9"/>
  <c r="H36" i="9" s="1"/>
  <c r="G35" i="9"/>
  <c r="F35" i="9"/>
  <c r="H35" i="9" s="1"/>
  <c r="E35" i="9"/>
  <c r="D35" i="9"/>
  <c r="G34" i="9"/>
  <c r="F34" i="9"/>
  <c r="E34" i="9"/>
  <c r="D34" i="9"/>
  <c r="H34" i="9" s="1"/>
  <c r="H33" i="9"/>
  <c r="G33" i="9"/>
  <c r="F33" i="9"/>
  <c r="E33" i="9"/>
  <c r="D33" i="9"/>
  <c r="G32" i="9"/>
  <c r="F32" i="9"/>
  <c r="E32" i="9"/>
  <c r="H32" i="9" s="1"/>
  <c r="D32" i="9"/>
  <c r="G31" i="9"/>
  <c r="F31" i="9"/>
  <c r="E31" i="9"/>
  <c r="D31" i="9"/>
  <c r="H31" i="9" s="1"/>
  <c r="G30" i="9"/>
  <c r="H30" i="9" s="1"/>
  <c r="F30" i="9"/>
  <c r="E30" i="9"/>
  <c r="D30" i="9"/>
  <c r="G29" i="9"/>
  <c r="F29" i="9"/>
  <c r="E29" i="9"/>
  <c r="D29" i="9"/>
  <c r="H29" i="9" s="1"/>
  <c r="G28" i="9"/>
  <c r="F28" i="9"/>
  <c r="E28" i="9"/>
  <c r="D28" i="9"/>
  <c r="H28" i="9" s="1"/>
  <c r="G27" i="9"/>
  <c r="F27" i="9"/>
  <c r="H27" i="9" s="1"/>
  <c r="E27" i="9"/>
  <c r="D27" i="9"/>
  <c r="G26" i="9"/>
  <c r="F26" i="9"/>
  <c r="E26" i="9"/>
  <c r="D26" i="9"/>
  <c r="H26" i="9" s="1"/>
  <c r="H25" i="9"/>
  <c r="G25" i="9"/>
  <c r="F25" i="9"/>
  <c r="E25" i="9"/>
  <c r="D25" i="9"/>
  <c r="G24" i="9"/>
  <c r="F24" i="9"/>
  <c r="E24" i="9"/>
  <c r="H24" i="9" s="1"/>
  <c r="D24" i="9"/>
  <c r="G23" i="9"/>
  <c r="F23" i="9"/>
  <c r="E23" i="9"/>
  <c r="D23" i="9"/>
  <c r="H23" i="9" s="1"/>
  <c r="G22" i="9"/>
  <c r="H22" i="9" s="1"/>
  <c r="F22" i="9"/>
  <c r="E22" i="9"/>
  <c r="D22" i="9"/>
  <c r="G21" i="9"/>
  <c r="F21" i="9"/>
  <c r="E21" i="9"/>
  <c r="D21" i="9"/>
  <c r="H21" i="9" s="1"/>
  <c r="G20" i="9"/>
  <c r="F20" i="9"/>
  <c r="E20" i="9"/>
  <c r="D20" i="9"/>
  <c r="H20" i="9" s="1"/>
  <c r="G19" i="9"/>
  <c r="F19" i="9"/>
  <c r="H19" i="9" s="1"/>
  <c r="E19" i="9"/>
  <c r="D19" i="9"/>
  <c r="G18" i="9"/>
  <c r="F18" i="9"/>
  <c r="E18" i="9"/>
  <c r="D18" i="9"/>
  <c r="H18" i="9" s="1"/>
  <c r="H17" i="9"/>
  <c r="G17" i="9"/>
  <c r="F17" i="9"/>
  <c r="E17" i="9"/>
  <c r="D17" i="9"/>
  <c r="G16" i="9"/>
  <c r="F16" i="9"/>
  <c r="E16" i="9"/>
  <c r="H16" i="9" s="1"/>
  <c r="D16" i="9"/>
  <c r="G15" i="9"/>
  <c r="F15" i="9"/>
  <c r="E15" i="9"/>
  <c r="D15" i="9"/>
  <c r="J15" i="9" s="1"/>
  <c r="Z14" i="9"/>
  <c r="G14" i="9"/>
  <c r="F14" i="9"/>
  <c r="E14" i="9"/>
  <c r="D14" i="9"/>
  <c r="J14" i="9" s="1"/>
  <c r="J13" i="9"/>
  <c r="H13" i="9"/>
  <c r="G13" i="9"/>
  <c r="F13" i="9"/>
  <c r="E13" i="9"/>
  <c r="D13" i="9"/>
  <c r="J12" i="9"/>
  <c r="G12" i="9"/>
  <c r="F12" i="9"/>
  <c r="H12" i="9" s="1"/>
  <c r="E12" i="9"/>
  <c r="D12" i="9"/>
  <c r="G11" i="9"/>
  <c r="F11" i="9"/>
  <c r="E11" i="9"/>
  <c r="D11" i="9"/>
  <c r="J11" i="9" s="1"/>
  <c r="G10" i="9"/>
  <c r="F10" i="9"/>
  <c r="E10" i="9"/>
  <c r="D10" i="9"/>
  <c r="J10" i="9" s="1"/>
  <c r="J9" i="9"/>
  <c r="H9" i="9"/>
  <c r="G9" i="9"/>
  <c r="F9" i="9"/>
  <c r="E9" i="9"/>
  <c r="D9" i="9"/>
  <c r="J8" i="9"/>
  <c r="G8" i="9"/>
  <c r="F8" i="9"/>
  <c r="H8" i="9" s="1"/>
  <c r="E8" i="9"/>
  <c r="D8" i="9"/>
  <c r="G253" i="8"/>
  <c r="F253" i="8"/>
  <c r="E253" i="8"/>
  <c r="D253" i="8"/>
  <c r="H253" i="8" s="1"/>
  <c r="G252" i="8"/>
  <c r="F252" i="8"/>
  <c r="E252" i="8"/>
  <c r="D252" i="8"/>
  <c r="H252" i="8" s="1"/>
  <c r="Z251" i="8"/>
  <c r="L251" i="8"/>
  <c r="H251" i="8"/>
  <c r="G251" i="8"/>
  <c r="F251" i="8"/>
  <c r="E251" i="8"/>
  <c r="D251" i="8"/>
  <c r="G250" i="8"/>
  <c r="H250" i="8" s="1"/>
  <c r="F250" i="8"/>
  <c r="E250" i="8"/>
  <c r="D250" i="8"/>
  <c r="G249" i="8"/>
  <c r="F249" i="8"/>
  <c r="E249" i="8"/>
  <c r="D249" i="8"/>
  <c r="H249" i="8" s="1"/>
  <c r="H248" i="8"/>
  <c r="G248" i="8"/>
  <c r="F248" i="8"/>
  <c r="E248" i="8"/>
  <c r="D248" i="8"/>
  <c r="G247" i="8"/>
  <c r="F247" i="8"/>
  <c r="E247" i="8"/>
  <c r="D247" i="8"/>
  <c r="H247" i="8" s="1"/>
  <c r="G246" i="8"/>
  <c r="F246" i="8"/>
  <c r="E246" i="8"/>
  <c r="D246" i="8"/>
  <c r="H246" i="8" s="1"/>
  <c r="H245" i="8"/>
  <c r="G245" i="8"/>
  <c r="F245" i="8"/>
  <c r="E245" i="8"/>
  <c r="D245" i="8"/>
  <c r="G244" i="8"/>
  <c r="F244" i="8"/>
  <c r="E244" i="8"/>
  <c r="D244" i="8"/>
  <c r="H244" i="8" s="1"/>
  <c r="H243" i="8"/>
  <c r="G243" i="8"/>
  <c r="F243" i="8"/>
  <c r="E243" i="8"/>
  <c r="D243" i="8"/>
  <c r="G242" i="8"/>
  <c r="H242" i="8" s="1"/>
  <c r="F242" i="8"/>
  <c r="E242" i="8"/>
  <c r="D242" i="8"/>
  <c r="Z241" i="8"/>
  <c r="G241" i="8"/>
  <c r="F241" i="8"/>
  <c r="E241" i="8"/>
  <c r="D241" i="8"/>
  <c r="H241" i="8" s="1"/>
  <c r="G240" i="8"/>
  <c r="F240" i="8"/>
  <c r="E240" i="8"/>
  <c r="D240" i="8"/>
  <c r="H240" i="8" s="1"/>
  <c r="H239" i="8"/>
  <c r="G239" i="8"/>
  <c r="F239" i="8"/>
  <c r="E239" i="8"/>
  <c r="D239" i="8"/>
  <c r="G238" i="8"/>
  <c r="F238" i="8"/>
  <c r="E238" i="8"/>
  <c r="D238" i="8"/>
  <c r="H238" i="8" s="1"/>
  <c r="H237" i="8"/>
  <c r="G237" i="8"/>
  <c r="F237" i="8"/>
  <c r="E237" i="8"/>
  <c r="D237" i="8"/>
  <c r="G236" i="8"/>
  <c r="H236" i="8" s="1"/>
  <c r="F236" i="8"/>
  <c r="E236" i="8"/>
  <c r="D236" i="8"/>
  <c r="G235" i="8"/>
  <c r="F235" i="8"/>
  <c r="E235" i="8"/>
  <c r="D235" i="8"/>
  <c r="H235" i="8" s="1"/>
  <c r="G234" i="8"/>
  <c r="H234" i="8" s="1"/>
  <c r="F234" i="8"/>
  <c r="E234" i="8"/>
  <c r="D234" i="8"/>
  <c r="G233" i="8"/>
  <c r="F233" i="8"/>
  <c r="E233" i="8"/>
  <c r="D233" i="8"/>
  <c r="H233" i="8" s="1"/>
  <c r="G232" i="8"/>
  <c r="F232" i="8"/>
  <c r="E232" i="8"/>
  <c r="D232" i="8"/>
  <c r="H232" i="8" s="1"/>
  <c r="H231" i="8"/>
  <c r="G231" i="8"/>
  <c r="F231" i="8"/>
  <c r="E231" i="8"/>
  <c r="D231" i="8"/>
  <c r="G230" i="8"/>
  <c r="F230" i="8"/>
  <c r="E230" i="8"/>
  <c r="D230" i="8"/>
  <c r="H230" i="8" s="1"/>
  <c r="H229" i="8"/>
  <c r="G229" i="8"/>
  <c r="F229" i="8"/>
  <c r="E229" i="8"/>
  <c r="D229" i="8"/>
  <c r="Z228" i="8"/>
  <c r="L228" i="8"/>
  <c r="H228" i="8"/>
  <c r="G228" i="8"/>
  <c r="F228" i="8"/>
  <c r="E228" i="8"/>
  <c r="D228" i="8"/>
  <c r="G227" i="8"/>
  <c r="F227" i="8"/>
  <c r="E227" i="8"/>
  <c r="D227" i="8"/>
  <c r="H227" i="8" s="1"/>
  <c r="G226" i="8"/>
  <c r="F226" i="8"/>
  <c r="E226" i="8"/>
  <c r="D226" i="8"/>
  <c r="H226" i="8" s="1"/>
  <c r="H225" i="8"/>
  <c r="G225" i="8"/>
  <c r="F225" i="8"/>
  <c r="E225" i="8"/>
  <c r="D225" i="8"/>
  <c r="G224" i="8"/>
  <c r="F224" i="8"/>
  <c r="E224" i="8"/>
  <c r="D224" i="8"/>
  <c r="H224" i="8" s="1"/>
  <c r="H223" i="8"/>
  <c r="G223" i="8"/>
  <c r="F223" i="8"/>
  <c r="E223" i="8"/>
  <c r="D223" i="8"/>
  <c r="G222" i="8"/>
  <c r="H222" i="8" s="1"/>
  <c r="F222" i="8"/>
  <c r="E222" i="8"/>
  <c r="D222" i="8"/>
  <c r="G221" i="8"/>
  <c r="F221" i="8"/>
  <c r="E221" i="8"/>
  <c r="D221" i="8"/>
  <c r="H221" i="8" s="1"/>
  <c r="H220" i="8"/>
  <c r="G220" i="8"/>
  <c r="F220" i="8"/>
  <c r="E220" i="8"/>
  <c r="D220" i="8"/>
  <c r="G219" i="8"/>
  <c r="F219" i="8"/>
  <c r="E219" i="8"/>
  <c r="D219" i="8"/>
  <c r="H219" i="8" s="1"/>
  <c r="G218" i="8"/>
  <c r="F218" i="8"/>
  <c r="E218" i="8"/>
  <c r="D218" i="8"/>
  <c r="H218" i="8" s="1"/>
  <c r="H217" i="8"/>
  <c r="G217" i="8"/>
  <c r="F217" i="8"/>
  <c r="E217" i="8"/>
  <c r="D217" i="8"/>
  <c r="G214" i="8"/>
  <c r="F214" i="8"/>
  <c r="E214" i="8"/>
  <c r="D214" i="8"/>
  <c r="H214" i="8" s="1"/>
  <c r="H213" i="8"/>
  <c r="G213" i="8"/>
  <c r="F213" i="8"/>
  <c r="E213" i="8"/>
  <c r="D213" i="8"/>
  <c r="G212" i="8"/>
  <c r="H212" i="8" s="1"/>
  <c r="F212" i="8"/>
  <c r="E212" i="8"/>
  <c r="D212" i="8"/>
  <c r="G211" i="8"/>
  <c r="F211" i="8"/>
  <c r="E211" i="8"/>
  <c r="D211" i="8"/>
  <c r="H211" i="8" s="1"/>
  <c r="H210" i="8"/>
  <c r="G210" i="8"/>
  <c r="F210" i="8"/>
  <c r="E210" i="8"/>
  <c r="D210" i="8"/>
  <c r="G209" i="8"/>
  <c r="F209" i="8"/>
  <c r="E209" i="8"/>
  <c r="D209" i="8"/>
  <c r="H209" i="8" s="1"/>
  <c r="G208" i="8"/>
  <c r="F208" i="8"/>
  <c r="E208" i="8"/>
  <c r="D208" i="8"/>
  <c r="H208" i="8" s="1"/>
  <c r="H207" i="8"/>
  <c r="G207" i="8"/>
  <c r="F207" i="8"/>
  <c r="E207" i="8"/>
  <c r="D207" i="8"/>
  <c r="G206" i="8"/>
  <c r="F206" i="8"/>
  <c r="E206" i="8"/>
  <c r="D206" i="8"/>
  <c r="H206" i="8" s="1"/>
  <c r="G205" i="8"/>
  <c r="H205" i="8" s="1"/>
  <c r="F205" i="8"/>
  <c r="E205" i="8"/>
  <c r="D205" i="8"/>
  <c r="G204" i="8"/>
  <c r="H204" i="8" s="1"/>
  <c r="F204" i="8"/>
  <c r="E204" i="8"/>
  <c r="D204" i="8"/>
  <c r="G203" i="8"/>
  <c r="F203" i="8"/>
  <c r="E203" i="8"/>
  <c r="D203" i="8"/>
  <c r="H203" i="8" s="1"/>
  <c r="G202" i="8"/>
  <c r="F202" i="8"/>
  <c r="H202" i="8" s="1"/>
  <c r="E202" i="8"/>
  <c r="D202" i="8"/>
  <c r="G201" i="8"/>
  <c r="F201" i="8"/>
  <c r="E201" i="8"/>
  <c r="D201" i="8"/>
  <c r="H201" i="8" s="1"/>
  <c r="G198" i="8"/>
  <c r="F198" i="8"/>
  <c r="E198" i="8"/>
  <c r="D198" i="8"/>
  <c r="H198" i="8" s="1"/>
  <c r="H197" i="8"/>
  <c r="G197" i="8"/>
  <c r="F197" i="8"/>
  <c r="E197" i="8"/>
  <c r="D197" i="8"/>
  <c r="Z196" i="8"/>
  <c r="G196" i="8"/>
  <c r="H196" i="8" s="1"/>
  <c r="F196" i="8"/>
  <c r="E196" i="8"/>
  <c r="D196" i="8"/>
  <c r="L196" i="8" s="1"/>
  <c r="Z195" i="8"/>
  <c r="G195" i="8"/>
  <c r="F195" i="8"/>
  <c r="E195" i="8"/>
  <c r="D195" i="8"/>
  <c r="H195" i="8" s="1"/>
  <c r="G194" i="8"/>
  <c r="F194" i="8"/>
  <c r="E194" i="8"/>
  <c r="D194" i="8"/>
  <c r="H194" i="8" s="1"/>
  <c r="H193" i="8"/>
  <c r="G193" i="8"/>
  <c r="F193" i="8"/>
  <c r="E193" i="8"/>
  <c r="D193" i="8"/>
  <c r="G192" i="8"/>
  <c r="F192" i="8"/>
  <c r="E192" i="8"/>
  <c r="H192" i="8" s="1"/>
  <c r="D192" i="8"/>
  <c r="G191" i="8"/>
  <c r="F191" i="8"/>
  <c r="E191" i="8"/>
  <c r="H191" i="8" s="1"/>
  <c r="D191" i="8"/>
  <c r="G190" i="8"/>
  <c r="H190" i="8" s="1"/>
  <c r="F190" i="8"/>
  <c r="E190" i="8"/>
  <c r="D190" i="8"/>
  <c r="G189" i="8"/>
  <c r="F189" i="8"/>
  <c r="E189" i="8"/>
  <c r="D189" i="8"/>
  <c r="H189" i="8" s="1"/>
  <c r="G188" i="8"/>
  <c r="F188" i="8"/>
  <c r="E188" i="8"/>
  <c r="D188" i="8"/>
  <c r="H188" i="8" s="1"/>
  <c r="G187" i="8"/>
  <c r="F187" i="8"/>
  <c r="E187" i="8"/>
  <c r="D187" i="8"/>
  <c r="H187" i="8" s="1"/>
  <c r="G186" i="8"/>
  <c r="F186" i="8"/>
  <c r="E186" i="8"/>
  <c r="D186" i="8"/>
  <c r="H186" i="8" s="1"/>
  <c r="Z185" i="8"/>
  <c r="G185" i="8"/>
  <c r="F185" i="8"/>
  <c r="E185" i="8"/>
  <c r="D185" i="8"/>
  <c r="G184" i="8"/>
  <c r="H184" i="8" s="1"/>
  <c r="F184" i="8"/>
  <c r="E184" i="8"/>
  <c r="D184" i="8"/>
  <c r="G183" i="8"/>
  <c r="F183" i="8"/>
  <c r="E183" i="8"/>
  <c r="D183" i="8"/>
  <c r="H183" i="8" s="1"/>
  <c r="G182" i="8"/>
  <c r="F182" i="8"/>
  <c r="E182" i="8"/>
  <c r="D182" i="8"/>
  <c r="H182" i="8" s="1"/>
  <c r="Z181" i="8"/>
  <c r="H181" i="8"/>
  <c r="L181" i="8" s="1"/>
  <c r="G181" i="8"/>
  <c r="F181" i="8"/>
  <c r="E181" i="8"/>
  <c r="D181" i="8"/>
  <c r="G180" i="8"/>
  <c r="F180" i="8"/>
  <c r="E180" i="8"/>
  <c r="H180" i="8" s="1"/>
  <c r="D180" i="8"/>
  <c r="G179" i="8"/>
  <c r="F179" i="8"/>
  <c r="E179" i="8"/>
  <c r="H179" i="8" s="1"/>
  <c r="D179" i="8"/>
  <c r="G178" i="8"/>
  <c r="H178" i="8" s="1"/>
  <c r="F178" i="8"/>
  <c r="E178" i="8"/>
  <c r="D178" i="8"/>
  <c r="G177" i="8"/>
  <c r="F177" i="8"/>
  <c r="E177" i="8"/>
  <c r="D177" i="8"/>
  <c r="H177" i="8" s="1"/>
  <c r="G176" i="8"/>
  <c r="F176" i="8"/>
  <c r="E176" i="8"/>
  <c r="D176" i="8"/>
  <c r="H176" i="8" s="1"/>
  <c r="G175" i="8"/>
  <c r="F175" i="8"/>
  <c r="E175" i="8"/>
  <c r="D175" i="8"/>
  <c r="H175" i="8" s="1"/>
  <c r="G174" i="8"/>
  <c r="F174" i="8"/>
  <c r="E174" i="8"/>
  <c r="D174" i="8"/>
  <c r="H174" i="8" s="1"/>
  <c r="H173" i="8"/>
  <c r="G173" i="8"/>
  <c r="F173" i="8"/>
  <c r="E173" i="8"/>
  <c r="D173" i="8"/>
  <c r="G172" i="8"/>
  <c r="F172" i="8"/>
  <c r="E172" i="8"/>
  <c r="H172" i="8" s="1"/>
  <c r="D172" i="8"/>
  <c r="G171" i="8"/>
  <c r="F171" i="8"/>
  <c r="E171" i="8"/>
  <c r="D171" i="8"/>
  <c r="H171" i="8" s="1"/>
  <c r="G170" i="8"/>
  <c r="H170" i="8" s="1"/>
  <c r="F170" i="8"/>
  <c r="E170" i="8"/>
  <c r="D170" i="8"/>
  <c r="G169" i="8"/>
  <c r="F169" i="8"/>
  <c r="E169" i="8"/>
  <c r="D169" i="8"/>
  <c r="H169" i="8" s="1"/>
  <c r="G168" i="8"/>
  <c r="F168" i="8"/>
  <c r="E168" i="8"/>
  <c r="D168" i="8"/>
  <c r="H168" i="8" s="1"/>
  <c r="G167" i="8"/>
  <c r="F167" i="8"/>
  <c r="E167" i="8"/>
  <c r="D167" i="8"/>
  <c r="H167" i="8" s="1"/>
  <c r="G166" i="8"/>
  <c r="F166" i="8"/>
  <c r="E166" i="8"/>
  <c r="D166" i="8"/>
  <c r="H166" i="8" s="1"/>
  <c r="H165" i="8"/>
  <c r="G165" i="8"/>
  <c r="F165" i="8"/>
  <c r="E165" i="8"/>
  <c r="D165" i="8"/>
  <c r="G164" i="8"/>
  <c r="F164" i="8"/>
  <c r="E164" i="8"/>
  <c r="H164" i="8" s="1"/>
  <c r="D164" i="8"/>
  <c r="G163" i="8"/>
  <c r="F163" i="8"/>
  <c r="E163" i="8"/>
  <c r="D163" i="8"/>
  <c r="H163" i="8" s="1"/>
  <c r="G162" i="8"/>
  <c r="H162" i="8" s="1"/>
  <c r="F162" i="8"/>
  <c r="E162" i="8"/>
  <c r="D162" i="8"/>
  <c r="G161" i="8"/>
  <c r="F161" i="8"/>
  <c r="E161" i="8"/>
  <c r="D161" i="8"/>
  <c r="H161" i="8" s="1"/>
  <c r="G160" i="8"/>
  <c r="F160" i="8"/>
  <c r="E160" i="8"/>
  <c r="D160" i="8"/>
  <c r="H160" i="8" s="1"/>
  <c r="G159" i="8"/>
  <c r="F159" i="8"/>
  <c r="E159" i="8"/>
  <c r="D159" i="8"/>
  <c r="H159" i="8" s="1"/>
  <c r="G158" i="8"/>
  <c r="F158" i="8"/>
  <c r="E158" i="8"/>
  <c r="D158" i="8"/>
  <c r="H158" i="8" s="1"/>
  <c r="H157" i="8"/>
  <c r="G157" i="8"/>
  <c r="F157" i="8"/>
  <c r="E157" i="8"/>
  <c r="D157" i="8"/>
  <c r="G156" i="8"/>
  <c r="F156" i="8"/>
  <c r="E156" i="8"/>
  <c r="H156" i="8" s="1"/>
  <c r="D156" i="8"/>
  <c r="G155" i="8"/>
  <c r="F155" i="8"/>
  <c r="E155" i="8"/>
  <c r="D155" i="8"/>
  <c r="H155" i="8" s="1"/>
  <c r="G154" i="8"/>
  <c r="H154" i="8" s="1"/>
  <c r="F154" i="8"/>
  <c r="E154" i="8"/>
  <c r="D154" i="8"/>
  <c r="G153" i="8"/>
  <c r="F153" i="8"/>
  <c r="E153" i="8"/>
  <c r="D153" i="8"/>
  <c r="H153" i="8" s="1"/>
  <c r="G152" i="8"/>
  <c r="F152" i="8"/>
  <c r="E152" i="8"/>
  <c r="D152" i="8"/>
  <c r="H152" i="8" s="1"/>
  <c r="G151" i="8"/>
  <c r="F151" i="8"/>
  <c r="E151" i="8"/>
  <c r="D151" i="8"/>
  <c r="H151" i="8" s="1"/>
  <c r="G150" i="8"/>
  <c r="F150" i="8"/>
  <c r="E150" i="8"/>
  <c r="D150" i="8"/>
  <c r="H150" i="8" s="1"/>
  <c r="H149" i="8"/>
  <c r="G149" i="8"/>
  <c r="F149" i="8"/>
  <c r="E149" i="8"/>
  <c r="D149" i="8"/>
  <c r="G148" i="8"/>
  <c r="F148" i="8"/>
  <c r="E148" i="8"/>
  <c r="H148" i="8" s="1"/>
  <c r="D148" i="8"/>
  <c r="H147" i="8"/>
  <c r="G147" i="8"/>
  <c r="G146" i="8"/>
  <c r="F146" i="8"/>
  <c r="E146" i="8"/>
  <c r="D146" i="8"/>
  <c r="H146" i="8" s="1"/>
  <c r="G145" i="8"/>
  <c r="F145" i="8"/>
  <c r="E145" i="8"/>
  <c r="D145" i="8"/>
  <c r="H145" i="8" s="1"/>
  <c r="G144" i="8"/>
  <c r="F144" i="8"/>
  <c r="E144" i="8"/>
  <c r="D144" i="8"/>
  <c r="H144" i="8" s="1"/>
  <c r="G143" i="8"/>
  <c r="F143" i="8"/>
  <c r="E143" i="8"/>
  <c r="D143" i="8"/>
  <c r="H143" i="8" s="1"/>
  <c r="H142" i="8"/>
  <c r="G142" i="8"/>
  <c r="F142" i="8"/>
  <c r="E142" i="8"/>
  <c r="D142" i="8"/>
  <c r="G141" i="8"/>
  <c r="F141" i="8"/>
  <c r="E141" i="8"/>
  <c r="H141" i="8" s="1"/>
  <c r="D141" i="8"/>
  <c r="G138" i="8"/>
  <c r="F138" i="8"/>
  <c r="E138" i="8"/>
  <c r="H138" i="8" s="1"/>
  <c r="D138" i="8"/>
  <c r="G137" i="8"/>
  <c r="H137" i="8" s="1"/>
  <c r="F137" i="8"/>
  <c r="E137" i="8"/>
  <c r="D137" i="8"/>
  <c r="G136" i="8"/>
  <c r="F136" i="8"/>
  <c r="E136" i="8"/>
  <c r="D136" i="8"/>
  <c r="H136" i="8" s="1"/>
  <c r="G135" i="8"/>
  <c r="F135" i="8"/>
  <c r="E135" i="8"/>
  <c r="D135" i="8"/>
  <c r="H135" i="8" s="1"/>
  <c r="G134" i="8"/>
  <c r="F134" i="8"/>
  <c r="E134" i="8"/>
  <c r="D134" i="8"/>
  <c r="H134" i="8" s="1"/>
  <c r="G132" i="8"/>
  <c r="F132" i="8"/>
  <c r="E132" i="8"/>
  <c r="D132" i="8"/>
  <c r="H132" i="8" s="1"/>
  <c r="H131" i="8"/>
  <c r="G131" i="8"/>
  <c r="F131" i="8"/>
  <c r="E131" i="8"/>
  <c r="D131" i="8"/>
  <c r="G130" i="8"/>
  <c r="F130" i="8"/>
  <c r="E130" i="8"/>
  <c r="H130" i="8" s="1"/>
  <c r="D130" i="8"/>
  <c r="G129" i="8"/>
  <c r="F129" i="8"/>
  <c r="E129" i="8"/>
  <c r="D129" i="8"/>
  <c r="H129" i="8" s="1"/>
  <c r="G128" i="8"/>
  <c r="H128" i="8" s="1"/>
  <c r="F128" i="8"/>
  <c r="E128" i="8"/>
  <c r="D128" i="8"/>
  <c r="G127" i="8"/>
  <c r="F127" i="8"/>
  <c r="E127" i="8"/>
  <c r="D127" i="8"/>
  <c r="H127" i="8" s="1"/>
  <c r="G126" i="8"/>
  <c r="F126" i="8"/>
  <c r="E126" i="8"/>
  <c r="D126" i="8"/>
  <c r="H126" i="8" s="1"/>
  <c r="G125" i="8"/>
  <c r="F125" i="8"/>
  <c r="E125" i="8"/>
  <c r="D125" i="8"/>
  <c r="H125" i="8" s="1"/>
  <c r="G124" i="8"/>
  <c r="F124" i="8"/>
  <c r="E124" i="8"/>
  <c r="D124" i="8"/>
  <c r="H124" i="8" s="1"/>
  <c r="H123" i="8"/>
  <c r="G123" i="8"/>
  <c r="F123" i="8"/>
  <c r="E123" i="8"/>
  <c r="D123" i="8"/>
  <c r="G122" i="8"/>
  <c r="F122" i="8"/>
  <c r="E122" i="8"/>
  <c r="H122" i="8" s="1"/>
  <c r="D122" i="8"/>
  <c r="G121" i="8"/>
  <c r="F121" i="8"/>
  <c r="E121" i="8"/>
  <c r="D121" i="8"/>
  <c r="H121" i="8" s="1"/>
  <c r="G120" i="8"/>
  <c r="H120" i="8" s="1"/>
  <c r="F120" i="8"/>
  <c r="E120" i="8"/>
  <c r="D120" i="8"/>
  <c r="G119" i="8"/>
  <c r="F119" i="8"/>
  <c r="E119" i="8"/>
  <c r="D119" i="8"/>
  <c r="H119" i="8" s="1"/>
  <c r="G118" i="8"/>
  <c r="F118" i="8"/>
  <c r="E118" i="8"/>
  <c r="D118" i="8"/>
  <c r="H118" i="8" s="1"/>
  <c r="G117" i="8"/>
  <c r="F117" i="8"/>
  <c r="E117" i="8"/>
  <c r="D117" i="8"/>
  <c r="H117" i="8" s="1"/>
  <c r="G116" i="8"/>
  <c r="F116" i="8"/>
  <c r="E116" i="8"/>
  <c r="D116" i="8"/>
  <c r="H116" i="8" s="1"/>
  <c r="H115" i="8"/>
  <c r="G115" i="8"/>
  <c r="F115" i="8"/>
  <c r="E115" i="8"/>
  <c r="D115" i="8"/>
  <c r="G112" i="8"/>
  <c r="F112" i="8"/>
  <c r="E112" i="8"/>
  <c r="H112" i="8" s="1"/>
  <c r="D112" i="8"/>
  <c r="G111" i="8"/>
  <c r="F111" i="8"/>
  <c r="E111" i="8"/>
  <c r="D111" i="8"/>
  <c r="H111" i="8" s="1"/>
  <c r="Z110" i="8"/>
  <c r="G110" i="8"/>
  <c r="F110" i="8"/>
  <c r="E110" i="8"/>
  <c r="D110" i="8"/>
  <c r="H110" i="8" s="1"/>
  <c r="L110" i="8" s="1"/>
  <c r="Z109" i="8"/>
  <c r="H109" i="8"/>
  <c r="L109" i="8" s="1"/>
  <c r="G109" i="8"/>
  <c r="F109" i="8"/>
  <c r="E109" i="8"/>
  <c r="D109" i="8"/>
  <c r="Z108" i="8"/>
  <c r="G108" i="8"/>
  <c r="H108" i="8" s="1"/>
  <c r="F108" i="8"/>
  <c r="E108" i="8"/>
  <c r="D108" i="8"/>
  <c r="Z107" i="8"/>
  <c r="L107" i="8"/>
  <c r="G106" i="8"/>
  <c r="F106" i="8"/>
  <c r="E106" i="8"/>
  <c r="D106" i="8"/>
  <c r="H106" i="8" s="1"/>
  <c r="G105" i="8"/>
  <c r="F105" i="8"/>
  <c r="E105" i="8"/>
  <c r="D105" i="8"/>
  <c r="H105" i="8" s="1"/>
  <c r="H104" i="8"/>
  <c r="G104" i="8"/>
  <c r="F104" i="8"/>
  <c r="E104" i="8"/>
  <c r="D104" i="8"/>
  <c r="G103" i="8"/>
  <c r="F103" i="8"/>
  <c r="E103" i="8"/>
  <c r="H103" i="8" s="1"/>
  <c r="D103" i="8"/>
  <c r="G101" i="8"/>
  <c r="F101" i="8"/>
  <c r="E101" i="8"/>
  <c r="H101" i="8" s="1"/>
  <c r="D101" i="8"/>
  <c r="G100" i="8"/>
  <c r="H100" i="8" s="1"/>
  <c r="F100" i="8"/>
  <c r="E100" i="8"/>
  <c r="D100" i="8"/>
  <c r="G99" i="8"/>
  <c r="F99" i="8"/>
  <c r="E99" i="8"/>
  <c r="D99" i="8"/>
  <c r="H99" i="8" s="1"/>
  <c r="G98" i="8"/>
  <c r="F98" i="8"/>
  <c r="E98" i="8"/>
  <c r="D98" i="8"/>
  <c r="H98" i="8" s="1"/>
  <c r="G97" i="8"/>
  <c r="F97" i="8"/>
  <c r="E97" i="8"/>
  <c r="D97" i="8"/>
  <c r="H97" i="8" s="1"/>
  <c r="G96" i="8"/>
  <c r="F96" i="8"/>
  <c r="E96" i="8"/>
  <c r="D96" i="8"/>
  <c r="H96" i="8" s="1"/>
  <c r="H95" i="8"/>
  <c r="G95" i="8"/>
  <c r="F95" i="8"/>
  <c r="E95" i="8"/>
  <c r="D95" i="8"/>
  <c r="G94" i="8"/>
  <c r="F94" i="8"/>
  <c r="E94" i="8"/>
  <c r="H94" i="8" s="1"/>
  <c r="D94" i="8"/>
  <c r="G93" i="8"/>
  <c r="F93" i="8"/>
  <c r="E93" i="8"/>
  <c r="H93" i="8" s="1"/>
  <c r="D93" i="8"/>
  <c r="G92" i="8"/>
  <c r="H92" i="8" s="1"/>
  <c r="F92" i="8"/>
  <c r="E92" i="8"/>
  <c r="D92" i="8"/>
  <c r="G91" i="8"/>
  <c r="F91" i="8"/>
  <c r="E91" i="8"/>
  <c r="D91" i="8"/>
  <c r="H91" i="8" s="1"/>
  <c r="G90" i="8"/>
  <c r="F90" i="8"/>
  <c r="E90" i="8"/>
  <c r="D90" i="8"/>
  <c r="H90" i="8" s="1"/>
  <c r="G89" i="8"/>
  <c r="F89" i="8"/>
  <c r="E89" i="8"/>
  <c r="D89" i="8"/>
  <c r="H89" i="8" s="1"/>
  <c r="G88" i="8"/>
  <c r="F88" i="8"/>
  <c r="E88" i="8"/>
  <c r="D88" i="8"/>
  <c r="H88" i="8" s="1"/>
  <c r="H87" i="8"/>
  <c r="G87" i="8"/>
  <c r="F87" i="8"/>
  <c r="E87" i="8"/>
  <c r="D87" i="8"/>
  <c r="G86" i="8"/>
  <c r="F86" i="8"/>
  <c r="E86" i="8"/>
  <c r="H86" i="8" s="1"/>
  <c r="D86" i="8"/>
  <c r="G85" i="8"/>
  <c r="F85" i="8"/>
  <c r="E85" i="8"/>
  <c r="H85" i="8" s="1"/>
  <c r="D85" i="8"/>
  <c r="G84" i="8"/>
  <c r="H84" i="8" s="1"/>
  <c r="F84" i="8"/>
  <c r="E84" i="8"/>
  <c r="D84" i="8"/>
  <c r="G83" i="8"/>
  <c r="F83" i="8"/>
  <c r="E83" i="8"/>
  <c r="D83" i="8"/>
  <c r="H83" i="8" s="1"/>
  <c r="Z82" i="8"/>
  <c r="G82" i="8"/>
  <c r="F82" i="8"/>
  <c r="E82" i="8"/>
  <c r="D82" i="8"/>
  <c r="H80" i="8"/>
  <c r="G80" i="8"/>
  <c r="F80" i="8"/>
  <c r="E80" i="8"/>
  <c r="D80" i="8"/>
  <c r="G79" i="8"/>
  <c r="F79" i="8"/>
  <c r="E79" i="8"/>
  <c r="H79" i="8" s="1"/>
  <c r="D79" i="8"/>
  <c r="G78" i="8"/>
  <c r="F78" i="8"/>
  <c r="E78" i="8"/>
  <c r="H78" i="8" s="1"/>
  <c r="D78" i="8"/>
  <c r="G77" i="8"/>
  <c r="H77" i="8" s="1"/>
  <c r="F77" i="8"/>
  <c r="E77" i="8"/>
  <c r="D77" i="8"/>
  <c r="G76" i="8"/>
  <c r="F76" i="8"/>
  <c r="E76" i="8"/>
  <c r="D76" i="8"/>
  <c r="H76" i="8" s="1"/>
  <c r="G75" i="8"/>
  <c r="F75" i="8"/>
  <c r="E75" i="8"/>
  <c r="D75" i="8"/>
  <c r="H75" i="8" s="1"/>
  <c r="G74" i="8"/>
  <c r="F74" i="8"/>
  <c r="E74" i="8"/>
  <c r="D74" i="8"/>
  <c r="H74" i="8" s="1"/>
  <c r="G73" i="8"/>
  <c r="F73" i="8"/>
  <c r="E73" i="8"/>
  <c r="D73" i="8"/>
  <c r="H73" i="8" s="1"/>
  <c r="H71" i="8"/>
  <c r="G71" i="8"/>
  <c r="F71" i="8"/>
  <c r="E71" i="8"/>
  <c r="D71" i="8"/>
  <c r="G70" i="8"/>
  <c r="F70" i="8"/>
  <c r="E70" i="8"/>
  <c r="H70" i="8" s="1"/>
  <c r="D70" i="8"/>
  <c r="G69" i="8"/>
  <c r="F69" i="8"/>
  <c r="E69" i="8"/>
  <c r="H69" i="8" s="1"/>
  <c r="D69" i="8"/>
  <c r="G68" i="8"/>
  <c r="H68" i="8" s="1"/>
  <c r="F68" i="8"/>
  <c r="E68" i="8"/>
  <c r="D68" i="8"/>
  <c r="G67" i="8"/>
  <c r="F67" i="8"/>
  <c r="E67" i="8"/>
  <c r="D67" i="8"/>
  <c r="H67" i="8" s="1"/>
  <c r="G65" i="8"/>
  <c r="F65" i="8"/>
  <c r="E65" i="8"/>
  <c r="D65" i="8"/>
  <c r="H65" i="8" s="1"/>
  <c r="G64" i="8"/>
  <c r="F64" i="8"/>
  <c r="E64" i="8"/>
  <c r="D64" i="8"/>
  <c r="H64" i="8" s="1"/>
  <c r="G63" i="8"/>
  <c r="F63" i="8"/>
  <c r="E63" i="8"/>
  <c r="D63" i="8"/>
  <c r="H63" i="8" s="1"/>
  <c r="H62" i="8"/>
  <c r="G62" i="8"/>
  <c r="F62" i="8"/>
  <c r="E62" i="8"/>
  <c r="D62" i="8"/>
  <c r="G61" i="8"/>
  <c r="F61" i="8"/>
  <c r="E61" i="8"/>
  <c r="H61" i="8" s="1"/>
  <c r="D61" i="8"/>
  <c r="G60" i="8"/>
  <c r="F60" i="8"/>
  <c r="E60" i="8"/>
  <c r="D60" i="8"/>
  <c r="H60" i="8" s="1"/>
  <c r="G59" i="8"/>
  <c r="H59" i="8" s="1"/>
  <c r="F59" i="8"/>
  <c r="E59" i="8"/>
  <c r="D59" i="8"/>
  <c r="G58" i="8"/>
  <c r="F58" i="8"/>
  <c r="E58" i="8"/>
  <c r="D58" i="8"/>
  <c r="H58" i="8" s="1"/>
  <c r="G57" i="8"/>
  <c r="F57" i="8"/>
  <c r="E57" i="8"/>
  <c r="D57" i="8"/>
  <c r="H57" i="8" s="1"/>
  <c r="G56" i="8"/>
  <c r="F56" i="8"/>
  <c r="E56" i="8"/>
  <c r="D56" i="8"/>
  <c r="H56" i="8" s="1"/>
  <c r="G53" i="8"/>
  <c r="F53" i="8"/>
  <c r="E53" i="8"/>
  <c r="D53" i="8"/>
  <c r="H53" i="8" s="1"/>
  <c r="H52" i="8"/>
  <c r="G52" i="8"/>
  <c r="F52" i="8"/>
  <c r="E52" i="8"/>
  <c r="D52" i="8"/>
  <c r="G51" i="8"/>
  <c r="F51" i="8"/>
  <c r="E51" i="8"/>
  <c r="H51" i="8" s="1"/>
  <c r="D51" i="8"/>
  <c r="G50" i="8"/>
  <c r="F50" i="8"/>
  <c r="E50" i="8"/>
  <c r="D50" i="8"/>
  <c r="H50" i="8" s="1"/>
  <c r="G49" i="8"/>
  <c r="H49" i="8" s="1"/>
  <c r="F49" i="8"/>
  <c r="E49" i="8"/>
  <c r="D49" i="8"/>
  <c r="G48" i="8"/>
  <c r="F48" i="8"/>
  <c r="E48" i="8"/>
  <c r="D48" i="8"/>
  <c r="H48" i="8" s="1"/>
  <c r="G47" i="8"/>
  <c r="F47" i="8"/>
  <c r="E47" i="8"/>
  <c r="D47" i="8"/>
  <c r="H47" i="8" s="1"/>
  <c r="Z46" i="8"/>
  <c r="H46" i="8"/>
  <c r="L46" i="8" s="1"/>
  <c r="G46" i="8"/>
  <c r="F46" i="8"/>
  <c r="E46" i="8"/>
  <c r="D46" i="8"/>
  <c r="Z45" i="8"/>
  <c r="G45" i="8"/>
  <c r="H45" i="8" s="1"/>
  <c r="F45" i="8"/>
  <c r="L45" i="8" s="1"/>
  <c r="E45" i="8"/>
  <c r="D45" i="8"/>
  <c r="G44" i="8"/>
  <c r="F44" i="8"/>
  <c r="E44" i="8"/>
  <c r="D44" i="8"/>
  <c r="H44" i="8" s="1"/>
  <c r="Z43" i="8"/>
  <c r="G43" i="8"/>
  <c r="F43" i="8"/>
  <c r="E43" i="8"/>
  <c r="D43" i="8"/>
  <c r="H42" i="8"/>
  <c r="G42" i="8"/>
  <c r="F42" i="8"/>
  <c r="E42" i="8"/>
  <c r="D42" i="8"/>
  <c r="G41" i="8"/>
  <c r="F41" i="8"/>
  <c r="E41" i="8"/>
  <c r="H41" i="8" s="1"/>
  <c r="D41" i="8"/>
  <c r="G40" i="8"/>
  <c r="F40" i="8"/>
  <c r="E40" i="8"/>
  <c r="D40" i="8"/>
  <c r="H40" i="8" s="1"/>
  <c r="G39" i="8"/>
  <c r="H39" i="8" s="1"/>
  <c r="F39" i="8"/>
  <c r="E39" i="8"/>
  <c r="D39" i="8"/>
  <c r="G36" i="8"/>
  <c r="F36" i="8"/>
  <c r="E36" i="8"/>
  <c r="D36" i="8"/>
  <c r="H36" i="8" s="1"/>
  <c r="G35" i="8"/>
  <c r="F35" i="8"/>
  <c r="E35" i="8"/>
  <c r="D35" i="8"/>
  <c r="H35" i="8" s="1"/>
  <c r="G34" i="8"/>
  <c r="F34" i="8"/>
  <c r="H34" i="8" s="1"/>
  <c r="E34" i="8"/>
  <c r="D34" i="8"/>
  <c r="G33" i="8"/>
  <c r="F33" i="8"/>
  <c r="E33" i="8"/>
  <c r="D33" i="8"/>
  <c r="H33" i="8" s="1"/>
  <c r="H32" i="8"/>
  <c r="G32" i="8"/>
  <c r="F32" i="8"/>
  <c r="E32" i="8"/>
  <c r="D32" i="8"/>
  <c r="G31" i="8"/>
  <c r="F31" i="8"/>
  <c r="E31" i="8"/>
  <c r="H31" i="8" s="1"/>
  <c r="D31" i="8"/>
  <c r="G30" i="8"/>
  <c r="F30" i="8"/>
  <c r="E30" i="8"/>
  <c r="D30" i="8"/>
  <c r="H30" i="8" s="1"/>
  <c r="G29" i="8"/>
  <c r="H29" i="8" s="1"/>
  <c r="F29" i="8"/>
  <c r="E29" i="8"/>
  <c r="D29" i="8"/>
  <c r="G28" i="8"/>
  <c r="F28" i="8"/>
  <c r="E28" i="8"/>
  <c r="D28" i="8"/>
  <c r="H28" i="8" s="1"/>
  <c r="G27" i="8"/>
  <c r="F27" i="8"/>
  <c r="E27" i="8"/>
  <c r="D27" i="8"/>
  <c r="H27" i="8" s="1"/>
  <c r="G26" i="8"/>
  <c r="F26" i="8"/>
  <c r="H26" i="8" s="1"/>
  <c r="E26" i="8"/>
  <c r="D26" i="8"/>
  <c r="G25" i="8"/>
  <c r="F25" i="8"/>
  <c r="E25" i="8"/>
  <c r="D25" i="8"/>
  <c r="H25" i="8" s="1"/>
  <c r="H24" i="8"/>
  <c r="G24" i="8"/>
  <c r="F24" i="8"/>
  <c r="E24" i="8"/>
  <c r="D24" i="8"/>
  <c r="G23" i="8"/>
  <c r="F23" i="8"/>
  <c r="E23" i="8"/>
  <c r="H23" i="8" s="1"/>
  <c r="D23" i="8"/>
  <c r="G22" i="8"/>
  <c r="F22" i="8"/>
  <c r="E22" i="8"/>
  <c r="D22" i="8"/>
  <c r="H22" i="8" s="1"/>
  <c r="G21" i="8"/>
  <c r="H21" i="8" s="1"/>
  <c r="F21" i="8"/>
  <c r="E21" i="8"/>
  <c r="D21" i="8"/>
  <c r="G20" i="8"/>
  <c r="F20" i="8"/>
  <c r="E20" i="8"/>
  <c r="D20" i="8"/>
  <c r="H20" i="8" s="1"/>
  <c r="G19" i="8"/>
  <c r="F19" i="8"/>
  <c r="E19" i="8"/>
  <c r="D19" i="8"/>
  <c r="H19" i="8" s="1"/>
  <c r="G16" i="8"/>
  <c r="F16" i="8"/>
  <c r="H16" i="8" s="1"/>
  <c r="E16" i="8"/>
  <c r="D16" i="8"/>
  <c r="G15" i="8"/>
  <c r="F15" i="8"/>
  <c r="E15" i="8"/>
  <c r="D15" i="8"/>
  <c r="H15" i="8" s="1"/>
  <c r="Z14" i="8"/>
  <c r="G14" i="8"/>
  <c r="F14" i="8"/>
  <c r="E14" i="8"/>
  <c r="D14" i="8"/>
  <c r="G13" i="8"/>
  <c r="H13" i="8" s="1"/>
  <c r="F13" i="8"/>
  <c r="E13" i="8"/>
  <c r="D13" i="8"/>
  <c r="G12" i="8"/>
  <c r="F12" i="8"/>
  <c r="E12" i="8"/>
  <c r="D12" i="8"/>
  <c r="H12" i="8" s="1"/>
  <c r="G11" i="8"/>
  <c r="F11" i="8"/>
  <c r="E11" i="8"/>
  <c r="D11" i="8"/>
  <c r="H11" i="8" s="1"/>
  <c r="G10" i="8"/>
  <c r="F10" i="8"/>
  <c r="H10" i="8" s="1"/>
  <c r="E10" i="8"/>
  <c r="D10" i="8"/>
  <c r="G9" i="8"/>
  <c r="F9" i="8"/>
  <c r="E9" i="8"/>
  <c r="D9" i="8"/>
  <c r="H9" i="8" s="1"/>
  <c r="H8" i="8"/>
  <c r="G8" i="8"/>
  <c r="F8" i="8"/>
  <c r="E8" i="8"/>
  <c r="D8" i="8"/>
  <c r="Q93" i="5"/>
  <c r="F8" i="14" l="1"/>
  <c r="P8" i="14" s="1"/>
  <c r="F14" i="14"/>
  <c r="P14" i="14" s="1"/>
  <c r="F16" i="14"/>
  <c r="F253" i="14" s="1"/>
  <c r="F9" i="14"/>
  <c r="P9" i="14" s="1"/>
  <c r="F10" i="14"/>
  <c r="P10" i="14" s="1"/>
  <c r="F12" i="14"/>
  <c r="P12" i="14" s="1"/>
  <c r="F13" i="14"/>
  <c r="P13" i="14" s="1"/>
  <c r="F11" i="14"/>
  <c r="P11" i="14" s="1"/>
  <c r="I253" i="17"/>
  <c r="E248" i="17"/>
  <c r="E253" i="17" s="1"/>
  <c r="M248" i="17"/>
  <c r="K253" i="17"/>
  <c r="G248" i="17"/>
  <c r="O248" i="17"/>
  <c r="P36" i="17"/>
  <c r="P112" i="17" s="1"/>
  <c r="P248" i="17"/>
  <c r="J253" i="17"/>
  <c r="D138" i="17"/>
  <c r="L138" i="17"/>
  <c r="L253" i="17" s="1"/>
  <c r="F253" i="17"/>
  <c r="N253" i="17"/>
  <c r="D253" i="17"/>
  <c r="M253" i="17"/>
  <c r="P111" i="17"/>
  <c r="P253" i="17"/>
  <c r="G138" i="17"/>
  <c r="G253" i="17" s="1"/>
  <c r="O138" i="17"/>
  <c r="O253" i="17" s="1"/>
  <c r="D248" i="17"/>
  <c r="L248" i="17"/>
  <c r="Q97" i="5"/>
  <c r="H11" i="9"/>
  <c r="H15" i="9"/>
  <c r="H10" i="9"/>
  <c r="H14" i="9"/>
  <c r="L82" i="8"/>
  <c r="L108" i="8"/>
  <c r="L195" i="8"/>
  <c r="L241" i="8"/>
  <c r="H43" i="8"/>
  <c r="L43" i="8" s="1"/>
  <c r="H82" i="8"/>
  <c r="H14" i="8"/>
  <c r="L14" i="8" s="1"/>
  <c r="H185" i="8"/>
  <c r="L185" i="8" s="1"/>
  <c r="P15" i="14" l="1"/>
  <c r="P16" i="14" s="1"/>
  <c r="P253" i="14" s="1"/>
  <c r="F15" i="14"/>
</calcChain>
</file>

<file path=xl/sharedStrings.xml><?xml version="1.0" encoding="utf-8"?>
<sst xmlns="http://schemas.openxmlformats.org/spreadsheetml/2006/main" count="4169" uniqueCount="445">
  <si>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</si>
  <si>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</si>
  <si>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</si>
  <si>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</si>
  <si>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</si>
  <si>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</si>
  <si>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</si>
  <si>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</si>
  <si>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\\10.8.0.35\rpa$\Accounting\FINANCE GGI\Income Statement\Backup Macro\Bahan\Tarikan JDE\Januari'24.csv</t>
  </si>
  <si>
    <t>PERIODE</t>
  </si>
  <si>
    <t>PT GISTEX  GARMENT INDONESIA ( CILEUNYI )</t>
  </si>
  <si>
    <t xml:space="preserve">PRODUCTION AND SALES &amp; ADMINISTRATIVE EXPENSES  </t>
  </si>
  <si>
    <t>PERKIRAAN</t>
  </si>
  <si>
    <t>PRODUCTION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</si>
  <si>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</si>
  <si>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</si>
  <si>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</si>
  <si>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</si>
  <si>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</si>
  <si>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</si>
  <si>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</si>
  <si>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</si>
  <si>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</si>
  <si>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</si>
  <si>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</si>
  <si>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</si>
  <si>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</si>
  <si>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REVENUE</t>
  </si>
  <si>
    <t xml:space="preserve"> SALES</t>
  </si>
  <si>
    <t>6</t>
  </si>
  <si>
    <t>511000</t>
  </si>
  <si>
    <t xml:space="preserve">   SALES EXPORT MARKET</t>
  </si>
  <si>
    <t>512000</t>
  </si>
  <si>
    <t xml:space="preserve">   SALES LOCAL MARKET</t>
  </si>
  <si>
    <t>513000</t>
  </si>
  <si>
    <t xml:space="preserve">   SALES KBN MARKET</t>
  </si>
  <si>
    <t>514000</t>
  </si>
  <si>
    <t xml:space="preserve">   SALES - OTHERS</t>
  </si>
  <si>
    <t>515000</t>
  </si>
  <si>
    <t xml:space="preserve">   SALES RETURN &amp; ALWNC</t>
  </si>
  <si>
    <t>516000</t>
  </si>
  <si>
    <t xml:space="preserve">   SALES DISCOUNT</t>
  </si>
  <si>
    <t xml:space="preserve">   SALES LOCAL MARKET - RP</t>
  </si>
  <si>
    <t>5</t>
  </si>
  <si>
    <t>510000</t>
  </si>
  <si>
    <t>4</t>
  </si>
  <si>
    <t>500000</t>
  </si>
  <si>
    <t xml:space="preserve"> REVENUE</t>
  </si>
  <si>
    <t>COST OF REVENUE</t>
  </si>
  <si>
    <t xml:space="preserve"> COST OF GOODS SOLD</t>
  </si>
  <si>
    <t>611000</t>
  </si>
  <si>
    <t xml:space="preserve">    C.O.G.S. EXPORT MARKET</t>
  </si>
  <si>
    <t>7</t>
  </si>
  <si>
    <t>611000.A1</t>
  </si>
  <si>
    <t xml:space="preserve">    C.O.G.S. EXPORT - MATERIAL</t>
  </si>
  <si>
    <t xml:space="preserve">    C.O.G.S. EXPORT - MARKET</t>
  </si>
  <si>
    <t>611000.B1</t>
  </si>
  <si>
    <t xml:space="preserve">    C.O.G.S. EXPORT - LABOR</t>
  </si>
  <si>
    <t>611000.B3</t>
  </si>
  <si>
    <t xml:space="preserve">    C.O.G.S. EXPOR - PROD.</t>
  </si>
  <si>
    <t xml:space="preserve">   C.O.G.S. EXPORT MARKET</t>
  </si>
  <si>
    <t>612000</t>
  </si>
  <si>
    <t xml:space="preserve">    C.O.G.S. LOCAL MARKET</t>
  </si>
  <si>
    <t>612000.A1</t>
  </si>
  <si>
    <t xml:space="preserve">    C.O.G.S. LOCAL - MATERIAL</t>
  </si>
  <si>
    <t>612000.B1</t>
  </si>
  <si>
    <t xml:space="preserve">    C.O.G.S. LOCAL - DIRECT</t>
  </si>
  <si>
    <t>612000.B3</t>
  </si>
  <si>
    <t xml:space="preserve">    C.O.G.S. LOCAL - PROD.</t>
  </si>
  <si>
    <t xml:space="preserve">   C.O.G.S. LOCAL MARKET</t>
  </si>
  <si>
    <t>613000</t>
  </si>
  <si>
    <t xml:space="preserve">    C.O.G.S. KBN MARKET</t>
  </si>
  <si>
    <t>613000.A1</t>
  </si>
  <si>
    <t xml:space="preserve">    C.O.G.S. KBN - MATERIAL</t>
  </si>
  <si>
    <t>613000.B1</t>
  </si>
  <si>
    <t xml:space="preserve">    C.O.G.S. KBN - DIRECT LABOUR</t>
  </si>
  <si>
    <t>613000.B3</t>
  </si>
  <si>
    <t xml:space="preserve">    C.O.G.S. KBN - PROD. CO</t>
  </si>
  <si>
    <t xml:space="preserve">   C.O.G.S. KBN MARKET</t>
  </si>
  <si>
    <t>614000</t>
  </si>
  <si>
    <t xml:space="preserve">   C.O.G.S. OTHERS</t>
  </si>
  <si>
    <t>610000</t>
  </si>
  <si>
    <t xml:space="preserve">  COST OF GOODS SOLD</t>
  </si>
  <si>
    <t xml:space="preserve"> VARIANCES FROM STD COST</t>
  </si>
  <si>
    <t>621100</t>
  </si>
  <si>
    <t xml:space="preserve"> COST OF REWORK</t>
  </si>
  <si>
    <t>621200</t>
  </si>
  <si>
    <t xml:space="preserve">   VARIANCES MAKLOON</t>
  </si>
  <si>
    <t xml:space="preserve">   VARIANCES IN HOUSE ACTUAL</t>
  </si>
  <si>
    <t>621300.A1</t>
  </si>
  <si>
    <t xml:space="preserve">    VAR. ACTUAL MATERIAL</t>
  </si>
  <si>
    <t>621300.B1</t>
  </si>
  <si>
    <t xml:space="preserve">    VAR. ACTUAL LABOR</t>
  </si>
  <si>
    <t xml:space="preserve">    VAR. ACTUAL SETUP LABOR</t>
  </si>
  <si>
    <t>621300.B3</t>
  </si>
  <si>
    <t xml:space="preserve">    VAR. ACTUAL DIRECT COST</t>
  </si>
  <si>
    <t xml:space="preserve">    VAR. ACT MACHINE VARIABLE</t>
  </si>
  <si>
    <t xml:space="preserve">    VAR. ACT MACHINE FIXED OH</t>
  </si>
  <si>
    <t>621300</t>
  </si>
  <si>
    <t xml:space="preserve">   VARIANCE MKT PORTION</t>
  </si>
  <si>
    <t>621400.A1</t>
  </si>
  <si>
    <t xml:space="preserve">    VAR. MKT PORTION - MATERIAL</t>
  </si>
  <si>
    <t>621400.B1</t>
  </si>
  <si>
    <t xml:space="preserve">    VAR. MKT PORTION - LABOUR</t>
  </si>
  <si>
    <t>621400.B3</t>
  </si>
  <si>
    <t xml:space="preserve">    VAR. MKT PORTION - O/H</t>
  </si>
  <si>
    <t>621400</t>
  </si>
  <si>
    <t>620000</t>
  </si>
  <si>
    <t xml:space="preserve">  VARIANCES FROM STD COST</t>
  </si>
  <si>
    <t xml:space="preserve">  DIRECT MANUFACTURING COST</t>
  </si>
  <si>
    <t xml:space="preserve">   COST OF LABOR</t>
  </si>
  <si>
    <t>630110</t>
  </si>
  <si>
    <t xml:space="preserve">    LABOR COST</t>
  </si>
  <si>
    <t>630120</t>
  </si>
  <si>
    <t xml:space="preserve">    ANNUAL INCENTIVE ALLOWANCE</t>
  </si>
  <si>
    <t>630130</t>
  </si>
  <si>
    <t xml:space="preserve">    MEDICAL ALLOWANCE</t>
  </si>
  <si>
    <t>630140</t>
  </si>
  <si>
    <t xml:space="preserve">    OTHER ALLOWANCE</t>
  </si>
  <si>
    <t>630150</t>
  </si>
  <si>
    <t xml:space="preserve">    JAMSOSTEK</t>
  </si>
  <si>
    <t>630100</t>
  </si>
  <si>
    <t>630200</t>
  </si>
  <si>
    <t xml:space="preserve">   FARE ALLOWANCE</t>
  </si>
  <si>
    <t>630300</t>
  </si>
  <si>
    <t xml:space="preserve">   FACTORY SUPPLIES EXPENSES</t>
  </si>
  <si>
    <t>630400</t>
  </si>
  <si>
    <t xml:space="preserve">   ELECTRICITY</t>
  </si>
  <si>
    <t>630450</t>
  </si>
  <si>
    <t xml:space="preserve">   WATER</t>
  </si>
  <si>
    <t xml:space="preserve">   RAW MATERIAL &amp; FREIGHT EXPENSES</t>
  </si>
  <si>
    <t>630510</t>
  </si>
  <si>
    <t xml:space="preserve">    INDIRECT RAW MAT. EXP.</t>
  </si>
  <si>
    <t>630520</t>
  </si>
  <si>
    <t xml:space="preserve">    FREIGHT EXPENSES</t>
  </si>
  <si>
    <t xml:space="preserve">    FREIGHT IN</t>
  </si>
  <si>
    <t>630500</t>
  </si>
  <si>
    <t>630600</t>
  </si>
  <si>
    <t xml:space="preserve">   VENDOR EXPENSES</t>
  </si>
  <si>
    <t xml:space="preserve">   MAINTENANCE &amp; REPAIR EXPENSES</t>
  </si>
  <si>
    <t>630710</t>
  </si>
  <si>
    <t xml:space="preserve">    MAINT. &amp; REP. BUILDING</t>
  </si>
  <si>
    <t>630720</t>
  </si>
  <si>
    <t xml:space="preserve">    MAINT. &amp; REP. MACHINERIE</t>
  </si>
  <si>
    <t>630730</t>
  </si>
  <si>
    <t xml:space="preserve">    MAINT. &amp; REP. PLANT EQUI</t>
  </si>
  <si>
    <t>630740</t>
  </si>
  <si>
    <t xml:space="preserve">    MAINT. &amp; REP. WATER INSTL.</t>
  </si>
  <si>
    <t>630750</t>
  </si>
  <si>
    <t xml:space="preserve">    MAINT. &amp; REP. GEN&amp;BOILER</t>
  </si>
  <si>
    <t xml:space="preserve">    MAINT. &amp; REP. MOTOR VEHICL</t>
  </si>
  <si>
    <t xml:space="preserve">    MAINT. &amp; REP. ELECTRICITY</t>
  </si>
  <si>
    <t>630700</t>
  </si>
  <si>
    <t xml:space="preserve">   DEPRECIATION EXPENSES</t>
  </si>
  <si>
    <t xml:space="preserve">    DEPR. EXP. LAND</t>
  </si>
  <si>
    <t>630810</t>
  </si>
  <si>
    <t xml:space="preserve">    DEPR. EXP. BUILDING</t>
  </si>
  <si>
    <t>630820</t>
  </si>
  <si>
    <t xml:space="preserve">    DEPR. EXP. MACHINERIES</t>
  </si>
  <si>
    <t>630830</t>
  </si>
  <si>
    <t xml:space="preserve">    DEPR. EXP. GENERATOR&amp;BOILER</t>
  </si>
  <si>
    <t>630840</t>
  </si>
  <si>
    <t xml:space="preserve">    DEPR. EXP. ELECTRICAL INSTALLATION</t>
  </si>
  <si>
    <t>630850</t>
  </si>
  <si>
    <t xml:space="preserve">    DEPR. EXP. WATER INSTLM</t>
  </si>
  <si>
    <t>630860</t>
  </si>
  <si>
    <t xml:space="preserve">    DEPR. EXP. PLANT EQUIPMENT</t>
  </si>
  <si>
    <t>630800</t>
  </si>
  <si>
    <t>630900</t>
  </si>
  <si>
    <t xml:space="preserve">   INSURANCE EXP. OF BUILD.&amp;</t>
  </si>
  <si>
    <t>631000</t>
  </si>
  <si>
    <t xml:space="preserve">   RENT EXPENSES BUILDING</t>
  </si>
  <si>
    <t>631100</t>
  </si>
  <si>
    <t xml:space="preserve">   OTHER PRODUCTION COST</t>
  </si>
  <si>
    <t>631110</t>
  </si>
  <si>
    <t xml:space="preserve">    PEMAKAIAN SPAREPART</t>
  </si>
  <si>
    <t>631120</t>
  </si>
  <si>
    <t xml:space="preserve">    PEMAKAIAN BATUBARA</t>
  </si>
  <si>
    <t>631130</t>
  </si>
  <si>
    <t xml:space="preserve">    PEMAKAIAN DYESTUFF</t>
  </si>
  <si>
    <t>631140</t>
  </si>
  <si>
    <t xml:space="preserve">    PMKN FUEL &amp; LUBRICANT</t>
  </si>
  <si>
    <t>631150</t>
  </si>
  <si>
    <t xml:space="preserve">    PEMAKAIAN PACKING</t>
  </si>
  <si>
    <t>631160</t>
  </si>
  <si>
    <t xml:space="preserve">    PEMAKAIAN SIZING</t>
  </si>
  <si>
    <t>631170</t>
  </si>
  <si>
    <t xml:space="preserve">    PEMAKAIAN AUXILIARY</t>
  </si>
  <si>
    <t xml:space="preserve">    PEMAKAIAN GENERAL INVENTORY</t>
  </si>
  <si>
    <t xml:space="preserve">   DIRECT MFG COST ALLOCATION</t>
  </si>
  <si>
    <t>631200.A1</t>
  </si>
  <si>
    <t xml:space="preserve">    MATERIAL COST ALLOCATION</t>
  </si>
  <si>
    <t>631200.B1</t>
  </si>
  <si>
    <t xml:space="preserve">    LABOR COST ALLOCATION</t>
  </si>
  <si>
    <t>631200.B3</t>
  </si>
  <si>
    <t xml:space="preserve">    DIRECT COST ALLOCATION</t>
  </si>
  <si>
    <t>631200</t>
  </si>
  <si>
    <t xml:space="preserve">   MNFCT OVERHEAD ALLOC.</t>
  </si>
  <si>
    <t xml:space="preserve">    MACHINE VARIABLE OVERHEAD</t>
  </si>
  <si>
    <t xml:space="preserve">    MACHINE FIXED OVERHEAD</t>
  </si>
  <si>
    <t xml:space="preserve">    MNFCT OVERHEAD ALLOC.</t>
  </si>
  <si>
    <t>630000</t>
  </si>
  <si>
    <t>600000</t>
  </si>
  <si>
    <t xml:space="preserve"> COST OF REVENUE</t>
  </si>
  <si>
    <t xml:space="preserve"> MARKETING EXPENSES</t>
  </si>
  <si>
    <t xml:space="preserve">  PROMOTION EXPENSES</t>
  </si>
  <si>
    <t>710100</t>
  </si>
  <si>
    <t xml:space="preserve">   ADVERTISING EXPENSES</t>
  </si>
  <si>
    <t>710200</t>
  </si>
  <si>
    <t xml:space="preserve">   SAMPLE EXPENSES</t>
  </si>
  <si>
    <t>710000</t>
  </si>
  <si>
    <t xml:space="preserve">  DELIVERY EXPENSES</t>
  </si>
  <si>
    <t>720100</t>
  </si>
  <si>
    <t xml:space="preserve">   TRUCKING EXPENSES</t>
  </si>
  <si>
    <t>720200</t>
  </si>
  <si>
    <t xml:space="preserve">   PORTER WAGES EXPENSES</t>
  </si>
  <si>
    <t xml:space="preserve">   FREIGHT CHARGES</t>
  </si>
  <si>
    <t>720310</t>
  </si>
  <si>
    <t xml:space="preserve">    L/C NEGO COMMISSION</t>
  </si>
  <si>
    <t>720320</t>
  </si>
  <si>
    <t xml:space="preserve">    L/C INTEREST</t>
  </si>
  <si>
    <t>720330</t>
  </si>
  <si>
    <t xml:space="preserve">    L/C BANK CHARGES</t>
  </si>
  <si>
    <t>720340</t>
  </si>
  <si>
    <t xml:space="preserve">    L/C ADVISING</t>
  </si>
  <si>
    <t>720350</t>
  </si>
  <si>
    <t xml:space="preserve">    L/C AMEND</t>
  </si>
  <si>
    <t>720360</t>
  </si>
  <si>
    <t xml:space="preserve">    L./C DEDUCTION</t>
  </si>
  <si>
    <t>720300</t>
  </si>
  <si>
    <t>720400</t>
  </si>
  <si>
    <t xml:space="preserve">   EXPEDITION / SEA FREIGHT</t>
  </si>
  <si>
    <t>720500</t>
  </si>
  <si>
    <t xml:space="preserve">   AIR FREIGHT</t>
  </si>
  <si>
    <t>720600</t>
  </si>
  <si>
    <t xml:space="preserve">   QUOTA</t>
  </si>
  <si>
    <t>720000</t>
  </si>
  <si>
    <t xml:space="preserve">  MISCELLANEOUS SELLING EXP</t>
  </si>
  <si>
    <t>730100</t>
  </si>
  <si>
    <t>730200</t>
  </si>
  <si>
    <t xml:space="preserve">   SALES COMMISSION</t>
  </si>
  <si>
    <t>730300</t>
  </si>
  <si>
    <t xml:space="preserve">   FABRIC TESTED CHARGES</t>
  </si>
  <si>
    <t>730000</t>
  </si>
  <si>
    <t>700000</t>
  </si>
  <si>
    <t xml:space="preserve"> GENERAL &amp; ADMIN. EXPENSES</t>
  </si>
  <si>
    <t xml:space="preserve">  SALARIES</t>
  </si>
  <si>
    <t>801110</t>
  </si>
  <si>
    <t xml:space="preserve">   OFFICER SALARIES</t>
  </si>
  <si>
    <t>801120</t>
  </si>
  <si>
    <t xml:space="preserve">   MEDICAL ALLOWANCE</t>
  </si>
  <si>
    <t>801130</t>
  </si>
  <si>
    <t xml:space="preserve">   ANNUAL INCENTIVE ALLOWANCE</t>
  </si>
  <si>
    <t>801140</t>
  </si>
  <si>
    <t>801150</t>
  </si>
  <si>
    <t xml:space="preserve">   OTHER ALLOWANCE</t>
  </si>
  <si>
    <t>801160</t>
  </si>
  <si>
    <t xml:space="preserve">   JAMSOSTEK</t>
  </si>
  <si>
    <t xml:space="preserve">   POST - EMPLOYMENT BENEFITS</t>
  </si>
  <si>
    <t>801100</t>
  </si>
  <si>
    <t xml:space="preserve">  POSTAGE, TELEPHONE &amp; TELEX</t>
  </si>
  <si>
    <t>802110</t>
  </si>
  <si>
    <t xml:space="preserve">   POSTAGE EXPENSES</t>
  </si>
  <si>
    <t>802120</t>
  </si>
  <si>
    <t xml:space="preserve">   TELEPHONE EXPENSES</t>
  </si>
  <si>
    <t>802130</t>
  </si>
  <si>
    <t xml:space="preserve">   TELEX EXPENSES</t>
  </si>
  <si>
    <t>802140</t>
  </si>
  <si>
    <t xml:space="preserve">   INTERNET EXPENSES</t>
  </si>
  <si>
    <t>802100</t>
  </si>
  <si>
    <t xml:space="preserve">  LIGHT &amp; WATER</t>
  </si>
  <si>
    <t>803110</t>
  </si>
  <si>
    <t xml:space="preserve">   LIGHT</t>
  </si>
  <si>
    <t>803120</t>
  </si>
  <si>
    <t>803100</t>
  </si>
  <si>
    <t>804100</t>
  </si>
  <si>
    <t xml:space="preserve">  OFFICER'S TRANSPORTATION</t>
  </si>
  <si>
    <t>805100</t>
  </si>
  <si>
    <t xml:space="preserve">  NEWSPAPER, MAGAZINE</t>
  </si>
  <si>
    <t xml:space="preserve">  PREMIUM COST</t>
  </si>
  <si>
    <t>806100</t>
  </si>
  <si>
    <t xml:space="preserve">  REPRESENTATIVE COST</t>
  </si>
  <si>
    <t>807100</t>
  </si>
  <si>
    <t xml:space="preserve">  CONTRIBUTION COST</t>
  </si>
  <si>
    <t>808100</t>
  </si>
  <si>
    <t xml:space="preserve">  FUEL FOR MOTOR VEHICLE</t>
  </si>
  <si>
    <t>809100</t>
  </si>
  <si>
    <t xml:space="preserve">  LEGAL EXPENSES</t>
  </si>
  <si>
    <t xml:space="preserve">  MAINTENANCE EXPENSES</t>
  </si>
  <si>
    <t>810110</t>
  </si>
  <si>
    <t xml:space="preserve">   MAINT. OFFICE EQUIP.</t>
  </si>
  <si>
    <t>810120</t>
  </si>
  <si>
    <t xml:space="preserve">   MAINT. MOTOR VEHICLE</t>
  </si>
  <si>
    <t>810130</t>
  </si>
  <si>
    <t xml:space="preserve">   MAINTENANCE HOUSE</t>
  </si>
  <si>
    <t>810100</t>
  </si>
  <si>
    <t xml:space="preserve">  DEPRECIATION EXPENSES</t>
  </si>
  <si>
    <t>811110</t>
  </si>
  <si>
    <t xml:space="preserve">   DEPR. EXP. OFFICE EQUIPMENT</t>
  </si>
  <si>
    <t>811120</t>
  </si>
  <si>
    <t xml:space="preserve">   DEPR. EXP. MOTOR VEHICLE</t>
  </si>
  <si>
    <t>811130</t>
  </si>
  <si>
    <t xml:space="preserve">   DIF. DEPR.EXP. MGM - FISCAL</t>
  </si>
  <si>
    <t>811100</t>
  </si>
  <si>
    <t>812100</t>
  </si>
  <si>
    <t xml:space="preserve">  BUSINESS TRIP EXPENSES</t>
  </si>
  <si>
    <t>813100</t>
  </si>
  <si>
    <t xml:space="preserve">  ENTERTAINMENT</t>
  </si>
  <si>
    <t xml:space="preserve">  TRAINING EXPENSES</t>
  </si>
  <si>
    <t>814110</t>
  </si>
  <si>
    <t xml:space="preserve">   TRAINING BY EMPLOYEE</t>
  </si>
  <si>
    <t>814120 / 30</t>
  </si>
  <si>
    <t xml:space="preserve">   TRAINING BY DEPT. </t>
  </si>
  <si>
    <t xml:space="preserve">   SCHOLARSHIP</t>
  </si>
  <si>
    <t>814100</t>
  </si>
  <si>
    <t xml:space="preserve">  RENT EXPENSES</t>
  </si>
  <si>
    <t>815110</t>
  </si>
  <si>
    <t xml:space="preserve">   RENT EXPENSES LAND</t>
  </si>
  <si>
    <t>815120</t>
  </si>
  <si>
    <t xml:space="preserve">   HOUSE RENT EXPENSES</t>
  </si>
  <si>
    <t>815100</t>
  </si>
  <si>
    <t>816100</t>
  </si>
  <si>
    <t xml:space="preserve">  OFFICE EXPENSES</t>
  </si>
  <si>
    <t>816110</t>
  </si>
  <si>
    <t xml:space="preserve">   INSURANCE EXPENSES</t>
  </si>
  <si>
    <t>816120</t>
  </si>
  <si>
    <t xml:space="preserve">   ACCOUNTING ADVISORY EXP.</t>
  </si>
  <si>
    <t xml:space="preserve">   OFFICE SUPPLIES</t>
  </si>
  <si>
    <t>816140</t>
  </si>
  <si>
    <t xml:space="preserve">   UNIFORM ALLOWANCES</t>
  </si>
  <si>
    <t>816150</t>
  </si>
  <si>
    <t xml:space="preserve">   SECURITY EXPENSE</t>
  </si>
  <si>
    <t xml:space="preserve">   IT ADVISORY EXPENSE</t>
  </si>
  <si>
    <t xml:space="preserve">   MANAGEMENT FEE</t>
  </si>
  <si>
    <t>800000</t>
  </si>
  <si>
    <t xml:space="preserve"> OTHER INCOME/EXSPENSES</t>
  </si>
  <si>
    <t xml:space="preserve">  OTHER REVENUE</t>
  </si>
  <si>
    <t>910100</t>
  </si>
  <si>
    <t xml:space="preserve">   INTEREST INCOME</t>
  </si>
  <si>
    <t>910200</t>
  </si>
  <si>
    <t xml:space="preserve">   RENT INCOME</t>
  </si>
  <si>
    <t xml:space="preserve">   GAIN/LOSS ON SELLING ASSET</t>
  </si>
  <si>
    <t>910310</t>
  </si>
  <si>
    <t xml:space="preserve">    GAIN/LOSS ON SELLING ASSET</t>
  </si>
  <si>
    <t>910320</t>
  </si>
  <si>
    <t xml:space="preserve">    CASH PROCEED CLEARING ASSET</t>
  </si>
  <si>
    <t>910300</t>
  </si>
  <si>
    <t>910400</t>
  </si>
  <si>
    <t xml:space="preserve">   REVENUE FROM WASTE/SCRAP</t>
  </si>
  <si>
    <t>910500</t>
  </si>
  <si>
    <t xml:space="preserve">   GOODS WORKED BY VENDOR</t>
  </si>
  <si>
    <t>910600</t>
  </si>
  <si>
    <t xml:space="preserve">   PURCHASE DISCOUNT</t>
  </si>
  <si>
    <t xml:space="preserve">   CLAIM</t>
  </si>
  <si>
    <t>910800</t>
  </si>
  <si>
    <t xml:space="preserve">   PRICE INCREASING</t>
  </si>
  <si>
    <t xml:space="preserve">   AMENDS/CLAIMS REVENUE</t>
  </si>
  <si>
    <t>919000</t>
  </si>
  <si>
    <t xml:space="preserve">   OTHERS</t>
  </si>
  <si>
    <t>910000</t>
  </si>
  <si>
    <t xml:space="preserve">  OTHER EXPENSES</t>
  </si>
  <si>
    <t xml:space="preserve">   INTEREST EXPENSE</t>
  </si>
  <si>
    <t>920110</t>
  </si>
  <si>
    <t xml:space="preserve">    INTEREST EXP. OF FOREIGN</t>
  </si>
  <si>
    <t>920120</t>
  </si>
  <si>
    <t xml:space="preserve">    INTEREST EXP. OF DOMESTI</t>
  </si>
  <si>
    <t>920100</t>
  </si>
  <si>
    <t xml:space="preserve">   REALIZED GAIN/LOSS</t>
  </si>
  <si>
    <t>920210</t>
  </si>
  <si>
    <t xml:space="preserve">    REALIZED GAIN/LOSS AR</t>
  </si>
  <si>
    <t>920220</t>
  </si>
  <si>
    <t xml:space="preserve">    REALIZED GAIN/LOSS AP</t>
  </si>
  <si>
    <t>920200</t>
  </si>
  <si>
    <t>920300</t>
  </si>
  <si>
    <t xml:space="preserve">   UNREALIZED GAIN/LOSS</t>
  </si>
  <si>
    <t xml:space="preserve">   BANK EXPENSES</t>
  </si>
  <si>
    <t>920410</t>
  </si>
  <si>
    <t xml:space="preserve">    BANK CHARGES</t>
  </si>
  <si>
    <t>920420</t>
  </si>
  <si>
    <t xml:space="preserve">    ADM. BANK CHARGES</t>
  </si>
  <si>
    <t xml:space="preserve">    CONTRA ACCOUNT PETTY CASH/</t>
  </si>
  <si>
    <t>920400</t>
  </si>
  <si>
    <t xml:space="preserve">   DIFFER BAL. ALOC.</t>
  </si>
  <si>
    <t>920510</t>
  </si>
  <si>
    <t xml:space="preserve">    DIFFER BAL. ALOC. LABOR</t>
  </si>
  <si>
    <t>920520</t>
  </si>
  <si>
    <t xml:space="preserve">    DIFFER BAL. ALOC. O/H MF</t>
  </si>
  <si>
    <t>920500</t>
  </si>
  <si>
    <t>920600</t>
  </si>
  <si>
    <t xml:space="preserve">   WASTE &amp; SCRAP COST</t>
  </si>
  <si>
    <t>920700</t>
  </si>
  <si>
    <t xml:space="preserve">   TAXES</t>
  </si>
  <si>
    <t>920800</t>
  </si>
  <si>
    <t xml:space="preserve">   DOUBTFUL ACT. EXP. RECEI</t>
  </si>
  <si>
    <t>920900</t>
  </si>
  <si>
    <t xml:space="preserve">   DOUBTFUL ACT. INVENTORY</t>
  </si>
  <si>
    <t>921000</t>
  </si>
  <si>
    <t xml:space="preserve">   REFAKSI STOCK OPNAME</t>
  </si>
  <si>
    <t xml:space="preserve">   COMPLETION OF V.A.T</t>
  </si>
  <si>
    <t>923000</t>
  </si>
  <si>
    <t xml:space="preserve">   PRICE CORRECTION</t>
  </si>
  <si>
    <t>929000</t>
  </si>
  <si>
    <t>920000</t>
  </si>
  <si>
    <t>951000</t>
  </si>
  <si>
    <t xml:space="preserve">  CLEARING SET UP ACCOUNT</t>
  </si>
  <si>
    <t>952000</t>
  </si>
  <si>
    <t xml:space="preserve">  CLEARING ACCOUNT CASH/BAN</t>
  </si>
  <si>
    <t>953000</t>
  </si>
  <si>
    <t xml:space="preserve">  CLEARING ACCOUNT OTHERS</t>
  </si>
  <si>
    <t>954000</t>
  </si>
  <si>
    <t xml:space="preserve">  SUSPENSE ACCOUNT DEDUCTION</t>
  </si>
  <si>
    <t>900000</t>
  </si>
  <si>
    <t>990000</t>
  </si>
  <si>
    <t xml:space="preserve"> TAX</t>
  </si>
  <si>
    <t>991000</t>
  </si>
  <si>
    <t xml:space="preserve">  INCOME TAX</t>
  </si>
  <si>
    <t xml:space="preserve">  INCOME SUMMARY</t>
  </si>
  <si>
    <t>NET INCOME (LOS) AFTER (=)</t>
  </si>
  <si>
    <t>PT GISTEX GARMENT INDONESIA ( MAJALENGKA )</t>
  </si>
  <si>
    <t>PT GISTEX GARMENT INDONESIA</t>
  </si>
  <si>
    <t>PERIODE : JANUARY  2023 ( IN USD )</t>
  </si>
  <si>
    <t>GISTEX GARMENT INDONESIA</t>
  </si>
  <si>
    <t>CILEUNYI</t>
  </si>
  <si>
    <t>MAJALENGKA 2</t>
  </si>
  <si>
    <t>MAJALENGKA 1</t>
  </si>
  <si>
    <t>BANJARNEGARA</t>
  </si>
  <si>
    <t>PERIODE : JANUARY - DECEMBER 2023 ( IN USD )</t>
  </si>
  <si>
    <t>BANDUNG,   DESEMBER 2023</t>
  </si>
  <si>
    <t>PT. GISTEX GARMEN INDONESIA</t>
  </si>
  <si>
    <t>( JOHNNY SCHEPPER )</t>
  </si>
  <si>
    <t>March</t>
  </si>
  <si>
    <t>COST Category (Macro)</t>
  </si>
  <si>
    <t>COST Category (CSV)</t>
  </si>
  <si>
    <t>repairing / used</t>
  </si>
  <si>
    <t xml:space="preserve">    C.O.G.S. EXPORT - MATER</t>
  </si>
  <si>
    <t>fm_Pilih_Branch</t>
  </si>
  <si>
    <t>CLN</t>
  </si>
  <si>
    <t>MJK2</t>
  </si>
  <si>
    <t>MJK1</t>
  </si>
  <si>
    <t>BJR</t>
  </si>
  <si>
    <t>Option</t>
  </si>
  <si>
    <t>NOT FOUND</t>
  </si>
  <si>
    <t>C</t>
  </si>
  <si>
    <t xml:space="preserve">    C.O.G.S. LOCAL - MATERI</t>
  </si>
  <si>
    <t>Value/NamaSheet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</si>
</sst>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_);_(* \(#,##0.00\);_(* \-??_);_(@_)"/>
  </numFmts>
  <fonts count="4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0"/>
      <name val="Arial"/>
      <family val="2"/>
      <charset val="1"/>
    </font>
    <font>
      <sz val="12"/>
      <name val="Abadi MT Condensed Light"/>
    </font>
    <font>
      <b/>
      <sz val="20"/>
      <name val="Lucida Sans Unicode"/>
      <family val="2"/>
    </font>
    <font>
      <sz val="12"/>
      <name val="Lucida Sans Unicode"/>
      <family val="2"/>
    </font>
    <font>
      <b/>
      <sz val="14"/>
      <name val="Lucida Sans Unicode"/>
      <family val="2"/>
    </font>
    <font>
      <b/>
      <sz val="12"/>
      <name val="Lucida Sans Unicode"/>
      <family val="2"/>
    </font>
    <font>
      <b/>
      <u/>
      <sz val="12"/>
      <name val="Lucida Sans Unicode"/>
      <family val="2"/>
    </font>
    <font>
      <b/>
      <i/>
      <u/>
      <sz val="12"/>
      <name val="Lucida Sans Unicode"/>
      <family val="2"/>
    </font>
    <font>
      <b/>
      <i/>
      <sz val="12"/>
      <name val="Lucida Sans Unicode"/>
      <family val="2"/>
    </font>
    <font>
      <sz val="10"/>
      <name val="Arial"/>
    </font>
    <font>
      <sz val="12"/>
      <color indexed="18"/>
      <name val="Lucida Sans Unicode"/>
      <family val="2"/>
    </font>
    <font>
      <b/>
      <u/>
      <sz val="16"/>
      <name val="Lucida Sans Unicode"/>
      <family val="2"/>
    </font>
    <font>
      <b/>
      <sz val="12"/>
      <color indexed="18"/>
      <name val="Lucida Sans Unicode"/>
      <family val="2"/>
    </font>
    <font>
      <sz val="12"/>
      <color indexed="12"/>
      <name val="Lucida Sans Unicode"/>
      <family val="2"/>
    </font>
    <font>
      <b/>
      <u/>
      <sz val="12"/>
      <color indexed="12"/>
      <name val="Lucida Sans Unicode"/>
      <family val="2"/>
    </font>
    <font>
      <b/>
      <i/>
      <u/>
      <sz val="12"/>
      <color indexed="12"/>
      <name val="Lucida Sans Unicode"/>
      <family val="2"/>
    </font>
    <font>
      <b/>
      <i/>
      <sz val="12"/>
      <color indexed="12"/>
      <name val="Lucida Sans Unicode"/>
      <family val="2"/>
    </font>
    <font>
      <sz val="12"/>
      <color indexed="10"/>
      <name val="Lucida Sans Unicode"/>
      <family val="2"/>
    </font>
    <font>
      <sz val="8"/>
      <name val="Verdana"/>
      <family val="2"/>
      <charset val="1"/>
    </font>
    <font>
      <b/>
      <sz val="12"/>
      <name val="Tahoma"/>
      <family val="2"/>
      <charset val="1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4"/>
      <color theme="0"/>
      <name val="Arial"/>
      <family val="2"/>
    </font>
    <font>
      <b/>
      <sz val="12"/>
      <name val="Arial"/>
      <family val="2"/>
    </font>
    <font>
      <sz val="10"/>
      <color theme="0" tint="-0.249977111117893"/>
      <name val="Arial"/>
      <family val="2"/>
      <charset val="1"/>
    </font>
    <font>
      <sz val="12"/>
      <color theme="0" tint="-0.249977111117893"/>
      <name val="Lucida Sans Unicode"/>
      <family val="2"/>
    </font>
    <font>
      <b/>
      <sz val="12"/>
      <color theme="0" tint="-0.249977111117893"/>
      <name val="Lucida Sans Unicode"/>
      <family val="2"/>
    </font>
    <font>
      <sz val="10"/>
      <color rgb="FFFF0000"/>
      <name val="Arial"/>
      <family val="2"/>
      <charset val="1"/>
    </font>
    <font>
      <sz val="12"/>
      <color rgb="FFFF0000"/>
      <name val="Lucida Sans Unicode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  <bgColor indexed="22"/>
      </patternFill>
    </fill>
    <fill>
      <patternFill patternType="solid">
        <fgColor indexed="15"/>
        <bgColor indexed="3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5F0"/>
        <bgColor indexed="26"/>
      </patternFill>
    </fill>
    <fill>
      <patternFill patternType="solid">
        <fgColor rgb="FFA9D5F0"/>
        <bgColor indexed="22"/>
      </patternFill>
    </fill>
    <fill>
      <patternFill patternType="solid">
        <fgColor rgb="FFA3E7FF"/>
        <bgColor indexed="26"/>
      </patternFill>
    </fill>
    <fill>
      <patternFill patternType="solid">
        <fgColor rgb="FFA3E7FF"/>
        <bgColor indexed="22"/>
      </patternFill>
    </fill>
    <fill>
      <patternFill patternType="solid">
        <fgColor rgb="FF81DEFF"/>
        <bgColor indexed="26"/>
      </patternFill>
    </fill>
    <fill>
      <patternFill patternType="solid">
        <fgColor rgb="FFA3E7FF"/>
        <bgColor indexed="35"/>
      </patternFill>
    </fill>
    <fill>
      <patternFill patternType="solid">
        <fgColor rgb="FF009AD0"/>
        <bgColor indexed="64"/>
      </patternFill>
    </fill>
    <fill>
      <patternFill patternType="solid">
        <fgColor rgb="FFA3E7FF"/>
        <bgColor indexed="64"/>
      </patternFill>
    </fill>
    <fill>
      <patternFill patternType="solid">
        <fgColor rgb="FFDDF6FF"/>
        <bgColor indexed="26"/>
      </patternFill>
    </fill>
    <fill>
      <patternFill patternType="solid">
        <fgColor rgb="FFFFFFCD"/>
        <bgColor indexed="26"/>
      </patternFill>
    </fill>
    <fill>
      <patternFill patternType="solid">
        <fgColor rgb="FF00608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0" fontId="14" fillId="0" borderId="0"/>
    <xf numFmtId="0" fontId="14" fillId="0" borderId="0"/>
    <xf numFmtId="43" fontId="22" fillId="0" borderId="0" applyFill="0" applyBorder="0" applyAlignment="0" applyProtection="0"/>
    <xf numFmtId="164" fontId="31" fillId="0" borderId="0" applyFill="0" applyBorder="0" applyAlignment="0" applyProtection="0"/>
    <xf numFmtId="43" fontId="33" fillId="0" borderId="0" applyFont="0" applyFill="0" applyBorder="0" applyAlignment="0" applyProtection="0"/>
  </cellStyleXfs>
  <cellXfs count="135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7" xfId="0" applyFont="1" applyFill="1" applyBorder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49" fontId="0" fillId="0" borderId="0" xfId="0" applyNumberFormat="1" applyAlignment="1">
      <alignment horizontal="left" vertical="center"/>
    </xf>
    <xf numFmtId="0" fontId="13" fillId="0" borderId="0" xfId="2"/>
    <xf numFmtId="0" fontId="15" fillId="0" borderId="0" xfId="3" applyFont="1" applyAlignment="1">
      <alignment horizontal="left"/>
    </xf>
    <xf numFmtId="0" fontId="16" fillId="0" borderId="0" xfId="4" applyFont="1"/>
    <xf numFmtId="0" fontId="17" fillId="0" borderId="0" xfId="3" applyFont="1" applyAlignment="1">
      <alignment horizontal="left"/>
    </xf>
    <xf numFmtId="39" fontId="16" fillId="0" borderId="0" xfId="4" applyNumberFormat="1" applyFont="1"/>
    <xf numFmtId="0" fontId="16" fillId="0" borderId="0" xfId="3" applyFont="1" applyAlignment="1">
      <alignment horizontal="left"/>
    </xf>
    <xf numFmtId="0" fontId="18" fillId="0" borderId="9" xfId="4" applyFont="1" applyBorder="1" applyAlignment="1">
      <alignment horizontal="center" vertical="center"/>
    </xf>
    <xf numFmtId="39" fontId="16" fillId="0" borderId="10" xfId="4" applyNumberFormat="1" applyFont="1" applyBorder="1" applyAlignment="1">
      <alignment horizontal="center"/>
    </xf>
    <xf numFmtId="0" fontId="16" fillId="0" borderId="10" xfId="4" applyFont="1" applyBorder="1" applyAlignment="1">
      <alignment horizontal="left"/>
    </xf>
    <xf numFmtId="39" fontId="16" fillId="0" borderId="10" xfId="4" applyNumberFormat="1" applyFont="1" applyBorder="1"/>
    <xf numFmtId="0" fontId="19" fillId="0" borderId="10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0" fontId="16" fillId="0" borderId="0" xfId="4" applyFont="1" applyAlignment="1">
      <alignment horizontal="center" vertical="center"/>
    </xf>
    <xf numFmtId="39" fontId="16" fillId="0" borderId="10" xfId="4" applyNumberFormat="1" applyFont="1" applyBorder="1" applyAlignment="1">
      <alignment horizontal="center" vertical="center"/>
    </xf>
    <xf numFmtId="39" fontId="13" fillId="0" borderId="0" xfId="2" applyNumberFormat="1"/>
    <xf numFmtId="39" fontId="16" fillId="5" borderId="10" xfId="4" applyNumberFormat="1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left"/>
    </xf>
    <xf numFmtId="0" fontId="18" fillId="0" borderId="10" xfId="4" applyFont="1" applyBorder="1" applyAlignment="1">
      <alignment horizontal="left"/>
    </xf>
    <xf numFmtId="0" fontId="16" fillId="0" borderId="10" xfId="4" applyFont="1" applyBorder="1" applyAlignment="1">
      <alignment horizontal="center" vertical="center"/>
    </xf>
    <xf numFmtId="0" fontId="21" fillId="0" borderId="10" xfId="4" applyFont="1" applyBorder="1" applyAlignment="1">
      <alignment horizontal="left"/>
    </xf>
    <xf numFmtId="39" fontId="16" fillId="6" borderId="10" xfId="4" applyNumberFormat="1" applyFont="1" applyFill="1" applyBorder="1" applyAlignment="1">
      <alignment horizontal="center" vertical="center"/>
    </xf>
    <xf numFmtId="0" fontId="21" fillId="6" borderId="10" xfId="4" applyFont="1" applyFill="1" applyBorder="1" applyAlignment="1">
      <alignment horizontal="left"/>
    </xf>
    <xf numFmtId="0" fontId="16" fillId="7" borderId="10" xfId="4" applyFont="1" applyFill="1" applyBorder="1" applyAlignment="1">
      <alignment horizontal="left"/>
    </xf>
    <xf numFmtId="0" fontId="16" fillId="0" borderId="0" xfId="4" applyFont="1" applyAlignment="1">
      <alignment horizontal="center"/>
    </xf>
    <xf numFmtId="43" fontId="22" fillId="0" borderId="0" xfId="5"/>
    <xf numFmtId="0" fontId="23" fillId="0" borderId="0" xfId="4" applyFont="1"/>
    <xf numFmtId="39" fontId="16" fillId="0" borderId="14" xfId="4" applyNumberFormat="1" applyFont="1" applyBorder="1" applyAlignment="1">
      <alignment horizontal="center"/>
    </xf>
    <xf numFmtId="0" fontId="24" fillId="0" borderId="14" xfId="4" applyFont="1" applyBorder="1" applyAlignment="1">
      <alignment horizontal="center"/>
    </xf>
    <xf numFmtId="0" fontId="25" fillId="0" borderId="9" xfId="4" applyFont="1" applyBorder="1" applyAlignment="1">
      <alignment horizontal="center" vertical="center"/>
    </xf>
    <xf numFmtId="39" fontId="26" fillId="0" borderId="10" xfId="4" applyNumberFormat="1" applyFont="1" applyBorder="1"/>
    <xf numFmtId="39" fontId="16" fillId="8" borderId="10" xfId="4" applyNumberFormat="1" applyFont="1" applyFill="1" applyBorder="1" applyAlignment="1">
      <alignment horizontal="center"/>
    </xf>
    <xf numFmtId="0" fontId="21" fillId="8" borderId="10" xfId="4" applyFont="1" applyFill="1" applyBorder="1" applyAlignment="1">
      <alignment horizontal="left"/>
    </xf>
    <xf numFmtId="39" fontId="16" fillId="8" borderId="10" xfId="4" applyNumberFormat="1" applyFont="1" applyFill="1" applyBorder="1"/>
    <xf numFmtId="43" fontId="22" fillId="0" borderId="0" xfId="5" applyFill="1"/>
    <xf numFmtId="0" fontId="27" fillId="0" borderId="10" xfId="4" applyFont="1" applyBorder="1" applyAlignment="1">
      <alignment horizontal="left"/>
    </xf>
    <xf numFmtId="0" fontId="28" fillId="0" borderId="10" xfId="4" applyFont="1" applyBorder="1" applyAlignment="1">
      <alignment horizontal="left"/>
    </xf>
    <xf numFmtId="0" fontId="26" fillId="0" borderId="10" xfId="4" applyFont="1" applyBorder="1" applyAlignment="1">
      <alignment horizontal="left"/>
    </xf>
    <xf numFmtId="0" fontId="29" fillId="0" borderId="10" xfId="4" applyFont="1" applyBorder="1" applyAlignment="1">
      <alignment horizontal="left"/>
    </xf>
    <xf numFmtId="0" fontId="30" fillId="0" borderId="10" xfId="4" applyFont="1" applyBorder="1" applyAlignment="1">
      <alignment horizontal="left"/>
    </xf>
    <xf numFmtId="164" fontId="32" fillId="0" borderId="0" xfId="6" applyFont="1" applyFill="1" applyBorder="1" applyAlignment="1" applyProtection="1">
      <alignment horizontal="center"/>
    </xf>
    <xf numFmtId="39" fontId="23" fillId="0" borderId="0" xfId="4" applyNumberFormat="1" applyFont="1"/>
    <xf numFmtId="0" fontId="13" fillId="0" borderId="0" xfId="2" applyAlignment="1">
      <alignment horizontal="center"/>
    </xf>
    <xf numFmtId="39" fontId="16" fillId="0" borderId="16" xfId="4" applyNumberFormat="1" applyFont="1" applyBorder="1" applyAlignment="1">
      <alignment horizontal="center"/>
    </xf>
    <xf numFmtId="0" fontId="16" fillId="0" borderId="16" xfId="4" applyFont="1" applyBorder="1" applyAlignment="1">
      <alignment horizontal="left"/>
    </xf>
    <xf numFmtId="0" fontId="34" fillId="3" borderId="15" xfId="0" applyFont="1" applyFill="1" applyBorder="1" applyAlignment="1">
      <alignment horizontal="center" vertical="center"/>
    </xf>
    <xf numFmtId="39" fontId="16" fillId="9" borderId="10" xfId="4" applyNumberFormat="1" applyFont="1" applyFill="1" applyBorder="1" applyAlignment="1">
      <alignment horizontal="center" vertical="center"/>
    </xf>
    <xf numFmtId="0" fontId="21" fillId="9" borderId="10" xfId="4" applyFont="1" applyFill="1" applyBorder="1" applyAlignment="1">
      <alignment horizontal="left"/>
    </xf>
    <xf numFmtId="39" fontId="16" fillId="10" borderId="10" xfId="4" applyNumberFormat="1" applyFont="1" applyFill="1" applyBorder="1" applyAlignment="1">
      <alignment horizontal="center" vertical="center"/>
    </xf>
    <xf numFmtId="0" fontId="21" fillId="10" borderId="10" xfId="4" applyFont="1" applyFill="1" applyBorder="1" applyAlignment="1">
      <alignment horizontal="left"/>
    </xf>
    <xf numFmtId="0" fontId="21" fillId="11" borderId="10" xfId="4" applyFont="1" applyFill="1" applyBorder="1" applyAlignment="1">
      <alignment horizontal="left"/>
    </xf>
    <xf numFmtId="39" fontId="16" fillId="11" borderId="10" xfId="4" applyNumberFormat="1" applyFont="1" applyFill="1" applyBorder="1" applyAlignment="1">
      <alignment horizontal="center" vertical="center"/>
    </xf>
    <xf numFmtId="39" fontId="16" fillId="12" borderId="10" xfId="4" applyNumberFormat="1" applyFont="1" applyFill="1" applyBorder="1" applyAlignment="1">
      <alignment horizontal="center" vertical="center"/>
    </xf>
    <xf numFmtId="0" fontId="21" fillId="12" borderId="10" xfId="4" applyFont="1" applyFill="1" applyBorder="1" applyAlignment="1">
      <alignment horizontal="left"/>
    </xf>
    <xf numFmtId="39" fontId="16" fillId="13" borderId="10" xfId="4" applyNumberFormat="1" applyFont="1" applyFill="1" applyBorder="1" applyAlignment="1">
      <alignment horizontal="center" vertical="center"/>
    </xf>
    <xf numFmtId="0" fontId="21" fillId="13" borderId="10" xfId="4" applyFont="1" applyFill="1" applyBorder="1" applyAlignment="1">
      <alignment horizontal="left"/>
    </xf>
    <xf numFmtId="0" fontId="16" fillId="11" borderId="10" xfId="4" applyFont="1" applyFill="1" applyBorder="1" applyAlignment="1">
      <alignment horizontal="left"/>
    </xf>
    <xf numFmtId="39" fontId="16" fillId="14" borderId="10" xfId="4" applyNumberFormat="1" applyFont="1" applyFill="1" applyBorder="1" applyAlignment="1">
      <alignment horizontal="center" vertical="center"/>
    </xf>
    <xf numFmtId="0" fontId="21" fillId="14" borderId="10" xfId="4" applyFont="1" applyFill="1" applyBorder="1" applyAlignment="1">
      <alignment horizontal="left"/>
    </xf>
    <xf numFmtId="0" fontId="18" fillId="0" borderId="0" xfId="4" applyFont="1" applyAlignment="1">
      <alignment horizontal="center" vertical="center" wrapText="1"/>
    </xf>
    <xf numFmtId="0" fontId="0" fillId="16" borderId="15" xfId="0" applyFill="1" applyBorder="1"/>
    <xf numFmtId="0" fontId="35" fillId="16" borderId="15" xfId="0" applyFont="1" applyFill="1" applyBorder="1"/>
    <xf numFmtId="43" fontId="37" fillId="15" borderId="15" xfId="7" applyFont="1" applyFill="1" applyBorder="1" applyAlignment="1">
      <alignment horizontal="center" vertical="center"/>
    </xf>
    <xf numFmtId="43" fontId="36" fillId="0" borderId="16" xfId="7" applyFont="1" applyBorder="1"/>
    <xf numFmtId="43" fontId="36" fillId="0" borderId="10" xfId="7" applyFont="1" applyBorder="1"/>
    <xf numFmtId="43" fontId="36" fillId="0" borderId="0" xfId="7" applyFont="1"/>
    <xf numFmtId="43" fontId="36" fillId="11" borderId="10" xfId="7" applyFont="1" applyFill="1" applyBorder="1"/>
    <xf numFmtId="43" fontId="36" fillId="12" borderId="10" xfId="7" applyFont="1" applyFill="1" applyBorder="1"/>
    <xf numFmtId="43" fontId="36" fillId="13" borderId="10" xfId="7" applyFont="1" applyFill="1" applyBorder="1"/>
    <xf numFmtId="43" fontId="36" fillId="5" borderId="10" xfId="7" applyFont="1" applyFill="1" applyBorder="1"/>
    <xf numFmtId="43" fontId="36" fillId="6" borderId="10" xfId="7" applyFont="1" applyFill="1" applyBorder="1"/>
    <xf numFmtId="43" fontId="38" fillId="11" borderId="10" xfId="7" applyFont="1" applyFill="1" applyBorder="1"/>
    <xf numFmtId="43" fontId="38" fillId="12" borderId="10" xfId="7" applyFont="1" applyFill="1" applyBorder="1"/>
    <xf numFmtId="0" fontId="19" fillId="0" borderId="22" xfId="4" applyFont="1" applyBorder="1" applyAlignment="1">
      <alignment horizontal="left"/>
    </xf>
    <xf numFmtId="0" fontId="20" fillId="0" borderId="22" xfId="4" applyFont="1" applyBorder="1" applyAlignment="1">
      <alignment horizontal="left"/>
    </xf>
    <xf numFmtId="0" fontId="16" fillId="0" borderId="22" xfId="4" applyFont="1" applyBorder="1" applyAlignment="1">
      <alignment horizontal="left"/>
    </xf>
    <xf numFmtId="0" fontId="21" fillId="12" borderId="22" xfId="4" applyFont="1" applyFill="1" applyBorder="1" applyAlignment="1">
      <alignment horizontal="left"/>
    </xf>
    <xf numFmtId="39" fontId="16" fillId="17" borderId="10" xfId="4" applyNumberFormat="1" applyFont="1" applyFill="1" applyBorder="1" applyAlignment="1">
      <alignment horizontal="center" vertical="center"/>
    </xf>
    <xf numFmtId="0" fontId="21" fillId="17" borderId="10" xfId="4" applyFont="1" applyFill="1" applyBorder="1" applyAlignment="1">
      <alignment horizontal="left"/>
    </xf>
    <xf numFmtId="43" fontId="36" fillId="17" borderId="10" xfId="7" applyFont="1" applyFill="1" applyBorder="1"/>
    <xf numFmtId="39" fontId="16" fillId="18" borderId="10" xfId="4" applyNumberFormat="1" applyFont="1" applyFill="1" applyBorder="1" applyAlignment="1">
      <alignment horizontal="center" vertical="center"/>
    </xf>
    <xf numFmtId="0" fontId="21" fillId="18" borderId="10" xfId="4" applyFont="1" applyFill="1" applyBorder="1" applyAlignment="1">
      <alignment horizontal="left"/>
    </xf>
    <xf numFmtId="43" fontId="36" fillId="18" borderId="10" xfId="7" applyFont="1" applyFill="1" applyBorder="1"/>
    <xf numFmtId="0" fontId="39" fillId="0" borderId="0" xfId="2" applyFont="1"/>
    <xf numFmtId="0" fontId="39" fillId="0" borderId="0" xfId="2" applyFont="1" applyAlignment="1">
      <alignment horizontal="center"/>
    </xf>
    <xf numFmtId="0" fontId="40" fillId="0" borderId="0" xfId="4" applyFont="1"/>
    <xf numFmtId="0" fontId="40" fillId="0" borderId="0" xfId="4" applyFont="1" applyAlignment="1">
      <alignment horizontal="center" vertical="center"/>
    </xf>
    <xf numFmtId="43" fontId="34" fillId="19" borderId="19" xfId="7" applyFont="1" applyFill="1" applyBorder="1" applyAlignment="1">
      <alignment vertical="center"/>
    </xf>
    <xf numFmtId="39" fontId="16" fillId="19" borderId="16" xfId="4" applyNumberFormat="1" applyFont="1" applyFill="1" applyBorder="1" applyAlignment="1">
      <alignment horizontal="center"/>
    </xf>
    <xf numFmtId="0" fontId="16" fillId="19" borderId="21" xfId="4" applyFont="1" applyFill="1" applyBorder="1" applyAlignment="1">
      <alignment horizontal="left"/>
    </xf>
    <xf numFmtId="43" fontId="36" fillId="19" borderId="20" xfId="7" applyFont="1" applyFill="1" applyBorder="1"/>
    <xf numFmtId="43" fontId="36" fillId="19" borderId="16" xfId="7" applyFont="1" applyFill="1" applyBorder="1"/>
    <xf numFmtId="39" fontId="16" fillId="19" borderId="10" xfId="4" applyNumberFormat="1" applyFont="1" applyFill="1" applyBorder="1" applyAlignment="1">
      <alignment horizontal="center"/>
    </xf>
    <xf numFmtId="0" fontId="16" fillId="19" borderId="10" xfId="4" applyFont="1" applyFill="1" applyBorder="1" applyAlignment="1">
      <alignment horizontal="left"/>
    </xf>
    <xf numFmtId="39" fontId="36" fillId="19" borderId="10" xfId="4" applyNumberFormat="1" applyFont="1" applyFill="1" applyBorder="1"/>
    <xf numFmtId="39" fontId="16" fillId="19" borderId="10" xfId="4" applyNumberFormat="1" applyFont="1" applyFill="1" applyBorder="1"/>
    <xf numFmtId="0" fontId="41" fillId="0" borderId="0" xfId="4" applyFont="1" applyAlignment="1">
      <alignment horizontal="center" vertical="center"/>
    </xf>
    <xf numFmtId="43" fontId="38" fillId="9" borderId="10" xfId="7" applyFont="1" applyFill="1" applyBorder="1"/>
    <xf numFmtId="0" fontId="21" fillId="9" borderId="22" xfId="4" applyFont="1" applyFill="1" applyBorder="1" applyAlignment="1">
      <alignment horizontal="left"/>
    </xf>
    <xf numFmtId="43" fontId="36" fillId="9" borderId="10" xfId="7" applyFont="1" applyFill="1" applyBorder="1"/>
    <xf numFmtId="43" fontId="38" fillId="10" borderId="10" xfId="7" applyFont="1" applyFill="1" applyBorder="1"/>
    <xf numFmtId="0" fontId="15" fillId="0" borderId="0" xfId="3" applyFont="1"/>
    <xf numFmtId="0" fontId="17" fillId="0" borderId="0" xfId="3" applyFont="1"/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43" fontId="34" fillId="15" borderId="17" xfId="7" applyFont="1" applyFill="1" applyBorder="1" applyAlignment="1">
      <alignment horizontal="center" vertical="center"/>
    </xf>
    <xf numFmtId="43" fontId="34" fillId="15" borderId="18" xfId="7" applyFont="1" applyFill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8" fillId="0" borderId="12" xfId="4" applyFont="1" applyBorder="1" applyAlignment="1">
      <alignment horizontal="center" vertical="center"/>
    </xf>
    <xf numFmtId="0" fontId="18" fillId="0" borderId="13" xfId="4" applyFont="1" applyBorder="1" applyAlignment="1">
      <alignment horizontal="center" vertical="center"/>
    </xf>
    <xf numFmtId="0" fontId="42" fillId="0" borderId="0" xfId="2" applyFont="1"/>
    <xf numFmtId="0" fontId="42" fillId="0" borderId="0" xfId="2" applyFont="1" applyAlignment="1">
      <alignment horizontal="center"/>
    </xf>
    <xf numFmtId="0" fontId="43" fillId="0" borderId="0" xfId="4" applyFont="1"/>
  </cellXfs>
  <cellStyles count="8">
    <cellStyle name="Comma" xfId="7" builtinId="3"/>
    <cellStyle name="Comma 10" xfId="6" xr:uid="{03DAE640-53C4-48AC-B4E7-FEA3EB08E593}"/>
    <cellStyle name="Comma 2" xfId="5" xr:uid="{5C95D91B-545E-42FE-97BE-5F68462738AE}"/>
    <cellStyle name="Hyperlink" xfId="1" builtinId="8"/>
    <cellStyle name="Normal" xfId="0" builtinId="0"/>
    <cellStyle name="Normal 2" xfId="2" xr:uid="{C4961D43-265D-41A3-9509-C3ED693AF80C}"/>
    <cellStyle name="Normal_COSTU-05" xfId="4" xr:uid="{EF3BE21A-0649-4604-B4B6-AF755F53922B}"/>
    <cellStyle name="Normal_COSTU-07" xfId="3" xr:uid="{23AE93A9-E3EA-49BE-ACCA-62B5F292A8A8}"/>
  </cellStyles>
  <dxfs count="172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9D5F0"/>
      <color rgb="FFA3E7FF"/>
      <color rgb="FFFFFFCD"/>
      <color rgb="FF006082"/>
      <color rgb="FFDDF6FF"/>
      <color rgb="FF009AD0"/>
      <color rgb="FF86C4EA"/>
      <color rgb="FF81DEFF"/>
      <color rgb="FF93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2856258</xdr:colOff>
      <xdr:row>1</xdr:row>
      <xdr:rowOff>323850</xdr:rowOff>
    </xdr:from>
    <xdr:to>
      <xdr:col>4</xdr:col>
      <xdr:colOff>2190750</xdr:colOff>
      <xdr:row>7</xdr:row>
      <xdr:rowOff>66675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837458" y="476250"/>
          <a:ext cx="2839692" cy="876300"/>
          <a:chOff x="7223852" y="233396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3852" y="233396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StartWizard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Accounting\FINANCE%20GGI\Income%20Statement\Backup%20Macro\Bahan\Tarikan%20JDE\Januari'24.csv" TargetMode="External"/><Relationship Id="rId1" Type="http://schemas.openxmlformats.org/officeDocument/2006/relationships/externalLinkPath" Target="/Accounting/FINANCE%20GGI/Income%20Statement/Backup%20Macro/Bahan/Tarikan%20JDE/Januari'24.csv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Accounting\FINANCE%20GGI\Income%20Statement\Backup%20Macro\Bahan\PL-GGI-JAN-DES%2024.xls" TargetMode="External"/><Relationship Id="rId1" Type="http://schemas.openxmlformats.org/officeDocument/2006/relationships/externalLinkPath" Target="/Accounting/FINANCE%20GGI/Income%20Statement/Backup%20Macro/Bahan/PL-GGI-JAN-DES%2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nuari'24"/>
    </sheetNames>
    <sheetDataSet>
      <sheetData sheetId="0">
        <row r="11">
          <cell r="B11" t="str">
            <v>SALESEXPORTMARKET</v>
          </cell>
          <cell r="D11">
            <v>826982.18</v>
          </cell>
          <cell r="F11">
            <v>1875436.21</v>
          </cell>
        </row>
        <row r="12">
          <cell r="B12" t="str">
            <v>SALESLOCALMARKET</v>
          </cell>
          <cell r="H12">
            <v>64610.97</v>
          </cell>
        </row>
        <row r="13">
          <cell r="B13" t="str">
            <v>SALESKBNMARKET</v>
          </cell>
        </row>
        <row r="14">
          <cell r="B14" t="str">
            <v>SALESOTHERS</v>
          </cell>
          <cell r="D14">
            <v>14591.23</v>
          </cell>
          <cell r="F14">
            <v>325.07</v>
          </cell>
          <cell r="H14">
            <v>174.73</v>
          </cell>
        </row>
        <row r="15">
          <cell r="B15" t="str">
            <v>SALESRETURN&amp;ALWNC</v>
          </cell>
        </row>
        <row r="16">
          <cell r="B16" t="str">
            <v>SALESDISCOUNT</v>
          </cell>
        </row>
        <row r="17">
          <cell r="B17" t="str">
            <v>SALESLOCALMARKETRJ</v>
          </cell>
        </row>
        <row r="18">
          <cell r="B18" t="str">
            <v>SALES</v>
          </cell>
          <cell r="D18">
            <v>841573.41</v>
          </cell>
          <cell r="F18">
            <v>1875761.28</v>
          </cell>
          <cell r="H18">
            <v>64785.7</v>
          </cell>
        </row>
        <row r="19">
          <cell r="B19" t="str">
            <v>REVENUE</v>
          </cell>
          <cell r="D19">
            <v>841573.41</v>
          </cell>
          <cell r="F19">
            <v>1875761.28</v>
          </cell>
          <cell r="H19">
            <v>64785.7</v>
          </cell>
        </row>
        <row r="20">
          <cell r="B20" t="str">
            <v>COSTOFREVENUE</v>
          </cell>
        </row>
        <row r="21">
          <cell r="B21" t="str">
            <v>COSTOFGOODSSOLD</v>
          </cell>
        </row>
        <row r="22">
          <cell r="B22" t="str">
            <v>COGSEXPORTMARKET</v>
          </cell>
          <cell r="D22">
            <v>2043009.97</v>
          </cell>
          <cell r="F22">
            <v>201740.12</v>
          </cell>
          <cell r="H22">
            <v>133632.25</v>
          </cell>
          <cell r="J22">
            <v>68848.56</v>
          </cell>
        </row>
        <row r="23">
          <cell r="B23" t="str">
            <v>COGSEXPORTMATER</v>
          </cell>
        </row>
        <row r="24">
          <cell r="B24" t="str">
            <v>COGSEXPORTMARKET</v>
          </cell>
        </row>
        <row r="25">
          <cell r="B25" t="str">
            <v>COGSEXPORTLABOR</v>
          </cell>
        </row>
        <row r="26">
          <cell r="B26" t="str">
            <v>COGSEXPORPROD</v>
          </cell>
        </row>
        <row r="27">
          <cell r="B27" t="str">
            <v>COGSEXPORTMARKET</v>
          </cell>
          <cell r="D27">
            <v>2043009.97</v>
          </cell>
          <cell r="F27">
            <v>201740.12</v>
          </cell>
          <cell r="H27">
            <v>133632.25</v>
          </cell>
          <cell r="J27">
            <v>68848.56</v>
          </cell>
        </row>
        <row r="28">
          <cell r="B28" t="str">
            <v>COGSLOCALMARKET</v>
          </cell>
        </row>
        <row r="29">
          <cell r="B29" t="str">
            <v>COGSLOCALMATERI</v>
          </cell>
        </row>
        <row r="30">
          <cell r="B30" t="str">
            <v>COGSLOCALDIRECT</v>
          </cell>
        </row>
        <row r="31">
          <cell r="B31" t="str">
            <v>COGSLOCALPROD</v>
          </cell>
        </row>
        <row r="32">
          <cell r="B32" t="str">
            <v>COGSLOCALMARKET</v>
          </cell>
        </row>
        <row r="33">
          <cell r="B33" t="str">
            <v>COGSKBNMARKET</v>
          </cell>
        </row>
        <row r="34">
          <cell r="B34" t="str">
            <v>COGSKBNMATERIAL</v>
          </cell>
        </row>
        <row r="35">
          <cell r="B35" t="str">
            <v>COGSKBNDIRECTL</v>
          </cell>
        </row>
        <row r="36">
          <cell r="B36" t="str">
            <v>COGSKBNPRODCO</v>
          </cell>
        </row>
        <row r="37">
          <cell r="B37" t="str">
            <v>COGSKBNMARKET</v>
          </cell>
        </row>
        <row r="38">
          <cell r="B38" t="str">
            <v>COGSOTHERS</v>
          </cell>
        </row>
        <row r="39">
          <cell r="B39" t="str">
            <v>COSTOFGOODSSOLD</v>
          </cell>
          <cell r="D39">
            <v>2043009.97</v>
          </cell>
          <cell r="F39">
            <v>201740.12</v>
          </cell>
          <cell r="H39">
            <v>133632.25</v>
          </cell>
          <cell r="J39">
            <v>68848.56</v>
          </cell>
        </row>
        <row r="40">
          <cell r="B40" t="str">
            <v>VARIANCESFROMSTDCOST</v>
          </cell>
        </row>
        <row r="41">
          <cell r="B41" t="str">
            <v>COSTOFREWORK</v>
          </cell>
        </row>
        <row r="42">
          <cell r="B42" t="str">
            <v>VARIANCESMAKLOON</v>
          </cell>
        </row>
        <row r="43">
          <cell r="B43" t="str">
            <v>VARIANCESINHOUSEACTUA</v>
          </cell>
        </row>
        <row r="44">
          <cell r="B44" t="str">
            <v>VARACTUALMATERIAL</v>
          </cell>
        </row>
        <row r="45">
          <cell r="B45" t="str">
            <v>VARACTUALLABOR</v>
          </cell>
        </row>
        <row r="46">
          <cell r="B46" t="str">
            <v>VARACTUALSETUPLABOR</v>
          </cell>
        </row>
        <row r="47">
          <cell r="B47" t="str">
            <v>VARACTUALDIRECTCOST</v>
          </cell>
        </row>
        <row r="48">
          <cell r="B48" t="str">
            <v>VARACTMACHINEVARIABLE</v>
          </cell>
        </row>
        <row r="49">
          <cell r="B49" t="str">
            <v>VARACTMACHINEFIXEDOH</v>
          </cell>
        </row>
        <row r="50">
          <cell r="B50" t="str">
            <v>VARIANCESINHOUSEACTUA</v>
          </cell>
        </row>
        <row r="51">
          <cell r="B51" t="str">
            <v>VARIANCEMKTPORTION</v>
          </cell>
        </row>
        <row r="52">
          <cell r="B52" t="str">
            <v>VARMKTPORTIONMATE</v>
          </cell>
        </row>
        <row r="53">
          <cell r="B53" t="str">
            <v>VARMKTPORTIONLABO</v>
          </cell>
        </row>
        <row r="54">
          <cell r="B54" t="str">
            <v>VARMKTPORTIONO/H</v>
          </cell>
        </row>
        <row r="55">
          <cell r="B55" t="str">
            <v>VARIANCEMKTPORTION</v>
          </cell>
        </row>
        <row r="56">
          <cell r="B56" t="str">
            <v>VARIANCESFROMSTDCOST</v>
          </cell>
        </row>
        <row r="57">
          <cell r="B57" t="str">
            <v>DIRECTMANUFACTURINGCOST</v>
          </cell>
        </row>
        <row r="58">
          <cell r="B58" t="str">
            <v>COSTOFLABOR</v>
          </cell>
        </row>
        <row r="59">
          <cell r="B59" t="str">
            <v>LABORCOST</v>
          </cell>
          <cell r="D59">
            <v>35993.43</v>
          </cell>
          <cell r="F59">
            <v>95685.68</v>
          </cell>
          <cell r="H59">
            <v>75992.78</v>
          </cell>
          <cell r="J59">
            <v>47159.67</v>
          </cell>
        </row>
        <row r="60">
          <cell r="B60" t="str">
            <v>ANNUALINCENTIVEALLOWAN</v>
          </cell>
          <cell r="D60">
            <v>2700</v>
          </cell>
          <cell r="F60">
            <v>8000</v>
          </cell>
          <cell r="H60">
            <v>6300</v>
          </cell>
          <cell r="J60">
            <v>3600</v>
          </cell>
        </row>
        <row r="61">
          <cell r="B61" t="str">
            <v>MEDICALALLOWANCE</v>
          </cell>
          <cell r="D61">
            <v>2417.17</v>
          </cell>
          <cell r="F61">
            <v>3659.95</v>
          </cell>
          <cell r="H61">
            <v>3339.64</v>
          </cell>
          <cell r="J61">
            <v>1763.9</v>
          </cell>
        </row>
        <row r="62">
          <cell r="B62" t="str">
            <v>MEDICALALLOWANCE50:50</v>
          </cell>
        </row>
        <row r="63">
          <cell r="B63" t="str">
            <v>MEDICALALLOWANCEBPJS</v>
          </cell>
        </row>
        <row r="64">
          <cell r="B64" t="str">
            <v>MEDICALALLOWANCE</v>
          </cell>
          <cell r="D64">
            <v>2417.17</v>
          </cell>
          <cell r="F64">
            <v>3659.95</v>
          </cell>
          <cell r="H64">
            <v>3339.64</v>
          </cell>
          <cell r="J64">
            <v>1763.9</v>
          </cell>
        </row>
        <row r="65">
          <cell r="B65" t="str">
            <v>OTHERALLOWANCE</v>
          </cell>
        </row>
        <row r="66">
          <cell r="B66" t="str">
            <v>OTHERALLOWANCEINCENTIVE</v>
          </cell>
        </row>
        <row r="67">
          <cell r="B67" t="str">
            <v>OTHERALLOWANCEOVERTIME</v>
          </cell>
        </row>
        <row r="68">
          <cell r="B68" t="str">
            <v>OTHERALLOWANCEPENSION</v>
          </cell>
        </row>
        <row r="69">
          <cell r="B69" t="str">
            <v>OTHERALLOWANCESEVERANCE</v>
          </cell>
        </row>
        <row r="70">
          <cell r="B70" t="str">
            <v>OTHERALLOWANCETRANSPORT</v>
          </cell>
        </row>
        <row r="71">
          <cell r="B71" t="str">
            <v>OTHERALLOWANCEYEARSOF</v>
          </cell>
        </row>
        <row r="72">
          <cell r="B72" t="str">
            <v>OTHERALLOWANCE</v>
          </cell>
        </row>
        <row r="73">
          <cell r="B73" t="str">
            <v>JAMSOSTEK</v>
          </cell>
          <cell r="D73">
            <v>2255.6</v>
          </cell>
          <cell r="F73">
            <v>5916.26</v>
          </cell>
          <cell r="H73">
            <v>5218.54</v>
          </cell>
          <cell r="J73">
            <v>2784.61</v>
          </cell>
        </row>
        <row r="74">
          <cell r="B74" t="str">
            <v>HEALTHINSURANCE</v>
          </cell>
        </row>
        <row r="75">
          <cell r="B75" t="str">
            <v>COSTOFLABOR</v>
          </cell>
          <cell r="D75">
            <v>43366.2</v>
          </cell>
          <cell r="F75">
            <v>113261.89</v>
          </cell>
          <cell r="H75">
            <v>90850.96</v>
          </cell>
          <cell r="J75">
            <v>55308.18</v>
          </cell>
        </row>
        <row r="76">
          <cell r="B76" t="str">
            <v>FAREALLOWANCE</v>
          </cell>
          <cell r="D76">
            <v>164.52</v>
          </cell>
          <cell r="F76">
            <v>2738.66</v>
          </cell>
          <cell r="H76">
            <v>1945.66</v>
          </cell>
        </row>
        <row r="77">
          <cell r="B77" t="str">
            <v>FAREALLOWANCECATERING</v>
          </cell>
        </row>
        <row r="78">
          <cell r="B78" t="str">
            <v>FAREALLOWANCEKITCHEN</v>
          </cell>
        </row>
        <row r="79">
          <cell r="B79" t="str">
            <v>FAREALLOWANCE</v>
          </cell>
          <cell r="D79">
            <v>164.52</v>
          </cell>
          <cell r="F79">
            <v>2738.66</v>
          </cell>
          <cell r="H79">
            <v>1945.66</v>
          </cell>
        </row>
        <row r="80">
          <cell r="B80" t="str">
            <v>FACTORYSUPPLIESEXPENSES</v>
          </cell>
          <cell r="D80">
            <v>164.36</v>
          </cell>
          <cell r="F80">
            <v>596.98</v>
          </cell>
          <cell r="H80">
            <v>2628.16</v>
          </cell>
          <cell r="J80">
            <v>49.54</v>
          </cell>
        </row>
        <row r="81">
          <cell r="B81" t="str">
            <v>ELECTRICITY</v>
          </cell>
        </row>
        <row r="82">
          <cell r="B82" t="str">
            <v>WATER</v>
          </cell>
          <cell r="D82">
            <v>82.93</v>
          </cell>
          <cell r="J82">
            <v>21.54</v>
          </cell>
        </row>
        <row r="83">
          <cell r="B83" t="str">
            <v>RAWMATERIAL&amp;FREIGHTEX</v>
          </cell>
        </row>
        <row r="84">
          <cell r="B84" t="str">
            <v>INDIRECTRAWMATEXP</v>
          </cell>
        </row>
        <row r="85">
          <cell r="B85" t="str">
            <v>FREIGHTEXPENSES</v>
          </cell>
        </row>
        <row r="86">
          <cell r="B86" t="str">
            <v>FREIGHTIN</v>
          </cell>
          <cell r="D86">
            <v>11300.68</v>
          </cell>
          <cell r="F86">
            <v>13063.65</v>
          </cell>
          <cell r="H86">
            <v>696.27</v>
          </cell>
        </row>
        <row r="87">
          <cell r="B87" t="str">
            <v>RAWMATERIAL&amp;FREIGHTEX</v>
          </cell>
          <cell r="D87">
            <v>11300.68</v>
          </cell>
          <cell r="F87">
            <v>13063.65</v>
          </cell>
          <cell r="H87">
            <v>696.27</v>
          </cell>
        </row>
        <row r="88">
          <cell r="B88" t="str">
            <v>VENDOREXPENSES</v>
          </cell>
          <cell r="D88">
            <v>166255.09</v>
          </cell>
          <cell r="F88">
            <v>32651.71</v>
          </cell>
          <cell r="H88">
            <v>16264.25</v>
          </cell>
        </row>
        <row r="89">
          <cell r="B89" t="str">
            <v>LVAEXPENSES</v>
          </cell>
        </row>
        <row r="90">
          <cell r="B90" t="str">
            <v>LVAEXPENSESELECTRICITY</v>
          </cell>
        </row>
        <row r="91">
          <cell r="B91" t="str">
            <v>LVAEXPENSESBUILDINGEQUI</v>
          </cell>
        </row>
        <row r="92">
          <cell r="B92" t="str">
            <v>LVAEXPENSESGEN&amp;BOILER</v>
          </cell>
        </row>
        <row r="93">
          <cell r="B93" t="str">
            <v>LVAEXPENSESMACHINERY</v>
          </cell>
        </row>
        <row r="94">
          <cell r="B94" t="str">
            <v>LVAEXPENSESMOTORVEHICLE</v>
          </cell>
        </row>
        <row r="95">
          <cell r="B95" t="str">
            <v>LVAEXPENSESPLANTEQUIP</v>
          </cell>
        </row>
        <row r="96">
          <cell r="B96" t="str">
            <v>LVAEXPENSESWATERINSTLN</v>
          </cell>
        </row>
        <row r="97">
          <cell r="B97" t="str">
            <v>LVAEXPENSES</v>
          </cell>
        </row>
        <row r="98">
          <cell r="B98" t="str">
            <v>MAINTENANCE&amp;REPAIREXPE</v>
          </cell>
        </row>
        <row r="99">
          <cell r="B99" t="str">
            <v>MAINT&amp;REPBUILDING</v>
          </cell>
          <cell r="D99">
            <v>1397.6</v>
          </cell>
          <cell r="F99">
            <v>547.73</v>
          </cell>
          <cell r="H99">
            <v>651.69000000000005</v>
          </cell>
          <cell r="J99">
            <v>98.45</v>
          </cell>
        </row>
        <row r="100">
          <cell r="B100" t="str">
            <v>MAINT&amp;REPMACHINERIE</v>
          </cell>
          <cell r="D100">
            <v>168.4</v>
          </cell>
          <cell r="F100">
            <v>398.33</v>
          </cell>
          <cell r="J100">
            <v>84.2</v>
          </cell>
        </row>
        <row r="101">
          <cell r="B101" t="str">
            <v>MAINT&amp;REPPLANTEQUI</v>
          </cell>
          <cell r="F101">
            <v>192.76</v>
          </cell>
          <cell r="H101">
            <v>230.75</v>
          </cell>
        </row>
        <row r="102">
          <cell r="B102" t="str">
            <v>MAINT&amp;REPWATERINSTL</v>
          </cell>
        </row>
        <row r="103">
          <cell r="B103" t="str">
            <v>MAINT&amp;REPGEN&amp;BOILER</v>
          </cell>
        </row>
        <row r="104">
          <cell r="B104" t="str">
            <v>MAINT&amp;REPMOTORVEHICL</v>
          </cell>
          <cell r="F104">
            <v>310.89999999999998</v>
          </cell>
        </row>
        <row r="105">
          <cell r="B105" t="str">
            <v>MAINT&amp;REPELECTRICITY</v>
          </cell>
        </row>
        <row r="106">
          <cell r="B106" t="str">
            <v>MAINTENANCE&amp;REPAIREXPE</v>
          </cell>
          <cell r="D106">
            <v>1566</v>
          </cell>
          <cell r="F106">
            <v>1449.72</v>
          </cell>
          <cell r="H106">
            <v>882.44</v>
          </cell>
          <cell r="J106">
            <v>182.65</v>
          </cell>
        </row>
        <row r="107">
          <cell r="B107" t="str">
            <v>DEPRECIATIONEXPENSES</v>
          </cell>
        </row>
        <row r="108">
          <cell r="B108" t="str">
            <v>DEPREXPLAND</v>
          </cell>
        </row>
        <row r="109">
          <cell r="B109" t="str">
            <v>DEPREXPBUILDING</v>
          </cell>
          <cell r="D109">
            <v>3253.47</v>
          </cell>
          <cell r="F109">
            <v>8736.06</v>
          </cell>
          <cell r="H109">
            <v>83.95</v>
          </cell>
        </row>
        <row r="110">
          <cell r="B110" t="str">
            <v>DEPREXPMACHINERIES</v>
          </cell>
          <cell r="D110">
            <v>11533.96</v>
          </cell>
          <cell r="F110">
            <v>14841.76</v>
          </cell>
          <cell r="H110">
            <v>4204.03</v>
          </cell>
          <cell r="J110">
            <v>1279.56</v>
          </cell>
        </row>
        <row r="111">
          <cell r="B111" t="str">
            <v>DEPREXPGEN&amp;BOILER</v>
          </cell>
          <cell r="D111">
            <v>545.99</v>
          </cell>
          <cell r="F111">
            <v>2029.98</v>
          </cell>
          <cell r="H111">
            <v>62.45</v>
          </cell>
          <cell r="J111">
            <v>82.44</v>
          </cell>
        </row>
        <row r="112">
          <cell r="B112" t="str">
            <v>DEPREXPELECTRICALIN</v>
          </cell>
          <cell r="F112">
            <v>13.98</v>
          </cell>
          <cell r="J112">
            <v>792.09</v>
          </cell>
        </row>
        <row r="113">
          <cell r="B113" t="str">
            <v>DEPREXPWATERINSTLM</v>
          </cell>
          <cell r="J113">
            <v>258.5</v>
          </cell>
        </row>
        <row r="114">
          <cell r="B114" t="str">
            <v>DEPREXPPLANTEQUIP</v>
          </cell>
          <cell r="D114">
            <v>795.2</v>
          </cell>
          <cell r="F114">
            <v>685.41</v>
          </cell>
          <cell r="H114">
            <v>3342.38</v>
          </cell>
          <cell r="J114">
            <v>588.49</v>
          </cell>
        </row>
        <row r="115">
          <cell r="B115" t="str">
            <v>DEPREXPMOTORVEHICLE</v>
          </cell>
        </row>
        <row r="116">
          <cell r="B116" t="str">
            <v>DEPRECIATIONEXPENSES</v>
          </cell>
          <cell r="D116">
            <v>16128.62</v>
          </cell>
          <cell r="F116">
            <v>26307.19</v>
          </cell>
          <cell r="H116">
            <v>7692.81</v>
          </cell>
          <cell r="J116">
            <v>3001.08</v>
          </cell>
        </row>
        <row r="117">
          <cell r="B117" t="str">
            <v>INSURANCEEXPOFBUILD&amp;</v>
          </cell>
          <cell r="D117">
            <v>999.88</v>
          </cell>
          <cell r="F117">
            <v>1456.81</v>
          </cell>
        </row>
        <row r="118">
          <cell r="B118" t="str">
            <v>INSURANCEEXPOFBUILDING</v>
          </cell>
        </row>
        <row r="119">
          <cell r="B119" t="str">
            <v>AMORTIZECOSTOFUSEASSET</v>
          </cell>
        </row>
        <row r="120">
          <cell r="B120" t="str">
            <v>INSURANCEEXPOFMOTORVEH</v>
          </cell>
        </row>
        <row r="121">
          <cell r="B121" t="str">
            <v>INSURANCEEXPOFBUILD&amp;</v>
          </cell>
          <cell r="D121">
            <v>999.88</v>
          </cell>
          <cell r="F121">
            <v>1456.81</v>
          </cell>
        </row>
        <row r="122">
          <cell r="B122" t="str">
            <v>RENTEXPENSES</v>
          </cell>
        </row>
        <row r="123">
          <cell r="B123" t="str">
            <v>RENTEXPENSESBUILDING</v>
          </cell>
          <cell r="D123">
            <v>1388.61</v>
          </cell>
          <cell r="J123">
            <v>4235.2299999999996</v>
          </cell>
        </row>
        <row r="124">
          <cell r="B124" t="str">
            <v>RENTEXPMACH&amp;EQUIPMENT</v>
          </cell>
        </row>
        <row r="125">
          <cell r="B125" t="str">
            <v>RENTEXPENSES</v>
          </cell>
          <cell r="D125">
            <v>1388.61</v>
          </cell>
          <cell r="J125">
            <v>4235.2299999999996</v>
          </cell>
        </row>
        <row r="126">
          <cell r="B126" t="str">
            <v>OTHERPRODUCTIONCOST</v>
          </cell>
          <cell r="D126">
            <v>2830.65</v>
          </cell>
          <cell r="F126">
            <v>4873.75</v>
          </cell>
          <cell r="H126">
            <v>3155.07</v>
          </cell>
          <cell r="J126">
            <v>1117.8399999999999</v>
          </cell>
        </row>
        <row r="127">
          <cell r="B127" t="str">
            <v>PEMAKAIANSPAREPART</v>
          </cell>
          <cell r="D127">
            <v>143.99</v>
          </cell>
          <cell r="F127">
            <v>4396.43</v>
          </cell>
          <cell r="H127">
            <v>9078.94</v>
          </cell>
          <cell r="J127">
            <v>4384.3999999999996</v>
          </cell>
        </row>
        <row r="128">
          <cell r="B128" t="str">
            <v>PEMAKAIANBATUBARA</v>
          </cell>
        </row>
        <row r="129">
          <cell r="B129" t="str">
            <v>PEMAKAIANDYESTUFF</v>
          </cell>
        </row>
        <row r="130">
          <cell r="B130" t="str">
            <v>PMKNFUEL&amp;LUBRICANT</v>
          </cell>
          <cell r="F130">
            <v>29.02</v>
          </cell>
        </row>
        <row r="131">
          <cell r="B131" t="str">
            <v>PEMAKAIANPACKING</v>
          </cell>
          <cell r="D131">
            <v>2.4900000000000002</v>
          </cell>
        </row>
        <row r="132">
          <cell r="B132" t="str">
            <v>PEMAKAIANSIZING</v>
          </cell>
        </row>
        <row r="133">
          <cell r="B133" t="str">
            <v>PEMAKAIANAUXILIARY</v>
          </cell>
        </row>
        <row r="134">
          <cell r="B134" t="str">
            <v>PEMAKAIANGENERALMATERIAL</v>
          </cell>
          <cell r="D134">
            <v>793.17</v>
          </cell>
          <cell r="F134">
            <v>914.31</v>
          </cell>
          <cell r="H134">
            <v>437.69</v>
          </cell>
          <cell r="J134">
            <v>548.1</v>
          </cell>
        </row>
        <row r="135">
          <cell r="B135" t="str">
            <v>OTHERPRODUCTIONCOST</v>
          </cell>
          <cell r="D135">
            <v>3770.3</v>
          </cell>
          <cell r="F135">
            <v>10213.51</v>
          </cell>
          <cell r="H135">
            <v>12671.7</v>
          </cell>
          <cell r="J135">
            <v>6050.34</v>
          </cell>
        </row>
        <row r="136">
          <cell r="B136" t="str">
            <v>DIRECTMFGCOSTALLOCATIO</v>
          </cell>
        </row>
        <row r="137">
          <cell r="B137" t="str">
            <v>MATERIALCOSTALLOCATION</v>
          </cell>
        </row>
        <row r="138">
          <cell r="B138" t="str">
            <v>LABORCOSTALLOCATION</v>
          </cell>
          <cell r="D138">
            <v>-43366.2</v>
          </cell>
          <cell r="F138">
            <v>-113261.89</v>
          </cell>
          <cell r="H138">
            <v>-90850.96</v>
          </cell>
          <cell r="J138">
            <v>-55308.18</v>
          </cell>
        </row>
        <row r="139">
          <cell r="B139" t="str">
            <v>LABORCOSTALLOCATION</v>
          </cell>
        </row>
        <row r="140">
          <cell r="B140" t="str">
            <v>DIRECTCOSTALLOCATION</v>
          </cell>
          <cell r="D140">
            <v>-201820.99</v>
          </cell>
          <cell r="F140">
            <v>-88478.23</v>
          </cell>
          <cell r="H140">
            <v>-42781.29</v>
          </cell>
          <cell r="J140">
            <v>-13540.38</v>
          </cell>
        </row>
        <row r="141">
          <cell r="B141" t="str">
            <v>DIRECTMFGCOSTALLOCATIO</v>
          </cell>
          <cell r="D141">
            <v>-245187.19</v>
          </cell>
          <cell r="F141">
            <v>-201740.12</v>
          </cell>
          <cell r="H141">
            <v>-133632.25</v>
          </cell>
          <cell r="J141">
            <v>-68848.56</v>
          </cell>
        </row>
        <row r="142">
          <cell r="B142" t="str">
            <v>MNFCTOVERHEADALLOC</v>
          </cell>
        </row>
        <row r="143">
          <cell r="B143" t="str">
            <v>MACHINEVARIABLEOVERHEAD</v>
          </cell>
        </row>
        <row r="144">
          <cell r="B144" t="str">
            <v>MACHINEFIXEDOVERHEAD</v>
          </cell>
        </row>
        <row r="145">
          <cell r="B145" t="str">
            <v>SUBCONTRACTALLOCATION</v>
          </cell>
        </row>
        <row r="146">
          <cell r="B146" t="str">
            <v>MNFCTOVERHEADALLOC</v>
          </cell>
        </row>
        <row r="147">
          <cell r="B147" t="str">
            <v>DIRECTMANUFACTURINGCOST</v>
          </cell>
        </row>
        <row r="148">
          <cell r="B148" t="str">
            <v>COSTOFREVENUE</v>
          </cell>
          <cell r="D148">
            <v>2043009.97</v>
          </cell>
          <cell r="F148">
            <v>201740.12</v>
          </cell>
          <cell r="H148">
            <v>133632.25</v>
          </cell>
          <cell r="J148">
            <v>68848.56</v>
          </cell>
        </row>
        <row r="149">
          <cell r="B149" t="str">
            <v>MARKETINGEXPENSES</v>
          </cell>
        </row>
        <row r="150">
          <cell r="B150" t="str">
            <v>PROMOTIONEXPENSES</v>
          </cell>
        </row>
        <row r="151">
          <cell r="B151" t="str">
            <v>ADVERTISINGEXPENSES</v>
          </cell>
        </row>
        <row r="152">
          <cell r="B152" t="str">
            <v>SAMPLEEXPENSES</v>
          </cell>
          <cell r="D152">
            <v>66.099999999999994</v>
          </cell>
          <cell r="H152">
            <v>232.07</v>
          </cell>
        </row>
        <row r="153">
          <cell r="B153" t="str">
            <v>PROMOTIONEXPENSES</v>
          </cell>
          <cell r="D153">
            <v>66.099999999999994</v>
          </cell>
          <cell r="H153">
            <v>232.07</v>
          </cell>
        </row>
        <row r="154">
          <cell r="B154" t="str">
            <v>DELIVERYEXPENSES</v>
          </cell>
        </row>
        <row r="155">
          <cell r="B155" t="str">
            <v>TRUCKINGEXPENSES</v>
          </cell>
          <cell r="D155">
            <v>5152.54</v>
          </cell>
          <cell r="H155">
            <v>774.01</v>
          </cell>
        </row>
        <row r="156">
          <cell r="B156" t="str">
            <v>PORTERWAGESEXPENSES</v>
          </cell>
        </row>
        <row r="157">
          <cell r="B157" t="str">
            <v>FREIGHTCHARGES</v>
          </cell>
        </row>
        <row r="158">
          <cell r="B158" t="str">
            <v>L/CNEGOCOMMISSION</v>
          </cell>
          <cell r="D158">
            <v>279.98</v>
          </cell>
        </row>
        <row r="159">
          <cell r="B159" t="str">
            <v>L/CINTEREST</v>
          </cell>
          <cell r="D159">
            <v>382.99</v>
          </cell>
        </row>
        <row r="160">
          <cell r="B160" t="str">
            <v>L/CBANKCHARGES</v>
          </cell>
        </row>
        <row r="161">
          <cell r="B161" t="str">
            <v>L/CADVISING</v>
          </cell>
        </row>
        <row r="162">
          <cell r="B162" t="str">
            <v>L/CAMEND</v>
          </cell>
          <cell r="D162">
            <v>125</v>
          </cell>
        </row>
        <row r="163">
          <cell r="B163" t="str">
            <v>L/CDEDUCTION</v>
          </cell>
        </row>
        <row r="164">
          <cell r="B164" t="str">
            <v>FREIGHTCHARGES</v>
          </cell>
          <cell r="D164">
            <v>787.97</v>
          </cell>
        </row>
        <row r="165">
          <cell r="B165" t="str">
            <v>EXPEDITION/SEAFREIGHT</v>
          </cell>
          <cell r="D165">
            <v>5630.98</v>
          </cell>
          <cell r="F165">
            <v>5960.11</v>
          </cell>
          <cell r="H165">
            <v>21.99</v>
          </cell>
        </row>
        <row r="166">
          <cell r="B166" t="str">
            <v>AIRFREIGHT</v>
          </cell>
          <cell r="D166">
            <v>40.39</v>
          </cell>
          <cell r="F166">
            <v>1338.82</v>
          </cell>
        </row>
        <row r="167">
          <cell r="B167" t="str">
            <v>QUOTA</v>
          </cell>
        </row>
        <row r="168">
          <cell r="B168" t="str">
            <v>DELIVERYEXPENSES</v>
          </cell>
          <cell r="D168">
            <v>11611.88</v>
          </cell>
          <cell r="F168">
            <v>7298.93</v>
          </cell>
          <cell r="H168">
            <v>796</v>
          </cell>
        </row>
        <row r="169">
          <cell r="B169" t="str">
            <v>MISCELLANEOUSSELLINGEXP</v>
          </cell>
        </row>
        <row r="170">
          <cell r="B170" t="str">
            <v>SALESDISCOUNT</v>
          </cell>
        </row>
        <row r="171">
          <cell r="B171" t="str">
            <v>SALESCOMMISSION</v>
          </cell>
          <cell r="D171">
            <v>1019.2</v>
          </cell>
        </row>
        <row r="172">
          <cell r="B172" t="str">
            <v>FABRICTESTEDCHARGES</v>
          </cell>
          <cell r="D172">
            <v>1899.15</v>
          </cell>
        </row>
        <row r="173">
          <cell r="B173" t="str">
            <v>MISCELLANEOUSSELLINGEXP</v>
          </cell>
          <cell r="D173">
            <v>2918.35</v>
          </cell>
        </row>
        <row r="174">
          <cell r="B174" t="str">
            <v>MARKETINGEXPENSES</v>
          </cell>
          <cell r="D174">
            <v>14596.33</v>
          </cell>
          <cell r="F174">
            <v>7298.93</v>
          </cell>
          <cell r="H174">
            <v>1028.07</v>
          </cell>
        </row>
        <row r="175">
          <cell r="B175" t="str">
            <v>GENERAL&amp;ADMEXPENSES</v>
          </cell>
        </row>
        <row r="176">
          <cell r="B176" t="str">
            <v>SALARIES</v>
          </cell>
        </row>
        <row r="177">
          <cell r="B177" t="str">
            <v>OFFICERSALARIES</v>
          </cell>
          <cell r="D177">
            <v>42720.01</v>
          </cell>
          <cell r="F177">
            <v>5618.18</v>
          </cell>
          <cell r="H177">
            <v>13556.96</v>
          </cell>
          <cell r="J177">
            <v>3138.24</v>
          </cell>
        </row>
        <row r="178">
          <cell r="B178" t="str">
            <v>MEDICALALLOWANCE</v>
          </cell>
          <cell r="D178">
            <v>-528.13</v>
          </cell>
          <cell r="F178">
            <v>-53.95</v>
          </cell>
          <cell r="H178">
            <v>-113.34</v>
          </cell>
          <cell r="J178">
            <v>-20.72</v>
          </cell>
        </row>
        <row r="179">
          <cell r="B179" t="str">
            <v>MEDICALALLOWANCE50:50</v>
          </cell>
        </row>
        <row r="180">
          <cell r="B180" t="str">
            <v>MEDICALALLOWANCEBPJS</v>
          </cell>
        </row>
        <row r="181">
          <cell r="B181" t="str">
            <v>MEDICALALLOWANCE</v>
          </cell>
          <cell r="D181">
            <v>-528.13</v>
          </cell>
          <cell r="F181">
            <v>-53.95</v>
          </cell>
          <cell r="H181">
            <v>-113.34</v>
          </cell>
          <cell r="J181">
            <v>-20.72</v>
          </cell>
        </row>
        <row r="182">
          <cell r="B182" t="str">
            <v>ANNUALINCENTIVEALLOW</v>
          </cell>
          <cell r="D182">
            <v>2000</v>
          </cell>
          <cell r="F182">
            <v>200</v>
          </cell>
          <cell r="H182">
            <v>600</v>
          </cell>
          <cell r="J182">
            <v>200</v>
          </cell>
        </row>
        <row r="183">
          <cell r="B183" t="str">
            <v>FAREALLOWANCE</v>
          </cell>
          <cell r="D183">
            <v>2230.2399999999998</v>
          </cell>
        </row>
        <row r="184">
          <cell r="B184" t="str">
            <v>OTHERALLOWANCE</v>
          </cell>
        </row>
        <row r="185">
          <cell r="B185" t="str">
            <v>OTHERALLOWANCEINCENTIVE</v>
          </cell>
        </row>
        <row r="186">
          <cell r="B186" t="str">
            <v>OTHERALLOWANCEOVERTIME</v>
          </cell>
        </row>
        <row r="187">
          <cell r="B187" t="str">
            <v>OTHERALLOWANCEPENSION</v>
          </cell>
        </row>
        <row r="188">
          <cell r="B188" t="str">
            <v>OTHERALLOWANCESEVERANCE</v>
          </cell>
        </row>
        <row r="189">
          <cell r="B189" t="str">
            <v>OTHERALLOWANCETRANSPORT</v>
          </cell>
        </row>
        <row r="190">
          <cell r="B190" t="str">
            <v>OTHERALLOWANCEYEARSOFS</v>
          </cell>
        </row>
        <row r="191">
          <cell r="B191" t="str">
            <v>OTHERALLOWANCE</v>
          </cell>
        </row>
        <row r="192">
          <cell r="B192" t="str">
            <v>JAMSOSTEK</v>
          </cell>
          <cell r="D192">
            <v>1205.33</v>
          </cell>
          <cell r="F192">
            <v>-128.4</v>
          </cell>
          <cell r="H192">
            <v>-288.25</v>
          </cell>
          <cell r="J192">
            <v>-74.349999999999994</v>
          </cell>
        </row>
        <row r="193">
          <cell r="B193" t="str">
            <v>POSTEMPLOYMENTBENEFITS</v>
          </cell>
        </row>
        <row r="194">
          <cell r="B194" t="str">
            <v>SALARIES</v>
          </cell>
          <cell r="D194">
            <v>47627.45</v>
          </cell>
          <cell r="F194">
            <v>5635.83</v>
          </cell>
          <cell r="H194">
            <v>13755.37</v>
          </cell>
          <cell r="J194">
            <v>3243.17</v>
          </cell>
        </row>
        <row r="195">
          <cell r="B195" t="str">
            <v>FAREALLOWANCE</v>
          </cell>
        </row>
        <row r="196">
          <cell r="B196" t="str">
            <v>FAREALLOWANCECATERING</v>
          </cell>
        </row>
        <row r="197">
          <cell r="B197" t="str">
            <v>FAREALLOWANCEKITCHEN</v>
          </cell>
        </row>
        <row r="198">
          <cell r="B198" t="str">
            <v>FAREALLOWANCE</v>
          </cell>
        </row>
        <row r="199">
          <cell r="B199" t="str">
            <v>HEALTHINSURANCE</v>
          </cell>
        </row>
        <row r="200">
          <cell r="B200" t="str">
            <v>POSTAGETELP&amp;TELEX</v>
          </cell>
        </row>
        <row r="201">
          <cell r="B201" t="str">
            <v>POSTAGEEXPENSES</v>
          </cell>
        </row>
        <row r="202">
          <cell r="B202" t="str">
            <v>TELEPHONEEXPENSES</v>
          </cell>
          <cell r="D202">
            <v>118.19</v>
          </cell>
        </row>
        <row r="203">
          <cell r="B203" t="str">
            <v>TELEXEXPENSES</v>
          </cell>
        </row>
        <row r="204">
          <cell r="B204" t="str">
            <v>INTERNETEXPENSES</v>
          </cell>
          <cell r="D204">
            <v>471.06</v>
          </cell>
          <cell r="F204">
            <v>291.47000000000003</v>
          </cell>
        </row>
        <row r="205">
          <cell r="B205" t="str">
            <v>POSTAGETELP&amp;TELEX</v>
          </cell>
          <cell r="D205">
            <v>589.25</v>
          </cell>
          <cell r="F205">
            <v>291.47000000000003</v>
          </cell>
        </row>
        <row r="206">
          <cell r="B206" t="str">
            <v>LIGHT&amp;WATER</v>
          </cell>
        </row>
        <row r="207">
          <cell r="B207" t="str">
            <v>LIGHT</v>
          </cell>
        </row>
        <row r="208">
          <cell r="B208" t="str">
            <v>WATER</v>
          </cell>
        </row>
        <row r="209">
          <cell r="B209" t="str">
            <v>LIGHT&amp;WATER</v>
          </cell>
        </row>
        <row r="210">
          <cell r="B210" t="str">
            <v>OFFICER'STRANSPORT</v>
          </cell>
          <cell r="D210">
            <v>2428.92</v>
          </cell>
          <cell r="F210">
            <v>433.97</v>
          </cell>
        </row>
        <row r="211">
          <cell r="B211" t="str">
            <v>NEWSPAPERMAGAZINE</v>
          </cell>
        </row>
        <row r="212">
          <cell r="B212" t="str">
            <v>PREMIUMCOST</v>
          </cell>
          <cell r="D212">
            <v>743.73</v>
          </cell>
        </row>
        <row r="213">
          <cell r="B213" t="str">
            <v>REPRESENTATIVECOST</v>
          </cell>
        </row>
        <row r="214">
          <cell r="B214" t="str">
            <v>EDUCATION&amp;WEALTHK3</v>
          </cell>
        </row>
        <row r="215">
          <cell r="B215" t="str">
            <v>EDUCATION&amp;WEALTHLIBRARY</v>
          </cell>
        </row>
        <row r="216">
          <cell r="B216" t="str">
            <v>EDUCATION&amp;WEALTHRECREATI</v>
          </cell>
        </row>
        <row r="217">
          <cell r="B217" t="str">
            <v>EDUCATION&amp;WEALTHSPORT</v>
          </cell>
        </row>
        <row r="218">
          <cell r="B218" t="str">
            <v>REPRESENTATIVECOST</v>
          </cell>
        </row>
        <row r="219">
          <cell r="B219" t="str">
            <v>CONTRIBUTIONCOST</v>
          </cell>
          <cell r="D219">
            <v>161.93</v>
          </cell>
          <cell r="F219">
            <v>259.08</v>
          </cell>
        </row>
        <row r="220">
          <cell r="B220" t="str">
            <v>BRANDING</v>
          </cell>
        </row>
        <row r="221">
          <cell r="B221" t="str">
            <v>FUELFORMOTORVEHICLE</v>
          </cell>
          <cell r="D221">
            <v>573.72</v>
          </cell>
          <cell r="F221">
            <v>1484.55</v>
          </cell>
          <cell r="H221">
            <v>93.91</v>
          </cell>
          <cell r="J221">
            <v>9.33</v>
          </cell>
        </row>
        <row r="222">
          <cell r="B222" t="str">
            <v>LEGALEXPENSES</v>
          </cell>
          <cell r="D222">
            <v>161.93</v>
          </cell>
          <cell r="F222">
            <v>6.48</v>
          </cell>
          <cell r="H222">
            <v>29.15</v>
          </cell>
          <cell r="J222">
            <v>3.24</v>
          </cell>
        </row>
        <row r="223">
          <cell r="B223" t="str">
            <v>MEASUREMENT</v>
          </cell>
        </row>
        <row r="224">
          <cell r="B224" t="str">
            <v>MEASUREMENTNAB</v>
          </cell>
        </row>
        <row r="225">
          <cell r="B225" t="str">
            <v>MEASUREMENT</v>
          </cell>
        </row>
        <row r="226">
          <cell r="B226" t="str">
            <v>LVAEXPENSE</v>
          </cell>
        </row>
        <row r="227">
          <cell r="B227" t="str">
            <v>LVAEXPENSEELECTRICITY</v>
          </cell>
        </row>
        <row r="228">
          <cell r="B228" t="str">
            <v>LVAEXPENSEBUILDINGEQUIPM</v>
          </cell>
        </row>
        <row r="229">
          <cell r="B229" t="str">
            <v>LVAEXPENSEMOTORVEHICLE</v>
          </cell>
        </row>
        <row r="230">
          <cell r="B230" t="str">
            <v>LVAEXPENSEOFFICEEQUIPMEN</v>
          </cell>
        </row>
        <row r="231">
          <cell r="B231" t="str">
            <v>LVAEXPENSEWATERINSTLN</v>
          </cell>
        </row>
        <row r="232">
          <cell r="B232" t="str">
            <v>LVAEXPENSE</v>
          </cell>
        </row>
        <row r="233">
          <cell r="B233" t="str">
            <v>MAINTENANCEEXPENSES</v>
          </cell>
        </row>
        <row r="234">
          <cell r="B234" t="str">
            <v>MAINTOFFICEEQUIP</v>
          </cell>
          <cell r="D234">
            <v>124.14</v>
          </cell>
          <cell r="F234">
            <v>213.75</v>
          </cell>
          <cell r="H234">
            <v>449.84</v>
          </cell>
          <cell r="J234">
            <v>110.11</v>
          </cell>
        </row>
        <row r="235">
          <cell r="B235" t="str">
            <v>MAINTMOTORVEHICLE</v>
          </cell>
        </row>
        <row r="236">
          <cell r="B236" t="str">
            <v>MAINTENANCEHOUSE</v>
          </cell>
        </row>
        <row r="237">
          <cell r="B237" t="str">
            <v>MAINTENANCEEXPENSES</v>
          </cell>
          <cell r="D237">
            <v>124.14</v>
          </cell>
          <cell r="F237">
            <v>213.75</v>
          </cell>
          <cell r="H237">
            <v>449.84</v>
          </cell>
          <cell r="J237">
            <v>110.11</v>
          </cell>
        </row>
        <row r="238">
          <cell r="B238" t="str">
            <v>DEPRECIATIONEXPENSES</v>
          </cell>
        </row>
        <row r="239">
          <cell r="B239" t="str">
            <v>DEPREXPOFFICEEQUIP</v>
          </cell>
          <cell r="D239">
            <v>1368.25</v>
          </cell>
          <cell r="F239">
            <v>412.47</v>
          </cell>
          <cell r="H239">
            <v>495.25</v>
          </cell>
          <cell r="J239">
            <v>422.57</v>
          </cell>
        </row>
        <row r="240">
          <cell r="B240" t="str">
            <v>DEPREXPMOTORVEHICLE</v>
          </cell>
        </row>
        <row r="241">
          <cell r="B241" t="str">
            <v>DIFDEPREXPMGMFIS</v>
          </cell>
        </row>
        <row r="242">
          <cell r="B242" t="str">
            <v>DEPREXPBUILDING</v>
          </cell>
        </row>
        <row r="243">
          <cell r="B243" t="str">
            <v>DEPREXPELECTRICITY</v>
          </cell>
        </row>
        <row r="244">
          <cell r="B244" t="str">
            <v>DEPREXPWATERINSTLN</v>
          </cell>
        </row>
        <row r="245">
          <cell r="B245" t="str">
            <v>DEPRECIATIONEXPENSES</v>
          </cell>
          <cell r="D245">
            <v>1368.25</v>
          </cell>
          <cell r="F245">
            <v>412.47</v>
          </cell>
          <cell r="H245">
            <v>495.25</v>
          </cell>
          <cell r="J245">
            <v>422.57</v>
          </cell>
        </row>
        <row r="246">
          <cell r="B246" t="str">
            <v>BUSINESSTRIPEXPENSES</v>
          </cell>
          <cell r="D246">
            <v>4004.44</v>
          </cell>
          <cell r="F246">
            <v>4069.69</v>
          </cell>
          <cell r="H246">
            <v>5112.1400000000003</v>
          </cell>
          <cell r="J246">
            <v>5254.84</v>
          </cell>
        </row>
        <row r="247">
          <cell r="B247" t="str">
            <v>ENTERTAINMENT</v>
          </cell>
          <cell r="D247">
            <v>1089.1300000000001</v>
          </cell>
          <cell r="F247">
            <v>298.58</v>
          </cell>
          <cell r="H247">
            <v>81.05</v>
          </cell>
          <cell r="J247">
            <v>21.26</v>
          </cell>
        </row>
        <row r="248">
          <cell r="B248" t="str">
            <v>TRAININGEXPENSES</v>
          </cell>
        </row>
        <row r="249">
          <cell r="B249" t="str">
            <v>PUBLICTRAINING</v>
          </cell>
        </row>
        <row r="250">
          <cell r="B250" t="str">
            <v>SCHOLARSHIP</v>
          </cell>
        </row>
        <row r="251">
          <cell r="B251" t="str">
            <v>TRAININGEXPENSES</v>
          </cell>
        </row>
        <row r="252">
          <cell r="B252" t="str">
            <v>RECRUITMENT</v>
          </cell>
        </row>
        <row r="253">
          <cell r="B253" t="str">
            <v>RECRUITMENTADVERTISING</v>
          </cell>
        </row>
        <row r="254">
          <cell r="B254" t="str">
            <v>RECRUITMENTBUSINESSTRIP</v>
          </cell>
        </row>
        <row r="255">
          <cell r="B255" t="str">
            <v>RECRUITMENTHRADVISORY</v>
          </cell>
        </row>
        <row r="256">
          <cell r="B256" t="str">
            <v>RECRUITMENTJOBFAIR</v>
          </cell>
        </row>
        <row r="257">
          <cell r="B257" t="str">
            <v>RECRUITMENTMCU</v>
          </cell>
        </row>
        <row r="258">
          <cell r="B258" t="str">
            <v>RECRUITMENTPSIKOTEST</v>
          </cell>
        </row>
        <row r="259">
          <cell r="B259" t="str">
            <v>RECRUITMENT</v>
          </cell>
        </row>
        <row r="260">
          <cell r="B260" t="str">
            <v>INTERNSHIPEXPENSES</v>
          </cell>
        </row>
        <row r="261">
          <cell r="B261" t="str">
            <v>CORPORATEDEVELOPMENT</v>
          </cell>
        </row>
        <row r="262">
          <cell r="B262" t="str">
            <v>RENTEXPENSES</v>
          </cell>
        </row>
        <row r="263">
          <cell r="B263" t="str">
            <v>RENTEXPENSESBUILDING</v>
          </cell>
          <cell r="D263">
            <v>255.15</v>
          </cell>
          <cell r="F263">
            <v>473.01</v>
          </cell>
          <cell r="H263">
            <v>126.99</v>
          </cell>
          <cell r="J263">
            <v>832.63</v>
          </cell>
        </row>
        <row r="264">
          <cell r="B264" t="str">
            <v>RENTEXPENSESLAND</v>
          </cell>
          <cell r="D264">
            <v>764.4</v>
          </cell>
        </row>
        <row r="265">
          <cell r="B265" t="str">
            <v>HOUSERENTEXPENSES</v>
          </cell>
        </row>
        <row r="266">
          <cell r="B266" t="str">
            <v>RENTEXPENSES</v>
          </cell>
          <cell r="D266">
            <v>1019.55</v>
          </cell>
          <cell r="F266">
            <v>473.01</v>
          </cell>
          <cell r="H266">
            <v>126.99</v>
          </cell>
          <cell r="J266">
            <v>832.63</v>
          </cell>
        </row>
        <row r="267">
          <cell r="B267" t="str">
            <v>OFFICEEXPENSES</v>
          </cell>
        </row>
        <row r="268">
          <cell r="B268" t="str">
            <v>INSURANCEEXPENSES</v>
          </cell>
          <cell r="D268">
            <v>1318.26</v>
          </cell>
          <cell r="F268">
            <v>625.49</v>
          </cell>
        </row>
        <row r="269">
          <cell r="B269" t="str">
            <v>INSURANCEEXPENSESBUILDIN</v>
          </cell>
        </row>
        <row r="270">
          <cell r="B270" t="str">
            <v>INSURANCEEXPMOTORVEHIC</v>
          </cell>
        </row>
        <row r="271">
          <cell r="B271" t="str">
            <v>INSURANCEEXPENSES</v>
          </cell>
          <cell r="D271">
            <v>1318.26</v>
          </cell>
          <cell r="F271">
            <v>625.49</v>
          </cell>
        </row>
        <row r="272">
          <cell r="B272" t="str">
            <v>ACCOUNTINGADVISORYEXP</v>
          </cell>
          <cell r="D272">
            <v>6626.07</v>
          </cell>
        </row>
        <row r="273">
          <cell r="B273" t="str">
            <v>OFFICESUPPLIESEXPENSES</v>
          </cell>
          <cell r="D273">
            <v>2419.16</v>
          </cell>
          <cell r="F273">
            <v>2343.1799999999998</v>
          </cell>
          <cell r="H273">
            <v>793.14</v>
          </cell>
          <cell r="J273">
            <v>444.41</v>
          </cell>
        </row>
        <row r="274">
          <cell r="B274" t="str">
            <v>OFFICESUPPLIESATK</v>
          </cell>
        </row>
        <row r="275">
          <cell r="B275" t="str">
            <v>OFFICESUPPLIESOTHER</v>
          </cell>
        </row>
        <row r="276">
          <cell r="B276" t="str">
            <v>OFFICESUPPLIESTOILETERIE</v>
          </cell>
        </row>
        <row r="277">
          <cell r="B277" t="str">
            <v>OFFICESUPPLIESEXPENSES</v>
          </cell>
          <cell r="D277">
            <v>2419.16</v>
          </cell>
          <cell r="F277">
            <v>2343.1799999999998</v>
          </cell>
          <cell r="H277">
            <v>793.14</v>
          </cell>
          <cell r="J277">
            <v>444.41</v>
          </cell>
        </row>
        <row r="278">
          <cell r="B278" t="str">
            <v>UNIFORMALLOWANCES</v>
          </cell>
        </row>
        <row r="279">
          <cell r="B279" t="str">
            <v>PRINTEDOFFICESUPPLIES</v>
          </cell>
        </row>
        <row r="280">
          <cell r="B280" t="str">
            <v>ITADVISORYEXPENSE</v>
          </cell>
        </row>
        <row r="281">
          <cell r="B281" t="str">
            <v>MANAGEMENTFEE</v>
          </cell>
        </row>
        <row r="282">
          <cell r="B282" t="str">
            <v>REVIEWVALUEDEPARTEMENT</v>
          </cell>
        </row>
        <row r="283">
          <cell r="B283" t="str">
            <v>OFFICEEXPENSES</v>
          </cell>
          <cell r="D283">
            <v>10363.49</v>
          </cell>
          <cell r="F283">
            <v>2968.67</v>
          </cell>
          <cell r="H283">
            <v>793.14</v>
          </cell>
          <cell r="J283">
            <v>444.41</v>
          </cell>
        </row>
        <row r="284">
          <cell r="B284" t="str">
            <v>GENERAL&amp;ADMEXPENSES</v>
          </cell>
          <cell r="D284">
            <v>70255.929999999993</v>
          </cell>
          <cell r="F284">
            <v>16547.55</v>
          </cell>
          <cell r="H284">
            <v>20936.84</v>
          </cell>
          <cell r="J284">
            <v>10341.56</v>
          </cell>
        </row>
        <row r="285">
          <cell r="B285" t="str">
            <v>OTHERINCOME/EXSPENSES</v>
          </cell>
        </row>
        <row r="286">
          <cell r="B286" t="str">
            <v>OTHERREVENUE</v>
          </cell>
        </row>
        <row r="287">
          <cell r="B287" t="str">
            <v>INTERESTINCOME</v>
          </cell>
        </row>
        <row r="288">
          <cell r="B288" t="str">
            <v>RENTINCOME</v>
          </cell>
        </row>
        <row r="289">
          <cell r="B289" t="str">
            <v>GAIN/LOSSONSELLINGASSETS</v>
          </cell>
        </row>
        <row r="290">
          <cell r="B290" t="str">
            <v>G/LONSELLINGASSETS</v>
          </cell>
        </row>
        <row r="291">
          <cell r="B291" t="str">
            <v>CASHPROCEEDCLEARASSET</v>
          </cell>
        </row>
        <row r="292">
          <cell r="B292" t="str">
            <v>GAIN/LOSSONSELLINGASSETS</v>
          </cell>
        </row>
        <row r="293">
          <cell r="B293" t="str">
            <v>REVENUEFROMWASTE/SCRAP</v>
          </cell>
        </row>
        <row r="294">
          <cell r="B294" t="str">
            <v>GOODSWORKEDBYVENDOR</v>
          </cell>
        </row>
        <row r="295">
          <cell r="B295" t="str">
            <v>PURCHASEDISCOUNT</v>
          </cell>
          <cell r="D295">
            <v>0.9</v>
          </cell>
          <cell r="F295">
            <v>5.43</v>
          </cell>
        </row>
        <row r="296">
          <cell r="B296" t="str">
            <v>CLAIM</v>
          </cell>
          <cell r="D296">
            <v>-166.73</v>
          </cell>
        </row>
        <row r="297">
          <cell r="B297" t="str">
            <v>PRICEINCREASING</v>
          </cell>
        </row>
        <row r="298">
          <cell r="B298" t="str">
            <v>AMENDS/CLAIMSREVENUE</v>
          </cell>
          <cell r="D298">
            <v>12411.61</v>
          </cell>
        </row>
        <row r="299">
          <cell r="B299" t="str">
            <v>OTHERS</v>
          </cell>
          <cell r="D299">
            <v>-3.15</v>
          </cell>
          <cell r="F299">
            <v>-0.01</v>
          </cell>
          <cell r="H299">
            <v>-3.56</v>
          </cell>
        </row>
        <row r="300">
          <cell r="B300" t="str">
            <v>OTHERREVENUE</v>
          </cell>
          <cell r="D300">
            <v>12242.63</v>
          </cell>
          <cell r="F300">
            <v>5.42</v>
          </cell>
          <cell r="H300">
            <v>-3.56</v>
          </cell>
        </row>
        <row r="301">
          <cell r="B301" t="str">
            <v>OTHEREXPENSES</v>
          </cell>
        </row>
        <row r="302">
          <cell r="B302" t="str">
            <v>INTERESTEXPENSE</v>
          </cell>
        </row>
        <row r="303">
          <cell r="B303" t="str">
            <v>INTERESTEXPOFFOREIGN</v>
          </cell>
        </row>
        <row r="304">
          <cell r="B304" t="str">
            <v>INTERESTEXPOFDOMESTIC</v>
          </cell>
          <cell r="D304">
            <v>23268.65</v>
          </cell>
        </row>
        <row r="305">
          <cell r="B305" t="str">
            <v>INTERESTEXPENSE</v>
          </cell>
          <cell r="D305">
            <v>23268.65</v>
          </cell>
        </row>
        <row r="306">
          <cell r="B306" t="str">
            <v>REALIZEDGAIN/LOSS</v>
          </cell>
        </row>
        <row r="307">
          <cell r="B307" t="str">
            <v>REALIZEDGAIN/LOSSAR</v>
          </cell>
          <cell r="D307">
            <v>19464.14</v>
          </cell>
        </row>
        <row r="308">
          <cell r="B308" t="str">
            <v>REALIZEDGAIN/LOSSAP</v>
          </cell>
          <cell r="D308">
            <v>4188.62</v>
          </cell>
          <cell r="F308">
            <v>814.13</v>
          </cell>
          <cell r="H308">
            <v>48.96</v>
          </cell>
          <cell r="J308">
            <v>13.52</v>
          </cell>
        </row>
        <row r="309">
          <cell r="B309" t="str">
            <v>REALIZEDGAIN/LOSS</v>
          </cell>
          <cell r="D309">
            <v>23652.76</v>
          </cell>
          <cell r="F309">
            <v>814.13</v>
          </cell>
          <cell r="H309">
            <v>48.96</v>
          </cell>
          <cell r="J309">
            <v>13.52</v>
          </cell>
        </row>
        <row r="310">
          <cell r="B310" t="str">
            <v>UNREALIZEDGAIN/LOSS</v>
          </cell>
          <cell r="D310">
            <v>-17681.47</v>
          </cell>
        </row>
        <row r="311">
          <cell r="B311" t="str">
            <v>BANKEXPENSES</v>
          </cell>
        </row>
        <row r="312">
          <cell r="B312" t="str">
            <v>BANKCHARGES</v>
          </cell>
          <cell r="D312">
            <v>1661.84</v>
          </cell>
          <cell r="F312">
            <v>200.53</v>
          </cell>
          <cell r="H312">
            <v>564.32000000000005</v>
          </cell>
          <cell r="J312">
            <v>0.46</v>
          </cell>
        </row>
        <row r="313">
          <cell r="B313" t="str">
            <v>ADMBANKCHARGES</v>
          </cell>
        </row>
        <row r="314">
          <cell r="B314" t="str">
            <v>CONTRAACCOUNTPETTYCASH/</v>
          </cell>
        </row>
        <row r="315">
          <cell r="B315" t="str">
            <v>BANKEXPENSES</v>
          </cell>
          <cell r="D315">
            <v>1661.84</v>
          </cell>
          <cell r="F315">
            <v>200.53</v>
          </cell>
          <cell r="H315">
            <v>564.32000000000005</v>
          </cell>
          <cell r="J315">
            <v>0.46</v>
          </cell>
        </row>
        <row r="316">
          <cell r="B316" t="str">
            <v>DIFFBALANCEALLOCATION</v>
          </cell>
        </row>
        <row r="317">
          <cell r="B317" t="str">
            <v>DIFFBLNCALLOCLABOR</v>
          </cell>
        </row>
        <row r="318">
          <cell r="B318" t="str">
            <v>DIFFBLNCALLOCO/HMF</v>
          </cell>
        </row>
        <row r="319">
          <cell r="B319" t="str">
            <v>DIFFBALANCEALLOCATION</v>
          </cell>
        </row>
        <row r="320">
          <cell r="B320" t="str">
            <v>WASTE&amp;SCRAPCOST</v>
          </cell>
        </row>
        <row r="321">
          <cell r="B321" t="str">
            <v>TAXES</v>
          </cell>
          <cell r="D321">
            <v>127.95</v>
          </cell>
          <cell r="F321">
            <v>318.19</v>
          </cell>
          <cell r="H321">
            <v>526.42999999999995</v>
          </cell>
          <cell r="J321">
            <v>23.29</v>
          </cell>
        </row>
        <row r="322">
          <cell r="B322" t="str">
            <v>DOUBTFULA/REXPENSES</v>
          </cell>
        </row>
        <row r="323">
          <cell r="B323" t="str">
            <v>DOUBTFULINVENTORYEXP</v>
          </cell>
        </row>
        <row r="324">
          <cell r="B324" t="str">
            <v>REFAKSISTOCKOPNAME</v>
          </cell>
        </row>
        <row r="325">
          <cell r="B325" t="str">
            <v>OTHERDIFFEREXCHANGERATE</v>
          </cell>
        </row>
        <row r="326">
          <cell r="B326" t="str">
            <v>PRICEINCREASING</v>
          </cell>
        </row>
        <row r="327">
          <cell r="B327" t="str">
            <v>PRICECORRECTION</v>
          </cell>
        </row>
        <row r="328">
          <cell r="B328" t="str">
            <v>OTHERS</v>
          </cell>
          <cell r="F328">
            <v>-1.31</v>
          </cell>
        </row>
        <row r="329">
          <cell r="B329" t="str">
            <v>OTHEREXPENSES</v>
          </cell>
          <cell r="D329">
            <v>31029.73</v>
          </cell>
          <cell r="F329">
            <v>1331.54</v>
          </cell>
          <cell r="H329">
            <v>1139.71</v>
          </cell>
          <cell r="J329">
            <v>37.270000000000003</v>
          </cell>
        </row>
        <row r="330">
          <cell r="B330" t="str">
            <v>CLEARINGSETUPACCOUNT</v>
          </cell>
        </row>
        <row r="331">
          <cell r="B331" t="str">
            <v>CLEARINGACCCASH/BANK</v>
          </cell>
        </row>
        <row r="332">
          <cell r="B332" t="str">
            <v>CLEARINGACCOTHERS</v>
          </cell>
        </row>
        <row r="333">
          <cell r="B333" t="str">
            <v>SUSPENSEACCDEDUCTION</v>
          </cell>
        </row>
        <row r="334">
          <cell r="B334" t="str">
            <v>CLEARINGACCCOSTASSET</v>
          </cell>
        </row>
        <row r="335">
          <cell r="B335" t="str">
            <v>CLEARINGACCDEPRE</v>
          </cell>
        </row>
        <row r="336">
          <cell r="B336" t="str">
            <v>OTHERINCOME/EXSPENSES</v>
          </cell>
          <cell r="D336">
            <v>18787.099999999999</v>
          </cell>
          <cell r="F336">
            <v>1326.12</v>
          </cell>
          <cell r="H336">
            <v>1143.27</v>
          </cell>
          <cell r="J336">
            <v>37.270000000000003</v>
          </cell>
        </row>
        <row r="337">
          <cell r="B337" t="str">
            <v>TAX</v>
          </cell>
        </row>
        <row r="338">
          <cell r="B338" t="str">
            <v>INCOMETAX</v>
          </cell>
        </row>
        <row r="339">
          <cell r="B339" t="str">
            <v>INCOMETAXCURRENT</v>
          </cell>
        </row>
        <row r="340">
          <cell r="B340" t="str">
            <v>INCOMETAXDEFERRED</v>
          </cell>
        </row>
        <row r="341">
          <cell r="B341" t="str">
            <v>INCOMETAX</v>
          </cell>
        </row>
        <row r="342">
          <cell r="B342" t="str">
            <v>INCOMESUMMARY</v>
          </cell>
        </row>
        <row r="343">
          <cell r="B343" t="str">
            <v>TAX</v>
          </cell>
        </row>
        <row r="344">
          <cell r="B344" t="str">
            <v>NETINCOME(LOS)AFTER(=)</v>
          </cell>
          <cell r="D344">
            <v>-1305075.92</v>
          </cell>
          <cell r="F344">
            <v>1648848.56</v>
          </cell>
          <cell r="H344">
            <v>-91954.73</v>
          </cell>
          <cell r="K344">
            <v>-79227.39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N"/>
      <sheetName val="MJK 2"/>
      <sheetName val="MJK 1"/>
      <sheetName val="BJR"/>
      <sheetName val="JAN"/>
      <sheetName val="JAN-DEC"/>
    </sheetNames>
    <sheetDataSet>
      <sheetData sheetId="0">
        <row r="8">
          <cell r="D8">
            <v>826982.18</v>
          </cell>
          <cell r="P8">
            <v>826982.18</v>
          </cell>
        </row>
        <row r="9">
          <cell r="P9">
            <v>0</v>
          </cell>
        </row>
        <row r="10">
          <cell r="P10">
            <v>0</v>
          </cell>
        </row>
        <row r="11">
          <cell r="D11">
            <v>14591.23</v>
          </cell>
          <cell r="P11">
            <v>14591.23</v>
          </cell>
        </row>
        <row r="12">
          <cell r="P12">
            <v>0</v>
          </cell>
        </row>
        <row r="13">
          <cell r="P13">
            <v>0</v>
          </cell>
        </row>
        <row r="14">
          <cell r="P14">
            <v>0</v>
          </cell>
        </row>
        <row r="15">
          <cell r="D15">
            <v>841573.41</v>
          </cell>
          <cell r="P15">
            <v>841573.41</v>
          </cell>
        </row>
        <row r="16">
          <cell r="D16">
            <v>841573.41</v>
          </cell>
          <cell r="P16">
            <v>841573.41</v>
          </cell>
        </row>
        <row r="17">
          <cell r="P17">
            <v>0</v>
          </cell>
        </row>
        <row r="18">
          <cell r="P18">
            <v>0</v>
          </cell>
        </row>
        <row r="19">
          <cell r="D19">
            <v>1321758.24</v>
          </cell>
          <cell r="P19">
            <v>1321758.24</v>
          </cell>
        </row>
        <row r="20">
          <cell r="P20">
            <v>0</v>
          </cell>
        </row>
        <row r="21">
          <cell r="P21">
            <v>0</v>
          </cell>
        </row>
        <row r="22">
          <cell r="P22">
            <v>0</v>
          </cell>
        </row>
        <row r="23">
          <cell r="P23">
            <v>0</v>
          </cell>
        </row>
        <row r="24">
          <cell r="D24">
            <v>1321758.24</v>
          </cell>
          <cell r="P24">
            <v>1321758.24</v>
          </cell>
        </row>
        <row r="25">
          <cell r="P25">
            <v>0</v>
          </cell>
        </row>
        <row r="26">
          <cell r="P26">
            <v>0</v>
          </cell>
        </row>
        <row r="27">
          <cell r="P27">
            <v>0</v>
          </cell>
        </row>
        <row r="28">
          <cell r="P28">
            <v>0</v>
          </cell>
        </row>
        <row r="29">
          <cell r="P29">
            <v>0</v>
          </cell>
        </row>
        <row r="30">
          <cell r="P30">
            <v>0</v>
          </cell>
        </row>
        <row r="31">
          <cell r="P31">
            <v>0</v>
          </cell>
        </row>
        <row r="32">
          <cell r="P32">
            <v>0</v>
          </cell>
        </row>
        <row r="33">
          <cell r="P33">
            <v>0</v>
          </cell>
        </row>
        <row r="34">
          <cell r="P34">
            <v>0</v>
          </cell>
        </row>
        <row r="35">
          <cell r="P35">
            <v>0</v>
          </cell>
        </row>
        <row r="36">
          <cell r="D36">
            <v>1321758.24</v>
          </cell>
          <cell r="P36">
            <v>1321758.24</v>
          </cell>
        </row>
        <row r="37">
          <cell r="P37">
            <v>0</v>
          </cell>
        </row>
        <row r="38">
          <cell r="P38">
            <v>0</v>
          </cell>
        </row>
        <row r="39">
          <cell r="P39">
            <v>0</v>
          </cell>
        </row>
        <row r="40">
          <cell r="P40">
            <v>0</v>
          </cell>
        </row>
        <row r="41">
          <cell r="P41">
            <v>0</v>
          </cell>
        </row>
        <row r="42">
          <cell r="P42">
            <v>0</v>
          </cell>
        </row>
        <row r="43">
          <cell r="P43">
            <v>0</v>
          </cell>
        </row>
        <row r="44">
          <cell r="P44">
            <v>0</v>
          </cell>
        </row>
        <row r="45">
          <cell r="P45">
            <v>0</v>
          </cell>
        </row>
        <row r="46">
          <cell r="P46">
            <v>0</v>
          </cell>
        </row>
        <row r="47">
          <cell r="P47">
            <v>0</v>
          </cell>
        </row>
        <row r="48">
          <cell r="P48">
            <v>0</v>
          </cell>
        </row>
        <row r="49">
          <cell r="P49">
            <v>0</v>
          </cell>
        </row>
        <row r="50">
          <cell r="P50">
            <v>0</v>
          </cell>
        </row>
        <row r="51">
          <cell r="P51">
            <v>0</v>
          </cell>
        </row>
        <row r="52">
          <cell r="P52">
            <v>0</v>
          </cell>
        </row>
        <row r="53">
          <cell r="P53">
            <v>0</v>
          </cell>
        </row>
        <row r="54">
          <cell r="P54">
            <v>0</v>
          </cell>
        </row>
        <row r="55">
          <cell r="P55">
            <v>0</v>
          </cell>
        </row>
        <row r="56">
          <cell r="D56">
            <v>41514.910000000003</v>
          </cell>
          <cell r="P56">
            <v>41514.910000000003</v>
          </cell>
        </row>
        <row r="57">
          <cell r="D57">
            <v>3000</v>
          </cell>
          <cell r="P57">
            <v>3000</v>
          </cell>
        </row>
        <row r="58">
          <cell r="D58">
            <v>2693.84</v>
          </cell>
          <cell r="P58">
            <v>2693.84</v>
          </cell>
        </row>
        <row r="59">
          <cell r="P59">
            <v>0</v>
          </cell>
        </row>
        <row r="60">
          <cell r="D60">
            <v>1075.6500000000001</v>
          </cell>
          <cell r="P60">
            <v>1075.6500000000001</v>
          </cell>
        </row>
        <row r="61">
          <cell r="D61">
            <v>48284.4</v>
          </cell>
          <cell r="P61">
            <v>48284.4</v>
          </cell>
        </row>
        <row r="62">
          <cell r="D62">
            <v>271.61</v>
          </cell>
          <cell r="P62">
            <v>271.61</v>
          </cell>
        </row>
        <row r="63">
          <cell r="D63">
            <v>467.43</v>
          </cell>
          <cell r="P63">
            <v>467.43</v>
          </cell>
        </row>
        <row r="64">
          <cell r="P64">
            <v>0</v>
          </cell>
        </row>
        <row r="65">
          <cell r="D65">
            <v>166.87</v>
          </cell>
          <cell r="P65">
            <v>166.87</v>
          </cell>
        </row>
        <row r="66">
          <cell r="P66">
            <v>0</v>
          </cell>
        </row>
        <row r="67">
          <cell r="P67">
            <v>0</v>
          </cell>
        </row>
        <row r="68">
          <cell r="D68">
            <v>0</v>
          </cell>
          <cell r="P68">
            <v>0</v>
          </cell>
        </row>
        <row r="69">
          <cell r="D69">
            <v>2637.58</v>
          </cell>
          <cell r="P69">
            <v>2637.58</v>
          </cell>
        </row>
        <row r="70">
          <cell r="D70">
            <v>2637.58</v>
          </cell>
          <cell r="P70">
            <v>2637.58</v>
          </cell>
        </row>
        <row r="71">
          <cell r="D71">
            <v>152001.26</v>
          </cell>
          <cell r="P71">
            <v>152001.26</v>
          </cell>
        </row>
        <row r="72">
          <cell r="P72">
            <v>0</v>
          </cell>
        </row>
        <row r="73">
          <cell r="D73">
            <v>2198.4299999999998</v>
          </cell>
          <cell r="P73">
            <v>2198.4299999999998</v>
          </cell>
        </row>
        <row r="74">
          <cell r="D74">
            <v>346.32</v>
          </cell>
          <cell r="P74">
            <v>346.32</v>
          </cell>
        </row>
        <row r="75">
          <cell r="D75">
            <v>897.9</v>
          </cell>
          <cell r="P75">
            <v>897.9</v>
          </cell>
        </row>
        <row r="76">
          <cell r="P76">
            <v>0</v>
          </cell>
        </row>
        <row r="77">
          <cell r="D77">
            <v>0</v>
          </cell>
          <cell r="P77">
            <v>0</v>
          </cell>
        </row>
        <row r="78">
          <cell r="D78">
            <v>-0.26</v>
          </cell>
          <cell r="P78">
            <v>-0.26</v>
          </cell>
        </row>
        <row r="79">
          <cell r="D79">
            <v>0</v>
          </cell>
          <cell r="P79">
            <v>0</v>
          </cell>
        </row>
        <row r="80">
          <cell r="D80">
            <v>3442.39</v>
          </cell>
          <cell r="P80">
            <v>3442.39</v>
          </cell>
        </row>
        <row r="81">
          <cell r="P81">
            <v>0</v>
          </cell>
        </row>
        <row r="82">
          <cell r="P82">
            <v>0</v>
          </cell>
        </row>
        <row r="83">
          <cell r="D83">
            <v>3253.47</v>
          </cell>
          <cell r="P83">
            <v>3253.47</v>
          </cell>
        </row>
        <row r="84">
          <cell r="D84">
            <v>12865.32</v>
          </cell>
          <cell r="P84">
            <v>12865.32</v>
          </cell>
        </row>
        <row r="85">
          <cell r="D85">
            <v>545.99</v>
          </cell>
          <cell r="P85">
            <v>545.99</v>
          </cell>
        </row>
        <row r="86">
          <cell r="P86">
            <v>0</v>
          </cell>
        </row>
        <row r="87">
          <cell r="P87">
            <v>0</v>
          </cell>
        </row>
        <row r="88">
          <cell r="D88">
            <v>752.29</v>
          </cell>
          <cell r="P88">
            <v>752.29</v>
          </cell>
        </row>
        <row r="89">
          <cell r="D89">
            <v>17417.07</v>
          </cell>
          <cell r="P89">
            <v>17417.07</v>
          </cell>
        </row>
        <row r="90">
          <cell r="D90">
            <v>1875.33</v>
          </cell>
          <cell r="P90">
            <v>1875.33</v>
          </cell>
        </row>
        <row r="91">
          <cell r="P91">
            <v>0</v>
          </cell>
        </row>
        <row r="92">
          <cell r="D92">
            <v>28546.11</v>
          </cell>
          <cell r="P92">
            <v>28546.11</v>
          </cell>
        </row>
        <row r="93">
          <cell r="D93">
            <v>496.66</v>
          </cell>
          <cell r="P93">
            <v>496.66</v>
          </cell>
        </row>
        <row r="94">
          <cell r="P94">
            <v>0</v>
          </cell>
        </row>
        <row r="95">
          <cell r="P95">
            <v>0</v>
          </cell>
        </row>
        <row r="96">
          <cell r="P96">
            <v>0</v>
          </cell>
        </row>
        <row r="97">
          <cell r="D97">
            <v>90.41</v>
          </cell>
          <cell r="P97">
            <v>90.41</v>
          </cell>
        </row>
        <row r="98">
          <cell r="P98">
            <v>0</v>
          </cell>
        </row>
        <row r="99">
          <cell r="P99">
            <v>0</v>
          </cell>
        </row>
        <row r="100">
          <cell r="D100">
            <v>905.01</v>
          </cell>
          <cell r="P100">
            <v>905.01</v>
          </cell>
        </row>
        <row r="101">
          <cell r="D101">
            <v>30038.19</v>
          </cell>
          <cell r="P101">
            <v>30038.19</v>
          </cell>
        </row>
        <row r="102">
          <cell r="P102">
            <v>0</v>
          </cell>
        </row>
        <row r="103">
          <cell r="P103">
            <v>0</v>
          </cell>
        </row>
        <row r="104">
          <cell r="D104">
            <v>-48284.4</v>
          </cell>
          <cell r="P104">
            <v>-48284.4</v>
          </cell>
        </row>
        <row r="105">
          <cell r="D105">
            <v>-208317.73</v>
          </cell>
          <cell r="P105">
            <v>-208317.73</v>
          </cell>
        </row>
        <row r="106">
          <cell r="D106">
            <v>-256602.13</v>
          </cell>
          <cell r="P106">
            <v>-256602.13</v>
          </cell>
        </row>
        <row r="107">
          <cell r="P107">
            <v>0</v>
          </cell>
        </row>
        <row r="108">
          <cell r="P108">
            <v>0</v>
          </cell>
        </row>
        <row r="109">
          <cell r="P109">
            <v>0</v>
          </cell>
        </row>
        <row r="110">
          <cell r="P110">
            <v>0</v>
          </cell>
        </row>
        <row r="111">
          <cell r="D111">
            <v>0</v>
          </cell>
          <cell r="P111">
            <v>0</v>
          </cell>
        </row>
        <row r="112">
          <cell r="D112">
            <v>1321758.24</v>
          </cell>
          <cell r="P112">
            <v>1321758.24</v>
          </cell>
        </row>
        <row r="113">
          <cell r="P113">
            <v>0</v>
          </cell>
        </row>
        <row r="114">
          <cell r="P114">
            <v>0</v>
          </cell>
        </row>
        <row r="115">
          <cell r="P115">
            <v>0</v>
          </cell>
        </row>
        <row r="116">
          <cell r="D116">
            <v>357.41</v>
          </cell>
          <cell r="P116">
            <v>357.41</v>
          </cell>
        </row>
        <row r="117">
          <cell r="D117">
            <v>357.41</v>
          </cell>
          <cell r="P117">
            <v>357.41</v>
          </cell>
        </row>
        <row r="118">
          <cell r="P118">
            <v>0</v>
          </cell>
        </row>
        <row r="119">
          <cell r="D119">
            <v>14020.84</v>
          </cell>
          <cell r="P119">
            <v>14020.84</v>
          </cell>
        </row>
        <row r="120">
          <cell r="P120">
            <v>0</v>
          </cell>
        </row>
        <row r="121">
          <cell r="P121">
            <v>0</v>
          </cell>
        </row>
        <row r="122">
          <cell r="D122">
            <v>1134.49</v>
          </cell>
          <cell r="P122">
            <v>1134.49</v>
          </cell>
        </row>
        <row r="123">
          <cell r="D123">
            <v>380.88</v>
          </cell>
          <cell r="P123">
            <v>380.88</v>
          </cell>
        </row>
        <row r="124">
          <cell r="D124">
            <v>467.31</v>
          </cell>
          <cell r="P124">
            <v>467.31</v>
          </cell>
        </row>
        <row r="125">
          <cell r="D125">
            <v>80</v>
          </cell>
          <cell r="P125">
            <v>80</v>
          </cell>
        </row>
        <row r="126">
          <cell r="D126">
            <v>399.4</v>
          </cell>
          <cell r="P126">
            <v>399.4</v>
          </cell>
        </row>
        <row r="127">
          <cell r="P127">
            <v>0</v>
          </cell>
        </row>
        <row r="128">
          <cell r="D128">
            <v>2462.08</v>
          </cell>
          <cell r="P128">
            <v>2462.08</v>
          </cell>
        </row>
        <row r="129">
          <cell r="D129">
            <v>20761.509999999998</v>
          </cell>
          <cell r="P129">
            <v>20761.509999999998</v>
          </cell>
        </row>
        <row r="130">
          <cell r="D130">
            <v>71003.789999999994</v>
          </cell>
          <cell r="P130">
            <v>71003.789999999994</v>
          </cell>
        </row>
        <row r="131">
          <cell r="P131">
            <v>0</v>
          </cell>
        </row>
        <row r="132">
          <cell r="D132">
            <v>108248.21999999999</v>
          </cell>
          <cell r="P132">
            <v>108248.21999999999</v>
          </cell>
        </row>
        <row r="133">
          <cell r="P133">
            <v>0</v>
          </cell>
        </row>
        <row r="134">
          <cell r="D134">
            <v>0</v>
          </cell>
          <cell r="P134">
            <v>0</v>
          </cell>
        </row>
        <row r="135">
          <cell r="D135">
            <v>12053.08</v>
          </cell>
          <cell r="P135">
            <v>12053.08</v>
          </cell>
        </row>
        <row r="136">
          <cell r="D136">
            <v>3384.72</v>
          </cell>
          <cell r="P136">
            <v>3384.72</v>
          </cell>
        </row>
        <row r="137">
          <cell r="D137">
            <v>15437.8</v>
          </cell>
          <cell r="P137">
            <v>15437.8</v>
          </cell>
        </row>
        <row r="138">
          <cell r="D138">
            <v>124043.43</v>
          </cell>
          <cell r="P138">
            <v>124043.43</v>
          </cell>
        </row>
        <row r="139">
          <cell r="P139">
            <v>0</v>
          </cell>
        </row>
        <row r="140">
          <cell r="P140">
            <v>0</v>
          </cell>
        </row>
        <row r="141">
          <cell r="D141">
            <v>43558.74</v>
          </cell>
          <cell r="P141">
            <v>43558.74</v>
          </cell>
        </row>
        <row r="142">
          <cell r="D142">
            <v>-575.35</v>
          </cell>
          <cell r="P142">
            <v>-575.35</v>
          </cell>
        </row>
        <row r="143">
          <cell r="D143">
            <v>2800</v>
          </cell>
          <cell r="P143">
            <v>2800</v>
          </cell>
        </row>
        <row r="144">
          <cell r="D144">
            <v>2741.97</v>
          </cell>
          <cell r="P144">
            <v>2741.97</v>
          </cell>
        </row>
        <row r="145">
          <cell r="P145">
            <v>0</v>
          </cell>
        </row>
        <row r="146">
          <cell r="D146">
            <v>2688.7</v>
          </cell>
          <cell r="P146">
            <v>2688.7</v>
          </cell>
        </row>
        <row r="148">
          <cell r="D148">
            <v>51214.06</v>
          </cell>
          <cell r="P148">
            <v>51214.06</v>
          </cell>
        </row>
        <row r="149">
          <cell r="P149">
            <v>0</v>
          </cell>
        </row>
        <row r="150">
          <cell r="P150">
            <v>0</v>
          </cell>
        </row>
        <row r="151">
          <cell r="D151">
            <v>0</v>
          </cell>
          <cell r="P151">
            <v>0</v>
          </cell>
        </row>
        <row r="152">
          <cell r="P152">
            <v>0</v>
          </cell>
        </row>
        <row r="153">
          <cell r="D153">
            <v>641.96</v>
          </cell>
          <cell r="P153">
            <v>641.96</v>
          </cell>
        </row>
        <row r="154">
          <cell r="D154">
            <v>641.96</v>
          </cell>
          <cell r="P154">
            <v>641.96</v>
          </cell>
        </row>
        <row r="155">
          <cell r="P155">
            <v>0</v>
          </cell>
        </row>
        <row r="156">
          <cell r="P156">
            <v>0</v>
          </cell>
        </row>
        <row r="157">
          <cell r="P157">
            <v>0</v>
          </cell>
        </row>
        <row r="158">
          <cell r="P158">
            <v>0</v>
          </cell>
        </row>
        <row r="159">
          <cell r="P159">
            <v>0</v>
          </cell>
        </row>
        <row r="160">
          <cell r="P160">
            <v>0</v>
          </cell>
        </row>
        <row r="161">
          <cell r="P161">
            <v>0</v>
          </cell>
        </row>
        <row r="162">
          <cell r="P162">
            <v>0</v>
          </cell>
        </row>
        <row r="163">
          <cell r="D163">
            <v>3.21</v>
          </cell>
          <cell r="P163">
            <v>3.21</v>
          </cell>
        </row>
        <row r="164">
          <cell r="D164">
            <v>1758.5</v>
          </cell>
          <cell r="P164">
            <v>1758.5</v>
          </cell>
        </row>
        <row r="165">
          <cell r="D165">
            <v>128.27000000000001</v>
          </cell>
          <cell r="P165">
            <v>128.27000000000001</v>
          </cell>
        </row>
        <row r="166">
          <cell r="P166">
            <v>0</v>
          </cell>
        </row>
        <row r="167">
          <cell r="D167">
            <v>529.76</v>
          </cell>
          <cell r="P167">
            <v>529.76</v>
          </cell>
        </row>
        <row r="168">
          <cell r="P168">
            <v>0</v>
          </cell>
        </row>
        <row r="169">
          <cell r="P169">
            <v>0</v>
          </cell>
        </row>
        <row r="170">
          <cell r="D170">
            <v>529.76</v>
          </cell>
          <cell r="P170">
            <v>529.76</v>
          </cell>
        </row>
        <row r="171">
          <cell r="P171">
            <v>0</v>
          </cell>
        </row>
        <row r="172">
          <cell r="D172">
            <v>1220.19</v>
          </cell>
          <cell r="P172">
            <v>1220.19</v>
          </cell>
        </row>
        <row r="173">
          <cell r="D173">
            <v>0</v>
          </cell>
          <cell r="P173">
            <v>0</v>
          </cell>
        </row>
        <row r="174">
          <cell r="P174">
            <v>0</v>
          </cell>
        </row>
        <row r="175">
          <cell r="D175">
            <v>1220.19</v>
          </cell>
          <cell r="P175">
            <v>1220.19</v>
          </cell>
        </row>
        <row r="176">
          <cell r="D176">
            <v>7151.34</v>
          </cell>
          <cell r="P176">
            <v>7151.34</v>
          </cell>
        </row>
        <row r="177">
          <cell r="D177">
            <v>1539.63</v>
          </cell>
          <cell r="P177">
            <v>1539.63</v>
          </cell>
        </row>
        <row r="178">
          <cell r="P178">
            <v>0</v>
          </cell>
        </row>
        <row r="179">
          <cell r="P179">
            <v>0</v>
          </cell>
        </row>
        <row r="180">
          <cell r="P180">
            <v>0</v>
          </cell>
        </row>
        <row r="181">
          <cell r="P181">
            <v>0</v>
          </cell>
        </row>
        <row r="182">
          <cell r="D182">
            <v>0</v>
          </cell>
          <cell r="P182">
            <v>0</v>
          </cell>
        </row>
        <row r="183">
          <cell r="P183">
            <v>0</v>
          </cell>
        </row>
        <row r="184">
          <cell r="D184">
            <v>221.14</v>
          </cell>
          <cell r="P184">
            <v>221.14</v>
          </cell>
        </row>
        <row r="185">
          <cell r="D185">
            <v>969.71</v>
          </cell>
          <cell r="P185">
            <v>969.71</v>
          </cell>
        </row>
        <row r="186">
          <cell r="P186">
            <v>0</v>
          </cell>
        </row>
        <row r="187">
          <cell r="D187">
            <v>1190.8499999999999</v>
          </cell>
          <cell r="P187">
            <v>1190.8499999999999</v>
          </cell>
        </row>
        <row r="188">
          <cell r="P188">
            <v>0</v>
          </cell>
        </row>
        <row r="189">
          <cell r="D189">
            <v>2272.27</v>
          </cell>
          <cell r="P189">
            <v>2272.27</v>
          </cell>
        </row>
        <row r="190">
          <cell r="D190">
            <v>3361.98</v>
          </cell>
          <cell r="P190">
            <v>3361.98</v>
          </cell>
        </row>
        <row r="191">
          <cell r="D191">
            <v>1427.97</v>
          </cell>
          <cell r="P191">
            <v>1427.97</v>
          </cell>
        </row>
        <row r="192">
          <cell r="P192">
            <v>0</v>
          </cell>
        </row>
        <row r="193">
          <cell r="P193">
            <v>0</v>
          </cell>
        </row>
        <row r="194">
          <cell r="P194">
            <v>0</v>
          </cell>
        </row>
        <row r="195">
          <cell r="P195">
            <v>0</v>
          </cell>
        </row>
        <row r="196">
          <cell r="P196">
            <v>0</v>
          </cell>
        </row>
        <row r="197">
          <cell r="D197">
            <v>7062.22</v>
          </cell>
          <cell r="P197">
            <v>7062.22</v>
          </cell>
        </row>
        <row r="198">
          <cell r="D198">
            <v>72439.990000000005</v>
          </cell>
          <cell r="P198">
            <v>72439.990000000005</v>
          </cell>
        </row>
        <row r="199">
          <cell r="P199">
            <v>0</v>
          </cell>
        </row>
        <row r="200">
          <cell r="P200">
            <v>0</v>
          </cell>
        </row>
        <row r="201">
          <cell r="D201">
            <v>-23.39</v>
          </cell>
          <cell r="P201">
            <v>-23.39</v>
          </cell>
        </row>
        <row r="202">
          <cell r="D202">
            <v>0</v>
          </cell>
          <cell r="P202">
            <v>0</v>
          </cell>
        </row>
        <row r="203">
          <cell r="P203">
            <v>0</v>
          </cell>
        </row>
        <row r="204">
          <cell r="P204">
            <v>0</v>
          </cell>
        </row>
        <row r="205">
          <cell r="P205">
            <v>0</v>
          </cell>
        </row>
        <row r="206">
          <cell r="D206">
            <v>0</v>
          </cell>
          <cell r="P206">
            <v>0</v>
          </cell>
        </row>
        <row r="207">
          <cell r="P207">
            <v>0</v>
          </cell>
        </row>
        <row r="208">
          <cell r="P208">
            <v>0</v>
          </cell>
        </row>
        <row r="209">
          <cell r="D209">
            <v>-1284.67</v>
          </cell>
          <cell r="P209">
            <v>-1284.67</v>
          </cell>
        </row>
        <row r="210">
          <cell r="D210">
            <v>160.26</v>
          </cell>
          <cell r="P210">
            <v>160.26</v>
          </cell>
        </row>
        <row r="211">
          <cell r="P211">
            <v>0</v>
          </cell>
        </row>
        <row r="212">
          <cell r="D212">
            <v>-15231.99</v>
          </cell>
          <cell r="P212">
            <v>-15231.99</v>
          </cell>
        </row>
        <row r="213">
          <cell r="P213">
            <v>0</v>
          </cell>
        </row>
        <row r="214">
          <cell r="D214">
            <v>-16379.79</v>
          </cell>
          <cell r="P214">
            <v>-16379.79</v>
          </cell>
        </row>
        <row r="215">
          <cell r="P215">
            <v>0</v>
          </cell>
        </row>
        <row r="216">
          <cell r="P216">
            <v>0</v>
          </cell>
        </row>
        <row r="217">
          <cell r="P217">
            <v>0</v>
          </cell>
        </row>
        <row r="218">
          <cell r="D218">
            <v>34176.43</v>
          </cell>
          <cell r="P218">
            <v>34176.43</v>
          </cell>
        </row>
        <row r="219">
          <cell r="D219">
            <v>34176.43</v>
          </cell>
          <cell r="P219">
            <v>34176.43</v>
          </cell>
        </row>
        <row r="220">
          <cell r="P220">
            <v>0</v>
          </cell>
        </row>
        <row r="221">
          <cell r="D221">
            <v>-26785.69</v>
          </cell>
          <cell r="P221">
            <v>-26785.69</v>
          </cell>
        </row>
        <row r="222">
          <cell r="D222">
            <v>-3439.89</v>
          </cell>
          <cell r="P222">
            <v>-3439.89</v>
          </cell>
        </row>
        <row r="223">
          <cell r="D223">
            <v>-30225.579999999998</v>
          </cell>
          <cell r="P223">
            <v>-30225.579999999998</v>
          </cell>
        </row>
        <row r="224">
          <cell r="D224">
            <v>67169</v>
          </cell>
          <cell r="P224">
            <v>67169</v>
          </cell>
        </row>
        <row r="225">
          <cell r="P225">
            <v>0</v>
          </cell>
        </row>
        <row r="226">
          <cell r="D226">
            <v>2509.0100000000002</v>
          </cell>
          <cell r="P226">
            <v>2509.0100000000002</v>
          </cell>
        </row>
        <row r="227">
          <cell r="D227">
            <v>0</v>
          </cell>
          <cell r="P227">
            <v>0</v>
          </cell>
        </row>
        <row r="228">
          <cell r="P228">
            <v>0</v>
          </cell>
        </row>
        <row r="229">
          <cell r="D229">
            <v>2509.0100000000002</v>
          </cell>
          <cell r="P229">
            <v>2509.0100000000002</v>
          </cell>
        </row>
        <row r="230">
          <cell r="P230">
            <v>0</v>
          </cell>
        </row>
        <row r="231">
          <cell r="P231">
            <v>0</v>
          </cell>
        </row>
        <row r="232">
          <cell r="P232">
            <v>0</v>
          </cell>
        </row>
        <row r="233">
          <cell r="P233">
            <v>0</v>
          </cell>
        </row>
        <row r="234">
          <cell r="P234">
            <v>0</v>
          </cell>
        </row>
        <row r="235">
          <cell r="D235">
            <v>1169.43</v>
          </cell>
          <cell r="P235">
            <v>1169.43</v>
          </cell>
        </row>
        <row r="236">
          <cell r="P236">
            <v>0</v>
          </cell>
        </row>
        <row r="237">
          <cell r="D237">
            <v>0</v>
          </cell>
          <cell r="P237">
            <v>0</v>
          </cell>
        </row>
        <row r="238">
          <cell r="P238">
            <v>0</v>
          </cell>
        </row>
        <row r="239">
          <cell r="P239">
            <v>0</v>
          </cell>
        </row>
        <row r="240">
          <cell r="P240">
            <v>0</v>
          </cell>
        </row>
        <row r="241">
          <cell r="P241">
            <v>0</v>
          </cell>
        </row>
        <row r="242">
          <cell r="D242">
            <v>659.35</v>
          </cell>
          <cell r="P242">
            <v>659.35</v>
          </cell>
        </row>
        <row r="243">
          <cell r="D243">
            <v>75457.64</v>
          </cell>
          <cell r="P243">
            <v>75457.64</v>
          </cell>
        </row>
        <row r="244">
          <cell r="P244">
            <v>0</v>
          </cell>
        </row>
        <row r="245">
          <cell r="P245">
            <v>0</v>
          </cell>
        </row>
        <row r="246">
          <cell r="P246">
            <v>0</v>
          </cell>
        </row>
        <row r="247">
          <cell r="P247">
            <v>0</v>
          </cell>
        </row>
        <row r="248">
          <cell r="D248">
            <v>59077.85</v>
          </cell>
          <cell r="P248">
            <v>59077.85</v>
          </cell>
        </row>
        <row r="249">
          <cell r="P249">
            <v>0</v>
          </cell>
        </row>
        <row r="250">
          <cell r="P250">
            <v>0</v>
          </cell>
        </row>
        <row r="251">
          <cell r="P251">
            <v>0</v>
          </cell>
        </row>
        <row r="252">
          <cell r="P252">
            <v>0</v>
          </cell>
        </row>
        <row r="253">
          <cell r="D253">
            <v>-735746.1</v>
          </cell>
          <cell r="P253">
            <v>-735746.1</v>
          </cell>
        </row>
      </sheetData>
      <sheetData sheetId="1">
        <row r="8">
          <cell r="D8">
            <v>947218.31</v>
          </cell>
          <cell r="P8">
            <v>947218.31</v>
          </cell>
        </row>
        <row r="9">
          <cell r="D9">
            <v>0</v>
          </cell>
          <cell r="P9">
            <v>0</v>
          </cell>
        </row>
        <row r="10">
          <cell r="P10">
            <v>0</v>
          </cell>
        </row>
        <row r="11">
          <cell r="D11">
            <v>58.28</v>
          </cell>
          <cell r="P11">
            <v>58.28</v>
          </cell>
        </row>
        <row r="12">
          <cell r="D12">
            <v>0</v>
          </cell>
          <cell r="P12">
            <v>0</v>
          </cell>
        </row>
        <row r="13">
          <cell r="P13">
            <v>0</v>
          </cell>
        </row>
        <row r="14">
          <cell r="P14">
            <v>0</v>
          </cell>
        </row>
        <row r="15">
          <cell r="D15">
            <v>947276.59000000008</v>
          </cell>
          <cell r="P15">
            <v>947276.59000000008</v>
          </cell>
        </row>
        <row r="16">
          <cell r="D16">
            <v>947276.59000000008</v>
          </cell>
          <cell r="P16">
            <v>947276.59000000008</v>
          </cell>
        </row>
        <row r="17">
          <cell r="P17">
            <v>0</v>
          </cell>
        </row>
        <row r="18">
          <cell r="P18">
            <v>0</v>
          </cell>
        </row>
        <row r="19">
          <cell r="D19">
            <v>239283.4</v>
          </cell>
          <cell r="P19">
            <v>239283.4</v>
          </cell>
        </row>
        <row r="20">
          <cell r="P20">
            <v>0</v>
          </cell>
        </row>
        <row r="21">
          <cell r="P21">
            <v>0</v>
          </cell>
        </row>
        <row r="22">
          <cell r="P22">
            <v>0</v>
          </cell>
        </row>
        <row r="23">
          <cell r="P23">
            <v>0</v>
          </cell>
        </row>
        <row r="24">
          <cell r="D24">
            <v>239283.4</v>
          </cell>
          <cell r="P24">
            <v>239283.4</v>
          </cell>
        </row>
        <row r="25">
          <cell r="D25">
            <v>0</v>
          </cell>
          <cell r="P25">
            <v>0</v>
          </cell>
        </row>
        <row r="26">
          <cell r="P26">
            <v>0</v>
          </cell>
        </row>
        <row r="27">
          <cell r="P27">
            <v>0</v>
          </cell>
        </row>
        <row r="28">
          <cell r="P28">
            <v>0</v>
          </cell>
        </row>
        <row r="29">
          <cell r="D29">
            <v>0</v>
          </cell>
          <cell r="P29">
            <v>0</v>
          </cell>
        </row>
        <row r="30">
          <cell r="P30">
            <v>0</v>
          </cell>
        </row>
        <row r="31">
          <cell r="P31">
            <v>0</v>
          </cell>
        </row>
        <row r="32">
          <cell r="P32">
            <v>0</v>
          </cell>
        </row>
        <row r="33">
          <cell r="P33">
            <v>0</v>
          </cell>
        </row>
        <row r="34">
          <cell r="P34">
            <v>0</v>
          </cell>
        </row>
        <row r="35">
          <cell r="D35">
            <v>0</v>
          </cell>
          <cell r="P35">
            <v>0</v>
          </cell>
        </row>
        <row r="36">
          <cell r="D36">
            <v>239283.4</v>
          </cell>
          <cell r="P36">
            <v>239283.4</v>
          </cell>
        </row>
        <row r="37">
          <cell r="P37">
            <v>0</v>
          </cell>
        </row>
        <row r="38">
          <cell r="P38">
            <v>0</v>
          </cell>
        </row>
        <row r="39">
          <cell r="P39">
            <v>0</v>
          </cell>
        </row>
        <row r="40">
          <cell r="P40">
            <v>0</v>
          </cell>
        </row>
        <row r="41">
          <cell r="P41">
            <v>0</v>
          </cell>
        </row>
        <row r="42">
          <cell r="P42">
            <v>0</v>
          </cell>
        </row>
        <row r="43">
          <cell r="P43">
            <v>0</v>
          </cell>
        </row>
        <row r="44">
          <cell r="P44">
            <v>0</v>
          </cell>
        </row>
        <row r="45">
          <cell r="P45">
            <v>0</v>
          </cell>
        </row>
        <row r="46">
          <cell r="P46">
            <v>0</v>
          </cell>
        </row>
        <row r="47">
          <cell r="P47">
            <v>0</v>
          </cell>
        </row>
        <row r="48">
          <cell r="P48">
            <v>0</v>
          </cell>
        </row>
        <row r="49">
          <cell r="P49">
            <v>0</v>
          </cell>
        </row>
        <row r="50">
          <cell r="P50">
            <v>0</v>
          </cell>
        </row>
        <row r="51">
          <cell r="P51">
            <v>0</v>
          </cell>
        </row>
        <row r="52">
          <cell r="P52">
            <v>0</v>
          </cell>
        </row>
        <row r="53">
          <cell r="P53">
            <v>0</v>
          </cell>
        </row>
        <row r="54">
          <cell r="P54">
            <v>0</v>
          </cell>
        </row>
        <row r="55">
          <cell r="P55">
            <v>0</v>
          </cell>
        </row>
        <row r="56">
          <cell r="D56">
            <v>115423.71</v>
          </cell>
          <cell r="P56">
            <v>115423.71</v>
          </cell>
        </row>
        <row r="57">
          <cell r="D57">
            <v>8000</v>
          </cell>
          <cell r="P57">
            <v>8000</v>
          </cell>
        </row>
        <row r="58">
          <cell r="D58">
            <v>5193.18</v>
          </cell>
          <cell r="P58">
            <v>5193.18</v>
          </cell>
        </row>
        <row r="59">
          <cell r="D59">
            <v>0</v>
          </cell>
          <cell r="P59">
            <v>0</v>
          </cell>
        </row>
        <row r="60">
          <cell r="D60">
            <v>7053.86</v>
          </cell>
          <cell r="P60">
            <v>7053.86</v>
          </cell>
        </row>
        <row r="61">
          <cell r="D61">
            <v>135670.75</v>
          </cell>
          <cell r="P61">
            <v>135670.75</v>
          </cell>
        </row>
        <row r="62">
          <cell r="D62">
            <v>4747.07</v>
          </cell>
          <cell r="P62">
            <v>4747.07</v>
          </cell>
        </row>
        <row r="63">
          <cell r="D63">
            <v>505.51</v>
          </cell>
          <cell r="P63">
            <v>505.51</v>
          </cell>
        </row>
        <row r="64">
          <cell r="D64">
            <v>0</v>
          </cell>
          <cell r="P64">
            <v>0</v>
          </cell>
        </row>
        <row r="65">
          <cell r="D65">
            <v>0</v>
          </cell>
          <cell r="P65">
            <v>0</v>
          </cell>
        </row>
        <row r="66">
          <cell r="P66">
            <v>0</v>
          </cell>
        </row>
        <row r="67">
          <cell r="P67">
            <v>0</v>
          </cell>
        </row>
        <row r="68">
          <cell r="D68">
            <v>307.2</v>
          </cell>
          <cell r="P68">
            <v>307.2</v>
          </cell>
        </row>
        <row r="69">
          <cell r="D69">
            <v>3379.93</v>
          </cell>
          <cell r="P69">
            <v>3379.93</v>
          </cell>
        </row>
        <row r="70">
          <cell r="D70">
            <v>3687.1299999999997</v>
          </cell>
          <cell r="P70">
            <v>3687.1299999999997</v>
          </cell>
        </row>
        <row r="71">
          <cell r="D71">
            <v>43806.35</v>
          </cell>
          <cell r="P71">
            <v>43806.35</v>
          </cell>
        </row>
        <row r="72">
          <cell r="P72">
            <v>0</v>
          </cell>
        </row>
        <row r="73">
          <cell r="D73">
            <v>291.62</v>
          </cell>
          <cell r="P73">
            <v>291.62</v>
          </cell>
        </row>
        <row r="74">
          <cell r="D74">
            <v>0</v>
          </cell>
          <cell r="P74">
            <v>0</v>
          </cell>
        </row>
        <row r="75">
          <cell r="D75">
            <v>-24.64</v>
          </cell>
          <cell r="P75">
            <v>-24.64</v>
          </cell>
        </row>
        <row r="76">
          <cell r="D76">
            <v>0</v>
          </cell>
          <cell r="P76">
            <v>0</v>
          </cell>
        </row>
        <row r="77">
          <cell r="D77">
            <v>0</v>
          </cell>
          <cell r="P77">
            <v>0</v>
          </cell>
        </row>
        <row r="78">
          <cell r="D78">
            <v>0</v>
          </cell>
          <cell r="P78">
            <v>0</v>
          </cell>
        </row>
        <row r="79">
          <cell r="P79">
            <v>0</v>
          </cell>
        </row>
        <row r="80">
          <cell r="D80">
            <v>266.98</v>
          </cell>
          <cell r="P80">
            <v>266.98</v>
          </cell>
        </row>
        <row r="81">
          <cell r="P81">
            <v>0</v>
          </cell>
        </row>
        <row r="82">
          <cell r="D82">
            <v>0</v>
          </cell>
          <cell r="P82">
            <v>0</v>
          </cell>
        </row>
        <row r="83">
          <cell r="D83">
            <v>8709.69</v>
          </cell>
          <cell r="P83">
            <v>8709.69</v>
          </cell>
        </row>
        <row r="84">
          <cell r="D84">
            <v>17583.189999999999</v>
          </cell>
          <cell r="P84">
            <v>17583.189999999999</v>
          </cell>
        </row>
        <row r="85">
          <cell r="D85">
            <v>3423.61</v>
          </cell>
          <cell r="P85">
            <v>3423.61</v>
          </cell>
        </row>
        <row r="86">
          <cell r="P86">
            <v>0</v>
          </cell>
        </row>
        <row r="87">
          <cell r="P87">
            <v>0</v>
          </cell>
        </row>
        <row r="88">
          <cell r="D88">
            <v>652.16999999999996</v>
          </cell>
          <cell r="P88">
            <v>652.16999999999996</v>
          </cell>
        </row>
        <row r="89">
          <cell r="D89">
            <v>30368.659999999996</v>
          </cell>
          <cell r="P89">
            <v>30368.659999999996</v>
          </cell>
        </row>
        <row r="90">
          <cell r="D90">
            <v>1568.34</v>
          </cell>
          <cell r="P90">
            <v>1568.34</v>
          </cell>
        </row>
        <row r="91">
          <cell r="P91">
            <v>0</v>
          </cell>
        </row>
        <row r="92">
          <cell r="D92">
            <v>4611.42</v>
          </cell>
          <cell r="P92">
            <v>4611.42</v>
          </cell>
        </row>
        <row r="93">
          <cell r="D93">
            <v>3702.3</v>
          </cell>
          <cell r="P93">
            <v>3702.3</v>
          </cell>
        </row>
        <row r="94">
          <cell r="D94">
            <v>0</v>
          </cell>
          <cell r="P94">
            <v>0</v>
          </cell>
        </row>
        <row r="95">
          <cell r="D95">
            <v>0</v>
          </cell>
          <cell r="P95">
            <v>0</v>
          </cell>
        </row>
        <row r="96">
          <cell r="D96">
            <v>8759.68</v>
          </cell>
          <cell r="P96">
            <v>8759.68</v>
          </cell>
        </row>
        <row r="97">
          <cell r="D97">
            <v>0</v>
          </cell>
          <cell r="P97">
            <v>0</v>
          </cell>
        </row>
        <row r="98">
          <cell r="D98">
            <v>0</v>
          </cell>
          <cell r="P98">
            <v>0</v>
          </cell>
        </row>
        <row r="99">
          <cell r="D99">
            <v>0</v>
          </cell>
          <cell r="P99">
            <v>0</v>
          </cell>
        </row>
        <row r="100">
          <cell r="D100">
            <v>1589.21</v>
          </cell>
          <cell r="P100">
            <v>1589.21</v>
          </cell>
        </row>
        <row r="101">
          <cell r="D101">
            <v>18662.61</v>
          </cell>
          <cell r="P101">
            <v>18662.61</v>
          </cell>
        </row>
        <row r="102">
          <cell r="P102">
            <v>0</v>
          </cell>
        </row>
        <row r="103">
          <cell r="P103">
            <v>0</v>
          </cell>
        </row>
        <row r="104">
          <cell r="D104">
            <v>-135670.75</v>
          </cell>
          <cell r="P104">
            <v>-135670.75</v>
          </cell>
        </row>
        <row r="105">
          <cell r="D105">
            <v>-103612.65</v>
          </cell>
          <cell r="P105">
            <v>-103612.65</v>
          </cell>
        </row>
        <row r="106">
          <cell r="D106">
            <v>-239283.4</v>
          </cell>
          <cell r="P106">
            <v>-239283.4</v>
          </cell>
        </row>
        <row r="107">
          <cell r="P107">
            <v>0</v>
          </cell>
        </row>
        <row r="108">
          <cell r="P108">
            <v>0</v>
          </cell>
        </row>
        <row r="109">
          <cell r="P109">
            <v>0</v>
          </cell>
        </row>
        <row r="110">
          <cell r="P110">
            <v>0</v>
          </cell>
        </row>
        <row r="111">
          <cell r="D111">
            <v>5.8207660913467407E-11</v>
          </cell>
          <cell r="P111">
            <v>5.8207660913467407E-11</v>
          </cell>
        </row>
        <row r="112">
          <cell r="D112">
            <v>239283.4</v>
          </cell>
          <cell r="P112">
            <v>239283.4</v>
          </cell>
        </row>
        <row r="113">
          <cell r="P113">
            <v>0</v>
          </cell>
        </row>
        <row r="114">
          <cell r="P114">
            <v>0</v>
          </cell>
        </row>
        <row r="115">
          <cell r="P115">
            <v>0</v>
          </cell>
        </row>
        <row r="116">
          <cell r="D116">
            <v>23.23</v>
          </cell>
          <cell r="P116">
            <v>23.23</v>
          </cell>
        </row>
        <row r="117">
          <cell r="D117">
            <v>23.23</v>
          </cell>
          <cell r="P117">
            <v>23.23</v>
          </cell>
        </row>
        <row r="118">
          <cell r="P118">
            <v>0</v>
          </cell>
        </row>
        <row r="119">
          <cell r="D119">
            <v>0</v>
          </cell>
          <cell r="P119">
            <v>0</v>
          </cell>
        </row>
        <row r="120">
          <cell r="P120">
            <v>0</v>
          </cell>
        </row>
        <row r="121">
          <cell r="P121">
            <v>0</v>
          </cell>
        </row>
        <row r="122">
          <cell r="D122">
            <v>0</v>
          </cell>
          <cell r="P122">
            <v>0</v>
          </cell>
        </row>
        <row r="123">
          <cell r="D123">
            <v>0</v>
          </cell>
          <cell r="P123">
            <v>0</v>
          </cell>
        </row>
        <row r="124">
          <cell r="D124">
            <v>0</v>
          </cell>
          <cell r="P124">
            <v>0</v>
          </cell>
        </row>
        <row r="125">
          <cell r="D125">
            <v>0</v>
          </cell>
          <cell r="P125">
            <v>0</v>
          </cell>
        </row>
        <row r="126">
          <cell r="D126">
            <v>0</v>
          </cell>
          <cell r="P126">
            <v>0</v>
          </cell>
        </row>
        <row r="127">
          <cell r="P127">
            <v>0</v>
          </cell>
        </row>
        <row r="128">
          <cell r="D128">
            <v>0</v>
          </cell>
          <cell r="P128">
            <v>0</v>
          </cell>
        </row>
        <row r="129">
          <cell r="D129">
            <v>96.2</v>
          </cell>
          <cell r="P129">
            <v>96.2</v>
          </cell>
        </row>
        <row r="130">
          <cell r="D130">
            <v>0</v>
          </cell>
          <cell r="P130">
            <v>0</v>
          </cell>
        </row>
        <row r="131">
          <cell r="P131">
            <v>0</v>
          </cell>
        </row>
        <row r="132">
          <cell r="D132">
            <v>96.2</v>
          </cell>
          <cell r="P132">
            <v>96.2</v>
          </cell>
        </row>
        <row r="133">
          <cell r="P133">
            <v>0</v>
          </cell>
        </row>
        <row r="134">
          <cell r="D134">
            <v>0</v>
          </cell>
          <cell r="P134">
            <v>0</v>
          </cell>
        </row>
        <row r="135">
          <cell r="D135">
            <v>0</v>
          </cell>
          <cell r="P135">
            <v>0</v>
          </cell>
        </row>
        <row r="136">
          <cell r="D136">
            <v>-111.52</v>
          </cell>
          <cell r="P136">
            <v>-111.52</v>
          </cell>
        </row>
        <row r="137">
          <cell r="D137">
            <v>-111.52</v>
          </cell>
          <cell r="P137">
            <v>-111.52</v>
          </cell>
        </row>
        <row r="138">
          <cell r="D138">
            <v>7.9100000000000072</v>
          </cell>
          <cell r="P138">
            <v>7.9100000000000072</v>
          </cell>
        </row>
        <row r="139">
          <cell r="P139">
            <v>0</v>
          </cell>
        </row>
        <row r="140">
          <cell r="P140">
            <v>0</v>
          </cell>
        </row>
        <row r="141">
          <cell r="D141">
            <v>5728.64</v>
          </cell>
          <cell r="P141">
            <v>5728.64</v>
          </cell>
        </row>
        <row r="142">
          <cell r="D142">
            <v>-49.44</v>
          </cell>
          <cell r="P142">
            <v>-49.44</v>
          </cell>
        </row>
        <row r="143">
          <cell r="D143">
            <v>500</v>
          </cell>
          <cell r="P143">
            <v>500</v>
          </cell>
        </row>
        <row r="144">
          <cell r="D144">
            <v>0</v>
          </cell>
          <cell r="P144">
            <v>0</v>
          </cell>
        </row>
        <row r="145">
          <cell r="D145">
            <v>0</v>
          </cell>
          <cell r="P145">
            <v>0</v>
          </cell>
        </row>
        <row r="146">
          <cell r="D146">
            <v>-115.91</v>
          </cell>
          <cell r="P146">
            <v>-115.91</v>
          </cell>
        </row>
        <row r="148">
          <cell r="D148">
            <v>6063.2900000000009</v>
          </cell>
          <cell r="P148">
            <v>6063.2900000000009</v>
          </cell>
        </row>
        <row r="149">
          <cell r="P149">
            <v>0</v>
          </cell>
        </row>
        <row r="150">
          <cell r="D150">
            <v>0</v>
          </cell>
          <cell r="P150">
            <v>0</v>
          </cell>
        </row>
        <row r="151">
          <cell r="D151">
            <v>0</v>
          </cell>
          <cell r="P151">
            <v>0</v>
          </cell>
        </row>
        <row r="152">
          <cell r="D152">
            <v>0</v>
          </cell>
          <cell r="P152">
            <v>0</v>
          </cell>
        </row>
        <row r="153">
          <cell r="D153">
            <v>320.36</v>
          </cell>
          <cell r="P153">
            <v>320.36</v>
          </cell>
        </row>
        <row r="154">
          <cell r="D154">
            <v>320.36</v>
          </cell>
          <cell r="P154">
            <v>320.36</v>
          </cell>
        </row>
        <row r="155">
          <cell r="P155">
            <v>0</v>
          </cell>
        </row>
        <row r="156">
          <cell r="P156">
            <v>0</v>
          </cell>
        </row>
        <row r="157">
          <cell r="P157">
            <v>0</v>
          </cell>
        </row>
        <row r="158">
          <cell r="P158">
            <v>0</v>
          </cell>
        </row>
        <row r="159">
          <cell r="P159">
            <v>0</v>
          </cell>
        </row>
        <row r="160">
          <cell r="P160">
            <v>0</v>
          </cell>
        </row>
        <row r="161">
          <cell r="P161">
            <v>0</v>
          </cell>
        </row>
        <row r="162">
          <cell r="D162">
            <v>0</v>
          </cell>
          <cell r="P162">
            <v>0</v>
          </cell>
        </row>
        <row r="163">
          <cell r="D163">
            <v>64.14</v>
          </cell>
          <cell r="P163">
            <v>64.14</v>
          </cell>
        </row>
        <row r="164">
          <cell r="D164">
            <v>1687.71</v>
          </cell>
          <cell r="P164">
            <v>1687.71</v>
          </cell>
        </row>
        <row r="165">
          <cell r="D165">
            <v>518.41</v>
          </cell>
          <cell r="P165">
            <v>518.41</v>
          </cell>
        </row>
        <row r="166">
          <cell r="P166">
            <v>0</v>
          </cell>
        </row>
        <row r="167">
          <cell r="D167">
            <v>141.1</v>
          </cell>
          <cell r="P167">
            <v>141.1</v>
          </cell>
        </row>
        <row r="168">
          <cell r="D168">
            <v>0</v>
          </cell>
          <cell r="P168">
            <v>0</v>
          </cell>
        </row>
        <row r="169">
          <cell r="P169">
            <v>0</v>
          </cell>
        </row>
        <row r="170">
          <cell r="D170">
            <v>141.1</v>
          </cell>
          <cell r="P170">
            <v>141.1</v>
          </cell>
        </row>
        <row r="171">
          <cell r="P171">
            <v>0</v>
          </cell>
        </row>
        <row r="172">
          <cell r="D172">
            <v>141.02000000000001</v>
          </cell>
          <cell r="P172">
            <v>141.02000000000001</v>
          </cell>
        </row>
        <row r="173">
          <cell r="D173">
            <v>0</v>
          </cell>
          <cell r="P173">
            <v>0</v>
          </cell>
        </row>
        <row r="174">
          <cell r="P174">
            <v>0</v>
          </cell>
        </row>
        <row r="175">
          <cell r="D175">
            <v>141.02000000000001</v>
          </cell>
          <cell r="P175">
            <v>141.02000000000001</v>
          </cell>
        </row>
        <row r="176">
          <cell r="D176">
            <v>4400.3599999999997</v>
          </cell>
          <cell r="P176">
            <v>4400.3599999999997</v>
          </cell>
        </row>
        <row r="177">
          <cell r="D177">
            <v>499.03</v>
          </cell>
          <cell r="P177">
            <v>499.03</v>
          </cell>
        </row>
        <row r="178">
          <cell r="P178">
            <v>0</v>
          </cell>
        </row>
        <row r="179">
          <cell r="P179">
            <v>0</v>
          </cell>
        </row>
        <row r="180">
          <cell r="P180">
            <v>0</v>
          </cell>
        </row>
        <row r="181">
          <cell r="P181">
            <v>0</v>
          </cell>
        </row>
        <row r="182">
          <cell r="D182">
            <v>0</v>
          </cell>
          <cell r="P182">
            <v>0</v>
          </cell>
        </row>
        <row r="183">
          <cell r="P183">
            <v>0</v>
          </cell>
        </row>
        <row r="184">
          <cell r="D184">
            <v>521.98</v>
          </cell>
          <cell r="P184">
            <v>521.98</v>
          </cell>
        </row>
        <row r="185">
          <cell r="D185">
            <v>0</v>
          </cell>
          <cell r="P185">
            <v>0</v>
          </cell>
        </row>
        <row r="186">
          <cell r="D186">
            <v>0</v>
          </cell>
          <cell r="P186">
            <v>0</v>
          </cell>
        </row>
        <row r="187">
          <cell r="D187">
            <v>521.98</v>
          </cell>
          <cell r="P187">
            <v>521.98</v>
          </cell>
        </row>
        <row r="188">
          <cell r="P188">
            <v>0</v>
          </cell>
        </row>
        <row r="189">
          <cell r="D189">
            <v>450.63</v>
          </cell>
          <cell r="P189">
            <v>450.63</v>
          </cell>
        </row>
        <row r="190">
          <cell r="P190">
            <v>0</v>
          </cell>
        </row>
        <row r="191">
          <cell r="D191">
            <v>1127.19</v>
          </cell>
          <cell r="P191">
            <v>1127.19</v>
          </cell>
        </row>
        <row r="192">
          <cell r="D192">
            <v>0</v>
          </cell>
          <cell r="P192">
            <v>0</v>
          </cell>
        </row>
        <row r="193">
          <cell r="D193">
            <v>0</v>
          </cell>
          <cell r="P193">
            <v>0</v>
          </cell>
        </row>
        <row r="194">
          <cell r="D194">
            <v>0</v>
          </cell>
          <cell r="P194">
            <v>0</v>
          </cell>
        </row>
        <row r="195">
          <cell r="D195">
            <v>0</v>
          </cell>
          <cell r="P195">
            <v>0</v>
          </cell>
        </row>
        <row r="196">
          <cell r="D196">
            <v>0</v>
          </cell>
          <cell r="P196">
            <v>0</v>
          </cell>
        </row>
        <row r="197">
          <cell r="D197">
            <v>1577.8200000000002</v>
          </cell>
          <cell r="P197">
            <v>1577.8200000000002</v>
          </cell>
        </row>
        <row r="198">
          <cell r="D198">
            <v>15935.220000000003</v>
          </cell>
          <cell r="P198">
            <v>15935.220000000003</v>
          </cell>
        </row>
        <row r="199">
          <cell r="P199">
            <v>0</v>
          </cell>
        </row>
        <row r="200">
          <cell r="P200">
            <v>0</v>
          </cell>
        </row>
        <row r="201">
          <cell r="D201">
            <v>0</v>
          </cell>
          <cell r="P201">
            <v>0</v>
          </cell>
        </row>
        <row r="202">
          <cell r="P202">
            <v>0</v>
          </cell>
        </row>
        <row r="203">
          <cell r="P203">
            <v>0</v>
          </cell>
        </row>
        <row r="204">
          <cell r="D204">
            <v>0</v>
          </cell>
          <cell r="P204">
            <v>0</v>
          </cell>
        </row>
        <row r="205">
          <cell r="P205">
            <v>0</v>
          </cell>
        </row>
        <row r="206">
          <cell r="D206">
            <v>0</v>
          </cell>
          <cell r="P206">
            <v>0</v>
          </cell>
        </row>
        <row r="207">
          <cell r="P207">
            <v>0</v>
          </cell>
        </row>
        <row r="208">
          <cell r="P208">
            <v>0</v>
          </cell>
        </row>
        <row r="209">
          <cell r="D209">
            <v>-0.06</v>
          </cell>
          <cell r="P209">
            <v>-0.06</v>
          </cell>
        </row>
        <row r="210">
          <cell r="D210">
            <v>0</v>
          </cell>
          <cell r="P210">
            <v>0</v>
          </cell>
        </row>
        <row r="211">
          <cell r="D211">
            <v>0</v>
          </cell>
          <cell r="P211">
            <v>0</v>
          </cell>
        </row>
        <row r="212">
          <cell r="P212">
            <v>0</v>
          </cell>
        </row>
        <row r="213">
          <cell r="D213">
            <v>0</v>
          </cell>
          <cell r="P213">
            <v>0</v>
          </cell>
        </row>
        <row r="214">
          <cell r="D214">
            <v>-0.06</v>
          </cell>
          <cell r="P214">
            <v>-0.06</v>
          </cell>
        </row>
        <row r="215">
          <cell r="P215">
            <v>0</v>
          </cell>
        </row>
        <row r="216">
          <cell r="P216">
            <v>0</v>
          </cell>
        </row>
        <row r="217">
          <cell r="P217">
            <v>0</v>
          </cell>
        </row>
        <row r="218">
          <cell r="D218">
            <v>0</v>
          </cell>
          <cell r="P218">
            <v>0</v>
          </cell>
        </row>
        <row r="219">
          <cell r="D219">
            <v>0</v>
          </cell>
          <cell r="P219">
            <v>0</v>
          </cell>
        </row>
        <row r="220">
          <cell r="P220">
            <v>0</v>
          </cell>
        </row>
        <row r="221">
          <cell r="D221">
            <v>0</v>
          </cell>
          <cell r="P221">
            <v>0</v>
          </cell>
        </row>
        <row r="222">
          <cell r="D222">
            <v>2937.4</v>
          </cell>
          <cell r="P222">
            <v>2937.4</v>
          </cell>
        </row>
        <row r="223">
          <cell r="D223">
            <v>2937.4</v>
          </cell>
          <cell r="P223">
            <v>2937.4</v>
          </cell>
        </row>
        <row r="224">
          <cell r="D224">
            <v>0</v>
          </cell>
          <cell r="P224">
            <v>0</v>
          </cell>
        </row>
        <row r="225">
          <cell r="P225">
            <v>0</v>
          </cell>
        </row>
        <row r="226">
          <cell r="D226">
            <v>0.22</v>
          </cell>
          <cell r="P226">
            <v>0.22</v>
          </cell>
        </row>
        <row r="227">
          <cell r="D227">
            <v>0</v>
          </cell>
          <cell r="P227">
            <v>0</v>
          </cell>
        </row>
        <row r="228">
          <cell r="D228">
            <v>0</v>
          </cell>
          <cell r="P228">
            <v>0</v>
          </cell>
        </row>
        <row r="229">
          <cell r="D229">
            <v>0.22</v>
          </cell>
          <cell r="P229">
            <v>0.22</v>
          </cell>
        </row>
        <row r="230">
          <cell r="P230">
            <v>0</v>
          </cell>
        </row>
        <row r="231">
          <cell r="P231">
            <v>0</v>
          </cell>
        </row>
        <row r="232">
          <cell r="P232">
            <v>0</v>
          </cell>
        </row>
        <row r="233">
          <cell r="P233">
            <v>0</v>
          </cell>
        </row>
        <row r="234">
          <cell r="P234">
            <v>0</v>
          </cell>
        </row>
        <row r="235">
          <cell r="D235">
            <v>592.20000000000005</v>
          </cell>
          <cell r="P235">
            <v>592.20000000000005</v>
          </cell>
        </row>
        <row r="236">
          <cell r="P236">
            <v>0</v>
          </cell>
        </row>
        <row r="237">
          <cell r="P237">
            <v>0</v>
          </cell>
        </row>
        <row r="238">
          <cell r="P238">
            <v>0</v>
          </cell>
        </row>
        <row r="239">
          <cell r="P239">
            <v>0</v>
          </cell>
        </row>
        <row r="240">
          <cell r="P240">
            <v>0</v>
          </cell>
        </row>
        <row r="241">
          <cell r="P241">
            <v>0</v>
          </cell>
        </row>
        <row r="242">
          <cell r="D242">
            <v>0</v>
          </cell>
          <cell r="P242">
            <v>0</v>
          </cell>
        </row>
        <row r="243">
          <cell r="D243">
            <v>3529.8199999999997</v>
          </cell>
          <cell r="P243">
            <v>3529.8199999999997</v>
          </cell>
        </row>
        <row r="244">
          <cell r="P244">
            <v>0</v>
          </cell>
        </row>
        <row r="245">
          <cell r="P245">
            <v>0</v>
          </cell>
        </row>
        <row r="246">
          <cell r="P246">
            <v>0</v>
          </cell>
        </row>
        <row r="247">
          <cell r="P247">
            <v>0</v>
          </cell>
        </row>
        <row r="248">
          <cell r="D248">
            <v>3529.7599999999998</v>
          </cell>
          <cell r="P248">
            <v>3529.7599999999998</v>
          </cell>
        </row>
        <row r="249">
          <cell r="P249">
            <v>0</v>
          </cell>
        </row>
        <row r="250">
          <cell r="P250">
            <v>0</v>
          </cell>
        </row>
        <row r="251">
          <cell r="P251">
            <v>0</v>
          </cell>
        </row>
        <row r="252">
          <cell r="P252">
            <v>0</v>
          </cell>
        </row>
        <row r="253">
          <cell r="D253">
            <v>688520.3</v>
          </cell>
          <cell r="P253">
            <v>688520.3</v>
          </cell>
        </row>
      </sheetData>
      <sheetData sheetId="2">
        <row r="8">
          <cell r="D8">
            <v>0</v>
          </cell>
          <cell r="P8">
            <v>0</v>
          </cell>
        </row>
        <row r="9">
          <cell r="D9">
            <v>224778.67</v>
          </cell>
          <cell r="P9">
            <v>224778.67</v>
          </cell>
        </row>
        <row r="10">
          <cell r="P10">
            <v>0</v>
          </cell>
        </row>
        <row r="11">
          <cell r="D11">
            <v>931.28</v>
          </cell>
          <cell r="P11">
            <v>931.28</v>
          </cell>
        </row>
        <row r="12">
          <cell r="D12">
            <v>0</v>
          </cell>
          <cell r="P12">
            <v>0</v>
          </cell>
        </row>
        <row r="13">
          <cell r="P13">
            <v>0</v>
          </cell>
        </row>
        <row r="14">
          <cell r="P14">
            <v>0</v>
          </cell>
        </row>
        <row r="15">
          <cell r="D15">
            <v>225709.95</v>
          </cell>
          <cell r="P15">
            <v>225709.95</v>
          </cell>
        </row>
        <row r="16">
          <cell r="D16">
            <v>225709.95</v>
          </cell>
          <cell r="P16">
            <v>225709.95</v>
          </cell>
        </row>
        <row r="17">
          <cell r="P17">
            <v>0</v>
          </cell>
        </row>
        <row r="18">
          <cell r="P18">
            <v>0</v>
          </cell>
        </row>
        <row r="19">
          <cell r="D19">
            <v>239006.03</v>
          </cell>
          <cell r="P19">
            <v>239006.03</v>
          </cell>
        </row>
        <row r="20">
          <cell r="P20">
            <v>0</v>
          </cell>
        </row>
        <row r="21">
          <cell r="P21">
            <v>0</v>
          </cell>
        </row>
        <row r="22">
          <cell r="P22">
            <v>0</v>
          </cell>
        </row>
        <row r="23">
          <cell r="P23">
            <v>0</v>
          </cell>
        </row>
        <row r="24">
          <cell r="D24">
            <v>239006.03</v>
          </cell>
          <cell r="P24">
            <v>239006.03</v>
          </cell>
        </row>
        <row r="25">
          <cell r="D25">
            <v>0</v>
          </cell>
          <cell r="P25">
            <v>0</v>
          </cell>
        </row>
        <row r="26">
          <cell r="P26">
            <v>0</v>
          </cell>
        </row>
        <row r="27">
          <cell r="P27">
            <v>0</v>
          </cell>
        </row>
        <row r="28">
          <cell r="P28">
            <v>0</v>
          </cell>
        </row>
        <row r="29">
          <cell r="D29">
            <v>0</v>
          </cell>
          <cell r="P29">
            <v>0</v>
          </cell>
        </row>
        <row r="30">
          <cell r="P30">
            <v>0</v>
          </cell>
        </row>
        <row r="31">
          <cell r="P31">
            <v>0</v>
          </cell>
        </row>
        <row r="32">
          <cell r="P32">
            <v>0</v>
          </cell>
        </row>
        <row r="33">
          <cell r="P33">
            <v>0</v>
          </cell>
        </row>
        <row r="34">
          <cell r="P34">
            <v>0</v>
          </cell>
        </row>
        <row r="35">
          <cell r="D35">
            <v>0</v>
          </cell>
          <cell r="P35">
            <v>0</v>
          </cell>
        </row>
        <row r="36">
          <cell r="D36">
            <v>239006.03</v>
          </cell>
          <cell r="P36">
            <v>239006.03</v>
          </cell>
        </row>
        <row r="37">
          <cell r="P37">
            <v>0</v>
          </cell>
        </row>
        <row r="38">
          <cell r="P38">
            <v>0</v>
          </cell>
        </row>
        <row r="39">
          <cell r="P39">
            <v>0</v>
          </cell>
        </row>
        <row r="40">
          <cell r="P40">
            <v>0</v>
          </cell>
        </row>
        <row r="41">
          <cell r="P41">
            <v>0</v>
          </cell>
        </row>
        <row r="42">
          <cell r="P42">
            <v>0</v>
          </cell>
        </row>
        <row r="43">
          <cell r="P43">
            <v>0</v>
          </cell>
        </row>
        <row r="44">
          <cell r="P44">
            <v>0</v>
          </cell>
        </row>
        <row r="45">
          <cell r="P45">
            <v>0</v>
          </cell>
        </row>
        <row r="46">
          <cell r="P46">
            <v>0</v>
          </cell>
        </row>
        <row r="47">
          <cell r="P47">
            <v>0</v>
          </cell>
        </row>
        <row r="48">
          <cell r="P48">
            <v>0</v>
          </cell>
        </row>
        <row r="49">
          <cell r="P49">
            <v>0</v>
          </cell>
        </row>
        <row r="50">
          <cell r="P50">
            <v>0</v>
          </cell>
        </row>
        <row r="51">
          <cell r="P51">
            <v>0</v>
          </cell>
        </row>
        <row r="52">
          <cell r="P52">
            <v>0</v>
          </cell>
        </row>
        <row r="53">
          <cell r="P53">
            <v>0</v>
          </cell>
        </row>
        <row r="54">
          <cell r="P54">
            <v>0</v>
          </cell>
        </row>
        <row r="55">
          <cell r="P55">
            <v>0</v>
          </cell>
        </row>
        <row r="56">
          <cell r="D56">
            <v>143673.10999999999</v>
          </cell>
          <cell r="P56">
            <v>143673.10999999999</v>
          </cell>
        </row>
        <row r="57">
          <cell r="D57">
            <v>10000</v>
          </cell>
          <cell r="P57">
            <v>10000</v>
          </cell>
        </row>
        <row r="58">
          <cell r="D58">
            <v>5286.94</v>
          </cell>
          <cell r="P58">
            <v>5286.94</v>
          </cell>
        </row>
        <row r="59">
          <cell r="D59">
            <v>0</v>
          </cell>
          <cell r="P59">
            <v>0</v>
          </cell>
        </row>
        <row r="60">
          <cell r="D60">
            <v>6808.96</v>
          </cell>
          <cell r="P60">
            <v>6808.96</v>
          </cell>
        </row>
        <row r="61">
          <cell r="D61">
            <v>165769.00999999998</v>
          </cell>
          <cell r="P61">
            <v>165769.00999999998</v>
          </cell>
        </row>
        <row r="62">
          <cell r="D62">
            <v>4347.2</v>
          </cell>
          <cell r="P62">
            <v>4347.2</v>
          </cell>
        </row>
        <row r="63">
          <cell r="D63">
            <v>10424.74</v>
          </cell>
          <cell r="P63">
            <v>10424.74</v>
          </cell>
        </row>
        <row r="64">
          <cell r="D64">
            <v>1881.77</v>
          </cell>
          <cell r="P64">
            <v>1881.77</v>
          </cell>
        </row>
        <row r="65">
          <cell r="P65">
            <v>0</v>
          </cell>
        </row>
        <row r="66">
          <cell r="P66">
            <v>0</v>
          </cell>
        </row>
        <row r="67">
          <cell r="P67">
            <v>0</v>
          </cell>
        </row>
        <row r="68">
          <cell r="D68">
            <v>307.2</v>
          </cell>
          <cell r="P68">
            <v>307.2</v>
          </cell>
        </row>
        <row r="69">
          <cell r="D69">
            <v>673.42</v>
          </cell>
          <cell r="P69">
            <v>673.42</v>
          </cell>
        </row>
        <row r="70">
          <cell r="D70">
            <v>980.61999999999989</v>
          </cell>
          <cell r="P70">
            <v>980.61999999999989</v>
          </cell>
        </row>
        <row r="71">
          <cell r="D71">
            <v>27630.38</v>
          </cell>
          <cell r="P71">
            <v>27630.38</v>
          </cell>
        </row>
        <row r="72">
          <cell r="P72">
            <v>0</v>
          </cell>
        </row>
        <row r="73">
          <cell r="D73">
            <v>676.49</v>
          </cell>
          <cell r="P73">
            <v>676.49</v>
          </cell>
        </row>
        <row r="74">
          <cell r="D74">
            <v>0</v>
          </cell>
          <cell r="P74">
            <v>0</v>
          </cell>
        </row>
        <row r="75">
          <cell r="D75">
            <v>244.02</v>
          </cell>
          <cell r="P75">
            <v>244.02</v>
          </cell>
        </row>
        <row r="76">
          <cell r="D76">
            <v>0</v>
          </cell>
          <cell r="P76">
            <v>0</v>
          </cell>
        </row>
        <row r="77">
          <cell r="D77">
            <v>0</v>
          </cell>
          <cell r="P77">
            <v>0</v>
          </cell>
        </row>
        <row r="78">
          <cell r="D78">
            <v>0</v>
          </cell>
          <cell r="P78">
            <v>0</v>
          </cell>
        </row>
        <row r="79">
          <cell r="P79">
            <v>0</v>
          </cell>
        </row>
        <row r="80">
          <cell r="D80">
            <v>920.51</v>
          </cell>
          <cell r="P80">
            <v>920.51</v>
          </cell>
        </row>
        <row r="81">
          <cell r="P81">
            <v>0</v>
          </cell>
        </row>
        <row r="82">
          <cell r="D82">
            <v>0</v>
          </cell>
          <cell r="P82">
            <v>0</v>
          </cell>
        </row>
        <row r="83">
          <cell r="D83">
            <v>83.95</v>
          </cell>
          <cell r="P83">
            <v>83.95</v>
          </cell>
        </row>
        <row r="84">
          <cell r="D84">
            <v>3679.39</v>
          </cell>
          <cell r="P84">
            <v>3679.39</v>
          </cell>
        </row>
        <row r="85">
          <cell r="D85">
            <v>62.45</v>
          </cell>
          <cell r="P85">
            <v>62.45</v>
          </cell>
        </row>
        <row r="86">
          <cell r="P86">
            <v>0</v>
          </cell>
        </row>
        <row r="87">
          <cell r="P87">
            <v>0</v>
          </cell>
        </row>
        <row r="88">
          <cell r="D88">
            <v>2598.83</v>
          </cell>
          <cell r="P88">
            <v>2598.83</v>
          </cell>
        </row>
        <row r="89">
          <cell r="D89">
            <v>6424.619999999999</v>
          </cell>
          <cell r="P89">
            <v>6424.619999999999</v>
          </cell>
        </row>
        <row r="90">
          <cell r="D90">
            <v>0</v>
          </cell>
          <cell r="P90">
            <v>0</v>
          </cell>
        </row>
        <row r="91">
          <cell r="P91">
            <v>0</v>
          </cell>
        </row>
        <row r="92">
          <cell r="D92">
            <v>6705.69</v>
          </cell>
          <cell r="P92">
            <v>6705.69</v>
          </cell>
        </row>
        <row r="93">
          <cell r="D93">
            <v>2728.56</v>
          </cell>
          <cell r="P93">
            <v>2728.56</v>
          </cell>
        </row>
        <row r="94">
          <cell r="D94">
            <v>0</v>
          </cell>
          <cell r="P94">
            <v>0</v>
          </cell>
        </row>
        <row r="95">
          <cell r="D95">
            <v>0</v>
          </cell>
          <cell r="P95">
            <v>0</v>
          </cell>
        </row>
        <row r="96">
          <cell r="D96">
            <v>9805.9</v>
          </cell>
          <cell r="P96">
            <v>9805.9</v>
          </cell>
        </row>
        <row r="97">
          <cell r="D97">
            <v>0</v>
          </cell>
          <cell r="P97">
            <v>0</v>
          </cell>
        </row>
        <row r="98">
          <cell r="D98">
            <v>0</v>
          </cell>
          <cell r="P98">
            <v>0</v>
          </cell>
        </row>
        <row r="99">
          <cell r="D99">
            <v>0</v>
          </cell>
          <cell r="P99">
            <v>0</v>
          </cell>
        </row>
        <row r="100">
          <cell r="D100">
            <v>1387.03</v>
          </cell>
          <cell r="P100">
            <v>1387.03</v>
          </cell>
        </row>
        <row r="101">
          <cell r="D101">
            <v>20627.18</v>
          </cell>
          <cell r="P101">
            <v>20627.18</v>
          </cell>
        </row>
        <row r="102">
          <cell r="P102">
            <v>0</v>
          </cell>
        </row>
        <row r="103">
          <cell r="P103">
            <v>0</v>
          </cell>
        </row>
        <row r="104">
          <cell r="D104">
            <v>-165769.01</v>
          </cell>
          <cell r="P104">
            <v>-165769.01</v>
          </cell>
        </row>
        <row r="105">
          <cell r="D105">
            <v>-73237.02</v>
          </cell>
          <cell r="P105">
            <v>-73237.02</v>
          </cell>
        </row>
        <row r="106">
          <cell r="D106">
            <v>-239006.03000000003</v>
          </cell>
          <cell r="P106">
            <v>-239006.03000000003</v>
          </cell>
        </row>
        <row r="107">
          <cell r="P107">
            <v>0</v>
          </cell>
        </row>
        <row r="108">
          <cell r="P108">
            <v>0</v>
          </cell>
        </row>
        <row r="109">
          <cell r="P109">
            <v>0</v>
          </cell>
        </row>
        <row r="110">
          <cell r="P110">
            <v>0</v>
          </cell>
        </row>
        <row r="111">
          <cell r="D111">
            <v>-5.8207660913467407E-11</v>
          </cell>
          <cell r="P111">
            <v>0</v>
          </cell>
        </row>
        <row r="112">
          <cell r="D112">
            <v>239006.03</v>
          </cell>
          <cell r="P112">
            <v>239006.03</v>
          </cell>
        </row>
        <row r="113">
          <cell r="P113">
            <v>0</v>
          </cell>
        </row>
        <row r="114">
          <cell r="P114">
            <v>0</v>
          </cell>
        </row>
        <row r="115">
          <cell r="P115">
            <v>0</v>
          </cell>
        </row>
        <row r="116">
          <cell r="D116">
            <v>64.59</v>
          </cell>
          <cell r="P116">
            <v>64.59</v>
          </cell>
        </row>
        <row r="117">
          <cell r="D117">
            <v>64.59</v>
          </cell>
          <cell r="P117">
            <v>64.59</v>
          </cell>
        </row>
        <row r="118">
          <cell r="P118">
            <v>0</v>
          </cell>
        </row>
        <row r="119">
          <cell r="D119">
            <v>0</v>
          </cell>
          <cell r="P119">
            <v>0</v>
          </cell>
        </row>
        <row r="120">
          <cell r="P120">
            <v>0</v>
          </cell>
        </row>
        <row r="121">
          <cell r="P121">
            <v>0</v>
          </cell>
        </row>
        <row r="122">
          <cell r="D122">
            <v>0</v>
          </cell>
          <cell r="P122">
            <v>0</v>
          </cell>
        </row>
        <row r="123">
          <cell r="D123">
            <v>0</v>
          </cell>
          <cell r="P123">
            <v>0</v>
          </cell>
        </row>
        <row r="124">
          <cell r="D124">
            <v>0</v>
          </cell>
          <cell r="P124">
            <v>0</v>
          </cell>
        </row>
        <row r="125">
          <cell r="D125">
            <v>0</v>
          </cell>
          <cell r="P125">
            <v>0</v>
          </cell>
        </row>
        <row r="126">
          <cell r="D126">
            <v>0</v>
          </cell>
          <cell r="P126">
            <v>0</v>
          </cell>
        </row>
        <row r="127">
          <cell r="P127">
            <v>0</v>
          </cell>
        </row>
        <row r="128">
          <cell r="D128">
            <v>0</v>
          </cell>
          <cell r="P128">
            <v>0</v>
          </cell>
        </row>
        <row r="129">
          <cell r="D129">
            <v>10.9</v>
          </cell>
          <cell r="P129">
            <v>10.9</v>
          </cell>
        </row>
        <row r="130">
          <cell r="D130">
            <v>0</v>
          </cell>
          <cell r="P130">
            <v>0</v>
          </cell>
        </row>
        <row r="131">
          <cell r="P131">
            <v>0</v>
          </cell>
        </row>
        <row r="132">
          <cell r="D132">
            <v>10.9</v>
          </cell>
          <cell r="P132">
            <v>10.9</v>
          </cell>
        </row>
        <row r="133">
          <cell r="P133">
            <v>0</v>
          </cell>
        </row>
        <row r="134">
          <cell r="D134">
            <v>0</v>
          </cell>
          <cell r="P134">
            <v>0</v>
          </cell>
        </row>
        <row r="135">
          <cell r="D135">
            <v>5.9</v>
          </cell>
          <cell r="P135">
            <v>5.9</v>
          </cell>
        </row>
        <row r="136">
          <cell r="P136">
            <v>0</v>
          </cell>
        </row>
        <row r="137">
          <cell r="D137">
            <v>5.9</v>
          </cell>
          <cell r="P137">
            <v>5.9</v>
          </cell>
        </row>
        <row r="138">
          <cell r="D138">
            <v>81.39</v>
          </cell>
          <cell r="P138">
            <v>81.39</v>
          </cell>
        </row>
        <row r="139">
          <cell r="P139">
            <v>0</v>
          </cell>
        </row>
        <row r="140">
          <cell r="P140">
            <v>0</v>
          </cell>
        </row>
        <row r="141">
          <cell r="D141">
            <v>12985.37</v>
          </cell>
          <cell r="P141">
            <v>12985.37</v>
          </cell>
        </row>
        <row r="142">
          <cell r="D142">
            <v>-102.28</v>
          </cell>
          <cell r="P142">
            <v>-102.28</v>
          </cell>
        </row>
        <row r="143">
          <cell r="D143">
            <v>500</v>
          </cell>
          <cell r="P143">
            <v>500</v>
          </cell>
        </row>
        <row r="144">
          <cell r="D144">
            <v>2.2999999999999998</v>
          </cell>
          <cell r="P144">
            <v>2.2999999999999998</v>
          </cell>
        </row>
        <row r="145">
          <cell r="D145">
            <v>0</v>
          </cell>
          <cell r="P145">
            <v>0</v>
          </cell>
        </row>
        <row r="146">
          <cell r="D146">
            <v>-264.86</v>
          </cell>
          <cell r="P146">
            <v>-264.86</v>
          </cell>
        </row>
        <row r="148">
          <cell r="D148">
            <v>13120.529999999999</v>
          </cell>
          <cell r="P148">
            <v>13120.529999999999</v>
          </cell>
        </row>
        <row r="149">
          <cell r="P149">
            <v>0</v>
          </cell>
        </row>
        <row r="150">
          <cell r="D150">
            <v>0</v>
          </cell>
          <cell r="P150">
            <v>0</v>
          </cell>
        </row>
        <row r="151">
          <cell r="D151">
            <v>0</v>
          </cell>
          <cell r="P151">
            <v>0</v>
          </cell>
        </row>
        <row r="152">
          <cell r="D152">
            <v>0</v>
          </cell>
          <cell r="P152">
            <v>0</v>
          </cell>
        </row>
        <row r="153">
          <cell r="D153">
            <v>0</v>
          </cell>
          <cell r="P153">
            <v>0</v>
          </cell>
        </row>
        <row r="154">
          <cell r="D154">
            <v>0</v>
          </cell>
          <cell r="P154">
            <v>0</v>
          </cell>
        </row>
        <row r="155">
          <cell r="P155">
            <v>0</v>
          </cell>
        </row>
        <row r="156">
          <cell r="P156">
            <v>0</v>
          </cell>
        </row>
        <row r="157">
          <cell r="P157">
            <v>0</v>
          </cell>
        </row>
        <row r="158">
          <cell r="P158">
            <v>0</v>
          </cell>
        </row>
        <row r="159">
          <cell r="P159">
            <v>0</v>
          </cell>
        </row>
        <row r="160">
          <cell r="P160">
            <v>0</v>
          </cell>
        </row>
        <row r="161">
          <cell r="P161">
            <v>0</v>
          </cell>
        </row>
        <row r="162">
          <cell r="D162">
            <v>0</v>
          </cell>
          <cell r="P162">
            <v>0</v>
          </cell>
        </row>
        <row r="163">
          <cell r="D163">
            <v>0</v>
          </cell>
          <cell r="P163">
            <v>0</v>
          </cell>
        </row>
        <row r="164">
          <cell r="D164">
            <v>688.82</v>
          </cell>
          <cell r="P164">
            <v>688.82</v>
          </cell>
        </row>
        <row r="165">
          <cell r="D165">
            <v>595.19000000000005</v>
          </cell>
          <cell r="P165">
            <v>595.19000000000005</v>
          </cell>
        </row>
        <row r="166">
          <cell r="P166">
            <v>0</v>
          </cell>
        </row>
        <row r="167">
          <cell r="D167">
            <v>490.64</v>
          </cell>
          <cell r="P167">
            <v>490.64</v>
          </cell>
        </row>
        <row r="168">
          <cell r="D168">
            <v>0</v>
          </cell>
          <cell r="P168">
            <v>0</v>
          </cell>
        </row>
        <row r="169">
          <cell r="P169">
            <v>0</v>
          </cell>
        </row>
        <row r="170">
          <cell r="D170">
            <v>490.64</v>
          </cell>
          <cell r="P170">
            <v>490.64</v>
          </cell>
        </row>
        <row r="171">
          <cell r="P171">
            <v>0</v>
          </cell>
        </row>
        <row r="172">
          <cell r="D172">
            <v>383.24</v>
          </cell>
          <cell r="P172">
            <v>383.24</v>
          </cell>
        </row>
        <row r="173">
          <cell r="D173">
            <v>0</v>
          </cell>
          <cell r="P173">
            <v>0</v>
          </cell>
        </row>
        <row r="174">
          <cell r="P174">
            <v>0</v>
          </cell>
        </row>
        <row r="175">
          <cell r="D175">
            <v>383.24</v>
          </cell>
          <cell r="P175">
            <v>383.24</v>
          </cell>
        </row>
        <row r="176">
          <cell r="D176">
            <v>7463.47</v>
          </cell>
          <cell r="P176">
            <v>7463.47</v>
          </cell>
        </row>
        <row r="177">
          <cell r="D177">
            <v>421.04</v>
          </cell>
          <cell r="P177">
            <v>421.04</v>
          </cell>
        </row>
        <row r="178">
          <cell r="P178">
            <v>0</v>
          </cell>
        </row>
        <row r="179">
          <cell r="D179">
            <v>0</v>
          </cell>
          <cell r="P179">
            <v>0</v>
          </cell>
        </row>
        <row r="180">
          <cell r="D180">
            <v>0</v>
          </cell>
          <cell r="P180">
            <v>0</v>
          </cell>
        </row>
        <row r="181">
          <cell r="D181">
            <v>0</v>
          </cell>
          <cell r="P181">
            <v>0</v>
          </cell>
        </row>
        <row r="182">
          <cell r="D182">
            <v>0</v>
          </cell>
          <cell r="P182">
            <v>0</v>
          </cell>
        </row>
        <row r="183">
          <cell r="P183">
            <v>0</v>
          </cell>
        </row>
        <row r="184">
          <cell r="D184">
            <v>0</v>
          </cell>
          <cell r="P184">
            <v>0</v>
          </cell>
        </row>
        <row r="185">
          <cell r="D185">
            <v>0</v>
          </cell>
          <cell r="P185">
            <v>0</v>
          </cell>
        </row>
        <row r="186">
          <cell r="D186">
            <v>0</v>
          </cell>
          <cell r="P186">
            <v>0</v>
          </cell>
        </row>
        <row r="187">
          <cell r="D187">
            <v>0</v>
          </cell>
          <cell r="P187">
            <v>0</v>
          </cell>
        </row>
        <row r="188">
          <cell r="P188">
            <v>0</v>
          </cell>
        </row>
        <row r="189">
          <cell r="D189">
            <v>0</v>
          </cell>
          <cell r="P189">
            <v>0</v>
          </cell>
        </row>
        <row r="190">
          <cell r="P190">
            <v>0</v>
          </cell>
        </row>
        <row r="191">
          <cell r="D191">
            <v>1192.21</v>
          </cell>
          <cell r="P191">
            <v>1192.21</v>
          </cell>
        </row>
        <row r="192">
          <cell r="D192">
            <v>0</v>
          </cell>
          <cell r="P192">
            <v>0</v>
          </cell>
        </row>
        <row r="193">
          <cell r="D193">
            <v>0</v>
          </cell>
          <cell r="P193">
            <v>0</v>
          </cell>
        </row>
        <row r="194">
          <cell r="D194">
            <v>0</v>
          </cell>
          <cell r="P194">
            <v>0</v>
          </cell>
        </row>
        <row r="195">
          <cell r="D195">
            <v>0</v>
          </cell>
          <cell r="P195">
            <v>0</v>
          </cell>
        </row>
        <row r="196">
          <cell r="D196">
            <v>0</v>
          </cell>
          <cell r="P196">
            <v>0</v>
          </cell>
        </row>
        <row r="197">
          <cell r="D197">
            <v>1192.21</v>
          </cell>
          <cell r="P197">
            <v>1192.21</v>
          </cell>
        </row>
        <row r="198">
          <cell r="D198">
            <v>24355.14</v>
          </cell>
          <cell r="P198">
            <v>24355.14</v>
          </cell>
        </row>
        <row r="199">
          <cell r="P199">
            <v>0</v>
          </cell>
        </row>
        <row r="200">
          <cell r="P200">
            <v>0</v>
          </cell>
        </row>
        <row r="201">
          <cell r="D201">
            <v>0</v>
          </cell>
          <cell r="P201">
            <v>0</v>
          </cell>
        </row>
        <row r="202">
          <cell r="P202">
            <v>0</v>
          </cell>
        </row>
        <row r="203">
          <cell r="P203">
            <v>0</v>
          </cell>
        </row>
        <row r="204">
          <cell r="D204">
            <v>0</v>
          </cell>
          <cell r="P204">
            <v>0</v>
          </cell>
        </row>
        <row r="205">
          <cell r="P205">
            <v>0</v>
          </cell>
        </row>
        <row r="206">
          <cell r="D206">
            <v>0</v>
          </cell>
          <cell r="P206">
            <v>0</v>
          </cell>
        </row>
        <row r="207">
          <cell r="P207">
            <v>0</v>
          </cell>
        </row>
        <row r="208">
          <cell r="P208">
            <v>0</v>
          </cell>
        </row>
        <row r="209">
          <cell r="D209">
            <v>-0.97</v>
          </cell>
          <cell r="P209">
            <v>-0.97</v>
          </cell>
        </row>
        <row r="210">
          <cell r="P210">
            <v>0</v>
          </cell>
        </row>
        <row r="211">
          <cell r="D211">
            <v>0</v>
          </cell>
          <cell r="P211">
            <v>0</v>
          </cell>
        </row>
        <row r="212">
          <cell r="P212">
            <v>0</v>
          </cell>
        </row>
        <row r="213">
          <cell r="D213">
            <v>0</v>
          </cell>
          <cell r="P213">
            <v>0</v>
          </cell>
        </row>
        <row r="214">
          <cell r="D214">
            <v>-0.97</v>
          </cell>
          <cell r="P214">
            <v>-0.97</v>
          </cell>
        </row>
        <row r="215">
          <cell r="P215">
            <v>0</v>
          </cell>
        </row>
        <row r="216">
          <cell r="P216">
            <v>0</v>
          </cell>
        </row>
        <row r="217">
          <cell r="P217">
            <v>0</v>
          </cell>
        </row>
        <row r="218">
          <cell r="D218">
            <v>0</v>
          </cell>
          <cell r="P218">
            <v>0</v>
          </cell>
        </row>
        <row r="219">
          <cell r="D219">
            <v>0</v>
          </cell>
          <cell r="P219">
            <v>0</v>
          </cell>
        </row>
        <row r="220">
          <cell r="P220">
            <v>0</v>
          </cell>
        </row>
        <row r="221">
          <cell r="D221">
            <v>0</v>
          </cell>
          <cell r="P221">
            <v>0</v>
          </cell>
        </row>
        <row r="222">
          <cell r="D222">
            <v>519.46</v>
          </cell>
          <cell r="P222">
            <v>519.46</v>
          </cell>
        </row>
        <row r="223">
          <cell r="D223">
            <v>519.46</v>
          </cell>
          <cell r="P223">
            <v>519.46</v>
          </cell>
        </row>
        <row r="224">
          <cell r="D224">
            <v>0</v>
          </cell>
          <cell r="P224">
            <v>0</v>
          </cell>
        </row>
        <row r="225">
          <cell r="P225">
            <v>0</v>
          </cell>
        </row>
        <row r="226">
          <cell r="D226">
            <v>0.22</v>
          </cell>
          <cell r="P226">
            <v>0.22</v>
          </cell>
        </row>
        <row r="227">
          <cell r="D227">
            <v>0</v>
          </cell>
          <cell r="P227">
            <v>0</v>
          </cell>
        </row>
        <row r="228">
          <cell r="D228">
            <v>0</v>
          </cell>
          <cell r="P228">
            <v>0</v>
          </cell>
        </row>
        <row r="229">
          <cell r="D229">
            <v>0.22</v>
          </cell>
          <cell r="P229">
            <v>0.22</v>
          </cell>
        </row>
        <row r="230">
          <cell r="P230">
            <v>0</v>
          </cell>
        </row>
        <row r="231">
          <cell r="P231">
            <v>0</v>
          </cell>
        </row>
        <row r="232">
          <cell r="P232">
            <v>0</v>
          </cell>
        </row>
        <row r="233">
          <cell r="P233">
            <v>0</v>
          </cell>
        </row>
        <row r="234">
          <cell r="P234">
            <v>0</v>
          </cell>
        </row>
        <row r="235">
          <cell r="D235">
            <v>456.33</v>
          </cell>
          <cell r="P235">
            <v>456.33</v>
          </cell>
        </row>
        <row r="236">
          <cell r="P236">
            <v>0</v>
          </cell>
        </row>
        <row r="237">
          <cell r="D237">
            <v>0</v>
          </cell>
          <cell r="P237">
            <v>0</v>
          </cell>
        </row>
        <row r="238">
          <cell r="P238">
            <v>0</v>
          </cell>
        </row>
        <row r="239">
          <cell r="P239">
            <v>0</v>
          </cell>
        </row>
        <row r="240">
          <cell r="P240">
            <v>0</v>
          </cell>
        </row>
        <row r="241">
          <cell r="P241">
            <v>0</v>
          </cell>
        </row>
        <row r="242">
          <cell r="D242">
            <v>0.01</v>
          </cell>
          <cell r="P242">
            <v>0.01</v>
          </cell>
        </row>
        <row r="243">
          <cell r="D243">
            <v>976.02</v>
          </cell>
          <cell r="P243">
            <v>976.02</v>
          </cell>
        </row>
        <row r="244">
          <cell r="P244">
            <v>0</v>
          </cell>
        </row>
        <row r="245">
          <cell r="P245">
            <v>0</v>
          </cell>
        </row>
        <row r="246">
          <cell r="P246">
            <v>0</v>
          </cell>
        </row>
        <row r="247">
          <cell r="P247">
            <v>0</v>
          </cell>
        </row>
        <row r="248">
          <cell r="D248">
            <v>975.05</v>
          </cell>
          <cell r="P248">
            <v>975.05</v>
          </cell>
        </row>
        <row r="249">
          <cell r="P249">
            <v>0</v>
          </cell>
        </row>
        <row r="250">
          <cell r="P250">
            <v>0</v>
          </cell>
        </row>
        <row r="251">
          <cell r="P251">
            <v>0</v>
          </cell>
        </row>
        <row r="252">
          <cell r="P252">
            <v>0</v>
          </cell>
        </row>
        <row r="253">
          <cell r="D253">
            <v>-38707.659999999989</v>
          </cell>
          <cell r="P253">
            <v>-38707.659999999989</v>
          </cell>
        </row>
      </sheetData>
      <sheetData sheetId="3">
        <row r="8">
          <cell r="P8">
            <v>0</v>
          </cell>
        </row>
        <row r="9">
          <cell r="P9">
            <v>0</v>
          </cell>
        </row>
        <row r="10">
          <cell r="P10">
            <v>0</v>
          </cell>
        </row>
        <row r="11">
          <cell r="P11">
            <v>0</v>
          </cell>
        </row>
        <row r="12">
          <cell r="P12">
            <v>0</v>
          </cell>
        </row>
        <row r="13">
          <cell r="P13">
            <v>0</v>
          </cell>
        </row>
        <row r="14">
          <cell r="P14">
            <v>0</v>
          </cell>
        </row>
        <row r="15">
          <cell r="D15">
            <v>0</v>
          </cell>
          <cell r="P15">
            <v>0</v>
          </cell>
        </row>
        <row r="16">
          <cell r="D16">
            <v>0</v>
          </cell>
          <cell r="P16">
            <v>0</v>
          </cell>
        </row>
        <row r="17">
          <cell r="P17">
            <v>0</v>
          </cell>
        </row>
        <row r="18">
          <cell r="P18">
            <v>0</v>
          </cell>
        </row>
        <row r="19">
          <cell r="D19">
            <v>76148.05</v>
          </cell>
          <cell r="P19">
            <v>76148.05</v>
          </cell>
        </row>
        <row r="20">
          <cell r="P20">
            <v>0</v>
          </cell>
        </row>
        <row r="21">
          <cell r="P21">
            <v>0</v>
          </cell>
        </row>
        <row r="22">
          <cell r="P22">
            <v>0</v>
          </cell>
        </row>
        <row r="23">
          <cell r="P23">
            <v>0</v>
          </cell>
        </row>
        <row r="24">
          <cell r="D24">
            <v>76148.05</v>
          </cell>
          <cell r="P24">
            <v>76148.05</v>
          </cell>
        </row>
        <row r="25">
          <cell r="P25">
            <v>0</v>
          </cell>
        </row>
        <row r="26">
          <cell r="P26">
            <v>0</v>
          </cell>
        </row>
        <row r="27">
          <cell r="P27">
            <v>0</v>
          </cell>
        </row>
        <row r="28">
          <cell r="P28">
            <v>0</v>
          </cell>
        </row>
        <row r="29">
          <cell r="P29">
            <v>0</v>
          </cell>
        </row>
        <row r="30">
          <cell r="P30">
            <v>0</v>
          </cell>
        </row>
        <row r="31">
          <cell r="P31">
            <v>0</v>
          </cell>
        </row>
        <row r="32">
          <cell r="P32">
            <v>0</v>
          </cell>
        </row>
        <row r="33">
          <cell r="P33">
            <v>0</v>
          </cell>
        </row>
        <row r="34">
          <cell r="P34">
            <v>0</v>
          </cell>
        </row>
        <row r="35">
          <cell r="P35">
            <v>0</v>
          </cell>
        </row>
        <row r="36">
          <cell r="D36">
            <v>76148.05</v>
          </cell>
          <cell r="P36">
            <v>76148.05</v>
          </cell>
        </row>
        <row r="37">
          <cell r="P37">
            <v>0</v>
          </cell>
        </row>
        <row r="38">
          <cell r="P38">
            <v>0</v>
          </cell>
        </row>
        <row r="39">
          <cell r="P39">
            <v>0</v>
          </cell>
        </row>
        <row r="40">
          <cell r="P40">
            <v>0</v>
          </cell>
        </row>
        <row r="41">
          <cell r="P41">
            <v>0</v>
          </cell>
        </row>
        <row r="42">
          <cell r="P42">
            <v>0</v>
          </cell>
        </row>
        <row r="43">
          <cell r="P43">
            <v>0</v>
          </cell>
        </row>
        <row r="44">
          <cell r="P44">
            <v>0</v>
          </cell>
        </row>
        <row r="45">
          <cell r="P45">
            <v>0</v>
          </cell>
        </row>
        <row r="46">
          <cell r="P46">
            <v>0</v>
          </cell>
        </row>
        <row r="47">
          <cell r="P47">
            <v>0</v>
          </cell>
        </row>
        <row r="48">
          <cell r="P48">
            <v>0</v>
          </cell>
        </row>
        <row r="49">
          <cell r="P49">
            <v>0</v>
          </cell>
        </row>
        <row r="50">
          <cell r="P50">
            <v>0</v>
          </cell>
        </row>
        <row r="51">
          <cell r="P51">
            <v>0</v>
          </cell>
        </row>
        <row r="52">
          <cell r="P52">
            <v>0</v>
          </cell>
        </row>
        <row r="53">
          <cell r="P53">
            <v>0</v>
          </cell>
        </row>
        <row r="54">
          <cell r="P54">
            <v>0</v>
          </cell>
        </row>
        <row r="55">
          <cell r="P55">
            <v>0</v>
          </cell>
        </row>
        <row r="56">
          <cell r="D56">
            <v>48810.3</v>
          </cell>
          <cell r="P56">
            <v>48810.3</v>
          </cell>
        </row>
        <row r="57">
          <cell r="D57">
            <v>4000</v>
          </cell>
          <cell r="P57">
            <v>4000</v>
          </cell>
        </row>
        <row r="58">
          <cell r="D58">
            <v>1832.8</v>
          </cell>
          <cell r="P58">
            <v>1832.8</v>
          </cell>
        </row>
        <row r="59">
          <cell r="P59">
            <v>0</v>
          </cell>
        </row>
        <row r="60">
          <cell r="D60">
            <v>2776.86</v>
          </cell>
          <cell r="P60">
            <v>2776.86</v>
          </cell>
        </row>
        <row r="61">
          <cell r="D61">
            <v>57419.960000000006</v>
          </cell>
          <cell r="P61">
            <v>57419.960000000006</v>
          </cell>
        </row>
        <row r="62">
          <cell r="D62">
            <v>3.01</v>
          </cell>
          <cell r="P62">
            <v>3.01</v>
          </cell>
        </row>
        <row r="63">
          <cell r="D63">
            <v>494.44</v>
          </cell>
          <cell r="P63">
            <v>494.44</v>
          </cell>
        </row>
        <row r="64">
          <cell r="D64">
            <v>-1881.77</v>
          </cell>
          <cell r="P64">
            <v>-1881.77</v>
          </cell>
        </row>
        <row r="65">
          <cell r="D65">
            <v>25.06</v>
          </cell>
          <cell r="P65">
            <v>25.06</v>
          </cell>
        </row>
        <row r="66">
          <cell r="P66">
            <v>0</v>
          </cell>
        </row>
        <row r="67">
          <cell r="P67">
            <v>0</v>
          </cell>
        </row>
        <row r="68">
          <cell r="D68">
            <v>224.5</v>
          </cell>
          <cell r="P68">
            <v>224.5</v>
          </cell>
        </row>
        <row r="69">
          <cell r="D69">
            <v>737.56</v>
          </cell>
          <cell r="P69">
            <v>737.56</v>
          </cell>
        </row>
        <row r="70">
          <cell r="D70">
            <v>962.06</v>
          </cell>
          <cell r="P70">
            <v>962.06</v>
          </cell>
        </row>
        <row r="71">
          <cell r="P71">
            <v>0</v>
          </cell>
        </row>
        <row r="72">
          <cell r="P72">
            <v>0</v>
          </cell>
        </row>
        <row r="73">
          <cell r="D73">
            <v>29.05</v>
          </cell>
          <cell r="P73">
            <v>29.05</v>
          </cell>
        </row>
        <row r="74">
          <cell r="D74">
            <v>0</v>
          </cell>
          <cell r="P74">
            <v>0</v>
          </cell>
        </row>
        <row r="75">
          <cell r="P75">
            <v>0</v>
          </cell>
        </row>
        <row r="76">
          <cell r="P76">
            <v>0</v>
          </cell>
        </row>
        <row r="77">
          <cell r="D77">
            <v>0</v>
          </cell>
          <cell r="P77">
            <v>0</v>
          </cell>
        </row>
        <row r="78">
          <cell r="P78">
            <v>0</v>
          </cell>
        </row>
        <row r="79">
          <cell r="P79">
            <v>0</v>
          </cell>
        </row>
        <row r="80">
          <cell r="D80">
            <v>29.05</v>
          </cell>
          <cell r="P80">
            <v>29.05</v>
          </cell>
        </row>
        <row r="81">
          <cell r="P81">
            <v>0</v>
          </cell>
        </row>
        <row r="82">
          <cell r="P82">
            <v>0</v>
          </cell>
        </row>
        <row r="83">
          <cell r="P83">
            <v>0</v>
          </cell>
        </row>
        <row r="84">
          <cell r="D84">
            <v>1179.1400000000001</v>
          </cell>
          <cell r="P84">
            <v>1179.1400000000001</v>
          </cell>
        </row>
        <row r="85">
          <cell r="D85">
            <v>82.44</v>
          </cell>
          <cell r="P85">
            <v>82.44</v>
          </cell>
        </row>
        <row r="86">
          <cell r="D86">
            <v>792.09</v>
          </cell>
          <cell r="P86">
            <v>792.09</v>
          </cell>
        </row>
        <row r="87">
          <cell r="D87">
            <v>258.5</v>
          </cell>
          <cell r="P87">
            <v>258.5</v>
          </cell>
        </row>
        <row r="88">
          <cell r="D88">
            <v>477.07</v>
          </cell>
          <cell r="P88">
            <v>477.07</v>
          </cell>
        </row>
        <row r="89">
          <cell r="D89">
            <v>2789.2400000000002</v>
          </cell>
          <cell r="P89">
            <v>2789.2400000000002</v>
          </cell>
        </row>
        <row r="90">
          <cell r="P90">
            <v>0</v>
          </cell>
        </row>
        <row r="91">
          <cell r="D91">
            <v>4288.17</v>
          </cell>
          <cell r="P91">
            <v>4288.17</v>
          </cell>
        </row>
        <row r="92">
          <cell r="D92">
            <v>2213.75</v>
          </cell>
          <cell r="P92">
            <v>2213.75</v>
          </cell>
        </row>
        <row r="93">
          <cell r="D93">
            <v>2812.8</v>
          </cell>
          <cell r="P93">
            <v>2812.8</v>
          </cell>
        </row>
        <row r="94">
          <cell r="P94">
            <v>0</v>
          </cell>
        </row>
        <row r="95">
          <cell r="P95">
            <v>0</v>
          </cell>
        </row>
        <row r="96">
          <cell r="D96">
            <v>6160.51</v>
          </cell>
          <cell r="P96">
            <v>6160.51</v>
          </cell>
        </row>
        <row r="97">
          <cell r="P97">
            <v>0</v>
          </cell>
        </row>
        <row r="98">
          <cell r="P98">
            <v>0</v>
          </cell>
        </row>
        <row r="99">
          <cell r="P99">
            <v>0</v>
          </cell>
        </row>
        <row r="100">
          <cell r="D100">
            <v>831.77</v>
          </cell>
          <cell r="P100">
            <v>831.77</v>
          </cell>
        </row>
        <row r="101">
          <cell r="D101">
            <v>12018.830000000002</v>
          </cell>
          <cell r="P101">
            <v>12018.830000000002</v>
          </cell>
        </row>
        <row r="102">
          <cell r="P102">
            <v>0</v>
          </cell>
        </row>
        <row r="103">
          <cell r="P103">
            <v>0</v>
          </cell>
        </row>
        <row r="104">
          <cell r="D104">
            <v>-57419.96</v>
          </cell>
          <cell r="P104">
            <v>-57419.96</v>
          </cell>
        </row>
        <row r="105">
          <cell r="D105">
            <v>-18728.09</v>
          </cell>
          <cell r="P105">
            <v>-18728.09</v>
          </cell>
        </row>
        <row r="106">
          <cell r="D106">
            <v>-76148.05</v>
          </cell>
          <cell r="P106">
            <v>-76148.05</v>
          </cell>
        </row>
        <row r="107">
          <cell r="P107">
            <v>0</v>
          </cell>
        </row>
        <row r="108">
          <cell r="P108">
            <v>0</v>
          </cell>
        </row>
        <row r="109">
          <cell r="P109">
            <v>0</v>
          </cell>
        </row>
        <row r="110">
          <cell r="P110">
            <v>0</v>
          </cell>
        </row>
        <row r="111">
          <cell r="D111">
            <v>7.2759576141834259E-12</v>
          </cell>
          <cell r="P111">
            <v>0</v>
          </cell>
        </row>
        <row r="112">
          <cell r="D112">
            <v>76148.05</v>
          </cell>
          <cell r="P112">
            <v>76148.05</v>
          </cell>
        </row>
        <row r="113">
          <cell r="P113">
            <v>0</v>
          </cell>
        </row>
        <row r="114">
          <cell r="P114">
            <v>0</v>
          </cell>
        </row>
        <row r="115">
          <cell r="P115">
            <v>0</v>
          </cell>
        </row>
        <row r="116">
          <cell r="P116">
            <v>0</v>
          </cell>
        </row>
        <row r="117">
          <cell r="D117">
            <v>0</v>
          </cell>
          <cell r="P117">
            <v>0</v>
          </cell>
        </row>
        <row r="118">
          <cell r="P118">
            <v>0</v>
          </cell>
        </row>
        <row r="119">
          <cell r="P119">
            <v>0</v>
          </cell>
        </row>
        <row r="120">
          <cell r="P120">
            <v>0</v>
          </cell>
        </row>
        <row r="121">
          <cell r="P121">
            <v>0</v>
          </cell>
        </row>
        <row r="122">
          <cell r="P122">
            <v>0</v>
          </cell>
        </row>
        <row r="123">
          <cell r="P123">
            <v>0</v>
          </cell>
        </row>
        <row r="124">
          <cell r="P124">
            <v>0</v>
          </cell>
        </row>
        <row r="125">
          <cell r="P125">
            <v>0</v>
          </cell>
        </row>
        <row r="126">
          <cell r="P126">
            <v>0</v>
          </cell>
        </row>
        <row r="127">
          <cell r="P127">
            <v>0</v>
          </cell>
        </row>
        <row r="128">
          <cell r="P128">
            <v>0</v>
          </cell>
        </row>
        <row r="129">
          <cell r="P129">
            <v>0</v>
          </cell>
        </row>
        <row r="130">
          <cell r="P130">
            <v>0</v>
          </cell>
        </row>
        <row r="131">
          <cell r="P131">
            <v>0</v>
          </cell>
        </row>
        <row r="132">
          <cell r="D132">
            <v>0</v>
          </cell>
          <cell r="P132">
            <v>0</v>
          </cell>
        </row>
        <row r="133">
          <cell r="P133">
            <v>0</v>
          </cell>
        </row>
        <row r="134">
          <cell r="P134">
            <v>0</v>
          </cell>
        </row>
        <row r="135">
          <cell r="P135">
            <v>0</v>
          </cell>
        </row>
        <row r="136">
          <cell r="P136">
            <v>0</v>
          </cell>
        </row>
        <row r="137">
          <cell r="D137">
            <v>0</v>
          </cell>
          <cell r="P137">
            <v>0</v>
          </cell>
        </row>
        <row r="138">
          <cell r="D138">
            <v>0</v>
          </cell>
          <cell r="P138">
            <v>0</v>
          </cell>
        </row>
        <row r="139">
          <cell r="P139">
            <v>0</v>
          </cell>
        </row>
        <row r="140">
          <cell r="P140">
            <v>0</v>
          </cell>
        </row>
        <row r="141">
          <cell r="D141">
            <v>2279.38</v>
          </cell>
          <cell r="P141">
            <v>2279.38</v>
          </cell>
        </row>
        <row r="142">
          <cell r="D142">
            <v>-20.52</v>
          </cell>
          <cell r="P142">
            <v>-20.52</v>
          </cell>
        </row>
        <row r="143">
          <cell r="D143">
            <v>200</v>
          </cell>
          <cell r="P143">
            <v>200</v>
          </cell>
        </row>
        <row r="144">
          <cell r="P144">
            <v>0</v>
          </cell>
        </row>
        <row r="145">
          <cell r="P145">
            <v>0</v>
          </cell>
        </row>
        <row r="146">
          <cell r="D146">
            <v>-43.45</v>
          </cell>
          <cell r="P146">
            <v>-43.45</v>
          </cell>
        </row>
        <row r="148">
          <cell r="D148">
            <v>2415.4100000000003</v>
          </cell>
          <cell r="P148">
            <v>2415.4100000000003</v>
          </cell>
        </row>
        <row r="149">
          <cell r="P149">
            <v>0</v>
          </cell>
        </row>
        <row r="150">
          <cell r="P150">
            <v>0</v>
          </cell>
        </row>
        <row r="151">
          <cell r="P151">
            <v>0</v>
          </cell>
        </row>
        <row r="152">
          <cell r="P152">
            <v>0</v>
          </cell>
        </row>
        <row r="153">
          <cell r="D153">
            <v>0</v>
          </cell>
          <cell r="P153">
            <v>0</v>
          </cell>
        </row>
        <row r="154">
          <cell r="D154">
            <v>0</v>
          </cell>
          <cell r="P154">
            <v>0</v>
          </cell>
        </row>
        <row r="155">
          <cell r="P155">
            <v>0</v>
          </cell>
        </row>
        <row r="156">
          <cell r="P156">
            <v>0</v>
          </cell>
        </row>
        <row r="157">
          <cell r="P157">
            <v>0</v>
          </cell>
        </row>
        <row r="158">
          <cell r="P158">
            <v>0</v>
          </cell>
        </row>
        <row r="159">
          <cell r="P159">
            <v>0</v>
          </cell>
        </row>
        <row r="160">
          <cell r="P160">
            <v>0</v>
          </cell>
        </row>
        <row r="161">
          <cell r="P161">
            <v>0</v>
          </cell>
        </row>
        <row r="162">
          <cell r="P162">
            <v>0</v>
          </cell>
        </row>
        <row r="163">
          <cell r="P163">
            <v>0</v>
          </cell>
        </row>
        <row r="164">
          <cell r="D164">
            <v>12.1</v>
          </cell>
          <cell r="P164">
            <v>12.1</v>
          </cell>
        </row>
        <row r="165">
          <cell r="D165">
            <v>48.1</v>
          </cell>
          <cell r="P165">
            <v>48.1</v>
          </cell>
        </row>
        <row r="166">
          <cell r="P166">
            <v>0</v>
          </cell>
        </row>
        <row r="167">
          <cell r="D167">
            <v>109.03</v>
          </cell>
          <cell r="P167">
            <v>109.03</v>
          </cell>
        </row>
        <row r="168">
          <cell r="P168">
            <v>0</v>
          </cell>
        </row>
        <row r="169">
          <cell r="P169">
            <v>0</v>
          </cell>
        </row>
        <row r="170">
          <cell r="D170">
            <v>109.03</v>
          </cell>
          <cell r="P170">
            <v>109.03</v>
          </cell>
        </row>
        <row r="171">
          <cell r="P171">
            <v>0</v>
          </cell>
        </row>
        <row r="172">
          <cell r="D172">
            <v>298.7</v>
          </cell>
          <cell r="P172">
            <v>298.7</v>
          </cell>
        </row>
        <row r="173">
          <cell r="P173">
            <v>0</v>
          </cell>
        </row>
        <row r="174">
          <cell r="P174">
            <v>0</v>
          </cell>
        </row>
        <row r="175">
          <cell r="D175">
            <v>298.7</v>
          </cell>
          <cell r="P175">
            <v>298.7</v>
          </cell>
        </row>
        <row r="176">
          <cell r="D176">
            <v>3626.01</v>
          </cell>
          <cell r="P176">
            <v>3626.01</v>
          </cell>
        </row>
        <row r="177">
          <cell r="P177">
            <v>0</v>
          </cell>
        </row>
        <row r="178">
          <cell r="P178">
            <v>0</v>
          </cell>
        </row>
        <row r="179">
          <cell r="P179">
            <v>0</v>
          </cell>
        </row>
        <row r="180">
          <cell r="P180">
            <v>0</v>
          </cell>
        </row>
        <row r="181">
          <cell r="P181">
            <v>0</v>
          </cell>
        </row>
        <row r="182">
          <cell r="D182">
            <v>0</v>
          </cell>
          <cell r="P182">
            <v>0</v>
          </cell>
        </row>
        <row r="183">
          <cell r="P183">
            <v>0</v>
          </cell>
        </row>
        <row r="184">
          <cell r="D184">
            <v>1656.62</v>
          </cell>
          <cell r="P184">
            <v>1656.62</v>
          </cell>
        </row>
        <row r="185">
          <cell r="P185">
            <v>0</v>
          </cell>
        </row>
        <row r="186">
          <cell r="P186">
            <v>0</v>
          </cell>
        </row>
        <row r="187">
          <cell r="D187">
            <v>1656.62</v>
          </cell>
          <cell r="P187">
            <v>1656.62</v>
          </cell>
        </row>
        <row r="188">
          <cell r="P188">
            <v>0</v>
          </cell>
        </row>
        <row r="189">
          <cell r="P189">
            <v>0</v>
          </cell>
        </row>
        <row r="190">
          <cell r="P190">
            <v>0</v>
          </cell>
        </row>
        <row r="191">
          <cell r="D191">
            <v>523.77</v>
          </cell>
          <cell r="P191">
            <v>523.77</v>
          </cell>
        </row>
        <row r="192">
          <cell r="P192">
            <v>0</v>
          </cell>
        </row>
        <row r="193">
          <cell r="P193">
            <v>0</v>
          </cell>
        </row>
        <row r="194">
          <cell r="P194">
            <v>0</v>
          </cell>
        </row>
        <row r="195">
          <cell r="P195">
            <v>0</v>
          </cell>
        </row>
        <row r="196">
          <cell r="P196">
            <v>0</v>
          </cell>
        </row>
        <row r="197">
          <cell r="D197">
            <v>523.77</v>
          </cell>
          <cell r="P197">
            <v>523.77</v>
          </cell>
        </row>
        <row r="198">
          <cell r="D198">
            <v>8689.7400000000016</v>
          </cell>
          <cell r="P198">
            <v>8689.7400000000016</v>
          </cell>
        </row>
        <row r="199">
          <cell r="P199">
            <v>0</v>
          </cell>
        </row>
        <row r="200">
          <cell r="P200">
            <v>0</v>
          </cell>
        </row>
        <row r="201">
          <cell r="P201">
            <v>0</v>
          </cell>
        </row>
        <row r="202">
          <cell r="P202">
            <v>0</v>
          </cell>
        </row>
        <row r="203">
          <cell r="P203">
            <v>0</v>
          </cell>
        </row>
        <row r="204">
          <cell r="P204">
            <v>0</v>
          </cell>
        </row>
        <row r="205">
          <cell r="P205">
            <v>0</v>
          </cell>
        </row>
        <row r="206">
          <cell r="P206">
            <v>0</v>
          </cell>
        </row>
        <row r="207">
          <cell r="P207">
            <v>0</v>
          </cell>
        </row>
        <row r="208">
          <cell r="P208">
            <v>0</v>
          </cell>
        </row>
        <row r="209">
          <cell r="P209">
            <v>0</v>
          </cell>
        </row>
        <row r="210">
          <cell r="P210">
            <v>0</v>
          </cell>
        </row>
        <row r="211">
          <cell r="P211">
            <v>0</v>
          </cell>
        </row>
        <row r="212">
          <cell r="P212">
            <v>0</v>
          </cell>
        </row>
        <row r="213">
          <cell r="P213">
            <v>0</v>
          </cell>
        </row>
        <row r="214">
          <cell r="D214">
            <v>0</v>
          </cell>
          <cell r="P214">
            <v>0</v>
          </cell>
        </row>
        <row r="215">
          <cell r="P215">
            <v>0</v>
          </cell>
        </row>
        <row r="216">
          <cell r="P216">
            <v>0</v>
          </cell>
        </row>
        <row r="217">
          <cell r="P217">
            <v>0</v>
          </cell>
        </row>
        <row r="218">
          <cell r="P218">
            <v>0</v>
          </cell>
        </row>
        <row r="219">
          <cell r="P219">
            <v>0</v>
          </cell>
        </row>
        <row r="220">
          <cell r="P220">
            <v>0</v>
          </cell>
        </row>
        <row r="221">
          <cell r="P221">
            <v>0</v>
          </cell>
        </row>
        <row r="222">
          <cell r="D222">
            <v>11.28</v>
          </cell>
          <cell r="P222">
            <v>11.28</v>
          </cell>
        </row>
        <row r="223">
          <cell r="D223">
            <v>11.28</v>
          </cell>
          <cell r="P223">
            <v>11.28</v>
          </cell>
        </row>
        <row r="224">
          <cell r="P224">
            <v>0</v>
          </cell>
        </row>
        <row r="225">
          <cell r="P225">
            <v>0</v>
          </cell>
        </row>
        <row r="226">
          <cell r="D226">
            <v>0.44</v>
          </cell>
          <cell r="P226">
            <v>0.44</v>
          </cell>
        </row>
        <row r="227">
          <cell r="P227">
            <v>0</v>
          </cell>
        </row>
        <row r="228">
          <cell r="P228">
            <v>0</v>
          </cell>
        </row>
        <row r="229">
          <cell r="D229">
            <v>0.44</v>
          </cell>
          <cell r="P229">
            <v>0.44</v>
          </cell>
        </row>
        <row r="230">
          <cell r="P230">
            <v>0</v>
          </cell>
        </row>
        <row r="231">
          <cell r="P231">
            <v>0</v>
          </cell>
        </row>
        <row r="232">
          <cell r="P232">
            <v>0</v>
          </cell>
        </row>
        <row r="233">
          <cell r="P233">
            <v>0</v>
          </cell>
        </row>
        <row r="234">
          <cell r="P234">
            <v>0</v>
          </cell>
        </row>
        <row r="235">
          <cell r="D235">
            <v>115.26</v>
          </cell>
          <cell r="P235">
            <v>115.26</v>
          </cell>
        </row>
        <row r="236">
          <cell r="P236">
            <v>0</v>
          </cell>
        </row>
        <row r="237">
          <cell r="P237">
            <v>0</v>
          </cell>
        </row>
        <row r="238">
          <cell r="P238">
            <v>0</v>
          </cell>
        </row>
        <row r="239">
          <cell r="P239">
            <v>0</v>
          </cell>
        </row>
        <row r="240">
          <cell r="P240">
            <v>0</v>
          </cell>
        </row>
        <row r="241">
          <cell r="P241">
            <v>0</v>
          </cell>
        </row>
        <row r="242">
          <cell r="P242">
            <v>0</v>
          </cell>
        </row>
        <row r="243">
          <cell r="D243">
            <v>126.98</v>
          </cell>
          <cell r="P243">
            <v>126.98</v>
          </cell>
        </row>
        <row r="244">
          <cell r="P244">
            <v>0</v>
          </cell>
        </row>
        <row r="245">
          <cell r="P245">
            <v>0</v>
          </cell>
        </row>
        <row r="246">
          <cell r="P246">
            <v>0</v>
          </cell>
        </row>
        <row r="247">
          <cell r="P247">
            <v>0</v>
          </cell>
        </row>
        <row r="248">
          <cell r="D248">
            <v>126.98</v>
          </cell>
          <cell r="P248">
            <v>126.98</v>
          </cell>
        </row>
        <row r="249">
          <cell r="P249">
            <v>0</v>
          </cell>
        </row>
        <row r="250">
          <cell r="P250">
            <v>0</v>
          </cell>
        </row>
        <row r="251">
          <cell r="P251">
            <v>0</v>
          </cell>
        </row>
        <row r="252">
          <cell r="P252">
            <v>0</v>
          </cell>
        </row>
        <row r="253">
          <cell r="D253">
            <v>-84964.77</v>
          </cell>
          <cell r="P253">
            <v>-84964.77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../Backup%20Macro/Bahan/Tarikan%20JDE/Januari'24.csv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zoomScaleNormal="100" workbookViewId="0">
      <selection activeCell="C13" sqref="C13"/>
    </sheetView>
  </sheetViews>
  <sheetFormatPr defaultRowHeight="1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>
      <c r="C1" s="124" t="s">
        <v>5</v>
      </c>
      <c r="D1" s="124"/>
      <c r="E1" s="124"/>
      <c r="F1" s="124"/>
      <c r="G1" s="1"/>
    </row>
    <row r="2" spans="1:8" ht="26.25" customHeight="1">
      <c r="C2" s="121" t="s">
        <v>6</v>
      </c>
      <c r="D2" s="121"/>
      <c r="E2" s="121"/>
      <c r="F2" s="121"/>
      <c r="G2" s="2" t="s">
        <v>0</v>
      </c>
    </row>
    <row r="3" spans="1:8" ht="12" customHeight="1">
      <c r="C3" s="122"/>
      <c r="D3" s="122"/>
      <c r="E3" s="122"/>
      <c r="F3" s="122"/>
      <c r="G3" s="2"/>
    </row>
    <row r="4" spans="1:8" ht="12" customHeight="1">
      <c r="C4" s="122"/>
      <c r="D4" s="122"/>
      <c r="E4" s="122"/>
      <c r="F4" s="122"/>
      <c r="G4" s="2"/>
    </row>
    <row r="5" spans="1:8" ht="18" customHeight="1">
      <c r="B5" s="3"/>
      <c r="C5" s="122"/>
      <c r="D5" s="122"/>
      <c r="E5" s="122"/>
      <c r="F5" s="122"/>
      <c r="G5" s="4"/>
    </row>
    <row r="6" spans="1:8" ht="3" customHeight="1">
      <c r="A6" s="16"/>
      <c r="C6" s="122"/>
      <c r="D6" s="122"/>
      <c r="E6" s="122"/>
      <c r="F6" s="122"/>
      <c r="H6" s="16"/>
    </row>
    <row r="7" spans="1:8" ht="18" customHeight="1">
      <c r="B7" s="5"/>
      <c r="C7" s="122"/>
      <c r="D7" s="122"/>
      <c r="E7" s="122"/>
      <c r="F7" s="122"/>
      <c r="G7" s="6"/>
    </row>
    <row r="8" spans="1:8" ht="12" customHeight="1">
      <c r="C8" s="122"/>
      <c r="D8" s="122"/>
      <c r="E8" s="122"/>
      <c r="F8" s="122"/>
      <c r="G8" s="2"/>
    </row>
    <row r="9" spans="1:8" ht="6.75" customHeight="1">
      <c r="A9" s="125"/>
      <c r="B9" s="125"/>
      <c r="C9" s="123"/>
      <c r="D9" s="123"/>
      <c r="E9" s="123"/>
      <c r="F9" s="123"/>
      <c r="G9" s="2"/>
    </row>
    <row r="10" spans="1:8" ht="18" customHeight="1">
      <c r="A10" s="125"/>
      <c r="B10" s="125"/>
      <c r="C10" s="126" t="s">
        <v>4</v>
      </c>
      <c r="D10" s="126"/>
      <c r="E10" s="126"/>
      <c r="F10" s="126"/>
      <c r="G10" s="2"/>
    </row>
    <row r="11" spans="1:8" ht="15.75">
      <c r="C11" s="7" t="s">
        <v>1</v>
      </c>
      <c r="D11" s="8"/>
      <c r="E11" s="9" t="s">
        <v>2</v>
      </c>
      <c r="F11" s="13" t="s">
        <v>3</v>
      </c>
      <c r="G11" s="2"/>
    </row>
    <row r="12" spans="1:8">
      <c r="C12" s="11" t="s">
        <v>9</v>
      </c>
      <c r="D12" s="2"/>
      <c r="E12" s="17" t="s">
        <v>430</v>
      </c>
      <c r="F12" s="10" t="s">
        <v>0</v>
      </c>
      <c r="G12" s="2" t="s">
        <v>0</v>
      </c>
    </row>
    <row r="13" spans="1:8">
      <c r="C13" s="11" t="s">
        <v>7</v>
      </c>
      <c r="D13" s="2"/>
      <c r="E13" s="10" t="s">
        <v>8</v>
      </c>
      <c r="F13" s="10" t="s">
        <v>0</v>
      </c>
      <c r="G13" s="2" t="s">
        <v>0</v>
      </c>
    </row>
    <row r="14" spans="1:8">
      <c r="C14" s="11"/>
      <c r="D14" s="2"/>
      <c r="E14" s="17"/>
      <c r="F14" s="15"/>
      <c r="G14" s="2" t="s">
        <v>0</v>
      </c>
    </row>
    <row r="15" spans="1:8">
      <c r="C15" s="11"/>
      <c r="D15" s="11"/>
      <c r="E15" s="17"/>
      <c r="F15" s="14"/>
      <c r="G15" s="2"/>
    </row>
    <row r="16" spans="1:8">
      <c r="C16" s="11"/>
      <c r="D16" s="11"/>
      <c r="E16" s="17"/>
      <c r="F16" s="12"/>
      <c r="G16" s="2"/>
    </row>
    <row r="17" spans="3:7" ht="1.5" customHeight="1">
      <c r="C17" s="120"/>
      <c r="D17" s="120"/>
      <c r="E17" s="120"/>
      <c r="F17" s="120"/>
      <c r="G17" s="2"/>
    </row>
    <row r="18" spans="3:7">
      <c r="G18" s="2"/>
    </row>
    <row r="19" spans="3:7">
      <c r="G19" s="2"/>
    </row>
    <row r="20" spans="3:7">
      <c r="G20" s="2"/>
    </row>
    <row r="21" spans="3:7">
      <c r="G21" s="2"/>
    </row>
    <row r="22" spans="3:7">
      <c r="G22" s="2"/>
    </row>
    <row r="23" spans="3:7">
      <c r="G23" s="2"/>
    </row>
    <row r="24" spans="3:7">
      <c r="G24" s="2"/>
    </row>
    <row r="25" spans="3:7">
      <c r="G25" s="2"/>
    </row>
    <row r="26" spans="3:7">
      <c r="G26" s="2"/>
    </row>
    <row r="27" spans="3:7">
      <c r="G27" s="2"/>
    </row>
    <row r="28" spans="3:7">
      <c r="G28" s="2"/>
    </row>
    <row r="29" spans="3:7">
      <c r="G29" s="2"/>
    </row>
    <row r="30" spans="3:7">
      <c r="G30" s="2"/>
    </row>
    <row r="31" spans="3:7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xr:uid="{A2761B5A-ECB9-4266-B2BC-1D671DA859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btn_StartWizard">
          <controlPr defaultSize="0" autoLine="0" r:id="rId5">
            <anchor moveWithCells="1">
              <from>
                <xdr:col>2</xdr:col>
                <xdr:colOff>3143250</xdr:colOff>
                <xdr:row>3</xdr:row>
                <xdr:rowOff>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btn_StartWiza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59FA-A09D-4280-B630-7FCEC0832415}">
  <sheetPr codeName="Sheet9"/>
  <dimension ref="F4:G9"/>
  <sheetViews>
    <sheetView workbookViewId="0">
      <selection activeCell="F9" sqref="A9:F9"/>
    </sheetView>
  </sheetViews>
  <sheetFormatPr defaultRowHeight="15"/>
  <cols>
    <col min="6" max="6" width="17.5703125" bestFit="1" customWidth="1"/>
  </cols>
  <sheetData>
    <row r="4" spans="6:7">
      <c r="F4" t="s">
        <v>435</v>
      </c>
    </row>
    <row r="5" spans="6:7">
      <c r="F5" t="s">
        <v>444</v>
      </c>
      <c r="G5" t="s">
        <v>440</v>
      </c>
    </row>
    <row r="6" spans="6:7">
      <c r="F6" t="s">
        <v>436</v>
      </c>
      <c r="G6" t="b">
        <v>1</v>
      </c>
    </row>
    <row r="7" spans="6:7">
      <c r="F7" t="s">
        <v>437</v>
      </c>
      <c r="G7" t="b">
        <v>1</v>
      </c>
    </row>
    <row r="8" spans="6:7">
      <c r="F8" t="s">
        <v>438</v>
      </c>
      <c r="G8" t="b">
        <v>1</v>
      </c>
    </row>
    <row r="9" spans="6:7">
      <c r="F9" t="s">
        <v>439</v>
      </c>
      <c r="G9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0F9F-28DC-45E3-A880-23F0C41633F5}">
  <sheetPr codeName="Sheet10"/>
  <dimension ref="A1:S344"/>
  <sheetViews>
    <sheetView tabSelected="1" zoomScale="70" zoomScaleNormal="70" workbookViewId="0">
      <pane xSplit="3" ySplit="5" topLeftCell="K244" activePane="bottomRight" state="frozen"/>
      <selection pane="topRight" activeCell="D1" sqref="D1"/>
      <selection pane="bottomLeft" activeCell="A6" sqref="A6"/>
      <selection pane="bottomRight" activeCell="L257" sqref="L257"/>
    </sheetView>
  </sheetViews>
  <sheetFormatPr defaultRowHeight="16.5"/>
  <cols>
    <col min="1" max="1" width="3.5703125" style="134" customWidth="1"/>
    <col min="2" max="2" width="19.85546875" style="41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132"/>
      <c r="B1" s="18"/>
      <c r="C1" s="118" t="s">
        <v>10</v>
      </c>
      <c r="D1" s="1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132"/>
      <c r="B2" s="18"/>
      <c r="C2" s="119" t="s">
        <v>11</v>
      </c>
      <c r="D2" s="119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132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41" customFormat="1" ht="24" customHeight="1">
      <c r="A4" s="133"/>
      <c r="B4" s="62" t="s">
        <v>12</v>
      </c>
      <c r="C4" s="62" t="s">
        <v>13</v>
      </c>
      <c r="D4" s="62" t="s">
        <v>14</v>
      </c>
      <c r="E4" s="62" t="s">
        <v>15</v>
      </c>
      <c r="F4" s="62" t="s">
        <v>16</v>
      </c>
      <c r="G4" s="62" t="s">
        <v>17</v>
      </c>
      <c r="H4" s="62" t="s">
        <v>18</v>
      </c>
      <c r="I4" s="62" t="s">
        <v>19</v>
      </c>
      <c r="J4" s="62" t="s">
        <v>20</v>
      </c>
      <c r="K4" s="62" t="s">
        <v>21</v>
      </c>
      <c r="L4" s="62" t="s">
        <v>22</v>
      </c>
      <c r="M4" s="62" t="s">
        <v>23</v>
      </c>
      <c r="N4" s="62" t="s">
        <v>24</v>
      </c>
      <c r="O4" s="62" t="s">
        <v>25</v>
      </c>
      <c r="P4" s="62" t="s">
        <v>26</v>
      </c>
      <c r="Q4" s="76"/>
      <c r="R4" s="59"/>
    </row>
    <row r="5" spans="1:19" ht="3" customHeight="1">
      <c r="B5" s="105"/>
      <c r="C5" s="106"/>
      <c r="D5" s="107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22"/>
      <c r="R5" s="18"/>
    </row>
    <row r="6" spans="1:19" ht="17.45" customHeight="1">
      <c r="B6" s="25"/>
      <c r="C6" s="90" t="s">
        <v>27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22"/>
      <c r="R6" s="18"/>
    </row>
    <row r="7" spans="1:19" ht="17.45" customHeight="1">
      <c r="B7" s="25"/>
      <c r="C7" s="91" t="s">
        <v>28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22"/>
      <c r="R7" s="18"/>
    </row>
    <row r="8" spans="1:19" ht="17.45" customHeight="1">
      <c r="B8" s="31" t="s">
        <v>30</v>
      </c>
      <c r="C8" s="92" t="s">
        <v>31</v>
      </c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>
        <f t="shared" ref="P8:P13" si="0">D8+E8+F8+G8+H8+I8+J8+K8+L8+M8+N8+O8</f>
        <v>0</v>
      </c>
      <c r="Q8" s="22"/>
      <c r="R8" s="32"/>
      <c r="S8" s="22"/>
    </row>
    <row r="9" spans="1:19" ht="17.45" customHeight="1">
      <c r="B9" s="31" t="s">
        <v>32</v>
      </c>
      <c r="C9" s="92" t="s">
        <v>33</v>
      </c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>
        <f t="shared" si="0"/>
        <v>0</v>
      </c>
      <c r="Q9" s="22"/>
      <c r="R9" s="32"/>
      <c r="S9" s="22"/>
    </row>
    <row r="10" spans="1:19" ht="17.45" customHeight="1">
      <c r="B10" s="31" t="s">
        <v>34</v>
      </c>
      <c r="C10" s="92" t="s">
        <v>35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>
        <f t="shared" si="0"/>
        <v>0</v>
      </c>
      <c r="Q10" s="22"/>
      <c r="R10" s="32"/>
      <c r="S10" s="22"/>
    </row>
    <row r="11" spans="1:19" ht="17.45" customHeight="1">
      <c r="B11" s="31" t="s">
        <v>36</v>
      </c>
      <c r="C11" s="92" t="s">
        <v>37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>
        <f t="shared" si="0"/>
        <v>0</v>
      </c>
      <c r="Q11" s="22"/>
      <c r="R11" s="32"/>
      <c r="S11" s="22"/>
    </row>
    <row r="12" spans="1:19" ht="17.45" customHeight="1">
      <c r="B12" s="31" t="s">
        <v>38</v>
      </c>
      <c r="C12" s="92" t="s">
        <v>39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>
        <f t="shared" si="0"/>
        <v>0</v>
      </c>
      <c r="Q12" s="22"/>
      <c r="R12" s="32"/>
      <c r="S12" s="22"/>
    </row>
    <row r="13" spans="1:19" ht="17.45" customHeight="1">
      <c r="B13" s="31" t="s">
        <v>40</v>
      </c>
      <c r="C13" s="92" t="s">
        <v>41</v>
      </c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>
        <f t="shared" si="0"/>
        <v>0</v>
      </c>
      <c r="Q13" s="22"/>
      <c r="R13" s="32"/>
      <c r="S13" s="22"/>
    </row>
    <row r="14" spans="1:19" ht="17.45" customHeight="1">
      <c r="B14" s="31"/>
      <c r="C14" s="92" t="s">
        <v>42</v>
      </c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>
        <v>0</v>
      </c>
      <c r="Q14" s="22"/>
      <c r="R14" s="32"/>
      <c r="S14" s="22"/>
    </row>
    <row r="15" spans="1:19" ht="17.45" customHeight="1">
      <c r="A15" s="134" t="s">
        <v>442</v>
      </c>
      <c r="B15" s="63" t="s">
        <v>44</v>
      </c>
      <c r="C15" s="115" t="s">
        <v>28</v>
      </c>
      <c r="D15" s="114">
        <f t="shared" ref="D15:O15" si="1">SUM(D7:D13)</f>
        <v>0</v>
      </c>
      <c r="E15" s="114">
        <f t="shared" si="1"/>
        <v>0</v>
      </c>
      <c r="F15" s="114">
        <f t="shared" si="1"/>
        <v>0</v>
      </c>
      <c r="G15" s="114">
        <f t="shared" si="1"/>
        <v>0</v>
      </c>
      <c r="H15" s="114">
        <f t="shared" si="1"/>
        <v>0</v>
      </c>
      <c r="I15" s="114">
        <f t="shared" si="1"/>
        <v>0</v>
      </c>
      <c r="J15" s="114">
        <f t="shared" si="1"/>
        <v>0</v>
      </c>
      <c r="K15" s="114">
        <f t="shared" si="1"/>
        <v>0</v>
      </c>
      <c r="L15" s="114">
        <f t="shared" si="1"/>
        <v>0</v>
      </c>
      <c r="M15" s="114">
        <f t="shared" si="1"/>
        <v>0</v>
      </c>
      <c r="N15" s="114">
        <f t="shared" si="1"/>
        <v>0</v>
      </c>
      <c r="O15" s="114">
        <f t="shared" si="1"/>
        <v>0</v>
      </c>
      <c r="P15" s="114">
        <f>SUM(P7:P13)</f>
        <v>0</v>
      </c>
      <c r="Q15" s="22"/>
      <c r="R15" s="32"/>
      <c r="S15" s="22"/>
    </row>
    <row r="16" spans="1:19" ht="17.45" customHeight="1">
      <c r="A16" s="134" t="s">
        <v>442</v>
      </c>
      <c r="B16" s="69" t="s">
        <v>46</v>
      </c>
      <c r="C16" s="93" t="s">
        <v>47</v>
      </c>
      <c r="D16" s="89">
        <f t="shared" ref="D16:O16" si="2">D15</f>
        <v>0</v>
      </c>
      <c r="E16" s="89">
        <f t="shared" si="2"/>
        <v>0</v>
      </c>
      <c r="F16" s="89">
        <f t="shared" si="2"/>
        <v>0</v>
      </c>
      <c r="G16" s="89">
        <f t="shared" si="2"/>
        <v>0</v>
      </c>
      <c r="H16" s="89">
        <f t="shared" si="2"/>
        <v>0</v>
      </c>
      <c r="I16" s="89">
        <f t="shared" si="2"/>
        <v>0</v>
      </c>
      <c r="J16" s="89">
        <f t="shared" si="2"/>
        <v>0</v>
      </c>
      <c r="K16" s="89">
        <f t="shared" si="2"/>
        <v>0</v>
      </c>
      <c r="L16" s="89">
        <f t="shared" si="2"/>
        <v>0</v>
      </c>
      <c r="M16" s="89">
        <f t="shared" si="2"/>
        <v>0</v>
      </c>
      <c r="N16" s="89">
        <f t="shared" si="2"/>
        <v>0</v>
      </c>
      <c r="O16" s="89">
        <f t="shared" si="2"/>
        <v>0</v>
      </c>
      <c r="P16" s="89">
        <f>P15</f>
        <v>0</v>
      </c>
      <c r="Q16" s="22"/>
      <c r="R16" s="32"/>
      <c r="S16" s="22"/>
    </row>
    <row r="17" spans="1:19" ht="17.45" customHeight="1">
      <c r="B17" s="31"/>
      <c r="C17" s="90" t="s">
        <v>48</v>
      </c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>
        <f t="shared" ref="P17:P23" si="3">D17+E17+F17+G17+H17+I17+J17+K17+L17+M17+N17+O17</f>
        <v>0</v>
      </c>
      <c r="Q17" s="22"/>
      <c r="R17" s="32"/>
      <c r="S17" s="22"/>
    </row>
    <row r="18" spans="1:19" ht="17.45" customHeight="1">
      <c r="B18" s="31"/>
      <c r="C18" s="91" t="s">
        <v>49</v>
      </c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>
        <f t="shared" si="3"/>
        <v>0</v>
      </c>
      <c r="Q18" s="22"/>
      <c r="R18" s="32"/>
      <c r="S18" s="22"/>
    </row>
    <row r="19" spans="1:19" ht="17.45" customHeight="1">
      <c r="B19" s="31" t="s">
        <v>50</v>
      </c>
      <c r="C19" s="92" t="s">
        <v>51</v>
      </c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>
        <f t="shared" si="3"/>
        <v>0</v>
      </c>
      <c r="Q19" s="22"/>
      <c r="R19" s="32"/>
      <c r="S19" s="22"/>
    </row>
    <row r="20" spans="1:19" ht="17.45" customHeight="1">
      <c r="B20" s="31" t="s">
        <v>53</v>
      </c>
      <c r="C20" s="26" t="s">
        <v>54</v>
      </c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>
        <f t="shared" si="3"/>
        <v>0</v>
      </c>
      <c r="Q20" s="22"/>
      <c r="R20" s="32"/>
      <c r="S20" s="22"/>
    </row>
    <row r="21" spans="1:19" ht="17.45" customHeight="1">
      <c r="B21" s="31"/>
      <c r="C21" s="26" t="s">
        <v>55</v>
      </c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>
        <f t="shared" si="3"/>
        <v>0</v>
      </c>
      <c r="Q21" s="22"/>
      <c r="R21" s="32"/>
      <c r="S21" s="22"/>
    </row>
    <row r="22" spans="1:19" ht="17.45" customHeight="1">
      <c r="B22" s="31" t="s">
        <v>56</v>
      </c>
      <c r="C22" s="26" t="s">
        <v>57</v>
      </c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>
        <f t="shared" si="3"/>
        <v>0</v>
      </c>
      <c r="Q22" s="22"/>
      <c r="R22" s="32"/>
      <c r="S22" s="22"/>
    </row>
    <row r="23" spans="1:19" ht="17.45" customHeight="1">
      <c r="B23" s="31" t="s">
        <v>58</v>
      </c>
      <c r="C23" s="26" t="s">
        <v>59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>
        <f t="shared" si="3"/>
        <v>0</v>
      </c>
      <c r="Q23" s="22"/>
      <c r="R23" s="32"/>
      <c r="S23" s="22"/>
    </row>
    <row r="24" spans="1:19" ht="17.45" customHeight="1">
      <c r="A24" s="134" t="s">
        <v>442</v>
      </c>
      <c r="B24" s="71"/>
      <c r="C24" s="72" t="s">
        <v>60</v>
      </c>
      <c r="D24" s="88">
        <f t="shared" ref="D24:O24" si="4">SUM(D18:D23)</f>
        <v>0</v>
      </c>
      <c r="E24" s="88">
        <f t="shared" si="4"/>
        <v>0</v>
      </c>
      <c r="F24" s="88">
        <f t="shared" si="4"/>
        <v>0</v>
      </c>
      <c r="G24" s="88">
        <f t="shared" si="4"/>
        <v>0</v>
      </c>
      <c r="H24" s="88">
        <f t="shared" si="4"/>
        <v>0</v>
      </c>
      <c r="I24" s="88">
        <f t="shared" si="4"/>
        <v>0</v>
      </c>
      <c r="J24" s="88">
        <f t="shared" si="4"/>
        <v>0</v>
      </c>
      <c r="K24" s="88">
        <f t="shared" si="4"/>
        <v>0</v>
      </c>
      <c r="L24" s="88">
        <f t="shared" si="4"/>
        <v>0</v>
      </c>
      <c r="M24" s="88">
        <f t="shared" si="4"/>
        <v>0</v>
      </c>
      <c r="N24" s="88">
        <f t="shared" si="4"/>
        <v>0</v>
      </c>
      <c r="O24" s="88">
        <f t="shared" si="4"/>
        <v>0</v>
      </c>
      <c r="P24" s="88">
        <f>SUM(P18:P23)</f>
        <v>0</v>
      </c>
      <c r="Q24" s="22"/>
      <c r="R24" s="32"/>
      <c r="S24" s="22"/>
    </row>
    <row r="25" spans="1:19" ht="17.45" customHeight="1">
      <c r="B25" s="31" t="s">
        <v>61</v>
      </c>
      <c r="C25" s="26" t="s">
        <v>62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>
        <f>D25+E25+F25+G25+H25+I25+J25+K25+L25+M25+N25+O25</f>
        <v>0</v>
      </c>
      <c r="Q25" s="22"/>
      <c r="R25" s="32"/>
      <c r="S25" s="22"/>
    </row>
    <row r="26" spans="1:19" ht="17.45" customHeight="1">
      <c r="B26" s="31" t="s">
        <v>63</v>
      </c>
      <c r="C26" s="26" t="s">
        <v>64</v>
      </c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>
        <f>D26+E26+F26+G26+H26+I26+J26+K26+L26+M26+N26+O26</f>
        <v>0</v>
      </c>
      <c r="Q26" s="22"/>
      <c r="R26" s="32"/>
      <c r="S26" s="22"/>
    </row>
    <row r="27" spans="1:19" ht="17.45" customHeight="1">
      <c r="B27" s="31" t="s">
        <v>65</v>
      </c>
      <c r="C27" s="26" t="s">
        <v>66</v>
      </c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>
        <f>D27+E27+F27+G27+H27+I27+J27+K27+L27+M27+N27+O27</f>
        <v>0</v>
      </c>
      <c r="Q27" s="22"/>
      <c r="R27" s="32"/>
      <c r="S27" s="22"/>
    </row>
    <row r="28" spans="1:19" ht="17.45" customHeight="1">
      <c r="B28" s="31" t="s">
        <v>67</v>
      </c>
      <c r="C28" s="26" t="s">
        <v>68</v>
      </c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>
        <f>D28+E28+F28+G28+H28+I28+J28+K28+L28+M28+N28+O28</f>
        <v>0</v>
      </c>
      <c r="Q28" s="22"/>
      <c r="R28" s="32"/>
      <c r="S28" s="22"/>
    </row>
    <row r="29" spans="1:19" ht="17.45" customHeight="1">
      <c r="A29" s="134" t="s">
        <v>442</v>
      </c>
      <c r="B29" s="71"/>
      <c r="C29" s="72" t="s">
        <v>69</v>
      </c>
      <c r="D29" s="88">
        <f>D25</f>
        <v>0</v>
      </c>
      <c r="E29" s="88">
        <f t="shared" ref="E29:P29" si="5">E25</f>
        <v>0</v>
      </c>
      <c r="F29" s="88">
        <f t="shared" si="5"/>
        <v>0</v>
      </c>
      <c r="G29" s="88">
        <f t="shared" si="5"/>
        <v>0</v>
      </c>
      <c r="H29" s="88">
        <f t="shared" si="5"/>
        <v>0</v>
      </c>
      <c r="I29" s="88">
        <f t="shared" si="5"/>
        <v>0</v>
      </c>
      <c r="J29" s="88">
        <f t="shared" si="5"/>
        <v>0</v>
      </c>
      <c r="K29" s="88">
        <f t="shared" si="5"/>
        <v>0</v>
      </c>
      <c r="L29" s="88">
        <f t="shared" si="5"/>
        <v>0</v>
      </c>
      <c r="M29" s="88">
        <f t="shared" si="5"/>
        <v>0</v>
      </c>
      <c r="N29" s="88">
        <f t="shared" si="5"/>
        <v>0</v>
      </c>
      <c r="O29" s="88">
        <f t="shared" si="5"/>
        <v>0</v>
      </c>
      <c r="P29" s="88">
        <f t="shared" si="5"/>
        <v>0</v>
      </c>
      <c r="Q29" s="22"/>
      <c r="R29" s="32"/>
      <c r="S29" s="22"/>
    </row>
    <row r="30" spans="1:19" ht="17.45" customHeight="1">
      <c r="B30" s="31" t="s">
        <v>70</v>
      </c>
      <c r="C30" s="26" t="s">
        <v>71</v>
      </c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>
        <f>D30+E30+F30+G30+H30+I30+J30+K30+L30+M30+N30+O30</f>
        <v>0</v>
      </c>
      <c r="Q30" s="22"/>
      <c r="R30" s="32"/>
      <c r="S30" s="22"/>
    </row>
    <row r="31" spans="1:19" ht="17.45" customHeight="1">
      <c r="B31" s="31" t="s">
        <v>72</v>
      </c>
      <c r="C31" s="26" t="s">
        <v>73</v>
      </c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>
        <f>D31+E31+F31+G31+H31+I31+J31+K31+L31+M31+N31+O31</f>
        <v>0</v>
      </c>
      <c r="Q31" s="22"/>
      <c r="R31" s="32"/>
      <c r="S31" s="22"/>
    </row>
    <row r="32" spans="1:19" ht="17.45" customHeight="1">
      <c r="B32" s="31" t="s">
        <v>74</v>
      </c>
      <c r="C32" s="26" t="s">
        <v>75</v>
      </c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>
        <f>D32+E32+F32+G32+H32+I32+J32+K32+L32+M32+N32+O32</f>
        <v>0</v>
      </c>
      <c r="Q32" s="22"/>
      <c r="R32" s="32"/>
      <c r="S32" s="22"/>
    </row>
    <row r="33" spans="1:19" ht="17.45" customHeight="1">
      <c r="B33" s="31" t="s">
        <v>76</v>
      </c>
      <c r="C33" s="26" t="s">
        <v>77</v>
      </c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>
        <f>D33+E33+F33+G33+H33+I33+J33+K33+L33+M33+N33+O33</f>
        <v>0</v>
      </c>
      <c r="Q33" s="22"/>
      <c r="R33" s="32"/>
      <c r="S33" s="22"/>
    </row>
    <row r="34" spans="1:19" ht="17.45" customHeight="1">
      <c r="A34" s="134" t="s">
        <v>442</v>
      </c>
      <c r="B34" s="97"/>
      <c r="C34" s="98" t="s">
        <v>78</v>
      </c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>
        <v>0</v>
      </c>
      <c r="Q34" s="22"/>
      <c r="R34" s="32"/>
      <c r="S34" s="22"/>
    </row>
    <row r="35" spans="1:19" ht="17.45" customHeight="1">
      <c r="A35" s="134" t="s">
        <v>442</v>
      </c>
      <c r="B35" s="97" t="s">
        <v>79</v>
      </c>
      <c r="C35" s="98" t="s">
        <v>80</v>
      </c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>
        <v>0</v>
      </c>
      <c r="Q35" s="22"/>
      <c r="R35" s="32"/>
      <c r="S35" s="22"/>
    </row>
    <row r="36" spans="1:19" ht="17.45" customHeight="1">
      <c r="A36" s="134" t="s">
        <v>442</v>
      </c>
      <c r="B36" s="69" t="s">
        <v>81</v>
      </c>
      <c r="C36" s="70" t="s">
        <v>82</v>
      </c>
      <c r="D36" s="88">
        <f t="shared" ref="D36:O36" si="6">D24+D29+D34+D35</f>
        <v>0</v>
      </c>
      <c r="E36" s="88">
        <f t="shared" si="6"/>
        <v>0</v>
      </c>
      <c r="F36" s="88">
        <f t="shared" si="6"/>
        <v>0</v>
      </c>
      <c r="G36" s="88">
        <f t="shared" si="6"/>
        <v>0</v>
      </c>
      <c r="H36" s="88">
        <f t="shared" si="6"/>
        <v>0</v>
      </c>
      <c r="I36" s="88">
        <f t="shared" si="6"/>
        <v>0</v>
      </c>
      <c r="J36" s="88">
        <f t="shared" si="6"/>
        <v>0</v>
      </c>
      <c r="K36" s="88">
        <f t="shared" si="6"/>
        <v>0</v>
      </c>
      <c r="L36" s="88">
        <f t="shared" si="6"/>
        <v>0</v>
      </c>
      <c r="M36" s="88">
        <f t="shared" si="6"/>
        <v>0</v>
      </c>
      <c r="N36" s="88">
        <f t="shared" si="6"/>
        <v>0</v>
      </c>
      <c r="O36" s="88">
        <f t="shared" si="6"/>
        <v>0</v>
      </c>
      <c r="P36" s="88">
        <f>P24+P29+P34+P35</f>
        <v>0</v>
      </c>
      <c r="Q36" s="22"/>
      <c r="R36" s="32"/>
      <c r="S36" s="22"/>
    </row>
    <row r="37" spans="1:19" ht="17.45" customHeight="1">
      <c r="B37" s="31"/>
      <c r="C37" s="35" t="s">
        <v>83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>
        <f t="shared" ref="P37:P42" si="7">D37+E37+F37+G37+H37+I37+J37+K37+L37+M37+N37+O37</f>
        <v>0</v>
      </c>
      <c r="Q37" s="22"/>
      <c r="R37" s="32"/>
      <c r="S37" s="22"/>
    </row>
    <row r="38" spans="1:19" ht="17.45" customHeight="1">
      <c r="B38" s="31" t="s">
        <v>84</v>
      </c>
      <c r="C38" s="29" t="s">
        <v>85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>
        <f t="shared" si="7"/>
        <v>0</v>
      </c>
      <c r="Q38" s="22"/>
      <c r="R38" s="32"/>
      <c r="S38" s="22"/>
    </row>
    <row r="39" spans="1:19" ht="17.45" customHeight="1">
      <c r="B39" s="31" t="s">
        <v>86</v>
      </c>
      <c r="C39" s="26" t="s">
        <v>87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>
        <f t="shared" si="7"/>
        <v>0</v>
      </c>
      <c r="Q39" s="22"/>
      <c r="R39" s="32"/>
      <c r="S39" s="22"/>
    </row>
    <row r="40" spans="1:19" ht="17.45" customHeight="1">
      <c r="B40" s="31"/>
      <c r="C40" s="29" t="s">
        <v>88</v>
      </c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>
        <f t="shared" si="7"/>
        <v>0</v>
      </c>
      <c r="Q40" s="22"/>
      <c r="R40" s="32"/>
      <c r="S40" s="22"/>
    </row>
    <row r="41" spans="1:19" ht="17.45" customHeight="1">
      <c r="B41" s="31" t="s">
        <v>89</v>
      </c>
      <c r="C41" s="26" t="s">
        <v>90</v>
      </c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>
        <f t="shared" si="7"/>
        <v>0</v>
      </c>
      <c r="Q41" s="22"/>
      <c r="R41" s="32"/>
      <c r="S41" s="22"/>
    </row>
    <row r="42" spans="1:19" ht="17.45" customHeight="1">
      <c r="B42" s="31" t="s">
        <v>91</v>
      </c>
      <c r="C42" s="26" t="s">
        <v>92</v>
      </c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>
        <f t="shared" si="7"/>
        <v>0</v>
      </c>
      <c r="Q42" s="22"/>
      <c r="R42" s="32"/>
      <c r="S42" s="22"/>
    </row>
    <row r="43" spans="1:19" ht="17.45" customHeight="1">
      <c r="B43" s="31"/>
      <c r="C43" s="26" t="s">
        <v>93</v>
      </c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>
        <v>0</v>
      </c>
      <c r="Q43" s="22"/>
      <c r="R43" s="32"/>
      <c r="S43" s="22"/>
    </row>
    <row r="44" spans="1:19" ht="17.45" customHeight="1">
      <c r="B44" s="31" t="s">
        <v>94</v>
      </c>
      <c r="C44" s="26" t="s">
        <v>95</v>
      </c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>
        <v>0</v>
      </c>
      <c r="Q44" s="22"/>
      <c r="R44" s="32"/>
      <c r="S44" s="22"/>
    </row>
    <row r="45" spans="1:19" ht="17.45" customHeight="1">
      <c r="B45" s="31"/>
      <c r="C45" s="26" t="s">
        <v>96</v>
      </c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>
        <v>0</v>
      </c>
      <c r="Q45" s="22"/>
      <c r="R45" s="32"/>
      <c r="S45" s="22"/>
    </row>
    <row r="46" spans="1:19" ht="17.45" customHeight="1">
      <c r="B46" s="31"/>
      <c r="C46" s="26" t="s">
        <v>97</v>
      </c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>
        <v>0</v>
      </c>
      <c r="Q46" s="22"/>
      <c r="R46" s="32"/>
      <c r="S46" s="22"/>
    </row>
    <row r="47" spans="1:19" ht="17.45" customHeight="1">
      <c r="A47" s="134" t="s">
        <v>442</v>
      </c>
      <c r="B47" s="68" t="s">
        <v>98</v>
      </c>
      <c r="C47" s="67" t="s">
        <v>88</v>
      </c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>
        <f>SUM(D47:O47)</f>
        <v>0</v>
      </c>
      <c r="Q47" s="22"/>
      <c r="R47" s="32"/>
      <c r="S47" s="22"/>
    </row>
    <row r="48" spans="1:19" ht="17.45" customHeight="1">
      <c r="B48" s="31"/>
      <c r="C48" s="29" t="s">
        <v>99</v>
      </c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>
        <f>D48+E48+F48+G48+H48+I48+J48+K48+L48+M48+N48+O48</f>
        <v>0</v>
      </c>
      <c r="Q48" s="22"/>
      <c r="R48" s="32"/>
      <c r="S48" s="22"/>
    </row>
    <row r="49" spans="1:19" ht="17.45" customHeight="1">
      <c r="B49" s="31" t="s">
        <v>100</v>
      </c>
      <c r="C49" s="26" t="s">
        <v>101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>
        <f>D49+E49+F49+G49+H49+I49+J49+K49+L49+M49+N49+O49</f>
        <v>0</v>
      </c>
      <c r="Q49" s="22"/>
      <c r="R49" s="32"/>
      <c r="S49" s="22"/>
    </row>
    <row r="50" spans="1:19" ht="17.45" customHeight="1">
      <c r="B50" s="31" t="s">
        <v>102</v>
      </c>
      <c r="C50" s="26" t="s">
        <v>103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>
        <f>D50+E50+F50+G50+H50+I50+J50+K50+L50+M50+N50+O50</f>
        <v>0</v>
      </c>
      <c r="Q50" s="22"/>
      <c r="R50" s="32"/>
      <c r="S50" s="22"/>
    </row>
    <row r="51" spans="1:19" ht="17.45" customHeight="1">
      <c r="B51" s="31" t="s">
        <v>104</v>
      </c>
      <c r="C51" s="26" t="s">
        <v>105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>
        <f>D51+E51+F51+G51+H51+I51+J51+K51+L51+M51+N51+O51</f>
        <v>0</v>
      </c>
      <c r="Q51" s="22"/>
      <c r="R51" s="32"/>
      <c r="S51" s="22"/>
    </row>
    <row r="52" spans="1:19" ht="17.45" customHeight="1">
      <c r="A52" s="134" t="s">
        <v>442</v>
      </c>
      <c r="B52" s="97" t="s">
        <v>106</v>
      </c>
      <c r="C52" s="98" t="s">
        <v>99</v>
      </c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>
        <f>SUM(D52:O52)</f>
        <v>0</v>
      </c>
      <c r="Q52" s="22"/>
      <c r="R52" s="32"/>
      <c r="S52" s="22"/>
    </row>
    <row r="53" spans="1:19" ht="17.45" customHeight="1">
      <c r="A53" s="134" t="s">
        <v>442</v>
      </c>
      <c r="B53" s="97" t="s">
        <v>107</v>
      </c>
      <c r="C53" s="98" t="s">
        <v>108</v>
      </c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>
        <f>SUM(D53:O53)</f>
        <v>0</v>
      </c>
      <c r="Q53" s="22"/>
      <c r="R53" s="32"/>
      <c r="S53" s="22"/>
    </row>
    <row r="54" spans="1:19" ht="17.45" customHeight="1">
      <c r="B54" s="31"/>
      <c r="C54" s="28" t="s">
        <v>109</v>
      </c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>
        <f t="shared" ref="P54:P60" si="8">D54+E54+F54+G54+H54+I54+J54+K54+L54+M54+N54+O54</f>
        <v>0</v>
      </c>
      <c r="Q54" s="22"/>
      <c r="R54" s="32"/>
      <c r="S54" s="22"/>
    </row>
    <row r="55" spans="1:19" ht="17.45" customHeight="1">
      <c r="B55" s="31"/>
      <c r="C55" s="29" t="s">
        <v>110</v>
      </c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>
        <f t="shared" si="8"/>
        <v>0</v>
      </c>
      <c r="Q55" s="22"/>
      <c r="R55" s="32"/>
      <c r="S55" s="22"/>
    </row>
    <row r="56" spans="1:19" ht="17.45" customHeight="1">
      <c r="B56" s="31" t="s">
        <v>111</v>
      </c>
      <c r="C56" s="26" t="s">
        <v>112</v>
      </c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>
        <f t="shared" si="8"/>
        <v>0</v>
      </c>
      <c r="Q56" s="22"/>
      <c r="R56" s="32"/>
      <c r="S56" s="22"/>
    </row>
    <row r="57" spans="1:19" ht="17.45" customHeight="1">
      <c r="B57" s="31" t="s">
        <v>113</v>
      </c>
      <c r="C57" s="26" t="s">
        <v>114</v>
      </c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>
        <f t="shared" si="8"/>
        <v>0</v>
      </c>
      <c r="Q57" s="22"/>
      <c r="R57" s="32"/>
      <c r="S57" s="22"/>
    </row>
    <row r="58" spans="1:19" ht="17.45" customHeight="1">
      <c r="B58" s="31" t="s">
        <v>115</v>
      </c>
      <c r="C58" s="26" t="s">
        <v>116</v>
      </c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>
        <f t="shared" si="8"/>
        <v>0</v>
      </c>
      <c r="Q58" s="22"/>
      <c r="R58" s="32"/>
      <c r="S58" s="22"/>
    </row>
    <row r="59" spans="1:19" ht="17.45" customHeight="1">
      <c r="B59" s="31" t="s">
        <v>117</v>
      </c>
      <c r="C59" s="26" t="s">
        <v>118</v>
      </c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>
        <f t="shared" si="8"/>
        <v>0</v>
      </c>
      <c r="Q59" s="22"/>
      <c r="R59" s="32"/>
      <c r="S59" s="22"/>
    </row>
    <row r="60" spans="1:19" ht="17.45" customHeight="1">
      <c r="B60" s="31" t="s">
        <v>119</v>
      </c>
      <c r="C60" s="26" t="s">
        <v>120</v>
      </c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>
        <f t="shared" si="8"/>
        <v>0</v>
      </c>
      <c r="Q60" s="22"/>
      <c r="R60" s="32"/>
      <c r="S60" s="22"/>
    </row>
    <row r="61" spans="1:19" ht="17.45" customHeight="1">
      <c r="A61" s="134" t="s">
        <v>442</v>
      </c>
      <c r="B61" s="68" t="s">
        <v>121</v>
      </c>
      <c r="C61" s="67" t="s">
        <v>110</v>
      </c>
      <c r="D61" s="88">
        <f t="shared" ref="D61:O61" si="9">SUM(D56:D60)</f>
        <v>0</v>
      </c>
      <c r="E61" s="88">
        <f t="shared" si="9"/>
        <v>0</v>
      </c>
      <c r="F61" s="88">
        <f t="shared" si="9"/>
        <v>0</v>
      </c>
      <c r="G61" s="88">
        <f t="shared" si="9"/>
        <v>0</v>
      </c>
      <c r="H61" s="88">
        <f t="shared" si="9"/>
        <v>0</v>
      </c>
      <c r="I61" s="88">
        <f t="shared" si="9"/>
        <v>0</v>
      </c>
      <c r="J61" s="88">
        <f t="shared" si="9"/>
        <v>0</v>
      </c>
      <c r="K61" s="88">
        <f t="shared" si="9"/>
        <v>0</v>
      </c>
      <c r="L61" s="88">
        <f t="shared" si="9"/>
        <v>0</v>
      </c>
      <c r="M61" s="88">
        <f t="shared" si="9"/>
        <v>0</v>
      </c>
      <c r="N61" s="88">
        <f t="shared" si="9"/>
        <v>0</v>
      </c>
      <c r="O61" s="88">
        <f t="shared" si="9"/>
        <v>0</v>
      </c>
      <c r="P61" s="88">
        <f>SUM(P56:P60)</f>
        <v>0</v>
      </c>
      <c r="Q61" s="22"/>
      <c r="R61" s="32"/>
      <c r="S61" s="22"/>
    </row>
    <row r="62" spans="1:19" ht="17.45" customHeight="1">
      <c r="B62" s="31" t="s">
        <v>122</v>
      </c>
      <c r="C62" s="26" t="s">
        <v>123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>
        <f t="shared" ref="P62:P69" si="10">D62+E62+F62+G62+H62+I62+J62+K62+L62+M62+N62+O62</f>
        <v>0</v>
      </c>
      <c r="Q62" s="22"/>
      <c r="R62" s="32"/>
      <c r="S62" s="22"/>
    </row>
    <row r="63" spans="1:19" ht="17.45" customHeight="1">
      <c r="B63" s="31" t="s">
        <v>124</v>
      </c>
      <c r="C63" s="26" t="s">
        <v>125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>
        <f t="shared" si="10"/>
        <v>0</v>
      </c>
      <c r="Q63" s="22"/>
      <c r="R63" s="32"/>
      <c r="S63" s="22"/>
    </row>
    <row r="64" spans="1:19" ht="17.45" customHeight="1">
      <c r="B64" s="31" t="s">
        <v>126</v>
      </c>
      <c r="C64" s="26" t="s">
        <v>127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>
        <f t="shared" si="10"/>
        <v>0</v>
      </c>
      <c r="Q64" s="22"/>
      <c r="R64" s="32"/>
      <c r="S64" s="22"/>
    </row>
    <row r="65" spans="1:19" ht="17.45" customHeight="1">
      <c r="B65" s="31" t="s">
        <v>128</v>
      </c>
      <c r="C65" s="26" t="s">
        <v>129</v>
      </c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>
        <f t="shared" si="10"/>
        <v>0</v>
      </c>
      <c r="Q65" s="22"/>
      <c r="R65" s="32"/>
      <c r="S65" s="22"/>
    </row>
    <row r="66" spans="1:19" ht="17.45" customHeight="1">
      <c r="B66" s="31"/>
      <c r="C66" s="29" t="s">
        <v>130</v>
      </c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>
        <f t="shared" si="10"/>
        <v>0</v>
      </c>
      <c r="Q66" s="22"/>
      <c r="R66" s="32"/>
      <c r="S66" s="22"/>
    </row>
    <row r="67" spans="1:19" ht="17.45" customHeight="1">
      <c r="B67" s="31" t="s">
        <v>131</v>
      </c>
      <c r="C67" s="26" t="s">
        <v>132</v>
      </c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>
        <f t="shared" si="10"/>
        <v>0</v>
      </c>
      <c r="Q67" s="22"/>
      <c r="R67" s="32"/>
      <c r="S67" s="22"/>
    </row>
    <row r="68" spans="1:19" ht="17.45" customHeight="1">
      <c r="B68" s="31" t="s">
        <v>133</v>
      </c>
      <c r="C68" s="26" t="s">
        <v>134</v>
      </c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>
        <f t="shared" si="10"/>
        <v>0</v>
      </c>
      <c r="Q68" s="22"/>
      <c r="R68" s="32"/>
      <c r="S68" s="22"/>
    </row>
    <row r="69" spans="1:19" ht="17.45" customHeight="1">
      <c r="B69" s="31"/>
      <c r="C69" s="26" t="s">
        <v>135</v>
      </c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>
        <f t="shared" si="10"/>
        <v>0</v>
      </c>
      <c r="Q69" s="22"/>
      <c r="R69" s="32"/>
      <c r="S69" s="22"/>
    </row>
    <row r="70" spans="1:19" ht="17.45" customHeight="1">
      <c r="A70" s="134" t="s">
        <v>442</v>
      </c>
      <c r="B70" s="68" t="s">
        <v>136</v>
      </c>
      <c r="C70" s="67" t="s">
        <v>130</v>
      </c>
      <c r="D70" s="88">
        <f t="shared" ref="D70:O70" si="11">SUM(D68:D69)</f>
        <v>0</v>
      </c>
      <c r="E70" s="88">
        <f t="shared" si="11"/>
        <v>0</v>
      </c>
      <c r="F70" s="88">
        <f t="shared" si="11"/>
        <v>0</v>
      </c>
      <c r="G70" s="88">
        <f t="shared" si="11"/>
        <v>0</v>
      </c>
      <c r="H70" s="88">
        <f t="shared" si="11"/>
        <v>0</v>
      </c>
      <c r="I70" s="88">
        <f t="shared" si="11"/>
        <v>0</v>
      </c>
      <c r="J70" s="88">
        <f t="shared" si="11"/>
        <v>0</v>
      </c>
      <c r="K70" s="88">
        <f t="shared" si="11"/>
        <v>0</v>
      </c>
      <c r="L70" s="88">
        <f t="shared" si="11"/>
        <v>0</v>
      </c>
      <c r="M70" s="88">
        <f t="shared" si="11"/>
        <v>0</v>
      </c>
      <c r="N70" s="88">
        <f t="shared" si="11"/>
        <v>0</v>
      </c>
      <c r="O70" s="88">
        <f t="shared" si="11"/>
        <v>0</v>
      </c>
      <c r="P70" s="88">
        <f>SUM(P68:P69)</f>
        <v>0</v>
      </c>
      <c r="Q70" s="22"/>
      <c r="R70" s="32"/>
      <c r="S70" s="22"/>
    </row>
    <row r="71" spans="1:19" ht="17.45" customHeight="1">
      <c r="B71" s="31" t="s">
        <v>137</v>
      </c>
      <c r="C71" s="26" t="s">
        <v>138</v>
      </c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>
        <f t="shared" ref="P71:P79" si="12">D71+E71+F71+G71+H71+I71+J71+K71+L71+M71+N71+O71</f>
        <v>0</v>
      </c>
      <c r="Q71" s="22"/>
      <c r="R71" s="32"/>
      <c r="S71" s="22"/>
    </row>
    <row r="72" spans="1:19" ht="17.45" customHeight="1">
      <c r="B72" s="31"/>
      <c r="C72" s="29" t="s">
        <v>139</v>
      </c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>
        <f t="shared" si="12"/>
        <v>0</v>
      </c>
      <c r="Q72" s="22"/>
      <c r="R72" s="32"/>
      <c r="S72" s="22"/>
    </row>
    <row r="73" spans="1:19" ht="17.45" customHeight="1">
      <c r="B73" s="31" t="s">
        <v>140</v>
      </c>
      <c r="C73" s="26" t="s">
        <v>141</v>
      </c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>
        <f t="shared" si="12"/>
        <v>0</v>
      </c>
      <c r="Q73" s="22"/>
      <c r="R73" s="32"/>
      <c r="S73" s="22"/>
    </row>
    <row r="74" spans="1:19" ht="17.45" customHeight="1">
      <c r="B74" s="31" t="s">
        <v>142</v>
      </c>
      <c r="C74" s="26" t="s">
        <v>143</v>
      </c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>
        <f t="shared" si="12"/>
        <v>0</v>
      </c>
      <c r="Q74" s="22"/>
      <c r="R74" s="32"/>
      <c r="S74" s="22"/>
    </row>
    <row r="75" spans="1:19" ht="17.45" customHeight="1">
      <c r="B75" s="31" t="s">
        <v>144</v>
      </c>
      <c r="C75" s="26" t="s">
        <v>145</v>
      </c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>
        <f t="shared" si="12"/>
        <v>0</v>
      </c>
      <c r="Q75" s="22"/>
      <c r="R75" s="32"/>
      <c r="S75" s="22"/>
    </row>
    <row r="76" spans="1:19" ht="17.45" customHeight="1">
      <c r="B76" s="31" t="s">
        <v>146</v>
      </c>
      <c r="C76" s="26" t="s">
        <v>147</v>
      </c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>
        <f t="shared" si="12"/>
        <v>0</v>
      </c>
      <c r="Q76" s="22"/>
      <c r="R76" s="32"/>
      <c r="S76" s="22"/>
    </row>
    <row r="77" spans="1:19" ht="17.45" customHeight="1">
      <c r="B77" s="31" t="s">
        <v>148</v>
      </c>
      <c r="C77" s="26" t="s">
        <v>149</v>
      </c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>
        <f t="shared" si="12"/>
        <v>0</v>
      </c>
      <c r="Q77" s="22"/>
      <c r="R77" s="32"/>
      <c r="S77" s="22"/>
    </row>
    <row r="78" spans="1:19" ht="17.45" customHeight="1">
      <c r="B78" s="31"/>
      <c r="C78" s="26" t="s">
        <v>150</v>
      </c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>
        <f t="shared" si="12"/>
        <v>0</v>
      </c>
      <c r="Q78" s="22"/>
      <c r="R78" s="32"/>
      <c r="S78" s="22"/>
    </row>
    <row r="79" spans="1:19" ht="17.45" customHeight="1">
      <c r="B79" s="31"/>
      <c r="C79" s="26" t="s">
        <v>151</v>
      </c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>
        <f t="shared" si="12"/>
        <v>0</v>
      </c>
      <c r="Q79" s="22"/>
      <c r="R79" s="32"/>
      <c r="S79" s="22"/>
    </row>
    <row r="80" spans="1:19" ht="17.45" customHeight="1">
      <c r="A80" s="134" t="s">
        <v>442</v>
      </c>
      <c r="B80" s="68" t="s">
        <v>152</v>
      </c>
      <c r="C80" s="67" t="s">
        <v>139</v>
      </c>
      <c r="D80" s="88">
        <f t="shared" ref="D80:O80" si="13">SUM(D73:D79)</f>
        <v>0</v>
      </c>
      <c r="E80" s="88">
        <f t="shared" si="13"/>
        <v>0</v>
      </c>
      <c r="F80" s="88">
        <f t="shared" si="13"/>
        <v>0</v>
      </c>
      <c r="G80" s="88">
        <f t="shared" si="13"/>
        <v>0</v>
      </c>
      <c r="H80" s="88">
        <f t="shared" si="13"/>
        <v>0</v>
      </c>
      <c r="I80" s="88">
        <f t="shared" si="13"/>
        <v>0</v>
      </c>
      <c r="J80" s="88">
        <f t="shared" si="13"/>
        <v>0</v>
      </c>
      <c r="K80" s="88">
        <f t="shared" si="13"/>
        <v>0</v>
      </c>
      <c r="L80" s="88">
        <f t="shared" si="13"/>
        <v>0</v>
      </c>
      <c r="M80" s="88">
        <f t="shared" si="13"/>
        <v>0</v>
      </c>
      <c r="N80" s="88">
        <f t="shared" si="13"/>
        <v>0</v>
      </c>
      <c r="O80" s="88">
        <f t="shared" si="13"/>
        <v>0</v>
      </c>
      <c r="P80" s="88">
        <f>SUM(P73:P79)</f>
        <v>0</v>
      </c>
      <c r="Q80" s="22"/>
      <c r="R80" s="32"/>
      <c r="S80" s="22"/>
    </row>
    <row r="81" spans="1:19" ht="17.45" customHeight="1">
      <c r="B81" s="31"/>
      <c r="C81" s="29" t="s">
        <v>153</v>
      </c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>
        <v>0</v>
      </c>
      <c r="Q81" s="22"/>
      <c r="R81" s="32"/>
      <c r="S81" s="22"/>
    </row>
    <row r="82" spans="1:19" ht="17.45" customHeight="1">
      <c r="B82" s="31"/>
      <c r="C82" s="26" t="s">
        <v>154</v>
      </c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>
        <v>0</v>
      </c>
      <c r="Q82" s="22"/>
      <c r="R82" s="32"/>
      <c r="S82" s="22"/>
    </row>
    <row r="83" spans="1:19" ht="17.45" customHeight="1">
      <c r="B83" s="31" t="s">
        <v>155</v>
      </c>
      <c r="C83" s="26" t="s">
        <v>156</v>
      </c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>
        <f t="shared" ref="P83:P88" si="14">D83+E83+F83+G83+H83+I83+J83+K83+L83+M83+N83+O83</f>
        <v>0</v>
      </c>
      <c r="Q83" s="22"/>
      <c r="R83" s="32"/>
      <c r="S83" s="22"/>
    </row>
    <row r="84" spans="1:19" ht="17.45" customHeight="1">
      <c r="B84" s="31" t="s">
        <v>157</v>
      </c>
      <c r="C84" s="26" t="s">
        <v>158</v>
      </c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>
        <f t="shared" si="14"/>
        <v>0</v>
      </c>
      <c r="Q84" s="22"/>
      <c r="R84" s="32"/>
      <c r="S84" s="22"/>
    </row>
    <row r="85" spans="1:19" ht="17.45" customHeight="1">
      <c r="B85" s="31" t="s">
        <v>159</v>
      </c>
      <c r="C85" s="26" t="s">
        <v>160</v>
      </c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>
        <f t="shared" si="14"/>
        <v>0</v>
      </c>
      <c r="Q85" s="22"/>
      <c r="R85" s="32"/>
      <c r="S85" s="22"/>
    </row>
    <row r="86" spans="1:19" ht="17.45" customHeight="1">
      <c r="B86" s="31" t="s">
        <v>161</v>
      </c>
      <c r="C86" s="26" t="s">
        <v>162</v>
      </c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>
        <f t="shared" si="14"/>
        <v>0</v>
      </c>
      <c r="Q86" s="22"/>
      <c r="R86" s="32"/>
      <c r="S86" s="22"/>
    </row>
    <row r="87" spans="1:19" ht="17.45" customHeight="1">
      <c r="B87" s="31" t="s">
        <v>163</v>
      </c>
      <c r="C87" s="26" t="s">
        <v>164</v>
      </c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>
        <f t="shared" si="14"/>
        <v>0</v>
      </c>
      <c r="Q87" s="22"/>
      <c r="R87" s="32"/>
      <c r="S87" s="22"/>
    </row>
    <row r="88" spans="1:19" ht="17.45" customHeight="1">
      <c r="B88" s="31" t="s">
        <v>165</v>
      </c>
      <c r="C88" s="26" t="s">
        <v>166</v>
      </c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>
        <f t="shared" si="14"/>
        <v>0</v>
      </c>
      <c r="Q88" s="22"/>
      <c r="R88" s="32"/>
      <c r="S88" s="22"/>
    </row>
    <row r="89" spans="1:19" ht="17.45" customHeight="1">
      <c r="A89" s="134" t="s">
        <v>442</v>
      </c>
      <c r="B89" s="68" t="s">
        <v>167</v>
      </c>
      <c r="C89" s="67" t="s">
        <v>153</v>
      </c>
      <c r="D89" s="88">
        <f t="shared" ref="D89:O89" si="15">SUM(D82:D88)</f>
        <v>0</v>
      </c>
      <c r="E89" s="88">
        <f t="shared" si="15"/>
        <v>0</v>
      </c>
      <c r="F89" s="88">
        <f t="shared" si="15"/>
        <v>0</v>
      </c>
      <c r="G89" s="88">
        <f t="shared" si="15"/>
        <v>0</v>
      </c>
      <c r="H89" s="88">
        <f t="shared" si="15"/>
        <v>0</v>
      </c>
      <c r="I89" s="88">
        <f t="shared" si="15"/>
        <v>0</v>
      </c>
      <c r="J89" s="88">
        <f t="shared" si="15"/>
        <v>0</v>
      </c>
      <c r="K89" s="88">
        <f t="shared" si="15"/>
        <v>0</v>
      </c>
      <c r="L89" s="88">
        <f t="shared" si="15"/>
        <v>0</v>
      </c>
      <c r="M89" s="88">
        <f t="shared" si="15"/>
        <v>0</v>
      </c>
      <c r="N89" s="88">
        <f t="shared" si="15"/>
        <v>0</v>
      </c>
      <c r="O89" s="88">
        <f t="shared" si="15"/>
        <v>0</v>
      </c>
      <c r="P89" s="88">
        <f>SUM(P82:P88)</f>
        <v>0</v>
      </c>
      <c r="Q89" s="22"/>
      <c r="R89" s="32"/>
      <c r="S89" s="22"/>
    </row>
    <row r="90" spans="1:19" ht="17.45" customHeight="1">
      <c r="B90" s="31" t="s">
        <v>168</v>
      </c>
      <c r="C90" s="26" t="s">
        <v>169</v>
      </c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>
        <f t="shared" ref="P90:P100" si="16">D90+E90+F90+G90+H90+I90+J90+K90+L90+M90+N90+O90</f>
        <v>0</v>
      </c>
      <c r="Q90" s="22"/>
      <c r="R90" s="32"/>
      <c r="S90" s="22"/>
    </row>
    <row r="91" spans="1:19" ht="17.45" customHeight="1">
      <c r="B91" s="31" t="s">
        <v>170</v>
      </c>
      <c r="C91" s="26" t="s">
        <v>171</v>
      </c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>
        <f t="shared" si="16"/>
        <v>0</v>
      </c>
      <c r="Q91" s="22"/>
      <c r="R91" s="32"/>
      <c r="S91" s="22"/>
    </row>
    <row r="92" spans="1:19" ht="17.45" customHeight="1">
      <c r="B92" s="31" t="s">
        <v>172</v>
      </c>
      <c r="C92" s="26" t="s">
        <v>173</v>
      </c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>
        <f t="shared" si="16"/>
        <v>0</v>
      </c>
      <c r="Q92" s="22"/>
      <c r="R92" s="32"/>
      <c r="S92" s="22"/>
    </row>
    <row r="93" spans="1:19" ht="17.45" customHeight="1">
      <c r="B93" s="31" t="s">
        <v>174</v>
      </c>
      <c r="C93" s="26" t="s">
        <v>175</v>
      </c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>
        <f t="shared" si="16"/>
        <v>0</v>
      </c>
      <c r="Q93" s="22"/>
      <c r="R93" s="32"/>
      <c r="S93" s="22"/>
    </row>
    <row r="94" spans="1:19" ht="17.45" customHeight="1">
      <c r="B94" s="31" t="s">
        <v>176</v>
      </c>
      <c r="C94" s="26" t="s">
        <v>177</v>
      </c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>
        <f t="shared" si="16"/>
        <v>0</v>
      </c>
      <c r="Q94" s="22"/>
      <c r="R94" s="32"/>
      <c r="S94" s="22"/>
    </row>
    <row r="95" spans="1:19" ht="17.45" customHeight="1">
      <c r="B95" s="31" t="s">
        <v>178</v>
      </c>
      <c r="C95" s="26" t="s">
        <v>179</v>
      </c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>
        <f t="shared" si="16"/>
        <v>0</v>
      </c>
      <c r="Q95" s="22"/>
      <c r="R95" s="32"/>
      <c r="S95" s="22"/>
    </row>
    <row r="96" spans="1:19" ht="17.45" customHeight="1">
      <c r="B96" s="31" t="s">
        <v>180</v>
      </c>
      <c r="C96" s="26" t="s">
        <v>181</v>
      </c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>
        <f t="shared" si="16"/>
        <v>0</v>
      </c>
      <c r="Q96" s="22"/>
      <c r="R96" s="32"/>
      <c r="S96" s="22"/>
    </row>
    <row r="97" spans="1:19" ht="17.45" customHeight="1">
      <c r="B97" s="31" t="s">
        <v>182</v>
      </c>
      <c r="C97" s="26" t="s">
        <v>183</v>
      </c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>
        <f t="shared" si="16"/>
        <v>0</v>
      </c>
      <c r="Q97" s="22"/>
      <c r="R97" s="32"/>
      <c r="S97" s="22"/>
    </row>
    <row r="98" spans="1:19" ht="17.45" customHeight="1">
      <c r="B98" s="31" t="s">
        <v>184</v>
      </c>
      <c r="C98" s="26" t="s">
        <v>185</v>
      </c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>
        <f t="shared" si="16"/>
        <v>0</v>
      </c>
      <c r="Q98" s="22"/>
      <c r="R98" s="32"/>
      <c r="S98" s="22"/>
    </row>
    <row r="99" spans="1:19" ht="17.45" customHeight="1">
      <c r="B99" s="31" t="s">
        <v>186</v>
      </c>
      <c r="C99" s="26" t="s">
        <v>187</v>
      </c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>
        <f t="shared" si="16"/>
        <v>0</v>
      </c>
      <c r="Q99" s="22"/>
      <c r="R99" s="32"/>
      <c r="S99" s="22"/>
    </row>
    <row r="100" spans="1:19" ht="17.45" customHeight="1">
      <c r="B100" s="36">
        <v>631180</v>
      </c>
      <c r="C100" s="26" t="s">
        <v>188</v>
      </c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>
        <f t="shared" si="16"/>
        <v>0</v>
      </c>
      <c r="Q100" s="22"/>
      <c r="R100" s="32"/>
      <c r="S100" s="22"/>
    </row>
    <row r="101" spans="1:19" ht="17.45" customHeight="1">
      <c r="A101" s="134" t="s">
        <v>442</v>
      </c>
      <c r="B101" s="68" t="s">
        <v>172</v>
      </c>
      <c r="C101" s="73" t="s">
        <v>173</v>
      </c>
      <c r="D101" s="88">
        <f t="shared" ref="D101:O101" si="17">SUM(D92:D100)</f>
        <v>0</v>
      </c>
      <c r="E101" s="88">
        <f t="shared" si="17"/>
        <v>0</v>
      </c>
      <c r="F101" s="88">
        <f t="shared" si="17"/>
        <v>0</v>
      </c>
      <c r="G101" s="88">
        <f t="shared" si="17"/>
        <v>0</v>
      </c>
      <c r="H101" s="88">
        <f t="shared" si="17"/>
        <v>0</v>
      </c>
      <c r="I101" s="88">
        <f t="shared" si="17"/>
        <v>0</v>
      </c>
      <c r="J101" s="88">
        <f t="shared" si="17"/>
        <v>0</v>
      </c>
      <c r="K101" s="88">
        <f t="shared" si="17"/>
        <v>0</v>
      </c>
      <c r="L101" s="88">
        <f t="shared" si="17"/>
        <v>0</v>
      </c>
      <c r="M101" s="88">
        <f t="shared" si="17"/>
        <v>0</v>
      </c>
      <c r="N101" s="88">
        <f t="shared" si="17"/>
        <v>0</v>
      </c>
      <c r="O101" s="88">
        <f t="shared" si="17"/>
        <v>0</v>
      </c>
      <c r="P101" s="88">
        <f>SUM(P92:P100)</f>
        <v>0</v>
      </c>
      <c r="Q101" s="22"/>
      <c r="R101" s="32"/>
      <c r="S101" s="22"/>
    </row>
    <row r="102" spans="1:19" ht="17.45" customHeight="1">
      <c r="B102" s="31"/>
      <c r="C102" s="29" t="s">
        <v>189</v>
      </c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>
        <f>D102+E102+F102+G102+H102+I102+J102+K102+L102+M102+N102+O102</f>
        <v>0</v>
      </c>
      <c r="Q102" s="22"/>
      <c r="R102" s="32"/>
      <c r="S102" s="22"/>
    </row>
    <row r="103" spans="1:19" ht="17.45" customHeight="1">
      <c r="B103" s="31" t="s">
        <v>190</v>
      </c>
      <c r="C103" s="26" t="s">
        <v>191</v>
      </c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>
        <f>D103+E103+F103+G103+H103+I103+J103+K103+L103+M103+N103+O103</f>
        <v>0</v>
      </c>
      <c r="Q103" s="22"/>
      <c r="R103" s="32"/>
      <c r="S103" s="22"/>
    </row>
    <row r="104" spans="1:19" ht="17.45" customHeight="1">
      <c r="B104" s="31" t="s">
        <v>192</v>
      </c>
      <c r="C104" s="26" t="s">
        <v>193</v>
      </c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>
        <f>D104+E104+F104+G104+H104+I104+J104+K104+L104+M104+N104+O104</f>
        <v>0</v>
      </c>
      <c r="Q104" s="22"/>
      <c r="R104" s="32"/>
      <c r="S104" s="22"/>
    </row>
    <row r="105" spans="1:19" ht="17.45" customHeight="1">
      <c r="B105" s="31" t="s">
        <v>194</v>
      </c>
      <c r="C105" s="26" t="s">
        <v>195</v>
      </c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>
        <f>D105+E105+F105+G105+H105+I105+J105+K105+L105+M105+N105+O105</f>
        <v>0</v>
      </c>
      <c r="Q105" s="22"/>
      <c r="R105" s="32"/>
      <c r="S105" s="22"/>
    </row>
    <row r="106" spans="1:19" ht="17.45" customHeight="1">
      <c r="A106" s="134" t="s">
        <v>442</v>
      </c>
      <c r="B106" s="68" t="s">
        <v>196</v>
      </c>
      <c r="C106" s="67" t="s">
        <v>189</v>
      </c>
      <c r="D106" s="88">
        <f t="shared" ref="D106:O106" si="18">SUM(D104:D105)</f>
        <v>0</v>
      </c>
      <c r="E106" s="88">
        <f t="shared" si="18"/>
        <v>0</v>
      </c>
      <c r="F106" s="88">
        <f t="shared" si="18"/>
        <v>0</v>
      </c>
      <c r="G106" s="88">
        <f t="shared" si="18"/>
        <v>0</v>
      </c>
      <c r="H106" s="88">
        <f t="shared" si="18"/>
        <v>0</v>
      </c>
      <c r="I106" s="88">
        <f t="shared" si="18"/>
        <v>0</v>
      </c>
      <c r="J106" s="88">
        <f t="shared" si="18"/>
        <v>0</v>
      </c>
      <c r="K106" s="88">
        <f t="shared" si="18"/>
        <v>0</v>
      </c>
      <c r="L106" s="88">
        <f t="shared" si="18"/>
        <v>0</v>
      </c>
      <c r="M106" s="88">
        <f t="shared" si="18"/>
        <v>0</v>
      </c>
      <c r="N106" s="88">
        <f t="shared" si="18"/>
        <v>0</v>
      </c>
      <c r="O106" s="88">
        <f t="shared" si="18"/>
        <v>0</v>
      </c>
      <c r="P106" s="88">
        <f>SUM(P104:P105)</f>
        <v>0</v>
      </c>
      <c r="Q106" s="22"/>
      <c r="R106" s="32"/>
      <c r="S106" s="22"/>
    </row>
    <row r="107" spans="1:19" ht="17.45" customHeight="1">
      <c r="B107" s="31"/>
      <c r="C107" s="29" t="s">
        <v>197</v>
      </c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>
        <v>0</v>
      </c>
      <c r="Q107" s="22"/>
      <c r="R107" s="32"/>
      <c r="S107" s="22"/>
    </row>
    <row r="108" spans="1:19" ht="17.45" customHeight="1">
      <c r="B108" s="31"/>
      <c r="C108" s="26" t="s">
        <v>198</v>
      </c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1"/>
      <c r="O108" s="81"/>
      <c r="P108" s="81">
        <v>0</v>
      </c>
      <c r="Q108" s="22"/>
      <c r="R108" s="32"/>
      <c r="S108" s="22"/>
    </row>
    <row r="109" spans="1:19" ht="17.45" customHeight="1">
      <c r="B109" s="31"/>
      <c r="C109" s="26" t="s">
        <v>199</v>
      </c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>
        <v>0</v>
      </c>
      <c r="Q109" s="22"/>
      <c r="R109" s="32"/>
      <c r="S109" s="22"/>
    </row>
    <row r="110" spans="1:19" ht="17.45" customHeight="1">
      <c r="B110" s="31"/>
      <c r="C110" s="37" t="s">
        <v>200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81">
        <v>0</v>
      </c>
      <c r="Q110" s="22"/>
      <c r="R110" s="32"/>
      <c r="S110" s="22"/>
    </row>
    <row r="111" spans="1:19" ht="17.45" customHeight="1">
      <c r="A111" s="134" t="s">
        <v>442</v>
      </c>
      <c r="B111" s="69" t="s">
        <v>201</v>
      </c>
      <c r="C111" s="70" t="s">
        <v>109</v>
      </c>
      <c r="D111" s="114">
        <f t="shared" ref="D111:P111" si="19">D106+D101+D91+D90+D89+D80+D71+D70+D65+D64+D63+D62+D61+D110</f>
        <v>0</v>
      </c>
      <c r="E111" s="114">
        <f t="shared" si="19"/>
        <v>0</v>
      </c>
      <c r="F111" s="114">
        <f t="shared" si="19"/>
        <v>0</v>
      </c>
      <c r="G111" s="114">
        <f t="shared" si="19"/>
        <v>0</v>
      </c>
      <c r="H111" s="114">
        <f t="shared" si="19"/>
        <v>0</v>
      </c>
      <c r="I111" s="114">
        <f t="shared" si="19"/>
        <v>0</v>
      </c>
      <c r="J111" s="114">
        <f t="shared" si="19"/>
        <v>0</v>
      </c>
      <c r="K111" s="114">
        <f t="shared" si="19"/>
        <v>0</v>
      </c>
      <c r="L111" s="114">
        <f t="shared" si="19"/>
        <v>0</v>
      </c>
      <c r="M111" s="114">
        <f t="shared" si="19"/>
        <v>0</v>
      </c>
      <c r="N111" s="114">
        <f t="shared" si="19"/>
        <v>0</v>
      </c>
      <c r="O111" s="114">
        <f t="shared" si="19"/>
        <v>0</v>
      </c>
      <c r="P111" s="114">
        <f t="shared" si="19"/>
        <v>0</v>
      </c>
      <c r="Q111" s="22"/>
      <c r="R111" s="32"/>
      <c r="S111" s="22"/>
    </row>
    <row r="112" spans="1:19" ht="17.45" customHeight="1">
      <c r="A112" s="134" t="s">
        <v>442</v>
      </c>
      <c r="B112" s="74" t="s">
        <v>202</v>
      </c>
      <c r="C112" s="75" t="s">
        <v>203</v>
      </c>
      <c r="D112" s="88">
        <f t="shared" ref="D112:P112" si="20">D36</f>
        <v>0</v>
      </c>
      <c r="E112" s="88">
        <f t="shared" si="20"/>
        <v>0</v>
      </c>
      <c r="F112" s="88">
        <f t="shared" si="20"/>
        <v>0</v>
      </c>
      <c r="G112" s="88">
        <f t="shared" si="20"/>
        <v>0</v>
      </c>
      <c r="H112" s="88">
        <f t="shared" si="20"/>
        <v>0</v>
      </c>
      <c r="I112" s="88">
        <f t="shared" si="20"/>
        <v>0</v>
      </c>
      <c r="J112" s="88">
        <f t="shared" si="20"/>
        <v>0</v>
      </c>
      <c r="K112" s="88">
        <f t="shared" si="20"/>
        <v>0</v>
      </c>
      <c r="L112" s="88">
        <f t="shared" si="20"/>
        <v>0</v>
      </c>
      <c r="M112" s="88">
        <f t="shared" si="20"/>
        <v>0</v>
      </c>
      <c r="N112" s="88">
        <f t="shared" si="20"/>
        <v>0</v>
      </c>
      <c r="O112" s="88">
        <f t="shared" si="20"/>
        <v>0</v>
      </c>
      <c r="P112" s="88">
        <f t="shared" si="20"/>
        <v>0</v>
      </c>
      <c r="Q112" s="22"/>
      <c r="R112" s="32"/>
      <c r="S112" s="22"/>
    </row>
    <row r="113" spans="1:19" ht="17.45" customHeight="1">
      <c r="B113" s="31"/>
      <c r="C113" s="28" t="s">
        <v>204</v>
      </c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81">
        <f>D113+E113+F113+G113+H113+I113+J113+K113+L113+M113+N113+O113</f>
        <v>0</v>
      </c>
      <c r="Q113" s="22"/>
      <c r="R113" s="32"/>
      <c r="S113" s="22"/>
    </row>
    <row r="114" spans="1:19" ht="17.45" customHeight="1">
      <c r="B114" s="31"/>
      <c r="C114" s="29" t="s">
        <v>205</v>
      </c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>
        <f>D114+E114+F114+G114+H114+I114+J114+K114+L114+M114+N114+O114</f>
        <v>0</v>
      </c>
      <c r="Q114" s="22"/>
      <c r="R114" s="32"/>
      <c r="S114" s="22"/>
    </row>
    <row r="115" spans="1:19" ht="17.45" customHeight="1">
      <c r="B115" s="31" t="s">
        <v>206</v>
      </c>
      <c r="C115" s="26" t="s">
        <v>207</v>
      </c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>
        <f>D115+E115+F115+G115+H115+I115+J115+K115+L115+M115+N115+O115</f>
        <v>0</v>
      </c>
      <c r="Q115" s="22"/>
      <c r="R115" s="32"/>
      <c r="S115" s="22"/>
    </row>
    <row r="116" spans="1:19" ht="17.45" customHeight="1">
      <c r="B116" s="31" t="s">
        <v>208</v>
      </c>
      <c r="C116" s="26" t="s">
        <v>209</v>
      </c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>
        <f>D116+E116+F116+G116+H116+I116+J116+K116+L116+M116+N116+O116</f>
        <v>0</v>
      </c>
      <c r="Q116" s="22"/>
      <c r="R116" s="32"/>
      <c r="S116" s="22"/>
    </row>
    <row r="117" spans="1:19" ht="17.45" customHeight="1">
      <c r="A117" s="134" t="s">
        <v>442</v>
      </c>
      <c r="B117" s="69" t="s">
        <v>210</v>
      </c>
      <c r="C117" s="70" t="s">
        <v>205</v>
      </c>
      <c r="D117" s="88">
        <f>D116</f>
        <v>0</v>
      </c>
      <c r="E117" s="88">
        <f t="shared" ref="E117:O117" si="21">E116</f>
        <v>0</v>
      </c>
      <c r="F117" s="88">
        <f t="shared" si="21"/>
        <v>0</v>
      </c>
      <c r="G117" s="88">
        <f t="shared" si="21"/>
        <v>0</v>
      </c>
      <c r="H117" s="88">
        <f t="shared" si="21"/>
        <v>0</v>
      </c>
      <c r="I117" s="88">
        <f t="shared" si="21"/>
        <v>0</v>
      </c>
      <c r="J117" s="88">
        <f t="shared" si="21"/>
        <v>0</v>
      </c>
      <c r="K117" s="88">
        <f t="shared" si="21"/>
        <v>0</v>
      </c>
      <c r="L117" s="88">
        <f t="shared" si="21"/>
        <v>0</v>
      </c>
      <c r="M117" s="88">
        <f t="shared" si="21"/>
        <v>0</v>
      </c>
      <c r="N117" s="88">
        <f t="shared" si="21"/>
        <v>0</v>
      </c>
      <c r="O117" s="88">
        <f t="shared" si="21"/>
        <v>0</v>
      </c>
      <c r="P117" s="88">
        <f>SUM(P115:P116)</f>
        <v>0</v>
      </c>
      <c r="Q117" s="22"/>
      <c r="R117" s="32"/>
      <c r="S117" s="22"/>
    </row>
    <row r="118" spans="1:19" ht="17.45" customHeight="1">
      <c r="B118" s="31"/>
      <c r="C118" s="29" t="s">
        <v>211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>
        <f t="shared" ref="P118:P127" si="22">D118+E118+F118+G118+H118+I118+J118+K118+L118+M118+N118+O118</f>
        <v>0</v>
      </c>
      <c r="Q118" s="22"/>
      <c r="R118" s="32"/>
      <c r="S118" s="22"/>
    </row>
    <row r="119" spans="1:19" ht="17.45" customHeight="1">
      <c r="B119" s="31" t="s">
        <v>212</v>
      </c>
      <c r="C119" s="26" t="s">
        <v>213</v>
      </c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>
        <f t="shared" si="22"/>
        <v>0</v>
      </c>
      <c r="Q119" s="22"/>
      <c r="R119" s="32"/>
      <c r="S119" s="22"/>
    </row>
    <row r="120" spans="1:19" ht="17.45" customHeight="1">
      <c r="B120" s="31" t="s">
        <v>214</v>
      </c>
      <c r="C120" s="26" t="s">
        <v>215</v>
      </c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>
        <f t="shared" si="22"/>
        <v>0</v>
      </c>
      <c r="Q120" s="22"/>
      <c r="R120" s="32"/>
      <c r="S120" s="22"/>
    </row>
    <row r="121" spans="1:19" ht="17.45" customHeight="1">
      <c r="B121" s="31"/>
      <c r="C121" s="37" t="s">
        <v>216</v>
      </c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>
        <f t="shared" si="22"/>
        <v>0</v>
      </c>
      <c r="Q121" s="22"/>
      <c r="R121" s="32"/>
      <c r="S121" s="22"/>
    </row>
    <row r="122" spans="1:19" ht="17.45" customHeight="1">
      <c r="B122" s="31" t="s">
        <v>217</v>
      </c>
      <c r="C122" s="26" t="s">
        <v>218</v>
      </c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>
        <f t="shared" si="22"/>
        <v>0</v>
      </c>
      <c r="Q122" s="22"/>
      <c r="R122" s="32"/>
      <c r="S122" s="22"/>
    </row>
    <row r="123" spans="1:19" ht="17.45" customHeight="1">
      <c r="B123" s="31" t="s">
        <v>219</v>
      </c>
      <c r="C123" s="26" t="s">
        <v>220</v>
      </c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>
        <f t="shared" si="22"/>
        <v>0</v>
      </c>
      <c r="Q123" s="22"/>
      <c r="R123" s="32"/>
      <c r="S123" s="22"/>
    </row>
    <row r="124" spans="1:19" ht="17.45" customHeight="1">
      <c r="B124" s="31" t="s">
        <v>221</v>
      </c>
      <c r="C124" s="26" t="s">
        <v>222</v>
      </c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>
        <f t="shared" si="22"/>
        <v>0</v>
      </c>
      <c r="Q124" s="22"/>
      <c r="R124" s="32"/>
      <c r="S124" s="22"/>
    </row>
    <row r="125" spans="1:19" ht="17.45" customHeight="1">
      <c r="B125" s="31" t="s">
        <v>223</v>
      </c>
      <c r="C125" s="26" t="s">
        <v>224</v>
      </c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>
        <f t="shared" si="22"/>
        <v>0</v>
      </c>
      <c r="Q125" s="22"/>
      <c r="R125" s="32"/>
      <c r="S125" s="22"/>
    </row>
    <row r="126" spans="1:19" ht="17.45" customHeight="1">
      <c r="B126" s="31" t="s">
        <v>225</v>
      </c>
      <c r="C126" s="26" t="s">
        <v>226</v>
      </c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>
        <f t="shared" si="22"/>
        <v>0</v>
      </c>
      <c r="Q126" s="22"/>
      <c r="R126" s="32"/>
      <c r="S126" s="22"/>
    </row>
    <row r="127" spans="1:19" ht="17.45" customHeight="1">
      <c r="B127" s="31" t="s">
        <v>227</v>
      </c>
      <c r="C127" s="26" t="s">
        <v>228</v>
      </c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>
        <f t="shared" si="22"/>
        <v>0</v>
      </c>
      <c r="Q127" s="22"/>
      <c r="R127" s="32"/>
      <c r="S127" s="22"/>
    </row>
    <row r="128" spans="1:19" ht="17.45" customHeight="1">
      <c r="A128" s="134" t="s">
        <v>442</v>
      </c>
      <c r="B128" s="69" t="s">
        <v>229</v>
      </c>
      <c r="C128" s="70" t="s">
        <v>216</v>
      </c>
      <c r="D128" s="88">
        <f t="shared" ref="D128:O128" si="23">SUM(D122:D127)</f>
        <v>0</v>
      </c>
      <c r="E128" s="88">
        <f t="shared" si="23"/>
        <v>0</v>
      </c>
      <c r="F128" s="88">
        <f t="shared" si="23"/>
        <v>0</v>
      </c>
      <c r="G128" s="88">
        <f t="shared" si="23"/>
        <v>0</v>
      </c>
      <c r="H128" s="88">
        <f t="shared" si="23"/>
        <v>0</v>
      </c>
      <c r="I128" s="88">
        <f t="shared" si="23"/>
        <v>0</v>
      </c>
      <c r="J128" s="88">
        <f t="shared" si="23"/>
        <v>0</v>
      </c>
      <c r="K128" s="88">
        <f t="shared" si="23"/>
        <v>0</v>
      </c>
      <c r="L128" s="88">
        <f t="shared" si="23"/>
        <v>0</v>
      </c>
      <c r="M128" s="88">
        <f t="shared" si="23"/>
        <v>0</v>
      </c>
      <c r="N128" s="88">
        <f t="shared" si="23"/>
        <v>0</v>
      </c>
      <c r="O128" s="88">
        <f t="shared" si="23"/>
        <v>0</v>
      </c>
      <c r="P128" s="88">
        <f>SUM(P122:P127)</f>
        <v>0</v>
      </c>
      <c r="Q128" s="22"/>
      <c r="R128" s="32"/>
      <c r="S128" s="22"/>
    </row>
    <row r="129" spans="1:19" ht="17.45" customHeight="1">
      <c r="B129" s="31" t="s">
        <v>230</v>
      </c>
      <c r="C129" s="26" t="s">
        <v>231</v>
      </c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>
        <f>D129+E129+F129+G129+H129+I129+J129+K129+L129+M129+N129+O129</f>
        <v>0</v>
      </c>
      <c r="Q129" s="22"/>
      <c r="R129" s="32"/>
      <c r="S129" s="22"/>
    </row>
    <row r="130" spans="1:19" ht="17.45" customHeight="1">
      <c r="B130" s="31" t="s">
        <v>232</v>
      </c>
      <c r="C130" s="26" t="s">
        <v>233</v>
      </c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>
        <f>D130+E130+F130+G130+H130+I130+J130+K130+L130+M130+N130+O130</f>
        <v>0</v>
      </c>
      <c r="Q130" s="22"/>
      <c r="R130" s="32"/>
      <c r="S130" s="22"/>
    </row>
    <row r="131" spans="1:19" ht="17.45" customHeight="1">
      <c r="B131" s="31" t="s">
        <v>234</v>
      </c>
      <c r="C131" s="26" t="s">
        <v>235</v>
      </c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>
        <f>D131+E131+F131+G131+H131+I131+J131+K131+L131+M131+N131+O131</f>
        <v>0</v>
      </c>
      <c r="Q131" s="22"/>
      <c r="R131" s="32"/>
      <c r="S131" s="22"/>
    </row>
    <row r="132" spans="1:19" ht="17.45" customHeight="1">
      <c r="A132" s="134" t="s">
        <v>442</v>
      </c>
      <c r="B132" s="69" t="s">
        <v>236</v>
      </c>
      <c r="C132" s="70" t="s">
        <v>211</v>
      </c>
      <c r="D132" s="88">
        <f t="shared" ref="D132:O132" si="24">D119+D128+D129+D130</f>
        <v>0</v>
      </c>
      <c r="E132" s="88">
        <f t="shared" si="24"/>
        <v>0</v>
      </c>
      <c r="F132" s="88">
        <f t="shared" si="24"/>
        <v>0</v>
      </c>
      <c r="G132" s="88">
        <f t="shared" si="24"/>
        <v>0</v>
      </c>
      <c r="H132" s="88">
        <f t="shared" si="24"/>
        <v>0</v>
      </c>
      <c r="I132" s="88">
        <f t="shared" si="24"/>
        <v>0</v>
      </c>
      <c r="J132" s="88">
        <f t="shared" si="24"/>
        <v>0</v>
      </c>
      <c r="K132" s="88">
        <f t="shared" si="24"/>
        <v>0</v>
      </c>
      <c r="L132" s="88">
        <f t="shared" si="24"/>
        <v>0</v>
      </c>
      <c r="M132" s="88">
        <f t="shared" si="24"/>
        <v>0</v>
      </c>
      <c r="N132" s="88">
        <f t="shared" si="24"/>
        <v>0</v>
      </c>
      <c r="O132" s="88">
        <f t="shared" si="24"/>
        <v>0</v>
      </c>
      <c r="P132" s="88">
        <f>P119+P128+P129+P130</f>
        <v>0</v>
      </c>
      <c r="Q132" s="22"/>
      <c r="R132" s="32"/>
      <c r="S132" s="22"/>
    </row>
    <row r="133" spans="1:19" ht="17.45" customHeight="1">
      <c r="B133" s="31"/>
      <c r="C133" s="37" t="s">
        <v>237</v>
      </c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>
        <f>D133+E133+F133+G133+H133+I133+J133+K133+L133+M133+N133+O133</f>
        <v>0</v>
      </c>
      <c r="Q133" s="22"/>
      <c r="R133" s="32"/>
      <c r="S133" s="22"/>
    </row>
    <row r="134" spans="1:19" ht="17.45" customHeight="1">
      <c r="B134" s="31" t="s">
        <v>238</v>
      </c>
      <c r="C134" s="26" t="s">
        <v>41</v>
      </c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>
        <f>D134+E134+F134+G134+H134+I134+J134+K134+L134+M134+N134+O134</f>
        <v>0</v>
      </c>
      <c r="Q134" s="22"/>
      <c r="R134" s="32"/>
      <c r="S134" s="22"/>
    </row>
    <row r="135" spans="1:19" ht="17.45" customHeight="1">
      <c r="B135" s="31" t="s">
        <v>239</v>
      </c>
      <c r="C135" s="26" t="s">
        <v>240</v>
      </c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>
        <f>D135+E135+F135+G135+H135+I135+J135+K135+L135+M135+N135+O135</f>
        <v>0</v>
      </c>
      <c r="Q135" s="22"/>
      <c r="R135" s="32"/>
      <c r="S135" s="22"/>
    </row>
    <row r="136" spans="1:19" ht="17.45" customHeight="1">
      <c r="B136" s="31" t="s">
        <v>241</v>
      </c>
      <c r="C136" s="26" t="s">
        <v>242</v>
      </c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>
        <f>D136+E136+F136+G136+H136+I136+J136+K136+L136+M136+N136+O136</f>
        <v>0</v>
      </c>
      <c r="Q136" s="22"/>
      <c r="R136" s="32"/>
      <c r="S136" s="22"/>
    </row>
    <row r="137" spans="1:19" ht="17.45" customHeight="1">
      <c r="A137" s="134" t="s">
        <v>442</v>
      </c>
      <c r="B137" s="65" t="s">
        <v>243</v>
      </c>
      <c r="C137" s="66" t="s">
        <v>237</v>
      </c>
      <c r="D137" s="116">
        <f t="shared" ref="D137:O137" si="25">SUM(D134:D136)</f>
        <v>0</v>
      </c>
      <c r="E137" s="116">
        <f t="shared" si="25"/>
        <v>0</v>
      </c>
      <c r="F137" s="116">
        <f t="shared" si="25"/>
        <v>0</v>
      </c>
      <c r="G137" s="116">
        <f t="shared" si="25"/>
        <v>0</v>
      </c>
      <c r="H137" s="116">
        <f t="shared" si="25"/>
        <v>0</v>
      </c>
      <c r="I137" s="116">
        <f t="shared" si="25"/>
        <v>0</v>
      </c>
      <c r="J137" s="116">
        <f t="shared" si="25"/>
        <v>0</v>
      </c>
      <c r="K137" s="116">
        <f t="shared" si="25"/>
        <v>0</v>
      </c>
      <c r="L137" s="116">
        <f t="shared" si="25"/>
        <v>0</v>
      </c>
      <c r="M137" s="116">
        <f t="shared" si="25"/>
        <v>0</v>
      </c>
      <c r="N137" s="116">
        <f t="shared" si="25"/>
        <v>0</v>
      </c>
      <c r="O137" s="116">
        <f t="shared" si="25"/>
        <v>0</v>
      </c>
      <c r="P137" s="116">
        <f>SUM(P134:P136)</f>
        <v>0</v>
      </c>
      <c r="Q137" s="22"/>
      <c r="R137" s="32"/>
      <c r="S137" s="22"/>
    </row>
    <row r="138" spans="1:19" ht="17.45" customHeight="1">
      <c r="A138" s="134" t="s">
        <v>442</v>
      </c>
      <c r="B138" s="74" t="s">
        <v>244</v>
      </c>
      <c r="C138" s="75" t="s">
        <v>204</v>
      </c>
      <c r="D138" s="88">
        <f t="shared" ref="D138:O138" si="26">D137+D132+D117</f>
        <v>0</v>
      </c>
      <c r="E138" s="88">
        <f t="shared" si="26"/>
        <v>0</v>
      </c>
      <c r="F138" s="88">
        <f t="shared" si="26"/>
        <v>0</v>
      </c>
      <c r="G138" s="88">
        <f t="shared" si="26"/>
        <v>0</v>
      </c>
      <c r="H138" s="88">
        <f t="shared" si="26"/>
        <v>0</v>
      </c>
      <c r="I138" s="88">
        <f t="shared" si="26"/>
        <v>0</v>
      </c>
      <c r="J138" s="88">
        <f t="shared" si="26"/>
        <v>0</v>
      </c>
      <c r="K138" s="88">
        <f t="shared" si="26"/>
        <v>0</v>
      </c>
      <c r="L138" s="88">
        <f t="shared" si="26"/>
        <v>0</v>
      </c>
      <c r="M138" s="88">
        <f t="shared" si="26"/>
        <v>0</v>
      </c>
      <c r="N138" s="88">
        <f t="shared" si="26"/>
        <v>0</v>
      </c>
      <c r="O138" s="88">
        <f t="shared" si="26"/>
        <v>0</v>
      </c>
      <c r="P138" s="88">
        <f>P137+P132+P117</f>
        <v>0</v>
      </c>
      <c r="Q138" s="22"/>
      <c r="R138" s="32"/>
      <c r="S138" s="22"/>
    </row>
    <row r="139" spans="1:19" ht="17.45" customHeight="1">
      <c r="B139" s="31"/>
      <c r="C139" s="28" t="s">
        <v>245</v>
      </c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>
        <f t="shared" ref="P139:P146" si="27">D139+E139+F139+G139+H139+I139+J139+K139+L139+M139+N139+O139</f>
        <v>0</v>
      </c>
      <c r="Q139" s="22"/>
      <c r="R139" s="32"/>
      <c r="S139" s="22"/>
    </row>
    <row r="140" spans="1:19" ht="17.45" customHeight="1">
      <c r="B140" s="31"/>
      <c r="C140" s="29" t="s">
        <v>246</v>
      </c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>
        <f t="shared" si="27"/>
        <v>0</v>
      </c>
      <c r="Q140" s="22"/>
      <c r="R140" s="32"/>
      <c r="S140" s="22"/>
    </row>
    <row r="141" spans="1:19" ht="17.45" customHeight="1">
      <c r="B141" s="31" t="s">
        <v>247</v>
      </c>
      <c r="C141" s="26" t="s">
        <v>248</v>
      </c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>
        <f t="shared" si="27"/>
        <v>0</v>
      </c>
      <c r="Q141" s="22"/>
      <c r="R141" s="32"/>
      <c r="S141" s="22"/>
    </row>
    <row r="142" spans="1:19" ht="17.45" customHeight="1">
      <c r="B142" s="31" t="s">
        <v>249</v>
      </c>
      <c r="C142" s="26" t="s">
        <v>250</v>
      </c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>
        <f t="shared" si="27"/>
        <v>0</v>
      </c>
      <c r="Q142" s="22"/>
      <c r="R142" s="32"/>
      <c r="S142" s="22"/>
    </row>
    <row r="143" spans="1:19" ht="17.45" customHeight="1">
      <c r="B143" s="31" t="s">
        <v>251</v>
      </c>
      <c r="C143" s="26" t="s">
        <v>252</v>
      </c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>
        <f t="shared" si="27"/>
        <v>0</v>
      </c>
      <c r="Q143" s="22"/>
      <c r="R143" s="32"/>
      <c r="S143" s="22"/>
    </row>
    <row r="144" spans="1:19" ht="17.45" customHeight="1">
      <c r="B144" s="31" t="s">
        <v>253</v>
      </c>
      <c r="C144" s="26" t="s">
        <v>123</v>
      </c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>
        <f t="shared" si="27"/>
        <v>0</v>
      </c>
      <c r="Q144" s="22"/>
      <c r="R144" s="32"/>
      <c r="S144" s="22"/>
    </row>
    <row r="145" spans="1:19" ht="17.45" customHeight="1">
      <c r="B145" s="31" t="s">
        <v>254</v>
      </c>
      <c r="C145" s="26" t="s">
        <v>255</v>
      </c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>
        <f t="shared" si="27"/>
        <v>0</v>
      </c>
      <c r="Q145" s="22"/>
      <c r="R145" s="32"/>
      <c r="S145" s="22"/>
    </row>
    <row r="146" spans="1:19" ht="17.45" customHeight="1">
      <c r="B146" s="31" t="s">
        <v>256</v>
      </c>
      <c r="C146" s="26" t="s">
        <v>257</v>
      </c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>
        <f t="shared" si="27"/>
        <v>0</v>
      </c>
      <c r="Q146" s="22"/>
      <c r="R146" s="32"/>
      <c r="S146" s="22"/>
    </row>
    <row r="147" spans="1:19" ht="17.45" customHeight="1">
      <c r="B147" s="31"/>
      <c r="C147" s="26" t="s">
        <v>258</v>
      </c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 t="s">
        <v>0</v>
      </c>
      <c r="Q147" s="22"/>
      <c r="R147" s="32"/>
      <c r="S147" s="22"/>
    </row>
    <row r="148" spans="1:19" ht="17.45" customHeight="1">
      <c r="A148" s="134" t="s">
        <v>442</v>
      </c>
      <c r="B148" s="68" t="s">
        <v>259</v>
      </c>
      <c r="C148" s="67" t="s">
        <v>246</v>
      </c>
      <c r="D148" s="88">
        <f t="shared" ref="D148:P148" si="28">SUM(D141:D147)</f>
        <v>0</v>
      </c>
      <c r="E148" s="88">
        <f t="shared" si="28"/>
        <v>0</v>
      </c>
      <c r="F148" s="88">
        <f t="shared" si="28"/>
        <v>0</v>
      </c>
      <c r="G148" s="88">
        <f t="shared" si="28"/>
        <v>0</v>
      </c>
      <c r="H148" s="88">
        <f t="shared" si="28"/>
        <v>0</v>
      </c>
      <c r="I148" s="88">
        <f t="shared" si="28"/>
        <v>0</v>
      </c>
      <c r="J148" s="88">
        <f t="shared" si="28"/>
        <v>0</v>
      </c>
      <c r="K148" s="88">
        <f t="shared" si="28"/>
        <v>0</v>
      </c>
      <c r="L148" s="88">
        <f t="shared" si="28"/>
        <v>0</v>
      </c>
      <c r="M148" s="88">
        <f t="shared" si="28"/>
        <v>0</v>
      </c>
      <c r="N148" s="88">
        <f t="shared" si="28"/>
        <v>0</v>
      </c>
      <c r="O148" s="88">
        <f t="shared" si="28"/>
        <v>0</v>
      </c>
      <c r="P148" s="88">
        <f t="shared" si="28"/>
        <v>0</v>
      </c>
      <c r="Q148" s="22"/>
      <c r="R148" s="32"/>
      <c r="S148" s="22"/>
    </row>
    <row r="149" spans="1:19" ht="17.45" customHeight="1">
      <c r="B149" s="31"/>
      <c r="C149" s="28" t="s">
        <v>260</v>
      </c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>
        <f>D149+E149+F149+G149+H149+I149+J149+K149+L149+M149+N149+O149</f>
        <v>0</v>
      </c>
      <c r="Q149" s="22"/>
      <c r="R149" s="32"/>
      <c r="S149" s="22"/>
    </row>
    <row r="150" spans="1:19" ht="17.45" customHeight="1">
      <c r="B150" s="31" t="s">
        <v>261</v>
      </c>
      <c r="C150" s="26" t="s">
        <v>262</v>
      </c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>
        <f>D150+E150+F150+G150+H150+I150+J150+K150+L150+M150+N150+O150</f>
        <v>0</v>
      </c>
      <c r="Q150" s="22"/>
      <c r="R150" s="32"/>
      <c r="S150" s="22"/>
    </row>
    <row r="151" spans="1:19" ht="17.45" customHeight="1">
      <c r="B151" s="31" t="s">
        <v>263</v>
      </c>
      <c r="C151" s="26" t="s">
        <v>264</v>
      </c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>
        <f>D151+E151+F151+G151+H151+I151+J151+K151+L151+M151+N151+O151</f>
        <v>0</v>
      </c>
      <c r="Q151" s="22"/>
      <c r="R151" s="32"/>
      <c r="S151" s="22"/>
    </row>
    <row r="152" spans="1:19" ht="17.45" customHeight="1">
      <c r="B152" s="31" t="s">
        <v>265</v>
      </c>
      <c r="C152" s="26" t="s">
        <v>266</v>
      </c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>
        <f>D152+E152+F152+G152+H152+I152+J152+K152+L152+M152+N152+O152</f>
        <v>0</v>
      </c>
      <c r="Q152" s="22"/>
      <c r="R152" s="32"/>
      <c r="S152" s="22"/>
    </row>
    <row r="153" spans="1:19" ht="17.45" customHeight="1">
      <c r="B153" s="31" t="s">
        <v>267</v>
      </c>
      <c r="C153" s="26" t="s">
        <v>268</v>
      </c>
      <c r="D153" s="81">
        <v>0</v>
      </c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>
        <f>D153+E153+F153+G153+H153+I153+J153+K153+L153+M153+N153+O153</f>
        <v>0</v>
      </c>
      <c r="Q153" s="22"/>
      <c r="R153" s="32"/>
      <c r="S153" s="22"/>
    </row>
    <row r="154" spans="1:19" ht="17.45" customHeight="1">
      <c r="A154" s="134" t="s">
        <v>442</v>
      </c>
      <c r="B154" s="68" t="s">
        <v>269</v>
      </c>
      <c r="C154" s="67" t="s">
        <v>260</v>
      </c>
      <c r="D154" s="88">
        <f t="shared" ref="D154:O154" si="29">SUM(D151:D153)</f>
        <v>0</v>
      </c>
      <c r="E154" s="88">
        <f t="shared" si="29"/>
        <v>0</v>
      </c>
      <c r="F154" s="88">
        <f t="shared" si="29"/>
        <v>0</v>
      </c>
      <c r="G154" s="88">
        <f t="shared" si="29"/>
        <v>0</v>
      </c>
      <c r="H154" s="88">
        <f t="shared" si="29"/>
        <v>0</v>
      </c>
      <c r="I154" s="88">
        <f t="shared" si="29"/>
        <v>0</v>
      </c>
      <c r="J154" s="88">
        <f t="shared" si="29"/>
        <v>0</v>
      </c>
      <c r="K154" s="88">
        <f t="shared" si="29"/>
        <v>0</v>
      </c>
      <c r="L154" s="88">
        <f t="shared" si="29"/>
        <v>0</v>
      </c>
      <c r="M154" s="88">
        <f t="shared" si="29"/>
        <v>0</v>
      </c>
      <c r="N154" s="88">
        <f t="shared" si="29"/>
        <v>0</v>
      </c>
      <c r="O154" s="88">
        <f t="shared" si="29"/>
        <v>0</v>
      </c>
      <c r="P154" s="88">
        <f>SUM(P151:P153)</f>
        <v>0</v>
      </c>
      <c r="Q154" s="22"/>
      <c r="R154" s="32"/>
      <c r="S154" s="22"/>
    </row>
    <row r="155" spans="1:19" ht="17.45" customHeight="1">
      <c r="B155" s="31"/>
      <c r="C155" s="28" t="s">
        <v>270</v>
      </c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>
        <f>D155+E155+F155+G155+H155+I155+J155+K155+L155+M155+N155+O155</f>
        <v>0</v>
      </c>
      <c r="Q155" s="22"/>
      <c r="R155" s="32"/>
      <c r="S155" s="22"/>
    </row>
    <row r="156" spans="1:19" ht="17.45" customHeight="1">
      <c r="B156" s="31" t="s">
        <v>271</v>
      </c>
      <c r="C156" s="26" t="s">
        <v>272</v>
      </c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>
        <f>D156+E156+F156+G156+H156+I156+J156+K156+L156+M156+N156+O156</f>
        <v>0</v>
      </c>
      <c r="Q156" s="22"/>
      <c r="R156" s="32"/>
      <c r="S156" s="22"/>
    </row>
    <row r="157" spans="1:19" ht="17.45" customHeight="1">
      <c r="B157" s="31" t="s">
        <v>273</v>
      </c>
      <c r="C157" s="26" t="s">
        <v>129</v>
      </c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>
        <f>D157+E157+F157+G157+H157+I157+J157+K157+L157+M157+N157+O157</f>
        <v>0</v>
      </c>
      <c r="Q157" s="22"/>
      <c r="R157" s="32"/>
      <c r="S157" s="22"/>
    </row>
    <row r="158" spans="1:19" ht="17.45" customHeight="1">
      <c r="A158" s="134" t="s">
        <v>442</v>
      </c>
      <c r="B158" s="68" t="s">
        <v>274</v>
      </c>
      <c r="C158" s="67" t="s">
        <v>270</v>
      </c>
      <c r="D158" s="88">
        <f>D157+D156</f>
        <v>0</v>
      </c>
      <c r="E158" s="88">
        <f t="shared" ref="E158:P158" si="30">E157+E156</f>
        <v>0</v>
      </c>
      <c r="F158" s="88">
        <f t="shared" si="30"/>
        <v>0</v>
      </c>
      <c r="G158" s="88">
        <f t="shared" si="30"/>
        <v>0</v>
      </c>
      <c r="H158" s="88">
        <f t="shared" si="30"/>
        <v>0</v>
      </c>
      <c r="I158" s="88">
        <f t="shared" si="30"/>
        <v>0</v>
      </c>
      <c r="J158" s="88">
        <f t="shared" si="30"/>
        <v>0</v>
      </c>
      <c r="K158" s="88">
        <f t="shared" si="30"/>
        <v>0</v>
      </c>
      <c r="L158" s="88">
        <f t="shared" si="30"/>
        <v>0</v>
      </c>
      <c r="M158" s="88">
        <f t="shared" si="30"/>
        <v>0</v>
      </c>
      <c r="N158" s="88">
        <f t="shared" si="30"/>
        <v>0</v>
      </c>
      <c r="O158" s="88">
        <f t="shared" si="30"/>
        <v>0</v>
      </c>
      <c r="P158" s="88">
        <f t="shared" si="30"/>
        <v>0</v>
      </c>
      <c r="Q158" s="22"/>
      <c r="R158" s="32"/>
      <c r="S158" s="22"/>
    </row>
    <row r="159" spans="1:19" ht="17.45" customHeight="1">
      <c r="B159" s="31" t="s">
        <v>275</v>
      </c>
      <c r="C159" s="26" t="s">
        <v>276</v>
      </c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>
        <f t="shared" ref="P159:P169" si="31">D159+E159+F159+G159+H159+I159+J159+K159+L159+M159+N159+O159</f>
        <v>0</v>
      </c>
      <c r="Q159" s="22"/>
      <c r="R159" s="32"/>
      <c r="S159" s="22"/>
    </row>
    <row r="160" spans="1:19" ht="17.45" customHeight="1">
      <c r="B160" s="31" t="s">
        <v>277</v>
      </c>
      <c r="C160" s="26" t="s">
        <v>278</v>
      </c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>
        <f t="shared" si="31"/>
        <v>0</v>
      </c>
      <c r="Q160" s="22"/>
      <c r="R160" s="32"/>
      <c r="S160" s="22"/>
    </row>
    <row r="161" spans="1:19" ht="17.45" customHeight="1">
      <c r="B161" s="31"/>
      <c r="C161" s="26" t="s">
        <v>279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>
        <f t="shared" si="31"/>
        <v>0</v>
      </c>
      <c r="Q161" s="22"/>
      <c r="R161" s="32"/>
      <c r="S161" s="22"/>
    </row>
    <row r="162" spans="1:19" ht="17.45" customHeight="1">
      <c r="B162" s="31" t="s">
        <v>280</v>
      </c>
      <c r="C162" s="26" t="s">
        <v>281</v>
      </c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>
        <f t="shared" si="31"/>
        <v>0</v>
      </c>
      <c r="Q162" s="22"/>
      <c r="R162" s="32"/>
      <c r="S162" s="22"/>
    </row>
    <row r="163" spans="1:19" ht="17.45" customHeight="1">
      <c r="B163" s="31" t="s">
        <v>282</v>
      </c>
      <c r="C163" s="26" t="s">
        <v>283</v>
      </c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>
        <f t="shared" si="31"/>
        <v>0</v>
      </c>
      <c r="Q163" s="22"/>
      <c r="R163" s="32"/>
      <c r="S163" s="22"/>
    </row>
    <row r="164" spans="1:19" ht="17.45" customHeight="1">
      <c r="B164" s="31" t="s">
        <v>284</v>
      </c>
      <c r="C164" s="26" t="s">
        <v>285</v>
      </c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>
        <f t="shared" si="31"/>
        <v>0</v>
      </c>
      <c r="Q164" s="22"/>
      <c r="R164" s="32"/>
      <c r="S164" s="22"/>
    </row>
    <row r="165" spans="1:19" ht="17.45" customHeight="1">
      <c r="B165" s="31" t="s">
        <v>286</v>
      </c>
      <c r="C165" s="26" t="s">
        <v>287</v>
      </c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>
        <f t="shared" si="31"/>
        <v>0</v>
      </c>
      <c r="Q165" s="22"/>
      <c r="R165" s="32"/>
      <c r="S165" s="22"/>
    </row>
    <row r="166" spans="1:19" ht="17.45" customHeight="1">
      <c r="B166" s="31"/>
      <c r="C166" s="28" t="s">
        <v>288</v>
      </c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>
        <f t="shared" si="31"/>
        <v>0</v>
      </c>
      <c r="Q166" s="22"/>
      <c r="R166" s="32"/>
      <c r="S166" s="22"/>
    </row>
    <row r="167" spans="1:19" ht="17.45" customHeight="1">
      <c r="B167" s="31" t="s">
        <v>289</v>
      </c>
      <c r="C167" s="26" t="s">
        <v>290</v>
      </c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>
        <f t="shared" si="31"/>
        <v>0</v>
      </c>
      <c r="Q167" s="22"/>
      <c r="R167" s="32"/>
      <c r="S167" s="22"/>
    </row>
    <row r="168" spans="1:19" ht="17.45" customHeight="1">
      <c r="B168" s="31" t="s">
        <v>291</v>
      </c>
      <c r="C168" s="26" t="s">
        <v>292</v>
      </c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>
        <f t="shared" si="31"/>
        <v>0</v>
      </c>
      <c r="Q168" s="22"/>
      <c r="R168" s="32"/>
      <c r="S168" s="22"/>
    </row>
    <row r="169" spans="1:19" ht="17.45" customHeight="1">
      <c r="B169" s="31" t="s">
        <v>293</v>
      </c>
      <c r="C169" s="26" t="s">
        <v>294</v>
      </c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>
        <f t="shared" si="31"/>
        <v>0</v>
      </c>
      <c r="Q169" s="22"/>
      <c r="R169" s="32"/>
      <c r="S169" s="22"/>
    </row>
    <row r="170" spans="1:19" ht="17.45" customHeight="1">
      <c r="A170" s="134" t="s">
        <v>442</v>
      </c>
      <c r="B170" s="68" t="s">
        <v>295</v>
      </c>
      <c r="C170" s="67" t="s">
        <v>288</v>
      </c>
      <c r="D170" s="88">
        <f t="shared" ref="D170:O170" si="32">SUM(D167:D169)</f>
        <v>0</v>
      </c>
      <c r="E170" s="88">
        <f t="shared" si="32"/>
        <v>0</v>
      </c>
      <c r="F170" s="88">
        <f t="shared" si="32"/>
        <v>0</v>
      </c>
      <c r="G170" s="88">
        <f t="shared" si="32"/>
        <v>0</v>
      </c>
      <c r="H170" s="88">
        <f t="shared" si="32"/>
        <v>0</v>
      </c>
      <c r="I170" s="88">
        <f t="shared" si="32"/>
        <v>0</v>
      </c>
      <c r="J170" s="88">
        <f t="shared" si="32"/>
        <v>0</v>
      </c>
      <c r="K170" s="88">
        <f t="shared" si="32"/>
        <v>0</v>
      </c>
      <c r="L170" s="88">
        <f t="shared" si="32"/>
        <v>0</v>
      </c>
      <c r="M170" s="88">
        <f t="shared" si="32"/>
        <v>0</v>
      </c>
      <c r="N170" s="88">
        <f t="shared" si="32"/>
        <v>0</v>
      </c>
      <c r="O170" s="88">
        <f t="shared" si="32"/>
        <v>0</v>
      </c>
      <c r="P170" s="88">
        <f>SUM(P167:P169)</f>
        <v>0</v>
      </c>
      <c r="Q170" s="22"/>
      <c r="R170" s="32"/>
      <c r="S170" s="22"/>
    </row>
    <row r="171" spans="1:19" ht="17.45" customHeight="1">
      <c r="B171" s="31"/>
      <c r="C171" s="28" t="s">
        <v>296</v>
      </c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>
        <f>D171+E171+F171+G171+H171+I171+J171+K171+L171+M171+N171+O171</f>
        <v>0</v>
      </c>
      <c r="Q171" s="22"/>
      <c r="R171" s="32"/>
      <c r="S171" s="22"/>
    </row>
    <row r="172" spans="1:19" ht="17.45" customHeight="1">
      <c r="B172" s="31" t="s">
        <v>297</v>
      </c>
      <c r="C172" s="26" t="s">
        <v>298</v>
      </c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>
        <f>D172+E172+F172+G172+H172+I172+J172+K172+L172+M172+N172+O172</f>
        <v>0</v>
      </c>
      <c r="Q172" s="22"/>
      <c r="R172" s="32"/>
      <c r="S172" s="22"/>
    </row>
    <row r="173" spans="1:19" ht="17.45" customHeight="1">
      <c r="B173" s="31" t="s">
        <v>299</v>
      </c>
      <c r="C173" s="26" t="s">
        <v>300</v>
      </c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>
        <f>D173+E173+F173+G173+H173+I173+J173+K173+L173+M173+N173+O173</f>
        <v>0</v>
      </c>
      <c r="Q173" s="22"/>
      <c r="R173" s="32"/>
      <c r="S173" s="22"/>
    </row>
    <row r="174" spans="1:19" ht="17.45" customHeight="1">
      <c r="B174" s="31" t="s">
        <v>301</v>
      </c>
      <c r="C174" s="26" t="s">
        <v>302</v>
      </c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>
        <f>D174+E174+F174+G174+H174+I174+J174+K174+L174+M174+N174+O174</f>
        <v>0</v>
      </c>
      <c r="Q174" s="22"/>
      <c r="R174" s="32"/>
      <c r="S174" s="22"/>
    </row>
    <row r="175" spans="1:19" ht="17.45" customHeight="1">
      <c r="A175" s="134" t="s">
        <v>442</v>
      </c>
      <c r="B175" s="68" t="s">
        <v>303</v>
      </c>
      <c r="C175" s="67" t="s">
        <v>296</v>
      </c>
      <c r="D175" s="88">
        <f t="shared" ref="D175:O175" si="33">SUM(D172:D174)</f>
        <v>0</v>
      </c>
      <c r="E175" s="88">
        <f t="shared" si="33"/>
        <v>0</v>
      </c>
      <c r="F175" s="88">
        <f t="shared" si="33"/>
        <v>0</v>
      </c>
      <c r="G175" s="88">
        <f t="shared" si="33"/>
        <v>0</v>
      </c>
      <c r="H175" s="88">
        <f t="shared" si="33"/>
        <v>0</v>
      </c>
      <c r="I175" s="88">
        <f t="shared" si="33"/>
        <v>0</v>
      </c>
      <c r="J175" s="88">
        <f t="shared" si="33"/>
        <v>0</v>
      </c>
      <c r="K175" s="88">
        <f t="shared" si="33"/>
        <v>0</v>
      </c>
      <c r="L175" s="88">
        <f t="shared" si="33"/>
        <v>0</v>
      </c>
      <c r="M175" s="88">
        <f t="shared" si="33"/>
        <v>0</v>
      </c>
      <c r="N175" s="88">
        <f t="shared" si="33"/>
        <v>0</v>
      </c>
      <c r="O175" s="88">
        <f t="shared" si="33"/>
        <v>0</v>
      </c>
      <c r="P175" s="88">
        <f>SUM(P172:P174)</f>
        <v>0</v>
      </c>
      <c r="Q175" s="22"/>
      <c r="R175" s="32"/>
      <c r="S175" s="22"/>
    </row>
    <row r="176" spans="1:19" ht="17.45" customHeight="1">
      <c r="B176" s="31" t="s">
        <v>304</v>
      </c>
      <c r="C176" s="26" t="s">
        <v>305</v>
      </c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>
        <f t="shared" ref="P176:P181" si="34">D176+E176+F176+G176+H176+I176+J176+K176+L176+M176+N176+O176</f>
        <v>0</v>
      </c>
      <c r="Q176" s="22"/>
      <c r="R176" s="32"/>
      <c r="S176" s="22"/>
    </row>
    <row r="177" spans="1:19" ht="17.45" customHeight="1">
      <c r="B177" s="31" t="s">
        <v>306</v>
      </c>
      <c r="C177" s="26" t="s">
        <v>307</v>
      </c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>
        <f t="shared" si="34"/>
        <v>0</v>
      </c>
      <c r="Q177" s="22"/>
      <c r="R177" s="32"/>
      <c r="S177" s="22"/>
    </row>
    <row r="178" spans="1:19" ht="17.45" customHeight="1">
      <c r="B178" s="31"/>
      <c r="C178" s="28" t="s">
        <v>308</v>
      </c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>
        <f t="shared" si="34"/>
        <v>0</v>
      </c>
      <c r="Q178" s="22"/>
      <c r="R178" s="32"/>
      <c r="S178" s="22"/>
    </row>
    <row r="179" spans="1:19" ht="17.45" customHeight="1">
      <c r="B179" s="31" t="s">
        <v>309</v>
      </c>
      <c r="C179" s="26" t="s">
        <v>310</v>
      </c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>
        <f t="shared" si="34"/>
        <v>0</v>
      </c>
      <c r="Q179" s="22"/>
      <c r="R179" s="32"/>
      <c r="S179" s="22"/>
    </row>
    <row r="180" spans="1:19" ht="17.45" customHeight="1">
      <c r="B180" s="31" t="s">
        <v>311</v>
      </c>
      <c r="C180" s="26" t="s">
        <v>312</v>
      </c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>
        <f t="shared" si="34"/>
        <v>0</v>
      </c>
      <c r="Q180" s="22"/>
      <c r="R180" s="32"/>
      <c r="S180" s="22"/>
    </row>
    <row r="181" spans="1:19" ht="17.45" customHeight="1">
      <c r="B181" s="31"/>
      <c r="C181" s="26" t="s">
        <v>313</v>
      </c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>
        <f t="shared" si="34"/>
        <v>0</v>
      </c>
      <c r="Q181" s="22"/>
      <c r="R181" s="32"/>
      <c r="S181" s="22"/>
    </row>
    <row r="182" spans="1:19" ht="17.45" customHeight="1">
      <c r="A182" s="134" t="s">
        <v>442</v>
      </c>
      <c r="B182" s="68" t="s">
        <v>314</v>
      </c>
      <c r="C182" s="67" t="s">
        <v>308</v>
      </c>
      <c r="D182" s="88">
        <f t="shared" ref="D182:O182" si="35">SUM(D179:D181)</f>
        <v>0</v>
      </c>
      <c r="E182" s="88">
        <f t="shared" si="35"/>
        <v>0</v>
      </c>
      <c r="F182" s="88">
        <f t="shared" si="35"/>
        <v>0</v>
      </c>
      <c r="G182" s="88">
        <f t="shared" si="35"/>
        <v>0</v>
      </c>
      <c r="H182" s="88">
        <f t="shared" si="35"/>
        <v>0</v>
      </c>
      <c r="I182" s="88">
        <f t="shared" si="35"/>
        <v>0</v>
      </c>
      <c r="J182" s="88">
        <f t="shared" si="35"/>
        <v>0</v>
      </c>
      <c r="K182" s="88">
        <f t="shared" si="35"/>
        <v>0</v>
      </c>
      <c r="L182" s="88">
        <f t="shared" si="35"/>
        <v>0</v>
      </c>
      <c r="M182" s="88">
        <f t="shared" si="35"/>
        <v>0</v>
      </c>
      <c r="N182" s="88">
        <f t="shared" si="35"/>
        <v>0</v>
      </c>
      <c r="O182" s="88">
        <f t="shared" si="35"/>
        <v>0</v>
      </c>
      <c r="P182" s="88">
        <f>SUM(P179:P181)</f>
        <v>0</v>
      </c>
      <c r="Q182" s="22"/>
      <c r="R182" s="32"/>
      <c r="S182" s="22"/>
    </row>
    <row r="183" spans="1:19" ht="17.45" customHeight="1">
      <c r="B183" s="31"/>
      <c r="C183" s="28" t="s">
        <v>315</v>
      </c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>
        <f>D183+E183+F183+G183+H183+I183+J183+K183+L183+M183+N183+O183</f>
        <v>0</v>
      </c>
      <c r="Q183" s="22"/>
      <c r="R183" s="32"/>
      <c r="S183" s="22"/>
    </row>
    <row r="184" spans="1:19" ht="17.45" customHeight="1">
      <c r="B184" s="31" t="s">
        <v>316</v>
      </c>
      <c r="C184" s="26" t="s">
        <v>171</v>
      </c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>
        <f>D184+E184+F184+G184+H184+I184+J184+K184+L184+M184+N184+O184</f>
        <v>0</v>
      </c>
      <c r="Q184" s="22"/>
      <c r="R184" s="32"/>
      <c r="S184" s="22"/>
    </row>
    <row r="185" spans="1:19" ht="17.45" customHeight="1">
      <c r="B185" s="31"/>
      <c r="C185" s="26" t="s">
        <v>317</v>
      </c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>
        <f>D185+E185+F185+G185+H185+I185+J185+K185+L185+M185+N185+O185</f>
        <v>0</v>
      </c>
      <c r="Q185" s="22"/>
      <c r="R185" s="32"/>
      <c r="S185" s="22"/>
    </row>
    <row r="186" spans="1:19" ht="17.45" customHeight="1">
      <c r="B186" s="31" t="s">
        <v>318</v>
      </c>
      <c r="C186" s="26" t="s">
        <v>319</v>
      </c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>
        <f>D186+E186+F186+G186+H186+I186+J186+K186+L186+M186+N186+O186</f>
        <v>0</v>
      </c>
      <c r="Q186" s="22"/>
      <c r="R186" s="32"/>
      <c r="S186" s="22"/>
    </row>
    <row r="187" spans="1:19" ht="17.45" customHeight="1">
      <c r="A187" s="134" t="s">
        <v>442</v>
      </c>
      <c r="B187" s="68" t="s">
        <v>320</v>
      </c>
      <c r="C187" s="67" t="s">
        <v>315</v>
      </c>
      <c r="D187" s="88">
        <f t="shared" ref="D187:P187" si="36">SUM(D184:D186)</f>
        <v>0</v>
      </c>
      <c r="E187" s="88">
        <f t="shared" si="36"/>
        <v>0</v>
      </c>
      <c r="F187" s="88">
        <f t="shared" si="36"/>
        <v>0</v>
      </c>
      <c r="G187" s="88">
        <f t="shared" si="36"/>
        <v>0</v>
      </c>
      <c r="H187" s="88">
        <f t="shared" si="36"/>
        <v>0</v>
      </c>
      <c r="I187" s="88">
        <f t="shared" si="36"/>
        <v>0</v>
      </c>
      <c r="J187" s="88">
        <f t="shared" si="36"/>
        <v>0</v>
      </c>
      <c r="K187" s="88">
        <f t="shared" si="36"/>
        <v>0</v>
      </c>
      <c r="L187" s="88">
        <f t="shared" si="36"/>
        <v>0</v>
      </c>
      <c r="M187" s="88">
        <f t="shared" si="36"/>
        <v>0</v>
      </c>
      <c r="N187" s="88">
        <f t="shared" si="36"/>
        <v>0</v>
      </c>
      <c r="O187" s="88">
        <f t="shared" si="36"/>
        <v>0</v>
      </c>
      <c r="P187" s="88">
        <f t="shared" si="36"/>
        <v>0</v>
      </c>
      <c r="Q187" s="22"/>
      <c r="R187" s="32"/>
      <c r="S187" s="22"/>
    </row>
    <row r="188" spans="1:19" ht="17.45" customHeight="1">
      <c r="B188" s="31" t="s">
        <v>321</v>
      </c>
      <c r="C188" s="28" t="s">
        <v>322</v>
      </c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>
        <f t="shared" ref="P188:P194" si="37">D188+E188+F188+G188+H188+I188+J188+K188+L188+M188+N188+O188</f>
        <v>0</v>
      </c>
      <c r="Q188" s="22"/>
      <c r="R188" s="32"/>
      <c r="S188" s="22"/>
    </row>
    <row r="189" spans="1:19" ht="17.45" customHeight="1">
      <c r="B189" s="31" t="s">
        <v>323</v>
      </c>
      <c r="C189" s="26" t="s">
        <v>324</v>
      </c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>
        <f t="shared" si="37"/>
        <v>0</v>
      </c>
      <c r="Q189" s="22"/>
      <c r="R189" s="32"/>
      <c r="S189" s="22"/>
    </row>
    <row r="190" spans="1:19" ht="17.45" customHeight="1">
      <c r="B190" s="31" t="s">
        <v>325</v>
      </c>
      <c r="C190" s="26" t="s">
        <v>326</v>
      </c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>
        <f t="shared" si="37"/>
        <v>0</v>
      </c>
      <c r="Q190" s="22"/>
      <c r="R190" s="32"/>
      <c r="S190" s="22"/>
    </row>
    <row r="191" spans="1:19" ht="17.45" customHeight="1">
      <c r="B191" s="31">
        <v>816130</v>
      </c>
      <c r="C191" s="26" t="s">
        <v>327</v>
      </c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>
        <f t="shared" si="37"/>
        <v>0</v>
      </c>
      <c r="Q191" s="22"/>
      <c r="R191" s="32"/>
      <c r="S191" s="22"/>
    </row>
    <row r="192" spans="1:19" ht="17.45" customHeight="1">
      <c r="B192" s="31" t="s">
        <v>328</v>
      </c>
      <c r="C192" s="26" t="s">
        <v>329</v>
      </c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>
        <f t="shared" si="37"/>
        <v>0</v>
      </c>
      <c r="Q192" s="22"/>
      <c r="R192" s="32"/>
      <c r="S192" s="22"/>
    </row>
    <row r="193" spans="1:19" ht="17.45" customHeight="1">
      <c r="B193" s="31" t="s">
        <v>330</v>
      </c>
      <c r="C193" s="26" t="s">
        <v>331</v>
      </c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>
        <f t="shared" si="37"/>
        <v>0</v>
      </c>
      <c r="Q193" s="22"/>
      <c r="R193" s="32"/>
      <c r="S193" s="22"/>
    </row>
    <row r="194" spans="1:19" ht="17.45" customHeight="1">
      <c r="B194" s="31"/>
      <c r="C194" s="26" t="s">
        <v>332</v>
      </c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>
        <f t="shared" si="37"/>
        <v>0</v>
      </c>
      <c r="Q194" s="22"/>
      <c r="R194" s="32"/>
      <c r="S194" s="22"/>
    </row>
    <row r="195" spans="1:19" ht="17.45" customHeight="1">
      <c r="B195" s="31"/>
      <c r="C195" s="26" t="s">
        <v>333</v>
      </c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>
        <v>0</v>
      </c>
      <c r="Q195" s="22"/>
      <c r="R195" s="32"/>
      <c r="S195" s="22"/>
    </row>
    <row r="196" spans="1:19" ht="17.45" customHeight="1">
      <c r="B196" s="31"/>
      <c r="C196" s="26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>
        <v>0</v>
      </c>
      <c r="Q196" s="22"/>
      <c r="R196" s="32"/>
      <c r="S196" s="22"/>
    </row>
    <row r="197" spans="1:19" ht="17.45" customHeight="1">
      <c r="A197" s="134" t="s">
        <v>442</v>
      </c>
      <c r="B197" s="63" t="s">
        <v>321</v>
      </c>
      <c r="C197" s="64" t="s">
        <v>322</v>
      </c>
      <c r="D197" s="117">
        <f t="shared" ref="D197:P197" si="38">SUM(D189:D196)</f>
        <v>0</v>
      </c>
      <c r="E197" s="117">
        <f t="shared" si="38"/>
        <v>0</v>
      </c>
      <c r="F197" s="117">
        <f t="shared" si="38"/>
        <v>0</v>
      </c>
      <c r="G197" s="117">
        <f t="shared" si="38"/>
        <v>0</v>
      </c>
      <c r="H197" s="117">
        <f t="shared" si="38"/>
        <v>0</v>
      </c>
      <c r="I197" s="117">
        <f t="shared" si="38"/>
        <v>0</v>
      </c>
      <c r="J197" s="117">
        <f t="shared" si="38"/>
        <v>0</v>
      </c>
      <c r="K197" s="117">
        <f t="shared" si="38"/>
        <v>0</v>
      </c>
      <c r="L197" s="117">
        <f t="shared" si="38"/>
        <v>0</v>
      </c>
      <c r="M197" s="117">
        <f t="shared" si="38"/>
        <v>0</v>
      </c>
      <c r="N197" s="117">
        <f t="shared" si="38"/>
        <v>0</v>
      </c>
      <c r="O197" s="117">
        <f t="shared" si="38"/>
        <v>0</v>
      </c>
      <c r="P197" s="117">
        <f t="shared" si="38"/>
        <v>0</v>
      </c>
      <c r="Q197" s="22"/>
      <c r="R197" s="32"/>
      <c r="S197" s="22"/>
    </row>
    <row r="198" spans="1:19" ht="17.45" customHeight="1">
      <c r="A198" s="134" t="s">
        <v>442</v>
      </c>
      <c r="B198" s="68" t="s">
        <v>334</v>
      </c>
      <c r="C198" s="67" t="s">
        <v>245</v>
      </c>
      <c r="D198" s="89">
        <f t="shared" ref="D198:P198" si="39">D148+D154+D158+D170+D175+D182+D187+D197+D163+D164+D165+D176+D177</f>
        <v>0</v>
      </c>
      <c r="E198" s="89">
        <f t="shared" si="39"/>
        <v>0</v>
      </c>
      <c r="F198" s="89">
        <f t="shared" si="39"/>
        <v>0</v>
      </c>
      <c r="G198" s="89">
        <f t="shared" si="39"/>
        <v>0</v>
      </c>
      <c r="H198" s="89">
        <f t="shared" si="39"/>
        <v>0</v>
      </c>
      <c r="I198" s="89">
        <f t="shared" si="39"/>
        <v>0</v>
      </c>
      <c r="J198" s="89">
        <f t="shared" si="39"/>
        <v>0</v>
      </c>
      <c r="K198" s="89">
        <f t="shared" si="39"/>
        <v>0</v>
      </c>
      <c r="L198" s="89">
        <f t="shared" si="39"/>
        <v>0</v>
      </c>
      <c r="M198" s="89">
        <f t="shared" si="39"/>
        <v>0</v>
      </c>
      <c r="N198" s="89">
        <f t="shared" si="39"/>
        <v>0</v>
      </c>
      <c r="O198" s="89">
        <f t="shared" si="39"/>
        <v>0</v>
      </c>
      <c r="P198" s="89">
        <f t="shared" si="39"/>
        <v>0</v>
      </c>
      <c r="Q198" s="22"/>
      <c r="R198" s="32"/>
      <c r="S198" s="22"/>
    </row>
    <row r="199" spans="1:19" ht="17.45" customHeight="1">
      <c r="B199" s="31"/>
      <c r="C199" s="28" t="s">
        <v>335</v>
      </c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>
        <f t="shared" ref="P199:P205" si="40">D199+E199+F199+G199+H199+I199+J199+K199+L199+M199+N199+O199</f>
        <v>0</v>
      </c>
      <c r="Q199" s="22"/>
      <c r="R199" s="32"/>
      <c r="S199" s="22"/>
    </row>
    <row r="200" spans="1:19" ht="17.45" customHeight="1">
      <c r="B200" s="31"/>
      <c r="C200" s="28" t="s">
        <v>336</v>
      </c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>
        <f t="shared" si="40"/>
        <v>0</v>
      </c>
      <c r="Q200" s="22"/>
      <c r="R200" s="32"/>
      <c r="S200" s="22"/>
    </row>
    <row r="201" spans="1:19" ht="17.45" customHeight="1">
      <c r="B201" s="31" t="s">
        <v>337</v>
      </c>
      <c r="C201" s="26" t="s">
        <v>338</v>
      </c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>
        <f t="shared" si="40"/>
        <v>0</v>
      </c>
      <c r="Q201" s="22"/>
      <c r="R201" s="32"/>
      <c r="S201" s="22"/>
    </row>
    <row r="202" spans="1:19" ht="17.45" customHeight="1">
      <c r="B202" s="31" t="s">
        <v>339</v>
      </c>
      <c r="C202" s="26" t="s">
        <v>340</v>
      </c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>
        <f t="shared" si="40"/>
        <v>0</v>
      </c>
      <c r="Q202" s="22"/>
      <c r="R202" s="32"/>
      <c r="S202" s="22"/>
    </row>
    <row r="203" spans="1:19" ht="17.45" customHeight="1">
      <c r="B203" s="31"/>
      <c r="C203" s="28" t="s">
        <v>341</v>
      </c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>
        <f t="shared" si="40"/>
        <v>0</v>
      </c>
      <c r="Q203" s="22"/>
      <c r="R203" s="32"/>
      <c r="S203" s="22"/>
    </row>
    <row r="204" spans="1:19" ht="17.45" customHeight="1">
      <c r="B204" s="31" t="s">
        <v>342</v>
      </c>
      <c r="C204" s="26" t="s">
        <v>343</v>
      </c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>
        <f t="shared" si="40"/>
        <v>0</v>
      </c>
      <c r="Q204" s="22"/>
      <c r="R204" s="32"/>
      <c r="S204" s="22"/>
    </row>
    <row r="205" spans="1:19" ht="17.45" customHeight="1">
      <c r="B205" s="31" t="s">
        <v>344</v>
      </c>
      <c r="C205" s="26" t="s">
        <v>345</v>
      </c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>
        <f t="shared" si="40"/>
        <v>0</v>
      </c>
      <c r="Q205" s="22"/>
      <c r="R205" s="32"/>
      <c r="S205" s="22"/>
    </row>
    <row r="206" spans="1:19" ht="17.45" customHeight="1">
      <c r="A206" s="134" t="s">
        <v>442</v>
      </c>
      <c r="B206" s="68" t="s">
        <v>346</v>
      </c>
      <c r="C206" s="67" t="s">
        <v>341</v>
      </c>
      <c r="D206" s="84">
        <f>D204</f>
        <v>0</v>
      </c>
      <c r="E206" s="84">
        <f t="shared" ref="E206:P206" si="41">E204</f>
        <v>0</v>
      </c>
      <c r="F206" s="84">
        <f t="shared" si="41"/>
        <v>0</v>
      </c>
      <c r="G206" s="84">
        <f t="shared" si="41"/>
        <v>0</v>
      </c>
      <c r="H206" s="84">
        <f t="shared" si="41"/>
        <v>0</v>
      </c>
      <c r="I206" s="84">
        <f t="shared" si="41"/>
        <v>0</v>
      </c>
      <c r="J206" s="84">
        <f t="shared" si="41"/>
        <v>0</v>
      </c>
      <c r="K206" s="84">
        <f t="shared" si="41"/>
        <v>0</v>
      </c>
      <c r="L206" s="84">
        <f t="shared" si="41"/>
        <v>0</v>
      </c>
      <c r="M206" s="84">
        <f t="shared" si="41"/>
        <v>0</v>
      </c>
      <c r="N206" s="84">
        <f t="shared" si="41"/>
        <v>0</v>
      </c>
      <c r="O206" s="84">
        <f t="shared" si="41"/>
        <v>0</v>
      </c>
      <c r="P206" s="84">
        <f t="shared" si="41"/>
        <v>0</v>
      </c>
      <c r="Q206" s="22"/>
      <c r="R206" s="32"/>
      <c r="S206" s="22"/>
    </row>
    <row r="207" spans="1:19" ht="17.45" customHeight="1">
      <c r="B207" s="31" t="s">
        <v>347</v>
      </c>
      <c r="C207" s="26" t="s">
        <v>348</v>
      </c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>
        <f t="shared" ref="P207:P213" si="42">D207+E207+F207+G207+H207+I207+J207+K207+L207+M207+N207+O207</f>
        <v>0</v>
      </c>
      <c r="Q207" s="22"/>
      <c r="R207" s="32"/>
      <c r="S207" s="22"/>
    </row>
    <row r="208" spans="1:19" ht="17.45" customHeight="1">
      <c r="B208" s="31" t="s">
        <v>349</v>
      </c>
      <c r="C208" s="26" t="s">
        <v>350</v>
      </c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>
        <f t="shared" si="42"/>
        <v>0</v>
      </c>
      <c r="Q208" s="22"/>
      <c r="R208" s="32"/>
      <c r="S208" s="22"/>
    </row>
    <row r="209" spans="1:19" ht="17.45" customHeight="1">
      <c r="B209" s="31" t="s">
        <v>351</v>
      </c>
      <c r="C209" s="26" t="s">
        <v>352</v>
      </c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>
        <f t="shared" si="42"/>
        <v>0</v>
      </c>
      <c r="Q209" s="22"/>
      <c r="R209" s="32"/>
      <c r="S209" s="22"/>
    </row>
    <row r="210" spans="1:19" ht="17.45" customHeight="1">
      <c r="B210" s="31"/>
      <c r="C210" s="26" t="s">
        <v>353</v>
      </c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>
        <f t="shared" si="42"/>
        <v>0</v>
      </c>
      <c r="Q210" s="22"/>
      <c r="R210" s="32"/>
      <c r="S210" s="22"/>
    </row>
    <row r="211" spans="1:19" ht="17.45" customHeight="1">
      <c r="B211" s="31" t="s">
        <v>354</v>
      </c>
      <c r="C211" s="26" t="s">
        <v>355</v>
      </c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>
        <f t="shared" si="42"/>
        <v>0</v>
      </c>
      <c r="Q211" s="22"/>
      <c r="R211" s="32"/>
      <c r="S211" s="22"/>
    </row>
    <row r="212" spans="1:19" ht="17.45" customHeight="1">
      <c r="B212" s="31"/>
      <c r="C212" s="26" t="s">
        <v>356</v>
      </c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>
        <f t="shared" si="42"/>
        <v>0</v>
      </c>
      <c r="Q212" s="22"/>
      <c r="R212" s="32"/>
      <c r="S212" s="22"/>
    </row>
    <row r="213" spans="1:19" ht="17.45" customHeight="1">
      <c r="B213" s="31" t="s">
        <v>357</v>
      </c>
      <c r="C213" s="26" t="s">
        <v>358</v>
      </c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>
        <f t="shared" si="42"/>
        <v>0</v>
      </c>
      <c r="Q213" s="22"/>
      <c r="R213" s="32"/>
      <c r="S213" s="22"/>
    </row>
    <row r="214" spans="1:19" ht="17.45" customHeight="1">
      <c r="A214" s="134" t="s">
        <v>442</v>
      </c>
      <c r="B214" s="68" t="s">
        <v>359</v>
      </c>
      <c r="C214" s="67" t="s">
        <v>336</v>
      </c>
      <c r="D214" s="89">
        <f t="shared" ref="D214:O214" si="43">SUM(D201:D213)</f>
        <v>0</v>
      </c>
      <c r="E214" s="89">
        <f t="shared" si="43"/>
        <v>0</v>
      </c>
      <c r="F214" s="89">
        <f t="shared" si="43"/>
        <v>0</v>
      </c>
      <c r="G214" s="89">
        <f t="shared" si="43"/>
        <v>0</v>
      </c>
      <c r="H214" s="89">
        <f t="shared" si="43"/>
        <v>0</v>
      </c>
      <c r="I214" s="89">
        <f t="shared" si="43"/>
        <v>0</v>
      </c>
      <c r="J214" s="89">
        <f t="shared" si="43"/>
        <v>0</v>
      </c>
      <c r="K214" s="89">
        <f t="shared" si="43"/>
        <v>0</v>
      </c>
      <c r="L214" s="89">
        <f t="shared" si="43"/>
        <v>0</v>
      </c>
      <c r="M214" s="89">
        <f t="shared" si="43"/>
        <v>0</v>
      </c>
      <c r="N214" s="89">
        <f t="shared" si="43"/>
        <v>0</v>
      </c>
      <c r="O214" s="89">
        <f t="shared" si="43"/>
        <v>0</v>
      </c>
      <c r="P214" s="89">
        <f>SUM(P201:P213)</f>
        <v>0</v>
      </c>
      <c r="Q214" s="22"/>
      <c r="R214" s="32"/>
      <c r="S214" s="22"/>
    </row>
    <row r="215" spans="1:19" ht="17.45" customHeight="1">
      <c r="B215" s="31"/>
      <c r="C215" s="28" t="s">
        <v>360</v>
      </c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>
        <f>D215+E215+F215+G215+H215+I215+J215+K215+L215+M215+N215+O215</f>
        <v>0</v>
      </c>
      <c r="Q215" s="22"/>
      <c r="R215" s="32"/>
      <c r="S215" s="22"/>
    </row>
    <row r="216" spans="1:19" ht="17.45" customHeight="1">
      <c r="B216" s="31"/>
      <c r="C216" s="29" t="s">
        <v>361</v>
      </c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>
        <f>D216+E216+F216+G216+H216+I216+J216+K216+L216+M216+N216+O216</f>
        <v>0</v>
      </c>
      <c r="Q216" s="22"/>
      <c r="R216" s="32"/>
      <c r="S216" s="22"/>
    </row>
    <row r="217" spans="1:19" ht="17.45" customHeight="1">
      <c r="B217" s="31" t="s">
        <v>362</v>
      </c>
      <c r="C217" s="26" t="s">
        <v>363</v>
      </c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>
        <f>D217+E217+F217+G217+H217+I217+J217+K217+L217+M217+N217+O217</f>
        <v>0</v>
      </c>
      <c r="Q217" s="22"/>
      <c r="R217" s="32"/>
      <c r="S217" s="22"/>
    </row>
    <row r="218" spans="1:19" ht="17.45" customHeight="1">
      <c r="B218" s="31" t="s">
        <v>364</v>
      </c>
      <c r="C218" s="26" t="s">
        <v>365</v>
      </c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>
        <f>D218+E218+F218+G218+H218+I218+J218+K218+L218+M218+N218+O218</f>
        <v>0</v>
      </c>
      <c r="Q218" s="22"/>
      <c r="R218" s="32"/>
      <c r="S218" s="22"/>
    </row>
    <row r="219" spans="1:19" ht="17.45" customHeight="1">
      <c r="A219" s="134" t="s">
        <v>442</v>
      </c>
      <c r="B219" s="68" t="s">
        <v>366</v>
      </c>
      <c r="C219" s="67" t="s">
        <v>361</v>
      </c>
      <c r="D219" s="89">
        <f t="shared" ref="D219:O219" si="44">SUM(D217:D218)</f>
        <v>0</v>
      </c>
      <c r="E219" s="89">
        <f t="shared" si="44"/>
        <v>0</v>
      </c>
      <c r="F219" s="89">
        <f t="shared" si="44"/>
        <v>0</v>
      </c>
      <c r="G219" s="89">
        <f t="shared" si="44"/>
        <v>0</v>
      </c>
      <c r="H219" s="89">
        <f t="shared" si="44"/>
        <v>0</v>
      </c>
      <c r="I219" s="89">
        <f t="shared" si="44"/>
        <v>0</v>
      </c>
      <c r="J219" s="89">
        <f t="shared" si="44"/>
        <v>0</v>
      </c>
      <c r="K219" s="89">
        <f t="shared" si="44"/>
        <v>0</v>
      </c>
      <c r="L219" s="89">
        <f t="shared" si="44"/>
        <v>0</v>
      </c>
      <c r="M219" s="89">
        <f t="shared" si="44"/>
        <v>0</v>
      </c>
      <c r="N219" s="89">
        <f t="shared" si="44"/>
        <v>0</v>
      </c>
      <c r="O219" s="89">
        <f t="shared" si="44"/>
        <v>0</v>
      </c>
      <c r="P219" s="89">
        <f>SUM(P217:P218)</f>
        <v>0</v>
      </c>
      <c r="Q219" s="22"/>
      <c r="R219" s="32"/>
      <c r="S219" s="22"/>
    </row>
    <row r="220" spans="1:19" ht="17.45" customHeight="1">
      <c r="B220" s="31"/>
      <c r="C220" s="28" t="s">
        <v>367</v>
      </c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>
        <f>D220+E220+F220+G220+H220+I220+J220+K220+L220+M220+N220+O220</f>
        <v>0</v>
      </c>
      <c r="Q220" s="22"/>
      <c r="R220" s="32"/>
      <c r="S220" s="22"/>
    </row>
    <row r="221" spans="1:19" ht="17.45" customHeight="1">
      <c r="B221" s="31" t="s">
        <v>368</v>
      </c>
      <c r="C221" s="26" t="s">
        <v>369</v>
      </c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>
        <f>D221+E221+F221+G221+H221+I221+J221+K221+L221+M221+N221+O221</f>
        <v>0</v>
      </c>
      <c r="Q221" s="22"/>
      <c r="R221" s="32"/>
      <c r="S221" s="22"/>
    </row>
    <row r="222" spans="1:19" ht="17.45" customHeight="1">
      <c r="B222" s="31" t="s">
        <v>370</v>
      </c>
      <c r="C222" s="26" t="s">
        <v>371</v>
      </c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>
        <f>D222+E222+F222+G222+H222+I222+J222+K222+L222+M222+N222+O222</f>
        <v>0</v>
      </c>
      <c r="Q222" s="22"/>
      <c r="R222" s="32"/>
      <c r="S222" s="22"/>
    </row>
    <row r="223" spans="1:19" ht="17.45" customHeight="1">
      <c r="A223" s="134" t="s">
        <v>442</v>
      </c>
      <c r="B223" s="68" t="s">
        <v>372</v>
      </c>
      <c r="C223" s="67" t="s">
        <v>367</v>
      </c>
      <c r="D223" s="89">
        <f t="shared" ref="D223:O223" si="45">SUM(D221:D222)</f>
        <v>0</v>
      </c>
      <c r="E223" s="89">
        <f t="shared" si="45"/>
        <v>0</v>
      </c>
      <c r="F223" s="89">
        <f t="shared" si="45"/>
        <v>0</v>
      </c>
      <c r="G223" s="89">
        <f t="shared" si="45"/>
        <v>0</v>
      </c>
      <c r="H223" s="89">
        <f t="shared" si="45"/>
        <v>0</v>
      </c>
      <c r="I223" s="89">
        <f t="shared" si="45"/>
        <v>0</v>
      </c>
      <c r="J223" s="89">
        <f t="shared" si="45"/>
        <v>0</v>
      </c>
      <c r="K223" s="89">
        <f t="shared" si="45"/>
        <v>0</v>
      </c>
      <c r="L223" s="89">
        <f t="shared" si="45"/>
        <v>0</v>
      </c>
      <c r="M223" s="89">
        <f t="shared" si="45"/>
        <v>0</v>
      </c>
      <c r="N223" s="89">
        <f t="shared" si="45"/>
        <v>0</v>
      </c>
      <c r="O223" s="89">
        <f t="shared" si="45"/>
        <v>0</v>
      </c>
      <c r="P223" s="89">
        <f>SUM(P221:P222)</f>
        <v>0</v>
      </c>
      <c r="Q223" s="22"/>
      <c r="R223" s="32"/>
      <c r="S223" s="22"/>
    </row>
    <row r="224" spans="1:19" ht="17.45" customHeight="1">
      <c r="B224" s="31" t="s">
        <v>373</v>
      </c>
      <c r="C224" s="26" t="s">
        <v>374</v>
      </c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>
        <f>D224+E224+F224+G224+H224+I224+J224+K224+L224+M224+N224+O224</f>
        <v>0</v>
      </c>
      <c r="Q224" s="22"/>
      <c r="R224" s="32"/>
      <c r="S224" s="22"/>
    </row>
    <row r="225" spans="1:19" ht="17.45" customHeight="1">
      <c r="B225" s="31"/>
      <c r="C225" s="28" t="s">
        <v>375</v>
      </c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>
        <f>D225+E225+F225+G225+H225+I225+J225+K225+L225+M225+N225+O225</f>
        <v>0</v>
      </c>
      <c r="Q225" s="22"/>
      <c r="R225" s="32"/>
      <c r="S225" s="22"/>
    </row>
    <row r="226" spans="1:19" ht="17.45" customHeight="1">
      <c r="B226" s="31" t="s">
        <v>376</v>
      </c>
      <c r="C226" s="26" t="s">
        <v>377</v>
      </c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>
        <f>D226+E226+F226+G226+H226+I226+J226+K226+L226+M226+N226+O226</f>
        <v>0</v>
      </c>
      <c r="Q226" s="22"/>
      <c r="R226" s="32"/>
      <c r="S226" s="22"/>
    </row>
    <row r="227" spans="1:19" ht="17.45" customHeight="1">
      <c r="B227" s="31" t="s">
        <v>378</v>
      </c>
      <c r="C227" s="26" t="s">
        <v>379</v>
      </c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>
        <f>D227+E227+F227+G227+H227+I227+J227+K227+L227+M227+N227+O227</f>
        <v>0</v>
      </c>
      <c r="Q227" s="22"/>
      <c r="R227" s="32"/>
      <c r="S227" s="22"/>
    </row>
    <row r="228" spans="1:19" ht="17.45" customHeight="1">
      <c r="B228" s="31"/>
      <c r="C228" s="26" t="s">
        <v>380</v>
      </c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>
        <v>0</v>
      </c>
      <c r="Q228" s="22"/>
      <c r="R228" s="32"/>
      <c r="S228" s="22"/>
    </row>
    <row r="229" spans="1:19" ht="17.45" customHeight="1">
      <c r="A229" s="134" t="s">
        <v>442</v>
      </c>
      <c r="B229" s="68" t="s">
        <v>381</v>
      </c>
      <c r="C229" s="67" t="s">
        <v>375</v>
      </c>
      <c r="D229" s="89">
        <f t="shared" ref="D229:O229" si="46">SUM(D226:D228)</f>
        <v>0</v>
      </c>
      <c r="E229" s="89">
        <f t="shared" si="46"/>
        <v>0</v>
      </c>
      <c r="F229" s="89">
        <f t="shared" si="46"/>
        <v>0</v>
      </c>
      <c r="G229" s="89">
        <f t="shared" si="46"/>
        <v>0</v>
      </c>
      <c r="H229" s="89">
        <f t="shared" si="46"/>
        <v>0</v>
      </c>
      <c r="I229" s="89">
        <f t="shared" si="46"/>
        <v>0</v>
      </c>
      <c r="J229" s="89">
        <f t="shared" si="46"/>
        <v>0</v>
      </c>
      <c r="K229" s="89">
        <f t="shared" si="46"/>
        <v>0</v>
      </c>
      <c r="L229" s="89">
        <f t="shared" si="46"/>
        <v>0</v>
      </c>
      <c r="M229" s="89">
        <f t="shared" si="46"/>
        <v>0</v>
      </c>
      <c r="N229" s="89">
        <f t="shared" si="46"/>
        <v>0</v>
      </c>
      <c r="O229" s="89">
        <f t="shared" si="46"/>
        <v>0</v>
      </c>
      <c r="P229" s="89">
        <f>SUM(P226:P228)</f>
        <v>0</v>
      </c>
      <c r="Q229" s="22"/>
      <c r="R229" s="32"/>
      <c r="S229" s="22"/>
    </row>
    <row r="230" spans="1:19" ht="17.45" customHeight="1">
      <c r="B230" s="31"/>
      <c r="C230" s="28" t="s">
        <v>382</v>
      </c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>
        <f>D230+E230+F230+G230+H230+I230+J230+K230+L230+M230+N230+O230</f>
        <v>0</v>
      </c>
      <c r="Q230" s="22"/>
      <c r="R230" s="32"/>
      <c r="S230" s="22"/>
    </row>
    <row r="231" spans="1:19" ht="17.45" customHeight="1">
      <c r="B231" s="31" t="s">
        <v>383</v>
      </c>
      <c r="C231" s="26" t="s">
        <v>384</v>
      </c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>
        <f>D231+E231+F231+G231+H231+I231+J231+K231+L231+M231+N231+O231</f>
        <v>0</v>
      </c>
      <c r="Q231" s="22"/>
      <c r="R231" s="32"/>
      <c r="S231" s="22"/>
    </row>
    <row r="232" spans="1:19" ht="17.45" customHeight="1">
      <c r="B232" s="31" t="s">
        <v>385</v>
      </c>
      <c r="C232" s="26" t="s">
        <v>386</v>
      </c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>
        <f>D232+E232+F232+G232+H232+I232+J232+K232+L232+M232+N232+O232</f>
        <v>0</v>
      </c>
      <c r="Q232" s="22"/>
      <c r="R232" s="32"/>
      <c r="S232" s="22"/>
    </row>
    <row r="233" spans="1:19" ht="17.45" customHeight="1">
      <c r="A233" s="134" t="s">
        <v>442</v>
      </c>
      <c r="B233" s="68" t="s">
        <v>387</v>
      </c>
      <c r="C233" s="67" t="s">
        <v>382</v>
      </c>
      <c r="D233" s="89">
        <f>D232+D231</f>
        <v>0</v>
      </c>
      <c r="E233" s="89">
        <f t="shared" ref="E233:P233" si="47">E232+E231</f>
        <v>0</v>
      </c>
      <c r="F233" s="89">
        <f t="shared" si="47"/>
        <v>0</v>
      </c>
      <c r="G233" s="89">
        <f t="shared" si="47"/>
        <v>0</v>
      </c>
      <c r="H233" s="89">
        <f t="shared" si="47"/>
        <v>0</v>
      </c>
      <c r="I233" s="89">
        <f t="shared" si="47"/>
        <v>0</v>
      </c>
      <c r="J233" s="89">
        <f t="shared" si="47"/>
        <v>0</v>
      </c>
      <c r="K233" s="89">
        <f t="shared" si="47"/>
        <v>0</v>
      </c>
      <c r="L233" s="89">
        <f t="shared" si="47"/>
        <v>0</v>
      </c>
      <c r="M233" s="89">
        <f t="shared" si="47"/>
        <v>0</v>
      </c>
      <c r="N233" s="89">
        <f t="shared" si="47"/>
        <v>0</v>
      </c>
      <c r="O233" s="89">
        <f t="shared" si="47"/>
        <v>0</v>
      </c>
      <c r="P233" s="89">
        <f t="shared" si="47"/>
        <v>0</v>
      </c>
      <c r="Q233" s="22"/>
      <c r="R233" s="32"/>
      <c r="S233" s="22"/>
    </row>
    <row r="234" spans="1:19" ht="17.45" customHeight="1">
      <c r="B234" s="31" t="s">
        <v>388</v>
      </c>
      <c r="C234" s="26" t="s">
        <v>389</v>
      </c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>
        <f t="shared" ref="P234:P240" si="48">D234+E234+F234+G234+H234+I234+J234+K234+L234+M234+N234+O234</f>
        <v>0</v>
      </c>
      <c r="Q234" s="22"/>
      <c r="R234" s="32"/>
      <c r="S234" s="22"/>
    </row>
    <row r="235" spans="1:19" ht="17.45" customHeight="1">
      <c r="B235" s="31" t="s">
        <v>390</v>
      </c>
      <c r="C235" s="26" t="s">
        <v>391</v>
      </c>
      <c r="D235" s="81"/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>
        <f t="shared" si="48"/>
        <v>0</v>
      </c>
      <c r="Q235" s="22"/>
      <c r="R235" s="32"/>
      <c r="S235" s="22"/>
    </row>
    <row r="236" spans="1:19" ht="17.45" customHeight="1">
      <c r="B236" s="31" t="s">
        <v>392</v>
      </c>
      <c r="C236" s="26" t="s">
        <v>393</v>
      </c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>
        <f t="shared" si="48"/>
        <v>0</v>
      </c>
      <c r="Q236" s="22"/>
      <c r="R236" s="32"/>
      <c r="S236" s="22"/>
    </row>
    <row r="237" spans="1:19" ht="17.45" customHeight="1">
      <c r="B237" s="31" t="s">
        <v>394</v>
      </c>
      <c r="C237" s="26" t="s">
        <v>395</v>
      </c>
      <c r="D237" s="81"/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>
        <f t="shared" si="48"/>
        <v>0</v>
      </c>
      <c r="Q237" s="22"/>
      <c r="R237" s="32"/>
      <c r="S237" s="22"/>
    </row>
    <row r="238" spans="1:19" ht="17.45" customHeight="1">
      <c r="B238" s="31" t="s">
        <v>396</v>
      </c>
      <c r="C238" s="26" t="s">
        <v>397</v>
      </c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>
        <f t="shared" si="48"/>
        <v>0</v>
      </c>
      <c r="Q238" s="22"/>
      <c r="R238" s="32"/>
      <c r="S238" s="22"/>
    </row>
    <row r="239" spans="1:19" ht="17.45" customHeight="1">
      <c r="B239" s="31"/>
      <c r="C239" s="26" t="s">
        <v>398</v>
      </c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>
        <f t="shared" si="48"/>
        <v>0</v>
      </c>
      <c r="Q239" s="22"/>
      <c r="R239" s="32"/>
      <c r="S239" s="22"/>
    </row>
    <row r="240" spans="1:19" ht="17.45" customHeight="1">
      <c r="B240" s="31" t="s">
        <v>399</v>
      </c>
      <c r="C240" s="26" t="s">
        <v>355</v>
      </c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>
        <f t="shared" si="48"/>
        <v>0</v>
      </c>
      <c r="Q240" s="22"/>
      <c r="R240" s="32"/>
      <c r="S240" s="22"/>
    </row>
    <row r="241" spans="1:19" ht="17.45" customHeight="1">
      <c r="B241" s="31"/>
      <c r="C241" s="26" t="s">
        <v>400</v>
      </c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>
        <v>0</v>
      </c>
      <c r="Q241" s="22"/>
      <c r="R241" s="32"/>
      <c r="S241" s="22"/>
    </row>
    <row r="242" spans="1:19" ht="17.45" customHeight="1">
      <c r="B242" s="31" t="s">
        <v>401</v>
      </c>
      <c r="C242" s="26" t="s">
        <v>358</v>
      </c>
      <c r="D242" s="81"/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>
        <f>D242+E242+F242+G242+H242+I242+J242+K242+L242+M242+N242+O242</f>
        <v>0</v>
      </c>
      <c r="Q242" s="22"/>
      <c r="R242" s="32"/>
      <c r="S242" s="22"/>
    </row>
    <row r="243" spans="1:19" ht="17.45" customHeight="1">
      <c r="A243" s="134" t="s">
        <v>442</v>
      </c>
      <c r="B243" s="68" t="s">
        <v>402</v>
      </c>
      <c r="C243" s="67" t="s">
        <v>360</v>
      </c>
      <c r="D243" s="89">
        <f t="shared" ref="D243:O243" si="49">D219+D223+D224+D229+D234+D235+D242+D237</f>
        <v>0</v>
      </c>
      <c r="E243" s="89">
        <f t="shared" si="49"/>
        <v>0</v>
      </c>
      <c r="F243" s="89">
        <f t="shared" si="49"/>
        <v>0</v>
      </c>
      <c r="G243" s="89">
        <f t="shared" si="49"/>
        <v>0</v>
      </c>
      <c r="H243" s="89">
        <f t="shared" si="49"/>
        <v>0</v>
      </c>
      <c r="I243" s="89">
        <f t="shared" si="49"/>
        <v>0</v>
      </c>
      <c r="J243" s="89">
        <f t="shared" si="49"/>
        <v>0</v>
      </c>
      <c r="K243" s="89">
        <f t="shared" si="49"/>
        <v>0</v>
      </c>
      <c r="L243" s="89">
        <f t="shared" si="49"/>
        <v>0</v>
      </c>
      <c r="M243" s="89">
        <f t="shared" si="49"/>
        <v>0</v>
      </c>
      <c r="N243" s="89">
        <f t="shared" si="49"/>
        <v>0</v>
      </c>
      <c r="O243" s="89">
        <f t="shared" si="49"/>
        <v>0</v>
      </c>
      <c r="P243" s="89">
        <f>P219+P223+P224+P229+P234+P235+P242+P237</f>
        <v>0</v>
      </c>
      <c r="Q243" s="22"/>
      <c r="R243" s="32"/>
      <c r="S243" s="22"/>
    </row>
    <row r="244" spans="1:19" ht="17.45" customHeight="1">
      <c r="B244" s="31" t="s">
        <v>403</v>
      </c>
      <c r="C244" s="26" t="s">
        <v>404</v>
      </c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>
        <f>D244+E244+F244+G244+H244+I244+J244+K244+L244+M244+N244+O244</f>
        <v>0</v>
      </c>
      <c r="Q244" s="22"/>
      <c r="R244" s="32"/>
      <c r="S244" s="22"/>
    </row>
    <row r="245" spans="1:19" ht="17.45" customHeight="1">
      <c r="B245" s="31" t="s">
        <v>405</v>
      </c>
      <c r="C245" s="26" t="s">
        <v>406</v>
      </c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>
        <f>D245+E245+F245+G245+H245+I245+J245+K245+L245+M245+N245+O245</f>
        <v>0</v>
      </c>
      <c r="Q245" s="22"/>
      <c r="R245" s="32"/>
      <c r="S245" s="22"/>
    </row>
    <row r="246" spans="1:19" ht="17.45" customHeight="1">
      <c r="B246" s="31" t="s">
        <v>407</v>
      </c>
      <c r="C246" s="26" t="s">
        <v>408</v>
      </c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>
        <f>D246+E246+F246+G246+H246+I246+J246+K246+L246+M246+N246+O246</f>
        <v>0</v>
      </c>
      <c r="Q246" s="22"/>
      <c r="R246" s="32"/>
      <c r="S246" s="22"/>
    </row>
    <row r="247" spans="1:19" ht="17.45" customHeight="1">
      <c r="B247" s="31" t="s">
        <v>409</v>
      </c>
      <c r="C247" s="26" t="s">
        <v>410</v>
      </c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>
        <f>D247+E247+F247+G247+H247+I247+J247+K247+L247+M247+N247+O247</f>
        <v>0</v>
      </c>
      <c r="Q247" s="22"/>
      <c r="R247" s="32"/>
      <c r="S247" s="22"/>
    </row>
    <row r="248" spans="1:19" ht="17.45" customHeight="1">
      <c r="A248" s="134" t="s">
        <v>442</v>
      </c>
      <c r="B248" s="68" t="s">
        <v>411</v>
      </c>
      <c r="C248" s="67" t="s">
        <v>335</v>
      </c>
      <c r="D248" s="89">
        <f t="shared" ref="D248:O248" si="50">D243+D214</f>
        <v>0</v>
      </c>
      <c r="E248" s="89">
        <f t="shared" si="50"/>
        <v>0</v>
      </c>
      <c r="F248" s="89">
        <f t="shared" si="50"/>
        <v>0</v>
      </c>
      <c r="G248" s="89">
        <f t="shared" si="50"/>
        <v>0</v>
      </c>
      <c r="H248" s="89">
        <f t="shared" si="50"/>
        <v>0</v>
      </c>
      <c r="I248" s="89">
        <f t="shared" si="50"/>
        <v>0</v>
      </c>
      <c r="J248" s="89">
        <f t="shared" si="50"/>
        <v>0</v>
      </c>
      <c r="K248" s="89">
        <f t="shared" si="50"/>
        <v>0</v>
      </c>
      <c r="L248" s="89">
        <f t="shared" si="50"/>
        <v>0</v>
      </c>
      <c r="M248" s="89">
        <f t="shared" si="50"/>
        <v>0</v>
      </c>
      <c r="N248" s="89">
        <f t="shared" si="50"/>
        <v>0</v>
      </c>
      <c r="O248" s="89">
        <f t="shared" si="50"/>
        <v>0</v>
      </c>
      <c r="P248" s="89">
        <f>P243+P214</f>
        <v>0</v>
      </c>
      <c r="Q248" s="22"/>
      <c r="R248" s="32"/>
      <c r="S248" s="22"/>
    </row>
    <row r="249" spans="1:19" ht="17.45" customHeight="1">
      <c r="B249" s="31" t="s">
        <v>412</v>
      </c>
      <c r="C249" s="26" t="s">
        <v>413</v>
      </c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>
        <f>D249+E249+F249+G249+H249+I249+J249+K249+L249+M249+N249+O249</f>
        <v>0</v>
      </c>
      <c r="Q249" s="22"/>
      <c r="R249" s="32"/>
      <c r="S249" s="22"/>
    </row>
    <row r="250" spans="1:19" ht="17.45" customHeight="1">
      <c r="B250" s="31" t="s">
        <v>414</v>
      </c>
      <c r="C250" s="26" t="s">
        <v>415</v>
      </c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>
        <f>D250+E250+F250+G250+H250+I250+J250+K250+L250+M250+N250+O250</f>
        <v>0</v>
      </c>
      <c r="Q250" s="22"/>
      <c r="R250" s="32"/>
      <c r="S250" s="22"/>
    </row>
    <row r="251" spans="1:19" ht="17.45" customHeight="1">
      <c r="B251" s="31"/>
      <c r="C251" s="26" t="s">
        <v>416</v>
      </c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>
        <v>0</v>
      </c>
      <c r="Q251" s="22"/>
      <c r="R251" s="32"/>
      <c r="S251" s="22"/>
    </row>
    <row r="252" spans="1:19" ht="17.45" customHeight="1">
      <c r="B252" s="25"/>
      <c r="C252" s="26" t="s">
        <v>413</v>
      </c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>
        <f>D252+E252+F252+G252+H252+I252+J252+K252+L252+M252+N252+O252</f>
        <v>0</v>
      </c>
      <c r="Q252" s="22"/>
      <c r="R252" s="32"/>
      <c r="S252" s="22"/>
    </row>
    <row r="253" spans="1:19" ht="24.95" customHeight="1">
      <c r="A253" s="134" t="s">
        <v>442</v>
      </c>
      <c r="B253" s="104"/>
      <c r="C253" s="104" t="s">
        <v>417</v>
      </c>
      <c r="D253" s="104">
        <f t="shared" ref="D253:O253" si="51">D16-D36-D138-D198-D248</f>
        <v>0</v>
      </c>
      <c r="E253" s="104">
        <f t="shared" si="51"/>
        <v>0</v>
      </c>
      <c r="F253" s="104">
        <f t="shared" si="51"/>
        <v>0</v>
      </c>
      <c r="G253" s="104">
        <f t="shared" si="51"/>
        <v>0</v>
      </c>
      <c r="H253" s="104">
        <f t="shared" si="51"/>
        <v>0</v>
      </c>
      <c r="I253" s="104">
        <f t="shared" si="51"/>
        <v>0</v>
      </c>
      <c r="J253" s="104">
        <f t="shared" si="51"/>
        <v>0</v>
      </c>
      <c r="K253" s="104">
        <f t="shared" si="51"/>
        <v>0</v>
      </c>
      <c r="L253" s="104">
        <f t="shared" si="51"/>
        <v>0</v>
      </c>
      <c r="M253" s="104">
        <f t="shared" si="51"/>
        <v>0</v>
      </c>
      <c r="N253" s="104">
        <f t="shared" si="51"/>
        <v>0</v>
      </c>
      <c r="O253" s="104">
        <f t="shared" si="51"/>
        <v>0</v>
      </c>
      <c r="P253" s="104">
        <f>P16-P36-P138-P198-P248</f>
        <v>0</v>
      </c>
      <c r="Q253" s="22"/>
      <c r="R253" s="32"/>
      <c r="S253" s="22"/>
    </row>
    <row r="254" spans="1:19" ht="17.45" customHeight="1">
      <c r="B254" s="20"/>
      <c r="Q254" s="22"/>
      <c r="R254" s="32"/>
    </row>
    <row r="255" spans="1:19" ht="17.45" customHeight="1">
      <c r="B255" s="20"/>
      <c r="Q255" s="22"/>
      <c r="R255" s="18"/>
    </row>
    <row r="256" spans="1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253">
    <cfRule type="containsText" dxfId="169" priority="1" operator="containsText" text="NOT FOUND">
      <formula>NOT(ISERROR(SEARCH("NOT FOUND",D5)))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5739-74EF-4D85-9224-21C761F38E3D}">
  <sheetPr codeName="Sheet6"/>
  <dimension ref="A5:C8"/>
  <sheetViews>
    <sheetView workbookViewId="0">
      <selection activeCell="C5" sqref="C5"/>
    </sheetView>
  </sheetViews>
  <sheetFormatPr defaultRowHeight="15"/>
  <cols>
    <col min="1" max="1" width="28.140625" bestFit="1" customWidth="1"/>
    <col min="2" max="2" width="25.28515625" bestFit="1" customWidth="1"/>
    <col min="3" max="3" width="21.5703125" customWidth="1"/>
  </cols>
  <sheetData>
    <row r="5" spans="1:3">
      <c r="A5" s="77" t="s">
        <v>431</v>
      </c>
      <c r="B5" s="77" t="s">
        <v>432</v>
      </c>
      <c r="C5" s="78" t="s">
        <v>433</v>
      </c>
    </row>
    <row r="6" spans="1:3">
      <c r="A6" t="s">
        <v>42</v>
      </c>
      <c r="B6" t="s">
        <v>33</v>
      </c>
      <c r="C6" t="str">
        <f>SUBSTITUTE(SUBSTITUTE(SUBSTITUTE(SUBSTITUTE(B6,".",""),",",""),"-","")," ","")</f>
        <v>SALESLOCALMARKET</v>
      </c>
    </row>
    <row r="7" spans="1:3">
      <c r="A7" t="s">
        <v>54</v>
      </c>
      <c r="B7" t="s">
        <v>434</v>
      </c>
      <c r="C7" t="str">
        <f>SUBSTITUTE(SUBSTITUTE(SUBSTITUTE(SUBSTITUTE(B7,".",""),",",""),"-","")," ","")</f>
        <v>COGSEXPORTMATER</v>
      </c>
    </row>
    <row r="8" spans="1:3">
      <c r="A8" t="s">
        <v>64</v>
      </c>
      <c r="B8" t="s">
        <v>443</v>
      </c>
      <c r="C8" t="str">
        <f>SUBSTITUTE(SUBSTITUTE(SUBSTITUTE(SUBSTITUTE(B8,".",""),",",""),"-","")," ","")</f>
        <v>COGSLOCALMATERI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1FED1-7283-413E-8354-EE3E4C88725D}">
  <sheetPr codeName="Sheet1"/>
  <dimension ref="A1:S344"/>
  <sheetViews>
    <sheetView zoomScale="70" zoomScaleNormal="70" workbookViewId="0">
      <pane xSplit="3" ySplit="5" topLeftCell="D6" activePane="bottomRight" state="frozen"/>
      <selection activeCell="D140" sqref="D140"/>
      <selection pane="topRight" activeCell="D140" sqref="D140"/>
      <selection pane="bottomLeft" activeCell="D140" sqref="D140"/>
      <selection pane="bottomRight" activeCell="H10" sqref="H10"/>
    </sheetView>
  </sheetViews>
  <sheetFormatPr defaultRowHeight="16.5"/>
  <cols>
    <col min="1" max="1" width="3.5703125" style="102" customWidth="1"/>
    <col min="2" max="2" width="19.85546875" style="41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100"/>
      <c r="B1" s="18"/>
      <c r="C1" s="118" t="s">
        <v>10</v>
      </c>
      <c r="D1" s="1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100"/>
      <c r="B2" s="18"/>
      <c r="C2" s="119" t="s">
        <v>11</v>
      </c>
      <c r="D2" s="119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100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41" customFormat="1" ht="24" customHeight="1">
      <c r="A4" s="101"/>
      <c r="B4" s="62" t="s">
        <v>12</v>
      </c>
      <c r="C4" s="62" t="s">
        <v>13</v>
      </c>
      <c r="D4" s="62" t="s">
        <v>14</v>
      </c>
      <c r="E4" s="62" t="s">
        <v>15</v>
      </c>
      <c r="F4" s="62" t="s">
        <v>16</v>
      </c>
      <c r="G4" s="62" t="s">
        <v>17</v>
      </c>
      <c r="H4" s="62" t="s">
        <v>18</v>
      </c>
      <c r="I4" s="62" t="s">
        <v>19</v>
      </c>
      <c r="J4" s="62" t="s">
        <v>20</v>
      </c>
      <c r="K4" s="62" t="s">
        <v>21</v>
      </c>
      <c r="L4" s="62" t="s">
        <v>22</v>
      </c>
      <c r="M4" s="62" t="s">
        <v>23</v>
      </c>
      <c r="N4" s="62" t="s">
        <v>24</v>
      </c>
      <c r="O4" s="62" t="s">
        <v>25</v>
      </c>
      <c r="P4" s="62" t="s">
        <v>26</v>
      </c>
      <c r="Q4" s="76"/>
      <c r="R4" s="59"/>
    </row>
    <row r="5" spans="1:19" ht="3" customHeight="1">
      <c r="B5" s="105"/>
      <c r="C5" s="106"/>
      <c r="D5" s="107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22"/>
      <c r="R5" s="18"/>
    </row>
    <row r="6" spans="1:19" ht="17.45" customHeight="1">
      <c r="B6" s="25"/>
      <c r="C6" s="90" t="s">
        <v>27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22"/>
      <c r="R6" s="18"/>
    </row>
    <row r="7" spans="1:19" ht="17.45" customHeight="1">
      <c r="B7" s="25"/>
      <c r="C7" s="91" t="s">
        <v>28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22"/>
      <c r="R7" s="18"/>
    </row>
    <row r="8" spans="1:19" ht="17.45" customHeight="1">
      <c r="B8" s="31" t="s">
        <v>30</v>
      </c>
      <c r="C8" s="92" t="s">
        <v>31</v>
      </c>
      <c r="D8" s="81"/>
      <c r="E8" s="81"/>
      <c r="F8" s="81">
        <v>826982.18</v>
      </c>
      <c r="G8" s="81"/>
      <c r="H8" s="81"/>
      <c r="I8" s="81"/>
      <c r="J8" s="81"/>
      <c r="K8" s="81"/>
      <c r="L8" s="81"/>
      <c r="M8" s="81"/>
      <c r="N8" s="81"/>
      <c r="O8" s="81"/>
      <c r="P8" s="81">
        <f t="shared" ref="P8:P13" si="0">D8+E8+F8+G8+H8+I8+J8+K8+L8+M8+N8+O8</f>
        <v>826982.18</v>
      </c>
      <c r="Q8" s="22"/>
      <c r="R8" s="32"/>
      <c r="S8" s="22"/>
    </row>
    <row r="9" spans="1:19" ht="17.45" customHeight="1">
      <c r="B9" s="31" t="s">
        <v>32</v>
      </c>
      <c r="C9" s="92" t="s">
        <v>33</v>
      </c>
      <c r="D9" s="81"/>
      <c r="E9" s="81"/>
      <c r="F9" s="81">
        <v>0</v>
      </c>
      <c r="G9" s="81"/>
      <c r="H9" s="81"/>
      <c r="I9" s="81"/>
      <c r="J9" s="81"/>
      <c r="K9" s="81"/>
      <c r="L9" s="81"/>
      <c r="M9" s="81"/>
      <c r="N9" s="81"/>
      <c r="O9" s="81"/>
      <c r="P9" s="81">
        <f t="shared" si="0"/>
        <v>0</v>
      </c>
      <c r="Q9" s="22"/>
      <c r="R9" s="32"/>
      <c r="S9" s="22"/>
    </row>
    <row r="10" spans="1:19" ht="17.45" customHeight="1">
      <c r="B10" s="31" t="s">
        <v>34</v>
      </c>
      <c r="C10" s="92" t="s">
        <v>35</v>
      </c>
      <c r="D10" s="81"/>
      <c r="E10" s="81"/>
      <c r="F10" s="81">
        <v>0</v>
      </c>
      <c r="G10" s="81"/>
      <c r="H10" s="81"/>
      <c r="I10" s="81"/>
      <c r="J10" s="81"/>
      <c r="K10" s="81"/>
      <c r="L10" s="81"/>
      <c r="M10" s="81"/>
      <c r="N10" s="81"/>
      <c r="O10" s="81"/>
      <c r="P10" s="81">
        <f t="shared" si="0"/>
        <v>0</v>
      </c>
      <c r="Q10" s="22"/>
      <c r="R10" s="32"/>
      <c r="S10" s="22"/>
    </row>
    <row r="11" spans="1:19" ht="17.45" customHeight="1">
      <c r="B11" s="31" t="s">
        <v>36</v>
      </c>
      <c r="C11" s="92" t="s">
        <v>37</v>
      </c>
      <c r="D11" s="81"/>
      <c r="E11" s="81"/>
      <c r="F11" s="81">
        <v>14591.23</v>
      </c>
      <c r="G11" s="81"/>
      <c r="H11" s="81"/>
      <c r="I11" s="81"/>
      <c r="J11" s="81"/>
      <c r="K11" s="81"/>
      <c r="L11" s="81"/>
      <c r="M11" s="81"/>
      <c r="N11" s="81"/>
      <c r="O11" s="81"/>
      <c r="P11" s="81">
        <f t="shared" si="0"/>
        <v>14591.23</v>
      </c>
      <c r="Q11" s="22"/>
      <c r="R11" s="32"/>
      <c r="S11" s="22"/>
    </row>
    <row r="12" spans="1:19" ht="17.45" customHeight="1">
      <c r="B12" s="31" t="s">
        <v>38</v>
      </c>
      <c r="C12" s="92" t="s">
        <v>39</v>
      </c>
      <c r="D12" s="81"/>
      <c r="E12" s="81"/>
      <c r="F12" s="81">
        <v>0</v>
      </c>
      <c r="G12" s="81"/>
      <c r="H12" s="81"/>
      <c r="I12" s="81"/>
      <c r="J12" s="81"/>
      <c r="K12" s="81"/>
      <c r="L12" s="81"/>
      <c r="M12" s="81"/>
      <c r="N12" s="81"/>
      <c r="O12" s="81"/>
      <c r="P12" s="81">
        <f t="shared" si="0"/>
        <v>0</v>
      </c>
      <c r="Q12" s="22"/>
      <c r="R12" s="32"/>
      <c r="S12" s="22"/>
    </row>
    <row r="13" spans="1:19" ht="17.45" customHeight="1">
      <c r="B13" s="31" t="s">
        <v>40</v>
      </c>
      <c r="C13" s="92" t="s">
        <v>41</v>
      </c>
      <c r="D13" s="81"/>
      <c r="E13" s="81"/>
      <c r="F13" s="81">
        <v>0</v>
      </c>
      <c r="G13" s="81"/>
      <c r="H13" s="81"/>
      <c r="I13" s="81"/>
      <c r="J13" s="81"/>
      <c r="K13" s="81"/>
      <c r="L13" s="81"/>
      <c r="M13" s="81"/>
      <c r="N13" s="81"/>
      <c r="O13" s="81"/>
      <c r="P13" s="81">
        <f t="shared" si="0"/>
        <v>0</v>
      </c>
      <c r="Q13" s="22"/>
      <c r="R13" s="32"/>
      <c r="S13" s="22"/>
    </row>
    <row r="14" spans="1:19" ht="17.45" customHeight="1">
      <c r="B14" s="31"/>
      <c r="C14" s="92" t="s">
        <v>42</v>
      </c>
      <c r="D14" s="81"/>
      <c r="E14" s="81"/>
      <c r="F14" s="81">
        <v>0</v>
      </c>
      <c r="G14" s="81"/>
      <c r="H14" s="81"/>
      <c r="I14" s="81"/>
      <c r="J14" s="81"/>
      <c r="K14" s="81"/>
      <c r="L14" s="81"/>
      <c r="M14" s="81"/>
      <c r="N14" s="81"/>
      <c r="O14" s="81"/>
      <c r="P14" s="81">
        <v>0</v>
      </c>
      <c r="Q14" s="22"/>
      <c r="R14" s="32"/>
      <c r="S14" s="22"/>
    </row>
    <row r="15" spans="1:19" ht="17.45" customHeight="1">
      <c r="B15" s="63" t="s">
        <v>44</v>
      </c>
      <c r="C15" s="115" t="s">
        <v>28</v>
      </c>
      <c r="D15" s="114">
        <f t="shared" ref="D15:O15" si="1">SUM(D7:D13)</f>
        <v>0</v>
      </c>
      <c r="E15" s="114">
        <f t="shared" si="1"/>
        <v>0</v>
      </c>
      <c r="F15" s="114">
        <f t="shared" si="1"/>
        <v>841573.41</v>
      </c>
      <c r="G15" s="114">
        <f t="shared" si="1"/>
        <v>0</v>
      </c>
      <c r="H15" s="114">
        <f t="shared" si="1"/>
        <v>0</v>
      </c>
      <c r="I15" s="114">
        <f t="shared" si="1"/>
        <v>0</v>
      </c>
      <c r="J15" s="114">
        <f t="shared" si="1"/>
        <v>0</v>
      </c>
      <c r="K15" s="114">
        <f t="shared" si="1"/>
        <v>0</v>
      </c>
      <c r="L15" s="114">
        <f t="shared" si="1"/>
        <v>0</v>
      </c>
      <c r="M15" s="114">
        <f t="shared" si="1"/>
        <v>0</v>
      </c>
      <c r="N15" s="114">
        <f t="shared" si="1"/>
        <v>0</v>
      </c>
      <c r="O15" s="114">
        <f t="shared" si="1"/>
        <v>0</v>
      </c>
      <c r="P15" s="114">
        <f>SUM(P7:P13)</f>
        <v>841573.41</v>
      </c>
      <c r="Q15" s="22"/>
      <c r="R15" s="32"/>
      <c r="S15" s="22"/>
    </row>
    <row r="16" spans="1:19" ht="17.45" customHeight="1">
      <c r="B16" s="69" t="s">
        <v>46</v>
      </c>
      <c r="C16" s="93" t="s">
        <v>47</v>
      </c>
      <c r="D16" s="89">
        <f t="shared" ref="D16:O16" si="2">D15</f>
        <v>0</v>
      </c>
      <c r="E16" s="89">
        <f t="shared" si="2"/>
        <v>0</v>
      </c>
      <c r="F16" s="89">
        <f t="shared" si="2"/>
        <v>841573.41</v>
      </c>
      <c r="G16" s="89">
        <f t="shared" si="2"/>
        <v>0</v>
      </c>
      <c r="H16" s="89">
        <f t="shared" si="2"/>
        <v>0</v>
      </c>
      <c r="I16" s="89">
        <f t="shared" si="2"/>
        <v>0</v>
      </c>
      <c r="J16" s="89">
        <f t="shared" si="2"/>
        <v>0</v>
      </c>
      <c r="K16" s="89">
        <f t="shared" si="2"/>
        <v>0</v>
      </c>
      <c r="L16" s="89">
        <f t="shared" si="2"/>
        <v>0</v>
      </c>
      <c r="M16" s="89">
        <f t="shared" si="2"/>
        <v>0</v>
      </c>
      <c r="N16" s="89">
        <f t="shared" si="2"/>
        <v>0</v>
      </c>
      <c r="O16" s="89">
        <f t="shared" si="2"/>
        <v>0</v>
      </c>
      <c r="P16" s="89">
        <f>P15</f>
        <v>841573.41</v>
      </c>
      <c r="Q16" s="22"/>
      <c r="R16" s="32"/>
      <c r="S16" s="22"/>
    </row>
    <row r="17" spans="2:19" ht="17.45" customHeight="1">
      <c r="B17" s="31"/>
      <c r="C17" s="90" t="s">
        <v>48</v>
      </c>
      <c r="D17" s="81"/>
      <c r="E17" s="81"/>
      <c r="F17" s="81">
        <v>0</v>
      </c>
      <c r="G17" s="81"/>
      <c r="H17" s="81"/>
      <c r="I17" s="81"/>
      <c r="J17" s="81"/>
      <c r="K17" s="81"/>
      <c r="L17" s="81"/>
      <c r="M17" s="81"/>
      <c r="N17" s="81"/>
      <c r="O17" s="81"/>
      <c r="P17" s="81">
        <f t="shared" ref="P17:P23" si="3">D17+E17+F17+G17+H17+I17+J17+K17+L17+M17+N17+O17</f>
        <v>0</v>
      </c>
      <c r="Q17" s="22"/>
      <c r="R17" s="32"/>
      <c r="S17" s="22"/>
    </row>
    <row r="18" spans="2:19" ht="17.45" customHeight="1">
      <c r="B18" s="31"/>
      <c r="C18" s="91" t="s">
        <v>49</v>
      </c>
      <c r="D18" s="81"/>
      <c r="E18" s="81"/>
      <c r="F18" s="81">
        <v>0</v>
      </c>
      <c r="G18" s="81"/>
      <c r="H18" s="81"/>
      <c r="I18" s="81"/>
      <c r="J18" s="81"/>
      <c r="K18" s="81"/>
      <c r="L18" s="81"/>
      <c r="M18" s="81"/>
      <c r="N18" s="81"/>
      <c r="O18" s="81"/>
      <c r="P18" s="81">
        <f t="shared" si="3"/>
        <v>0</v>
      </c>
      <c r="Q18" s="22"/>
      <c r="R18" s="32"/>
      <c r="S18" s="22"/>
    </row>
    <row r="19" spans="2:19" ht="17.45" customHeight="1">
      <c r="B19" s="31" t="s">
        <v>50</v>
      </c>
      <c r="C19" s="92" t="s">
        <v>51</v>
      </c>
      <c r="D19" s="81"/>
      <c r="E19" s="81"/>
      <c r="F19" s="81">
        <v>2043009.97</v>
      </c>
      <c r="G19" s="81"/>
      <c r="H19" s="81"/>
      <c r="I19" s="81"/>
      <c r="J19" s="81"/>
      <c r="K19" s="81"/>
      <c r="L19" s="81"/>
      <c r="M19" s="81"/>
      <c r="N19" s="81"/>
      <c r="O19" s="81"/>
      <c r="P19" s="81">
        <f t="shared" si="3"/>
        <v>2043009.97</v>
      </c>
      <c r="Q19" s="22"/>
      <c r="R19" s="32"/>
      <c r="S19" s="22"/>
    </row>
    <row r="20" spans="2:19" ht="17.45" customHeight="1">
      <c r="B20" s="31" t="s">
        <v>53</v>
      </c>
      <c r="C20" s="26" t="s">
        <v>54</v>
      </c>
      <c r="D20" s="81"/>
      <c r="E20" s="81"/>
      <c r="F20" s="81">
        <v>0</v>
      </c>
      <c r="G20" s="81"/>
      <c r="H20" s="81"/>
      <c r="I20" s="81"/>
      <c r="J20" s="81"/>
      <c r="K20" s="81"/>
      <c r="L20" s="81"/>
      <c r="M20" s="81"/>
      <c r="N20" s="81"/>
      <c r="O20" s="81"/>
      <c r="P20" s="81">
        <f t="shared" si="3"/>
        <v>0</v>
      </c>
      <c r="Q20" s="22"/>
      <c r="R20" s="32"/>
      <c r="S20" s="22"/>
    </row>
    <row r="21" spans="2:19" ht="17.45" customHeight="1">
      <c r="B21" s="31"/>
      <c r="C21" s="26" t="s">
        <v>55</v>
      </c>
      <c r="D21" s="81"/>
      <c r="E21" s="81"/>
      <c r="F21" s="81">
        <v>2043009.97</v>
      </c>
      <c r="G21" s="81"/>
      <c r="H21" s="81"/>
      <c r="I21" s="81"/>
      <c r="J21" s="81"/>
      <c r="K21" s="81"/>
      <c r="L21" s="81"/>
      <c r="M21" s="81"/>
      <c r="N21" s="81"/>
      <c r="O21" s="81"/>
      <c r="P21" s="81">
        <f t="shared" si="3"/>
        <v>2043009.97</v>
      </c>
      <c r="Q21" s="22"/>
      <c r="R21" s="32"/>
      <c r="S21" s="22"/>
    </row>
    <row r="22" spans="2:19" ht="17.45" customHeight="1">
      <c r="B22" s="31" t="s">
        <v>56</v>
      </c>
      <c r="C22" s="26" t="s">
        <v>57</v>
      </c>
      <c r="D22" s="81"/>
      <c r="E22" s="81"/>
      <c r="F22" s="81">
        <v>0</v>
      </c>
      <c r="G22" s="81"/>
      <c r="H22" s="81"/>
      <c r="I22" s="81"/>
      <c r="J22" s="81"/>
      <c r="K22" s="81"/>
      <c r="L22" s="81"/>
      <c r="M22" s="81"/>
      <c r="N22" s="81"/>
      <c r="O22" s="81"/>
      <c r="P22" s="81">
        <f t="shared" si="3"/>
        <v>0</v>
      </c>
      <c r="Q22" s="22"/>
      <c r="R22" s="32"/>
      <c r="S22" s="22"/>
    </row>
    <row r="23" spans="2:19" ht="17.45" customHeight="1">
      <c r="B23" s="31" t="s">
        <v>58</v>
      </c>
      <c r="C23" s="26" t="s">
        <v>59</v>
      </c>
      <c r="D23" s="81"/>
      <c r="E23" s="81"/>
      <c r="F23" s="81">
        <v>0</v>
      </c>
      <c r="G23" s="81"/>
      <c r="H23" s="81"/>
      <c r="I23" s="81"/>
      <c r="J23" s="81"/>
      <c r="K23" s="81"/>
      <c r="L23" s="81"/>
      <c r="M23" s="81"/>
      <c r="N23" s="81"/>
      <c r="O23" s="81"/>
      <c r="P23" s="81">
        <f t="shared" si="3"/>
        <v>0</v>
      </c>
      <c r="Q23" s="22"/>
      <c r="R23" s="32"/>
      <c r="S23" s="22"/>
    </row>
    <row r="24" spans="2:19" ht="17.45" customHeight="1">
      <c r="B24" s="71"/>
      <c r="C24" s="72" t="s">
        <v>60</v>
      </c>
      <c r="D24" s="88">
        <f t="shared" ref="D24:O24" si="4">SUM(D18:D23)</f>
        <v>0</v>
      </c>
      <c r="E24" s="88">
        <f t="shared" si="4"/>
        <v>0</v>
      </c>
      <c r="F24" s="88">
        <f t="shared" si="4"/>
        <v>4086019.94</v>
      </c>
      <c r="G24" s="88">
        <f t="shared" si="4"/>
        <v>0</v>
      </c>
      <c r="H24" s="88">
        <f t="shared" si="4"/>
        <v>0</v>
      </c>
      <c r="I24" s="88">
        <f t="shared" si="4"/>
        <v>0</v>
      </c>
      <c r="J24" s="88">
        <f t="shared" si="4"/>
        <v>0</v>
      </c>
      <c r="K24" s="88">
        <f t="shared" si="4"/>
        <v>0</v>
      </c>
      <c r="L24" s="88">
        <f t="shared" si="4"/>
        <v>0</v>
      </c>
      <c r="M24" s="88">
        <f t="shared" si="4"/>
        <v>0</v>
      </c>
      <c r="N24" s="88">
        <f t="shared" si="4"/>
        <v>0</v>
      </c>
      <c r="O24" s="88">
        <f t="shared" si="4"/>
        <v>0</v>
      </c>
      <c r="P24" s="88">
        <f>SUM(P18:P23)</f>
        <v>4086019.94</v>
      </c>
      <c r="Q24" s="22"/>
      <c r="R24" s="32"/>
      <c r="S24" s="22"/>
    </row>
    <row r="25" spans="2:19" ht="17.45" customHeight="1">
      <c r="B25" s="31" t="s">
        <v>61</v>
      </c>
      <c r="C25" s="26" t="s">
        <v>62</v>
      </c>
      <c r="D25" s="81"/>
      <c r="E25" s="81"/>
      <c r="F25" s="81">
        <v>0</v>
      </c>
      <c r="G25" s="81"/>
      <c r="H25" s="81"/>
      <c r="I25" s="81"/>
      <c r="J25" s="81"/>
      <c r="K25" s="81"/>
      <c r="L25" s="81"/>
      <c r="M25" s="81"/>
      <c r="N25" s="81"/>
      <c r="O25" s="81"/>
      <c r="P25" s="81">
        <f>D25+E25+F25+G25+H25+I25+J25+K25+L25+M25+N25+O25</f>
        <v>0</v>
      </c>
      <c r="Q25" s="22"/>
      <c r="R25" s="32"/>
      <c r="S25" s="22"/>
    </row>
    <row r="26" spans="2:19" ht="17.45" customHeight="1">
      <c r="B26" s="31" t="s">
        <v>63</v>
      </c>
      <c r="C26" s="26" t="s">
        <v>64</v>
      </c>
      <c r="D26" s="81"/>
      <c r="E26" s="81"/>
      <c r="F26" s="81">
        <v>0</v>
      </c>
      <c r="G26" s="81"/>
      <c r="H26" s="81"/>
      <c r="I26" s="81"/>
      <c r="J26" s="81"/>
      <c r="K26" s="81"/>
      <c r="L26" s="81"/>
      <c r="M26" s="81"/>
      <c r="N26" s="81"/>
      <c r="O26" s="81"/>
      <c r="P26" s="81">
        <f>D26+E26+F26+G26+H26+I26+J26+K26+L26+M26+N26+O26</f>
        <v>0</v>
      </c>
      <c r="Q26" s="22"/>
      <c r="R26" s="32"/>
      <c r="S26" s="22"/>
    </row>
    <row r="27" spans="2:19" ht="17.45" customHeight="1">
      <c r="B27" s="31" t="s">
        <v>65</v>
      </c>
      <c r="C27" s="26" t="s">
        <v>66</v>
      </c>
      <c r="D27" s="81"/>
      <c r="E27" s="81"/>
      <c r="F27" s="81">
        <v>0</v>
      </c>
      <c r="G27" s="81"/>
      <c r="H27" s="81"/>
      <c r="I27" s="81"/>
      <c r="J27" s="81"/>
      <c r="K27" s="81"/>
      <c r="L27" s="81"/>
      <c r="M27" s="81"/>
      <c r="N27" s="81"/>
      <c r="O27" s="81"/>
      <c r="P27" s="81">
        <f>D27+E27+F27+G27+H27+I27+J27+K27+L27+M27+N27+O27</f>
        <v>0</v>
      </c>
      <c r="Q27" s="22"/>
      <c r="R27" s="32"/>
      <c r="S27" s="22"/>
    </row>
    <row r="28" spans="2:19" ht="17.45" customHeight="1">
      <c r="B28" s="31" t="s">
        <v>67</v>
      </c>
      <c r="C28" s="26" t="s">
        <v>68</v>
      </c>
      <c r="D28" s="81"/>
      <c r="E28" s="81"/>
      <c r="F28" s="81">
        <v>0</v>
      </c>
      <c r="G28" s="81"/>
      <c r="H28" s="81"/>
      <c r="I28" s="81"/>
      <c r="J28" s="81"/>
      <c r="K28" s="81"/>
      <c r="L28" s="81"/>
      <c r="M28" s="81"/>
      <c r="N28" s="81"/>
      <c r="O28" s="81"/>
      <c r="P28" s="81">
        <f>D28+E28+F28+G28+H28+I28+J28+K28+L28+M28+N28+O28</f>
        <v>0</v>
      </c>
      <c r="Q28" s="22"/>
      <c r="R28" s="32"/>
      <c r="S28" s="22"/>
    </row>
    <row r="29" spans="2:19" ht="17.45" customHeight="1">
      <c r="B29" s="71"/>
      <c r="C29" s="72" t="s">
        <v>69</v>
      </c>
      <c r="D29" s="88">
        <f>D25</f>
        <v>0</v>
      </c>
      <c r="E29" s="88">
        <f t="shared" ref="E29:P29" si="5">E25</f>
        <v>0</v>
      </c>
      <c r="F29" s="88">
        <f t="shared" si="5"/>
        <v>0</v>
      </c>
      <c r="G29" s="88">
        <f t="shared" si="5"/>
        <v>0</v>
      </c>
      <c r="H29" s="88">
        <f t="shared" si="5"/>
        <v>0</v>
      </c>
      <c r="I29" s="88">
        <f t="shared" si="5"/>
        <v>0</v>
      </c>
      <c r="J29" s="88">
        <f t="shared" si="5"/>
        <v>0</v>
      </c>
      <c r="K29" s="88">
        <f t="shared" si="5"/>
        <v>0</v>
      </c>
      <c r="L29" s="88">
        <f t="shared" si="5"/>
        <v>0</v>
      </c>
      <c r="M29" s="88">
        <f t="shared" si="5"/>
        <v>0</v>
      </c>
      <c r="N29" s="88">
        <f t="shared" si="5"/>
        <v>0</v>
      </c>
      <c r="O29" s="88">
        <f t="shared" si="5"/>
        <v>0</v>
      </c>
      <c r="P29" s="88">
        <f t="shared" si="5"/>
        <v>0</v>
      </c>
      <c r="Q29" s="22"/>
      <c r="R29" s="32"/>
      <c r="S29" s="22"/>
    </row>
    <row r="30" spans="2:19" ht="17.45" customHeight="1">
      <c r="B30" s="31" t="s">
        <v>70</v>
      </c>
      <c r="C30" s="26" t="s">
        <v>71</v>
      </c>
      <c r="D30" s="81"/>
      <c r="E30" s="81"/>
      <c r="F30" s="81">
        <v>0</v>
      </c>
      <c r="G30" s="81"/>
      <c r="H30" s="81"/>
      <c r="I30" s="81"/>
      <c r="J30" s="81"/>
      <c r="K30" s="81"/>
      <c r="L30" s="81"/>
      <c r="M30" s="81"/>
      <c r="N30" s="81"/>
      <c r="O30" s="81"/>
      <c r="P30" s="81">
        <f>D30+E30+F30+G30+H30+I30+J30+K30+L30+M30+N30+O30</f>
        <v>0</v>
      </c>
      <c r="Q30" s="22"/>
      <c r="R30" s="32"/>
      <c r="S30" s="22"/>
    </row>
    <row r="31" spans="2:19" ht="17.45" customHeight="1">
      <c r="B31" s="31" t="s">
        <v>72</v>
      </c>
      <c r="C31" s="26" t="s">
        <v>73</v>
      </c>
      <c r="D31" s="81"/>
      <c r="E31" s="81"/>
      <c r="F31" s="81">
        <v>0</v>
      </c>
      <c r="G31" s="81"/>
      <c r="H31" s="81"/>
      <c r="I31" s="81"/>
      <c r="J31" s="81"/>
      <c r="K31" s="81"/>
      <c r="L31" s="81"/>
      <c r="M31" s="81"/>
      <c r="N31" s="81"/>
      <c r="O31" s="81"/>
      <c r="P31" s="81">
        <f>D31+E31+F31+G31+H31+I31+J31+K31+L31+M31+N31+O31</f>
        <v>0</v>
      </c>
      <c r="Q31" s="22"/>
      <c r="R31" s="32"/>
      <c r="S31" s="22"/>
    </row>
    <row r="32" spans="2:19" ht="17.45" customHeight="1">
      <c r="B32" s="31" t="s">
        <v>74</v>
      </c>
      <c r="C32" s="26" t="s">
        <v>75</v>
      </c>
      <c r="D32" s="81"/>
      <c r="E32" s="81"/>
      <c r="F32" s="81" t="s">
        <v>441</v>
      </c>
      <c r="G32" s="81"/>
      <c r="H32" s="81"/>
      <c r="I32" s="81"/>
      <c r="J32" s="81"/>
      <c r="K32" s="81"/>
      <c r="L32" s="81"/>
      <c r="M32" s="81"/>
      <c r="N32" s="81"/>
      <c r="O32" s="81"/>
      <c r="P32" s="81" t="e">
        <f>D32+E32+F32+G32+H32+I32+J32+K32+L32+M32+N32+O32</f>
        <v>#VALUE!</v>
      </c>
      <c r="Q32" s="22"/>
      <c r="R32" s="32"/>
      <c r="S32" s="22"/>
    </row>
    <row r="33" spans="2:19" ht="17.45" customHeight="1">
      <c r="B33" s="31" t="s">
        <v>76</v>
      </c>
      <c r="C33" s="26" t="s">
        <v>77</v>
      </c>
      <c r="D33" s="81"/>
      <c r="E33" s="81"/>
      <c r="F33" s="81">
        <v>0</v>
      </c>
      <c r="G33" s="81"/>
      <c r="H33" s="81"/>
      <c r="I33" s="81"/>
      <c r="J33" s="81"/>
      <c r="K33" s="81"/>
      <c r="L33" s="81"/>
      <c r="M33" s="81"/>
      <c r="N33" s="81"/>
      <c r="O33" s="81"/>
      <c r="P33" s="81">
        <f>D33+E33+F33+G33+H33+I33+J33+K33+L33+M33+N33+O33</f>
        <v>0</v>
      </c>
      <c r="Q33" s="22"/>
      <c r="R33" s="32"/>
      <c r="S33" s="22"/>
    </row>
    <row r="34" spans="2:19" ht="17.45" customHeight="1">
      <c r="B34" s="97"/>
      <c r="C34" s="98" t="s">
        <v>78</v>
      </c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>
        <v>0</v>
      </c>
      <c r="Q34" s="22"/>
      <c r="R34" s="32"/>
      <c r="S34" s="22"/>
    </row>
    <row r="35" spans="2:19" ht="17.45" customHeight="1">
      <c r="B35" s="97" t="s">
        <v>79</v>
      </c>
      <c r="C35" s="98" t="s">
        <v>80</v>
      </c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>
        <v>0</v>
      </c>
      <c r="Q35" s="22"/>
      <c r="R35" s="32"/>
      <c r="S35" s="22"/>
    </row>
    <row r="36" spans="2:19" ht="17.45" customHeight="1">
      <c r="B36" s="69" t="s">
        <v>81</v>
      </c>
      <c r="C36" s="70" t="s">
        <v>82</v>
      </c>
      <c r="D36" s="88">
        <f t="shared" ref="D36:O36" si="6">D24+D29+D34+D35</f>
        <v>0</v>
      </c>
      <c r="E36" s="88">
        <f t="shared" si="6"/>
        <v>0</v>
      </c>
      <c r="F36" s="88">
        <f t="shared" si="6"/>
        <v>4086019.94</v>
      </c>
      <c r="G36" s="88">
        <f t="shared" si="6"/>
        <v>0</v>
      </c>
      <c r="H36" s="88">
        <f t="shared" si="6"/>
        <v>0</v>
      </c>
      <c r="I36" s="88">
        <f t="shared" si="6"/>
        <v>0</v>
      </c>
      <c r="J36" s="88">
        <f t="shared" si="6"/>
        <v>0</v>
      </c>
      <c r="K36" s="88">
        <f t="shared" si="6"/>
        <v>0</v>
      </c>
      <c r="L36" s="88">
        <f t="shared" si="6"/>
        <v>0</v>
      </c>
      <c r="M36" s="88">
        <f t="shared" si="6"/>
        <v>0</v>
      </c>
      <c r="N36" s="88">
        <f t="shared" si="6"/>
        <v>0</v>
      </c>
      <c r="O36" s="88">
        <f t="shared" si="6"/>
        <v>0</v>
      </c>
      <c r="P36" s="88">
        <f>P24+P29+P34+P35</f>
        <v>4086019.94</v>
      </c>
      <c r="Q36" s="22"/>
      <c r="R36" s="32"/>
      <c r="S36" s="22"/>
    </row>
    <row r="37" spans="2:19" ht="17.45" customHeight="1">
      <c r="B37" s="31"/>
      <c r="C37" s="35" t="s">
        <v>83</v>
      </c>
      <c r="D37" s="81"/>
      <c r="E37" s="81"/>
      <c r="F37" s="81">
        <v>0</v>
      </c>
      <c r="G37" s="81"/>
      <c r="H37" s="81"/>
      <c r="I37" s="81"/>
      <c r="J37" s="81"/>
      <c r="K37" s="81"/>
      <c r="L37" s="81"/>
      <c r="M37" s="81"/>
      <c r="N37" s="81"/>
      <c r="O37" s="81"/>
      <c r="P37" s="81">
        <f t="shared" ref="P37:P42" si="7">D37+E37+F37+G37+H37+I37+J37+K37+L37+M37+N37+O37</f>
        <v>0</v>
      </c>
      <c r="Q37" s="22"/>
      <c r="R37" s="32"/>
      <c r="S37" s="22"/>
    </row>
    <row r="38" spans="2:19" ht="17.45" customHeight="1">
      <c r="B38" s="31" t="s">
        <v>84</v>
      </c>
      <c r="C38" s="29" t="s">
        <v>85</v>
      </c>
      <c r="D38" s="81"/>
      <c r="E38" s="81"/>
      <c r="F38" s="81">
        <v>0</v>
      </c>
      <c r="G38" s="81"/>
      <c r="H38" s="81"/>
      <c r="I38" s="81"/>
      <c r="J38" s="81"/>
      <c r="K38" s="81"/>
      <c r="L38" s="81"/>
      <c r="M38" s="81"/>
      <c r="N38" s="81"/>
      <c r="O38" s="81"/>
      <c r="P38" s="81">
        <f t="shared" si="7"/>
        <v>0</v>
      </c>
      <c r="Q38" s="22"/>
      <c r="R38" s="32"/>
      <c r="S38" s="22"/>
    </row>
    <row r="39" spans="2:19" ht="17.45" customHeight="1">
      <c r="B39" s="31" t="s">
        <v>86</v>
      </c>
      <c r="C39" s="26" t="s">
        <v>87</v>
      </c>
      <c r="D39" s="81"/>
      <c r="E39" s="81"/>
      <c r="F39" s="81">
        <v>0</v>
      </c>
      <c r="G39" s="81"/>
      <c r="H39" s="81"/>
      <c r="I39" s="81"/>
      <c r="J39" s="81"/>
      <c r="K39" s="81"/>
      <c r="L39" s="81"/>
      <c r="M39" s="81"/>
      <c r="N39" s="81"/>
      <c r="O39" s="81"/>
      <c r="P39" s="81">
        <f t="shared" si="7"/>
        <v>0</v>
      </c>
      <c r="Q39" s="22"/>
      <c r="R39" s="32"/>
      <c r="S39" s="22"/>
    </row>
    <row r="40" spans="2:19" ht="17.45" customHeight="1">
      <c r="B40" s="31"/>
      <c r="C40" s="29" t="s">
        <v>88</v>
      </c>
      <c r="D40" s="81"/>
      <c r="E40" s="81"/>
      <c r="F40" s="81" t="s">
        <v>441</v>
      </c>
      <c r="G40" s="81"/>
      <c r="H40" s="81"/>
      <c r="I40" s="81"/>
      <c r="J40" s="81"/>
      <c r="K40" s="81"/>
      <c r="L40" s="81"/>
      <c r="M40" s="81"/>
      <c r="N40" s="81"/>
      <c r="O40" s="81"/>
      <c r="P40" s="81" t="e">
        <f t="shared" si="7"/>
        <v>#VALUE!</v>
      </c>
      <c r="Q40" s="22"/>
      <c r="R40" s="32"/>
      <c r="S40" s="22"/>
    </row>
    <row r="41" spans="2:19" ht="17.45" customHeight="1">
      <c r="B41" s="31" t="s">
        <v>89</v>
      </c>
      <c r="C41" s="26" t="s">
        <v>90</v>
      </c>
      <c r="D41" s="81"/>
      <c r="E41" s="81"/>
      <c r="F41" s="81">
        <v>0</v>
      </c>
      <c r="G41" s="81"/>
      <c r="H41" s="81"/>
      <c r="I41" s="81"/>
      <c r="J41" s="81"/>
      <c r="K41" s="81"/>
      <c r="L41" s="81"/>
      <c r="M41" s="81"/>
      <c r="N41" s="81"/>
      <c r="O41" s="81"/>
      <c r="P41" s="81">
        <f t="shared" si="7"/>
        <v>0</v>
      </c>
      <c r="Q41" s="22"/>
      <c r="R41" s="32"/>
      <c r="S41" s="22"/>
    </row>
    <row r="42" spans="2:19" ht="17.45" customHeight="1">
      <c r="B42" s="31" t="s">
        <v>91</v>
      </c>
      <c r="C42" s="26" t="s">
        <v>92</v>
      </c>
      <c r="D42" s="81"/>
      <c r="E42" s="81"/>
      <c r="F42" s="81">
        <v>0</v>
      </c>
      <c r="G42" s="81"/>
      <c r="H42" s="81"/>
      <c r="I42" s="81"/>
      <c r="J42" s="81"/>
      <c r="K42" s="81"/>
      <c r="L42" s="81"/>
      <c r="M42" s="81"/>
      <c r="N42" s="81"/>
      <c r="O42" s="81"/>
      <c r="P42" s="81">
        <f t="shared" si="7"/>
        <v>0</v>
      </c>
      <c r="Q42" s="22"/>
      <c r="R42" s="32"/>
      <c r="S42" s="22"/>
    </row>
    <row r="43" spans="2:19" ht="17.45" customHeight="1">
      <c r="B43" s="31"/>
      <c r="C43" s="26" t="s">
        <v>93</v>
      </c>
      <c r="D43" s="81"/>
      <c r="E43" s="81"/>
      <c r="F43" s="81">
        <v>0</v>
      </c>
      <c r="G43" s="81"/>
      <c r="H43" s="81"/>
      <c r="I43" s="81"/>
      <c r="J43" s="81"/>
      <c r="K43" s="81"/>
      <c r="L43" s="81"/>
      <c r="M43" s="81"/>
      <c r="N43" s="81"/>
      <c r="O43" s="81"/>
      <c r="P43" s="81">
        <v>0</v>
      </c>
      <c r="Q43" s="22"/>
      <c r="R43" s="32"/>
      <c r="S43" s="22"/>
    </row>
    <row r="44" spans="2:19" ht="17.45" customHeight="1">
      <c r="B44" s="31" t="s">
        <v>94</v>
      </c>
      <c r="C44" s="26" t="s">
        <v>95</v>
      </c>
      <c r="D44" s="81"/>
      <c r="E44" s="81"/>
      <c r="F44" s="81">
        <v>0</v>
      </c>
      <c r="G44" s="81"/>
      <c r="H44" s="81"/>
      <c r="I44" s="81"/>
      <c r="J44" s="81"/>
      <c r="K44" s="81"/>
      <c r="L44" s="81"/>
      <c r="M44" s="81"/>
      <c r="N44" s="81"/>
      <c r="O44" s="81"/>
      <c r="P44" s="81">
        <v>0</v>
      </c>
      <c r="Q44" s="22"/>
      <c r="R44" s="32"/>
      <c r="S44" s="22"/>
    </row>
    <row r="45" spans="2:19" ht="17.45" customHeight="1">
      <c r="B45" s="31"/>
      <c r="C45" s="26" t="s">
        <v>96</v>
      </c>
      <c r="D45" s="81"/>
      <c r="E45" s="81"/>
      <c r="F45" s="81">
        <v>0</v>
      </c>
      <c r="G45" s="81"/>
      <c r="H45" s="81"/>
      <c r="I45" s="81"/>
      <c r="J45" s="81"/>
      <c r="K45" s="81"/>
      <c r="L45" s="81"/>
      <c r="M45" s="81"/>
      <c r="N45" s="81"/>
      <c r="O45" s="81"/>
      <c r="P45" s="81">
        <v>0</v>
      </c>
      <c r="Q45" s="22"/>
      <c r="R45" s="32"/>
      <c r="S45" s="22"/>
    </row>
    <row r="46" spans="2:19" ht="17.45" customHeight="1">
      <c r="B46" s="31"/>
      <c r="C46" s="26" t="s">
        <v>97</v>
      </c>
      <c r="D46" s="81"/>
      <c r="E46" s="81"/>
      <c r="F46" s="81">
        <v>0</v>
      </c>
      <c r="G46" s="81"/>
      <c r="H46" s="81"/>
      <c r="I46" s="81"/>
      <c r="J46" s="81"/>
      <c r="K46" s="81"/>
      <c r="L46" s="81"/>
      <c r="M46" s="81"/>
      <c r="N46" s="81"/>
      <c r="O46" s="81"/>
      <c r="P46" s="81">
        <v>0</v>
      </c>
      <c r="Q46" s="22"/>
      <c r="R46" s="32"/>
      <c r="S46" s="22"/>
    </row>
    <row r="47" spans="2:19" ht="17.45" customHeight="1">
      <c r="B47" s="68" t="s">
        <v>98</v>
      </c>
      <c r="C47" s="67" t="s">
        <v>88</v>
      </c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>
        <f>SUM(D47:O47)</f>
        <v>0</v>
      </c>
      <c r="Q47" s="22"/>
      <c r="R47" s="32"/>
      <c r="S47" s="22"/>
    </row>
    <row r="48" spans="2:19" ht="17.45" customHeight="1">
      <c r="B48" s="31"/>
      <c r="C48" s="29" t="s">
        <v>99</v>
      </c>
      <c r="D48" s="81"/>
      <c r="E48" s="81"/>
      <c r="F48" s="81">
        <v>0</v>
      </c>
      <c r="G48" s="81"/>
      <c r="H48" s="81"/>
      <c r="I48" s="81"/>
      <c r="J48" s="81"/>
      <c r="K48" s="81"/>
      <c r="L48" s="81"/>
      <c r="M48" s="81"/>
      <c r="N48" s="81"/>
      <c r="O48" s="81"/>
      <c r="P48" s="81">
        <f>D48+E48+F48+G48+H48+I48+J48+K48+L48+M48+N48+O48</f>
        <v>0</v>
      </c>
      <c r="Q48" s="22"/>
      <c r="R48" s="32"/>
      <c r="S48" s="22"/>
    </row>
    <row r="49" spans="2:19" ht="17.45" customHeight="1">
      <c r="B49" s="31" t="s">
        <v>100</v>
      </c>
      <c r="C49" s="26" t="s">
        <v>101</v>
      </c>
      <c r="D49" s="81"/>
      <c r="E49" s="81"/>
      <c r="F49" s="81" t="s">
        <v>441</v>
      </c>
      <c r="G49" s="81"/>
      <c r="H49" s="81"/>
      <c r="I49" s="81"/>
      <c r="J49" s="81"/>
      <c r="K49" s="81"/>
      <c r="L49" s="81"/>
      <c r="M49" s="81"/>
      <c r="N49" s="81"/>
      <c r="O49" s="81"/>
      <c r="P49" s="81" t="e">
        <f>D49+E49+F49+G49+H49+I49+J49+K49+L49+M49+N49+O49</f>
        <v>#VALUE!</v>
      </c>
      <c r="Q49" s="22"/>
      <c r="R49" s="32"/>
      <c r="S49" s="22"/>
    </row>
    <row r="50" spans="2:19" ht="17.45" customHeight="1">
      <c r="B50" s="31" t="s">
        <v>102</v>
      </c>
      <c r="C50" s="26" t="s">
        <v>103</v>
      </c>
      <c r="D50" s="81"/>
      <c r="E50" s="81"/>
      <c r="F50" s="81" t="s">
        <v>441</v>
      </c>
      <c r="G50" s="81"/>
      <c r="H50" s="81"/>
      <c r="I50" s="81"/>
      <c r="J50" s="81"/>
      <c r="K50" s="81"/>
      <c r="L50" s="81"/>
      <c r="M50" s="81"/>
      <c r="N50" s="81"/>
      <c r="O50" s="81"/>
      <c r="P50" s="81" t="e">
        <f>D50+E50+F50+G50+H50+I50+J50+K50+L50+M50+N50+O50</f>
        <v>#VALUE!</v>
      </c>
      <c r="Q50" s="22"/>
      <c r="R50" s="32"/>
      <c r="S50" s="22"/>
    </row>
    <row r="51" spans="2:19" ht="17.45" customHeight="1">
      <c r="B51" s="31" t="s">
        <v>104</v>
      </c>
      <c r="C51" s="26" t="s">
        <v>105</v>
      </c>
      <c r="D51" s="81"/>
      <c r="E51" s="81"/>
      <c r="F51" s="81">
        <v>0</v>
      </c>
      <c r="G51" s="81"/>
      <c r="H51" s="81"/>
      <c r="I51" s="81"/>
      <c r="J51" s="81"/>
      <c r="K51" s="81"/>
      <c r="L51" s="81"/>
      <c r="M51" s="81"/>
      <c r="N51" s="81"/>
      <c r="O51" s="81"/>
      <c r="P51" s="81">
        <f>D51+E51+F51+G51+H51+I51+J51+K51+L51+M51+N51+O51</f>
        <v>0</v>
      </c>
      <c r="Q51" s="22"/>
      <c r="R51" s="32"/>
      <c r="S51" s="22"/>
    </row>
    <row r="52" spans="2:19" ht="17.45" customHeight="1">
      <c r="B52" s="97" t="s">
        <v>106</v>
      </c>
      <c r="C52" s="98" t="s">
        <v>99</v>
      </c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>
        <f>SUM(D52:O52)</f>
        <v>0</v>
      </c>
      <c r="Q52" s="22"/>
      <c r="R52" s="32"/>
      <c r="S52" s="22"/>
    </row>
    <row r="53" spans="2:19" ht="17.45" customHeight="1">
      <c r="B53" s="97" t="s">
        <v>107</v>
      </c>
      <c r="C53" s="98" t="s">
        <v>108</v>
      </c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>
        <f>SUM(D53:O53)</f>
        <v>0</v>
      </c>
      <c r="Q53" s="22"/>
      <c r="R53" s="32"/>
      <c r="S53" s="22"/>
    </row>
    <row r="54" spans="2:19" ht="17.45" customHeight="1">
      <c r="B54" s="31"/>
      <c r="C54" s="28" t="s">
        <v>109</v>
      </c>
      <c r="D54" s="81"/>
      <c r="E54" s="81"/>
      <c r="F54" s="81">
        <v>0</v>
      </c>
      <c r="G54" s="81"/>
      <c r="H54" s="81"/>
      <c r="I54" s="81"/>
      <c r="J54" s="81"/>
      <c r="K54" s="81"/>
      <c r="L54" s="81"/>
      <c r="M54" s="81"/>
      <c r="N54" s="81"/>
      <c r="O54" s="81"/>
      <c r="P54" s="81">
        <f t="shared" ref="P54:P60" si="8">D54+E54+F54+G54+H54+I54+J54+K54+L54+M54+N54+O54</f>
        <v>0</v>
      </c>
      <c r="Q54" s="22"/>
      <c r="R54" s="32"/>
      <c r="S54" s="22"/>
    </row>
    <row r="55" spans="2:19" ht="17.45" customHeight="1">
      <c r="B55" s="31"/>
      <c r="C55" s="29" t="s">
        <v>110</v>
      </c>
      <c r="D55" s="81"/>
      <c r="E55" s="81"/>
      <c r="F55" s="81">
        <v>0</v>
      </c>
      <c r="G55" s="81"/>
      <c r="H55" s="81"/>
      <c r="I55" s="81"/>
      <c r="J55" s="81"/>
      <c r="K55" s="81"/>
      <c r="L55" s="81"/>
      <c r="M55" s="81"/>
      <c r="N55" s="81"/>
      <c r="O55" s="81"/>
      <c r="P55" s="81">
        <f t="shared" si="8"/>
        <v>0</v>
      </c>
      <c r="Q55" s="22"/>
      <c r="R55" s="32"/>
      <c r="S55" s="22"/>
    </row>
    <row r="56" spans="2:19" ht="17.45" customHeight="1">
      <c r="B56" s="31" t="s">
        <v>111</v>
      </c>
      <c r="C56" s="26" t="s">
        <v>112</v>
      </c>
      <c r="D56" s="81"/>
      <c r="E56" s="81"/>
      <c r="F56" s="81">
        <v>35993.43</v>
      </c>
      <c r="G56" s="81"/>
      <c r="H56" s="81"/>
      <c r="I56" s="81"/>
      <c r="J56" s="81"/>
      <c r="K56" s="81"/>
      <c r="L56" s="81"/>
      <c r="M56" s="81"/>
      <c r="N56" s="81"/>
      <c r="O56" s="81"/>
      <c r="P56" s="81">
        <f t="shared" si="8"/>
        <v>35993.43</v>
      </c>
      <c r="Q56" s="22"/>
      <c r="R56" s="32"/>
      <c r="S56" s="22"/>
    </row>
    <row r="57" spans="2:19" ht="17.45" customHeight="1">
      <c r="B57" s="31" t="s">
        <v>113</v>
      </c>
      <c r="C57" s="26" t="s">
        <v>114</v>
      </c>
      <c r="D57" s="81"/>
      <c r="E57" s="81"/>
      <c r="F57" s="81" t="s">
        <v>441</v>
      </c>
      <c r="G57" s="81"/>
      <c r="H57" s="81"/>
      <c r="I57" s="81"/>
      <c r="J57" s="81"/>
      <c r="K57" s="81"/>
      <c r="L57" s="81"/>
      <c r="M57" s="81"/>
      <c r="N57" s="81"/>
      <c r="O57" s="81"/>
      <c r="P57" s="81" t="e">
        <f t="shared" si="8"/>
        <v>#VALUE!</v>
      </c>
      <c r="Q57" s="22"/>
      <c r="R57" s="32"/>
      <c r="S57" s="22"/>
    </row>
    <row r="58" spans="2:19" ht="17.45" customHeight="1">
      <c r="B58" s="31" t="s">
        <v>115</v>
      </c>
      <c r="C58" s="26" t="s">
        <v>116</v>
      </c>
      <c r="D58" s="81"/>
      <c r="E58" s="81"/>
      <c r="F58" s="81">
        <v>2417.17</v>
      </c>
      <c r="G58" s="81"/>
      <c r="H58" s="81"/>
      <c r="I58" s="81"/>
      <c r="J58" s="81"/>
      <c r="K58" s="81"/>
      <c r="L58" s="81"/>
      <c r="M58" s="81"/>
      <c r="N58" s="81"/>
      <c r="O58" s="81"/>
      <c r="P58" s="81">
        <f t="shared" si="8"/>
        <v>2417.17</v>
      </c>
      <c r="Q58" s="22"/>
      <c r="R58" s="32"/>
      <c r="S58" s="22"/>
    </row>
    <row r="59" spans="2:19" ht="17.45" customHeight="1">
      <c r="B59" s="31" t="s">
        <v>117</v>
      </c>
      <c r="C59" s="26" t="s">
        <v>118</v>
      </c>
      <c r="D59" s="81"/>
      <c r="E59" s="81"/>
      <c r="F59" s="81">
        <v>0</v>
      </c>
      <c r="G59" s="81"/>
      <c r="H59" s="81"/>
      <c r="I59" s="81"/>
      <c r="J59" s="81"/>
      <c r="K59" s="81"/>
      <c r="L59" s="81"/>
      <c r="M59" s="81"/>
      <c r="N59" s="81"/>
      <c r="O59" s="81"/>
      <c r="P59" s="81">
        <f t="shared" si="8"/>
        <v>0</v>
      </c>
      <c r="Q59" s="22"/>
      <c r="R59" s="32"/>
      <c r="S59" s="22"/>
    </row>
    <row r="60" spans="2:19" ht="17.45" customHeight="1">
      <c r="B60" s="31" t="s">
        <v>119</v>
      </c>
      <c r="C60" s="26" t="s">
        <v>120</v>
      </c>
      <c r="D60" s="81"/>
      <c r="E60" s="81"/>
      <c r="F60" s="81">
        <v>2255.6</v>
      </c>
      <c r="G60" s="81"/>
      <c r="H60" s="81"/>
      <c r="I60" s="81"/>
      <c r="J60" s="81"/>
      <c r="K60" s="81"/>
      <c r="L60" s="81"/>
      <c r="M60" s="81"/>
      <c r="N60" s="81"/>
      <c r="O60" s="81"/>
      <c r="P60" s="81">
        <f t="shared" si="8"/>
        <v>2255.6</v>
      </c>
      <c r="Q60" s="22"/>
      <c r="R60" s="32"/>
      <c r="S60" s="22"/>
    </row>
    <row r="61" spans="2:19" ht="17.45" customHeight="1">
      <c r="B61" s="68" t="s">
        <v>121</v>
      </c>
      <c r="C61" s="67" t="s">
        <v>110</v>
      </c>
      <c r="D61" s="88">
        <f t="shared" ref="D61:O61" si="9">SUM(D56:D60)</f>
        <v>0</v>
      </c>
      <c r="E61" s="88">
        <f t="shared" si="9"/>
        <v>0</v>
      </c>
      <c r="F61" s="88">
        <f t="shared" si="9"/>
        <v>40666.199999999997</v>
      </c>
      <c r="G61" s="88">
        <f t="shared" si="9"/>
        <v>0</v>
      </c>
      <c r="H61" s="88">
        <f t="shared" si="9"/>
        <v>0</v>
      </c>
      <c r="I61" s="88">
        <f t="shared" si="9"/>
        <v>0</v>
      </c>
      <c r="J61" s="88">
        <f t="shared" si="9"/>
        <v>0</v>
      </c>
      <c r="K61" s="88">
        <f t="shared" si="9"/>
        <v>0</v>
      </c>
      <c r="L61" s="88">
        <f t="shared" si="9"/>
        <v>0</v>
      </c>
      <c r="M61" s="88">
        <f t="shared" si="9"/>
        <v>0</v>
      </c>
      <c r="N61" s="88">
        <f t="shared" si="9"/>
        <v>0</v>
      </c>
      <c r="O61" s="88">
        <f t="shared" si="9"/>
        <v>0</v>
      </c>
      <c r="P61" s="88" t="e">
        <f>SUM(P56:P60)</f>
        <v>#VALUE!</v>
      </c>
      <c r="Q61" s="22"/>
      <c r="R61" s="32"/>
      <c r="S61" s="22"/>
    </row>
    <row r="62" spans="2:19" ht="17.45" customHeight="1">
      <c r="B62" s="31" t="s">
        <v>122</v>
      </c>
      <c r="C62" s="26" t="s">
        <v>123</v>
      </c>
      <c r="D62" s="81"/>
      <c r="E62" s="81"/>
      <c r="F62" s="81">
        <v>164.52</v>
      </c>
      <c r="G62" s="81"/>
      <c r="H62" s="81"/>
      <c r="I62" s="81"/>
      <c r="J62" s="81"/>
      <c r="K62" s="81"/>
      <c r="L62" s="81"/>
      <c r="M62" s="81"/>
      <c r="N62" s="81"/>
      <c r="O62" s="81"/>
      <c r="P62" s="81">
        <f t="shared" ref="P62:P69" si="10">D62+E62+F62+G62+H62+I62+J62+K62+L62+M62+N62+O62</f>
        <v>164.52</v>
      </c>
      <c r="Q62" s="22"/>
      <c r="R62" s="32"/>
      <c r="S62" s="22"/>
    </row>
    <row r="63" spans="2:19" ht="17.45" customHeight="1">
      <c r="B63" s="31" t="s">
        <v>124</v>
      </c>
      <c r="C63" s="26" t="s">
        <v>125</v>
      </c>
      <c r="D63" s="81"/>
      <c r="E63" s="81"/>
      <c r="F63" s="81">
        <v>164.36</v>
      </c>
      <c r="G63" s="81"/>
      <c r="H63" s="81"/>
      <c r="I63" s="81"/>
      <c r="J63" s="81"/>
      <c r="K63" s="81"/>
      <c r="L63" s="81"/>
      <c r="M63" s="81"/>
      <c r="N63" s="81"/>
      <c r="O63" s="81"/>
      <c r="P63" s="81">
        <f t="shared" si="10"/>
        <v>164.36</v>
      </c>
      <c r="Q63" s="22"/>
      <c r="R63" s="32"/>
      <c r="S63" s="22"/>
    </row>
    <row r="64" spans="2:19" ht="17.45" customHeight="1">
      <c r="B64" s="31" t="s">
        <v>126</v>
      </c>
      <c r="C64" s="26" t="s">
        <v>127</v>
      </c>
      <c r="D64" s="81"/>
      <c r="E64" s="81"/>
      <c r="F64" s="81">
        <v>0</v>
      </c>
      <c r="G64" s="81"/>
      <c r="H64" s="81"/>
      <c r="I64" s="81"/>
      <c r="J64" s="81"/>
      <c r="K64" s="81"/>
      <c r="L64" s="81"/>
      <c r="M64" s="81"/>
      <c r="N64" s="81"/>
      <c r="O64" s="81"/>
      <c r="P64" s="81">
        <f t="shared" si="10"/>
        <v>0</v>
      </c>
      <c r="Q64" s="22"/>
      <c r="R64" s="32"/>
      <c r="S64" s="22"/>
    </row>
    <row r="65" spans="2:19" ht="17.45" customHeight="1">
      <c r="B65" s="31" t="s">
        <v>128</v>
      </c>
      <c r="C65" s="26" t="s">
        <v>129</v>
      </c>
      <c r="D65" s="81"/>
      <c r="E65" s="81"/>
      <c r="F65" s="81">
        <v>82.93</v>
      </c>
      <c r="G65" s="81"/>
      <c r="H65" s="81"/>
      <c r="I65" s="81"/>
      <c r="J65" s="81"/>
      <c r="K65" s="81"/>
      <c r="L65" s="81"/>
      <c r="M65" s="81"/>
      <c r="N65" s="81"/>
      <c r="O65" s="81"/>
      <c r="P65" s="81">
        <f t="shared" si="10"/>
        <v>82.93</v>
      </c>
      <c r="Q65" s="22"/>
      <c r="R65" s="32"/>
      <c r="S65" s="22"/>
    </row>
    <row r="66" spans="2:19" ht="17.45" customHeight="1">
      <c r="B66" s="31"/>
      <c r="C66" s="29" t="s">
        <v>130</v>
      </c>
      <c r="D66" s="81"/>
      <c r="E66" s="81"/>
      <c r="F66" s="81" t="s">
        <v>441</v>
      </c>
      <c r="G66" s="81"/>
      <c r="H66" s="81"/>
      <c r="I66" s="81"/>
      <c r="J66" s="81"/>
      <c r="K66" s="81"/>
      <c r="L66" s="81"/>
      <c r="M66" s="81"/>
      <c r="N66" s="81"/>
      <c r="O66" s="81"/>
      <c r="P66" s="81" t="e">
        <f t="shared" si="10"/>
        <v>#VALUE!</v>
      </c>
      <c r="Q66" s="22"/>
      <c r="R66" s="32"/>
      <c r="S66" s="22"/>
    </row>
    <row r="67" spans="2:19" ht="17.45" customHeight="1">
      <c r="B67" s="31" t="s">
        <v>131</v>
      </c>
      <c r="C67" s="26" t="s">
        <v>132</v>
      </c>
      <c r="D67" s="81"/>
      <c r="E67" s="81"/>
      <c r="F67" s="81">
        <v>0</v>
      </c>
      <c r="G67" s="81"/>
      <c r="H67" s="81"/>
      <c r="I67" s="81"/>
      <c r="J67" s="81"/>
      <c r="K67" s="81"/>
      <c r="L67" s="81"/>
      <c r="M67" s="81"/>
      <c r="N67" s="81"/>
      <c r="O67" s="81"/>
      <c r="P67" s="81">
        <f t="shared" si="10"/>
        <v>0</v>
      </c>
      <c r="Q67" s="22"/>
      <c r="R67" s="32"/>
      <c r="S67" s="22"/>
    </row>
    <row r="68" spans="2:19" ht="17.45" customHeight="1">
      <c r="B68" s="31" t="s">
        <v>133</v>
      </c>
      <c r="C68" s="26" t="s">
        <v>134</v>
      </c>
      <c r="D68" s="81"/>
      <c r="E68" s="81"/>
      <c r="F68" s="81">
        <v>0</v>
      </c>
      <c r="G68" s="81"/>
      <c r="H68" s="81"/>
      <c r="I68" s="81"/>
      <c r="J68" s="81"/>
      <c r="K68" s="81"/>
      <c r="L68" s="81"/>
      <c r="M68" s="81"/>
      <c r="N68" s="81"/>
      <c r="O68" s="81"/>
      <c r="P68" s="81">
        <f t="shared" si="10"/>
        <v>0</v>
      </c>
      <c r="Q68" s="22"/>
      <c r="R68" s="32"/>
      <c r="S68" s="22"/>
    </row>
    <row r="69" spans="2:19" ht="17.45" customHeight="1">
      <c r="B69" s="31"/>
      <c r="C69" s="26" t="s">
        <v>135</v>
      </c>
      <c r="D69" s="81"/>
      <c r="E69" s="81"/>
      <c r="F69" s="81">
        <v>11300.68</v>
      </c>
      <c r="G69" s="81"/>
      <c r="H69" s="81"/>
      <c r="I69" s="81"/>
      <c r="J69" s="81"/>
      <c r="K69" s="81"/>
      <c r="L69" s="81"/>
      <c r="M69" s="81"/>
      <c r="N69" s="81"/>
      <c r="O69" s="81"/>
      <c r="P69" s="81">
        <f t="shared" si="10"/>
        <v>11300.68</v>
      </c>
      <c r="Q69" s="22"/>
      <c r="R69" s="32"/>
      <c r="S69" s="22"/>
    </row>
    <row r="70" spans="2:19" ht="17.45" customHeight="1">
      <c r="B70" s="68" t="s">
        <v>136</v>
      </c>
      <c r="C70" s="67" t="s">
        <v>130</v>
      </c>
      <c r="D70" s="88">
        <f t="shared" ref="D70:O70" si="11">SUM(D68:D69)</f>
        <v>0</v>
      </c>
      <c r="E70" s="88">
        <f t="shared" si="11"/>
        <v>0</v>
      </c>
      <c r="F70" s="88">
        <f t="shared" si="11"/>
        <v>11300.68</v>
      </c>
      <c r="G70" s="88">
        <f t="shared" si="11"/>
        <v>0</v>
      </c>
      <c r="H70" s="88">
        <f t="shared" si="11"/>
        <v>0</v>
      </c>
      <c r="I70" s="88">
        <f t="shared" si="11"/>
        <v>0</v>
      </c>
      <c r="J70" s="88">
        <f t="shared" si="11"/>
        <v>0</v>
      </c>
      <c r="K70" s="88">
        <f t="shared" si="11"/>
        <v>0</v>
      </c>
      <c r="L70" s="88">
        <f t="shared" si="11"/>
        <v>0</v>
      </c>
      <c r="M70" s="88">
        <f t="shared" si="11"/>
        <v>0</v>
      </c>
      <c r="N70" s="88">
        <f t="shared" si="11"/>
        <v>0</v>
      </c>
      <c r="O70" s="88">
        <f t="shared" si="11"/>
        <v>0</v>
      </c>
      <c r="P70" s="88">
        <f>SUM(P68:P69)</f>
        <v>11300.68</v>
      </c>
      <c r="Q70" s="22"/>
      <c r="R70" s="32"/>
      <c r="S70" s="22"/>
    </row>
    <row r="71" spans="2:19" ht="17.45" customHeight="1">
      <c r="B71" s="31" t="s">
        <v>137</v>
      </c>
      <c r="C71" s="26" t="s">
        <v>138</v>
      </c>
      <c r="D71" s="81"/>
      <c r="E71" s="81"/>
      <c r="F71" s="81">
        <v>166255.09</v>
      </c>
      <c r="G71" s="81"/>
      <c r="H71" s="81"/>
      <c r="I71" s="81"/>
      <c r="J71" s="81"/>
      <c r="K71" s="81"/>
      <c r="L71" s="81"/>
      <c r="M71" s="81"/>
      <c r="N71" s="81"/>
      <c r="O71" s="81"/>
      <c r="P71" s="81">
        <f t="shared" ref="P71:P79" si="12">D71+E71+F71+G71+H71+I71+J71+K71+L71+M71+N71+O71</f>
        <v>166255.09</v>
      </c>
      <c r="Q71" s="22"/>
      <c r="R71" s="32"/>
      <c r="S71" s="22"/>
    </row>
    <row r="72" spans="2:19" ht="17.45" customHeight="1">
      <c r="B72" s="31"/>
      <c r="C72" s="29" t="s">
        <v>139</v>
      </c>
      <c r="D72" s="81"/>
      <c r="E72" s="81"/>
      <c r="F72" s="81" t="s">
        <v>441</v>
      </c>
      <c r="G72" s="81"/>
      <c r="H72" s="81"/>
      <c r="I72" s="81"/>
      <c r="J72" s="81"/>
      <c r="K72" s="81"/>
      <c r="L72" s="81"/>
      <c r="M72" s="81"/>
      <c r="N72" s="81"/>
      <c r="O72" s="81"/>
      <c r="P72" s="81" t="e">
        <f t="shared" si="12"/>
        <v>#VALUE!</v>
      </c>
      <c r="Q72" s="22"/>
      <c r="R72" s="32"/>
      <c r="S72" s="22"/>
    </row>
    <row r="73" spans="2:19" ht="17.45" customHeight="1">
      <c r="B73" s="31" t="s">
        <v>140</v>
      </c>
      <c r="C73" s="26" t="s">
        <v>141</v>
      </c>
      <c r="D73" s="81"/>
      <c r="E73" s="81"/>
      <c r="F73" s="81">
        <v>1397.6</v>
      </c>
      <c r="G73" s="81"/>
      <c r="H73" s="81"/>
      <c r="I73" s="81"/>
      <c r="J73" s="81"/>
      <c r="K73" s="81"/>
      <c r="L73" s="81"/>
      <c r="M73" s="81"/>
      <c r="N73" s="81"/>
      <c r="O73" s="81"/>
      <c r="P73" s="81">
        <f t="shared" si="12"/>
        <v>1397.6</v>
      </c>
      <c r="Q73" s="22"/>
      <c r="R73" s="32"/>
      <c r="S73" s="22"/>
    </row>
    <row r="74" spans="2:19" ht="17.45" customHeight="1">
      <c r="B74" s="31" t="s">
        <v>142</v>
      </c>
      <c r="C74" s="26" t="s">
        <v>143</v>
      </c>
      <c r="D74" s="81"/>
      <c r="E74" s="81"/>
      <c r="F74" s="81">
        <v>168.4</v>
      </c>
      <c r="G74" s="81"/>
      <c r="H74" s="81"/>
      <c r="I74" s="81"/>
      <c r="J74" s="81"/>
      <c r="K74" s="81"/>
      <c r="L74" s="81"/>
      <c r="M74" s="81"/>
      <c r="N74" s="81"/>
      <c r="O74" s="81"/>
      <c r="P74" s="81">
        <f t="shared" si="12"/>
        <v>168.4</v>
      </c>
      <c r="Q74" s="22"/>
      <c r="R74" s="32"/>
      <c r="S74" s="22"/>
    </row>
    <row r="75" spans="2:19" ht="17.45" customHeight="1">
      <c r="B75" s="31" t="s">
        <v>144</v>
      </c>
      <c r="C75" s="26" t="s">
        <v>145</v>
      </c>
      <c r="D75" s="81"/>
      <c r="E75" s="81"/>
      <c r="F75" s="81">
        <v>0</v>
      </c>
      <c r="G75" s="81"/>
      <c r="H75" s="81"/>
      <c r="I75" s="81"/>
      <c r="J75" s="81"/>
      <c r="K75" s="81"/>
      <c r="L75" s="81"/>
      <c r="M75" s="81"/>
      <c r="N75" s="81"/>
      <c r="O75" s="81"/>
      <c r="P75" s="81">
        <f t="shared" si="12"/>
        <v>0</v>
      </c>
      <c r="Q75" s="22"/>
      <c r="R75" s="32"/>
      <c r="S75" s="22"/>
    </row>
    <row r="76" spans="2:19" ht="17.45" customHeight="1">
      <c r="B76" s="31" t="s">
        <v>146</v>
      </c>
      <c r="C76" s="26" t="s">
        <v>147</v>
      </c>
      <c r="D76" s="81"/>
      <c r="E76" s="81"/>
      <c r="F76" s="81">
        <v>0</v>
      </c>
      <c r="G76" s="81"/>
      <c r="H76" s="81"/>
      <c r="I76" s="81"/>
      <c r="J76" s="81"/>
      <c r="K76" s="81"/>
      <c r="L76" s="81"/>
      <c r="M76" s="81"/>
      <c r="N76" s="81"/>
      <c r="O76" s="81"/>
      <c r="P76" s="81">
        <f t="shared" si="12"/>
        <v>0</v>
      </c>
      <c r="Q76" s="22"/>
      <c r="R76" s="32"/>
      <c r="S76" s="22"/>
    </row>
    <row r="77" spans="2:19" ht="17.45" customHeight="1">
      <c r="B77" s="31" t="s">
        <v>148</v>
      </c>
      <c r="C77" s="26" t="s">
        <v>149</v>
      </c>
      <c r="D77" s="81"/>
      <c r="E77" s="81"/>
      <c r="F77" s="81">
        <v>0</v>
      </c>
      <c r="G77" s="81"/>
      <c r="H77" s="81"/>
      <c r="I77" s="81"/>
      <c r="J77" s="81"/>
      <c r="K77" s="81"/>
      <c r="L77" s="81"/>
      <c r="M77" s="81"/>
      <c r="N77" s="81"/>
      <c r="O77" s="81"/>
      <c r="P77" s="81">
        <f t="shared" si="12"/>
        <v>0</v>
      </c>
      <c r="Q77" s="22"/>
      <c r="R77" s="32"/>
      <c r="S77" s="22"/>
    </row>
    <row r="78" spans="2:19" ht="17.45" customHeight="1">
      <c r="B78" s="31"/>
      <c r="C78" s="26" t="s">
        <v>150</v>
      </c>
      <c r="D78" s="81"/>
      <c r="E78" s="81"/>
      <c r="F78" s="81">
        <v>0</v>
      </c>
      <c r="G78" s="81"/>
      <c r="H78" s="81"/>
      <c r="I78" s="81"/>
      <c r="J78" s="81"/>
      <c r="K78" s="81"/>
      <c r="L78" s="81"/>
      <c r="M78" s="81"/>
      <c r="N78" s="81"/>
      <c r="O78" s="81"/>
      <c r="P78" s="81">
        <f t="shared" si="12"/>
        <v>0</v>
      </c>
      <c r="Q78" s="22"/>
      <c r="R78" s="32"/>
      <c r="S78" s="22"/>
    </row>
    <row r="79" spans="2:19" ht="17.45" customHeight="1">
      <c r="B79" s="31"/>
      <c r="C79" s="26" t="s">
        <v>151</v>
      </c>
      <c r="D79" s="81"/>
      <c r="E79" s="81"/>
      <c r="F79" s="81">
        <v>0</v>
      </c>
      <c r="G79" s="81"/>
      <c r="H79" s="81"/>
      <c r="I79" s="81"/>
      <c r="J79" s="81"/>
      <c r="K79" s="81"/>
      <c r="L79" s="81"/>
      <c r="M79" s="81"/>
      <c r="N79" s="81"/>
      <c r="O79" s="81"/>
      <c r="P79" s="81">
        <f t="shared" si="12"/>
        <v>0</v>
      </c>
      <c r="Q79" s="22"/>
      <c r="R79" s="32"/>
      <c r="S79" s="22"/>
    </row>
    <row r="80" spans="2:19" ht="17.45" customHeight="1">
      <c r="B80" s="68" t="s">
        <v>152</v>
      </c>
      <c r="C80" s="67" t="s">
        <v>139</v>
      </c>
      <c r="D80" s="88">
        <f t="shared" ref="D80:O80" si="13">SUM(D73:D79)</f>
        <v>0</v>
      </c>
      <c r="E80" s="88">
        <f t="shared" si="13"/>
        <v>0</v>
      </c>
      <c r="F80" s="88">
        <f t="shared" si="13"/>
        <v>1566</v>
      </c>
      <c r="G80" s="88">
        <f t="shared" si="13"/>
        <v>0</v>
      </c>
      <c r="H80" s="88">
        <f t="shared" si="13"/>
        <v>0</v>
      </c>
      <c r="I80" s="88">
        <f t="shared" si="13"/>
        <v>0</v>
      </c>
      <c r="J80" s="88">
        <f t="shared" si="13"/>
        <v>0</v>
      </c>
      <c r="K80" s="88">
        <f t="shared" si="13"/>
        <v>0</v>
      </c>
      <c r="L80" s="88">
        <f t="shared" si="13"/>
        <v>0</v>
      </c>
      <c r="M80" s="88">
        <f t="shared" si="13"/>
        <v>0</v>
      </c>
      <c r="N80" s="88">
        <f t="shared" si="13"/>
        <v>0</v>
      </c>
      <c r="O80" s="88">
        <f t="shared" si="13"/>
        <v>0</v>
      </c>
      <c r="P80" s="88">
        <f>SUM(P73:P79)</f>
        <v>1566</v>
      </c>
      <c r="Q80" s="22"/>
      <c r="R80" s="32"/>
      <c r="S80" s="22"/>
    </row>
    <row r="81" spans="2:19" ht="17.45" customHeight="1">
      <c r="B81" s="31"/>
      <c r="C81" s="29" t="s">
        <v>153</v>
      </c>
      <c r="D81" s="81"/>
      <c r="E81" s="81"/>
      <c r="F81" s="81">
        <v>0</v>
      </c>
      <c r="G81" s="81"/>
      <c r="H81" s="81"/>
      <c r="I81" s="81"/>
      <c r="J81" s="81"/>
      <c r="K81" s="81"/>
      <c r="L81" s="81"/>
      <c r="M81" s="81"/>
      <c r="N81" s="81"/>
      <c r="O81" s="81"/>
      <c r="P81" s="81">
        <v>0</v>
      </c>
      <c r="Q81" s="22"/>
      <c r="R81" s="32"/>
      <c r="S81" s="22"/>
    </row>
    <row r="82" spans="2:19" ht="17.45" customHeight="1">
      <c r="B82" s="31"/>
      <c r="C82" s="26" t="s">
        <v>154</v>
      </c>
      <c r="D82" s="81"/>
      <c r="E82" s="81"/>
      <c r="F82" s="81">
        <v>0</v>
      </c>
      <c r="G82" s="81"/>
      <c r="H82" s="81"/>
      <c r="I82" s="81"/>
      <c r="J82" s="81"/>
      <c r="K82" s="81"/>
      <c r="L82" s="81"/>
      <c r="M82" s="81"/>
      <c r="N82" s="81"/>
      <c r="O82" s="81"/>
      <c r="P82" s="81">
        <v>0</v>
      </c>
      <c r="Q82" s="22"/>
      <c r="R82" s="32"/>
      <c r="S82" s="22"/>
    </row>
    <row r="83" spans="2:19" ht="17.45" customHeight="1">
      <c r="B83" s="31" t="s">
        <v>155</v>
      </c>
      <c r="C83" s="26" t="s">
        <v>156</v>
      </c>
      <c r="D83" s="81"/>
      <c r="E83" s="81"/>
      <c r="F83" s="81">
        <v>3253.47</v>
      </c>
      <c r="G83" s="81"/>
      <c r="H83" s="81"/>
      <c r="I83" s="81"/>
      <c r="J83" s="81"/>
      <c r="K83" s="81"/>
      <c r="L83" s="81"/>
      <c r="M83" s="81"/>
      <c r="N83" s="81"/>
      <c r="O83" s="81"/>
      <c r="P83" s="81">
        <f t="shared" ref="P83:P88" si="14">D83+E83+F83+G83+H83+I83+J83+K83+L83+M83+N83+O83</f>
        <v>3253.47</v>
      </c>
      <c r="Q83" s="22"/>
      <c r="R83" s="32"/>
      <c r="S83" s="22"/>
    </row>
    <row r="84" spans="2:19" ht="17.45" customHeight="1">
      <c r="B84" s="31" t="s">
        <v>157</v>
      </c>
      <c r="C84" s="26" t="s">
        <v>158</v>
      </c>
      <c r="D84" s="81"/>
      <c r="E84" s="81"/>
      <c r="F84" s="81">
        <v>11533.96</v>
      </c>
      <c r="G84" s="81"/>
      <c r="H84" s="81"/>
      <c r="I84" s="81"/>
      <c r="J84" s="81"/>
      <c r="K84" s="81"/>
      <c r="L84" s="81"/>
      <c r="M84" s="81"/>
      <c r="N84" s="81"/>
      <c r="O84" s="81"/>
      <c r="P84" s="81">
        <f t="shared" si="14"/>
        <v>11533.96</v>
      </c>
      <c r="Q84" s="22"/>
      <c r="R84" s="32"/>
      <c r="S84" s="22"/>
    </row>
    <row r="85" spans="2:19" ht="17.45" customHeight="1">
      <c r="B85" s="31" t="s">
        <v>159</v>
      </c>
      <c r="C85" s="26" t="s">
        <v>160</v>
      </c>
      <c r="D85" s="81"/>
      <c r="E85" s="81"/>
      <c r="F85" s="81" t="s">
        <v>441</v>
      </c>
      <c r="G85" s="81"/>
      <c r="H85" s="81"/>
      <c r="I85" s="81"/>
      <c r="J85" s="81"/>
      <c r="K85" s="81"/>
      <c r="L85" s="81"/>
      <c r="M85" s="81"/>
      <c r="N85" s="81"/>
      <c r="O85" s="81"/>
      <c r="P85" s="81" t="e">
        <f t="shared" si="14"/>
        <v>#VALUE!</v>
      </c>
      <c r="Q85" s="22"/>
      <c r="R85" s="32"/>
      <c r="S85" s="22"/>
    </row>
    <row r="86" spans="2:19" ht="17.45" customHeight="1">
      <c r="B86" s="31" t="s">
        <v>161</v>
      </c>
      <c r="C86" s="26" t="s">
        <v>162</v>
      </c>
      <c r="D86" s="81"/>
      <c r="E86" s="81"/>
      <c r="F86" s="81" t="s">
        <v>441</v>
      </c>
      <c r="G86" s="81"/>
      <c r="H86" s="81"/>
      <c r="I86" s="81"/>
      <c r="J86" s="81"/>
      <c r="K86" s="81"/>
      <c r="L86" s="81"/>
      <c r="M86" s="81"/>
      <c r="N86" s="81"/>
      <c r="O86" s="81"/>
      <c r="P86" s="81" t="e">
        <f t="shared" si="14"/>
        <v>#VALUE!</v>
      </c>
      <c r="Q86" s="22"/>
      <c r="R86" s="32"/>
      <c r="S86" s="22"/>
    </row>
    <row r="87" spans="2:19" ht="17.45" customHeight="1">
      <c r="B87" s="31" t="s">
        <v>163</v>
      </c>
      <c r="C87" s="26" t="s">
        <v>164</v>
      </c>
      <c r="D87" s="81"/>
      <c r="E87" s="81"/>
      <c r="F87" s="81">
        <v>0</v>
      </c>
      <c r="G87" s="81"/>
      <c r="H87" s="81"/>
      <c r="I87" s="81"/>
      <c r="J87" s="81"/>
      <c r="K87" s="81"/>
      <c r="L87" s="81"/>
      <c r="M87" s="81"/>
      <c r="N87" s="81"/>
      <c r="O87" s="81"/>
      <c r="P87" s="81">
        <f t="shared" si="14"/>
        <v>0</v>
      </c>
      <c r="Q87" s="22"/>
      <c r="R87" s="32"/>
      <c r="S87" s="22"/>
    </row>
    <row r="88" spans="2:19" ht="17.45" customHeight="1">
      <c r="B88" s="31" t="s">
        <v>165</v>
      </c>
      <c r="C88" s="26" t="s">
        <v>166</v>
      </c>
      <c r="D88" s="81"/>
      <c r="E88" s="81"/>
      <c r="F88" s="81" t="s">
        <v>441</v>
      </c>
      <c r="G88" s="81"/>
      <c r="H88" s="81"/>
      <c r="I88" s="81"/>
      <c r="J88" s="81"/>
      <c r="K88" s="81"/>
      <c r="L88" s="81"/>
      <c r="M88" s="81"/>
      <c r="N88" s="81"/>
      <c r="O88" s="81"/>
      <c r="P88" s="81" t="e">
        <f t="shared" si="14"/>
        <v>#VALUE!</v>
      </c>
      <c r="Q88" s="22"/>
      <c r="R88" s="32"/>
      <c r="S88" s="22"/>
    </row>
    <row r="89" spans="2:19" ht="17.45" customHeight="1">
      <c r="B89" s="68" t="s">
        <v>167</v>
      </c>
      <c r="C89" s="67" t="s">
        <v>153</v>
      </c>
      <c r="D89" s="88">
        <f t="shared" ref="D89:O89" si="15">SUM(D82:D88)</f>
        <v>0</v>
      </c>
      <c r="E89" s="88">
        <f t="shared" si="15"/>
        <v>0</v>
      </c>
      <c r="F89" s="88">
        <f t="shared" si="15"/>
        <v>14787.429999999998</v>
      </c>
      <c r="G89" s="88">
        <f t="shared" si="15"/>
        <v>0</v>
      </c>
      <c r="H89" s="88">
        <f t="shared" si="15"/>
        <v>0</v>
      </c>
      <c r="I89" s="88">
        <f t="shared" si="15"/>
        <v>0</v>
      </c>
      <c r="J89" s="88">
        <f t="shared" si="15"/>
        <v>0</v>
      </c>
      <c r="K89" s="88">
        <f t="shared" si="15"/>
        <v>0</v>
      </c>
      <c r="L89" s="88">
        <f t="shared" si="15"/>
        <v>0</v>
      </c>
      <c r="M89" s="88">
        <f t="shared" si="15"/>
        <v>0</v>
      </c>
      <c r="N89" s="88">
        <f t="shared" si="15"/>
        <v>0</v>
      </c>
      <c r="O89" s="88">
        <f t="shared" si="15"/>
        <v>0</v>
      </c>
      <c r="P89" s="88" t="e">
        <f>SUM(P82:P88)</f>
        <v>#VALUE!</v>
      </c>
      <c r="Q89" s="22"/>
      <c r="R89" s="32"/>
      <c r="S89" s="22"/>
    </row>
    <row r="90" spans="2:19" ht="17.45" customHeight="1">
      <c r="B90" s="31" t="s">
        <v>168</v>
      </c>
      <c r="C90" s="26" t="s">
        <v>169</v>
      </c>
      <c r="D90" s="81"/>
      <c r="E90" s="81"/>
      <c r="F90" s="81">
        <v>999.88</v>
      </c>
      <c r="G90" s="81"/>
      <c r="H90" s="81"/>
      <c r="I90" s="81"/>
      <c r="J90" s="81"/>
      <c r="K90" s="81"/>
      <c r="L90" s="81"/>
      <c r="M90" s="81"/>
      <c r="N90" s="81"/>
      <c r="O90" s="81"/>
      <c r="P90" s="81">
        <f t="shared" ref="P90:P100" si="16">D90+E90+F90+G90+H90+I90+J90+K90+L90+M90+N90+O90</f>
        <v>999.88</v>
      </c>
      <c r="Q90" s="22"/>
      <c r="R90" s="32"/>
      <c r="S90" s="22"/>
    </row>
    <row r="91" spans="2:19" ht="17.45" customHeight="1">
      <c r="B91" s="31" t="s">
        <v>170</v>
      </c>
      <c r="C91" s="26" t="s">
        <v>171</v>
      </c>
      <c r="D91" s="81"/>
      <c r="E91" s="81"/>
      <c r="F91" s="81">
        <v>1388.61</v>
      </c>
      <c r="G91" s="81"/>
      <c r="H91" s="81"/>
      <c r="I91" s="81"/>
      <c r="J91" s="81"/>
      <c r="K91" s="81"/>
      <c r="L91" s="81"/>
      <c r="M91" s="81"/>
      <c r="N91" s="81"/>
      <c r="O91" s="81"/>
      <c r="P91" s="81">
        <f t="shared" si="16"/>
        <v>1388.61</v>
      </c>
      <c r="Q91" s="22"/>
      <c r="R91" s="32"/>
      <c r="S91" s="22"/>
    </row>
    <row r="92" spans="2:19" ht="17.45" customHeight="1">
      <c r="B92" s="31" t="s">
        <v>172</v>
      </c>
      <c r="C92" s="26" t="s">
        <v>173</v>
      </c>
      <c r="D92" s="81"/>
      <c r="E92" s="81"/>
      <c r="F92" s="81">
        <v>2830.65</v>
      </c>
      <c r="G92" s="81"/>
      <c r="H92" s="81"/>
      <c r="I92" s="81"/>
      <c r="J92" s="81"/>
      <c r="K92" s="81"/>
      <c r="L92" s="81"/>
      <c r="M92" s="81"/>
      <c r="N92" s="81"/>
      <c r="O92" s="81"/>
      <c r="P92" s="81">
        <f t="shared" si="16"/>
        <v>2830.65</v>
      </c>
      <c r="Q92" s="22"/>
      <c r="R92" s="32"/>
      <c r="S92" s="22"/>
    </row>
    <row r="93" spans="2:19" ht="17.45" customHeight="1">
      <c r="B93" s="31" t="s">
        <v>174</v>
      </c>
      <c r="C93" s="26" t="s">
        <v>175</v>
      </c>
      <c r="D93" s="81"/>
      <c r="E93" s="81"/>
      <c r="F93" s="81">
        <v>143.99</v>
      </c>
      <c r="G93" s="81"/>
      <c r="H93" s="81"/>
      <c r="I93" s="81"/>
      <c r="J93" s="81"/>
      <c r="K93" s="81"/>
      <c r="L93" s="81"/>
      <c r="M93" s="81"/>
      <c r="N93" s="81"/>
      <c r="O93" s="81"/>
      <c r="P93" s="81">
        <f t="shared" si="16"/>
        <v>143.99</v>
      </c>
      <c r="Q93" s="22"/>
      <c r="R93" s="32"/>
      <c r="S93" s="22"/>
    </row>
    <row r="94" spans="2:19" ht="17.45" customHeight="1">
      <c r="B94" s="31" t="s">
        <v>176</v>
      </c>
      <c r="C94" s="26" t="s">
        <v>177</v>
      </c>
      <c r="D94" s="81"/>
      <c r="E94" s="81"/>
      <c r="F94" s="81">
        <v>0</v>
      </c>
      <c r="G94" s="81"/>
      <c r="H94" s="81"/>
      <c r="I94" s="81"/>
      <c r="J94" s="81"/>
      <c r="K94" s="81"/>
      <c r="L94" s="81"/>
      <c r="M94" s="81"/>
      <c r="N94" s="81"/>
      <c r="O94" s="81"/>
      <c r="P94" s="81">
        <f t="shared" si="16"/>
        <v>0</v>
      </c>
      <c r="Q94" s="22"/>
      <c r="R94" s="32"/>
      <c r="S94" s="22"/>
    </row>
    <row r="95" spans="2:19" ht="17.45" customHeight="1">
      <c r="B95" s="31" t="s">
        <v>178</v>
      </c>
      <c r="C95" s="26" t="s">
        <v>179</v>
      </c>
      <c r="D95" s="81"/>
      <c r="E95" s="81"/>
      <c r="F95" s="81">
        <v>0</v>
      </c>
      <c r="G95" s="81"/>
      <c r="H95" s="81"/>
      <c r="I95" s="81"/>
      <c r="J95" s="81"/>
      <c r="K95" s="81"/>
      <c r="L95" s="81"/>
      <c r="M95" s="81"/>
      <c r="N95" s="81"/>
      <c r="O95" s="81"/>
      <c r="P95" s="81">
        <f t="shared" si="16"/>
        <v>0</v>
      </c>
      <c r="Q95" s="22"/>
      <c r="R95" s="32"/>
      <c r="S95" s="22"/>
    </row>
    <row r="96" spans="2:19" ht="17.45" customHeight="1">
      <c r="B96" s="31" t="s">
        <v>180</v>
      </c>
      <c r="C96" s="26" t="s">
        <v>181</v>
      </c>
      <c r="D96" s="81"/>
      <c r="E96" s="81"/>
      <c r="F96" s="81">
        <v>0</v>
      </c>
      <c r="G96" s="81"/>
      <c r="H96" s="81"/>
      <c r="I96" s="81"/>
      <c r="J96" s="81"/>
      <c r="K96" s="81"/>
      <c r="L96" s="81"/>
      <c r="M96" s="81"/>
      <c r="N96" s="81"/>
      <c r="O96" s="81"/>
      <c r="P96" s="81">
        <f t="shared" si="16"/>
        <v>0</v>
      </c>
      <c r="Q96" s="22"/>
      <c r="R96" s="32"/>
      <c r="S96" s="22"/>
    </row>
    <row r="97" spans="2:19" ht="17.45" customHeight="1">
      <c r="B97" s="31" t="s">
        <v>182</v>
      </c>
      <c r="C97" s="26" t="s">
        <v>183</v>
      </c>
      <c r="D97" s="81"/>
      <c r="E97" s="81"/>
      <c r="F97" s="81">
        <v>2.4900000000000002</v>
      </c>
      <c r="G97" s="81"/>
      <c r="H97" s="81"/>
      <c r="I97" s="81"/>
      <c r="J97" s="81"/>
      <c r="K97" s="81"/>
      <c r="L97" s="81"/>
      <c r="M97" s="81"/>
      <c r="N97" s="81"/>
      <c r="O97" s="81"/>
      <c r="P97" s="81">
        <f t="shared" si="16"/>
        <v>2.4900000000000002</v>
      </c>
      <c r="Q97" s="22"/>
      <c r="R97" s="32"/>
      <c r="S97" s="22"/>
    </row>
    <row r="98" spans="2:19" ht="17.45" customHeight="1">
      <c r="B98" s="31" t="s">
        <v>184</v>
      </c>
      <c r="C98" s="26" t="s">
        <v>185</v>
      </c>
      <c r="D98" s="81"/>
      <c r="E98" s="81"/>
      <c r="F98" s="81">
        <v>0</v>
      </c>
      <c r="G98" s="81"/>
      <c r="H98" s="81"/>
      <c r="I98" s="81"/>
      <c r="J98" s="81"/>
      <c r="K98" s="81"/>
      <c r="L98" s="81"/>
      <c r="M98" s="81"/>
      <c r="N98" s="81"/>
      <c r="O98" s="81"/>
      <c r="P98" s="81">
        <f t="shared" si="16"/>
        <v>0</v>
      </c>
      <c r="Q98" s="22"/>
      <c r="R98" s="32"/>
      <c r="S98" s="22"/>
    </row>
    <row r="99" spans="2:19" ht="17.45" customHeight="1">
      <c r="B99" s="31" t="s">
        <v>186</v>
      </c>
      <c r="C99" s="26" t="s">
        <v>187</v>
      </c>
      <c r="D99" s="81"/>
      <c r="E99" s="81"/>
      <c r="F99" s="81">
        <v>0</v>
      </c>
      <c r="G99" s="81"/>
      <c r="H99" s="81"/>
      <c r="I99" s="81"/>
      <c r="J99" s="81"/>
      <c r="K99" s="81"/>
      <c r="L99" s="81"/>
      <c r="M99" s="81"/>
      <c r="N99" s="81"/>
      <c r="O99" s="81"/>
      <c r="P99" s="81">
        <f t="shared" si="16"/>
        <v>0</v>
      </c>
      <c r="Q99" s="22"/>
      <c r="R99" s="32"/>
      <c r="S99" s="22"/>
    </row>
    <row r="100" spans="2:19" ht="17.45" customHeight="1">
      <c r="B100" s="36">
        <v>631180</v>
      </c>
      <c r="C100" s="26" t="s">
        <v>188</v>
      </c>
      <c r="D100" s="81"/>
      <c r="E100" s="81"/>
      <c r="F100" s="81" t="s">
        <v>441</v>
      </c>
      <c r="G100" s="81"/>
      <c r="H100" s="81"/>
      <c r="I100" s="81"/>
      <c r="J100" s="81"/>
      <c r="K100" s="81"/>
      <c r="L100" s="81"/>
      <c r="M100" s="81"/>
      <c r="N100" s="81"/>
      <c r="O100" s="81"/>
      <c r="P100" s="81" t="e">
        <f t="shared" si="16"/>
        <v>#VALUE!</v>
      </c>
      <c r="Q100" s="22"/>
      <c r="R100" s="32"/>
      <c r="S100" s="22"/>
    </row>
    <row r="101" spans="2:19" ht="17.45" customHeight="1">
      <c r="B101" s="68" t="s">
        <v>172</v>
      </c>
      <c r="C101" s="73" t="s">
        <v>173</v>
      </c>
      <c r="D101" s="88">
        <f t="shared" ref="D101:O101" si="17">SUM(D92:D100)</f>
        <v>0</v>
      </c>
      <c r="E101" s="88">
        <f t="shared" si="17"/>
        <v>0</v>
      </c>
      <c r="F101" s="88">
        <f t="shared" si="17"/>
        <v>2977.13</v>
      </c>
      <c r="G101" s="88">
        <f t="shared" si="17"/>
        <v>0</v>
      </c>
      <c r="H101" s="88">
        <f t="shared" si="17"/>
        <v>0</v>
      </c>
      <c r="I101" s="88">
        <f t="shared" si="17"/>
        <v>0</v>
      </c>
      <c r="J101" s="88">
        <f t="shared" si="17"/>
        <v>0</v>
      </c>
      <c r="K101" s="88">
        <f t="shared" si="17"/>
        <v>0</v>
      </c>
      <c r="L101" s="88">
        <f t="shared" si="17"/>
        <v>0</v>
      </c>
      <c r="M101" s="88">
        <f t="shared" si="17"/>
        <v>0</v>
      </c>
      <c r="N101" s="88">
        <f t="shared" si="17"/>
        <v>0</v>
      </c>
      <c r="O101" s="88">
        <f t="shared" si="17"/>
        <v>0</v>
      </c>
      <c r="P101" s="88" t="e">
        <f>SUM(P92:P100)</f>
        <v>#VALUE!</v>
      </c>
      <c r="Q101" s="22"/>
      <c r="R101" s="32"/>
      <c r="S101" s="22"/>
    </row>
    <row r="102" spans="2:19" ht="17.45" customHeight="1">
      <c r="B102" s="31"/>
      <c r="C102" s="29" t="s">
        <v>189</v>
      </c>
      <c r="D102" s="81"/>
      <c r="E102" s="81"/>
      <c r="F102" s="81" t="s">
        <v>441</v>
      </c>
      <c r="G102" s="81"/>
      <c r="H102" s="81"/>
      <c r="I102" s="81"/>
      <c r="J102" s="81"/>
      <c r="K102" s="81"/>
      <c r="L102" s="81"/>
      <c r="M102" s="81"/>
      <c r="N102" s="81"/>
      <c r="O102" s="81"/>
      <c r="P102" s="81" t="e">
        <f>D102+E102+F102+G102+H102+I102+J102+K102+L102+M102+N102+O102</f>
        <v>#VALUE!</v>
      </c>
      <c r="Q102" s="22"/>
      <c r="R102" s="32"/>
      <c r="S102" s="22"/>
    </row>
    <row r="103" spans="2:19" ht="17.45" customHeight="1">
      <c r="B103" s="31" t="s">
        <v>190</v>
      </c>
      <c r="C103" s="26" t="s">
        <v>191</v>
      </c>
      <c r="D103" s="81"/>
      <c r="E103" s="81"/>
      <c r="F103" s="81">
        <v>0</v>
      </c>
      <c r="G103" s="81"/>
      <c r="H103" s="81"/>
      <c r="I103" s="81"/>
      <c r="J103" s="81"/>
      <c r="K103" s="81"/>
      <c r="L103" s="81"/>
      <c r="M103" s="81"/>
      <c r="N103" s="81"/>
      <c r="O103" s="81"/>
      <c r="P103" s="81">
        <f>D103+E103+F103+G103+H103+I103+J103+K103+L103+M103+N103+O103</f>
        <v>0</v>
      </c>
      <c r="Q103" s="22"/>
      <c r="R103" s="32"/>
      <c r="S103" s="22"/>
    </row>
    <row r="104" spans="2:19" ht="17.45" customHeight="1">
      <c r="B104" s="31" t="s">
        <v>192</v>
      </c>
      <c r="C104" s="26" t="s">
        <v>193</v>
      </c>
      <c r="D104" s="81"/>
      <c r="E104" s="81"/>
      <c r="F104" s="81">
        <v>-43366.2</v>
      </c>
      <c r="G104" s="81"/>
      <c r="H104" s="81"/>
      <c r="I104" s="81"/>
      <c r="J104" s="81"/>
      <c r="K104" s="81"/>
      <c r="L104" s="81"/>
      <c r="M104" s="81"/>
      <c r="N104" s="81"/>
      <c r="O104" s="81"/>
      <c r="P104" s="81">
        <f>D104+E104+F104+G104+H104+I104+J104+K104+L104+M104+N104+O104</f>
        <v>-43366.2</v>
      </c>
      <c r="Q104" s="22"/>
      <c r="R104" s="32"/>
      <c r="S104" s="22"/>
    </row>
    <row r="105" spans="2:19" ht="17.45" customHeight="1">
      <c r="B105" s="31" t="s">
        <v>194</v>
      </c>
      <c r="C105" s="26" t="s">
        <v>195</v>
      </c>
      <c r="D105" s="81"/>
      <c r="E105" s="81"/>
      <c r="F105" s="81">
        <v>-201820.99</v>
      </c>
      <c r="G105" s="81"/>
      <c r="H105" s="81"/>
      <c r="I105" s="81"/>
      <c r="J105" s="81"/>
      <c r="K105" s="81"/>
      <c r="L105" s="81"/>
      <c r="M105" s="81"/>
      <c r="N105" s="81"/>
      <c r="O105" s="81"/>
      <c r="P105" s="81">
        <f>D105+E105+F105+G105+H105+I105+J105+K105+L105+M105+N105+O105</f>
        <v>-201820.99</v>
      </c>
      <c r="Q105" s="22"/>
      <c r="R105" s="32"/>
      <c r="S105" s="22"/>
    </row>
    <row r="106" spans="2:19" ht="17.45" customHeight="1">
      <c r="B106" s="68" t="s">
        <v>196</v>
      </c>
      <c r="C106" s="67" t="s">
        <v>189</v>
      </c>
      <c r="D106" s="88">
        <f t="shared" ref="D106:O106" si="18">SUM(D104:D105)</f>
        <v>0</v>
      </c>
      <c r="E106" s="88">
        <f t="shared" si="18"/>
        <v>0</v>
      </c>
      <c r="F106" s="88">
        <f t="shared" si="18"/>
        <v>-245187.19</v>
      </c>
      <c r="G106" s="88">
        <f t="shared" si="18"/>
        <v>0</v>
      </c>
      <c r="H106" s="88">
        <f t="shared" si="18"/>
        <v>0</v>
      </c>
      <c r="I106" s="88">
        <f t="shared" si="18"/>
        <v>0</v>
      </c>
      <c r="J106" s="88">
        <f t="shared" si="18"/>
        <v>0</v>
      </c>
      <c r="K106" s="88">
        <f t="shared" si="18"/>
        <v>0</v>
      </c>
      <c r="L106" s="88">
        <f t="shared" si="18"/>
        <v>0</v>
      </c>
      <c r="M106" s="88">
        <f t="shared" si="18"/>
        <v>0</v>
      </c>
      <c r="N106" s="88">
        <f t="shared" si="18"/>
        <v>0</v>
      </c>
      <c r="O106" s="88">
        <f t="shared" si="18"/>
        <v>0</v>
      </c>
      <c r="P106" s="88">
        <f>SUM(P104:P105)</f>
        <v>-245187.19</v>
      </c>
      <c r="Q106" s="22"/>
      <c r="R106" s="32"/>
      <c r="S106" s="22"/>
    </row>
    <row r="107" spans="2:19" ht="17.45" customHeight="1">
      <c r="B107" s="31"/>
      <c r="C107" s="29" t="s">
        <v>197</v>
      </c>
      <c r="D107" s="81"/>
      <c r="E107" s="81"/>
      <c r="F107" s="81">
        <v>0</v>
      </c>
      <c r="G107" s="81"/>
      <c r="H107" s="81"/>
      <c r="I107" s="81"/>
      <c r="J107" s="81"/>
      <c r="K107" s="81"/>
      <c r="L107" s="81"/>
      <c r="M107" s="81"/>
      <c r="N107" s="81"/>
      <c r="O107" s="81"/>
      <c r="P107" s="81">
        <v>0</v>
      </c>
      <c r="Q107" s="22"/>
      <c r="R107" s="32"/>
      <c r="S107" s="22"/>
    </row>
    <row r="108" spans="2:19" ht="17.45" customHeight="1">
      <c r="B108" s="31"/>
      <c r="C108" s="26" t="s">
        <v>198</v>
      </c>
      <c r="D108" s="81"/>
      <c r="E108" s="81"/>
      <c r="F108" s="81">
        <v>0</v>
      </c>
      <c r="G108" s="81"/>
      <c r="H108" s="81"/>
      <c r="I108" s="81"/>
      <c r="J108" s="81"/>
      <c r="K108" s="81"/>
      <c r="L108" s="81"/>
      <c r="M108" s="81"/>
      <c r="N108" s="81"/>
      <c r="O108" s="81"/>
      <c r="P108" s="81">
        <v>0</v>
      </c>
      <c r="Q108" s="22"/>
      <c r="R108" s="32"/>
      <c r="S108" s="22"/>
    </row>
    <row r="109" spans="2:19" ht="17.45" customHeight="1">
      <c r="B109" s="31"/>
      <c r="C109" s="26" t="s">
        <v>199</v>
      </c>
      <c r="D109" s="81"/>
      <c r="E109" s="81"/>
      <c r="F109" s="81">
        <v>0</v>
      </c>
      <c r="G109" s="81"/>
      <c r="H109" s="81"/>
      <c r="I109" s="81"/>
      <c r="J109" s="81"/>
      <c r="K109" s="81"/>
      <c r="L109" s="81"/>
      <c r="M109" s="81"/>
      <c r="N109" s="81"/>
      <c r="O109" s="81"/>
      <c r="P109" s="81">
        <v>0</v>
      </c>
      <c r="Q109" s="22"/>
      <c r="R109" s="32"/>
      <c r="S109" s="22"/>
    </row>
    <row r="110" spans="2:19" ht="17.45" customHeight="1">
      <c r="B110" s="31"/>
      <c r="C110" s="37" t="s">
        <v>200</v>
      </c>
      <c r="D110" s="81"/>
      <c r="E110" s="81"/>
      <c r="F110" s="81">
        <v>0</v>
      </c>
      <c r="G110" s="81"/>
      <c r="H110" s="81"/>
      <c r="I110" s="81"/>
      <c r="J110" s="81"/>
      <c r="K110" s="81"/>
      <c r="L110" s="81"/>
      <c r="M110" s="81"/>
      <c r="N110" s="81"/>
      <c r="O110" s="81"/>
      <c r="P110" s="81">
        <v>0</v>
      </c>
      <c r="Q110" s="22"/>
      <c r="R110" s="32"/>
      <c r="S110" s="22"/>
    </row>
    <row r="111" spans="2:19" ht="17.45" customHeight="1">
      <c r="B111" s="69" t="s">
        <v>201</v>
      </c>
      <c r="C111" s="70" t="s">
        <v>109</v>
      </c>
      <c r="D111" s="114">
        <f t="shared" ref="D111:P111" si="19">D106+D101+D91+D90+D89+D80+D71+D70+D65+D64+D63+D62+D61+D110</f>
        <v>0</v>
      </c>
      <c r="E111" s="114">
        <f t="shared" si="19"/>
        <v>0</v>
      </c>
      <c r="F111" s="114">
        <f t="shared" si="19"/>
        <v>-4834.3600000000224</v>
      </c>
      <c r="G111" s="114">
        <f t="shared" si="19"/>
        <v>0</v>
      </c>
      <c r="H111" s="114">
        <f t="shared" si="19"/>
        <v>0</v>
      </c>
      <c r="I111" s="114">
        <f t="shared" si="19"/>
        <v>0</v>
      </c>
      <c r="J111" s="114">
        <f t="shared" si="19"/>
        <v>0</v>
      </c>
      <c r="K111" s="114">
        <f t="shared" si="19"/>
        <v>0</v>
      </c>
      <c r="L111" s="114">
        <f t="shared" si="19"/>
        <v>0</v>
      </c>
      <c r="M111" s="114">
        <f t="shared" si="19"/>
        <v>0</v>
      </c>
      <c r="N111" s="114">
        <f t="shared" si="19"/>
        <v>0</v>
      </c>
      <c r="O111" s="114">
        <f t="shared" si="19"/>
        <v>0</v>
      </c>
      <c r="P111" s="114" t="e">
        <f t="shared" si="19"/>
        <v>#VALUE!</v>
      </c>
      <c r="Q111" s="22"/>
      <c r="R111" s="32"/>
      <c r="S111" s="22"/>
    </row>
    <row r="112" spans="2:19" ht="17.45" customHeight="1">
      <c r="B112" s="74" t="s">
        <v>202</v>
      </c>
      <c r="C112" s="75" t="s">
        <v>203</v>
      </c>
      <c r="D112" s="88">
        <f t="shared" ref="D112:P112" si="20">D36</f>
        <v>0</v>
      </c>
      <c r="E112" s="88">
        <f t="shared" si="20"/>
        <v>0</v>
      </c>
      <c r="F112" s="88">
        <f t="shared" si="20"/>
        <v>4086019.94</v>
      </c>
      <c r="G112" s="88">
        <f t="shared" si="20"/>
        <v>0</v>
      </c>
      <c r="H112" s="88">
        <f t="shared" si="20"/>
        <v>0</v>
      </c>
      <c r="I112" s="88">
        <f t="shared" si="20"/>
        <v>0</v>
      </c>
      <c r="J112" s="88">
        <f t="shared" si="20"/>
        <v>0</v>
      </c>
      <c r="K112" s="88">
        <f t="shared" si="20"/>
        <v>0</v>
      </c>
      <c r="L112" s="88">
        <f t="shared" si="20"/>
        <v>0</v>
      </c>
      <c r="M112" s="88">
        <f t="shared" si="20"/>
        <v>0</v>
      </c>
      <c r="N112" s="88">
        <f t="shared" si="20"/>
        <v>0</v>
      </c>
      <c r="O112" s="88">
        <f t="shared" si="20"/>
        <v>0</v>
      </c>
      <c r="P112" s="88">
        <f t="shared" si="20"/>
        <v>4086019.94</v>
      </c>
      <c r="Q112" s="22"/>
      <c r="R112" s="32"/>
      <c r="S112" s="22"/>
    </row>
    <row r="113" spans="2:19" ht="17.45" customHeight="1">
      <c r="B113" s="31"/>
      <c r="C113" s="28" t="s">
        <v>204</v>
      </c>
      <c r="D113" s="81"/>
      <c r="E113" s="81"/>
      <c r="F113" s="81">
        <v>0</v>
      </c>
      <c r="G113" s="81"/>
      <c r="H113" s="81"/>
      <c r="I113" s="81"/>
      <c r="J113" s="81"/>
      <c r="K113" s="81"/>
      <c r="L113" s="81"/>
      <c r="M113" s="81"/>
      <c r="N113" s="81"/>
      <c r="O113" s="81"/>
      <c r="P113" s="81">
        <f>D113+E113+F113+G113+H113+I113+J113+K113+L113+M113+N113+O113</f>
        <v>0</v>
      </c>
      <c r="Q113" s="22"/>
      <c r="R113" s="32"/>
      <c r="S113" s="22"/>
    </row>
    <row r="114" spans="2:19" ht="17.45" customHeight="1">
      <c r="B114" s="31"/>
      <c r="C114" s="29" t="s">
        <v>205</v>
      </c>
      <c r="D114" s="81"/>
      <c r="E114" s="81"/>
      <c r="F114" s="81">
        <v>0</v>
      </c>
      <c r="G114" s="81"/>
      <c r="H114" s="81"/>
      <c r="I114" s="81"/>
      <c r="J114" s="81"/>
      <c r="K114" s="81"/>
      <c r="L114" s="81"/>
      <c r="M114" s="81"/>
      <c r="N114" s="81"/>
      <c r="O114" s="81"/>
      <c r="P114" s="81">
        <f>D114+E114+F114+G114+H114+I114+J114+K114+L114+M114+N114+O114</f>
        <v>0</v>
      </c>
      <c r="Q114" s="22"/>
      <c r="R114" s="32"/>
      <c r="S114" s="22"/>
    </row>
    <row r="115" spans="2:19" ht="17.45" customHeight="1">
      <c r="B115" s="31" t="s">
        <v>206</v>
      </c>
      <c r="C115" s="26" t="s">
        <v>207</v>
      </c>
      <c r="D115" s="81"/>
      <c r="E115" s="81"/>
      <c r="F115" s="81">
        <v>0</v>
      </c>
      <c r="G115" s="81"/>
      <c r="H115" s="81"/>
      <c r="I115" s="81"/>
      <c r="J115" s="81"/>
      <c r="K115" s="81"/>
      <c r="L115" s="81"/>
      <c r="M115" s="81"/>
      <c r="N115" s="81"/>
      <c r="O115" s="81"/>
      <c r="P115" s="81">
        <f>D115+E115+F115+G115+H115+I115+J115+K115+L115+M115+N115+O115</f>
        <v>0</v>
      </c>
      <c r="Q115" s="22"/>
      <c r="R115" s="32"/>
      <c r="S115" s="22"/>
    </row>
    <row r="116" spans="2:19" ht="17.45" customHeight="1">
      <c r="B116" s="31" t="s">
        <v>208</v>
      </c>
      <c r="C116" s="26" t="s">
        <v>209</v>
      </c>
      <c r="D116" s="81"/>
      <c r="E116" s="81"/>
      <c r="F116" s="81">
        <v>66.099999999999994</v>
      </c>
      <c r="G116" s="81"/>
      <c r="H116" s="81"/>
      <c r="I116" s="81"/>
      <c r="J116" s="81"/>
      <c r="K116" s="81"/>
      <c r="L116" s="81"/>
      <c r="M116" s="81"/>
      <c r="N116" s="81"/>
      <c r="O116" s="81"/>
      <c r="P116" s="81">
        <f>D116+E116+F116+G116+H116+I116+J116+K116+L116+M116+N116+O116</f>
        <v>66.099999999999994</v>
      </c>
      <c r="Q116" s="22"/>
      <c r="R116" s="32"/>
      <c r="S116" s="22"/>
    </row>
    <row r="117" spans="2:19" ht="17.45" customHeight="1">
      <c r="B117" s="69" t="s">
        <v>210</v>
      </c>
      <c r="C117" s="70" t="s">
        <v>205</v>
      </c>
      <c r="D117" s="88">
        <f>D116</f>
        <v>0</v>
      </c>
      <c r="E117" s="88">
        <f t="shared" ref="E117:O117" si="21">E116</f>
        <v>0</v>
      </c>
      <c r="F117" s="88">
        <f t="shared" si="21"/>
        <v>66.099999999999994</v>
      </c>
      <c r="G117" s="88">
        <f t="shared" si="21"/>
        <v>0</v>
      </c>
      <c r="H117" s="88">
        <f t="shared" si="21"/>
        <v>0</v>
      </c>
      <c r="I117" s="88">
        <f t="shared" si="21"/>
        <v>0</v>
      </c>
      <c r="J117" s="88">
        <f t="shared" si="21"/>
        <v>0</v>
      </c>
      <c r="K117" s="88">
        <f t="shared" si="21"/>
        <v>0</v>
      </c>
      <c r="L117" s="88">
        <f t="shared" si="21"/>
        <v>0</v>
      </c>
      <c r="M117" s="88">
        <f t="shared" si="21"/>
        <v>0</v>
      </c>
      <c r="N117" s="88">
        <f t="shared" si="21"/>
        <v>0</v>
      </c>
      <c r="O117" s="88">
        <f t="shared" si="21"/>
        <v>0</v>
      </c>
      <c r="P117" s="88">
        <f>SUM(P115:P116)</f>
        <v>66.099999999999994</v>
      </c>
      <c r="Q117" s="22"/>
      <c r="R117" s="32"/>
      <c r="S117" s="22"/>
    </row>
    <row r="118" spans="2:19" ht="17.45" customHeight="1">
      <c r="B118" s="31"/>
      <c r="C118" s="29" t="s">
        <v>211</v>
      </c>
      <c r="D118" s="81"/>
      <c r="E118" s="81"/>
      <c r="F118" s="81">
        <v>0</v>
      </c>
      <c r="G118" s="81"/>
      <c r="H118" s="81"/>
      <c r="I118" s="81"/>
      <c r="J118" s="81"/>
      <c r="K118" s="81"/>
      <c r="L118" s="81"/>
      <c r="M118" s="81"/>
      <c r="N118" s="81"/>
      <c r="O118" s="81"/>
      <c r="P118" s="81">
        <f t="shared" ref="P118:P127" si="22">D118+E118+F118+G118+H118+I118+J118+K118+L118+M118+N118+O118</f>
        <v>0</v>
      </c>
      <c r="Q118" s="22"/>
      <c r="R118" s="32"/>
      <c r="S118" s="22"/>
    </row>
    <row r="119" spans="2:19" ht="17.45" customHeight="1">
      <c r="B119" s="31" t="s">
        <v>212</v>
      </c>
      <c r="C119" s="26" t="s">
        <v>213</v>
      </c>
      <c r="D119" s="81"/>
      <c r="E119" s="81"/>
      <c r="F119" s="81">
        <v>5152.54</v>
      </c>
      <c r="G119" s="81"/>
      <c r="H119" s="81"/>
      <c r="I119" s="81"/>
      <c r="J119" s="81"/>
      <c r="K119" s="81"/>
      <c r="L119" s="81"/>
      <c r="M119" s="81"/>
      <c r="N119" s="81"/>
      <c r="O119" s="81"/>
      <c r="P119" s="81">
        <f t="shared" si="22"/>
        <v>5152.54</v>
      </c>
      <c r="Q119" s="22"/>
      <c r="R119" s="32"/>
      <c r="S119" s="22"/>
    </row>
    <row r="120" spans="2:19" ht="17.45" customHeight="1">
      <c r="B120" s="31" t="s">
        <v>214</v>
      </c>
      <c r="C120" s="26" t="s">
        <v>215</v>
      </c>
      <c r="D120" s="81"/>
      <c r="E120" s="81"/>
      <c r="F120" s="81">
        <v>0</v>
      </c>
      <c r="G120" s="81"/>
      <c r="H120" s="81"/>
      <c r="I120" s="81"/>
      <c r="J120" s="81"/>
      <c r="K120" s="81"/>
      <c r="L120" s="81"/>
      <c r="M120" s="81"/>
      <c r="N120" s="81"/>
      <c r="O120" s="81"/>
      <c r="P120" s="81">
        <f t="shared" si="22"/>
        <v>0</v>
      </c>
      <c r="Q120" s="22"/>
      <c r="R120" s="32"/>
      <c r="S120" s="22"/>
    </row>
    <row r="121" spans="2:19" ht="17.45" customHeight="1">
      <c r="B121" s="31"/>
      <c r="C121" s="37" t="s">
        <v>216</v>
      </c>
      <c r="D121" s="81"/>
      <c r="E121" s="81"/>
      <c r="F121" s="81">
        <v>0</v>
      </c>
      <c r="G121" s="81"/>
      <c r="H121" s="81"/>
      <c r="I121" s="81"/>
      <c r="J121" s="81"/>
      <c r="K121" s="81"/>
      <c r="L121" s="81"/>
      <c r="M121" s="81"/>
      <c r="N121" s="81"/>
      <c r="O121" s="81"/>
      <c r="P121" s="81">
        <f t="shared" si="22"/>
        <v>0</v>
      </c>
      <c r="Q121" s="22"/>
      <c r="R121" s="32"/>
      <c r="S121" s="22"/>
    </row>
    <row r="122" spans="2:19" ht="17.45" customHeight="1">
      <c r="B122" s="31" t="s">
        <v>217</v>
      </c>
      <c r="C122" s="26" t="s">
        <v>218</v>
      </c>
      <c r="D122" s="81"/>
      <c r="E122" s="81"/>
      <c r="F122" s="81">
        <v>279.98</v>
      </c>
      <c r="G122" s="81"/>
      <c r="H122" s="81"/>
      <c r="I122" s="81"/>
      <c r="J122" s="81"/>
      <c r="K122" s="81"/>
      <c r="L122" s="81"/>
      <c r="M122" s="81"/>
      <c r="N122" s="81"/>
      <c r="O122" s="81"/>
      <c r="P122" s="81">
        <f t="shared" si="22"/>
        <v>279.98</v>
      </c>
      <c r="Q122" s="22"/>
      <c r="R122" s="32"/>
      <c r="S122" s="22"/>
    </row>
    <row r="123" spans="2:19" ht="17.45" customHeight="1">
      <c r="B123" s="31" t="s">
        <v>219</v>
      </c>
      <c r="C123" s="26" t="s">
        <v>220</v>
      </c>
      <c r="D123" s="81"/>
      <c r="E123" s="81"/>
      <c r="F123" s="81">
        <v>382.99</v>
      </c>
      <c r="G123" s="81"/>
      <c r="H123" s="81"/>
      <c r="I123" s="81"/>
      <c r="J123" s="81"/>
      <c r="K123" s="81"/>
      <c r="L123" s="81"/>
      <c r="M123" s="81"/>
      <c r="N123" s="81"/>
      <c r="O123" s="81"/>
      <c r="P123" s="81">
        <f t="shared" si="22"/>
        <v>382.99</v>
      </c>
      <c r="Q123" s="22"/>
      <c r="R123" s="32"/>
      <c r="S123" s="22"/>
    </row>
    <row r="124" spans="2:19" ht="17.45" customHeight="1">
      <c r="B124" s="31" t="s">
        <v>221</v>
      </c>
      <c r="C124" s="26" t="s">
        <v>222</v>
      </c>
      <c r="D124" s="81"/>
      <c r="E124" s="81"/>
      <c r="F124" s="81">
        <v>0</v>
      </c>
      <c r="G124" s="81"/>
      <c r="H124" s="81"/>
      <c r="I124" s="81"/>
      <c r="J124" s="81"/>
      <c r="K124" s="81"/>
      <c r="L124" s="81"/>
      <c r="M124" s="81"/>
      <c r="N124" s="81"/>
      <c r="O124" s="81"/>
      <c r="P124" s="81">
        <f t="shared" si="22"/>
        <v>0</v>
      </c>
      <c r="Q124" s="22"/>
      <c r="R124" s="32"/>
      <c r="S124" s="22"/>
    </row>
    <row r="125" spans="2:19" ht="17.45" customHeight="1">
      <c r="B125" s="31" t="s">
        <v>223</v>
      </c>
      <c r="C125" s="26" t="s">
        <v>224</v>
      </c>
      <c r="D125" s="81"/>
      <c r="E125" s="81"/>
      <c r="F125" s="81">
        <v>0</v>
      </c>
      <c r="G125" s="81"/>
      <c r="H125" s="81"/>
      <c r="I125" s="81"/>
      <c r="J125" s="81"/>
      <c r="K125" s="81"/>
      <c r="L125" s="81"/>
      <c r="M125" s="81"/>
      <c r="N125" s="81"/>
      <c r="O125" s="81"/>
      <c r="P125" s="81">
        <f t="shared" si="22"/>
        <v>0</v>
      </c>
      <c r="Q125" s="22"/>
      <c r="R125" s="32"/>
      <c r="S125" s="22"/>
    </row>
    <row r="126" spans="2:19" ht="17.45" customHeight="1">
      <c r="B126" s="31" t="s">
        <v>225</v>
      </c>
      <c r="C126" s="26" t="s">
        <v>226</v>
      </c>
      <c r="D126" s="81"/>
      <c r="E126" s="81"/>
      <c r="F126" s="81">
        <v>125</v>
      </c>
      <c r="G126" s="81"/>
      <c r="H126" s="81"/>
      <c r="I126" s="81"/>
      <c r="J126" s="81"/>
      <c r="K126" s="81"/>
      <c r="L126" s="81"/>
      <c r="M126" s="81"/>
      <c r="N126" s="81"/>
      <c r="O126" s="81"/>
      <c r="P126" s="81">
        <f t="shared" si="22"/>
        <v>125</v>
      </c>
      <c r="Q126" s="22"/>
      <c r="R126" s="32"/>
      <c r="S126" s="22"/>
    </row>
    <row r="127" spans="2:19" ht="17.45" customHeight="1">
      <c r="B127" s="31" t="s">
        <v>227</v>
      </c>
      <c r="C127" s="26" t="s">
        <v>228</v>
      </c>
      <c r="D127" s="81"/>
      <c r="E127" s="81"/>
      <c r="F127" s="81">
        <v>0</v>
      </c>
      <c r="G127" s="81"/>
      <c r="H127" s="81"/>
      <c r="I127" s="81"/>
      <c r="J127" s="81"/>
      <c r="K127" s="81"/>
      <c r="L127" s="81"/>
      <c r="M127" s="81"/>
      <c r="N127" s="81"/>
      <c r="O127" s="81"/>
      <c r="P127" s="81">
        <f t="shared" si="22"/>
        <v>0</v>
      </c>
      <c r="Q127" s="22"/>
      <c r="R127" s="32"/>
      <c r="S127" s="22"/>
    </row>
    <row r="128" spans="2:19" ht="17.45" customHeight="1">
      <c r="B128" s="69" t="s">
        <v>229</v>
      </c>
      <c r="C128" s="70" t="s">
        <v>216</v>
      </c>
      <c r="D128" s="88">
        <f t="shared" ref="D128:O128" si="23">SUM(D122:D127)</f>
        <v>0</v>
      </c>
      <c r="E128" s="88">
        <f t="shared" si="23"/>
        <v>0</v>
      </c>
      <c r="F128" s="88">
        <f t="shared" si="23"/>
        <v>787.97</v>
      </c>
      <c r="G128" s="88">
        <f t="shared" si="23"/>
        <v>0</v>
      </c>
      <c r="H128" s="88">
        <f t="shared" si="23"/>
        <v>0</v>
      </c>
      <c r="I128" s="88">
        <f t="shared" si="23"/>
        <v>0</v>
      </c>
      <c r="J128" s="88">
        <f t="shared" si="23"/>
        <v>0</v>
      </c>
      <c r="K128" s="88">
        <f t="shared" si="23"/>
        <v>0</v>
      </c>
      <c r="L128" s="88">
        <f t="shared" si="23"/>
        <v>0</v>
      </c>
      <c r="M128" s="88">
        <f t="shared" si="23"/>
        <v>0</v>
      </c>
      <c r="N128" s="88">
        <f t="shared" si="23"/>
        <v>0</v>
      </c>
      <c r="O128" s="88">
        <f t="shared" si="23"/>
        <v>0</v>
      </c>
      <c r="P128" s="88">
        <f>SUM(P122:P127)</f>
        <v>787.97</v>
      </c>
      <c r="Q128" s="22"/>
      <c r="R128" s="32"/>
      <c r="S128" s="22"/>
    </row>
    <row r="129" spans="2:19" ht="17.45" customHeight="1">
      <c r="B129" s="31" t="s">
        <v>230</v>
      </c>
      <c r="C129" s="26" t="s">
        <v>231</v>
      </c>
      <c r="D129" s="81"/>
      <c r="E129" s="81"/>
      <c r="F129" s="81">
        <v>5630.98</v>
      </c>
      <c r="G129" s="81"/>
      <c r="H129" s="81"/>
      <c r="I129" s="81"/>
      <c r="J129" s="81"/>
      <c r="K129" s="81"/>
      <c r="L129" s="81"/>
      <c r="M129" s="81"/>
      <c r="N129" s="81"/>
      <c r="O129" s="81"/>
      <c r="P129" s="81">
        <f>D129+E129+F129+G129+H129+I129+J129+K129+L129+M129+N129+O129</f>
        <v>5630.98</v>
      </c>
      <c r="Q129" s="22"/>
      <c r="R129" s="32"/>
      <c r="S129" s="22"/>
    </row>
    <row r="130" spans="2:19" ht="17.45" customHeight="1">
      <c r="B130" s="31" t="s">
        <v>232</v>
      </c>
      <c r="C130" s="26" t="s">
        <v>233</v>
      </c>
      <c r="D130" s="81"/>
      <c r="E130" s="81"/>
      <c r="F130" s="81">
        <v>40.39</v>
      </c>
      <c r="G130" s="81"/>
      <c r="H130" s="81"/>
      <c r="I130" s="81"/>
      <c r="J130" s="81"/>
      <c r="K130" s="81"/>
      <c r="L130" s="81"/>
      <c r="M130" s="81"/>
      <c r="N130" s="81"/>
      <c r="O130" s="81"/>
      <c r="P130" s="81">
        <f>D130+E130+F130+G130+H130+I130+J130+K130+L130+M130+N130+O130</f>
        <v>40.39</v>
      </c>
      <c r="Q130" s="22"/>
      <c r="R130" s="32"/>
      <c r="S130" s="22"/>
    </row>
    <row r="131" spans="2:19" ht="17.45" customHeight="1">
      <c r="B131" s="31" t="s">
        <v>234</v>
      </c>
      <c r="C131" s="26" t="s">
        <v>235</v>
      </c>
      <c r="D131" s="81"/>
      <c r="E131" s="81"/>
      <c r="F131" s="81">
        <v>0</v>
      </c>
      <c r="G131" s="81"/>
      <c r="H131" s="81"/>
      <c r="I131" s="81"/>
      <c r="J131" s="81"/>
      <c r="K131" s="81"/>
      <c r="L131" s="81"/>
      <c r="M131" s="81"/>
      <c r="N131" s="81"/>
      <c r="O131" s="81"/>
      <c r="P131" s="81">
        <f>D131+E131+F131+G131+H131+I131+J131+K131+L131+M131+N131+O131</f>
        <v>0</v>
      </c>
      <c r="Q131" s="22"/>
      <c r="R131" s="32"/>
      <c r="S131" s="22"/>
    </row>
    <row r="132" spans="2:19" ht="17.45" customHeight="1">
      <c r="B132" s="69" t="s">
        <v>236</v>
      </c>
      <c r="C132" s="70" t="s">
        <v>211</v>
      </c>
      <c r="D132" s="88">
        <f t="shared" ref="D132:O132" si="24">D119+D128+D129+D130</f>
        <v>0</v>
      </c>
      <c r="E132" s="88">
        <f t="shared" si="24"/>
        <v>0</v>
      </c>
      <c r="F132" s="88">
        <f t="shared" si="24"/>
        <v>11611.88</v>
      </c>
      <c r="G132" s="88">
        <f t="shared" si="24"/>
        <v>0</v>
      </c>
      <c r="H132" s="88">
        <f t="shared" si="24"/>
        <v>0</v>
      </c>
      <c r="I132" s="88">
        <f t="shared" si="24"/>
        <v>0</v>
      </c>
      <c r="J132" s="88">
        <f t="shared" si="24"/>
        <v>0</v>
      </c>
      <c r="K132" s="88">
        <f t="shared" si="24"/>
        <v>0</v>
      </c>
      <c r="L132" s="88">
        <f t="shared" si="24"/>
        <v>0</v>
      </c>
      <c r="M132" s="88">
        <f t="shared" si="24"/>
        <v>0</v>
      </c>
      <c r="N132" s="88">
        <f t="shared" si="24"/>
        <v>0</v>
      </c>
      <c r="O132" s="88">
        <f t="shared" si="24"/>
        <v>0</v>
      </c>
      <c r="P132" s="88">
        <f>P119+P128+P129+P130</f>
        <v>11611.88</v>
      </c>
      <c r="Q132" s="22"/>
      <c r="R132" s="32"/>
      <c r="S132" s="22"/>
    </row>
    <row r="133" spans="2:19" ht="17.45" customHeight="1">
      <c r="B133" s="31"/>
      <c r="C133" s="37" t="s">
        <v>237</v>
      </c>
      <c r="D133" s="81"/>
      <c r="E133" s="81"/>
      <c r="F133" s="81">
        <v>0</v>
      </c>
      <c r="G133" s="81"/>
      <c r="H133" s="81"/>
      <c r="I133" s="81"/>
      <c r="J133" s="81"/>
      <c r="K133" s="81"/>
      <c r="L133" s="81"/>
      <c r="M133" s="81"/>
      <c r="N133" s="81"/>
      <c r="O133" s="81"/>
      <c r="P133" s="81">
        <f>D133+E133+F133+G133+H133+I133+J133+K133+L133+M133+N133+O133</f>
        <v>0</v>
      </c>
      <c r="Q133" s="22"/>
      <c r="R133" s="32"/>
      <c r="S133" s="22"/>
    </row>
    <row r="134" spans="2:19" ht="17.45" customHeight="1">
      <c r="B134" s="31" t="s">
        <v>238</v>
      </c>
      <c r="C134" s="26" t="s">
        <v>41</v>
      </c>
      <c r="D134" s="81"/>
      <c r="E134" s="81"/>
      <c r="F134" s="81">
        <v>0</v>
      </c>
      <c r="G134" s="81"/>
      <c r="H134" s="81"/>
      <c r="I134" s="81"/>
      <c r="J134" s="81"/>
      <c r="K134" s="81"/>
      <c r="L134" s="81"/>
      <c r="M134" s="81"/>
      <c r="N134" s="81"/>
      <c r="O134" s="81"/>
      <c r="P134" s="81">
        <f>D134+E134+F134+G134+H134+I134+J134+K134+L134+M134+N134+O134</f>
        <v>0</v>
      </c>
      <c r="Q134" s="22"/>
      <c r="R134" s="32"/>
      <c r="S134" s="22"/>
    </row>
    <row r="135" spans="2:19" ht="17.45" customHeight="1">
      <c r="B135" s="31" t="s">
        <v>239</v>
      </c>
      <c r="C135" s="26" t="s">
        <v>240</v>
      </c>
      <c r="D135" s="81"/>
      <c r="E135" s="81"/>
      <c r="F135" s="81">
        <v>1019.2</v>
      </c>
      <c r="G135" s="81"/>
      <c r="H135" s="81"/>
      <c r="I135" s="81"/>
      <c r="J135" s="81"/>
      <c r="K135" s="81"/>
      <c r="L135" s="81"/>
      <c r="M135" s="81"/>
      <c r="N135" s="81"/>
      <c r="O135" s="81"/>
      <c r="P135" s="81">
        <f>D135+E135+F135+G135+H135+I135+J135+K135+L135+M135+N135+O135</f>
        <v>1019.2</v>
      </c>
      <c r="Q135" s="22"/>
      <c r="R135" s="32"/>
      <c r="S135" s="22"/>
    </row>
    <row r="136" spans="2:19" ht="17.45" customHeight="1">
      <c r="B136" s="31" t="s">
        <v>241</v>
      </c>
      <c r="C136" s="26" t="s">
        <v>242</v>
      </c>
      <c r="D136" s="81"/>
      <c r="E136" s="81"/>
      <c r="F136" s="81">
        <v>1899.15</v>
      </c>
      <c r="G136" s="81"/>
      <c r="H136" s="81"/>
      <c r="I136" s="81"/>
      <c r="J136" s="81"/>
      <c r="K136" s="81"/>
      <c r="L136" s="81"/>
      <c r="M136" s="81"/>
      <c r="N136" s="81"/>
      <c r="O136" s="81"/>
      <c r="P136" s="81">
        <f>D136+E136+F136+G136+H136+I136+J136+K136+L136+M136+N136+O136</f>
        <v>1899.15</v>
      </c>
      <c r="Q136" s="22"/>
      <c r="R136" s="32"/>
      <c r="S136" s="22"/>
    </row>
    <row r="137" spans="2:19" ht="17.45" customHeight="1">
      <c r="B137" s="65" t="s">
        <v>243</v>
      </c>
      <c r="C137" s="66" t="s">
        <v>237</v>
      </c>
      <c r="D137" s="116">
        <f t="shared" ref="D137:O137" si="25">SUM(D134:D136)</f>
        <v>0</v>
      </c>
      <c r="E137" s="116">
        <f t="shared" si="25"/>
        <v>0</v>
      </c>
      <c r="F137" s="116">
        <f t="shared" si="25"/>
        <v>2918.3500000000004</v>
      </c>
      <c r="G137" s="116">
        <f t="shared" si="25"/>
        <v>0</v>
      </c>
      <c r="H137" s="116">
        <f t="shared" si="25"/>
        <v>0</v>
      </c>
      <c r="I137" s="116">
        <f t="shared" si="25"/>
        <v>0</v>
      </c>
      <c r="J137" s="116">
        <f t="shared" si="25"/>
        <v>0</v>
      </c>
      <c r="K137" s="116">
        <f t="shared" si="25"/>
        <v>0</v>
      </c>
      <c r="L137" s="116">
        <f t="shared" si="25"/>
        <v>0</v>
      </c>
      <c r="M137" s="116">
        <f t="shared" si="25"/>
        <v>0</v>
      </c>
      <c r="N137" s="116">
        <f t="shared" si="25"/>
        <v>0</v>
      </c>
      <c r="O137" s="116">
        <f t="shared" si="25"/>
        <v>0</v>
      </c>
      <c r="P137" s="116">
        <f>SUM(P134:P136)</f>
        <v>2918.3500000000004</v>
      </c>
      <c r="Q137" s="22"/>
      <c r="R137" s="32"/>
      <c r="S137" s="22"/>
    </row>
    <row r="138" spans="2:19" ht="17.45" customHeight="1">
      <c r="B138" s="74" t="s">
        <v>244</v>
      </c>
      <c r="C138" s="75" t="s">
        <v>204</v>
      </c>
      <c r="D138" s="88">
        <f t="shared" ref="D138:O138" si="26">D137+D132+D117</f>
        <v>0</v>
      </c>
      <c r="E138" s="88">
        <f t="shared" si="26"/>
        <v>0</v>
      </c>
      <c r="F138" s="88">
        <f t="shared" si="26"/>
        <v>14596.33</v>
      </c>
      <c r="G138" s="88">
        <f t="shared" si="26"/>
        <v>0</v>
      </c>
      <c r="H138" s="88">
        <f t="shared" si="26"/>
        <v>0</v>
      </c>
      <c r="I138" s="88">
        <f t="shared" si="26"/>
        <v>0</v>
      </c>
      <c r="J138" s="88">
        <f t="shared" si="26"/>
        <v>0</v>
      </c>
      <c r="K138" s="88">
        <f t="shared" si="26"/>
        <v>0</v>
      </c>
      <c r="L138" s="88">
        <f t="shared" si="26"/>
        <v>0</v>
      </c>
      <c r="M138" s="88">
        <f t="shared" si="26"/>
        <v>0</v>
      </c>
      <c r="N138" s="88">
        <f t="shared" si="26"/>
        <v>0</v>
      </c>
      <c r="O138" s="88">
        <f t="shared" si="26"/>
        <v>0</v>
      </c>
      <c r="P138" s="88">
        <f>P137+P132+P117</f>
        <v>14596.33</v>
      </c>
      <c r="Q138" s="22"/>
      <c r="R138" s="32"/>
      <c r="S138" s="22"/>
    </row>
    <row r="139" spans="2:19" ht="17.45" customHeight="1">
      <c r="B139" s="31"/>
      <c r="C139" s="28" t="s">
        <v>245</v>
      </c>
      <c r="D139" s="81"/>
      <c r="E139" s="81"/>
      <c r="F139" s="81" t="s">
        <v>441</v>
      </c>
      <c r="G139" s="81"/>
      <c r="H139" s="81"/>
      <c r="I139" s="81"/>
      <c r="J139" s="81"/>
      <c r="K139" s="81"/>
      <c r="L139" s="81"/>
      <c r="M139" s="81"/>
      <c r="N139" s="81"/>
      <c r="O139" s="81"/>
      <c r="P139" s="81" t="e">
        <f t="shared" ref="P139:P146" si="27">D139+E139+F139+G139+H139+I139+J139+K139+L139+M139+N139+O139</f>
        <v>#VALUE!</v>
      </c>
      <c r="Q139" s="22"/>
      <c r="R139" s="32"/>
      <c r="S139" s="22"/>
    </row>
    <row r="140" spans="2:19" ht="17.45" customHeight="1">
      <c r="B140" s="31"/>
      <c r="C140" s="29" t="s">
        <v>246</v>
      </c>
      <c r="D140" s="81"/>
      <c r="E140" s="81"/>
      <c r="F140" s="81">
        <v>0</v>
      </c>
      <c r="G140" s="81"/>
      <c r="H140" s="81"/>
      <c r="I140" s="81"/>
      <c r="J140" s="81"/>
      <c r="K140" s="81"/>
      <c r="L140" s="81"/>
      <c r="M140" s="81"/>
      <c r="N140" s="81"/>
      <c r="O140" s="81"/>
      <c r="P140" s="81">
        <f t="shared" si="27"/>
        <v>0</v>
      </c>
      <c r="Q140" s="22"/>
      <c r="R140" s="32"/>
      <c r="S140" s="22"/>
    </row>
    <row r="141" spans="2:19" ht="17.45" customHeight="1">
      <c r="B141" s="31" t="s">
        <v>247</v>
      </c>
      <c r="C141" s="26" t="s">
        <v>248</v>
      </c>
      <c r="D141" s="81"/>
      <c r="E141" s="81"/>
      <c r="F141" s="81">
        <v>42720.01</v>
      </c>
      <c r="G141" s="81"/>
      <c r="H141" s="81"/>
      <c r="I141" s="81"/>
      <c r="J141" s="81"/>
      <c r="K141" s="81"/>
      <c r="L141" s="81"/>
      <c r="M141" s="81"/>
      <c r="N141" s="81"/>
      <c r="O141" s="81"/>
      <c r="P141" s="81">
        <f t="shared" si="27"/>
        <v>42720.01</v>
      </c>
      <c r="Q141" s="22"/>
      <c r="R141" s="32"/>
      <c r="S141" s="22"/>
    </row>
    <row r="142" spans="2:19" ht="17.45" customHeight="1">
      <c r="B142" s="31" t="s">
        <v>249</v>
      </c>
      <c r="C142" s="26" t="s">
        <v>250</v>
      </c>
      <c r="D142" s="81"/>
      <c r="E142" s="81"/>
      <c r="F142" s="81">
        <v>2417.17</v>
      </c>
      <c r="G142" s="81"/>
      <c r="H142" s="81"/>
      <c r="I142" s="81"/>
      <c r="J142" s="81"/>
      <c r="K142" s="81"/>
      <c r="L142" s="81"/>
      <c r="M142" s="81"/>
      <c r="N142" s="81"/>
      <c r="O142" s="81"/>
      <c r="P142" s="81">
        <f t="shared" si="27"/>
        <v>2417.17</v>
      </c>
      <c r="Q142" s="22"/>
      <c r="R142" s="32"/>
      <c r="S142" s="22"/>
    </row>
    <row r="143" spans="2:19" ht="17.45" customHeight="1">
      <c r="B143" s="31" t="s">
        <v>251</v>
      </c>
      <c r="C143" s="26" t="s">
        <v>252</v>
      </c>
      <c r="D143" s="81"/>
      <c r="E143" s="81"/>
      <c r="F143" s="81" t="s">
        <v>441</v>
      </c>
      <c r="G143" s="81"/>
      <c r="H143" s="81"/>
      <c r="I143" s="81"/>
      <c r="J143" s="81"/>
      <c r="K143" s="81"/>
      <c r="L143" s="81"/>
      <c r="M143" s="81"/>
      <c r="N143" s="81"/>
      <c r="O143" s="81"/>
      <c r="P143" s="81" t="e">
        <f t="shared" si="27"/>
        <v>#VALUE!</v>
      </c>
      <c r="Q143" s="22"/>
      <c r="R143" s="32"/>
      <c r="S143" s="22"/>
    </row>
    <row r="144" spans="2:19" ht="17.45" customHeight="1">
      <c r="B144" s="31" t="s">
        <v>253</v>
      </c>
      <c r="C144" s="26" t="s">
        <v>123</v>
      </c>
      <c r="D144" s="81"/>
      <c r="E144" s="81"/>
      <c r="F144" s="81">
        <v>164.52</v>
      </c>
      <c r="G144" s="81"/>
      <c r="H144" s="81"/>
      <c r="I144" s="81"/>
      <c r="J144" s="81"/>
      <c r="K144" s="81"/>
      <c r="L144" s="81"/>
      <c r="M144" s="81"/>
      <c r="N144" s="81"/>
      <c r="O144" s="81"/>
      <c r="P144" s="81">
        <f t="shared" si="27"/>
        <v>164.52</v>
      </c>
      <c r="Q144" s="22"/>
      <c r="R144" s="32"/>
      <c r="S144" s="22"/>
    </row>
    <row r="145" spans="2:19" ht="17.45" customHeight="1">
      <c r="B145" s="31" t="s">
        <v>254</v>
      </c>
      <c r="C145" s="26" t="s">
        <v>255</v>
      </c>
      <c r="D145" s="81"/>
      <c r="E145" s="81"/>
      <c r="F145" s="81">
        <v>0</v>
      </c>
      <c r="G145" s="81"/>
      <c r="H145" s="81"/>
      <c r="I145" s="81"/>
      <c r="J145" s="81"/>
      <c r="K145" s="81"/>
      <c r="L145" s="81"/>
      <c r="M145" s="81"/>
      <c r="N145" s="81"/>
      <c r="O145" s="81"/>
      <c r="P145" s="81">
        <f t="shared" si="27"/>
        <v>0</v>
      </c>
      <c r="Q145" s="22"/>
      <c r="R145" s="32"/>
      <c r="S145" s="22"/>
    </row>
    <row r="146" spans="2:19" ht="17.45" customHeight="1">
      <c r="B146" s="31" t="s">
        <v>256</v>
      </c>
      <c r="C146" s="26" t="s">
        <v>257</v>
      </c>
      <c r="D146" s="81"/>
      <c r="E146" s="81"/>
      <c r="F146" s="81">
        <v>2255.6</v>
      </c>
      <c r="G146" s="81"/>
      <c r="H146" s="81"/>
      <c r="I146" s="81"/>
      <c r="J146" s="81"/>
      <c r="K146" s="81"/>
      <c r="L146" s="81"/>
      <c r="M146" s="81"/>
      <c r="N146" s="81"/>
      <c r="O146" s="81"/>
      <c r="P146" s="81">
        <f t="shared" si="27"/>
        <v>2255.6</v>
      </c>
      <c r="Q146" s="22"/>
      <c r="R146" s="32"/>
      <c r="S146" s="22"/>
    </row>
    <row r="147" spans="2:19" ht="17.45" customHeight="1">
      <c r="B147" s="31"/>
      <c r="C147" s="26" t="s">
        <v>258</v>
      </c>
      <c r="D147" s="81"/>
      <c r="E147" s="81"/>
      <c r="F147" s="81">
        <v>0</v>
      </c>
      <c r="G147" s="81"/>
      <c r="H147" s="81"/>
      <c r="I147" s="81"/>
      <c r="J147" s="81"/>
      <c r="K147" s="81"/>
      <c r="L147" s="81"/>
      <c r="M147" s="81"/>
      <c r="N147" s="81"/>
      <c r="O147" s="81"/>
      <c r="P147" s="81" t="s">
        <v>0</v>
      </c>
      <c r="Q147" s="22"/>
      <c r="R147" s="32"/>
      <c r="S147" s="22"/>
    </row>
    <row r="148" spans="2:19" ht="17.45" customHeight="1">
      <c r="B148" s="68" t="s">
        <v>259</v>
      </c>
      <c r="C148" s="67" t="s">
        <v>246</v>
      </c>
      <c r="D148" s="88">
        <f t="shared" ref="D148:P148" si="28">SUM(D141:D147)</f>
        <v>0</v>
      </c>
      <c r="E148" s="88">
        <f t="shared" si="28"/>
        <v>0</v>
      </c>
      <c r="F148" s="88">
        <f t="shared" si="28"/>
        <v>47557.299999999996</v>
      </c>
      <c r="G148" s="88">
        <f t="shared" si="28"/>
        <v>0</v>
      </c>
      <c r="H148" s="88">
        <f t="shared" si="28"/>
        <v>0</v>
      </c>
      <c r="I148" s="88">
        <f t="shared" si="28"/>
        <v>0</v>
      </c>
      <c r="J148" s="88">
        <f t="shared" si="28"/>
        <v>0</v>
      </c>
      <c r="K148" s="88">
        <f t="shared" si="28"/>
        <v>0</v>
      </c>
      <c r="L148" s="88">
        <f t="shared" si="28"/>
        <v>0</v>
      </c>
      <c r="M148" s="88">
        <f t="shared" si="28"/>
        <v>0</v>
      </c>
      <c r="N148" s="88">
        <f t="shared" si="28"/>
        <v>0</v>
      </c>
      <c r="O148" s="88">
        <f t="shared" si="28"/>
        <v>0</v>
      </c>
      <c r="P148" s="88" t="e">
        <f t="shared" si="28"/>
        <v>#VALUE!</v>
      </c>
      <c r="Q148" s="22"/>
      <c r="R148" s="32"/>
      <c r="S148" s="22"/>
    </row>
    <row r="149" spans="2:19" ht="17.45" customHeight="1">
      <c r="B149" s="31"/>
      <c r="C149" s="28" t="s">
        <v>260</v>
      </c>
      <c r="D149" s="81"/>
      <c r="E149" s="81"/>
      <c r="F149" s="81" t="s">
        <v>441</v>
      </c>
      <c r="G149" s="81"/>
      <c r="H149" s="81"/>
      <c r="I149" s="81"/>
      <c r="J149" s="81"/>
      <c r="K149" s="81"/>
      <c r="L149" s="81"/>
      <c r="M149" s="81"/>
      <c r="N149" s="81"/>
      <c r="O149" s="81"/>
      <c r="P149" s="81" t="e">
        <f>D149+E149+F149+G149+H149+I149+J149+K149+L149+M149+N149+O149</f>
        <v>#VALUE!</v>
      </c>
      <c r="Q149" s="22"/>
      <c r="R149" s="32"/>
      <c r="S149" s="22"/>
    </row>
    <row r="150" spans="2:19" ht="17.45" customHeight="1">
      <c r="B150" s="31" t="s">
        <v>261</v>
      </c>
      <c r="C150" s="26" t="s">
        <v>262</v>
      </c>
      <c r="D150" s="81"/>
      <c r="E150" s="81"/>
      <c r="F150" s="81">
        <v>0</v>
      </c>
      <c r="G150" s="81"/>
      <c r="H150" s="81"/>
      <c r="I150" s="81"/>
      <c r="J150" s="81"/>
      <c r="K150" s="81"/>
      <c r="L150" s="81"/>
      <c r="M150" s="81"/>
      <c r="N150" s="81"/>
      <c r="O150" s="81"/>
      <c r="P150" s="81">
        <f>D150+E150+F150+G150+H150+I150+J150+K150+L150+M150+N150+O150</f>
        <v>0</v>
      </c>
      <c r="Q150" s="22"/>
      <c r="R150" s="32"/>
      <c r="S150" s="22"/>
    </row>
    <row r="151" spans="2:19" ht="17.45" customHeight="1">
      <c r="B151" s="31" t="s">
        <v>263</v>
      </c>
      <c r="C151" s="26" t="s">
        <v>264</v>
      </c>
      <c r="D151" s="81"/>
      <c r="E151" s="81"/>
      <c r="F151" s="81">
        <v>118.19</v>
      </c>
      <c r="G151" s="81"/>
      <c r="H151" s="81"/>
      <c r="I151" s="81"/>
      <c r="J151" s="81"/>
      <c r="K151" s="81"/>
      <c r="L151" s="81"/>
      <c r="M151" s="81"/>
      <c r="N151" s="81"/>
      <c r="O151" s="81"/>
      <c r="P151" s="81">
        <f>D151+E151+F151+G151+H151+I151+J151+K151+L151+M151+N151+O151</f>
        <v>118.19</v>
      </c>
      <c r="Q151" s="22"/>
      <c r="R151" s="32"/>
      <c r="S151" s="22"/>
    </row>
    <row r="152" spans="2:19" ht="17.45" customHeight="1">
      <c r="B152" s="31" t="s">
        <v>265</v>
      </c>
      <c r="C152" s="26" t="s">
        <v>266</v>
      </c>
      <c r="D152" s="81"/>
      <c r="E152" s="81"/>
      <c r="F152" s="81">
        <v>0</v>
      </c>
      <c r="G152" s="81"/>
      <c r="H152" s="81"/>
      <c r="I152" s="81"/>
      <c r="J152" s="81"/>
      <c r="K152" s="81"/>
      <c r="L152" s="81"/>
      <c r="M152" s="81"/>
      <c r="N152" s="81"/>
      <c r="O152" s="81"/>
      <c r="P152" s="81">
        <f>D152+E152+F152+G152+H152+I152+J152+K152+L152+M152+N152+O152</f>
        <v>0</v>
      </c>
      <c r="Q152" s="22"/>
      <c r="R152" s="32"/>
      <c r="S152" s="22"/>
    </row>
    <row r="153" spans="2:19" ht="17.45" customHeight="1">
      <c r="B153" s="31" t="s">
        <v>267</v>
      </c>
      <c r="C153" s="26" t="s">
        <v>268</v>
      </c>
      <c r="D153" s="81">
        <v>0</v>
      </c>
      <c r="E153" s="81"/>
      <c r="F153" s="81">
        <v>471.06</v>
      </c>
      <c r="G153" s="81"/>
      <c r="H153" s="81"/>
      <c r="I153" s="81"/>
      <c r="J153" s="81"/>
      <c r="K153" s="81"/>
      <c r="L153" s="81"/>
      <c r="M153" s="81"/>
      <c r="N153" s="81"/>
      <c r="O153" s="81"/>
      <c r="P153" s="81">
        <f>D153+E153+F153+G153+H153+I153+J153+K153+L153+M153+N153+O153</f>
        <v>471.06</v>
      </c>
      <c r="Q153" s="22"/>
      <c r="R153" s="32"/>
      <c r="S153" s="22"/>
    </row>
    <row r="154" spans="2:19" ht="17.45" customHeight="1">
      <c r="B154" s="68" t="s">
        <v>269</v>
      </c>
      <c r="C154" s="67" t="s">
        <v>260</v>
      </c>
      <c r="D154" s="88">
        <f t="shared" ref="D154:O154" si="29">SUM(D151:D153)</f>
        <v>0</v>
      </c>
      <c r="E154" s="88">
        <f t="shared" si="29"/>
        <v>0</v>
      </c>
      <c r="F154" s="88">
        <f t="shared" si="29"/>
        <v>589.25</v>
      </c>
      <c r="G154" s="88">
        <f t="shared" si="29"/>
        <v>0</v>
      </c>
      <c r="H154" s="88">
        <f t="shared" si="29"/>
        <v>0</v>
      </c>
      <c r="I154" s="88">
        <f t="shared" si="29"/>
        <v>0</v>
      </c>
      <c r="J154" s="88">
        <f t="shared" si="29"/>
        <v>0</v>
      </c>
      <c r="K154" s="88">
        <f t="shared" si="29"/>
        <v>0</v>
      </c>
      <c r="L154" s="88">
        <f t="shared" si="29"/>
        <v>0</v>
      </c>
      <c r="M154" s="88">
        <f t="shared" si="29"/>
        <v>0</v>
      </c>
      <c r="N154" s="88">
        <f t="shared" si="29"/>
        <v>0</v>
      </c>
      <c r="O154" s="88">
        <f t="shared" si="29"/>
        <v>0</v>
      </c>
      <c r="P154" s="88">
        <f>SUM(P151:P153)</f>
        <v>589.25</v>
      </c>
      <c r="Q154" s="22"/>
      <c r="R154" s="32"/>
      <c r="S154" s="22"/>
    </row>
    <row r="155" spans="2:19" ht="17.45" customHeight="1">
      <c r="B155" s="31"/>
      <c r="C155" s="28" t="s">
        <v>270</v>
      </c>
      <c r="D155" s="81"/>
      <c r="E155" s="81"/>
      <c r="F155" s="81">
        <v>0</v>
      </c>
      <c r="G155" s="81"/>
      <c r="H155" s="81"/>
      <c r="I155" s="81"/>
      <c r="J155" s="81"/>
      <c r="K155" s="81"/>
      <c r="L155" s="81"/>
      <c r="M155" s="81"/>
      <c r="N155" s="81"/>
      <c r="O155" s="81"/>
      <c r="P155" s="81">
        <f>D155+E155+F155+G155+H155+I155+J155+K155+L155+M155+N155+O155</f>
        <v>0</v>
      </c>
      <c r="Q155" s="22"/>
      <c r="R155" s="32"/>
      <c r="S155" s="22"/>
    </row>
    <row r="156" spans="2:19" ht="17.45" customHeight="1">
      <c r="B156" s="31" t="s">
        <v>271</v>
      </c>
      <c r="C156" s="26" t="s">
        <v>272</v>
      </c>
      <c r="D156" s="81"/>
      <c r="E156" s="81"/>
      <c r="F156" s="81">
        <v>0</v>
      </c>
      <c r="G156" s="81"/>
      <c r="H156" s="81"/>
      <c r="I156" s="81"/>
      <c r="J156" s="81"/>
      <c r="K156" s="81"/>
      <c r="L156" s="81"/>
      <c r="M156" s="81"/>
      <c r="N156" s="81"/>
      <c r="O156" s="81"/>
      <c r="P156" s="81">
        <f>D156+E156+F156+G156+H156+I156+J156+K156+L156+M156+N156+O156</f>
        <v>0</v>
      </c>
      <c r="Q156" s="22"/>
      <c r="R156" s="32"/>
      <c r="S156" s="22"/>
    </row>
    <row r="157" spans="2:19" ht="17.45" customHeight="1">
      <c r="B157" s="31" t="s">
        <v>273</v>
      </c>
      <c r="C157" s="26" t="s">
        <v>129</v>
      </c>
      <c r="D157" s="81"/>
      <c r="E157" s="81"/>
      <c r="F157" s="81">
        <v>82.93</v>
      </c>
      <c r="G157" s="81"/>
      <c r="H157" s="81"/>
      <c r="I157" s="81"/>
      <c r="J157" s="81"/>
      <c r="K157" s="81"/>
      <c r="L157" s="81"/>
      <c r="M157" s="81"/>
      <c r="N157" s="81"/>
      <c r="O157" s="81"/>
      <c r="P157" s="81">
        <f>D157+E157+F157+G157+H157+I157+J157+K157+L157+M157+N157+O157</f>
        <v>82.93</v>
      </c>
      <c r="Q157" s="22"/>
      <c r="R157" s="32"/>
      <c r="S157" s="22"/>
    </row>
    <row r="158" spans="2:19" ht="17.45" customHeight="1">
      <c r="B158" s="68" t="s">
        <v>274</v>
      </c>
      <c r="C158" s="67" t="s">
        <v>270</v>
      </c>
      <c r="D158" s="88">
        <f>D157+D156</f>
        <v>0</v>
      </c>
      <c r="E158" s="88">
        <f t="shared" ref="E158:P158" si="30">E157+E156</f>
        <v>0</v>
      </c>
      <c r="F158" s="88">
        <f t="shared" si="30"/>
        <v>82.93</v>
      </c>
      <c r="G158" s="88">
        <f t="shared" si="30"/>
        <v>0</v>
      </c>
      <c r="H158" s="88">
        <f t="shared" si="30"/>
        <v>0</v>
      </c>
      <c r="I158" s="88">
        <f t="shared" si="30"/>
        <v>0</v>
      </c>
      <c r="J158" s="88">
        <f t="shared" si="30"/>
        <v>0</v>
      </c>
      <c r="K158" s="88">
        <f t="shared" si="30"/>
        <v>0</v>
      </c>
      <c r="L158" s="88">
        <f t="shared" si="30"/>
        <v>0</v>
      </c>
      <c r="M158" s="88">
        <f t="shared" si="30"/>
        <v>0</v>
      </c>
      <c r="N158" s="88">
        <f t="shared" si="30"/>
        <v>0</v>
      </c>
      <c r="O158" s="88">
        <f t="shared" si="30"/>
        <v>0</v>
      </c>
      <c r="P158" s="88">
        <f t="shared" si="30"/>
        <v>82.93</v>
      </c>
      <c r="Q158" s="22"/>
      <c r="R158" s="32"/>
      <c r="S158" s="22"/>
    </row>
    <row r="159" spans="2:19" ht="17.45" customHeight="1">
      <c r="B159" s="31" t="s">
        <v>275</v>
      </c>
      <c r="C159" s="26" t="s">
        <v>276</v>
      </c>
      <c r="D159" s="81"/>
      <c r="E159" s="81"/>
      <c r="F159" s="81" t="s">
        <v>441</v>
      </c>
      <c r="G159" s="81"/>
      <c r="H159" s="81"/>
      <c r="I159" s="81"/>
      <c r="J159" s="81"/>
      <c r="K159" s="81"/>
      <c r="L159" s="81"/>
      <c r="M159" s="81"/>
      <c r="N159" s="81"/>
      <c r="O159" s="81"/>
      <c r="P159" s="81" t="e">
        <f t="shared" ref="P159:P169" si="31">D159+E159+F159+G159+H159+I159+J159+K159+L159+M159+N159+O159</f>
        <v>#VALUE!</v>
      </c>
      <c r="Q159" s="22"/>
      <c r="R159" s="32"/>
      <c r="S159" s="22"/>
    </row>
    <row r="160" spans="2:19" ht="17.45" customHeight="1">
      <c r="B160" s="31" t="s">
        <v>277</v>
      </c>
      <c r="C160" s="26" t="s">
        <v>278</v>
      </c>
      <c r="D160" s="81"/>
      <c r="E160" s="81"/>
      <c r="F160" s="81">
        <v>0</v>
      </c>
      <c r="G160" s="81"/>
      <c r="H160" s="81"/>
      <c r="I160" s="81"/>
      <c r="J160" s="81"/>
      <c r="K160" s="81"/>
      <c r="L160" s="81"/>
      <c r="M160" s="81"/>
      <c r="N160" s="81"/>
      <c r="O160" s="81"/>
      <c r="P160" s="81">
        <f t="shared" si="31"/>
        <v>0</v>
      </c>
      <c r="Q160" s="22"/>
      <c r="R160" s="32"/>
      <c r="S160" s="22"/>
    </row>
    <row r="161" spans="2:19" ht="17.45" customHeight="1">
      <c r="B161" s="31"/>
      <c r="C161" s="26" t="s">
        <v>279</v>
      </c>
      <c r="D161" s="81"/>
      <c r="E161" s="81"/>
      <c r="F161" s="81">
        <v>743.73</v>
      </c>
      <c r="G161" s="81"/>
      <c r="H161" s="81"/>
      <c r="I161" s="81"/>
      <c r="J161" s="81"/>
      <c r="K161" s="81"/>
      <c r="L161" s="81"/>
      <c r="M161" s="81"/>
      <c r="N161" s="81"/>
      <c r="O161" s="81"/>
      <c r="P161" s="81">
        <f t="shared" si="31"/>
        <v>743.73</v>
      </c>
      <c r="Q161" s="22"/>
      <c r="R161" s="32"/>
      <c r="S161" s="22"/>
    </row>
    <row r="162" spans="2:19" ht="17.45" customHeight="1">
      <c r="B162" s="31" t="s">
        <v>280</v>
      </c>
      <c r="C162" s="26" t="s">
        <v>281</v>
      </c>
      <c r="D162" s="81"/>
      <c r="E162" s="81"/>
      <c r="F162" s="81">
        <v>0</v>
      </c>
      <c r="G162" s="81"/>
      <c r="H162" s="81"/>
      <c r="I162" s="81"/>
      <c r="J162" s="81"/>
      <c r="K162" s="81"/>
      <c r="L162" s="81"/>
      <c r="M162" s="81"/>
      <c r="N162" s="81"/>
      <c r="O162" s="81"/>
      <c r="P162" s="81">
        <f t="shared" si="31"/>
        <v>0</v>
      </c>
      <c r="Q162" s="22"/>
      <c r="R162" s="32"/>
      <c r="S162" s="22"/>
    </row>
    <row r="163" spans="2:19" ht="17.45" customHeight="1">
      <c r="B163" s="31" t="s">
        <v>282</v>
      </c>
      <c r="C163" s="26" t="s">
        <v>283</v>
      </c>
      <c r="D163" s="81"/>
      <c r="E163" s="81"/>
      <c r="F163" s="81">
        <v>161.93</v>
      </c>
      <c r="G163" s="81"/>
      <c r="H163" s="81"/>
      <c r="I163" s="81"/>
      <c r="J163" s="81"/>
      <c r="K163" s="81"/>
      <c r="L163" s="81"/>
      <c r="M163" s="81"/>
      <c r="N163" s="81"/>
      <c r="O163" s="81"/>
      <c r="P163" s="81">
        <f t="shared" si="31"/>
        <v>161.93</v>
      </c>
      <c r="Q163" s="22"/>
      <c r="R163" s="32"/>
      <c r="S163" s="22"/>
    </row>
    <row r="164" spans="2:19" ht="17.45" customHeight="1">
      <c r="B164" s="31" t="s">
        <v>284</v>
      </c>
      <c r="C164" s="26" t="s">
        <v>285</v>
      </c>
      <c r="D164" s="81"/>
      <c r="E164" s="81"/>
      <c r="F164" s="81">
        <v>573.72</v>
      </c>
      <c r="G164" s="81"/>
      <c r="H164" s="81"/>
      <c r="I164" s="81"/>
      <c r="J164" s="81"/>
      <c r="K164" s="81"/>
      <c r="L164" s="81"/>
      <c r="M164" s="81"/>
      <c r="N164" s="81"/>
      <c r="O164" s="81"/>
      <c r="P164" s="81">
        <f t="shared" si="31"/>
        <v>573.72</v>
      </c>
      <c r="Q164" s="22"/>
      <c r="R164" s="32"/>
      <c r="S164" s="22"/>
    </row>
    <row r="165" spans="2:19" ht="17.45" customHeight="1">
      <c r="B165" s="31" t="s">
        <v>286</v>
      </c>
      <c r="C165" s="26" t="s">
        <v>287</v>
      </c>
      <c r="D165" s="81"/>
      <c r="E165" s="81"/>
      <c r="F165" s="81">
        <v>161.93</v>
      </c>
      <c r="G165" s="81"/>
      <c r="H165" s="81"/>
      <c r="I165" s="81"/>
      <c r="J165" s="81"/>
      <c r="K165" s="81"/>
      <c r="L165" s="81"/>
      <c r="M165" s="81"/>
      <c r="N165" s="81"/>
      <c r="O165" s="81"/>
      <c r="P165" s="81">
        <f t="shared" si="31"/>
        <v>161.93</v>
      </c>
      <c r="Q165" s="22"/>
      <c r="R165" s="32"/>
      <c r="S165" s="22"/>
    </row>
    <row r="166" spans="2:19" ht="17.45" customHeight="1">
      <c r="B166" s="31"/>
      <c r="C166" s="28" t="s">
        <v>288</v>
      </c>
      <c r="D166" s="81"/>
      <c r="E166" s="81"/>
      <c r="F166" s="81">
        <v>0</v>
      </c>
      <c r="G166" s="81"/>
      <c r="H166" s="81"/>
      <c r="I166" s="81"/>
      <c r="J166" s="81"/>
      <c r="K166" s="81"/>
      <c r="L166" s="81"/>
      <c r="M166" s="81"/>
      <c r="N166" s="81"/>
      <c r="O166" s="81"/>
      <c r="P166" s="81">
        <f t="shared" si="31"/>
        <v>0</v>
      </c>
      <c r="Q166" s="22"/>
      <c r="R166" s="32"/>
      <c r="S166" s="22"/>
    </row>
    <row r="167" spans="2:19" ht="17.45" customHeight="1">
      <c r="B167" s="31" t="s">
        <v>289</v>
      </c>
      <c r="C167" s="26" t="s">
        <v>290</v>
      </c>
      <c r="D167" s="81"/>
      <c r="E167" s="81"/>
      <c r="F167" s="81">
        <v>124.14</v>
      </c>
      <c r="G167" s="81"/>
      <c r="H167" s="81"/>
      <c r="I167" s="81"/>
      <c r="J167" s="81"/>
      <c r="K167" s="81"/>
      <c r="L167" s="81"/>
      <c r="M167" s="81"/>
      <c r="N167" s="81"/>
      <c r="O167" s="81"/>
      <c r="P167" s="81">
        <f t="shared" si="31"/>
        <v>124.14</v>
      </c>
      <c r="Q167" s="22"/>
      <c r="R167" s="32"/>
      <c r="S167" s="22"/>
    </row>
    <row r="168" spans="2:19" ht="17.45" customHeight="1">
      <c r="B168" s="31" t="s">
        <v>291</v>
      </c>
      <c r="C168" s="26" t="s">
        <v>292</v>
      </c>
      <c r="D168" s="81"/>
      <c r="E168" s="81"/>
      <c r="F168" s="81">
        <v>0</v>
      </c>
      <c r="G168" s="81"/>
      <c r="H168" s="81"/>
      <c r="I168" s="81"/>
      <c r="J168" s="81"/>
      <c r="K168" s="81"/>
      <c r="L168" s="81"/>
      <c r="M168" s="81"/>
      <c r="N168" s="81"/>
      <c r="O168" s="81"/>
      <c r="P168" s="81">
        <f t="shared" si="31"/>
        <v>0</v>
      </c>
      <c r="Q168" s="22"/>
      <c r="R168" s="32"/>
      <c r="S168" s="22"/>
    </row>
    <row r="169" spans="2:19" ht="17.45" customHeight="1">
      <c r="B169" s="31" t="s">
        <v>293</v>
      </c>
      <c r="C169" s="26" t="s">
        <v>294</v>
      </c>
      <c r="D169" s="81"/>
      <c r="E169" s="81"/>
      <c r="F169" s="81">
        <v>0</v>
      </c>
      <c r="G169" s="81"/>
      <c r="H169" s="81"/>
      <c r="I169" s="81"/>
      <c r="J169" s="81"/>
      <c r="K169" s="81"/>
      <c r="L169" s="81"/>
      <c r="M169" s="81"/>
      <c r="N169" s="81"/>
      <c r="O169" s="81"/>
      <c r="P169" s="81">
        <f t="shared" si="31"/>
        <v>0</v>
      </c>
      <c r="Q169" s="22"/>
      <c r="R169" s="32"/>
      <c r="S169" s="22"/>
    </row>
    <row r="170" spans="2:19" ht="17.45" customHeight="1">
      <c r="B170" s="68" t="s">
        <v>295</v>
      </c>
      <c r="C170" s="67" t="s">
        <v>288</v>
      </c>
      <c r="D170" s="88">
        <f t="shared" ref="D170:O170" si="32">SUM(D167:D169)</f>
        <v>0</v>
      </c>
      <c r="E170" s="88">
        <f t="shared" si="32"/>
        <v>0</v>
      </c>
      <c r="F170" s="88">
        <f t="shared" si="32"/>
        <v>124.14</v>
      </c>
      <c r="G170" s="88">
        <f t="shared" si="32"/>
        <v>0</v>
      </c>
      <c r="H170" s="88">
        <f t="shared" si="32"/>
        <v>0</v>
      </c>
      <c r="I170" s="88">
        <f t="shared" si="32"/>
        <v>0</v>
      </c>
      <c r="J170" s="88">
        <f t="shared" si="32"/>
        <v>0</v>
      </c>
      <c r="K170" s="88">
        <f t="shared" si="32"/>
        <v>0</v>
      </c>
      <c r="L170" s="88">
        <f t="shared" si="32"/>
        <v>0</v>
      </c>
      <c r="M170" s="88">
        <f t="shared" si="32"/>
        <v>0</v>
      </c>
      <c r="N170" s="88">
        <f t="shared" si="32"/>
        <v>0</v>
      </c>
      <c r="O170" s="88">
        <f t="shared" si="32"/>
        <v>0</v>
      </c>
      <c r="P170" s="88">
        <f>SUM(P167:P169)</f>
        <v>124.14</v>
      </c>
      <c r="Q170" s="22"/>
      <c r="R170" s="32"/>
      <c r="S170" s="22"/>
    </row>
    <row r="171" spans="2:19" ht="17.45" customHeight="1">
      <c r="B171" s="31"/>
      <c r="C171" s="28" t="s">
        <v>296</v>
      </c>
      <c r="D171" s="81"/>
      <c r="E171" s="81"/>
      <c r="F171" s="81">
        <v>0</v>
      </c>
      <c r="G171" s="81"/>
      <c r="H171" s="81"/>
      <c r="I171" s="81"/>
      <c r="J171" s="81"/>
      <c r="K171" s="81"/>
      <c r="L171" s="81"/>
      <c r="M171" s="81"/>
      <c r="N171" s="81"/>
      <c r="O171" s="81"/>
      <c r="P171" s="81">
        <f>D171+E171+F171+G171+H171+I171+J171+K171+L171+M171+N171+O171</f>
        <v>0</v>
      </c>
      <c r="Q171" s="22"/>
      <c r="R171" s="32"/>
      <c r="S171" s="22"/>
    </row>
    <row r="172" spans="2:19" ht="17.45" customHeight="1">
      <c r="B172" s="31" t="s">
        <v>297</v>
      </c>
      <c r="C172" s="26" t="s">
        <v>298</v>
      </c>
      <c r="D172" s="81"/>
      <c r="E172" s="81"/>
      <c r="F172" s="81" t="s">
        <v>441</v>
      </c>
      <c r="G172" s="81"/>
      <c r="H172" s="81"/>
      <c r="I172" s="81"/>
      <c r="J172" s="81"/>
      <c r="K172" s="81"/>
      <c r="L172" s="81"/>
      <c r="M172" s="81"/>
      <c r="N172" s="81"/>
      <c r="O172" s="81"/>
      <c r="P172" s="81" t="e">
        <f>D172+E172+F172+G172+H172+I172+J172+K172+L172+M172+N172+O172</f>
        <v>#VALUE!</v>
      </c>
      <c r="Q172" s="22"/>
      <c r="R172" s="32"/>
      <c r="S172" s="22"/>
    </row>
    <row r="173" spans="2:19" ht="17.45" customHeight="1">
      <c r="B173" s="31" t="s">
        <v>299</v>
      </c>
      <c r="C173" s="26" t="s">
        <v>300</v>
      </c>
      <c r="D173" s="81"/>
      <c r="E173" s="81"/>
      <c r="F173" s="81">
        <v>0</v>
      </c>
      <c r="G173" s="81"/>
      <c r="H173" s="81"/>
      <c r="I173" s="81"/>
      <c r="J173" s="81"/>
      <c r="K173" s="81"/>
      <c r="L173" s="81"/>
      <c r="M173" s="81"/>
      <c r="N173" s="81"/>
      <c r="O173" s="81"/>
      <c r="P173" s="81">
        <f>D173+E173+F173+G173+H173+I173+J173+K173+L173+M173+N173+O173</f>
        <v>0</v>
      </c>
      <c r="Q173" s="22"/>
      <c r="R173" s="32"/>
      <c r="S173" s="22"/>
    </row>
    <row r="174" spans="2:19" ht="17.45" customHeight="1">
      <c r="B174" s="31" t="s">
        <v>301</v>
      </c>
      <c r="C174" s="26" t="s">
        <v>302</v>
      </c>
      <c r="D174" s="81"/>
      <c r="E174" s="81"/>
      <c r="F174" s="81" t="s">
        <v>441</v>
      </c>
      <c r="G174" s="81"/>
      <c r="H174" s="81"/>
      <c r="I174" s="81"/>
      <c r="J174" s="81"/>
      <c r="K174" s="81"/>
      <c r="L174" s="81"/>
      <c r="M174" s="81"/>
      <c r="N174" s="81"/>
      <c r="O174" s="81"/>
      <c r="P174" s="81" t="e">
        <f>D174+E174+F174+G174+H174+I174+J174+K174+L174+M174+N174+O174</f>
        <v>#VALUE!</v>
      </c>
      <c r="Q174" s="22"/>
      <c r="R174" s="32"/>
      <c r="S174" s="22"/>
    </row>
    <row r="175" spans="2:19" ht="17.45" customHeight="1">
      <c r="B175" s="68" t="s">
        <v>303</v>
      </c>
      <c r="C175" s="67" t="s">
        <v>296</v>
      </c>
      <c r="D175" s="88">
        <f t="shared" ref="D175:O175" si="33">SUM(D172:D174)</f>
        <v>0</v>
      </c>
      <c r="E175" s="88">
        <f t="shared" si="33"/>
        <v>0</v>
      </c>
      <c r="F175" s="88">
        <f t="shared" si="33"/>
        <v>0</v>
      </c>
      <c r="G175" s="88">
        <f t="shared" si="33"/>
        <v>0</v>
      </c>
      <c r="H175" s="88">
        <f t="shared" si="33"/>
        <v>0</v>
      </c>
      <c r="I175" s="88">
        <f t="shared" si="33"/>
        <v>0</v>
      </c>
      <c r="J175" s="88">
        <f t="shared" si="33"/>
        <v>0</v>
      </c>
      <c r="K175" s="88">
        <f t="shared" si="33"/>
        <v>0</v>
      </c>
      <c r="L175" s="88">
        <f t="shared" si="33"/>
        <v>0</v>
      </c>
      <c r="M175" s="88">
        <f t="shared" si="33"/>
        <v>0</v>
      </c>
      <c r="N175" s="88">
        <f t="shared" si="33"/>
        <v>0</v>
      </c>
      <c r="O175" s="88">
        <f t="shared" si="33"/>
        <v>0</v>
      </c>
      <c r="P175" s="88" t="e">
        <f>SUM(P172:P174)</f>
        <v>#VALUE!</v>
      </c>
      <c r="Q175" s="22"/>
      <c r="R175" s="32"/>
      <c r="S175" s="22"/>
    </row>
    <row r="176" spans="2:19" ht="17.45" customHeight="1">
      <c r="B176" s="31" t="s">
        <v>304</v>
      </c>
      <c r="C176" s="26" t="s">
        <v>305</v>
      </c>
      <c r="D176" s="81"/>
      <c r="E176" s="81"/>
      <c r="F176" s="81">
        <v>4004.44</v>
      </c>
      <c r="G176" s="81"/>
      <c r="H176" s="81"/>
      <c r="I176" s="81"/>
      <c r="J176" s="81"/>
      <c r="K176" s="81"/>
      <c r="L176" s="81"/>
      <c r="M176" s="81"/>
      <c r="N176" s="81"/>
      <c r="O176" s="81"/>
      <c r="P176" s="81">
        <f t="shared" ref="P176:P181" si="34">D176+E176+F176+G176+H176+I176+J176+K176+L176+M176+N176+O176</f>
        <v>4004.44</v>
      </c>
      <c r="Q176" s="22"/>
      <c r="R176" s="32"/>
      <c r="S176" s="22"/>
    </row>
    <row r="177" spans="2:19" ht="17.45" customHeight="1">
      <c r="B177" s="31" t="s">
        <v>306</v>
      </c>
      <c r="C177" s="26" t="s">
        <v>307</v>
      </c>
      <c r="D177" s="81"/>
      <c r="E177" s="81"/>
      <c r="F177" s="81">
        <v>1089.1300000000001</v>
      </c>
      <c r="G177" s="81"/>
      <c r="H177" s="81"/>
      <c r="I177" s="81"/>
      <c r="J177" s="81"/>
      <c r="K177" s="81"/>
      <c r="L177" s="81"/>
      <c r="M177" s="81"/>
      <c r="N177" s="81"/>
      <c r="O177" s="81"/>
      <c r="P177" s="81">
        <f t="shared" si="34"/>
        <v>1089.1300000000001</v>
      </c>
      <c r="Q177" s="22"/>
      <c r="R177" s="32"/>
      <c r="S177" s="22"/>
    </row>
    <row r="178" spans="2:19" ht="17.45" customHeight="1">
      <c r="B178" s="31"/>
      <c r="C178" s="28" t="s">
        <v>308</v>
      </c>
      <c r="D178" s="81"/>
      <c r="E178" s="81"/>
      <c r="F178" s="81">
        <v>0</v>
      </c>
      <c r="G178" s="81"/>
      <c r="H178" s="81"/>
      <c r="I178" s="81"/>
      <c r="J178" s="81"/>
      <c r="K178" s="81"/>
      <c r="L178" s="81"/>
      <c r="M178" s="81"/>
      <c r="N178" s="81"/>
      <c r="O178" s="81"/>
      <c r="P178" s="81">
        <f t="shared" si="34"/>
        <v>0</v>
      </c>
      <c r="Q178" s="22"/>
      <c r="R178" s="32"/>
      <c r="S178" s="22"/>
    </row>
    <row r="179" spans="2:19" ht="17.45" customHeight="1">
      <c r="B179" s="31" t="s">
        <v>309</v>
      </c>
      <c r="C179" s="26" t="s">
        <v>310</v>
      </c>
      <c r="D179" s="81"/>
      <c r="E179" s="81"/>
      <c r="F179" s="81" t="s">
        <v>441</v>
      </c>
      <c r="G179" s="81"/>
      <c r="H179" s="81"/>
      <c r="I179" s="81"/>
      <c r="J179" s="81"/>
      <c r="K179" s="81"/>
      <c r="L179" s="81"/>
      <c r="M179" s="81"/>
      <c r="N179" s="81"/>
      <c r="O179" s="81"/>
      <c r="P179" s="81" t="e">
        <f t="shared" si="34"/>
        <v>#VALUE!</v>
      </c>
      <c r="Q179" s="22"/>
      <c r="R179" s="32"/>
      <c r="S179" s="22"/>
    </row>
    <row r="180" spans="2:19" ht="17.45" customHeight="1">
      <c r="B180" s="31" t="s">
        <v>311</v>
      </c>
      <c r="C180" s="26" t="s">
        <v>312</v>
      </c>
      <c r="D180" s="81"/>
      <c r="E180" s="81"/>
      <c r="F180" s="81" t="s">
        <v>441</v>
      </c>
      <c r="G180" s="81"/>
      <c r="H180" s="81"/>
      <c r="I180" s="81"/>
      <c r="J180" s="81"/>
      <c r="K180" s="81"/>
      <c r="L180" s="81"/>
      <c r="M180" s="81"/>
      <c r="N180" s="81"/>
      <c r="O180" s="81"/>
      <c r="P180" s="81" t="e">
        <f t="shared" si="34"/>
        <v>#VALUE!</v>
      </c>
      <c r="Q180" s="22"/>
      <c r="R180" s="32"/>
      <c r="S180" s="22"/>
    </row>
    <row r="181" spans="2:19" ht="17.45" customHeight="1">
      <c r="B181" s="31"/>
      <c r="C181" s="26" t="s">
        <v>313</v>
      </c>
      <c r="D181" s="81"/>
      <c r="E181" s="81"/>
      <c r="F181" s="81">
        <v>0</v>
      </c>
      <c r="G181" s="81"/>
      <c r="H181" s="81"/>
      <c r="I181" s="81"/>
      <c r="J181" s="81"/>
      <c r="K181" s="81"/>
      <c r="L181" s="81"/>
      <c r="M181" s="81"/>
      <c r="N181" s="81"/>
      <c r="O181" s="81"/>
      <c r="P181" s="81">
        <f t="shared" si="34"/>
        <v>0</v>
      </c>
      <c r="Q181" s="22"/>
      <c r="R181" s="32"/>
      <c r="S181" s="22"/>
    </row>
    <row r="182" spans="2:19" ht="17.45" customHeight="1">
      <c r="B182" s="68" t="s">
        <v>314</v>
      </c>
      <c r="C182" s="67" t="s">
        <v>308</v>
      </c>
      <c r="D182" s="88">
        <f t="shared" ref="D182:O182" si="35">SUM(D179:D181)</f>
        <v>0</v>
      </c>
      <c r="E182" s="88">
        <f t="shared" si="35"/>
        <v>0</v>
      </c>
      <c r="F182" s="88">
        <f t="shared" si="35"/>
        <v>0</v>
      </c>
      <c r="G182" s="88">
        <f t="shared" si="35"/>
        <v>0</v>
      </c>
      <c r="H182" s="88">
        <f t="shared" si="35"/>
        <v>0</v>
      </c>
      <c r="I182" s="88">
        <f t="shared" si="35"/>
        <v>0</v>
      </c>
      <c r="J182" s="88">
        <f t="shared" si="35"/>
        <v>0</v>
      </c>
      <c r="K182" s="88">
        <f t="shared" si="35"/>
        <v>0</v>
      </c>
      <c r="L182" s="88">
        <f t="shared" si="35"/>
        <v>0</v>
      </c>
      <c r="M182" s="88">
        <f t="shared" si="35"/>
        <v>0</v>
      </c>
      <c r="N182" s="88">
        <f t="shared" si="35"/>
        <v>0</v>
      </c>
      <c r="O182" s="88">
        <f t="shared" si="35"/>
        <v>0</v>
      </c>
      <c r="P182" s="88" t="e">
        <f>SUM(P179:P181)</f>
        <v>#VALUE!</v>
      </c>
      <c r="Q182" s="22"/>
      <c r="R182" s="32"/>
      <c r="S182" s="22"/>
    </row>
    <row r="183" spans="2:19" ht="17.45" customHeight="1">
      <c r="B183" s="31"/>
      <c r="C183" s="28" t="s">
        <v>315</v>
      </c>
      <c r="D183" s="81"/>
      <c r="E183" s="81"/>
      <c r="F183" s="81">
        <v>0</v>
      </c>
      <c r="G183" s="81"/>
      <c r="H183" s="81"/>
      <c r="I183" s="81"/>
      <c r="J183" s="81"/>
      <c r="K183" s="81"/>
      <c r="L183" s="81"/>
      <c r="M183" s="81"/>
      <c r="N183" s="81"/>
      <c r="O183" s="81"/>
      <c r="P183" s="81">
        <f>D183+E183+F183+G183+H183+I183+J183+K183+L183+M183+N183+O183</f>
        <v>0</v>
      </c>
      <c r="Q183" s="22"/>
      <c r="R183" s="32"/>
      <c r="S183" s="22"/>
    </row>
    <row r="184" spans="2:19" ht="17.45" customHeight="1">
      <c r="B184" s="31" t="s">
        <v>316</v>
      </c>
      <c r="C184" s="26" t="s">
        <v>171</v>
      </c>
      <c r="D184" s="81"/>
      <c r="E184" s="81"/>
      <c r="F184" s="81">
        <v>1388.61</v>
      </c>
      <c r="G184" s="81"/>
      <c r="H184" s="81"/>
      <c r="I184" s="81"/>
      <c r="J184" s="81"/>
      <c r="K184" s="81"/>
      <c r="L184" s="81"/>
      <c r="M184" s="81"/>
      <c r="N184" s="81"/>
      <c r="O184" s="81"/>
      <c r="P184" s="81">
        <f>D184+E184+F184+G184+H184+I184+J184+K184+L184+M184+N184+O184</f>
        <v>1388.61</v>
      </c>
      <c r="Q184" s="22"/>
      <c r="R184" s="32"/>
      <c r="S184" s="22"/>
    </row>
    <row r="185" spans="2:19" ht="17.45" customHeight="1">
      <c r="B185" s="31"/>
      <c r="C185" s="26" t="s">
        <v>317</v>
      </c>
      <c r="D185" s="81"/>
      <c r="E185" s="81"/>
      <c r="F185" s="81">
        <v>764.4</v>
      </c>
      <c r="G185" s="81"/>
      <c r="H185" s="81"/>
      <c r="I185" s="81"/>
      <c r="J185" s="81"/>
      <c r="K185" s="81"/>
      <c r="L185" s="81"/>
      <c r="M185" s="81"/>
      <c r="N185" s="81"/>
      <c r="O185" s="81"/>
      <c r="P185" s="81">
        <f>D185+E185+F185+G185+H185+I185+J185+K185+L185+M185+N185+O185</f>
        <v>764.4</v>
      </c>
      <c r="Q185" s="22"/>
      <c r="R185" s="32"/>
      <c r="S185" s="22"/>
    </row>
    <row r="186" spans="2:19" ht="17.45" customHeight="1">
      <c r="B186" s="31" t="s">
        <v>318</v>
      </c>
      <c r="C186" s="26" t="s">
        <v>319</v>
      </c>
      <c r="D186" s="81"/>
      <c r="E186" s="81"/>
      <c r="F186" s="81">
        <v>0</v>
      </c>
      <c r="G186" s="81"/>
      <c r="H186" s="81"/>
      <c r="I186" s="81"/>
      <c r="J186" s="81"/>
      <c r="K186" s="81"/>
      <c r="L186" s="81"/>
      <c r="M186" s="81"/>
      <c r="N186" s="81"/>
      <c r="O186" s="81"/>
      <c r="P186" s="81">
        <f>D186+E186+F186+G186+H186+I186+J186+K186+L186+M186+N186+O186</f>
        <v>0</v>
      </c>
      <c r="Q186" s="22"/>
      <c r="R186" s="32"/>
      <c r="S186" s="22"/>
    </row>
    <row r="187" spans="2:19" ht="17.45" customHeight="1">
      <c r="B187" s="68" t="s">
        <v>320</v>
      </c>
      <c r="C187" s="67" t="s">
        <v>315</v>
      </c>
      <c r="D187" s="88">
        <f t="shared" ref="D187:P187" si="36">SUM(D184:D186)</f>
        <v>0</v>
      </c>
      <c r="E187" s="88">
        <f t="shared" si="36"/>
        <v>0</v>
      </c>
      <c r="F187" s="88">
        <f t="shared" si="36"/>
        <v>2153.0099999999998</v>
      </c>
      <c r="G187" s="88">
        <f t="shared" si="36"/>
        <v>0</v>
      </c>
      <c r="H187" s="88">
        <f t="shared" si="36"/>
        <v>0</v>
      </c>
      <c r="I187" s="88">
        <f t="shared" si="36"/>
        <v>0</v>
      </c>
      <c r="J187" s="88">
        <f t="shared" si="36"/>
        <v>0</v>
      </c>
      <c r="K187" s="88">
        <f t="shared" si="36"/>
        <v>0</v>
      </c>
      <c r="L187" s="88">
        <f t="shared" si="36"/>
        <v>0</v>
      </c>
      <c r="M187" s="88">
        <f t="shared" si="36"/>
        <v>0</v>
      </c>
      <c r="N187" s="88">
        <f t="shared" si="36"/>
        <v>0</v>
      </c>
      <c r="O187" s="88">
        <f t="shared" si="36"/>
        <v>0</v>
      </c>
      <c r="P187" s="88">
        <f t="shared" si="36"/>
        <v>2153.0099999999998</v>
      </c>
      <c r="Q187" s="22"/>
      <c r="R187" s="32"/>
      <c r="S187" s="22"/>
    </row>
    <row r="188" spans="2:19" ht="17.45" customHeight="1">
      <c r="B188" s="31" t="s">
        <v>321</v>
      </c>
      <c r="C188" s="28" t="s">
        <v>322</v>
      </c>
      <c r="D188" s="81"/>
      <c r="E188" s="81"/>
      <c r="F188" s="81">
        <v>0</v>
      </c>
      <c r="G188" s="81"/>
      <c r="H188" s="81"/>
      <c r="I188" s="81"/>
      <c r="J188" s="81"/>
      <c r="K188" s="81"/>
      <c r="L188" s="81"/>
      <c r="M188" s="81"/>
      <c r="N188" s="81"/>
      <c r="O188" s="81"/>
      <c r="P188" s="81">
        <f t="shared" ref="P188:P194" si="37">D188+E188+F188+G188+H188+I188+J188+K188+L188+M188+N188+O188</f>
        <v>0</v>
      </c>
      <c r="Q188" s="22"/>
      <c r="R188" s="32"/>
      <c r="S188" s="22"/>
    </row>
    <row r="189" spans="2:19" ht="17.45" customHeight="1">
      <c r="B189" s="31" t="s">
        <v>323</v>
      </c>
      <c r="C189" s="26" t="s">
        <v>324</v>
      </c>
      <c r="D189" s="81"/>
      <c r="E189" s="81"/>
      <c r="F189" s="81">
        <v>1318.26</v>
      </c>
      <c r="G189" s="81"/>
      <c r="H189" s="81"/>
      <c r="I189" s="81"/>
      <c r="J189" s="81"/>
      <c r="K189" s="81"/>
      <c r="L189" s="81"/>
      <c r="M189" s="81"/>
      <c r="N189" s="81"/>
      <c r="O189" s="81"/>
      <c r="P189" s="81">
        <f t="shared" si="37"/>
        <v>1318.26</v>
      </c>
      <c r="Q189" s="22"/>
      <c r="R189" s="32"/>
      <c r="S189" s="22"/>
    </row>
    <row r="190" spans="2:19" ht="17.45" customHeight="1">
      <c r="B190" s="31" t="s">
        <v>325</v>
      </c>
      <c r="C190" s="26" t="s">
        <v>326</v>
      </c>
      <c r="D190" s="81"/>
      <c r="E190" s="81"/>
      <c r="F190" s="81">
        <v>6626.07</v>
      </c>
      <c r="G190" s="81"/>
      <c r="H190" s="81"/>
      <c r="I190" s="81"/>
      <c r="J190" s="81"/>
      <c r="K190" s="81"/>
      <c r="L190" s="81"/>
      <c r="M190" s="81"/>
      <c r="N190" s="81"/>
      <c r="O190" s="81"/>
      <c r="P190" s="81">
        <f t="shared" si="37"/>
        <v>6626.07</v>
      </c>
      <c r="Q190" s="22"/>
      <c r="R190" s="32"/>
      <c r="S190" s="22"/>
    </row>
    <row r="191" spans="2:19" ht="17.45" customHeight="1">
      <c r="B191" s="31">
        <v>816130</v>
      </c>
      <c r="C191" s="26" t="s">
        <v>327</v>
      </c>
      <c r="D191" s="81"/>
      <c r="E191" s="81"/>
      <c r="F191" s="81" t="s">
        <v>441</v>
      </c>
      <c r="G191" s="81"/>
      <c r="H191" s="81"/>
      <c r="I191" s="81"/>
      <c r="J191" s="81"/>
      <c r="K191" s="81"/>
      <c r="L191" s="81"/>
      <c r="M191" s="81"/>
      <c r="N191" s="81"/>
      <c r="O191" s="81"/>
      <c r="P191" s="81" t="e">
        <f t="shared" si="37"/>
        <v>#VALUE!</v>
      </c>
      <c r="Q191" s="22"/>
      <c r="R191" s="32"/>
      <c r="S191" s="22"/>
    </row>
    <row r="192" spans="2:19" ht="17.45" customHeight="1">
      <c r="B192" s="31" t="s">
        <v>328</v>
      </c>
      <c r="C192" s="26" t="s">
        <v>329</v>
      </c>
      <c r="D192" s="81"/>
      <c r="E192" s="81"/>
      <c r="F192" s="81">
        <v>0</v>
      </c>
      <c r="G192" s="81"/>
      <c r="H192" s="81"/>
      <c r="I192" s="81"/>
      <c r="J192" s="81"/>
      <c r="K192" s="81"/>
      <c r="L192" s="81"/>
      <c r="M192" s="81"/>
      <c r="N192" s="81"/>
      <c r="O192" s="81"/>
      <c r="P192" s="81">
        <f t="shared" si="37"/>
        <v>0</v>
      </c>
      <c r="Q192" s="22"/>
      <c r="R192" s="32"/>
      <c r="S192" s="22"/>
    </row>
    <row r="193" spans="2:19" ht="17.45" customHeight="1">
      <c r="B193" s="31" t="s">
        <v>330</v>
      </c>
      <c r="C193" s="26" t="s">
        <v>331</v>
      </c>
      <c r="D193" s="81"/>
      <c r="E193" s="81"/>
      <c r="F193" s="81" t="s">
        <v>441</v>
      </c>
      <c r="G193" s="81"/>
      <c r="H193" s="81"/>
      <c r="I193" s="81"/>
      <c r="J193" s="81"/>
      <c r="K193" s="81"/>
      <c r="L193" s="81"/>
      <c r="M193" s="81"/>
      <c r="N193" s="81"/>
      <c r="O193" s="81"/>
      <c r="P193" s="81" t="e">
        <f t="shared" si="37"/>
        <v>#VALUE!</v>
      </c>
      <c r="Q193" s="22"/>
      <c r="R193" s="32"/>
      <c r="S193" s="22"/>
    </row>
    <row r="194" spans="2:19" ht="17.45" customHeight="1">
      <c r="B194" s="31"/>
      <c r="C194" s="26" t="s">
        <v>332</v>
      </c>
      <c r="D194" s="81"/>
      <c r="E194" s="81"/>
      <c r="F194" s="81">
        <v>0</v>
      </c>
      <c r="G194" s="81"/>
      <c r="H194" s="81"/>
      <c r="I194" s="81"/>
      <c r="J194" s="81"/>
      <c r="K194" s="81"/>
      <c r="L194" s="81"/>
      <c r="M194" s="81"/>
      <c r="N194" s="81"/>
      <c r="O194" s="81"/>
      <c r="P194" s="81">
        <f t="shared" si="37"/>
        <v>0</v>
      </c>
      <c r="Q194" s="22"/>
      <c r="R194" s="32"/>
      <c r="S194" s="22"/>
    </row>
    <row r="195" spans="2:19" ht="17.45" customHeight="1">
      <c r="B195" s="31"/>
      <c r="C195" s="26" t="s">
        <v>333</v>
      </c>
      <c r="D195" s="81"/>
      <c r="E195" s="81"/>
      <c r="F195" s="81">
        <v>0</v>
      </c>
      <c r="G195" s="81"/>
      <c r="H195" s="81"/>
      <c r="I195" s="81"/>
      <c r="J195" s="81"/>
      <c r="K195" s="81"/>
      <c r="L195" s="81"/>
      <c r="M195" s="81"/>
      <c r="N195" s="81"/>
      <c r="O195" s="81"/>
      <c r="P195" s="81">
        <v>0</v>
      </c>
      <c r="Q195" s="22"/>
      <c r="R195" s="32"/>
      <c r="S195" s="22"/>
    </row>
    <row r="196" spans="2:19" ht="17.45" customHeight="1">
      <c r="B196" s="31"/>
      <c r="C196" s="26"/>
      <c r="D196" s="81"/>
      <c r="E196" s="81"/>
      <c r="F196" s="81" t="s">
        <v>441</v>
      </c>
      <c r="G196" s="81"/>
      <c r="H196" s="81"/>
      <c r="I196" s="81"/>
      <c r="J196" s="81"/>
      <c r="K196" s="81"/>
      <c r="L196" s="81"/>
      <c r="M196" s="81"/>
      <c r="N196" s="81"/>
      <c r="O196" s="81"/>
      <c r="P196" s="81">
        <v>0</v>
      </c>
      <c r="Q196" s="22"/>
      <c r="R196" s="32"/>
      <c r="S196" s="22"/>
    </row>
    <row r="197" spans="2:19" ht="17.45" customHeight="1">
      <c r="B197" s="63" t="s">
        <v>321</v>
      </c>
      <c r="C197" s="64" t="s">
        <v>322</v>
      </c>
      <c r="D197" s="117">
        <f t="shared" ref="D197:P197" si="38">SUM(D189:D196)</f>
        <v>0</v>
      </c>
      <c r="E197" s="117">
        <f t="shared" si="38"/>
        <v>0</v>
      </c>
      <c r="F197" s="117">
        <f t="shared" si="38"/>
        <v>7944.33</v>
      </c>
      <c r="G197" s="117">
        <f t="shared" si="38"/>
        <v>0</v>
      </c>
      <c r="H197" s="117">
        <f t="shared" si="38"/>
        <v>0</v>
      </c>
      <c r="I197" s="117">
        <f t="shared" si="38"/>
        <v>0</v>
      </c>
      <c r="J197" s="117">
        <f t="shared" si="38"/>
        <v>0</v>
      </c>
      <c r="K197" s="117">
        <f t="shared" si="38"/>
        <v>0</v>
      </c>
      <c r="L197" s="117">
        <f t="shared" si="38"/>
        <v>0</v>
      </c>
      <c r="M197" s="117">
        <f t="shared" si="38"/>
        <v>0</v>
      </c>
      <c r="N197" s="117">
        <f t="shared" si="38"/>
        <v>0</v>
      </c>
      <c r="O197" s="117">
        <f t="shared" si="38"/>
        <v>0</v>
      </c>
      <c r="P197" s="117" t="e">
        <f t="shared" si="38"/>
        <v>#VALUE!</v>
      </c>
      <c r="Q197" s="22"/>
      <c r="R197" s="32"/>
      <c r="S197" s="22"/>
    </row>
    <row r="198" spans="2:19" ht="17.45" customHeight="1">
      <c r="B198" s="68" t="s">
        <v>334</v>
      </c>
      <c r="C198" s="67" t="s">
        <v>245</v>
      </c>
      <c r="D198" s="89">
        <f t="shared" ref="D198:P198" si="39">D148+D154+D158+D170+D175+D182+D187+D197+D163+D164+D165+D176+D177</f>
        <v>0</v>
      </c>
      <c r="E198" s="89">
        <f t="shared" si="39"/>
        <v>0</v>
      </c>
      <c r="F198" s="89">
        <f t="shared" si="39"/>
        <v>64442.11</v>
      </c>
      <c r="G198" s="89">
        <f t="shared" si="39"/>
        <v>0</v>
      </c>
      <c r="H198" s="89">
        <f t="shared" si="39"/>
        <v>0</v>
      </c>
      <c r="I198" s="89">
        <f t="shared" si="39"/>
        <v>0</v>
      </c>
      <c r="J198" s="89">
        <f t="shared" si="39"/>
        <v>0</v>
      </c>
      <c r="K198" s="89">
        <f t="shared" si="39"/>
        <v>0</v>
      </c>
      <c r="L198" s="89">
        <f t="shared" si="39"/>
        <v>0</v>
      </c>
      <c r="M198" s="89">
        <f t="shared" si="39"/>
        <v>0</v>
      </c>
      <c r="N198" s="89">
        <f t="shared" si="39"/>
        <v>0</v>
      </c>
      <c r="O198" s="89">
        <f t="shared" si="39"/>
        <v>0</v>
      </c>
      <c r="P198" s="89" t="e">
        <f t="shared" si="39"/>
        <v>#VALUE!</v>
      </c>
      <c r="Q198" s="22"/>
      <c r="R198" s="32"/>
      <c r="S198" s="22"/>
    </row>
    <row r="199" spans="2:19" ht="17.45" customHeight="1">
      <c r="B199" s="31"/>
      <c r="C199" s="28" t="s">
        <v>335</v>
      </c>
      <c r="D199" s="81"/>
      <c r="E199" s="81"/>
      <c r="F199" s="81">
        <v>0</v>
      </c>
      <c r="G199" s="81"/>
      <c r="H199" s="81"/>
      <c r="I199" s="81"/>
      <c r="J199" s="81"/>
      <c r="K199" s="81"/>
      <c r="L199" s="81"/>
      <c r="M199" s="81"/>
      <c r="N199" s="81"/>
      <c r="O199" s="81"/>
      <c r="P199" s="81">
        <f t="shared" ref="P199:P205" si="40">D199+E199+F199+G199+H199+I199+J199+K199+L199+M199+N199+O199</f>
        <v>0</v>
      </c>
      <c r="Q199" s="22"/>
      <c r="R199" s="32"/>
      <c r="S199" s="22"/>
    </row>
    <row r="200" spans="2:19" ht="17.45" customHeight="1">
      <c r="B200" s="31"/>
      <c r="C200" s="28" t="s">
        <v>336</v>
      </c>
      <c r="D200" s="81"/>
      <c r="E200" s="81"/>
      <c r="F200" s="81">
        <v>0</v>
      </c>
      <c r="G200" s="81"/>
      <c r="H200" s="81"/>
      <c r="I200" s="81"/>
      <c r="J200" s="81"/>
      <c r="K200" s="81"/>
      <c r="L200" s="81"/>
      <c r="M200" s="81"/>
      <c r="N200" s="81"/>
      <c r="O200" s="81"/>
      <c r="P200" s="81">
        <f t="shared" si="40"/>
        <v>0</v>
      </c>
      <c r="Q200" s="22"/>
      <c r="R200" s="32"/>
      <c r="S200" s="22"/>
    </row>
    <row r="201" spans="2:19" ht="17.45" customHeight="1">
      <c r="B201" s="31" t="s">
        <v>337</v>
      </c>
      <c r="C201" s="26" t="s">
        <v>338</v>
      </c>
      <c r="D201" s="81"/>
      <c r="E201" s="81"/>
      <c r="F201" s="81">
        <v>0</v>
      </c>
      <c r="G201" s="81"/>
      <c r="H201" s="81"/>
      <c r="I201" s="81"/>
      <c r="J201" s="81"/>
      <c r="K201" s="81"/>
      <c r="L201" s="81"/>
      <c r="M201" s="81"/>
      <c r="N201" s="81"/>
      <c r="O201" s="81"/>
      <c r="P201" s="81">
        <f t="shared" si="40"/>
        <v>0</v>
      </c>
      <c r="Q201" s="22"/>
      <c r="R201" s="32"/>
      <c r="S201" s="22"/>
    </row>
    <row r="202" spans="2:19" ht="17.45" customHeight="1">
      <c r="B202" s="31" t="s">
        <v>339</v>
      </c>
      <c r="C202" s="26" t="s">
        <v>340</v>
      </c>
      <c r="D202" s="81"/>
      <c r="E202" s="81"/>
      <c r="F202" s="81">
        <v>0</v>
      </c>
      <c r="G202" s="81"/>
      <c r="H202" s="81"/>
      <c r="I202" s="81"/>
      <c r="J202" s="81"/>
      <c r="K202" s="81"/>
      <c r="L202" s="81"/>
      <c r="M202" s="81"/>
      <c r="N202" s="81"/>
      <c r="O202" s="81"/>
      <c r="P202" s="81">
        <f t="shared" si="40"/>
        <v>0</v>
      </c>
      <c r="Q202" s="22"/>
      <c r="R202" s="32"/>
      <c r="S202" s="22"/>
    </row>
    <row r="203" spans="2:19" ht="17.45" customHeight="1">
      <c r="B203" s="31"/>
      <c r="C203" s="28" t="s">
        <v>341</v>
      </c>
      <c r="D203" s="81"/>
      <c r="E203" s="81"/>
      <c r="F203" s="81" t="s">
        <v>441</v>
      </c>
      <c r="G203" s="81"/>
      <c r="H203" s="81"/>
      <c r="I203" s="81"/>
      <c r="J203" s="81"/>
      <c r="K203" s="81"/>
      <c r="L203" s="81"/>
      <c r="M203" s="81"/>
      <c r="N203" s="81"/>
      <c r="O203" s="81"/>
      <c r="P203" s="81" t="e">
        <f t="shared" si="40"/>
        <v>#VALUE!</v>
      </c>
      <c r="Q203" s="22"/>
      <c r="R203" s="32"/>
      <c r="S203" s="22"/>
    </row>
    <row r="204" spans="2:19" ht="17.45" customHeight="1">
      <c r="B204" s="31" t="s">
        <v>342</v>
      </c>
      <c r="C204" s="26" t="s">
        <v>343</v>
      </c>
      <c r="D204" s="81"/>
      <c r="E204" s="81"/>
      <c r="F204" s="81" t="s">
        <v>441</v>
      </c>
      <c r="G204" s="81"/>
      <c r="H204" s="81"/>
      <c r="I204" s="81"/>
      <c r="J204" s="81"/>
      <c r="K204" s="81"/>
      <c r="L204" s="81"/>
      <c r="M204" s="81"/>
      <c r="N204" s="81"/>
      <c r="O204" s="81"/>
      <c r="P204" s="81" t="e">
        <f t="shared" si="40"/>
        <v>#VALUE!</v>
      </c>
      <c r="Q204" s="22"/>
      <c r="R204" s="32"/>
      <c r="S204" s="22"/>
    </row>
    <row r="205" spans="2:19" ht="17.45" customHeight="1">
      <c r="B205" s="31" t="s">
        <v>344</v>
      </c>
      <c r="C205" s="26" t="s">
        <v>345</v>
      </c>
      <c r="D205" s="81"/>
      <c r="E205" s="81"/>
      <c r="F205" s="81" t="s">
        <v>441</v>
      </c>
      <c r="G205" s="81"/>
      <c r="H205" s="81"/>
      <c r="I205" s="81"/>
      <c r="J205" s="81"/>
      <c r="K205" s="81"/>
      <c r="L205" s="81"/>
      <c r="M205" s="81"/>
      <c r="N205" s="81"/>
      <c r="O205" s="81"/>
      <c r="P205" s="81" t="e">
        <f t="shared" si="40"/>
        <v>#VALUE!</v>
      </c>
      <c r="Q205" s="22"/>
      <c r="R205" s="32"/>
      <c r="S205" s="22"/>
    </row>
    <row r="206" spans="2:19" ht="17.45" customHeight="1">
      <c r="B206" s="68" t="s">
        <v>346</v>
      </c>
      <c r="C206" s="67" t="s">
        <v>341</v>
      </c>
      <c r="D206" s="84">
        <f>D204</f>
        <v>0</v>
      </c>
      <c r="E206" s="84">
        <f t="shared" ref="E206:P206" si="41">E204</f>
        <v>0</v>
      </c>
      <c r="F206" s="84" t="str">
        <f t="shared" si="41"/>
        <v>NOT FOUND</v>
      </c>
      <c r="G206" s="84">
        <f t="shared" si="41"/>
        <v>0</v>
      </c>
      <c r="H206" s="84">
        <f t="shared" si="41"/>
        <v>0</v>
      </c>
      <c r="I206" s="84">
        <f t="shared" si="41"/>
        <v>0</v>
      </c>
      <c r="J206" s="84">
        <f t="shared" si="41"/>
        <v>0</v>
      </c>
      <c r="K206" s="84">
        <f t="shared" si="41"/>
        <v>0</v>
      </c>
      <c r="L206" s="84">
        <f t="shared" si="41"/>
        <v>0</v>
      </c>
      <c r="M206" s="84">
        <f t="shared" si="41"/>
        <v>0</v>
      </c>
      <c r="N206" s="84">
        <f t="shared" si="41"/>
        <v>0</v>
      </c>
      <c r="O206" s="84">
        <f t="shared" si="41"/>
        <v>0</v>
      </c>
      <c r="P206" s="84" t="e">
        <f t="shared" si="41"/>
        <v>#VALUE!</v>
      </c>
      <c r="Q206" s="22"/>
      <c r="R206" s="32"/>
      <c r="S206" s="22"/>
    </row>
    <row r="207" spans="2:19" ht="17.45" customHeight="1">
      <c r="B207" s="31" t="s">
        <v>347</v>
      </c>
      <c r="C207" s="26" t="s">
        <v>348</v>
      </c>
      <c r="D207" s="81"/>
      <c r="E207" s="81"/>
      <c r="F207" s="81">
        <v>0</v>
      </c>
      <c r="G207" s="81"/>
      <c r="H207" s="81"/>
      <c r="I207" s="81"/>
      <c r="J207" s="81"/>
      <c r="K207" s="81"/>
      <c r="L207" s="81"/>
      <c r="M207" s="81"/>
      <c r="N207" s="81"/>
      <c r="O207" s="81"/>
      <c r="P207" s="81">
        <f t="shared" ref="P207:P213" si="42">D207+E207+F207+G207+H207+I207+J207+K207+L207+M207+N207+O207</f>
        <v>0</v>
      </c>
      <c r="Q207" s="22"/>
      <c r="R207" s="32"/>
      <c r="S207" s="22"/>
    </row>
    <row r="208" spans="2:19" ht="17.45" customHeight="1">
      <c r="B208" s="31" t="s">
        <v>349</v>
      </c>
      <c r="C208" s="26" t="s">
        <v>350</v>
      </c>
      <c r="D208" s="81"/>
      <c r="E208" s="81"/>
      <c r="F208" s="81">
        <v>0</v>
      </c>
      <c r="G208" s="81"/>
      <c r="H208" s="81"/>
      <c r="I208" s="81"/>
      <c r="J208" s="81"/>
      <c r="K208" s="81"/>
      <c r="L208" s="81"/>
      <c r="M208" s="81"/>
      <c r="N208" s="81"/>
      <c r="O208" s="81"/>
      <c r="P208" s="81">
        <f t="shared" si="42"/>
        <v>0</v>
      </c>
      <c r="Q208" s="22"/>
      <c r="R208" s="32"/>
      <c r="S208" s="22"/>
    </row>
    <row r="209" spans="2:19" ht="17.45" customHeight="1">
      <c r="B209" s="31" t="s">
        <v>351</v>
      </c>
      <c r="C209" s="26" t="s">
        <v>352</v>
      </c>
      <c r="D209" s="81"/>
      <c r="E209" s="81"/>
      <c r="F209" s="81">
        <v>0.9</v>
      </c>
      <c r="G209" s="81"/>
      <c r="H209" s="81"/>
      <c r="I209" s="81"/>
      <c r="J209" s="81"/>
      <c r="K209" s="81"/>
      <c r="L209" s="81"/>
      <c r="M209" s="81"/>
      <c r="N209" s="81"/>
      <c r="O209" s="81"/>
      <c r="P209" s="81">
        <f t="shared" si="42"/>
        <v>0.9</v>
      </c>
      <c r="Q209" s="22"/>
      <c r="R209" s="32"/>
      <c r="S209" s="22"/>
    </row>
    <row r="210" spans="2:19" ht="17.45" customHeight="1">
      <c r="B210" s="31"/>
      <c r="C210" s="26" t="s">
        <v>353</v>
      </c>
      <c r="D210" s="81"/>
      <c r="E210" s="81"/>
      <c r="F210" s="81">
        <v>-166.73</v>
      </c>
      <c r="G210" s="81"/>
      <c r="H210" s="81"/>
      <c r="I210" s="81"/>
      <c r="J210" s="81"/>
      <c r="K210" s="81"/>
      <c r="L210" s="81"/>
      <c r="M210" s="81"/>
      <c r="N210" s="81"/>
      <c r="O210" s="81"/>
      <c r="P210" s="81">
        <f t="shared" si="42"/>
        <v>-166.73</v>
      </c>
      <c r="Q210" s="22"/>
      <c r="R210" s="32"/>
      <c r="S210" s="22"/>
    </row>
    <row r="211" spans="2:19" ht="17.45" customHeight="1">
      <c r="B211" s="31" t="s">
        <v>354</v>
      </c>
      <c r="C211" s="26" t="s">
        <v>355</v>
      </c>
      <c r="D211" s="81"/>
      <c r="E211" s="81"/>
      <c r="F211" s="81">
        <v>0</v>
      </c>
      <c r="G211" s="81"/>
      <c r="H211" s="81"/>
      <c r="I211" s="81"/>
      <c r="J211" s="81"/>
      <c r="K211" s="81"/>
      <c r="L211" s="81"/>
      <c r="M211" s="81"/>
      <c r="N211" s="81"/>
      <c r="O211" s="81"/>
      <c r="P211" s="81">
        <f t="shared" si="42"/>
        <v>0</v>
      </c>
      <c r="Q211" s="22"/>
      <c r="R211" s="32"/>
      <c r="S211" s="22"/>
    </row>
    <row r="212" spans="2:19" ht="17.45" customHeight="1">
      <c r="B212" s="31"/>
      <c r="C212" s="26" t="s">
        <v>356</v>
      </c>
      <c r="D212" s="81"/>
      <c r="E212" s="81"/>
      <c r="F212" s="81">
        <v>12411.61</v>
      </c>
      <c r="G212" s="81"/>
      <c r="H212" s="81"/>
      <c r="I212" s="81"/>
      <c r="J212" s="81"/>
      <c r="K212" s="81"/>
      <c r="L212" s="81"/>
      <c r="M212" s="81"/>
      <c r="N212" s="81"/>
      <c r="O212" s="81"/>
      <c r="P212" s="81">
        <f t="shared" si="42"/>
        <v>12411.61</v>
      </c>
      <c r="Q212" s="22"/>
      <c r="R212" s="32"/>
      <c r="S212" s="22"/>
    </row>
    <row r="213" spans="2:19" ht="17.45" customHeight="1">
      <c r="B213" s="31" t="s">
        <v>357</v>
      </c>
      <c r="C213" s="26" t="s">
        <v>358</v>
      </c>
      <c r="D213" s="81"/>
      <c r="E213" s="81"/>
      <c r="F213" s="81">
        <v>-3.15</v>
      </c>
      <c r="G213" s="81"/>
      <c r="H213" s="81"/>
      <c r="I213" s="81"/>
      <c r="J213" s="81"/>
      <c r="K213" s="81"/>
      <c r="L213" s="81"/>
      <c r="M213" s="81"/>
      <c r="N213" s="81"/>
      <c r="O213" s="81"/>
      <c r="P213" s="81">
        <f t="shared" si="42"/>
        <v>-3.15</v>
      </c>
      <c r="Q213" s="22"/>
      <c r="R213" s="32"/>
      <c r="S213" s="22"/>
    </row>
    <row r="214" spans="2:19" ht="17.45" customHeight="1">
      <c r="B214" s="68" t="s">
        <v>359</v>
      </c>
      <c r="C214" s="67" t="s">
        <v>336</v>
      </c>
      <c r="D214" s="89">
        <f t="shared" ref="D214:O214" si="43">SUM(D201:D213)</f>
        <v>0</v>
      </c>
      <c r="E214" s="89">
        <f t="shared" si="43"/>
        <v>0</v>
      </c>
      <c r="F214" s="89">
        <f t="shared" si="43"/>
        <v>12242.630000000001</v>
      </c>
      <c r="G214" s="89">
        <f t="shared" si="43"/>
        <v>0</v>
      </c>
      <c r="H214" s="89">
        <f t="shared" si="43"/>
        <v>0</v>
      </c>
      <c r="I214" s="89">
        <f t="shared" si="43"/>
        <v>0</v>
      </c>
      <c r="J214" s="89">
        <f t="shared" si="43"/>
        <v>0</v>
      </c>
      <c r="K214" s="89">
        <f t="shared" si="43"/>
        <v>0</v>
      </c>
      <c r="L214" s="89">
        <f t="shared" si="43"/>
        <v>0</v>
      </c>
      <c r="M214" s="89">
        <f t="shared" si="43"/>
        <v>0</v>
      </c>
      <c r="N214" s="89">
        <f t="shared" si="43"/>
        <v>0</v>
      </c>
      <c r="O214" s="89">
        <f t="shared" si="43"/>
        <v>0</v>
      </c>
      <c r="P214" s="89" t="e">
        <f>SUM(P201:P213)</f>
        <v>#VALUE!</v>
      </c>
      <c r="Q214" s="22"/>
      <c r="R214" s="32"/>
      <c r="S214" s="22"/>
    </row>
    <row r="215" spans="2:19" ht="17.45" customHeight="1">
      <c r="B215" s="31"/>
      <c r="C215" s="28" t="s">
        <v>360</v>
      </c>
      <c r="D215" s="81"/>
      <c r="E215" s="81"/>
      <c r="F215" s="81">
        <v>0</v>
      </c>
      <c r="G215" s="81"/>
      <c r="H215" s="81"/>
      <c r="I215" s="81"/>
      <c r="J215" s="81"/>
      <c r="K215" s="81"/>
      <c r="L215" s="81"/>
      <c r="M215" s="81"/>
      <c r="N215" s="81"/>
      <c r="O215" s="81"/>
      <c r="P215" s="81">
        <f>D215+E215+F215+G215+H215+I215+J215+K215+L215+M215+N215+O215</f>
        <v>0</v>
      </c>
      <c r="Q215" s="22"/>
      <c r="R215" s="32"/>
      <c r="S215" s="22"/>
    </row>
    <row r="216" spans="2:19" ht="17.45" customHeight="1">
      <c r="B216" s="31"/>
      <c r="C216" s="29" t="s">
        <v>361</v>
      </c>
      <c r="D216" s="81"/>
      <c r="E216" s="81"/>
      <c r="F216" s="81">
        <v>0</v>
      </c>
      <c r="G216" s="81"/>
      <c r="H216" s="81"/>
      <c r="I216" s="81"/>
      <c r="J216" s="81"/>
      <c r="K216" s="81"/>
      <c r="L216" s="81"/>
      <c r="M216" s="81"/>
      <c r="N216" s="81"/>
      <c r="O216" s="81"/>
      <c r="P216" s="81">
        <f>D216+E216+F216+G216+H216+I216+J216+K216+L216+M216+N216+O216</f>
        <v>0</v>
      </c>
      <c r="Q216" s="22"/>
      <c r="R216" s="32"/>
      <c r="S216" s="22"/>
    </row>
    <row r="217" spans="2:19" ht="17.45" customHeight="1">
      <c r="B217" s="31" t="s">
        <v>362</v>
      </c>
      <c r="C217" s="26" t="s">
        <v>363</v>
      </c>
      <c r="D217" s="81"/>
      <c r="E217" s="81"/>
      <c r="F217" s="81">
        <v>0</v>
      </c>
      <c r="G217" s="81"/>
      <c r="H217" s="81"/>
      <c r="I217" s="81"/>
      <c r="J217" s="81"/>
      <c r="K217" s="81"/>
      <c r="L217" s="81"/>
      <c r="M217" s="81"/>
      <c r="N217" s="81"/>
      <c r="O217" s="81"/>
      <c r="P217" s="81">
        <f>D217+E217+F217+G217+H217+I217+J217+K217+L217+M217+N217+O217</f>
        <v>0</v>
      </c>
      <c r="Q217" s="22"/>
      <c r="R217" s="32"/>
      <c r="S217" s="22"/>
    </row>
    <row r="218" spans="2:19" ht="17.45" customHeight="1">
      <c r="B218" s="31" t="s">
        <v>364</v>
      </c>
      <c r="C218" s="26" t="s">
        <v>365</v>
      </c>
      <c r="D218" s="81"/>
      <c r="E218" s="81"/>
      <c r="F218" s="81" t="s">
        <v>441</v>
      </c>
      <c r="G218" s="81"/>
      <c r="H218" s="81"/>
      <c r="I218" s="81"/>
      <c r="J218" s="81"/>
      <c r="K218" s="81"/>
      <c r="L218" s="81"/>
      <c r="M218" s="81"/>
      <c r="N218" s="81"/>
      <c r="O218" s="81"/>
      <c r="P218" s="81" t="e">
        <f>D218+E218+F218+G218+H218+I218+J218+K218+L218+M218+N218+O218</f>
        <v>#VALUE!</v>
      </c>
      <c r="Q218" s="22"/>
      <c r="R218" s="32"/>
      <c r="S218" s="22"/>
    </row>
    <row r="219" spans="2:19" ht="17.45" customHeight="1">
      <c r="B219" s="68" t="s">
        <v>366</v>
      </c>
      <c r="C219" s="67" t="s">
        <v>361</v>
      </c>
      <c r="D219" s="89">
        <f t="shared" ref="D219:O219" si="44">SUM(D217:D218)</f>
        <v>0</v>
      </c>
      <c r="E219" s="89">
        <f t="shared" si="44"/>
        <v>0</v>
      </c>
      <c r="F219" s="89">
        <f t="shared" si="44"/>
        <v>0</v>
      </c>
      <c r="G219" s="89">
        <f t="shared" si="44"/>
        <v>0</v>
      </c>
      <c r="H219" s="89">
        <f t="shared" si="44"/>
        <v>0</v>
      </c>
      <c r="I219" s="89">
        <f t="shared" si="44"/>
        <v>0</v>
      </c>
      <c r="J219" s="89">
        <f t="shared" si="44"/>
        <v>0</v>
      </c>
      <c r="K219" s="89">
        <f t="shared" si="44"/>
        <v>0</v>
      </c>
      <c r="L219" s="89">
        <f t="shared" si="44"/>
        <v>0</v>
      </c>
      <c r="M219" s="89">
        <f t="shared" si="44"/>
        <v>0</v>
      </c>
      <c r="N219" s="89">
        <f t="shared" si="44"/>
        <v>0</v>
      </c>
      <c r="O219" s="89">
        <f t="shared" si="44"/>
        <v>0</v>
      </c>
      <c r="P219" s="89" t="e">
        <f>SUM(P217:P218)</f>
        <v>#VALUE!</v>
      </c>
      <c r="Q219" s="22"/>
      <c r="R219" s="32"/>
      <c r="S219" s="22"/>
    </row>
    <row r="220" spans="2:19" ht="17.45" customHeight="1">
      <c r="B220" s="31"/>
      <c r="C220" s="28" t="s">
        <v>367</v>
      </c>
      <c r="D220" s="81"/>
      <c r="E220" s="81"/>
      <c r="F220" s="81">
        <v>0</v>
      </c>
      <c r="G220" s="81"/>
      <c r="H220" s="81"/>
      <c r="I220" s="81"/>
      <c r="J220" s="81"/>
      <c r="K220" s="81"/>
      <c r="L220" s="81"/>
      <c r="M220" s="81"/>
      <c r="N220" s="81"/>
      <c r="O220" s="81"/>
      <c r="P220" s="81">
        <f>D220+E220+F220+G220+H220+I220+J220+K220+L220+M220+N220+O220</f>
        <v>0</v>
      </c>
      <c r="Q220" s="22"/>
      <c r="R220" s="32"/>
      <c r="S220" s="22"/>
    </row>
    <row r="221" spans="2:19" ht="17.45" customHeight="1">
      <c r="B221" s="31" t="s">
        <v>368</v>
      </c>
      <c r="C221" s="26" t="s">
        <v>369</v>
      </c>
      <c r="D221" s="81"/>
      <c r="E221" s="81"/>
      <c r="F221" s="81">
        <v>19464.14</v>
      </c>
      <c r="G221" s="81"/>
      <c r="H221" s="81"/>
      <c r="I221" s="81"/>
      <c r="J221" s="81"/>
      <c r="K221" s="81"/>
      <c r="L221" s="81"/>
      <c r="M221" s="81"/>
      <c r="N221" s="81"/>
      <c r="O221" s="81"/>
      <c r="P221" s="81">
        <f>D221+E221+F221+G221+H221+I221+J221+K221+L221+M221+N221+O221</f>
        <v>19464.14</v>
      </c>
      <c r="Q221" s="22"/>
      <c r="R221" s="32"/>
      <c r="S221" s="22"/>
    </row>
    <row r="222" spans="2:19" ht="17.45" customHeight="1">
      <c r="B222" s="31" t="s">
        <v>370</v>
      </c>
      <c r="C222" s="26" t="s">
        <v>371</v>
      </c>
      <c r="D222" s="81"/>
      <c r="E222" s="81"/>
      <c r="F222" s="81">
        <v>4188.62</v>
      </c>
      <c r="G222" s="81"/>
      <c r="H222" s="81"/>
      <c r="I222" s="81"/>
      <c r="J222" s="81"/>
      <c r="K222" s="81"/>
      <c r="L222" s="81"/>
      <c r="M222" s="81"/>
      <c r="N222" s="81"/>
      <c r="O222" s="81"/>
      <c r="P222" s="81">
        <f>D222+E222+F222+G222+H222+I222+J222+K222+L222+M222+N222+O222</f>
        <v>4188.62</v>
      </c>
      <c r="Q222" s="22"/>
      <c r="R222" s="32"/>
      <c r="S222" s="22"/>
    </row>
    <row r="223" spans="2:19" ht="17.45" customHeight="1">
      <c r="B223" s="68" t="s">
        <v>372</v>
      </c>
      <c r="C223" s="67" t="s">
        <v>367</v>
      </c>
      <c r="D223" s="89">
        <f t="shared" ref="D223:O223" si="45">SUM(D221:D222)</f>
        <v>0</v>
      </c>
      <c r="E223" s="89">
        <f t="shared" si="45"/>
        <v>0</v>
      </c>
      <c r="F223" s="89">
        <f t="shared" si="45"/>
        <v>23652.76</v>
      </c>
      <c r="G223" s="89">
        <f t="shared" si="45"/>
        <v>0</v>
      </c>
      <c r="H223" s="89">
        <f t="shared" si="45"/>
        <v>0</v>
      </c>
      <c r="I223" s="89">
        <f t="shared" si="45"/>
        <v>0</v>
      </c>
      <c r="J223" s="89">
        <f t="shared" si="45"/>
        <v>0</v>
      </c>
      <c r="K223" s="89">
        <f t="shared" si="45"/>
        <v>0</v>
      </c>
      <c r="L223" s="89">
        <f t="shared" si="45"/>
        <v>0</v>
      </c>
      <c r="M223" s="89">
        <f t="shared" si="45"/>
        <v>0</v>
      </c>
      <c r="N223" s="89">
        <f t="shared" si="45"/>
        <v>0</v>
      </c>
      <c r="O223" s="89">
        <f t="shared" si="45"/>
        <v>0</v>
      </c>
      <c r="P223" s="89">
        <f>SUM(P221:P222)</f>
        <v>23652.76</v>
      </c>
      <c r="Q223" s="22"/>
      <c r="R223" s="32"/>
      <c r="S223" s="22"/>
    </row>
    <row r="224" spans="2:19" ht="17.45" customHeight="1">
      <c r="B224" s="31" t="s">
        <v>373</v>
      </c>
      <c r="C224" s="26" t="s">
        <v>374</v>
      </c>
      <c r="D224" s="81"/>
      <c r="E224" s="81"/>
      <c r="F224" s="81">
        <v>-17681.47</v>
      </c>
      <c r="G224" s="81"/>
      <c r="H224" s="81"/>
      <c r="I224" s="81"/>
      <c r="J224" s="81"/>
      <c r="K224" s="81"/>
      <c r="L224" s="81"/>
      <c r="M224" s="81"/>
      <c r="N224" s="81"/>
      <c r="O224" s="81"/>
      <c r="P224" s="81">
        <f>D224+E224+F224+G224+H224+I224+J224+K224+L224+M224+N224+O224</f>
        <v>-17681.47</v>
      </c>
      <c r="Q224" s="22"/>
      <c r="R224" s="32"/>
      <c r="S224" s="22"/>
    </row>
    <row r="225" spans="2:19" ht="17.45" customHeight="1">
      <c r="B225" s="31"/>
      <c r="C225" s="28" t="s">
        <v>375</v>
      </c>
      <c r="D225" s="81"/>
      <c r="E225" s="81"/>
      <c r="F225" s="81">
        <v>0</v>
      </c>
      <c r="G225" s="81"/>
      <c r="H225" s="81"/>
      <c r="I225" s="81"/>
      <c r="J225" s="81"/>
      <c r="K225" s="81"/>
      <c r="L225" s="81"/>
      <c r="M225" s="81"/>
      <c r="N225" s="81"/>
      <c r="O225" s="81"/>
      <c r="P225" s="81">
        <f>D225+E225+F225+G225+H225+I225+J225+K225+L225+M225+N225+O225</f>
        <v>0</v>
      </c>
      <c r="Q225" s="22"/>
      <c r="R225" s="32"/>
      <c r="S225" s="22"/>
    </row>
    <row r="226" spans="2:19" ht="17.45" customHeight="1">
      <c r="B226" s="31" t="s">
        <v>376</v>
      </c>
      <c r="C226" s="26" t="s">
        <v>377</v>
      </c>
      <c r="D226" s="81"/>
      <c r="E226" s="81"/>
      <c r="F226" s="81">
        <v>1661.84</v>
      </c>
      <c r="G226" s="81"/>
      <c r="H226" s="81"/>
      <c r="I226" s="81"/>
      <c r="J226" s="81"/>
      <c r="K226" s="81"/>
      <c r="L226" s="81"/>
      <c r="M226" s="81"/>
      <c r="N226" s="81"/>
      <c r="O226" s="81"/>
      <c r="P226" s="81">
        <f>D226+E226+F226+G226+H226+I226+J226+K226+L226+M226+N226+O226</f>
        <v>1661.84</v>
      </c>
      <c r="Q226" s="22"/>
      <c r="R226" s="32"/>
      <c r="S226" s="22"/>
    </row>
    <row r="227" spans="2:19" ht="17.45" customHeight="1">
      <c r="B227" s="31" t="s">
        <v>378</v>
      </c>
      <c r="C227" s="26" t="s">
        <v>379</v>
      </c>
      <c r="D227" s="81"/>
      <c r="E227" s="81"/>
      <c r="F227" s="81">
        <v>0</v>
      </c>
      <c r="G227" s="81"/>
      <c r="H227" s="81"/>
      <c r="I227" s="81"/>
      <c r="J227" s="81"/>
      <c r="K227" s="81"/>
      <c r="L227" s="81"/>
      <c r="M227" s="81"/>
      <c r="N227" s="81"/>
      <c r="O227" s="81"/>
      <c r="P227" s="81">
        <f>D227+E227+F227+G227+H227+I227+J227+K227+L227+M227+N227+O227</f>
        <v>0</v>
      </c>
      <c r="Q227" s="22"/>
      <c r="R227" s="32"/>
      <c r="S227" s="22"/>
    </row>
    <row r="228" spans="2:19" ht="17.45" customHeight="1">
      <c r="B228" s="31"/>
      <c r="C228" s="26" t="s">
        <v>380</v>
      </c>
      <c r="D228" s="81"/>
      <c r="E228" s="81"/>
      <c r="F228" s="81">
        <v>0</v>
      </c>
      <c r="G228" s="81"/>
      <c r="H228" s="81"/>
      <c r="I228" s="81"/>
      <c r="J228" s="81"/>
      <c r="K228" s="81"/>
      <c r="L228" s="81"/>
      <c r="M228" s="81"/>
      <c r="N228" s="81"/>
      <c r="O228" s="81"/>
      <c r="P228" s="81">
        <v>0</v>
      </c>
      <c r="Q228" s="22"/>
      <c r="R228" s="32"/>
      <c r="S228" s="22"/>
    </row>
    <row r="229" spans="2:19" ht="17.45" customHeight="1">
      <c r="B229" s="68" t="s">
        <v>381</v>
      </c>
      <c r="C229" s="67" t="s">
        <v>375</v>
      </c>
      <c r="D229" s="89">
        <f t="shared" ref="D229:O229" si="46">SUM(D226:D228)</f>
        <v>0</v>
      </c>
      <c r="E229" s="89">
        <f t="shared" si="46"/>
        <v>0</v>
      </c>
      <c r="F229" s="89">
        <f t="shared" si="46"/>
        <v>1661.84</v>
      </c>
      <c r="G229" s="89">
        <f t="shared" si="46"/>
        <v>0</v>
      </c>
      <c r="H229" s="89">
        <f t="shared" si="46"/>
        <v>0</v>
      </c>
      <c r="I229" s="89">
        <f t="shared" si="46"/>
        <v>0</v>
      </c>
      <c r="J229" s="89">
        <f t="shared" si="46"/>
        <v>0</v>
      </c>
      <c r="K229" s="89">
        <f t="shared" si="46"/>
        <v>0</v>
      </c>
      <c r="L229" s="89">
        <f t="shared" si="46"/>
        <v>0</v>
      </c>
      <c r="M229" s="89">
        <f t="shared" si="46"/>
        <v>0</v>
      </c>
      <c r="N229" s="89">
        <f t="shared" si="46"/>
        <v>0</v>
      </c>
      <c r="O229" s="89">
        <f t="shared" si="46"/>
        <v>0</v>
      </c>
      <c r="P229" s="89">
        <f>SUM(P226:P228)</f>
        <v>1661.84</v>
      </c>
      <c r="Q229" s="22"/>
      <c r="R229" s="32"/>
      <c r="S229" s="22"/>
    </row>
    <row r="230" spans="2:19" ht="17.45" customHeight="1">
      <c r="B230" s="31"/>
      <c r="C230" s="28" t="s">
        <v>382</v>
      </c>
      <c r="D230" s="81"/>
      <c r="E230" s="81"/>
      <c r="F230" s="81" t="s">
        <v>441</v>
      </c>
      <c r="G230" s="81"/>
      <c r="H230" s="81"/>
      <c r="I230" s="81"/>
      <c r="J230" s="81"/>
      <c r="K230" s="81"/>
      <c r="L230" s="81"/>
      <c r="M230" s="81"/>
      <c r="N230" s="81"/>
      <c r="O230" s="81"/>
      <c r="P230" s="81" t="e">
        <f>D230+E230+F230+G230+H230+I230+J230+K230+L230+M230+N230+O230</f>
        <v>#VALUE!</v>
      </c>
      <c r="Q230" s="22"/>
      <c r="R230" s="32"/>
      <c r="S230" s="22"/>
    </row>
    <row r="231" spans="2:19" ht="17.45" customHeight="1">
      <c r="B231" s="31" t="s">
        <v>383</v>
      </c>
      <c r="C231" s="26" t="s">
        <v>384</v>
      </c>
      <c r="D231" s="81"/>
      <c r="E231" s="81"/>
      <c r="F231" s="81" t="s">
        <v>441</v>
      </c>
      <c r="G231" s="81"/>
      <c r="H231" s="81"/>
      <c r="I231" s="81"/>
      <c r="J231" s="81"/>
      <c r="K231" s="81"/>
      <c r="L231" s="81"/>
      <c r="M231" s="81"/>
      <c r="N231" s="81"/>
      <c r="O231" s="81"/>
      <c r="P231" s="81" t="e">
        <f>D231+E231+F231+G231+H231+I231+J231+K231+L231+M231+N231+O231</f>
        <v>#VALUE!</v>
      </c>
      <c r="Q231" s="22"/>
      <c r="R231" s="32"/>
      <c r="S231" s="22"/>
    </row>
    <row r="232" spans="2:19" ht="17.45" customHeight="1">
      <c r="B232" s="31" t="s">
        <v>385</v>
      </c>
      <c r="C232" s="26" t="s">
        <v>386</v>
      </c>
      <c r="D232" s="81"/>
      <c r="E232" s="81"/>
      <c r="F232" s="81" t="s">
        <v>441</v>
      </c>
      <c r="G232" s="81"/>
      <c r="H232" s="81"/>
      <c r="I232" s="81"/>
      <c r="J232" s="81"/>
      <c r="K232" s="81"/>
      <c r="L232" s="81"/>
      <c r="M232" s="81"/>
      <c r="N232" s="81"/>
      <c r="O232" s="81"/>
      <c r="P232" s="81" t="e">
        <f>D232+E232+F232+G232+H232+I232+J232+K232+L232+M232+N232+O232</f>
        <v>#VALUE!</v>
      </c>
      <c r="Q232" s="22"/>
      <c r="R232" s="32"/>
      <c r="S232" s="22"/>
    </row>
    <row r="233" spans="2:19" ht="17.45" customHeight="1">
      <c r="B233" s="68" t="s">
        <v>387</v>
      </c>
      <c r="C233" s="67" t="s">
        <v>382</v>
      </c>
      <c r="D233" s="89">
        <f>D232+D231</f>
        <v>0</v>
      </c>
      <c r="E233" s="89">
        <f t="shared" ref="E233:P233" si="47">E232+E231</f>
        <v>0</v>
      </c>
      <c r="F233" s="89" t="e">
        <f t="shared" si="47"/>
        <v>#VALUE!</v>
      </c>
      <c r="G233" s="89">
        <f t="shared" si="47"/>
        <v>0</v>
      </c>
      <c r="H233" s="89">
        <f t="shared" si="47"/>
        <v>0</v>
      </c>
      <c r="I233" s="89">
        <f t="shared" si="47"/>
        <v>0</v>
      </c>
      <c r="J233" s="89">
        <f t="shared" si="47"/>
        <v>0</v>
      </c>
      <c r="K233" s="89">
        <f t="shared" si="47"/>
        <v>0</v>
      </c>
      <c r="L233" s="89">
        <f t="shared" si="47"/>
        <v>0</v>
      </c>
      <c r="M233" s="89">
        <f t="shared" si="47"/>
        <v>0</v>
      </c>
      <c r="N233" s="89">
        <f t="shared" si="47"/>
        <v>0</v>
      </c>
      <c r="O233" s="89">
        <f t="shared" si="47"/>
        <v>0</v>
      </c>
      <c r="P233" s="89" t="e">
        <f t="shared" si="47"/>
        <v>#VALUE!</v>
      </c>
      <c r="Q233" s="22"/>
      <c r="R233" s="32"/>
      <c r="S233" s="22"/>
    </row>
    <row r="234" spans="2:19" ht="17.45" customHeight="1">
      <c r="B234" s="31" t="s">
        <v>388</v>
      </c>
      <c r="C234" s="26" t="s">
        <v>389</v>
      </c>
      <c r="D234" s="81"/>
      <c r="E234" s="81"/>
      <c r="F234" s="81">
        <v>0</v>
      </c>
      <c r="G234" s="81"/>
      <c r="H234" s="81"/>
      <c r="I234" s="81"/>
      <c r="J234" s="81"/>
      <c r="K234" s="81"/>
      <c r="L234" s="81"/>
      <c r="M234" s="81"/>
      <c r="N234" s="81"/>
      <c r="O234" s="81"/>
      <c r="P234" s="81">
        <f t="shared" ref="P234:P240" si="48">D234+E234+F234+G234+H234+I234+J234+K234+L234+M234+N234+O234</f>
        <v>0</v>
      </c>
      <c r="Q234" s="22"/>
      <c r="R234" s="32"/>
      <c r="S234" s="22"/>
    </row>
    <row r="235" spans="2:19" ht="17.45" customHeight="1">
      <c r="B235" s="31" t="s">
        <v>390</v>
      </c>
      <c r="C235" s="26" t="s">
        <v>391</v>
      </c>
      <c r="D235" s="81"/>
      <c r="E235" s="81"/>
      <c r="F235" s="81">
        <v>127.95</v>
      </c>
      <c r="G235" s="81"/>
      <c r="H235" s="81"/>
      <c r="I235" s="81"/>
      <c r="J235" s="81"/>
      <c r="K235" s="81"/>
      <c r="L235" s="81"/>
      <c r="M235" s="81"/>
      <c r="N235" s="81"/>
      <c r="O235" s="81"/>
      <c r="P235" s="81">
        <f t="shared" si="48"/>
        <v>127.95</v>
      </c>
      <c r="Q235" s="22"/>
      <c r="R235" s="32"/>
      <c r="S235" s="22"/>
    </row>
    <row r="236" spans="2:19" ht="17.45" customHeight="1">
      <c r="B236" s="31" t="s">
        <v>392</v>
      </c>
      <c r="C236" s="26" t="s">
        <v>393</v>
      </c>
      <c r="D236" s="81"/>
      <c r="E236" s="81"/>
      <c r="F236" s="81" t="s">
        <v>441</v>
      </c>
      <c r="G236" s="81"/>
      <c r="H236" s="81"/>
      <c r="I236" s="81"/>
      <c r="J236" s="81"/>
      <c r="K236" s="81"/>
      <c r="L236" s="81"/>
      <c r="M236" s="81"/>
      <c r="N236" s="81"/>
      <c r="O236" s="81"/>
      <c r="P236" s="81" t="e">
        <f t="shared" si="48"/>
        <v>#VALUE!</v>
      </c>
      <c r="Q236" s="22"/>
      <c r="R236" s="32"/>
      <c r="S236" s="22"/>
    </row>
    <row r="237" spans="2:19" ht="17.45" customHeight="1">
      <c r="B237" s="31" t="s">
        <v>394</v>
      </c>
      <c r="C237" s="26" t="s">
        <v>395</v>
      </c>
      <c r="D237" s="81"/>
      <c r="E237" s="81"/>
      <c r="F237" s="81" t="s">
        <v>441</v>
      </c>
      <c r="G237" s="81"/>
      <c r="H237" s="81"/>
      <c r="I237" s="81"/>
      <c r="J237" s="81"/>
      <c r="K237" s="81"/>
      <c r="L237" s="81"/>
      <c r="M237" s="81"/>
      <c r="N237" s="81"/>
      <c r="O237" s="81"/>
      <c r="P237" s="81" t="e">
        <f t="shared" si="48"/>
        <v>#VALUE!</v>
      </c>
      <c r="Q237" s="22"/>
      <c r="R237" s="32"/>
      <c r="S237" s="22"/>
    </row>
    <row r="238" spans="2:19" ht="17.45" customHeight="1">
      <c r="B238" s="31" t="s">
        <v>396</v>
      </c>
      <c r="C238" s="26" t="s">
        <v>397</v>
      </c>
      <c r="D238" s="81"/>
      <c r="E238" s="81"/>
      <c r="F238" s="81">
        <v>0</v>
      </c>
      <c r="G238" s="81"/>
      <c r="H238" s="81"/>
      <c r="I238" s="81"/>
      <c r="J238" s="81"/>
      <c r="K238" s="81"/>
      <c r="L238" s="81"/>
      <c r="M238" s="81"/>
      <c r="N238" s="81"/>
      <c r="O238" s="81"/>
      <c r="P238" s="81">
        <f t="shared" si="48"/>
        <v>0</v>
      </c>
      <c r="Q238" s="22"/>
      <c r="R238" s="32"/>
      <c r="S238" s="22"/>
    </row>
    <row r="239" spans="2:19" ht="17.45" customHeight="1">
      <c r="B239" s="31"/>
      <c r="C239" s="26" t="s">
        <v>398</v>
      </c>
      <c r="D239" s="81"/>
      <c r="E239" s="81"/>
      <c r="F239" s="81" t="s">
        <v>441</v>
      </c>
      <c r="G239" s="81"/>
      <c r="H239" s="81"/>
      <c r="I239" s="81"/>
      <c r="J239" s="81"/>
      <c r="K239" s="81"/>
      <c r="L239" s="81"/>
      <c r="M239" s="81"/>
      <c r="N239" s="81"/>
      <c r="O239" s="81"/>
      <c r="P239" s="81" t="e">
        <f t="shared" si="48"/>
        <v>#VALUE!</v>
      </c>
      <c r="Q239" s="22"/>
      <c r="R239" s="32"/>
      <c r="S239" s="22"/>
    </row>
    <row r="240" spans="2:19" ht="17.45" customHeight="1">
      <c r="B240" s="31" t="s">
        <v>399</v>
      </c>
      <c r="C240" s="26" t="s">
        <v>355</v>
      </c>
      <c r="D240" s="81"/>
      <c r="E240" s="81"/>
      <c r="F240" s="81">
        <v>0</v>
      </c>
      <c r="G240" s="81"/>
      <c r="H240" s="81"/>
      <c r="I240" s="81"/>
      <c r="J240" s="81"/>
      <c r="K240" s="81"/>
      <c r="L240" s="81"/>
      <c r="M240" s="81"/>
      <c r="N240" s="81"/>
      <c r="O240" s="81"/>
      <c r="P240" s="81">
        <f t="shared" si="48"/>
        <v>0</v>
      </c>
      <c r="Q240" s="22"/>
      <c r="R240" s="32"/>
      <c r="S240" s="22"/>
    </row>
    <row r="241" spans="2:19" ht="17.45" customHeight="1">
      <c r="B241" s="31"/>
      <c r="C241" s="26" t="s">
        <v>400</v>
      </c>
      <c r="D241" s="81"/>
      <c r="E241" s="81"/>
      <c r="F241" s="81">
        <v>0</v>
      </c>
      <c r="G241" s="81"/>
      <c r="H241" s="81"/>
      <c r="I241" s="81"/>
      <c r="J241" s="81"/>
      <c r="K241" s="81"/>
      <c r="L241" s="81"/>
      <c r="M241" s="81"/>
      <c r="N241" s="81"/>
      <c r="O241" s="81"/>
      <c r="P241" s="81">
        <v>0</v>
      </c>
      <c r="Q241" s="22"/>
      <c r="R241" s="32"/>
      <c r="S241" s="22"/>
    </row>
    <row r="242" spans="2:19" ht="17.45" customHeight="1">
      <c r="B242" s="31" t="s">
        <v>401</v>
      </c>
      <c r="C242" s="26" t="s">
        <v>358</v>
      </c>
      <c r="D242" s="81"/>
      <c r="E242" s="81"/>
      <c r="F242" s="81">
        <v>-3.15</v>
      </c>
      <c r="G242" s="81"/>
      <c r="H242" s="81"/>
      <c r="I242" s="81"/>
      <c r="J242" s="81"/>
      <c r="K242" s="81"/>
      <c r="L242" s="81"/>
      <c r="M242" s="81"/>
      <c r="N242" s="81"/>
      <c r="O242" s="81"/>
      <c r="P242" s="81">
        <f>D242+E242+F242+G242+H242+I242+J242+K242+L242+M242+N242+O242</f>
        <v>-3.15</v>
      </c>
      <c r="Q242" s="22"/>
      <c r="R242" s="32"/>
      <c r="S242" s="22"/>
    </row>
    <row r="243" spans="2:19" ht="17.45" customHeight="1">
      <c r="B243" s="68" t="s">
        <v>402</v>
      </c>
      <c r="C243" s="67" t="s">
        <v>360</v>
      </c>
      <c r="D243" s="89">
        <f t="shared" ref="D243:O243" si="49">D219+D223+D224+D229+D234+D235+D242+D237</f>
        <v>0</v>
      </c>
      <c r="E243" s="89">
        <f t="shared" si="49"/>
        <v>0</v>
      </c>
      <c r="F243" s="89" t="e">
        <f t="shared" si="49"/>
        <v>#VALUE!</v>
      </c>
      <c r="G243" s="89">
        <f t="shared" si="49"/>
        <v>0</v>
      </c>
      <c r="H243" s="89">
        <f t="shared" si="49"/>
        <v>0</v>
      </c>
      <c r="I243" s="89">
        <f t="shared" si="49"/>
        <v>0</v>
      </c>
      <c r="J243" s="89">
        <f t="shared" si="49"/>
        <v>0</v>
      </c>
      <c r="K243" s="89">
        <f t="shared" si="49"/>
        <v>0</v>
      </c>
      <c r="L243" s="89">
        <f t="shared" si="49"/>
        <v>0</v>
      </c>
      <c r="M243" s="89">
        <f t="shared" si="49"/>
        <v>0</v>
      </c>
      <c r="N243" s="89">
        <f t="shared" si="49"/>
        <v>0</v>
      </c>
      <c r="O243" s="89">
        <f t="shared" si="49"/>
        <v>0</v>
      </c>
      <c r="P243" s="89" t="e">
        <f>P219+P223+P224+P229+P234+P235+P242+P237</f>
        <v>#VALUE!</v>
      </c>
      <c r="Q243" s="22"/>
      <c r="R243" s="32"/>
      <c r="S243" s="22"/>
    </row>
    <row r="244" spans="2:19" ht="17.45" customHeight="1">
      <c r="B244" s="31" t="s">
        <v>403</v>
      </c>
      <c r="C244" s="26" t="s">
        <v>404</v>
      </c>
      <c r="D244" s="81"/>
      <c r="E244" s="81"/>
      <c r="F244" s="81">
        <v>0</v>
      </c>
      <c r="G244" s="81"/>
      <c r="H244" s="81"/>
      <c r="I244" s="81"/>
      <c r="J244" s="81"/>
      <c r="K244" s="81"/>
      <c r="L244" s="81"/>
      <c r="M244" s="81"/>
      <c r="N244" s="81"/>
      <c r="O244" s="81"/>
      <c r="P244" s="81">
        <f>D244+E244+F244+G244+H244+I244+J244+K244+L244+M244+N244+O244</f>
        <v>0</v>
      </c>
      <c r="Q244" s="22"/>
      <c r="R244" s="32"/>
      <c r="S244" s="22"/>
    </row>
    <row r="245" spans="2:19" ht="17.45" customHeight="1">
      <c r="B245" s="31" t="s">
        <v>405</v>
      </c>
      <c r="C245" s="26" t="s">
        <v>406</v>
      </c>
      <c r="D245" s="81"/>
      <c r="E245" s="81"/>
      <c r="F245" s="81" t="s">
        <v>441</v>
      </c>
      <c r="G245" s="81"/>
      <c r="H245" s="81"/>
      <c r="I245" s="81"/>
      <c r="J245" s="81"/>
      <c r="K245" s="81"/>
      <c r="L245" s="81"/>
      <c r="M245" s="81"/>
      <c r="N245" s="81"/>
      <c r="O245" s="81"/>
      <c r="P245" s="81" t="e">
        <f>D245+E245+F245+G245+H245+I245+J245+K245+L245+M245+N245+O245</f>
        <v>#VALUE!</v>
      </c>
      <c r="Q245" s="22"/>
      <c r="R245" s="32"/>
      <c r="S245" s="22"/>
    </row>
    <row r="246" spans="2:19" ht="17.45" customHeight="1">
      <c r="B246" s="31" t="s">
        <v>407</v>
      </c>
      <c r="C246" s="26" t="s">
        <v>408</v>
      </c>
      <c r="D246" s="81"/>
      <c r="E246" s="81"/>
      <c r="F246" s="81" t="s">
        <v>441</v>
      </c>
      <c r="G246" s="81"/>
      <c r="H246" s="81"/>
      <c r="I246" s="81"/>
      <c r="J246" s="81"/>
      <c r="K246" s="81"/>
      <c r="L246" s="81"/>
      <c r="M246" s="81"/>
      <c r="N246" s="81"/>
      <c r="O246" s="81"/>
      <c r="P246" s="81" t="e">
        <f>D246+E246+F246+G246+H246+I246+J246+K246+L246+M246+N246+O246</f>
        <v>#VALUE!</v>
      </c>
      <c r="Q246" s="22"/>
      <c r="R246" s="32"/>
      <c r="S246" s="22"/>
    </row>
    <row r="247" spans="2:19" ht="17.45" customHeight="1">
      <c r="B247" s="31" t="s">
        <v>409</v>
      </c>
      <c r="C247" s="26" t="s">
        <v>410</v>
      </c>
      <c r="D247" s="81"/>
      <c r="E247" s="81"/>
      <c r="F247" s="81" t="s">
        <v>441</v>
      </c>
      <c r="G247" s="81"/>
      <c r="H247" s="81"/>
      <c r="I247" s="81"/>
      <c r="J247" s="81"/>
      <c r="K247" s="81"/>
      <c r="L247" s="81"/>
      <c r="M247" s="81"/>
      <c r="N247" s="81"/>
      <c r="O247" s="81"/>
      <c r="P247" s="81" t="e">
        <f>D247+E247+F247+G247+H247+I247+J247+K247+L247+M247+N247+O247</f>
        <v>#VALUE!</v>
      </c>
      <c r="Q247" s="22"/>
      <c r="R247" s="32"/>
      <c r="S247" s="22"/>
    </row>
    <row r="248" spans="2:19" ht="17.45" customHeight="1">
      <c r="B248" s="68" t="s">
        <v>411</v>
      </c>
      <c r="C248" s="67" t="s">
        <v>335</v>
      </c>
      <c r="D248" s="89">
        <f t="shared" ref="D248:O248" si="50">D243+D214</f>
        <v>0</v>
      </c>
      <c r="E248" s="89">
        <f t="shared" si="50"/>
        <v>0</v>
      </c>
      <c r="F248" s="89" t="e">
        <f t="shared" si="50"/>
        <v>#VALUE!</v>
      </c>
      <c r="G248" s="89">
        <f t="shared" si="50"/>
        <v>0</v>
      </c>
      <c r="H248" s="89">
        <f t="shared" si="50"/>
        <v>0</v>
      </c>
      <c r="I248" s="89">
        <f t="shared" si="50"/>
        <v>0</v>
      </c>
      <c r="J248" s="89">
        <f t="shared" si="50"/>
        <v>0</v>
      </c>
      <c r="K248" s="89">
        <f t="shared" si="50"/>
        <v>0</v>
      </c>
      <c r="L248" s="89">
        <f t="shared" si="50"/>
        <v>0</v>
      </c>
      <c r="M248" s="89">
        <f t="shared" si="50"/>
        <v>0</v>
      </c>
      <c r="N248" s="89">
        <f t="shared" si="50"/>
        <v>0</v>
      </c>
      <c r="O248" s="89">
        <f t="shared" si="50"/>
        <v>0</v>
      </c>
      <c r="P248" s="89" t="e">
        <f>P243+P214</f>
        <v>#VALUE!</v>
      </c>
      <c r="Q248" s="22"/>
      <c r="R248" s="32"/>
      <c r="S248" s="22"/>
    </row>
    <row r="249" spans="2:19" ht="17.45" customHeight="1">
      <c r="B249" s="31" t="s">
        <v>412</v>
      </c>
      <c r="C249" s="26" t="s">
        <v>413</v>
      </c>
      <c r="D249" s="81"/>
      <c r="E249" s="81"/>
      <c r="F249" s="81">
        <v>0</v>
      </c>
      <c r="G249" s="81"/>
      <c r="H249" s="81"/>
      <c r="I249" s="81"/>
      <c r="J249" s="81"/>
      <c r="K249" s="81"/>
      <c r="L249" s="81"/>
      <c r="M249" s="81"/>
      <c r="N249" s="81"/>
      <c r="O249" s="81"/>
      <c r="P249" s="81">
        <f>D249+E249+F249+G249+H249+I249+J249+K249+L249+M249+N249+O249</f>
        <v>0</v>
      </c>
      <c r="Q249" s="22"/>
      <c r="R249" s="32"/>
      <c r="S249" s="22"/>
    </row>
    <row r="250" spans="2:19" ht="17.45" customHeight="1">
      <c r="B250" s="31" t="s">
        <v>414</v>
      </c>
      <c r="C250" s="26" t="s">
        <v>415</v>
      </c>
      <c r="D250" s="81"/>
      <c r="E250" s="81"/>
      <c r="F250" s="81">
        <v>0</v>
      </c>
      <c r="G250" s="81"/>
      <c r="H250" s="81"/>
      <c r="I250" s="81"/>
      <c r="J250" s="81"/>
      <c r="K250" s="81"/>
      <c r="L250" s="81"/>
      <c r="M250" s="81"/>
      <c r="N250" s="81"/>
      <c r="O250" s="81"/>
      <c r="P250" s="81">
        <f>D250+E250+F250+G250+H250+I250+J250+K250+L250+M250+N250+O250</f>
        <v>0</v>
      </c>
      <c r="Q250" s="22"/>
      <c r="R250" s="32"/>
      <c r="S250" s="22"/>
    </row>
    <row r="251" spans="2:19" ht="17.45" customHeight="1">
      <c r="B251" s="31"/>
      <c r="C251" s="26" t="s">
        <v>416</v>
      </c>
      <c r="D251" s="81"/>
      <c r="E251" s="81"/>
      <c r="F251" s="81">
        <v>0</v>
      </c>
      <c r="G251" s="81"/>
      <c r="H251" s="81"/>
      <c r="I251" s="81"/>
      <c r="J251" s="81"/>
      <c r="K251" s="81"/>
      <c r="L251" s="81"/>
      <c r="M251" s="81"/>
      <c r="N251" s="81"/>
      <c r="O251" s="81"/>
      <c r="P251" s="81">
        <v>0</v>
      </c>
      <c r="Q251" s="22"/>
      <c r="R251" s="32"/>
      <c r="S251" s="22"/>
    </row>
    <row r="252" spans="2:19" ht="17.45" customHeight="1">
      <c r="B252" s="25"/>
      <c r="C252" s="26" t="s">
        <v>413</v>
      </c>
      <c r="D252" s="81"/>
      <c r="E252" s="81"/>
      <c r="F252" s="81">
        <v>0</v>
      </c>
      <c r="G252" s="81"/>
      <c r="H252" s="81"/>
      <c r="I252" s="81"/>
      <c r="J252" s="81"/>
      <c r="K252" s="81"/>
      <c r="L252" s="81"/>
      <c r="M252" s="81"/>
      <c r="N252" s="81"/>
      <c r="O252" s="81"/>
      <c r="P252" s="81">
        <f>D252+E252+F252+G252+H252+I252+J252+K252+L252+M252+N252+O252</f>
        <v>0</v>
      </c>
      <c r="Q252" s="22"/>
      <c r="R252" s="32"/>
      <c r="S252" s="22"/>
    </row>
    <row r="253" spans="2:19" ht="24.95" customHeight="1">
      <c r="B253" s="104"/>
      <c r="C253" s="104" t="s">
        <v>417</v>
      </c>
      <c r="D253" s="104">
        <f t="shared" ref="D253:O253" si="51">D16-D36-D138-D198-D248</f>
        <v>0</v>
      </c>
      <c r="E253" s="104">
        <f t="shared" si="51"/>
        <v>0</v>
      </c>
      <c r="F253" s="104" t="e">
        <f t="shared" si="51"/>
        <v>#VALUE!</v>
      </c>
      <c r="G253" s="104">
        <f t="shared" si="51"/>
        <v>0</v>
      </c>
      <c r="H253" s="104">
        <f t="shared" si="51"/>
        <v>0</v>
      </c>
      <c r="I253" s="104">
        <f t="shared" si="51"/>
        <v>0</v>
      </c>
      <c r="J253" s="104">
        <f t="shared" si="51"/>
        <v>0</v>
      </c>
      <c r="K253" s="104">
        <f t="shared" si="51"/>
        <v>0</v>
      </c>
      <c r="L253" s="104">
        <f t="shared" si="51"/>
        <v>0</v>
      </c>
      <c r="M253" s="104">
        <f t="shared" si="51"/>
        <v>0</v>
      </c>
      <c r="N253" s="104">
        <f t="shared" si="51"/>
        <v>0</v>
      </c>
      <c r="O253" s="104">
        <f t="shared" si="51"/>
        <v>0</v>
      </c>
      <c r="P253" s="104" t="e">
        <f>P16-P36-P138-P198-P248</f>
        <v>#VALUE!</v>
      </c>
      <c r="Q253" s="22"/>
      <c r="R253" s="32"/>
      <c r="S253" s="22"/>
    </row>
    <row r="254" spans="2:19" ht="17.45" customHeight="1">
      <c r="B254" s="20"/>
      <c r="Q254" s="22"/>
      <c r="R254" s="32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6:P1000">
    <cfRule type="containsText" dxfId="41" priority="84" operator="containsText" text="NOT FOUND">
      <formula>NOT(ISERROR(SEARCH("NOT FOUND",D6)))</formula>
    </cfRule>
  </conditionalFormatting>
  <conditionalFormatting sqref="D15:P15">
    <cfRule type="containsText" dxfId="40" priority="41" operator="containsText" text="NOT FOUND">
      <formula>NOT(ISERROR(SEARCH("NOT FOUND",D15)))</formula>
    </cfRule>
  </conditionalFormatting>
  <conditionalFormatting sqref="D16:P16">
    <cfRule type="containsText" dxfId="39" priority="40" operator="containsText" text="NOT FOUND">
      <formula>NOT(ISERROR(SEARCH("NOT FOUND",D16)))</formula>
    </cfRule>
  </conditionalFormatting>
  <conditionalFormatting sqref="D24:P24">
    <cfRule type="containsText" dxfId="38" priority="39" operator="containsText" text="NOT FOUND">
      <formula>NOT(ISERROR(SEARCH("NOT FOUND",D24)))</formula>
    </cfRule>
  </conditionalFormatting>
  <conditionalFormatting sqref="D29:P29">
    <cfRule type="containsText" dxfId="37" priority="38" operator="containsText" text="NOT FOUND">
      <formula>NOT(ISERROR(SEARCH("NOT FOUND",D29)))</formula>
    </cfRule>
  </conditionalFormatting>
  <conditionalFormatting sqref="D34:P34">
    <cfRule type="containsText" dxfId="36" priority="37" operator="containsText" text="NOT FOUND">
      <formula>NOT(ISERROR(SEARCH("NOT FOUND",D34)))</formula>
    </cfRule>
  </conditionalFormatting>
  <conditionalFormatting sqref="D35:P35">
    <cfRule type="containsText" dxfId="35" priority="36" operator="containsText" text="NOT FOUND">
      <formula>NOT(ISERROR(SEARCH("NOT FOUND",D35)))</formula>
    </cfRule>
  </conditionalFormatting>
  <conditionalFormatting sqref="D36:P36">
    <cfRule type="containsText" dxfId="34" priority="35" operator="containsText" text="NOT FOUND">
      <formula>NOT(ISERROR(SEARCH("NOT FOUND",D36)))</formula>
    </cfRule>
  </conditionalFormatting>
  <conditionalFormatting sqref="D47:P47">
    <cfRule type="containsText" dxfId="33" priority="34" operator="containsText" text="NOT FOUND">
      <formula>NOT(ISERROR(SEARCH("NOT FOUND",D47)))</formula>
    </cfRule>
  </conditionalFormatting>
  <conditionalFormatting sqref="D52:P52">
    <cfRule type="containsText" dxfId="32" priority="33" operator="containsText" text="NOT FOUND">
      <formula>NOT(ISERROR(SEARCH("NOT FOUND",D52)))</formula>
    </cfRule>
  </conditionalFormatting>
  <conditionalFormatting sqref="D53:P53">
    <cfRule type="containsText" dxfId="31" priority="32" operator="containsText" text="NOT FOUND">
      <formula>NOT(ISERROR(SEARCH("NOT FOUND",D53)))</formula>
    </cfRule>
  </conditionalFormatting>
  <conditionalFormatting sqref="D61:P61">
    <cfRule type="containsText" dxfId="30" priority="31" operator="containsText" text="NOT FOUND">
      <formula>NOT(ISERROR(SEARCH("NOT FOUND",D61)))</formula>
    </cfRule>
  </conditionalFormatting>
  <conditionalFormatting sqref="D70:P70">
    <cfRule type="containsText" dxfId="29" priority="30" operator="containsText" text="NOT FOUND">
      <formula>NOT(ISERROR(SEARCH("NOT FOUND",D70)))</formula>
    </cfRule>
  </conditionalFormatting>
  <conditionalFormatting sqref="D80:P80">
    <cfRule type="containsText" dxfId="28" priority="29" operator="containsText" text="NOT FOUND">
      <formula>NOT(ISERROR(SEARCH("NOT FOUND",D80)))</formula>
    </cfRule>
  </conditionalFormatting>
  <conditionalFormatting sqref="D89:P89">
    <cfRule type="containsText" dxfId="27" priority="28" operator="containsText" text="NOT FOUND">
      <formula>NOT(ISERROR(SEARCH("NOT FOUND",D89)))</formula>
    </cfRule>
  </conditionalFormatting>
  <conditionalFormatting sqref="D101:P101">
    <cfRule type="containsText" dxfId="26" priority="27" operator="containsText" text="NOT FOUND">
      <formula>NOT(ISERROR(SEARCH("NOT FOUND",D101)))</formula>
    </cfRule>
  </conditionalFormatting>
  <conditionalFormatting sqref="D106:P106">
    <cfRule type="containsText" dxfId="25" priority="26" operator="containsText" text="NOT FOUND">
      <formula>NOT(ISERROR(SEARCH("NOT FOUND",D106)))</formula>
    </cfRule>
  </conditionalFormatting>
  <conditionalFormatting sqref="D111:P111">
    <cfRule type="containsText" dxfId="24" priority="25" operator="containsText" text="NOT FOUND">
      <formula>NOT(ISERROR(SEARCH("NOT FOUND",D111)))</formula>
    </cfRule>
  </conditionalFormatting>
  <conditionalFormatting sqref="D112:P112">
    <cfRule type="containsText" dxfId="23" priority="24" operator="containsText" text="NOT FOUND">
      <formula>NOT(ISERROR(SEARCH("NOT FOUND",D112)))</formula>
    </cfRule>
  </conditionalFormatting>
  <conditionalFormatting sqref="D117:P117">
    <cfRule type="containsText" dxfId="22" priority="23" operator="containsText" text="NOT FOUND">
      <formula>NOT(ISERROR(SEARCH("NOT FOUND",D117)))</formula>
    </cfRule>
  </conditionalFormatting>
  <conditionalFormatting sqref="D128:P128">
    <cfRule type="containsText" dxfId="21" priority="22" operator="containsText" text="NOT FOUND">
      <formula>NOT(ISERROR(SEARCH("NOT FOUND",D128)))</formula>
    </cfRule>
  </conditionalFormatting>
  <conditionalFormatting sqref="D132:P132">
    <cfRule type="containsText" dxfId="20" priority="21" operator="containsText" text="NOT FOUND">
      <formula>NOT(ISERROR(SEARCH("NOT FOUND",D132)))</formula>
    </cfRule>
  </conditionalFormatting>
  <conditionalFormatting sqref="D137:P137">
    <cfRule type="containsText" dxfId="19" priority="20" operator="containsText" text="NOT FOUND">
      <formula>NOT(ISERROR(SEARCH("NOT FOUND",D137)))</formula>
    </cfRule>
  </conditionalFormatting>
  <conditionalFormatting sqref="D138:P138">
    <cfRule type="containsText" dxfId="18" priority="19" operator="containsText" text="NOT FOUND">
      <formula>NOT(ISERROR(SEARCH("NOT FOUND",D138)))</formula>
    </cfRule>
  </conditionalFormatting>
  <conditionalFormatting sqref="D148:P148">
    <cfRule type="containsText" dxfId="17" priority="18" operator="containsText" text="NOT FOUND">
      <formula>NOT(ISERROR(SEARCH("NOT FOUND",D148)))</formula>
    </cfRule>
  </conditionalFormatting>
  <conditionalFormatting sqref="D154:P154">
    <cfRule type="containsText" dxfId="16" priority="17" operator="containsText" text="NOT FOUND">
      <formula>NOT(ISERROR(SEARCH("NOT FOUND",D154)))</formula>
    </cfRule>
  </conditionalFormatting>
  <conditionalFormatting sqref="D158:P158">
    <cfRule type="containsText" dxfId="15" priority="16" operator="containsText" text="NOT FOUND">
      <formula>NOT(ISERROR(SEARCH("NOT FOUND",D158)))</formula>
    </cfRule>
  </conditionalFormatting>
  <conditionalFormatting sqref="D170:P170">
    <cfRule type="containsText" dxfId="14" priority="15" operator="containsText" text="NOT FOUND">
      <formula>NOT(ISERROR(SEARCH("NOT FOUND",D170)))</formula>
    </cfRule>
  </conditionalFormatting>
  <conditionalFormatting sqref="D175:P175">
    <cfRule type="containsText" dxfId="13" priority="14" operator="containsText" text="NOT FOUND">
      <formula>NOT(ISERROR(SEARCH("NOT FOUND",D175)))</formula>
    </cfRule>
  </conditionalFormatting>
  <conditionalFormatting sqref="D182:P182">
    <cfRule type="containsText" dxfId="12" priority="13" operator="containsText" text="NOT FOUND">
      <formula>NOT(ISERROR(SEARCH("NOT FOUND",D182)))</formula>
    </cfRule>
  </conditionalFormatting>
  <conditionalFormatting sqref="D187:P187">
    <cfRule type="containsText" dxfId="11" priority="12" operator="containsText" text="NOT FOUND">
      <formula>NOT(ISERROR(SEARCH("NOT FOUND",D187)))</formula>
    </cfRule>
  </conditionalFormatting>
  <conditionalFormatting sqref="D197:P197">
    <cfRule type="containsText" dxfId="10" priority="11" operator="containsText" text="NOT FOUND">
      <formula>NOT(ISERROR(SEARCH("NOT FOUND",D197)))</formula>
    </cfRule>
  </conditionalFormatting>
  <conditionalFormatting sqref="D198:P198">
    <cfRule type="containsText" dxfId="9" priority="10" operator="containsText" text="NOT FOUND">
      <formula>NOT(ISERROR(SEARCH("NOT FOUND",D198)))</formula>
    </cfRule>
  </conditionalFormatting>
  <conditionalFormatting sqref="D206:P206">
    <cfRule type="containsText" dxfId="8" priority="9" operator="containsText" text="NOT FOUND">
      <formula>NOT(ISERROR(SEARCH("NOT FOUND",D206)))</formula>
    </cfRule>
  </conditionalFormatting>
  <conditionalFormatting sqref="D214:P214">
    <cfRule type="containsText" dxfId="7" priority="8" operator="containsText" text="NOT FOUND">
      <formula>NOT(ISERROR(SEARCH("NOT FOUND",D214)))</formula>
    </cfRule>
  </conditionalFormatting>
  <conditionalFormatting sqref="D219:P219">
    <cfRule type="containsText" dxfId="6" priority="7" operator="containsText" text="NOT FOUND">
      <formula>NOT(ISERROR(SEARCH("NOT FOUND",D219)))</formula>
    </cfRule>
  </conditionalFormatting>
  <conditionalFormatting sqref="D223:P223">
    <cfRule type="containsText" dxfId="5" priority="6" operator="containsText" text="NOT FOUND">
      <formula>NOT(ISERROR(SEARCH("NOT FOUND",D223)))</formula>
    </cfRule>
  </conditionalFormatting>
  <conditionalFormatting sqref="D229:P229">
    <cfRule type="containsText" dxfId="4" priority="5" operator="containsText" text="NOT FOUND">
      <formula>NOT(ISERROR(SEARCH("NOT FOUND",D229)))</formula>
    </cfRule>
  </conditionalFormatting>
  <conditionalFormatting sqref="D233:P233">
    <cfRule type="containsText" dxfId="3" priority="4" operator="containsText" text="NOT FOUND">
      <formula>NOT(ISERROR(SEARCH("NOT FOUND",D233)))</formula>
    </cfRule>
  </conditionalFormatting>
  <conditionalFormatting sqref="D243:P243">
    <cfRule type="containsText" dxfId="2" priority="3" operator="containsText" text="NOT FOUND">
      <formula>NOT(ISERROR(SEARCH("NOT FOUND",D243)))</formula>
    </cfRule>
  </conditionalFormatting>
  <conditionalFormatting sqref="D248:P248">
    <cfRule type="containsText" dxfId="1" priority="2" operator="containsText" text="NOT FOUND">
      <formula>NOT(ISERROR(SEARCH("NOT FOUND",D248)))</formula>
    </cfRule>
  </conditionalFormatting>
  <conditionalFormatting sqref="D253:P253">
    <cfRule type="containsText" dxfId="0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37CD2-8A16-46CE-BF3B-BC980F1F25DC}">
  <sheetPr codeName="Sheet8"/>
  <dimension ref="A1:S344"/>
  <sheetViews>
    <sheetView zoomScale="70" zoomScaleNormal="7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RowHeight="16.5"/>
  <cols>
    <col min="1" max="1" width="27" style="20" customWidth="1"/>
    <col min="2" max="2" width="19.85546875" style="41" customWidth="1"/>
    <col min="3" max="3" width="39.42578125" style="20" customWidth="1"/>
    <col min="4" max="4" width="23.8554687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18"/>
      <c r="B1" s="18"/>
      <c r="C1" s="19" t="s">
        <v>10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18"/>
      <c r="B2" s="18"/>
      <c r="C2" s="21" t="s">
        <v>11</v>
      </c>
      <c r="D2" s="1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18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41" customFormat="1" ht="24" customHeight="1">
      <c r="A4" s="59"/>
      <c r="B4" s="62" t="s">
        <v>12</v>
      </c>
      <c r="C4" s="62" t="s">
        <v>13</v>
      </c>
      <c r="D4" s="62" t="s">
        <v>14</v>
      </c>
      <c r="E4" s="62" t="s">
        <v>15</v>
      </c>
      <c r="F4" s="62" t="s">
        <v>16</v>
      </c>
      <c r="G4" s="62" t="s">
        <v>17</v>
      </c>
      <c r="H4" s="62" t="s">
        <v>18</v>
      </c>
      <c r="I4" s="62" t="s">
        <v>19</v>
      </c>
      <c r="J4" s="62" t="s">
        <v>20</v>
      </c>
      <c r="K4" s="62" t="s">
        <v>21</v>
      </c>
      <c r="L4" s="62" t="s">
        <v>22</v>
      </c>
      <c r="M4" s="62" t="s">
        <v>23</v>
      </c>
      <c r="N4" s="62" t="s">
        <v>24</v>
      </c>
      <c r="O4" s="62" t="s">
        <v>25</v>
      </c>
      <c r="P4" s="62" t="s">
        <v>26</v>
      </c>
      <c r="Q4" s="76"/>
      <c r="R4" s="59"/>
    </row>
    <row r="5" spans="1:19" ht="17.45" customHeight="1">
      <c r="B5" s="60"/>
      <c r="C5" s="61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22"/>
      <c r="R5" s="18"/>
    </row>
    <row r="6" spans="1:19" ht="17.45" customHeight="1">
      <c r="B6" s="25"/>
      <c r="C6" s="28" t="s">
        <v>27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22"/>
      <c r="R6" s="18"/>
    </row>
    <row r="7" spans="1:19" ht="17.45" customHeight="1">
      <c r="B7" s="25"/>
      <c r="C7" s="29" t="s">
        <v>28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22"/>
      <c r="R7" s="18"/>
    </row>
    <row r="8" spans="1:19" ht="17.45" customHeight="1">
      <c r="A8" s="20" t="str">
        <f>_xlfn.IFNA(VLOOKUP(C8,Ref_CostCat!$A$6:$C$1048576,3,FALSE),SUBSTITUTE(SUBSTITUTE(SUBSTITUTE(SUBSTITUTE(C8,".",""),",",""),"-","")," ",""))</f>
        <v>SALESEXPORTMARKET</v>
      </c>
      <c r="B8" s="31" t="s">
        <v>30</v>
      </c>
      <c r="C8" s="26" t="s">
        <v>31</v>
      </c>
      <c r="D8" s="81">
        <v>826982.18</v>
      </c>
      <c r="E8" s="81"/>
      <c r="F8" s="81">
        <f>_xlfn.IFNA(VLOOKUP($A8,'[1]Januari''24'!$B$11:$N$344,3,FALSE),"NOT FOUND")</f>
        <v>826982.18</v>
      </c>
      <c r="G8" s="81"/>
      <c r="H8" s="81"/>
      <c r="I8" s="81"/>
      <c r="J8" s="81"/>
      <c r="K8" s="81"/>
      <c r="L8" s="81"/>
      <c r="M8" s="81"/>
      <c r="N8" s="81"/>
      <c r="O8" s="81"/>
      <c r="P8" s="81">
        <f>D8+E8+F8+G8+H8+I8+J8+K8+L8+M8+N8+O8</f>
        <v>1653964.36</v>
      </c>
      <c r="Q8" s="22"/>
      <c r="R8" s="32"/>
      <c r="S8" s="22"/>
    </row>
    <row r="9" spans="1:19" ht="17.45" customHeight="1">
      <c r="A9" s="20" t="str">
        <f>_xlfn.IFNA(VLOOKUP(C9,Ref_CostCat!$A$6:$C$1048576,3,FALSE),SUBSTITUTE(SUBSTITUTE(SUBSTITUTE(SUBSTITUTE(C9,".",""),",",""),"-","")," ",""))</f>
        <v>SALESLOCALMARKET</v>
      </c>
      <c r="B9" s="31" t="s">
        <v>32</v>
      </c>
      <c r="C9" s="26" t="s">
        <v>33</v>
      </c>
      <c r="D9" s="81">
        <v>0</v>
      </c>
      <c r="E9" s="81"/>
      <c r="F9" s="81">
        <f>_xlfn.IFNA(VLOOKUP($A9,'[1]Januari''24'!$B$11:$N$344,3,FALSE),"NOT FOUND")</f>
        <v>0</v>
      </c>
      <c r="G9" s="81"/>
      <c r="H9" s="81"/>
      <c r="I9" s="81"/>
      <c r="J9" s="81"/>
      <c r="K9" s="81"/>
      <c r="L9" s="81"/>
      <c r="M9" s="81"/>
      <c r="N9" s="81"/>
      <c r="O9" s="81"/>
      <c r="P9" s="81">
        <f t="shared" ref="P9:P14" si="0">D9+E9+F9+G9+H9+I9+J9+K9+L9+M9+N9+O9</f>
        <v>0</v>
      </c>
      <c r="Q9" s="22"/>
      <c r="R9" s="32"/>
      <c r="S9" s="22"/>
    </row>
    <row r="10" spans="1:19" ht="17.45" customHeight="1">
      <c r="A10" s="20" t="str">
        <f>_xlfn.IFNA(VLOOKUP(C10,Ref_CostCat!$A$6:$C$1048576,3,FALSE),SUBSTITUTE(SUBSTITUTE(SUBSTITUTE(SUBSTITUTE(C10,".",""),",",""),"-","")," ",""))</f>
        <v>SALESKBNMARKET</v>
      </c>
      <c r="B10" s="31" t="s">
        <v>34</v>
      </c>
      <c r="C10" s="26" t="s">
        <v>35</v>
      </c>
      <c r="D10" s="81">
        <v>0</v>
      </c>
      <c r="E10" s="81"/>
      <c r="F10" s="81">
        <f>_xlfn.IFNA(VLOOKUP($A10,'[1]Januari''24'!$B$11:$N$344,3,FALSE),"NOT FOUND")</f>
        <v>0</v>
      </c>
      <c r="G10" s="81"/>
      <c r="H10" s="81"/>
      <c r="I10" s="81"/>
      <c r="J10" s="81"/>
      <c r="K10" s="81"/>
      <c r="L10" s="81"/>
      <c r="M10" s="81"/>
      <c r="N10" s="81"/>
      <c r="O10" s="81"/>
      <c r="P10" s="81">
        <f t="shared" si="0"/>
        <v>0</v>
      </c>
      <c r="Q10" s="22"/>
      <c r="R10" s="32"/>
      <c r="S10" s="22"/>
    </row>
    <row r="11" spans="1:19" ht="17.45" customHeight="1">
      <c r="A11" s="20" t="str">
        <f>_xlfn.IFNA(VLOOKUP(C11,Ref_CostCat!$A$6:$C$1048576,3,FALSE),SUBSTITUTE(SUBSTITUTE(SUBSTITUTE(SUBSTITUTE(C11,".",""),",",""),"-","")," ",""))</f>
        <v>SALESOTHERS</v>
      </c>
      <c r="B11" s="31" t="s">
        <v>36</v>
      </c>
      <c r="C11" s="26" t="s">
        <v>37</v>
      </c>
      <c r="D11" s="82">
        <v>14591.23</v>
      </c>
      <c r="E11" s="81"/>
      <c r="F11" s="81">
        <f>_xlfn.IFNA(VLOOKUP($A11,'[1]Januari''24'!$B$11:$N$344,3,FALSE),"NOT FOUND")</f>
        <v>14591.23</v>
      </c>
      <c r="G11" s="81"/>
      <c r="H11" s="81"/>
      <c r="I11" s="81"/>
      <c r="J11" s="81"/>
      <c r="K11" s="81"/>
      <c r="L11" s="81"/>
      <c r="M11" s="81"/>
      <c r="N11" s="81"/>
      <c r="O11" s="81"/>
      <c r="P11" s="81">
        <f t="shared" si="0"/>
        <v>29182.46</v>
      </c>
      <c r="Q11" s="22"/>
      <c r="R11" s="32"/>
      <c r="S11" s="22"/>
    </row>
    <row r="12" spans="1:19" ht="17.45" customHeight="1">
      <c r="A12" s="20" t="str">
        <f>_xlfn.IFNA(VLOOKUP(C12,Ref_CostCat!$A$6:$C$1048576,3,FALSE),SUBSTITUTE(SUBSTITUTE(SUBSTITUTE(SUBSTITUTE(C12,".",""),",",""),"-","")," ",""))</f>
        <v>SALESRETURN&amp;ALWNC</v>
      </c>
      <c r="B12" s="31" t="s">
        <v>38</v>
      </c>
      <c r="C12" s="26" t="s">
        <v>39</v>
      </c>
      <c r="D12" s="81"/>
      <c r="E12" s="81"/>
      <c r="F12" s="81">
        <f>_xlfn.IFNA(VLOOKUP($A12,'[1]Januari''24'!$B$11:$N$344,3,FALSE),"NOT FOUND")</f>
        <v>0</v>
      </c>
      <c r="G12" s="81"/>
      <c r="H12" s="81"/>
      <c r="I12" s="81"/>
      <c r="J12" s="81"/>
      <c r="K12" s="81"/>
      <c r="L12" s="81"/>
      <c r="M12" s="81"/>
      <c r="N12" s="81"/>
      <c r="O12" s="81"/>
      <c r="P12" s="81">
        <f t="shared" si="0"/>
        <v>0</v>
      </c>
      <c r="Q12" s="22"/>
      <c r="R12" s="32"/>
      <c r="S12" s="22"/>
    </row>
    <row r="13" spans="1:19" ht="17.45" customHeight="1">
      <c r="A13" s="20" t="str">
        <f>_xlfn.IFNA(VLOOKUP(C13,Ref_CostCat!$A$6:$C$1048576,3,FALSE),SUBSTITUTE(SUBSTITUTE(SUBSTITUTE(SUBSTITUTE(C13,".",""),",",""),"-","")," ",""))</f>
        <v>SALESDISCOUNT</v>
      </c>
      <c r="B13" s="31" t="s">
        <v>40</v>
      </c>
      <c r="C13" s="26" t="s">
        <v>41</v>
      </c>
      <c r="D13" s="81"/>
      <c r="E13" s="81"/>
      <c r="F13" s="81">
        <f>_xlfn.IFNA(VLOOKUP($A13,'[1]Januari''24'!$B$11:$N$344,3,FALSE),"NOT FOUND")</f>
        <v>0</v>
      </c>
      <c r="G13" s="81"/>
      <c r="H13" s="81"/>
      <c r="I13" s="81"/>
      <c r="J13" s="81"/>
      <c r="K13" s="81"/>
      <c r="L13" s="81"/>
      <c r="M13" s="81"/>
      <c r="N13" s="81"/>
      <c r="O13" s="81"/>
      <c r="P13" s="81">
        <f t="shared" si="0"/>
        <v>0</v>
      </c>
      <c r="Q13" s="22"/>
      <c r="R13" s="32"/>
      <c r="S13" s="22"/>
    </row>
    <row r="14" spans="1:19" ht="17.45" customHeight="1">
      <c r="A14" s="20" t="str">
        <f>_xlfn.IFNA(VLOOKUP(C14,Ref_CostCat!$A$6:$C$1048576,3,FALSE),SUBSTITUTE(SUBSTITUTE(SUBSTITUTE(SUBSTITUTE(C14,".",""),",",""),"-","")," ",""))</f>
        <v>SALESLOCALMARKET</v>
      </c>
      <c r="B14" s="31"/>
      <c r="C14" s="26" t="s">
        <v>42</v>
      </c>
      <c r="D14" s="81"/>
      <c r="E14" s="81"/>
      <c r="F14" s="81">
        <f>_xlfn.IFNA(VLOOKUP($A14,'[1]Januari''24'!$B$11:$N$344,3,FALSE),"NOT FOUND")</f>
        <v>0</v>
      </c>
      <c r="G14" s="81"/>
      <c r="H14" s="81"/>
      <c r="I14" s="81"/>
      <c r="J14" s="81"/>
      <c r="K14" s="81"/>
      <c r="L14" s="81"/>
      <c r="M14" s="81"/>
      <c r="N14" s="81"/>
      <c r="O14" s="81"/>
      <c r="P14" s="81">
        <f t="shared" si="0"/>
        <v>0</v>
      </c>
      <c r="Q14" s="22"/>
      <c r="R14" s="32"/>
      <c r="S14" s="22"/>
    </row>
    <row r="15" spans="1:19" ht="17.45" customHeight="1">
      <c r="A15" s="20" t="str">
        <f>_xlfn.IFNA(VLOOKUP(C15,Ref_CostCat!$A$6:$C$1048576,3,FALSE),SUBSTITUTE(SUBSTITUTE(SUBSTITUTE(SUBSTITUTE(C15,".",""),",",""),"-","")," ",""))</f>
        <v>SALES</v>
      </c>
      <c r="B15" s="68" t="s">
        <v>44</v>
      </c>
      <c r="C15" s="67" t="s">
        <v>28</v>
      </c>
      <c r="D15" s="83">
        <f>SUM(D7:D13)</f>
        <v>841573.41</v>
      </c>
      <c r="E15" s="83">
        <f>SUM(E7:E13)</f>
        <v>0</v>
      </c>
      <c r="F15" s="88">
        <f>SUM(F7:F13)</f>
        <v>841573.41</v>
      </c>
      <c r="G15" s="83">
        <f t="shared" ref="G15:O15" si="1">SUM(G7:G13)</f>
        <v>0</v>
      </c>
      <c r="H15" s="83">
        <f t="shared" si="1"/>
        <v>0</v>
      </c>
      <c r="I15" s="83">
        <f t="shared" si="1"/>
        <v>0</v>
      </c>
      <c r="J15" s="83">
        <f t="shared" si="1"/>
        <v>0</v>
      </c>
      <c r="K15" s="83">
        <f t="shared" si="1"/>
        <v>0</v>
      </c>
      <c r="L15" s="83">
        <f t="shared" si="1"/>
        <v>0</v>
      </c>
      <c r="M15" s="83">
        <f t="shared" si="1"/>
        <v>0</v>
      </c>
      <c r="N15" s="83">
        <f t="shared" si="1"/>
        <v>0</v>
      </c>
      <c r="O15" s="83">
        <f t="shared" si="1"/>
        <v>0</v>
      </c>
      <c r="P15" s="83">
        <f>SUM(P7:P13)</f>
        <v>1683146.82</v>
      </c>
      <c r="Q15" s="22"/>
      <c r="R15" s="32"/>
      <c r="S15" s="22"/>
    </row>
    <row r="16" spans="1:19" ht="17.45" customHeight="1">
      <c r="A16" s="20" t="str">
        <f>_xlfn.IFNA(VLOOKUP(C16,Ref_CostCat!$A$6:$C$1048576,3,FALSE),SUBSTITUTE(SUBSTITUTE(SUBSTITUTE(SUBSTITUTE(C16,".",""),",",""),"-","")," ",""))</f>
        <v>REVENUE</v>
      </c>
      <c r="B16" s="69" t="s">
        <v>46</v>
      </c>
      <c r="C16" s="70" t="s">
        <v>47</v>
      </c>
      <c r="D16" s="84">
        <f>D15</f>
        <v>841573.41</v>
      </c>
      <c r="E16" s="84">
        <f>E15</f>
        <v>0</v>
      </c>
      <c r="F16" s="81">
        <f>_xlfn.IFNA(VLOOKUP($A16,'[1]Januari''24'!$B$11:$N$344,3,FALSE),"NOT FOUND")</f>
        <v>841573.41</v>
      </c>
      <c r="G16" s="84">
        <f t="shared" ref="G16:O16" si="2">G15</f>
        <v>0</v>
      </c>
      <c r="H16" s="84">
        <f t="shared" si="2"/>
        <v>0</v>
      </c>
      <c r="I16" s="84">
        <f t="shared" si="2"/>
        <v>0</v>
      </c>
      <c r="J16" s="84">
        <f t="shared" si="2"/>
        <v>0</v>
      </c>
      <c r="K16" s="84">
        <f t="shared" si="2"/>
        <v>0</v>
      </c>
      <c r="L16" s="84">
        <f t="shared" si="2"/>
        <v>0</v>
      </c>
      <c r="M16" s="84">
        <f t="shared" si="2"/>
        <v>0</v>
      </c>
      <c r="N16" s="84">
        <f t="shared" si="2"/>
        <v>0</v>
      </c>
      <c r="O16" s="84">
        <f t="shared" si="2"/>
        <v>0</v>
      </c>
      <c r="P16" s="84">
        <f>P15</f>
        <v>1683146.82</v>
      </c>
      <c r="Q16" s="22"/>
      <c r="R16" s="32"/>
      <c r="S16" s="22"/>
    </row>
    <row r="17" spans="1:19" ht="17.45" customHeight="1">
      <c r="A17" s="20" t="str">
        <f>_xlfn.IFNA(VLOOKUP(C17,Ref_CostCat!$A$6:$C$1048576,3,FALSE),SUBSTITUTE(SUBSTITUTE(SUBSTITUTE(SUBSTITUTE(C17,".",""),",",""),"-","")," ",""))</f>
        <v>COSTOFREVENUE</v>
      </c>
      <c r="B17" s="31"/>
      <c r="C17" s="28" t="s">
        <v>48</v>
      </c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>
        <f t="shared" ref="P17:P23" si="3">D17+E17+F17+G17+H17+I17+J17+K17+L17+M17+N17+O17</f>
        <v>0</v>
      </c>
      <c r="Q17" s="22"/>
      <c r="R17" s="32"/>
      <c r="S17" s="22"/>
    </row>
    <row r="18" spans="1:19" ht="17.45" customHeight="1">
      <c r="A18" s="20" t="str">
        <f>_xlfn.IFNA(VLOOKUP(C18,Ref_CostCat!$A$6:$C$1048576,3,FALSE),SUBSTITUTE(SUBSTITUTE(SUBSTITUTE(SUBSTITUTE(C18,".",""),",",""),"-","")," ",""))</f>
        <v>COSTOFGOODSSOLD</v>
      </c>
      <c r="B18" s="31"/>
      <c r="C18" s="29" t="s">
        <v>49</v>
      </c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>
        <f t="shared" si="3"/>
        <v>0</v>
      </c>
      <c r="Q18" s="22"/>
      <c r="R18" s="32"/>
      <c r="S18" s="22"/>
    </row>
    <row r="19" spans="1:19" ht="17.45" customHeight="1">
      <c r="A19" s="20" t="str">
        <f>_xlfn.IFNA(VLOOKUP(C19,Ref_CostCat!$A$6:$C$1048576,3,FALSE),SUBSTITUTE(SUBSTITUTE(SUBSTITUTE(SUBSTITUTE(C19,".",""),",",""),"-","")," ",""))</f>
        <v>COGSEXPORTMARKET</v>
      </c>
      <c r="B19" s="31" t="s">
        <v>50</v>
      </c>
      <c r="C19" s="26" t="s">
        <v>51</v>
      </c>
      <c r="D19" s="81">
        <v>1321758.24</v>
      </c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>
        <f t="shared" si="3"/>
        <v>1321758.24</v>
      </c>
      <c r="Q19" s="22"/>
      <c r="R19" s="32"/>
      <c r="S19" s="22"/>
    </row>
    <row r="20" spans="1:19" ht="17.45" customHeight="1">
      <c r="A20" s="20" t="str">
        <f>_xlfn.IFNA(VLOOKUP(C20,Ref_CostCat!$A$6:$C$1048576,3,FALSE),SUBSTITUTE(SUBSTITUTE(SUBSTITUTE(SUBSTITUTE(C20,".",""),",",""),"-","")," ",""))</f>
        <v>COGSEXPORTMATER</v>
      </c>
      <c r="B20" s="31" t="s">
        <v>53</v>
      </c>
      <c r="C20" s="26" t="s">
        <v>54</v>
      </c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>
        <f t="shared" si="3"/>
        <v>0</v>
      </c>
      <c r="Q20" s="22"/>
      <c r="R20" s="32"/>
      <c r="S20" s="22"/>
    </row>
    <row r="21" spans="1:19" ht="17.45" customHeight="1">
      <c r="A21" s="20" t="str">
        <f>_xlfn.IFNA(VLOOKUP(C21,Ref_CostCat!$A$6:$C$1048576,3,FALSE),SUBSTITUTE(SUBSTITUTE(SUBSTITUTE(SUBSTITUTE(C21,".",""),",",""),"-","")," ",""))</f>
        <v>COGSEXPORTMARKET</v>
      </c>
      <c r="B21" s="31"/>
      <c r="C21" s="26" t="s">
        <v>55</v>
      </c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>
        <f t="shared" si="3"/>
        <v>0</v>
      </c>
      <c r="Q21" s="22"/>
      <c r="R21" s="32"/>
      <c r="S21" s="22"/>
    </row>
    <row r="22" spans="1:19" ht="17.45" customHeight="1">
      <c r="A22" s="20" t="str">
        <f>_xlfn.IFNA(VLOOKUP(C22,Ref_CostCat!$A$6:$C$1048576,3,FALSE),SUBSTITUTE(SUBSTITUTE(SUBSTITUTE(SUBSTITUTE(C22,".",""),",",""),"-","")," ",""))</f>
        <v>COGSEXPORTLABOR</v>
      </c>
      <c r="B22" s="31" t="s">
        <v>56</v>
      </c>
      <c r="C22" s="26" t="s">
        <v>57</v>
      </c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>
        <f t="shared" si="3"/>
        <v>0</v>
      </c>
      <c r="Q22" s="22"/>
      <c r="R22" s="32"/>
      <c r="S22" s="22"/>
    </row>
    <row r="23" spans="1:19" ht="17.45" customHeight="1">
      <c r="A23" s="20" t="str">
        <f>_xlfn.IFNA(VLOOKUP(C23,Ref_CostCat!$A$6:$C$1048576,3,FALSE),SUBSTITUTE(SUBSTITUTE(SUBSTITUTE(SUBSTITUTE(C23,".",""),",",""),"-","")," ",""))</f>
        <v>COGSEXPORPROD</v>
      </c>
      <c r="B23" s="31" t="s">
        <v>58</v>
      </c>
      <c r="C23" s="26" t="s">
        <v>59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>
        <f t="shared" si="3"/>
        <v>0</v>
      </c>
      <c r="Q23" s="22"/>
      <c r="R23" s="32"/>
      <c r="S23" s="22"/>
    </row>
    <row r="24" spans="1:19" ht="17.45" customHeight="1">
      <c r="A24" s="20" t="str">
        <f>_xlfn.IFNA(VLOOKUP(C24,Ref_CostCat!$A$6:$C$1048576,3,FALSE),SUBSTITUTE(SUBSTITUTE(SUBSTITUTE(SUBSTITUTE(C24,".",""),",",""),"-","")," ",""))</f>
        <v>COGSEXPORTMARKET</v>
      </c>
      <c r="B24" s="71"/>
      <c r="C24" s="72" t="s">
        <v>60</v>
      </c>
      <c r="D24" s="85">
        <f>SUM(D18:D23)</f>
        <v>1321758.24</v>
      </c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>
        <f>SUM(P18:P23)</f>
        <v>1321758.24</v>
      </c>
      <c r="Q24" s="22"/>
      <c r="R24" s="32"/>
      <c r="S24" s="22"/>
    </row>
    <row r="25" spans="1:19" ht="17.45" customHeight="1">
      <c r="A25" s="20" t="str">
        <f>_xlfn.IFNA(VLOOKUP(C25,Ref_CostCat!$A$6:$C$1048576,3,FALSE),SUBSTITUTE(SUBSTITUTE(SUBSTITUTE(SUBSTITUTE(C25,".",""),",",""),"-","")," ",""))</f>
        <v>COGSLOCALMARKET</v>
      </c>
      <c r="B25" s="31" t="s">
        <v>61</v>
      </c>
      <c r="C25" s="26" t="s">
        <v>62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>
        <f>D25+E25+F25+G25+H25+I25+J25+K25+L25+M25+N25+O25</f>
        <v>0</v>
      </c>
      <c r="Q25" s="22"/>
      <c r="R25" s="32"/>
      <c r="S25" s="22"/>
    </row>
    <row r="26" spans="1:19" ht="17.45" customHeight="1">
      <c r="A26" s="20" t="str">
        <f>_xlfn.IFNA(VLOOKUP(C26,Ref_CostCat!$A$6:$C$1048576,3,FALSE),SUBSTITUTE(SUBSTITUTE(SUBSTITUTE(SUBSTITUTE(C26,".",""),",",""),"-","")," ",""))</f>
        <v>COGSLOCALMATERI</v>
      </c>
      <c r="B26" s="31" t="s">
        <v>63</v>
      </c>
      <c r="C26" s="26" t="s">
        <v>64</v>
      </c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>
        <f>D26+E26+F26+G26+H26+I26+J26+K26+L26+M26+N26+O26</f>
        <v>0</v>
      </c>
      <c r="Q26" s="22"/>
      <c r="R26" s="32"/>
      <c r="S26" s="22"/>
    </row>
    <row r="27" spans="1:19" ht="17.45" customHeight="1">
      <c r="A27" s="20" t="str">
        <f>_xlfn.IFNA(VLOOKUP(C27,Ref_CostCat!$A$6:$C$1048576,3,FALSE),SUBSTITUTE(SUBSTITUTE(SUBSTITUTE(SUBSTITUTE(C27,".",""),",",""),"-","")," ",""))</f>
        <v>COGSLOCALDIRECT</v>
      </c>
      <c r="B27" s="31" t="s">
        <v>65</v>
      </c>
      <c r="C27" s="26" t="s">
        <v>66</v>
      </c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>
        <f>D27+E27+F27+G27+H27+I27+J27+K27+L27+M27+N27+O27</f>
        <v>0</v>
      </c>
      <c r="Q27" s="22"/>
      <c r="R27" s="32"/>
      <c r="S27" s="22"/>
    </row>
    <row r="28" spans="1:19" ht="17.45" customHeight="1">
      <c r="A28" s="20" t="str">
        <f>_xlfn.IFNA(VLOOKUP(C28,Ref_CostCat!$A$6:$C$1048576,3,FALSE),SUBSTITUTE(SUBSTITUTE(SUBSTITUTE(SUBSTITUTE(C28,".",""),",",""),"-","")," ",""))</f>
        <v>COGSLOCALPROD</v>
      </c>
      <c r="B28" s="31" t="s">
        <v>67</v>
      </c>
      <c r="C28" s="26" t="s">
        <v>68</v>
      </c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>
        <f>D28+E28+F28+G28+H28+I28+J28+K28+L28+M28+N28+O28</f>
        <v>0</v>
      </c>
      <c r="Q28" s="22"/>
      <c r="R28" s="32"/>
      <c r="S28" s="22"/>
    </row>
    <row r="29" spans="1:19" ht="17.45" customHeight="1">
      <c r="A29" s="20" t="str">
        <f>_xlfn.IFNA(VLOOKUP(C29,Ref_CostCat!$A$6:$C$1048576,3,FALSE),SUBSTITUTE(SUBSTITUTE(SUBSTITUTE(SUBSTITUTE(C29,".",""),",",""),"-","")," ",""))</f>
        <v>COGSLOCALMARKET</v>
      </c>
      <c r="B29" s="71"/>
      <c r="C29" s="72" t="s">
        <v>69</v>
      </c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>
        <v>0</v>
      </c>
      <c r="Q29" s="22"/>
      <c r="R29" s="32"/>
      <c r="S29" s="22"/>
    </row>
    <row r="30" spans="1:19" ht="17.45" customHeight="1">
      <c r="A30" s="20" t="str">
        <f>_xlfn.IFNA(VLOOKUP(C30,Ref_CostCat!$A$6:$C$1048576,3,FALSE),SUBSTITUTE(SUBSTITUTE(SUBSTITUTE(SUBSTITUTE(C30,".",""),",",""),"-","")," ",""))</f>
        <v>COGSKBNMARKET</v>
      </c>
      <c r="B30" s="31" t="s">
        <v>70</v>
      </c>
      <c r="C30" s="26" t="s">
        <v>71</v>
      </c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>
        <f>D30+E30+F30+G30+H30+I30+J30+K30+L30+M30+N30+O30</f>
        <v>0</v>
      </c>
      <c r="Q30" s="22"/>
      <c r="R30" s="32"/>
      <c r="S30" s="22"/>
    </row>
    <row r="31" spans="1:19" ht="17.45" customHeight="1">
      <c r="A31" s="20" t="str">
        <f>_xlfn.IFNA(VLOOKUP(C31,Ref_CostCat!$A$6:$C$1048576,3,FALSE),SUBSTITUTE(SUBSTITUTE(SUBSTITUTE(SUBSTITUTE(C31,".",""),",",""),"-","")," ",""))</f>
        <v>COGSKBNMATERIAL</v>
      </c>
      <c r="B31" s="31" t="s">
        <v>72</v>
      </c>
      <c r="C31" s="26" t="s">
        <v>73</v>
      </c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>
        <f>D31+E31+F31+G31+H31+I31+J31+K31+L31+M31+N31+O31</f>
        <v>0</v>
      </c>
      <c r="Q31" s="22"/>
      <c r="R31" s="32"/>
      <c r="S31" s="22"/>
    </row>
    <row r="32" spans="1:19" ht="17.45" customHeight="1">
      <c r="A32" s="20" t="str">
        <f>_xlfn.IFNA(VLOOKUP(C32,Ref_CostCat!$A$6:$C$1048576,3,FALSE),SUBSTITUTE(SUBSTITUTE(SUBSTITUTE(SUBSTITUTE(C32,".",""),",",""),"-","")," ",""))</f>
        <v>COGSKBNDIRECTLABOUR</v>
      </c>
      <c r="B32" s="31" t="s">
        <v>74</v>
      </c>
      <c r="C32" s="26" t="s">
        <v>75</v>
      </c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>
        <f>D32+E32+F32+G32+H32+I32+J32+K32+L32+M32+N32+O32</f>
        <v>0</v>
      </c>
      <c r="Q32" s="22"/>
      <c r="R32" s="32"/>
      <c r="S32" s="22"/>
    </row>
    <row r="33" spans="1:19" ht="17.45" customHeight="1">
      <c r="A33" s="20" t="str">
        <f>_xlfn.IFNA(VLOOKUP(C33,Ref_CostCat!$A$6:$C$1048576,3,FALSE),SUBSTITUTE(SUBSTITUTE(SUBSTITUTE(SUBSTITUTE(C33,".",""),",",""),"-","")," ",""))</f>
        <v>COGSKBNPRODCO</v>
      </c>
      <c r="B33" s="31" t="s">
        <v>76</v>
      </c>
      <c r="C33" s="26" t="s">
        <v>77</v>
      </c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>
        <f>D33+E33+F33+G33+H33+I33+J33+K33+L33+M33+N33+O33</f>
        <v>0</v>
      </c>
      <c r="Q33" s="22"/>
      <c r="R33" s="32"/>
      <c r="S33" s="22"/>
    </row>
    <row r="34" spans="1:19" ht="17.45" customHeight="1">
      <c r="A34" s="20" t="str">
        <f>_xlfn.IFNA(VLOOKUP(C34,Ref_CostCat!$A$6:$C$1048576,3,FALSE),SUBSTITUTE(SUBSTITUTE(SUBSTITUTE(SUBSTITUTE(C34,".",""),",",""),"-","")," ",""))</f>
        <v>COGSKBNMARKET</v>
      </c>
      <c r="B34" s="94"/>
      <c r="C34" s="95" t="s">
        <v>78</v>
      </c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>
        <v>0</v>
      </c>
      <c r="Q34" s="22"/>
      <c r="R34" s="32"/>
      <c r="S34" s="22"/>
    </row>
    <row r="35" spans="1:19" ht="17.45" customHeight="1">
      <c r="A35" s="20" t="str">
        <f>_xlfn.IFNA(VLOOKUP(C35,Ref_CostCat!$A$6:$C$1048576,3,FALSE),SUBSTITUTE(SUBSTITUTE(SUBSTITUTE(SUBSTITUTE(C35,".",""),",",""),"-","")," ",""))</f>
        <v>COGSOTHERS</v>
      </c>
      <c r="B35" s="94" t="s">
        <v>79</v>
      </c>
      <c r="C35" s="95" t="s">
        <v>80</v>
      </c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>
        <v>0</v>
      </c>
      <c r="Q35" s="22"/>
      <c r="R35" s="32"/>
      <c r="S35" s="22"/>
    </row>
    <row r="36" spans="1:19" ht="17.45" customHeight="1">
      <c r="A36" s="20" t="str">
        <f>_xlfn.IFNA(VLOOKUP(C36,Ref_CostCat!$A$6:$C$1048576,3,FALSE),SUBSTITUTE(SUBSTITUTE(SUBSTITUTE(SUBSTITUTE(C36,".",""),",",""),"-","")," ",""))</f>
        <v>COSTOFGOODSSOLD</v>
      </c>
      <c r="B36" s="69" t="s">
        <v>81</v>
      </c>
      <c r="C36" s="70" t="s">
        <v>82</v>
      </c>
      <c r="D36" s="84">
        <f>D24+D29+D34+D35</f>
        <v>1321758.24</v>
      </c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>
        <f>P24+P29+P34+P35</f>
        <v>1321758.24</v>
      </c>
      <c r="Q36" s="22"/>
      <c r="R36" s="32"/>
      <c r="S36" s="22"/>
    </row>
    <row r="37" spans="1:19" ht="17.45" customHeight="1">
      <c r="A37" s="20" t="str">
        <f>_xlfn.IFNA(VLOOKUP(C37,Ref_CostCat!$A$6:$C$1048576,3,FALSE),SUBSTITUTE(SUBSTITUTE(SUBSTITUTE(SUBSTITUTE(C37,".",""),",",""),"-","")," ",""))</f>
        <v>VARIANCESFROMSTDCOST</v>
      </c>
      <c r="B37" s="31"/>
      <c r="C37" s="35" t="s">
        <v>83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>
        <f t="shared" ref="P37:P42" si="4">D37+E37+F37+G37+H37+I37+J37+K37+L37+M37+N37+O37</f>
        <v>0</v>
      </c>
      <c r="Q37" s="22"/>
      <c r="R37" s="32"/>
      <c r="S37" s="22"/>
    </row>
    <row r="38" spans="1:19" ht="17.45" customHeight="1">
      <c r="A38" s="20" t="str">
        <f>_xlfn.IFNA(VLOOKUP(C38,Ref_CostCat!$A$6:$C$1048576,3,FALSE),SUBSTITUTE(SUBSTITUTE(SUBSTITUTE(SUBSTITUTE(C38,".",""),",",""),"-","")," ",""))</f>
        <v>COSTOFREWORK</v>
      </c>
      <c r="B38" s="31" t="s">
        <v>84</v>
      </c>
      <c r="C38" s="29" t="s">
        <v>85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>
        <f t="shared" si="4"/>
        <v>0</v>
      </c>
      <c r="Q38" s="22"/>
      <c r="R38" s="32"/>
      <c r="S38" s="22"/>
    </row>
    <row r="39" spans="1:19" ht="17.45" customHeight="1">
      <c r="A39" s="20" t="str">
        <f>_xlfn.IFNA(VLOOKUP(C39,Ref_CostCat!$A$6:$C$1048576,3,FALSE),SUBSTITUTE(SUBSTITUTE(SUBSTITUTE(SUBSTITUTE(C39,".",""),",",""),"-","")," ",""))</f>
        <v>VARIANCESMAKLOON</v>
      </c>
      <c r="B39" s="31" t="s">
        <v>86</v>
      </c>
      <c r="C39" s="26" t="s">
        <v>87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>
        <f t="shared" si="4"/>
        <v>0</v>
      </c>
      <c r="Q39" s="22"/>
      <c r="R39" s="32"/>
      <c r="S39" s="22"/>
    </row>
    <row r="40" spans="1:19" ht="17.45" customHeight="1">
      <c r="A40" s="20" t="str">
        <f>_xlfn.IFNA(VLOOKUP(C40,Ref_CostCat!$A$6:$C$1048576,3,FALSE),SUBSTITUTE(SUBSTITUTE(SUBSTITUTE(SUBSTITUTE(C40,".",""),",",""),"-","")," ",""))</f>
        <v>VARIANCESINHOUSEACTUAL</v>
      </c>
      <c r="B40" s="31"/>
      <c r="C40" s="29" t="s">
        <v>88</v>
      </c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>
        <f t="shared" si="4"/>
        <v>0</v>
      </c>
      <c r="Q40" s="22"/>
      <c r="R40" s="32"/>
      <c r="S40" s="22"/>
    </row>
    <row r="41" spans="1:19" ht="17.45" customHeight="1">
      <c r="A41" s="20" t="str">
        <f>_xlfn.IFNA(VLOOKUP(C41,Ref_CostCat!$A$6:$C$1048576,3,FALSE),SUBSTITUTE(SUBSTITUTE(SUBSTITUTE(SUBSTITUTE(C41,".",""),",",""),"-","")," ",""))</f>
        <v>VARACTUALMATERIAL</v>
      </c>
      <c r="B41" s="31" t="s">
        <v>89</v>
      </c>
      <c r="C41" s="26" t="s">
        <v>90</v>
      </c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>
        <f t="shared" si="4"/>
        <v>0</v>
      </c>
      <c r="Q41" s="22"/>
      <c r="R41" s="32"/>
      <c r="S41" s="22"/>
    </row>
    <row r="42" spans="1:19" ht="17.45" customHeight="1">
      <c r="A42" s="20" t="str">
        <f>_xlfn.IFNA(VLOOKUP(C42,Ref_CostCat!$A$6:$C$1048576,3,FALSE),SUBSTITUTE(SUBSTITUTE(SUBSTITUTE(SUBSTITUTE(C42,".",""),",",""),"-","")," ",""))</f>
        <v>VARACTUALLABOR</v>
      </c>
      <c r="B42" s="31" t="s">
        <v>91</v>
      </c>
      <c r="C42" s="26" t="s">
        <v>92</v>
      </c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>
        <f t="shared" si="4"/>
        <v>0</v>
      </c>
      <c r="Q42" s="22"/>
      <c r="R42" s="32"/>
      <c r="S42" s="22"/>
    </row>
    <row r="43" spans="1:19" ht="17.45" customHeight="1">
      <c r="A43" s="20" t="str">
        <f>_xlfn.IFNA(VLOOKUP(C43,Ref_CostCat!$A$6:$C$1048576,3,FALSE),SUBSTITUTE(SUBSTITUTE(SUBSTITUTE(SUBSTITUTE(C43,".",""),",",""),"-","")," ",""))</f>
        <v>VARACTUALSETUPLABOR</v>
      </c>
      <c r="B43" s="31"/>
      <c r="C43" s="26" t="s">
        <v>93</v>
      </c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>
        <v>0</v>
      </c>
      <c r="Q43" s="22"/>
      <c r="R43" s="32"/>
      <c r="S43" s="22"/>
    </row>
    <row r="44" spans="1:19" ht="17.45" customHeight="1">
      <c r="A44" s="20" t="str">
        <f>_xlfn.IFNA(VLOOKUP(C44,Ref_CostCat!$A$6:$C$1048576,3,FALSE),SUBSTITUTE(SUBSTITUTE(SUBSTITUTE(SUBSTITUTE(C44,".",""),",",""),"-","")," ",""))</f>
        <v>VARACTUALDIRECTCOST</v>
      </c>
      <c r="B44" s="31" t="s">
        <v>94</v>
      </c>
      <c r="C44" s="26" t="s">
        <v>95</v>
      </c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>
        <v>0</v>
      </c>
      <c r="Q44" s="22"/>
      <c r="R44" s="32"/>
      <c r="S44" s="22"/>
    </row>
    <row r="45" spans="1:19" ht="17.45" customHeight="1">
      <c r="A45" s="20" t="str">
        <f>_xlfn.IFNA(VLOOKUP(C45,Ref_CostCat!$A$6:$C$1048576,3,FALSE),SUBSTITUTE(SUBSTITUTE(SUBSTITUTE(SUBSTITUTE(C45,".",""),",",""),"-","")," ",""))</f>
        <v>VARACTMACHINEVARIABLE</v>
      </c>
      <c r="B45" s="31"/>
      <c r="C45" s="26" t="s">
        <v>96</v>
      </c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>
        <v>0</v>
      </c>
      <c r="Q45" s="22"/>
      <c r="R45" s="32"/>
      <c r="S45" s="22"/>
    </row>
    <row r="46" spans="1:19" ht="17.45" customHeight="1">
      <c r="A46" s="20" t="str">
        <f>_xlfn.IFNA(VLOOKUP(C46,Ref_CostCat!$A$6:$C$1048576,3,FALSE),SUBSTITUTE(SUBSTITUTE(SUBSTITUTE(SUBSTITUTE(C46,".",""),",",""),"-","")," ",""))</f>
        <v>VARACTMACHINEFIXEDOH</v>
      </c>
      <c r="B46" s="31"/>
      <c r="C46" s="26" t="s">
        <v>97</v>
      </c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>
        <v>0</v>
      </c>
      <c r="Q46" s="22"/>
      <c r="R46" s="32"/>
      <c r="S46" s="22"/>
    </row>
    <row r="47" spans="1:19" ht="17.45" customHeight="1">
      <c r="A47" s="20" t="str">
        <f>_xlfn.IFNA(VLOOKUP(C47,Ref_CostCat!$A$6:$C$1048576,3,FALSE),SUBSTITUTE(SUBSTITUTE(SUBSTITUTE(SUBSTITUTE(C47,".",""),",",""),"-","")," ",""))</f>
        <v>VARIANCESINHOUSEACTUAL</v>
      </c>
      <c r="B47" s="68" t="s">
        <v>98</v>
      </c>
      <c r="C47" s="67" t="s">
        <v>88</v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>
        <v>0</v>
      </c>
      <c r="Q47" s="22"/>
      <c r="R47" s="32"/>
      <c r="S47" s="22"/>
    </row>
    <row r="48" spans="1:19" ht="17.45" customHeight="1">
      <c r="A48" s="20" t="str">
        <f>_xlfn.IFNA(VLOOKUP(C48,Ref_CostCat!$A$6:$C$1048576,3,FALSE),SUBSTITUTE(SUBSTITUTE(SUBSTITUTE(SUBSTITUTE(C48,".",""),",",""),"-","")," ",""))</f>
        <v>VARIANCEMKTPORTION</v>
      </c>
      <c r="B48" s="31"/>
      <c r="C48" s="29" t="s">
        <v>99</v>
      </c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>
        <f>D48+E48+F48+G48+H48+I48+J48+K48+L48+M48+N48+O48</f>
        <v>0</v>
      </c>
      <c r="Q48" s="22"/>
      <c r="R48" s="32"/>
      <c r="S48" s="22"/>
    </row>
    <row r="49" spans="1:19" ht="17.45" customHeight="1">
      <c r="A49" s="20" t="str">
        <f>_xlfn.IFNA(VLOOKUP(C49,Ref_CostCat!$A$6:$C$1048576,3,FALSE),SUBSTITUTE(SUBSTITUTE(SUBSTITUTE(SUBSTITUTE(C49,".",""),",",""),"-","")," ",""))</f>
        <v>VARMKTPORTIONMATERIAL</v>
      </c>
      <c r="B49" s="31" t="s">
        <v>100</v>
      </c>
      <c r="C49" s="26" t="s">
        <v>101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>
        <f>D49+E49+F49+G49+H49+I49+J49+K49+L49+M49+N49+O49</f>
        <v>0</v>
      </c>
      <c r="Q49" s="22"/>
      <c r="R49" s="32"/>
      <c r="S49" s="22"/>
    </row>
    <row r="50" spans="1:19" ht="17.45" customHeight="1">
      <c r="A50" s="20" t="str">
        <f>_xlfn.IFNA(VLOOKUP(C50,Ref_CostCat!$A$6:$C$1048576,3,FALSE),SUBSTITUTE(SUBSTITUTE(SUBSTITUTE(SUBSTITUTE(C50,".",""),",",""),"-","")," ",""))</f>
        <v>VARMKTPORTIONLABOUR</v>
      </c>
      <c r="B50" s="31" t="s">
        <v>102</v>
      </c>
      <c r="C50" s="26" t="s">
        <v>103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>
        <f>D50+E50+F50+G50+H50+I50+J50+K50+L50+M50+N50+O50</f>
        <v>0</v>
      </c>
      <c r="Q50" s="22"/>
      <c r="R50" s="32"/>
      <c r="S50" s="22"/>
    </row>
    <row r="51" spans="1:19" ht="17.45" customHeight="1">
      <c r="A51" s="20" t="str">
        <f>_xlfn.IFNA(VLOOKUP(C51,Ref_CostCat!$A$6:$C$1048576,3,FALSE),SUBSTITUTE(SUBSTITUTE(SUBSTITUTE(SUBSTITUTE(C51,".",""),",",""),"-","")," ",""))</f>
        <v>VARMKTPORTIONO/H</v>
      </c>
      <c r="B51" s="31" t="s">
        <v>104</v>
      </c>
      <c r="C51" s="26" t="s">
        <v>105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>
        <f>D51+E51+F51+G51+H51+I51+J51+K51+L51+M51+N51+O51</f>
        <v>0</v>
      </c>
      <c r="Q51" s="22"/>
      <c r="R51" s="32"/>
      <c r="S51" s="22"/>
    </row>
    <row r="52" spans="1:19" ht="17.45" customHeight="1">
      <c r="A52" s="20" t="str">
        <f>_xlfn.IFNA(VLOOKUP(C52,Ref_CostCat!$A$6:$C$1048576,3,FALSE),SUBSTITUTE(SUBSTITUTE(SUBSTITUTE(SUBSTITUTE(C52,".",""),",",""),"-","")," ",""))</f>
        <v>VARIANCEMKTPORTION</v>
      </c>
      <c r="B52" s="68" t="s">
        <v>106</v>
      </c>
      <c r="C52" s="67" t="s">
        <v>99</v>
      </c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>
        <v>0</v>
      </c>
      <c r="Q52" s="22"/>
      <c r="R52" s="32"/>
      <c r="S52" s="22"/>
    </row>
    <row r="53" spans="1:19" ht="17.45" customHeight="1">
      <c r="A53" s="20" t="str">
        <f>_xlfn.IFNA(VLOOKUP(C53,Ref_CostCat!$A$6:$C$1048576,3,FALSE),SUBSTITUTE(SUBSTITUTE(SUBSTITUTE(SUBSTITUTE(C53,".",""),",",""),"-","")," ",""))</f>
        <v>VARIANCESFROMSTDCOST</v>
      </c>
      <c r="B53" s="68" t="s">
        <v>107</v>
      </c>
      <c r="C53" s="67" t="s">
        <v>108</v>
      </c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>
        <v>0</v>
      </c>
      <c r="Q53" s="22"/>
      <c r="R53" s="32"/>
      <c r="S53" s="22"/>
    </row>
    <row r="54" spans="1:19" ht="17.45" customHeight="1">
      <c r="A54" s="20" t="str">
        <f>_xlfn.IFNA(VLOOKUP(C54,Ref_CostCat!$A$6:$C$1048576,3,FALSE),SUBSTITUTE(SUBSTITUTE(SUBSTITUTE(SUBSTITUTE(C54,".",""),",",""),"-","")," ",""))</f>
        <v>DIRECTMANUFACTURINGCOST</v>
      </c>
      <c r="B54" s="31"/>
      <c r="C54" s="28" t="s">
        <v>109</v>
      </c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>
        <f t="shared" ref="P54:P60" si="5">D54+E54+F54+G54+H54+I54+J54+K54+L54+M54+N54+O54</f>
        <v>0</v>
      </c>
      <c r="Q54" s="22"/>
      <c r="R54" s="32"/>
      <c r="S54" s="22"/>
    </row>
    <row r="55" spans="1:19" ht="17.45" customHeight="1">
      <c r="A55" s="20" t="str">
        <f>_xlfn.IFNA(VLOOKUP(C55,Ref_CostCat!$A$6:$C$1048576,3,FALSE),SUBSTITUTE(SUBSTITUTE(SUBSTITUTE(SUBSTITUTE(C55,".",""),",",""),"-","")," ",""))</f>
        <v>COSTOFLABOR</v>
      </c>
      <c r="B55" s="31"/>
      <c r="C55" s="29" t="s">
        <v>110</v>
      </c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>
        <f t="shared" si="5"/>
        <v>0</v>
      </c>
      <c r="Q55" s="22"/>
      <c r="R55" s="32"/>
      <c r="S55" s="22"/>
    </row>
    <row r="56" spans="1:19" ht="17.45" customHeight="1">
      <c r="A56" s="20" t="str">
        <f>_xlfn.IFNA(VLOOKUP(C56,Ref_CostCat!$A$6:$C$1048576,3,FALSE),SUBSTITUTE(SUBSTITUTE(SUBSTITUTE(SUBSTITUTE(C56,".",""),",",""),"-","")," ",""))</f>
        <v>LABORCOST</v>
      </c>
      <c r="B56" s="31" t="s">
        <v>111</v>
      </c>
      <c r="C56" s="26" t="s">
        <v>112</v>
      </c>
      <c r="D56" s="81">
        <v>41514.910000000003</v>
      </c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>
        <f t="shared" si="5"/>
        <v>41514.910000000003</v>
      </c>
      <c r="Q56" s="22"/>
      <c r="R56" s="32"/>
      <c r="S56" s="22"/>
    </row>
    <row r="57" spans="1:19" ht="17.45" customHeight="1">
      <c r="A57" s="20" t="str">
        <f>_xlfn.IFNA(VLOOKUP(C57,Ref_CostCat!$A$6:$C$1048576,3,FALSE),SUBSTITUTE(SUBSTITUTE(SUBSTITUTE(SUBSTITUTE(C57,".",""),",",""),"-","")," ",""))</f>
        <v>ANNUALINCENTIVEALLOWANCE</v>
      </c>
      <c r="B57" s="31" t="s">
        <v>113</v>
      </c>
      <c r="C57" s="26" t="s">
        <v>114</v>
      </c>
      <c r="D57" s="81">
        <v>3000</v>
      </c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>
        <f t="shared" si="5"/>
        <v>3000</v>
      </c>
      <c r="Q57" s="22"/>
      <c r="R57" s="32"/>
      <c r="S57" s="22"/>
    </row>
    <row r="58" spans="1:19" ht="17.45" customHeight="1">
      <c r="A58" s="20" t="str">
        <f>_xlfn.IFNA(VLOOKUP(C58,Ref_CostCat!$A$6:$C$1048576,3,FALSE),SUBSTITUTE(SUBSTITUTE(SUBSTITUTE(SUBSTITUTE(C58,".",""),",",""),"-","")," ",""))</f>
        <v>MEDICALALLOWANCE</v>
      </c>
      <c r="B58" s="31" t="s">
        <v>115</v>
      </c>
      <c r="C58" s="26" t="s">
        <v>116</v>
      </c>
      <c r="D58" s="81">
        <v>2693.84</v>
      </c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>
        <f t="shared" si="5"/>
        <v>2693.84</v>
      </c>
      <c r="Q58" s="22"/>
      <c r="R58" s="32"/>
      <c r="S58" s="22"/>
    </row>
    <row r="59" spans="1:19" ht="17.45" customHeight="1">
      <c r="A59" s="20" t="str">
        <f>_xlfn.IFNA(VLOOKUP(C59,Ref_CostCat!$A$6:$C$1048576,3,FALSE),SUBSTITUTE(SUBSTITUTE(SUBSTITUTE(SUBSTITUTE(C59,".",""),",",""),"-","")," ",""))</f>
        <v>OTHERALLOWANCE</v>
      </c>
      <c r="B59" s="31" t="s">
        <v>117</v>
      </c>
      <c r="C59" s="26" t="s">
        <v>118</v>
      </c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>
        <f t="shared" si="5"/>
        <v>0</v>
      </c>
      <c r="Q59" s="22"/>
      <c r="R59" s="32"/>
      <c r="S59" s="22"/>
    </row>
    <row r="60" spans="1:19" ht="17.45" customHeight="1">
      <c r="A60" s="20" t="str">
        <f>_xlfn.IFNA(VLOOKUP(C60,Ref_CostCat!$A$6:$C$1048576,3,FALSE),SUBSTITUTE(SUBSTITUTE(SUBSTITUTE(SUBSTITUTE(C60,".",""),",",""),"-","")," ",""))</f>
        <v>JAMSOSTEK</v>
      </c>
      <c r="B60" s="31" t="s">
        <v>119</v>
      </c>
      <c r="C60" s="26" t="s">
        <v>120</v>
      </c>
      <c r="D60" s="81">
        <v>1075.6500000000001</v>
      </c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>
        <f t="shared" si="5"/>
        <v>1075.6500000000001</v>
      </c>
      <c r="Q60" s="22"/>
      <c r="R60" s="32"/>
      <c r="S60" s="22"/>
    </row>
    <row r="61" spans="1:19" ht="17.45" customHeight="1">
      <c r="A61" s="20" t="str">
        <f>_xlfn.IFNA(VLOOKUP(C61,Ref_CostCat!$A$6:$C$1048576,3,FALSE),SUBSTITUTE(SUBSTITUTE(SUBSTITUTE(SUBSTITUTE(C61,".",""),",",""),"-","")," ",""))</f>
        <v>COSTOFLABOR</v>
      </c>
      <c r="B61" s="68" t="s">
        <v>121</v>
      </c>
      <c r="C61" s="67" t="s">
        <v>110</v>
      </c>
      <c r="D61" s="83">
        <f>SUM(D56:D60)</f>
        <v>48284.4</v>
      </c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>
        <f>SUM(P56:P60)</f>
        <v>48284.4</v>
      </c>
      <c r="Q61" s="22"/>
      <c r="R61" s="32"/>
      <c r="S61" s="22"/>
    </row>
    <row r="62" spans="1:19" ht="17.45" customHeight="1">
      <c r="A62" s="20" t="str">
        <f>_xlfn.IFNA(VLOOKUP(C62,Ref_CostCat!$A$6:$C$1048576,3,FALSE),SUBSTITUTE(SUBSTITUTE(SUBSTITUTE(SUBSTITUTE(C62,".",""),",",""),"-","")," ",""))</f>
        <v>FAREALLOWANCE</v>
      </c>
      <c r="B62" s="31" t="s">
        <v>122</v>
      </c>
      <c r="C62" s="26" t="s">
        <v>123</v>
      </c>
      <c r="D62" s="81">
        <v>271.61</v>
      </c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>
        <f t="shared" ref="P62:P69" si="6">D62+E62+F62+G62+H62+I62+J62+K62+L62+M62+N62+O62</f>
        <v>271.61</v>
      </c>
      <c r="Q62" s="22"/>
      <c r="R62" s="32"/>
      <c r="S62" s="22"/>
    </row>
    <row r="63" spans="1:19" ht="17.45" customHeight="1">
      <c r="A63" s="20" t="str">
        <f>_xlfn.IFNA(VLOOKUP(C63,Ref_CostCat!$A$6:$C$1048576,3,FALSE),SUBSTITUTE(SUBSTITUTE(SUBSTITUTE(SUBSTITUTE(C63,".",""),",",""),"-","")," ",""))</f>
        <v>FACTORYSUPPLIESEXPENSES</v>
      </c>
      <c r="B63" s="31" t="s">
        <v>124</v>
      </c>
      <c r="C63" s="26" t="s">
        <v>125</v>
      </c>
      <c r="D63" s="81">
        <v>467.43</v>
      </c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>
        <f t="shared" si="6"/>
        <v>467.43</v>
      </c>
      <c r="Q63" s="22"/>
      <c r="R63" s="32"/>
      <c r="S63" s="22"/>
    </row>
    <row r="64" spans="1:19" ht="17.45" customHeight="1">
      <c r="A64" s="20" t="str">
        <f>_xlfn.IFNA(VLOOKUP(C64,Ref_CostCat!$A$6:$C$1048576,3,FALSE),SUBSTITUTE(SUBSTITUTE(SUBSTITUTE(SUBSTITUTE(C64,".",""),",",""),"-","")," ",""))</f>
        <v>ELECTRICITY</v>
      </c>
      <c r="B64" s="31" t="s">
        <v>126</v>
      </c>
      <c r="C64" s="26" t="s">
        <v>127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>
        <f t="shared" si="6"/>
        <v>0</v>
      </c>
      <c r="Q64" s="22"/>
      <c r="R64" s="32"/>
      <c r="S64" s="22"/>
    </row>
    <row r="65" spans="1:19" ht="17.45" customHeight="1">
      <c r="A65" s="20" t="str">
        <f>_xlfn.IFNA(VLOOKUP(C65,Ref_CostCat!$A$6:$C$1048576,3,FALSE),SUBSTITUTE(SUBSTITUTE(SUBSTITUTE(SUBSTITUTE(C65,".",""),",",""),"-","")," ",""))</f>
        <v>WATER</v>
      </c>
      <c r="B65" s="31" t="s">
        <v>128</v>
      </c>
      <c r="C65" s="26" t="s">
        <v>129</v>
      </c>
      <c r="D65" s="81">
        <v>166.87</v>
      </c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>
        <f t="shared" si="6"/>
        <v>166.87</v>
      </c>
      <c r="Q65" s="22"/>
      <c r="R65" s="32"/>
      <c r="S65" s="22"/>
    </row>
    <row r="66" spans="1:19" ht="17.45" customHeight="1">
      <c r="A66" s="20" t="str">
        <f>_xlfn.IFNA(VLOOKUP(C66,Ref_CostCat!$A$6:$C$1048576,3,FALSE),SUBSTITUTE(SUBSTITUTE(SUBSTITUTE(SUBSTITUTE(C66,".",""),",",""),"-","")," ",""))</f>
        <v>RAWMATERIAL&amp;FREIGHTEXPENSES</v>
      </c>
      <c r="B66" s="31"/>
      <c r="C66" s="29" t="s">
        <v>130</v>
      </c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>
        <f t="shared" si="6"/>
        <v>0</v>
      </c>
      <c r="Q66" s="22"/>
      <c r="R66" s="32"/>
      <c r="S66" s="22"/>
    </row>
    <row r="67" spans="1:19" ht="17.45" customHeight="1">
      <c r="A67" s="20" t="str">
        <f>_xlfn.IFNA(VLOOKUP(C67,Ref_CostCat!$A$6:$C$1048576,3,FALSE),SUBSTITUTE(SUBSTITUTE(SUBSTITUTE(SUBSTITUTE(C67,".",""),",",""),"-","")," ",""))</f>
        <v>INDIRECTRAWMATEXP</v>
      </c>
      <c r="B67" s="31" t="s">
        <v>131</v>
      </c>
      <c r="C67" s="26" t="s">
        <v>132</v>
      </c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>
        <f t="shared" si="6"/>
        <v>0</v>
      </c>
      <c r="Q67" s="22"/>
      <c r="R67" s="32"/>
      <c r="S67" s="22"/>
    </row>
    <row r="68" spans="1:19" ht="17.45" customHeight="1">
      <c r="A68" s="20" t="str">
        <f>_xlfn.IFNA(VLOOKUP(C68,Ref_CostCat!$A$6:$C$1048576,3,FALSE),SUBSTITUTE(SUBSTITUTE(SUBSTITUTE(SUBSTITUTE(C68,".",""),",",""),"-","")," ",""))</f>
        <v>FREIGHTEXPENSES</v>
      </c>
      <c r="B68" s="31" t="s">
        <v>133</v>
      </c>
      <c r="C68" s="26" t="s">
        <v>134</v>
      </c>
      <c r="D68" s="81">
        <v>0</v>
      </c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>
        <f t="shared" si="6"/>
        <v>0</v>
      </c>
      <c r="Q68" s="22"/>
      <c r="R68" s="32"/>
      <c r="S68" s="22"/>
    </row>
    <row r="69" spans="1:19" ht="17.45" customHeight="1">
      <c r="A69" s="20" t="str">
        <f>_xlfn.IFNA(VLOOKUP(C69,Ref_CostCat!$A$6:$C$1048576,3,FALSE),SUBSTITUTE(SUBSTITUTE(SUBSTITUTE(SUBSTITUTE(C69,".",""),",",""),"-","")," ",""))</f>
        <v>FREIGHTIN</v>
      </c>
      <c r="B69" s="31"/>
      <c r="C69" s="26" t="s">
        <v>135</v>
      </c>
      <c r="D69" s="81">
        <v>2637.58</v>
      </c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>
        <f t="shared" si="6"/>
        <v>2637.58</v>
      </c>
      <c r="Q69" s="22"/>
      <c r="R69" s="32"/>
      <c r="S69" s="22"/>
    </row>
    <row r="70" spans="1:19" ht="17.45" customHeight="1">
      <c r="A70" s="20" t="str">
        <f>_xlfn.IFNA(VLOOKUP(C70,Ref_CostCat!$A$6:$C$1048576,3,FALSE),SUBSTITUTE(SUBSTITUTE(SUBSTITUTE(SUBSTITUTE(C70,".",""),",",""),"-","")," ",""))</f>
        <v>RAWMATERIAL&amp;FREIGHTEXPENSES</v>
      </c>
      <c r="B70" s="68" t="s">
        <v>136</v>
      </c>
      <c r="C70" s="67" t="s">
        <v>130</v>
      </c>
      <c r="D70" s="83">
        <f>SUM(D68:D69)</f>
        <v>2637.58</v>
      </c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>
        <f>SUM(P68:P69)</f>
        <v>2637.58</v>
      </c>
      <c r="Q70" s="22"/>
      <c r="R70" s="32"/>
      <c r="S70" s="22"/>
    </row>
    <row r="71" spans="1:19" ht="17.45" customHeight="1">
      <c r="A71" s="20" t="str">
        <f>_xlfn.IFNA(VLOOKUP(C71,Ref_CostCat!$A$6:$C$1048576,3,FALSE),SUBSTITUTE(SUBSTITUTE(SUBSTITUTE(SUBSTITUTE(C71,".",""),",",""),"-","")," ",""))</f>
        <v>VENDOREXPENSES</v>
      </c>
      <c r="B71" s="31" t="s">
        <v>137</v>
      </c>
      <c r="C71" s="26" t="s">
        <v>138</v>
      </c>
      <c r="D71" s="81">
        <v>152001.26</v>
      </c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>
        <f t="shared" ref="P71:P79" si="7">D71+E71+F71+G71+H71+I71+J71+K71+L71+M71+N71+O71</f>
        <v>152001.26</v>
      </c>
      <c r="Q71" s="22"/>
      <c r="R71" s="32"/>
      <c r="S71" s="22"/>
    </row>
    <row r="72" spans="1:19" ht="17.45" customHeight="1">
      <c r="A72" s="20" t="str">
        <f>_xlfn.IFNA(VLOOKUP(C72,Ref_CostCat!$A$6:$C$1048576,3,FALSE),SUBSTITUTE(SUBSTITUTE(SUBSTITUTE(SUBSTITUTE(C72,".",""),",",""),"-","")," ",""))</f>
        <v>MAINTENANCE&amp;REPAIREXPENSES</v>
      </c>
      <c r="B72" s="31"/>
      <c r="C72" s="29" t="s">
        <v>139</v>
      </c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>
        <f t="shared" si="7"/>
        <v>0</v>
      </c>
      <c r="Q72" s="22"/>
      <c r="R72" s="32"/>
      <c r="S72" s="22"/>
    </row>
    <row r="73" spans="1:19" ht="17.45" customHeight="1">
      <c r="A73" s="20" t="str">
        <f>_xlfn.IFNA(VLOOKUP(C73,Ref_CostCat!$A$6:$C$1048576,3,FALSE),SUBSTITUTE(SUBSTITUTE(SUBSTITUTE(SUBSTITUTE(C73,".",""),",",""),"-","")," ",""))</f>
        <v>MAINT&amp;REPBUILDING</v>
      </c>
      <c r="B73" s="31" t="s">
        <v>140</v>
      </c>
      <c r="C73" s="26" t="s">
        <v>141</v>
      </c>
      <c r="D73" s="81">
        <v>2198.4299999999998</v>
      </c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>
        <f t="shared" si="7"/>
        <v>2198.4299999999998</v>
      </c>
      <c r="Q73" s="22"/>
      <c r="R73" s="32"/>
      <c r="S73" s="22"/>
    </row>
    <row r="74" spans="1:19" ht="17.45" customHeight="1">
      <c r="A74" s="20" t="str">
        <f>_xlfn.IFNA(VLOOKUP(C74,Ref_CostCat!$A$6:$C$1048576,3,FALSE),SUBSTITUTE(SUBSTITUTE(SUBSTITUTE(SUBSTITUTE(C74,".",""),",",""),"-","")," ",""))</f>
        <v>MAINT&amp;REPMACHINERIE</v>
      </c>
      <c r="B74" s="31" t="s">
        <v>142</v>
      </c>
      <c r="C74" s="26" t="s">
        <v>143</v>
      </c>
      <c r="D74" s="81">
        <v>346.32</v>
      </c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>
        <f t="shared" si="7"/>
        <v>346.32</v>
      </c>
      <c r="Q74" s="22"/>
      <c r="R74" s="32"/>
      <c r="S74" s="22"/>
    </row>
    <row r="75" spans="1:19" ht="17.45" customHeight="1">
      <c r="A75" s="20" t="str">
        <f>_xlfn.IFNA(VLOOKUP(C75,Ref_CostCat!$A$6:$C$1048576,3,FALSE),SUBSTITUTE(SUBSTITUTE(SUBSTITUTE(SUBSTITUTE(C75,".",""),",",""),"-","")," ",""))</f>
        <v>MAINT&amp;REPPLANTEQUI</v>
      </c>
      <c r="B75" s="31" t="s">
        <v>144</v>
      </c>
      <c r="C75" s="26" t="s">
        <v>145</v>
      </c>
      <c r="D75" s="81">
        <v>897.9</v>
      </c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>
        <f t="shared" si="7"/>
        <v>897.9</v>
      </c>
      <c r="Q75" s="22"/>
      <c r="R75" s="32"/>
      <c r="S75" s="22"/>
    </row>
    <row r="76" spans="1:19" ht="17.45" customHeight="1">
      <c r="A76" s="20" t="str">
        <f>_xlfn.IFNA(VLOOKUP(C76,Ref_CostCat!$A$6:$C$1048576,3,FALSE),SUBSTITUTE(SUBSTITUTE(SUBSTITUTE(SUBSTITUTE(C76,".",""),",",""),"-","")," ",""))</f>
        <v>MAINT&amp;REPWATERINSTL</v>
      </c>
      <c r="B76" s="31" t="s">
        <v>146</v>
      </c>
      <c r="C76" s="26" t="s">
        <v>147</v>
      </c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>
        <f t="shared" si="7"/>
        <v>0</v>
      </c>
      <c r="Q76" s="22"/>
      <c r="R76" s="32"/>
      <c r="S76" s="22"/>
    </row>
    <row r="77" spans="1:19" ht="17.45" customHeight="1">
      <c r="A77" s="20" t="str">
        <f>_xlfn.IFNA(VLOOKUP(C77,Ref_CostCat!$A$6:$C$1048576,3,FALSE),SUBSTITUTE(SUBSTITUTE(SUBSTITUTE(SUBSTITUTE(C77,".",""),",",""),"-","")," ",""))</f>
        <v>MAINT&amp;REPGEN&amp;BOILER</v>
      </c>
      <c r="B77" s="31" t="s">
        <v>148</v>
      </c>
      <c r="C77" s="26" t="s">
        <v>149</v>
      </c>
      <c r="D77" s="81">
        <v>0</v>
      </c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>
        <f t="shared" si="7"/>
        <v>0</v>
      </c>
      <c r="Q77" s="22"/>
      <c r="R77" s="32"/>
      <c r="S77" s="22"/>
    </row>
    <row r="78" spans="1:19" ht="17.45" customHeight="1">
      <c r="A78" s="20" t="str">
        <f>_xlfn.IFNA(VLOOKUP(C78,Ref_CostCat!$A$6:$C$1048576,3,FALSE),SUBSTITUTE(SUBSTITUTE(SUBSTITUTE(SUBSTITUTE(C78,".",""),",",""),"-","")," ",""))</f>
        <v>MAINT&amp;REPMOTORVEHICL</v>
      </c>
      <c r="B78" s="31"/>
      <c r="C78" s="26" t="s">
        <v>150</v>
      </c>
      <c r="D78" s="81">
        <v>-0.26</v>
      </c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>
        <f t="shared" si="7"/>
        <v>-0.26</v>
      </c>
      <c r="Q78" s="22"/>
      <c r="R78" s="32"/>
      <c r="S78" s="22"/>
    </row>
    <row r="79" spans="1:19" ht="17.45" customHeight="1">
      <c r="A79" s="20" t="str">
        <f>_xlfn.IFNA(VLOOKUP(C79,Ref_CostCat!$A$6:$C$1048576,3,FALSE),SUBSTITUTE(SUBSTITUTE(SUBSTITUTE(SUBSTITUTE(C79,".",""),",",""),"-","")," ",""))</f>
        <v>MAINT&amp;REPELECTRICITY</v>
      </c>
      <c r="B79" s="31"/>
      <c r="C79" s="26" t="s">
        <v>151</v>
      </c>
      <c r="D79" s="81">
        <v>0</v>
      </c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>
        <f t="shared" si="7"/>
        <v>0</v>
      </c>
      <c r="Q79" s="22"/>
      <c r="R79" s="32"/>
      <c r="S79" s="22"/>
    </row>
    <row r="80" spans="1:19" ht="17.45" customHeight="1">
      <c r="A80" s="20" t="str">
        <f>_xlfn.IFNA(VLOOKUP(C80,Ref_CostCat!$A$6:$C$1048576,3,FALSE),SUBSTITUTE(SUBSTITUTE(SUBSTITUTE(SUBSTITUTE(C80,".",""),",",""),"-","")," ",""))</f>
        <v>MAINTENANCE&amp;REPAIREXPENSES</v>
      </c>
      <c r="B80" s="68" t="s">
        <v>152</v>
      </c>
      <c r="C80" s="67" t="s">
        <v>139</v>
      </c>
      <c r="D80" s="83">
        <f>SUM(D73:D79)</f>
        <v>3442.39</v>
      </c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>
        <f>SUM(P73:P79)</f>
        <v>3442.39</v>
      </c>
      <c r="Q80" s="22"/>
      <c r="R80" s="32"/>
      <c r="S80" s="22"/>
    </row>
    <row r="81" spans="1:19" ht="17.45" customHeight="1">
      <c r="A81" s="20" t="str">
        <f>_xlfn.IFNA(VLOOKUP(C81,Ref_CostCat!$A$6:$C$1048576,3,FALSE),SUBSTITUTE(SUBSTITUTE(SUBSTITUTE(SUBSTITUTE(C81,".",""),",",""),"-","")," ",""))</f>
        <v>DEPRECIATIONEXPENSES</v>
      </c>
      <c r="B81" s="31"/>
      <c r="C81" s="29" t="s">
        <v>153</v>
      </c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>
        <v>0</v>
      </c>
      <c r="Q81" s="22"/>
      <c r="R81" s="32"/>
      <c r="S81" s="22"/>
    </row>
    <row r="82" spans="1:19" ht="17.45" customHeight="1">
      <c r="A82" s="20" t="str">
        <f>_xlfn.IFNA(VLOOKUP(C82,Ref_CostCat!$A$6:$C$1048576,3,FALSE),SUBSTITUTE(SUBSTITUTE(SUBSTITUTE(SUBSTITUTE(C82,".",""),",",""),"-","")," ",""))</f>
        <v>DEPREXPLAND</v>
      </c>
      <c r="B82" s="31"/>
      <c r="C82" s="26" t="s">
        <v>154</v>
      </c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>
        <v>0</v>
      </c>
      <c r="Q82" s="22"/>
      <c r="R82" s="32"/>
      <c r="S82" s="22"/>
    </row>
    <row r="83" spans="1:19" ht="17.45" customHeight="1">
      <c r="A83" s="20" t="str">
        <f>_xlfn.IFNA(VLOOKUP(C83,Ref_CostCat!$A$6:$C$1048576,3,FALSE),SUBSTITUTE(SUBSTITUTE(SUBSTITUTE(SUBSTITUTE(C83,".",""),",",""),"-","")," ",""))</f>
        <v>DEPREXPBUILDING</v>
      </c>
      <c r="B83" s="31" t="s">
        <v>155</v>
      </c>
      <c r="C83" s="26" t="s">
        <v>156</v>
      </c>
      <c r="D83" s="81">
        <v>3253.47</v>
      </c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>
        <f t="shared" ref="P83:P88" si="8">D83+E83+F83+G83+H83+I83+J83+K83+L83+M83+N83+O83</f>
        <v>3253.47</v>
      </c>
      <c r="Q83" s="22"/>
      <c r="R83" s="32"/>
      <c r="S83" s="22"/>
    </row>
    <row r="84" spans="1:19" ht="17.45" customHeight="1">
      <c r="A84" s="20" t="str">
        <f>_xlfn.IFNA(VLOOKUP(C84,Ref_CostCat!$A$6:$C$1048576,3,FALSE),SUBSTITUTE(SUBSTITUTE(SUBSTITUTE(SUBSTITUTE(C84,".",""),",",""),"-","")," ",""))</f>
        <v>DEPREXPMACHINERIES</v>
      </c>
      <c r="B84" s="31" t="s">
        <v>157</v>
      </c>
      <c r="C84" s="26" t="s">
        <v>158</v>
      </c>
      <c r="D84" s="81">
        <v>12865.32</v>
      </c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>
        <f t="shared" si="8"/>
        <v>12865.32</v>
      </c>
      <c r="Q84" s="22"/>
      <c r="R84" s="32"/>
      <c r="S84" s="22"/>
    </row>
    <row r="85" spans="1:19" ht="17.45" customHeight="1">
      <c r="A85" s="20" t="str">
        <f>_xlfn.IFNA(VLOOKUP(C85,Ref_CostCat!$A$6:$C$1048576,3,FALSE),SUBSTITUTE(SUBSTITUTE(SUBSTITUTE(SUBSTITUTE(C85,".",""),",",""),"-","")," ",""))</f>
        <v>DEPREXPGENERATOR&amp;BOILER</v>
      </c>
      <c r="B85" s="31" t="s">
        <v>159</v>
      </c>
      <c r="C85" s="26" t="s">
        <v>160</v>
      </c>
      <c r="D85" s="81">
        <v>545.99</v>
      </c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>
        <f t="shared" si="8"/>
        <v>545.99</v>
      </c>
      <c r="Q85" s="22"/>
      <c r="R85" s="32"/>
      <c r="S85" s="22"/>
    </row>
    <row r="86" spans="1:19" ht="17.45" customHeight="1">
      <c r="A86" s="20" t="str">
        <f>_xlfn.IFNA(VLOOKUP(C86,Ref_CostCat!$A$6:$C$1048576,3,FALSE),SUBSTITUTE(SUBSTITUTE(SUBSTITUTE(SUBSTITUTE(C86,".",""),",",""),"-","")," ",""))</f>
        <v>DEPREXPELECTRICALINSTALLATION</v>
      </c>
      <c r="B86" s="31" t="s">
        <v>161</v>
      </c>
      <c r="C86" s="26" t="s">
        <v>162</v>
      </c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>
        <f t="shared" si="8"/>
        <v>0</v>
      </c>
      <c r="Q86" s="22"/>
      <c r="R86" s="32"/>
      <c r="S86" s="22"/>
    </row>
    <row r="87" spans="1:19" ht="17.45" customHeight="1">
      <c r="A87" s="20" t="str">
        <f>_xlfn.IFNA(VLOOKUP(C87,Ref_CostCat!$A$6:$C$1048576,3,FALSE),SUBSTITUTE(SUBSTITUTE(SUBSTITUTE(SUBSTITUTE(C87,".",""),",",""),"-","")," ",""))</f>
        <v>DEPREXPWATERINSTLM</v>
      </c>
      <c r="B87" s="31" t="s">
        <v>163</v>
      </c>
      <c r="C87" s="26" t="s">
        <v>164</v>
      </c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>
        <f t="shared" si="8"/>
        <v>0</v>
      </c>
      <c r="Q87" s="22"/>
      <c r="R87" s="32"/>
      <c r="S87" s="22"/>
    </row>
    <row r="88" spans="1:19" ht="17.45" customHeight="1">
      <c r="A88" s="20" t="str">
        <f>_xlfn.IFNA(VLOOKUP(C88,Ref_CostCat!$A$6:$C$1048576,3,FALSE),SUBSTITUTE(SUBSTITUTE(SUBSTITUTE(SUBSTITUTE(C88,".",""),",",""),"-","")," ",""))</f>
        <v>DEPREXPPLANTEQUIPMENT</v>
      </c>
      <c r="B88" s="31" t="s">
        <v>165</v>
      </c>
      <c r="C88" s="26" t="s">
        <v>166</v>
      </c>
      <c r="D88" s="81">
        <v>752.29</v>
      </c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>
        <f t="shared" si="8"/>
        <v>752.29</v>
      </c>
      <c r="Q88" s="22"/>
      <c r="R88" s="32"/>
      <c r="S88" s="22"/>
    </row>
    <row r="89" spans="1:19" ht="17.45" customHeight="1">
      <c r="A89" s="20" t="str">
        <f>_xlfn.IFNA(VLOOKUP(C89,Ref_CostCat!$A$6:$C$1048576,3,FALSE),SUBSTITUTE(SUBSTITUTE(SUBSTITUTE(SUBSTITUTE(C89,".",""),",",""),"-","")," ",""))</f>
        <v>DEPRECIATIONEXPENSES</v>
      </c>
      <c r="B89" s="68" t="s">
        <v>167</v>
      </c>
      <c r="C89" s="67" t="s">
        <v>153</v>
      </c>
      <c r="D89" s="83">
        <f>SUM(D82:D88)</f>
        <v>17417.07</v>
      </c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>
        <f>SUM(P82:P88)</f>
        <v>17417.07</v>
      </c>
      <c r="Q89" s="22"/>
      <c r="R89" s="32"/>
      <c r="S89" s="22"/>
    </row>
    <row r="90" spans="1:19" ht="17.45" customHeight="1">
      <c r="A90" s="20" t="str">
        <f>_xlfn.IFNA(VLOOKUP(C90,Ref_CostCat!$A$6:$C$1048576,3,FALSE),SUBSTITUTE(SUBSTITUTE(SUBSTITUTE(SUBSTITUTE(C90,".",""),",",""),"-","")," ",""))</f>
        <v>INSURANCEEXPOFBUILD&amp;</v>
      </c>
      <c r="B90" s="31" t="s">
        <v>168</v>
      </c>
      <c r="C90" s="26" t="s">
        <v>169</v>
      </c>
      <c r="D90" s="81">
        <v>1875.33</v>
      </c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>
        <f t="shared" ref="P90:P100" si="9">D90+E90+F90+G90+H90+I90+J90+K90+L90+M90+N90+O90</f>
        <v>1875.33</v>
      </c>
      <c r="Q90" s="22"/>
      <c r="R90" s="32"/>
      <c r="S90" s="22"/>
    </row>
    <row r="91" spans="1:19" ht="17.45" customHeight="1">
      <c r="A91" s="20" t="str">
        <f>_xlfn.IFNA(VLOOKUP(C91,Ref_CostCat!$A$6:$C$1048576,3,FALSE),SUBSTITUTE(SUBSTITUTE(SUBSTITUTE(SUBSTITUTE(C91,".",""),",",""),"-","")," ",""))</f>
        <v>RENTEXPENSESBUILDING</v>
      </c>
      <c r="B91" s="31" t="s">
        <v>170</v>
      </c>
      <c r="C91" s="26" t="s">
        <v>171</v>
      </c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>
        <f t="shared" si="9"/>
        <v>0</v>
      </c>
      <c r="Q91" s="22"/>
      <c r="R91" s="32"/>
      <c r="S91" s="22"/>
    </row>
    <row r="92" spans="1:19" ht="17.45" customHeight="1">
      <c r="A92" s="20" t="str">
        <f>_xlfn.IFNA(VLOOKUP(C92,Ref_CostCat!$A$6:$C$1048576,3,FALSE),SUBSTITUTE(SUBSTITUTE(SUBSTITUTE(SUBSTITUTE(C92,".",""),",",""),"-","")," ",""))</f>
        <v>OTHERPRODUCTIONCOST</v>
      </c>
      <c r="B92" s="31" t="s">
        <v>172</v>
      </c>
      <c r="C92" s="26" t="s">
        <v>173</v>
      </c>
      <c r="D92" s="81">
        <v>28546.11</v>
      </c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>
        <f t="shared" si="9"/>
        <v>28546.11</v>
      </c>
      <c r="Q92" s="22"/>
      <c r="R92" s="32"/>
      <c r="S92" s="22"/>
    </row>
    <row r="93" spans="1:19" ht="17.45" customHeight="1">
      <c r="A93" s="20" t="str">
        <f>_xlfn.IFNA(VLOOKUP(C93,Ref_CostCat!$A$6:$C$1048576,3,FALSE),SUBSTITUTE(SUBSTITUTE(SUBSTITUTE(SUBSTITUTE(C93,".",""),",",""),"-","")," ",""))</f>
        <v>PEMAKAIANSPAREPART</v>
      </c>
      <c r="B93" s="31" t="s">
        <v>174</v>
      </c>
      <c r="C93" s="26" t="s">
        <v>175</v>
      </c>
      <c r="D93" s="81">
        <v>496.66</v>
      </c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>
        <f t="shared" si="9"/>
        <v>496.66</v>
      </c>
      <c r="Q93" s="22"/>
      <c r="R93" s="32"/>
      <c r="S93" s="22"/>
    </row>
    <row r="94" spans="1:19" ht="17.45" customHeight="1">
      <c r="A94" s="20" t="str">
        <f>_xlfn.IFNA(VLOOKUP(C94,Ref_CostCat!$A$6:$C$1048576,3,FALSE),SUBSTITUTE(SUBSTITUTE(SUBSTITUTE(SUBSTITUTE(C94,".",""),",",""),"-","")," ",""))</f>
        <v>PEMAKAIANBATUBARA</v>
      </c>
      <c r="B94" s="31" t="s">
        <v>176</v>
      </c>
      <c r="C94" s="26" t="s">
        <v>177</v>
      </c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>
        <f t="shared" si="9"/>
        <v>0</v>
      </c>
      <c r="Q94" s="22"/>
      <c r="R94" s="32"/>
      <c r="S94" s="22"/>
    </row>
    <row r="95" spans="1:19" ht="17.45" customHeight="1">
      <c r="A95" s="20" t="str">
        <f>_xlfn.IFNA(VLOOKUP(C95,Ref_CostCat!$A$6:$C$1048576,3,FALSE),SUBSTITUTE(SUBSTITUTE(SUBSTITUTE(SUBSTITUTE(C95,".",""),",",""),"-","")," ",""))</f>
        <v>PEMAKAIANDYESTUFF</v>
      </c>
      <c r="B95" s="31" t="s">
        <v>178</v>
      </c>
      <c r="C95" s="26" t="s">
        <v>179</v>
      </c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>
        <f t="shared" si="9"/>
        <v>0</v>
      </c>
      <c r="Q95" s="22"/>
      <c r="R95" s="32"/>
      <c r="S95" s="22"/>
    </row>
    <row r="96" spans="1:19" ht="17.45" customHeight="1">
      <c r="A96" s="20" t="str">
        <f>_xlfn.IFNA(VLOOKUP(C96,Ref_CostCat!$A$6:$C$1048576,3,FALSE),SUBSTITUTE(SUBSTITUTE(SUBSTITUTE(SUBSTITUTE(C96,".",""),",",""),"-","")," ",""))</f>
        <v>PMKNFUEL&amp;LUBRICANT</v>
      </c>
      <c r="B96" s="31" t="s">
        <v>180</v>
      </c>
      <c r="C96" s="26" t="s">
        <v>181</v>
      </c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>
        <f t="shared" si="9"/>
        <v>0</v>
      </c>
      <c r="Q96" s="22"/>
      <c r="R96" s="32"/>
      <c r="S96" s="22"/>
    </row>
    <row r="97" spans="1:19" ht="17.45" customHeight="1">
      <c r="A97" s="20" t="str">
        <f>_xlfn.IFNA(VLOOKUP(C97,Ref_CostCat!$A$6:$C$1048576,3,FALSE),SUBSTITUTE(SUBSTITUTE(SUBSTITUTE(SUBSTITUTE(C97,".",""),",",""),"-","")," ",""))</f>
        <v>PEMAKAIANPACKING</v>
      </c>
      <c r="B97" s="31" t="s">
        <v>182</v>
      </c>
      <c r="C97" s="26" t="s">
        <v>183</v>
      </c>
      <c r="D97" s="81">
        <v>90.41</v>
      </c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>
        <f t="shared" si="9"/>
        <v>90.41</v>
      </c>
      <c r="Q97" s="22"/>
      <c r="R97" s="32"/>
      <c r="S97" s="22"/>
    </row>
    <row r="98" spans="1:19" ht="17.45" customHeight="1">
      <c r="A98" s="20" t="str">
        <f>_xlfn.IFNA(VLOOKUP(C98,Ref_CostCat!$A$6:$C$1048576,3,FALSE),SUBSTITUTE(SUBSTITUTE(SUBSTITUTE(SUBSTITUTE(C98,".",""),",",""),"-","")," ",""))</f>
        <v>PEMAKAIANSIZING</v>
      </c>
      <c r="B98" s="31" t="s">
        <v>184</v>
      </c>
      <c r="C98" s="26" t="s">
        <v>185</v>
      </c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>
        <f t="shared" si="9"/>
        <v>0</v>
      </c>
      <c r="Q98" s="22"/>
      <c r="R98" s="32"/>
      <c r="S98" s="22"/>
    </row>
    <row r="99" spans="1:19" ht="17.45" customHeight="1">
      <c r="A99" s="20" t="str">
        <f>_xlfn.IFNA(VLOOKUP(C99,Ref_CostCat!$A$6:$C$1048576,3,FALSE),SUBSTITUTE(SUBSTITUTE(SUBSTITUTE(SUBSTITUTE(C99,".",""),",",""),"-","")," ",""))</f>
        <v>PEMAKAIANAUXILIARY</v>
      </c>
      <c r="B99" s="31" t="s">
        <v>186</v>
      </c>
      <c r="C99" s="26" t="s">
        <v>187</v>
      </c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>
        <f t="shared" si="9"/>
        <v>0</v>
      </c>
      <c r="Q99" s="22"/>
      <c r="R99" s="32"/>
      <c r="S99" s="22"/>
    </row>
    <row r="100" spans="1:19" ht="17.45" customHeight="1">
      <c r="A100" s="20" t="str">
        <f>_xlfn.IFNA(VLOOKUP(C100,Ref_CostCat!$A$6:$C$1048576,3,FALSE),SUBSTITUTE(SUBSTITUTE(SUBSTITUTE(SUBSTITUTE(C100,".",""),",",""),"-","")," ",""))</f>
        <v>PEMAKAIANGENERALINVENTORY</v>
      </c>
      <c r="B100" s="36">
        <v>631180</v>
      </c>
      <c r="C100" s="26" t="s">
        <v>188</v>
      </c>
      <c r="D100" s="81">
        <v>905.01</v>
      </c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>
        <f t="shared" si="9"/>
        <v>905.01</v>
      </c>
      <c r="Q100" s="22"/>
      <c r="R100" s="32"/>
      <c r="S100" s="22"/>
    </row>
    <row r="101" spans="1:19" ht="17.45" customHeight="1">
      <c r="A101" s="20" t="str">
        <f>_xlfn.IFNA(VLOOKUP(C101,Ref_CostCat!$A$6:$C$1048576,3,FALSE),SUBSTITUTE(SUBSTITUTE(SUBSTITUTE(SUBSTITUTE(C101,".",""),",",""),"-","")," ",""))</f>
        <v>OTHERPRODUCTIONCOST</v>
      </c>
      <c r="B101" s="68" t="s">
        <v>172</v>
      </c>
      <c r="C101" s="73" t="s">
        <v>173</v>
      </c>
      <c r="D101" s="83">
        <f>SUM(D92:D100)</f>
        <v>30038.19</v>
      </c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>
        <f>SUM(P92:P100)</f>
        <v>30038.19</v>
      </c>
      <c r="Q101" s="22"/>
      <c r="R101" s="32"/>
      <c r="S101" s="22"/>
    </row>
    <row r="102" spans="1:19" ht="17.45" customHeight="1">
      <c r="A102" s="20" t="str">
        <f>_xlfn.IFNA(VLOOKUP(C102,Ref_CostCat!$A$6:$C$1048576,3,FALSE),SUBSTITUTE(SUBSTITUTE(SUBSTITUTE(SUBSTITUTE(C102,".",""),",",""),"-","")," ",""))</f>
        <v>DIRECTMFGCOSTALLOCATION</v>
      </c>
      <c r="B102" s="31"/>
      <c r="C102" s="29" t="s">
        <v>189</v>
      </c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>
        <f>D102+E102+F102+G102+H102+I102+J102+K102+L102+M102+N102+O102</f>
        <v>0</v>
      </c>
      <c r="Q102" s="22"/>
      <c r="R102" s="32"/>
      <c r="S102" s="22"/>
    </row>
    <row r="103" spans="1:19" ht="17.45" customHeight="1">
      <c r="A103" s="20" t="str">
        <f>_xlfn.IFNA(VLOOKUP(C103,Ref_CostCat!$A$6:$C$1048576,3,FALSE),SUBSTITUTE(SUBSTITUTE(SUBSTITUTE(SUBSTITUTE(C103,".",""),",",""),"-","")," ",""))</f>
        <v>MATERIALCOSTALLOCATION</v>
      </c>
      <c r="B103" s="31" t="s">
        <v>190</v>
      </c>
      <c r="C103" s="26" t="s">
        <v>191</v>
      </c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>
        <f>D103+E103+F103+G103+H103+I103+J103+K103+L103+M103+N103+O103</f>
        <v>0</v>
      </c>
      <c r="Q103" s="22"/>
      <c r="R103" s="32"/>
      <c r="S103" s="22"/>
    </row>
    <row r="104" spans="1:19" ht="17.45" customHeight="1">
      <c r="A104" s="20" t="str">
        <f>_xlfn.IFNA(VLOOKUP(C104,Ref_CostCat!$A$6:$C$1048576,3,FALSE),SUBSTITUTE(SUBSTITUTE(SUBSTITUTE(SUBSTITUTE(C104,".",""),",",""),"-","")," ",""))</f>
        <v>LABORCOSTALLOCATION</v>
      </c>
      <c r="B104" s="31" t="s">
        <v>192</v>
      </c>
      <c r="C104" s="26" t="s">
        <v>193</v>
      </c>
      <c r="D104" s="81">
        <v>-48284.4</v>
      </c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>
        <f>D104+E104+F104+G104+H104+I104+J104+K104+L104+M104+N104+O104</f>
        <v>-48284.4</v>
      </c>
      <c r="Q104" s="22"/>
      <c r="R104" s="32"/>
      <c r="S104" s="22"/>
    </row>
    <row r="105" spans="1:19" ht="17.45" customHeight="1">
      <c r="A105" s="20" t="str">
        <f>_xlfn.IFNA(VLOOKUP(C105,Ref_CostCat!$A$6:$C$1048576,3,FALSE),SUBSTITUTE(SUBSTITUTE(SUBSTITUTE(SUBSTITUTE(C105,".",""),",",""),"-","")," ",""))</f>
        <v>DIRECTCOSTALLOCATION</v>
      </c>
      <c r="B105" s="31" t="s">
        <v>194</v>
      </c>
      <c r="C105" s="26" t="s">
        <v>195</v>
      </c>
      <c r="D105" s="81">
        <v>-208317.73</v>
      </c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>
        <f>D105+E105+F105+G105+H105+I105+J105+K105+L105+M105+N105+O105</f>
        <v>-208317.73</v>
      </c>
      <c r="Q105" s="22"/>
      <c r="R105" s="32"/>
      <c r="S105" s="22"/>
    </row>
    <row r="106" spans="1:19" ht="17.45" customHeight="1">
      <c r="A106" s="20" t="str">
        <f>_xlfn.IFNA(VLOOKUP(C106,Ref_CostCat!$A$6:$C$1048576,3,FALSE),SUBSTITUTE(SUBSTITUTE(SUBSTITUTE(SUBSTITUTE(C106,".",""),",",""),"-","")," ",""))</f>
        <v>DIRECTMFGCOSTALLOCATION</v>
      </c>
      <c r="B106" s="68" t="s">
        <v>196</v>
      </c>
      <c r="C106" s="67" t="s">
        <v>189</v>
      </c>
      <c r="D106" s="83">
        <f>SUM(D104:D105)</f>
        <v>-256602.13</v>
      </c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3">
        <f>SUM(P104:P105)</f>
        <v>-256602.13</v>
      </c>
      <c r="Q106" s="22"/>
      <c r="R106" s="32"/>
      <c r="S106" s="22"/>
    </row>
    <row r="107" spans="1:19" ht="17.45" customHeight="1">
      <c r="A107" s="20" t="str">
        <f>_xlfn.IFNA(VLOOKUP(C107,Ref_CostCat!$A$6:$C$1048576,3,FALSE),SUBSTITUTE(SUBSTITUTE(SUBSTITUTE(SUBSTITUTE(C107,".",""),",",""),"-","")," ",""))</f>
        <v>MNFCTOVERHEADALLOC</v>
      </c>
      <c r="B107" s="31"/>
      <c r="C107" s="29" t="s">
        <v>197</v>
      </c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>
        <v>0</v>
      </c>
      <c r="Q107" s="22"/>
      <c r="R107" s="32"/>
      <c r="S107" s="22"/>
    </row>
    <row r="108" spans="1:19" ht="17.45" customHeight="1">
      <c r="A108" s="20" t="str">
        <f>_xlfn.IFNA(VLOOKUP(C108,Ref_CostCat!$A$6:$C$1048576,3,FALSE),SUBSTITUTE(SUBSTITUTE(SUBSTITUTE(SUBSTITUTE(C108,".",""),",",""),"-","")," ",""))</f>
        <v>MACHINEVARIABLEOVERHEAD</v>
      </c>
      <c r="B108" s="31"/>
      <c r="C108" s="26" t="s">
        <v>198</v>
      </c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1"/>
      <c r="O108" s="81"/>
      <c r="P108" s="81">
        <v>0</v>
      </c>
      <c r="Q108" s="22"/>
      <c r="R108" s="32"/>
      <c r="S108" s="22"/>
    </row>
    <row r="109" spans="1:19" ht="17.45" customHeight="1">
      <c r="A109" s="20" t="str">
        <f>_xlfn.IFNA(VLOOKUP(C109,Ref_CostCat!$A$6:$C$1048576,3,FALSE),SUBSTITUTE(SUBSTITUTE(SUBSTITUTE(SUBSTITUTE(C109,".",""),",",""),"-","")," ",""))</f>
        <v>MACHINEFIXEDOVERHEAD</v>
      </c>
      <c r="B109" s="31"/>
      <c r="C109" s="26" t="s">
        <v>199</v>
      </c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>
        <v>0</v>
      </c>
      <c r="Q109" s="22"/>
      <c r="R109" s="32"/>
      <c r="S109" s="22"/>
    </row>
    <row r="110" spans="1:19" ht="17.45" customHeight="1">
      <c r="A110" s="20" t="str">
        <f>_xlfn.IFNA(VLOOKUP(C110,Ref_CostCat!$A$6:$C$1048576,3,FALSE),SUBSTITUTE(SUBSTITUTE(SUBSTITUTE(SUBSTITUTE(C110,".",""),",",""),"-","")," ",""))</f>
        <v>MNFCTOVERHEADALLOC</v>
      </c>
      <c r="B110" s="31"/>
      <c r="C110" s="37" t="s">
        <v>200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81">
        <v>0</v>
      </c>
      <c r="Q110" s="22"/>
      <c r="R110" s="32"/>
      <c r="S110" s="22"/>
    </row>
    <row r="111" spans="1:19" ht="17.45" customHeight="1">
      <c r="A111" s="20" t="str">
        <f>_xlfn.IFNA(VLOOKUP(C111,Ref_CostCat!$A$6:$C$1048576,3,FALSE),SUBSTITUTE(SUBSTITUTE(SUBSTITUTE(SUBSTITUTE(C111,".",""),",",""),"-","")," ",""))</f>
        <v>DIRECTMANUFACTURINGCOST</v>
      </c>
      <c r="B111" s="33" t="s">
        <v>201</v>
      </c>
      <c r="C111" s="34" t="s">
        <v>109</v>
      </c>
      <c r="D111" s="86">
        <f>D106+D101+D91+D90+D89+D80+D71+D70+D65+D64+D63+D62+D61</f>
        <v>0</v>
      </c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>
        <v>0</v>
      </c>
      <c r="Q111" s="22"/>
      <c r="R111" s="32"/>
      <c r="S111" s="22"/>
    </row>
    <row r="112" spans="1:19" ht="17.45" customHeight="1">
      <c r="A112" s="20" t="str">
        <f>_xlfn.IFNA(VLOOKUP(C112,Ref_CostCat!$A$6:$C$1048576,3,FALSE),SUBSTITUTE(SUBSTITUTE(SUBSTITUTE(SUBSTITUTE(C112,".",""),",",""),"-","")," ",""))</f>
        <v>COSTOFREVENUE</v>
      </c>
      <c r="B112" s="38" t="s">
        <v>202</v>
      </c>
      <c r="C112" s="39" t="s">
        <v>203</v>
      </c>
      <c r="D112" s="87">
        <f>D36</f>
        <v>1321758.24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>
        <f>P36</f>
        <v>1321758.24</v>
      </c>
      <c r="Q112" s="22"/>
      <c r="R112" s="32"/>
      <c r="S112" s="22"/>
    </row>
    <row r="113" spans="1:19" ht="17.45" customHeight="1">
      <c r="A113" s="20" t="str">
        <f>_xlfn.IFNA(VLOOKUP(C113,Ref_CostCat!$A$6:$C$1048576,3,FALSE),SUBSTITUTE(SUBSTITUTE(SUBSTITUTE(SUBSTITUTE(C113,".",""),",",""),"-","")," ",""))</f>
        <v>MARKETINGEXPENSES</v>
      </c>
      <c r="B113" s="31"/>
      <c r="C113" s="28" t="s">
        <v>204</v>
      </c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1"/>
      <c r="O113" s="81"/>
      <c r="P113" s="81">
        <f>D113+E113+F113+G113+H113+I113+J113+K113+L113+M113+N113+O113</f>
        <v>0</v>
      </c>
      <c r="Q113" s="22"/>
      <c r="R113" s="32"/>
      <c r="S113" s="22"/>
    </row>
    <row r="114" spans="1:19" ht="17.45" customHeight="1">
      <c r="A114" s="20" t="str">
        <f>_xlfn.IFNA(VLOOKUP(C114,Ref_CostCat!$A$6:$C$1048576,3,FALSE),SUBSTITUTE(SUBSTITUTE(SUBSTITUTE(SUBSTITUTE(C114,".",""),",",""),"-","")," ",""))</f>
        <v>PROMOTIONEXPENSES</v>
      </c>
      <c r="B114" s="31"/>
      <c r="C114" s="29" t="s">
        <v>205</v>
      </c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>
        <f>D114+E114+F114+G114+H114+I114+J114+K114+L114+M114+N114+O114</f>
        <v>0</v>
      </c>
      <c r="Q114" s="22"/>
      <c r="R114" s="32"/>
      <c r="S114" s="22"/>
    </row>
    <row r="115" spans="1:19" ht="17.45" customHeight="1">
      <c r="A115" s="20" t="str">
        <f>_xlfn.IFNA(VLOOKUP(C115,Ref_CostCat!$A$6:$C$1048576,3,FALSE),SUBSTITUTE(SUBSTITUTE(SUBSTITUTE(SUBSTITUTE(C115,".",""),",",""),"-","")," ",""))</f>
        <v>ADVERTISINGEXPENSES</v>
      </c>
      <c r="B115" s="31" t="s">
        <v>206</v>
      </c>
      <c r="C115" s="26" t="s">
        <v>207</v>
      </c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1"/>
      <c r="O115" s="81"/>
      <c r="P115" s="81">
        <f>D115+E115+F115+G115+H115+I115+J115+K115+L115+M115+N115+O115</f>
        <v>0</v>
      </c>
      <c r="Q115" s="22"/>
      <c r="R115" s="32"/>
      <c r="S115" s="22"/>
    </row>
    <row r="116" spans="1:19" ht="17.45" customHeight="1">
      <c r="A116" s="20" t="str">
        <f>_xlfn.IFNA(VLOOKUP(C116,Ref_CostCat!$A$6:$C$1048576,3,FALSE),SUBSTITUTE(SUBSTITUTE(SUBSTITUTE(SUBSTITUTE(C116,".",""),",",""),"-","")," ",""))</f>
        <v>SAMPLEEXPENSES</v>
      </c>
      <c r="B116" s="31" t="s">
        <v>208</v>
      </c>
      <c r="C116" s="26" t="s">
        <v>209</v>
      </c>
      <c r="D116" s="81">
        <v>357.41</v>
      </c>
      <c r="E116" s="81"/>
      <c r="F116" s="81"/>
      <c r="G116" s="81"/>
      <c r="H116" s="81"/>
      <c r="I116" s="81"/>
      <c r="J116" s="81"/>
      <c r="K116" s="81"/>
      <c r="L116" s="81"/>
      <c r="M116" s="81"/>
      <c r="N116" s="81"/>
      <c r="O116" s="81"/>
      <c r="P116" s="81">
        <f>D116+E116+F116+G116+H116+I116+J116+K116+L116+M116+N116+O116</f>
        <v>357.41</v>
      </c>
      <c r="Q116" s="22"/>
      <c r="R116" s="32"/>
      <c r="S116" s="22"/>
    </row>
    <row r="117" spans="1:19" ht="17.45" customHeight="1">
      <c r="A117" s="20" t="str">
        <f>_xlfn.IFNA(VLOOKUP(C117,Ref_CostCat!$A$6:$C$1048576,3,FALSE),SUBSTITUTE(SUBSTITUTE(SUBSTITUTE(SUBSTITUTE(C117,".",""),",",""),"-","")," ",""))</f>
        <v>PROMOTIONEXPENSES</v>
      </c>
      <c r="B117" s="69" t="s">
        <v>210</v>
      </c>
      <c r="C117" s="70" t="s">
        <v>205</v>
      </c>
      <c r="D117" s="84">
        <f>SUM(D115:D116)</f>
        <v>357.41</v>
      </c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>
        <f>SUM(P115:P116)</f>
        <v>357.41</v>
      </c>
      <c r="Q117" s="22"/>
      <c r="R117" s="32"/>
      <c r="S117" s="22"/>
    </row>
    <row r="118" spans="1:19" ht="17.45" customHeight="1">
      <c r="A118" s="20" t="str">
        <f>_xlfn.IFNA(VLOOKUP(C118,Ref_CostCat!$A$6:$C$1048576,3,FALSE),SUBSTITUTE(SUBSTITUTE(SUBSTITUTE(SUBSTITUTE(C118,".",""),",",""),"-","")," ",""))</f>
        <v>DELIVERYEXPENSES</v>
      </c>
      <c r="B118" s="31"/>
      <c r="C118" s="29" t="s">
        <v>211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>
        <f t="shared" ref="P118:P127" si="10">D118+E118+F118+G118+H118+I118+J118+K118+L118+M118+N118+O118</f>
        <v>0</v>
      </c>
      <c r="Q118" s="22"/>
      <c r="R118" s="32"/>
      <c r="S118" s="22"/>
    </row>
    <row r="119" spans="1:19" ht="17.45" customHeight="1">
      <c r="A119" s="20" t="str">
        <f>_xlfn.IFNA(VLOOKUP(C119,Ref_CostCat!$A$6:$C$1048576,3,FALSE),SUBSTITUTE(SUBSTITUTE(SUBSTITUTE(SUBSTITUTE(C119,".",""),",",""),"-","")," ",""))</f>
        <v>TRUCKINGEXPENSES</v>
      </c>
      <c r="B119" s="31" t="s">
        <v>212</v>
      </c>
      <c r="C119" s="26" t="s">
        <v>213</v>
      </c>
      <c r="D119" s="81">
        <v>14020.84</v>
      </c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>
        <f t="shared" si="10"/>
        <v>14020.84</v>
      </c>
      <c r="Q119" s="22"/>
      <c r="R119" s="32"/>
      <c r="S119" s="22"/>
    </row>
    <row r="120" spans="1:19" ht="17.45" customHeight="1">
      <c r="A120" s="20" t="str">
        <f>_xlfn.IFNA(VLOOKUP(C120,Ref_CostCat!$A$6:$C$1048576,3,FALSE),SUBSTITUTE(SUBSTITUTE(SUBSTITUTE(SUBSTITUTE(C120,".",""),",",""),"-","")," ",""))</f>
        <v>PORTERWAGESEXPENSES</v>
      </c>
      <c r="B120" s="31" t="s">
        <v>214</v>
      </c>
      <c r="C120" s="26" t="s">
        <v>215</v>
      </c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>
        <f t="shared" si="10"/>
        <v>0</v>
      </c>
      <c r="Q120" s="22"/>
      <c r="R120" s="32"/>
      <c r="S120" s="22"/>
    </row>
    <row r="121" spans="1:19" ht="17.45" customHeight="1">
      <c r="A121" s="20" t="str">
        <f>_xlfn.IFNA(VLOOKUP(C121,Ref_CostCat!$A$6:$C$1048576,3,FALSE),SUBSTITUTE(SUBSTITUTE(SUBSTITUTE(SUBSTITUTE(C121,".",""),",",""),"-","")," ",""))</f>
        <v>FREIGHTCHARGES</v>
      </c>
      <c r="B121" s="31"/>
      <c r="C121" s="37" t="s">
        <v>216</v>
      </c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>
        <f t="shared" si="10"/>
        <v>0</v>
      </c>
      <c r="Q121" s="22"/>
      <c r="R121" s="32"/>
      <c r="S121" s="22"/>
    </row>
    <row r="122" spans="1:19" ht="17.45" customHeight="1">
      <c r="A122" s="20" t="str">
        <f>_xlfn.IFNA(VLOOKUP(C122,Ref_CostCat!$A$6:$C$1048576,3,FALSE),SUBSTITUTE(SUBSTITUTE(SUBSTITUTE(SUBSTITUTE(C122,".",""),",",""),"-","")," ",""))</f>
        <v>L/CNEGOCOMMISSION</v>
      </c>
      <c r="B122" s="31" t="s">
        <v>217</v>
      </c>
      <c r="C122" s="26" t="s">
        <v>218</v>
      </c>
      <c r="D122" s="81">
        <v>1134.49</v>
      </c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>
        <f t="shared" si="10"/>
        <v>1134.49</v>
      </c>
      <c r="Q122" s="22"/>
      <c r="R122" s="32"/>
      <c r="S122" s="22"/>
    </row>
    <row r="123" spans="1:19" ht="17.45" customHeight="1">
      <c r="A123" s="20" t="str">
        <f>_xlfn.IFNA(VLOOKUP(C123,Ref_CostCat!$A$6:$C$1048576,3,FALSE),SUBSTITUTE(SUBSTITUTE(SUBSTITUTE(SUBSTITUTE(C123,".",""),",",""),"-","")," ",""))</f>
        <v>L/CINTEREST</v>
      </c>
      <c r="B123" s="31" t="s">
        <v>219</v>
      </c>
      <c r="C123" s="26" t="s">
        <v>220</v>
      </c>
      <c r="D123" s="81">
        <v>380.88</v>
      </c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>
        <f t="shared" si="10"/>
        <v>380.88</v>
      </c>
      <c r="Q123" s="22"/>
      <c r="R123" s="32"/>
      <c r="S123" s="22"/>
    </row>
    <row r="124" spans="1:19" ht="17.45" customHeight="1">
      <c r="A124" s="20" t="str">
        <f>_xlfn.IFNA(VLOOKUP(C124,Ref_CostCat!$A$6:$C$1048576,3,FALSE),SUBSTITUTE(SUBSTITUTE(SUBSTITUTE(SUBSTITUTE(C124,".",""),",",""),"-","")," ",""))</f>
        <v>L/CBANKCHARGES</v>
      </c>
      <c r="B124" s="31" t="s">
        <v>221</v>
      </c>
      <c r="C124" s="26" t="s">
        <v>222</v>
      </c>
      <c r="D124" s="81">
        <v>467.31</v>
      </c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>
        <f t="shared" si="10"/>
        <v>467.31</v>
      </c>
      <c r="Q124" s="22"/>
      <c r="R124" s="32"/>
      <c r="S124" s="22"/>
    </row>
    <row r="125" spans="1:19" ht="17.45" customHeight="1">
      <c r="A125" s="20" t="str">
        <f>_xlfn.IFNA(VLOOKUP(C125,Ref_CostCat!$A$6:$C$1048576,3,FALSE),SUBSTITUTE(SUBSTITUTE(SUBSTITUTE(SUBSTITUTE(C125,".",""),",",""),"-","")," ",""))</f>
        <v>L/CADVISING</v>
      </c>
      <c r="B125" s="31" t="s">
        <v>223</v>
      </c>
      <c r="C125" s="26" t="s">
        <v>224</v>
      </c>
      <c r="D125" s="81">
        <v>80</v>
      </c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>
        <f t="shared" si="10"/>
        <v>80</v>
      </c>
      <c r="Q125" s="22"/>
      <c r="R125" s="32"/>
      <c r="S125" s="22"/>
    </row>
    <row r="126" spans="1:19" ht="17.45" customHeight="1">
      <c r="A126" s="20" t="str">
        <f>_xlfn.IFNA(VLOOKUP(C126,Ref_CostCat!$A$6:$C$1048576,3,FALSE),SUBSTITUTE(SUBSTITUTE(SUBSTITUTE(SUBSTITUTE(C126,".",""),",",""),"-","")," ",""))</f>
        <v>L/CAMEND</v>
      </c>
      <c r="B126" s="31" t="s">
        <v>225</v>
      </c>
      <c r="C126" s="26" t="s">
        <v>226</v>
      </c>
      <c r="D126" s="81">
        <v>399.4</v>
      </c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>
        <f t="shared" si="10"/>
        <v>399.4</v>
      </c>
      <c r="Q126" s="22"/>
      <c r="R126" s="32"/>
      <c r="S126" s="22"/>
    </row>
    <row r="127" spans="1:19" ht="17.45" customHeight="1">
      <c r="A127" s="20" t="str">
        <f>_xlfn.IFNA(VLOOKUP(C127,Ref_CostCat!$A$6:$C$1048576,3,FALSE),SUBSTITUTE(SUBSTITUTE(SUBSTITUTE(SUBSTITUTE(C127,".",""),",",""),"-","")," ",""))</f>
        <v>L/CDEDUCTION</v>
      </c>
      <c r="B127" s="31" t="s">
        <v>227</v>
      </c>
      <c r="C127" s="26" t="s">
        <v>228</v>
      </c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>
        <f t="shared" si="10"/>
        <v>0</v>
      </c>
      <c r="Q127" s="22"/>
      <c r="R127" s="32"/>
      <c r="S127" s="22"/>
    </row>
    <row r="128" spans="1:19" ht="17.45" customHeight="1">
      <c r="A128" s="20" t="str">
        <f>_xlfn.IFNA(VLOOKUP(C128,Ref_CostCat!$A$6:$C$1048576,3,FALSE),SUBSTITUTE(SUBSTITUTE(SUBSTITUTE(SUBSTITUTE(C128,".",""),",",""),"-","")," ",""))</f>
        <v>FREIGHTCHARGES</v>
      </c>
      <c r="B128" s="69" t="s">
        <v>229</v>
      </c>
      <c r="C128" s="70" t="s">
        <v>216</v>
      </c>
      <c r="D128" s="84">
        <f>SUM(D122:D127)</f>
        <v>2462.08</v>
      </c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>
        <f>SUM(P122:P127)</f>
        <v>2462.08</v>
      </c>
      <c r="Q128" s="22"/>
      <c r="R128" s="32"/>
      <c r="S128" s="22"/>
    </row>
    <row r="129" spans="1:19" ht="17.45" customHeight="1">
      <c r="A129" s="20" t="str">
        <f>_xlfn.IFNA(VLOOKUP(C129,Ref_CostCat!$A$6:$C$1048576,3,FALSE),SUBSTITUTE(SUBSTITUTE(SUBSTITUTE(SUBSTITUTE(C129,".",""),",",""),"-","")," ",""))</f>
        <v>EXPEDITION/SEAFREIGHT</v>
      </c>
      <c r="B129" s="31" t="s">
        <v>230</v>
      </c>
      <c r="C129" s="26" t="s">
        <v>231</v>
      </c>
      <c r="D129" s="81">
        <v>20761.509999999998</v>
      </c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>
        <f>D129+E129+F129+G129+H129+I129+J129+K129+L129+M129+N129+O129</f>
        <v>20761.509999999998</v>
      </c>
      <c r="Q129" s="22"/>
      <c r="R129" s="32"/>
      <c r="S129" s="22"/>
    </row>
    <row r="130" spans="1:19" ht="17.45" customHeight="1">
      <c r="A130" s="20" t="str">
        <f>_xlfn.IFNA(VLOOKUP(C130,Ref_CostCat!$A$6:$C$1048576,3,FALSE),SUBSTITUTE(SUBSTITUTE(SUBSTITUTE(SUBSTITUTE(C130,".",""),",",""),"-","")," ",""))</f>
        <v>AIRFREIGHT</v>
      </c>
      <c r="B130" s="31" t="s">
        <v>232</v>
      </c>
      <c r="C130" s="26" t="s">
        <v>233</v>
      </c>
      <c r="D130" s="81">
        <v>71003.789999999994</v>
      </c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>
        <f>D130+E130+F130+G130+H130+I130+J130+K130+L130+M130+N130+O130</f>
        <v>71003.789999999994</v>
      </c>
      <c r="Q130" s="22"/>
      <c r="R130" s="32"/>
      <c r="S130" s="22"/>
    </row>
    <row r="131" spans="1:19" ht="17.45" customHeight="1">
      <c r="A131" s="20" t="str">
        <f>_xlfn.IFNA(VLOOKUP(C131,Ref_CostCat!$A$6:$C$1048576,3,FALSE),SUBSTITUTE(SUBSTITUTE(SUBSTITUTE(SUBSTITUTE(C131,".",""),",",""),"-","")," ",""))</f>
        <v>QUOTA</v>
      </c>
      <c r="B131" s="31" t="s">
        <v>234</v>
      </c>
      <c r="C131" s="26" t="s">
        <v>235</v>
      </c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>
        <f>D131+E131+F131+G131+H131+I131+J131+K131+L131+M131+N131+O131</f>
        <v>0</v>
      </c>
      <c r="Q131" s="22"/>
      <c r="R131" s="32"/>
      <c r="S131" s="22"/>
    </row>
    <row r="132" spans="1:19" ht="17.45" customHeight="1">
      <c r="A132" s="20" t="str">
        <f>_xlfn.IFNA(VLOOKUP(C132,Ref_CostCat!$A$6:$C$1048576,3,FALSE),SUBSTITUTE(SUBSTITUTE(SUBSTITUTE(SUBSTITUTE(C132,".",""),",",""),"-","")," ",""))</f>
        <v>DELIVERYEXPENSES</v>
      </c>
      <c r="B132" s="69" t="s">
        <v>236</v>
      </c>
      <c r="C132" s="70" t="s">
        <v>211</v>
      </c>
      <c r="D132" s="84">
        <f>D119+D128+D129+D130</f>
        <v>108248.21999999999</v>
      </c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>
        <f>P119+P128+P129+P130</f>
        <v>108248.21999999999</v>
      </c>
      <c r="Q132" s="22"/>
      <c r="R132" s="32"/>
      <c r="S132" s="22"/>
    </row>
    <row r="133" spans="1:19" ht="17.45" customHeight="1">
      <c r="A133" s="20" t="str">
        <f>_xlfn.IFNA(VLOOKUP(C133,Ref_CostCat!$A$6:$C$1048576,3,FALSE),SUBSTITUTE(SUBSTITUTE(SUBSTITUTE(SUBSTITUTE(C133,".",""),",",""),"-","")," ",""))</f>
        <v>MISCELLANEOUSSELLINGEXP</v>
      </c>
      <c r="B133" s="31"/>
      <c r="C133" s="37" t="s">
        <v>237</v>
      </c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>
        <f>D133+E133+F133+G133+H133+I133+J133+K133+L133+M133+N133+O133</f>
        <v>0</v>
      </c>
      <c r="Q133" s="22"/>
      <c r="R133" s="32"/>
      <c r="S133" s="22"/>
    </row>
    <row r="134" spans="1:19" ht="17.45" customHeight="1">
      <c r="A134" s="20" t="str">
        <f>_xlfn.IFNA(VLOOKUP(C134,Ref_CostCat!$A$6:$C$1048576,3,FALSE),SUBSTITUTE(SUBSTITUTE(SUBSTITUTE(SUBSTITUTE(C134,".",""),",",""),"-","")," ",""))</f>
        <v>SALESDISCOUNT</v>
      </c>
      <c r="B134" s="31" t="s">
        <v>238</v>
      </c>
      <c r="C134" s="26" t="s">
        <v>41</v>
      </c>
      <c r="D134" s="81">
        <v>0</v>
      </c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>
        <f>D134+E134+F134+G134+H134+I134+J134+K134+L134+M134+N134+O134</f>
        <v>0</v>
      </c>
      <c r="Q134" s="22"/>
      <c r="R134" s="32"/>
      <c r="S134" s="22"/>
    </row>
    <row r="135" spans="1:19" ht="17.45" customHeight="1">
      <c r="A135" s="20" t="str">
        <f>_xlfn.IFNA(VLOOKUP(C135,Ref_CostCat!$A$6:$C$1048576,3,FALSE),SUBSTITUTE(SUBSTITUTE(SUBSTITUTE(SUBSTITUTE(C135,".",""),",",""),"-","")," ",""))</f>
        <v>SALESCOMMISSION</v>
      </c>
      <c r="B135" s="31" t="s">
        <v>239</v>
      </c>
      <c r="C135" s="26" t="s">
        <v>240</v>
      </c>
      <c r="D135" s="81">
        <v>12053.08</v>
      </c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>
        <f>D135+E135+F135+G135+H135+I135+J135+K135+L135+M135+N135+O135</f>
        <v>12053.08</v>
      </c>
      <c r="Q135" s="22"/>
      <c r="R135" s="32"/>
      <c r="S135" s="22"/>
    </row>
    <row r="136" spans="1:19" ht="17.45" customHeight="1">
      <c r="A136" s="20" t="str">
        <f>_xlfn.IFNA(VLOOKUP(C136,Ref_CostCat!$A$6:$C$1048576,3,FALSE),SUBSTITUTE(SUBSTITUTE(SUBSTITUTE(SUBSTITUTE(C136,".",""),",",""),"-","")," ",""))</f>
        <v>FABRICTESTEDCHARGES</v>
      </c>
      <c r="B136" s="31" t="s">
        <v>241</v>
      </c>
      <c r="C136" s="26" t="s">
        <v>242</v>
      </c>
      <c r="D136" s="81">
        <v>3384.72</v>
      </c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>
        <f>D136+E136+F136+G136+H136+I136+J136+K136+L136+M136+N136+O136</f>
        <v>3384.72</v>
      </c>
      <c r="Q136" s="22"/>
      <c r="R136" s="32"/>
      <c r="S136" s="22"/>
    </row>
    <row r="137" spans="1:19" ht="17.45" customHeight="1">
      <c r="A137" s="20" t="str">
        <f>_xlfn.IFNA(VLOOKUP(C137,Ref_CostCat!$A$6:$C$1048576,3,FALSE),SUBSTITUTE(SUBSTITUTE(SUBSTITUTE(SUBSTITUTE(C137,".",""),",",""),"-","")," ",""))</f>
        <v>MISCELLANEOUSSELLINGEXP</v>
      </c>
      <c r="B137" s="33" t="s">
        <v>243</v>
      </c>
      <c r="C137" s="34" t="s">
        <v>237</v>
      </c>
      <c r="D137" s="86">
        <f>SUM(D134:D136)</f>
        <v>15437.8</v>
      </c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>
        <f>SUM(P134:P136)</f>
        <v>15437.8</v>
      </c>
      <c r="Q137" s="22"/>
      <c r="R137" s="32"/>
      <c r="S137" s="22"/>
    </row>
    <row r="138" spans="1:19" ht="17.45" customHeight="1">
      <c r="A138" s="20" t="str">
        <f>_xlfn.IFNA(VLOOKUP(C138,Ref_CostCat!$A$6:$C$1048576,3,FALSE),SUBSTITUTE(SUBSTITUTE(SUBSTITUTE(SUBSTITUTE(C138,".",""),",",""),"-","")," ",""))</f>
        <v>MARKETINGEXPENSES</v>
      </c>
      <c r="B138" s="38" t="s">
        <v>244</v>
      </c>
      <c r="C138" s="39" t="s">
        <v>204</v>
      </c>
      <c r="D138" s="87">
        <f>D137+D132+D117</f>
        <v>124043.43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>
        <f>P137+P132+P117</f>
        <v>124043.43</v>
      </c>
      <c r="Q138" s="22"/>
      <c r="R138" s="32"/>
      <c r="S138" s="22"/>
    </row>
    <row r="139" spans="1:19" ht="17.45" customHeight="1">
      <c r="A139" s="20" t="str">
        <f>_xlfn.IFNA(VLOOKUP(C139,Ref_CostCat!$A$6:$C$1048576,3,FALSE),SUBSTITUTE(SUBSTITUTE(SUBSTITUTE(SUBSTITUTE(C139,".",""),",",""),"-","")," ",""))</f>
        <v>GENERAL&amp;ADMINEXPENSES</v>
      </c>
      <c r="B139" s="31"/>
      <c r="C139" s="28" t="s">
        <v>245</v>
      </c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>
        <f t="shared" ref="P139:P147" si="11">D139+E139+F139+G139+H139+I139+J139+K139+L139+M139+N139+O139</f>
        <v>0</v>
      </c>
      <c r="Q139" s="22"/>
      <c r="R139" s="32"/>
      <c r="S139" s="22"/>
    </row>
    <row r="140" spans="1:19" ht="17.45" customHeight="1">
      <c r="A140" s="20" t="str">
        <f>_xlfn.IFNA(VLOOKUP(C140,Ref_CostCat!$A$6:$C$1048576,3,FALSE),SUBSTITUTE(SUBSTITUTE(SUBSTITUTE(SUBSTITUTE(C140,".",""),",",""),"-","")," ",""))</f>
        <v>SALARIES</v>
      </c>
      <c r="B140" s="31"/>
      <c r="C140" s="29" t="s">
        <v>246</v>
      </c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>
        <f t="shared" si="11"/>
        <v>0</v>
      </c>
      <c r="Q140" s="22"/>
      <c r="R140" s="32"/>
      <c r="S140" s="22"/>
    </row>
    <row r="141" spans="1:19" ht="17.45" customHeight="1">
      <c r="A141" s="20" t="str">
        <f>_xlfn.IFNA(VLOOKUP(C141,Ref_CostCat!$A$6:$C$1048576,3,FALSE),SUBSTITUTE(SUBSTITUTE(SUBSTITUTE(SUBSTITUTE(C141,".",""),",",""),"-","")," ",""))</f>
        <v>OFFICERSALARIES</v>
      </c>
      <c r="B141" s="31" t="s">
        <v>247</v>
      </c>
      <c r="C141" s="26" t="s">
        <v>248</v>
      </c>
      <c r="D141" s="81">
        <v>43558.74</v>
      </c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>
        <f t="shared" si="11"/>
        <v>43558.74</v>
      </c>
      <c r="Q141" s="22"/>
      <c r="R141" s="32"/>
      <c r="S141" s="22"/>
    </row>
    <row r="142" spans="1:19" ht="17.45" customHeight="1">
      <c r="A142" s="20" t="str">
        <f>_xlfn.IFNA(VLOOKUP(C142,Ref_CostCat!$A$6:$C$1048576,3,FALSE),SUBSTITUTE(SUBSTITUTE(SUBSTITUTE(SUBSTITUTE(C142,".",""),",",""),"-","")," ",""))</f>
        <v>MEDICALALLOWANCE</v>
      </c>
      <c r="B142" s="31" t="s">
        <v>249</v>
      </c>
      <c r="C142" s="26" t="s">
        <v>250</v>
      </c>
      <c r="D142" s="81">
        <v>-575.35</v>
      </c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>
        <f t="shared" si="11"/>
        <v>-575.35</v>
      </c>
      <c r="Q142" s="22"/>
      <c r="R142" s="32"/>
      <c r="S142" s="22"/>
    </row>
    <row r="143" spans="1:19" ht="17.45" customHeight="1">
      <c r="A143" s="20" t="str">
        <f>_xlfn.IFNA(VLOOKUP(C143,Ref_CostCat!$A$6:$C$1048576,3,FALSE),SUBSTITUTE(SUBSTITUTE(SUBSTITUTE(SUBSTITUTE(C143,".",""),",",""),"-","")," ",""))</f>
        <v>ANNUALINCENTIVEALLOWANCE</v>
      </c>
      <c r="B143" s="31" t="s">
        <v>251</v>
      </c>
      <c r="C143" s="26" t="s">
        <v>252</v>
      </c>
      <c r="D143" s="81">
        <v>2800</v>
      </c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>
        <f t="shared" si="11"/>
        <v>2800</v>
      </c>
      <c r="Q143" s="22"/>
      <c r="R143" s="32"/>
      <c r="S143" s="22"/>
    </row>
    <row r="144" spans="1:19" ht="17.45" customHeight="1">
      <c r="A144" s="20" t="str">
        <f>_xlfn.IFNA(VLOOKUP(C144,Ref_CostCat!$A$6:$C$1048576,3,FALSE),SUBSTITUTE(SUBSTITUTE(SUBSTITUTE(SUBSTITUTE(C144,".",""),",",""),"-","")," ",""))</f>
        <v>FAREALLOWANCE</v>
      </c>
      <c r="B144" s="31" t="s">
        <v>253</v>
      </c>
      <c r="C144" s="26" t="s">
        <v>123</v>
      </c>
      <c r="D144" s="81">
        <v>2741.97</v>
      </c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>
        <f t="shared" si="11"/>
        <v>2741.97</v>
      </c>
      <c r="Q144" s="22"/>
      <c r="R144" s="32"/>
      <c r="S144" s="22"/>
    </row>
    <row r="145" spans="1:19" ht="17.45" customHeight="1">
      <c r="A145" s="20" t="str">
        <f>_xlfn.IFNA(VLOOKUP(C145,Ref_CostCat!$A$6:$C$1048576,3,FALSE),SUBSTITUTE(SUBSTITUTE(SUBSTITUTE(SUBSTITUTE(C145,".",""),",",""),"-","")," ",""))</f>
        <v>OTHERALLOWANCE</v>
      </c>
      <c r="B145" s="31" t="s">
        <v>254</v>
      </c>
      <c r="C145" s="26" t="s">
        <v>255</v>
      </c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>
        <f t="shared" si="11"/>
        <v>0</v>
      </c>
      <c r="Q145" s="22"/>
      <c r="R145" s="32"/>
      <c r="S145" s="22"/>
    </row>
    <row r="146" spans="1:19" ht="17.45" customHeight="1">
      <c r="A146" s="20" t="str">
        <f>_xlfn.IFNA(VLOOKUP(C146,Ref_CostCat!$A$6:$C$1048576,3,FALSE),SUBSTITUTE(SUBSTITUTE(SUBSTITUTE(SUBSTITUTE(C146,".",""),",",""),"-","")," ",""))</f>
        <v>JAMSOSTEK</v>
      </c>
      <c r="B146" s="31" t="s">
        <v>256</v>
      </c>
      <c r="C146" s="26" t="s">
        <v>257</v>
      </c>
      <c r="D146" s="81">
        <v>2688.7</v>
      </c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>
        <f t="shared" si="11"/>
        <v>2688.7</v>
      </c>
      <c r="Q146" s="22"/>
      <c r="R146" s="32"/>
      <c r="S146" s="22"/>
    </row>
    <row r="147" spans="1:19" ht="17.45" customHeight="1">
      <c r="A147" s="20" t="str">
        <f>_xlfn.IFNA(VLOOKUP(C147,Ref_CostCat!$A$6:$C$1048576,3,FALSE),SUBSTITUTE(SUBSTITUTE(SUBSTITUTE(SUBSTITUTE(C147,".",""),",",""),"-","")," ",""))</f>
        <v>POSTEMPLOYMENTBENEFITS</v>
      </c>
      <c r="B147" s="31"/>
      <c r="C147" s="26" t="s">
        <v>258</v>
      </c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>
        <f t="shared" si="11"/>
        <v>0</v>
      </c>
      <c r="Q147" s="22"/>
      <c r="R147" s="32"/>
      <c r="S147" s="22"/>
    </row>
    <row r="148" spans="1:19" ht="17.45" customHeight="1">
      <c r="A148" s="20" t="str">
        <f>_xlfn.IFNA(VLOOKUP(C148,Ref_CostCat!$A$6:$C$1048576,3,FALSE),SUBSTITUTE(SUBSTITUTE(SUBSTITUTE(SUBSTITUTE(C148,".",""),",",""),"-","")," ",""))</f>
        <v>SALARIES</v>
      </c>
      <c r="B148" s="68" t="s">
        <v>259</v>
      </c>
      <c r="C148" s="67" t="s">
        <v>246</v>
      </c>
      <c r="D148" s="83">
        <f>SUM(D141:D146)</f>
        <v>51214.06</v>
      </c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83"/>
      <c r="P148" s="83">
        <f>SUM(P141:P147)</f>
        <v>51214.06</v>
      </c>
      <c r="Q148" s="22"/>
      <c r="R148" s="32"/>
      <c r="S148" s="22"/>
    </row>
    <row r="149" spans="1:19" ht="17.45" customHeight="1">
      <c r="A149" s="20" t="str">
        <f>_xlfn.IFNA(VLOOKUP(C149,Ref_CostCat!$A$6:$C$1048576,3,FALSE),SUBSTITUTE(SUBSTITUTE(SUBSTITUTE(SUBSTITUTE(C149,".",""),",",""),"-","")," ",""))</f>
        <v>POSTAGETELEPHONE&amp;TELEX</v>
      </c>
      <c r="B149" s="31"/>
      <c r="C149" s="28" t="s">
        <v>260</v>
      </c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>
        <f>D149+E149+F149+G149+H149+I149+J149+K149+L149+M149+N149+O149</f>
        <v>0</v>
      </c>
      <c r="Q149" s="22"/>
      <c r="R149" s="32"/>
      <c r="S149" s="22"/>
    </row>
    <row r="150" spans="1:19" ht="17.45" customHeight="1">
      <c r="A150" s="20" t="str">
        <f>_xlfn.IFNA(VLOOKUP(C150,Ref_CostCat!$A$6:$C$1048576,3,FALSE),SUBSTITUTE(SUBSTITUTE(SUBSTITUTE(SUBSTITUTE(C150,".",""),",",""),"-","")," ",""))</f>
        <v>POSTAGEEXPENSES</v>
      </c>
      <c r="B150" s="31" t="s">
        <v>261</v>
      </c>
      <c r="C150" s="26" t="s">
        <v>262</v>
      </c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>
        <f>D150+E150+F150+G150+H150+I150+J150+K150+L150+M150+N150+O150</f>
        <v>0</v>
      </c>
      <c r="Q150" s="22"/>
      <c r="R150" s="32"/>
      <c r="S150" s="22"/>
    </row>
    <row r="151" spans="1:19" ht="17.45" customHeight="1">
      <c r="A151" s="20" t="str">
        <f>_xlfn.IFNA(VLOOKUP(C151,Ref_CostCat!$A$6:$C$1048576,3,FALSE),SUBSTITUTE(SUBSTITUTE(SUBSTITUTE(SUBSTITUTE(C151,".",""),",",""),"-","")," ",""))</f>
        <v>TELEPHONEEXPENSES</v>
      </c>
      <c r="B151" s="31" t="s">
        <v>263</v>
      </c>
      <c r="C151" s="26" t="s">
        <v>264</v>
      </c>
      <c r="D151" s="81">
        <v>0</v>
      </c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>
        <f>D151+E151+F151+G151+H151+I151+J151+K151+L151+M151+N151+O151</f>
        <v>0</v>
      </c>
      <c r="Q151" s="22"/>
      <c r="R151" s="32"/>
      <c r="S151" s="22"/>
    </row>
    <row r="152" spans="1:19" ht="17.45" customHeight="1">
      <c r="A152" s="20" t="str">
        <f>_xlfn.IFNA(VLOOKUP(C152,Ref_CostCat!$A$6:$C$1048576,3,FALSE),SUBSTITUTE(SUBSTITUTE(SUBSTITUTE(SUBSTITUTE(C152,".",""),",",""),"-","")," ",""))</f>
        <v>TELEXEXPENSES</v>
      </c>
      <c r="B152" s="31" t="s">
        <v>265</v>
      </c>
      <c r="C152" s="26" t="s">
        <v>266</v>
      </c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>
        <f>D152+E152+F152+G152+H152+I152+J152+K152+L152+M152+N152+O152</f>
        <v>0</v>
      </c>
      <c r="Q152" s="22"/>
      <c r="R152" s="32"/>
      <c r="S152" s="22"/>
    </row>
    <row r="153" spans="1:19" ht="17.45" customHeight="1">
      <c r="A153" s="20" t="str">
        <f>_xlfn.IFNA(VLOOKUP(C153,Ref_CostCat!$A$6:$C$1048576,3,FALSE),SUBSTITUTE(SUBSTITUTE(SUBSTITUTE(SUBSTITUTE(C153,".",""),",",""),"-","")," ",""))</f>
        <v>INTERNETEXPENSES</v>
      </c>
      <c r="B153" s="31" t="s">
        <v>267</v>
      </c>
      <c r="C153" s="26" t="s">
        <v>268</v>
      </c>
      <c r="D153" s="81">
        <v>641.96</v>
      </c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>
        <f>D153+E153+F153+G153+H153+I153+J153+K153+L153+M153+N153+O153</f>
        <v>641.96</v>
      </c>
      <c r="Q153" s="22"/>
      <c r="R153" s="32"/>
      <c r="S153" s="22"/>
    </row>
    <row r="154" spans="1:19" ht="17.45" customHeight="1">
      <c r="A154" s="20" t="str">
        <f>_xlfn.IFNA(VLOOKUP(C154,Ref_CostCat!$A$6:$C$1048576,3,FALSE),SUBSTITUTE(SUBSTITUTE(SUBSTITUTE(SUBSTITUTE(C154,".",""),",",""),"-","")," ",""))</f>
        <v>POSTAGETELEPHONE&amp;TELEX</v>
      </c>
      <c r="B154" s="68" t="s">
        <v>269</v>
      </c>
      <c r="C154" s="67" t="s">
        <v>260</v>
      </c>
      <c r="D154" s="83">
        <f>SUM(D151:D153)</f>
        <v>641.96</v>
      </c>
      <c r="E154" s="83"/>
      <c r="F154" s="83"/>
      <c r="G154" s="83"/>
      <c r="H154" s="83"/>
      <c r="I154" s="83"/>
      <c r="J154" s="83"/>
      <c r="K154" s="83"/>
      <c r="L154" s="83"/>
      <c r="M154" s="83"/>
      <c r="N154" s="83"/>
      <c r="O154" s="83"/>
      <c r="P154" s="83">
        <f>SUM(P151:P153)</f>
        <v>641.96</v>
      </c>
      <c r="Q154" s="22"/>
      <c r="R154" s="32"/>
      <c r="S154" s="22"/>
    </row>
    <row r="155" spans="1:19" ht="17.45" customHeight="1">
      <c r="A155" s="20" t="str">
        <f>_xlfn.IFNA(VLOOKUP(C155,Ref_CostCat!$A$6:$C$1048576,3,FALSE),SUBSTITUTE(SUBSTITUTE(SUBSTITUTE(SUBSTITUTE(C155,".",""),",",""),"-","")," ",""))</f>
        <v>LIGHT&amp;WATER</v>
      </c>
      <c r="B155" s="31"/>
      <c r="C155" s="28" t="s">
        <v>270</v>
      </c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>
        <f>D155+E155+F155+G155+H155+I155+J155+K155+L155+M155+N155+O155</f>
        <v>0</v>
      </c>
      <c r="Q155" s="22"/>
      <c r="R155" s="32"/>
      <c r="S155" s="22"/>
    </row>
    <row r="156" spans="1:19" ht="17.45" customHeight="1">
      <c r="A156" s="20" t="str">
        <f>_xlfn.IFNA(VLOOKUP(C156,Ref_CostCat!$A$6:$C$1048576,3,FALSE),SUBSTITUTE(SUBSTITUTE(SUBSTITUTE(SUBSTITUTE(C156,".",""),",",""),"-","")," ",""))</f>
        <v>LIGHT</v>
      </c>
      <c r="B156" s="31" t="s">
        <v>271</v>
      </c>
      <c r="C156" s="26" t="s">
        <v>272</v>
      </c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>
        <f>D156+E156+F156+G156+H156+I156+J156+K156+L156+M156+N156+O156</f>
        <v>0</v>
      </c>
      <c r="Q156" s="22"/>
      <c r="R156" s="32"/>
      <c r="S156" s="22"/>
    </row>
    <row r="157" spans="1:19" ht="17.45" customHeight="1">
      <c r="A157" s="20" t="str">
        <f>_xlfn.IFNA(VLOOKUP(C157,Ref_CostCat!$A$6:$C$1048576,3,FALSE),SUBSTITUTE(SUBSTITUTE(SUBSTITUTE(SUBSTITUTE(C157,".",""),",",""),"-","")," ",""))</f>
        <v>WATER</v>
      </c>
      <c r="B157" s="31" t="s">
        <v>273</v>
      </c>
      <c r="C157" s="26" t="s">
        <v>129</v>
      </c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>
        <f>D157+E157+F157+G157+H157+I157+J157+K157+L157+M157+N157+O157</f>
        <v>0</v>
      </c>
      <c r="Q157" s="22"/>
      <c r="R157" s="32"/>
      <c r="S157" s="22"/>
    </row>
    <row r="158" spans="1:19" ht="17.45" customHeight="1">
      <c r="A158" s="20" t="str">
        <f>_xlfn.IFNA(VLOOKUP(C158,Ref_CostCat!$A$6:$C$1048576,3,FALSE),SUBSTITUTE(SUBSTITUTE(SUBSTITUTE(SUBSTITUTE(C158,".",""),",",""),"-","")," ",""))</f>
        <v>LIGHT&amp;WATER</v>
      </c>
      <c r="B158" s="68" t="s">
        <v>274</v>
      </c>
      <c r="C158" s="67" t="s">
        <v>270</v>
      </c>
      <c r="D158" s="83"/>
      <c r="E158" s="83"/>
      <c r="F158" s="83"/>
      <c r="G158" s="83"/>
      <c r="H158" s="83"/>
      <c r="I158" s="83"/>
      <c r="J158" s="83"/>
      <c r="K158" s="83"/>
      <c r="L158" s="83"/>
      <c r="M158" s="83"/>
      <c r="N158" s="83"/>
      <c r="O158" s="83"/>
      <c r="P158" s="83">
        <v>0</v>
      </c>
      <c r="Q158" s="22"/>
      <c r="R158" s="32"/>
      <c r="S158" s="22"/>
    </row>
    <row r="159" spans="1:19" ht="17.45" customHeight="1">
      <c r="A159" s="20" t="str">
        <f>_xlfn.IFNA(VLOOKUP(C159,Ref_CostCat!$A$6:$C$1048576,3,FALSE),SUBSTITUTE(SUBSTITUTE(SUBSTITUTE(SUBSTITUTE(C159,".",""),",",""),"-","")," ",""))</f>
        <v>OFFICER'STRANSPORTATION</v>
      </c>
      <c r="B159" s="31" t="s">
        <v>275</v>
      </c>
      <c r="C159" s="26" t="s">
        <v>276</v>
      </c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>
        <f t="shared" ref="P159:P169" si="12">D159+E159+F159+G159+H159+I159+J159+K159+L159+M159+N159+O159</f>
        <v>0</v>
      </c>
      <c r="Q159" s="22"/>
      <c r="R159" s="32"/>
      <c r="S159" s="22"/>
    </row>
    <row r="160" spans="1:19" ht="17.45" customHeight="1">
      <c r="A160" s="20" t="str">
        <f>_xlfn.IFNA(VLOOKUP(C160,Ref_CostCat!$A$6:$C$1048576,3,FALSE),SUBSTITUTE(SUBSTITUTE(SUBSTITUTE(SUBSTITUTE(C160,".",""),",",""),"-","")," ",""))</f>
        <v>NEWSPAPERMAGAZINE</v>
      </c>
      <c r="B160" s="31" t="s">
        <v>277</v>
      </c>
      <c r="C160" s="26" t="s">
        <v>278</v>
      </c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>
        <f t="shared" si="12"/>
        <v>0</v>
      </c>
      <c r="Q160" s="22"/>
      <c r="R160" s="32"/>
      <c r="S160" s="22"/>
    </row>
    <row r="161" spans="1:19" ht="17.45" customHeight="1">
      <c r="A161" s="20" t="str">
        <f>_xlfn.IFNA(VLOOKUP(C161,Ref_CostCat!$A$6:$C$1048576,3,FALSE),SUBSTITUTE(SUBSTITUTE(SUBSTITUTE(SUBSTITUTE(C161,".",""),",",""),"-","")," ",""))</f>
        <v>PREMIUMCOST</v>
      </c>
      <c r="B161" s="31"/>
      <c r="C161" s="26" t="s">
        <v>279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>
        <f t="shared" si="12"/>
        <v>0</v>
      </c>
      <c r="Q161" s="22"/>
      <c r="R161" s="32"/>
      <c r="S161" s="22"/>
    </row>
    <row r="162" spans="1:19" ht="17.45" customHeight="1">
      <c r="A162" s="20" t="str">
        <f>_xlfn.IFNA(VLOOKUP(C162,Ref_CostCat!$A$6:$C$1048576,3,FALSE),SUBSTITUTE(SUBSTITUTE(SUBSTITUTE(SUBSTITUTE(C162,".",""),",",""),"-","")," ",""))</f>
        <v>REPRESENTATIVECOST</v>
      </c>
      <c r="B162" s="31" t="s">
        <v>280</v>
      </c>
      <c r="C162" s="26" t="s">
        <v>281</v>
      </c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>
        <f t="shared" si="12"/>
        <v>0</v>
      </c>
      <c r="Q162" s="22"/>
      <c r="R162" s="32"/>
      <c r="S162" s="22"/>
    </row>
    <row r="163" spans="1:19" ht="17.45" customHeight="1">
      <c r="A163" s="20" t="str">
        <f>_xlfn.IFNA(VLOOKUP(C163,Ref_CostCat!$A$6:$C$1048576,3,FALSE),SUBSTITUTE(SUBSTITUTE(SUBSTITUTE(SUBSTITUTE(C163,".",""),",",""),"-","")," ",""))</f>
        <v>CONTRIBUTIONCOST</v>
      </c>
      <c r="B163" s="31" t="s">
        <v>282</v>
      </c>
      <c r="C163" s="26" t="s">
        <v>283</v>
      </c>
      <c r="D163" s="81">
        <v>3.21</v>
      </c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>
        <f t="shared" si="12"/>
        <v>3.21</v>
      </c>
      <c r="Q163" s="22"/>
      <c r="R163" s="32"/>
      <c r="S163" s="22"/>
    </row>
    <row r="164" spans="1:19" ht="17.45" customHeight="1">
      <c r="A164" s="20" t="str">
        <f>_xlfn.IFNA(VLOOKUP(C164,Ref_CostCat!$A$6:$C$1048576,3,FALSE),SUBSTITUTE(SUBSTITUTE(SUBSTITUTE(SUBSTITUTE(C164,".",""),",",""),"-","")," ",""))</f>
        <v>FUELFORMOTORVEHICLE</v>
      </c>
      <c r="B164" s="31" t="s">
        <v>284</v>
      </c>
      <c r="C164" s="26" t="s">
        <v>285</v>
      </c>
      <c r="D164" s="81">
        <v>1758.5</v>
      </c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>
        <f t="shared" si="12"/>
        <v>1758.5</v>
      </c>
      <c r="Q164" s="22"/>
      <c r="R164" s="32"/>
      <c r="S164" s="22"/>
    </row>
    <row r="165" spans="1:19" ht="17.45" customHeight="1">
      <c r="A165" s="20" t="str">
        <f>_xlfn.IFNA(VLOOKUP(C165,Ref_CostCat!$A$6:$C$1048576,3,FALSE),SUBSTITUTE(SUBSTITUTE(SUBSTITUTE(SUBSTITUTE(C165,".",""),",",""),"-","")," ",""))</f>
        <v>LEGALEXPENSES</v>
      </c>
      <c r="B165" s="31" t="s">
        <v>286</v>
      </c>
      <c r="C165" s="26" t="s">
        <v>287</v>
      </c>
      <c r="D165" s="81">
        <v>128.27000000000001</v>
      </c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>
        <f t="shared" si="12"/>
        <v>128.27000000000001</v>
      </c>
      <c r="Q165" s="22"/>
      <c r="R165" s="32"/>
      <c r="S165" s="22"/>
    </row>
    <row r="166" spans="1:19" ht="17.45" customHeight="1">
      <c r="A166" s="20" t="str">
        <f>_xlfn.IFNA(VLOOKUP(C166,Ref_CostCat!$A$6:$C$1048576,3,FALSE),SUBSTITUTE(SUBSTITUTE(SUBSTITUTE(SUBSTITUTE(C166,".",""),",",""),"-","")," ",""))</f>
        <v>MAINTENANCEEXPENSES</v>
      </c>
      <c r="B166" s="31"/>
      <c r="C166" s="28" t="s">
        <v>288</v>
      </c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>
        <f t="shared" si="12"/>
        <v>0</v>
      </c>
      <c r="Q166" s="22"/>
      <c r="R166" s="32"/>
      <c r="S166" s="22"/>
    </row>
    <row r="167" spans="1:19" ht="17.45" customHeight="1">
      <c r="A167" s="20" t="str">
        <f>_xlfn.IFNA(VLOOKUP(C167,Ref_CostCat!$A$6:$C$1048576,3,FALSE),SUBSTITUTE(SUBSTITUTE(SUBSTITUTE(SUBSTITUTE(C167,".",""),",",""),"-","")," ",""))</f>
        <v>MAINTOFFICEEQUIP</v>
      </c>
      <c r="B167" s="31" t="s">
        <v>289</v>
      </c>
      <c r="C167" s="26" t="s">
        <v>290</v>
      </c>
      <c r="D167" s="81">
        <v>529.76</v>
      </c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>
        <f t="shared" si="12"/>
        <v>529.76</v>
      </c>
      <c r="Q167" s="22"/>
      <c r="R167" s="32"/>
      <c r="S167" s="22"/>
    </row>
    <row r="168" spans="1:19" ht="17.45" customHeight="1">
      <c r="A168" s="20" t="str">
        <f>_xlfn.IFNA(VLOOKUP(C168,Ref_CostCat!$A$6:$C$1048576,3,FALSE),SUBSTITUTE(SUBSTITUTE(SUBSTITUTE(SUBSTITUTE(C168,".",""),",",""),"-","")," ",""))</f>
        <v>MAINTMOTORVEHICLE</v>
      </c>
      <c r="B168" s="31" t="s">
        <v>291</v>
      </c>
      <c r="C168" s="26" t="s">
        <v>292</v>
      </c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>
        <f t="shared" si="12"/>
        <v>0</v>
      </c>
      <c r="Q168" s="22"/>
      <c r="R168" s="32"/>
      <c r="S168" s="22"/>
    </row>
    <row r="169" spans="1:19" ht="17.45" customHeight="1">
      <c r="A169" s="20" t="str">
        <f>_xlfn.IFNA(VLOOKUP(C169,Ref_CostCat!$A$6:$C$1048576,3,FALSE),SUBSTITUTE(SUBSTITUTE(SUBSTITUTE(SUBSTITUTE(C169,".",""),",",""),"-","")," ",""))</f>
        <v>MAINTENANCEHOUSE</v>
      </c>
      <c r="B169" s="31" t="s">
        <v>293</v>
      </c>
      <c r="C169" s="26" t="s">
        <v>294</v>
      </c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>
        <f t="shared" si="12"/>
        <v>0</v>
      </c>
      <c r="Q169" s="22"/>
      <c r="R169" s="32"/>
      <c r="S169" s="22"/>
    </row>
    <row r="170" spans="1:19" ht="17.45" customHeight="1">
      <c r="A170" s="20" t="str">
        <f>_xlfn.IFNA(VLOOKUP(C170,Ref_CostCat!$A$6:$C$1048576,3,FALSE),SUBSTITUTE(SUBSTITUTE(SUBSTITUTE(SUBSTITUTE(C170,".",""),",",""),"-","")," ",""))</f>
        <v>MAINTENANCEEXPENSES</v>
      </c>
      <c r="B170" s="68" t="s">
        <v>295</v>
      </c>
      <c r="C170" s="67" t="s">
        <v>288</v>
      </c>
      <c r="D170" s="83">
        <f>SUM(D167:D169)</f>
        <v>529.76</v>
      </c>
      <c r="E170" s="83"/>
      <c r="F170" s="83"/>
      <c r="G170" s="83"/>
      <c r="H170" s="83"/>
      <c r="I170" s="83"/>
      <c r="J170" s="83"/>
      <c r="K170" s="83"/>
      <c r="L170" s="83"/>
      <c r="M170" s="83"/>
      <c r="N170" s="83"/>
      <c r="O170" s="83"/>
      <c r="P170" s="83">
        <f>SUM(P167:P169)</f>
        <v>529.76</v>
      </c>
      <c r="Q170" s="22"/>
      <c r="R170" s="32"/>
      <c r="S170" s="22"/>
    </row>
    <row r="171" spans="1:19" ht="17.45" customHeight="1">
      <c r="A171" s="20" t="str">
        <f>_xlfn.IFNA(VLOOKUP(C171,Ref_CostCat!$A$6:$C$1048576,3,FALSE),SUBSTITUTE(SUBSTITUTE(SUBSTITUTE(SUBSTITUTE(C171,".",""),",",""),"-","")," ",""))</f>
        <v>DEPRECIATIONEXPENSES</v>
      </c>
      <c r="B171" s="31"/>
      <c r="C171" s="28" t="s">
        <v>296</v>
      </c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>
        <f>D171+E171+F171+G171+H171+I171+J171+K171+L171+M171+N171+O171</f>
        <v>0</v>
      </c>
      <c r="Q171" s="22"/>
      <c r="R171" s="32"/>
      <c r="S171" s="22"/>
    </row>
    <row r="172" spans="1:19" ht="17.45" customHeight="1">
      <c r="A172" s="20" t="str">
        <f>_xlfn.IFNA(VLOOKUP(C172,Ref_CostCat!$A$6:$C$1048576,3,FALSE),SUBSTITUTE(SUBSTITUTE(SUBSTITUTE(SUBSTITUTE(C172,".",""),",",""),"-","")," ",""))</f>
        <v>DEPREXPOFFICEEQUIPMENT</v>
      </c>
      <c r="B172" s="31" t="s">
        <v>297</v>
      </c>
      <c r="C172" s="26" t="s">
        <v>298</v>
      </c>
      <c r="D172" s="81">
        <v>1220.19</v>
      </c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>
        <f>D172+E172+F172+G172+H172+I172+J172+K172+L172+M172+N172+O172</f>
        <v>1220.19</v>
      </c>
      <c r="Q172" s="22"/>
      <c r="R172" s="32"/>
      <c r="S172" s="22"/>
    </row>
    <row r="173" spans="1:19" ht="17.45" customHeight="1">
      <c r="A173" s="20" t="str">
        <f>_xlfn.IFNA(VLOOKUP(C173,Ref_CostCat!$A$6:$C$1048576,3,FALSE),SUBSTITUTE(SUBSTITUTE(SUBSTITUTE(SUBSTITUTE(C173,".",""),",",""),"-","")," ",""))</f>
        <v>DEPREXPMOTORVEHICLE</v>
      </c>
      <c r="B173" s="31" t="s">
        <v>299</v>
      </c>
      <c r="C173" s="26" t="s">
        <v>300</v>
      </c>
      <c r="D173" s="81">
        <v>0</v>
      </c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>
        <f>D173+E173+F173+G173+H173+I173+J173+K173+L173+M173+N173+O173</f>
        <v>0</v>
      </c>
      <c r="Q173" s="22"/>
      <c r="R173" s="32"/>
      <c r="S173" s="22"/>
    </row>
    <row r="174" spans="1:19" ht="17.45" customHeight="1">
      <c r="A174" s="20" t="str">
        <f>_xlfn.IFNA(VLOOKUP(C174,Ref_CostCat!$A$6:$C$1048576,3,FALSE),SUBSTITUTE(SUBSTITUTE(SUBSTITUTE(SUBSTITUTE(C174,".",""),",",""),"-","")," ",""))</f>
        <v>DIFDEPREXPMGMFISCAL</v>
      </c>
      <c r="B174" s="31" t="s">
        <v>301</v>
      </c>
      <c r="C174" s="26" t="s">
        <v>302</v>
      </c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>
        <f>D174+E174+F174+G174+H174+I174+J174+K174+L174+M174+N174+O174</f>
        <v>0</v>
      </c>
      <c r="Q174" s="22"/>
      <c r="R174" s="32"/>
      <c r="S174" s="22"/>
    </row>
    <row r="175" spans="1:19" ht="17.45" customHeight="1">
      <c r="A175" s="20" t="str">
        <f>_xlfn.IFNA(VLOOKUP(C175,Ref_CostCat!$A$6:$C$1048576,3,FALSE),SUBSTITUTE(SUBSTITUTE(SUBSTITUTE(SUBSTITUTE(C175,".",""),",",""),"-","")," ",""))</f>
        <v>DEPRECIATIONEXPENSES</v>
      </c>
      <c r="B175" s="68" t="s">
        <v>303</v>
      </c>
      <c r="C175" s="67" t="s">
        <v>296</v>
      </c>
      <c r="D175" s="83">
        <f>SUM(D172:D174)</f>
        <v>1220.19</v>
      </c>
      <c r="E175" s="83"/>
      <c r="F175" s="83"/>
      <c r="G175" s="83"/>
      <c r="H175" s="83"/>
      <c r="I175" s="83"/>
      <c r="J175" s="83"/>
      <c r="K175" s="83"/>
      <c r="L175" s="83"/>
      <c r="M175" s="83"/>
      <c r="N175" s="83"/>
      <c r="O175" s="83"/>
      <c r="P175" s="83">
        <f>SUM(P172:P174)</f>
        <v>1220.19</v>
      </c>
      <c r="Q175" s="22"/>
      <c r="R175" s="32"/>
      <c r="S175" s="22"/>
    </row>
    <row r="176" spans="1:19" ht="17.45" customHeight="1">
      <c r="A176" s="20" t="str">
        <f>_xlfn.IFNA(VLOOKUP(C176,Ref_CostCat!$A$6:$C$1048576,3,FALSE),SUBSTITUTE(SUBSTITUTE(SUBSTITUTE(SUBSTITUTE(C176,".",""),",",""),"-","")," ",""))</f>
        <v>BUSINESSTRIPEXPENSES</v>
      </c>
      <c r="B176" s="31" t="s">
        <v>304</v>
      </c>
      <c r="C176" s="26" t="s">
        <v>305</v>
      </c>
      <c r="D176" s="81">
        <v>7151.34</v>
      </c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>
        <f t="shared" ref="P176:P181" si="13">D176+E176+F176+G176+H176+I176+J176+K176+L176+M176+N176+O176</f>
        <v>7151.34</v>
      </c>
      <c r="Q176" s="22"/>
      <c r="R176" s="32"/>
      <c r="S176" s="22"/>
    </row>
    <row r="177" spans="1:19" ht="17.45" customHeight="1">
      <c r="A177" s="20" t="str">
        <f>_xlfn.IFNA(VLOOKUP(C177,Ref_CostCat!$A$6:$C$1048576,3,FALSE),SUBSTITUTE(SUBSTITUTE(SUBSTITUTE(SUBSTITUTE(C177,".",""),",",""),"-","")," ",""))</f>
        <v>ENTERTAINMENT</v>
      </c>
      <c r="B177" s="31" t="s">
        <v>306</v>
      </c>
      <c r="C177" s="26" t="s">
        <v>307</v>
      </c>
      <c r="D177" s="81">
        <v>1539.63</v>
      </c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>
        <f t="shared" si="13"/>
        <v>1539.63</v>
      </c>
      <c r="Q177" s="22"/>
      <c r="R177" s="32"/>
      <c r="S177" s="22"/>
    </row>
    <row r="178" spans="1:19" ht="17.45" customHeight="1">
      <c r="A178" s="20" t="str">
        <f>_xlfn.IFNA(VLOOKUP(C178,Ref_CostCat!$A$6:$C$1048576,3,FALSE),SUBSTITUTE(SUBSTITUTE(SUBSTITUTE(SUBSTITUTE(C178,".",""),",",""),"-","")," ",""))</f>
        <v>TRAININGEXPENSES</v>
      </c>
      <c r="B178" s="31"/>
      <c r="C178" s="28" t="s">
        <v>308</v>
      </c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>
        <f t="shared" si="13"/>
        <v>0</v>
      </c>
      <c r="Q178" s="22"/>
      <c r="R178" s="32"/>
      <c r="S178" s="22"/>
    </row>
    <row r="179" spans="1:19" ht="17.45" customHeight="1">
      <c r="A179" s="20" t="str">
        <f>_xlfn.IFNA(VLOOKUP(C179,Ref_CostCat!$A$6:$C$1048576,3,FALSE),SUBSTITUTE(SUBSTITUTE(SUBSTITUTE(SUBSTITUTE(C179,".",""),",",""),"-","")," ",""))</f>
        <v>TRAININGBYEMPLOYEE</v>
      </c>
      <c r="B179" s="31" t="s">
        <v>309</v>
      </c>
      <c r="C179" s="26" t="s">
        <v>310</v>
      </c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>
        <f t="shared" si="13"/>
        <v>0</v>
      </c>
      <c r="Q179" s="22"/>
      <c r="R179" s="32"/>
      <c r="S179" s="22"/>
    </row>
    <row r="180" spans="1:19" ht="17.45" customHeight="1">
      <c r="A180" s="20" t="str">
        <f>_xlfn.IFNA(VLOOKUP(C180,Ref_CostCat!$A$6:$C$1048576,3,FALSE),SUBSTITUTE(SUBSTITUTE(SUBSTITUTE(SUBSTITUTE(C180,".",""),",",""),"-","")," ",""))</f>
        <v>TRAININGBYDEPT</v>
      </c>
      <c r="B180" s="31" t="s">
        <v>311</v>
      </c>
      <c r="C180" s="26" t="s">
        <v>312</v>
      </c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>
        <f t="shared" si="13"/>
        <v>0</v>
      </c>
      <c r="Q180" s="22"/>
      <c r="R180" s="32"/>
      <c r="S180" s="22"/>
    </row>
    <row r="181" spans="1:19" ht="17.45" customHeight="1">
      <c r="A181" s="20" t="str">
        <f>_xlfn.IFNA(VLOOKUP(C181,Ref_CostCat!$A$6:$C$1048576,3,FALSE),SUBSTITUTE(SUBSTITUTE(SUBSTITUTE(SUBSTITUTE(C181,".",""),",",""),"-","")," ",""))</f>
        <v>SCHOLARSHIP</v>
      </c>
      <c r="B181" s="31"/>
      <c r="C181" s="26" t="s">
        <v>313</v>
      </c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>
        <f t="shared" si="13"/>
        <v>0</v>
      </c>
      <c r="Q181" s="22"/>
      <c r="R181" s="32"/>
      <c r="S181" s="22"/>
    </row>
    <row r="182" spans="1:19" ht="17.45" customHeight="1">
      <c r="A182" s="20" t="str">
        <f>_xlfn.IFNA(VLOOKUP(C182,Ref_CostCat!$A$6:$C$1048576,3,FALSE),SUBSTITUTE(SUBSTITUTE(SUBSTITUTE(SUBSTITUTE(C182,".",""),",",""),"-","")," ",""))</f>
        <v>TRAININGEXPENSES</v>
      </c>
      <c r="B182" s="68" t="s">
        <v>314</v>
      </c>
      <c r="C182" s="67" t="s">
        <v>308</v>
      </c>
      <c r="D182" s="83">
        <f>SUM(D179:D181)</f>
        <v>0</v>
      </c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83"/>
      <c r="P182" s="83">
        <f>SUM(P179:P181)</f>
        <v>0</v>
      </c>
      <c r="Q182" s="22"/>
      <c r="R182" s="32"/>
      <c r="S182" s="22"/>
    </row>
    <row r="183" spans="1:19" ht="17.45" customHeight="1">
      <c r="A183" s="20" t="str">
        <f>_xlfn.IFNA(VLOOKUP(C183,Ref_CostCat!$A$6:$C$1048576,3,FALSE),SUBSTITUTE(SUBSTITUTE(SUBSTITUTE(SUBSTITUTE(C183,".",""),",",""),"-","")," ",""))</f>
        <v>RENTEXPENSES</v>
      </c>
      <c r="B183" s="31"/>
      <c r="C183" s="28" t="s">
        <v>315</v>
      </c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>
        <f>D183+E183+F183+G183+H183+I183+J183+K183+L183+M183+N183+O183</f>
        <v>0</v>
      </c>
      <c r="Q183" s="22"/>
      <c r="R183" s="32"/>
      <c r="S183" s="22"/>
    </row>
    <row r="184" spans="1:19" ht="17.45" customHeight="1">
      <c r="A184" s="20" t="str">
        <f>_xlfn.IFNA(VLOOKUP(C184,Ref_CostCat!$A$6:$C$1048576,3,FALSE),SUBSTITUTE(SUBSTITUTE(SUBSTITUTE(SUBSTITUTE(C184,".",""),",",""),"-","")," ",""))</f>
        <v>RENTEXPENSESBUILDING</v>
      </c>
      <c r="B184" s="31" t="s">
        <v>316</v>
      </c>
      <c r="C184" s="26" t="s">
        <v>171</v>
      </c>
      <c r="D184" s="81">
        <v>221.14</v>
      </c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>
        <f>D184+E184+F184+G184+H184+I184+J184+K184+L184+M184+N184+O184</f>
        <v>221.14</v>
      </c>
      <c r="Q184" s="22"/>
      <c r="R184" s="32"/>
      <c r="S184" s="22"/>
    </row>
    <row r="185" spans="1:19" ht="17.45" customHeight="1">
      <c r="A185" s="20" t="str">
        <f>_xlfn.IFNA(VLOOKUP(C185,Ref_CostCat!$A$6:$C$1048576,3,FALSE),SUBSTITUTE(SUBSTITUTE(SUBSTITUTE(SUBSTITUTE(C185,".",""),",",""),"-","")," ",""))</f>
        <v>RENTEXPENSESLAND</v>
      </c>
      <c r="B185" s="31"/>
      <c r="C185" s="26" t="s">
        <v>317</v>
      </c>
      <c r="D185" s="81">
        <v>969.71</v>
      </c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>
        <f>D185+E185+F185+G185+H185+I185+J185+K185+L185+M185+N185+O185</f>
        <v>969.71</v>
      </c>
      <c r="Q185" s="22"/>
      <c r="R185" s="32"/>
      <c r="S185" s="22"/>
    </row>
    <row r="186" spans="1:19" ht="17.45" customHeight="1">
      <c r="A186" s="20" t="str">
        <f>_xlfn.IFNA(VLOOKUP(C186,Ref_CostCat!$A$6:$C$1048576,3,FALSE),SUBSTITUTE(SUBSTITUTE(SUBSTITUTE(SUBSTITUTE(C186,".",""),",",""),"-","")," ",""))</f>
        <v>HOUSERENTEXPENSES</v>
      </c>
      <c r="B186" s="31" t="s">
        <v>318</v>
      </c>
      <c r="C186" s="26" t="s">
        <v>319</v>
      </c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>
        <f>D186+E186+F186+G186+H186+I186+J186+K186+L186+M186+N186+O186</f>
        <v>0</v>
      </c>
      <c r="Q186" s="22"/>
      <c r="R186" s="32"/>
      <c r="S186" s="22"/>
    </row>
    <row r="187" spans="1:19" ht="17.45" customHeight="1">
      <c r="A187" s="20" t="str">
        <f>_xlfn.IFNA(VLOOKUP(C187,Ref_CostCat!$A$6:$C$1048576,3,FALSE),SUBSTITUTE(SUBSTITUTE(SUBSTITUTE(SUBSTITUTE(C187,".",""),",",""),"-","")," ",""))</f>
        <v>RENTEXPENSES</v>
      </c>
      <c r="B187" s="68" t="s">
        <v>320</v>
      </c>
      <c r="C187" s="67" t="s">
        <v>315</v>
      </c>
      <c r="D187" s="83">
        <f>SUM(D184:D186)</f>
        <v>1190.8499999999999</v>
      </c>
      <c r="E187" s="83"/>
      <c r="F187" s="83"/>
      <c r="G187" s="83"/>
      <c r="H187" s="83"/>
      <c r="I187" s="83"/>
      <c r="J187" s="83"/>
      <c r="K187" s="83"/>
      <c r="L187" s="83"/>
      <c r="M187" s="83"/>
      <c r="N187" s="83"/>
      <c r="O187" s="83"/>
      <c r="P187" s="83">
        <f>SUM(P184:P186)</f>
        <v>1190.8499999999999</v>
      </c>
      <c r="Q187" s="22"/>
      <c r="R187" s="32"/>
      <c r="S187" s="22"/>
    </row>
    <row r="188" spans="1:19" ht="17.45" customHeight="1">
      <c r="A188" s="20" t="str">
        <f>_xlfn.IFNA(VLOOKUP(C188,Ref_CostCat!$A$6:$C$1048576,3,FALSE),SUBSTITUTE(SUBSTITUTE(SUBSTITUTE(SUBSTITUTE(C188,".",""),",",""),"-","")," ",""))</f>
        <v>OFFICEEXPENSES</v>
      </c>
      <c r="B188" s="31" t="s">
        <v>321</v>
      </c>
      <c r="C188" s="28" t="s">
        <v>322</v>
      </c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>
        <f t="shared" ref="P188:P194" si="14">D188+E188+F188+G188+H188+I188+J188+K188+L188+M188+N188+O188</f>
        <v>0</v>
      </c>
      <c r="Q188" s="22"/>
      <c r="R188" s="32"/>
      <c r="S188" s="22"/>
    </row>
    <row r="189" spans="1:19" ht="17.45" customHeight="1">
      <c r="A189" s="20" t="str">
        <f>_xlfn.IFNA(VLOOKUP(C189,Ref_CostCat!$A$6:$C$1048576,3,FALSE),SUBSTITUTE(SUBSTITUTE(SUBSTITUTE(SUBSTITUTE(C189,".",""),",",""),"-","")," ",""))</f>
        <v>INSURANCEEXPENSES</v>
      </c>
      <c r="B189" s="31" t="s">
        <v>323</v>
      </c>
      <c r="C189" s="26" t="s">
        <v>324</v>
      </c>
      <c r="D189" s="81">
        <v>2272.27</v>
      </c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>
        <f t="shared" si="14"/>
        <v>2272.27</v>
      </c>
      <c r="Q189" s="22"/>
      <c r="R189" s="32"/>
      <c r="S189" s="22"/>
    </row>
    <row r="190" spans="1:19" ht="17.45" customHeight="1">
      <c r="A190" s="20" t="str">
        <f>_xlfn.IFNA(VLOOKUP(C190,Ref_CostCat!$A$6:$C$1048576,3,FALSE),SUBSTITUTE(SUBSTITUTE(SUBSTITUTE(SUBSTITUTE(C190,".",""),",",""),"-","")," ",""))</f>
        <v>ACCOUNTINGADVISORYEXP</v>
      </c>
      <c r="B190" s="31" t="s">
        <v>325</v>
      </c>
      <c r="C190" s="26" t="s">
        <v>326</v>
      </c>
      <c r="D190" s="81">
        <v>3361.98</v>
      </c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>
        <f t="shared" si="14"/>
        <v>3361.98</v>
      </c>
      <c r="Q190" s="22"/>
      <c r="R190" s="32"/>
      <c r="S190" s="22"/>
    </row>
    <row r="191" spans="1:19" ht="17.45" customHeight="1">
      <c r="A191" s="20" t="str">
        <f>_xlfn.IFNA(VLOOKUP(C191,Ref_CostCat!$A$6:$C$1048576,3,FALSE),SUBSTITUTE(SUBSTITUTE(SUBSTITUTE(SUBSTITUTE(C191,".",""),",",""),"-","")," ",""))</f>
        <v>OFFICESUPPLIES</v>
      </c>
      <c r="B191" s="31">
        <v>816130</v>
      </c>
      <c r="C191" s="26" t="s">
        <v>327</v>
      </c>
      <c r="D191" s="81">
        <v>1427.97</v>
      </c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>
        <f t="shared" si="14"/>
        <v>1427.97</v>
      </c>
      <c r="Q191" s="22"/>
      <c r="R191" s="32"/>
      <c r="S191" s="22"/>
    </row>
    <row r="192" spans="1:19" ht="17.45" customHeight="1">
      <c r="A192" s="20" t="str">
        <f>_xlfn.IFNA(VLOOKUP(C192,Ref_CostCat!$A$6:$C$1048576,3,FALSE),SUBSTITUTE(SUBSTITUTE(SUBSTITUTE(SUBSTITUTE(C192,".",""),",",""),"-","")," ",""))</f>
        <v>UNIFORMALLOWANCES</v>
      </c>
      <c r="B192" s="31" t="s">
        <v>328</v>
      </c>
      <c r="C192" s="40" t="s">
        <v>329</v>
      </c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>
        <f t="shared" si="14"/>
        <v>0</v>
      </c>
      <c r="Q192" s="22"/>
      <c r="R192" s="32"/>
      <c r="S192" s="22"/>
    </row>
    <row r="193" spans="1:19" ht="17.45" customHeight="1">
      <c r="A193" s="20" t="str">
        <f>_xlfn.IFNA(VLOOKUP(C193,Ref_CostCat!$A$6:$C$1048576,3,FALSE),SUBSTITUTE(SUBSTITUTE(SUBSTITUTE(SUBSTITUTE(C193,".",""),",",""),"-","")," ",""))</f>
        <v>SECURITYEXPENSE</v>
      </c>
      <c r="B193" s="31" t="s">
        <v>330</v>
      </c>
      <c r="C193" s="26" t="s">
        <v>331</v>
      </c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>
        <f t="shared" si="14"/>
        <v>0</v>
      </c>
      <c r="Q193" s="22"/>
      <c r="R193" s="32"/>
      <c r="S193" s="22"/>
    </row>
    <row r="194" spans="1:19" ht="17.45" customHeight="1">
      <c r="A194" s="20" t="str">
        <f>_xlfn.IFNA(VLOOKUP(C194,Ref_CostCat!$A$6:$C$1048576,3,FALSE),SUBSTITUTE(SUBSTITUTE(SUBSTITUTE(SUBSTITUTE(C194,".",""),",",""),"-","")," ",""))</f>
        <v>ITADVISORYEXPENSE</v>
      </c>
      <c r="B194" s="31"/>
      <c r="C194" s="26" t="s">
        <v>332</v>
      </c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>
        <f t="shared" si="14"/>
        <v>0</v>
      </c>
      <c r="Q194" s="22"/>
      <c r="R194" s="32"/>
      <c r="S194" s="22"/>
    </row>
    <row r="195" spans="1:19" ht="17.45" customHeight="1">
      <c r="A195" s="20" t="str">
        <f>_xlfn.IFNA(VLOOKUP(C195,Ref_CostCat!$A$6:$C$1048576,3,FALSE),SUBSTITUTE(SUBSTITUTE(SUBSTITUTE(SUBSTITUTE(C195,".",""),",",""),"-","")," ",""))</f>
        <v>MANAGEMENTFEE</v>
      </c>
      <c r="B195" s="31"/>
      <c r="C195" s="26" t="s">
        <v>333</v>
      </c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>
        <v>0</v>
      </c>
      <c r="Q195" s="22"/>
      <c r="R195" s="32"/>
      <c r="S195" s="22"/>
    </row>
    <row r="196" spans="1:19" ht="17.45" customHeight="1">
      <c r="A196" s="20" t="str">
        <f>_xlfn.IFNA(VLOOKUP(C196,Ref_CostCat!$A$6:$C$1048576,3,FALSE),SUBSTITUTE(SUBSTITUTE(SUBSTITUTE(SUBSTITUTE(C196,".",""),",",""),"-","")," ",""))</f>
        <v/>
      </c>
      <c r="B196" s="31"/>
      <c r="C196" s="26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>
        <v>0</v>
      </c>
      <c r="Q196" s="22"/>
      <c r="R196" s="32"/>
      <c r="S196" s="22"/>
    </row>
    <row r="197" spans="1:19" ht="17.45" customHeight="1">
      <c r="A197" s="20" t="str">
        <f>_xlfn.IFNA(VLOOKUP(C197,Ref_CostCat!$A$6:$C$1048576,3,FALSE),SUBSTITUTE(SUBSTITUTE(SUBSTITUTE(SUBSTITUTE(C197,".",""),",",""),"-","")," ",""))</f>
        <v>OFFICEEXPENSES</v>
      </c>
      <c r="B197" s="68" t="s">
        <v>321</v>
      </c>
      <c r="C197" s="67" t="s">
        <v>322</v>
      </c>
      <c r="D197" s="83">
        <f>SUM(D189:D196)</f>
        <v>7062.22</v>
      </c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83"/>
      <c r="P197" s="83">
        <f>SUM(P189:P196)</f>
        <v>7062.22</v>
      </c>
      <c r="Q197" s="22"/>
      <c r="R197" s="32"/>
      <c r="S197" s="22"/>
    </row>
    <row r="198" spans="1:19" ht="17.45" customHeight="1">
      <c r="A198" s="20" t="str">
        <f>_xlfn.IFNA(VLOOKUP(C198,Ref_CostCat!$A$6:$C$1048576,3,FALSE),SUBSTITUTE(SUBSTITUTE(SUBSTITUTE(SUBSTITUTE(C198,".",""),",",""),"-","")," ",""))</f>
        <v>GENERAL&amp;ADMINEXPENSES</v>
      </c>
      <c r="B198" s="68" t="s">
        <v>334</v>
      </c>
      <c r="C198" s="67" t="s">
        <v>245</v>
      </c>
      <c r="D198" s="83">
        <f>D148+D154+D158+D170+D175+D182+D187+D197+D163+D164+D165+D176+D177+D161</f>
        <v>72439.990000000005</v>
      </c>
      <c r="E198" s="83"/>
      <c r="F198" s="83"/>
      <c r="G198" s="83"/>
      <c r="H198" s="83"/>
      <c r="I198" s="83"/>
      <c r="J198" s="83"/>
      <c r="K198" s="83"/>
      <c r="L198" s="83"/>
      <c r="M198" s="83"/>
      <c r="N198" s="83"/>
      <c r="O198" s="83"/>
      <c r="P198" s="83">
        <f>P148+P154+P158+P170+P175+P182+P187+P197+P163+P164+P165+P161+P176+P177</f>
        <v>72439.990000000005</v>
      </c>
      <c r="Q198" s="22"/>
      <c r="R198" s="32"/>
      <c r="S198" s="22"/>
    </row>
    <row r="199" spans="1:19" ht="17.45" customHeight="1">
      <c r="A199" s="20" t="str">
        <f>_xlfn.IFNA(VLOOKUP(C199,Ref_CostCat!$A$6:$C$1048576,3,FALSE),SUBSTITUTE(SUBSTITUTE(SUBSTITUTE(SUBSTITUTE(C199,".",""),",",""),"-","")," ",""))</f>
        <v>OTHERINCOME/EXSPENSES</v>
      </c>
      <c r="B199" s="31"/>
      <c r="C199" s="28" t="s">
        <v>335</v>
      </c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>
        <f t="shared" ref="P199:P205" si="15">D199+E199+F199+G199+H199+I199+J199+K199+L199+M199+N199+O199</f>
        <v>0</v>
      </c>
      <c r="Q199" s="22"/>
      <c r="R199" s="32"/>
      <c r="S199" s="22"/>
    </row>
    <row r="200" spans="1:19" ht="17.45" customHeight="1">
      <c r="A200" s="20" t="str">
        <f>_xlfn.IFNA(VLOOKUP(C200,Ref_CostCat!$A$6:$C$1048576,3,FALSE),SUBSTITUTE(SUBSTITUTE(SUBSTITUTE(SUBSTITUTE(C200,".",""),",",""),"-","")," ",""))</f>
        <v>OTHERREVENUE</v>
      </c>
      <c r="B200" s="31"/>
      <c r="C200" s="28" t="s">
        <v>336</v>
      </c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>
        <f t="shared" si="15"/>
        <v>0</v>
      </c>
      <c r="Q200" s="22"/>
      <c r="R200" s="32"/>
      <c r="S200" s="22"/>
    </row>
    <row r="201" spans="1:19" ht="17.45" customHeight="1">
      <c r="A201" s="20" t="str">
        <f>_xlfn.IFNA(VLOOKUP(C201,Ref_CostCat!$A$6:$C$1048576,3,FALSE),SUBSTITUTE(SUBSTITUTE(SUBSTITUTE(SUBSTITUTE(C201,".",""),",",""),"-","")," ",""))</f>
        <v>INTERESTINCOME</v>
      </c>
      <c r="B201" s="31" t="s">
        <v>337</v>
      </c>
      <c r="C201" s="26" t="s">
        <v>338</v>
      </c>
      <c r="D201" s="81">
        <v>-23.39</v>
      </c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>
        <f t="shared" si="15"/>
        <v>-23.39</v>
      </c>
      <c r="Q201" s="22"/>
      <c r="R201" s="32"/>
      <c r="S201" s="22"/>
    </row>
    <row r="202" spans="1:19" ht="17.45" customHeight="1">
      <c r="A202" s="20" t="str">
        <f>_xlfn.IFNA(VLOOKUP(C202,Ref_CostCat!$A$6:$C$1048576,3,FALSE),SUBSTITUTE(SUBSTITUTE(SUBSTITUTE(SUBSTITUTE(C202,".",""),",",""),"-","")," ",""))</f>
        <v>RENTINCOME</v>
      </c>
      <c r="B202" s="31" t="s">
        <v>339</v>
      </c>
      <c r="C202" s="26" t="s">
        <v>340</v>
      </c>
      <c r="D202" s="81">
        <v>0</v>
      </c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>
        <f t="shared" si="15"/>
        <v>0</v>
      </c>
      <c r="Q202" s="22"/>
      <c r="R202" s="32"/>
      <c r="S202" s="22"/>
    </row>
    <row r="203" spans="1:19" ht="17.45" customHeight="1">
      <c r="A203" s="20" t="str">
        <f>_xlfn.IFNA(VLOOKUP(C203,Ref_CostCat!$A$6:$C$1048576,3,FALSE),SUBSTITUTE(SUBSTITUTE(SUBSTITUTE(SUBSTITUTE(C203,".",""),",",""),"-","")," ",""))</f>
        <v>GAIN/LOSSONSELLINGASSET</v>
      </c>
      <c r="B203" s="31"/>
      <c r="C203" s="28" t="s">
        <v>341</v>
      </c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>
        <f t="shared" si="15"/>
        <v>0</v>
      </c>
      <c r="Q203" s="22"/>
      <c r="R203" s="32"/>
      <c r="S203" s="22"/>
    </row>
    <row r="204" spans="1:19" ht="17.45" customHeight="1">
      <c r="A204" s="20" t="str">
        <f>_xlfn.IFNA(VLOOKUP(C204,Ref_CostCat!$A$6:$C$1048576,3,FALSE),SUBSTITUTE(SUBSTITUTE(SUBSTITUTE(SUBSTITUTE(C204,".",""),",",""),"-","")," ",""))</f>
        <v>GAIN/LOSSONSELLINGASSET</v>
      </c>
      <c r="B204" s="31" t="s">
        <v>342</v>
      </c>
      <c r="C204" s="26" t="s">
        <v>343</v>
      </c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>
        <f t="shared" si="15"/>
        <v>0</v>
      </c>
      <c r="Q204" s="22"/>
      <c r="R204" s="32"/>
      <c r="S204" s="22"/>
    </row>
    <row r="205" spans="1:19" ht="17.45" customHeight="1">
      <c r="A205" s="20" t="str">
        <f>_xlfn.IFNA(VLOOKUP(C205,Ref_CostCat!$A$6:$C$1048576,3,FALSE),SUBSTITUTE(SUBSTITUTE(SUBSTITUTE(SUBSTITUTE(C205,".",""),",",""),"-","")," ",""))</f>
        <v>CASHPROCEEDCLEARINGASSET</v>
      </c>
      <c r="B205" s="31" t="s">
        <v>344</v>
      </c>
      <c r="C205" s="26" t="s">
        <v>345</v>
      </c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>
        <f t="shared" si="15"/>
        <v>0</v>
      </c>
      <c r="Q205" s="22"/>
      <c r="R205" s="32"/>
      <c r="S205" s="22"/>
    </row>
    <row r="206" spans="1:19" ht="17.45" customHeight="1">
      <c r="A206" s="20" t="str">
        <f>_xlfn.IFNA(VLOOKUP(C206,Ref_CostCat!$A$6:$C$1048576,3,FALSE),SUBSTITUTE(SUBSTITUTE(SUBSTITUTE(SUBSTITUTE(C206,".",""),",",""),"-","")," ",""))</f>
        <v>GAIN/LOSSONSELLINGASSET</v>
      </c>
      <c r="B206" s="68" t="s">
        <v>346</v>
      </c>
      <c r="C206" s="67" t="s">
        <v>341</v>
      </c>
      <c r="D206" s="83">
        <f>SUM(D204:D205)</f>
        <v>0</v>
      </c>
      <c r="E206" s="83"/>
      <c r="F206" s="83"/>
      <c r="G206" s="83"/>
      <c r="H206" s="83"/>
      <c r="I206" s="83"/>
      <c r="J206" s="83"/>
      <c r="K206" s="83"/>
      <c r="L206" s="83"/>
      <c r="M206" s="83"/>
      <c r="N206" s="83"/>
      <c r="O206" s="83"/>
      <c r="P206" s="83">
        <v>0</v>
      </c>
      <c r="Q206" s="22"/>
      <c r="R206" s="32"/>
      <c r="S206" s="22"/>
    </row>
    <row r="207" spans="1:19" ht="17.45" customHeight="1">
      <c r="A207" s="20" t="str">
        <f>_xlfn.IFNA(VLOOKUP(C207,Ref_CostCat!$A$6:$C$1048576,3,FALSE),SUBSTITUTE(SUBSTITUTE(SUBSTITUTE(SUBSTITUTE(C207,".",""),",",""),"-","")," ",""))</f>
        <v>REVENUEFROMWASTE/SCRAP</v>
      </c>
      <c r="B207" s="31" t="s">
        <v>347</v>
      </c>
      <c r="C207" s="26" t="s">
        <v>348</v>
      </c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>
        <f t="shared" ref="P207:P213" si="16">D207+E207+F207+G207+H207+I207+J207+K207+L207+M207+N207+O207</f>
        <v>0</v>
      </c>
      <c r="Q207" s="22"/>
      <c r="R207" s="32"/>
      <c r="S207" s="22"/>
    </row>
    <row r="208" spans="1:19" ht="17.45" customHeight="1">
      <c r="A208" s="20" t="str">
        <f>_xlfn.IFNA(VLOOKUP(C208,Ref_CostCat!$A$6:$C$1048576,3,FALSE),SUBSTITUTE(SUBSTITUTE(SUBSTITUTE(SUBSTITUTE(C208,".",""),",",""),"-","")," ",""))</f>
        <v>GOODSWORKEDBYVENDOR</v>
      </c>
      <c r="B208" s="31" t="s">
        <v>349</v>
      </c>
      <c r="C208" s="26" t="s">
        <v>350</v>
      </c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>
        <f t="shared" si="16"/>
        <v>0</v>
      </c>
      <c r="Q208" s="22"/>
      <c r="R208" s="32"/>
      <c r="S208" s="22"/>
    </row>
    <row r="209" spans="1:19" ht="17.45" customHeight="1">
      <c r="A209" s="20" t="str">
        <f>_xlfn.IFNA(VLOOKUP(C209,Ref_CostCat!$A$6:$C$1048576,3,FALSE),SUBSTITUTE(SUBSTITUTE(SUBSTITUTE(SUBSTITUTE(C209,".",""),",",""),"-","")," ",""))</f>
        <v>PURCHASEDISCOUNT</v>
      </c>
      <c r="B209" s="31" t="s">
        <v>351</v>
      </c>
      <c r="C209" s="26" t="s">
        <v>352</v>
      </c>
      <c r="D209" s="81">
        <v>-1284.67</v>
      </c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>
        <f t="shared" si="16"/>
        <v>-1284.67</v>
      </c>
      <c r="Q209" s="22"/>
      <c r="R209" s="32"/>
      <c r="S209" s="22"/>
    </row>
    <row r="210" spans="1:19" ht="17.45" customHeight="1">
      <c r="A210" s="20" t="str">
        <f>_xlfn.IFNA(VLOOKUP(C210,Ref_CostCat!$A$6:$C$1048576,3,FALSE),SUBSTITUTE(SUBSTITUTE(SUBSTITUTE(SUBSTITUTE(C210,".",""),",",""),"-","")," ",""))</f>
        <v>CLAIM</v>
      </c>
      <c r="B210" s="31"/>
      <c r="C210" s="26" t="s">
        <v>353</v>
      </c>
      <c r="D210" s="81">
        <v>160.26</v>
      </c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>
        <f t="shared" si="16"/>
        <v>160.26</v>
      </c>
      <c r="Q210" s="22"/>
      <c r="R210" s="32"/>
      <c r="S210" s="22"/>
    </row>
    <row r="211" spans="1:19" ht="17.45" customHeight="1">
      <c r="A211" s="20" t="str">
        <f>_xlfn.IFNA(VLOOKUP(C211,Ref_CostCat!$A$6:$C$1048576,3,FALSE),SUBSTITUTE(SUBSTITUTE(SUBSTITUTE(SUBSTITUTE(C211,".",""),",",""),"-","")," ",""))</f>
        <v>PRICEINCREASING</v>
      </c>
      <c r="B211" s="31" t="s">
        <v>354</v>
      </c>
      <c r="C211" s="26" t="s">
        <v>355</v>
      </c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>
        <f t="shared" si="16"/>
        <v>0</v>
      </c>
      <c r="Q211" s="22"/>
      <c r="R211" s="32"/>
      <c r="S211" s="22"/>
    </row>
    <row r="212" spans="1:19" ht="17.45" customHeight="1">
      <c r="A212" s="20" t="str">
        <f>_xlfn.IFNA(VLOOKUP(C212,Ref_CostCat!$A$6:$C$1048576,3,FALSE),SUBSTITUTE(SUBSTITUTE(SUBSTITUTE(SUBSTITUTE(C212,".",""),",",""),"-","")," ",""))</f>
        <v>AMENDS/CLAIMSREVENUE</v>
      </c>
      <c r="B212" s="31"/>
      <c r="C212" s="26" t="s">
        <v>356</v>
      </c>
      <c r="D212" s="81">
        <v>-15231.99</v>
      </c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>
        <f t="shared" si="16"/>
        <v>-15231.99</v>
      </c>
      <c r="Q212" s="22"/>
      <c r="R212" s="32"/>
      <c r="S212" s="22"/>
    </row>
    <row r="213" spans="1:19" ht="17.45" customHeight="1">
      <c r="A213" s="20" t="str">
        <f>_xlfn.IFNA(VLOOKUP(C213,Ref_CostCat!$A$6:$C$1048576,3,FALSE),SUBSTITUTE(SUBSTITUTE(SUBSTITUTE(SUBSTITUTE(C213,".",""),",",""),"-","")," ",""))</f>
        <v>OTHERS</v>
      </c>
      <c r="B213" s="31" t="s">
        <v>357</v>
      </c>
      <c r="C213" s="26" t="s">
        <v>358</v>
      </c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>
        <f t="shared" si="16"/>
        <v>0</v>
      </c>
      <c r="Q213" s="22"/>
      <c r="R213" s="32"/>
      <c r="S213" s="22"/>
    </row>
    <row r="214" spans="1:19" ht="17.45" customHeight="1">
      <c r="A214" s="20" t="str">
        <f>_xlfn.IFNA(VLOOKUP(C214,Ref_CostCat!$A$6:$C$1048576,3,FALSE),SUBSTITUTE(SUBSTITUTE(SUBSTITUTE(SUBSTITUTE(C214,".",""),",",""),"-","")," ",""))</f>
        <v>OTHERREVENUE</v>
      </c>
      <c r="B214" s="68" t="s">
        <v>359</v>
      </c>
      <c r="C214" s="67" t="s">
        <v>336</v>
      </c>
      <c r="D214" s="83">
        <f>SUM(D201:D213)</f>
        <v>-16379.79</v>
      </c>
      <c r="E214" s="83"/>
      <c r="F214" s="83"/>
      <c r="G214" s="83"/>
      <c r="H214" s="83"/>
      <c r="I214" s="83"/>
      <c r="J214" s="83"/>
      <c r="K214" s="83"/>
      <c r="L214" s="83"/>
      <c r="M214" s="83"/>
      <c r="N214" s="83"/>
      <c r="O214" s="83"/>
      <c r="P214" s="83">
        <f>SUM(P201:P213)</f>
        <v>-16379.79</v>
      </c>
      <c r="Q214" s="22"/>
      <c r="R214" s="32"/>
      <c r="S214" s="22"/>
    </row>
    <row r="215" spans="1:19" ht="17.45" customHeight="1">
      <c r="A215" s="20" t="str">
        <f>_xlfn.IFNA(VLOOKUP(C215,Ref_CostCat!$A$6:$C$1048576,3,FALSE),SUBSTITUTE(SUBSTITUTE(SUBSTITUTE(SUBSTITUTE(C215,".",""),",",""),"-","")," ",""))</f>
        <v>OTHEREXPENSES</v>
      </c>
      <c r="B215" s="31"/>
      <c r="C215" s="28" t="s">
        <v>360</v>
      </c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>
        <f>D215+E215+F215+G215+H215+I215+J215+K215+L215+M215+N215+O215</f>
        <v>0</v>
      </c>
      <c r="Q215" s="22"/>
      <c r="R215" s="32"/>
      <c r="S215" s="22"/>
    </row>
    <row r="216" spans="1:19" ht="17.45" customHeight="1">
      <c r="A216" s="20" t="str">
        <f>_xlfn.IFNA(VLOOKUP(C216,Ref_CostCat!$A$6:$C$1048576,3,FALSE),SUBSTITUTE(SUBSTITUTE(SUBSTITUTE(SUBSTITUTE(C216,".",""),",",""),"-","")," ",""))</f>
        <v>INTERESTEXPENSE</v>
      </c>
      <c r="B216" s="31"/>
      <c r="C216" s="29" t="s">
        <v>361</v>
      </c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>
        <f>D216+E216+F216+G216+H216+I216+J216+K216+L216+M216+N216+O216</f>
        <v>0</v>
      </c>
      <c r="Q216" s="22"/>
      <c r="R216" s="32"/>
      <c r="S216" s="22"/>
    </row>
    <row r="217" spans="1:19" ht="17.45" customHeight="1">
      <c r="A217" s="20" t="str">
        <f>_xlfn.IFNA(VLOOKUP(C217,Ref_CostCat!$A$6:$C$1048576,3,FALSE),SUBSTITUTE(SUBSTITUTE(SUBSTITUTE(SUBSTITUTE(C217,".",""),",",""),"-","")," ",""))</f>
        <v>INTERESTEXPOFFOREIGN</v>
      </c>
      <c r="B217" s="31" t="s">
        <v>362</v>
      </c>
      <c r="C217" s="26" t="s">
        <v>363</v>
      </c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>
        <f>D217+E217+F217+G217+H217+I217+J217+K217+L217+M217+N217+O217</f>
        <v>0</v>
      </c>
      <c r="Q217" s="22"/>
      <c r="R217" s="32"/>
      <c r="S217" s="22"/>
    </row>
    <row r="218" spans="1:19" ht="17.45" customHeight="1">
      <c r="A218" s="20" t="str">
        <f>_xlfn.IFNA(VLOOKUP(C218,Ref_CostCat!$A$6:$C$1048576,3,FALSE),SUBSTITUTE(SUBSTITUTE(SUBSTITUTE(SUBSTITUTE(C218,".",""),",",""),"-","")," ",""))</f>
        <v>INTERESTEXPOFDOMESTI</v>
      </c>
      <c r="B218" s="31" t="s">
        <v>364</v>
      </c>
      <c r="C218" s="26" t="s">
        <v>365</v>
      </c>
      <c r="D218" s="81">
        <v>34176.43</v>
      </c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>
        <f>D218+E218+F218+G218+H218+I218+J218+K218+L218+M218+N218+O218</f>
        <v>34176.43</v>
      </c>
      <c r="Q218" s="22"/>
      <c r="R218" s="32"/>
      <c r="S218" s="22"/>
    </row>
    <row r="219" spans="1:19" ht="17.45" customHeight="1">
      <c r="A219" s="20" t="str">
        <f>_xlfn.IFNA(VLOOKUP(C219,Ref_CostCat!$A$6:$C$1048576,3,FALSE),SUBSTITUTE(SUBSTITUTE(SUBSTITUTE(SUBSTITUTE(C219,".",""),",",""),"-","")," ",""))</f>
        <v>INTERESTEXPENSE</v>
      </c>
      <c r="B219" s="68" t="s">
        <v>366</v>
      </c>
      <c r="C219" s="67" t="s">
        <v>361</v>
      </c>
      <c r="D219" s="83">
        <f>SUM(D217:D218)</f>
        <v>34176.43</v>
      </c>
      <c r="E219" s="83"/>
      <c r="F219" s="83"/>
      <c r="G219" s="83"/>
      <c r="H219" s="83"/>
      <c r="I219" s="83"/>
      <c r="J219" s="83"/>
      <c r="K219" s="83"/>
      <c r="L219" s="83"/>
      <c r="M219" s="83"/>
      <c r="N219" s="83"/>
      <c r="O219" s="83"/>
      <c r="P219" s="83">
        <f>SUM(P217:P218)</f>
        <v>34176.43</v>
      </c>
      <c r="Q219" s="22"/>
      <c r="R219" s="32"/>
      <c r="S219" s="22"/>
    </row>
    <row r="220" spans="1:19" ht="17.45" customHeight="1">
      <c r="A220" s="20" t="str">
        <f>_xlfn.IFNA(VLOOKUP(C220,Ref_CostCat!$A$6:$C$1048576,3,FALSE),SUBSTITUTE(SUBSTITUTE(SUBSTITUTE(SUBSTITUTE(C220,".",""),",",""),"-","")," ",""))</f>
        <v>REALIZEDGAIN/LOSS</v>
      </c>
      <c r="B220" s="31"/>
      <c r="C220" s="28" t="s">
        <v>367</v>
      </c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>
        <f>D220+E220+F220+G220+H220+I220+J220+K220+L220+M220+N220+O220</f>
        <v>0</v>
      </c>
      <c r="Q220" s="22"/>
      <c r="R220" s="32"/>
      <c r="S220" s="22"/>
    </row>
    <row r="221" spans="1:19" ht="17.45" customHeight="1">
      <c r="A221" s="20" t="str">
        <f>_xlfn.IFNA(VLOOKUP(C221,Ref_CostCat!$A$6:$C$1048576,3,FALSE),SUBSTITUTE(SUBSTITUTE(SUBSTITUTE(SUBSTITUTE(C221,".",""),",",""),"-","")," ",""))</f>
        <v>REALIZEDGAIN/LOSSAR</v>
      </c>
      <c r="B221" s="31" t="s">
        <v>368</v>
      </c>
      <c r="C221" s="26" t="s">
        <v>369</v>
      </c>
      <c r="D221" s="81">
        <v>-26785.69</v>
      </c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>
        <f>D221+E221+F221+G221+H221+I221+J221+K221+L221+M221+N221+O221</f>
        <v>-26785.69</v>
      </c>
      <c r="Q221" s="22"/>
      <c r="R221" s="32"/>
      <c r="S221" s="22"/>
    </row>
    <row r="222" spans="1:19" ht="17.45" customHeight="1">
      <c r="A222" s="20" t="str">
        <f>_xlfn.IFNA(VLOOKUP(C222,Ref_CostCat!$A$6:$C$1048576,3,FALSE),SUBSTITUTE(SUBSTITUTE(SUBSTITUTE(SUBSTITUTE(C222,".",""),",",""),"-","")," ",""))</f>
        <v>REALIZEDGAIN/LOSSAP</v>
      </c>
      <c r="B222" s="31" t="s">
        <v>370</v>
      </c>
      <c r="C222" s="26" t="s">
        <v>371</v>
      </c>
      <c r="D222" s="81">
        <v>-3439.89</v>
      </c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>
        <f>D222+E222+F222+G222+H222+I222+J222+K222+L222+M222+N222+O222</f>
        <v>-3439.89</v>
      </c>
      <c r="Q222" s="22"/>
      <c r="R222" s="32"/>
      <c r="S222" s="22"/>
    </row>
    <row r="223" spans="1:19" ht="17.45" customHeight="1">
      <c r="A223" s="20" t="str">
        <f>_xlfn.IFNA(VLOOKUP(C223,Ref_CostCat!$A$6:$C$1048576,3,FALSE),SUBSTITUTE(SUBSTITUTE(SUBSTITUTE(SUBSTITUTE(C223,".",""),",",""),"-","")," ",""))</f>
        <v>REALIZEDGAIN/LOSS</v>
      </c>
      <c r="B223" s="68" t="s">
        <v>372</v>
      </c>
      <c r="C223" s="67" t="s">
        <v>367</v>
      </c>
      <c r="D223" s="83">
        <f>SUM(D221:D222)</f>
        <v>-30225.579999999998</v>
      </c>
      <c r="E223" s="83"/>
      <c r="F223" s="83"/>
      <c r="G223" s="83"/>
      <c r="H223" s="83"/>
      <c r="I223" s="83"/>
      <c r="J223" s="83"/>
      <c r="K223" s="83"/>
      <c r="L223" s="83"/>
      <c r="M223" s="83"/>
      <c r="N223" s="83"/>
      <c r="O223" s="83"/>
      <c r="P223" s="83">
        <f>SUM(P221:P222)</f>
        <v>-30225.579999999998</v>
      </c>
      <c r="Q223" s="22"/>
      <c r="R223" s="32"/>
      <c r="S223" s="22"/>
    </row>
    <row r="224" spans="1:19" ht="17.45" customHeight="1">
      <c r="A224" s="20" t="str">
        <f>_xlfn.IFNA(VLOOKUP(C224,Ref_CostCat!$A$6:$C$1048576,3,FALSE),SUBSTITUTE(SUBSTITUTE(SUBSTITUTE(SUBSTITUTE(C224,".",""),",",""),"-","")," ",""))</f>
        <v>UNREALIZEDGAIN/LOSS</v>
      </c>
      <c r="B224" s="31" t="s">
        <v>373</v>
      </c>
      <c r="C224" s="26" t="s">
        <v>374</v>
      </c>
      <c r="D224" s="81">
        <v>67169</v>
      </c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>
        <f>D224+E224+F224+G224+H224+I224+J224+K224+L224+M224+N224+O224</f>
        <v>67169</v>
      </c>
      <c r="Q224" s="22"/>
      <c r="R224" s="32"/>
      <c r="S224" s="22"/>
    </row>
    <row r="225" spans="1:19" ht="17.45" customHeight="1">
      <c r="A225" s="20" t="str">
        <f>_xlfn.IFNA(VLOOKUP(C225,Ref_CostCat!$A$6:$C$1048576,3,FALSE),SUBSTITUTE(SUBSTITUTE(SUBSTITUTE(SUBSTITUTE(C225,".",""),",",""),"-","")," ",""))</f>
        <v>BANKEXPENSES</v>
      </c>
      <c r="B225" s="31"/>
      <c r="C225" s="28" t="s">
        <v>375</v>
      </c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>
        <f>D225+E225+F225+G225+H225+I225+J225+K225+L225+M225+N225+O225</f>
        <v>0</v>
      </c>
      <c r="Q225" s="22"/>
      <c r="R225" s="32"/>
      <c r="S225" s="22"/>
    </row>
    <row r="226" spans="1:19" ht="17.45" customHeight="1">
      <c r="A226" s="20" t="str">
        <f>_xlfn.IFNA(VLOOKUP(C226,Ref_CostCat!$A$6:$C$1048576,3,FALSE),SUBSTITUTE(SUBSTITUTE(SUBSTITUTE(SUBSTITUTE(C226,".",""),",",""),"-","")," ",""))</f>
        <v>BANKCHARGES</v>
      </c>
      <c r="B226" s="31" t="s">
        <v>376</v>
      </c>
      <c r="C226" s="26" t="s">
        <v>377</v>
      </c>
      <c r="D226" s="81">
        <v>2509.0100000000002</v>
      </c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>
        <f>D226+E226+F226+G226+H226+I226+J226+K226+L226+M226+N226+O226</f>
        <v>2509.0100000000002</v>
      </c>
      <c r="Q226" s="22"/>
      <c r="R226" s="32"/>
      <c r="S226" s="22"/>
    </row>
    <row r="227" spans="1:19" ht="17.45" customHeight="1">
      <c r="A227" s="20" t="str">
        <f>_xlfn.IFNA(VLOOKUP(C227,Ref_CostCat!$A$6:$C$1048576,3,FALSE),SUBSTITUTE(SUBSTITUTE(SUBSTITUTE(SUBSTITUTE(C227,".",""),",",""),"-","")," ",""))</f>
        <v>ADMBANKCHARGES</v>
      </c>
      <c r="B227" s="31" t="s">
        <v>378</v>
      </c>
      <c r="C227" s="26" t="s">
        <v>379</v>
      </c>
      <c r="D227" s="81">
        <v>0</v>
      </c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>
        <f>D227+E227+F227+G227+H227+I227+J227+K227+L227+M227+N227+O227</f>
        <v>0</v>
      </c>
      <c r="Q227" s="22"/>
      <c r="R227" s="32"/>
      <c r="S227" s="22"/>
    </row>
    <row r="228" spans="1:19" ht="17.45" customHeight="1">
      <c r="A228" s="20" t="str">
        <f>_xlfn.IFNA(VLOOKUP(C228,Ref_CostCat!$A$6:$C$1048576,3,FALSE),SUBSTITUTE(SUBSTITUTE(SUBSTITUTE(SUBSTITUTE(C228,".",""),",",""),"-","")," ",""))</f>
        <v>CONTRAACCOUNTPETTYCASH/</v>
      </c>
      <c r="B228" s="31"/>
      <c r="C228" s="26" t="s">
        <v>380</v>
      </c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>
        <v>0</v>
      </c>
      <c r="Q228" s="22"/>
      <c r="R228" s="32"/>
      <c r="S228" s="22"/>
    </row>
    <row r="229" spans="1:19" ht="17.45" customHeight="1">
      <c r="A229" s="20" t="str">
        <f>_xlfn.IFNA(VLOOKUP(C229,Ref_CostCat!$A$6:$C$1048576,3,FALSE),SUBSTITUTE(SUBSTITUTE(SUBSTITUTE(SUBSTITUTE(C229,".",""),",",""),"-","")," ",""))</f>
        <v>BANKEXPENSES</v>
      </c>
      <c r="B229" s="68" t="s">
        <v>381</v>
      </c>
      <c r="C229" s="67" t="s">
        <v>375</v>
      </c>
      <c r="D229" s="83">
        <f>SUM(D226:D228)</f>
        <v>2509.0100000000002</v>
      </c>
      <c r="E229" s="83"/>
      <c r="F229" s="83"/>
      <c r="G229" s="83"/>
      <c r="H229" s="83"/>
      <c r="I229" s="83"/>
      <c r="J229" s="83"/>
      <c r="K229" s="83"/>
      <c r="L229" s="83"/>
      <c r="M229" s="83"/>
      <c r="N229" s="83"/>
      <c r="O229" s="83"/>
      <c r="P229" s="83">
        <f>SUM(P226:P228)</f>
        <v>2509.0100000000002</v>
      </c>
      <c r="Q229" s="22"/>
      <c r="R229" s="32"/>
      <c r="S229" s="22"/>
    </row>
    <row r="230" spans="1:19" ht="17.45" customHeight="1">
      <c r="A230" s="20" t="str">
        <f>_xlfn.IFNA(VLOOKUP(C230,Ref_CostCat!$A$6:$C$1048576,3,FALSE),SUBSTITUTE(SUBSTITUTE(SUBSTITUTE(SUBSTITUTE(C230,".",""),",",""),"-","")," ",""))</f>
        <v>DIFFERBALALOC</v>
      </c>
      <c r="B230" s="31"/>
      <c r="C230" s="28" t="s">
        <v>382</v>
      </c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>
        <f>D230+E230+F230+G230+H230+I230+J230+K230+L230+M230+N230+O230</f>
        <v>0</v>
      </c>
      <c r="Q230" s="22"/>
      <c r="R230" s="32"/>
      <c r="S230" s="22"/>
    </row>
    <row r="231" spans="1:19" ht="17.45" customHeight="1">
      <c r="A231" s="20" t="str">
        <f>_xlfn.IFNA(VLOOKUP(C231,Ref_CostCat!$A$6:$C$1048576,3,FALSE),SUBSTITUTE(SUBSTITUTE(SUBSTITUTE(SUBSTITUTE(C231,".",""),",",""),"-","")," ",""))</f>
        <v>DIFFERBALALOCLABOR</v>
      </c>
      <c r="B231" s="31" t="s">
        <v>383</v>
      </c>
      <c r="C231" s="26" t="s">
        <v>384</v>
      </c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>
        <f>D231+E231+F231+G231+H231+I231+J231+K231+L231+M231+N231+O231</f>
        <v>0</v>
      </c>
      <c r="Q231" s="22"/>
      <c r="R231" s="32"/>
      <c r="S231" s="22"/>
    </row>
    <row r="232" spans="1:19" ht="17.45" customHeight="1">
      <c r="A232" s="20" t="str">
        <f>_xlfn.IFNA(VLOOKUP(C232,Ref_CostCat!$A$6:$C$1048576,3,FALSE),SUBSTITUTE(SUBSTITUTE(SUBSTITUTE(SUBSTITUTE(C232,".",""),",",""),"-","")," ",""))</f>
        <v>DIFFERBALALOCO/HMF</v>
      </c>
      <c r="B232" s="31" t="s">
        <v>385</v>
      </c>
      <c r="C232" s="26" t="s">
        <v>386</v>
      </c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>
        <f>D232+E232+F232+G232+H232+I232+J232+K232+L232+M232+N232+O232</f>
        <v>0</v>
      </c>
      <c r="Q232" s="22"/>
      <c r="R232" s="32"/>
      <c r="S232" s="22"/>
    </row>
    <row r="233" spans="1:19" ht="17.45" customHeight="1">
      <c r="A233" s="20" t="str">
        <f>_xlfn.IFNA(VLOOKUP(C233,Ref_CostCat!$A$6:$C$1048576,3,FALSE),SUBSTITUTE(SUBSTITUTE(SUBSTITUTE(SUBSTITUTE(C233,".",""),",",""),"-","")," ",""))</f>
        <v>DIFFERBALALOC</v>
      </c>
      <c r="B233" s="68" t="s">
        <v>387</v>
      </c>
      <c r="C233" s="67" t="s">
        <v>382</v>
      </c>
      <c r="D233" s="83"/>
      <c r="E233" s="83"/>
      <c r="F233" s="83"/>
      <c r="G233" s="83"/>
      <c r="H233" s="83"/>
      <c r="I233" s="83"/>
      <c r="J233" s="83"/>
      <c r="K233" s="83"/>
      <c r="L233" s="83"/>
      <c r="M233" s="83"/>
      <c r="N233" s="83"/>
      <c r="O233" s="83"/>
      <c r="P233" s="83">
        <v>0</v>
      </c>
      <c r="Q233" s="22"/>
      <c r="R233" s="32"/>
      <c r="S233" s="22"/>
    </row>
    <row r="234" spans="1:19" ht="17.45" customHeight="1">
      <c r="A234" s="20" t="str">
        <f>_xlfn.IFNA(VLOOKUP(C234,Ref_CostCat!$A$6:$C$1048576,3,FALSE),SUBSTITUTE(SUBSTITUTE(SUBSTITUTE(SUBSTITUTE(C234,".",""),",",""),"-","")," ",""))</f>
        <v>WASTE&amp;SCRAPCOST</v>
      </c>
      <c r="B234" s="31" t="s">
        <v>388</v>
      </c>
      <c r="C234" s="26" t="s">
        <v>389</v>
      </c>
      <c r="D234" s="81"/>
      <c r="E234" s="81"/>
      <c r="F234" s="81"/>
      <c r="G234" s="81"/>
      <c r="H234" s="81"/>
      <c r="I234" s="81"/>
      <c r="J234" s="81"/>
      <c r="K234" s="81"/>
      <c r="L234" s="81"/>
      <c r="M234" s="81"/>
      <c r="N234" s="81"/>
      <c r="O234" s="81"/>
      <c r="P234" s="81">
        <f t="shared" ref="P234:P240" si="17">D234+E234+F234+G234+H234+I234+J234+K234+L234+M234+N234+O234</f>
        <v>0</v>
      </c>
      <c r="Q234" s="22"/>
      <c r="R234" s="32"/>
      <c r="S234" s="22"/>
    </row>
    <row r="235" spans="1:19" ht="17.45" customHeight="1">
      <c r="A235" s="20" t="str">
        <f>_xlfn.IFNA(VLOOKUP(C235,Ref_CostCat!$A$6:$C$1048576,3,FALSE),SUBSTITUTE(SUBSTITUTE(SUBSTITUTE(SUBSTITUTE(C235,".",""),",",""),"-","")," ",""))</f>
        <v>TAXES</v>
      </c>
      <c r="B235" s="31" t="s">
        <v>390</v>
      </c>
      <c r="C235" s="26" t="s">
        <v>391</v>
      </c>
      <c r="D235" s="81">
        <v>1169.43</v>
      </c>
      <c r="E235" s="81"/>
      <c r="F235" s="81"/>
      <c r="G235" s="81"/>
      <c r="H235" s="81"/>
      <c r="I235" s="81"/>
      <c r="J235" s="81"/>
      <c r="K235" s="81"/>
      <c r="L235" s="81"/>
      <c r="M235" s="81"/>
      <c r="N235" s="81"/>
      <c r="O235" s="81"/>
      <c r="P235" s="81">
        <f t="shared" si="17"/>
        <v>1169.43</v>
      </c>
      <c r="Q235" s="22"/>
      <c r="R235" s="32"/>
      <c r="S235" s="22"/>
    </row>
    <row r="236" spans="1:19" ht="17.45" customHeight="1">
      <c r="A236" s="20" t="str">
        <f>_xlfn.IFNA(VLOOKUP(C236,Ref_CostCat!$A$6:$C$1048576,3,FALSE),SUBSTITUTE(SUBSTITUTE(SUBSTITUTE(SUBSTITUTE(C236,".",""),",",""),"-","")," ",""))</f>
        <v>DOUBTFULACTEXPRECEI</v>
      </c>
      <c r="B236" s="31" t="s">
        <v>392</v>
      </c>
      <c r="C236" s="26" t="s">
        <v>393</v>
      </c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81">
        <f t="shared" si="17"/>
        <v>0</v>
      </c>
      <c r="Q236" s="22"/>
      <c r="R236" s="32"/>
      <c r="S236" s="22"/>
    </row>
    <row r="237" spans="1:19" ht="17.45" customHeight="1">
      <c r="A237" s="20" t="str">
        <f>_xlfn.IFNA(VLOOKUP(C237,Ref_CostCat!$A$6:$C$1048576,3,FALSE),SUBSTITUTE(SUBSTITUTE(SUBSTITUTE(SUBSTITUTE(C237,".",""),",",""),"-","")," ",""))</f>
        <v>DOUBTFULACTINVENTORY</v>
      </c>
      <c r="B237" s="31" t="s">
        <v>394</v>
      </c>
      <c r="C237" s="26" t="s">
        <v>395</v>
      </c>
      <c r="D237" s="81">
        <v>0</v>
      </c>
      <c r="E237" s="81"/>
      <c r="F237" s="81"/>
      <c r="G237" s="81"/>
      <c r="H237" s="81"/>
      <c r="I237" s="81"/>
      <c r="J237" s="81"/>
      <c r="K237" s="81"/>
      <c r="L237" s="81"/>
      <c r="M237" s="81"/>
      <c r="N237" s="81"/>
      <c r="O237" s="81"/>
      <c r="P237" s="81">
        <f t="shared" si="17"/>
        <v>0</v>
      </c>
      <c r="Q237" s="22"/>
      <c r="R237" s="32"/>
      <c r="S237" s="22"/>
    </row>
    <row r="238" spans="1:19" ht="17.45" customHeight="1">
      <c r="A238" s="20" t="str">
        <f>_xlfn.IFNA(VLOOKUP(C238,Ref_CostCat!$A$6:$C$1048576,3,FALSE),SUBSTITUTE(SUBSTITUTE(SUBSTITUTE(SUBSTITUTE(C238,".",""),",",""),"-","")," ",""))</f>
        <v>REFAKSISTOCKOPNAME</v>
      </c>
      <c r="B238" s="31" t="s">
        <v>396</v>
      </c>
      <c r="C238" s="26" t="s">
        <v>397</v>
      </c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81">
        <f t="shared" si="17"/>
        <v>0</v>
      </c>
      <c r="Q238" s="22"/>
      <c r="R238" s="32"/>
      <c r="S238" s="22"/>
    </row>
    <row r="239" spans="1:19" ht="17.45" customHeight="1">
      <c r="A239" s="20" t="str">
        <f>_xlfn.IFNA(VLOOKUP(C239,Ref_CostCat!$A$6:$C$1048576,3,FALSE),SUBSTITUTE(SUBSTITUTE(SUBSTITUTE(SUBSTITUTE(C239,".",""),",",""),"-","")," ",""))</f>
        <v>COMPLETIONOFVAT</v>
      </c>
      <c r="B239" s="31"/>
      <c r="C239" s="26" t="s">
        <v>398</v>
      </c>
      <c r="D239" s="81"/>
      <c r="E239" s="81"/>
      <c r="F239" s="81"/>
      <c r="G239" s="81"/>
      <c r="H239" s="81"/>
      <c r="I239" s="81"/>
      <c r="J239" s="81"/>
      <c r="K239" s="81"/>
      <c r="L239" s="81"/>
      <c r="M239" s="81"/>
      <c r="N239" s="81"/>
      <c r="O239" s="81"/>
      <c r="P239" s="81">
        <f t="shared" si="17"/>
        <v>0</v>
      </c>
      <c r="Q239" s="22"/>
      <c r="R239" s="32"/>
      <c r="S239" s="22"/>
    </row>
    <row r="240" spans="1:19" ht="17.45" customHeight="1">
      <c r="A240" s="20" t="str">
        <f>_xlfn.IFNA(VLOOKUP(C240,Ref_CostCat!$A$6:$C$1048576,3,FALSE),SUBSTITUTE(SUBSTITUTE(SUBSTITUTE(SUBSTITUTE(C240,".",""),",",""),"-","")," ",""))</f>
        <v>PRICEINCREASING</v>
      </c>
      <c r="B240" s="31" t="s">
        <v>399</v>
      </c>
      <c r="C240" s="26" t="s">
        <v>355</v>
      </c>
      <c r="D240" s="81"/>
      <c r="E240" s="81"/>
      <c r="F240" s="81"/>
      <c r="G240" s="81"/>
      <c r="H240" s="81"/>
      <c r="I240" s="81"/>
      <c r="J240" s="81"/>
      <c r="K240" s="81"/>
      <c r="L240" s="81"/>
      <c r="M240" s="81"/>
      <c r="N240" s="81"/>
      <c r="O240" s="81"/>
      <c r="P240" s="81">
        <f t="shared" si="17"/>
        <v>0</v>
      </c>
      <c r="Q240" s="22"/>
      <c r="R240" s="32"/>
      <c r="S240" s="22"/>
    </row>
    <row r="241" spans="1:19" ht="17.45" customHeight="1">
      <c r="A241" s="20" t="str">
        <f>_xlfn.IFNA(VLOOKUP(C241,Ref_CostCat!$A$6:$C$1048576,3,FALSE),SUBSTITUTE(SUBSTITUTE(SUBSTITUTE(SUBSTITUTE(C241,".",""),",",""),"-","")," ",""))</f>
        <v>PRICECORRECTION</v>
      </c>
      <c r="B241" s="31"/>
      <c r="C241" s="26" t="s">
        <v>400</v>
      </c>
      <c r="D241" s="81"/>
      <c r="E241" s="81"/>
      <c r="F241" s="81"/>
      <c r="G241" s="81"/>
      <c r="H241" s="81"/>
      <c r="I241" s="81"/>
      <c r="J241" s="81"/>
      <c r="K241" s="81"/>
      <c r="L241" s="81"/>
      <c r="M241" s="81"/>
      <c r="N241" s="81"/>
      <c r="O241" s="81"/>
      <c r="P241" s="81">
        <v>0</v>
      </c>
      <c r="Q241" s="22"/>
      <c r="R241" s="32"/>
      <c r="S241" s="22"/>
    </row>
    <row r="242" spans="1:19" ht="17.45" customHeight="1">
      <c r="A242" s="20" t="str">
        <f>_xlfn.IFNA(VLOOKUP(C242,Ref_CostCat!$A$6:$C$1048576,3,FALSE),SUBSTITUTE(SUBSTITUTE(SUBSTITUTE(SUBSTITUTE(C242,".",""),",",""),"-","")," ",""))</f>
        <v>OTHERS</v>
      </c>
      <c r="B242" s="31" t="s">
        <v>401</v>
      </c>
      <c r="C242" s="26" t="s">
        <v>358</v>
      </c>
      <c r="D242" s="81">
        <v>659.35</v>
      </c>
      <c r="E242" s="81"/>
      <c r="F242" s="81"/>
      <c r="G242" s="81"/>
      <c r="H242" s="81"/>
      <c r="I242" s="81"/>
      <c r="J242" s="81"/>
      <c r="K242" s="81"/>
      <c r="L242" s="81"/>
      <c r="M242" s="81"/>
      <c r="N242" s="81"/>
      <c r="O242" s="81"/>
      <c r="P242" s="81">
        <f>D242+E242+F242+G242+H242+I242+J242+K242+L242+M242+N242+O242</f>
        <v>659.35</v>
      </c>
      <c r="Q242" s="22"/>
      <c r="R242" s="32"/>
      <c r="S242" s="22"/>
    </row>
    <row r="243" spans="1:19" ht="17.45" customHeight="1">
      <c r="A243" s="20" t="str">
        <f>_xlfn.IFNA(VLOOKUP(C243,Ref_CostCat!$A$6:$C$1048576,3,FALSE),SUBSTITUTE(SUBSTITUTE(SUBSTITUTE(SUBSTITUTE(C243,".",""),",",""),"-","")," ",""))</f>
        <v>OTHEREXPENSES</v>
      </c>
      <c r="B243" s="68" t="s">
        <v>402</v>
      </c>
      <c r="C243" s="67" t="s">
        <v>360</v>
      </c>
      <c r="D243" s="83">
        <f>D219+D223+D224+D229+D234+D235+D242+D237</f>
        <v>75457.64</v>
      </c>
      <c r="E243" s="83"/>
      <c r="F243" s="83"/>
      <c r="G243" s="83"/>
      <c r="H243" s="83"/>
      <c r="I243" s="83"/>
      <c r="J243" s="83"/>
      <c r="K243" s="83"/>
      <c r="L243" s="83"/>
      <c r="M243" s="83"/>
      <c r="N243" s="83"/>
      <c r="O243" s="83"/>
      <c r="P243" s="83">
        <f>P219+P223+P224+P229+P234+P235+P242+P237</f>
        <v>75457.64</v>
      </c>
      <c r="Q243" s="22"/>
      <c r="R243" s="32"/>
      <c r="S243" s="22"/>
    </row>
    <row r="244" spans="1:19" ht="17.45" customHeight="1">
      <c r="A244" s="20" t="str">
        <f>_xlfn.IFNA(VLOOKUP(C244,Ref_CostCat!$A$6:$C$1048576,3,FALSE),SUBSTITUTE(SUBSTITUTE(SUBSTITUTE(SUBSTITUTE(C244,".",""),",",""),"-","")," ",""))</f>
        <v>CLEARINGSETUPACCOUNT</v>
      </c>
      <c r="B244" s="31" t="s">
        <v>403</v>
      </c>
      <c r="C244" s="26" t="s">
        <v>404</v>
      </c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>
        <f>D244+E244+F244+G244+H244+I244+J244+K244+L244+M244+N244+O244</f>
        <v>0</v>
      </c>
      <c r="Q244" s="22"/>
      <c r="R244" s="32"/>
      <c r="S244" s="22"/>
    </row>
    <row r="245" spans="1:19" ht="17.45" customHeight="1">
      <c r="A245" s="20" t="str">
        <f>_xlfn.IFNA(VLOOKUP(C245,Ref_CostCat!$A$6:$C$1048576,3,FALSE),SUBSTITUTE(SUBSTITUTE(SUBSTITUTE(SUBSTITUTE(C245,".",""),",",""),"-","")," ",""))</f>
        <v>CLEARINGACCOUNTCASH/BAN</v>
      </c>
      <c r="B245" s="31" t="s">
        <v>405</v>
      </c>
      <c r="C245" s="26" t="s">
        <v>406</v>
      </c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>
        <f>D245+E245+F245+G245+H245+I245+J245+K245+L245+M245+N245+O245</f>
        <v>0</v>
      </c>
      <c r="Q245" s="22"/>
      <c r="R245" s="32"/>
      <c r="S245" s="22"/>
    </row>
    <row r="246" spans="1:19" ht="17.45" customHeight="1">
      <c r="A246" s="20" t="str">
        <f>_xlfn.IFNA(VLOOKUP(C246,Ref_CostCat!$A$6:$C$1048576,3,FALSE),SUBSTITUTE(SUBSTITUTE(SUBSTITUTE(SUBSTITUTE(C246,".",""),",",""),"-","")," ",""))</f>
        <v>CLEARINGACCOUNTOTHERS</v>
      </c>
      <c r="B246" s="31" t="s">
        <v>407</v>
      </c>
      <c r="C246" s="26" t="s">
        <v>408</v>
      </c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>
        <f>D246+E246+F246+G246+H246+I246+J246+K246+L246+M246+N246+O246</f>
        <v>0</v>
      </c>
      <c r="Q246" s="22"/>
      <c r="R246" s="32"/>
      <c r="S246" s="22"/>
    </row>
    <row r="247" spans="1:19" ht="17.45" customHeight="1">
      <c r="A247" s="20" t="str">
        <f>_xlfn.IFNA(VLOOKUP(C247,Ref_CostCat!$A$6:$C$1048576,3,FALSE),SUBSTITUTE(SUBSTITUTE(SUBSTITUTE(SUBSTITUTE(C247,".",""),",",""),"-","")," ",""))</f>
        <v>SUSPENSEACCOUNTDEDUCTION</v>
      </c>
      <c r="B247" s="31" t="s">
        <v>409</v>
      </c>
      <c r="C247" s="26" t="s">
        <v>410</v>
      </c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>
        <f>D247+E247+F247+G247+H247+I247+J247+K247+L247+M247+N247+O247</f>
        <v>0</v>
      </c>
      <c r="Q247" s="22"/>
      <c r="R247" s="32"/>
      <c r="S247" s="22"/>
    </row>
    <row r="248" spans="1:19" ht="17.45" customHeight="1">
      <c r="A248" s="20" t="str">
        <f>_xlfn.IFNA(VLOOKUP(C248,Ref_CostCat!$A$6:$C$1048576,3,FALSE),SUBSTITUTE(SUBSTITUTE(SUBSTITUTE(SUBSTITUTE(C248,".",""),",",""),"-","")," ",""))</f>
        <v>OTHERINCOME/EXSPENSES</v>
      </c>
      <c r="B248" s="68" t="s">
        <v>411</v>
      </c>
      <c r="C248" s="67" t="s">
        <v>335</v>
      </c>
      <c r="D248" s="83">
        <f>D214+D243+D246+D247</f>
        <v>59077.85</v>
      </c>
      <c r="E248" s="83"/>
      <c r="F248" s="83"/>
      <c r="G248" s="83"/>
      <c r="H248" s="83"/>
      <c r="I248" s="83"/>
      <c r="J248" s="83"/>
      <c r="K248" s="83"/>
      <c r="L248" s="83"/>
      <c r="M248" s="83"/>
      <c r="N248" s="83"/>
      <c r="O248" s="83"/>
      <c r="P248" s="83">
        <f>P214+P243+P246+P247+P244</f>
        <v>59077.85</v>
      </c>
      <c r="Q248" s="22"/>
      <c r="R248" s="32"/>
      <c r="S248" s="22"/>
    </row>
    <row r="249" spans="1:19" ht="17.45" customHeight="1">
      <c r="A249" s="20" t="str">
        <f>_xlfn.IFNA(VLOOKUP(C249,Ref_CostCat!$A$6:$C$1048576,3,FALSE),SUBSTITUTE(SUBSTITUTE(SUBSTITUTE(SUBSTITUTE(C249,".",""),",",""),"-","")," ",""))</f>
        <v>TAX</v>
      </c>
      <c r="B249" s="31" t="s">
        <v>412</v>
      </c>
      <c r="C249" s="26" t="s">
        <v>413</v>
      </c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>
        <f>D249+E249+F249+G249+H249+I249+J249+K249+L249+M249+N249+O249</f>
        <v>0</v>
      </c>
      <c r="Q249" s="22"/>
      <c r="R249" s="32"/>
      <c r="S249" s="22"/>
    </row>
    <row r="250" spans="1:19" ht="17.45" customHeight="1">
      <c r="A250" s="20" t="str">
        <f>_xlfn.IFNA(VLOOKUP(C250,Ref_CostCat!$A$6:$C$1048576,3,FALSE),SUBSTITUTE(SUBSTITUTE(SUBSTITUTE(SUBSTITUTE(C250,".",""),",",""),"-","")," ",""))</f>
        <v>INCOMETAX</v>
      </c>
      <c r="B250" s="31" t="s">
        <v>414</v>
      </c>
      <c r="C250" s="26" t="s">
        <v>415</v>
      </c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>
        <f>D250+E250+F250+G250+H250+I250+J250+K250+L250+M250+N250+O250</f>
        <v>0</v>
      </c>
      <c r="Q250" s="22"/>
      <c r="R250" s="32"/>
      <c r="S250" s="22"/>
    </row>
    <row r="251" spans="1:19" ht="17.45" customHeight="1">
      <c r="A251" s="20" t="str">
        <f>_xlfn.IFNA(VLOOKUP(C251,Ref_CostCat!$A$6:$C$1048576,3,FALSE),SUBSTITUTE(SUBSTITUTE(SUBSTITUTE(SUBSTITUTE(C251,".",""),",",""),"-","")," ",""))</f>
        <v>INCOMESUMMARY</v>
      </c>
      <c r="B251" s="31"/>
      <c r="C251" s="26" t="s">
        <v>416</v>
      </c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>
        <v>0</v>
      </c>
      <c r="Q251" s="22"/>
      <c r="R251" s="32"/>
      <c r="S251" s="22"/>
    </row>
    <row r="252" spans="1:19" ht="17.45" customHeight="1">
      <c r="A252" s="20" t="str">
        <f>_xlfn.IFNA(VLOOKUP(C252,Ref_CostCat!$A$6:$C$1048576,3,FALSE),SUBSTITUTE(SUBSTITUTE(SUBSTITUTE(SUBSTITUTE(C252,".",""),",",""),"-","")," ",""))</f>
        <v>TAX</v>
      </c>
      <c r="B252" s="25"/>
      <c r="C252" s="26" t="s">
        <v>413</v>
      </c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>
        <f>D252+E252+F252+G252+H252+I252+J252+K252+L252+M252+N252+O252</f>
        <v>0</v>
      </c>
      <c r="Q252" s="22"/>
      <c r="R252" s="32"/>
      <c r="S252" s="22"/>
    </row>
    <row r="253" spans="1:19" ht="17.45" customHeight="1">
      <c r="A253" s="20" t="str">
        <f>_xlfn.IFNA(VLOOKUP(C253,Ref_CostCat!$A$6:$C$1048576,3,FALSE),SUBSTITUTE(SUBSTITUTE(SUBSTITUTE(SUBSTITUTE(C253,".",""),",",""),"-","")," ",""))</f>
        <v/>
      </c>
      <c r="B253" s="127" t="s">
        <v>417</v>
      </c>
      <c r="C253" s="128"/>
      <c r="D253" s="79">
        <f t="shared" ref="D253:O253" si="18">D16-D36-D138-D198-D248</f>
        <v>-735746.1</v>
      </c>
      <c r="E253" s="79">
        <f t="shared" si="18"/>
        <v>0</v>
      </c>
      <c r="F253" s="79">
        <f t="shared" si="18"/>
        <v>841573.41</v>
      </c>
      <c r="G253" s="79">
        <f t="shared" si="18"/>
        <v>0</v>
      </c>
      <c r="H253" s="79">
        <f t="shared" si="18"/>
        <v>0</v>
      </c>
      <c r="I253" s="79">
        <f t="shared" si="18"/>
        <v>0</v>
      </c>
      <c r="J253" s="79">
        <f t="shared" si="18"/>
        <v>0</v>
      </c>
      <c r="K253" s="79">
        <f t="shared" si="18"/>
        <v>0</v>
      </c>
      <c r="L253" s="79">
        <f t="shared" si="18"/>
        <v>0</v>
      </c>
      <c r="M253" s="79">
        <f t="shared" si="18"/>
        <v>0</v>
      </c>
      <c r="N253" s="79">
        <f t="shared" si="18"/>
        <v>0</v>
      </c>
      <c r="O253" s="79">
        <f t="shared" si="18"/>
        <v>0</v>
      </c>
      <c r="P253" s="79">
        <f>P16-P36-P138-P198-P248</f>
        <v>105827.31000000008</v>
      </c>
      <c r="Q253" s="22"/>
      <c r="R253" s="32"/>
      <c r="S253" s="22"/>
    </row>
    <row r="254" spans="1:19" ht="17.45" customHeight="1">
      <c r="A254" s="20" t="str">
        <f>_xlfn.IFNA(VLOOKUP(C254,Ref_CostCat!$A$6:$C$1048576,3,FALSE),SUBSTITUTE(SUBSTITUTE(SUBSTITUTE(SUBSTITUTE(C254,".",""),",",""),"-","")," ",""))</f>
        <v/>
      </c>
      <c r="B254" s="25"/>
      <c r="C254" s="26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2"/>
      <c r="R254" s="32"/>
    </row>
    <row r="255" spans="1:19" ht="17.45" customHeight="1">
      <c r="A255" s="20" t="str">
        <f>_xlfn.IFNA(VLOOKUP(C255,Ref_CostCat!$A$6:$C$1048576,3,FALSE),SUBSTITUTE(SUBSTITUTE(SUBSTITUTE(SUBSTITUTE(C255,".",""),",",""),"-","")," ",""))</f>
        <v/>
      </c>
      <c r="B255" s="25"/>
      <c r="C255" s="26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2"/>
      <c r="R255" s="18"/>
    </row>
    <row r="256" spans="1:19">
      <c r="A256" s="20" t="str">
        <f>_xlfn.IFNA(VLOOKUP(C256,Ref_CostCat!$A$6:$C$1048576,3,FALSE),SUBSTITUTE(SUBSTITUTE(SUBSTITUTE(SUBSTITUTE(C256,".",""),",",""),"-","")," ",""))</f>
        <v/>
      </c>
      <c r="B256" s="25"/>
      <c r="C256" s="26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2"/>
      <c r="R256" s="18"/>
    </row>
    <row r="257" spans="1:18">
      <c r="A257" s="20" t="str">
        <f>_xlfn.IFNA(VLOOKUP(C257,Ref_CostCat!$A$6:$C$1048576,3,FALSE),SUBSTITUTE(SUBSTITUTE(SUBSTITUTE(SUBSTITUTE(C257,".",""),",",""),"-","")," ",""))</f>
        <v/>
      </c>
      <c r="B257" s="25"/>
      <c r="C257" s="26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2"/>
      <c r="R257" s="18"/>
    </row>
    <row r="258" spans="1:18">
      <c r="A258" s="20" t="str">
        <f>_xlfn.IFNA(VLOOKUP(C258,Ref_CostCat!$A$6:$C$1048576,3,FALSE),SUBSTITUTE(SUBSTITUTE(SUBSTITUTE(SUBSTITUTE(C258,".",""),",",""),"-","")," ",""))</f>
        <v/>
      </c>
      <c r="D258" s="22"/>
    </row>
    <row r="259" spans="1:18">
      <c r="A259" s="20" t="str">
        <f>_xlfn.IFNA(VLOOKUP(C259,Ref_CostCat!$A$6:$C$1048576,3,FALSE),SUBSTITUTE(SUBSTITUTE(SUBSTITUTE(SUBSTITUTE(C259,".",""),",",""),"-","")," ",""))</f>
        <v/>
      </c>
      <c r="E259" s="22"/>
      <c r="F259" s="18"/>
      <c r="G259" s="18"/>
      <c r="H259" s="18"/>
      <c r="I259" s="18"/>
    </row>
    <row r="260" spans="1:18">
      <c r="A260" s="20" t="str">
        <f>_xlfn.IFNA(VLOOKUP(C260,Ref_CostCat!$A$6:$C$1048576,3,FALSE),SUBSTITUTE(SUBSTITUTE(SUBSTITUTE(SUBSTITUTE(C260,".",""),",",""),"-","")," ",""))</f>
        <v/>
      </c>
      <c r="D260" s="22"/>
      <c r="E260" s="18"/>
      <c r="F260" s="18"/>
      <c r="G260" s="18"/>
      <c r="H260" s="18"/>
      <c r="I260" s="22"/>
    </row>
    <row r="261" spans="1:18">
      <c r="A261" s="20" t="str">
        <f>_xlfn.IFNA(VLOOKUP(C261,Ref_CostCat!$A$6:$C$1048576,3,FALSE),SUBSTITUTE(SUBSTITUTE(SUBSTITUTE(SUBSTITUTE(C261,".",""),",",""),"-","")," ",""))</f>
        <v/>
      </c>
      <c r="P261" s="22"/>
      <c r="Q261" s="22"/>
    </row>
    <row r="262" spans="1:18">
      <c r="A262" s="20" t="str">
        <f>_xlfn.IFNA(VLOOKUP(C262,Ref_CostCat!$A$6:$C$1048576,3,FALSE),SUBSTITUTE(SUBSTITUTE(SUBSTITUTE(SUBSTITUTE(C262,".",""),",",""),"-","")," ",""))</f>
        <v/>
      </c>
    </row>
    <row r="263" spans="1:18">
      <c r="A263" s="20" t="str">
        <f>_xlfn.IFNA(VLOOKUP(C263,Ref_CostCat!$A$6:$C$1048576,3,FALSE),SUBSTITUTE(SUBSTITUTE(SUBSTITUTE(SUBSTITUTE(C263,".",""),",",""),"-","")," ",""))</f>
        <v/>
      </c>
    </row>
    <row r="264" spans="1:18">
      <c r="A264" s="20" t="str">
        <f>_xlfn.IFNA(VLOOKUP(C264,Ref_CostCat!$A$6:$C$1048576,3,FALSE),SUBSTITUTE(SUBSTITUTE(SUBSTITUTE(SUBSTITUTE(C264,".",""),",",""),"-","")," ",""))</f>
        <v/>
      </c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1:18">
      <c r="A265" s="20" t="str">
        <f>_xlfn.IFNA(VLOOKUP(C265,Ref_CostCat!$A$6:$C$1048576,3,FALSE),SUBSTITUTE(SUBSTITUTE(SUBSTITUTE(SUBSTITUTE(C265,".",""),",",""),"-","")," ",""))</f>
        <v/>
      </c>
    </row>
    <row r="266" spans="1:18">
      <c r="A266" s="20" t="str">
        <f>_xlfn.IFNA(VLOOKUP(C266,Ref_CostCat!$A$6:$C$1048576,3,FALSE),SUBSTITUTE(SUBSTITUTE(SUBSTITUTE(SUBSTITUTE(C266,".",""),",",""),"-","")," ",""))</f>
        <v/>
      </c>
    </row>
    <row r="267" spans="1:18">
      <c r="A267" s="20" t="str">
        <f>_xlfn.IFNA(VLOOKUP(C267,Ref_CostCat!$A$6:$C$1048576,3,FALSE),SUBSTITUTE(SUBSTITUTE(SUBSTITUTE(SUBSTITUTE(C267,".",""),",",""),"-","")," ",""))</f>
        <v/>
      </c>
    </row>
    <row r="268" spans="1:18">
      <c r="A268" s="20" t="str">
        <f>_xlfn.IFNA(VLOOKUP(C268,Ref_CostCat!$A$6:$C$1048576,3,FALSE),SUBSTITUTE(SUBSTITUTE(SUBSTITUTE(SUBSTITUTE(C268,".",""),",",""),"-","")," ",""))</f>
        <v/>
      </c>
    </row>
    <row r="269" spans="1:18">
      <c r="A269" s="20" t="str">
        <f>_xlfn.IFNA(VLOOKUP(C269,Ref_CostCat!$A$6:$C$1048576,3,FALSE),SUBSTITUTE(SUBSTITUTE(SUBSTITUTE(SUBSTITUTE(C269,".",""),",",""),"-","")," ",""))</f>
        <v/>
      </c>
    </row>
    <row r="270" spans="1:18">
      <c r="A270" s="20" t="str">
        <f>_xlfn.IFNA(VLOOKUP(C270,Ref_CostCat!$A$6:$C$1048576,3,FALSE),SUBSTITUTE(SUBSTITUTE(SUBSTITUTE(SUBSTITUTE(C270,".",""),",",""),"-","")," ",""))</f>
        <v/>
      </c>
    </row>
    <row r="271" spans="1:18">
      <c r="A271" s="20" t="str">
        <f>_xlfn.IFNA(VLOOKUP(C271,Ref_CostCat!$A$6:$C$1048576,3,FALSE),SUBSTITUTE(SUBSTITUTE(SUBSTITUTE(SUBSTITUTE(C271,".",""),",",""),"-","")," ",""))</f>
        <v/>
      </c>
    </row>
    <row r="272" spans="1:18">
      <c r="A272" s="20" t="str">
        <f>_xlfn.IFNA(VLOOKUP(C272,Ref_CostCat!$A$6:$C$1048576,3,FALSE),SUBSTITUTE(SUBSTITUTE(SUBSTITUTE(SUBSTITUTE(C272,".",""),",",""),"-","")," ",""))</f>
        <v/>
      </c>
    </row>
    <row r="273" spans="1:1">
      <c r="A273" s="20" t="str">
        <f>_xlfn.IFNA(VLOOKUP(C273,Ref_CostCat!$A$6:$C$1048576,3,FALSE),SUBSTITUTE(SUBSTITUTE(SUBSTITUTE(SUBSTITUTE(C273,".",""),",",""),"-","")," ",""))</f>
        <v/>
      </c>
    </row>
    <row r="274" spans="1:1">
      <c r="A274" s="20" t="str">
        <f>_xlfn.IFNA(VLOOKUP(C274,Ref_CostCat!$A$6:$C$1048576,3,FALSE),SUBSTITUTE(SUBSTITUTE(SUBSTITUTE(SUBSTITUTE(C274,".",""),",",""),"-","")," ",""))</f>
        <v/>
      </c>
    </row>
    <row r="275" spans="1:1">
      <c r="A275" s="20" t="str">
        <f>_xlfn.IFNA(VLOOKUP(C275,Ref_CostCat!$A$6:$C$1048576,3,FALSE),SUBSTITUTE(SUBSTITUTE(SUBSTITUTE(SUBSTITUTE(C275,".",""),",",""),"-","")," ",""))</f>
        <v/>
      </c>
    </row>
    <row r="276" spans="1:1">
      <c r="A276" s="20" t="str">
        <f>_xlfn.IFNA(VLOOKUP(C276,Ref_CostCat!$A$6:$C$1048576,3,FALSE),SUBSTITUTE(SUBSTITUTE(SUBSTITUTE(SUBSTITUTE(C276,".",""),",",""),"-","")," ",""))</f>
        <v/>
      </c>
    </row>
    <row r="277" spans="1:1">
      <c r="A277" s="20" t="str">
        <f>_xlfn.IFNA(VLOOKUP(C277,Ref_CostCat!$A$6:$C$1048576,3,FALSE),SUBSTITUTE(SUBSTITUTE(SUBSTITUTE(SUBSTITUTE(C277,".",""),",",""),"-","")," ",""))</f>
        <v/>
      </c>
    </row>
    <row r="278" spans="1:1">
      <c r="A278" s="20" t="str">
        <f>_xlfn.IFNA(VLOOKUP(C278,Ref_CostCat!$A$6:$C$1048576,3,FALSE),SUBSTITUTE(SUBSTITUTE(SUBSTITUTE(SUBSTITUTE(C278,".",""),",",""),"-","")," ",""))</f>
        <v/>
      </c>
    </row>
    <row r="279" spans="1:1">
      <c r="A279" s="20" t="str">
        <f>_xlfn.IFNA(VLOOKUP(C279,Ref_CostCat!$A$6:$C$1048576,3,FALSE),SUBSTITUTE(SUBSTITUTE(SUBSTITUTE(SUBSTITUTE(C279,".",""),",",""),"-","")," ",""))</f>
        <v/>
      </c>
    </row>
    <row r="280" spans="1:1">
      <c r="A280" s="20" t="str">
        <f>_xlfn.IFNA(VLOOKUP(C280,Ref_CostCat!$A$6:$C$1048576,3,FALSE),SUBSTITUTE(SUBSTITUTE(SUBSTITUTE(SUBSTITUTE(C280,".",""),",",""),"-","")," ",""))</f>
        <v/>
      </c>
    </row>
    <row r="281" spans="1:1">
      <c r="A281" s="20" t="str">
        <f>_xlfn.IFNA(VLOOKUP(C281,Ref_CostCat!$A$6:$C$1048576,3,FALSE),SUBSTITUTE(SUBSTITUTE(SUBSTITUTE(SUBSTITUTE(C281,".",""),",",""),"-","")," ",""))</f>
        <v/>
      </c>
    </row>
    <row r="282" spans="1:1">
      <c r="A282" s="20" t="str">
        <f>_xlfn.IFNA(VLOOKUP(C282,Ref_CostCat!$A$6:$C$1048576,3,FALSE),SUBSTITUTE(SUBSTITUTE(SUBSTITUTE(SUBSTITUTE(C282,".",""),",",""),"-","")," ",""))</f>
        <v/>
      </c>
    </row>
    <row r="283" spans="1:1">
      <c r="A283" s="20" t="str">
        <f>_xlfn.IFNA(VLOOKUP(C283,Ref_CostCat!$A$6:$C$1048576,3,FALSE),SUBSTITUTE(SUBSTITUTE(SUBSTITUTE(SUBSTITUTE(C283,".",""),",",""),"-","")," ",""))</f>
        <v/>
      </c>
    </row>
    <row r="284" spans="1:1">
      <c r="A284" s="20" t="str">
        <f>_xlfn.IFNA(VLOOKUP(C284,Ref_CostCat!$A$6:$C$1048576,3,FALSE),SUBSTITUTE(SUBSTITUTE(SUBSTITUTE(SUBSTITUTE(C284,".",""),",",""),"-","")," ",""))</f>
        <v/>
      </c>
    </row>
    <row r="285" spans="1:1">
      <c r="A285" s="20" t="str">
        <f>_xlfn.IFNA(VLOOKUP(C285,Ref_CostCat!$A$6:$C$1048576,3,FALSE),SUBSTITUTE(SUBSTITUTE(SUBSTITUTE(SUBSTITUTE(C285,".",""),",",""),"-","")," ",""))</f>
        <v/>
      </c>
    </row>
    <row r="286" spans="1:1">
      <c r="A286" s="20" t="str">
        <f>_xlfn.IFNA(VLOOKUP(C286,Ref_CostCat!$A$6:$C$1048576,3,FALSE),SUBSTITUTE(SUBSTITUTE(SUBSTITUTE(SUBSTITUTE(C286,".",""),",",""),"-","")," ",""))</f>
        <v/>
      </c>
    </row>
    <row r="287" spans="1:1">
      <c r="A287" s="20" t="str">
        <f>_xlfn.IFNA(VLOOKUP(C287,Ref_CostCat!$A$6:$C$1048576,3,FALSE),SUBSTITUTE(SUBSTITUTE(SUBSTITUTE(SUBSTITUTE(C287,".",""),",",""),"-","")," ",""))</f>
        <v/>
      </c>
    </row>
    <row r="288" spans="1:1">
      <c r="A288" s="20" t="str">
        <f>_xlfn.IFNA(VLOOKUP(C288,Ref_CostCat!$A$6:$C$1048576,3,FALSE),SUBSTITUTE(SUBSTITUTE(SUBSTITUTE(SUBSTITUTE(C288,".",""),",",""),"-","")," ",""))</f>
        <v/>
      </c>
    </row>
    <row r="289" spans="1:1">
      <c r="A289" s="20" t="str">
        <f>_xlfn.IFNA(VLOOKUP(C289,Ref_CostCat!$A$6:$C$1048576,3,FALSE),SUBSTITUTE(SUBSTITUTE(SUBSTITUTE(SUBSTITUTE(C289,".",""),",",""),"-","")," ",""))</f>
        <v/>
      </c>
    </row>
    <row r="290" spans="1:1">
      <c r="A290" s="20" t="str">
        <f>_xlfn.IFNA(VLOOKUP(C290,Ref_CostCat!$A$6:$C$1048576,3,FALSE),SUBSTITUTE(SUBSTITUTE(SUBSTITUTE(SUBSTITUTE(C290,".",""),",",""),"-","")," ",""))</f>
        <v/>
      </c>
    </row>
    <row r="291" spans="1:1">
      <c r="A291" s="20" t="str">
        <f>_xlfn.IFNA(VLOOKUP(C291,Ref_CostCat!$A$6:$C$1048576,3,FALSE),SUBSTITUTE(SUBSTITUTE(SUBSTITUTE(SUBSTITUTE(C291,".",""),",",""),"-","")," ",""))</f>
        <v/>
      </c>
    </row>
    <row r="292" spans="1:1">
      <c r="A292" s="20" t="str">
        <f>_xlfn.IFNA(VLOOKUP(C292,Ref_CostCat!$A$6:$C$1048576,3,FALSE),SUBSTITUTE(SUBSTITUTE(SUBSTITUTE(SUBSTITUTE(C292,".",""),",",""),"-","")," ",""))</f>
        <v/>
      </c>
    </row>
    <row r="293" spans="1:1">
      <c r="A293" s="20" t="str">
        <f>_xlfn.IFNA(VLOOKUP(C293,Ref_CostCat!$A$6:$C$1048576,3,FALSE),SUBSTITUTE(SUBSTITUTE(SUBSTITUTE(SUBSTITUTE(C293,".",""),",",""),"-","")," ",""))</f>
        <v/>
      </c>
    </row>
    <row r="294" spans="1:1">
      <c r="A294" s="20" t="str">
        <f>_xlfn.IFNA(VLOOKUP(C294,Ref_CostCat!$A$6:$C$1048576,3,FALSE),SUBSTITUTE(SUBSTITUTE(SUBSTITUTE(SUBSTITUTE(C294,".",""),",",""),"-","")," ",""))</f>
        <v/>
      </c>
    </row>
    <row r="295" spans="1:1">
      <c r="A295" s="20" t="str">
        <f>_xlfn.IFNA(VLOOKUP(C295,Ref_CostCat!$A$6:$C$1048576,3,FALSE),SUBSTITUTE(SUBSTITUTE(SUBSTITUTE(SUBSTITUTE(C295,".",""),",",""),"-","")," ",""))</f>
        <v/>
      </c>
    </row>
    <row r="296" spans="1:1">
      <c r="A296" s="20" t="str">
        <f>_xlfn.IFNA(VLOOKUP(C296,Ref_CostCat!$A$6:$C$1048576,3,FALSE),SUBSTITUTE(SUBSTITUTE(SUBSTITUTE(SUBSTITUTE(C296,".",""),",",""),"-","")," ",""))</f>
        <v/>
      </c>
    </row>
    <row r="297" spans="1:1">
      <c r="A297" s="20" t="str">
        <f>_xlfn.IFNA(VLOOKUP(C297,Ref_CostCat!$A$6:$C$1048576,3,FALSE),SUBSTITUTE(SUBSTITUTE(SUBSTITUTE(SUBSTITUTE(C297,".",""),",",""),"-","")," ",""))</f>
        <v/>
      </c>
    </row>
    <row r="298" spans="1:1">
      <c r="A298" s="20" t="str">
        <f>_xlfn.IFNA(VLOOKUP(C298,Ref_CostCat!$A$6:$C$1048576,3,FALSE),SUBSTITUTE(SUBSTITUTE(SUBSTITUTE(SUBSTITUTE(C298,".",""),",",""),"-","")," ",""))</f>
        <v/>
      </c>
    </row>
    <row r="299" spans="1:1">
      <c r="A299" s="20" t="str">
        <f>_xlfn.IFNA(VLOOKUP(C299,Ref_CostCat!$A$6:$C$1048576,3,FALSE),SUBSTITUTE(SUBSTITUTE(SUBSTITUTE(SUBSTITUTE(C299,".",""),",",""),"-","")," ",""))</f>
        <v/>
      </c>
    </row>
    <row r="300" spans="1:1">
      <c r="A300" s="20" t="str">
        <f>_xlfn.IFNA(VLOOKUP(C300,Ref_CostCat!$A$6:$C$1048576,3,FALSE),SUBSTITUTE(SUBSTITUTE(SUBSTITUTE(SUBSTITUTE(C300,".",""),",",""),"-","")," ",""))</f>
        <v/>
      </c>
    </row>
    <row r="301" spans="1:1">
      <c r="A301" s="20" t="str">
        <f>_xlfn.IFNA(VLOOKUP(C301,Ref_CostCat!$A$6:$C$1048576,3,FALSE),SUBSTITUTE(SUBSTITUTE(SUBSTITUTE(SUBSTITUTE(C301,".",""),",",""),"-","")," ",""))</f>
        <v/>
      </c>
    </row>
    <row r="302" spans="1:1">
      <c r="A302" s="20" t="str">
        <f>_xlfn.IFNA(VLOOKUP(C302,Ref_CostCat!$A$6:$C$1048576,3,FALSE),SUBSTITUTE(SUBSTITUTE(SUBSTITUTE(SUBSTITUTE(C302,".",""),",",""),"-","")," ",""))</f>
        <v/>
      </c>
    </row>
    <row r="303" spans="1:1">
      <c r="A303" s="20" t="str">
        <f>_xlfn.IFNA(VLOOKUP(C303,Ref_CostCat!$A$6:$C$1048576,3,FALSE),SUBSTITUTE(SUBSTITUTE(SUBSTITUTE(SUBSTITUTE(C303,".",""),",",""),"-","")," ",""))</f>
        <v/>
      </c>
    </row>
    <row r="304" spans="1:1">
      <c r="A304" s="20" t="str">
        <f>_xlfn.IFNA(VLOOKUP(C304,Ref_CostCat!$A$6:$C$1048576,3,FALSE),SUBSTITUTE(SUBSTITUTE(SUBSTITUTE(SUBSTITUTE(C304,".",""),",",""),"-","")," ",""))</f>
        <v/>
      </c>
    </row>
    <row r="305" spans="1:1">
      <c r="A305" s="20" t="str">
        <f>_xlfn.IFNA(VLOOKUP(C305,Ref_CostCat!$A$6:$C$1048576,3,FALSE),SUBSTITUTE(SUBSTITUTE(SUBSTITUTE(SUBSTITUTE(C305,".",""),",",""),"-","")," ",""))</f>
        <v/>
      </c>
    </row>
    <row r="306" spans="1:1">
      <c r="A306" s="20" t="str">
        <f>_xlfn.IFNA(VLOOKUP(C306,Ref_CostCat!$A$6:$C$1048576,3,FALSE),SUBSTITUTE(SUBSTITUTE(SUBSTITUTE(SUBSTITUTE(C306,".",""),",",""),"-","")," ",""))</f>
        <v/>
      </c>
    </row>
    <row r="307" spans="1:1">
      <c r="A307" s="20" t="str">
        <f>_xlfn.IFNA(VLOOKUP(C307,Ref_CostCat!$A$6:$C$1048576,3,FALSE),SUBSTITUTE(SUBSTITUTE(SUBSTITUTE(SUBSTITUTE(C307,".",""),",",""),"-","")," ",""))</f>
        <v/>
      </c>
    </row>
    <row r="308" spans="1:1">
      <c r="A308" s="20" t="str">
        <f>_xlfn.IFNA(VLOOKUP(C308,Ref_CostCat!$A$6:$C$1048576,3,FALSE),SUBSTITUTE(SUBSTITUTE(SUBSTITUTE(SUBSTITUTE(C308,".",""),",",""),"-","")," ",""))</f>
        <v/>
      </c>
    </row>
    <row r="309" spans="1:1">
      <c r="A309" s="20" t="str">
        <f>_xlfn.IFNA(VLOOKUP(C309,Ref_CostCat!$A$6:$C$1048576,3,FALSE),SUBSTITUTE(SUBSTITUTE(SUBSTITUTE(SUBSTITUTE(C309,".",""),",",""),"-","")," ",""))</f>
        <v/>
      </c>
    </row>
    <row r="310" spans="1:1">
      <c r="A310" s="20" t="str">
        <f>_xlfn.IFNA(VLOOKUP(C310,Ref_CostCat!$A$6:$C$1048576,3,FALSE),SUBSTITUTE(SUBSTITUTE(SUBSTITUTE(SUBSTITUTE(C310,".",""),",",""),"-","")," ",""))</f>
        <v/>
      </c>
    </row>
    <row r="311" spans="1:1">
      <c r="A311" s="20" t="str">
        <f>_xlfn.IFNA(VLOOKUP(C311,Ref_CostCat!$A$6:$C$1048576,3,FALSE),SUBSTITUTE(SUBSTITUTE(SUBSTITUTE(SUBSTITUTE(C311,".",""),",",""),"-","")," ",""))</f>
        <v/>
      </c>
    </row>
    <row r="312" spans="1:1">
      <c r="A312" s="20" t="str">
        <f>_xlfn.IFNA(VLOOKUP(C312,Ref_CostCat!$A$6:$C$1048576,3,FALSE),SUBSTITUTE(SUBSTITUTE(SUBSTITUTE(SUBSTITUTE(C312,".",""),",",""),"-","")," ",""))</f>
        <v/>
      </c>
    </row>
    <row r="313" spans="1:1">
      <c r="A313" s="20" t="str">
        <f>_xlfn.IFNA(VLOOKUP(C313,Ref_CostCat!$A$6:$C$1048576,3,FALSE),SUBSTITUTE(SUBSTITUTE(SUBSTITUTE(SUBSTITUTE(C313,".",""),",",""),"-","")," ",""))</f>
        <v/>
      </c>
    </row>
    <row r="314" spans="1:1">
      <c r="A314" s="20" t="str">
        <f>_xlfn.IFNA(VLOOKUP(C314,Ref_CostCat!$A$6:$C$1048576,3,FALSE),SUBSTITUTE(SUBSTITUTE(SUBSTITUTE(SUBSTITUTE(C314,".",""),",",""),"-","")," ",""))</f>
        <v/>
      </c>
    </row>
    <row r="315" spans="1:1">
      <c r="A315" s="20" t="str">
        <f>_xlfn.IFNA(VLOOKUP(C315,Ref_CostCat!$A$6:$C$1048576,3,FALSE),SUBSTITUTE(SUBSTITUTE(SUBSTITUTE(SUBSTITUTE(C315,".",""),",",""),"-","")," ",""))</f>
        <v/>
      </c>
    </row>
    <row r="316" spans="1:1">
      <c r="A316" s="20" t="str">
        <f>_xlfn.IFNA(VLOOKUP(C316,Ref_CostCat!$A$6:$C$1048576,3,FALSE),SUBSTITUTE(SUBSTITUTE(SUBSTITUTE(SUBSTITUTE(C316,".",""),",",""),"-","")," ",""))</f>
        <v/>
      </c>
    </row>
    <row r="317" spans="1:1">
      <c r="A317" s="20" t="str">
        <f>_xlfn.IFNA(VLOOKUP(C317,Ref_CostCat!$A$6:$C$1048576,3,FALSE),SUBSTITUTE(SUBSTITUTE(SUBSTITUTE(SUBSTITUTE(C317,".",""),",",""),"-","")," ",""))</f>
        <v/>
      </c>
    </row>
    <row r="318" spans="1:1">
      <c r="A318" s="20" t="str">
        <f>_xlfn.IFNA(VLOOKUP(C318,Ref_CostCat!$A$6:$C$1048576,3,FALSE),SUBSTITUTE(SUBSTITUTE(SUBSTITUTE(SUBSTITUTE(C318,".",""),",",""),"-","")," ",""))</f>
        <v/>
      </c>
    </row>
    <row r="319" spans="1:1">
      <c r="A319" s="20" t="str">
        <f>_xlfn.IFNA(VLOOKUP(C319,Ref_CostCat!$A$6:$C$1048576,3,FALSE),SUBSTITUTE(SUBSTITUTE(SUBSTITUTE(SUBSTITUTE(C319,".",""),",",""),"-","")," ",""))</f>
        <v/>
      </c>
    </row>
    <row r="320" spans="1:1">
      <c r="A320" s="20" t="str">
        <f>_xlfn.IFNA(VLOOKUP(C320,Ref_CostCat!$A$6:$C$1048576,3,FALSE),SUBSTITUTE(SUBSTITUTE(SUBSTITUTE(SUBSTITUTE(C320,".",""),",",""),"-","")," ",""))</f>
        <v/>
      </c>
    </row>
    <row r="321" spans="1:1">
      <c r="A321" s="20" t="str">
        <f>_xlfn.IFNA(VLOOKUP(C321,Ref_CostCat!$A$6:$C$1048576,3,FALSE),SUBSTITUTE(SUBSTITUTE(SUBSTITUTE(SUBSTITUTE(C321,".",""),",",""),"-","")," ",""))</f>
        <v/>
      </c>
    </row>
    <row r="322" spans="1:1">
      <c r="A322" s="20" t="str">
        <f>_xlfn.IFNA(VLOOKUP(C322,Ref_CostCat!$A$6:$C$1048576,3,FALSE),SUBSTITUTE(SUBSTITUTE(SUBSTITUTE(SUBSTITUTE(C322,".",""),",",""),"-","")," ",""))</f>
        <v/>
      </c>
    </row>
    <row r="323" spans="1:1">
      <c r="A323" s="20" t="str">
        <f>_xlfn.IFNA(VLOOKUP(C323,Ref_CostCat!$A$6:$C$1048576,3,FALSE),SUBSTITUTE(SUBSTITUTE(SUBSTITUTE(SUBSTITUTE(C323,".",""),",",""),"-","")," ",""))</f>
        <v/>
      </c>
    </row>
    <row r="324" spans="1:1">
      <c r="A324" s="20" t="str">
        <f>_xlfn.IFNA(VLOOKUP(C324,Ref_CostCat!$A$6:$C$1048576,3,FALSE),SUBSTITUTE(SUBSTITUTE(SUBSTITUTE(SUBSTITUTE(C324,".",""),",",""),"-","")," ",""))</f>
        <v/>
      </c>
    </row>
    <row r="325" spans="1:1">
      <c r="A325" s="20" t="str">
        <f>_xlfn.IFNA(VLOOKUP(C325,Ref_CostCat!$A$6:$C$1048576,3,FALSE),SUBSTITUTE(SUBSTITUTE(SUBSTITUTE(SUBSTITUTE(C325,".",""),",",""),"-","")," ",""))</f>
        <v/>
      </c>
    </row>
    <row r="326" spans="1:1">
      <c r="A326" s="20" t="str">
        <f>_xlfn.IFNA(VLOOKUP(C326,Ref_CostCat!$A$6:$C$1048576,3,FALSE),SUBSTITUTE(SUBSTITUTE(SUBSTITUTE(SUBSTITUTE(C326,".",""),",",""),"-","")," ",""))</f>
        <v/>
      </c>
    </row>
    <row r="327" spans="1:1">
      <c r="A327" s="20" t="str">
        <f>_xlfn.IFNA(VLOOKUP(C327,Ref_CostCat!$A$6:$C$1048576,3,FALSE),SUBSTITUTE(SUBSTITUTE(SUBSTITUTE(SUBSTITUTE(C327,".",""),",",""),"-","")," ",""))</f>
        <v/>
      </c>
    </row>
    <row r="328" spans="1:1">
      <c r="A328" s="20" t="str">
        <f>_xlfn.IFNA(VLOOKUP(C328,Ref_CostCat!$A$6:$C$1048576,3,FALSE),SUBSTITUTE(SUBSTITUTE(SUBSTITUTE(SUBSTITUTE(C328,".",""),",",""),"-","")," ",""))</f>
        <v/>
      </c>
    </row>
    <row r="329" spans="1:1">
      <c r="A329" s="20" t="str">
        <f>_xlfn.IFNA(VLOOKUP(C329,Ref_CostCat!$A$6:$C$1048576,3,FALSE),SUBSTITUTE(SUBSTITUTE(SUBSTITUTE(SUBSTITUTE(C329,".",""),",",""),"-","")," ",""))</f>
        <v/>
      </c>
    </row>
    <row r="330" spans="1:1">
      <c r="A330" s="20" t="str">
        <f>_xlfn.IFNA(VLOOKUP(C330,Ref_CostCat!$A$6:$C$1048576,3,FALSE),SUBSTITUTE(SUBSTITUTE(SUBSTITUTE(SUBSTITUTE(C330,".",""),",",""),"-","")," ",""))</f>
        <v/>
      </c>
    </row>
    <row r="331" spans="1:1">
      <c r="A331" s="20" t="str">
        <f>_xlfn.IFNA(VLOOKUP(C331,Ref_CostCat!$A$6:$C$1048576,3,FALSE),SUBSTITUTE(SUBSTITUTE(SUBSTITUTE(SUBSTITUTE(C331,".",""),",",""),"-","")," ",""))</f>
        <v/>
      </c>
    </row>
    <row r="332" spans="1:1">
      <c r="A332" s="20" t="str">
        <f>_xlfn.IFNA(VLOOKUP(C332,Ref_CostCat!$A$6:$C$1048576,3,FALSE),SUBSTITUTE(SUBSTITUTE(SUBSTITUTE(SUBSTITUTE(C332,".",""),",",""),"-","")," ",""))</f>
        <v/>
      </c>
    </row>
    <row r="333" spans="1:1">
      <c r="A333" s="20" t="str">
        <f>_xlfn.IFNA(VLOOKUP(C333,Ref_CostCat!$A$6:$C$1048576,3,FALSE),SUBSTITUTE(SUBSTITUTE(SUBSTITUTE(SUBSTITUTE(C333,".",""),",",""),"-","")," ",""))</f>
        <v/>
      </c>
    </row>
    <row r="334" spans="1:1">
      <c r="A334" s="20" t="str">
        <f>_xlfn.IFNA(VLOOKUP(C334,Ref_CostCat!$A$6:$C$1048576,3,FALSE),SUBSTITUTE(SUBSTITUTE(SUBSTITUTE(SUBSTITUTE(C334,".",""),",",""),"-","")," ",""))</f>
        <v/>
      </c>
    </row>
    <row r="335" spans="1:1">
      <c r="A335" s="20" t="str">
        <f>_xlfn.IFNA(VLOOKUP(C335,Ref_CostCat!$A$6:$C$1048576,3,FALSE),SUBSTITUTE(SUBSTITUTE(SUBSTITUTE(SUBSTITUTE(C335,".",""),",",""),"-","")," ",""))</f>
        <v/>
      </c>
    </row>
    <row r="336" spans="1:1">
      <c r="A336" s="20" t="str">
        <f>_xlfn.IFNA(VLOOKUP(C336,Ref_CostCat!$A$6:$C$1048576,3,FALSE),SUBSTITUTE(SUBSTITUTE(SUBSTITUTE(SUBSTITUTE(C336,".",""),",",""),"-","")," ",""))</f>
        <v/>
      </c>
    </row>
    <row r="337" spans="1:1">
      <c r="A337" s="20" t="str">
        <f>_xlfn.IFNA(VLOOKUP(C337,Ref_CostCat!$A$6:$C$1048576,3,FALSE),SUBSTITUTE(SUBSTITUTE(SUBSTITUTE(SUBSTITUTE(C337,".",""),",",""),"-","")," ",""))</f>
        <v/>
      </c>
    </row>
    <row r="338" spans="1:1">
      <c r="A338" s="20" t="str">
        <f>_xlfn.IFNA(VLOOKUP(C338,Ref_CostCat!$A$6:$C$1048576,3,FALSE),SUBSTITUTE(SUBSTITUTE(SUBSTITUTE(SUBSTITUTE(C338,".",""),",",""),"-","")," ",""))</f>
        <v/>
      </c>
    </row>
    <row r="339" spans="1:1">
      <c r="A339" s="20" t="str">
        <f>_xlfn.IFNA(VLOOKUP(C339,Ref_CostCat!$A$6:$C$1048576,3,FALSE),SUBSTITUTE(SUBSTITUTE(SUBSTITUTE(SUBSTITUTE(C339,".",""),",",""),"-","")," ",""))</f>
        <v/>
      </c>
    </row>
    <row r="340" spans="1:1">
      <c r="A340" s="20" t="str">
        <f>_xlfn.IFNA(VLOOKUP(C340,Ref_CostCat!$A$6:$C$1048576,3,FALSE),SUBSTITUTE(SUBSTITUTE(SUBSTITUTE(SUBSTITUTE(C340,".",""),",",""),"-","")," ",""))</f>
        <v/>
      </c>
    </row>
    <row r="341" spans="1:1">
      <c r="A341" s="20" t="str">
        <f>_xlfn.IFNA(VLOOKUP(C341,Ref_CostCat!$A$6:$C$1048576,3,FALSE),SUBSTITUTE(SUBSTITUTE(SUBSTITUTE(SUBSTITUTE(C341,".",""),",",""),"-","")," ",""))</f>
        <v/>
      </c>
    </row>
    <row r="342" spans="1:1">
      <c r="A342" s="20" t="str">
        <f>_xlfn.IFNA(VLOOKUP(C342,Ref_CostCat!$A$6:$C$1048576,3,FALSE),SUBSTITUTE(SUBSTITUTE(SUBSTITUTE(SUBSTITUTE(C342,".",""),",",""),"-","")," ",""))</f>
        <v/>
      </c>
    </row>
    <row r="343" spans="1:1">
      <c r="A343" s="20" t="str">
        <f>_xlfn.IFNA(VLOOKUP(C343,Ref_CostCat!$A$6:$C$1048576,3,FALSE),SUBSTITUTE(SUBSTITUTE(SUBSTITUTE(SUBSTITUTE(C343,".",""),",",""),"-","")," ",""))</f>
        <v/>
      </c>
    </row>
    <row r="344" spans="1:1">
      <c r="A344" s="20" t="str">
        <f>_xlfn.IFNA(VLOOKUP(C344,Ref_CostCat!$A$6:$C$1048576,3,FALSE),SUBSTITUTE(SUBSTITUTE(SUBSTITUTE(SUBSTITUTE(C344,".",""),",",""),"-","")," ",""))</f>
        <v/>
      </c>
    </row>
  </sheetData>
  <mergeCells count="1">
    <mergeCell ref="B253:C253"/>
  </mergeCells>
  <conditionalFormatting sqref="E15 D8:O14 D16:O252 G15:O15">
    <cfRule type="containsText" dxfId="171" priority="2" operator="containsText" text="NOT FOUND">
      <formula>NOT(ISERROR(SEARCH("NOT FOUND",D8)))</formula>
    </cfRule>
  </conditionalFormatting>
  <conditionalFormatting sqref="F15">
    <cfRule type="containsText" dxfId="170" priority="1" operator="containsText" text="NOT FOUND">
      <formula>NOT(ISERROR(SEARCH("NOT FOUND",F15)))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8CA40-EA68-4D4D-8998-CEA91F3C02BF}">
  <sheetPr codeName="Sheet2"/>
  <dimension ref="A1:S257"/>
  <sheetViews>
    <sheetView zoomScale="70" zoomScaleNormal="70" workbookViewId="0">
      <pane xSplit="3" ySplit="5" topLeftCell="J6" activePane="bottomRight" state="frozen"/>
      <selection activeCell="D140" sqref="D140"/>
      <selection pane="topRight" activeCell="D140" sqref="D140"/>
      <selection pane="bottomLeft" activeCell="D140" sqref="D140"/>
      <selection pane="bottomRight" activeCell="J17" sqref="J17"/>
    </sheetView>
  </sheetViews>
  <sheetFormatPr defaultRowHeight="16.5"/>
  <cols>
    <col min="1" max="1" width="8" style="102" customWidth="1"/>
    <col min="2" max="2" width="15.7109375" style="41" customWidth="1"/>
    <col min="3" max="3" width="52" style="20" customWidth="1"/>
    <col min="4" max="4" width="22" style="20" customWidth="1"/>
    <col min="5" max="5" width="22.42578125" style="20" customWidth="1"/>
    <col min="6" max="6" width="22.28515625" style="20" customWidth="1"/>
    <col min="7" max="7" width="21.5703125" style="20" customWidth="1"/>
    <col min="8" max="15" width="21.7109375" style="20" customWidth="1"/>
    <col min="16" max="16" width="23.7109375" style="20" customWidth="1"/>
    <col min="17" max="17" width="20.7109375" style="20" customWidth="1"/>
    <col min="18" max="256" width="9.140625" style="20"/>
    <col min="257" max="257" width="5.7109375" style="20" customWidth="1"/>
    <col min="258" max="258" width="17.140625" style="20" customWidth="1"/>
    <col min="259" max="259" width="39.42578125" style="20" customWidth="1"/>
    <col min="260" max="260" width="22" style="20" customWidth="1"/>
    <col min="261" max="261" width="22.42578125" style="20" customWidth="1"/>
    <col min="262" max="262" width="22.28515625" style="20" customWidth="1"/>
    <col min="263" max="263" width="21.5703125" style="20" customWidth="1"/>
    <col min="264" max="271" width="21.7109375" style="20" customWidth="1"/>
    <col min="272" max="272" width="23.7109375" style="20" customWidth="1"/>
    <col min="273" max="273" width="20.7109375" style="20" customWidth="1"/>
    <col min="274" max="512" width="9.140625" style="20"/>
    <col min="513" max="513" width="5.7109375" style="20" customWidth="1"/>
    <col min="514" max="514" width="17.140625" style="20" customWidth="1"/>
    <col min="515" max="515" width="39.42578125" style="20" customWidth="1"/>
    <col min="516" max="516" width="22" style="20" customWidth="1"/>
    <col min="517" max="517" width="22.42578125" style="20" customWidth="1"/>
    <col min="518" max="518" width="22.28515625" style="20" customWidth="1"/>
    <col min="519" max="519" width="21.5703125" style="20" customWidth="1"/>
    <col min="520" max="527" width="21.7109375" style="20" customWidth="1"/>
    <col min="528" max="528" width="23.7109375" style="20" customWidth="1"/>
    <col min="529" max="529" width="20.7109375" style="20" customWidth="1"/>
    <col min="530" max="768" width="9.140625" style="20"/>
    <col min="769" max="769" width="5.7109375" style="20" customWidth="1"/>
    <col min="770" max="770" width="17.140625" style="20" customWidth="1"/>
    <col min="771" max="771" width="39.42578125" style="20" customWidth="1"/>
    <col min="772" max="772" width="22" style="20" customWidth="1"/>
    <col min="773" max="773" width="22.42578125" style="20" customWidth="1"/>
    <col min="774" max="774" width="22.28515625" style="20" customWidth="1"/>
    <col min="775" max="775" width="21.5703125" style="20" customWidth="1"/>
    <col min="776" max="783" width="21.7109375" style="20" customWidth="1"/>
    <col min="784" max="784" width="23.7109375" style="20" customWidth="1"/>
    <col min="785" max="785" width="20.7109375" style="20" customWidth="1"/>
    <col min="786" max="1024" width="9.140625" style="20"/>
    <col min="1025" max="1025" width="5.7109375" style="20" customWidth="1"/>
    <col min="1026" max="1026" width="17.140625" style="20" customWidth="1"/>
    <col min="1027" max="1027" width="39.42578125" style="20" customWidth="1"/>
    <col min="1028" max="1028" width="22" style="20" customWidth="1"/>
    <col min="1029" max="1029" width="22.42578125" style="20" customWidth="1"/>
    <col min="1030" max="1030" width="22.28515625" style="20" customWidth="1"/>
    <col min="1031" max="1031" width="21.5703125" style="20" customWidth="1"/>
    <col min="1032" max="1039" width="21.7109375" style="20" customWidth="1"/>
    <col min="1040" max="1040" width="23.7109375" style="20" customWidth="1"/>
    <col min="1041" max="1041" width="20.7109375" style="20" customWidth="1"/>
    <col min="1042" max="1280" width="9.140625" style="20"/>
    <col min="1281" max="1281" width="5.7109375" style="20" customWidth="1"/>
    <col min="1282" max="1282" width="17.140625" style="20" customWidth="1"/>
    <col min="1283" max="1283" width="39.42578125" style="20" customWidth="1"/>
    <col min="1284" max="1284" width="22" style="20" customWidth="1"/>
    <col min="1285" max="1285" width="22.42578125" style="20" customWidth="1"/>
    <col min="1286" max="1286" width="22.28515625" style="20" customWidth="1"/>
    <col min="1287" max="1287" width="21.5703125" style="20" customWidth="1"/>
    <col min="1288" max="1295" width="21.7109375" style="20" customWidth="1"/>
    <col min="1296" max="1296" width="23.7109375" style="20" customWidth="1"/>
    <col min="1297" max="1297" width="20.7109375" style="20" customWidth="1"/>
    <col min="1298" max="1536" width="9.140625" style="20"/>
    <col min="1537" max="1537" width="5.7109375" style="20" customWidth="1"/>
    <col min="1538" max="1538" width="17.140625" style="20" customWidth="1"/>
    <col min="1539" max="1539" width="39.42578125" style="20" customWidth="1"/>
    <col min="1540" max="1540" width="22" style="20" customWidth="1"/>
    <col min="1541" max="1541" width="22.42578125" style="20" customWidth="1"/>
    <col min="1542" max="1542" width="22.28515625" style="20" customWidth="1"/>
    <col min="1543" max="1543" width="21.5703125" style="20" customWidth="1"/>
    <col min="1544" max="1551" width="21.7109375" style="20" customWidth="1"/>
    <col min="1552" max="1552" width="23.7109375" style="20" customWidth="1"/>
    <col min="1553" max="1553" width="20.7109375" style="20" customWidth="1"/>
    <col min="1554" max="1792" width="9.140625" style="20"/>
    <col min="1793" max="1793" width="5.7109375" style="20" customWidth="1"/>
    <col min="1794" max="1794" width="17.140625" style="20" customWidth="1"/>
    <col min="1795" max="1795" width="39.42578125" style="20" customWidth="1"/>
    <col min="1796" max="1796" width="22" style="20" customWidth="1"/>
    <col min="1797" max="1797" width="22.42578125" style="20" customWidth="1"/>
    <col min="1798" max="1798" width="22.28515625" style="20" customWidth="1"/>
    <col min="1799" max="1799" width="21.5703125" style="20" customWidth="1"/>
    <col min="1800" max="1807" width="21.7109375" style="20" customWidth="1"/>
    <col min="1808" max="1808" width="23.7109375" style="20" customWidth="1"/>
    <col min="1809" max="1809" width="20.7109375" style="20" customWidth="1"/>
    <col min="1810" max="2048" width="9.140625" style="20"/>
    <col min="2049" max="2049" width="5.7109375" style="20" customWidth="1"/>
    <col min="2050" max="2050" width="17.140625" style="20" customWidth="1"/>
    <col min="2051" max="2051" width="39.42578125" style="20" customWidth="1"/>
    <col min="2052" max="2052" width="22" style="20" customWidth="1"/>
    <col min="2053" max="2053" width="22.42578125" style="20" customWidth="1"/>
    <col min="2054" max="2054" width="22.28515625" style="20" customWidth="1"/>
    <col min="2055" max="2055" width="21.5703125" style="20" customWidth="1"/>
    <col min="2056" max="2063" width="21.7109375" style="20" customWidth="1"/>
    <col min="2064" max="2064" width="23.7109375" style="20" customWidth="1"/>
    <col min="2065" max="2065" width="20.7109375" style="20" customWidth="1"/>
    <col min="2066" max="2304" width="9.140625" style="20"/>
    <col min="2305" max="2305" width="5.7109375" style="20" customWidth="1"/>
    <col min="2306" max="2306" width="17.140625" style="20" customWidth="1"/>
    <col min="2307" max="2307" width="39.42578125" style="20" customWidth="1"/>
    <col min="2308" max="2308" width="22" style="20" customWidth="1"/>
    <col min="2309" max="2309" width="22.42578125" style="20" customWidth="1"/>
    <col min="2310" max="2310" width="22.28515625" style="20" customWidth="1"/>
    <col min="2311" max="2311" width="21.5703125" style="20" customWidth="1"/>
    <col min="2312" max="2319" width="21.7109375" style="20" customWidth="1"/>
    <col min="2320" max="2320" width="23.7109375" style="20" customWidth="1"/>
    <col min="2321" max="2321" width="20.7109375" style="20" customWidth="1"/>
    <col min="2322" max="2560" width="9.140625" style="20"/>
    <col min="2561" max="2561" width="5.7109375" style="20" customWidth="1"/>
    <col min="2562" max="2562" width="17.140625" style="20" customWidth="1"/>
    <col min="2563" max="2563" width="39.42578125" style="20" customWidth="1"/>
    <col min="2564" max="2564" width="22" style="20" customWidth="1"/>
    <col min="2565" max="2565" width="22.42578125" style="20" customWidth="1"/>
    <col min="2566" max="2566" width="22.28515625" style="20" customWidth="1"/>
    <col min="2567" max="2567" width="21.5703125" style="20" customWidth="1"/>
    <col min="2568" max="2575" width="21.7109375" style="20" customWidth="1"/>
    <col min="2576" max="2576" width="23.7109375" style="20" customWidth="1"/>
    <col min="2577" max="2577" width="20.7109375" style="20" customWidth="1"/>
    <col min="2578" max="2816" width="9.140625" style="20"/>
    <col min="2817" max="2817" width="5.7109375" style="20" customWidth="1"/>
    <col min="2818" max="2818" width="17.140625" style="20" customWidth="1"/>
    <col min="2819" max="2819" width="39.42578125" style="20" customWidth="1"/>
    <col min="2820" max="2820" width="22" style="20" customWidth="1"/>
    <col min="2821" max="2821" width="22.42578125" style="20" customWidth="1"/>
    <col min="2822" max="2822" width="22.28515625" style="20" customWidth="1"/>
    <col min="2823" max="2823" width="21.5703125" style="20" customWidth="1"/>
    <col min="2824" max="2831" width="21.7109375" style="20" customWidth="1"/>
    <col min="2832" max="2832" width="23.7109375" style="20" customWidth="1"/>
    <col min="2833" max="2833" width="20.7109375" style="20" customWidth="1"/>
    <col min="2834" max="3072" width="9.140625" style="20"/>
    <col min="3073" max="3073" width="5.7109375" style="20" customWidth="1"/>
    <col min="3074" max="3074" width="17.140625" style="20" customWidth="1"/>
    <col min="3075" max="3075" width="39.42578125" style="20" customWidth="1"/>
    <col min="3076" max="3076" width="22" style="20" customWidth="1"/>
    <col min="3077" max="3077" width="22.42578125" style="20" customWidth="1"/>
    <col min="3078" max="3078" width="22.28515625" style="20" customWidth="1"/>
    <col min="3079" max="3079" width="21.5703125" style="20" customWidth="1"/>
    <col min="3080" max="3087" width="21.7109375" style="20" customWidth="1"/>
    <col min="3088" max="3088" width="23.7109375" style="20" customWidth="1"/>
    <col min="3089" max="3089" width="20.7109375" style="20" customWidth="1"/>
    <col min="3090" max="3328" width="9.140625" style="20"/>
    <col min="3329" max="3329" width="5.7109375" style="20" customWidth="1"/>
    <col min="3330" max="3330" width="17.140625" style="20" customWidth="1"/>
    <col min="3331" max="3331" width="39.42578125" style="20" customWidth="1"/>
    <col min="3332" max="3332" width="22" style="20" customWidth="1"/>
    <col min="3333" max="3333" width="22.42578125" style="20" customWidth="1"/>
    <col min="3334" max="3334" width="22.28515625" style="20" customWidth="1"/>
    <col min="3335" max="3335" width="21.5703125" style="20" customWidth="1"/>
    <col min="3336" max="3343" width="21.7109375" style="20" customWidth="1"/>
    <col min="3344" max="3344" width="23.7109375" style="20" customWidth="1"/>
    <col min="3345" max="3345" width="20.7109375" style="20" customWidth="1"/>
    <col min="3346" max="3584" width="9.140625" style="20"/>
    <col min="3585" max="3585" width="5.7109375" style="20" customWidth="1"/>
    <col min="3586" max="3586" width="17.140625" style="20" customWidth="1"/>
    <col min="3587" max="3587" width="39.42578125" style="20" customWidth="1"/>
    <col min="3588" max="3588" width="22" style="20" customWidth="1"/>
    <col min="3589" max="3589" width="22.42578125" style="20" customWidth="1"/>
    <col min="3590" max="3590" width="22.28515625" style="20" customWidth="1"/>
    <col min="3591" max="3591" width="21.5703125" style="20" customWidth="1"/>
    <col min="3592" max="3599" width="21.7109375" style="20" customWidth="1"/>
    <col min="3600" max="3600" width="23.7109375" style="20" customWidth="1"/>
    <col min="3601" max="3601" width="20.7109375" style="20" customWidth="1"/>
    <col min="3602" max="3840" width="9.140625" style="20"/>
    <col min="3841" max="3841" width="5.7109375" style="20" customWidth="1"/>
    <col min="3842" max="3842" width="17.140625" style="20" customWidth="1"/>
    <col min="3843" max="3843" width="39.42578125" style="20" customWidth="1"/>
    <col min="3844" max="3844" width="22" style="20" customWidth="1"/>
    <col min="3845" max="3845" width="22.42578125" style="20" customWidth="1"/>
    <col min="3846" max="3846" width="22.28515625" style="20" customWidth="1"/>
    <col min="3847" max="3847" width="21.5703125" style="20" customWidth="1"/>
    <col min="3848" max="3855" width="21.7109375" style="20" customWidth="1"/>
    <col min="3856" max="3856" width="23.7109375" style="20" customWidth="1"/>
    <col min="3857" max="3857" width="20.7109375" style="20" customWidth="1"/>
    <col min="3858" max="4096" width="9.140625" style="20"/>
    <col min="4097" max="4097" width="5.7109375" style="20" customWidth="1"/>
    <col min="4098" max="4098" width="17.140625" style="20" customWidth="1"/>
    <col min="4099" max="4099" width="39.42578125" style="20" customWidth="1"/>
    <col min="4100" max="4100" width="22" style="20" customWidth="1"/>
    <col min="4101" max="4101" width="22.42578125" style="20" customWidth="1"/>
    <col min="4102" max="4102" width="22.28515625" style="20" customWidth="1"/>
    <col min="4103" max="4103" width="21.5703125" style="20" customWidth="1"/>
    <col min="4104" max="4111" width="21.7109375" style="20" customWidth="1"/>
    <col min="4112" max="4112" width="23.7109375" style="20" customWidth="1"/>
    <col min="4113" max="4113" width="20.7109375" style="20" customWidth="1"/>
    <col min="4114" max="4352" width="9.140625" style="20"/>
    <col min="4353" max="4353" width="5.7109375" style="20" customWidth="1"/>
    <col min="4354" max="4354" width="17.140625" style="20" customWidth="1"/>
    <col min="4355" max="4355" width="39.42578125" style="20" customWidth="1"/>
    <col min="4356" max="4356" width="22" style="20" customWidth="1"/>
    <col min="4357" max="4357" width="22.42578125" style="20" customWidth="1"/>
    <col min="4358" max="4358" width="22.28515625" style="20" customWidth="1"/>
    <col min="4359" max="4359" width="21.5703125" style="20" customWidth="1"/>
    <col min="4360" max="4367" width="21.7109375" style="20" customWidth="1"/>
    <col min="4368" max="4368" width="23.7109375" style="20" customWidth="1"/>
    <col min="4369" max="4369" width="20.7109375" style="20" customWidth="1"/>
    <col min="4370" max="4608" width="9.140625" style="20"/>
    <col min="4609" max="4609" width="5.7109375" style="20" customWidth="1"/>
    <col min="4610" max="4610" width="17.140625" style="20" customWidth="1"/>
    <col min="4611" max="4611" width="39.42578125" style="20" customWidth="1"/>
    <col min="4612" max="4612" width="22" style="20" customWidth="1"/>
    <col min="4613" max="4613" width="22.42578125" style="20" customWidth="1"/>
    <col min="4614" max="4614" width="22.28515625" style="20" customWidth="1"/>
    <col min="4615" max="4615" width="21.5703125" style="20" customWidth="1"/>
    <col min="4616" max="4623" width="21.7109375" style="20" customWidth="1"/>
    <col min="4624" max="4624" width="23.7109375" style="20" customWidth="1"/>
    <col min="4625" max="4625" width="20.7109375" style="20" customWidth="1"/>
    <col min="4626" max="4864" width="9.140625" style="20"/>
    <col min="4865" max="4865" width="5.7109375" style="20" customWidth="1"/>
    <col min="4866" max="4866" width="17.140625" style="20" customWidth="1"/>
    <col min="4867" max="4867" width="39.42578125" style="20" customWidth="1"/>
    <col min="4868" max="4868" width="22" style="20" customWidth="1"/>
    <col min="4869" max="4869" width="22.42578125" style="20" customWidth="1"/>
    <col min="4870" max="4870" width="22.28515625" style="20" customWidth="1"/>
    <col min="4871" max="4871" width="21.5703125" style="20" customWidth="1"/>
    <col min="4872" max="4879" width="21.7109375" style="20" customWidth="1"/>
    <col min="4880" max="4880" width="23.7109375" style="20" customWidth="1"/>
    <col min="4881" max="4881" width="20.7109375" style="20" customWidth="1"/>
    <col min="4882" max="5120" width="9.140625" style="20"/>
    <col min="5121" max="5121" width="5.7109375" style="20" customWidth="1"/>
    <col min="5122" max="5122" width="17.140625" style="20" customWidth="1"/>
    <col min="5123" max="5123" width="39.42578125" style="20" customWidth="1"/>
    <col min="5124" max="5124" width="22" style="20" customWidth="1"/>
    <col min="5125" max="5125" width="22.42578125" style="20" customWidth="1"/>
    <col min="5126" max="5126" width="22.28515625" style="20" customWidth="1"/>
    <col min="5127" max="5127" width="21.5703125" style="20" customWidth="1"/>
    <col min="5128" max="5135" width="21.7109375" style="20" customWidth="1"/>
    <col min="5136" max="5136" width="23.7109375" style="20" customWidth="1"/>
    <col min="5137" max="5137" width="20.7109375" style="20" customWidth="1"/>
    <col min="5138" max="5376" width="9.140625" style="20"/>
    <col min="5377" max="5377" width="5.7109375" style="20" customWidth="1"/>
    <col min="5378" max="5378" width="17.140625" style="20" customWidth="1"/>
    <col min="5379" max="5379" width="39.42578125" style="20" customWidth="1"/>
    <col min="5380" max="5380" width="22" style="20" customWidth="1"/>
    <col min="5381" max="5381" width="22.42578125" style="20" customWidth="1"/>
    <col min="5382" max="5382" width="22.28515625" style="20" customWidth="1"/>
    <col min="5383" max="5383" width="21.5703125" style="20" customWidth="1"/>
    <col min="5384" max="5391" width="21.7109375" style="20" customWidth="1"/>
    <col min="5392" max="5392" width="23.7109375" style="20" customWidth="1"/>
    <col min="5393" max="5393" width="20.7109375" style="20" customWidth="1"/>
    <col min="5394" max="5632" width="9.140625" style="20"/>
    <col min="5633" max="5633" width="5.7109375" style="20" customWidth="1"/>
    <col min="5634" max="5634" width="17.140625" style="20" customWidth="1"/>
    <col min="5635" max="5635" width="39.42578125" style="20" customWidth="1"/>
    <col min="5636" max="5636" width="22" style="20" customWidth="1"/>
    <col min="5637" max="5637" width="22.42578125" style="20" customWidth="1"/>
    <col min="5638" max="5638" width="22.28515625" style="20" customWidth="1"/>
    <col min="5639" max="5639" width="21.5703125" style="20" customWidth="1"/>
    <col min="5640" max="5647" width="21.7109375" style="20" customWidth="1"/>
    <col min="5648" max="5648" width="23.7109375" style="20" customWidth="1"/>
    <col min="5649" max="5649" width="20.7109375" style="20" customWidth="1"/>
    <col min="5650" max="5888" width="9.140625" style="20"/>
    <col min="5889" max="5889" width="5.7109375" style="20" customWidth="1"/>
    <col min="5890" max="5890" width="17.140625" style="20" customWidth="1"/>
    <col min="5891" max="5891" width="39.42578125" style="20" customWidth="1"/>
    <col min="5892" max="5892" width="22" style="20" customWidth="1"/>
    <col min="5893" max="5893" width="22.42578125" style="20" customWidth="1"/>
    <col min="5894" max="5894" width="22.28515625" style="20" customWidth="1"/>
    <col min="5895" max="5895" width="21.5703125" style="20" customWidth="1"/>
    <col min="5896" max="5903" width="21.7109375" style="20" customWidth="1"/>
    <col min="5904" max="5904" width="23.7109375" style="20" customWidth="1"/>
    <col min="5905" max="5905" width="20.7109375" style="20" customWidth="1"/>
    <col min="5906" max="6144" width="9.140625" style="20"/>
    <col min="6145" max="6145" width="5.7109375" style="20" customWidth="1"/>
    <col min="6146" max="6146" width="17.140625" style="20" customWidth="1"/>
    <col min="6147" max="6147" width="39.42578125" style="20" customWidth="1"/>
    <col min="6148" max="6148" width="22" style="20" customWidth="1"/>
    <col min="6149" max="6149" width="22.42578125" style="20" customWidth="1"/>
    <col min="6150" max="6150" width="22.28515625" style="20" customWidth="1"/>
    <col min="6151" max="6151" width="21.5703125" style="20" customWidth="1"/>
    <col min="6152" max="6159" width="21.7109375" style="20" customWidth="1"/>
    <col min="6160" max="6160" width="23.7109375" style="20" customWidth="1"/>
    <col min="6161" max="6161" width="20.7109375" style="20" customWidth="1"/>
    <col min="6162" max="6400" width="9.140625" style="20"/>
    <col min="6401" max="6401" width="5.7109375" style="20" customWidth="1"/>
    <col min="6402" max="6402" width="17.140625" style="20" customWidth="1"/>
    <col min="6403" max="6403" width="39.42578125" style="20" customWidth="1"/>
    <col min="6404" max="6404" width="22" style="20" customWidth="1"/>
    <col min="6405" max="6405" width="22.42578125" style="20" customWidth="1"/>
    <col min="6406" max="6406" width="22.28515625" style="20" customWidth="1"/>
    <col min="6407" max="6407" width="21.5703125" style="20" customWidth="1"/>
    <col min="6408" max="6415" width="21.7109375" style="20" customWidth="1"/>
    <col min="6416" max="6416" width="23.7109375" style="20" customWidth="1"/>
    <col min="6417" max="6417" width="20.7109375" style="20" customWidth="1"/>
    <col min="6418" max="6656" width="9.140625" style="20"/>
    <col min="6657" max="6657" width="5.7109375" style="20" customWidth="1"/>
    <col min="6658" max="6658" width="17.140625" style="20" customWidth="1"/>
    <col min="6659" max="6659" width="39.42578125" style="20" customWidth="1"/>
    <col min="6660" max="6660" width="22" style="20" customWidth="1"/>
    <col min="6661" max="6661" width="22.42578125" style="20" customWidth="1"/>
    <col min="6662" max="6662" width="22.28515625" style="20" customWidth="1"/>
    <col min="6663" max="6663" width="21.5703125" style="20" customWidth="1"/>
    <col min="6664" max="6671" width="21.7109375" style="20" customWidth="1"/>
    <col min="6672" max="6672" width="23.7109375" style="20" customWidth="1"/>
    <col min="6673" max="6673" width="20.7109375" style="20" customWidth="1"/>
    <col min="6674" max="6912" width="9.140625" style="20"/>
    <col min="6913" max="6913" width="5.7109375" style="20" customWidth="1"/>
    <col min="6914" max="6914" width="17.140625" style="20" customWidth="1"/>
    <col min="6915" max="6915" width="39.42578125" style="20" customWidth="1"/>
    <col min="6916" max="6916" width="22" style="20" customWidth="1"/>
    <col min="6917" max="6917" width="22.42578125" style="20" customWidth="1"/>
    <col min="6918" max="6918" width="22.28515625" style="20" customWidth="1"/>
    <col min="6919" max="6919" width="21.5703125" style="20" customWidth="1"/>
    <col min="6920" max="6927" width="21.7109375" style="20" customWidth="1"/>
    <col min="6928" max="6928" width="23.7109375" style="20" customWidth="1"/>
    <col min="6929" max="6929" width="20.7109375" style="20" customWidth="1"/>
    <col min="6930" max="7168" width="9.140625" style="20"/>
    <col min="7169" max="7169" width="5.7109375" style="20" customWidth="1"/>
    <col min="7170" max="7170" width="17.140625" style="20" customWidth="1"/>
    <col min="7171" max="7171" width="39.42578125" style="20" customWidth="1"/>
    <col min="7172" max="7172" width="22" style="20" customWidth="1"/>
    <col min="7173" max="7173" width="22.42578125" style="20" customWidth="1"/>
    <col min="7174" max="7174" width="22.28515625" style="20" customWidth="1"/>
    <col min="7175" max="7175" width="21.5703125" style="20" customWidth="1"/>
    <col min="7176" max="7183" width="21.7109375" style="20" customWidth="1"/>
    <col min="7184" max="7184" width="23.7109375" style="20" customWidth="1"/>
    <col min="7185" max="7185" width="20.7109375" style="20" customWidth="1"/>
    <col min="7186" max="7424" width="9.140625" style="20"/>
    <col min="7425" max="7425" width="5.7109375" style="20" customWidth="1"/>
    <col min="7426" max="7426" width="17.140625" style="20" customWidth="1"/>
    <col min="7427" max="7427" width="39.42578125" style="20" customWidth="1"/>
    <col min="7428" max="7428" width="22" style="20" customWidth="1"/>
    <col min="7429" max="7429" width="22.42578125" style="20" customWidth="1"/>
    <col min="7430" max="7430" width="22.28515625" style="20" customWidth="1"/>
    <col min="7431" max="7431" width="21.5703125" style="20" customWidth="1"/>
    <col min="7432" max="7439" width="21.7109375" style="20" customWidth="1"/>
    <col min="7440" max="7440" width="23.7109375" style="20" customWidth="1"/>
    <col min="7441" max="7441" width="20.7109375" style="20" customWidth="1"/>
    <col min="7442" max="7680" width="9.140625" style="20"/>
    <col min="7681" max="7681" width="5.7109375" style="20" customWidth="1"/>
    <col min="7682" max="7682" width="17.140625" style="20" customWidth="1"/>
    <col min="7683" max="7683" width="39.42578125" style="20" customWidth="1"/>
    <col min="7684" max="7684" width="22" style="20" customWidth="1"/>
    <col min="7685" max="7685" width="22.42578125" style="20" customWidth="1"/>
    <col min="7686" max="7686" width="22.28515625" style="20" customWidth="1"/>
    <col min="7687" max="7687" width="21.5703125" style="20" customWidth="1"/>
    <col min="7688" max="7695" width="21.7109375" style="20" customWidth="1"/>
    <col min="7696" max="7696" width="23.7109375" style="20" customWidth="1"/>
    <col min="7697" max="7697" width="20.7109375" style="20" customWidth="1"/>
    <col min="7698" max="7936" width="9.140625" style="20"/>
    <col min="7937" max="7937" width="5.7109375" style="20" customWidth="1"/>
    <col min="7938" max="7938" width="17.140625" style="20" customWidth="1"/>
    <col min="7939" max="7939" width="39.42578125" style="20" customWidth="1"/>
    <col min="7940" max="7940" width="22" style="20" customWidth="1"/>
    <col min="7941" max="7941" width="22.42578125" style="20" customWidth="1"/>
    <col min="7942" max="7942" width="22.28515625" style="20" customWidth="1"/>
    <col min="7943" max="7943" width="21.5703125" style="20" customWidth="1"/>
    <col min="7944" max="7951" width="21.7109375" style="20" customWidth="1"/>
    <col min="7952" max="7952" width="23.7109375" style="20" customWidth="1"/>
    <col min="7953" max="7953" width="20.7109375" style="20" customWidth="1"/>
    <col min="7954" max="8192" width="9.140625" style="20"/>
    <col min="8193" max="8193" width="5.7109375" style="20" customWidth="1"/>
    <col min="8194" max="8194" width="17.140625" style="20" customWidth="1"/>
    <col min="8195" max="8195" width="39.42578125" style="20" customWidth="1"/>
    <col min="8196" max="8196" width="22" style="20" customWidth="1"/>
    <col min="8197" max="8197" width="22.42578125" style="20" customWidth="1"/>
    <col min="8198" max="8198" width="22.28515625" style="20" customWidth="1"/>
    <col min="8199" max="8199" width="21.5703125" style="20" customWidth="1"/>
    <col min="8200" max="8207" width="21.7109375" style="20" customWidth="1"/>
    <col min="8208" max="8208" width="23.7109375" style="20" customWidth="1"/>
    <col min="8209" max="8209" width="20.7109375" style="20" customWidth="1"/>
    <col min="8210" max="8448" width="9.140625" style="20"/>
    <col min="8449" max="8449" width="5.7109375" style="20" customWidth="1"/>
    <col min="8450" max="8450" width="17.140625" style="20" customWidth="1"/>
    <col min="8451" max="8451" width="39.42578125" style="20" customWidth="1"/>
    <col min="8452" max="8452" width="22" style="20" customWidth="1"/>
    <col min="8453" max="8453" width="22.42578125" style="20" customWidth="1"/>
    <col min="8454" max="8454" width="22.28515625" style="20" customWidth="1"/>
    <col min="8455" max="8455" width="21.5703125" style="20" customWidth="1"/>
    <col min="8456" max="8463" width="21.7109375" style="20" customWidth="1"/>
    <col min="8464" max="8464" width="23.7109375" style="20" customWidth="1"/>
    <col min="8465" max="8465" width="20.7109375" style="20" customWidth="1"/>
    <col min="8466" max="8704" width="9.140625" style="20"/>
    <col min="8705" max="8705" width="5.7109375" style="20" customWidth="1"/>
    <col min="8706" max="8706" width="17.140625" style="20" customWidth="1"/>
    <col min="8707" max="8707" width="39.42578125" style="20" customWidth="1"/>
    <col min="8708" max="8708" width="22" style="20" customWidth="1"/>
    <col min="8709" max="8709" width="22.42578125" style="20" customWidth="1"/>
    <col min="8710" max="8710" width="22.28515625" style="20" customWidth="1"/>
    <col min="8711" max="8711" width="21.5703125" style="20" customWidth="1"/>
    <col min="8712" max="8719" width="21.7109375" style="20" customWidth="1"/>
    <col min="8720" max="8720" width="23.7109375" style="20" customWidth="1"/>
    <col min="8721" max="8721" width="20.7109375" style="20" customWidth="1"/>
    <col min="8722" max="8960" width="9.140625" style="20"/>
    <col min="8961" max="8961" width="5.7109375" style="20" customWidth="1"/>
    <col min="8962" max="8962" width="17.140625" style="20" customWidth="1"/>
    <col min="8963" max="8963" width="39.42578125" style="20" customWidth="1"/>
    <col min="8964" max="8964" width="22" style="20" customWidth="1"/>
    <col min="8965" max="8965" width="22.42578125" style="20" customWidth="1"/>
    <col min="8966" max="8966" width="22.28515625" style="20" customWidth="1"/>
    <col min="8967" max="8967" width="21.5703125" style="20" customWidth="1"/>
    <col min="8968" max="8975" width="21.7109375" style="20" customWidth="1"/>
    <col min="8976" max="8976" width="23.7109375" style="20" customWidth="1"/>
    <col min="8977" max="8977" width="20.7109375" style="20" customWidth="1"/>
    <col min="8978" max="9216" width="9.140625" style="20"/>
    <col min="9217" max="9217" width="5.7109375" style="20" customWidth="1"/>
    <col min="9218" max="9218" width="17.140625" style="20" customWidth="1"/>
    <col min="9219" max="9219" width="39.42578125" style="20" customWidth="1"/>
    <col min="9220" max="9220" width="22" style="20" customWidth="1"/>
    <col min="9221" max="9221" width="22.42578125" style="20" customWidth="1"/>
    <col min="9222" max="9222" width="22.28515625" style="20" customWidth="1"/>
    <col min="9223" max="9223" width="21.5703125" style="20" customWidth="1"/>
    <col min="9224" max="9231" width="21.7109375" style="20" customWidth="1"/>
    <col min="9232" max="9232" width="23.7109375" style="20" customWidth="1"/>
    <col min="9233" max="9233" width="20.7109375" style="20" customWidth="1"/>
    <col min="9234" max="9472" width="9.140625" style="20"/>
    <col min="9473" max="9473" width="5.7109375" style="20" customWidth="1"/>
    <col min="9474" max="9474" width="17.140625" style="20" customWidth="1"/>
    <col min="9475" max="9475" width="39.42578125" style="20" customWidth="1"/>
    <col min="9476" max="9476" width="22" style="20" customWidth="1"/>
    <col min="9477" max="9477" width="22.42578125" style="20" customWidth="1"/>
    <col min="9478" max="9478" width="22.28515625" style="20" customWidth="1"/>
    <col min="9479" max="9479" width="21.5703125" style="20" customWidth="1"/>
    <col min="9480" max="9487" width="21.7109375" style="20" customWidth="1"/>
    <col min="9488" max="9488" width="23.7109375" style="20" customWidth="1"/>
    <col min="9489" max="9489" width="20.7109375" style="20" customWidth="1"/>
    <col min="9490" max="9728" width="9.140625" style="20"/>
    <col min="9729" max="9729" width="5.7109375" style="20" customWidth="1"/>
    <col min="9730" max="9730" width="17.140625" style="20" customWidth="1"/>
    <col min="9731" max="9731" width="39.42578125" style="20" customWidth="1"/>
    <col min="9732" max="9732" width="22" style="20" customWidth="1"/>
    <col min="9733" max="9733" width="22.42578125" style="20" customWidth="1"/>
    <col min="9734" max="9734" width="22.28515625" style="20" customWidth="1"/>
    <col min="9735" max="9735" width="21.5703125" style="20" customWidth="1"/>
    <col min="9736" max="9743" width="21.7109375" style="20" customWidth="1"/>
    <col min="9744" max="9744" width="23.7109375" style="20" customWidth="1"/>
    <col min="9745" max="9745" width="20.7109375" style="20" customWidth="1"/>
    <col min="9746" max="9984" width="9.140625" style="20"/>
    <col min="9985" max="9985" width="5.7109375" style="20" customWidth="1"/>
    <col min="9986" max="9986" width="17.140625" style="20" customWidth="1"/>
    <col min="9987" max="9987" width="39.42578125" style="20" customWidth="1"/>
    <col min="9988" max="9988" width="22" style="20" customWidth="1"/>
    <col min="9989" max="9989" width="22.42578125" style="20" customWidth="1"/>
    <col min="9990" max="9990" width="22.28515625" style="20" customWidth="1"/>
    <col min="9991" max="9991" width="21.5703125" style="20" customWidth="1"/>
    <col min="9992" max="9999" width="21.7109375" style="20" customWidth="1"/>
    <col min="10000" max="10000" width="23.7109375" style="20" customWidth="1"/>
    <col min="10001" max="10001" width="20.7109375" style="20" customWidth="1"/>
    <col min="10002" max="10240" width="9.140625" style="20"/>
    <col min="10241" max="10241" width="5.7109375" style="20" customWidth="1"/>
    <col min="10242" max="10242" width="17.140625" style="20" customWidth="1"/>
    <col min="10243" max="10243" width="39.42578125" style="20" customWidth="1"/>
    <col min="10244" max="10244" width="22" style="20" customWidth="1"/>
    <col min="10245" max="10245" width="22.42578125" style="20" customWidth="1"/>
    <col min="10246" max="10246" width="22.28515625" style="20" customWidth="1"/>
    <col min="10247" max="10247" width="21.5703125" style="20" customWidth="1"/>
    <col min="10248" max="10255" width="21.7109375" style="20" customWidth="1"/>
    <col min="10256" max="10256" width="23.7109375" style="20" customWidth="1"/>
    <col min="10257" max="10257" width="20.7109375" style="20" customWidth="1"/>
    <col min="10258" max="10496" width="9.140625" style="20"/>
    <col min="10497" max="10497" width="5.7109375" style="20" customWidth="1"/>
    <col min="10498" max="10498" width="17.140625" style="20" customWidth="1"/>
    <col min="10499" max="10499" width="39.42578125" style="20" customWidth="1"/>
    <col min="10500" max="10500" width="22" style="20" customWidth="1"/>
    <col min="10501" max="10501" width="22.42578125" style="20" customWidth="1"/>
    <col min="10502" max="10502" width="22.28515625" style="20" customWidth="1"/>
    <col min="10503" max="10503" width="21.5703125" style="20" customWidth="1"/>
    <col min="10504" max="10511" width="21.7109375" style="20" customWidth="1"/>
    <col min="10512" max="10512" width="23.7109375" style="20" customWidth="1"/>
    <col min="10513" max="10513" width="20.7109375" style="20" customWidth="1"/>
    <col min="10514" max="10752" width="9.140625" style="20"/>
    <col min="10753" max="10753" width="5.7109375" style="20" customWidth="1"/>
    <col min="10754" max="10754" width="17.140625" style="20" customWidth="1"/>
    <col min="10755" max="10755" width="39.42578125" style="20" customWidth="1"/>
    <col min="10756" max="10756" width="22" style="20" customWidth="1"/>
    <col min="10757" max="10757" width="22.42578125" style="20" customWidth="1"/>
    <col min="10758" max="10758" width="22.28515625" style="20" customWidth="1"/>
    <col min="10759" max="10759" width="21.5703125" style="20" customWidth="1"/>
    <col min="10760" max="10767" width="21.7109375" style="20" customWidth="1"/>
    <col min="10768" max="10768" width="23.7109375" style="20" customWidth="1"/>
    <col min="10769" max="10769" width="20.7109375" style="20" customWidth="1"/>
    <col min="10770" max="11008" width="9.140625" style="20"/>
    <col min="11009" max="11009" width="5.7109375" style="20" customWidth="1"/>
    <col min="11010" max="11010" width="17.140625" style="20" customWidth="1"/>
    <col min="11011" max="11011" width="39.42578125" style="20" customWidth="1"/>
    <col min="11012" max="11012" width="22" style="20" customWidth="1"/>
    <col min="11013" max="11013" width="22.42578125" style="20" customWidth="1"/>
    <col min="11014" max="11014" width="22.28515625" style="20" customWidth="1"/>
    <col min="11015" max="11015" width="21.5703125" style="20" customWidth="1"/>
    <col min="11016" max="11023" width="21.7109375" style="20" customWidth="1"/>
    <col min="11024" max="11024" width="23.7109375" style="20" customWidth="1"/>
    <col min="11025" max="11025" width="20.7109375" style="20" customWidth="1"/>
    <col min="11026" max="11264" width="9.140625" style="20"/>
    <col min="11265" max="11265" width="5.7109375" style="20" customWidth="1"/>
    <col min="11266" max="11266" width="17.140625" style="20" customWidth="1"/>
    <col min="11267" max="11267" width="39.42578125" style="20" customWidth="1"/>
    <col min="11268" max="11268" width="22" style="20" customWidth="1"/>
    <col min="11269" max="11269" width="22.42578125" style="20" customWidth="1"/>
    <col min="11270" max="11270" width="22.28515625" style="20" customWidth="1"/>
    <col min="11271" max="11271" width="21.5703125" style="20" customWidth="1"/>
    <col min="11272" max="11279" width="21.7109375" style="20" customWidth="1"/>
    <col min="11280" max="11280" width="23.7109375" style="20" customWidth="1"/>
    <col min="11281" max="11281" width="20.7109375" style="20" customWidth="1"/>
    <col min="11282" max="11520" width="9.140625" style="20"/>
    <col min="11521" max="11521" width="5.7109375" style="20" customWidth="1"/>
    <col min="11522" max="11522" width="17.140625" style="20" customWidth="1"/>
    <col min="11523" max="11523" width="39.42578125" style="20" customWidth="1"/>
    <col min="11524" max="11524" width="22" style="20" customWidth="1"/>
    <col min="11525" max="11525" width="22.42578125" style="20" customWidth="1"/>
    <col min="11526" max="11526" width="22.28515625" style="20" customWidth="1"/>
    <col min="11527" max="11527" width="21.5703125" style="20" customWidth="1"/>
    <col min="11528" max="11535" width="21.7109375" style="20" customWidth="1"/>
    <col min="11536" max="11536" width="23.7109375" style="20" customWidth="1"/>
    <col min="11537" max="11537" width="20.7109375" style="20" customWidth="1"/>
    <col min="11538" max="11776" width="9.140625" style="20"/>
    <col min="11777" max="11777" width="5.7109375" style="20" customWidth="1"/>
    <col min="11778" max="11778" width="17.140625" style="20" customWidth="1"/>
    <col min="11779" max="11779" width="39.42578125" style="20" customWidth="1"/>
    <col min="11780" max="11780" width="22" style="20" customWidth="1"/>
    <col min="11781" max="11781" width="22.42578125" style="20" customWidth="1"/>
    <col min="11782" max="11782" width="22.28515625" style="20" customWidth="1"/>
    <col min="11783" max="11783" width="21.5703125" style="20" customWidth="1"/>
    <col min="11784" max="11791" width="21.7109375" style="20" customWidth="1"/>
    <col min="11792" max="11792" width="23.7109375" style="20" customWidth="1"/>
    <col min="11793" max="11793" width="20.7109375" style="20" customWidth="1"/>
    <col min="11794" max="12032" width="9.140625" style="20"/>
    <col min="12033" max="12033" width="5.7109375" style="20" customWidth="1"/>
    <col min="12034" max="12034" width="17.140625" style="20" customWidth="1"/>
    <col min="12035" max="12035" width="39.42578125" style="20" customWidth="1"/>
    <col min="12036" max="12036" width="22" style="20" customWidth="1"/>
    <col min="12037" max="12037" width="22.42578125" style="20" customWidth="1"/>
    <col min="12038" max="12038" width="22.28515625" style="20" customWidth="1"/>
    <col min="12039" max="12039" width="21.5703125" style="20" customWidth="1"/>
    <col min="12040" max="12047" width="21.7109375" style="20" customWidth="1"/>
    <col min="12048" max="12048" width="23.7109375" style="20" customWidth="1"/>
    <col min="12049" max="12049" width="20.7109375" style="20" customWidth="1"/>
    <col min="12050" max="12288" width="9.140625" style="20"/>
    <col min="12289" max="12289" width="5.7109375" style="20" customWidth="1"/>
    <col min="12290" max="12290" width="17.140625" style="20" customWidth="1"/>
    <col min="12291" max="12291" width="39.42578125" style="20" customWidth="1"/>
    <col min="12292" max="12292" width="22" style="20" customWidth="1"/>
    <col min="12293" max="12293" width="22.42578125" style="20" customWidth="1"/>
    <col min="12294" max="12294" width="22.28515625" style="20" customWidth="1"/>
    <col min="12295" max="12295" width="21.5703125" style="20" customWidth="1"/>
    <col min="12296" max="12303" width="21.7109375" style="20" customWidth="1"/>
    <col min="12304" max="12304" width="23.7109375" style="20" customWidth="1"/>
    <col min="12305" max="12305" width="20.7109375" style="20" customWidth="1"/>
    <col min="12306" max="12544" width="9.140625" style="20"/>
    <col min="12545" max="12545" width="5.7109375" style="20" customWidth="1"/>
    <col min="12546" max="12546" width="17.140625" style="20" customWidth="1"/>
    <col min="12547" max="12547" width="39.42578125" style="20" customWidth="1"/>
    <col min="12548" max="12548" width="22" style="20" customWidth="1"/>
    <col min="12549" max="12549" width="22.42578125" style="20" customWidth="1"/>
    <col min="12550" max="12550" width="22.28515625" style="20" customWidth="1"/>
    <col min="12551" max="12551" width="21.5703125" style="20" customWidth="1"/>
    <col min="12552" max="12559" width="21.7109375" style="20" customWidth="1"/>
    <col min="12560" max="12560" width="23.7109375" style="20" customWidth="1"/>
    <col min="12561" max="12561" width="20.7109375" style="20" customWidth="1"/>
    <col min="12562" max="12800" width="9.140625" style="20"/>
    <col min="12801" max="12801" width="5.7109375" style="20" customWidth="1"/>
    <col min="12802" max="12802" width="17.140625" style="20" customWidth="1"/>
    <col min="12803" max="12803" width="39.42578125" style="20" customWidth="1"/>
    <col min="12804" max="12804" width="22" style="20" customWidth="1"/>
    <col min="12805" max="12805" width="22.42578125" style="20" customWidth="1"/>
    <col min="12806" max="12806" width="22.28515625" style="20" customWidth="1"/>
    <col min="12807" max="12807" width="21.5703125" style="20" customWidth="1"/>
    <col min="12808" max="12815" width="21.7109375" style="20" customWidth="1"/>
    <col min="12816" max="12816" width="23.7109375" style="20" customWidth="1"/>
    <col min="12817" max="12817" width="20.7109375" style="20" customWidth="1"/>
    <col min="12818" max="13056" width="9.140625" style="20"/>
    <col min="13057" max="13057" width="5.7109375" style="20" customWidth="1"/>
    <col min="13058" max="13058" width="17.140625" style="20" customWidth="1"/>
    <col min="13059" max="13059" width="39.42578125" style="20" customWidth="1"/>
    <col min="13060" max="13060" width="22" style="20" customWidth="1"/>
    <col min="13061" max="13061" width="22.42578125" style="20" customWidth="1"/>
    <col min="13062" max="13062" width="22.28515625" style="20" customWidth="1"/>
    <col min="13063" max="13063" width="21.5703125" style="20" customWidth="1"/>
    <col min="13064" max="13071" width="21.7109375" style="20" customWidth="1"/>
    <col min="13072" max="13072" width="23.7109375" style="20" customWidth="1"/>
    <col min="13073" max="13073" width="20.7109375" style="20" customWidth="1"/>
    <col min="13074" max="13312" width="9.140625" style="20"/>
    <col min="13313" max="13313" width="5.7109375" style="20" customWidth="1"/>
    <col min="13314" max="13314" width="17.140625" style="20" customWidth="1"/>
    <col min="13315" max="13315" width="39.42578125" style="20" customWidth="1"/>
    <col min="13316" max="13316" width="22" style="20" customWidth="1"/>
    <col min="13317" max="13317" width="22.42578125" style="20" customWidth="1"/>
    <col min="13318" max="13318" width="22.28515625" style="20" customWidth="1"/>
    <col min="13319" max="13319" width="21.5703125" style="20" customWidth="1"/>
    <col min="13320" max="13327" width="21.7109375" style="20" customWidth="1"/>
    <col min="13328" max="13328" width="23.7109375" style="20" customWidth="1"/>
    <col min="13329" max="13329" width="20.7109375" style="20" customWidth="1"/>
    <col min="13330" max="13568" width="9.140625" style="20"/>
    <col min="13569" max="13569" width="5.7109375" style="20" customWidth="1"/>
    <col min="13570" max="13570" width="17.140625" style="20" customWidth="1"/>
    <col min="13571" max="13571" width="39.42578125" style="20" customWidth="1"/>
    <col min="13572" max="13572" width="22" style="20" customWidth="1"/>
    <col min="13573" max="13573" width="22.42578125" style="20" customWidth="1"/>
    <col min="13574" max="13574" width="22.28515625" style="20" customWidth="1"/>
    <col min="13575" max="13575" width="21.5703125" style="20" customWidth="1"/>
    <col min="13576" max="13583" width="21.7109375" style="20" customWidth="1"/>
    <col min="13584" max="13584" width="23.7109375" style="20" customWidth="1"/>
    <col min="13585" max="13585" width="20.7109375" style="20" customWidth="1"/>
    <col min="13586" max="13824" width="9.140625" style="20"/>
    <col min="13825" max="13825" width="5.7109375" style="20" customWidth="1"/>
    <col min="13826" max="13826" width="17.140625" style="20" customWidth="1"/>
    <col min="13827" max="13827" width="39.42578125" style="20" customWidth="1"/>
    <col min="13828" max="13828" width="22" style="20" customWidth="1"/>
    <col min="13829" max="13829" width="22.42578125" style="20" customWidth="1"/>
    <col min="13830" max="13830" width="22.28515625" style="20" customWidth="1"/>
    <col min="13831" max="13831" width="21.5703125" style="20" customWidth="1"/>
    <col min="13832" max="13839" width="21.7109375" style="20" customWidth="1"/>
    <col min="13840" max="13840" width="23.7109375" style="20" customWidth="1"/>
    <col min="13841" max="13841" width="20.7109375" style="20" customWidth="1"/>
    <col min="13842" max="14080" width="9.140625" style="20"/>
    <col min="14081" max="14081" width="5.7109375" style="20" customWidth="1"/>
    <col min="14082" max="14082" width="17.140625" style="20" customWidth="1"/>
    <col min="14083" max="14083" width="39.42578125" style="20" customWidth="1"/>
    <col min="14084" max="14084" width="22" style="20" customWidth="1"/>
    <col min="14085" max="14085" width="22.42578125" style="20" customWidth="1"/>
    <col min="14086" max="14086" width="22.28515625" style="20" customWidth="1"/>
    <col min="14087" max="14087" width="21.5703125" style="20" customWidth="1"/>
    <col min="14088" max="14095" width="21.7109375" style="20" customWidth="1"/>
    <col min="14096" max="14096" width="23.7109375" style="20" customWidth="1"/>
    <col min="14097" max="14097" width="20.7109375" style="20" customWidth="1"/>
    <col min="14098" max="14336" width="9.140625" style="20"/>
    <col min="14337" max="14337" width="5.7109375" style="20" customWidth="1"/>
    <col min="14338" max="14338" width="17.140625" style="20" customWidth="1"/>
    <col min="14339" max="14339" width="39.42578125" style="20" customWidth="1"/>
    <col min="14340" max="14340" width="22" style="20" customWidth="1"/>
    <col min="14341" max="14341" width="22.42578125" style="20" customWidth="1"/>
    <col min="14342" max="14342" width="22.28515625" style="20" customWidth="1"/>
    <col min="14343" max="14343" width="21.5703125" style="20" customWidth="1"/>
    <col min="14344" max="14351" width="21.7109375" style="20" customWidth="1"/>
    <col min="14352" max="14352" width="23.7109375" style="20" customWidth="1"/>
    <col min="14353" max="14353" width="20.7109375" style="20" customWidth="1"/>
    <col min="14354" max="14592" width="9.140625" style="20"/>
    <col min="14593" max="14593" width="5.7109375" style="20" customWidth="1"/>
    <col min="14594" max="14594" width="17.140625" style="20" customWidth="1"/>
    <col min="14595" max="14595" width="39.42578125" style="20" customWidth="1"/>
    <col min="14596" max="14596" width="22" style="20" customWidth="1"/>
    <col min="14597" max="14597" width="22.42578125" style="20" customWidth="1"/>
    <col min="14598" max="14598" width="22.28515625" style="20" customWidth="1"/>
    <col min="14599" max="14599" width="21.5703125" style="20" customWidth="1"/>
    <col min="14600" max="14607" width="21.7109375" style="20" customWidth="1"/>
    <col min="14608" max="14608" width="23.7109375" style="20" customWidth="1"/>
    <col min="14609" max="14609" width="20.7109375" style="20" customWidth="1"/>
    <col min="14610" max="14848" width="9.140625" style="20"/>
    <col min="14849" max="14849" width="5.7109375" style="20" customWidth="1"/>
    <col min="14850" max="14850" width="17.140625" style="20" customWidth="1"/>
    <col min="14851" max="14851" width="39.42578125" style="20" customWidth="1"/>
    <col min="14852" max="14852" width="22" style="20" customWidth="1"/>
    <col min="14853" max="14853" width="22.42578125" style="20" customWidth="1"/>
    <col min="14854" max="14854" width="22.28515625" style="20" customWidth="1"/>
    <col min="14855" max="14855" width="21.5703125" style="20" customWidth="1"/>
    <col min="14856" max="14863" width="21.7109375" style="20" customWidth="1"/>
    <col min="14864" max="14864" width="23.7109375" style="20" customWidth="1"/>
    <col min="14865" max="14865" width="20.7109375" style="20" customWidth="1"/>
    <col min="14866" max="15104" width="9.140625" style="20"/>
    <col min="15105" max="15105" width="5.7109375" style="20" customWidth="1"/>
    <col min="15106" max="15106" width="17.140625" style="20" customWidth="1"/>
    <col min="15107" max="15107" width="39.42578125" style="20" customWidth="1"/>
    <col min="15108" max="15108" width="22" style="20" customWidth="1"/>
    <col min="15109" max="15109" width="22.42578125" style="20" customWidth="1"/>
    <col min="15110" max="15110" width="22.28515625" style="20" customWidth="1"/>
    <col min="15111" max="15111" width="21.5703125" style="20" customWidth="1"/>
    <col min="15112" max="15119" width="21.7109375" style="20" customWidth="1"/>
    <col min="15120" max="15120" width="23.7109375" style="20" customWidth="1"/>
    <col min="15121" max="15121" width="20.7109375" style="20" customWidth="1"/>
    <col min="15122" max="15360" width="9.140625" style="20"/>
    <col min="15361" max="15361" width="5.7109375" style="20" customWidth="1"/>
    <col min="15362" max="15362" width="17.140625" style="20" customWidth="1"/>
    <col min="15363" max="15363" width="39.42578125" style="20" customWidth="1"/>
    <col min="15364" max="15364" width="22" style="20" customWidth="1"/>
    <col min="15365" max="15365" width="22.42578125" style="20" customWidth="1"/>
    <col min="15366" max="15366" width="22.28515625" style="20" customWidth="1"/>
    <col min="15367" max="15367" width="21.5703125" style="20" customWidth="1"/>
    <col min="15368" max="15375" width="21.7109375" style="20" customWidth="1"/>
    <col min="15376" max="15376" width="23.7109375" style="20" customWidth="1"/>
    <col min="15377" max="15377" width="20.7109375" style="20" customWidth="1"/>
    <col min="15378" max="15616" width="9.140625" style="20"/>
    <col min="15617" max="15617" width="5.7109375" style="20" customWidth="1"/>
    <col min="15618" max="15618" width="17.140625" style="20" customWidth="1"/>
    <col min="15619" max="15619" width="39.42578125" style="20" customWidth="1"/>
    <col min="15620" max="15620" width="22" style="20" customWidth="1"/>
    <col min="15621" max="15621" width="22.42578125" style="20" customWidth="1"/>
    <col min="15622" max="15622" width="22.28515625" style="20" customWidth="1"/>
    <col min="15623" max="15623" width="21.5703125" style="20" customWidth="1"/>
    <col min="15624" max="15631" width="21.7109375" style="20" customWidth="1"/>
    <col min="15632" max="15632" width="23.7109375" style="20" customWidth="1"/>
    <col min="15633" max="15633" width="20.7109375" style="20" customWidth="1"/>
    <col min="15634" max="15872" width="9.140625" style="20"/>
    <col min="15873" max="15873" width="5.7109375" style="20" customWidth="1"/>
    <col min="15874" max="15874" width="17.140625" style="20" customWidth="1"/>
    <col min="15875" max="15875" width="39.42578125" style="20" customWidth="1"/>
    <col min="15876" max="15876" width="22" style="20" customWidth="1"/>
    <col min="15877" max="15877" width="22.42578125" style="20" customWidth="1"/>
    <col min="15878" max="15878" width="22.28515625" style="20" customWidth="1"/>
    <col min="15879" max="15879" width="21.5703125" style="20" customWidth="1"/>
    <col min="15880" max="15887" width="21.7109375" style="20" customWidth="1"/>
    <col min="15888" max="15888" width="23.7109375" style="20" customWidth="1"/>
    <col min="15889" max="15889" width="20.7109375" style="20" customWidth="1"/>
    <col min="15890" max="16128" width="9.140625" style="20"/>
    <col min="16129" max="16129" width="5.7109375" style="20" customWidth="1"/>
    <col min="16130" max="16130" width="17.140625" style="20" customWidth="1"/>
    <col min="16131" max="16131" width="39.42578125" style="20" customWidth="1"/>
    <col min="16132" max="16132" width="22" style="20" customWidth="1"/>
    <col min="16133" max="16133" width="22.42578125" style="20" customWidth="1"/>
    <col min="16134" max="16134" width="22.28515625" style="20" customWidth="1"/>
    <col min="16135" max="16135" width="21.5703125" style="20" customWidth="1"/>
    <col min="16136" max="16143" width="21.7109375" style="20" customWidth="1"/>
    <col min="16144" max="16144" width="23.7109375" style="20" customWidth="1"/>
    <col min="16145" max="16145" width="20.7109375" style="20" customWidth="1"/>
    <col min="16146" max="16384" width="9.140625" style="20"/>
  </cols>
  <sheetData>
    <row r="1" spans="1:19" ht="26.25" customHeight="1">
      <c r="A1" s="100"/>
      <c r="B1" s="18"/>
      <c r="C1" s="19" t="s">
        <v>10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9" ht="19.5" customHeight="1">
      <c r="A2" s="100"/>
      <c r="B2" s="18"/>
      <c r="C2" s="21" t="s">
        <v>11</v>
      </c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3" spans="1:19" ht="17.45" customHeight="1">
      <c r="A3" s="100"/>
      <c r="B3" s="18"/>
      <c r="C3" s="23">
        <v>1204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</row>
    <row r="4" spans="1:19" ht="24" customHeight="1">
      <c r="A4" s="100"/>
      <c r="B4" s="62" t="s">
        <v>12</v>
      </c>
      <c r="C4" s="62" t="s">
        <v>13</v>
      </c>
      <c r="D4" s="62" t="s">
        <v>14</v>
      </c>
      <c r="E4" s="62" t="s">
        <v>15</v>
      </c>
      <c r="F4" s="62" t="s">
        <v>16</v>
      </c>
      <c r="G4" s="62" t="s">
        <v>17</v>
      </c>
      <c r="H4" s="62" t="s">
        <v>18</v>
      </c>
      <c r="I4" s="62" t="s">
        <v>19</v>
      </c>
      <c r="J4" s="62" t="s">
        <v>20</v>
      </c>
      <c r="K4" s="62" t="s">
        <v>21</v>
      </c>
      <c r="L4" s="62" t="s">
        <v>22</v>
      </c>
      <c r="M4" s="62" t="s">
        <v>23</v>
      </c>
      <c r="N4" s="62" t="s">
        <v>24</v>
      </c>
      <c r="O4" s="62" t="s">
        <v>25</v>
      </c>
      <c r="P4" s="62" t="s">
        <v>26</v>
      </c>
      <c r="Q4" s="18"/>
    </row>
    <row r="5" spans="1:19" ht="3" customHeight="1">
      <c r="B5" s="109"/>
      <c r="C5" s="110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8"/>
    </row>
    <row r="6" spans="1:19" ht="17.45" customHeight="1">
      <c r="B6" s="25"/>
      <c r="C6" s="90" t="s">
        <v>27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18"/>
    </row>
    <row r="7" spans="1:19" ht="17.45" customHeight="1">
      <c r="B7" s="25"/>
      <c r="C7" s="91" t="s">
        <v>28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18"/>
    </row>
    <row r="8" spans="1:19" ht="17.45" customHeight="1">
      <c r="A8" s="103"/>
      <c r="B8" s="31" t="s">
        <v>30</v>
      </c>
      <c r="C8" s="92" t="s">
        <v>31</v>
      </c>
      <c r="D8" s="81"/>
      <c r="E8" s="81"/>
      <c r="F8" s="81">
        <v>826982.18</v>
      </c>
      <c r="G8" s="81"/>
      <c r="H8" s="81"/>
      <c r="I8" s="81"/>
      <c r="J8" s="81"/>
      <c r="K8" s="81"/>
      <c r="L8" s="81"/>
      <c r="M8" s="81"/>
      <c r="N8" s="81"/>
      <c r="O8" s="81"/>
      <c r="P8" s="81">
        <f t="shared" ref="P8:P13" si="0">D8+E8+F8+G8+H8+I8+J8+K8+L8+M8+N8+O8</f>
        <v>826982.18</v>
      </c>
      <c r="Q8" s="18"/>
    </row>
    <row r="9" spans="1:19" ht="17.45" customHeight="1">
      <c r="A9" s="103"/>
      <c r="B9" s="31" t="s">
        <v>32</v>
      </c>
      <c r="C9" s="92" t="s">
        <v>33</v>
      </c>
      <c r="D9" s="81"/>
      <c r="E9" s="81"/>
      <c r="F9" s="81">
        <v>0</v>
      </c>
      <c r="G9" s="81"/>
      <c r="H9" s="81"/>
      <c r="I9" s="81"/>
      <c r="J9" s="81"/>
      <c r="K9" s="81"/>
      <c r="L9" s="81"/>
      <c r="M9" s="81"/>
      <c r="N9" s="81"/>
      <c r="O9" s="81"/>
      <c r="P9" s="81">
        <f t="shared" si="0"/>
        <v>0</v>
      </c>
      <c r="Q9" s="18"/>
    </row>
    <row r="10" spans="1:19" ht="17.45" customHeight="1">
      <c r="A10" s="103"/>
      <c r="B10" s="31" t="s">
        <v>34</v>
      </c>
      <c r="C10" s="92" t="s">
        <v>35</v>
      </c>
      <c r="D10" s="81"/>
      <c r="E10" s="81"/>
      <c r="F10" s="81">
        <v>0</v>
      </c>
      <c r="G10" s="81"/>
      <c r="H10" s="81"/>
      <c r="I10" s="81"/>
      <c r="J10" s="81"/>
      <c r="K10" s="81"/>
      <c r="L10" s="81"/>
      <c r="M10" s="81"/>
      <c r="N10" s="81"/>
      <c r="O10" s="81"/>
      <c r="P10" s="81">
        <f t="shared" si="0"/>
        <v>0</v>
      </c>
      <c r="Q10" s="18"/>
    </row>
    <row r="11" spans="1:19" ht="17.45" customHeight="1">
      <c r="A11" s="103"/>
      <c r="B11" s="31" t="s">
        <v>36</v>
      </c>
      <c r="C11" s="92" t="s">
        <v>37</v>
      </c>
      <c r="D11" s="81"/>
      <c r="E11" s="81"/>
      <c r="F11" s="81">
        <v>14591.23</v>
      </c>
      <c r="G11" s="81"/>
      <c r="H11" s="81"/>
      <c r="I11" s="81"/>
      <c r="J11" s="81"/>
      <c r="K11" s="81"/>
      <c r="L11" s="81"/>
      <c r="M11" s="81"/>
      <c r="N11" s="81"/>
      <c r="O11" s="81"/>
      <c r="P11" s="81">
        <f t="shared" si="0"/>
        <v>14591.23</v>
      </c>
      <c r="Q11" s="18"/>
    </row>
    <row r="12" spans="1:19" ht="17.45" customHeight="1">
      <c r="A12" s="103"/>
      <c r="B12" s="31" t="s">
        <v>38</v>
      </c>
      <c r="C12" s="92" t="s">
        <v>39</v>
      </c>
      <c r="D12" s="81"/>
      <c r="E12" s="81"/>
      <c r="F12" s="81">
        <v>0</v>
      </c>
      <c r="G12" s="81"/>
      <c r="H12" s="81"/>
      <c r="I12" s="81"/>
      <c r="J12" s="81"/>
      <c r="K12" s="81"/>
      <c r="L12" s="81"/>
      <c r="M12" s="81"/>
      <c r="N12" s="81"/>
      <c r="O12" s="81"/>
      <c r="P12" s="81">
        <f t="shared" si="0"/>
        <v>0</v>
      </c>
      <c r="Q12" s="18"/>
    </row>
    <row r="13" spans="1:19" ht="17.45" customHeight="1">
      <c r="A13" s="103"/>
      <c r="B13" s="31" t="s">
        <v>40</v>
      </c>
      <c r="C13" s="92" t="s">
        <v>41</v>
      </c>
      <c r="D13" s="81"/>
      <c r="E13" s="81"/>
      <c r="F13" s="81">
        <v>0</v>
      </c>
      <c r="G13" s="81"/>
      <c r="H13" s="81"/>
      <c r="I13" s="81"/>
      <c r="J13" s="81"/>
      <c r="K13" s="81"/>
      <c r="L13" s="81"/>
      <c r="M13" s="81"/>
      <c r="N13" s="81"/>
      <c r="O13" s="81"/>
      <c r="P13" s="81">
        <f t="shared" si="0"/>
        <v>0</v>
      </c>
      <c r="Q13" s="18"/>
    </row>
    <row r="14" spans="1:19" ht="17.45" customHeight="1">
      <c r="A14" s="103"/>
      <c r="B14" s="31"/>
      <c r="C14" s="92" t="s">
        <v>42</v>
      </c>
      <c r="D14" s="81"/>
      <c r="E14" s="81"/>
      <c r="F14" s="81">
        <v>0</v>
      </c>
      <c r="G14" s="81"/>
      <c r="H14" s="81"/>
      <c r="I14" s="81"/>
      <c r="J14" s="81"/>
      <c r="K14" s="81"/>
      <c r="L14" s="81"/>
      <c r="M14" s="81"/>
      <c r="N14" s="81"/>
      <c r="O14" s="81"/>
      <c r="P14" s="81">
        <v>0</v>
      </c>
    </row>
    <row r="15" spans="1:19" ht="17.45" customHeight="1">
      <c r="A15" s="103"/>
      <c r="B15" s="63" t="s">
        <v>44</v>
      </c>
      <c r="C15" s="115" t="s">
        <v>28</v>
      </c>
      <c r="D15" s="114">
        <f t="shared" ref="D15:O15" si="1">SUM(D7:D13)</f>
        <v>0</v>
      </c>
      <c r="E15" s="114">
        <f t="shared" si="1"/>
        <v>0</v>
      </c>
      <c r="F15" s="114">
        <f t="shared" si="1"/>
        <v>841573.41</v>
      </c>
      <c r="G15" s="114">
        <f t="shared" si="1"/>
        <v>0</v>
      </c>
      <c r="H15" s="114">
        <f t="shared" si="1"/>
        <v>0</v>
      </c>
      <c r="I15" s="114">
        <f t="shared" si="1"/>
        <v>0</v>
      </c>
      <c r="J15" s="114">
        <f t="shared" si="1"/>
        <v>0</v>
      </c>
      <c r="K15" s="114">
        <f t="shared" si="1"/>
        <v>0</v>
      </c>
      <c r="L15" s="114">
        <f t="shared" si="1"/>
        <v>0</v>
      </c>
      <c r="M15" s="114">
        <f t="shared" si="1"/>
        <v>0</v>
      </c>
      <c r="N15" s="114">
        <f t="shared" si="1"/>
        <v>0</v>
      </c>
      <c r="O15" s="114">
        <f t="shared" si="1"/>
        <v>0</v>
      </c>
      <c r="P15" s="114">
        <f>SUM(P7:P13)</f>
        <v>841573.41</v>
      </c>
      <c r="Q15" s="22"/>
      <c r="R15" s="32"/>
      <c r="S15" s="22"/>
    </row>
    <row r="16" spans="1:19" ht="17.45" customHeight="1">
      <c r="A16" s="103"/>
      <c r="B16" s="69" t="s">
        <v>46</v>
      </c>
      <c r="C16" s="93" t="s">
        <v>47</v>
      </c>
      <c r="D16" s="89">
        <f t="shared" ref="D16:O16" si="2">D15</f>
        <v>0</v>
      </c>
      <c r="E16" s="89">
        <f t="shared" si="2"/>
        <v>0</v>
      </c>
      <c r="F16" s="89">
        <f t="shared" si="2"/>
        <v>841573.41</v>
      </c>
      <c r="G16" s="89">
        <f t="shared" si="2"/>
        <v>0</v>
      </c>
      <c r="H16" s="89">
        <f t="shared" si="2"/>
        <v>0</v>
      </c>
      <c r="I16" s="89">
        <f t="shared" si="2"/>
        <v>0</v>
      </c>
      <c r="J16" s="89">
        <f t="shared" si="2"/>
        <v>0</v>
      </c>
      <c r="K16" s="89">
        <f t="shared" si="2"/>
        <v>0</v>
      </c>
      <c r="L16" s="89">
        <f t="shared" si="2"/>
        <v>0</v>
      </c>
      <c r="M16" s="89">
        <f t="shared" si="2"/>
        <v>0</v>
      </c>
      <c r="N16" s="89">
        <f t="shared" si="2"/>
        <v>0</v>
      </c>
      <c r="O16" s="89">
        <f t="shared" si="2"/>
        <v>0</v>
      </c>
      <c r="P16" s="89">
        <f>P15</f>
        <v>841573.41</v>
      </c>
      <c r="Q16" s="22"/>
      <c r="R16" s="32"/>
      <c r="S16" s="22"/>
    </row>
    <row r="17" spans="1:19" ht="17.45" customHeight="1">
      <c r="A17" s="103"/>
      <c r="B17" s="31"/>
      <c r="C17" s="90" t="s">
        <v>48</v>
      </c>
      <c r="D17" s="81"/>
      <c r="E17" s="81"/>
      <c r="F17" s="81">
        <v>0</v>
      </c>
      <c r="G17" s="81"/>
      <c r="H17" s="81"/>
      <c r="I17" s="81"/>
      <c r="J17" s="81"/>
      <c r="K17" s="81"/>
      <c r="L17" s="81"/>
      <c r="M17" s="81"/>
      <c r="N17" s="81"/>
      <c r="O17" s="81"/>
      <c r="P17" s="81">
        <f t="shared" ref="P17:P23" si="3">D17+E17+F17+G17+H17+I17+J17+K17+L17+M17+N17+O17</f>
        <v>0</v>
      </c>
      <c r="Q17" s="18"/>
    </row>
    <row r="18" spans="1:19" ht="17.45" customHeight="1">
      <c r="A18" s="103"/>
      <c r="B18" s="31"/>
      <c r="C18" s="91" t="s">
        <v>49</v>
      </c>
      <c r="D18" s="81"/>
      <c r="E18" s="81"/>
      <c r="F18" s="81">
        <v>0</v>
      </c>
      <c r="G18" s="81"/>
      <c r="H18" s="81"/>
      <c r="I18" s="81"/>
      <c r="J18" s="81"/>
      <c r="K18" s="81"/>
      <c r="L18" s="81"/>
      <c r="M18" s="81"/>
      <c r="N18" s="81"/>
      <c r="O18" s="81"/>
      <c r="P18" s="81">
        <f t="shared" si="3"/>
        <v>0</v>
      </c>
      <c r="Q18" s="18"/>
    </row>
    <row r="19" spans="1:19" ht="17.45" customHeight="1">
      <c r="A19" s="103"/>
      <c r="B19" s="31" t="s">
        <v>50</v>
      </c>
      <c r="C19" s="92" t="s">
        <v>51</v>
      </c>
      <c r="D19" s="81"/>
      <c r="E19" s="81"/>
      <c r="F19" s="81">
        <v>2043009.97</v>
      </c>
      <c r="G19" s="81"/>
      <c r="H19" s="81"/>
      <c r="I19" s="81"/>
      <c r="J19" s="81"/>
      <c r="K19" s="81"/>
      <c r="L19" s="81"/>
      <c r="M19" s="81"/>
      <c r="N19" s="81"/>
      <c r="O19" s="81"/>
      <c r="P19" s="81">
        <f t="shared" si="3"/>
        <v>2043009.97</v>
      </c>
      <c r="Q19" s="18"/>
    </row>
    <row r="20" spans="1:19" ht="17.45" customHeight="1">
      <c r="A20" s="103"/>
      <c r="B20" s="31" t="s">
        <v>53</v>
      </c>
      <c r="C20" s="26" t="s">
        <v>54</v>
      </c>
      <c r="D20" s="81"/>
      <c r="E20" s="81"/>
      <c r="F20" s="81">
        <v>0</v>
      </c>
      <c r="G20" s="81"/>
      <c r="H20" s="81"/>
      <c r="I20" s="81"/>
      <c r="J20" s="81"/>
      <c r="K20" s="81"/>
      <c r="L20" s="81"/>
      <c r="M20" s="81"/>
      <c r="N20" s="81"/>
      <c r="O20" s="81"/>
      <c r="P20" s="81">
        <f t="shared" si="3"/>
        <v>0</v>
      </c>
      <c r="Q20" s="18"/>
    </row>
    <row r="21" spans="1:19" ht="17.45" customHeight="1">
      <c r="A21" s="103"/>
      <c r="B21" s="31"/>
      <c r="C21" s="26" t="s">
        <v>55</v>
      </c>
      <c r="D21" s="81"/>
      <c r="E21" s="81"/>
      <c r="F21" s="81">
        <v>2043009.97</v>
      </c>
      <c r="G21" s="81"/>
      <c r="H21" s="81"/>
      <c r="I21" s="81"/>
      <c r="J21" s="81"/>
      <c r="K21" s="81"/>
      <c r="L21" s="81"/>
      <c r="M21" s="81"/>
      <c r="N21" s="81"/>
      <c r="O21" s="81"/>
      <c r="P21" s="81">
        <f t="shared" si="3"/>
        <v>2043009.97</v>
      </c>
      <c r="Q21" s="18"/>
    </row>
    <row r="22" spans="1:19" ht="17.45" customHeight="1">
      <c r="A22" s="103"/>
      <c r="B22" s="31" t="s">
        <v>56</v>
      </c>
      <c r="C22" s="26" t="s">
        <v>57</v>
      </c>
      <c r="D22" s="81"/>
      <c r="E22" s="81"/>
      <c r="F22" s="81">
        <v>0</v>
      </c>
      <c r="G22" s="81"/>
      <c r="H22" s="81"/>
      <c r="I22" s="81"/>
      <c r="J22" s="81"/>
      <c r="K22" s="81"/>
      <c r="L22" s="81"/>
      <c r="M22" s="81"/>
      <c r="N22" s="81"/>
      <c r="O22" s="81"/>
      <c r="P22" s="81">
        <f t="shared" si="3"/>
        <v>0</v>
      </c>
      <c r="Q22" s="18"/>
    </row>
    <row r="23" spans="1:19" ht="17.45" customHeight="1">
      <c r="A23" s="103"/>
      <c r="B23" s="31" t="s">
        <v>58</v>
      </c>
      <c r="C23" s="26" t="s">
        <v>59</v>
      </c>
      <c r="D23" s="81"/>
      <c r="E23" s="81"/>
      <c r="F23" s="81">
        <v>0</v>
      </c>
      <c r="G23" s="81"/>
      <c r="H23" s="81"/>
      <c r="I23" s="81"/>
      <c r="J23" s="81"/>
      <c r="K23" s="81"/>
      <c r="L23" s="81"/>
      <c r="M23" s="81"/>
      <c r="N23" s="81"/>
      <c r="O23" s="81"/>
      <c r="P23" s="81">
        <f t="shared" si="3"/>
        <v>0</v>
      </c>
      <c r="Q23" s="18"/>
    </row>
    <row r="24" spans="1:19" ht="17.45" customHeight="1">
      <c r="A24" s="103"/>
      <c r="B24" s="71"/>
      <c r="C24" s="72" t="s">
        <v>60</v>
      </c>
      <c r="D24" s="88">
        <f t="shared" ref="D24:O24" si="4">SUM(D18:D23)</f>
        <v>0</v>
      </c>
      <c r="E24" s="88">
        <f t="shared" si="4"/>
        <v>0</v>
      </c>
      <c r="F24" s="88">
        <f t="shared" si="4"/>
        <v>4086019.94</v>
      </c>
      <c r="G24" s="88">
        <f t="shared" si="4"/>
        <v>0</v>
      </c>
      <c r="H24" s="88">
        <f t="shared" si="4"/>
        <v>0</v>
      </c>
      <c r="I24" s="88">
        <f t="shared" si="4"/>
        <v>0</v>
      </c>
      <c r="J24" s="88">
        <f t="shared" si="4"/>
        <v>0</v>
      </c>
      <c r="K24" s="88">
        <f t="shared" si="4"/>
        <v>0</v>
      </c>
      <c r="L24" s="88">
        <f t="shared" si="4"/>
        <v>0</v>
      </c>
      <c r="M24" s="88">
        <f t="shared" si="4"/>
        <v>0</v>
      </c>
      <c r="N24" s="88">
        <f t="shared" si="4"/>
        <v>0</v>
      </c>
      <c r="O24" s="88">
        <f t="shared" si="4"/>
        <v>0</v>
      </c>
      <c r="P24" s="88">
        <f>SUM(P18:P23)</f>
        <v>4086019.94</v>
      </c>
      <c r="Q24" s="22"/>
      <c r="R24" s="32"/>
      <c r="S24" s="22"/>
    </row>
    <row r="25" spans="1:19" ht="17.45" customHeight="1">
      <c r="A25" s="103"/>
      <c r="B25" s="31" t="s">
        <v>61</v>
      </c>
      <c r="C25" s="26" t="s">
        <v>62</v>
      </c>
      <c r="D25" s="81"/>
      <c r="E25" s="81"/>
      <c r="F25" s="81">
        <v>0</v>
      </c>
      <c r="G25" s="81"/>
      <c r="H25" s="81"/>
      <c r="I25" s="81"/>
      <c r="J25" s="81"/>
      <c r="K25" s="81"/>
      <c r="L25" s="81"/>
      <c r="M25" s="81"/>
      <c r="N25" s="81"/>
      <c r="O25" s="81"/>
      <c r="P25" s="81">
        <f>D25+E25+F25+G25+H25+I25+J25+K25+L25+M25+N25+O25</f>
        <v>0</v>
      </c>
      <c r="Q25" s="18"/>
    </row>
    <row r="26" spans="1:19" ht="17.45" customHeight="1">
      <c r="A26" s="103"/>
      <c r="B26" s="31" t="s">
        <v>63</v>
      </c>
      <c r="C26" s="26" t="s">
        <v>64</v>
      </c>
      <c r="D26" s="81"/>
      <c r="E26" s="81"/>
      <c r="F26" s="81">
        <v>0</v>
      </c>
      <c r="G26" s="81"/>
      <c r="H26" s="81"/>
      <c r="I26" s="81"/>
      <c r="J26" s="81"/>
      <c r="K26" s="81"/>
      <c r="L26" s="81"/>
      <c r="M26" s="81"/>
      <c r="N26" s="81"/>
      <c r="O26" s="81"/>
      <c r="P26" s="81">
        <f>D26+E26+F26+G26+H26+I26+J26+K26+L26+M26+N26+O26</f>
        <v>0</v>
      </c>
      <c r="Q26" s="18"/>
    </row>
    <row r="27" spans="1:19" ht="17.45" customHeight="1">
      <c r="A27" s="103"/>
      <c r="B27" s="31" t="s">
        <v>65</v>
      </c>
      <c r="C27" s="26" t="s">
        <v>66</v>
      </c>
      <c r="D27" s="81"/>
      <c r="E27" s="81"/>
      <c r="F27" s="81">
        <v>0</v>
      </c>
      <c r="G27" s="81"/>
      <c r="H27" s="81"/>
      <c r="I27" s="81"/>
      <c r="J27" s="81"/>
      <c r="K27" s="81"/>
      <c r="L27" s="81"/>
      <c r="M27" s="81"/>
      <c r="N27" s="81"/>
      <c r="O27" s="81"/>
      <c r="P27" s="81">
        <f>D27+E27+F27+G27+H27+I27+J27+K27+L27+M27+N27+O27</f>
        <v>0</v>
      </c>
      <c r="Q27" s="18"/>
    </row>
    <row r="28" spans="1:19" ht="17.45" customHeight="1">
      <c r="A28" s="103"/>
      <c r="B28" s="31" t="s">
        <v>67</v>
      </c>
      <c r="C28" s="26" t="s">
        <v>68</v>
      </c>
      <c r="D28" s="81"/>
      <c r="E28" s="81"/>
      <c r="F28" s="81">
        <v>0</v>
      </c>
      <c r="G28" s="81"/>
      <c r="H28" s="81"/>
      <c r="I28" s="81"/>
      <c r="J28" s="81"/>
      <c r="K28" s="81"/>
      <c r="L28" s="81"/>
      <c r="M28" s="81"/>
      <c r="N28" s="81"/>
      <c r="O28" s="81"/>
      <c r="P28" s="81">
        <f>D28+E28+F28+G28+H28+I28+J28+K28+L28+M28+N28+O28</f>
        <v>0</v>
      </c>
      <c r="Q28" s="18"/>
    </row>
    <row r="29" spans="1:19" ht="17.45" customHeight="1">
      <c r="A29" s="103"/>
      <c r="B29" s="71"/>
      <c r="C29" s="72" t="s">
        <v>69</v>
      </c>
      <c r="D29" s="88">
        <f>D25</f>
        <v>0</v>
      </c>
      <c r="E29" s="88">
        <f t="shared" ref="E29:P29" si="5">E25</f>
        <v>0</v>
      </c>
      <c r="F29" s="88">
        <f t="shared" si="5"/>
        <v>0</v>
      </c>
      <c r="G29" s="88">
        <f t="shared" si="5"/>
        <v>0</v>
      </c>
      <c r="H29" s="88">
        <f t="shared" si="5"/>
        <v>0</v>
      </c>
      <c r="I29" s="88">
        <f t="shared" si="5"/>
        <v>0</v>
      </c>
      <c r="J29" s="88">
        <f t="shared" si="5"/>
        <v>0</v>
      </c>
      <c r="K29" s="88">
        <f t="shared" si="5"/>
        <v>0</v>
      </c>
      <c r="L29" s="88">
        <f t="shared" si="5"/>
        <v>0</v>
      </c>
      <c r="M29" s="88">
        <f t="shared" si="5"/>
        <v>0</v>
      </c>
      <c r="N29" s="88">
        <f t="shared" si="5"/>
        <v>0</v>
      </c>
      <c r="O29" s="88">
        <f t="shared" si="5"/>
        <v>0</v>
      </c>
      <c r="P29" s="88">
        <f t="shared" si="5"/>
        <v>0</v>
      </c>
      <c r="Q29" s="22"/>
      <c r="R29" s="32"/>
      <c r="S29" s="22"/>
    </row>
    <row r="30" spans="1:19" ht="17.45" customHeight="1">
      <c r="A30" s="103"/>
      <c r="B30" s="31" t="s">
        <v>70</v>
      </c>
      <c r="C30" s="26" t="s">
        <v>71</v>
      </c>
      <c r="D30" s="81"/>
      <c r="E30" s="81"/>
      <c r="F30" s="81">
        <v>0</v>
      </c>
      <c r="G30" s="81"/>
      <c r="H30" s="81"/>
      <c r="I30" s="81"/>
      <c r="J30" s="81"/>
      <c r="K30" s="81"/>
      <c r="L30" s="81"/>
      <c r="M30" s="81"/>
      <c r="N30" s="81"/>
      <c r="O30" s="81"/>
      <c r="P30" s="81">
        <f>D30+E30+F30+G30+H30+I30+J30+K30+L30+M30+N30+O30</f>
        <v>0</v>
      </c>
      <c r="Q30" s="18"/>
    </row>
    <row r="31" spans="1:19" ht="17.45" customHeight="1">
      <c r="A31" s="103"/>
      <c r="B31" s="31" t="s">
        <v>72</v>
      </c>
      <c r="C31" s="26" t="s">
        <v>73</v>
      </c>
      <c r="D31" s="81"/>
      <c r="E31" s="81"/>
      <c r="F31" s="81">
        <v>0</v>
      </c>
      <c r="G31" s="81"/>
      <c r="H31" s="81"/>
      <c r="I31" s="81"/>
      <c r="J31" s="81"/>
      <c r="K31" s="81"/>
      <c r="L31" s="81"/>
      <c r="M31" s="81"/>
      <c r="N31" s="81"/>
      <c r="O31" s="81"/>
      <c r="P31" s="81">
        <f>D31+E31+F31+G31+H31+I31+J31+K31+L31+M31+N31+O31</f>
        <v>0</v>
      </c>
      <c r="Q31" s="18"/>
    </row>
    <row r="32" spans="1:19" ht="17.45" customHeight="1">
      <c r="A32" s="103"/>
      <c r="B32" s="31" t="s">
        <v>74</v>
      </c>
      <c r="C32" s="26" t="s">
        <v>75</v>
      </c>
      <c r="D32" s="81"/>
      <c r="E32" s="81"/>
      <c r="F32" s="81" t="s">
        <v>441</v>
      </c>
      <c r="G32" s="81"/>
      <c r="H32" s="81"/>
      <c r="I32" s="81"/>
      <c r="J32" s="81"/>
      <c r="K32" s="81"/>
      <c r="L32" s="81"/>
      <c r="M32" s="81"/>
      <c r="N32" s="81"/>
      <c r="O32" s="81"/>
      <c r="P32" s="81" t="e">
        <f>D32+E32+F32+G32+H32+I32+J32+K32+L32+M32+N32+O32</f>
        <v>#VALUE!</v>
      </c>
      <c r="Q32" s="18"/>
    </row>
    <row r="33" spans="1:19" ht="17.45" customHeight="1">
      <c r="A33" s="103"/>
      <c r="B33" s="31" t="s">
        <v>76</v>
      </c>
      <c r="C33" s="26" t="s">
        <v>77</v>
      </c>
      <c r="D33" s="81"/>
      <c r="E33" s="81"/>
      <c r="F33" s="81">
        <v>0</v>
      </c>
      <c r="G33" s="81"/>
      <c r="H33" s="81"/>
      <c r="I33" s="81"/>
      <c r="J33" s="81"/>
      <c r="K33" s="81"/>
      <c r="L33" s="81"/>
      <c r="M33" s="81"/>
      <c r="N33" s="81"/>
      <c r="O33" s="81"/>
      <c r="P33" s="81">
        <f>D33+E33+F33+G33+H33+I33+J33+K33+L33+M33+N33+O33</f>
        <v>0</v>
      </c>
      <c r="Q33" s="18"/>
    </row>
    <row r="34" spans="1:19" ht="17.45" customHeight="1">
      <c r="A34" s="103"/>
      <c r="B34" s="97"/>
      <c r="C34" s="98" t="s">
        <v>78</v>
      </c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>
        <v>0</v>
      </c>
      <c r="Q34" s="22"/>
      <c r="R34" s="32"/>
      <c r="S34" s="22"/>
    </row>
    <row r="35" spans="1:19" ht="17.45" customHeight="1">
      <c r="A35" s="103"/>
      <c r="B35" s="97" t="s">
        <v>79</v>
      </c>
      <c r="C35" s="98" t="s">
        <v>80</v>
      </c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>
        <v>0</v>
      </c>
      <c r="Q35" s="22"/>
      <c r="R35" s="32"/>
      <c r="S35" s="22"/>
    </row>
    <row r="36" spans="1:19" ht="17.45" customHeight="1">
      <c r="A36" s="103"/>
      <c r="B36" s="69" t="s">
        <v>81</v>
      </c>
      <c r="C36" s="70" t="s">
        <v>82</v>
      </c>
      <c r="D36" s="88">
        <f t="shared" ref="D36:O36" si="6">D24+D29+D34+D35</f>
        <v>0</v>
      </c>
      <c r="E36" s="88">
        <f t="shared" si="6"/>
        <v>0</v>
      </c>
      <c r="F36" s="88">
        <f t="shared" si="6"/>
        <v>4086019.94</v>
      </c>
      <c r="G36" s="88">
        <f t="shared" si="6"/>
        <v>0</v>
      </c>
      <c r="H36" s="88">
        <f t="shared" si="6"/>
        <v>0</v>
      </c>
      <c r="I36" s="88">
        <f t="shared" si="6"/>
        <v>0</v>
      </c>
      <c r="J36" s="88">
        <f t="shared" si="6"/>
        <v>0</v>
      </c>
      <c r="K36" s="88">
        <f t="shared" si="6"/>
        <v>0</v>
      </c>
      <c r="L36" s="88">
        <f t="shared" si="6"/>
        <v>0</v>
      </c>
      <c r="M36" s="88">
        <f t="shared" si="6"/>
        <v>0</v>
      </c>
      <c r="N36" s="88">
        <f t="shared" si="6"/>
        <v>0</v>
      </c>
      <c r="O36" s="88">
        <f t="shared" si="6"/>
        <v>0</v>
      </c>
      <c r="P36" s="88">
        <f>P24+P29+P34+P35</f>
        <v>4086019.94</v>
      </c>
      <c r="Q36" s="22"/>
      <c r="R36" s="32"/>
      <c r="S36" s="22"/>
    </row>
    <row r="37" spans="1:19" ht="17.45" customHeight="1">
      <c r="A37" s="103"/>
      <c r="B37" s="31"/>
      <c r="C37" s="35" t="s">
        <v>83</v>
      </c>
      <c r="D37" s="81"/>
      <c r="E37" s="81"/>
      <c r="F37" s="81">
        <v>0</v>
      </c>
      <c r="G37" s="81"/>
      <c r="H37" s="81"/>
      <c r="I37" s="81"/>
      <c r="J37" s="81"/>
      <c r="K37" s="81"/>
      <c r="L37" s="81"/>
      <c r="M37" s="81"/>
      <c r="N37" s="81"/>
      <c r="O37" s="81"/>
      <c r="P37" s="81">
        <f t="shared" ref="P37:P42" si="7">D37+E37+F37+G37+H37+I37+J37+K37+L37+M37+N37+O37</f>
        <v>0</v>
      </c>
      <c r="Q37" s="18"/>
    </row>
    <row r="38" spans="1:19" ht="17.45" customHeight="1">
      <c r="A38" s="103"/>
      <c r="B38" s="31" t="s">
        <v>84</v>
      </c>
      <c r="C38" s="29" t="s">
        <v>85</v>
      </c>
      <c r="D38" s="81"/>
      <c r="E38" s="81"/>
      <c r="F38" s="81">
        <v>0</v>
      </c>
      <c r="G38" s="81"/>
      <c r="H38" s="81"/>
      <c r="I38" s="81"/>
      <c r="J38" s="81"/>
      <c r="K38" s="81"/>
      <c r="L38" s="81"/>
      <c r="M38" s="81"/>
      <c r="N38" s="81"/>
      <c r="O38" s="81"/>
      <c r="P38" s="81">
        <f t="shared" si="7"/>
        <v>0</v>
      </c>
      <c r="Q38" s="18"/>
    </row>
    <row r="39" spans="1:19" ht="17.45" customHeight="1">
      <c r="A39" s="103"/>
      <c r="B39" s="31" t="s">
        <v>86</v>
      </c>
      <c r="C39" s="26" t="s">
        <v>87</v>
      </c>
      <c r="D39" s="81"/>
      <c r="E39" s="81"/>
      <c r="F39" s="81">
        <v>0</v>
      </c>
      <c r="G39" s="81"/>
      <c r="H39" s="81"/>
      <c r="I39" s="81"/>
      <c r="J39" s="81"/>
      <c r="K39" s="81"/>
      <c r="L39" s="81"/>
      <c r="M39" s="81"/>
      <c r="N39" s="81"/>
      <c r="O39" s="81"/>
      <c r="P39" s="81">
        <f t="shared" si="7"/>
        <v>0</v>
      </c>
      <c r="Q39" s="18"/>
    </row>
    <row r="40" spans="1:19" ht="17.45" customHeight="1">
      <c r="A40" s="103"/>
      <c r="B40" s="31"/>
      <c r="C40" s="29" t="s">
        <v>88</v>
      </c>
      <c r="D40" s="81"/>
      <c r="E40" s="81"/>
      <c r="F40" s="81" t="s">
        <v>441</v>
      </c>
      <c r="G40" s="81"/>
      <c r="H40" s="81"/>
      <c r="I40" s="81"/>
      <c r="J40" s="81"/>
      <c r="K40" s="81"/>
      <c r="L40" s="81"/>
      <c r="M40" s="81"/>
      <c r="N40" s="81"/>
      <c r="O40" s="81"/>
      <c r="P40" s="81" t="e">
        <f t="shared" si="7"/>
        <v>#VALUE!</v>
      </c>
      <c r="Q40" s="18"/>
    </row>
    <row r="41" spans="1:19" ht="17.45" customHeight="1">
      <c r="A41" s="103"/>
      <c r="B41" s="31" t="s">
        <v>89</v>
      </c>
      <c r="C41" s="26" t="s">
        <v>90</v>
      </c>
      <c r="D41" s="81"/>
      <c r="E41" s="81"/>
      <c r="F41" s="81">
        <v>0</v>
      </c>
      <c r="G41" s="81"/>
      <c r="H41" s="81"/>
      <c r="I41" s="81"/>
      <c r="J41" s="81"/>
      <c r="K41" s="81"/>
      <c r="L41" s="81"/>
      <c r="M41" s="81"/>
      <c r="N41" s="81"/>
      <c r="O41" s="81"/>
      <c r="P41" s="81">
        <f t="shared" si="7"/>
        <v>0</v>
      </c>
      <c r="Q41" s="18"/>
    </row>
    <row r="42" spans="1:19" ht="17.45" customHeight="1">
      <c r="A42" s="103"/>
      <c r="B42" s="31" t="s">
        <v>91</v>
      </c>
      <c r="C42" s="26" t="s">
        <v>92</v>
      </c>
      <c r="D42" s="81"/>
      <c r="E42" s="81"/>
      <c r="F42" s="81">
        <v>0</v>
      </c>
      <c r="G42" s="81"/>
      <c r="H42" s="81"/>
      <c r="I42" s="81"/>
      <c r="J42" s="81"/>
      <c r="K42" s="81"/>
      <c r="L42" s="81"/>
      <c r="M42" s="81"/>
      <c r="N42" s="81"/>
      <c r="O42" s="81"/>
      <c r="P42" s="81">
        <f t="shared" si="7"/>
        <v>0</v>
      </c>
      <c r="Q42" s="18"/>
    </row>
    <row r="43" spans="1:19" ht="17.45" customHeight="1">
      <c r="A43" s="103"/>
      <c r="B43" s="31"/>
      <c r="C43" s="26" t="s">
        <v>93</v>
      </c>
      <c r="D43" s="81"/>
      <c r="E43" s="81"/>
      <c r="F43" s="81">
        <v>0</v>
      </c>
      <c r="G43" s="81"/>
      <c r="H43" s="81"/>
      <c r="I43" s="81"/>
      <c r="J43" s="81"/>
      <c r="K43" s="81"/>
      <c r="L43" s="81"/>
      <c r="M43" s="81"/>
      <c r="N43" s="81"/>
      <c r="O43" s="81"/>
      <c r="P43" s="81">
        <v>0</v>
      </c>
    </row>
    <row r="44" spans="1:19" ht="17.45" customHeight="1">
      <c r="A44" s="103"/>
      <c r="B44" s="31" t="s">
        <v>94</v>
      </c>
      <c r="C44" s="26" t="s">
        <v>95</v>
      </c>
      <c r="D44" s="81"/>
      <c r="E44" s="81"/>
      <c r="F44" s="81">
        <v>0</v>
      </c>
      <c r="G44" s="81"/>
      <c r="H44" s="81"/>
      <c r="I44" s="81"/>
      <c r="J44" s="81"/>
      <c r="K44" s="81"/>
      <c r="L44" s="81"/>
      <c r="M44" s="81"/>
      <c r="N44" s="81"/>
      <c r="O44" s="81"/>
      <c r="P44" s="81">
        <v>0</v>
      </c>
      <c r="Q44" s="18"/>
    </row>
    <row r="45" spans="1:19" ht="17.45" customHeight="1">
      <c r="A45" s="103"/>
      <c r="B45" s="31"/>
      <c r="C45" s="26" t="s">
        <v>96</v>
      </c>
      <c r="D45" s="81"/>
      <c r="E45" s="81"/>
      <c r="F45" s="81">
        <v>0</v>
      </c>
      <c r="G45" s="81"/>
      <c r="H45" s="81"/>
      <c r="I45" s="81"/>
      <c r="J45" s="81"/>
      <c r="K45" s="81"/>
      <c r="L45" s="81"/>
      <c r="M45" s="81"/>
      <c r="N45" s="81"/>
      <c r="O45" s="81"/>
      <c r="P45" s="81">
        <v>0</v>
      </c>
    </row>
    <row r="46" spans="1:19" ht="17.45" customHeight="1">
      <c r="A46" s="103"/>
      <c r="B46" s="31"/>
      <c r="C46" s="26" t="s">
        <v>97</v>
      </c>
      <c r="D46" s="81"/>
      <c r="E46" s="81"/>
      <c r="F46" s="81">
        <v>0</v>
      </c>
      <c r="G46" s="81"/>
      <c r="H46" s="81"/>
      <c r="I46" s="81"/>
      <c r="J46" s="81"/>
      <c r="K46" s="81"/>
      <c r="L46" s="81"/>
      <c r="M46" s="81"/>
      <c r="N46" s="81"/>
      <c r="O46" s="81"/>
      <c r="P46" s="81">
        <v>0</v>
      </c>
    </row>
    <row r="47" spans="1:19" ht="17.45" customHeight="1">
      <c r="A47" s="103"/>
      <c r="B47" s="68" t="s">
        <v>98</v>
      </c>
      <c r="C47" s="67" t="s">
        <v>88</v>
      </c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>
        <f>SUM(D47:O47)</f>
        <v>0</v>
      </c>
      <c r="Q47" s="22"/>
      <c r="R47" s="32"/>
      <c r="S47" s="22"/>
    </row>
    <row r="48" spans="1:19" ht="17.45" customHeight="1">
      <c r="A48" s="103"/>
      <c r="B48" s="31"/>
      <c r="C48" s="29" t="s">
        <v>99</v>
      </c>
      <c r="D48" s="81"/>
      <c r="E48" s="81"/>
      <c r="F48" s="81">
        <v>0</v>
      </c>
      <c r="G48" s="81"/>
      <c r="H48" s="81"/>
      <c r="I48" s="81"/>
      <c r="J48" s="81"/>
      <c r="K48" s="81"/>
      <c r="L48" s="81"/>
      <c r="M48" s="81"/>
      <c r="N48" s="81"/>
      <c r="O48" s="81"/>
      <c r="P48" s="81">
        <f>D48+E48+F48+G48+H48+I48+J48+K48+L48+M48+N48+O48</f>
        <v>0</v>
      </c>
      <c r="Q48" s="18"/>
    </row>
    <row r="49" spans="1:19" ht="17.45" customHeight="1">
      <c r="A49" s="103"/>
      <c r="B49" s="31" t="s">
        <v>100</v>
      </c>
      <c r="C49" s="26" t="s">
        <v>101</v>
      </c>
      <c r="D49" s="81"/>
      <c r="E49" s="81"/>
      <c r="F49" s="81" t="s">
        <v>441</v>
      </c>
      <c r="G49" s="81"/>
      <c r="H49" s="81"/>
      <c r="I49" s="81"/>
      <c r="J49" s="81"/>
      <c r="K49" s="81"/>
      <c r="L49" s="81"/>
      <c r="M49" s="81"/>
      <c r="N49" s="81"/>
      <c r="O49" s="81"/>
      <c r="P49" s="81" t="e">
        <f>D49+E49+F49+G49+H49+I49+J49+K49+L49+M49+N49+O49</f>
        <v>#VALUE!</v>
      </c>
      <c r="Q49" s="18"/>
    </row>
    <row r="50" spans="1:19" ht="17.45" customHeight="1">
      <c r="A50" s="103"/>
      <c r="B50" s="31" t="s">
        <v>102</v>
      </c>
      <c r="C50" s="26" t="s">
        <v>103</v>
      </c>
      <c r="D50" s="81"/>
      <c r="E50" s="81"/>
      <c r="F50" s="81" t="s">
        <v>441</v>
      </c>
      <c r="G50" s="81"/>
      <c r="H50" s="81"/>
      <c r="I50" s="81"/>
      <c r="J50" s="81"/>
      <c r="K50" s="81"/>
      <c r="L50" s="81"/>
      <c r="M50" s="81"/>
      <c r="N50" s="81"/>
      <c r="O50" s="81"/>
      <c r="P50" s="81" t="e">
        <f>D50+E50+F50+G50+H50+I50+J50+K50+L50+M50+N50+O50</f>
        <v>#VALUE!</v>
      </c>
      <c r="Q50" s="18"/>
    </row>
    <row r="51" spans="1:19" ht="17.45" customHeight="1">
      <c r="A51" s="103"/>
      <c r="B51" s="31" t="s">
        <v>104</v>
      </c>
      <c r="C51" s="26" t="s">
        <v>105</v>
      </c>
      <c r="D51" s="81"/>
      <c r="E51" s="81"/>
      <c r="F51" s="81">
        <v>0</v>
      </c>
      <c r="G51" s="81"/>
      <c r="H51" s="81"/>
      <c r="I51" s="81"/>
      <c r="J51" s="81"/>
      <c r="K51" s="81"/>
      <c r="L51" s="81"/>
      <c r="M51" s="81"/>
      <c r="N51" s="81"/>
      <c r="O51" s="81"/>
      <c r="P51" s="81">
        <f>D51+E51+F51+G51+H51+I51+J51+K51+L51+M51+N51+O51</f>
        <v>0</v>
      </c>
      <c r="Q51" s="18"/>
    </row>
    <row r="52" spans="1:19" ht="17.45" customHeight="1">
      <c r="A52" s="103"/>
      <c r="B52" s="97" t="s">
        <v>106</v>
      </c>
      <c r="C52" s="98" t="s">
        <v>99</v>
      </c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>
        <f>SUM(D52:O52)</f>
        <v>0</v>
      </c>
      <c r="Q52" s="22"/>
      <c r="R52" s="32"/>
      <c r="S52" s="22"/>
    </row>
    <row r="53" spans="1:19" ht="17.45" customHeight="1">
      <c r="A53" s="103"/>
      <c r="B53" s="97" t="s">
        <v>107</v>
      </c>
      <c r="C53" s="98" t="s">
        <v>108</v>
      </c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>
        <f>SUM(D53:O53)</f>
        <v>0</v>
      </c>
      <c r="Q53" s="22"/>
      <c r="R53" s="32"/>
      <c r="S53" s="22"/>
    </row>
    <row r="54" spans="1:19" ht="17.45" customHeight="1">
      <c r="A54" s="103"/>
      <c r="B54" s="31"/>
      <c r="C54" s="28" t="s">
        <v>109</v>
      </c>
      <c r="D54" s="81"/>
      <c r="E54" s="81"/>
      <c r="F54" s="81">
        <v>0</v>
      </c>
      <c r="G54" s="81"/>
      <c r="H54" s="81"/>
      <c r="I54" s="81"/>
      <c r="J54" s="81"/>
      <c r="K54" s="81"/>
      <c r="L54" s="81"/>
      <c r="M54" s="81"/>
      <c r="N54" s="81"/>
      <c r="O54" s="81"/>
      <c r="P54" s="81">
        <f t="shared" ref="P54:P60" si="8">D54+E54+F54+G54+H54+I54+J54+K54+L54+M54+N54+O54</f>
        <v>0</v>
      </c>
      <c r="Q54" s="18"/>
    </row>
    <row r="55" spans="1:19" ht="17.45" customHeight="1">
      <c r="A55" s="103"/>
      <c r="B55" s="31"/>
      <c r="C55" s="29" t="s">
        <v>110</v>
      </c>
      <c r="D55" s="81"/>
      <c r="E55" s="81"/>
      <c r="F55" s="81">
        <v>0</v>
      </c>
      <c r="G55" s="81"/>
      <c r="H55" s="81"/>
      <c r="I55" s="81"/>
      <c r="J55" s="81"/>
      <c r="K55" s="81"/>
      <c r="L55" s="81"/>
      <c r="M55" s="81"/>
      <c r="N55" s="81"/>
      <c r="O55" s="81"/>
      <c r="P55" s="81">
        <f t="shared" si="8"/>
        <v>0</v>
      </c>
      <c r="Q55" s="18"/>
    </row>
    <row r="56" spans="1:19" ht="17.45" customHeight="1">
      <c r="A56" s="103"/>
      <c r="B56" s="31" t="s">
        <v>111</v>
      </c>
      <c r="C56" s="26" t="s">
        <v>112</v>
      </c>
      <c r="D56" s="81"/>
      <c r="E56" s="81"/>
      <c r="F56" s="81">
        <v>35993.43</v>
      </c>
      <c r="G56" s="81"/>
      <c r="H56" s="81"/>
      <c r="I56" s="81"/>
      <c r="J56" s="81"/>
      <c r="K56" s="81"/>
      <c r="L56" s="81"/>
      <c r="M56" s="81"/>
      <c r="N56" s="81"/>
      <c r="O56" s="81"/>
      <c r="P56" s="81">
        <f t="shared" si="8"/>
        <v>35993.43</v>
      </c>
      <c r="Q56" s="18"/>
    </row>
    <row r="57" spans="1:19" ht="17.45" customHeight="1">
      <c r="A57" s="103"/>
      <c r="B57" s="31" t="s">
        <v>113</v>
      </c>
      <c r="C57" s="26" t="s">
        <v>114</v>
      </c>
      <c r="D57" s="81"/>
      <c r="E57" s="81"/>
      <c r="F57" s="81" t="s">
        <v>441</v>
      </c>
      <c r="G57" s="81"/>
      <c r="H57" s="81"/>
      <c r="I57" s="81"/>
      <c r="J57" s="81"/>
      <c r="K57" s="81"/>
      <c r="L57" s="81"/>
      <c r="M57" s="81"/>
      <c r="N57" s="81"/>
      <c r="O57" s="81"/>
      <c r="P57" s="81" t="e">
        <f t="shared" si="8"/>
        <v>#VALUE!</v>
      </c>
      <c r="Q57" s="18"/>
    </row>
    <row r="58" spans="1:19" ht="17.45" customHeight="1">
      <c r="A58" s="103"/>
      <c r="B58" s="31" t="s">
        <v>115</v>
      </c>
      <c r="C58" s="26" t="s">
        <v>116</v>
      </c>
      <c r="D58" s="81"/>
      <c r="E58" s="81"/>
      <c r="F58" s="81">
        <v>2417.17</v>
      </c>
      <c r="G58" s="81"/>
      <c r="H58" s="81"/>
      <c r="I58" s="81"/>
      <c r="J58" s="81"/>
      <c r="K58" s="81"/>
      <c r="L58" s="81"/>
      <c r="M58" s="81"/>
      <c r="N58" s="81"/>
      <c r="O58" s="81"/>
      <c r="P58" s="81">
        <f t="shared" si="8"/>
        <v>2417.17</v>
      </c>
      <c r="Q58" s="18"/>
    </row>
    <row r="59" spans="1:19" ht="17.45" customHeight="1">
      <c r="A59" s="103"/>
      <c r="B59" s="31" t="s">
        <v>117</v>
      </c>
      <c r="C59" s="26" t="s">
        <v>118</v>
      </c>
      <c r="D59" s="81"/>
      <c r="E59" s="81"/>
      <c r="F59" s="81">
        <v>0</v>
      </c>
      <c r="G59" s="81"/>
      <c r="H59" s="81"/>
      <c r="I59" s="81"/>
      <c r="J59" s="81"/>
      <c r="K59" s="81"/>
      <c r="L59" s="81"/>
      <c r="M59" s="81"/>
      <c r="N59" s="81"/>
      <c r="O59" s="81"/>
      <c r="P59" s="81">
        <f t="shared" si="8"/>
        <v>0</v>
      </c>
      <c r="Q59" s="18"/>
    </row>
    <row r="60" spans="1:19" ht="17.45" customHeight="1">
      <c r="A60" s="103"/>
      <c r="B60" s="31" t="s">
        <v>119</v>
      </c>
      <c r="C60" s="26" t="s">
        <v>120</v>
      </c>
      <c r="D60" s="81"/>
      <c r="E60" s="81"/>
      <c r="F60" s="81">
        <v>2255.6</v>
      </c>
      <c r="G60" s="81"/>
      <c r="H60" s="81"/>
      <c r="I60" s="81"/>
      <c r="J60" s="81"/>
      <c r="K60" s="81"/>
      <c r="L60" s="81"/>
      <c r="M60" s="81"/>
      <c r="N60" s="81"/>
      <c r="O60" s="81"/>
      <c r="P60" s="81">
        <f t="shared" si="8"/>
        <v>2255.6</v>
      </c>
      <c r="Q60" s="18"/>
    </row>
    <row r="61" spans="1:19" ht="17.45" customHeight="1">
      <c r="A61" s="103"/>
      <c r="B61" s="68" t="s">
        <v>121</v>
      </c>
      <c r="C61" s="67" t="s">
        <v>110</v>
      </c>
      <c r="D61" s="88">
        <f t="shared" ref="D61:O61" si="9">SUM(D56:D60)</f>
        <v>0</v>
      </c>
      <c r="E61" s="88">
        <f t="shared" si="9"/>
        <v>0</v>
      </c>
      <c r="F61" s="88">
        <f t="shared" si="9"/>
        <v>40666.199999999997</v>
      </c>
      <c r="G61" s="88">
        <f t="shared" si="9"/>
        <v>0</v>
      </c>
      <c r="H61" s="88">
        <f t="shared" si="9"/>
        <v>0</v>
      </c>
      <c r="I61" s="88">
        <f t="shared" si="9"/>
        <v>0</v>
      </c>
      <c r="J61" s="88">
        <f t="shared" si="9"/>
        <v>0</v>
      </c>
      <c r="K61" s="88">
        <f t="shared" si="9"/>
        <v>0</v>
      </c>
      <c r="L61" s="88">
        <f t="shared" si="9"/>
        <v>0</v>
      </c>
      <c r="M61" s="88">
        <f t="shared" si="9"/>
        <v>0</v>
      </c>
      <c r="N61" s="88">
        <f t="shared" si="9"/>
        <v>0</v>
      </c>
      <c r="O61" s="88">
        <f t="shared" si="9"/>
        <v>0</v>
      </c>
      <c r="P61" s="88" t="e">
        <f>SUM(P56:P60)</f>
        <v>#VALUE!</v>
      </c>
      <c r="Q61" s="22"/>
      <c r="R61" s="32"/>
      <c r="S61" s="22"/>
    </row>
    <row r="62" spans="1:19" ht="17.45" customHeight="1">
      <c r="A62" s="103"/>
      <c r="B62" s="31" t="s">
        <v>122</v>
      </c>
      <c r="C62" s="26" t="s">
        <v>123</v>
      </c>
      <c r="D62" s="81"/>
      <c r="E62" s="81"/>
      <c r="F62" s="81">
        <v>164.52</v>
      </c>
      <c r="G62" s="81"/>
      <c r="H62" s="81"/>
      <c r="I62" s="81"/>
      <c r="J62" s="81"/>
      <c r="K62" s="81"/>
      <c r="L62" s="81"/>
      <c r="M62" s="81"/>
      <c r="N62" s="81"/>
      <c r="O62" s="81"/>
      <c r="P62" s="81">
        <f t="shared" ref="P62:P69" si="10">D62+E62+F62+G62+H62+I62+J62+K62+L62+M62+N62+O62</f>
        <v>164.52</v>
      </c>
      <c r="Q62" s="18"/>
    </row>
    <row r="63" spans="1:19" ht="17.45" customHeight="1">
      <c r="A63" s="103"/>
      <c r="B63" s="31" t="s">
        <v>124</v>
      </c>
      <c r="C63" s="26" t="s">
        <v>125</v>
      </c>
      <c r="D63" s="81"/>
      <c r="E63" s="81"/>
      <c r="F63" s="81">
        <v>164.36</v>
      </c>
      <c r="G63" s="81"/>
      <c r="H63" s="81"/>
      <c r="I63" s="81"/>
      <c r="J63" s="81"/>
      <c r="K63" s="81"/>
      <c r="L63" s="81"/>
      <c r="M63" s="81"/>
      <c r="N63" s="81"/>
      <c r="O63" s="81"/>
      <c r="P63" s="81">
        <f t="shared" si="10"/>
        <v>164.36</v>
      </c>
      <c r="Q63" s="18"/>
    </row>
    <row r="64" spans="1:19" ht="17.45" customHeight="1">
      <c r="A64" s="103"/>
      <c r="B64" s="31" t="s">
        <v>126</v>
      </c>
      <c r="C64" s="26" t="s">
        <v>127</v>
      </c>
      <c r="D64" s="81"/>
      <c r="E64" s="81"/>
      <c r="F64" s="81">
        <v>0</v>
      </c>
      <c r="G64" s="81"/>
      <c r="H64" s="81"/>
      <c r="I64" s="81"/>
      <c r="J64" s="81"/>
      <c r="K64" s="81"/>
      <c r="L64" s="81"/>
      <c r="M64" s="81"/>
      <c r="N64" s="81"/>
      <c r="O64" s="81"/>
      <c r="P64" s="81">
        <f t="shared" si="10"/>
        <v>0</v>
      </c>
      <c r="Q64" s="18"/>
    </row>
    <row r="65" spans="1:19" ht="17.45" customHeight="1">
      <c r="A65" s="103"/>
      <c r="B65" s="31" t="s">
        <v>128</v>
      </c>
      <c r="C65" s="26" t="s">
        <v>129</v>
      </c>
      <c r="D65" s="81"/>
      <c r="E65" s="81"/>
      <c r="F65" s="81">
        <v>82.93</v>
      </c>
      <c r="G65" s="81"/>
      <c r="H65" s="81"/>
      <c r="I65" s="81"/>
      <c r="J65" s="81"/>
      <c r="K65" s="81"/>
      <c r="L65" s="81"/>
      <c r="M65" s="81"/>
      <c r="N65" s="81"/>
      <c r="O65" s="81"/>
      <c r="P65" s="81">
        <f t="shared" si="10"/>
        <v>82.93</v>
      </c>
      <c r="Q65" s="18"/>
    </row>
    <row r="66" spans="1:19" ht="17.45" customHeight="1">
      <c r="A66" s="103"/>
      <c r="B66" s="31"/>
      <c r="C66" s="29" t="s">
        <v>130</v>
      </c>
      <c r="D66" s="81"/>
      <c r="E66" s="81"/>
      <c r="F66" s="81" t="s">
        <v>441</v>
      </c>
      <c r="G66" s="81"/>
      <c r="H66" s="81"/>
      <c r="I66" s="81"/>
      <c r="J66" s="81"/>
      <c r="K66" s="81"/>
      <c r="L66" s="81"/>
      <c r="M66" s="81"/>
      <c r="N66" s="81"/>
      <c r="O66" s="81"/>
      <c r="P66" s="81" t="e">
        <f t="shared" si="10"/>
        <v>#VALUE!</v>
      </c>
      <c r="Q66" s="18"/>
    </row>
    <row r="67" spans="1:19" ht="17.45" customHeight="1">
      <c r="A67" s="103"/>
      <c r="B67" s="31" t="s">
        <v>131</v>
      </c>
      <c r="C67" s="26" t="s">
        <v>132</v>
      </c>
      <c r="D67" s="81"/>
      <c r="E67" s="81"/>
      <c r="F67" s="81">
        <v>0</v>
      </c>
      <c r="G67" s="81"/>
      <c r="H67" s="81"/>
      <c r="I67" s="81"/>
      <c r="J67" s="81"/>
      <c r="K67" s="81"/>
      <c r="L67" s="81"/>
      <c r="M67" s="81"/>
      <c r="N67" s="81"/>
      <c r="O67" s="81"/>
      <c r="P67" s="81">
        <f t="shared" si="10"/>
        <v>0</v>
      </c>
      <c r="Q67" s="18"/>
    </row>
    <row r="68" spans="1:19" ht="17.45" customHeight="1">
      <c r="A68" s="103"/>
      <c r="B68" s="31" t="s">
        <v>133</v>
      </c>
      <c r="C68" s="26" t="s">
        <v>134</v>
      </c>
      <c r="D68" s="81"/>
      <c r="E68" s="81"/>
      <c r="F68" s="81">
        <v>0</v>
      </c>
      <c r="G68" s="81"/>
      <c r="H68" s="81"/>
      <c r="I68" s="81"/>
      <c r="J68" s="81"/>
      <c r="K68" s="81"/>
      <c r="L68" s="81"/>
      <c r="M68" s="81"/>
      <c r="N68" s="81"/>
      <c r="O68" s="81"/>
      <c r="P68" s="81">
        <f t="shared" si="10"/>
        <v>0</v>
      </c>
      <c r="Q68" s="18"/>
    </row>
    <row r="69" spans="1:19" ht="17.45" customHeight="1">
      <c r="A69" s="103"/>
      <c r="B69" s="31"/>
      <c r="C69" s="26" t="s">
        <v>135</v>
      </c>
      <c r="D69" s="81"/>
      <c r="E69" s="81"/>
      <c r="F69" s="81">
        <v>11300.68</v>
      </c>
      <c r="G69" s="81"/>
      <c r="H69" s="81"/>
      <c r="I69" s="81"/>
      <c r="J69" s="81"/>
      <c r="K69" s="81"/>
      <c r="L69" s="81"/>
      <c r="M69" s="81"/>
      <c r="N69" s="81"/>
      <c r="O69" s="81"/>
      <c r="P69" s="81">
        <f t="shared" si="10"/>
        <v>11300.68</v>
      </c>
      <c r="Q69" s="18"/>
    </row>
    <row r="70" spans="1:19" ht="17.45" customHeight="1">
      <c r="A70" s="103"/>
      <c r="B70" s="68" t="s">
        <v>136</v>
      </c>
      <c r="C70" s="67" t="s">
        <v>130</v>
      </c>
      <c r="D70" s="88">
        <f t="shared" ref="D70:O70" si="11">SUM(D68:D69)</f>
        <v>0</v>
      </c>
      <c r="E70" s="88">
        <f t="shared" si="11"/>
        <v>0</v>
      </c>
      <c r="F70" s="88">
        <f t="shared" si="11"/>
        <v>11300.68</v>
      </c>
      <c r="G70" s="88">
        <f t="shared" si="11"/>
        <v>0</v>
      </c>
      <c r="H70" s="88">
        <f t="shared" si="11"/>
        <v>0</v>
      </c>
      <c r="I70" s="88">
        <f t="shared" si="11"/>
        <v>0</v>
      </c>
      <c r="J70" s="88">
        <f t="shared" si="11"/>
        <v>0</v>
      </c>
      <c r="K70" s="88">
        <f t="shared" si="11"/>
        <v>0</v>
      </c>
      <c r="L70" s="88">
        <f t="shared" si="11"/>
        <v>0</v>
      </c>
      <c r="M70" s="88">
        <f t="shared" si="11"/>
        <v>0</v>
      </c>
      <c r="N70" s="88">
        <f t="shared" si="11"/>
        <v>0</v>
      </c>
      <c r="O70" s="88">
        <f t="shared" si="11"/>
        <v>0</v>
      </c>
      <c r="P70" s="88">
        <f>SUM(P68:P69)</f>
        <v>11300.68</v>
      </c>
      <c r="Q70" s="22"/>
      <c r="R70" s="32"/>
      <c r="S70" s="22"/>
    </row>
    <row r="71" spans="1:19" ht="17.45" customHeight="1">
      <c r="A71" s="103"/>
      <c r="B71" s="31" t="s">
        <v>137</v>
      </c>
      <c r="C71" s="26" t="s">
        <v>138</v>
      </c>
      <c r="D71" s="81"/>
      <c r="E71" s="81"/>
      <c r="F71" s="81">
        <v>166255.09</v>
      </c>
      <c r="G71" s="81"/>
      <c r="H71" s="81"/>
      <c r="I71" s="81"/>
      <c r="J71" s="81"/>
      <c r="K71" s="81"/>
      <c r="L71" s="81"/>
      <c r="M71" s="81"/>
      <c r="N71" s="81"/>
      <c r="O71" s="81"/>
      <c r="P71" s="81">
        <f t="shared" ref="P71:P79" si="12">D71+E71+F71+G71+H71+I71+J71+K71+L71+M71+N71+O71</f>
        <v>166255.09</v>
      </c>
      <c r="Q71" s="18"/>
    </row>
    <row r="72" spans="1:19" ht="17.45" customHeight="1">
      <c r="A72" s="103"/>
      <c r="B72" s="31"/>
      <c r="C72" s="29" t="s">
        <v>139</v>
      </c>
      <c r="D72" s="81"/>
      <c r="E72" s="81"/>
      <c r="F72" s="81" t="s">
        <v>441</v>
      </c>
      <c r="G72" s="81"/>
      <c r="H72" s="81"/>
      <c r="I72" s="81"/>
      <c r="J72" s="81"/>
      <c r="K72" s="81"/>
      <c r="L72" s="81"/>
      <c r="M72" s="81"/>
      <c r="N72" s="81"/>
      <c r="O72" s="81"/>
      <c r="P72" s="81" t="e">
        <f t="shared" si="12"/>
        <v>#VALUE!</v>
      </c>
      <c r="Q72" s="18"/>
    </row>
    <row r="73" spans="1:19" ht="17.45" customHeight="1">
      <c r="A73" s="103"/>
      <c r="B73" s="31" t="s">
        <v>140</v>
      </c>
      <c r="C73" s="26" t="s">
        <v>141</v>
      </c>
      <c r="D73" s="81"/>
      <c r="E73" s="81"/>
      <c r="F73" s="81">
        <v>1397.6</v>
      </c>
      <c r="G73" s="81"/>
      <c r="H73" s="81"/>
      <c r="I73" s="81"/>
      <c r="J73" s="81"/>
      <c r="K73" s="81"/>
      <c r="L73" s="81"/>
      <c r="M73" s="81"/>
      <c r="N73" s="81"/>
      <c r="O73" s="81"/>
      <c r="P73" s="81">
        <f t="shared" si="12"/>
        <v>1397.6</v>
      </c>
      <c r="Q73" s="18"/>
    </row>
    <row r="74" spans="1:19" ht="17.45" customHeight="1">
      <c r="A74" s="103"/>
      <c r="B74" s="31" t="s">
        <v>142</v>
      </c>
      <c r="C74" s="26" t="s">
        <v>143</v>
      </c>
      <c r="D74" s="81"/>
      <c r="E74" s="81"/>
      <c r="F74" s="81">
        <v>168.4</v>
      </c>
      <c r="G74" s="81"/>
      <c r="H74" s="81"/>
      <c r="I74" s="81"/>
      <c r="J74" s="81"/>
      <c r="K74" s="81"/>
      <c r="L74" s="81"/>
      <c r="M74" s="81"/>
      <c r="N74" s="81"/>
      <c r="O74" s="81"/>
      <c r="P74" s="81">
        <f t="shared" si="12"/>
        <v>168.4</v>
      </c>
      <c r="Q74" s="18"/>
    </row>
    <row r="75" spans="1:19" ht="17.45" customHeight="1">
      <c r="A75" s="103"/>
      <c r="B75" s="31" t="s">
        <v>144</v>
      </c>
      <c r="C75" s="26" t="s">
        <v>145</v>
      </c>
      <c r="D75" s="81"/>
      <c r="E75" s="81"/>
      <c r="F75" s="81">
        <v>0</v>
      </c>
      <c r="G75" s="81"/>
      <c r="H75" s="81"/>
      <c r="I75" s="81"/>
      <c r="J75" s="81"/>
      <c r="K75" s="81"/>
      <c r="L75" s="81"/>
      <c r="M75" s="81"/>
      <c r="N75" s="81"/>
      <c r="O75" s="81"/>
      <c r="P75" s="81">
        <f t="shared" si="12"/>
        <v>0</v>
      </c>
      <c r="Q75" s="18"/>
    </row>
    <row r="76" spans="1:19" ht="17.45" customHeight="1">
      <c r="A76" s="103"/>
      <c r="B76" s="31" t="s">
        <v>146</v>
      </c>
      <c r="C76" s="26" t="s">
        <v>147</v>
      </c>
      <c r="D76" s="81"/>
      <c r="E76" s="81"/>
      <c r="F76" s="81">
        <v>0</v>
      </c>
      <c r="G76" s="81"/>
      <c r="H76" s="81"/>
      <c r="I76" s="81"/>
      <c r="J76" s="81"/>
      <c r="K76" s="81"/>
      <c r="L76" s="81"/>
      <c r="M76" s="81"/>
      <c r="N76" s="81"/>
      <c r="O76" s="81"/>
      <c r="P76" s="81">
        <f t="shared" si="12"/>
        <v>0</v>
      </c>
      <c r="Q76" s="18"/>
    </row>
    <row r="77" spans="1:19" ht="17.45" customHeight="1">
      <c r="A77" s="103"/>
      <c r="B77" s="31" t="s">
        <v>148</v>
      </c>
      <c r="C77" s="26" t="s">
        <v>149</v>
      </c>
      <c r="D77" s="81"/>
      <c r="E77" s="81"/>
      <c r="F77" s="81">
        <v>0</v>
      </c>
      <c r="G77" s="81"/>
      <c r="H77" s="81"/>
      <c r="I77" s="81"/>
      <c r="J77" s="81"/>
      <c r="K77" s="81"/>
      <c r="L77" s="81"/>
      <c r="M77" s="81"/>
      <c r="N77" s="81"/>
      <c r="O77" s="81"/>
      <c r="P77" s="81">
        <f t="shared" si="12"/>
        <v>0</v>
      </c>
      <c r="Q77" s="18"/>
    </row>
    <row r="78" spans="1:19" ht="17.45" customHeight="1">
      <c r="A78" s="103"/>
      <c r="B78" s="31"/>
      <c r="C78" s="26" t="s">
        <v>150</v>
      </c>
      <c r="D78" s="81"/>
      <c r="E78" s="81"/>
      <c r="F78" s="81">
        <v>0</v>
      </c>
      <c r="G78" s="81"/>
      <c r="H78" s="81"/>
      <c r="I78" s="81"/>
      <c r="J78" s="81"/>
      <c r="K78" s="81"/>
      <c r="L78" s="81"/>
      <c r="M78" s="81"/>
      <c r="N78" s="81"/>
      <c r="O78" s="81"/>
      <c r="P78" s="81">
        <f t="shared" si="12"/>
        <v>0</v>
      </c>
      <c r="Q78" s="18"/>
    </row>
    <row r="79" spans="1:19" ht="17.45" customHeight="1">
      <c r="A79" s="103"/>
      <c r="B79" s="31"/>
      <c r="C79" s="26" t="s">
        <v>151</v>
      </c>
      <c r="D79" s="81"/>
      <c r="E79" s="81"/>
      <c r="F79" s="81">
        <v>0</v>
      </c>
      <c r="G79" s="81"/>
      <c r="H79" s="81"/>
      <c r="I79" s="81"/>
      <c r="J79" s="81"/>
      <c r="K79" s="81"/>
      <c r="L79" s="81"/>
      <c r="M79" s="81"/>
      <c r="N79" s="81"/>
      <c r="O79" s="81"/>
      <c r="P79" s="81">
        <f t="shared" si="12"/>
        <v>0</v>
      </c>
      <c r="Q79" s="18"/>
    </row>
    <row r="80" spans="1:19" ht="17.45" customHeight="1">
      <c r="A80" s="103"/>
      <c r="B80" s="68" t="s">
        <v>152</v>
      </c>
      <c r="C80" s="67" t="s">
        <v>139</v>
      </c>
      <c r="D80" s="88">
        <f t="shared" ref="D80:O80" si="13">SUM(D73:D79)</f>
        <v>0</v>
      </c>
      <c r="E80" s="88">
        <f t="shared" si="13"/>
        <v>0</v>
      </c>
      <c r="F80" s="88">
        <f t="shared" si="13"/>
        <v>1566</v>
      </c>
      <c r="G80" s="88">
        <f t="shared" si="13"/>
        <v>0</v>
      </c>
      <c r="H80" s="88">
        <f t="shared" si="13"/>
        <v>0</v>
      </c>
      <c r="I80" s="88">
        <f t="shared" si="13"/>
        <v>0</v>
      </c>
      <c r="J80" s="88">
        <f t="shared" si="13"/>
        <v>0</v>
      </c>
      <c r="K80" s="88">
        <f t="shared" si="13"/>
        <v>0</v>
      </c>
      <c r="L80" s="88">
        <f t="shared" si="13"/>
        <v>0</v>
      </c>
      <c r="M80" s="88">
        <f t="shared" si="13"/>
        <v>0</v>
      </c>
      <c r="N80" s="88">
        <f t="shared" si="13"/>
        <v>0</v>
      </c>
      <c r="O80" s="88">
        <f t="shared" si="13"/>
        <v>0</v>
      </c>
      <c r="P80" s="88">
        <f>SUM(P73:P79)</f>
        <v>1566</v>
      </c>
      <c r="Q80" s="22"/>
      <c r="R80" s="32"/>
      <c r="S80" s="22"/>
    </row>
    <row r="81" spans="1:19" ht="17.45" customHeight="1">
      <c r="A81" s="103"/>
      <c r="B81" s="31"/>
      <c r="C81" s="29" t="s">
        <v>153</v>
      </c>
      <c r="D81" s="81"/>
      <c r="E81" s="81"/>
      <c r="F81" s="81">
        <v>0</v>
      </c>
      <c r="G81" s="81"/>
      <c r="H81" s="81"/>
      <c r="I81" s="81"/>
      <c r="J81" s="81"/>
      <c r="K81" s="81"/>
      <c r="L81" s="81"/>
      <c r="M81" s="81"/>
      <c r="N81" s="81"/>
      <c r="O81" s="81"/>
      <c r="P81" s="81">
        <v>0</v>
      </c>
      <c r="Q81" s="18"/>
    </row>
    <row r="82" spans="1:19" ht="17.45" customHeight="1">
      <c r="A82" s="103"/>
      <c r="B82" s="31"/>
      <c r="C82" s="26" t="s">
        <v>154</v>
      </c>
      <c r="D82" s="81"/>
      <c r="E82" s="81"/>
      <c r="F82" s="81">
        <v>0</v>
      </c>
      <c r="G82" s="81"/>
      <c r="H82" s="81"/>
      <c r="I82" s="81"/>
      <c r="J82" s="81"/>
      <c r="K82" s="81"/>
      <c r="L82" s="81"/>
      <c r="M82" s="81"/>
      <c r="N82" s="81"/>
      <c r="O82" s="81"/>
      <c r="P82" s="81">
        <v>0</v>
      </c>
    </row>
    <row r="83" spans="1:19" ht="17.45" customHeight="1">
      <c r="A83" s="103"/>
      <c r="B83" s="31" t="s">
        <v>155</v>
      </c>
      <c r="C83" s="26" t="s">
        <v>156</v>
      </c>
      <c r="D83" s="81"/>
      <c r="E83" s="81"/>
      <c r="F83" s="81">
        <v>3253.47</v>
      </c>
      <c r="G83" s="81"/>
      <c r="H83" s="81"/>
      <c r="I83" s="81"/>
      <c r="J83" s="81"/>
      <c r="K83" s="81"/>
      <c r="L83" s="81"/>
      <c r="M83" s="81"/>
      <c r="N83" s="81"/>
      <c r="O83" s="81"/>
      <c r="P83" s="81">
        <f t="shared" ref="P83:P88" si="14">D83+E83+F83+G83+H83+I83+J83+K83+L83+M83+N83+O83</f>
        <v>3253.47</v>
      </c>
      <c r="Q83" s="18"/>
    </row>
    <row r="84" spans="1:19" ht="17.45" customHeight="1">
      <c r="A84" s="103"/>
      <c r="B84" s="31" t="s">
        <v>157</v>
      </c>
      <c r="C84" s="26" t="s">
        <v>158</v>
      </c>
      <c r="D84" s="81"/>
      <c r="E84" s="81"/>
      <c r="F84" s="81">
        <v>11533.96</v>
      </c>
      <c r="G84" s="81"/>
      <c r="H84" s="81"/>
      <c r="I84" s="81"/>
      <c r="J84" s="81"/>
      <c r="K84" s="81"/>
      <c r="L84" s="81"/>
      <c r="M84" s="81"/>
      <c r="N84" s="81"/>
      <c r="O84" s="81"/>
      <c r="P84" s="81">
        <f t="shared" si="14"/>
        <v>11533.96</v>
      </c>
      <c r="Q84" s="18"/>
    </row>
    <row r="85" spans="1:19" ht="17.45" customHeight="1">
      <c r="A85" s="103"/>
      <c r="B85" s="31" t="s">
        <v>159</v>
      </c>
      <c r="C85" s="26" t="s">
        <v>160</v>
      </c>
      <c r="D85" s="81"/>
      <c r="E85" s="81"/>
      <c r="F85" s="81" t="s">
        <v>441</v>
      </c>
      <c r="G85" s="81"/>
      <c r="H85" s="81"/>
      <c r="I85" s="81"/>
      <c r="J85" s="81"/>
      <c r="K85" s="81"/>
      <c r="L85" s="81"/>
      <c r="M85" s="81"/>
      <c r="N85" s="81"/>
      <c r="O85" s="81"/>
      <c r="P85" s="81" t="e">
        <f t="shared" si="14"/>
        <v>#VALUE!</v>
      </c>
      <c r="Q85" s="18"/>
    </row>
    <row r="86" spans="1:19" ht="17.45" customHeight="1">
      <c r="A86" s="103"/>
      <c r="B86" s="31" t="s">
        <v>161</v>
      </c>
      <c r="C86" s="26" t="s">
        <v>162</v>
      </c>
      <c r="D86" s="81"/>
      <c r="E86" s="81"/>
      <c r="F86" s="81" t="s">
        <v>441</v>
      </c>
      <c r="G86" s="81"/>
      <c r="H86" s="81"/>
      <c r="I86" s="81"/>
      <c r="J86" s="81"/>
      <c r="K86" s="81"/>
      <c r="L86" s="81"/>
      <c r="M86" s="81"/>
      <c r="N86" s="81"/>
      <c r="O86" s="81"/>
      <c r="P86" s="81" t="e">
        <f t="shared" si="14"/>
        <v>#VALUE!</v>
      </c>
      <c r="Q86" s="18"/>
    </row>
    <row r="87" spans="1:19" ht="17.45" customHeight="1">
      <c r="A87" s="103"/>
      <c r="B87" s="31" t="s">
        <v>163</v>
      </c>
      <c r="C87" s="26" t="s">
        <v>164</v>
      </c>
      <c r="D87" s="81"/>
      <c r="E87" s="81"/>
      <c r="F87" s="81">
        <v>0</v>
      </c>
      <c r="G87" s="81"/>
      <c r="H87" s="81"/>
      <c r="I87" s="81"/>
      <c r="J87" s="81"/>
      <c r="K87" s="81"/>
      <c r="L87" s="81"/>
      <c r="M87" s="81"/>
      <c r="N87" s="81"/>
      <c r="O87" s="81"/>
      <c r="P87" s="81">
        <f t="shared" si="14"/>
        <v>0</v>
      </c>
      <c r="Q87" s="18"/>
    </row>
    <row r="88" spans="1:19" ht="17.45" customHeight="1">
      <c r="A88" s="103"/>
      <c r="B88" s="31" t="s">
        <v>165</v>
      </c>
      <c r="C88" s="26" t="s">
        <v>166</v>
      </c>
      <c r="D88" s="81"/>
      <c r="E88" s="81"/>
      <c r="F88" s="81" t="s">
        <v>441</v>
      </c>
      <c r="G88" s="81"/>
      <c r="H88" s="81"/>
      <c r="I88" s="81"/>
      <c r="J88" s="81"/>
      <c r="K88" s="81"/>
      <c r="L88" s="81"/>
      <c r="M88" s="81"/>
      <c r="N88" s="81"/>
      <c r="O88" s="81"/>
      <c r="P88" s="81" t="e">
        <f t="shared" si="14"/>
        <v>#VALUE!</v>
      </c>
      <c r="Q88" s="18"/>
    </row>
    <row r="89" spans="1:19" ht="17.45" customHeight="1">
      <c r="A89" s="103"/>
      <c r="B89" s="68" t="s">
        <v>167</v>
      </c>
      <c r="C89" s="67" t="s">
        <v>153</v>
      </c>
      <c r="D89" s="88">
        <f t="shared" ref="D89:O89" si="15">SUM(D82:D88)</f>
        <v>0</v>
      </c>
      <c r="E89" s="88">
        <f t="shared" si="15"/>
        <v>0</v>
      </c>
      <c r="F89" s="88">
        <f t="shared" si="15"/>
        <v>14787.429999999998</v>
      </c>
      <c r="G89" s="88">
        <f t="shared" si="15"/>
        <v>0</v>
      </c>
      <c r="H89" s="88">
        <f t="shared" si="15"/>
        <v>0</v>
      </c>
      <c r="I89" s="88">
        <f t="shared" si="15"/>
        <v>0</v>
      </c>
      <c r="J89" s="88">
        <f t="shared" si="15"/>
        <v>0</v>
      </c>
      <c r="K89" s="88">
        <f t="shared" si="15"/>
        <v>0</v>
      </c>
      <c r="L89" s="88">
        <f t="shared" si="15"/>
        <v>0</v>
      </c>
      <c r="M89" s="88">
        <f t="shared" si="15"/>
        <v>0</v>
      </c>
      <c r="N89" s="88">
        <f t="shared" si="15"/>
        <v>0</v>
      </c>
      <c r="O89" s="88">
        <f t="shared" si="15"/>
        <v>0</v>
      </c>
      <c r="P89" s="88" t="e">
        <f>SUM(P82:P88)</f>
        <v>#VALUE!</v>
      </c>
      <c r="Q89" s="22"/>
      <c r="R89" s="32"/>
      <c r="S89" s="22"/>
    </row>
    <row r="90" spans="1:19" ht="17.45" customHeight="1">
      <c r="A90" s="103"/>
      <c r="B90" s="31" t="s">
        <v>168</v>
      </c>
      <c r="C90" s="26" t="s">
        <v>169</v>
      </c>
      <c r="D90" s="81"/>
      <c r="E90" s="81"/>
      <c r="F90" s="81">
        <v>999.88</v>
      </c>
      <c r="G90" s="81"/>
      <c r="H90" s="81"/>
      <c r="I90" s="81"/>
      <c r="J90" s="81"/>
      <c r="K90" s="81"/>
      <c r="L90" s="81"/>
      <c r="M90" s="81"/>
      <c r="N90" s="81"/>
      <c r="O90" s="81"/>
      <c r="P90" s="81">
        <f t="shared" ref="P90:P100" si="16">D90+E90+F90+G90+H90+I90+J90+K90+L90+M90+N90+O90</f>
        <v>999.88</v>
      </c>
      <c r="Q90" s="18"/>
    </row>
    <row r="91" spans="1:19" ht="17.45" customHeight="1">
      <c r="A91" s="103"/>
      <c r="B91" s="31" t="s">
        <v>170</v>
      </c>
      <c r="C91" s="26" t="s">
        <v>171</v>
      </c>
      <c r="D91" s="81"/>
      <c r="E91" s="81"/>
      <c r="F91" s="81">
        <v>1388.61</v>
      </c>
      <c r="G91" s="81"/>
      <c r="H91" s="81"/>
      <c r="I91" s="81"/>
      <c r="J91" s="81"/>
      <c r="K91" s="81"/>
      <c r="L91" s="81"/>
      <c r="M91" s="81"/>
      <c r="N91" s="81"/>
      <c r="O91" s="81"/>
      <c r="P91" s="81">
        <f t="shared" si="16"/>
        <v>1388.61</v>
      </c>
      <c r="Q91" s="18"/>
    </row>
    <row r="92" spans="1:19" ht="17.45" customHeight="1">
      <c r="A92" s="103"/>
      <c r="B92" s="31" t="s">
        <v>172</v>
      </c>
      <c r="C92" s="26" t="s">
        <v>173</v>
      </c>
      <c r="D92" s="81"/>
      <c r="E92" s="81"/>
      <c r="F92" s="81">
        <v>2830.65</v>
      </c>
      <c r="G92" s="81"/>
      <c r="H92" s="81"/>
      <c r="I92" s="81"/>
      <c r="J92" s="81"/>
      <c r="K92" s="81"/>
      <c r="L92" s="81"/>
      <c r="M92" s="81"/>
      <c r="N92" s="81"/>
      <c r="O92" s="81"/>
      <c r="P92" s="81">
        <f t="shared" si="16"/>
        <v>2830.65</v>
      </c>
      <c r="Q92" s="18"/>
    </row>
    <row r="93" spans="1:19" ht="17.45" customHeight="1">
      <c r="A93" s="103"/>
      <c r="B93" s="31" t="s">
        <v>174</v>
      </c>
      <c r="C93" s="26" t="s">
        <v>175</v>
      </c>
      <c r="D93" s="81"/>
      <c r="E93" s="81"/>
      <c r="F93" s="81">
        <v>143.99</v>
      </c>
      <c r="G93" s="81"/>
      <c r="H93" s="81"/>
      <c r="I93" s="81"/>
      <c r="J93" s="81"/>
      <c r="K93" s="81"/>
      <c r="L93" s="81"/>
      <c r="M93" s="81"/>
      <c r="N93" s="81"/>
      <c r="O93" s="81"/>
      <c r="P93" s="81">
        <f t="shared" si="16"/>
        <v>143.99</v>
      </c>
      <c r="Q93" s="42">
        <f>P93/5</f>
        <v>28.798000000000002</v>
      </c>
    </row>
    <row r="94" spans="1:19" ht="17.45" customHeight="1">
      <c r="A94" s="103"/>
      <c r="B94" s="31" t="s">
        <v>176</v>
      </c>
      <c r="C94" s="26" t="s">
        <v>177</v>
      </c>
      <c r="D94" s="81"/>
      <c r="E94" s="81"/>
      <c r="F94" s="81">
        <v>0</v>
      </c>
      <c r="G94" s="81"/>
      <c r="H94" s="81"/>
      <c r="I94" s="81"/>
      <c r="J94" s="81"/>
      <c r="K94" s="81"/>
      <c r="L94" s="81"/>
      <c r="M94" s="81"/>
      <c r="N94" s="81"/>
      <c r="O94" s="81"/>
      <c r="P94" s="81">
        <f t="shared" si="16"/>
        <v>0</v>
      </c>
      <c r="Q94" s="42">
        <f t="shared" ref="Q94:Q100" si="17">P94/5</f>
        <v>0</v>
      </c>
    </row>
    <row r="95" spans="1:19" ht="17.45" customHeight="1">
      <c r="A95" s="103"/>
      <c r="B95" s="31" t="s">
        <v>178</v>
      </c>
      <c r="C95" s="26" t="s">
        <v>179</v>
      </c>
      <c r="D95" s="81"/>
      <c r="E95" s="81"/>
      <c r="F95" s="81">
        <v>0</v>
      </c>
      <c r="G95" s="81"/>
      <c r="H95" s="81"/>
      <c r="I95" s="81"/>
      <c r="J95" s="81"/>
      <c r="K95" s="81"/>
      <c r="L95" s="81"/>
      <c r="M95" s="81"/>
      <c r="N95" s="81"/>
      <c r="O95" s="81"/>
      <c r="P95" s="81">
        <f t="shared" si="16"/>
        <v>0</v>
      </c>
      <c r="Q95" s="42">
        <f t="shared" si="17"/>
        <v>0</v>
      </c>
    </row>
    <row r="96" spans="1:19" ht="17.45" customHeight="1">
      <c r="A96" s="103"/>
      <c r="B96" s="31" t="s">
        <v>180</v>
      </c>
      <c r="C96" s="26" t="s">
        <v>181</v>
      </c>
      <c r="D96" s="81"/>
      <c r="E96" s="81"/>
      <c r="F96" s="81">
        <v>0</v>
      </c>
      <c r="G96" s="81"/>
      <c r="H96" s="81"/>
      <c r="I96" s="81"/>
      <c r="J96" s="81"/>
      <c r="K96" s="81"/>
      <c r="L96" s="81"/>
      <c r="M96" s="81"/>
      <c r="N96" s="81"/>
      <c r="O96" s="81"/>
      <c r="P96" s="81">
        <f t="shared" si="16"/>
        <v>0</v>
      </c>
      <c r="Q96" s="42">
        <f t="shared" si="17"/>
        <v>0</v>
      </c>
    </row>
    <row r="97" spans="1:19" ht="17.45" customHeight="1">
      <c r="A97" s="103"/>
      <c r="B97" s="31" t="s">
        <v>182</v>
      </c>
      <c r="C97" s="26" t="s">
        <v>183</v>
      </c>
      <c r="D97" s="81"/>
      <c r="E97" s="81"/>
      <c r="F97" s="81">
        <v>2.4900000000000002</v>
      </c>
      <c r="G97" s="81"/>
      <c r="H97" s="81"/>
      <c r="I97" s="81"/>
      <c r="J97" s="81"/>
      <c r="K97" s="81"/>
      <c r="L97" s="81"/>
      <c r="M97" s="81"/>
      <c r="N97" s="81"/>
      <c r="O97" s="81"/>
      <c r="P97" s="81">
        <f t="shared" si="16"/>
        <v>2.4900000000000002</v>
      </c>
      <c r="Q97" s="42">
        <f t="shared" si="17"/>
        <v>0.49800000000000005</v>
      </c>
    </row>
    <row r="98" spans="1:19" ht="17.45" customHeight="1">
      <c r="A98" s="103"/>
      <c r="B98" s="31" t="s">
        <v>184</v>
      </c>
      <c r="C98" s="26" t="s">
        <v>185</v>
      </c>
      <c r="D98" s="81"/>
      <c r="E98" s="81"/>
      <c r="F98" s="81">
        <v>0</v>
      </c>
      <c r="G98" s="81"/>
      <c r="H98" s="81"/>
      <c r="I98" s="81"/>
      <c r="J98" s="81"/>
      <c r="K98" s="81"/>
      <c r="L98" s="81"/>
      <c r="M98" s="81"/>
      <c r="N98" s="81"/>
      <c r="O98" s="81"/>
      <c r="P98" s="81">
        <f t="shared" si="16"/>
        <v>0</v>
      </c>
      <c r="Q98" s="42">
        <f t="shared" si="17"/>
        <v>0</v>
      </c>
    </row>
    <row r="99" spans="1:19" ht="17.45" customHeight="1">
      <c r="A99" s="103"/>
      <c r="B99" s="31" t="s">
        <v>186</v>
      </c>
      <c r="C99" s="26" t="s">
        <v>187</v>
      </c>
      <c r="D99" s="81"/>
      <c r="E99" s="81"/>
      <c r="F99" s="81">
        <v>0</v>
      </c>
      <c r="G99" s="81"/>
      <c r="H99" s="81"/>
      <c r="I99" s="81"/>
      <c r="J99" s="81"/>
      <c r="K99" s="81"/>
      <c r="L99" s="81"/>
      <c r="M99" s="81"/>
      <c r="N99" s="81"/>
      <c r="O99" s="81"/>
      <c r="P99" s="81">
        <f t="shared" si="16"/>
        <v>0</v>
      </c>
      <c r="Q99" s="42">
        <f t="shared" si="17"/>
        <v>0</v>
      </c>
    </row>
    <row r="100" spans="1:19" ht="17.45" customHeight="1">
      <c r="A100" s="103"/>
      <c r="B100" s="36">
        <v>631180</v>
      </c>
      <c r="C100" s="26" t="s">
        <v>188</v>
      </c>
      <c r="D100" s="81"/>
      <c r="E100" s="81"/>
      <c r="F100" s="81" t="s">
        <v>441</v>
      </c>
      <c r="G100" s="81"/>
      <c r="H100" s="81"/>
      <c r="I100" s="81"/>
      <c r="J100" s="81"/>
      <c r="K100" s="81"/>
      <c r="L100" s="81"/>
      <c r="M100" s="81"/>
      <c r="N100" s="81"/>
      <c r="O100" s="81"/>
      <c r="P100" s="81" t="e">
        <f t="shared" si="16"/>
        <v>#VALUE!</v>
      </c>
      <c r="Q100" s="42" t="e">
        <f t="shared" si="17"/>
        <v>#VALUE!</v>
      </c>
    </row>
    <row r="101" spans="1:19" ht="17.45" customHeight="1">
      <c r="A101" s="103"/>
      <c r="B101" s="68" t="s">
        <v>172</v>
      </c>
      <c r="C101" s="73" t="s">
        <v>173</v>
      </c>
      <c r="D101" s="88">
        <f t="shared" ref="D101:O101" si="18">SUM(D92:D100)</f>
        <v>0</v>
      </c>
      <c r="E101" s="88">
        <f t="shared" si="18"/>
        <v>0</v>
      </c>
      <c r="F101" s="88">
        <f t="shared" si="18"/>
        <v>2977.13</v>
      </c>
      <c r="G101" s="88">
        <f t="shared" si="18"/>
        <v>0</v>
      </c>
      <c r="H101" s="88">
        <f t="shared" si="18"/>
        <v>0</v>
      </c>
      <c r="I101" s="88">
        <f t="shared" si="18"/>
        <v>0</v>
      </c>
      <c r="J101" s="88">
        <f t="shared" si="18"/>
        <v>0</v>
      </c>
      <c r="K101" s="88">
        <f t="shared" si="18"/>
        <v>0</v>
      </c>
      <c r="L101" s="88">
        <f t="shared" si="18"/>
        <v>0</v>
      </c>
      <c r="M101" s="88">
        <f t="shared" si="18"/>
        <v>0</v>
      </c>
      <c r="N101" s="88">
        <f t="shared" si="18"/>
        <v>0</v>
      </c>
      <c r="O101" s="88">
        <f t="shared" si="18"/>
        <v>0</v>
      </c>
      <c r="P101" s="88" t="e">
        <f>SUM(P92:P100)</f>
        <v>#VALUE!</v>
      </c>
      <c r="Q101" s="22"/>
      <c r="R101" s="32"/>
      <c r="S101" s="22"/>
    </row>
    <row r="102" spans="1:19" ht="17.45" customHeight="1">
      <c r="A102" s="103"/>
      <c r="B102" s="31"/>
      <c r="C102" s="29" t="s">
        <v>189</v>
      </c>
      <c r="D102" s="81"/>
      <c r="E102" s="81"/>
      <c r="F102" s="81" t="s">
        <v>441</v>
      </c>
      <c r="G102" s="81"/>
      <c r="H102" s="81"/>
      <c r="I102" s="81"/>
      <c r="J102" s="81"/>
      <c r="K102" s="81"/>
      <c r="L102" s="81"/>
      <c r="M102" s="81"/>
      <c r="N102" s="81"/>
      <c r="O102" s="81"/>
      <c r="P102" s="81" t="e">
        <f>D102+E102+F102+G102+H102+I102+J102+K102+L102+M102+N102+O102</f>
        <v>#VALUE!</v>
      </c>
      <c r="Q102" s="18"/>
    </row>
    <row r="103" spans="1:19" ht="17.45" customHeight="1">
      <c r="A103" s="103"/>
      <c r="B103" s="31" t="s">
        <v>190</v>
      </c>
      <c r="C103" s="26" t="s">
        <v>191</v>
      </c>
      <c r="D103" s="81"/>
      <c r="E103" s="81"/>
      <c r="F103" s="81">
        <v>0</v>
      </c>
      <c r="G103" s="81"/>
      <c r="H103" s="81"/>
      <c r="I103" s="81"/>
      <c r="J103" s="81"/>
      <c r="K103" s="81"/>
      <c r="L103" s="81"/>
      <c r="M103" s="81"/>
      <c r="N103" s="81"/>
      <c r="O103" s="81"/>
      <c r="P103" s="81">
        <f>D103+E103+F103+G103+H103+I103+J103+K103+L103+M103+N103+O103</f>
        <v>0</v>
      </c>
      <c r="Q103" s="18"/>
    </row>
    <row r="104" spans="1:19" ht="17.45" customHeight="1">
      <c r="A104" s="103"/>
      <c r="B104" s="31" t="s">
        <v>192</v>
      </c>
      <c r="C104" s="26" t="s">
        <v>193</v>
      </c>
      <c r="D104" s="81"/>
      <c r="E104" s="81"/>
      <c r="F104" s="81">
        <v>-43366.2</v>
      </c>
      <c r="G104" s="81"/>
      <c r="H104" s="81"/>
      <c r="I104" s="81"/>
      <c r="J104" s="81"/>
      <c r="K104" s="81"/>
      <c r="L104" s="81"/>
      <c r="M104" s="81"/>
      <c r="N104" s="81"/>
      <c r="O104" s="81"/>
      <c r="P104" s="81">
        <f>D104+E104+F104+G104+H104+I104+J104+K104+L104+M104+N104+O104</f>
        <v>-43366.2</v>
      </c>
      <c r="Q104" s="18"/>
    </row>
    <row r="105" spans="1:19" ht="17.45" customHeight="1">
      <c r="A105" s="103"/>
      <c r="B105" s="31" t="s">
        <v>194</v>
      </c>
      <c r="C105" s="26" t="s">
        <v>195</v>
      </c>
      <c r="D105" s="81"/>
      <c r="E105" s="81"/>
      <c r="F105" s="81">
        <v>-201820.99</v>
      </c>
      <c r="G105" s="81"/>
      <c r="H105" s="81"/>
      <c r="I105" s="81"/>
      <c r="J105" s="81"/>
      <c r="K105" s="81"/>
      <c r="L105" s="81"/>
      <c r="M105" s="81"/>
      <c r="N105" s="81"/>
      <c r="O105" s="81"/>
      <c r="P105" s="81">
        <f>D105+E105+F105+G105+H105+I105+J105+K105+L105+M105+N105+O105</f>
        <v>-201820.99</v>
      </c>
      <c r="Q105" s="18"/>
    </row>
    <row r="106" spans="1:19" ht="17.45" customHeight="1">
      <c r="A106" s="103"/>
      <c r="B106" s="68" t="s">
        <v>196</v>
      </c>
      <c r="C106" s="67" t="s">
        <v>189</v>
      </c>
      <c r="D106" s="88">
        <f t="shared" ref="D106:O106" si="19">SUM(D104:D105)</f>
        <v>0</v>
      </c>
      <c r="E106" s="88">
        <f t="shared" si="19"/>
        <v>0</v>
      </c>
      <c r="F106" s="88">
        <f t="shared" si="19"/>
        <v>-245187.19</v>
      </c>
      <c r="G106" s="88">
        <f t="shared" si="19"/>
        <v>0</v>
      </c>
      <c r="H106" s="88">
        <f t="shared" si="19"/>
        <v>0</v>
      </c>
      <c r="I106" s="88">
        <f t="shared" si="19"/>
        <v>0</v>
      </c>
      <c r="J106" s="88">
        <f t="shared" si="19"/>
        <v>0</v>
      </c>
      <c r="K106" s="88">
        <f t="shared" si="19"/>
        <v>0</v>
      </c>
      <c r="L106" s="88">
        <f t="shared" si="19"/>
        <v>0</v>
      </c>
      <c r="M106" s="88">
        <f t="shared" si="19"/>
        <v>0</v>
      </c>
      <c r="N106" s="88">
        <f t="shared" si="19"/>
        <v>0</v>
      </c>
      <c r="O106" s="88">
        <f t="shared" si="19"/>
        <v>0</v>
      </c>
      <c r="P106" s="88">
        <f>SUM(P104:P105)</f>
        <v>-245187.19</v>
      </c>
      <c r="Q106" s="22"/>
      <c r="R106" s="32"/>
      <c r="S106" s="22"/>
    </row>
    <row r="107" spans="1:19" ht="17.45" customHeight="1">
      <c r="A107" s="103"/>
      <c r="B107" s="31"/>
      <c r="C107" s="29" t="s">
        <v>197</v>
      </c>
      <c r="D107" s="81"/>
      <c r="E107" s="81"/>
      <c r="F107" s="81">
        <v>0</v>
      </c>
      <c r="G107" s="81"/>
      <c r="H107" s="81"/>
      <c r="I107" s="81"/>
      <c r="J107" s="81"/>
      <c r="K107" s="81"/>
      <c r="L107" s="81"/>
      <c r="M107" s="81"/>
      <c r="N107" s="81"/>
      <c r="O107" s="81"/>
      <c r="P107" s="81">
        <v>0</v>
      </c>
    </row>
    <row r="108" spans="1:19" ht="17.45" customHeight="1">
      <c r="A108" s="103"/>
      <c r="B108" s="31"/>
      <c r="C108" s="26" t="s">
        <v>198</v>
      </c>
      <c r="D108" s="81"/>
      <c r="E108" s="81"/>
      <c r="F108" s="81">
        <v>0</v>
      </c>
      <c r="G108" s="81"/>
      <c r="H108" s="81"/>
      <c r="I108" s="81"/>
      <c r="J108" s="81"/>
      <c r="K108" s="81"/>
      <c r="L108" s="81"/>
      <c r="M108" s="81"/>
      <c r="N108" s="81"/>
      <c r="O108" s="81"/>
      <c r="P108" s="81">
        <v>0</v>
      </c>
    </row>
    <row r="109" spans="1:19" ht="17.45" customHeight="1">
      <c r="A109" s="103"/>
      <c r="B109" s="31"/>
      <c r="C109" s="26" t="s">
        <v>199</v>
      </c>
      <c r="D109" s="81"/>
      <c r="E109" s="81"/>
      <c r="F109" s="81">
        <v>0</v>
      </c>
      <c r="G109" s="81"/>
      <c r="H109" s="81"/>
      <c r="I109" s="81"/>
      <c r="J109" s="81"/>
      <c r="K109" s="81"/>
      <c r="L109" s="81"/>
      <c r="M109" s="81"/>
      <c r="N109" s="81"/>
      <c r="O109" s="81"/>
      <c r="P109" s="81">
        <v>0</v>
      </c>
    </row>
    <row r="110" spans="1:19" ht="17.45" customHeight="1">
      <c r="A110" s="103"/>
      <c r="B110" s="31"/>
      <c r="C110" s="37" t="s">
        <v>200</v>
      </c>
      <c r="D110" s="81"/>
      <c r="E110" s="81"/>
      <c r="F110" s="81">
        <v>0</v>
      </c>
      <c r="G110" s="81"/>
      <c r="H110" s="81"/>
      <c r="I110" s="81"/>
      <c r="J110" s="81"/>
      <c r="K110" s="81"/>
      <c r="L110" s="81"/>
      <c r="M110" s="81"/>
      <c r="N110" s="81"/>
      <c r="O110" s="81"/>
      <c r="P110" s="81">
        <v>0</v>
      </c>
    </row>
    <row r="111" spans="1:19" ht="17.45" customHeight="1">
      <c r="A111" s="103"/>
      <c r="B111" s="69" t="s">
        <v>201</v>
      </c>
      <c r="C111" s="70" t="s">
        <v>109</v>
      </c>
      <c r="D111" s="114">
        <f t="shared" ref="D111:P111" si="20">D106+D101+D91+D90+D89+D80+D71+D70+D65+D64+D63+D62+D61+D110</f>
        <v>0</v>
      </c>
      <c r="E111" s="114">
        <f t="shared" si="20"/>
        <v>0</v>
      </c>
      <c r="F111" s="114">
        <f t="shared" si="20"/>
        <v>-4834.3600000000224</v>
      </c>
      <c r="G111" s="114">
        <f t="shared" si="20"/>
        <v>0</v>
      </c>
      <c r="H111" s="114">
        <f t="shared" si="20"/>
        <v>0</v>
      </c>
      <c r="I111" s="114">
        <f t="shared" si="20"/>
        <v>0</v>
      </c>
      <c r="J111" s="114">
        <f t="shared" si="20"/>
        <v>0</v>
      </c>
      <c r="K111" s="114">
        <f t="shared" si="20"/>
        <v>0</v>
      </c>
      <c r="L111" s="114">
        <f t="shared" si="20"/>
        <v>0</v>
      </c>
      <c r="M111" s="114">
        <f t="shared" si="20"/>
        <v>0</v>
      </c>
      <c r="N111" s="114">
        <f t="shared" si="20"/>
        <v>0</v>
      </c>
      <c r="O111" s="114">
        <f t="shared" si="20"/>
        <v>0</v>
      </c>
      <c r="P111" s="114" t="e">
        <f t="shared" si="20"/>
        <v>#VALUE!</v>
      </c>
      <c r="Q111" s="22"/>
      <c r="R111" s="32"/>
      <c r="S111" s="22"/>
    </row>
    <row r="112" spans="1:19" ht="17.45" customHeight="1">
      <c r="A112" s="103"/>
      <c r="B112" s="74" t="s">
        <v>202</v>
      </c>
      <c r="C112" s="75" t="s">
        <v>203</v>
      </c>
      <c r="D112" s="88">
        <f t="shared" ref="D112:P112" si="21">D36</f>
        <v>0</v>
      </c>
      <c r="E112" s="88">
        <f t="shared" si="21"/>
        <v>0</v>
      </c>
      <c r="F112" s="88">
        <f t="shared" si="21"/>
        <v>4086019.94</v>
      </c>
      <c r="G112" s="88">
        <f t="shared" si="21"/>
        <v>0</v>
      </c>
      <c r="H112" s="88">
        <f t="shared" si="21"/>
        <v>0</v>
      </c>
      <c r="I112" s="88">
        <f t="shared" si="21"/>
        <v>0</v>
      </c>
      <c r="J112" s="88">
        <f t="shared" si="21"/>
        <v>0</v>
      </c>
      <c r="K112" s="88">
        <f t="shared" si="21"/>
        <v>0</v>
      </c>
      <c r="L112" s="88">
        <f t="shared" si="21"/>
        <v>0</v>
      </c>
      <c r="M112" s="88">
        <f t="shared" si="21"/>
        <v>0</v>
      </c>
      <c r="N112" s="88">
        <f t="shared" si="21"/>
        <v>0</v>
      </c>
      <c r="O112" s="88">
        <f t="shared" si="21"/>
        <v>0</v>
      </c>
      <c r="P112" s="88">
        <f t="shared" si="21"/>
        <v>4086019.94</v>
      </c>
      <c r="Q112" s="22"/>
      <c r="R112" s="32"/>
      <c r="S112" s="22"/>
    </row>
    <row r="113" spans="1:19" ht="17.45" customHeight="1">
      <c r="A113" s="103"/>
      <c r="B113" s="31"/>
      <c r="C113" s="28" t="s">
        <v>204</v>
      </c>
      <c r="D113" s="81"/>
      <c r="E113" s="81"/>
      <c r="F113" s="81">
        <v>0</v>
      </c>
      <c r="G113" s="81"/>
      <c r="H113" s="81"/>
      <c r="I113" s="81"/>
      <c r="J113" s="81"/>
      <c r="K113" s="81"/>
      <c r="L113" s="81"/>
      <c r="M113" s="81"/>
      <c r="N113" s="81"/>
      <c r="O113" s="81"/>
      <c r="P113" s="81">
        <f>D113+E113+F113+G113+H113+I113+J113+K113+L113+M113+N113+O113</f>
        <v>0</v>
      </c>
      <c r="Q113" s="18"/>
    </row>
    <row r="114" spans="1:19" ht="17.45" customHeight="1">
      <c r="A114" s="103"/>
      <c r="B114" s="31"/>
      <c r="C114" s="29" t="s">
        <v>205</v>
      </c>
      <c r="D114" s="81"/>
      <c r="E114" s="81"/>
      <c r="F114" s="81">
        <v>0</v>
      </c>
      <c r="G114" s="81"/>
      <c r="H114" s="81"/>
      <c r="I114" s="81"/>
      <c r="J114" s="81"/>
      <c r="K114" s="81"/>
      <c r="L114" s="81"/>
      <c r="M114" s="81"/>
      <c r="N114" s="81"/>
      <c r="O114" s="81"/>
      <c r="P114" s="81">
        <f>D114+E114+F114+G114+H114+I114+J114+K114+L114+M114+N114+O114</f>
        <v>0</v>
      </c>
      <c r="Q114" s="18"/>
    </row>
    <row r="115" spans="1:19" ht="17.45" customHeight="1">
      <c r="A115" s="103"/>
      <c r="B115" s="31" t="s">
        <v>206</v>
      </c>
      <c r="C115" s="26" t="s">
        <v>207</v>
      </c>
      <c r="D115" s="81"/>
      <c r="E115" s="81"/>
      <c r="F115" s="81">
        <v>0</v>
      </c>
      <c r="G115" s="81"/>
      <c r="H115" s="81"/>
      <c r="I115" s="81"/>
      <c r="J115" s="81"/>
      <c r="K115" s="81"/>
      <c r="L115" s="81"/>
      <c r="M115" s="81"/>
      <c r="N115" s="81"/>
      <c r="O115" s="81"/>
      <c r="P115" s="81">
        <f>D115+E115+F115+G115+H115+I115+J115+K115+L115+M115+N115+O115</f>
        <v>0</v>
      </c>
      <c r="Q115" s="18"/>
    </row>
    <row r="116" spans="1:19" ht="17.45" customHeight="1">
      <c r="A116" s="103"/>
      <c r="B116" s="31" t="s">
        <v>208</v>
      </c>
      <c r="C116" s="26" t="s">
        <v>209</v>
      </c>
      <c r="D116" s="81"/>
      <c r="E116" s="81"/>
      <c r="F116" s="81">
        <v>66.099999999999994</v>
      </c>
      <c r="G116" s="81"/>
      <c r="H116" s="81"/>
      <c r="I116" s="81"/>
      <c r="J116" s="81"/>
      <c r="K116" s="81"/>
      <c r="L116" s="81"/>
      <c r="M116" s="81"/>
      <c r="N116" s="81"/>
      <c r="O116" s="81"/>
      <c r="P116" s="81">
        <f>D116+E116+F116+G116+H116+I116+J116+K116+L116+M116+N116+O116</f>
        <v>66.099999999999994</v>
      </c>
      <c r="Q116" s="18"/>
    </row>
    <row r="117" spans="1:19" ht="17.45" customHeight="1">
      <c r="A117" s="103"/>
      <c r="B117" s="69" t="s">
        <v>210</v>
      </c>
      <c r="C117" s="70" t="s">
        <v>205</v>
      </c>
      <c r="D117" s="88">
        <f>D116</f>
        <v>0</v>
      </c>
      <c r="E117" s="88">
        <f t="shared" ref="E117:O117" si="22">E116</f>
        <v>0</v>
      </c>
      <c r="F117" s="88">
        <f t="shared" si="22"/>
        <v>66.099999999999994</v>
      </c>
      <c r="G117" s="88">
        <f t="shared" si="22"/>
        <v>0</v>
      </c>
      <c r="H117" s="88">
        <f t="shared" si="22"/>
        <v>0</v>
      </c>
      <c r="I117" s="88">
        <f t="shared" si="22"/>
        <v>0</v>
      </c>
      <c r="J117" s="88">
        <f t="shared" si="22"/>
        <v>0</v>
      </c>
      <c r="K117" s="88">
        <f t="shared" si="22"/>
        <v>0</v>
      </c>
      <c r="L117" s="88">
        <f t="shared" si="22"/>
        <v>0</v>
      </c>
      <c r="M117" s="88">
        <f t="shared" si="22"/>
        <v>0</v>
      </c>
      <c r="N117" s="88">
        <f t="shared" si="22"/>
        <v>0</v>
      </c>
      <c r="O117" s="88">
        <f t="shared" si="22"/>
        <v>0</v>
      </c>
      <c r="P117" s="88">
        <f>SUM(P115:P116)</f>
        <v>66.099999999999994</v>
      </c>
      <c r="Q117" s="22"/>
      <c r="R117" s="32"/>
      <c r="S117" s="22"/>
    </row>
    <row r="118" spans="1:19" ht="17.45" customHeight="1">
      <c r="A118" s="103"/>
      <c r="B118" s="31"/>
      <c r="C118" s="29" t="s">
        <v>211</v>
      </c>
      <c r="D118" s="81"/>
      <c r="E118" s="81"/>
      <c r="F118" s="81">
        <v>0</v>
      </c>
      <c r="G118" s="81"/>
      <c r="H118" s="81"/>
      <c r="I118" s="81"/>
      <c r="J118" s="81"/>
      <c r="K118" s="81"/>
      <c r="L118" s="81"/>
      <c r="M118" s="81"/>
      <c r="N118" s="81"/>
      <c r="O118" s="81"/>
      <c r="P118" s="81">
        <f t="shared" ref="P118:P127" si="23">D118+E118+F118+G118+H118+I118+J118+K118+L118+M118+N118+O118</f>
        <v>0</v>
      </c>
      <c r="Q118" s="18"/>
    </row>
    <row r="119" spans="1:19" ht="17.45" customHeight="1">
      <c r="A119" s="103"/>
      <c r="B119" s="31" t="s">
        <v>212</v>
      </c>
      <c r="C119" s="26" t="s">
        <v>213</v>
      </c>
      <c r="D119" s="81"/>
      <c r="E119" s="81"/>
      <c r="F119" s="81">
        <v>5152.54</v>
      </c>
      <c r="G119" s="81"/>
      <c r="H119" s="81"/>
      <c r="I119" s="81"/>
      <c r="J119" s="81"/>
      <c r="K119" s="81"/>
      <c r="L119" s="81"/>
      <c r="M119" s="81"/>
      <c r="N119" s="81"/>
      <c r="O119" s="81"/>
      <c r="P119" s="81">
        <f t="shared" si="23"/>
        <v>5152.54</v>
      </c>
      <c r="Q119" s="18"/>
    </row>
    <row r="120" spans="1:19" ht="17.45" customHeight="1">
      <c r="A120" s="103"/>
      <c r="B120" s="31" t="s">
        <v>214</v>
      </c>
      <c r="C120" s="26" t="s">
        <v>215</v>
      </c>
      <c r="D120" s="81"/>
      <c r="E120" s="81"/>
      <c r="F120" s="81">
        <v>0</v>
      </c>
      <c r="G120" s="81"/>
      <c r="H120" s="81"/>
      <c r="I120" s="81"/>
      <c r="J120" s="81"/>
      <c r="K120" s="81"/>
      <c r="L120" s="81"/>
      <c r="M120" s="81"/>
      <c r="N120" s="81"/>
      <c r="O120" s="81"/>
      <c r="P120" s="81">
        <f t="shared" si="23"/>
        <v>0</v>
      </c>
      <c r="Q120" s="18"/>
    </row>
    <row r="121" spans="1:19" ht="17.45" customHeight="1">
      <c r="A121" s="103"/>
      <c r="B121" s="31"/>
      <c r="C121" s="37" t="s">
        <v>216</v>
      </c>
      <c r="D121" s="81"/>
      <c r="E121" s="81"/>
      <c r="F121" s="81">
        <v>0</v>
      </c>
      <c r="G121" s="81"/>
      <c r="H121" s="81"/>
      <c r="I121" s="81"/>
      <c r="J121" s="81"/>
      <c r="K121" s="81"/>
      <c r="L121" s="81"/>
      <c r="M121" s="81"/>
      <c r="N121" s="81"/>
      <c r="O121" s="81"/>
      <c r="P121" s="81">
        <f t="shared" si="23"/>
        <v>0</v>
      </c>
      <c r="Q121" s="18"/>
    </row>
    <row r="122" spans="1:19" ht="17.45" customHeight="1">
      <c r="A122" s="103"/>
      <c r="B122" s="31" t="s">
        <v>217</v>
      </c>
      <c r="C122" s="26" t="s">
        <v>218</v>
      </c>
      <c r="D122" s="81"/>
      <c r="E122" s="81"/>
      <c r="F122" s="81">
        <v>279.98</v>
      </c>
      <c r="G122" s="81"/>
      <c r="H122" s="81"/>
      <c r="I122" s="81"/>
      <c r="J122" s="81"/>
      <c r="K122" s="81"/>
      <c r="L122" s="81"/>
      <c r="M122" s="81"/>
      <c r="N122" s="81"/>
      <c r="O122" s="81"/>
      <c r="P122" s="81">
        <f t="shared" si="23"/>
        <v>279.98</v>
      </c>
      <c r="Q122" s="18"/>
    </row>
    <row r="123" spans="1:19" ht="17.45" customHeight="1">
      <c r="A123" s="103"/>
      <c r="B123" s="31" t="s">
        <v>219</v>
      </c>
      <c r="C123" s="26" t="s">
        <v>220</v>
      </c>
      <c r="D123" s="81"/>
      <c r="E123" s="81"/>
      <c r="F123" s="81">
        <v>382.99</v>
      </c>
      <c r="G123" s="81"/>
      <c r="H123" s="81"/>
      <c r="I123" s="81"/>
      <c r="J123" s="81"/>
      <c r="K123" s="81"/>
      <c r="L123" s="81"/>
      <c r="M123" s="81"/>
      <c r="N123" s="81"/>
      <c r="O123" s="81"/>
      <c r="P123" s="81">
        <f t="shared" si="23"/>
        <v>382.99</v>
      </c>
      <c r="Q123" s="18"/>
    </row>
    <row r="124" spans="1:19" ht="17.45" customHeight="1">
      <c r="A124" s="103"/>
      <c r="B124" s="31" t="s">
        <v>221</v>
      </c>
      <c r="C124" s="26" t="s">
        <v>222</v>
      </c>
      <c r="D124" s="81"/>
      <c r="E124" s="81"/>
      <c r="F124" s="81">
        <v>0</v>
      </c>
      <c r="G124" s="81"/>
      <c r="H124" s="81"/>
      <c r="I124" s="81"/>
      <c r="J124" s="81"/>
      <c r="K124" s="81"/>
      <c r="L124" s="81"/>
      <c r="M124" s="81"/>
      <c r="N124" s="81"/>
      <c r="O124" s="81"/>
      <c r="P124" s="81">
        <f t="shared" si="23"/>
        <v>0</v>
      </c>
      <c r="Q124" s="18"/>
    </row>
    <row r="125" spans="1:19" ht="17.45" customHeight="1">
      <c r="A125" s="103"/>
      <c r="B125" s="31" t="s">
        <v>223</v>
      </c>
      <c r="C125" s="26" t="s">
        <v>224</v>
      </c>
      <c r="D125" s="81"/>
      <c r="E125" s="81"/>
      <c r="F125" s="81">
        <v>0</v>
      </c>
      <c r="G125" s="81"/>
      <c r="H125" s="81"/>
      <c r="I125" s="81"/>
      <c r="J125" s="81"/>
      <c r="K125" s="81"/>
      <c r="L125" s="81"/>
      <c r="M125" s="81"/>
      <c r="N125" s="81"/>
      <c r="O125" s="81"/>
      <c r="P125" s="81">
        <f t="shared" si="23"/>
        <v>0</v>
      </c>
      <c r="Q125" s="18"/>
    </row>
    <row r="126" spans="1:19" ht="17.45" customHeight="1">
      <c r="A126" s="103"/>
      <c r="B126" s="31" t="s">
        <v>225</v>
      </c>
      <c r="C126" s="26" t="s">
        <v>226</v>
      </c>
      <c r="D126" s="81"/>
      <c r="E126" s="81"/>
      <c r="F126" s="81">
        <v>125</v>
      </c>
      <c r="G126" s="81"/>
      <c r="H126" s="81"/>
      <c r="I126" s="81"/>
      <c r="J126" s="81"/>
      <c r="K126" s="81"/>
      <c r="L126" s="81"/>
      <c r="M126" s="81"/>
      <c r="N126" s="81"/>
      <c r="O126" s="81"/>
      <c r="P126" s="81">
        <f t="shared" si="23"/>
        <v>125</v>
      </c>
      <c r="Q126" s="18"/>
    </row>
    <row r="127" spans="1:19" ht="17.45" customHeight="1">
      <c r="A127" s="103"/>
      <c r="B127" s="31" t="s">
        <v>227</v>
      </c>
      <c r="C127" s="26" t="s">
        <v>228</v>
      </c>
      <c r="D127" s="81"/>
      <c r="E127" s="81"/>
      <c r="F127" s="81">
        <v>0</v>
      </c>
      <c r="G127" s="81"/>
      <c r="H127" s="81"/>
      <c r="I127" s="81"/>
      <c r="J127" s="81"/>
      <c r="K127" s="81"/>
      <c r="L127" s="81"/>
      <c r="M127" s="81"/>
      <c r="N127" s="81"/>
      <c r="O127" s="81"/>
      <c r="P127" s="81">
        <f t="shared" si="23"/>
        <v>0</v>
      </c>
      <c r="Q127" s="18"/>
    </row>
    <row r="128" spans="1:19" ht="17.45" customHeight="1">
      <c r="A128" s="103"/>
      <c r="B128" s="69" t="s">
        <v>229</v>
      </c>
      <c r="C128" s="70" t="s">
        <v>216</v>
      </c>
      <c r="D128" s="88">
        <f t="shared" ref="D128:O128" si="24">SUM(D122:D127)</f>
        <v>0</v>
      </c>
      <c r="E128" s="88">
        <f t="shared" si="24"/>
        <v>0</v>
      </c>
      <c r="F128" s="88">
        <f t="shared" si="24"/>
        <v>787.97</v>
      </c>
      <c r="G128" s="88">
        <f t="shared" si="24"/>
        <v>0</v>
      </c>
      <c r="H128" s="88">
        <f t="shared" si="24"/>
        <v>0</v>
      </c>
      <c r="I128" s="88">
        <f t="shared" si="24"/>
        <v>0</v>
      </c>
      <c r="J128" s="88">
        <f t="shared" si="24"/>
        <v>0</v>
      </c>
      <c r="K128" s="88">
        <f t="shared" si="24"/>
        <v>0</v>
      </c>
      <c r="L128" s="88">
        <f t="shared" si="24"/>
        <v>0</v>
      </c>
      <c r="M128" s="88">
        <f t="shared" si="24"/>
        <v>0</v>
      </c>
      <c r="N128" s="88">
        <f t="shared" si="24"/>
        <v>0</v>
      </c>
      <c r="O128" s="88">
        <f t="shared" si="24"/>
        <v>0</v>
      </c>
      <c r="P128" s="88">
        <f>SUM(P122:P127)</f>
        <v>787.97</v>
      </c>
      <c r="Q128" s="22"/>
      <c r="R128" s="32"/>
      <c r="S128" s="22"/>
    </row>
    <row r="129" spans="1:19" ht="17.45" customHeight="1">
      <c r="A129" s="103"/>
      <c r="B129" s="31" t="s">
        <v>230</v>
      </c>
      <c r="C129" s="26" t="s">
        <v>231</v>
      </c>
      <c r="D129" s="81"/>
      <c r="E129" s="81"/>
      <c r="F129" s="81">
        <v>5630.98</v>
      </c>
      <c r="G129" s="81"/>
      <c r="H129" s="81"/>
      <c r="I129" s="81"/>
      <c r="J129" s="81"/>
      <c r="K129" s="81"/>
      <c r="L129" s="81"/>
      <c r="M129" s="81"/>
      <c r="N129" s="81"/>
      <c r="O129" s="81"/>
      <c r="P129" s="81">
        <f>D129+E129+F129+G129+H129+I129+J129+K129+L129+M129+N129+O129</f>
        <v>5630.98</v>
      </c>
      <c r="Q129" s="18"/>
    </row>
    <row r="130" spans="1:19" ht="17.45" customHeight="1">
      <c r="A130" s="103"/>
      <c r="B130" s="31" t="s">
        <v>232</v>
      </c>
      <c r="C130" s="26" t="s">
        <v>233</v>
      </c>
      <c r="D130" s="81"/>
      <c r="E130" s="81"/>
      <c r="F130" s="81">
        <v>40.39</v>
      </c>
      <c r="G130" s="81"/>
      <c r="H130" s="81"/>
      <c r="I130" s="81"/>
      <c r="J130" s="81"/>
      <c r="K130" s="81"/>
      <c r="L130" s="81"/>
      <c r="M130" s="81"/>
      <c r="N130" s="81"/>
      <c r="O130" s="81"/>
      <c r="P130" s="81">
        <f>D130+E130+F130+G130+H130+I130+J130+K130+L130+M130+N130+O130</f>
        <v>40.39</v>
      </c>
      <c r="Q130" s="18"/>
    </row>
    <row r="131" spans="1:19" ht="17.45" customHeight="1">
      <c r="A131" s="103"/>
      <c r="B131" s="31" t="s">
        <v>234</v>
      </c>
      <c r="C131" s="26" t="s">
        <v>235</v>
      </c>
      <c r="D131" s="81"/>
      <c r="E131" s="81"/>
      <c r="F131" s="81">
        <v>0</v>
      </c>
      <c r="G131" s="81"/>
      <c r="H131" s="81"/>
      <c r="I131" s="81"/>
      <c r="J131" s="81"/>
      <c r="K131" s="81"/>
      <c r="L131" s="81"/>
      <c r="M131" s="81"/>
      <c r="N131" s="81"/>
      <c r="O131" s="81"/>
      <c r="P131" s="81">
        <f>D131+E131+F131+G131+H131+I131+J131+K131+L131+M131+N131+O131</f>
        <v>0</v>
      </c>
      <c r="Q131" s="18"/>
    </row>
    <row r="132" spans="1:19" ht="17.45" customHeight="1">
      <c r="A132" s="103"/>
      <c r="B132" s="69" t="s">
        <v>236</v>
      </c>
      <c r="C132" s="70" t="s">
        <v>211</v>
      </c>
      <c r="D132" s="88">
        <f t="shared" ref="D132:O132" si="25">D119+D128+D129+D130</f>
        <v>0</v>
      </c>
      <c r="E132" s="88">
        <f t="shared" si="25"/>
        <v>0</v>
      </c>
      <c r="F132" s="88">
        <f t="shared" si="25"/>
        <v>11611.88</v>
      </c>
      <c r="G132" s="88">
        <f t="shared" si="25"/>
        <v>0</v>
      </c>
      <c r="H132" s="88">
        <f t="shared" si="25"/>
        <v>0</v>
      </c>
      <c r="I132" s="88">
        <f t="shared" si="25"/>
        <v>0</v>
      </c>
      <c r="J132" s="88">
        <f t="shared" si="25"/>
        <v>0</v>
      </c>
      <c r="K132" s="88">
        <f t="shared" si="25"/>
        <v>0</v>
      </c>
      <c r="L132" s="88">
        <f t="shared" si="25"/>
        <v>0</v>
      </c>
      <c r="M132" s="88">
        <f t="shared" si="25"/>
        <v>0</v>
      </c>
      <c r="N132" s="88">
        <f t="shared" si="25"/>
        <v>0</v>
      </c>
      <c r="O132" s="88">
        <f t="shared" si="25"/>
        <v>0</v>
      </c>
      <c r="P132" s="88">
        <f>P119+P128+P129+P130</f>
        <v>11611.88</v>
      </c>
      <c r="Q132" s="22"/>
      <c r="R132" s="32"/>
      <c r="S132" s="22"/>
    </row>
    <row r="133" spans="1:19" ht="17.45" customHeight="1">
      <c r="A133" s="103"/>
      <c r="B133" s="31"/>
      <c r="C133" s="37" t="s">
        <v>237</v>
      </c>
      <c r="D133" s="81"/>
      <c r="E133" s="81"/>
      <c r="F133" s="81">
        <v>0</v>
      </c>
      <c r="G133" s="81"/>
      <c r="H133" s="81"/>
      <c r="I133" s="81"/>
      <c r="J133" s="81"/>
      <c r="K133" s="81"/>
      <c r="L133" s="81"/>
      <c r="M133" s="81"/>
      <c r="N133" s="81"/>
      <c r="O133" s="81"/>
      <c r="P133" s="81">
        <f>D133+E133+F133+G133+H133+I133+J133+K133+L133+M133+N133+O133</f>
        <v>0</v>
      </c>
      <c r="Q133" s="18"/>
    </row>
    <row r="134" spans="1:19" ht="17.45" customHeight="1">
      <c r="A134" s="103"/>
      <c r="B134" s="31" t="s">
        <v>238</v>
      </c>
      <c r="C134" s="26" t="s">
        <v>41</v>
      </c>
      <c r="D134" s="81"/>
      <c r="E134" s="81"/>
      <c r="F134" s="81">
        <v>0</v>
      </c>
      <c r="G134" s="81"/>
      <c r="H134" s="81"/>
      <c r="I134" s="81"/>
      <c r="J134" s="81"/>
      <c r="K134" s="81"/>
      <c r="L134" s="81"/>
      <c r="M134" s="81"/>
      <c r="N134" s="81"/>
      <c r="O134" s="81"/>
      <c r="P134" s="81">
        <f>D134+E134+F134+G134+H134+I134+J134+K134+L134+M134+N134+O134</f>
        <v>0</v>
      </c>
      <c r="Q134" s="18"/>
    </row>
    <row r="135" spans="1:19" ht="17.45" customHeight="1">
      <c r="A135" s="103"/>
      <c r="B135" s="31" t="s">
        <v>239</v>
      </c>
      <c r="C135" s="26" t="s">
        <v>240</v>
      </c>
      <c r="D135" s="81"/>
      <c r="E135" s="81"/>
      <c r="F135" s="81">
        <v>1019.2</v>
      </c>
      <c r="G135" s="81"/>
      <c r="H135" s="81"/>
      <c r="I135" s="81"/>
      <c r="J135" s="81"/>
      <c r="K135" s="81"/>
      <c r="L135" s="81"/>
      <c r="M135" s="81"/>
      <c r="N135" s="81"/>
      <c r="O135" s="81"/>
      <c r="P135" s="81">
        <f>D135+E135+F135+G135+H135+I135+J135+K135+L135+M135+N135+O135</f>
        <v>1019.2</v>
      </c>
      <c r="Q135" s="18"/>
    </row>
    <row r="136" spans="1:19" ht="17.45" customHeight="1">
      <c r="A136" s="103"/>
      <c r="B136" s="31" t="s">
        <v>241</v>
      </c>
      <c r="C136" s="26" t="s">
        <v>242</v>
      </c>
      <c r="D136" s="81"/>
      <c r="E136" s="81"/>
      <c r="F136" s="81">
        <v>1899.15</v>
      </c>
      <c r="G136" s="81"/>
      <c r="H136" s="81"/>
      <c r="I136" s="81"/>
      <c r="J136" s="81"/>
      <c r="K136" s="81"/>
      <c r="L136" s="81"/>
      <c r="M136" s="81"/>
      <c r="N136" s="81"/>
      <c r="O136" s="81"/>
      <c r="P136" s="81">
        <f>D136+E136+F136+G136+H136+I136+J136+K136+L136+M136+N136+O136</f>
        <v>1899.15</v>
      </c>
      <c r="Q136" s="18"/>
    </row>
    <row r="137" spans="1:19" ht="17.45" customHeight="1">
      <c r="A137" s="103"/>
      <c r="B137" s="65" t="s">
        <v>243</v>
      </c>
      <c r="C137" s="66" t="s">
        <v>237</v>
      </c>
      <c r="D137" s="116">
        <f t="shared" ref="D137:O137" si="26">SUM(D134:D136)</f>
        <v>0</v>
      </c>
      <c r="E137" s="116">
        <f t="shared" si="26"/>
        <v>0</v>
      </c>
      <c r="F137" s="116">
        <f t="shared" si="26"/>
        <v>2918.3500000000004</v>
      </c>
      <c r="G137" s="116">
        <f t="shared" si="26"/>
        <v>0</v>
      </c>
      <c r="H137" s="116">
        <f t="shared" si="26"/>
        <v>0</v>
      </c>
      <c r="I137" s="116">
        <f t="shared" si="26"/>
        <v>0</v>
      </c>
      <c r="J137" s="116">
        <f t="shared" si="26"/>
        <v>0</v>
      </c>
      <c r="K137" s="116">
        <f t="shared" si="26"/>
        <v>0</v>
      </c>
      <c r="L137" s="116">
        <f t="shared" si="26"/>
        <v>0</v>
      </c>
      <c r="M137" s="116">
        <f t="shared" si="26"/>
        <v>0</v>
      </c>
      <c r="N137" s="116">
        <f t="shared" si="26"/>
        <v>0</v>
      </c>
      <c r="O137" s="116">
        <f t="shared" si="26"/>
        <v>0</v>
      </c>
      <c r="P137" s="116">
        <f>SUM(P134:P136)</f>
        <v>2918.3500000000004</v>
      </c>
      <c r="Q137" s="22"/>
      <c r="R137" s="32"/>
      <c r="S137" s="22"/>
    </row>
    <row r="138" spans="1:19" ht="17.45" customHeight="1">
      <c r="A138" s="103"/>
      <c r="B138" s="74" t="s">
        <v>244</v>
      </c>
      <c r="C138" s="75" t="s">
        <v>204</v>
      </c>
      <c r="D138" s="88">
        <f t="shared" ref="D138:O138" si="27">D137+D132+D117</f>
        <v>0</v>
      </c>
      <c r="E138" s="88">
        <f t="shared" si="27"/>
        <v>0</v>
      </c>
      <c r="F138" s="88">
        <f t="shared" si="27"/>
        <v>14596.33</v>
      </c>
      <c r="G138" s="88">
        <f t="shared" si="27"/>
        <v>0</v>
      </c>
      <c r="H138" s="88">
        <f t="shared" si="27"/>
        <v>0</v>
      </c>
      <c r="I138" s="88">
        <f t="shared" si="27"/>
        <v>0</v>
      </c>
      <c r="J138" s="88">
        <f t="shared" si="27"/>
        <v>0</v>
      </c>
      <c r="K138" s="88">
        <f t="shared" si="27"/>
        <v>0</v>
      </c>
      <c r="L138" s="88">
        <f t="shared" si="27"/>
        <v>0</v>
      </c>
      <c r="M138" s="88">
        <f t="shared" si="27"/>
        <v>0</v>
      </c>
      <c r="N138" s="88">
        <f t="shared" si="27"/>
        <v>0</v>
      </c>
      <c r="O138" s="88">
        <f t="shared" si="27"/>
        <v>0</v>
      </c>
      <c r="P138" s="88">
        <f>P137+P132+P117</f>
        <v>14596.33</v>
      </c>
      <c r="Q138" s="22"/>
      <c r="R138" s="32"/>
      <c r="S138" s="22"/>
    </row>
    <row r="139" spans="1:19" ht="17.45" customHeight="1">
      <c r="A139" s="103"/>
      <c r="B139" s="31"/>
      <c r="C139" s="28" t="s">
        <v>245</v>
      </c>
      <c r="D139" s="81"/>
      <c r="E139" s="81"/>
      <c r="F139" s="81" t="s">
        <v>441</v>
      </c>
      <c r="G139" s="81"/>
      <c r="H139" s="81"/>
      <c r="I139" s="81"/>
      <c r="J139" s="81"/>
      <c r="K139" s="81"/>
      <c r="L139" s="81"/>
      <c r="M139" s="81"/>
      <c r="N139" s="81"/>
      <c r="O139" s="81"/>
      <c r="P139" s="81" t="e">
        <f t="shared" ref="P139:P146" si="28">D139+E139+F139+G139+H139+I139+J139+K139+L139+M139+N139+O139</f>
        <v>#VALUE!</v>
      </c>
      <c r="Q139" s="18"/>
    </row>
    <row r="140" spans="1:19" ht="17.45" customHeight="1">
      <c r="A140" s="103"/>
      <c r="B140" s="31"/>
      <c r="C140" s="29" t="s">
        <v>246</v>
      </c>
      <c r="D140" s="81"/>
      <c r="E140" s="81"/>
      <c r="F140" s="81">
        <v>0</v>
      </c>
      <c r="G140" s="81"/>
      <c r="H140" s="81"/>
      <c r="I140" s="81"/>
      <c r="J140" s="81"/>
      <c r="K140" s="81"/>
      <c r="L140" s="81"/>
      <c r="M140" s="81"/>
      <c r="N140" s="81"/>
      <c r="O140" s="81"/>
      <c r="P140" s="81">
        <f t="shared" si="28"/>
        <v>0</v>
      </c>
      <c r="Q140" s="18"/>
    </row>
    <row r="141" spans="1:19" ht="17.45" customHeight="1">
      <c r="A141" s="103"/>
      <c r="B141" s="31" t="s">
        <v>247</v>
      </c>
      <c r="C141" s="26" t="s">
        <v>248</v>
      </c>
      <c r="D141" s="81"/>
      <c r="E141" s="81"/>
      <c r="F141" s="81">
        <v>42720.01</v>
      </c>
      <c r="G141" s="81"/>
      <c r="H141" s="81"/>
      <c r="I141" s="81"/>
      <c r="J141" s="81"/>
      <c r="K141" s="81"/>
      <c r="L141" s="81"/>
      <c r="M141" s="81"/>
      <c r="N141" s="81"/>
      <c r="O141" s="81"/>
      <c r="P141" s="81">
        <f t="shared" si="28"/>
        <v>42720.01</v>
      </c>
      <c r="Q141" s="18"/>
    </row>
    <row r="142" spans="1:19" ht="17.45" customHeight="1">
      <c r="A142" s="103"/>
      <c r="B142" s="31" t="s">
        <v>249</v>
      </c>
      <c r="C142" s="26" t="s">
        <v>250</v>
      </c>
      <c r="D142" s="81"/>
      <c r="E142" s="81"/>
      <c r="F142" s="81">
        <v>2417.17</v>
      </c>
      <c r="G142" s="81"/>
      <c r="H142" s="81"/>
      <c r="I142" s="81"/>
      <c r="J142" s="81"/>
      <c r="K142" s="81"/>
      <c r="L142" s="81"/>
      <c r="M142" s="81"/>
      <c r="N142" s="81"/>
      <c r="O142" s="81"/>
      <c r="P142" s="81">
        <f t="shared" si="28"/>
        <v>2417.17</v>
      </c>
      <c r="Q142" s="18"/>
    </row>
    <row r="143" spans="1:19" ht="17.45" customHeight="1">
      <c r="A143" s="103"/>
      <c r="B143" s="31" t="s">
        <v>251</v>
      </c>
      <c r="C143" s="26" t="s">
        <v>252</v>
      </c>
      <c r="D143" s="81"/>
      <c r="E143" s="81"/>
      <c r="F143" s="81" t="s">
        <v>441</v>
      </c>
      <c r="G143" s="81"/>
      <c r="H143" s="81"/>
      <c r="I143" s="81"/>
      <c r="J143" s="81"/>
      <c r="K143" s="81"/>
      <c r="L143" s="81"/>
      <c r="M143" s="81"/>
      <c r="N143" s="81"/>
      <c r="O143" s="81"/>
      <c r="P143" s="81" t="e">
        <f t="shared" si="28"/>
        <v>#VALUE!</v>
      </c>
      <c r="Q143" s="18"/>
    </row>
    <row r="144" spans="1:19" ht="17.45" customHeight="1">
      <c r="A144" s="103"/>
      <c r="B144" s="31" t="s">
        <v>253</v>
      </c>
      <c r="C144" s="26" t="s">
        <v>123</v>
      </c>
      <c r="D144" s="81"/>
      <c r="E144" s="81"/>
      <c r="F144" s="81">
        <v>164.52</v>
      </c>
      <c r="G144" s="81"/>
      <c r="H144" s="81"/>
      <c r="I144" s="81"/>
      <c r="J144" s="81"/>
      <c r="K144" s="81"/>
      <c r="L144" s="81"/>
      <c r="M144" s="81"/>
      <c r="N144" s="81"/>
      <c r="O144" s="81"/>
      <c r="P144" s="81">
        <f t="shared" si="28"/>
        <v>164.52</v>
      </c>
      <c r="Q144" s="18"/>
    </row>
    <row r="145" spans="1:19" ht="17.45" customHeight="1">
      <c r="A145" s="103"/>
      <c r="B145" s="31" t="s">
        <v>254</v>
      </c>
      <c r="C145" s="26" t="s">
        <v>255</v>
      </c>
      <c r="D145" s="81"/>
      <c r="E145" s="81"/>
      <c r="F145" s="81">
        <v>0</v>
      </c>
      <c r="G145" s="81"/>
      <c r="H145" s="81"/>
      <c r="I145" s="81"/>
      <c r="J145" s="81"/>
      <c r="K145" s="81"/>
      <c r="L145" s="81"/>
      <c r="M145" s="81"/>
      <c r="N145" s="81"/>
      <c r="O145" s="81"/>
      <c r="P145" s="81">
        <f t="shared" si="28"/>
        <v>0</v>
      </c>
      <c r="Q145" s="18"/>
    </row>
    <row r="146" spans="1:19" ht="17.45" customHeight="1">
      <c r="A146" s="103"/>
      <c r="B146" s="31" t="s">
        <v>256</v>
      </c>
      <c r="C146" s="26" t="s">
        <v>257</v>
      </c>
      <c r="D146" s="81"/>
      <c r="E146" s="81"/>
      <c r="F146" s="81">
        <v>2255.6</v>
      </c>
      <c r="G146" s="81"/>
      <c r="H146" s="81"/>
      <c r="I146" s="81"/>
      <c r="J146" s="81"/>
      <c r="K146" s="81"/>
      <c r="L146" s="81"/>
      <c r="M146" s="81"/>
      <c r="N146" s="81"/>
      <c r="O146" s="81"/>
      <c r="P146" s="81">
        <f t="shared" si="28"/>
        <v>2255.6</v>
      </c>
      <c r="Q146" s="18"/>
    </row>
    <row r="147" spans="1:19" ht="17.45" customHeight="1">
      <c r="A147" s="103"/>
      <c r="B147" s="31"/>
      <c r="C147" s="26" t="s">
        <v>258</v>
      </c>
      <c r="D147" s="81"/>
      <c r="E147" s="81"/>
      <c r="F147" s="81">
        <v>0</v>
      </c>
      <c r="G147" s="81"/>
      <c r="H147" s="81"/>
      <c r="I147" s="81"/>
      <c r="J147" s="81"/>
      <c r="K147" s="81"/>
      <c r="L147" s="81"/>
      <c r="M147" s="81"/>
      <c r="N147" s="81"/>
      <c r="O147" s="81"/>
      <c r="P147" s="81" t="s">
        <v>0</v>
      </c>
      <c r="Q147" s="18"/>
    </row>
    <row r="148" spans="1:19" ht="17.45" customHeight="1">
      <c r="A148" s="103"/>
      <c r="B148" s="68" t="s">
        <v>259</v>
      </c>
      <c r="C148" s="67" t="s">
        <v>246</v>
      </c>
      <c r="D148" s="88">
        <f t="shared" ref="D148:P148" si="29">SUM(D141:D147)</f>
        <v>0</v>
      </c>
      <c r="E148" s="88">
        <f t="shared" si="29"/>
        <v>0</v>
      </c>
      <c r="F148" s="88">
        <f t="shared" si="29"/>
        <v>47557.299999999996</v>
      </c>
      <c r="G148" s="88">
        <f t="shared" si="29"/>
        <v>0</v>
      </c>
      <c r="H148" s="88">
        <f t="shared" si="29"/>
        <v>0</v>
      </c>
      <c r="I148" s="88">
        <f t="shared" si="29"/>
        <v>0</v>
      </c>
      <c r="J148" s="88">
        <f t="shared" si="29"/>
        <v>0</v>
      </c>
      <c r="K148" s="88">
        <f t="shared" si="29"/>
        <v>0</v>
      </c>
      <c r="L148" s="88">
        <f t="shared" si="29"/>
        <v>0</v>
      </c>
      <c r="M148" s="88">
        <f t="shared" si="29"/>
        <v>0</v>
      </c>
      <c r="N148" s="88">
        <f t="shared" si="29"/>
        <v>0</v>
      </c>
      <c r="O148" s="88">
        <f t="shared" si="29"/>
        <v>0</v>
      </c>
      <c r="P148" s="88" t="e">
        <f t="shared" si="29"/>
        <v>#VALUE!</v>
      </c>
      <c r="Q148" s="22"/>
      <c r="R148" s="32"/>
      <c r="S148" s="22"/>
    </row>
    <row r="149" spans="1:19" ht="17.45" customHeight="1">
      <c r="A149" s="103"/>
      <c r="B149" s="31"/>
      <c r="C149" s="28" t="s">
        <v>260</v>
      </c>
      <c r="D149" s="81"/>
      <c r="E149" s="81"/>
      <c r="F149" s="81" t="s">
        <v>441</v>
      </c>
      <c r="G149" s="81"/>
      <c r="H149" s="81"/>
      <c r="I149" s="81"/>
      <c r="J149" s="81"/>
      <c r="K149" s="81"/>
      <c r="L149" s="81"/>
      <c r="M149" s="81"/>
      <c r="N149" s="81"/>
      <c r="O149" s="81"/>
      <c r="P149" s="81" t="e">
        <f>D149+E149+F149+G149+H149+I149+J149+K149+L149+M149+N149+O149</f>
        <v>#VALUE!</v>
      </c>
      <c r="Q149" s="18"/>
    </row>
    <row r="150" spans="1:19" ht="17.45" customHeight="1">
      <c r="A150" s="103"/>
      <c r="B150" s="31" t="s">
        <v>261</v>
      </c>
      <c r="C150" s="26" t="s">
        <v>262</v>
      </c>
      <c r="D150" s="81"/>
      <c r="E150" s="81"/>
      <c r="F150" s="81">
        <v>0</v>
      </c>
      <c r="G150" s="81"/>
      <c r="H150" s="81"/>
      <c r="I150" s="81"/>
      <c r="J150" s="81"/>
      <c r="K150" s="81"/>
      <c r="L150" s="81"/>
      <c r="M150" s="81"/>
      <c r="N150" s="81"/>
      <c r="O150" s="81"/>
      <c r="P150" s="81">
        <f>D150+E150+F150+G150+H150+I150+J150+K150+L150+M150+N150+O150</f>
        <v>0</v>
      </c>
      <c r="Q150" s="18"/>
    </row>
    <row r="151" spans="1:19" ht="17.45" customHeight="1">
      <c r="A151" s="103"/>
      <c r="B151" s="31" t="s">
        <v>263</v>
      </c>
      <c r="C151" s="26" t="s">
        <v>264</v>
      </c>
      <c r="D151" s="81"/>
      <c r="E151" s="81"/>
      <c r="F151" s="81">
        <v>118.19</v>
      </c>
      <c r="G151" s="81"/>
      <c r="H151" s="81"/>
      <c r="I151" s="81"/>
      <c r="J151" s="81"/>
      <c r="K151" s="81"/>
      <c r="L151" s="81"/>
      <c r="M151" s="81"/>
      <c r="N151" s="81"/>
      <c r="O151" s="81"/>
      <c r="P151" s="81">
        <f>D151+E151+F151+G151+H151+I151+J151+K151+L151+M151+N151+O151</f>
        <v>118.19</v>
      </c>
      <c r="Q151" s="18"/>
    </row>
    <row r="152" spans="1:19" ht="17.45" customHeight="1">
      <c r="A152" s="103"/>
      <c r="B152" s="31" t="s">
        <v>265</v>
      </c>
      <c r="C152" s="26" t="s">
        <v>266</v>
      </c>
      <c r="D152" s="81"/>
      <c r="E152" s="81"/>
      <c r="F152" s="81">
        <v>0</v>
      </c>
      <c r="G152" s="81"/>
      <c r="H152" s="81"/>
      <c r="I152" s="81"/>
      <c r="J152" s="81"/>
      <c r="K152" s="81"/>
      <c r="L152" s="81"/>
      <c r="M152" s="81"/>
      <c r="N152" s="81"/>
      <c r="O152" s="81"/>
      <c r="P152" s="81">
        <f>D152+E152+F152+G152+H152+I152+J152+K152+L152+M152+N152+O152</f>
        <v>0</v>
      </c>
      <c r="Q152" s="18"/>
    </row>
    <row r="153" spans="1:19" ht="17.45" customHeight="1">
      <c r="A153" s="103"/>
      <c r="B153" s="31" t="s">
        <v>267</v>
      </c>
      <c r="C153" s="26" t="s">
        <v>268</v>
      </c>
      <c r="D153" s="81">
        <v>0</v>
      </c>
      <c r="E153" s="81"/>
      <c r="F153" s="81">
        <v>471.06</v>
      </c>
      <c r="G153" s="81"/>
      <c r="H153" s="81"/>
      <c r="I153" s="81"/>
      <c r="J153" s="81"/>
      <c r="K153" s="81"/>
      <c r="L153" s="81"/>
      <c r="M153" s="81"/>
      <c r="N153" s="81"/>
      <c r="O153" s="81"/>
      <c r="P153" s="81">
        <f>D153+E153+F153+G153+H153+I153+J153+K153+L153+M153+N153+O153</f>
        <v>471.06</v>
      </c>
      <c r="Q153" s="18"/>
    </row>
    <row r="154" spans="1:19" ht="17.45" customHeight="1">
      <c r="A154" s="103"/>
      <c r="B154" s="68" t="s">
        <v>269</v>
      </c>
      <c r="C154" s="67" t="s">
        <v>260</v>
      </c>
      <c r="D154" s="88">
        <f t="shared" ref="D154:O154" si="30">SUM(D151:D153)</f>
        <v>0</v>
      </c>
      <c r="E154" s="88">
        <f t="shared" si="30"/>
        <v>0</v>
      </c>
      <c r="F154" s="88">
        <f t="shared" si="30"/>
        <v>589.25</v>
      </c>
      <c r="G154" s="88">
        <f t="shared" si="30"/>
        <v>0</v>
      </c>
      <c r="H154" s="88">
        <f t="shared" si="30"/>
        <v>0</v>
      </c>
      <c r="I154" s="88">
        <f t="shared" si="30"/>
        <v>0</v>
      </c>
      <c r="J154" s="88">
        <f t="shared" si="30"/>
        <v>0</v>
      </c>
      <c r="K154" s="88">
        <f t="shared" si="30"/>
        <v>0</v>
      </c>
      <c r="L154" s="88">
        <f t="shared" si="30"/>
        <v>0</v>
      </c>
      <c r="M154" s="88">
        <f t="shared" si="30"/>
        <v>0</v>
      </c>
      <c r="N154" s="88">
        <f t="shared" si="30"/>
        <v>0</v>
      </c>
      <c r="O154" s="88">
        <f t="shared" si="30"/>
        <v>0</v>
      </c>
      <c r="P154" s="88">
        <f>SUM(P151:P153)</f>
        <v>589.25</v>
      </c>
      <c r="Q154" s="22"/>
      <c r="R154" s="32"/>
      <c r="S154" s="22"/>
    </row>
    <row r="155" spans="1:19" ht="17.45" customHeight="1">
      <c r="A155" s="103"/>
      <c r="B155" s="31"/>
      <c r="C155" s="28" t="s">
        <v>270</v>
      </c>
      <c r="D155" s="81"/>
      <c r="E155" s="81"/>
      <c r="F155" s="81">
        <v>0</v>
      </c>
      <c r="G155" s="81"/>
      <c r="H155" s="81"/>
      <c r="I155" s="81"/>
      <c r="J155" s="81"/>
      <c r="K155" s="81"/>
      <c r="L155" s="81"/>
      <c r="M155" s="81"/>
      <c r="N155" s="81"/>
      <c r="O155" s="81"/>
      <c r="P155" s="81">
        <f>D155+E155+F155+G155+H155+I155+J155+K155+L155+M155+N155+O155</f>
        <v>0</v>
      </c>
      <c r="Q155" s="18"/>
    </row>
    <row r="156" spans="1:19" ht="17.45" customHeight="1">
      <c r="A156" s="103"/>
      <c r="B156" s="31" t="s">
        <v>271</v>
      </c>
      <c r="C156" s="26" t="s">
        <v>272</v>
      </c>
      <c r="D156" s="81"/>
      <c r="E156" s="81"/>
      <c r="F156" s="81">
        <v>0</v>
      </c>
      <c r="G156" s="81"/>
      <c r="H156" s="81"/>
      <c r="I156" s="81"/>
      <c r="J156" s="81"/>
      <c r="K156" s="81"/>
      <c r="L156" s="81"/>
      <c r="M156" s="81"/>
      <c r="N156" s="81"/>
      <c r="O156" s="81"/>
      <c r="P156" s="81">
        <f>D156+E156+F156+G156+H156+I156+J156+K156+L156+M156+N156+O156</f>
        <v>0</v>
      </c>
      <c r="Q156" s="18"/>
    </row>
    <row r="157" spans="1:19" ht="17.45" customHeight="1">
      <c r="A157" s="103"/>
      <c r="B157" s="31" t="s">
        <v>273</v>
      </c>
      <c r="C157" s="26" t="s">
        <v>129</v>
      </c>
      <c r="D157" s="81"/>
      <c r="E157" s="81"/>
      <c r="F157" s="81">
        <v>82.93</v>
      </c>
      <c r="G157" s="81"/>
      <c r="H157" s="81"/>
      <c r="I157" s="81"/>
      <c r="J157" s="81"/>
      <c r="K157" s="81"/>
      <c r="L157" s="81"/>
      <c r="M157" s="81"/>
      <c r="N157" s="81"/>
      <c r="O157" s="81"/>
      <c r="P157" s="81">
        <f>D157+E157+F157+G157+H157+I157+J157+K157+L157+M157+N157+O157</f>
        <v>82.93</v>
      </c>
      <c r="Q157" s="18"/>
    </row>
    <row r="158" spans="1:19" ht="17.45" customHeight="1">
      <c r="A158" s="103"/>
      <c r="B158" s="68" t="s">
        <v>274</v>
      </c>
      <c r="C158" s="67" t="s">
        <v>270</v>
      </c>
      <c r="D158" s="88">
        <f>D157+D156</f>
        <v>0</v>
      </c>
      <c r="E158" s="88">
        <f t="shared" ref="E158:P158" si="31">E157+E156</f>
        <v>0</v>
      </c>
      <c r="F158" s="88">
        <f t="shared" si="31"/>
        <v>82.93</v>
      </c>
      <c r="G158" s="88">
        <f t="shared" si="31"/>
        <v>0</v>
      </c>
      <c r="H158" s="88">
        <f t="shared" si="31"/>
        <v>0</v>
      </c>
      <c r="I158" s="88">
        <f t="shared" si="31"/>
        <v>0</v>
      </c>
      <c r="J158" s="88">
        <f t="shared" si="31"/>
        <v>0</v>
      </c>
      <c r="K158" s="88">
        <f t="shared" si="31"/>
        <v>0</v>
      </c>
      <c r="L158" s="88">
        <f t="shared" si="31"/>
        <v>0</v>
      </c>
      <c r="M158" s="88">
        <f t="shared" si="31"/>
        <v>0</v>
      </c>
      <c r="N158" s="88">
        <f t="shared" si="31"/>
        <v>0</v>
      </c>
      <c r="O158" s="88">
        <f t="shared" si="31"/>
        <v>0</v>
      </c>
      <c r="P158" s="88">
        <f t="shared" si="31"/>
        <v>82.93</v>
      </c>
      <c r="Q158" s="22"/>
      <c r="R158" s="32"/>
      <c r="S158" s="22"/>
    </row>
    <row r="159" spans="1:19" ht="17.45" customHeight="1">
      <c r="A159" s="103"/>
      <c r="B159" s="31" t="s">
        <v>275</v>
      </c>
      <c r="C159" s="26" t="s">
        <v>276</v>
      </c>
      <c r="D159" s="81"/>
      <c r="E159" s="81"/>
      <c r="F159" s="81" t="s">
        <v>441</v>
      </c>
      <c r="G159" s="81"/>
      <c r="H159" s="81"/>
      <c r="I159" s="81"/>
      <c r="J159" s="81"/>
      <c r="K159" s="81"/>
      <c r="L159" s="81"/>
      <c r="M159" s="81"/>
      <c r="N159" s="81"/>
      <c r="O159" s="81"/>
      <c r="P159" s="81" t="e">
        <f t="shared" ref="P159:P169" si="32">D159+E159+F159+G159+H159+I159+J159+K159+L159+M159+N159+O159</f>
        <v>#VALUE!</v>
      </c>
      <c r="Q159" s="18"/>
    </row>
    <row r="160" spans="1:19" ht="17.45" customHeight="1">
      <c r="A160" s="103"/>
      <c r="B160" s="31" t="s">
        <v>277</v>
      </c>
      <c r="C160" s="26" t="s">
        <v>278</v>
      </c>
      <c r="D160" s="81"/>
      <c r="E160" s="81"/>
      <c r="F160" s="81">
        <v>0</v>
      </c>
      <c r="G160" s="81"/>
      <c r="H160" s="81"/>
      <c r="I160" s="81"/>
      <c r="J160" s="81"/>
      <c r="K160" s="81"/>
      <c r="L160" s="81"/>
      <c r="M160" s="81"/>
      <c r="N160" s="81"/>
      <c r="O160" s="81"/>
      <c r="P160" s="81">
        <f t="shared" si="32"/>
        <v>0</v>
      </c>
      <c r="Q160" s="18"/>
    </row>
    <row r="161" spans="1:19" ht="17.45" customHeight="1">
      <c r="A161" s="103"/>
      <c r="B161" s="31"/>
      <c r="C161" s="26" t="s">
        <v>279</v>
      </c>
      <c r="D161" s="81"/>
      <c r="E161" s="81"/>
      <c r="F161" s="81">
        <v>743.73</v>
      </c>
      <c r="G161" s="81"/>
      <c r="H161" s="81"/>
      <c r="I161" s="81"/>
      <c r="J161" s="81"/>
      <c r="K161" s="81"/>
      <c r="L161" s="81"/>
      <c r="M161" s="81"/>
      <c r="N161" s="81"/>
      <c r="O161" s="81"/>
      <c r="P161" s="81">
        <f t="shared" si="32"/>
        <v>743.73</v>
      </c>
      <c r="Q161" s="18"/>
    </row>
    <row r="162" spans="1:19" ht="17.45" customHeight="1">
      <c r="A162" s="103"/>
      <c r="B162" s="31" t="s">
        <v>280</v>
      </c>
      <c r="C162" s="26" t="s">
        <v>281</v>
      </c>
      <c r="D162" s="81"/>
      <c r="E162" s="81"/>
      <c r="F162" s="81">
        <v>0</v>
      </c>
      <c r="G162" s="81"/>
      <c r="H162" s="81"/>
      <c r="I162" s="81"/>
      <c r="J162" s="81"/>
      <c r="K162" s="81"/>
      <c r="L162" s="81"/>
      <c r="M162" s="81"/>
      <c r="N162" s="81"/>
      <c r="O162" s="81"/>
      <c r="P162" s="81">
        <f t="shared" si="32"/>
        <v>0</v>
      </c>
      <c r="Q162" s="18"/>
    </row>
    <row r="163" spans="1:19" ht="17.45" customHeight="1">
      <c r="A163" s="103"/>
      <c r="B163" s="31" t="s">
        <v>282</v>
      </c>
      <c r="C163" s="26" t="s">
        <v>283</v>
      </c>
      <c r="D163" s="81"/>
      <c r="E163" s="81"/>
      <c r="F163" s="81">
        <v>161.93</v>
      </c>
      <c r="G163" s="81"/>
      <c r="H163" s="81"/>
      <c r="I163" s="81"/>
      <c r="J163" s="81"/>
      <c r="K163" s="81"/>
      <c r="L163" s="81"/>
      <c r="M163" s="81"/>
      <c r="N163" s="81"/>
      <c r="O163" s="81"/>
      <c r="P163" s="81">
        <f t="shared" si="32"/>
        <v>161.93</v>
      </c>
      <c r="Q163" s="18"/>
    </row>
    <row r="164" spans="1:19" ht="17.45" customHeight="1">
      <c r="A164" s="103"/>
      <c r="B164" s="31" t="s">
        <v>284</v>
      </c>
      <c r="C164" s="26" t="s">
        <v>285</v>
      </c>
      <c r="D164" s="81"/>
      <c r="E164" s="81"/>
      <c r="F164" s="81">
        <v>573.72</v>
      </c>
      <c r="G164" s="81"/>
      <c r="H164" s="81"/>
      <c r="I164" s="81"/>
      <c r="J164" s="81"/>
      <c r="K164" s="81"/>
      <c r="L164" s="81"/>
      <c r="M164" s="81"/>
      <c r="N164" s="81"/>
      <c r="O164" s="81"/>
      <c r="P164" s="81">
        <f t="shared" si="32"/>
        <v>573.72</v>
      </c>
      <c r="Q164" s="18"/>
    </row>
    <row r="165" spans="1:19" ht="17.45" customHeight="1">
      <c r="A165" s="103"/>
      <c r="B165" s="31" t="s">
        <v>286</v>
      </c>
      <c r="C165" s="26" t="s">
        <v>287</v>
      </c>
      <c r="D165" s="81"/>
      <c r="E165" s="81"/>
      <c r="F165" s="81">
        <v>161.93</v>
      </c>
      <c r="G165" s="81"/>
      <c r="H165" s="81"/>
      <c r="I165" s="81"/>
      <c r="J165" s="81"/>
      <c r="K165" s="81"/>
      <c r="L165" s="81"/>
      <c r="M165" s="81"/>
      <c r="N165" s="81"/>
      <c r="O165" s="81"/>
      <c r="P165" s="81">
        <f t="shared" si="32"/>
        <v>161.93</v>
      </c>
      <c r="Q165" s="18"/>
    </row>
    <row r="166" spans="1:19" ht="17.45" customHeight="1">
      <c r="A166" s="103"/>
      <c r="B166" s="31"/>
      <c r="C166" s="28" t="s">
        <v>288</v>
      </c>
      <c r="D166" s="81"/>
      <c r="E166" s="81"/>
      <c r="F166" s="81">
        <v>0</v>
      </c>
      <c r="G166" s="81"/>
      <c r="H166" s="81"/>
      <c r="I166" s="81"/>
      <c r="J166" s="81"/>
      <c r="K166" s="81"/>
      <c r="L166" s="81"/>
      <c r="M166" s="81"/>
      <c r="N166" s="81"/>
      <c r="O166" s="81"/>
      <c r="P166" s="81">
        <f t="shared" si="32"/>
        <v>0</v>
      </c>
      <c r="Q166" s="18"/>
    </row>
    <row r="167" spans="1:19" ht="17.45" customHeight="1">
      <c r="A167" s="103"/>
      <c r="B167" s="31" t="s">
        <v>289</v>
      </c>
      <c r="C167" s="26" t="s">
        <v>290</v>
      </c>
      <c r="D167" s="81"/>
      <c r="E167" s="81"/>
      <c r="F167" s="81">
        <v>124.14</v>
      </c>
      <c r="G167" s="81"/>
      <c r="H167" s="81"/>
      <c r="I167" s="81"/>
      <c r="J167" s="81"/>
      <c r="K167" s="81"/>
      <c r="L167" s="81"/>
      <c r="M167" s="81"/>
      <c r="N167" s="81"/>
      <c r="O167" s="81"/>
      <c r="P167" s="81">
        <f t="shared" si="32"/>
        <v>124.14</v>
      </c>
      <c r="Q167" s="18"/>
    </row>
    <row r="168" spans="1:19" ht="17.45" customHeight="1">
      <c r="A168" s="103"/>
      <c r="B168" s="31" t="s">
        <v>291</v>
      </c>
      <c r="C168" s="26" t="s">
        <v>292</v>
      </c>
      <c r="D168" s="81"/>
      <c r="E168" s="81"/>
      <c r="F168" s="81">
        <v>0</v>
      </c>
      <c r="G168" s="81"/>
      <c r="H168" s="81"/>
      <c r="I168" s="81"/>
      <c r="J168" s="81"/>
      <c r="K168" s="81"/>
      <c r="L168" s="81"/>
      <c r="M168" s="81"/>
      <c r="N168" s="81"/>
      <c r="O168" s="81"/>
      <c r="P168" s="81">
        <f t="shared" si="32"/>
        <v>0</v>
      </c>
      <c r="Q168" s="18"/>
    </row>
    <row r="169" spans="1:19" ht="17.45" customHeight="1">
      <c r="A169" s="103"/>
      <c r="B169" s="31" t="s">
        <v>293</v>
      </c>
      <c r="C169" s="26" t="s">
        <v>294</v>
      </c>
      <c r="D169" s="81"/>
      <c r="E169" s="81"/>
      <c r="F169" s="81">
        <v>0</v>
      </c>
      <c r="G169" s="81"/>
      <c r="H169" s="81"/>
      <c r="I169" s="81"/>
      <c r="J169" s="81"/>
      <c r="K169" s="81"/>
      <c r="L169" s="81"/>
      <c r="M169" s="81"/>
      <c r="N169" s="81"/>
      <c r="O169" s="81"/>
      <c r="P169" s="81">
        <f t="shared" si="32"/>
        <v>0</v>
      </c>
      <c r="Q169" s="18"/>
    </row>
    <row r="170" spans="1:19" ht="17.45" customHeight="1">
      <c r="A170" s="103"/>
      <c r="B170" s="68" t="s">
        <v>295</v>
      </c>
      <c r="C170" s="67" t="s">
        <v>288</v>
      </c>
      <c r="D170" s="88">
        <f t="shared" ref="D170:O170" si="33">SUM(D167:D169)</f>
        <v>0</v>
      </c>
      <c r="E170" s="88">
        <f t="shared" si="33"/>
        <v>0</v>
      </c>
      <c r="F170" s="88">
        <f t="shared" si="33"/>
        <v>124.14</v>
      </c>
      <c r="G170" s="88">
        <f t="shared" si="33"/>
        <v>0</v>
      </c>
      <c r="H170" s="88">
        <f t="shared" si="33"/>
        <v>0</v>
      </c>
      <c r="I170" s="88">
        <f t="shared" si="33"/>
        <v>0</v>
      </c>
      <c r="J170" s="88">
        <f t="shared" si="33"/>
        <v>0</v>
      </c>
      <c r="K170" s="88">
        <f t="shared" si="33"/>
        <v>0</v>
      </c>
      <c r="L170" s="88">
        <f t="shared" si="33"/>
        <v>0</v>
      </c>
      <c r="M170" s="88">
        <f t="shared" si="33"/>
        <v>0</v>
      </c>
      <c r="N170" s="88">
        <f t="shared" si="33"/>
        <v>0</v>
      </c>
      <c r="O170" s="88">
        <f t="shared" si="33"/>
        <v>0</v>
      </c>
      <c r="P170" s="88">
        <f>SUM(P167:P169)</f>
        <v>124.14</v>
      </c>
      <c r="Q170" s="22"/>
      <c r="R170" s="32"/>
      <c r="S170" s="22"/>
    </row>
    <row r="171" spans="1:19" ht="17.45" customHeight="1">
      <c r="A171" s="103"/>
      <c r="B171" s="31"/>
      <c r="C171" s="28" t="s">
        <v>296</v>
      </c>
      <c r="D171" s="81"/>
      <c r="E171" s="81"/>
      <c r="F171" s="81">
        <v>0</v>
      </c>
      <c r="G171" s="81"/>
      <c r="H171" s="81"/>
      <c r="I171" s="81"/>
      <c r="J171" s="81"/>
      <c r="K171" s="81"/>
      <c r="L171" s="81"/>
      <c r="M171" s="81"/>
      <c r="N171" s="81"/>
      <c r="O171" s="81"/>
      <c r="P171" s="81">
        <f>D171+E171+F171+G171+H171+I171+J171+K171+L171+M171+N171+O171</f>
        <v>0</v>
      </c>
      <c r="Q171" s="18"/>
    </row>
    <row r="172" spans="1:19" ht="17.45" customHeight="1">
      <c r="A172" s="103"/>
      <c r="B172" s="31" t="s">
        <v>297</v>
      </c>
      <c r="C172" s="26" t="s">
        <v>298</v>
      </c>
      <c r="D172" s="81"/>
      <c r="E172" s="81"/>
      <c r="F172" s="81" t="s">
        <v>441</v>
      </c>
      <c r="G172" s="81"/>
      <c r="H172" s="81"/>
      <c r="I172" s="81"/>
      <c r="J172" s="81"/>
      <c r="K172" s="81"/>
      <c r="L172" s="81"/>
      <c r="M172" s="81"/>
      <c r="N172" s="81"/>
      <c r="O172" s="81"/>
      <c r="P172" s="81" t="e">
        <f>D172+E172+F172+G172+H172+I172+J172+K172+L172+M172+N172+O172</f>
        <v>#VALUE!</v>
      </c>
      <c r="Q172" s="18"/>
    </row>
    <row r="173" spans="1:19" ht="17.45" customHeight="1">
      <c r="A173" s="103"/>
      <c r="B173" s="31" t="s">
        <v>299</v>
      </c>
      <c r="C173" s="26" t="s">
        <v>300</v>
      </c>
      <c r="D173" s="81"/>
      <c r="E173" s="81"/>
      <c r="F173" s="81">
        <v>0</v>
      </c>
      <c r="G173" s="81"/>
      <c r="H173" s="81"/>
      <c r="I173" s="81"/>
      <c r="J173" s="81"/>
      <c r="K173" s="81"/>
      <c r="L173" s="81"/>
      <c r="M173" s="81"/>
      <c r="N173" s="81"/>
      <c r="O173" s="81"/>
      <c r="P173" s="81">
        <f>D173+E173+F173+G173+H173+I173+J173+K173+L173+M173+N173+O173</f>
        <v>0</v>
      </c>
      <c r="Q173" s="18"/>
    </row>
    <row r="174" spans="1:19" ht="17.45" customHeight="1">
      <c r="A174" s="103"/>
      <c r="B174" s="31" t="s">
        <v>301</v>
      </c>
      <c r="C174" s="26" t="s">
        <v>302</v>
      </c>
      <c r="D174" s="81"/>
      <c r="E174" s="81"/>
      <c r="F174" s="81" t="s">
        <v>441</v>
      </c>
      <c r="G174" s="81"/>
      <c r="H174" s="81"/>
      <c r="I174" s="81"/>
      <c r="J174" s="81"/>
      <c r="K174" s="81"/>
      <c r="L174" s="81"/>
      <c r="M174" s="81"/>
      <c r="N174" s="81"/>
      <c r="O174" s="81"/>
      <c r="P174" s="81" t="e">
        <f>D174+E174+F174+G174+H174+I174+J174+K174+L174+M174+N174+O174</f>
        <v>#VALUE!</v>
      </c>
      <c r="Q174" s="18"/>
    </row>
    <row r="175" spans="1:19" ht="17.45" customHeight="1">
      <c r="A175" s="103"/>
      <c r="B175" s="68" t="s">
        <v>303</v>
      </c>
      <c r="C175" s="67" t="s">
        <v>296</v>
      </c>
      <c r="D175" s="88">
        <f t="shared" ref="D175:O175" si="34">SUM(D172:D174)</f>
        <v>0</v>
      </c>
      <c r="E175" s="88">
        <f t="shared" si="34"/>
        <v>0</v>
      </c>
      <c r="F175" s="88">
        <f t="shared" si="34"/>
        <v>0</v>
      </c>
      <c r="G175" s="88">
        <f t="shared" si="34"/>
        <v>0</v>
      </c>
      <c r="H175" s="88">
        <f t="shared" si="34"/>
        <v>0</v>
      </c>
      <c r="I175" s="88">
        <f t="shared" si="34"/>
        <v>0</v>
      </c>
      <c r="J175" s="88">
        <f t="shared" si="34"/>
        <v>0</v>
      </c>
      <c r="K175" s="88">
        <f t="shared" si="34"/>
        <v>0</v>
      </c>
      <c r="L175" s="88">
        <f t="shared" si="34"/>
        <v>0</v>
      </c>
      <c r="M175" s="88">
        <f t="shared" si="34"/>
        <v>0</v>
      </c>
      <c r="N175" s="88">
        <f t="shared" si="34"/>
        <v>0</v>
      </c>
      <c r="O175" s="88">
        <f t="shared" si="34"/>
        <v>0</v>
      </c>
      <c r="P175" s="88" t="e">
        <f>SUM(P172:P174)</f>
        <v>#VALUE!</v>
      </c>
      <c r="Q175" s="22"/>
      <c r="R175" s="32"/>
      <c r="S175" s="22"/>
    </row>
    <row r="176" spans="1:19" ht="17.45" customHeight="1">
      <c r="A176" s="103"/>
      <c r="B176" s="31" t="s">
        <v>304</v>
      </c>
      <c r="C176" s="26" t="s">
        <v>305</v>
      </c>
      <c r="D176" s="81"/>
      <c r="E176" s="81"/>
      <c r="F176" s="81">
        <v>4004.44</v>
      </c>
      <c r="G176" s="81"/>
      <c r="H176" s="81"/>
      <c r="I176" s="81"/>
      <c r="J176" s="81"/>
      <c r="K176" s="81"/>
      <c r="L176" s="81"/>
      <c r="M176" s="81"/>
      <c r="N176" s="81"/>
      <c r="O176" s="81"/>
      <c r="P176" s="81">
        <f t="shared" ref="P176:P181" si="35">D176+E176+F176+G176+H176+I176+J176+K176+L176+M176+N176+O176</f>
        <v>4004.44</v>
      </c>
      <c r="Q176" s="18"/>
    </row>
    <row r="177" spans="1:19" ht="17.45" customHeight="1">
      <c r="A177" s="103"/>
      <c r="B177" s="31" t="s">
        <v>306</v>
      </c>
      <c r="C177" s="26" t="s">
        <v>307</v>
      </c>
      <c r="D177" s="81"/>
      <c r="E177" s="81"/>
      <c r="F177" s="81">
        <v>1089.1300000000001</v>
      </c>
      <c r="G177" s="81"/>
      <c r="H177" s="81"/>
      <c r="I177" s="81"/>
      <c r="J177" s="81"/>
      <c r="K177" s="81"/>
      <c r="L177" s="81"/>
      <c r="M177" s="81"/>
      <c r="N177" s="81"/>
      <c r="O177" s="81"/>
      <c r="P177" s="81">
        <f t="shared" si="35"/>
        <v>1089.1300000000001</v>
      </c>
      <c r="Q177" s="18"/>
    </row>
    <row r="178" spans="1:19" ht="17.45" customHeight="1">
      <c r="A178" s="103"/>
      <c r="B178" s="31"/>
      <c r="C178" s="28" t="s">
        <v>308</v>
      </c>
      <c r="D178" s="81"/>
      <c r="E178" s="81"/>
      <c r="F178" s="81">
        <v>0</v>
      </c>
      <c r="G178" s="81"/>
      <c r="H178" s="81"/>
      <c r="I178" s="81"/>
      <c r="J178" s="81"/>
      <c r="K178" s="81"/>
      <c r="L178" s="81"/>
      <c r="M178" s="81"/>
      <c r="N178" s="81"/>
      <c r="O178" s="81"/>
      <c r="P178" s="81">
        <f t="shared" si="35"/>
        <v>0</v>
      </c>
      <c r="Q178" s="18"/>
    </row>
    <row r="179" spans="1:19" ht="17.45" customHeight="1">
      <c r="A179" s="103"/>
      <c r="B179" s="31" t="s">
        <v>309</v>
      </c>
      <c r="C179" s="26" t="s">
        <v>310</v>
      </c>
      <c r="D179" s="81"/>
      <c r="E179" s="81"/>
      <c r="F179" s="81" t="s">
        <v>441</v>
      </c>
      <c r="G179" s="81"/>
      <c r="H179" s="81"/>
      <c r="I179" s="81"/>
      <c r="J179" s="81"/>
      <c r="K179" s="81"/>
      <c r="L179" s="81"/>
      <c r="M179" s="81"/>
      <c r="N179" s="81"/>
      <c r="O179" s="81"/>
      <c r="P179" s="81" t="e">
        <f t="shared" si="35"/>
        <v>#VALUE!</v>
      </c>
      <c r="Q179" s="18"/>
    </row>
    <row r="180" spans="1:19" ht="17.45" customHeight="1">
      <c r="A180" s="103"/>
      <c r="B180" s="31" t="s">
        <v>311</v>
      </c>
      <c r="C180" s="26" t="s">
        <v>312</v>
      </c>
      <c r="D180" s="81"/>
      <c r="E180" s="81"/>
      <c r="F180" s="81" t="s">
        <v>441</v>
      </c>
      <c r="G180" s="81"/>
      <c r="H180" s="81"/>
      <c r="I180" s="81"/>
      <c r="J180" s="81"/>
      <c r="K180" s="81"/>
      <c r="L180" s="81"/>
      <c r="M180" s="81"/>
      <c r="N180" s="81"/>
      <c r="O180" s="81"/>
      <c r="P180" s="81" t="e">
        <f t="shared" si="35"/>
        <v>#VALUE!</v>
      </c>
      <c r="Q180" s="18"/>
    </row>
    <row r="181" spans="1:19" ht="17.45" customHeight="1">
      <c r="A181" s="103"/>
      <c r="B181" s="31"/>
      <c r="C181" s="26" t="s">
        <v>313</v>
      </c>
      <c r="D181" s="81"/>
      <c r="E181" s="81"/>
      <c r="F181" s="81">
        <v>0</v>
      </c>
      <c r="G181" s="81"/>
      <c r="H181" s="81"/>
      <c r="I181" s="81"/>
      <c r="J181" s="81"/>
      <c r="K181" s="81"/>
      <c r="L181" s="81"/>
      <c r="M181" s="81"/>
      <c r="N181" s="81"/>
      <c r="O181" s="81"/>
      <c r="P181" s="81">
        <f t="shared" si="35"/>
        <v>0</v>
      </c>
    </row>
    <row r="182" spans="1:19" ht="17.45" customHeight="1">
      <c r="A182" s="103"/>
      <c r="B182" s="68" t="s">
        <v>314</v>
      </c>
      <c r="C182" s="67" t="s">
        <v>308</v>
      </c>
      <c r="D182" s="88">
        <f t="shared" ref="D182:O182" si="36">SUM(D179:D181)</f>
        <v>0</v>
      </c>
      <c r="E182" s="88">
        <f t="shared" si="36"/>
        <v>0</v>
      </c>
      <c r="F182" s="88">
        <f t="shared" si="36"/>
        <v>0</v>
      </c>
      <c r="G182" s="88">
        <f t="shared" si="36"/>
        <v>0</v>
      </c>
      <c r="H182" s="88">
        <f t="shared" si="36"/>
        <v>0</v>
      </c>
      <c r="I182" s="88">
        <f t="shared" si="36"/>
        <v>0</v>
      </c>
      <c r="J182" s="88">
        <f t="shared" si="36"/>
        <v>0</v>
      </c>
      <c r="K182" s="88">
        <f t="shared" si="36"/>
        <v>0</v>
      </c>
      <c r="L182" s="88">
        <f t="shared" si="36"/>
        <v>0</v>
      </c>
      <c r="M182" s="88">
        <f t="shared" si="36"/>
        <v>0</v>
      </c>
      <c r="N182" s="88">
        <f t="shared" si="36"/>
        <v>0</v>
      </c>
      <c r="O182" s="88">
        <f t="shared" si="36"/>
        <v>0</v>
      </c>
      <c r="P182" s="88" t="e">
        <f>SUM(P179:P181)</f>
        <v>#VALUE!</v>
      </c>
      <c r="Q182" s="22"/>
      <c r="R182" s="32"/>
      <c r="S182" s="22"/>
    </row>
    <row r="183" spans="1:19" ht="17.45" customHeight="1">
      <c r="A183" s="103"/>
      <c r="B183" s="31"/>
      <c r="C183" s="28" t="s">
        <v>315</v>
      </c>
      <c r="D183" s="81"/>
      <c r="E183" s="81"/>
      <c r="F183" s="81">
        <v>0</v>
      </c>
      <c r="G183" s="81"/>
      <c r="H183" s="81"/>
      <c r="I183" s="81"/>
      <c r="J183" s="81"/>
      <c r="K183" s="81"/>
      <c r="L183" s="81"/>
      <c r="M183" s="81"/>
      <c r="N183" s="81"/>
      <c r="O183" s="81"/>
      <c r="P183" s="81">
        <f>D183+E183+F183+G183+H183+I183+J183+K183+L183+M183+N183+O183</f>
        <v>0</v>
      </c>
      <c r="Q183" s="18"/>
    </row>
    <row r="184" spans="1:19" ht="17.45" customHeight="1">
      <c r="A184" s="103"/>
      <c r="B184" s="31" t="s">
        <v>316</v>
      </c>
      <c r="C184" s="26" t="s">
        <v>171</v>
      </c>
      <c r="D184" s="81"/>
      <c r="E184" s="81"/>
      <c r="F184" s="81">
        <v>1388.61</v>
      </c>
      <c r="G184" s="81"/>
      <c r="H184" s="81"/>
      <c r="I184" s="81"/>
      <c r="J184" s="81"/>
      <c r="K184" s="81"/>
      <c r="L184" s="81"/>
      <c r="M184" s="81"/>
      <c r="N184" s="81"/>
      <c r="O184" s="81"/>
      <c r="P184" s="81">
        <f>D184+E184+F184+G184+H184+I184+J184+K184+L184+M184+N184+O184</f>
        <v>1388.61</v>
      </c>
      <c r="Q184" s="18"/>
    </row>
    <row r="185" spans="1:19" ht="17.45" customHeight="1">
      <c r="A185" s="103"/>
      <c r="B185" s="31"/>
      <c r="C185" s="26" t="s">
        <v>317</v>
      </c>
      <c r="D185" s="81"/>
      <c r="E185" s="81"/>
      <c r="F185" s="81">
        <v>764.4</v>
      </c>
      <c r="G185" s="81"/>
      <c r="H185" s="81"/>
      <c r="I185" s="81"/>
      <c r="J185" s="81"/>
      <c r="K185" s="81"/>
      <c r="L185" s="81"/>
      <c r="M185" s="81"/>
      <c r="N185" s="81"/>
      <c r="O185" s="81"/>
      <c r="P185" s="81">
        <f>D185+E185+F185+G185+H185+I185+J185+K185+L185+M185+N185+O185</f>
        <v>764.4</v>
      </c>
    </row>
    <row r="186" spans="1:19" ht="17.45" customHeight="1">
      <c r="A186" s="103"/>
      <c r="B186" s="31" t="s">
        <v>318</v>
      </c>
      <c r="C186" s="26" t="s">
        <v>319</v>
      </c>
      <c r="D186" s="81"/>
      <c r="E186" s="81"/>
      <c r="F186" s="81">
        <v>0</v>
      </c>
      <c r="G186" s="81"/>
      <c r="H186" s="81"/>
      <c r="I186" s="81"/>
      <c r="J186" s="81"/>
      <c r="K186" s="81"/>
      <c r="L186" s="81"/>
      <c r="M186" s="81"/>
      <c r="N186" s="81"/>
      <c r="O186" s="81"/>
      <c r="P186" s="81">
        <f>D186+E186+F186+G186+H186+I186+J186+K186+L186+M186+N186+O186</f>
        <v>0</v>
      </c>
      <c r="Q186" s="18"/>
    </row>
    <row r="187" spans="1:19" ht="17.45" customHeight="1">
      <c r="A187" s="103"/>
      <c r="B187" s="68" t="s">
        <v>320</v>
      </c>
      <c r="C187" s="67" t="s">
        <v>315</v>
      </c>
      <c r="D187" s="88">
        <f t="shared" ref="D187:P187" si="37">SUM(D184:D186)</f>
        <v>0</v>
      </c>
      <c r="E187" s="88">
        <f t="shared" si="37"/>
        <v>0</v>
      </c>
      <c r="F187" s="88">
        <f t="shared" si="37"/>
        <v>2153.0099999999998</v>
      </c>
      <c r="G187" s="88">
        <f t="shared" si="37"/>
        <v>0</v>
      </c>
      <c r="H187" s="88">
        <f t="shared" si="37"/>
        <v>0</v>
      </c>
      <c r="I187" s="88">
        <f t="shared" si="37"/>
        <v>0</v>
      </c>
      <c r="J187" s="88">
        <f t="shared" si="37"/>
        <v>0</v>
      </c>
      <c r="K187" s="88">
        <f t="shared" si="37"/>
        <v>0</v>
      </c>
      <c r="L187" s="88">
        <f t="shared" si="37"/>
        <v>0</v>
      </c>
      <c r="M187" s="88">
        <f t="shared" si="37"/>
        <v>0</v>
      </c>
      <c r="N187" s="88">
        <f t="shared" si="37"/>
        <v>0</v>
      </c>
      <c r="O187" s="88">
        <f t="shared" si="37"/>
        <v>0</v>
      </c>
      <c r="P187" s="88">
        <f t="shared" si="37"/>
        <v>2153.0099999999998</v>
      </c>
      <c r="Q187" s="22"/>
      <c r="R187" s="32"/>
      <c r="S187" s="22"/>
    </row>
    <row r="188" spans="1:19" ht="17.45" customHeight="1">
      <c r="A188" s="103"/>
      <c r="B188" s="31" t="s">
        <v>321</v>
      </c>
      <c r="C188" s="28" t="s">
        <v>322</v>
      </c>
      <c r="D188" s="81"/>
      <c r="E188" s="81"/>
      <c r="F188" s="81">
        <v>0</v>
      </c>
      <c r="G188" s="81"/>
      <c r="H188" s="81"/>
      <c r="I188" s="81"/>
      <c r="J188" s="81"/>
      <c r="K188" s="81"/>
      <c r="L188" s="81"/>
      <c r="M188" s="81"/>
      <c r="N188" s="81"/>
      <c r="O188" s="81"/>
      <c r="P188" s="81">
        <f t="shared" ref="P188:P194" si="38">D188+E188+F188+G188+H188+I188+J188+K188+L188+M188+N188+O188</f>
        <v>0</v>
      </c>
      <c r="Q188" s="18"/>
    </row>
    <row r="189" spans="1:19" ht="17.45" customHeight="1">
      <c r="A189" s="103"/>
      <c r="B189" s="31" t="s">
        <v>323</v>
      </c>
      <c r="C189" s="26" t="s">
        <v>324</v>
      </c>
      <c r="D189" s="81"/>
      <c r="E189" s="81"/>
      <c r="F189" s="81">
        <v>1318.26</v>
      </c>
      <c r="G189" s="81"/>
      <c r="H189" s="81"/>
      <c r="I189" s="81"/>
      <c r="J189" s="81"/>
      <c r="K189" s="81"/>
      <c r="L189" s="81"/>
      <c r="M189" s="81"/>
      <c r="N189" s="81"/>
      <c r="O189" s="81"/>
      <c r="P189" s="81">
        <f t="shared" si="38"/>
        <v>1318.26</v>
      </c>
      <c r="Q189" s="18"/>
    </row>
    <row r="190" spans="1:19" ht="17.45" customHeight="1">
      <c r="A190" s="103"/>
      <c r="B190" s="31" t="s">
        <v>325</v>
      </c>
      <c r="C190" s="26" t="s">
        <v>326</v>
      </c>
      <c r="D190" s="81"/>
      <c r="E190" s="81"/>
      <c r="F190" s="81">
        <v>6626.07</v>
      </c>
      <c r="G190" s="81"/>
      <c r="H190" s="81"/>
      <c r="I190" s="81"/>
      <c r="J190" s="81"/>
      <c r="K190" s="81"/>
      <c r="L190" s="81"/>
      <c r="M190" s="81"/>
      <c r="N190" s="81"/>
      <c r="O190" s="81"/>
      <c r="P190" s="81">
        <f t="shared" si="38"/>
        <v>6626.07</v>
      </c>
      <c r="Q190" s="18"/>
    </row>
    <row r="191" spans="1:19" ht="17.45" customHeight="1">
      <c r="A191" s="103"/>
      <c r="B191" s="31">
        <v>816130</v>
      </c>
      <c r="C191" s="26" t="s">
        <v>327</v>
      </c>
      <c r="D191" s="81"/>
      <c r="E191" s="81"/>
      <c r="F191" s="81" t="s">
        <v>441</v>
      </c>
      <c r="G191" s="81"/>
      <c r="H191" s="81"/>
      <c r="I191" s="81"/>
      <c r="J191" s="81"/>
      <c r="K191" s="81"/>
      <c r="L191" s="81"/>
      <c r="M191" s="81"/>
      <c r="N191" s="81"/>
      <c r="O191" s="81"/>
      <c r="P191" s="81" t="e">
        <f t="shared" si="38"/>
        <v>#VALUE!</v>
      </c>
      <c r="Q191" s="18"/>
    </row>
    <row r="192" spans="1:19" ht="17.45" customHeight="1">
      <c r="A192" s="103"/>
      <c r="B192" s="31" t="s">
        <v>328</v>
      </c>
      <c r="C192" s="26" t="s">
        <v>329</v>
      </c>
      <c r="D192" s="81"/>
      <c r="E192" s="81"/>
      <c r="F192" s="81">
        <v>0</v>
      </c>
      <c r="G192" s="81"/>
      <c r="H192" s="81"/>
      <c r="I192" s="81"/>
      <c r="J192" s="81"/>
      <c r="K192" s="81"/>
      <c r="L192" s="81"/>
      <c r="M192" s="81"/>
      <c r="N192" s="81"/>
      <c r="O192" s="81"/>
      <c r="P192" s="81">
        <f t="shared" si="38"/>
        <v>0</v>
      </c>
      <c r="Q192" s="18"/>
    </row>
    <row r="193" spans="1:19" ht="17.45" customHeight="1">
      <c r="A193" s="103"/>
      <c r="B193" s="31" t="s">
        <v>330</v>
      </c>
      <c r="C193" s="26" t="s">
        <v>331</v>
      </c>
      <c r="D193" s="81"/>
      <c r="E193" s="81"/>
      <c r="F193" s="81" t="s">
        <v>441</v>
      </c>
      <c r="G193" s="81"/>
      <c r="H193" s="81"/>
      <c r="I193" s="81"/>
      <c r="J193" s="81"/>
      <c r="K193" s="81"/>
      <c r="L193" s="81"/>
      <c r="M193" s="81"/>
      <c r="N193" s="81"/>
      <c r="O193" s="81"/>
      <c r="P193" s="81" t="e">
        <f t="shared" si="38"/>
        <v>#VALUE!</v>
      </c>
      <c r="Q193" s="18"/>
    </row>
    <row r="194" spans="1:19" ht="17.45" customHeight="1">
      <c r="A194" s="103"/>
      <c r="B194" s="31"/>
      <c r="C194" s="26" t="s">
        <v>332</v>
      </c>
      <c r="D194" s="81"/>
      <c r="E194" s="81"/>
      <c r="F194" s="81">
        <v>0</v>
      </c>
      <c r="G194" s="81"/>
      <c r="H194" s="81"/>
      <c r="I194" s="81"/>
      <c r="J194" s="81"/>
      <c r="K194" s="81"/>
      <c r="L194" s="81"/>
      <c r="M194" s="81"/>
      <c r="N194" s="81"/>
      <c r="O194" s="81"/>
      <c r="P194" s="81">
        <f t="shared" si="38"/>
        <v>0</v>
      </c>
      <c r="Q194" s="18"/>
    </row>
    <row r="195" spans="1:19" ht="17.45" customHeight="1">
      <c r="A195" s="103"/>
      <c r="B195" s="31"/>
      <c r="C195" s="26" t="s">
        <v>333</v>
      </c>
      <c r="D195" s="81"/>
      <c r="E195" s="81"/>
      <c r="F195" s="81">
        <v>0</v>
      </c>
      <c r="G195" s="81"/>
      <c r="H195" s="81"/>
      <c r="I195" s="81"/>
      <c r="J195" s="81"/>
      <c r="K195" s="81"/>
      <c r="L195" s="81"/>
      <c r="M195" s="81"/>
      <c r="N195" s="81"/>
      <c r="O195" s="81"/>
      <c r="P195" s="81">
        <v>0</v>
      </c>
    </row>
    <row r="196" spans="1:19" ht="17.45" customHeight="1">
      <c r="A196" s="103"/>
      <c r="B196" s="31"/>
      <c r="C196" s="26"/>
      <c r="D196" s="81"/>
      <c r="E196" s="81"/>
      <c r="F196" s="81" t="s">
        <v>441</v>
      </c>
      <c r="G196" s="81"/>
      <c r="H196" s="81"/>
      <c r="I196" s="81"/>
      <c r="J196" s="81"/>
      <c r="K196" s="81"/>
      <c r="L196" s="81"/>
      <c r="M196" s="81"/>
      <c r="N196" s="81"/>
      <c r="O196" s="81"/>
      <c r="P196" s="81">
        <v>0</v>
      </c>
    </row>
    <row r="197" spans="1:19" ht="17.45" customHeight="1">
      <c r="A197" s="103"/>
      <c r="B197" s="63" t="s">
        <v>321</v>
      </c>
      <c r="C197" s="64" t="s">
        <v>322</v>
      </c>
      <c r="D197" s="117">
        <f t="shared" ref="D197:P197" si="39">SUM(D189:D196)</f>
        <v>0</v>
      </c>
      <c r="E197" s="117">
        <f t="shared" si="39"/>
        <v>0</v>
      </c>
      <c r="F197" s="117">
        <f t="shared" si="39"/>
        <v>7944.33</v>
      </c>
      <c r="G197" s="117">
        <f t="shared" si="39"/>
        <v>0</v>
      </c>
      <c r="H197" s="117">
        <f t="shared" si="39"/>
        <v>0</v>
      </c>
      <c r="I197" s="117">
        <f t="shared" si="39"/>
        <v>0</v>
      </c>
      <c r="J197" s="117">
        <f t="shared" si="39"/>
        <v>0</v>
      </c>
      <c r="K197" s="117">
        <f t="shared" si="39"/>
        <v>0</v>
      </c>
      <c r="L197" s="117">
        <f t="shared" si="39"/>
        <v>0</v>
      </c>
      <c r="M197" s="117">
        <f t="shared" si="39"/>
        <v>0</v>
      </c>
      <c r="N197" s="117">
        <f t="shared" si="39"/>
        <v>0</v>
      </c>
      <c r="O197" s="117">
        <f t="shared" si="39"/>
        <v>0</v>
      </c>
      <c r="P197" s="117" t="e">
        <f t="shared" si="39"/>
        <v>#VALUE!</v>
      </c>
      <c r="Q197" s="22"/>
      <c r="R197" s="32"/>
      <c r="S197" s="22"/>
    </row>
    <row r="198" spans="1:19" ht="17.45" customHeight="1">
      <c r="A198" s="103"/>
      <c r="B198" s="68" t="s">
        <v>334</v>
      </c>
      <c r="C198" s="67" t="s">
        <v>245</v>
      </c>
      <c r="D198" s="89">
        <f t="shared" ref="D198:P198" si="40">D148+D154+D158+D170+D175+D182+D187+D197+D163+D164+D165+D176+D177</f>
        <v>0</v>
      </c>
      <c r="E198" s="89">
        <f t="shared" si="40"/>
        <v>0</v>
      </c>
      <c r="F198" s="89">
        <f t="shared" si="40"/>
        <v>64442.11</v>
      </c>
      <c r="G198" s="89">
        <f t="shared" si="40"/>
        <v>0</v>
      </c>
      <c r="H198" s="89">
        <f t="shared" si="40"/>
        <v>0</v>
      </c>
      <c r="I198" s="89">
        <f t="shared" si="40"/>
        <v>0</v>
      </c>
      <c r="J198" s="89">
        <f t="shared" si="40"/>
        <v>0</v>
      </c>
      <c r="K198" s="89">
        <f t="shared" si="40"/>
        <v>0</v>
      </c>
      <c r="L198" s="89">
        <f t="shared" si="40"/>
        <v>0</v>
      </c>
      <c r="M198" s="89">
        <f t="shared" si="40"/>
        <v>0</v>
      </c>
      <c r="N198" s="89">
        <f t="shared" si="40"/>
        <v>0</v>
      </c>
      <c r="O198" s="89">
        <f t="shared" si="40"/>
        <v>0</v>
      </c>
      <c r="P198" s="89" t="e">
        <f t="shared" si="40"/>
        <v>#VALUE!</v>
      </c>
      <c r="Q198" s="22"/>
      <c r="R198" s="32"/>
      <c r="S198" s="22"/>
    </row>
    <row r="199" spans="1:19" ht="17.45" customHeight="1">
      <c r="A199" s="103"/>
      <c r="B199" s="31"/>
      <c r="C199" s="28" t="s">
        <v>335</v>
      </c>
      <c r="D199" s="81"/>
      <c r="E199" s="81"/>
      <c r="F199" s="81">
        <v>0</v>
      </c>
      <c r="G199" s="81"/>
      <c r="H199" s="81"/>
      <c r="I199" s="81"/>
      <c r="J199" s="81"/>
      <c r="K199" s="81"/>
      <c r="L199" s="81"/>
      <c r="M199" s="81"/>
      <c r="N199" s="81"/>
      <c r="O199" s="81"/>
      <c r="P199" s="81">
        <f t="shared" ref="P199:P205" si="41">D199+E199+F199+G199+H199+I199+J199+K199+L199+M199+N199+O199</f>
        <v>0</v>
      </c>
      <c r="Q199" s="18"/>
    </row>
    <row r="200" spans="1:19" ht="17.45" customHeight="1">
      <c r="A200" s="103"/>
      <c r="B200" s="31"/>
      <c r="C200" s="28" t="s">
        <v>336</v>
      </c>
      <c r="D200" s="81"/>
      <c r="E200" s="81"/>
      <c r="F200" s="81">
        <v>0</v>
      </c>
      <c r="G200" s="81"/>
      <c r="H200" s="81"/>
      <c r="I200" s="81"/>
      <c r="J200" s="81"/>
      <c r="K200" s="81"/>
      <c r="L200" s="81"/>
      <c r="M200" s="81"/>
      <c r="N200" s="81"/>
      <c r="O200" s="81"/>
      <c r="P200" s="81">
        <f t="shared" si="41"/>
        <v>0</v>
      </c>
      <c r="Q200" s="18"/>
    </row>
    <row r="201" spans="1:19" ht="17.45" customHeight="1">
      <c r="A201" s="103"/>
      <c r="B201" s="31" t="s">
        <v>337</v>
      </c>
      <c r="C201" s="26" t="s">
        <v>338</v>
      </c>
      <c r="D201" s="81"/>
      <c r="E201" s="81"/>
      <c r="F201" s="81">
        <v>0</v>
      </c>
      <c r="G201" s="81"/>
      <c r="H201" s="81"/>
      <c r="I201" s="81"/>
      <c r="J201" s="81"/>
      <c r="K201" s="81"/>
      <c r="L201" s="81"/>
      <c r="M201" s="81"/>
      <c r="N201" s="81"/>
      <c r="O201" s="81"/>
      <c r="P201" s="81">
        <f t="shared" si="41"/>
        <v>0</v>
      </c>
      <c r="Q201" s="18"/>
    </row>
    <row r="202" spans="1:19" ht="17.45" customHeight="1">
      <c r="A202" s="103"/>
      <c r="B202" s="31" t="s">
        <v>339</v>
      </c>
      <c r="C202" s="26" t="s">
        <v>340</v>
      </c>
      <c r="D202" s="81"/>
      <c r="E202" s="81"/>
      <c r="F202" s="81">
        <v>0</v>
      </c>
      <c r="G202" s="81"/>
      <c r="H202" s="81"/>
      <c r="I202" s="81"/>
      <c r="J202" s="81"/>
      <c r="K202" s="81"/>
      <c r="L202" s="81"/>
      <c r="M202" s="81"/>
      <c r="N202" s="81"/>
      <c r="O202" s="81"/>
      <c r="P202" s="81">
        <f t="shared" si="41"/>
        <v>0</v>
      </c>
      <c r="Q202" s="18"/>
    </row>
    <row r="203" spans="1:19" ht="17.45" customHeight="1">
      <c r="A203" s="103"/>
      <c r="B203" s="31"/>
      <c r="C203" s="28" t="s">
        <v>341</v>
      </c>
      <c r="D203" s="81"/>
      <c r="E203" s="81"/>
      <c r="F203" s="81" t="s">
        <v>441</v>
      </c>
      <c r="G203" s="81"/>
      <c r="H203" s="81"/>
      <c r="I203" s="81"/>
      <c r="J203" s="81"/>
      <c r="K203" s="81"/>
      <c r="L203" s="81"/>
      <c r="M203" s="81"/>
      <c r="N203" s="81"/>
      <c r="O203" s="81"/>
      <c r="P203" s="81" t="e">
        <f t="shared" si="41"/>
        <v>#VALUE!</v>
      </c>
      <c r="Q203" s="18"/>
    </row>
    <row r="204" spans="1:19" ht="17.45" customHeight="1">
      <c r="A204" s="103"/>
      <c r="B204" s="31" t="s">
        <v>342</v>
      </c>
      <c r="C204" s="26" t="s">
        <v>343</v>
      </c>
      <c r="D204" s="81"/>
      <c r="E204" s="81"/>
      <c r="F204" s="81" t="s">
        <v>441</v>
      </c>
      <c r="G204" s="81"/>
      <c r="H204" s="81"/>
      <c r="I204" s="81"/>
      <c r="J204" s="81"/>
      <c r="K204" s="81"/>
      <c r="L204" s="81"/>
      <c r="M204" s="81"/>
      <c r="N204" s="81"/>
      <c r="O204" s="81"/>
      <c r="P204" s="81" t="e">
        <f t="shared" si="41"/>
        <v>#VALUE!</v>
      </c>
      <c r="Q204" s="18"/>
    </row>
    <row r="205" spans="1:19" ht="17.45" customHeight="1">
      <c r="A205" s="103"/>
      <c r="B205" s="31" t="s">
        <v>344</v>
      </c>
      <c r="C205" s="26" t="s">
        <v>345</v>
      </c>
      <c r="D205" s="81"/>
      <c r="E205" s="81"/>
      <c r="F205" s="81" t="s">
        <v>441</v>
      </c>
      <c r="G205" s="81"/>
      <c r="H205" s="81"/>
      <c r="I205" s="81"/>
      <c r="J205" s="81"/>
      <c r="K205" s="81"/>
      <c r="L205" s="81"/>
      <c r="M205" s="81"/>
      <c r="N205" s="81"/>
      <c r="O205" s="81"/>
      <c r="P205" s="81" t="e">
        <f t="shared" si="41"/>
        <v>#VALUE!</v>
      </c>
      <c r="Q205" s="18"/>
    </row>
    <row r="206" spans="1:19" ht="17.45" customHeight="1">
      <c r="A206" s="103"/>
      <c r="B206" s="68" t="s">
        <v>346</v>
      </c>
      <c r="C206" s="67" t="s">
        <v>341</v>
      </c>
      <c r="D206" s="84">
        <f>D204</f>
        <v>0</v>
      </c>
      <c r="E206" s="84">
        <f t="shared" ref="E206:P206" si="42">E204</f>
        <v>0</v>
      </c>
      <c r="F206" s="84" t="str">
        <f t="shared" si="42"/>
        <v>NOT FOUND</v>
      </c>
      <c r="G206" s="84">
        <f t="shared" si="42"/>
        <v>0</v>
      </c>
      <c r="H206" s="84">
        <f t="shared" si="42"/>
        <v>0</v>
      </c>
      <c r="I206" s="84">
        <f t="shared" si="42"/>
        <v>0</v>
      </c>
      <c r="J206" s="84">
        <f t="shared" si="42"/>
        <v>0</v>
      </c>
      <c r="K206" s="84">
        <f t="shared" si="42"/>
        <v>0</v>
      </c>
      <c r="L206" s="84">
        <f t="shared" si="42"/>
        <v>0</v>
      </c>
      <c r="M206" s="84">
        <f t="shared" si="42"/>
        <v>0</v>
      </c>
      <c r="N206" s="84">
        <f t="shared" si="42"/>
        <v>0</v>
      </c>
      <c r="O206" s="84">
        <f t="shared" si="42"/>
        <v>0</v>
      </c>
      <c r="P206" s="84" t="e">
        <f t="shared" si="42"/>
        <v>#VALUE!</v>
      </c>
      <c r="Q206" s="22"/>
      <c r="R206" s="32"/>
      <c r="S206" s="22"/>
    </row>
    <row r="207" spans="1:19" ht="17.45" customHeight="1">
      <c r="A207" s="103"/>
      <c r="B207" s="31" t="s">
        <v>347</v>
      </c>
      <c r="C207" s="26" t="s">
        <v>348</v>
      </c>
      <c r="D207" s="81"/>
      <c r="E207" s="81"/>
      <c r="F207" s="81">
        <v>0</v>
      </c>
      <c r="G207" s="81"/>
      <c r="H207" s="81"/>
      <c r="I207" s="81"/>
      <c r="J207" s="81"/>
      <c r="K207" s="81"/>
      <c r="L207" s="81"/>
      <c r="M207" s="81"/>
      <c r="N207" s="81"/>
      <c r="O207" s="81"/>
      <c r="P207" s="81">
        <f t="shared" ref="P207:P213" si="43">D207+E207+F207+G207+H207+I207+J207+K207+L207+M207+N207+O207</f>
        <v>0</v>
      </c>
      <c r="Q207" s="18"/>
    </row>
    <row r="208" spans="1:19" ht="17.45" customHeight="1">
      <c r="A208" s="103"/>
      <c r="B208" s="31" t="s">
        <v>349</v>
      </c>
      <c r="C208" s="26" t="s">
        <v>350</v>
      </c>
      <c r="D208" s="81"/>
      <c r="E208" s="81"/>
      <c r="F208" s="81">
        <v>0</v>
      </c>
      <c r="G208" s="81"/>
      <c r="H208" s="81"/>
      <c r="I208" s="81"/>
      <c r="J208" s="81"/>
      <c r="K208" s="81"/>
      <c r="L208" s="81"/>
      <c r="M208" s="81"/>
      <c r="N208" s="81"/>
      <c r="O208" s="81"/>
      <c r="P208" s="81">
        <f t="shared" si="43"/>
        <v>0</v>
      </c>
      <c r="Q208" s="18"/>
    </row>
    <row r="209" spans="1:19" ht="17.45" customHeight="1">
      <c r="A209" s="103"/>
      <c r="B209" s="31" t="s">
        <v>351</v>
      </c>
      <c r="C209" s="26" t="s">
        <v>352</v>
      </c>
      <c r="D209" s="81"/>
      <c r="E209" s="81"/>
      <c r="F209" s="81">
        <v>0.9</v>
      </c>
      <c r="G209" s="81"/>
      <c r="H209" s="81"/>
      <c r="I209" s="81"/>
      <c r="J209" s="81"/>
      <c r="K209" s="81"/>
      <c r="L209" s="81"/>
      <c r="M209" s="81"/>
      <c r="N209" s="81"/>
      <c r="O209" s="81"/>
      <c r="P209" s="81">
        <f t="shared" si="43"/>
        <v>0.9</v>
      </c>
      <c r="Q209" s="18"/>
    </row>
    <row r="210" spans="1:19" ht="17.45" customHeight="1">
      <c r="A210" s="103"/>
      <c r="B210" s="31"/>
      <c r="C210" s="26" t="s">
        <v>353</v>
      </c>
      <c r="D210" s="81"/>
      <c r="E210" s="81"/>
      <c r="F210" s="81">
        <v>-166.73</v>
      </c>
      <c r="G210" s="81"/>
      <c r="H210" s="81"/>
      <c r="I210" s="81"/>
      <c r="J210" s="81"/>
      <c r="K210" s="81"/>
      <c r="L210" s="81"/>
      <c r="M210" s="81"/>
      <c r="N210" s="81"/>
      <c r="O210" s="81"/>
      <c r="P210" s="81">
        <f t="shared" si="43"/>
        <v>-166.73</v>
      </c>
      <c r="Q210" s="18"/>
    </row>
    <row r="211" spans="1:19" ht="17.45" customHeight="1">
      <c r="A211" s="103"/>
      <c r="B211" s="31" t="s">
        <v>354</v>
      </c>
      <c r="C211" s="26" t="s">
        <v>355</v>
      </c>
      <c r="D211" s="81"/>
      <c r="E211" s="81"/>
      <c r="F211" s="81">
        <v>0</v>
      </c>
      <c r="G211" s="81"/>
      <c r="H211" s="81"/>
      <c r="I211" s="81"/>
      <c r="J211" s="81"/>
      <c r="K211" s="81"/>
      <c r="L211" s="81"/>
      <c r="M211" s="81"/>
      <c r="N211" s="81"/>
      <c r="O211" s="81"/>
      <c r="P211" s="81">
        <f t="shared" si="43"/>
        <v>0</v>
      </c>
      <c r="Q211" s="18"/>
    </row>
    <row r="212" spans="1:19" ht="17.45" customHeight="1">
      <c r="A212" s="103"/>
      <c r="B212" s="31"/>
      <c r="C212" s="26" t="s">
        <v>356</v>
      </c>
      <c r="D212" s="81"/>
      <c r="E212" s="81"/>
      <c r="F212" s="81">
        <v>12411.61</v>
      </c>
      <c r="G212" s="81"/>
      <c r="H212" s="81"/>
      <c r="I212" s="81"/>
      <c r="J212" s="81"/>
      <c r="K212" s="81"/>
      <c r="L212" s="81"/>
      <c r="M212" s="81"/>
      <c r="N212" s="81"/>
      <c r="O212" s="81"/>
      <c r="P212" s="81">
        <f t="shared" si="43"/>
        <v>12411.61</v>
      </c>
      <c r="Q212" s="18"/>
    </row>
    <row r="213" spans="1:19" ht="17.45" customHeight="1">
      <c r="A213" s="103"/>
      <c r="B213" s="31" t="s">
        <v>357</v>
      </c>
      <c r="C213" s="26" t="s">
        <v>358</v>
      </c>
      <c r="D213" s="81"/>
      <c r="E213" s="81"/>
      <c r="F213" s="81">
        <v>-3.15</v>
      </c>
      <c r="G213" s="81"/>
      <c r="H213" s="81"/>
      <c r="I213" s="81"/>
      <c r="J213" s="81"/>
      <c r="K213" s="81"/>
      <c r="L213" s="81"/>
      <c r="M213" s="81"/>
      <c r="N213" s="81"/>
      <c r="O213" s="81"/>
      <c r="P213" s="81">
        <f t="shared" si="43"/>
        <v>-3.15</v>
      </c>
      <c r="Q213" s="18"/>
    </row>
    <row r="214" spans="1:19" ht="17.45" customHeight="1">
      <c r="A214" s="103"/>
      <c r="B214" s="68" t="s">
        <v>359</v>
      </c>
      <c r="C214" s="67" t="s">
        <v>336</v>
      </c>
      <c r="D214" s="89">
        <f t="shared" ref="D214:O214" si="44">SUM(D201:D213)</f>
        <v>0</v>
      </c>
      <c r="E214" s="89">
        <f t="shared" si="44"/>
        <v>0</v>
      </c>
      <c r="F214" s="89">
        <f t="shared" si="44"/>
        <v>12242.630000000001</v>
      </c>
      <c r="G214" s="89">
        <f t="shared" si="44"/>
        <v>0</v>
      </c>
      <c r="H214" s="89">
        <f t="shared" si="44"/>
        <v>0</v>
      </c>
      <c r="I214" s="89">
        <f t="shared" si="44"/>
        <v>0</v>
      </c>
      <c r="J214" s="89">
        <f t="shared" si="44"/>
        <v>0</v>
      </c>
      <c r="K214" s="89">
        <f t="shared" si="44"/>
        <v>0</v>
      </c>
      <c r="L214" s="89">
        <f t="shared" si="44"/>
        <v>0</v>
      </c>
      <c r="M214" s="89">
        <f t="shared" si="44"/>
        <v>0</v>
      </c>
      <c r="N214" s="89">
        <f t="shared" si="44"/>
        <v>0</v>
      </c>
      <c r="O214" s="89">
        <f t="shared" si="44"/>
        <v>0</v>
      </c>
      <c r="P214" s="89" t="e">
        <f>SUM(P201:P213)</f>
        <v>#VALUE!</v>
      </c>
      <c r="Q214" s="22"/>
      <c r="R214" s="32"/>
      <c r="S214" s="22"/>
    </row>
    <row r="215" spans="1:19" ht="17.45" customHeight="1">
      <c r="A215" s="103"/>
      <c r="B215" s="31"/>
      <c r="C215" s="28" t="s">
        <v>360</v>
      </c>
      <c r="D215" s="81"/>
      <c r="E215" s="81"/>
      <c r="F215" s="81">
        <v>0</v>
      </c>
      <c r="G215" s="81"/>
      <c r="H215" s="81"/>
      <c r="I215" s="81"/>
      <c r="J215" s="81"/>
      <c r="K215" s="81"/>
      <c r="L215" s="81"/>
      <c r="M215" s="81"/>
      <c r="N215" s="81"/>
      <c r="O215" s="81"/>
      <c r="P215" s="81">
        <f>D215+E215+F215+G215+H215+I215+J215+K215+L215+M215+N215+O215</f>
        <v>0</v>
      </c>
      <c r="Q215" s="18"/>
    </row>
    <row r="216" spans="1:19" ht="17.45" customHeight="1">
      <c r="A216" s="103"/>
      <c r="B216" s="31"/>
      <c r="C216" s="29" t="s">
        <v>361</v>
      </c>
      <c r="D216" s="81"/>
      <c r="E216" s="81"/>
      <c r="F216" s="81">
        <v>0</v>
      </c>
      <c r="G216" s="81"/>
      <c r="H216" s="81"/>
      <c r="I216" s="81"/>
      <c r="J216" s="81"/>
      <c r="K216" s="81"/>
      <c r="L216" s="81"/>
      <c r="M216" s="81"/>
      <c r="N216" s="81"/>
      <c r="O216" s="81"/>
      <c r="P216" s="81">
        <f>D216+E216+F216+G216+H216+I216+J216+K216+L216+M216+N216+O216</f>
        <v>0</v>
      </c>
      <c r="Q216" s="18"/>
    </row>
    <row r="217" spans="1:19" ht="17.45" customHeight="1">
      <c r="A217" s="103"/>
      <c r="B217" s="31" t="s">
        <v>362</v>
      </c>
      <c r="C217" s="26" t="s">
        <v>363</v>
      </c>
      <c r="D217" s="81"/>
      <c r="E217" s="81"/>
      <c r="F217" s="81">
        <v>0</v>
      </c>
      <c r="G217" s="81"/>
      <c r="H217" s="81"/>
      <c r="I217" s="81"/>
      <c r="J217" s="81"/>
      <c r="K217" s="81"/>
      <c r="L217" s="81"/>
      <c r="M217" s="81"/>
      <c r="N217" s="81"/>
      <c r="O217" s="81"/>
      <c r="P217" s="81">
        <f>D217+E217+F217+G217+H217+I217+J217+K217+L217+M217+N217+O217</f>
        <v>0</v>
      </c>
      <c r="Q217" s="18"/>
    </row>
    <row r="218" spans="1:19" ht="17.45" customHeight="1">
      <c r="A218" s="103"/>
      <c r="B218" s="31" t="s">
        <v>364</v>
      </c>
      <c r="C218" s="26" t="s">
        <v>365</v>
      </c>
      <c r="D218" s="81"/>
      <c r="E218" s="81"/>
      <c r="F218" s="81" t="s">
        <v>441</v>
      </c>
      <c r="G218" s="81"/>
      <c r="H218" s="81"/>
      <c r="I218" s="81"/>
      <c r="J218" s="81"/>
      <c r="K218" s="81"/>
      <c r="L218" s="81"/>
      <c r="M218" s="81"/>
      <c r="N218" s="81"/>
      <c r="O218" s="81"/>
      <c r="P218" s="81" t="e">
        <f>D218+E218+F218+G218+H218+I218+J218+K218+L218+M218+N218+O218</f>
        <v>#VALUE!</v>
      </c>
      <c r="Q218" s="18"/>
    </row>
    <row r="219" spans="1:19" ht="17.45" customHeight="1">
      <c r="A219" s="103"/>
      <c r="B219" s="68" t="s">
        <v>366</v>
      </c>
      <c r="C219" s="67" t="s">
        <v>361</v>
      </c>
      <c r="D219" s="89">
        <f t="shared" ref="D219:O219" si="45">SUM(D217:D218)</f>
        <v>0</v>
      </c>
      <c r="E219" s="89">
        <f t="shared" si="45"/>
        <v>0</v>
      </c>
      <c r="F219" s="89">
        <f t="shared" si="45"/>
        <v>0</v>
      </c>
      <c r="G219" s="89">
        <f t="shared" si="45"/>
        <v>0</v>
      </c>
      <c r="H219" s="89">
        <f t="shared" si="45"/>
        <v>0</v>
      </c>
      <c r="I219" s="89">
        <f t="shared" si="45"/>
        <v>0</v>
      </c>
      <c r="J219" s="89">
        <f t="shared" si="45"/>
        <v>0</v>
      </c>
      <c r="K219" s="89">
        <f t="shared" si="45"/>
        <v>0</v>
      </c>
      <c r="L219" s="89">
        <f t="shared" si="45"/>
        <v>0</v>
      </c>
      <c r="M219" s="89">
        <f t="shared" si="45"/>
        <v>0</v>
      </c>
      <c r="N219" s="89">
        <f t="shared" si="45"/>
        <v>0</v>
      </c>
      <c r="O219" s="89">
        <f t="shared" si="45"/>
        <v>0</v>
      </c>
      <c r="P219" s="89" t="e">
        <f>SUM(P217:P218)</f>
        <v>#VALUE!</v>
      </c>
      <c r="Q219" s="22"/>
      <c r="R219" s="32"/>
      <c r="S219" s="22"/>
    </row>
    <row r="220" spans="1:19" ht="17.45" customHeight="1">
      <c r="A220" s="103"/>
      <c r="B220" s="31"/>
      <c r="C220" s="28" t="s">
        <v>367</v>
      </c>
      <c r="D220" s="81"/>
      <c r="E220" s="81"/>
      <c r="F220" s="81">
        <v>0</v>
      </c>
      <c r="G220" s="81"/>
      <c r="H220" s="81"/>
      <c r="I220" s="81"/>
      <c r="J220" s="81"/>
      <c r="K220" s="81"/>
      <c r="L220" s="81"/>
      <c r="M220" s="81"/>
      <c r="N220" s="81"/>
      <c r="O220" s="81"/>
      <c r="P220" s="81">
        <f>D220+E220+F220+G220+H220+I220+J220+K220+L220+M220+N220+O220</f>
        <v>0</v>
      </c>
      <c r="Q220" s="18"/>
    </row>
    <row r="221" spans="1:19" ht="17.45" customHeight="1">
      <c r="A221" s="103"/>
      <c r="B221" s="31" t="s">
        <v>368</v>
      </c>
      <c r="C221" s="26" t="s">
        <v>369</v>
      </c>
      <c r="D221" s="81"/>
      <c r="E221" s="81"/>
      <c r="F221" s="81">
        <v>19464.14</v>
      </c>
      <c r="G221" s="81"/>
      <c r="H221" s="81"/>
      <c r="I221" s="81"/>
      <c r="J221" s="81"/>
      <c r="K221" s="81"/>
      <c r="L221" s="81"/>
      <c r="M221" s="81"/>
      <c r="N221" s="81"/>
      <c r="O221" s="81"/>
      <c r="P221" s="81">
        <f>D221+E221+F221+G221+H221+I221+J221+K221+L221+M221+N221+O221</f>
        <v>19464.14</v>
      </c>
      <c r="Q221" s="18"/>
    </row>
    <row r="222" spans="1:19" ht="17.45" customHeight="1">
      <c r="A222" s="103"/>
      <c r="B222" s="31" t="s">
        <v>370</v>
      </c>
      <c r="C222" s="26" t="s">
        <v>371</v>
      </c>
      <c r="D222" s="81"/>
      <c r="E222" s="81"/>
      <c r="F222" s="81">
        <v>4188.62</v>
      </c>
      <c r="G222" s="81"/>
      <c r="H222" s="81"/>
      <c r="I222" s="81"/>
      <c r="J222" s="81"/>
      <c r="K222" s="81"/>
      <c r="L222" s="81"/>
      <c r="M222" s="81"/>
      <c r="N222" s="81"/>
      <c r="O222" s="81"/>
      <c r="P222" s="81">
        <f>D222+E222+F222+G222+H222+I222+J222+K222+L222+M222+N222+O222</f>
        <v>4188.62</v>
      </c>
      <c r="Q222" s="18"/>
    </row>
    <row r="223" spans="1:19" ht="17.45" customHeight="1">
      <c r="A223" s="103"/>
      <c r="B223" s="68" t="s">
        <v>372</v>
      </c>
      <c r="C223" s="67" t="s">
        <v>367</v>
      </c>
      <c r="D223" s="89">
        <f t="shared" ref="D223:O223" si="46">SUM(D221:D222)</f>
        <v>0</v>
      </c>
      <c r="E223" s="89">
        <f t="shared" si="46"/>
        <v>0</v>
      </c>
      <c r="F223" s="89">
        <f t="shared" si="46"/>
        <v>23652.76</v>
      </c>
      <c r="G223" s="89">
        <f t="shared" si="46"/>
        <v>0</v>
      </c>
      <c r="H223" s="89">
        <f t="shared" si="46"/>
        <v>0</v>
      </c>
      <c r="I223" s="89">
        <f t="shared" si="46"/>
        <v>0</v>
      </c>
      <c r="J223" s="89">
        <f t="shared" si="46"/>
        <v>0</v>
      </c>
      <c r="K223" s="89">
        <f t="shared" si="46"/>
        <v>0</v>
      </c>
      <c r="L223" s="89">
        <f t="shared" si="46"/>
        <v>0</v>
      </c>
      <c r="M223" s="89">
        <f t="shared" si="46"/>
        <v>0</v>
      </c>
      <c r="N223" s="89">
        <f t="shared" si="46"/>
        <v>0</v>
      </c>
      <c r="O223" s="89">
        <f t="shared" si="46"/>
        <v>0</v>
      </c>
      <c r="P223" s="89">
        <f>SUM(P221:P222)</f>
        <v>23652.76</v>
      </c>
      <c r="Q223" s="22"/>
      <c r="R223" s="32"/>
      <c r="S223" s="22"/>
    </row>
    <row r="224" spans="1:19" ht="17.45" customHeight="1">
      <c r="A224" s="103"/>
      <c r="B224" s="31" t="s">
        <v>373</v>
      </c>
      <c r="C224" s="26" t="s">
        <v>374</v>
      </c>
      <c r="D224" s="81"/>
      <c r="E224" s="81"/>
      <c r="F224" s="81">
        <v>-17681.47</v>
      </c>
      <c r="G224" s="81"/>
      <c r="H224" s="81"/>
      <c r="I224" s="81"/>
      <c r="J224" s="81"/>
      <c r="K224" s="81"/>
      <c r="L224" s="81"/>
      <c r="M224" s="81"/>
      <c r="N224" s="81"/>
      <c r="O224" s="81"/>
      <c r="P224" s="81">
        <f>D224+E224+F224+G224+H224+I224+J224+K224+L224+M224+N224+O224</f>
        <v>-17681.47</v>
      </c>
      <c r="Q224" s="18"/>
    </row>
    <row r="225" spans="1:19" ht="17.45" customHeight="1">
      <c r="A225" s="103"/>
      <c r="B225" s="31"/>
      <c r="C225" s="28" t="s">
        <v>375</v>
      </c>
      <c r="D225" s="81"/>
      <c r="E225" s="81"/>
      <c r="F225" s="81">
        <v>0</v>
      </c>
      <c r="G225" s="81"/>
      <c r="H225" s="81"/>
      <c r="I225" s="81"/>
      <c r="J225" s="81"/>
      <c r="K225" s="81"/>
      <c r="L225" s="81"/>
      <c r="M225" s="81"/>
      <c r="N225" s="81"/>
      <c r="O225" s="81"/>
      <c r="P225" s="81">
        <f>D225+E225+F225+G225+H225+I225+J225+K225+L225+M225+N225+O225</f>
        <v>0</v>
      </c>
      <c r="Q225" s="18"/>
    </row>
    <row r="226" spans="1:19" ht="17.45" customHeight="1">
      <c r="A226" s="103"/>
      <c r="B226" s="31" t="s">
        <v>376</v>
      </c>
      <c r="C226" s="26" t="s">
        <v>377</v>
      </c>
      <c r="D226" s="81"/>
      <c r="E226" s="81"/>
      <c r="F226" s="81">
        <v>1661.84</v>
      </c>
      <c r="G226" s="81"/>
      <c r="H226" s="81"/>
      <c r="I226" s="81"/>
      <c r="J226" s="81"/>
      <c r="K226" s="81"/>
      <c r="L226" s="81"/>
      <c r="M226" s="81"/>
      <c r="N226" s="81"/>
      <c r="O226" s="81"/>
      <c r="P226" s="81">
        <f>D226+E226+F226+G226+H226+I226+J226+K226+L226+M226+N226+O226</f>
        <v>1661.84</v>
      </c>
      <c r="Q226" s="18"/>
    </row>
    <row r="227" spans="1:19" ht="17.45" customHeight="1">
      <c r="A227" s="103"/>
      <c r="B227" s="31" t="s">
        <v>378</v>
      </c>
      <c r="C227" s="26" t="s">
        <v>379</v>
      </c>
      <c r="D227" s="81"/>
      <c r="E227" s="81"/>
      <c r="F227" s="81">
        <v>0</v>
      </c>
      <c r="G227" s="81"/>
      <c r="H227" s="81"/>
      <c r="I227" s="81"/>
      <c r="J227" s="81"/>
      <c r="K227" s="81"/>
      <c r="L227" s="81"/>
      <c r="M227" s="81"/>
      <c r="N227" s="81"/>
      <c r="O227" s="81"/>
      <c r="P227" s="81">
        <f>D227+E227+F227+G227+H227+I227+J227+K227+L227+M227+N227+O227</f>
        <v>0</v>
      </c>
      <c r="Q227" s="18"/>
    </row>
    <row r="228" spans="1:19" ht="17.45" customHeight="1">
      <c r="A228" s="103"/>
      <c r="B228" s="31"/>
      <c r="C228" s="26" t="s">
        <v>380</v>
      </c>
      <c r="D228" s="81"/>
      <c r="E228" s="81"/>
      <c r="F228" s="81">
        <v>0</v>
      </c>
      <c r="G228" s="81"/>
      <c r="H228" s="81"/>
      <c r="I228" s="81"/>
      <c r="J228" s="81"/>
      <c r="K228" s="81"/>
      <c r="L228" s="81"/>
      <c r="M228" s="81"/>
      <c r="N228" s="81"/>
      <c r="O228" s="81"/>
      <c r="P228" s="81">
        <v>0</v>
      </c>
    </row>
    <row r="229" spans="1:19" ht="17.45" customHeight="1">
      <c r="A229" s="103"/>
      <c r="B229" s="68" t="s">
        <v>381</v>
      </c>
      <c r="C229" s="67" t="s">
        <v>375</v>
      </c>
      <c r="D229" s="89">
        <f t="shared" ref="D229:O229" si="47">SUM(D226:D228)</f>
        <v>0</v>
      </c>
      <c r="E229" s="89">
        <f t="shared" si="47"/>
        <v>0</v>
      </c>
      <c r="F229" s="89">
        <f t="shared" si="47"/>
        <v>1661.84</v>
      </c>
      <c r="G229" s="89">
        <f t="shared" si="47"/>
        <v>0</v>
      </c>
      <c r="H229" s="89">
        <f t="shared" si="47"/>
        <v>0</v>
      </c>
      <c r="I229" s="89">
        <f t="shared" si="47"/>
        <v>0</v>
      </c>
      <c r="J229" s="89">
        <f t="shared" si="47"/>
        <v>0</v>
      </c>
      <c r="K229" s="89">
        <f t="shared" si="47"/>
        <v>0</v>
      </c>
      <c r="L229" s="89">
        <f t="shared" si="47"/>
        <v>0</v>
      </c>
      <c r="M229" s="89">
        <f t="shared" si="47"/>
        <v>0</v>
      </c>
      <c r="N229" s="89">
        <f t="shared" si="47"/>
        <v>0</v>
      </c>
      <c r="O229" s="89">
        <f t="shared" si="47"/>
        <v>0</v>
      </c>
      <c r="P229" s="89">
        <f>SUM(P226:P228)</f>
        <v>1661.84</v>
      </c>
      <c r="Q229" s="22"/>
      <c r="R229" s="32"/>
      <c r="S229" s="22"/>
    </row>
    <row r="230" spans="1:19" ht="17.45" customHeight="1">
      <c r="A230" s="103"/>
      <c r="B230" s="31"/>
      <c r="C230" s="28" t="s">
        <v>382</v>
      </c>
      <c r="D230" s="81"/>
      <c r="E230" s="81"/>
      <c r="F230" s="81" t="s">
        <v>441</v>
      </c>
      <c r="G230" s="81"/>
      <c r="H230" s="81"/>
      <c r="I230" s="81"/>
      <c r="J230" s="81"/>
      <c r="K230" s="81"/>
      <c r="L230" s="81"/>
      <c r="M230" s="81"/>
      <c r="N230" s="81"/>
      <c r="O230" s="81"/>
      <c r="P230" s="81" t="e">
        <f>D230+E230+F230+G230+H230+I230+J230+K230+L230+M230+N230+O230</f>
        <v>#VALUE!</v>
      </c>
      <c r="Q230" s="18"/>
    </row>
    <row r="231" spans="1:19" ht="17.45" customHeight="1">
      <c r="A231" s="103"/>
      <c r="B231" s="31" t="s">
        <v>383</v>
      </c>
      <c r="C231" s="26" t="s">
        <v>384</v>
      </c>
      <c r="D231" s="81"/>
      <c r="E231" s="81"/>
      <c r="F231" s="81" t="s">
        <v>441</v>
      </c>
      <c r="G231" s="81"/>
      <c r="H231" s="81"/>
      <c r="I231" s="81"/>
      <c r="J231" s="81"/>
      <c r="K231" s="81"/>
      <c r="L231" s="81"/>
      <c r="M231" s="81"/>
      <c r="N231" s="81"/>
      <c r="O231" s="81"/>
      <c r="P231" s="81" t="e">
        <f>D231+E231+F231+G231+H231+I231+J231+K231+L231+M231+N231+O231</f>
        <v>#VALUE!</v>
      </c>
      <c r="Q231" s="18"/>
    </row>
    <row r="232" spans="1:19" ht="17.45" customHeight="1">
      <c r="A232" s="103"/>
      <c r="B232" s="31" t="s">
        <v>385</v>
      </c>
      <c r="C232" s="26" t="s">
        <v>386</v>
      </c>
      <c r="D232" s="81"/>
      <c r="E232" s="81"/>
      <c r="F232" s="81" t="s">
        <v>441</v>
      </c>
      <c r="G232" s="81"/>
      <c r="H232" s="81"/>
      <c r="I232" s="81"/>
      <c r="J232" s="81"/>
      <c r="K232" s="81"/>
      <c r="L232" s="81"/>
      <c r="M232" s="81"/>
      <c r="N232" s="81"/>
      <c r="O232" s="81"/>
      <c r="P232" s="81" t="e">
        <f>D232+E232+F232+G232+H232+I232+J232+K232+L232+M232+N232+O232</f>
        <v>#VALUE!</v>
      </c>
      <c r="Q232" s="18"/>
    </row>
    <row r="233" spans="1:19" ht="17.45" customHeight="1">
      <c r="A233" s="103"/>
      <c r="B233" s="68" t="s">
        <v>387</v>
      </c>
      <c r="C233" s="67" t="s">
        <v>382</v>
      </c>
      <c r="D233" s="89">
        <f>D232+D231</f>
        <v>0</v>
      </c>
      <c r="E233" s="89">
        <f t="shared" ref="E233:P233" si="48">E232+E231</f>
        <v>0</v>
      </c>
      <c r="F233" s="89" t="e">
        <f t="shared" si="48"/>
        <v>#VALUE!</v>
      </c>
      <c r="G233" s="89">
        <f t="shared" si="48"/>
        <v>0</v>
      </c>
      <c r="H233" s="89">
        <f t="shared" si="48"/>
        <v>0</v>
      </c>
      <c r="I233" s="89">
        <f t="shared" si="48"/>
        <v>0</v>
      </c>
      <c r="J233" s="89">
        <f t="shared" si="48"/>
        <v>0</v>
      </c>
      <c r="K233" s="89">
        <f t="shared" si="48"/>
        <v>0</v>
      </c>
      <c r="L233" s="89">
        <f t="shared" si="48"/>
        <v>0</v>
      </c>
      <c r="M233" s="89">
        <f t="shared" si="48"/>
        <v>0</v>
      </c>
      <c r="N233" s="89">
        <f t="shared" si="48"/>
        <v>0</v>
      </c>
      <c r="O233" s="89">
        <f t="shared" si="48"/>
        <v>0</v>
      </c>
      <c r="P233" s="89" t="e">
        <f t="shared" si="48"/>
        <v>#VALUE!</v>
      </c>
      <c r="Q233" s="22"/>
      <c r="R233" s="32"/>
      <c r="S233" s="22"/>
    </row>
    <row r="234" spans="1:19" ht="17.45" customHeight="1">
      <c r="A234" s="103"/>
      <c r="B234" s="31" t="s">
        <v>388</v>
      </c>
      <c r="C234" s="26" t="s">
        <v>389</v>
      </c>
      <c r="D234" s="81"/>
      <c r="E234" s="81"/>
      <c r="F234" s="81">
        <v>0</v>
      </c>
      <c r="G234" s="81"/>
      <c r="H234" s="81"/>
      <c r="I234" s="81"/>
      <c r="J234" s="81"/>
      <c r="K234" s="81"/>
      <c r="L234" s="81"/>
      <c r="M234" s="81"/>
      <c r="N234" s="81"/>
      <c r="O234" s="81"/>
      <c r="P234" s="81">
        <f t="shared" ref="P234:P240" si="49">D234+E234+F234+G234+H234+I234+J234+K234+L234+M234+N234+O234</f>
        <v>0</v>
      </c>
      <c r="Q234" s="18"/>
    </row>
    <row r="235" spans="1:19" ht="17.45" customHeight="1">
      <c r="A235" s="103"/>
      <c r="B235" s="31" t="s">
        <v>390</v>
      </c>
      <c r="C235" s="26" t="s">
        <v>391</v>
      </c>
      <c r="D235" s="81"/>
      <c r="E235" s="81"/>
      <c r="F235" s="81">
        <v>127.95</v>
      </c>
      <c r="G235" s="81"/>
      <c r="H235" s="81"/>
      <c r="I235" s="81"/>
      <c r="J235" s="81"/>
      <c r="K235" s="81"/>
      <c r="L235" s="81"/>
      <c r="M235" s="81"/>
      <c r="N235" s="81"/>
      <c r="O235" s="81"/>
      <c r="P235" s="81">
        <f t="shared" si="49"/>
        <v>127.95</v>
      </c>
      <c r="Q235" s="18"/>
    </row>
    <row r="236" spans="1:19" ht="17.45" customHeight="1">
      <c r="A236" s="103"/>
      <c r="B236" s="31" t="s">
        <v>392</v>
      </c>
      <c r="C236" s="26" t="s">
        <v>393</v>
      </c>
      <c r="D236" s="81"/>
      <c r="E236" s="81"/>
      <c r="F236" s="81" t="s">
        <v>441</v>
      </c>
      <c r="G236" s="81"/>
      <c r="H236" s="81"/>
      <c r="I236" s="81"/>
      <c r="J236" s="81"/>
      <c r="K236" s="81"/>
      <c r="L236" s="81"/>
      <c r="M236" s="81"/>
      <c r="N236" s="81"/>
      <c r="O236" s="81"/>
      <c r="P236" s="81" t="e">
        <f t="shared" si="49"/>
        <v>#VALUE!</v>
      </c>
      <c r="Q236" s="18"/>
    </row>
    <row r="237" spans="1:19" ht="17.45" customHeight="1">
      <c r="A237" s="103"/>
      <c r="B237" s="31" t="s">
        <v>394</v>
      </c>
      <c r="C237" s="26" t="s">
        <v>395</v>
      </c>
      <c r="D237" s="81"/>
      <c r="E237" s="81"/>
      <c r="F237" s="81" t="s">
        <v>441</v>
      </c>
      <c r="G237" s="81"/>
      <c r="H237" s="81"/>
      <c r="I237" s="81"/>
      <c r="J237" s="81"/>
      <c r="K237" s="81"/>
      <c r="L237" s="81"/>
      <c r="M237" s="81"/>
      <c r="N237" s="81"/>
      <c r="O237" s="81"/>
      <c r="P237" s="81" t="e">
        <f t="shared" si="49"/>
        <v>#VALUE!</v>
      </c>
      <c r="Q237" s="18"/>
    </row>
    <row r="238" spans="1:19" ht="17.45" customHeight="1">
      <c r="A238" s="103"/>
      <c r="B238" s="31" t="s">
        <v>396</v>
      </c>
      <c r="C238" s="26" t="s">
        <v>397</v>
      </c>
      <c r="D238" s="81"/>
      <c r="E238" s="81"/>
      <c r="F238" s="81">
        <v>0</v>
      </c>
      <c r="G238" s="81"/>
      <c r="H238" s="81"/>
      <c r="I238" s="81"/>
      <c r="J238" s="81"/>
      <c r="K238" s="81"/>
      <c r="L238" s="81"/>
      <c r="M238" s="81"/>
      <c r="N238" s="81"/>
      <c r="O238" s="81"/>
      <c r="P238" s="81">
        <f t="shared" si="49"/>
        <v>0</v>
      </c>
      <c r="Q238" s="18"/>
    </row>
    <row r="239" spans="1:19" ht="17.45" customHeight="1">
      <c r="A239" s="103"/>
      <c r="B239" s="31"/>
      <c r="C239" s="26" t="s">
        <v>398</v>
      </c>
      <c r="D239" s="81"/>
      <c r="E239" s="81"/>
      <c r="F239" s="81" t="s">
        <v>441</v>
      </c>
      <c r="G239" s="81"/>
      <c r="H239" s="81"/>
      <c r="I239" s="81"/>
      <c r="J239" s="81"/>
      <c r="K239" s="81"/>
      <c r="L239" s="81"/>
      <c r="M239" s="81"/>
      <c r="N239" s="81"/>
      <c r="O239" s="81"/>
      <c r="P239" s="81" t="e">
        <f t="shared" si="49"/>
        <v>#VALUE!</v>
      </c>
      <c r="Q239" s="18"/>
    </row>
    <row r="240" spans="1:19" ht="17.45" customHeight="1">
      <c r="A240" s="103"/>
      <c r="B240" s="31" t="s">
        <v>399</v>
      </c>
      <c r="C240" s="26" t="s">
        <v>355</v>
      </c>
      <c r="D240" s="81"/>
      <c r="E240" s="81"/>
      <c r="F240" s="81">
        <v>0</v>
      </c>
      <c r="G240" s="81"/>
      <c r="H240" s="81"/>
      <c r="I240" s="81"/>
      <c r="J240" s="81"/>
      <c r="K240" s="81"/>
      <c r="L240" s="81"/>
      <c r="M240" s="81"/>
      <c r="N240" s="81"/>
      <c r="O240" s="81"/>
      <c r="P240" s="81">
        <f t="shared" si="49"/>
        <v>0</v>
      </c>
      <c r="Q240" s="18"/>
    </row>
    <row r="241" spans="1:19" ht="17.45" customHeight="1">
      <c r="A241" s="103"/>
      <c r="B241" s="31"/>
      <c r="C241" s="26" t="s">
        <v>400</v>
      </c>
      <c r="D241" s="81"/>
      <c r="E241" s="81"/>
      <c r="F241" s="81">
        <v>0</v>
      </c>
      <c r="G241" s="81"/>
      <c r="H241" s="81"/>
      <c r="I241" s="81"/>
      <c r="J241" s="81"/>
      <c r="K241" s="81"/>
      <c r="L241" s="81"/>
      <c r="M241" s="81"/>
      <c r="N241" s="81"/>
      <c r="O241" s="81"/>
      <c r="P241" s="81">
        <v>0</v>
      </c>
    </row>
    <row r="242" spans="1:19" ht="17.45" customHeight="1">
      <c r="A242" s="103"/>
      <c r="B242" s="31" t="s">
        <v>401</v>
      </c>
      <c r="C242" s="26" t="s">
        <v>358</v>
      </c>
      <c r="D242" s="81"/>
      <c r="E242" s="81"/>
      <c r="F242" s="81">
        <v>-3.15</v>
      </c>
      <c r="G242" s="81"/>
      <c r="H242" s="81"/>
      <c r="I242" s="81"/>
      <c r="J242" s="81"/>
      <c r="K242" s="81"/>
      <c r="L242" s="81"/>
      <c r="M242" s="81"/>
      <c r="N242" s="81"/>
      <c r="O242" s="81"/>
      <c r="P242" s="81">
        <f>D242+E242+F242+G242+H242+I242+J242+K242+L242+M242+N242+O242</f>
        <v>-3.15</v>
      </c>
      <c r="Q242" s="18"/>
    </row>
    <row r="243" spans="1:19" ht="17.45" customHeight="1">
      <c r="A243" s="103"/>
      <c r="B243" s="68" t="s">
        <v>402</v>
      </c>
      <c r="C243" s="67" t="s">
        <v>360</v>
      </c>
      <c r="D243" s="89">
        <f t="shared" ref="D243:O243" si="50">D219+D223+D224+D229+D234+D235+D242+D237</f>
        <v>0</v>
      </c>
      <c r="E243" s="89">
        <f t="shared" si="50"/>
        <v>0</v>
      </c>
      <c r="F243" s="89" t="e">
        <f t="shared" si="50"/>
        <v>#VALUE!</v>
      </c>
      <c r="G243" s="89">
        <f t="shared" si="50"/>
        <v>0</v>
      </c>
      <c r="H243" s="89">
        <f t="shared" si="50"/>
        <v>0</v>
      </c>
      <c r="I243" s="89">
        <f t="shared" si="50"/>
        <v>0</v>
      </c>
      <c r="J243" s="89">
        <f t="shared" si="50"/>
        <v>0</v>
      </c>
      <c r="K243" s="89">
        <f t="shared" si="50"/>
        <v>0</v>
      </c>
      <c r="L243" s="89">
        <f t="shared" si="50"/>
        <v>0</v>
      </c>
      <c r="M243" s="89">
        <f t="shared" si="50"/>
        <v>0</v>
      </c>
      <c r="N243" s="89">
        <f t="shared" si="50"/>
        <v>0</v>
      </c>
      <c r="O243" s="89">
        <f t="shared" si="50"/>
        <v>0</v>
      </c>
      <c r="P243" s="89" t="e">
        <f>P219+P223+P224+P229+P234+P235+P242+P237</f>
        <v>#VALUE!</v>
      </c>
      <c r="Q243" s="22"/>
      <c r="R243" s="32"/>
      <c r="S243" s="22"/>
    </row>
    <row r="244" spans="1:19" ht="17.45" customHeight="1">
      <c r="A244" s="103"/>
      <c r="B244" s="31" t="s">
        <v>403</v>
      </c>
      <c r="C244" s="26" t="s">
        <v>404</v>
      </c>
      <c r="D244" s="81"/>
      <c r="E244" s="81"/>
      <c r="F244" s="81">
        <v>0</v>
      </c>
      <c r="G244" s="81"/>
      <c r="H244" s="81"/>
      <c r="I244" s="81"/>
      <c r="J244" s="81"/>
      <c r="K244" s="81"/>
      <c r="L244" s="81"/>
      <c r="M244" s="81"/>
      <c r="N244" s="81"/>
      <c r="O244" s="81"/>
      <c r="P244" s="81">
        <f>D244+E244+F244+G244+H244+I244+J244+K244+L244+M244+N244+O244</f>
        <v>0</v>
      </c>
      <c r="Q244" s="18"/>
    </row>
    <row r="245" spans="1:19" ht="17.45" customHeight="1">
      <c r="A245" s="103"/>
      <c r="B245" s="31" t="s">
        <v>405</v>
      </c>
      <c r="C245" s="26" t="s">
        <v>406</v>
      </c>
      <c r="D245" s="81"/>
      <c r="E245" s="81"/>
      <c r="F245" s="81" t="s">
        <v>441</v>
      </c>
      <c r="G245" s="81"/>
      <c r="H245" s="81"/>
      <c r="I245" s="81"/>
      <c r="J245" s="81"/>
      <c r="K245" s="81"/>
      <c r="L245" s="81"/>
      <c r="M245" s="81"/>
      <c r="N245" s="81"/>
      <c r="O245" s="81"/>
      <c r="P245" s="81" t="e">
        <f>D245+E245+F245+G245+H245+I245+J245+K245+L245+M245+N245+O245</f>
        <v>#VALUE!</v>
      </c>
      <c r="Q245" s="18"/>
    </row>
    <row r="246" spans="1:19" ht="17.45" customHeight="1">
      <c r="A246" s="103"/>
      <c r="B246" s="31" t="s">
        <v>407</v>
      </c>
      <c r="C246" s="26" t="s">
        <v>408</v>
      </c>
      <c r="D246" s="81"/>
      <c r="E246" s="81"/>
      <c r="F246" s="81" t="s">
        <v>441</v>
      </c>
      <c r="G246" s="81"/>
      <c r="H246" s="81"/>
      <c r="I246" s="81"/>
      <c r="J246" s="81"/>
      <c r="K246" s="81"/>
      <c r="L246" s="81"/>
      <c r="M246" s="81"/>
      <c r="N246" s="81"/>
      <c r="O246" s="81"/>
      <c r="P246" s="81" t="e">
        <f>D246+E246+F246+G246+H246+I246+J246+K246+L246+M246+N246+O246</f>
        <v>#VALUE!</v>
      </c>
      <c r="Q246" s="18"/>
    </row>
    <row r="247" spans="1:19" ht="17.45" customHeight="1">
      <c r="A247" s="103"/>
      <c r="B247" s="31" t="s">
        <v>409</v>
      </c>
      <c r="C247" s="26" t="s">
        <v>410</v>
      </c>
      <c r="D247" s="81"/>
      <c r="E247" s="81"/>
      <c r="F247" s="81" t="s">
        <v>441</v>
      </c>
      <c r="G247" s="81"/>
      <c r="H247" s="81"/>
      <c r="I247" s="81"/>
      <c r="J247" s="81"/>
      <c r="K247" s="81"/>
      <c r="L247" s="81"/>
      <c r="M247" s="81"/>
      <c r="N247" s="81"/>
      <c r="O247" s="81"/>
      <c r="P247" s="81" t="e">
        <f>D247+E247+F247+G247+H247+I247+J247+K247+L247+M247+N247+O247</f>
        <v>#VALUE!</v>
      </c>
      <c r="Q247" s="18"/>
    </row>
    <row r="248" spans="1:19" ht="17.45" customHeight="1">
      <c r="A248" s="103"/>
      <c r="B248" s="68" t="s">
        <v>411</v>
      </c>
      <c r="C248" s="67" t="s">
        <v>335</v>
      </c>
      <c r="D248" s="89">
        <f t="shared" ref="D248:O248" si="51">D243+D214</f>
        <v>0</v>
      </c>
      <c r="E248" s="89">
        <f t="shared" si="51"/>
        <v>0</v>
      </c>
      <c r="F248" s="89" t="e">
        <f t="shared" si="51"/>
        <v>#VALUE!</v>
      </c>
      <c r="G248" s="89">
        <f t="shared" si="51"/>
        <v>0</v>
      </c>
      <c r="H248" s="89">
        <f t="shared" si="51"/>
        <v>0</v>
      </c>
      <c r="I248" s="89">
        <f t="shared" si="51"/>
        <v>0</v>
      </c>
      <c r="J248" s="89">
        <f t="shared" si="51"/>
        <v>0</v>
      </c>
      <c r="K248" s="89">
        <f t="shared" si="51"/>
        <v>0</v>
      </c>
      <c r="L248" s="89">
        <f t="shared" si="51"/>
        <v>0</v>
      </c>
      <c r="M248" s="89">
        <f t="shared" si="51"/>
        <v>0</v>
      </c>
      <c r="N248" s="89">
        <f t="shared" si="51"/>
        <v>0</v>
      </c>
      <c r="O248" s="89">
        <f t="shared" si="51"/>
        <v>0</v>
      </c>
      <c r="P248" s="89" t="e">
        <f>P243+P214</f>
        <v>#VALUE!</v>
      </c>
      <c r="Q248" s="22"/>
      <c r="R248" s="32"/>
      <c r="S248" s="22"/>
    </row>
    <row r="249" spans="1:19" ht="17.45" customHeight="1">
      <c r="A249" s="103"/>
      <c r="B249" s="31" t="s">
        <v>412</v>
      </c>
      <c r="C249" s="26" t="s">
        <v>413</v>
      </c>
      <c r="D249" s="81"/>
      <c r="E249" s="81"/>
      <c r="F249" s="81">
        <v>0</v>
      </c>
      <c r="G249" s="81"/>
      <c r="H249" s="81"/>
      <c r="I249" s="81"/>
      <c r="J249" s="81"/>
      <c r="K249" s="81"/>
      <c r="L249" s="81"/>
      <c r="M249" s="81"/>
      <c r="N249" s="81"/>
      <c r="O249" s="81"/>
      <c r="P249" s="81">
        <f>D249+E249+F249+G249+H249+I249+J249+K249+L249+M249+N249+O249</f>
        <v>0</v>
      </c>
      <c r="Q249" s="18"/>
    </row>
    <row r="250" spans="1:19" ht="17.45" customHeight="1">
      <c r="A250" s="103"/>
      <c r="B250" s="31" t="s">
        <v>414</v>
      </c>
      <c r="C250" s="26" t="s">
        <v>415</v>
      </c>
      <c r="D250" s="81"/>
      <c r="E250" s="81"/>
      <c r="F250" s="81">
        <v>0</v>
      </c>
      <c r="G250" s="81"/>
      <c r="H250" s="81"/>
      <c r="I250" s="81"/>
      <c r="J250" s="81"/>
      <c r="K250" s="81"/>
      <c r="L250" s="81"/>
      <c r="M250" s="81"/>
      <c r="N250" s="81"/>
      <c r="O250" s="81"/>
      <c r="P250" s="81">
        <f>D250+E250+F250+G250+H250+I250+J250+K250+L250+M250+N250+O250</f>
        <v>0</v>
      </c>
      <c r="Q250" s="18"/>
    </row>
    <row r="251" spans="1:19" ht="17.45" customHeight="1">
      <c r="A251" s="103"/>
      <c r="B251" s="31"/>
      <c r="C251" s="26" t="s">
        <v>416</v>
      </c>
      <c r="D251" s="81"/>
      <c r="E251" s="81"/>
      <c r="F251" s="81">
        <v>0</v>
      </c>
      <c r="G251" s="81"/>
      <c r="H251" s="81"/>
      <c r="I251" s="81"/>
      <c r="J251" s="81"/>
      <c r="K251" s="81"/>
      <c r="L251" s="81"/>
      <c r="M251" s="81"/>
      <c r="N251" s="81"/>
      <c r="O251" s="81"/>
      <c r="P251" s="81">
        <v>0</v>
      </c>
    </row>
    <row r="252" spans="1:19" ht="17.45" customHeight="1">
      <c r="A252" s="103"/>
      <c r="B252" s="25"/>
      <c r="C252" s="26" t="s">
        <v>413</v>
      </c>
      <c r="D252" s="81"/>
      <c r="E252" s="81"/>
      <c r="F252" s="81">
        <v>0</v>
      </c>
      <c r="G252" s="81"/>
      <c r="H252" s="81"/>
      <c r="I252" s="81"/>
      <c r="J252" s="81"/>
      <c r="K252" s="81"/>
      <c r="L252" s="81"/>
      <c r="M252" s="81"/>
      <c r="N252" s="81"/>
      <c r="O252" s="81"/>
      <c r="P252" s="81">
        <f>D252+E252+F252+G252+H252+I252+J252+K252+L252+M252+N252+O252</f>
        <v>0</v>
      </c>
      <c r="Q252" s="18"/>
    </row>
    <row r="253" spans="1:19" ht="24.95" customHeight="1">
      <c r="B253" s="104"/>
      <c r="C253" s="104" t="s">
        <v>417</v>
      </c>
      <c r="D253" s="104">
        <f t="shared" ref="D253:O253" si="52">D16-D36-D138-D198-D248</f>
        <v>0</v>
      </c>
      <c r="E253" s="104">
        <f t="shared" si="52"/>
        <v>0</v>
      </c>
      <c r="F253" s="104" t="e">
        <f t="shared" si="52"/>
        <v>#VALUE!</v>
      </c>
      <c r="G253" s="104">
        <f t="shared" si="52"/>
        <v>0</v>
      </c>
      <c r="H253" s="104">
        <f t="shared" si="52"/>
        <v>0</v>
      </c>
      <c r="I253" s="104">
        <f t="shared" si="52"/>
        <v>0</v>
      </c>
      <c r="J253" s="104">
        <f t="shared" si="52"/>
        <v>0</v>
      </c>
      <c r="K253" s="104">
        <f t="shared" si="52"/>
        <v>0</v>
      </c>
      <c r="L253" s="104">
        <f t="shared" si="52"/>
        <v>0</v>
      </c>
      <c r="M253" s="104">
        <f t="shared" si="52"/>
        <v>0</v>
      </c>
      <c r="N253" s="104">
        <f t="shared" si="52"/>
        <v>0</v>
      </c>
      <c r="O253" s="104">
        <f t="shared" si="52"/>
        <v>0</v>
      </c>
      <c r="P253" s="104" t="e">
        <f>P16-P36-P138-P198-P248</f>
        <v>#VALUE!</v>
      </c>
      <c r="Q253" s="22"/>
      <c r="R253" s="32"/>
      <c r="S253" s="22"/>
    </row>
    <row r="254" spans="1:19">
      <c r="E254" s="22"/>
    </row>
    <row r="255" spans="1:19">
      <c r="E255" s="18"/>
      <c r="F255" s="18"/>
      <c r="G255" s="18"/>
      <c r="H255" s="18"/>
      <c r="I255" s="18"/>
      <c r="J255" s="18"/>
      <c r="K255" s="22"/>
    </row>
    <row r="256" spans="1:19">
      <c r="D256" s="22"/>
      <c r="E256" s="18"/>
      <c r="F256" s="18"/>
      <c r="G256" s="18"/>
      <c r="H256" s="18"/>
      <c r="I256" s="18"/>
      <c r="J256" s="18"/>
      <c r="K256" s="18"/>
    </row>
    <row r="257" spans="5:11">
      <c r="E257" s="22"/>
      <c r="F257" s="18"/>
      <c r="G257" s="18"/>
      <c r="H257" s="18"/>
      <c r="I257" s="18"/>
      <c r="J257" s="18"/>
      <c r="K257" s="18"/>
    </row>
  </sheetData>
  <conditionalFormatting sqref="D15:P15">
    <cfRule type="containsText" dxfId="83" priority="42" operator="containsText" text="NOT FOUND">
      <formula>NOT(ISERROR(SEARCH("NOT FOUND",D15)))</formula>
    </cfRule>
  </conditionalFormatting>
  <conditionalFormatting sqref="D16:P16">
    <cfRule type="containsText" dxfId="82" priority="41" operator="containsText" text="NOT FOUND">
      <formula>NOT(ISERROR(SEARCH("NOT FOUND",D16)))</formula>
    </cfRule>
  </conditionalFormatting>
  <conditionalFormatting sqref="D24:P24">
    <cfRule type="containsText" dxfId="81" priority="40" operator="containsText" text="NOT FOUND">
      <formula>NOT(ISERROR(SEARCH("NOT FOUND",D24)))</formula>
    </cfRule>
  </conditionalFormatting>
  <conditionalFormatting sqref="D29:P29">
    <cfRule type="containsText" dxfId="80" priority="39" operator="containsText" text="NOT FOUND">
      <formula>NOT(ISERROR(SEARCH("NOT FOUND",D29)))</formula>
    </cfRule>
  </conditionalFormatting>
  <conditionalFormatting sqref="D34:P34">
    <cfRule type="containsText" dxfId="79" priority="38" operator="containsText" text="NOT FOUND">
      <formula>NOT(ISERROR(SEARCH("NOT FOUND",D34)))</formula>
    </cfRule>
  </conditionalFormatting>
  <conditionalFormatting sqref="D35:P35">
    <cfRule type="containsText" dxfId="78" priority="37" operator="containsText" text="NOT FOUND">
      <formula>NOT(ISERROR(SEARCH("NOT FOUND",D35)))</formula>
    </cfRule>
  </conditionalFormatting>
  <conditionalFormatting sqref="D36:P36">
    <cfRule type="containsText" dxfId="77" priority="36" operator="containsText" text="NOT FOUND">
      <formula>NOT(ISERROR(SEARCH("NOT FOUND",D36)))</formula>
    </cfRule>
  </conditionalFormatting>
  <conditionalFormatting sqref="D47:P47">
    <cfRule type="containsText" dxfId="76" priority="35" operator="containsText" text="NOT FOUND">
      <formula>NOT(ISERROR(SEARCH("NOT FOUND",D47)))</formula>
    </cfRule>
  </conditionalFormatting>
  <conditionalFormatting sqref="D52:P52">
    <cfRule type="containsText" dxfId="75" priority="34" operator="containsText" text="NOT FOUND">
      <formula>NOT(ISERROR(SEARCH("NOT FOUND",D52)))</formula>
    </cfRule>
  </conditionalFormatting>
  <conditionalFormatting sqref="D53:P53">
    <cfRule type="containsText" dxfId="74" priority="33" operator="containsText" text="NOT FOUND">
      <formula>NOT(ISERROR(SEARCH("NOT FOUND",D53)))</formula>
    </cfRule>
  </conditionalFormatting>
  <conditionalFormatting sqref="D61:P61">
    <cfRule type="containsText" dxfId="73" priority="32" operator="containsText" text="NOT FOUND">
      <formula>NOT(ISERROR(SEARCH("NOT FOUND",D61)))</formula>
    </cfRule>
  </conditionalFormatting>
  <conditionalFormatting sqref="D70:P70">
    <cfRule type="containsText" dxfId="72" priority="31" operator="containsText" text="NOT FOUND">
      <formula>NOT(ISERROR(SEARCH("NOT FOUND",D70)))</formula>
    </cfRule>
  </conditionalFormatting>
  <conditionalFormatting sqref="D80:P80">
    <cfRule type="containsText" dxfId="71" priority="30" operator="containsText" text="NOT FOUND">
      <formula>NOT(ISERROR(SEARCH("NOT FOUND",D80)))</formula>
    </cfRule>
  </conditionalFormatting>
  <conditionalFormatting sqref="D89:P89">
    <cfRule type="containsText" dxfId="70" priority="29" operator="containsText" text="NOT FOUND">
      <formula>NOT(ISERROR(SEARCH("NOT FOUND",D89)))</formula>
    </cfRule>
  </conditionalFormatting>
  <conditionalFormatting sqref="D101:P101">
    <cfRule type="containsText" dxfId="69" priority="28" operator="containsText" text="NOT FOUND">
      <formula>NOT(ISERROR(SEARCH("NOT FOUND",D101)))</formula>
    </cfRule>
  </conditionalFormatting>
  <conditionalFormatting sqref="D106:P106">
    <cfRule type="containsText" dxfId="68" priority="27" operator="containsText" text="NOT FOUND">
      <formula>NOT(ISERROR(SEARCH("NOT FOUND",D106)))</formula>
    </cfRule>
  </conditionalFormatting>
  <conditionalFormatting sqref="D111:P111">
    <cfRule type="containsText" dxfId="67" priority="26" operator="containsText" text="NOT FOUND">
      <formula>NOT(ISERROR(SEARCH("NOT FOUND",D111)))</formula>
    </cfRule>
  </conditionalFormatting>
  <conditionalFormatting sqref="D112:P112">
    <cfRule type="containsText" dxfId="66" priority="25" operator="containsText" text="NOT FOUND">
      <formula>NOT(ISERROR(SEARCH("NOT FOUND",D112)))</formula>
    </cfRule>
  </conditionalFormatting>
  <conditionalFormatting sqref="D117:P117">
    <cfRule type="containsText" dxfId="65" priority="24" operator="containsText" text="NOT FOUND">
      <formula>NOT(ISERROR(SEARCH("NOT FOUND",D117)))</formula>
    </cfRule>
  </conditionalFormatting>
  <conditionalFormatting sqref="D128:P128">
    <cfRule type="containsText" dxfId="64" priority="23" operator="containsText" text="NOT FOUND">
      <formula>NOT(ISERROR(SEARCH("NOT FOUND",D128)))</formula>
    </cfRule>
  </conditionalFormatting>
  <conditionalFormatting sqref="D132:P132">
    <cfRule type="containsText" dxfId="63" priority="22" operator="containsText" text="NOT FOUND">
      <formula>NOT(ISERROR(SEARCH("NOT FOUND",D132)))</formula>
    </cfRule>
  </conditionalFormatting>
  <conditionalFormatting sqref="D137:P137">
    <cfRule type="containsText" dxfId="62" priority="21" operator="containsText" text="NOT FOUND">
      <formula>NOT(ISERROR(SEARCH("NOT FOUND",D137)))</formula>
    </cfRule>
  </conditionalFormatting>
  <conditionalFormatting sqref="D138:P138">
    <cfRule type="containsText" dxfId="61" priority="20" operator="containsText" text="NOT FOUND">
      <formula>NOT(ISERROR(SEARCH("NOT FOUND",D138)))</formula>
    </cfRule>
  </conditionalFormatting>
  <conditionalFormatting sqref="D148:P148">
    <cfRule type="containsText" dxfId="60" priority="19" operator="containsText" text="NOT FOUND">
      <formula>NOT(ISERROR(SEARCH("NOT FOUND",D148)))</formula>
    </cfRule>
  </conditionalFormatting>
  <conditionalFormatting sqref="D154:P154">
    <cfRule type="containsText" dxfId="59" priority="18" operator="containsText" text="NOT FOUND">
      <formula>NOT(ISERROR(SEARCH("NOT FOUND",D154)))</formula>
    </cfRule>
  </conditionalFormatting>
  <conditionalFormatting sqref="D158:P158">
    <cfRule type="containsText" dxfId="58" priority="17" operator="containsText" text="NOT FOUND">
      <formula>NOT(ISERROR(SEARCH("NOT FOUND",D158)))</formula>
    </cfRule>
  </conditionalFormatting>
  <conditionalFormatting sqref="D170:P170">
    <cfRule type="containsText" dxfId="57" priority="16" operator="containsText" text="NOT FOUND">
      <formula>NOT(ISERROR(SEARCH("NOT FOUND",D170)))</formula>
    </cfRule>
  </conditionalFormatting>
  <conditionalFormatting sqref="D175:P175">
    <cfRule type="containsText" dxfId="56" priority="15" operator="containsText" text="NOT FOUND">
      <formula>NOT(ISERROR(SEARCH("NOT FOUND",D175)))</formula>
    </cfRule>
  </conditionalFormatting>
  <conditionalFormatting sqref="D182:P182">
    <cfRule type="containsText" dxfId="55" priority="14" operator="containsText" text="NOT FOUND">
      <formula>NOT(ISERROR(SEARCH("NOT FOUND",D182)))</formula>
    </cfRule>
  </conditionalFormatting>
  <conditionalFormatting sqref="D187:P187">
    <cfRule type="containsText" dxfId="54" priority="13" operator="containsText" text="NOT FOUND">
      <formula>NOT(ISERROR(SEARCH("NOT FOUND",D187)))</formula>
    </cfRule>
  </conditionalFormatting>
  <conditionalFormatting sqref="D197:P197">
    <cfRule type="containsText" dxfId="53" priority="12" operator="containsText" text="NOT FOUND">
      <formula>NOT(ISERROR(SEARCH("NOT FOUND",D197)))</formula>
    </cfRule>
  </conditionalFormatting>
  <conditionalFormatting sqref="D198:P198">
    <cfRule type="containsText" dxfId="52" priority="11" operator="containsText" text="NOT FOUND">
      <formula>NOT(ISERROR(SEARCH("NOT FOUND",D198)))</formula>
    </cfRule>
  </conditionalFormatting>
  <conditionalFormatting sqref="D206:P206">
    <cfRule type="containsText" dxfId="51" priority="10" operator="containsText" text="NOT FOUND">
      <formula>NOT(ISERROR(SEARCH("NOT FOUND",D206)))</formula>
    </cfRule>
  </conditionalFormatting>
  <conditionalFormatting sqref="D214:P214">
    <cfRule type="containsText" dxfId="50" priority="9" operator="containsText" text="NOT FOUND">
      <formula>NOT(ISERROR(SEARCH("NOT FOUND",D214)))</formula>
    </cfRule>
  </conditionalFormatting>
  <conditionalFormatting sqref="D219:P219">
    <cfRule type="containsText" dxfId="49" priority="8" operator="containsText" text="NOT FOUND">
      <formula>NOT(ISERROR(SEARCH("NOT FOUND",D219)))</formula>
    </cfRule>
  </conditionalFormatting>
  <conditionalFormatting sqref="D223:P223">
    <cfRule type="containsText" dxfId="48" priority="7" operator="containsText" text="NOT FOUND">
      <formula>NOT(ISERROR(SEARCH("NOT FOUND",D223)))</formula>
    </cfRule>
  </conditionalFormatting>
  <conditionalFormatting sqref="D229:P229">
    <cfRule type="containsText" dxfId="47" priority="6" operator="containsText" text="NOT FOUND">
      <formula>NOT(ISERROR(SEARCH("NOT FOUND",D229)))</formula>
    </cfRule>
  </conditionalFormatting>
  <conditionalFormatting sqref="D233:P233">
    <cfRule type="containsText" dxfId="46" priority="5" operator="containsText" text="NOT FOUND">
      <formula>NOT(ISERROR(SEARCH("NOT FOUND",D233)))</formula>
    </cfRule>
  </conditionalFormatting>
  <conditionalFormatting sqref="D243:P243">
    <cfRule type="containsText" dxfId="45" priority="4" operator="containsText" text="NOT FOUND">
      <formula>NOT(ISERROR(SEARCH("NOT FOUND",D243)))</formula>
    </cfRule>
  </conditionalFormatting>
  <conditionalFormatting sqref="D248:P248">
    <cfRule type="containsText" dxfId="44" priority="3" operator="containsText" text="NOT FOUND">
      <formula>NOT(ISERROR(SEARCH("NOT FOUND",D248)))</formula>
    </cfRule>
  </conditionalFormatting>
  <conditionalFormatting sqref="D253:P253">
    <cfRule type="containsText" dxfId="43" priority="2" operator="containsText" text="NOT FOUND">
      <formula>NOT(ISERROR(SEARCH("NOT FOUND",D253)))</formula>
    </cfRule>
  </conditionalFormatting>
  <conditionalFormatting sqref="D6:P1000">
    <cfRule type="containsText" dxfId="42" priority="1" operator="containsText" text="NOT FOUND">
      <formula>NOT(ISERROR(SEARCH("NOT FOUND",D6)))</formula>
    </cfRule>
  </conditionalFormatting>
  <printOptions horizontalCentered="1"/>
  <pageMargins left="0.59027777777777801" right="0.196527777777778" top="0.39374999999999999" bottom="0.39374999999999999" header="0.51180555555555596" footer="0.51180555555555596"/>
  <pageSetup paperSize="8" scale="45" firstPageNumber="0" fitToHeight="2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B084-CD65-421E-9F4D-C7F709142DB1}">
  <sheetPr codeName="Sheet3"/>
  <dimension ref="A1:S25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E13" sqref="E13"/>
    </sheetView>
  </sheetViews>
  <sheetFormatPr defaultRowHeight="16.5"/>
  <cols>
    <col min="1" max="1" width="5.7109375" style="102" customWidth="1"/>
    <col min="2" max="2" width="17.140625" style="41" customWidth="1"/>
    <col min="3" max="3" width="52" style="20" customWidth="1"/>
    <col min="4" max="4" width="22" style="20" customWidth="1"/>
    <col min="5" max="5" width="20.5703125" style="20" customWidth="1"/>
    <col min="6" max="6" width="18.28515625" style="20" customWidth="1"/>
    <col min="7" max="7" width="21.7109375" style="20" customWidth="1"/>
    <col min="8" max="8" width="18.85546875" style="20" customWidth="1"/>
    <col min="9" max="9" width="19.140625" style="20" customWidth="1"/>
    <col min="10" max="15" width="21.7109375" style="20" customWidth="1"/>
    <col min="16" max="16" width="23.7109375" style="20" customWidth="1"/>
    <col min="17" max="17" width="20.7109375" style="20" customWidth="1"/>
    <col min="18" max="256" width="9.140625" style="20"/>
    <col min="257" max="257" width="5.7109375" style="20" customWidth="1"/>
    <col min="258" max="258" width="17.140625" style="20" customWidth="1"/>
    <col min="259" max="259" width="39.42578125" style="20" customWidth="1"/>
    <col min="260" max="260" width="22" style="20" customWidth="1"/>
    <col min="261" max="261" width="20.5703125" style="20" customWidth="1"/>
    <col min="262" max="262" width="18.28515625" style="20" customWidth="1"/>
    <col min="263" max="263" width="21.7109375" style="20" customWidth="1"/>
    <col min="264" max="264" width="18.85546875" style="20" customWidth="1"/>
    <col min="265" max="265" width="19.140625" style="20" customWidth="1"/>
    <col min="266" max="271" width="21.7109375" style="20" customWidth="1"/>
    <col min="272" max="272" width="23.7109375" style="20" customWidth="1"/>
    <col min="273" max="273" width="20.7109375" style="20" customWidth="1"/>
    <col min="274" max="512" width="9.140625" style="20"/>
    <col min="513" max="513" width="5.7109375" style="20" customWidth="1"/>
    <col min="514" max="514" width="17.140625" style="20" customWidth="1"/>
    <col min="515" max="515" width="39.42578125" style="20" customWidth="1"/>
    <col min="516" max="516" width="22" style="20" customWidth="1"/>
    <col min="517" max="517" width="20.5703125" style="20" customWidth="1"/>
    <col min="518" max="518" width="18.28515625" style="20" customWidth="1"/>
    <col min="519" max="519" width="21.7109375" style="20" customWidth="1"/>
    <col min="520" max="520" width="18.85546875" style="20" customWidth="1"/>
    <col min="521" max="521" width="19.140625" style="20" customWidth="1"/>
    <col min="522" max="527" width="21.7109375" style="20" customWidth="1"/>
    <col min="528" max="528" width="23.7109375" style="20" customWidth="1"/>
    <col min="529" max="529" width="20.7109375" style="20" customWidth="1"/>
    <col min="530" max="768" width="9.140625" style="20"/>
    <col min="769" max="769" width="5.7109375" style="20" customWidth="1"/>
    <col min="770" max="770" width="17.140625" style="20" customWidth="1"/>
    <col min="771" max="771" width="39.42578125" style="20" customWidth="1"/>
    <col min="772" max="772" width="22" style="20" customWidth="1"/>
    <col min="773" max="773" width="20.5703125" style="20" customWidth="1"/>
    <col min="774" max="774" width="18.28515625" style="20" customWidth="1"/>
    <col min="775" max="775" width="21.7109375" style="20" customWidth="1"/>
    <col min="776" max="776" width="18.85546875" style="20" customWidth="1"/>
    <col min="777" max="777" width="19.140625" style="20" customWidth="1"/>
    <col min="778" max="783" width="21.7109375" style="20" customWidth="1"/>
    <col min="784" max="784" width="23.7109375" style="20" customWidth="1"/>
    <col min="785" max="785" width="20.7109375" style="20" customWidth="1"/>
    <col min="786" max="1024" width="9.140625" style="20"/>
    <col min="1025" max="1025" width="5.7109375" style="20" customWidth="1"/>
    <col min="1026" max="1026" width="17.140625" style="20" customWidth="1"/>
    <col min="1027" max="1027" width="39.42578125" style="20" customWidth="1"/>
    <col min="1028" max="1028" width="22" style="20" customWidth="1"/>
    <col min="1029" max="1029" width="20.5703125" style="20" customWidth="1"/>
    <col min="1030" max="1030" width="18.28515625" style="20" customWidth="1"/>
    <col min="1031" max="1031" width="21.7109375" style="20" customWidth="1"/>
    <col min="1032" max="1032" width="18.85546875" style="20" customWidth="1"/>
    <col min="1033" max="1033" width="19.140625" style="20" customWidth="1"/>
    <col min="1034" max="1039" width="21.7109375" style="20" customWidth="1"/>
    <col min="1040" max="1040" width="23.7109375" style="20" customWidth="1"/>
    <col min="1041" max="1041" width="20.7109375" style="20" customWidth="1"/>
    <col min="1042" max="1280" width="9.140625" style="20"/>
    <col min="1281" max="1281" width="5.7109375" style="20" customWidth="1"/>
    <col min="1282" max="1282" width="17.140625" style="20" customWidth="1"/>
    <col min="1283" max="1283" width="39.42578125" style="20" customWidth="1"/>
    <col min="1284" max="1284" width="22" style="20" customWidth="1"/>
    <col min="1285" max="1285" width="20.5703125" style="20" customWidth="1"/>
    <col min="1286" max="1286" width="18.28515625" style="20" customWidth="1"/>
    <col min="1287" max="1287" width="21.7109375" style="20" customWidth="1"/>
    <col min="1288" max="1288" width="18.85546875" style="20" customWidth="1"/>
    <col min="1289" max="1289" width="19.140625" style="20" customWidth="1"/>
    <col min="1290" max="1295" width="21.7109375" style="20" customWidth="1"/>
    <col min="1296" max="1296" width="23.7109375" style="20" customWidth="1"/>
    <col min="1297" max="1297" width="20.7109375" style="20" customWidth="1"/>
    <col min="1298" max="1536" width="9.140625" style="20"/>
    <col min="1537" max="1537" width="5.7109375" style="20" customWidth="1"/>
    <col min="1538" max="1538" width="17.140625" style="20" customWidth="1"/>
    <col min="1539" max="1539" width="39.42578125" style="20" customWidth="1"/>
    <col min="1540" max="1540" width="22" style="20" customWidth="1"/>
    <col min="1541" max="1541" width="20.5703125" style="20" customWidth="1"/>
    <col min="1542" max="1542" width="18.28515625" style="20" customWidth="1"/>
    <col min="1543" max="1543" width="21.7109375" style="20" customWidth="1"/>
    <col min="1544" max="1544" width="18.85546875" style="20" customWidth="1"/>
    <col min="1545" max="1545" width="19.140625" style="20" customWidth="1"/>
    <col min="1546" max="1551" width="21.7109375" style="20" customWidth="1"/>
    <col min="1552" max="1552" width="23.7109375" style="20" customWidth="1"/>
    <col min="1553" max="1553" width="20.7109375" style="20" customWidth="1"/>
    <col min="1554" max="1792" width="9.140625" style="20"/>
    <col min="1793" max="1793" width="5.7109375" style="20" customWidth="1"/>
    <col min="1794" max="1794" width="17.140625" style="20" customWidth="1"/>
    <col min="1795" max="1795" width="39.42578125" style="20" customWidth="1"/>
    <col min="1796" max="1796" width="22" style="20" customWidth="1"/>
    <col min="1797" max="1797" width="20.5703125" style="20" customWidth="1"/>
    <col min="1798" max="1798" width="18.28515625" style="20" customWidth="1"/>
    <col min="1799" max="1799" width="21.7109375" style="20" customWidth="1"/>
    <col min="1800" max="1800" width="18.85546875" style="20" customWidth="1"/>
    <col min="1801" max="1801" width="19.140625" style="20" customWidth="1"/>
    <col min="1802" max="1807" width="21.7109375" style="20" customWidth="1"/>
    <col min="1808" max="1808" width="23.7109375" style="20" customWidth="1"/>
    <col min="1809" max="1809" width="20.7109375" style="20" customWidth="1"/>
    <col min="1810" max="2048" width="9.140625" style="20"/>
    <col min="2049" max="2049" width="5.7109375" style="20" customWidth="1"/>
    <col min="2050" max="2050" width="17.140625" style="20" customWidth="1"/>
    <col min="2051" max="2051" width="39.42578125" style="20" customWidth="1"/>
    <col min="2052" max="2052" width="22" style="20" customWidth="1"/>
    <col min="2053" max="2053" width="20.5703125" style="20" customWidth="1"/>
    <col min="2054" max="2054" width="18.28515625" style="20" customWidth="1"/>
    <col min="2055" max="2055" width="21.7109375" style="20" customWidth="1"/>
    <col min="2056" max="2056" width="18.85546875" style="20" customWidth="1"/>
    <col min="2057" max="2057" width="19.140625" style="20" customWidth="1"/>
    <col min="2058" max="2063" width="21.7109375" style="20" customWidth="1"/>
    <col min="2064" max="2064" width="23.7109375" style="20" customWidth="1"/>
    <col min="2065" max="2065" width="20.7109375" style="20" customWidth="1"/>
    <col min="2066" max="2304" width="9.140625" style="20"/>
    <col min="2305" max="2305" width="5.7109375" style="20" customWidth="1"/>
    <col min="2306" max="2306" width="17.140625" style="20" customWidth="1"/>
    <col min="2307" max="2307" width="39.42578125" style="20" customWidth="1"/>
    <col min="2308" max="2308" width="22" style="20" customWidth="1"/>
    <col min="2309" max="2309" width="20.5703125" style="20" customWidth="1"/>
    <col min="2310" max="2310" width="18.28515625" style="20" customWidth="1"/>
    <col min="2311" max="2311" width="21.7109375" style="20" customWidth="1"/>
    <col min="2312" max="2312" width="18.85546875" style="20" customWidth="1"/>
    <col min="2313" max="2313" width="19.140625" style="20" customWidth="1"/>
    <col min="2314" max="2319" width="21.7109375" style="20" customWidth="1"/>
    <col min="2320" max="2320" width="23.7109375" style="20" customWidth="1"/>
    <col min="2321" max="2321" width="20.7109375" style="20" customWidth="1"/>
    <col min="2322" max="2560" width="9.140625" style="20"/>
    <col min="2561" max="2561" width="5.7109375" style="20" customWidth="1"/>
    <col min="2562" max="2562" width="17.140625" style="20" customWidth="1"/>
    <col min="2563" max="2563" width="39.42578125" style="20" customWidth="1"/>
    <col min="2564" max="2564" width="22" style="20" customWidth="1"/>
    <col min="2565" max="2565" width="20.5703125" style="20" customWidth="1"/>
    <col min="2566" max="2566" width="18.28515625" style="20" customWidth="1"/>
    <col min="2567" max="2567" width="21.7109375" style="20" customWidth="1"/>
    <col min="2568" max="2568" width="18.85546875" style="20" customWidth="1"/>
    <col min="2569" max="2569" width="19.140625" style="20" customWidth="1"/>
    <col min="2570" max="2575" width="21.7109375" style="20" customWidth="1"/>
    <col min="2576" max="2576" width="23.7109375" style="20" customWidth="1"/>
    <col min="2577" max="2577" width="20.7109375" style="20" customWidth="1"/>
    <col min="2578" max="2816" width="9.140625" style="20"/>
    <col min="2817" max="2817" width="5.7109375" style="20" customWidth="1"/>
    <col min="2818" max="2818" width="17.140625" style="20" customWidth="1"/>
    <col min="2819" max="2819" width="39.42578125" style="20" customWidth="1"/>
    <col min="2820" max="2820" width="22" style="20" customWidth="1"/>
    <col min="2821" max="2821" width="20.5703125" style="20" customWidth="1"/>
    <col min="2822" max="2822" width="18.28515625" style="20" customWidth="1"/>
    <col min="2823" max="2823" width="21.7109375" style="20" customWidth="1"/>
    <col min="2824" max="2824" width="18.85546875" style="20" customWidth="1"/>
    <col min="2825" max="2825" width="19.140625" style="20" customWidth="1"/>
    <col min="2826" max="2831" width="21.7109375" style="20" customWidth="1"/>
    <col min="2832" max="2832" width="23.7109375" style="20" customWidth="1"/>
    <col min="2833" max="2833" width="20.7109375" style="20" customWidth="1"/>
    <col min="2834" max="3072" width="9.140625" style="20"/>
    <col min="3073" max="3073" width="5.7109375" style="20" customWidth="1"/>
    <col min="3074" max="3074" width="17.140625" style="20" customWidth="1"/>
    <col min="3075" max="3075" width="39.42578125" style="20" customWidth="1"/>
    <col min="3076" max="3076" width="22" style="20" customWidth="1"/>
    <col min="3077" max="3077" width="20.5703125" style="20" customWidth="1"/>
    <col min="3078" max="3078" width="18.28515625" style="20" customWidth="1"/>
    <col min="3079" max="3079" width="21.7109375" style="20" customWidth="1"/>
    <col min="3080" max="3080" width="18.85546875" style="20" customWidth="1"/>
    <col min="3081" max="3081" width="19.140625" style="20" customWidth="1"/>
    <col min="3082" max="3087" width="21.7109375" style="20" customWidth="1"/>
    <col min="3088" max="3088" width="23.7109375" style="20" customWidth="1"/>
    <col min="3089" max="3089" width="20.7109375" style="20" customWidth="1"/>
    <col min="3090" max="3328" width="9.140625" style="20"/>
    <col min="3329" max="3329" width="5.7109375" style="20" customWidth="1"/>
    <col min="3330" max="3330" width="17.140625" style="20" customWidth="1"/>
    <col min="3331" max="3331" width="39.42578125" style="20" customWidth="1"/>
    <col min="3332" max="3332" width="22" style="20" customWidth="1"/>
    <col min="3333" max="3333" width="20.5703125" style="20" customWidth="1"/>
    <col min="3334" max="3334" width="18.28515625" style="20" customWidth="1"/>
    <col min="3335" max="3335" width="21.7109375" style="20" customWidth="1"/>
    <col min="3336" max="3336" width="18.85546875" style="20" customWidth="1"/>
    <col min="3337" max="3337" width="19.140625" style="20" customWidth="1"/>
    <col min="3338" max="3343" width="21.7109375" style="20" customWidth="1"/>
    <col min="3344" max="3344" width="23.7109375" style="20" customWidth="1"/>
    <col min="3345" max="3345" width="20.7109375" style="20" customWidth="1"/>
    <col min="3346" max="3584" width="9.140625" style="20"/>
    <col min="3585" max="3585" width="5.7109375" style="20" customWidth="1"/>
    <col min="3586" max="3586" width="17.140625" style="20" customWidth="1"/>
    <col min="3587" max="3587" width="39.42578125" style="20" customWidth="1"/>
    <col min="3588" max="3588" width="22" style="20" customWidth="1"/>
    <col min="3589" max="3589" width="20.5703125" style="20" customWidth="1"/>
    <col min="3590" max="3590" width="18.28515625" style="20" customWidth="1"/>
    <col min="3591" max="3591" width="21.7109375" style="20" customWidth="1"/>
    <col min="3592" max="3592" width="18.85546875" style="20" customWidth="1"/>
    <col min="3593" max="3593" width="19.140625" style="20" customWidth="1"/>
    <col min="3594" max="3599" width="21.7109375" style="20" customWidth="1"/>
    <col min="3600" max="3600" width="23.7109375" style="20" customWidth="1"/>
    <col min="3601" max="3601" width="20.7109375" style="20" customWidth="1"/>
    <col min="3602" max="3840" width="9.140625" style="20"/>
    <col min="3841" max="3841" width="5.7109375" style="20" customWidth="1"/>
    <col min="3842" max="3842" width="17.140625" style="20" customWidth="1"/>
    <col min="3843" max="3843" width="39.42578125" style="20" customWidth="1"/>
    <col min="3844" max="3844" width="22" style="20" customWidth="1"/>
    <col min="3845" max="3845" width="20.5703125" style="20" customWidth="1"/>
    <col min="3846" max="3846" width="18.28515625" style="20" customWidth="1"/>
    <col min="3847" max="3847" width="21.7109375" style="20" customWidth="1"/>
    <col min="3848" max="3848" width="18.85546875" style="20" customWidth="1"/>
    <col min="3849" max="3849" width="19.140625" style="20" customWidth="1"/>
    <col min="3850" max="3855" width="21.7109375" style="20" customWidth="1"/>
    <col min="3856" max="3856" width="23.7109375" style="20" customWidth="1"/>
    <col min="3857" max="3857" width="20.7109375" style="20" customWidth="1"/>
    <col min="3858" max="4096" width="9.140625" style="20"/>
    <col min="4097" max="4097" width="5.7109375" style="20" customWidth="1"/>
    <col min="4098" max="4098" width="17.140625" style="20" customWidth="1"/>
    <col min="4099" max="4099" width="39.42578125" style="20" customWidth="1"/>
    <col min="4100" max="4100" width="22" style="20" customWidth="1"/>
    <col min="4101" max="4101" width="20.5703125" style="20" customWidth="1"/>
    <col min="4102" max="4102" width="18.28515625" style="20" customWidth="1"/>
    <col min="4103" max="4103" width="21.7109375" style="20" customWidth="1"/>
    <col min="4104" max="4104" width="18.85546875" style="20" customWidth="1"/>
    <col min="4105" max="4105" width="19.140625" style="20" customWidth="1"/>
    <col min="4106" max="4111" width="21.7109375" style="20" customWidth="1"/>
    <col min="4112" max="4112" width="23.7109375" style="20" customWidth="1"/>
    <col min="4113" max="4113" width="20.7109375" style="20" customWidth="1"/>
    <col min="4114" max="4352" width="9.140625" style="20"/>
    <col min="4353" max="4353" width="5.7109375" style="20" customWidth="1"/>
    <col min="4354" max="4354" width="17.140625" style="20" customWidth="1"/>
    <col min="4355" max="4355" width="39.42578125" style="20" customWidth="1"/>
    <col min="4356" max="4356" width="22" style="20" customWidth="1"/>
    <col min="4357" max="4357" width="20.5703125" style="20" customWidth="1"/>
    <col min="4358" max="4358" width="18.28515625" style="20" customWidth="1"/>
    <col min="4359" max="4359" width="21.7109375" style="20" customWidth="1"/>
    <col min="4360" max="4360" width="18.85546875" style="20" customWidth="1"/>
    <col min="4361" max="4361" width="19.140625" style="20" customWidth="1"/>
    <col min="4362" max="4367" width="21.7109375" style="20" customWidth="1"/>
    <col min="4368" max="4368" width="23.7109375" style="20" customWidth="1"/>
    <col min="4369" max="4369" width="20.7109375" style="20" customWidth="1"/>
    <col min="4370" max="4608" width="9.140625" style="20"/>
    <col min="4609" max="4609" width="5.7109375" style="20" customWidth="1"/>
    <col min="4610" max="4610" width="17.140625" style="20" customWidth="1"/>
    <col min="4611" max="4611" width="39.42578125" style="20" customWidth="1"/>
    <col min="4612" max="4612" width="22" style="20" customWidth="1"/>
    <col min="4613" max="4613" width="20.5703125" style="20" customWidth="1"/>
    <col min="4614" max="4614" width="18.28515625" style="20" customWidth="1"/>
    <col min="4615" max="4615" width="21.7109375" style="20" customWidth="1"/>
    <col min="4616" max="4616" width="18.85546875" style="20" customWidth="1"/>
    <col min="4617" max="4617" width="19.140625" style="20" customWidth="1"/>
    <col min="4618" max="4623" width="21.7109375" style="20" customWidth="1"/>
    <col min="4624" max="4624" width="23.7109375" style="20" customWidth="1"/>
    <col min="4625" max="4625" width="20.7109375" style="20" customWidth="1"/>
    <col min="4626" max="4864" width="9.140625" style="20"/>
    <col min="4865" max="4865" width="5.7109375" style="20" customWidth="1"/>
    <col min="4866" max="4866" width="17.140625" style="20" customWidth="1"/>
    <col min="4867" max="4867" width="39.42578125" style="20" customWidth="1"/>
    <col min="4868" max="4868" width="22" style="20" customWidth="1"/>
    <col min="4869" max="4869" width="20.5703125" style="20" customWidth="1"/>
    <col min="4870" max="4870" width="18.28515625" style="20" customWidth="1"/>
    <col min="4871" max="4871" width="21.7109375" style="20" customWidth="1"/>
    <col min="4872" max="4872" width="18.85546875" style="20" customWidth="1"/>
    <col min="4873" max="4873" width="19.140625" style="20" customWidth="1"/>
    <col min="4874" max="4879" width="21.7109375" style="20" customWidth="1"/>
    <col min="4880" max="4880" width="23.7109375" style="20" customWidth="1"/>
    <col min="4881" max="4881" width="20.7109375" style="20" customWidth="1"/>
    <col min="4882" max="5120" width="9.140625" style="20"/>
    <col min="5121" max="5121" width="5.7109375" style="20" customWidth="1"/>
    <col min="5122" max="5122" width="17.140625" style="20" customWidth="1"/>
    <col min="5123" max="5123" width="39.42578125" style="20" customWidth="1"/>
    <col min="5124" max="5124" width="22" style="20" customWidth="1"/>
    <col min="5125" max="5125" width="20.5703125" style="20" customWidth="1"/>
    <col min="5126" max="5126" width="18.28515625" style="20" customWidth="1"/>
    <col min="5127" max="5127" width="21.7109375" style="20" customWidth="1"/>
    <col min="5128" max="5128" width="18.85546875" style="20" customWidth="1"/>
    <col min="5129" max="5129" width="19.140625" style="20" customWidth="1"/>
    <col min="5130" max="5135" width="21.7109375" style="20" customWidth="1"/>
    <col min="5136" max="5136" width="23.7109375" style="20" customWidth="1"/>
    <col min="5137" max="5137" width="20.7109375" style="20" customWidth="1"/>
    <col min="5138" max="5376" width="9.140625" style="20"/>
    <col min="5377" max="5377" width="5.7109375" style="20" customWidth="1"/>
    <col min="5378" max="5378" width="17.140625" style="20" customWidth="1"/>
    <col min="5379" max="5379" width="39.42578125" style="20" customWidth="1"/>
    <col min="5380" max="5380" width="22" style="20" customWidth="1"/>
    <col min="5381" max="5381" width="20.5703125" style="20" customWidth="1"/>
    <col min="5382" max="5382" width="18.28515625" style="20" customWidth="1"/>
    <col min="5383" max="5383" width="21.7109375" style="20" customWidth="1"/>
    <col min="5384" max="5384" width="18.85546875" style="20" customWidth="1"/>
    <col min="5385" max="5385" width="19.140625" style="20" customWidth="1"/>
    <col min="5386" max="5391" width="21.7109375" style="20" customWidth="1"/>
    <col min="5392" max="5392" width="23.7109375" style="20" customWidth="1"/>
    <col min="5393" max="5393" width="20.7109375" style="20" customWidth="1"/>
    <col min="5394" max="5632" width="9.140625" style="20"/>
    <col min="5633" max="5633" width="5.7109375" style="20" customWidth="1"/>
    <col min="5634" max="5634" width="17.140625" style="20" customWidth="1"/>
    <col min="5635" max="5635" width="39.42578125" style="20" customWidth="1"/>
    <col min="5636" max="5636" width="22" style="20" customWidth="1"/>
    <col min="5637" max="5637" width="20.5703125" style="20" customWidth="1"/>
    <col min="5638" max="5638" width="18.28515625" style="20" customWidth="1"/>
    <col min="5639" max="5639" width="21.7109375" style="20" customWidth="1"/>
    <col min="5640" max="5640" width="18.85546875" style="20" customWidth="1"/>
    <col min="5641" max="5641" width="19.140625" style="20" customWidth="1"/>
    <col min="5642" max="5647" width="21.7109375" style="20" customWidth="1"/>
    <col min="5648" max="5648" width="23.7109375" style="20" customWidth="1"/>
    <col min="5649" max="5649" width="20.7109375" style="20" customWidth="1"/>
    <col min="5650" max="5888" width="9.140625" style="20"/>
    <col min="5889" max="5889" width="5.7109375" style="20" customWidth="1"/>
    <col min="5890" max="5890" width="17.140625" style="20" customWidth="1"/>
    <col min="5891" max="5891" width="39.42578125" style="20" customWidth="1"/>
    <col min="5892" max="5892" width="22" style="20" customWidth="1"/>
    <col min="5893" max="5893" width="20.5703125" style="20" customWidth="1"/>
    <col min="5894" max="5894" width="18.28515625" style="20" customWidth="1"/>
    <col min="5895" max="5895" width="21.7109375" style="20" customWidth="1"/>
    <col min="5896" max="5896" width="18.85546875" style="20" customWidth="1"/>
    <col min="5897" max="5897" width="19.140625" style="20" customWidth="1"/>
    <col min="5898" max="5903" width="21.7109375" style="20" customWidth="1"/>
    <col min="5904" max="5904" width="23.7109375" style="20" customWidth="1"/>
    <col min="5905" max="5905" width="20.7109375" style="20" customWidth="1"/>
    <col min="5906" max="6144" width="9.140625" style="20"/>
    <col min="6145" max="6145" width="5.7109375" style="20" customWidth="1"/>
    <col min="6146" max="6146" width="17.140625" style="20" customWidth="1"/>
    <col min="6147" max="6147" width="39.42578125" style="20" customWidth="1"/>
    <col min="6148" max="6148" width="22" style="20" customWidth="1"/>
    <col min="6149" max="6149" width="20.5703125" style="20" customWidth="1"/>
    <col min="6150" max="6150" width="18.28515625" style="20" customWidth="1"/>
    <col min="6151" max="6151" width="21.7109375" style="20" customWidth="1"/>
    <col min="6152" max="6152" width="18.85546875" style="20" customWidth="1"/>
    <col min="6153" max="6153" width="19.140625" style="20" customWidth="1"/>
    <col min="6154" max="6159" width="21.7109375" style="20" customWidth="1"/>
    <col min="6160" max="6160" width="23.7109375" style="20" customWidth="1"/>
    <col min="6161" max="6161" width="20.7109375" style="20" customWidth="1"/>
    <col min="6162" max="6400" width="9.140625" style="20"/>
    <col min="6401" max="6401" width="5.7109375" style="20" customWidth="1"/>
    <col min="6402" max="6402" width="17.140625" style="20" customWidth="1"/>
    <col min="6403" max="6403" width="39.42578125" style="20" customWidth="1"/>
    <col min="6404" max="6404" width="22" style="20" customWidth="1"/>
    <col min="6405" max="6405" width="20.5703125" style="20" customWidth="1"/>
    <col min="6406" max="6406" width="18.28515625" style="20" customWidth="1"/>
    <col min="6407" max="6407" width="21.7109375" style="20" customWidth="1"/>
    <col min="6408" max="6408" width="18.85546875" style="20" customWidth="1"/>
    <col min="6409" max="6409" width="19.140625" style="20" customWidth="1"/>
    <col min="6410" max="6415" width="21.7109375" style="20" customWidth="1"/>
    <col min="6416" max="6416" width="23.7109375" style="20" customWidth="1"/>
    <col min="6417" max="6417" width="20.7109375" style="20" customWidth="1"/>
    <col min="6418" max="6656" width="9.140625" style="20"/>
    <col min="6657" max="6657" width="5.7109375" style="20" customWidth="1"/>
    <col min="6658" max="6658" width="17.140625" style="20" customWidth="1"/>
    <col min="6659" max="6659" width="39.42578125" style="20" customWidth="1"/>
    <col min="6660" max="6660" width="22" style="20" customWidth="1"/>
    <col min="6661" max="6661" width="20.5703125" style="20" customWidth="1"/>
    <col min="6662" max="6662" width="18.28515625" style="20" customWidth="1"/>
    <col min="6663" max="6663" width="21.7109375" style="20" customWidth="1"/>
    <col min="6664" max="6664" width="18.85546875" style="20" customWidth="1"/>
    <col min="6665" max="6665" width="19.140625" style="20" customWidth="1"/>
    <col min="6666" max="6671" width="21.7109375" style="20" customWidth="1"/>
    <col min="6672" max="6672" width="23.7109375" style="20" customWidth="1"/>
    <col min="6673" max="6673" width="20.7109375" style="20" customWidth="1"/>
    <col min="6674" max="6912" width="9.140625" style="20"/>
    <col min="6913" max="6913" width="5.7109375" style="20" customWidth="1"/>
    <col min="6914" max="6914" width="17.140625" style="20" customWidth="1"/>
    <col min="6915" max="6915" width="39.42578125" style="20" customWidth="1"/>
    <col min="6916" max="6916" width="22" style="20" customWidth="1"/>
    <col min="6917" max="6917" width="20.5703125" style="20" customWidth="1"/>
    <col min="6918" max="6918" width="18.28515625" style="20" customWidth="1"/>
    <col min="6919" max="6919" width="21.7109375" style="20" customWidth="1"/>
    <col min="6920" max="6920" width="18.85546875" style="20" customWidth="1"/>
    <col min="6921" max="6921" width="19.140625" style="20" customWidth="1"/>
    <col min="6922" max="6927" width="21.7109375" style="20" customWidth="1"/>
    <col min="6928" max="6928" width="23.7109375" style="20" customWidth="1"/>
    <col min="6929" max="6929" width="20.7109375" style="20" customWidth="1"/>
    <col min="6930" max="7168" width="9.140625" style="20"/>
    <col min="7169" max="7169" width="5.7109375" style="20" customWidth="1"/>
    <col min="7170" max="7170" width="17.140625" style="20" customWidth="1"/>
    <col min="7171" max="7171" width="39.42578125" style="20" customWidth="1"/>
    <col min="7172" max="7172" width="22" style="20" customWidth="1"/>
    <col min="7173" max="7173" width="20.5703125" style="20" customWidth="1"/>
    <col min="7174" max="7174" width="18.28515625" style="20" customWidth="1"/>
    <col min="7175" max="7175" width="21.7109375" style="20" customWidth="1"/>
    <col min="7176" max="7176" width="18.85546875" style="20" customWidth="1"/>
    <col min="7177" max="7177" width="19.140625" style="20" customWidth="1"/>
    <col min="7178" max="7183" width="21.7109375" style="20" customWidth="1"/>
    <col min="7184" max="7184" width="23.7109375" style="20" customWidth="1"/>
    <col min="7185" max="7185" width="20.7109375" style="20" customWidth="1"/>
    <col min="7186" max="7424" width="9.140625" style="20"/>
    <col min="7425" max="7425" width="5.7109375" style="20" customWidth="1"/>
    <col min="7426" max="7426" width="17.140625" style="20" customWidth="1"/>
    <col min="7427" max="7427" width="39.42578125" style="20" customWidth="1"/>
    <col min="7428" max="7428" width="22" style="20" customWidth="1"/>
    <col min="7429" max="7429" width="20.5703125" style="20" customWidth="1"/>
    <col min="7430" max="7430" width="18.28515625" style="20" customWidth="1"/>
    <col min="7431" max="7431" width="21.7109375" style="20" customWidth="1"/>
    <col min="7432" max="7432" width="18.85546875" style="20" customWidth="1"/>
    <col min="7433" max="7433" width="19.140625" style="20" customWidth="1"/>
    <col min="7434" max="7439" width="21.7109375" style="20" customWidth="1"/>
    <col min="7440" max="7440" width="23.7109375" style="20" customWidth="1"/>
    <col min="7441" max="7441" width="20.7109375" style="20" customWidth="1"/>
    <col min="7442" max="7680" width="9.140625" style="20"/>
    <col min="7681" max="7681" width="5.7109375" style="20" customWidth="1"/>
    <col min="7682" max="7682" width="17.140625" style="20" customWidth="1"/>
    <col min="7683" max="7683" width="39.42578125" style="20" customWidth="1"/>
    <col min="7684" max="7684" width="22" style="20" customWidth="1"/>
    <col min="7685" max="7685" width="20.5703125" style="20" customWidth="1"/>
    <col min="7686" max="7686" width="18.28515625" style="20" customWidth="1"/>
    <col min="7687" max="7687" width="21.7109375" style="20" customWidth="1"/>
    <col min="7688" max="7688" width="18.85546875" style="20" customWidth="1"/>
    <col min="7689" max="7689" width="19.140625" style="20" customWidth="1"/>
    <col min="7690" max="7695" width="21.7109375" style="20" customWidth="1"/>
    <col min="7696" max="7696" width="23.7109375" style="20" customWidth="1"/>
    <col min="7697" max="7697" width="20.7109375" style="20" customWidth="1"/>
    <col min="7698" max="7936" width="9.140625" style="20"/>
    <col min="7937" max="7937" width="5.7109375" style="20" customWidth="1"/>
    <col min="7938" max="7938" width="17.140625" style="20" customWidth="1"/>
    <col min="7939" max="7939" width="39.42578125" style="20" customWidth="1"/>
    <col min="7940" max="7940" width="22" style="20" customWidth="1"/>
    <col min="7941" max="7941" width="20.5703125" style="20" customWidth="1"/>
    <col min="7942" max="7942" width="18.28515625" style="20" customWidth="1"/>
    <col min="7943" max="7943" width="21.7109375" style="20" customWidth="1"/>
    <col min="7944" max="7944" width="18.85546875" style="20" customWidth="1"/>
    <col min="7945" max="7945" width="19.140625" style="20" customWidth="1"/>
    <col min="7946" max="7951" width="21.7109375" style="20" customWidth="1"/>
    <col min="7952" max="7952" width="23.7109375" style="20" customWidth="1"/>
    <col min="7953" max="7953" width="20.7109375" style="20" customWidth="1"/>
    <col min="7954" max="8192" width="9.140625" style="20"/>
    <col min="8193" max="8193" width="5.7109375" style="20" customWidth="1"/>
    <col min="8194" max="8194" width="17.140625" style="20" customWidth="1"/>
    <col min="8195" max="8195" width="39.42578125" style="20" customWidth="1"/>
    <col min="8196" max="8196" width="22" style="20" customWidth="1"/>
    <col min="8197" max="8197" width="20.5703125" style="20" customWidth="1"/>
    <col min="8198" max="8198" width="18.28515625" style="20" customWidth="1"/>
    <col min="8199" max="8199" width="21.7109375" style="20" customWidth="1"/>
    <col min="8200" max="8200" width="18.85546875" style="20" customWidth="1"/>
    <col min="8201" max="8201" width="19.140625" style="20" customWidth="1"/>
    <col min="8202" max="8207" width="21.7109375" style="20" customWidth="1"/>
    <col min="8208" max="8208" width="23.7109375" style="20" customWidth="1"/>
    <col min="8209" max="8209" width="20.7109375" style="20" customWidth="1"/>
    <col min="8210" max="8448" width="9.140625" style="20"/>
    <col min="8449" max="8449" width="5.7109375" style="20" customWidth="1"/>
    <col min="8450" max="8450" width="17.140625" style="20" customWidth="1"/>
    <col min="8451" max="8451" width="39.42578125" style="20" customWidth="1"/>
    <col min="8452" max="8452" width="22" style="20" customWidth="1"/>
    <col min="8453" max="8453" width="20.5703125" style="20" customWidth="1"/>
    <col min="8454" max="8454" width="18.28515625" style="20" customWidth="1"/>
    <col min="8455" max="8455" width="21.7109375" style="20" customWidth="1"/>
    <col min="8456" max="8456" width="18.85546875" style="20" customWidth="1"/>
    <col min="8457" max="8457" width="19.140625" style="20" customWidth="1"/>
    <col min="8458" max="8463" width="21.7109375" style="20" customWidth="1"/>
    <col min="8464" max="8464" width="23.7109375" style="20" customWidth="1"/>
    <col min="8465" max="8465" width="20.7109375" style="20" customWidth="1"/>
    <col min="8466" max="8704" width="9.140625" style="20"/>
    <col min="8705" max="8705" width="5.7109375" style="20" customWidth="1"/>
    <col min="8706" max="8706" width="17.140625" style="20" customWidth="1"/>
    <col min="8707" max="8707" width="39.42578125" style="20" customWidth="1"/>
    <col min="8708" max="8708" width="22" style="20" customWidth="1"/>
    <col min="8709" max="8709" width="20.5703125" style="20" customWidth="1"/>
    <col min="8710" max="8710" width="18.28515625" style="20" customWidth="1"/>
    <col min="8711" max="8711" width="21.7109375" style="20" customWidth="1"/>
    <col min="8712" max="8712" width="18.85546875" style="20" customWidth="1"/>
    <col min="8713" max="8713" width="19.140625" style="20" customWidth="1"/>
    <col min="8714" max="8719" width="21.7109375" style="20" customWidth="1"/>
    <col min="8720" max="8720" width="23.7109375" style="20" customWidth="1"/>
    <col min="8721" max="8721" width="20.7109375" style="20" customWidth="1"/>
    <col min="8722" max="8960" width="9.140625" style="20"/>
    <col min="8961" max="8961" width="5.7109375" style="20" customWidth="1"/>
    <col min="8962" max="8962" width="17.140625" style="20" customWidth="1"/>
    <col min="8963" max="8963" width="39.42578125" style="20" customWidth="1"/>
    <col min="8964" max="8964" width="22" style="20" customWidth="1"/>
    <col min="8965" max="8965" width="20.5703125" style="20" customWidth="1"/>
    <col min="8966" max="8966" width="18.28515625" style="20" customWidth="1"/>
    <col min="8967" max="8967" width="21.7109375" style="20" customWidth="1"/>
    <col min="8968" max="8968" width="18.85546875" style="20" customWidth="1"/>
    <col min="8969" max="8969" width="19.140625" style="20" customWidth="1"/>
    <col min="8970" max="8975" width="21.7109375" style="20" customWidth="1"/>
    <col min="8976" max="8976" width="23.7109375" style="20" customWidth="1"/>
    <col min="8977" max="8977" width="20.7109375" style="20" customWidth="1"/>
    <col min="8978" max="9216" width="9.140625" style="20"/>
    <col min="9217" max="9217" width="5.7109375" style="20" customWidth="1"/>
    <col min="9218" max="9218" width="17.140625" style="20" customWidth="1"/>
    <col min="9219" max="9219" width="39.42578125" style="20" customWidth="1"/>
    <col min="9220" max="9220" width="22" style="20" customWidth="1"/>
    <col min="9221" max="9221" width="20.5703125" style="20" customWidth="1"/>
    <col min="9222" max="9222" width="18.28515625" style="20" customWidth="1"/>
    <col min="9223" max="9223" width="21.7109375" style="20" customWidth="1"/>
    <col min="9224" max="9224" width="18.85546875" style="20" customWidth="1"/>
    <col min="9225" max="9225" width="19.140625" style="20" customWidth="1"/>
    <col min="9226" max="9231" width="21.7109375" style="20" customWidth="1"/>
    <col min="9232" max="9232" width="23.7109375" style="20" customWidth="1"/>
    <col min="9233" max="9233" width="20.7109375" style="20" customWidth="1"/>
    <col min="9234" max="9472" width="9.140625" style="20"/>
    <col min="9473" max="9473" width="5.7109375" style="20" customWidth="1"/>
    <col min="9474" max="9474" width="17.140625" style="20" customWidth="1"/>
    <col min="9475" max="9475" width="39.42578125" style="20" customWidth="1"/>
    <col min="9476" max="9476" width="22" style="20" customWidth="1"/>
    <col min="9477" max="9477" width="20.5703125" style="20" customWidth="1"/>
    <col min="9478" max="9478" width="18.28515625" style="20" customWidth="1"/>
    <col min="9479" max="9479" width="21.7109375" style="20" customWidth="1"/>
    <col min="9480" max="9480" width="18.85546875" style="20" customWidth="1"/>
    <col min="9481" max="9481" width="19.140625" style="20" customWidth="1"/>
    <col min="9482" max="9487" width="21.7109375" style="20" customWidth="1"/>
    <col min="9488" max="9488" width="23.7109375" style="20" customWidth="1"/>
    <col min="9489" max="9489" width="20.7109375" style="20" customWidth="1"/>
    <col min="9490" max="9728" width="9.140625" style="20"/>
    <col min="9729" max="9729" width="5.7109375" style="20" customWidth="1"/>
    <col min="9730" max="9730" width="17.140625" style="20" customWidth="1"/>
    <col min="9731" max="9731" width="39.42578125" style="20" customWidth="1"/>
    <col min="9732" max="9732" width="22" style="20" customWidth="1"/>
    <col min="9733" max="9733" width="20.5703125" style="20" customWidth="1"/>
    <col min="9734" max="9734" width="18.28515625" style="20" customWidth="1"/>
    <col min="9735" max="9735" width="21.7109375" style="20" customWidth="1"/>
    <col min="9736" max="9736" width="18.85546875" style="20" customWidth="1"/>
    <col min="9737" max="9737" width="19.140625" style="20" customWidth="1"/>
    <col min="9738" max="9743" width="21.7109375" style="20" customWidth="1"/>
    <col min="9744" max="9744" width="23.7109375" style="20" customWidth="1"/>
    <col min="9745" max="9745" width="20.7109375" style="20" customWidth="1"/>
    <col min="9746" max="9984" width="9.140625" style="20"/>
    <col min="9985" max="9985" width="5.7109375" style="20" customWidth="1"/>
    <col min="9986" max="9986" width="17.140625" style="20" customWidth="1"/>
    <col min="9987" max="9987" width="39.42578125" style="20" customWidth="1"/>
    <col min="9988" max="9988" width="22" style="20" customWidth="1"/>
    <col min="9989" max="9989" width="20.5703125" style="20" customWidth="1"/>
    <col min="9990" max="9990" width="18.28515625" style="20" customWidth="1"/>
    <col min="9991" max="9991" width="21.7109375" style="20" customWidth="1"/>
    <col min="9992" max="9992" width="18.85546875" style="20" customWidth="1"/>
    <col min="9993" max="9993" width="19.140625" style="20" customWidth="1"/>
    <col min="9994" max="9999" width="21.7109375" style="20" customWidth="1"/>
    <col min="10000" max="10000" width="23.7109375" style="20" customWidth="1"/>
    <col min="10001" max="10001" width="20.7109375" style="20" customWidth="1"/>
    <col min="10002" max="10240" width="9.140625" style="20"/>
    <col min="10241" max="10241" width="5.7109375" style="20" customWidth="1"/>
    <col min="10242" max="10242" width="17.140625" style="20" customWidth="1"/>
    <col min="10243" max="10243" width="39.42578125" style="20" customWidth="1"/>
    <col min="10244" max="10244" width="22" style="20" customWidth="1"/>
    <col min="10245" max="10245" width="20.5703125" style="20" customWidth="1"/>
    <col min="10246" max="10246" width="18.28515625" style="20" customWidth="1"/>
    <col min="10247" max="10247" width="21.7109375" style="20" customWidth="1"/>
    <col min="10248" max="10248" width="18.85546875" style="20" customWidth="1"/>
    <col min="10249" max="10249" width="19.140625" style="20" customWidth="1"/>
    <col min="10250" max="10255" width="21.7109375" style="20" customWidth="1"/>
    <col min="10256" max="10256" width="23.7109375" style="20" customWidth="1"/>
    <col min="10257" max="10257" width="20.7109375" style="20" customWidth="1"/>
    <col min="10258" max="10496" width="9.140625" style="20"/>
    <col min="10497" max="10497" width="5.7109375" style="20" customWidth="1"/>
    <col min="10498" max="10498" width="17.140625" style="20" customWidth="1"/>
    <col min="10499" max="10499" width="39.42578125" style="20" customWidth="1"/>
    <col min="10500" max="10500" width="22" style="20" customWidth="1"/>
    <col min="10501" max="10501" width="20.5703125" style="20" customWidth="1"/>
    <col min="10502" max="10502" width="18.28515625" style="20" customWidth="1"/>
    <col min="10503" max="10503" width="21.7109375" style="20" customWidth="1"/>
    <col min="10504" max="10504" width="18.85546875" style="20" customWidth="1"/>
    <col min="10505" max="10505" width="19.140625" style="20" customWidth="1"/>
    <col min="10506" max="10511" width="21.7109375" style="20" customWidth="1"/>
    <col min="10512" max="10512" width="23.7109375" style="20" customWidth="1"/>
    <col min="10513" max="10513" width="20.7109375" style="20" customWidth="1"/>
    <col min="10514" max="10752" width="9.140625" style="20"/>
    <col min="10753" max="10753" width="5.7109375" style="20" customWidth="1"/>
    <col min="10754" max="10754" width="17.140625" style="20" customWidth="1"/>
    <col min="10755" max="10755" width="39.42578125" style="20" customWidth="1"/>
    <col min="10756" max="10756" width="22" style="20" customWidth="1"/>
    <col min="10757" max="10757" width="20.5703125" style="20" customWidth="1"/>
    <col min="10758" max="10758" width="18.28515625" style="20" customWidth="1"/>
    <col min="10759" max="10759" width="21.7109375" style="20" customWidth="1"/>
    <col min="10760" max="10760" width="18.85546875" style="20" customWidth="1"/>
    <col min="10761" max="10761" width="19.140625" style="20" customWidth="1"/>
    <col min="10762" max="10767" width="21.7109375" style="20" customWidth="1"/>
    <col min="10768" max="10768" width="23.7109375" style="20" customWidth="1"/>
    <col min="10769" max="10769" width="20.7109375" style="20" customWidth="1"/>
    <col min="10770" max="11008" width="9.140625" style="20"/>
    <col min="11009" max="11009" width="5.7109375" style="20" customWidth="1"/>
    <col min="11010" max="11010" width="17.140625" style="20" customWidth="1"/>
    <col min="11011" max="11011" width="39.42578125" style="20" customWidth="1"/>
    <col min="11012" max="11012" width="22" style="20" customWidth="1"/>
    <col min="11013" max="11013" width="20.5703125" style="20" customWidth="1"/>
    <col min="11014" max="11014" width="18.28515625" style="20" customWidth="1"/>
    <col min="11015" max="11015" width="21.7109375" style="20" customWidth="1"/>
    <col min="11016" max="11016" width="18.85546875" style="20" customWidth="1"/>
    <col min="11017" max="11017" width="19.140625" style="20" customWidth="1"/>
    <col min="11018" max="11023" width="21.7109375" style="20" customWidth="1"/>
    <col min="11024" max="11024" width="23.7109375" style="20" customWidth="1"/>
    <col min="11025" max="11025" width="20.7109375" style="20" customWidth="1"/>
    <col min="11026" max="11264" width="9.140625" style="20"/>
    <col min="11265" max="11265" width="5.7109375" style="20" customWidth="1"/>
    <col min="11266" max="11266" width="17.140625" style="20" customWidth="1"/>
    <col min="11267" max="11267" width="39.42578125" style="20" customWidth="1"/>
    <col min="11268" max="11268" width="22" style="20" customWidth="1"/>
    <col min="11269" max="11269" width="20.5703125" style="20" customWidth="1"/>
    <col min="11270" max="11270" width="18.28515625" style="20" customWidth="1"/>
    <col min="11271" max="11271" width="21.7109375" style="20" customWidth="1"/>
    <col min="11272" max="11272" width="18.85546875" style="20" customWidth="1"/>
    <col min="11273" max="11273" width="19.140625" style="20" customWidth="1"/>
    <col min="11274" max="11279" width="21.7109375" style="20" customWidth="1"/>
    <col min="11280" max="11280" width="23.7109375" style="20" customWidth="1"/>
    <col min="11281" max="11281" width="20.7109375" style="20" customWidth="1"/>
    <col min="11282" max="11520" width="9.140625" style="20"/>
    <col min="11521" max="11521" width="5.7109375" style="20" customWidth="1"/>
    <col min="11522" max="11522" width="17.140625" style="20" customWidth="1"/>
    <col min="11523" max="11523" width="39.42578125" style="20" customWidth="1"/>
    <col min="11524" max="11524" width="22" style="20" customWidth="1"/>
    <col min="11525" max="11525" width="20.5703125" style="20" customWidth="1"/>
    <col min="11526" max="11526" width="18.28515625" style="20" customWidth="1"/>
    <col min="11527" max="11527" width="21.7109375" style="20" customWidth="1"/>
    <col min="11528" max="11528" width="18.85546875" style="20" customWidth="1"/>
    <col min="11529" max="11529" width="19.140625" style="20" customWidth="1"/>
    <col min="11530" max="11535" width="21.7109375" style="20" customWidth="1"/>
    <col min="11536" max="11536" width="23.7109375" style="20" customWidth="1"/>
    <col min="11537" max="11537" width="20.7109375" style="20" customWidth="1"/>
    <col min="11538" max="11776" width="9.140625" style="20"/>
    <col min="11777" max="11777" width="5.7109375" style="20" customWidth="1"/>
    <col min="11778" max="11778" width="17.140625" style="20" customWidth="1"/>
    <col min="11779" max="11779" width="39.42578125" style="20" customWidth="1"/>
    <col min="11780" max="11780" width="22" style="20" customWidth="1"/>
    <col min="11781" max="11781" width="20.5703125" style="20" customWidth="1"/>
    <col min="11782" max="11782" width="18.28515625" style="20" customWidth="1"/>
    <col min="11783" max="11783" width="21.7109375" style="20" customWidth="1"/>
    <col min="11784" max="11784" width="18.85546875" style="20" customWidth="1"/>
    <col min="11785" max="11785" width="19.140625" style="20" customWidth="1"/>
    <col min="11786" max="11791" width="21.7109375" style="20" customWidth="1"/>
    <col min="11792" max="11792" width="23.7109375" style="20" customWidth="1"/>
    <col min="11793" max="11793" width="20.7109375" style="20" customWidth="1"/>
    <col min="11794" max="12032" width="9.140625" style="20"/>
    <col min="12033" max="12033" width="5.7109375" style="20" customWidth="1"/>
    <col min="12034" max="12034" width="17.140625" style="20" customWidth="1"/>
    <col min="12035" max="12035" width="39.42578125" style="20" customWidth="1"/>
    <col min="12036" max="12036" width="22" style="20" customWidth="1"/>
    <col min="12037" max="12037" width="20.5703125" style="20" customWidth="1"/>
    <col min="12038" max="12038" width="18.28515625" style="20" customWidth="1"/>
    <col min="12039" max="12039" width="21.7109375" style="20" customWidth="1"/>
    <col min="12040" max="12040" width="18.85546875" style="20" customWidth="1"/>
    <col min="12041" max="12041" width="19.140625" style="20" customWidth="1"/>
    <col min="12042" max="12047" width="21.7109375" style="20" customWidth="1"/>
    <col min="12048" max="12048" width="23.7109375" style="20" customWidth="1"/>
    <col min="12049" max="12049" width="20.7109375" style="20" customWidth="1"/>
    <col min="12050" max="12288" width="9.140625" style="20"/>
    <col min="12289" max="12289" width="5.7109375" style="20" customWidth="1"/>
    <col min="12290" max="12290" width="17.140625" style="20" customWidth="1"/>
    <col min="12291" max="12291" width="39.42578125" style="20" customWidth="1"/>
    <col min="12292" max="12292" width="22" style="20" customWidth="1"/>
    <col min="12293" max="12293" width="20.5703125" style="20" customWidth="1"/>
    <col min="12294" max="12294" width="18.28515625" style="20" customWidth="1"/>
    <col min="12295" max="12295" width="21.7109375" style="20" customWidth="1"/>
    <col min="12296" max="12296" width="18.85546875" style="20" customWidth="1"/>
    <col min="12297" max="12297" width="19.140625" style="20" customWidth="1"/>
    <col min="12298" max="12303" width="21.7109375" style="20" customWidth="1"/>
    <col min="12304" max="12304" width="23.7109375" style="20" customWidth="1"/>
    <col min="12305" max="12305" width="20.7109375" style="20" customWidth="1"/>
    <col min="12306" max="12544" width="9.140625" style="20"/>
    <col min="12545" max="12545" width="5.7109375" style="20" customWidth="1"/>
    <col min="12546" max="12546" width="17.140625" style="20" customWidth="1"/>
    <col min="12547" max="12547" width="39.42578125" style="20" customWidth="1"/>
    <col min="12548" max="12548" width="22" style="20" customWidth="1"/>
    <col min="12549" max="12549" width="20.5703125" style="20" customWidth="1"/>
    <col min="12550" max="12550" width="18.28515625" style="20" customWidth="1"/>
    <col min="12551" max="12551" width="21.7109375" style="20" customWidth="1"/>
    <col min="12552" max="12552" width="18.85546875" style="20" customWidth="1"/>
    <col min="12553" max="12553" width="19.140625" style="20" customWidth="1"/>
    <col min="12554" max="12559" width="21.7109375" style="20" customWidth="1"/>
    <col min="12560" max="12560" width="23.7109375" style="20" customWidth="1"/>
    <col min="12561" max="12561" width="20.7109375" style="20" customWidth="1"/>
    <col min="12562" max="12800" width="9.140625" style="20"/>
    <col min="12801" max="12801" width="5.7109375" style="20" customWidth="1"/>
    <col min="12802" max="12802" width="17.140625" style="20" customWidth="1"/>
    <col min="12803" max="12803" width="39.42578125" style="20" customWidth="1"/>
    <col min="12804" max="12804" width="22" style="20" customWidth="1"/>
    <col min="12805" max="12805" width="20.5703125" style="20" customWidth="1"/>
    <col min="12806" max="12806" width="18.28515625" style="20" customWidth="1"/>
    <col min="12807" max="12807" width="21.7109375" style="20" customWidth="1"/>
    <col min="12808" max="12808" width="18.85546875" style="20" customWidth="1"/>
    <col min="12809" max="12809" width="19.140625" style="20" customWidth="1"/>
    <col min="12810" max="12815" width="21.7109375" style="20" customWidth="1"/>
    <col min="12816" max="12816" width="23.7109375" style="20" customWidth="1"/>
    <col min="12817" max="12817" width="20.7109375" style="20" customWidth="1"/>
    <col min="12818" max="13056" width="9.140625" style="20"/>
    <col min="13057" max="13057" width="5.7109375" style="20" customWidth="1"/>
    <col min="13058" max="13058" width="17.140625" style="20" customWidth="1"/>
    <col min="13059" max="13059" width="39.42578125" style="20" customWidth="1"/>
    <col min="13060" max="13060" width="22" style="20" customWidth="1"/>
    <col min="13061" max="13061" width="20.5703125" style="20" customWidth="1"/>
    <col min="13062" max="13062" width="18.28515625" style="20" customWidth="1"/>
    <col min="13063" max="13063" width="21.7109375" style="20" customWidth="1"/>
    <col min="13064" max="13064" width="18.85546875" style="20" customWidth="1"/>
    <col min="13065" max="13065" width="19.140625" style="20" customWidth="1"/>
    <col min="13066" max="13071" width="21.7109375" style="20" customWidth="1"/>
    <col min="13072" max="13072" width="23.7109375" style="20" customWidth="1"/>
    <col min="13073" max="13073" width="20.7109375" style="20" customWidth="1"/>
    <col min="13074" max="13312" width="9.140625" style="20"/>
    <col min="13313" max="13313" width="5.7109375" style="20" customWidth="1"/>
    <col min="13314" max="13314" width="17.140625" style="20" customWidth="1"/>
    <col min="13315" max="13315" width="39.42578125" style="20" customWidth="1"/>
    <col min="13316" max="13316" width="22" style="20" customWidth="1"/>
    <col min="13317" max="13317" width="20.5703125" style="20" customWidth="1"/>
    <col min="13318" max="13318" width="18.28515625" style="20" customWidth="1"/>
    <col min="13319" max="13319" width="21.7109375" style="20" customWidth="1"/>
    <col min="13320" max="13320" width="18.85546875" style="20" customWidth="1"/>
    <col min="13321" max="13321" width="19.140625" style="20" customWidth="1"/>
    <col min="13322" max="13327" width="21.7109375" style="20" customWidth="1"/>
    <col min="13328" max="13328" width="23.7109375" style="20" customWidth="1"/>
    <col min="13329" max="13329" width="20.7109375" style="20" customWidth="1"/>
    <col min="13330" max="13568" width="9.140625" style="20"/>
    <col min="13569" max="13569" width="5.7109375" style="20" customWidth="1"/>
    <col min="13570" max="13570" width="17.140625" style="20" customWidth="1"/>
    <col min="13571" max="13571" width="39.42578125" style="20" customWidth="1"/>
    <col min="13572" max="13572" width="22" style="20" customWidth="1"/>
    <col min="13573" max="13573" width="20.5703125" style="20" customWidth="1"/>
    <col min="13574" max="13574" width="18.28515625" style="20" customWidth="1"/>
    <col min="13575" max="13575" width="21.7109375" style="20" customWidth="1"/>
    <col min="13576" max="13576" width="18.85546875" style="20" customWidth="1"/>
    <col min="13577" max="13577" width="19.140625" style="20" customWidth="1"/>
    <col min="13578" max="13583" width="21.7109375" style="20" customWidth="1"/>
    <col min="13584" max="13584" width="23.7109375" style="20" customWidth="1"/>
    <col min="13585" max="13585" width="20.7109375" style="20" customWidth="1"/>
    <col min="13586" max="13824" width="9.140625" style="20"/>
    <col min="13825" max="13825" width="5.7109375" style="20" customWidth="1"/>
    <col min="13826" max="13826" width="17.140625" style="20" customWidth="1"/>
    <col min="13827" max="13827" width="39.42578125" style="20" customWidth="1"/>
    <col min="13828" max="13828" width="22" style="20" customWidth="1"/>
    <col min="13829" max="13829" width="20.5703125" style="20" customWidth="1"/>
    <col min="13830" max="13830" width="18.28515625" style="20" customWidth="1"/>
    <col min="13831" max="13831" width="21.7109375" style="20" customWidth="1"/>
    <col min="13832" max="13832" width="18.85546875" style="20" customWidth="1"/>
    <col min="13833" max="13833" width="19.140625" style="20" customWidth="1"/>
    <col min="13834" max="13839" width="21.7109375" style="20" customWidth="1"/>
    <col min="13840" max="13840" width="23.7109375" style="20" customWidth="1"/>
    <col min="13841" max="13841" width="20.7109375" style="20" customWidth="1"/>
    <col min="13842" max="14080" width="9.140625" style="20"/>
    <col min="14081" max="14081" width="5.7109375" style="20" customWidth="1"/>
    <col min="14082" max="14082" width="17.140625" style="20" customWidth="1"/>
    <col min="14083" max="14083" width="39.42578125" style="20" customWidth="1"/>
    <col min="14084" max="14084" width="22" style="20" customWidth="1"/>
    <col min="14085" max="14085" width="20.5703125" style="20" customWidth="1"/>
    <col min="14086" max="14086" width="18.28515625" style="20" customWidth="1"/>
    <col min="14087" max="14087" width="21.7109375" style="20" customWidth="1"/>
    <col min="14088" max="14088" width="18.85546875" style="20" customWidth="1"/>
    <col min="14089" max="14089" width="19.140625" style="20" customWidth="1"/>
    <col min="14090" max="14095" width="21.7109375" style="20" customWidth="1"/>
    <col min="14096" max="14096" width="23.7109375" style="20" customWidth="1"/>
    <col min="14097" max="14097" width="20.7109375" style="20" customWidth="1"/>
    <col min="14098" max="14336" width="9.140625" style="20"/>
    <col min="14337" max="14337" width="5.7109375" style="20" customWidth="1"/>
    <col min="14338" max="14338" width="17.140625" style="20" customWidth="1"/>
    <col min="14339" max="14339" width="39.42578125" style="20" customWidth="1"/>
    <col min="14340" max="14340" width="22" style="20" customWidth="1"/>
    <col min="14341" max="14341" width="20.5703125" style="20" customWidth="1"/>
    <col min="14342" max="14342" width="18.28515625" style="20" customWidth="1"/>
    <col min="14343" max="14343" width="21.7109375" style="20" customWidth="1"/>
    <col min="14344" max="14344" width="18.85546875" style="20" customWidth="1"/>
    <col min="14345" max="14345" width="19.140625" style="20" customWidth="1"/>
    <col min="14346" max="14351" width="21.7109375" style="20" customWidth="1"/>
    <col min="14352" max="14352" width="23.7109375" style="20" customWidth="1"/>
    <col min="14353" max="14353" width="20.7109375" style="20" customWidth="1"/>
    <col min="14354" max="14592" width="9.140625" style="20"/>
    <col min="14593" max="14593" width="5.7109375" style="20" customWidth="1"/>
    <col min="14594" max="14594" width="17.140625" style="20" customWidth="1"/>
    <col min="14595" max="14595" width="39.42578125" style="20" customWidth="1"/>
    <col min="14596" max="14596" width="22" style="20" customWidth="1"/>
    <col min="14597" max="14597" width="20.5703125" style="20" customWidth="1"/>
    <col min="14598" max="14598" width="18.28515625" style="20" customWidth="1"/>
    <col min="14599" max="14599" width="21.7109375" style="20" customWidth="1"/>
    <col min="14600" max="14600" width="18.85546875" style="20" customWidth="1"/>
    <col min="14601" max="14601" width="19.140625" style="20" customWidth="1"/>
    <col min="14602" max="14607" width="21.7109375" style="20" customWidth="1"/>
    <col min="14608" max="14608" width="23.7109375" style="20" customWidth="1"/>
    <col min="14609" max="14609" width="20.7109375" style="20" customWidth="1"/>
    <col min="14610" max="14848" width="9.140625" style="20"/>
    <col min="14849" max="14849" width="5.7109375" style="20" customWidth="1"/>
    <col min="14850" max="14850" width="17.140625" style="20" customWidth="1"/>
    <col min="14851" max="14851" width="39.42578125" style="20" customWidth="1"/>
    <col min="14852" max="14852" width="22" style="20" customWidth="1"/>
    <col min="14853" max="14853" width="20.5703125" style="20" customWidth="1"/>
    <col min="14854" max="14854" width="18.28515625" style="20" customWidth="1"/>
    <col min="14855" max="14855" width="21.7109375" style="20" customWidth="1"/>
    <col min="14856" max="14856" width="18.85546875" style="20" customWidth="1"/>
    <col min="14857" max="14857" width="19.140625" style="20" customWidth="1"/>
    <col min="14858" max="14863" width="21.7109375" style="20" customWidth="1"/>
    <col min="14864" max="14864" width="23.7109375" style="20" customWidth="1"/>
    <col min="14865" max="14865" width="20.7109375" style="20" customWidth="1"/>
    <col min="14866" max="15104" width="9.140625" style="20"/>
    <col min="15105" max="15105" width="5.7109375" style="20" customWidth="1"/>
    <col min="15106" max="15106" width="17.140625" style="20" customWidth="1"/>
    <col min="15107" max="15107" width="39.42578125" style="20" customWidth="1"/>
    <col min="15108" max="15108" width="22" style="20" customWidth="1"/>
    <col min="15109" max="15109" width="20.5703125" style="20" customWidth="1"/>
    <col min="15110" max="15110" width="18.28515625" style="20" customWidth="1"/>
    <col min="15111" max="15111" width="21.7109375" style="20" customWidth="1"/>
    <col min="15112" max="15112" width="18.85546875" style="20" customWidth="1"/>
    <col min="15113" max="15113" width="19.140625" style="20" customWidth="1"/>
    <col min="15114" max="15119" width="21.7109375" style="20" customWidth="1"/>
    <col min="15120" max="15120" width="23.7109375" style="20" customWidth="1"/>
    <col min="15121" max="15121" width="20.7109375" style="20" customWidth="1"/>
    <col min="15122" max="15360" width="9.140625" style="20"/>
    <col min="15361" max="15361" width="5.7109375" style="20" customWidth="1"/>
    <col min="15362" max="15362" width="17.140625" style="20" customWidth="1"/>
    <col min="15363" max="15363" width="39.42578125" style="20" customWidth="1"/>
    <col min="15364" max="15364" width="22" style="20" customWidth="1"/>
    <col min="15365" max="15365" width="20.5703125" style="20" customWidth="1"/>
    <col min="15366" max="15366" width="18.28515625" style="20" customWidth="1"/>
    <col min="15367" max="15367" width="21.7109375" style="20" customWidth="1"/>
    <col min="15368" max="15368" width="18.85546875" style="20" customWidth="1"/>
    <col min="15369" max="15369" width="19.140625" style="20" customWidth="1"/>
    <col min="15370" max="15375" width="21.7109375" style="20" customWidth="1"/>
    <col min="15376" max="15376" width="23.7109375" style="20" customWidth="1"/>
    <col min="15377" max="15377" width="20.7109375" style="20" customWidth="1"/>
    <col min="15378" max="15616" width="9.140625" style="20"/>
    <col min="15617" max="15617" width="5.7109375" style="20" customWidth="1"/>
    <col min="15618" max="15618" width="17.140625" style="20" customWidth="1"/>
    <col min="15619" max="15619" width="39.42578125" style="20" customWidth="1"/>
    <col min="15620" max="15620" width="22" style="20" customWidth="1"/>
    <col min="15621" max="15621" width="20.5703125" style="20" customWidth="1"/>
    <col min="15622" max="15622" width="18.28515625" style="20" customWidth="1"/>
    <col min="15623" max="15623" width="21.7109375" style="20" customWidth="1"/>
    <col min="15624" max="15624" width="18.85546875" style="20" customWidth="1"/>
    <col min="15625" max="15625" width="19.140625" style="20" customWidth="1"/>
    <col min="15626" max="15631" width="21.7109375" style="20" customWidth="1"/>
    <col min="15632" max="15632" width="23.7109375" style="20" customWidth="1"/>
    <col min="15633" max="15633" width="20.7109375" style="20" customWidth="1"/>
    <col min="15634" max="15872" width="9.140625" style="20"/>
    <col min="15873" max="15873" width="5.7109375" style="20" customWidth="1"/>
    <col min="15874" max="15874" width="17.140625" style="20" customWidth="1"/>
    <col min="15875" max="15875" width="39.42578125" style="20" customWidth="1"/>
    <col min="15876" max="15876" width="22" style="20" customWidth="1"/>
    <col min="15877" max="15877" width="20.5703125" style="20" customWidth="1"/>
    <col min="15878" max="15878" width="18.28515625" style="20" customWidth="1"/>
    <col min="15879" max="15879" width="21.7109375" style="20" customWidth="1"/>
    <col min="15880" max="15880" width="18.85546875" style="20" customWidth="1"/>
    <col min="15881" max="15881" width="19.140625" style="20" customWidth="1"/>
    <col min="15882" max="15887" width="21.7109375" style="20" customWidth="1"/>
    <col min="15888" max="15888" width="23.7109375" style="20" customWidth="1"/>
    <col min="15889" max="15889" width="20.7109375" style="20" customWidth="1"/>
    <col min="15890" max="16128" width="9.140625" style="20"/>
    <col min="16129" max="16129" width="5.7109375" style="20" customWidth="1"/>
    <col min="16130" max="16130" width="17.140625" style="20" customWidth="1"/>
    <col min="16131" max="16131" width="39.42578125" style="20" customWidth="1"/>
    <col min="16132" max="16132" width="22" style="20" customWidth="1"/>
    <col min="16133" max="16133" width="20.5703125" style="20" customWidth="1"/>
    <col min="16134" max="16134" width="18.28515625" style="20" customWidth="1"/>
    <col min="16135" max="16135" width="21.7109375" style="20" customWidth="1"/>
    <col min="16136" max="16136" width="18.85546875" style="20" customWidth="1"/>
    <col min="16137" max="16137" width="19.140625" style="20" customWidth="1"/>
    <col min="16138" max="16143" width="21.7109375" style="20" customWidth="1"/>
    <col min="16144" max="16144" width="23.7109375" style="20" customWidth="1"/>
    <col min="16145" max="16145" width="20.7109375" style="20" customWidth="1"/>
    <col min="16146" max="16384" width="9.140625" style="20"/>
  </cols>
  <sheetData>
    <row r="1" spans="1:19" ht="26.25" customHeight="1">
      <c r="A1" s="100"/>
      <c r="B1" s="18"/>
      <c r="C1" s="19" t="s">
        <v>10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9" ht="19.5" customHeight="1">
      <c r="A2" s="100"/>
      <c r="B2" s="18"/>
      <c r="C2" s="21" t="s">
        <v>11</v>
      </c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3" spans="1:19" ht="17.45" customHeight="1">
      <c r="A3" s="100"/>
      <c r="B3" s="18"/>
      <c r="C3" s="23">
        <v>1205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</row>
    <row r="4" spans="1:19" ht="24" customHeight="1">
      <c r="A4" s="100"/>
      <c r="B4" s="62" t="s">
        <v>12</v>
      </c>
      <c r="C4" s="62" t="s">
        <v>13</v>
      </c>
      <c r="D4" s="62" t="s">
        <v>14</v>
      </c>
      <c r="E4" s="62" t="s">
        <v>15</v>
      </c>
      <c r="F4" s="62" t="s">
        <v>16</v>
      </c>
      <c r="G4" s="62" t="s">
        <v>17</v>
      </c>
      <c r="H4" s="62" t="s">
        <v>18</v>
      </c>
      <c r="I4" s="62" t="s">
        <v>19</v>
      </c>
      <c r="J4" s="62" t="s">
        <v>20</v>
      </c>
      <c r="K4" s="62" t="s">
        <v>21</v>
      </c>
      <c r="L4" s="62" t="s">
        <v>22</v>
      </c>
      <c r="M4" s="62" t="s">
        <v>23</v>
      </c>
      <c r="N4" s="62" t="s">
        <v>24</v>
      </c>
      <c r="O4" s="62" t="s">
        <v>25</v>
      </c>
      <c r="P4" s="62" t="s">
        <v>26</v>
      </c>
      <c r="Q4" s="18"/>
    </row>
    <row r="5" spans="1:19" ht="3" customHeight="1">
      <c r="B5" s="109" t="s">
        <v>0</v>
      </c>
      <c r="C5" s="110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 t="s">
        <v>0</v>
      </c>
      <c r="Q5" s="18"/>
    </row>
    <row r="6" spans="1:19" ht="17.45" customHeight="1">
      <c r="B6" s="25"/>
      <c r="C6" s="90" t="s">
        <v>27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18"/>
    </row>
    <row r="7" spans="1:19" ht="17.45" customHeight="1">
      <c r="B7" s="25"/>
      <c r="C7" s="91" t="s">
        <v>28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18"/>
    </row>
    <row r="8" spans="1:19" ht="17.45" customHeight="1">
      <c r="A8" s="103"/>
      <c r="B8" s="31" t="s">
        <v>30</v>
      </c>
      <c r="C8" s="92" t="s">
        <v>31</v>
      </c>
      <c r="D8" s="81"/>
      <c r="E8" s="81"/>
      <c r="F8" s="81">
        <v>826982.18</v>
      </c>
      <c r="G8" s="81"/>
      <c r="H8" s="81"/>
      <c r="I8" s="81"/>
      <c r="J8" s="81"/>
      <c r="K8" s="81"/>
      <c r="L8" s="81"/>
      <c r="M8" s="81"/>
      <c r="N8" s="81"/>
      <c r="O8" s="81"/>
      <c r="P8" s="81">
        <f t="shared" ref="P8:P13" si="0">D8+E8+F8+G8+H8+I8+J8+K8+L8+M8+N8+O8</f>
        <v>826982.18</v>
      </c>
      <c r="Q8" s="18"/>
    </row>
    <row r="9" spans="1:19" ht="17.45" customHeight="1">
      <c r="A9" s="103"/>
      <c r="B9" s="31" t="s">
        <v>32</v>
      </c>
      <c r="C9" s="92" t="s">
        <v>33</v>
      </c>
      <c r="D9" s="81"/>
      <c r="E9" s="81"/>
      <c r="F9" s="81">
        <v>0</v>
      </c>
      <c r="G9" s="81"/>
      <c r="H9" s="81"/>
      <c r="I9" s="81"/>
      <c r="J9" s="81"/>
      <c r="K9" s="81"/>
      <c r="L9" s="81"/>
      <c r="M9" s="81"/>
      <c r="N9" s="81"/>
      <c r="O9" s="81"/>
      <c r="P9" s="81">
        <f t="shared" si="0"/>
        <v>0</v>
      </c>
      <c r="Q9" s="18"/>
    </row>
    <row r="10" spans="1:19" ht="17.45" customHeight="1">
      <c r="A10" s="103"/>
      <c r="B10" s="31" t="s">
        <v>34</v>
      </c>
      <c r="C10" s="92" t="s">
        <v>35</v>
      </c>
      <c r="D10" s="81"/>
      <c r="E10" s="81"/>
      <c r="F10" s="81">
        <v>0</v>
      </c>
      <c r="G10" s="81"/>
      <c r="H10" s="81"/>
      <c r="I10" s="81"/>
      <c r="J10" s="81"/>
      <c r="K10" s="81"/>
      <c r="L10" s="81"/>
      <c r="M10" s="81"/>
      <c r="N10" s="81"/>
      <c r="O10" s="81"/>
      <c r="P10" s="81">
        <f t="shared" si="0"/>
        <v>0</v>
      </c>
      <c r="Q10" s="18"/>
    </row>
    <row r="11" spans="1:19" ht="17.45" customHeight="1">
      <c r="A11" s="103"/>
      <c r="B11" s="31" t="s">
        <v>36</v>
      </c>
      <c r="C11" s="92" t="s">
        <v>37</v>
      </c>
      <c r="D11" s="81"/>
      <c r="E11" s="81"/>
      <c r="F11" s="81">
        <v>14591.23</v>
      </c>
      <c r="G11" s="81"/>
      <c r="H11" s="81"/>
      <c r="I11" s="81"/>
      <c r="J11" s="81"/>
      <c r="K11" s="81"/>
      <c r="L11" s="81"/>
      <c r="M11" s="81"/>
      <c r="N11" s="81"/>
      <c r="O11" s="81"/>
      <c r="P11" s="81">
        <f t="shared" si="0"/>
        <v>14591.23</v>
      </c>
      <c r="Q11" s="18"/>
    </row>
    <row r="12" spans="1:19" ht="17.45" customHeight="1">
      <c r="A12" s="103"/>
      <c r="B12" s="31" t="s">
        <v>38</v>
      </c>
      <c r="C12" s="92" t="s">
        <v>39</v>
      </c>
      <c r="D12" s="81"/>
      <c r="E12" s="81"/>
      <c r="F12" s="81">
        <v>0</v>
      </c>
      <c r="G12" s="81"/>
      <c r="H12" s="81"/>
      <c r="I12" s="81"/>
      <c r="J12" s="81"/>
      <c r="K12" s="81"/>
      <c r="L12" s="81"/>
      <c r="M12" s="81"/>
      <c r="N12" s="81"/>
      <c r="O12" s="81"/>
      <c r="P12" s="81">
        <f t="shared" si="0"/>
        <v>0</v>
      </c>
      <c r="Q12" s="18"/>
    </row>
    <row r="13" spans="1:19" ht="17.45" customHeight="1">
      <c r="A13" s="103"/>
      <c r="B13" s="31" t="s">
        <v>40</v>
      </c>
      <c r="C13" s="92" t="s">
        <v>41</v>
      </c>
      <c r="D13" s="81"/>
      <c r="E13" s="81"/>
      <c r="F13" s="81">
        <v>0</v>
      </c>
      <c r="G13" s="81"/>
      <c r="H13" s="81"/>
      <c r="I13" s="81"/>
      <c r="J13" s="81"/>
      <c r="K13" s="81"/>
      <c r="L13" s="81"/>
      <c r="M13" s="81"/>
      <c r="N13" s="81"/>
      <c r="O13" s="81"/>
      <c r="P13" s="81">
        <f t="shared" si="0"/>
        <v>0</v>
      </c>
      <c r="Q13" s="18"/>
    </row>
    <row r="14" spans="1:19" ht="17.45" customHeight="1">
      <c r="A14" s="103"/>
      <c r="B14" s="31"/>
      <c r="C14" s="92" t="s">
        <v>42</v>
      </c>
      <c r="D14" s="81"/>
      <c r="E14" s="81"/>
      <c r="F14" s="81">
        <v>0</v>
      </c>
      <c r="G14" s="81"/>
      <c r="H14" s="81"/>
      <c r="I14" s="81"/>
      <c r="J14" s="81"/>
      <c r="K14" s="81"/>
      <c r="L14" s="81"/>
      <c r="M14" s="81"/>
      <c r="N14" s="81"/>
      <c r="O14" s="81"/>
      <c r="P14" s="81">
        <v>0</v>
      </c>
    </row>
    <row r="15" spans="1:19" ht="17.45" customHeight="1">
      <c r="A15" s="103"/>
      <c r="B15" s="63" t="s">
        <v>44</v>
      </c>
      <c r="C15" s="115" t="s">
        <v>28</v>
      </c>
      <c r="D15" s="114">
        <f t="shared" ref="D15:O15" si="1">SUM(D7:D13)</f>
        <v>0</v>
      </c>
      <c r="E15" s="114">
        <f t="shared" si="1"/>
        <v>0</v>
      </c>
      <c r="F15" s="114">
        <f t="shared" si="1"/>
        <v>841573.41</v>
      </c>
      <c r="G15" s="114">
        <f t="shared" si="1"/>
        <v>0</v>
      </c>
      <c r="H15" s="114">
        <f t="shared" si="1"/>
        <v>0</v>
      </c>
      <c r="I15" s="114">
        <f t="shared" si="1"/>
        <v>0</v>
      </c>
      <c r="J15" s="114">
        <f t="shared" si="1"/>
        <v>0</v>
      </c>
      <c r="K15" s="114">
        <f t="shared" si="1"/>
        <v>0</v>
      </c>
      <c r="L15" s="114">
        <f t="shared" si="1"/>
        <v>0</v>
      </c>
      <c r="M15" s="114">
        <f t="shared" si="1"/>
        <v>0</v>
      </c>
      <c r="N15" s="114">
        <f t="shared" si="1"/>
        <v>0</v>
      </c>
      <c r="O15" s="114">
        <f t="shared" si="1"/>
        <v>0</v>
      </c>
      <c r="P15" s="114">
        <f>SUM(P7:P13)</f>
        <v>841573.41</v>
      </c>
      <c r="Q15" s="22"/>
      <c r="R15" s="32"/>
      <c r="S15" s="22"/>
    </row>
    <row r="16" spans="1:19" ht="17.45" customHeight="1">
      <c r="A16" s="103"/>
      <c r="B16" s="69" t="s">
        <v>46</v>
      </c>
      <c r="C16" s="93" t="s">
        <v>47</v>
      </c>
      <c r="D16" s="89">
        <f t="shared" ref="D16:O16" si="2">D15</f>
        <v>0</v>
      </c>
      <c r="E16" s="89">
        <f t="shared" si="2"/>
        <v>0</v>
      </c>
      <c r="F16" s="89">
        <f t="shared" si="2"/>
        <v>841573.41</v>
      </c>
      <c r="G16" s="89">
        <f t="shared" si="2"/>
        <v>0</v>
      </c>
      <c r="H16" s="89">
        <f t="shared" si="2"/>
        <v>0</v>
      </c>
      <c r="I16" s="89">
        <f t="shared" si="2"/>
        <v>0</v>
      </c>
      <c r="J16" s="89">
        <f t="shared" si="2"/>
        <v>0</v>
      </c>
      <c r="K16" s="89">
        <f t="shared" si="2"/>
        <v>0</v>
      </c>
      <c r="L16" s="89">
        <f t="shared" si="2"/>
        <v>0</v>
      </c>
      <c r="M16" s="89">
        <f t="shared" si="2"/>
        <v>0</v>
      </c>
      <c r="N16" s="89">
        <f t="shared" si="2"/>
        <v>0</v>
      </c>
      <c r="O16" s="89">
        <f t="shared" si="2"/>
        <v>0</v>
      </c>
      <c r="P16" s="89">
        <f>P15</f>
        <v>841573.41</v>
      </c>
      <c r="Q16" s="22"/>
      <c r="R16" s="32"/>
      <c r="S16" s="22"/>
    </row>
    <row r="17" spans="1:19" ht="17.45" customHeight="1">
      <c r="A17" s="103"/>
      <c r="B17" s="31"/>
      <c r="C17" s="90" t="s">
        <v>48</v>
      </c>
      <c r="D17" s="81"/>
      <c r="E17" s="81"/>
      <c r="F17" s="81">
        <v>0</v>
      </c>
      <c r="G17" s="81"/>
      <c r="H17" s="81"/>
      <c r="I17" s="81"/>
      <c r="J17" s="81"/>
      <c r="K17" s="81"/>
      <c r="L17" s="81"/>
      <c r="M17" s="81"/>
      <c r="N17" s="81"/>
      <c r="O17" s="81"/>
      <c r="P17" s="81">
        <f t="shared" ref="P17:P23" si="3">D17+E17+F17+G17+H17+I17+J17+K17+L17+M17+N17+O17</f>
        <v>0</v>
      </c>
      <c r="Q17" s="18"/>
    </row>
    <row r="18" spans="1:19" ht="17.45" customHeight="1">
      <c r="A18" s="103"/>
      <c r="B18" s="31"/>
      <c r="C18" s="91" t="s">
        <v>49</v>
      </c>
      <c r="D18" s="81"/>
      <c r="E18" s="81"/>
      <c r="F18" s="81">
        <v>0</v>
      </c>
      <c r="G18" s="81"/>
      <c r="H18" s="81"/>
      <c r="I18" s="81"/>
      <c r="J18" s="81"/>
      <c r="K18" s="81"/>
      <c r="L18" s="81"/>
      <c r="M18" s="81"/>
      <c r="N18" s="81"/>
      <c r="O18" s="81"/>
      <c r="P18" s="81">
        <f t="shared" si="3"/>
        <v>0</v>
      </c>
      <c r="Q18" s="18"/>
    </row>
    <row r="19" spans="1:19" ht="17.45" customHeight="1">
      <c r="A19" s="103"/>
      <c r="B19" s="31" t="s">
        <v>50</v>
      </c>
      <c r="C19" s="92" t="s">
        <v>51</v>
      </c>
      <c r="D19" s="81"/>
      <c r="E19" s="81"/>
      <c r="F19" s="81">
        <v>2043009.97</v>
      </c>
      <c r="G19" s="81"/>
      <c r="H19" s="81"/>
      <c r="I19" s="81"/>
      <c r="J19" s="81"/>
      <c r="K19" s="81"/>
      <c r="L19" s="81"/>
      <c r="M19" s="81"/>
      <c r="N19" s="81"/>
      <c r="O19" s="81"/>
      <c r="P19" s="81">
        <f t="shared" si="3"/>
        <v>2043009.97</v>
      </c>
      <c r="Q19" s="18"/>
    </row>
    <row r="20" spans="1:19" ht="17.45" customHeight="1">
      <c r="A20" s="103"/>
      <c r="B20" s="31" t="s">
        <v>53</v>
      </c>
      <c r="C20" s="26" t="s">
        <v>54</v>
      </c>
      <c r="D20" s="81"/>
      <c r="E20" s="81"/>
      <c r="F20" s="81">
        <v>0</v>
      </c>
      <c r="G20" s="81"/>
      <c r="H20" s="81"/>
      <c r="I20" s="81"/>
      <c r="J20" s="81"/>
      <c r="K20" s="81"/>
      <c r="L20" s="81"/>
      <c r="M20" s="81"/>
      <c r="N20" s="81"/>
      <c r="O20" s="81"/>
      <c r="P20" s="81">
        <f t="shared" si="3"/>
        <v>0</v>
      </c>
      <c r="Q20" s="18"/>
    </row>
    <row r="21" spans="1:19" ht="17.45" customHeight="1">
      <c r="A21" s="103"/>
      <c r="B21" s="31"/>
      <c r="C21" s="26" t="s">
        <v>55</v>
      </c>
      <c r="D21" s="81"/>
      <c r="E21" s="81"/>
      <c r="F21" s="81">
        <v>2043009.97</v>
      </c>
      <c r="G21" s="81"/>
      <c r="H21" s="81"/>
      <c r="I21" s="81"/>
      <c r="J21" s="81"/>
      <c r="K21" s="81"/>
      <c r="L21" s="81"/>
      <c r="M21" s="81"/>
      <c r="N21" s="81"/>
      <c r="O21" s="81"/>
      <c r="P21" s="81">
        <f t="shared" si="3"/>
        <v>2043009.97</v>
      </c>
      <c r="Q21" s="18"/>
    </row>
    <row r="22" spans="1:19" ht="17.45" customHeight="1">
      <c r="A22" s="103"/>
      <c r="B22" s="31" t="s">
        <v>56</v>
      </c>
      <c r="C22" s="26" t="s">
        <v>57</v>
      </c>
      <c r="D22" s="81"/>
      <c r="E22" s="81"/>
      <c r="F22" s="81">
        <v>0</v>
      </c>
      <c r="G22" s="81"/>
      <c r="H22" s="81"/>
      <c r="I22" s="81"/>
      <c r="J22" s="81"/>
      <c r="K22" s="81"/>
      <c r="L22" s="81"/>
      <c r="M22" s="81"/>
      <c r="N22" s="81"/>
      <c r="O22" s="81"/>
      <c r="P22" s="81">
        <f t="shared" si="3"/>
        <v>0</v>
      </c>
      <c r="Q22" s="18"/>
    </row>
    <row r="23" spans="1:19" ht="17.45" customHeight="1">
      <c r="A23" s="103"/>
      <c r="B23" s="31" t="s">
        <v>58</v>
      </c>
      <c r="C23" s="26" t="s">
        <v>59</v>
      </c>
      <c r="D23" s="81"/>
      <c r="E23" s="81"/>
      <c r="F23" s="81">
        <v>0</v>
      </c>
      <c r="G23" s="81"/>
      <c r="H23" s="81"/>
      <c r="I23" s="81"/>
      <c r="J23" s="81"/>
      <c r="K23" s="81"/>
      <c r="L23" s="81"/>
      <c r="M23" s="81"/>
      <c r="N23" s="81"/>
      <c r="O23" s="81"/>
      <c r="P23" s="81">
        <f t="shared" si="3"/>
        <v>0</v>
      </c>
      <c r="Q23" s="18"/>
    </row>
    <row r="24" spans="1:19" ht="17.45" customHeight="1">
      <c r="A24" s="103"/>
      <c r="B24" s="71"/>
      <c r="C24" s="72" t="s">
        <v>60</v>
      </c>
      <c r="D24" s="88">
        <f t="shared" ref="D24:O24" si="4">SUM(D18:D23)</f>
        <v>0</v>
      </c>
      <c r="E24" s="88">
        <f t="shared" si="4"/>
        <v>0</v>
      </c>
      <c r="F24" s="88">
        <f t="shared" si="4"/>
        <v>4086019.94</v>
      </c>
      <c r="G24" s="88">
        <f t="shared" si="4"/>
        <v>0</v>
      </c>
      <c r="H24" s="88">
        <f t="shared" si="4"/>
        <v>0</v>
      </c>
      <c r="I24" s="88">
        <f t="shared" si="4"/>
        <v>0</v>
      </c>
      <c r="J24" s="88">
        <f t="shared" si="4"/>
        <v>0</v>
      </c>
      <c r="K24" s="88">
        <f t="shared" si="4"/>
        <v>0</v>
      </c>
      <c r="L24" s="88">
        <f t="shared" si="4"/>
        <v>0</v>
      </c>
      <c r="M24" s="88">
        <f t="shared" si="4"/>
        <v>0</v>
      </c>
      <c r="N24" s="88">
        <f t="shared" si="4"/>
        <v>0</v>
      </c>
      <c r="O24" s="88">
        <f t="shared" si="4"/>
        <v>0</v>
      </c>
      <c r="P24" s="88">
        <f>SUM(P18:P23)</f>
        <v>4086019.94</v>
      </c>
      <c r="Q24" s="22"/>
      <c r="R24" s="32"/>
      <c r="S24" s="22"/>
    </row>
    <row r="25" spans="1:19" ht="17.45" customHeight="1">
      <c r="A25" s="103"/>
      <c r="B25" s="31" t="s">
        <v>61</v>
      </c>
      <c r="C25" s="26" t="s">
        <v>62</v>
      </c>
      <c r="D25" s="81"/>
      <c r="E25" s="81"/>
      <c r="F25" s="81">
        <v>0</v>
      </c>
      <c r="G25" s="81"/>
      <c r="H25" s="81"/>
      <c r="I25" s="81"/>
      <c r="J25" s="81"/>
      <c r="K25" s="81"/>
      <c r="L25" s="81"/>
      <c r="M25" s="81"/>
      <c r="N25" s="81"/>
      <c r="O25" s="81"/>
      <c r="P25" s="81">
        <f>D25+E25+F25+G25+H25+I25+J25+K25+L25+M25+N25+O25</f>
        <v>0</v>
      </c>
      <c r="Q25" s="18"/>
    </row>
    <row r="26" spans="1:19" ht="17.45" customHeight="1">
      <c r="A26" s="103"/>
      <c r="B26" s="31" t="s">
        <v>63</v>
      </c>
      <c r="C26" s="26" t="s">
        <v>64</v>
      </c>
      <c r="D26" s="81"/>
      <c r="E26" s="81"/>
      <c r="F26" s="81">
        <v>0</v>
      </c>
      <c r="G26" s="81"/>
      <c r="H26" s="81"/>
      <c r="I26" s="81"/>
      <c r="J26" s="81"/>
      <c r="K26" s="81"/>
      <c r="L26" s="81"/>
      <c r="M26" s="81"/>
      <c r="N26" s="81"/>
      <c r="O26" s="81"/>
      <c r="P26" s="81">
        <f>D26+E26+F26+G26+H26+I26+J26+K26+L26+M26+N26+O26</f>
        <v>0</v>
      </c>
      <c r="Q26" s="18"/>
    </row>
    <row r="27" spans="1:19" ht="17.45" customHeight="1">
      <c r="A27" s="103"/>
      <c r="B27" s="31" t="s">
        <v>65</v>
      </c>
      <c r="C27" s="26" t="s">
        <v>66</v>
      </c>
      <c r="D27" s="81"/>
      <c r="E27" s="81"/>
      <c r="F27" s="81">
        <v>0</v>
      </c>
      <c r="G27" s="81"/>
      <c r="H27" s="81"/>
      <c r="I27" s="81"/>
      <c r="J27" s="81"/>
      <c r="K27" s="81"/>
      <c r="L27" s="81"/>
      <c r="M27" s="81"/>
      <c r="N27" s="81"/>
      <c r="O27" s="81"/>
      <c r="P27" s="81">
        <f>D27+E27+F27+G27+H27+I27+J27+K27+L27+M27+N27+O27</f>
        <v>0</v>
      </c>
      <c r="Q27" s="18"/>
    </row>
    <row r="28" spans="1:19" ht="17.45" customHeight="1">
      <c r="A28" s="103"/>
      <c r="B28" s="31" t="s">
        <v>67</v>
      </c>
      <c r="C28" s="26" t="s">
        <v>68</v>
      </c>
      <c r="D28" s="81"/>
      <c r="E28" s="81"/>
      <c r="F28" s="81">
        <v>0</v>
      </c>
      <c r="G28" s="81"/>
      <c r="H28" s="81"/>
      <c r="I28" s="81"/>
      <c r="J28" s="81"/>
      <c r="K28" s="81"/>
      <c r="L28" s="81"/>
      <c r="M28" s="81"/>
      <c r="N28" s="81"/>
      <c r="O28" s="81"/>
      <c r="P28" s="81">
        <f>D28+E28+F28+G28+H28+I28+J28+K28+L28+M28+N28+O28</f>
        <v>0</v>
      </c>
      <c r="Q28" s="18"/>
    </row>
    <row r="29" spans="1:19" ht="17.45" customHeight="1">
      <c r="A29" s="103"/>
      <c r="B29" s="71"/>
      <c r="C29" s="72" t="s">
        <v>69</v>
      </c>
      <c r="D29" s="88">
        <f>D25</f>
        <v>0</v>
      </c>
      <c r="E29" s="88">
        <f t="shared" ref="E29:P29" si="5">E25</f>
        <v>0</v>
      </c>
      <c r="F29" s="88">
        <f t="shared" si="5"/>
        <v>0</v>
      </c>
      <c r="G29" s="88">
        <f t="shared" si="5"/>
        <v>0</v>
      </c>
      <c r="H29" s="88">
        <f t="shared" si="5"/>
        <v>0</v>
      </c>
      <c r="I29" s="88">
        <f t="shared" si="5"/>
        <v>0</v>
      </c>
      <c r="J29" s="88">
        <f t="shared" si="5"/>
        <v>0</v>
      </c>
      <c r="K29" s="88">
        <f t="shared" si="5"/>
        <v>0</v>
      </c>
      <c r="L29" s="88">
        <f t="shared" si="5"/>
        <v>0</v>
      </c>
      <c r="M29" s="88">
        <f t="shared" si="5"/>
        <v>0</v>
      </c>
      <c r="N29" s="88">
        <f t="shared" si="5"/>
        <v>0</v>
      </c>
      <c r="O29" s="88">
        <f t="shared" si="5"/>
        <v>0</v>
      </c>
      <c r="P29" s="88">
        <f t="shared" si="5"/>
        <v>0</v>
      </c>
      <c r="Q29" s="22"/>
      <c r="R29" s="32"/>
      <c r="S29" s="22"/>
    </row>
    <row r="30" spans="1:19" ht="17.45" customHeight="1">
      <c r="A30" s="103"/>
      <c r="B30" s="31" t="s">
        <v>70</v>
      </c>
      <c r="C30" s="26" t="s">
        <v>71</v>
      </c>
      <c r="D30" s="81"/>
      <c r="E30" s="81"/>
      <c r="F30" s="81">
        <v>0</v>
      </c>
      <c r="G30" s="81"/>
      <c r="H30" s="81"/>
      <c r="I30" s="81"/>
      <c r="J30" s="81"/>
      <c r="K30" s="81"/>
      <c r="L30" s="81"/>
      <c r="M30" s="81"/>
      <c r="N30" s="81"/>
      <c r="O30" s="81"/>
      <c r="P30" s="81">
        <f>D30+E30+F30+G30+H30+I30+J30+K30+L30+M30+N30+O30</f>
        <v>0</v>
      </c>
      <c r="Q30" s="18"/>
    </row>
    <row r="31" spans="1:19" ht="17.45" customHeight="1">
      <c r="A31" s="103"/>
      <c r="B31" s="31" t="s">
        <v>72</v>
      </c>
      <c r="C31" s="26" t="s">
        <v>73</v>
      </c>
      <c r="D31" s="81"/>
      <c r="E31" s="81"/>
      <c r="F31" s="81">
        <v>0</v>
      </c>
      <c r="G31" s="81"/>
      <c r="H31" s="81"/>
      <c r="I31" s="81"/>
      <c r="J31" s="81"/>
      <c r="K31" s="81"/>
      <c r="L31" s="81"/>
      <c r="M31" s="81"/>
      <c r="N31" s="81"/>
      <c r="O31" s="81"/>
      <c r="P31" s="81">
        <f>D31+E31+F31+G31+H31+I31+J31+K31+L31+M31+N31+O31</f>
        <v>0</v>
      </c>
      <c r="Q31" s="18"/>
    </row>
    <row r="32" spans="1:19" ht="17.45" customHeight="1">
      <c r="A32" s="103"/>
      <c r="B32" s="31" t="s">
        <v>74</v>
      </c>
      <c r="C32" s="26" t="s">
        <v>75</v>
      </c>
      <c r="D32" s="81"/>
      <c r="E32" s="81"/>
      <c r="F32" s="81" t="s">
        <v>441</v>
      </c>
      <c r="G32" s="81"/>
      <c r="H32" s="81"/>
      <c r="I32" s="81"/>
      <c r="J32" s="81"/>
      <c r="K32" s="81"/>
      <c r="L32" s="81"/>
      <c r="M32" s="81"/>
      <c r="N32" s="81"/>
      <c r="O32" s="81"/>
      <c r="P32" s="81" t="e">
        <f>D32+E32+F32+G32+H32+I32+J32+K32+L32+M32+N32+O32</f>
        <v>#VALUE!</v>
      </c>
      <c r="Q32" s="18"/>
    </row>
    <row r="33" spans="1:19" ht="17.45" customHeight="1">
      <c r="A33" s="103"/>
      <c r="B33" s="31" t="s">
        <v>76</v>
      </c>
      <c r="C33" s="26" t="s">
        <v>77</v>
      </c>
      <c r="D33" s="81"/>
      <c r="E33" s="81"/>
      <c r="F33" s="81">
        <v>0</v>
      </c>
      <c r="G33" s="81"/>
      <c r="H33" s="81"/>
      <c r="I33" s="81"/>
      <c r="J33" s="81"/>
      <c r="K33" s="81"/>
      <c r="L33" s="81"/>
      <c r="M33" s="81"/>
      <c r="N33" s="81"/>
      <c r="O33" s="81"/>
      <c r="P33" s="81">
        <f>D33+E33+F33+G33+H33+I33+J33+K33+L33+M33+N33+O33</f>
        <v>0</v>
      </c>
      <c r="Q33" s="18"/>
    </row>
    <row r="34" spans="1:19" ht="17.45" customHeight="1">
      <c r="A34" s="103"/>
      <c r="B34" s="97"/>
      <c r="C34" s="98" t="s">
        <v>78</v>
      </c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>
        <v>0</v>
      </c>
      <c r="Q34" s="22"/>
      <c r="R34" s="32"/>
      <c r="S34" s="22"/>
    </row>
    <row r="35" spans="1:19" ht="17.45" customHeight="1">
      <c r="A35" s="103"/>
      <c r="B35" s="97" t="s">
        <v>79</v>
      </c>
      <c r="C35" s="98" t="s">
        <v>80</v>
      </c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>
        <v>0</v>
      </c>
      <c r="Q35" s="22"/>
      <c r="R35" s="32"/>
      <c r="S35" s="22"/>
    </row>
    <row r="36" spans="1:19" ht="17.45" customHeight="1">
      <c r="A36" s="103"/>
      <c r="B36" s="69" t="s">
        <v>81</v>
      </c>
      <c r="C36" s="70" t="s">
        <v>82</v>
      </c>
      <c r="D36" s="88">
        <f t="shared" ref="D36:O36" si="6">D24+D29+D34+D35</f>
        <v>0</v>
      </c>
      <c r="E36" s="88">
        <f t="shared" si="6"/>
        <v>0</v>
      </c>
      <c r="F36" s="88">
        <f t="shared" si="6"/>
        <v>4086019.94</v>
      </c>
      <c r="G36" s="88">
        <f t="shared" si="6"/>
        <v>0</v>
      </c>
      <c r="H36" s="88">
        <f t="shared" si="6"/>
        <v>0</v>
      </c>
      <c r="I36" s="88">
        <f t="shared" si="6"/>
        <v>0</v>
      </c>
      <c r="J36" s="88">
        <f t="shared" si="6"/>
        <v>0</v>
      </c>
      <c r="K36" s="88">
        <f t="shared" si="6"/>
        <v>0</v>
      </c>
      <c r="L36" s="88">
        <f t="shared" si="6"/>
        <v>0</v>
      </c>
      <c r="M36" s="88">
        <f t="shared" si="6"/>
        <v>0</v>
      </c>
      <c r="N36" s="88">
        <f t="shared" si="6"/>
        <v>0</v>
      </c>
      <c r="O36" s="88">
        <f t="shared" si="6"/>
        <v>0</v>
      </c>
      <c r="P36" s="88">
        <f>P24+P29+P34+P35</f>
        <v>4086019.94</v>
      </c>
      <c r="Q36" s="22"/>
      <c r="R36" s="32"/>
      <c r="S36" s="22"/>
    </row>
    <row r="37" spans="1:19" ht="17.45" customHeight="1">
      <c r="A37" s="103"/>
      <c r="B37" s="31"/>
      <c r="C37" s="35" t="s">
        <v>83</v>
      </c>
      <c r="D37" s="81"/>
      <c r="E37" s="81"/>
      <c r="F37" s="81">
        <v>0</v>
      </c>
      <c r="G37" s="81"/>
      <c r="H37" s="81"/>
      <c r="I37" s="81"/>
      <c r="J37" s="81"/>
      <c r="K37" s="81"/>
      <c r="L37" s="81"/>
      <c r="M37" s="81"/>
      <c r="N37" s="81"/>
      <c r="O37" s="81"/>
      <c r="P37" s="81">
        <f t="shared" ref="P37:P42" si="7">D37+E37+F37+G37+H37+I37+J37+K37+L37+M37+N37+O37</f>
        <v>0</v>
      </c>
      <c r="Q37" s="18"/>
    </row>
    <row r="38" spans="1:19" ht="17.45" customHeight="1">
      <c r="A38" s="103"/>
      <c r="B38" s="31" t="s">
        <v>84</v>
      </c>
      <c r="C38" s="29" t="s">
        <v>85</v>
      </c>
      <c r="D38" s="81"/>
      <c r="E38" s="81"/>
      <c r="F38" s="81">
        <v>0</v>
      </c>
      <c r="G38" s="81"/>
      <c r="H38" s="81"/>
      <c r="I38" s="81"/>
      <c r="J38" s="81"/>
      <c r="K38" s="81"/>
      <c r="L38" s="81"/>
      <c r="M38" s="81"/>
      <c r="N38" s="81"/>
      <c r="O38" s="81"/>
      <c r="P38" s="81">
        <f t="shared" si="7"/>
        <v>0</v>
      </c>
      <c r="Q38" s="18"/>
    </row>
    <row r="39" spans="1:19" ht="17.45" customHeight="1">
      <c r="A39" s="103"/>
      <c r="B39" s="31" t="s">
        <v>86</v>
      </c>
      <c r="C39" s="26" t="s">
        <v>87</v>
      </c>
      <c r="D39" s="81"/>
      <c r="E39" s="81"/>
      <c r="F39" s="81">
        <v>0</v>
      </c>
      <c r="G39" s="81"/>
      <c r="H39" s="81"/>
      <c r="I39" s="81"/>
      <c r="J39" s="81"/>
      <c r="K39" s="81"/>
      <c r="L39" s="81"/>
      <c r="M39" s="81"/>
      <c r="N39" s="81"/>
      <c r="O39" s="81"/>
      <c r="P39" s="81">
        <f t="shared" si="7"/>
        <v>0</v>
      </c>
      <c r="Q39" s="18"/>
    </row>
    <row r="40" spans="1:19" ht="17.45" customHeight="1">
      <c r="A40" s="103"/>
      <c r="B40" s="31"/>
      <c r="C40" s="29" t="s">
        <v>88</v>
      </c>
      <c r="D40" s="81"/>
      <c r="E40" s="81"/>
      <c r="F40" s="81" t="s">
        <v>441</v>
      </c>
      <c r="G40" s="81"/>
      <c r="H40" s="81"/>
      <c r="I40" s="81"/>
      <c r="J40" s="81"/>
      <c r="K40" s="81"/>
      <c r="L40" s="81"/>
      <c r="M40" s="81"/>
      <c r="N40" s="81"/>
      <c r="O40" s="81"/>
      <c r="P40" s="81" t="e">
        <f t="shared" si="7"/>
        <v>#VALUE!</v>
      </c>
      <c r="Q40" s="18"/>
    </row>
    <row r="41" spans="1:19" ht="17.45" customHeight="1">
      <c r="A41" s="103"/>
      <c r="B41" s="31" t="s">
        <v>89</v>
      </c>
      <c r="C41" s="26" t="s">
        <v>90</v>
      </c>
      <c r="D41" s="81"/>
      <c r="E41" s="81"/>
      <c r="F41" s="81">
        <v>0</v>
      </c>
      <c r="G41" s="81"/>
      <c r="H41" s="81"/>
      <c r="I41" s="81"/>
      <c r="J41" s="81"/>
      <c r="K41" s="81"/>
      <c r="L41" s="81"/>
      <c r="M41" s="81"/>
      <c r="N41" s="81"/>
      <c r="O41" s="81"/>
      <c r="P41" s="81">
        <f t="shared" si="7"/>
        <v>0</v>
      </c>
      <c r="Q41" s="18"/>
    </row>
    <row r="42" spans="1:19" ht="17.45" customHeight="1">
      <c r="A42" s="103"/>
      <c r="B42" s="31" t="s">
        <v>91</v>
      </c>
      <c r="C42" s="26" t="s">
        <v>92</v>
      </c>
      <c r="D42" s="81"/>
      <c r="E42" s="81"/>
      <c r="F42" s="81">
        <v>0</v>
      </c>
      <c r="G42" s="81"/>
      <c r="H42" s="81"/>
      <c r="I42" s="81"/>
      <c r="J42" s="81"/>
      <c r="K42" s="81"/>
      <c r="L42" s="81"/>
      <c r="M42" s="81"/>
      <c r="N42" s="81"/>
      <c r="O42" s="81"/>
      <c r="P42" s="81">
        <f t="shared" si="7"/>
        <v>0</v>
      </c>
      <c r="Q42" s="18"/>
    </row>
    <row r="43" spans="1:19" ht="17.45" customHeight="1">
      <c r="A43" s="103"/>
      <c r="B43" s="31"/>
      <c r="C43" s="26" t="s">
        <v>93</v>
      </c>
      <c r="D43" s="81"/>
      <c r="E43" s="81"/>
      <c r="F43" s="81">
        <v>0</v>
      </c>
      <c r="G43" s="81"/>
      <c r="H43" s="81"/>
      <c r="I43" s="81"/>
      <c r="J43" s="81"/>
      <c r="K43" s="81"/>
      <c r="L43" s="81"/>
      <c r="M43" s="81"/>
      <c r="N43" s="81"/>
      <c r="O43" s="81"/>
      <c r="P43" s="81">
        <v>0</v>
      </c>
    </row>
    <row r="44" spans="1:19" ht="17.45" customHeight="1">
      <c r="A44" s="103"/>
      <c r="B44" s="31" t="s">
        <v>94</v>
      </c>
      <c r="C44" s="26" t="s">
        <v>95</v>
      </c>
      <c r="D44" s="81"/>
      <c r="E44" s="81"/>
      <c r="F44" s="81">
        <v>0</v>
      </c>
      <c r="G44" s="81"/>
      <c r="H44" s="81"/>
      <c r="I44" s="81"/>
      <c r="J44" s="81"/>
      <c r="K44" s="81"/>
      <c r="L44" s="81"/>
      <c r="M44" s="81"/>
      <c r="N44" s="81"/>
      <c r="O44" s="81"/>
      <c r="P44" s="81">
        <v>0</v>
      </c>
      <c r="Q44" s="18"/>
    </row>
    <row r="45" spans="1:19" ht="17.45" customHeight="1">
      <c r="A45" s="103"/>
      <c r="B45" s="31"/>
      <c r="C45" s="26" t="s">
        <v>96</v>
      </c>
      <c r="D45" s="81"/>
      <c r="E45" s="81"/>
      <c r="F45" s="81">
        <v>0</v>
      </c>
      <c r="G45" s="81"/>
      <c r="H45" s="81"/>
      <c r="I45" s="81"/>
      <c r="J45" s="81"/>
      <c r="K45" s="81"/>
      <c r="L45" s="81"/>
      <c r="M45" s="81"/>
      <c r="N45" s="81"/>
      <c r="O45" s="81"/>
      <c r="P45" s="81">
        <v>0</v>
      </c>
    </row>
    <row r="46" spans="1:19" ht="17.45" customHeight="1">
      <c r="A46" s="103"/>
      <c r="B46" s="31"/>
      <c r="C46" s="26" t="s">
        <v>97</v>
      </c>
      <c r="D46" s="81"/>
      <c r="E46" s="81"/>
      <c r="F46" s="81">
        <v>0</v>
      </c>
      <c r="G46" s="81"/>
      <c r="H46" s="81"/>
      <c r="I46" s="81"/>
      <c r="J46" s="81"/>
      <c r="K46" s="81"/>
      <c r="L46" s="81"/>
      <c r="M46" s="81"/>
      <c r="N46" s="81"/>
      <c r="O46" s="81"/>
      <c r="P46" s="81">
        <v>0</v>
      </c>
    </row>
    <row r="47" spans="1:19" ht="17.45" customHeight="1">
      <c r="A47" s="103"/>
      <c r="B47" s="68" t="s">
        <v>98</v>
      </c>
      <c r="C47" s="67" t="s">
        <v>88</v>
      </c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>
        <f>SUM(D47:O47)</f>
        <v>0</v>
      </c>
      <c r="Q47" s="22"/>
      <c r="R47" s="32"/>
      <c r="S47" s="22"/>
    </row>
    <row r="48" spans="1:19" ht="17.45" customHeight="1">
      <c r="A48" s="103"/>
      <c r="B48" s="31"/>
      <c r="C48" s="29" t="s">
        <v>99</v>
      </c>
      <c r="D48" s="81"/>
      <c r="E48" s="81"/>
      <c r="F48" s="81">
        <v>0</v>
      </c>
      <c r="G48" s="81"/>
      <c r="H48" s="81"/>
      <c r="I48" s="81"/>
      <c r="J48" s="81"/>
      <c r="K48" s="81"/>
      <c r="L48" s="81"/>
      <c r="M48" s="81"/>
      <c r="N48" s="81"/>
      <c r="O48" s="81"/>
      <c r="P48" s="81">
        <f>D48+E48+F48+G48+H48+I48+J48+K48+L48+M48+N48+O48</f>
        <v>0</v>
      </c>
      <c r="Q48" s="18"/>
    </row>
    <row r="49" spans="1:19" ht="17.45" customHeight="1">
      <c r="A49" s="103"/>
      <c r="B49" s="31" t="s">
        <v>100</v>
      </c>
      <c r="C49" s="26" t="s">
        <v>101</v>
      </c>
      <c r="D49" s="81"/>
      <c r="E49" s="81"/>
      <c r="F49" s="81" t="s">
        <v>441</v>
      </c>
      <c r="G49" s="81"/>
      <c r="H49" s="81"/>
      <c r="I49" s="81"/>
      <c r="J49" s="81"/>
      <c r="K49" s="81"/>
      <c r="L49" s="81"/>
      <c r="M49" s="81"/>
      <c r="N49" s="81"/>
      <c r="O49" s="81"/>
      <c r="P49" s="81" t="e">
        <f>D49+E49+F49+G49+H49+I49+J49+K49+L49+M49+N49+O49</f>
        <v>#VALUE!</v>
      </c>
      <c r="Q49" s="18"/>
    </row>
    <row r="50" spans="1:19" ht="17.45" customHeight="1">
      <c r="A50" s="103"/>
      <c r="B50" s="31" t="s">
        <v>102</v>
      </c>
      <c r="C50" s="26" t="s">
        <v>103</v>
      </c>
      <c r="D50" s="81"/>
      <c r="E50" s="81"/>
      <c r="F50" s="81" t="s">
        <v>441</v>
      </c>
      <c r="G50" s="81"/>
      <c r="H50" s="81"/>
      <c r="I50" s="81"/>
      <c r="J50" s="81"/>
      <c r="K50" s="81"/>
      <c r="L50" s="81"/>
      <c r="M50" s="81"/>
      <c r="N50" s="81"/>
      <c r="O50" s="81"/>
      <c r="P50" s="81" t="e">
        <f>D50+E50+F50+G50+H50+I50+J50+K50+L50+M50+N50+O50</f>
        <v>#VALUE!</v>
      </c>
      <c r="Q50" s="18"/>
    </row>
    <row r="51" spans="1:19" ht="17.45" customHeight="1">
      <c r="A51" s="103"/>
      <c r="B51" s="31" t="s">
        <v>104</v>
      </c>
      <c r="C51" s="26" t="s">
        <v>105</v>
      </c>
      <c r="D51" s="81"/>
      <c r="E51" s="81"/>
      <c r="F51" s="81">
        <v>0</v>
      </c>
      <c r="G51" s="81"/>
      <c r="H51" s="81"/>
      <c r="I51" s="81"/>
      <c r="J51" s="81"/>
      <c r="K51" s="81"/>
      <c r="L51" s="81"/>
      <c r="M51" s="81"/>
      <c r="N51" s="81"/>
      <c r="O51" s="81"/>
      <c r="P51" s="81">
        <f>D51+E51+F51+G51+H51+I51+J51+K51+L51+M51+N51+O51</f>
        <v>0</v>
      </c>
      <c r="Q51" s="18"/>
    </row>
    <row r="52" spans="1:19" ht="17.45" customHeight="1">
      <c r="A52" s="103"/>
      <c r="B52" s="97" t="s">
        <v>106</v>
      </c>
      <c r="C52" s="98" t="s">
        <v>99</v>
      </c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>
        <f>SUM(D52:O52)</f>
        <v>0</v>
      </c>
      <c r="Q52" s="22"/>
      <c r="R52" s="32"/>
      <c r="S52" s="22"/>
    </row>
    <row r="53" spans="1:19" ht="17.45" customHeight="1">
      <c r="A53" s="103"/>
      <c r="B53" s="97" t="s">
        <v>107</v>
      </c>
      <c r="C53" s="98" t="s">
        <v>108</v>
      </c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>
        <f>SUM(D53:O53)</f>
        <v>0</v>
      </c>
      <c r="Q53" s="22"/>
      <c r="R53" s="32"/>
      <c r="S53" s="22"/>
    </row>
    <row r="54" spans="1:19" ht="17.45" customHeight="1">
      <c r="A54" s="103"/>
      <c r="B54" s="31"/>
      <c r="C54" s="28" t="s">
        <v>109</v>
      </c>
      <c r="D54" s="81"/>
      <c r="E54" s="81"/>
      <c r="F54" s="81">
        <v>0</v>
      </c>
      <c r="G54" s="81"/>
      <c r="H54" s="81"/>
      <c r="I54" s="81"/>
      <c r="J54" s="81"/>
      <c r="K54" s="81"/>
      <c r="L54" s="81"/>
      <c r="M54" s="81"/>
      <c r="N54" s="81"/>
      <c r="O54" s="81"/>
      <c r="P54" s="81">
        <f t="shared" ref="P54:P60" si="8">D54+E54+F54+G54+H54+I54+J54+K54+L54+M54+N54+O54</f>
        <v>0</v>
      </c>
      <c r="Q54" s="18"/>
    </row>
    <row r="55" spans="1:19" ht="17.45" customHeight="1">
      <c r="A55" s="103"/>
      <c r="B55" s="31"/>
      <c r="C55" s="29" t="s">
        <v>110</v>
      </c>
      <c r="D55" s="81"/>
      <c r="E55" s="81"/>
      <c r="F55" s="81">
        <v>0</v>
      </c>
      <c r="G55" s="81"/>
      <c r="H55" s="81"/>
      <c r="I55" s="81"/>
      <c r="J55" s="81"/>
      <c r="K55" s="81"/>
      <c r="L55" s="81"/>
      <c r="M55" s="81"/>
      <c r="N55" s="81"/>
      <c r="O55" s="81"/>
      <c r="P55" s="81">
        <f t="shared" si="8"/>
        <v>0</v>
      </c>
      <c r="Q55" s="18"/>
    </row>
    <row r="56" spans="1:19" ht="17.45" customHeight="1">
      <c r="A56" s="103"/>
      <c r="B56" s="31" t="s">
        <v>111</v>
      </c>
      <c r="C56" s="26" t="s">
        <v>112</v>
      </c>
      <c r="D56" s="81"/>
      <c r="E56" s="81"/>
      <c r="F56" s="81">
        <v>35993.43</v>
      </c>
      <c r="G56" s="81"/>
      <c r="H56" s="81"/>
      <c r="I56" s="81"/>
      <c r="J56" s="81"/>
      <c r="K56" s="81"/>
      <c r="L56" s="81"/>
      <c r="M56" s="81"/>
      <c r="N56" s="81"/>
      <c r="O56" s="81"/>
      <c r="P56" s="81">
        <f t="shared" si="8"/>
        <v>35993.43</v>
      </c>
      <c r="Q56" s="18"/>
    </row>
    <row r="57" spans="1:19" ht="17.45" customHeight="1">
      <c r="A57" s="103"/>
      <c r="B57" s="31" t="s">
        <v>113</v>
      </c>
      <c r="C57" s="26" t="s">
        <v>114</v>
      </c>
      <c r="D57" s="81"/>
      <c r="E57" s="81"/>
      <c r="F57" s="81" t="s">
        <v>441</v>
      </c>
      <c r="G57" s="81"/>
      <c r="H57" s="81"/>
      <c r="I57" s="81"/>
      <c r="J57" s="81"/>
      <c r="K57" s="81"/>
      <c r="L57" s="81"/>
      <c r="M57" s="81"/>
      <c r="N57" s="81"/>
      <c r="O57" s="81"/>
      <c r="P57" s="81" t="e">
        <f t="shared" si="8"/>
        <v>#VALUE!</v>
      </c>
      <c r="Q57" s="18"/>
    </row>
    <row r="58" spans="1:19" ht="17.45" customHeight="1">
      <c r="A58" s="103"/>
      <c r="B58" s="31" t="s">
        <v>115</v>
      </c>
      <c r="C58" s="26" t="s">
        <v>116</v>
      </c>
      <c r="D58" s="81"/>
      <c r="E58" s="81"/>
      <c r="F58" s="81">
        <v>2417.17</v>
      </c>
      <c r="G58" s="81"/>
      <c r="H58" s="81"/>
      <c r="I58" s="81"/>
      <c r="J58" s="81"/>
      <c r="K58" s="81"/>
      <c r="L58" s="81"/>
      <c r="M58" s="81"/>
      <c r="N58" s="81"/>
      <c r="O58" s="81"/>
      <c r="P58" s="81">
        <f t="shared" si="8"/>
        <v>2417.17</v>
      </c>
      <c r="Q58" s="18"/>
    </row>
    <row r="59" spans="1:19" ht="17.45" customHeight="1">
      <c r="A59" s="103"/>
      <c r="B59" s="31" t="s">
        <v>117</v>
      </c>
      <c r="C59" s="26" t="s">
        <v>118</v>
      </c>
      <c r="D59" s="81"/>
      <c r="E59" s="81"/>
      <c r="F59" s="81">
        <v>0</v>
      </c>
      <c r="G59" s="81"/>
      <c r="H59" s="81"/>
      <c r="I59" s="81"/>
      <c r="J59" s="81"/>
      <c r="K59" s="81"/>
      <c r="L59" s="81"/>
      <c r="M59" s="81"/>
      <c r="N59" s="81"/>
      <c r="O59" s="81"/>
      <c r="P59" s="81">
        <f t="shared" si="8"/>
        <v>0</v>
      </c>
      <c r="Q59" s="18"/>
    </row>
    <row r="60" spans="1:19" ht="17.45" customHeight="1">
      <c r="A60" s="103"/>
      <c r="B60" s="31" t="s">
        <v>119</v>
      </c>
      <c r="C60" s="26" t="s">
        <v>120</v>
      </c>
      <c r="D60" s="81"/>
      <c r="E60" s="81"/>
      <c r="F60" s="81">
        <v>2255.6</v>
      </c>
      <c r="G60" s="81"/>
      <c r="H60" s="81"/>
      <c r="I60" s="81"/>
      <c r="J60" s="81"/>
      <c r="K60" s="81"/>
      <c r="L60" s="81"/>
      <c r="M60" s="81"/>
      <c r="N60" s="81"/>
      <c r="O60" s="81"/>
      <c r="P60" s="81">
        <f t="shared" si="8"/>
        <v>2255.6</v>
      </c>
      <c r="Q60" s="18"/>
    </row>
    <row r="61" spans="1:19" ht="17.45" customHeight="1">
      <c r="A61" s="103"/>
      <c r="B61" s="68" t="s">
        <v>121</v>
      </c>
      <c r="C61" s="67" t="s">
        <v>110</v>
      </c>
      <c r="D61" s="88">
        <f t="shared" ref="D61:O61" si="9">SUM(D56:D60)</f>
        <v>0</v>
      </c>
      <c r="E61" s="88">
        <f t="shared" si="9"/>
        <v>0</v>
      </c>
      <c r="F61" s="88">
        <f t="shared" si="9"/>
        <v>40666.199999999997</v>
      </c>
      <c r="G61" s="88">
        <f t="shared" si="9"/>
        <v>0</v>
      </c>
      <c r="H61" s="88">
        <f t="shared" si="9"/>
        <v>0</v>
      </c>
      <c r="I61" s="88">
        <f t="shared" si="9"/>
        <v>0</v>
      </c>
      <c r="J61" s="88">
        <f t="shared" si="9"/>
        <v>0</v>
      </c>
      <c r="K61" s="88">
        <f t="shared" si="9"/>
        <v>0</v>
      </c>
      <c r="L61" s="88">
        <f t="shared" si="9"/>
        <v>0</v>
      </c>
      <c r="M61" s="88">
        <f t="shared" si="9"/>
        <v>0</v>
      </c>
      <c r="N61" s="88">
        <f t="shared" si="9"/>
        <v>0</v>
      </c>
      <c r="O61" s="88">
        <f t="shared" si="9"/>
        <v>0</v>
      </c>
      <c r="P61" s="88" t="e">
        <f>SUM(P56:P60)</f>
        <v>#VALUE!</v>
      </c>
      <c r="Q61" s="22"/>
      <c r="R61" s="32"/>
      <c r="S61" s="22"/>
    </row>
    <row r="62" spans="1:19" ht="17.45" customHeight="1">
      <c r="A62" s="103"/>
      <c r="B62" s="31" t="s">
        <v>122</v>
      </c>
      <c r="C62" s="26" t="s">
        <v>123</v>
      </c>
      <c r="D62" s="81"/>
      <c r="E62" s="81"/>
      <c r="F62" s="81">
        <v>164.52</v>
      </c>
      <c r="G62" s="81"/>
      <c r="H62" s="81"/>
      <c r="I62" s="81"/>
      <c r="J62" s="81"/>
      <c r="K62" s="81"/>
      <c r="L62" s="81"/>
      <c r="M62" s="81"/>
      <c r="N62" s="81"/>
      <c r="O62" s="81"/>
      <c r="P62" s="81">
        <f t="shared" ref="P62:P69" si="10">D62+E62+F62+G62+H62+I62+J62+K62+L62+M62+N62+O62</f>
        <v>164.52</v>
      </c>
      <c r="Q62" s="18"/>
    </row>
    <row r="63" spans="1:19" ht="17.45" customHeight="1">
      <c r="A63" s="103"/>
      <c r="B63" s="31" t="s">
        <v>124</v>
      </c>
      <c r="C63" s="26" t="s">
        <v>125</v>
      </c>
      <c r="D63" s="81"/>
      <c r="E63" s="81"/>
      <c r="F63" s="81">
        <v>164.36</v>
      </c>
      <c r="G63" s="81"/>
      <c r="H63" s="81"/>
      <c r="I63" s="81"/>
      <c r="J63" s="81"/>
      <c r="K63" s="81"/>
      <c r="L63" s="81"/>
      <c r="M63" s="81"/>
      <c r="N63" s="81"/>
      <c r="O63" s="81"/>
      <c r="P63" s="81">
        <f t="shared" si="10"/>
        <v>164.36</v>
      </c>
      <c r="Q63" s="18"/>
    </row>
    <row r="64" spans="1:19" ht="17.45" customHeight="1">
      <c r="A64" s="103"/>
      <c r="B64" s="31" t="s">
        <v>126</v>
      </c>
      <c r="C64" s="26" t="s">
        <v>127</v>
      </c>
      <c r="D64" s="81"/>
      <c r="E64" s="81"/>
      <c r="F64" s="81">
        <v>0</v>
      </c>
      <c r="G64" s="81"/>
      <c r="H64" s="81"/>
      <c r="I64" s="81"/>
      <c r="J64" s="81"/>
      <c r="K64" s="81"/>
      <c r="L64" s="81"/>
      <c r="M64" s="81"/>
      <c r="N64" s="81"/>
      <c r="O64" s="81"/>
      <c r="P64" s="81">
        <f t="shared" si="10"/>
        <v>0</v>
      </c>
      <c r="Q64" s="18"/>
    </row>
    <row r="65" spans="1:19" ht="17.45" customHeight="1">
      <c r="A65" s="103"/>
      <c r="B65" s="31" t="s">
        <v>128</v>
      </c>
      <c r="C65" s="26" t="s">
        <v>129</v>
      </c>
      <c r="D65" s="81"/>
      <c r="E65" s="81"/>
      <c r="F65" s="81">
        <v>82.93</v>
      </c>
      <c r="G65" s="81"/>
      <c r="H65" s="81"/>
      <c r="I65" s="81"/>
      <c r="J65" s="81"/>
      <c r="K65" s="81"/>
      <c r="L65" s="81"/>
      <c r="M65" s="81"/>
      <c r="N65" s="81"/>
      <c r="O65" s="81"/>
      <c r="P65" s="81">
        <f t="shared" si="10"/>
        <v>82.93</v>
      </c>
      <c r="Q65" s="18"/>
    </row>
    <row r="66" spans="1:19" ht="17.45" customHeight="1">
      <c r="A66" s="103"/>
      <c r="B66" s="31"/>
      <c r="C66" s="29" t="s">
        <v>130</v>
      </c>
      <c r="D66" s="81"/>
      <c r="E66" s="81"/>
      <c r="F66" s="81" t="s">
        <v>441</v>
      </c>
      <c r="G66" s="81"/>
      <c r="H66" s="81"/>
      <c r="I66" s="81"/>
      <c r="J66" s="81"/>
      <c r="K66" s="81"/>
      <c r="L66" s="81"/>
      <c r="M66" s="81"/>
      <c r="N66" s="81"/>
      <c r="O66" s="81"/>
      <c r="P66" s="81" t="e">
        <f t="shared" si="10"/>
        <v>#VALUE!</v>
      </c>
      <c r="Q66" s="18"/>
    </row>
    <row r="67" spans="1:19" ht="17.45" customHeight="1">
      <c r="A67" s="103"/>
      <c r="B67" s="31" t="s">
        <v>131</v>
      </c>
      <c r="C67" s="26" t="s">
        <v>132</v>
      </c>
      <c r="D67" s="81"/>
      <c r="E67" s="81"/>
      <c r="F67" s="81">
        <v>0</v>
      </c>
      <c r="G67" s="81"/>
      <c r="H67" s="81"/>
      <c r="I67" s="81"/>
      <c r="J67" s="81"/>
      <c r="K67" s="81"/>
      <c r="L67" s="81"/>
      <c r="M67" s="81"/>
      <c r="N67" s="81"/>
      <c r="O67" s="81"/>
      <c r="P67" s="81">
        <f t="shared" si="10"/>
        <v>0</v>
      </c>
      <c r="Q67" s="18"/>
    </row>
    <row r="68" spans="1:19" ht="17.45" customHeight="1">
      <c r="A68" s="103"/>
      <c r="B68" s="31" t="s">
        <v>133</v>
      </c>
      <c r="C68" s="26" t="s">
        <v>134</v>
      </c>
      <c r="D68" s="81"/>
      <c r="E68" s="81"/>
      <c r="F68" s="81">
        <v>0</v>
      </c>
      <c r="G68" s="81"/>
      <c r="H68" s="81"/>
      <c r="I68" s="81"/>
      <c r="J68" s="81"/>
      <c r="K68" s="81"/>
      <c r="L68" s="81"/>
      <c r="M68" s="81"/>
      <c r="N68" s="81"/>
      <c r="O68" s="81"/>
      <c r="P68" s="81">
        <f t="shared" si="10"/>
        <v>0</v>
      </c>
      <c r="Q68" s="18"/>
    </row>
    <row r="69" spans="1:19" ht="17.45" customHeight="1">
      <c r="A69" s="103"/>
      <c r="B69" s="31"/>
      <c r="C69" s="26" t="s">
        <v>135</v>
      </c>
      <c r="D69" s="81"/>
      <c r="E69" s="81"/>
      <c r="F69" s="81">
        <v>11300.68</v>
      </c>
      <c r="G69" s="81"/>
      <c r="H69" s="81"/>
      <c r="I69" s="81"/>
      <c r="J69" s="81"/>
      <c r="K69" s="81"/>
      <c r="L69" s="81"/>
      <c r="M69" s="81"/>
      <c r="N69" s="81"/>
      <c r="O69" s="81"/>
      <c r="P69" s="81">
        <f t="shared" si="10"/>
        <v>11300.68</v>
      </c>
      <c r="Q69" s="18"/>
    </row>
    <row r="70" spans="1:19" ht="17.45" customHeight="1">
      <c r="A70" s="103"/>
      <c r="B70" s="68" t="s">
        <v>136</v>
      </c>
      <c r="C70" s="67" t="s">
        <v>130</v>
      </c>
      <c r="D70" s="88">
        <f t="shared" ref="D70:O70" si="11">SUM(D68:D69)</f>
        <v>0</v>
      </c>
      <c r="E70" s="88">
        <f t="shared" si="11"/>
        <v>0</v>
      </c>
      <c r="F70" s="88">
        <f t="shared" si="11"/>
        <v>11300.68</v>
      </c>
      <c r="G70" s="88">
        <f t="shared" si="11"/>
        <v>0</v>
      </c>
      <c r="H70" s="88">
        <f t="shared" si="11"/>
        <v>0</v>
      </c>
      <c r="I70" s="88">
        <f t="shared" si="11"/>
        <v>0</v>
      </c>
      <c r="J70" s="88">
        <f t="shared" si="11"/>
        <v>0</v>
      </c>
      <c r="K70" s="88">
        <f t="shared" si="11"/>
        <v>0</v>
      </c>
      <c r="L70" s="88">
        <f t="shared" si="11"/>
        <v>0</v>
      </c>
      <c r="M70" s="88">
        <f t="shared" si="11"/>
        <v>0</v>
      </c>
      <c r="N70" s="88">
        <f t="shared" si="11"/>
        <v>0</v>
      </c>
      <c r="O70" s="88">
        <f t="shared" si="11"/>
        <v>0</v>
      </c>
      <c r="P70" s="88">
        <f>SUM(P68:P69)</f>
        <v>11300.68</v>
      </c>
      <c r="Q70" s="22"/>
      <c r="R70" s="32"/>
      <c r="S70" s="22"/>
    </row>
    <row r="71" spans="1:19" ht="17.45" customHeight="1">
      <c r="A71" s="103"/>
      <c r="B71" s="31" t="s">
        <v>137</v>
      </c>
      <c r="C71" s="26" t="s">
        <v>138</v>
      </c>
      <c r="D71" s="81"/>
      <c r="E71" s="81"/>
      <c r="F71" s="81">
        <v>166255.09</v>
      </c>
      <c r="G71" s="81"/>
      <c r="H71" s="81"/>
      <c r="I71" s="81"/>
      <c r="J71" s="81"/>
      <c r="K71" s="81"/>
      <c r="L71" s="81"/>
      <c r="M71" s="81"/>
      <c r="N71" s="81"/>
      <c r="O71" s="81"/>
      <c r="P71" s="81">
        <f t="shared" ref="P71:P79" si="12">D71+E71+F71+G71+H71+I71+J71+K71+L71+M71+N71+O71</f>
        <v>166255.09</v>
      </c>
      <c r="Q71" s="18"/>
    </row>
    <row r="72" spans="1:19" ht="17.45" customHeight="1">
      <c r="A72" s="103"/>
      <c r="B72" s="31"/>
      <c r="C72" s="29" t="s">
        <v>139</v>
      </c>
      <c r="D72" s="81"/>
      <c r="E72" s="81"/>
      <c r="F72" s="81" t="s">
        <v>441</v>
      </c>
      <c r="G72" s="81"/>
      <c r="H72" s="81"/>
      <c r="I72" s="81"/>
      <c r="J72" s="81"/>
      <c r="K72" s="81"/>
      <c r="L72" s="81"/>
      <c r="M72" s="81"/>
      <c r="N72" s="81"/>
      <c r="O72" s="81"/>
      <c r="P72" s="81" t="e">
        <f t="shared" si="12"/>
        <v>#VALUE!</v>
      </c>
      <c r="Q72" s="18"/>
    </row>
    <row r="73" spans="1:19" ht="17.45" customHeight="1">
      <c r="A73" s="103"/>
      <c r="B73" s="31" t="s">
        <v>140</v>
      </c>
      <c r="C73" s="26" t="s">
        <v>141</v>
      </c>
      <c r="D73" s="81"/>
      <c r="E73" s="81"/>
      <c r="F73" s="81">
        <v>1397.6</v>
      </c>
      <c r="G73" s="81"/>
      <c r="H73" s="81"/>
      <c r="I73" s="81"/>
      <c r="J73" s="81"/>
      <c r="K73" s="81"/>
      <c r="L73" s="81"/>
      <c r="M73" s="81"/>
      <c r="N73" s="81"/>
      <c r="O73" s="81"/>
      <c r="P73" s="81">
        <f t="shared" si="12"/>
        <v>1397.6</v>
      </c>
      <c r="Q73" s="18"/>
    </row>
    <row r="74" spans="1:19" ht="17.45" customHeight="1">
      <c r="A74" s="103"/>
      <c r="B74" s="31" t="s">
        <v>142</v>
      </c>
      <c r="C74" s="26" t="s">
        <v>143</v>
      </c>
      <c r="D74" s="81"/>
      <c r="E74" s="81"/>
      <c r="F74" s="81">
        <v>168.4</v>
      </c>
      <c r="G74" s="81"/>
      <c r="H74" s="81"/>
      <c r="I74" s="81"/>
      <c r="J74" s="81"/>
      <c r="K74" s="81"/>
      <c r="L74" s="81"/>
      <c r="M74" s="81"/>
      <c r="N74" s="81"/>
      <c r="O74" s="81"/>
      <c r="P74" s="81">
        <f t="shared" si="12"/>
        <v>168.4</v>
      </c>
      <c r="Q74" s="18"/>
    </row>
    <row r="75" spans="1:19" ht="17.45" customHeight="1">
      <c r="A75" s="103"/>
      <c r="B75" s="31" t="s">
        <v>144</v>
      </c>
      <c r="C75" s="26" t="s">
        <v>145</v>
      </c>
      <c r="D75" s="81"/>
      <c r="E75" s="81"/>
      <c r="F75" s="81">
        <v>0</v>
      </c>
      <c r="G75" s="81"/>
      <c r="H75" s="81"/>
      <c r="I75" s="81"/>
      <c r="J75" s="81"/>
      <c r="K75" s="81"/>
      <c r="L75" s="81"/>
      <c r="M75" s="81"/>
      <c r="N75" s="81"/>
      <c r="O75" s="81"/>
      <c r="P75" s="81">
        <f t="shared" si="12"/>
        <v>0</v>
      </c>
      <c r="Q75" s="18"/>
    </row>
    <row r="76" spans="1:19" ht="17.45" customHeight="1">
      <c r="A76" s="103"/>
      <c r="B76" s="31" t="s">
        <v>146</v>
      </c>
      <c r="C76" s="26" t="s">
        <v>147</v>
      </c>
      <c r="D76" s="81"/>
      <c r="E76" s="81"/>
      <c r="F76" s="81">
        <v>0</v>
      </c>
      <c r="G76" s="81"/>
      <c r="H76" s="81"/>
      <c r="I76" s="81"/>
      <c r="J76" s="81"/>
      <c r="K76" s="81"/>
      <c r="L76" s="81"/>
      <c r="M76" s="81"/>
      <c r="N76" s="81"/>
      <c r="O76" s="81"/>
      <c r="P76" s="81">
        <f t="shared" si="12"/>
        <v>0</v>
      </c>
      <c r="Q76" s="18"/>
    </row>
    <row r="77" spans="1:19" ht="17.45" customHeight="1">
      <c r="A77" s="103"/>
      <c r="B77" s="31" t="s">
        <v>148</v>
      </c>
      <c r="C77" s="26" t="s">
        <v>149</v>
      </c>
      <c r="D77" s="81"/>
      <c r="E77" s="81"/>
      <c r="F77" s="81">
        <v>0</v>
      </c>
      <c r="G77" s="81"/>
      <c r="H77" s="81"/>
      <c r="I77" s="81"/>
      <c r="J77" s="81"/>
      <c r="K77" s="81"/>
      <c r="L77" s="81"/>
      <c r="M77" s="81"/>
      <c r="N77" s="81"/>
      <c r="O77" s="81"/>
      <c r="P77" s="81">
        <f t="shared" si="12"/>
        <v>0</v>
      </c>
      <c r="Q77" s="18"/>
    </row>
    <row r="78" spans="1:19" ht="17.45" customHeight="1">
      <c r="A78" s="103"/>
      <c r="B78" s="31"/>
      <c r="C78" s="26" t="s">
        <v>150</v>
      </c>
      <c r="D78" s="81"/>
      <c r="E78" s="81"/>
      <c r="F78" s="81">
        <v>0</v>
      </c>
      <c r="G78" s="81"/>
      <c r="H78" s="81"/>
      <c r="I78" s="81"/>
      <c r="J78" s="81"/>
      <c r="K78" s="81"/>
      <c r="L78" s="81"/>
      <c r="M78" s="81"/>
      <c r="N78" s="81"/>
      <c r="O78" s="81"/>
      <c r="P78" s="81">
        <f t="shared" si="12"/>
        <v>0</v>
      </c>
      <c r="Q78" s="18"/>
    </row>
    <row r="79" spans="1:19" ht="17.45" customHeight="1">
      <c r="A79" s="103"/>
      <c r="B79" s="31"/>
      <c r="C79" s="26" t="s">
        <v>151</v>
      </c>
      <c r="D79" s="81"/>
      <c r="E79" s="81"/>
      <c r="F79" s="81">
        <v>0</v>
      </c>
      <c r="G79" s="81"/>
      <c r="H79" s="81"/>
      <c r="I79" s="81"/>
      <c r="J79" s="81"/>
      <c r="K79" s="81"/>
      <c r="L79" s="81"/>
      <c r="M79" s="81"/>
      <c r="N79" s="81"/>
      <c r="O79" s="81"/>
      <c r="P79" s="81">
        <f t="shared" si="12"/>
        <v>0</v>
      </c>
      <c r="Q79" s="18"/>
    </row>
    <row r="80" spans="1:19" ht="17.45" customHeight="1">
      <c r="A80" s="103"/>
      <c r="B80" s="68" t="s">
        <v>152</v>
      </c>
      <c r="C80" s="67" t="s">
        <v>139</v>
      </c>
      <c r="D80" s="88">
        <f t="shared" ref="D80:O80" si="13">SUM(D73:D79)</f>
        <v>0</v>
      </c>
      <c r="E80" s="88">
        <f t="shared" si="13"/>
        <v>0</v>
      </c>
      <c r="F80" s="88">
        <f t="shared" si="13"/>
        <v>1566</v>
      </c>
      <c r="G80" s="88">
        <f t="shared" si="13"/>
        <v>0</v>
      </c>
      <c r="H80" s="88">
        <f t="shared" si="13"/>
        <v>0</v>
      </c>
      <c r="I80" s="88">
        <f t="shared" si="13"/>
        <v>0</v>
      </c>
      <c r="J80" s="88">
        <f t="shared" si="13"/>
        <v>0</v>
      </c>
      <c r="K80" s="88">
        <f t="shared" si="13"/>
        <v>0</v>
      </c>
      <c r="L80" s="88">
        <f t="shared" si="13"/>
        <v>0</v>
      </c>
      <c r="M80" s="88">
        <f t="shared" si="13"/>
        <v>0</v>
      </c>
      <c r="N80" s="88">
        <f t="shared" si="13"/>
        <v>0</v>
      </c>
      <c r="O80" s="88">
        <f t="shared" si="13"/>
        <v>0</v>
      </c>
      <c r="P80" s="88">
        <f>SUM(P73:P79)</f>
        <v>1566</v>
      </c>
      <c r="Q80" s="22"/>
      <c r="R80" s="32"/>
      <c r="S80" s="22"/>
    </row>
    <row r="81" spans="1:19" ht="17.45" customHeight="1">
      <c r="A81" s="103"/>
      <c r="B81" s="31"/>
      <c r="C81" s="29" t="s">
        <v>153</v>
      </c>
      <c r="D81" s="81"/>
      <c r="E81" s="81"/>
      <c r="F81" s="81">
        <v>0</v>
      </c>
      <c r="G81" s="81"/>
      <c r="H81" s="81"/>
      <c r="I81" s="81"/>
      <c r="J81" s="81"/>
      <c r="K81" s="81"/>
      <c r="L81" s="81"/>
      <c r="M81" s="81"/>
      <c r="N81" s="81"/>
      <c r="O81" s="81"/>
      <c r="P81" s="81">
        <v>0</v>
      </c>
      <c r="Q81" s="18"/>
    </row>
    <row r="82" spans="1:19" ht="17.45" customHeight="1">
      <c r="A82" s="103"/>
      <c r="B82" s="31"/>
      <c r="C82" s="26" t="s">
        <v>154</v>
      </c>
      <c r="D82" s="81"/>
      <c r="E82" s="81"/>
      <c r="F82" s="81">
        <v>0</v>
      </c>
      <c r="G82" s="81"/>
      <c r="H82" s="81"/>
      <c r="I82" s="81"/>
      <c r="J82" s="81"/>
      <c r="K82" s="81"/>
      <c r="L82" s="81"/>
      <c r="M82" s="81"/>
      <c r="N82" s="81"/>
      <c r="O82" s="81"/>
      <c r="P82" s="81">
        <v>0</v>
      </c>
    </row>
    <row r="83" spans="1:19" ht="17.45" customHeight="1">
      <c r="A83" s="103"/>
      <c r="B83" s="31" t="s">
        <v>155</v>
      </c>
      <c r="C83" s="26" t="s">
        <v>156</v>
      </c>
      <c r="D83" s="81"/>
      <c r="E83" s="81"/>
      <c r="F83" s="81">
        <v>3253.47</v>
      </c>
      <c r="G83" s="81"/>
      <c r="H83" s="81"/>
      <c r="I83" s="81"/>
      <c r="J83" s="81"/>
      <c r="K83" s="81"/>
      <c r="L83" s="81"/>
      <c r="M83" s="81"/>
      <c r="N83" s="81"/>
      <c r="O83" s="81"/>
      <c r="P83" s="81">
        <f t="shared" ref="P83:P88" si="14">D83+E83+F83+G83+H83+I83+J83+K83+L83+M83+N83+O83</f>
        <v>3253.47</v>
      </c>
      <c r="Q83" s="18"/>
    </row>
    <row r="84" spans="1:19" ht="17.45" customHeight="1">
      <c r="A84" s="103"/>
      <c r="B84" s="31" t="s">
        <v>157</v>
      </c>
      <c r="C84" s="26" t="s">
        <v>158</v>
      </c>
      <c r="D84" s="81"/>
      <c r="E84" s="81"/>
      <c r="F84" s="81">
        <v>11533.96</v>
      </c>
      <c r="G84" s="81"/>
      <c r="H84" s="81"/>
      <c r="I84" s="81"/>
      <c r="J84" s="81"/>
      <c r="K84" s="81"/>
      <c r="L84" s="81"/>
      <c r="M84" s="81"/>
      <c r="N84" s="81"/>
      <c r="O84" s="81"/>
      <c r="P84" s="81">
        <f t="shared" si="14"/>
        <v>11533.96</v>
      </c>
      <c r="Q84" s="18"/>
    </row>
    <row r="85" spans="1:19" ht="17.45" customHeight="1">
      <c r="A85" s="103"/>
      <c r="B85" s="31" t="s">
        <v>159</v>
      </c>
      <c r="C85" s="26" t="s">
        <v>160</v>
      </c>
      <c r="D85" s="81"/>
      <c r="E85" s="81"/>
      <c r="F85" s="81" t="s">
        <v>441</v>
      </c>
      <c r="G85" s="81"/>
      <c r="H85" s="81"/>
      <c r="I85" s="81"/>
      <c r="J85" s="81"/>
      <c r="K85" s="81"/>
      <c r="L85" s="81"/>
      <c r="M85" s="81"/>
      <c r="N85" s="81"/>
      <c r="O85" s="81"/>
      <c r="P85" s="81" t="e">
        <f t="shared" si="14"/>
        <v>#VALUE!</v>
      </c>
      <c r="Q85" s="18"/>
    </row>
    <row r="86" spans="1:19" ht="17.45" customHeight="1">
      <c r="A86" s="103"/>
      <c r="B86" s="31" t="s">
        <v>161</v>
      </c>
      <c r="C86" s="26" t="s">
        <v>162</v>
      </c>
      <c r="D86" s="81"/>
      <c r="E86" s="81"/>
      <c r="F86" s="81" t="s">
        <v>441</v>
      </c>
      <c r="G86" s="81"/>
      <c r="H86" s="81"/>
      <c r="I86" s="81"/>
      <c r="J86" s="81"/>
      <c r="K86" s="81"/>
      <c r="L86" s="81"/>
      <c r="M86" s="81"/>
      <c r="N86" s="81"/>
      <c r="O86" s="81"/>
      <c r="P86" s="81" t="e">
        <f t="shared" si="14"/>
        <v>#VALUE!</v>
      </c>
      <c r="Q86" s="18"/>
    </row>
    <row r="87" spans="1:19" ht="17.45" customHeight="1">
      <c r="A87" s="103"/>
      <c r="B87" s="31" t="s">
        <v>163</v>
      </c>
      <c r="C87" s="26" t="s">
        <v>164</v>
      </c>
      <c r="D87" s="81"/>
      <c r="E87" s="81"/>
      <c r="F87" s="81">
        <v>0</v>
      </c>
      <c r="G87" s="81"/>
      <c r="H87" s="81"/>
      <c r="I87" s="81"/>
      <c r="J87" s="81"/>
      <c r="K87" s="81"/>
      <c r="L87" s="81"/>
      <c r="M87" s="81"/>
      <c r="N87" s="81"/>
      <c r="O87" s="81"/>
      <c r="P87" s="81">
        <f t="shared" si="14"/>
        <v>0</v>
      </c>
      <c r="Q87" s="18"/>
    </row>
    <row r="88" spans="1:19" ht="17.45" customHeight="1">
      <c r="A88" s="103"/>
      <c r="B88" s="31" t="s">
        <v>165</v>
      </c>
      <c r="C88" s="26" t="s">
        <v>166</v>
      </c>
      <c r="D88" s="81"/>
      <c r="E88" s="81"/>
      <c r="F88" s="81" t="s">
        <v>441</v>
      </c>
      <c r="G88" s="81"/>
      <c r="H88" s="81"/>
      <c r="I88" s="81"/>
      <c r="J88" s="81"/>
      <c r="K88" s="81"/>
      <c r="L88" s="81"/>
      <c r="M88" s="81"/>
      <c r="N88" s="81"/>
      <c r="O88" s="81"/>
      <c r="P88" s="81" t="e">
        <f t="shared" si="14"/>
        <v>#VALUE!</v>
      </c>
      <c r="Q88" s="18"/>
    </row>
    <row r="89" spans="1:19" ht="17.45" customHeight="1">
      <c r="A89" s="103"/>
      <c r="B89" s="68" t="s">
        <v>167</v>
      </c>
      <c r="C89" s="67" t="s">
        <v>153</v>
      </c>
      <c r="D89" s="88">
        <f t="shared" ref="D89:O89" si="15">SUM(D82:D88)</f>
        <v>0</v>
      </c>
      <c r="E89" s="88">
        <f t="shared" si="15"/>
        <v>0</v>
      </c>
      <c r="F89" s="88">
        <f t="shared" si="15"/>
        <v>14787.429999999998</v>
      </c>
      <c r="G89" s="88">
        <f t="shared" si="15"/>
        <v>0</v>
      </c>
      <c r="H89" s="88">
        <f t="shared" si="15"/>
        <v>0</v>
      </c>
      <c r="I89" s="88">
        <f t="shared" si="15"/>
        <v>0</v>
      </c>
      <c r="J89" s="88">
        <f t="shared" si="15"/>
        <v>0</v>
      </c>
      <c r="K89" s="88">
        <f t="shared" si="15"/>
        <v>0</v>
      </c>
      <c r="L89" s="88">
        <f t="shared" si="15"/>
        <v>0</v>
      </c>
      <c r="M89" s="88">
        <f t="shared" si="15"/>
        <v>0</v>
      </c>
      <c r="N89" s="88">
        <f t="shared" si="15"/>
        <v>0</v>
      </c>
      <c r="O89" s="88">
        <f t="shared" si="15"/>
        <v>0</v>
      </c>
      <c r="P89" s="88" t="e">
        <f>SUM(P82:P88)</f>
        <v>#VALUE!</v>
      </c>
      <c r="Q89" s="22"/>
      <c r="R89" s="32"/>
      <c r="S89" s="22"/>
    </row>
    <row r="90" spans="1:19" ht="17.45" customHeight="1">
      <c r="A90" s="103"/>
      <c r="B90" s="31" t="s">
        <v>168</v>
      </c>
      <c r="C90" s="26" t="s">
        <v>169</v>
      </c>
      <c r="D90" s="81"/>
      <c r="E90" s="81"/>
      <c r="F90" s="81">
        <v>999.88</v>
      </c>
      <c r="G90" s="81"/>
      <c r="H90" s="81"/>
      <c r="I90" s="81"/>
      <c r="J90" s="81"/>
      <c r="K90" s="81"/>
      <c r="L90" s="81"/>
      <c r="M90" s="81"/>
      <c r="N90" s="81"/>
      <c r="O90" s="81"/>
      <c r="P90" s="81">
        <f t="shared" ref="P90:P100" si="16">D90+E90+F90+G90+H90+I90+J90+K90+L90+M90+N90+O90</f>
        <v>999.88</v>
      </c>
      <c r="Q90" s="18"/>
    </row>
    <row r="91" spans="1:19" ht="17.45" customHeight="1">
      <c r="A91" s="103"/>
      <c r="B91" s="31" t="s">
        <v>170</v>
      </c>
      <c r="C91" s="26" t="s">
        <v>171</v>
      </c>
      <c r="D91" s="81"/>
      <c r="E91" s="81"/>
      <c r="F91" s="81">
        <v>1388.61</v>
      </c>
      <c r="G91" s="81"/>
      <c r="H91" s="81"/>
      <c r="I91" s="81"/>
      <c r="J91" s="81"/>
      <c r="K91" s="81"/>
      <c r="L91" s="81"/>
      <c r="M91" s="81"/>
      <c r="N91" s="81"/>
      <c r="O91" s="81"/>
      <c r="P91" s="81">
        <f t="shared" si="16"/>
        <v>1388.61</v>
      </c>
      <c r="Q91" s="18"/>
    </row>
    <row r="92" spans="1:19" ht="17.45" customHeight="1">
      <c r="A92" s="103"/>
      <c r="B92" s="31" t="s">
        <v>172</v>
      </c>
      <c r="C92" s="26" t="s">
        <v>173</v>
      </c>
      <c r="D92" s="81"/>
      <c r="E92" s="81"/>
      <c r="F92" s="81">
        <v>2830.65</v>
      </c>
      <c r="G92" s="81"/>
      <c r="H92" s="81"/>
      <c r="I92" s="81"/>
      <c r="J92" s="81"/>
      <c r="K92" s="81"/>
      <c r="L92" s="81"/>
      <c r="M92" s="81"/>
      <c r="N92" s="81"/>
      <c r="O92" s="81"/>
      <c r="P92" s="81">
        <f t="shared" si="16"/>
        <v>2830.65</v>
      </c>
      <c r="Q92" s="18"/>
    </row>
    <row r="93" spans="1:19" ht="17.45" customHeight="1">
      <c r="A93" s="103"/>
      <c r="B93" s="31" t="s">
        <v>174</v>
      </c>
      <c r="C93" s="26" t="s">
        <v>175</v>
      </c>
      <c r="D93" s="81"/>
      <c r="E93" s="81"/>
      <c r="F93" s="81">
        <v>143.99</v>
      </c>
      <c r="G93" s="81"/>
      <c r="H93" s="81"/>
      <c r="I93" s="81"/>
      <c r="J93" s="81"/>
      <c r="K93" s="81"/>
      <c r="L93" s="81"/>
      <c r="M93" s="81"/>
      <c r="N93" s="81"/>
      <c r="O93" s="81"/>
      <c r="P93" s="81">
        <f t="shared" si="16"/>
        <v>143.99</v>
      </c>
      <c r="Q93" s="18"/>
    </row>
    <row r="94" spans="1:19" ht="17.45" customHeight="1">
      <c r="A94" s="103"/>
      <c r="B94" s="31" t="s">
        <v>176</v>
      </c>
      <c r="C94" s="26" t="s">
        <v>177</v>
      </c>
      <c r="D94" s="81"/>
      <c r="E94" s="81"/>
      <c r="F94" s="81">
        <v>0</v>
      </c>
      <c r="G94" s="81"/>
      <c r="H94" s="81"/>
      <c r="I94" s="81"/>
      <c r="J94" s="81"/>
      <c r="K94" s="81"/>
      <c r="L94" s="81"/>
      <c r="M94" s="81"/>
      <c r="N94" s="81"/>
      <c r="O94" s="81"/>
      <c r="P94" s="81">
        <f t="shared" si="16"/>
        <v>0</v>
      </c>
      <c r="Q94" s="18"/>
    </row>
    <row r="95" spans="1:19" ht="17.45" customHeight="1">
      <c r="A95" s="103"/>
      <c r="B95" s="31" t="s">
        <v>178</v>
      </c>
      <c r="C95" s="26" t="s">
        <v>179</v>
      </c>
      <c r="D95" s="81"/>
      <c r="E95" s="81"/>
      <c r="F95" s="81">
        <v>0</v>
      </c>
      <c r="G95" s="81"/>
      <c r="H95" s="81"/>
      <c r="I95" s="81"/>
      <c r="J95" s="81"/>
      <c r="K95" s="81"/>
      <c r="L95" s="81"/>
      <c r="M95" s="81"/>
      <c r="N95" s="81"/>
      <c r="O95" s="81"/>
      <c r="P95" s="81">
        <f t="shared" si="16"/>
        <v>0</v>
      </c>
      <c r="Q95" s="18"/>
    </row>
    <row r="96" spans="1:19" ht="17.45" customHeight="1">
      <c r="A96" s="103"/>
      <c r="B96" s="31" t="s">
        <v>180</v>
      </c>
      <c r="C96" s="26" t="s">
        <v>181</v>
      </c>
      <c r="D96" s="81"/>
      <c r="E96" s="81"/>
      <c r="F96" s="81">
        <v>0</v>
      </c>
      <c r="G96" s="81"/>
      <c r="H96" s="81"/>
      <c r="I96" s="81"/>
      <c r="J96" s="81"/>
      <c r="K96" s="81"/>
      <c r="L96" s="81"/>
      <c r="M96" s="81"/>
      <c r="N96" s="81"/>
      <c r="O96" s="81"/>
      <c r="P96" s="81">
        <f t="shared" si="16"/>
        <v>0</v>
      </c>
      <c r="Q96" s="18"/>
    </row>
    <row r="97" spans="1:19" ht="17.45" customHeight="1">
      <c r="A97" s="103"/>
      <c r="B97" s="31" t="s">
        <v>182</v>
      </c>
      <c r="C97" s="26" t="s">
        <v>183</v>
      </c>
      <c r="D97" s="81"/>
      <c r="E97" s="81"/>
      <c r="F97" s="81">
        <v>2.4900000000000002</v>
      </c>
      <c r="G97" s="81"/>
      <c r="H97" s="81"/>
      <c r="I97" s="81"/>
      <c r="J97" s="81"/>
      <c r="K97" s="81"/>
      <c r="L97" s="81"/>
      <c r="M97" s="81"/>
      <c r="N97" s="81"/>
      <c r="O97" s="81"/>
      <c r="P97" s="81">
        <f t="shared" si="16"/>
        <v>2.4900000000000002</v>
      </c>
      <c r="Q97" s="18"/>
    </row>
    <row r="98" spans="1:19" ht="17.45" customHeight="1">
      <c r="A98" s="103"/>
      <c r="B98" s="31" t="s">
        <v>184</v>
      </c>
      <c r="C98" s="26" t="s">
        <v>185</v>
      </c>
      <c r="D98" s="81"/>
      <c r="E98" s="81"/>
      <c r="F98" s="81">
        <v>0</v>
      </c>
      <c r="G98" s="81"/>
      <c r="H98" s="81"/>
      <c r="I98" s="81"/>
      <c r="J98" s="81"/>
      <c r="K98" s="81"/>
      <c r="L98" s="81"/>
      <c r="M98" s="81"/>
      <c r="N98" s="81"/>
      <c r="O98" s="81"/>
      <c r="P98" s="81">
        <f t="shared" si="16"/>
        <v>0</v>
      </c>
      <c r="Q98" s="18"/>
    </row>
    <row r="99" spans="1:19" ht="17.45" customHeight="1">
      <c r="A99" s="103"/>
      <c r="B99" s="31" t="s">
        <v>186</v>
      </c>
      <c r="C99" s="26" t="s">
        <v>187</v>
      </c>
      <c r="D99" s="81"/>
      <c r="E99" s="81"/>
      <c r="F99" s="81">
        <v>0</v>
      </c>
      <c r="G99" s="81"/>
      <c r="H99" s="81"/>
      <c r="I99" s="81"/>
      <c r="J99" s="81"/>
      <c r="K99" s="81"/>
      <c r="L99" s="81"/>
      <c r="M99" s="81"/>
      <c r="N99" s="81"/>
      <c r="O99" s="81"/>
      <c r="P99" s="81">
        <f t="shared" si="16"/>
        <v>0</v>
      </c>
      <c r="Q99" s="18"/>
    </row>
    <row r="100" spans="1:19" ht="17.45" customHeight="1">
      <c r="A100" s="103"/>
      <c r="B100" s="36">
        <v>631180</v>
      </c>
      <c r="C100" s="26" t="s">
        <v>188</v>
      </c>
      <c r="D100" s="81"/>
      <c r="E100" s="81"/>
      <c r="F100" s="81" t="s">
        <v>441</v>
      </c>
      <c r="G100" s="81"/>
      <c r="H100" s="81"/>
      <c r="I100" s="81"/>
      <c r="J100" s="81"/>
      <c r="K100" s="81"/>
      <c r="L100" s="81"/>
      <c r="M100" s="81"/>
      <c r="N100" s="81"/>
      <c r="O100" s="81"/>
      <c r="P100" s="81" t="e">
        <f t="shared" si="16"/>
        <v>#VALUE!</v>
      </c>
      <c r="Q100" s="18"/>
    </row>
    <row r="101" spans="1:19" ht="17.45" customHeight="1">
      <c r="A101" s="103"/>
      <c r="B101" s="68" t="s">
        <v>172</v>
      </c>
      <c r="C101" s="73" t="s">
        <v>173</v>
      </c>
      <c r="D101" s="88">
        <f t="shared" ref="D101:O101" si="17">SUM(D92:D100)</f>
        <v>0</v>
      </c>
      <c r="E101" s="88">
        <f t="shared" si="17"/>
        <v>0</v>
      </c>
      <c r="F101" s="88">
        <f t="shared" si="17"/>
        <v>2977.13</v>
      </c>
      <c r="G101" s="88">
        <f t="shared" si="17"/>
        <v>0</v>
      </c>
      <c r="H101" s="88">
        <f t="shared" si="17"/>
        <v>0</v>
      </c>
      <c r="I101" s="88">
        <f t="shared" si="17"/>
        <v>0</v>
      </c>
      <c r="J101" s="88">
        <f t="shared" si="17"/>
        <v>0</v>
      </c>
      <c r="K101" s="88">
        <f t="shared" si="17"/>
        <v>0</v>
      </c>
      <c r="L101" s="88">
        <f t="shared" si="17"/>
        <v>0</v>
      </c>
      <c r="M101" s="88">
        <f t="shared" si="17"/>
        <v>0</v>
      </c>
      <c r="N101" s="88">
        <f t="shared" si="17"/>
        <v>0</v>
      </c>
      <c r="O101" s="88">
        <f t="shared" si="17"/>
        <v>0</v>
      </c>
      <c r="P101" s="88" t="e">
        <f>SUM(P92:P100)</f>
        <v>#VALUE!</v>
      </c>
      <c r="Q101" s="22"/>
      <c r="R101" s="32"/>
      <c r="S101" s="22"/>
    </row>
    <row r="102" spans="1:19" ht="17.45" customHeight="1">
      <c r="A102" s="103"/>
      <c r="B102" s="31"/>
      <c r="C102" s="29" t="s">
        <v>189</v>
      </c>
      <c r="D102" s="81"/>
      <c r="E102" s="81"/>
      <c r="F102" s="81" t="s">
        <v>441</v>
      </c>
      <c r="G102" s="81"/>
      <c r="H102" s="81"/>
      <c r="I102" s="81"/>
      <c r="J102" s="81"/>
      <c r="K102" s="81"/>
      <c r="L102" s="81"/>
      <c r="M102" s="81"/>
      <c r="N102" s="81"/>
      <c r="O102" s="81"/>
      <c r="P102" s="81" t="e">
        <f>D102+E102+F102+G102+H102+I102+J102+K102+L102+M102+N102+O102</f>
        <v>#VALUE!</v>
      </c>
      <c r="Q102" s="18"/>
    </row>
    <row r="103" spans="1:19" ht="17.45" customHeight="1">
      <c r="A103" s="103"/>
      <c r="B103" s="31" t="s">
        <v>190</v>
      </c>
      <c r="C103" s="26" t="s">
        <v>191</v>
      </c>
      <c r="D103" s="81"/>
      <c r="E103" s="81"/>
      <c r="F103" s="81">
        <v>0</v>
      </c>
      <c r="G103" s="81"/>
      <c r="H103" s="81"/>
      <c r="I103" s="81"/>
      <c r="J103" s="81"/>
      <c r="K103" s="81"/>
      <c r="L103" s="81"/>
      <c r="M103" s="81"/>
      <c r="N103" s="81"/>
      <c r="O103" s="81"/>
      <c r="P103" s="81">
        <f>D103+E103+F103+G103+H103+I103+J103+K103+L103+M103+N103+O103</f>
        <v>0</v>
      </c>
      <c r="Q103" s="18"/>
    </row>
    <row r="104" spans="1:19" ht="17.45" customHeight="1">
      <c r="A104" s="103"/>
      <c r="B104" s="31" t="s">
        <v>192</v>
      </c>
      <c r="C104" s="26" t="s">
        <v>193</v>
      </c>
      <c r="D104" s="81"/>
      <c r="E104" s="81"/>
      <c r="F104" s="81">
        <v>-43366.2</v>
      </c>
      <c r="G104" s="81"/>
      <c r="H104" s="81"/>
      <c r="I104" s="81"/>
      <c r="J104" s="81"/>
      <c r="K104" s="81"/>
      <c r="L104" s="81"/>
      <c r="M104" s="81"/>
      <c r="N104" s="81"/>
      <c r="O104" s="81"/>
      <c r="P104" s="81">
        <f>D104+E104+F104+G104+H104+I104+J104+K104+L104+M104+N104+O104</f>
        <v>-43366.2</v>
      </c>
      <c r="Q104" s="18"/>
    </row>
    <row r="105" spans="1:19" ht="17.45" customHeight="1">
      <c r="A105" s="103"/>
      <c r="B105" s="31" t="s">
        <v>194</v>
      </c>
      <c r="C105" s="26" t="s">
        <v>195</v>
      </c>
      <c r="D105" s="81"/>
      <c r="E105" s="81"/>
      <c r="F105" s="81">
        <v>-201820.99</v>
      </c>
      <c r="G105" s="81"/>
      <c r="H105" s="81"/>
      <c r="I105" s="81"/>
      <c r="J105" s="81"/>
      <c r="K105" s="81"/>
      <c r="L105" s="81"/>
      <c r="M105" s="81"/>
      <c r="N105" s="81"/>
      <c r="O105" s="81"/>
      <c r="P105" s="81">
        <f>D105+E105+F105+G105+H105+I105+J105+K105+L105+M105+N105+O105</f>
        <v>-201820.99</v>
      </c>
      <c r="Q105" s="18"/>
    </row>
    <row r="106" spans="1:19" ht="17.45" customHeight="1">
      <c r="A106" s="103"/>
      <c r="B106" s="68" t="s">
        <v>196</v>
      </c>
      <c r="C106" s="67" t="s">
        <v>189</v>
      </c>
      <c r="D106" s="88">
        <f t="shared" ref="D106:O106" si="18">SUM(D104:D105)</f>
        <v>0</v>
      </c>
      <c r="E106" s="88">
        <f t="shared" si="18"/>
        <v>0</v>
      </c>
      <c r="F106" s="88">
        <f t="shared" si="18"/>
        <v>-245187.19</v>
      </c>
      <c r="G106" s="88">
        <f t="shared" si="18"/>
        <v>0</v>
      </c>
      <c r="H106" s="88">
        <f t="shared" si="18"/>
        <v>0</v>
      </c>
      <c r="I106" s="88">
        <f t="shared" si="18"/>
        <v>0</v>
      </c>
      <c r="J106" s="88">
        <f t="shared" si="18"/>
        <v>0</v>
      </c>
      <c r="K106" s="88">
        <f t="shared" si="18"/>
        <v>0</v>
      </c>
      <c r="L106" s="88">
        <f t="shared" si="18"/>
        <v>0</v>
      </c>
      <c r="M106" s="88">
        <f t="shared" si="18"/>
        <v>0</v>
      </c>
      <c r="N106" s="88">
        <f t="shared" si="18"/>
        <v>0</v>
      </c>
      <c r="O106" s="88">
        <f t="shared" si="18"/>
        <v>0</v>
      </c>
      <c r="P106" s="88">
        <f>SUM(P104:P105)</f>
        <v>-245187.19</v>
      </c>
      <c r="Q106" s="22"/>
      <c r="R106" s="32"/>
      <c r="S106" s="22"/>
    </row>
    <row r="107" spans="1:19" ht="17.45" customHeight="1">
      <c r="A107" s="103"/>
      <c r="B107" s="31"/>
      <c r="C107" s="29" t="s">
        <v>197</v>
      </c>
      <c r="D107" s="81"/>
      <c r="E107" s="81"/>
      <c r="F107" s="81">
        <v>0</v>
      </c>
      <c r="G107" s="81"/>
      <c r="H107" s="81"/>
      <c r="I107" s="81"/>
      <c r="J107" s="81"/>
      <c r="K107" s="81"/>
      <c r="L107" s="81"/>
      <c r="M107" s="81"/>
      <c r="N107" s="81"/>
      <c r="O107" s="81"/>
      <c r="P107" s="81">
        <v>0</v>
      </c>
    </row>
    <row r="108" spans="1:19" ht="17.45" customHeight="1">
      <c r="A108" s="103"/>
      <c r="B108" s="31"/>
      <c r="C108" s="26" t="s">
        <v>198</v>
      </c>
      <c r="D108" s="81"/>
      <c r="E108" s="81"/>
      <c r="F108" s="81">
        <v>0</v>
      </c>
      <c r="G108" s="81"/>
      <c r="H108" s="81"/>
      <c r="I108" s="81"/>
      <c r="J108" s="81"/>
      <c r="K108" s="81"/>
      <c r="L108" s="81"/>
      <c r="M108" s="81"/>
      <c r="N108" s="81"/>
      <c r="O108" s="81"/>
      <c r="P108" s="81">
        <v>0</v>
      </c>
    </row>
    <row r="109" spans="1:19" ht="17.45" customHeight="1">
      <c r="A109" s="103"/>
      <c r="B109" s="31"/>
      <c r="C109" s="26" t="s">
        <v>199</v>
      </c>
      <c r="D109" s="81"/>
      <c r="E109" s="81"/>
      <c r="F109" s="81">
        <v>0</v>
      </c>
      <c r="G109" s="81"/>
      <c r="H109" s="81"/>
      <c r="I109" s="81"/>
      <c r="J109" s="81"/>
      <c r="K109" s="81"/>
      <c r="L109" s="81"/>
      <c r="M109" s="81"/>
      <c r="N109" s="81"/>
      <c r="O109" s="81"/>
      <c r="P109" s="81">
        <v>0</v>
      </c>
    </row>
    <row r="110" spans="1:19" ht="17.45" customHeight="1">
      <c r="A110" s="103"/>
      <c r="B110" s="31"/>
      <c r="C110" s="37" t="s">
        <v>200</v>
      </c>
      <c r="D110" s="81"/>
      <c r="E110" s="81"/>
      <c r="F110" s="81">
        <v>0</v>
      </c>
      <c r="G110" s="81"/>
      <c r="H110" s="81"/>
      <c r="I110" s="81"/>
      <c r="J110" s="81"/>
      <c r="K110" s="81"/>
      <c r="L110" s="81"/>
      <c r="M110" s="81"/>
      <c r="N110" s="81"/>
      <c r="O110" s="81"/>
      <c r="P110" s="81">
        <v>0</v>
      </c>
    </row>
    <row r="111" spans="1:19" ht="17.45" customHeight="1">
      <c r="A111" s="103"/>
      <c r="B111" s="69" t="s">
        <v>201</v>
      </c>
      <c r="C111" s="70" t="s">
        <v>109</v>
      </c>
      <c r="D111" s="114">
        <f t="shared" ref="D111:P111" si="19">D106+D101+D91+D90+D89+D80+D71+D70+D65+D64+D63+D62+D61+D110</f>
        <v>0</v>
      </c>
      <c r="E111" s="114">
        <f t="shared" si="19"/>
        <v>0</v>
      </c>
      <c r="F111" s="114">
        <f t="shared" si="19"/>
        <v>-4834.3600000000224</v>
      </c>
      <c r="G111" s="114">
        <f t="shared" si="19"/>
        <v>0</v>
      </c>
      <c r="H111" s="114">
        <f t="shared" si="19"/>
        <v>0</v>
      </c>
      <c r="I111" s="114">
        <f t="shared" si="19"/>
        <v>0</v>
      </c>
      <c r="J111" s="114">
        <f t="shared" si="19"/>
        <v>0</v>
      </c>
      <c r="K111" s="114">
        <f t="shared" si="19"/>
        <v>0</v>
      </c>
      <c r="L111" s="114">
        <f t="shared" si="19"/>
        <v>0</v>
      </c>
      <c r="M111" s="114">
        <f t="shared" si="19"/>
        <v>0</v>
      </c>
      <c r="N111" s="114">
        <f t="shared" si="19"/>
        <v>0</v>
      </c>
      <c r="O111" s="114">
        <f t="shared" si="19"/>
        <v>0</v>
      </c>
      <c r="P111" s="114" t="e">
        <f t="shared" si="19"/>
        <v>#VALUE!</v>
      </c>
      <c r="Q111" s="22"/>
      <c r="R111" s="32"/>
      <c r="S111" s="22"/>
    </row>
    <row r="112" spans="1:19" ht="17.45" customHeight="1">
      <c r="A112" s="103"/>
      <c r="B112" s="74" t="s">
        <v>202</v>
      </c>
      <c r="C112" s="75" t="s">
        <v>203</v>
      </c>
      <c r="D112" s="88">
        <f t="shared" ref="D112:P112" si="20">D36</f>
        <v>0</v>
      </c>
      <c r="E112" s="88">
        <f t="shared" si="20"/>
        <v>0</v>
      </c>
      <c r="F112" s="88">
        <f t="shared" si="20"/>
        <v>4086019.94</v>
      </c>
      <c r="G112" s="88">
        <f t="shared" si="20"/>
        <v>0</v>
      </c>
      <c r="H112" s="88">
        <f t="shared" si="20"/>
        <v>0</v>
      </c>
      <c r="I112" s="88">
        <f t="shared" si="20"/>
        <v>0</v>
      </c>
      <c r="J112" s="88">
        <f t="shared" si="20"/>
        <v>0</v>
      </c>
      <c r="K112" s="88">
        <f t="shared" si="20"/>
        <v>0</v>
      </c>
      <c r="L112" s="88">
        <f t="shared" si="20"/>
        <v>0</v>
      </c>
      <c r="M112" s="88">
        <f t="shared" si="20"/>
        <v>0</v>
      </c>
      <c r="N112" s="88">
        <f t="shared" si="20"/>
        <v>0</v>
      </c>
      <c r="O112" s="88">
        <f t="shared" si="20"/>
        <v>0</v>
      </c>
      <c r="P112" s="88">
        <f t="shared" si="20"/>
        <v>4086019.94</v>
      </c>
      <c r="Q112" s="22"/>
      <c r="R112" s="32"/>
      <c r="S112" s="22"/>
    </row>
    <row r="113" spans="1:19" ht="17.45" customHeight="1">
      <c r="A113" s="103"/>
      <c r="B113" s="31"/>
      <c r="C113" s="28" t="s">
        <v>204</v>
      </c>
      <c r="D113" s="81"/>
      <c r="E113" s="81"/>
      <c r="F113" s="81">
        <v>0</v>
      </c>
      <c r="G113" s="81"/>
      <c r="H113" s="81"/>
      <c r="I113" s="81"/>
      <c r="J113" s="81"/>
      <c r="K113" s="81"/>
      <c r="L113" s="81"/>
      <c r="M113" s="81"/>
      <c r="N113" s="81"/>
      <c r="O113" s="81"/>
      <c r="P113" s="81">
        <f>D113+E113+F113+G113+H113+I113+J113+K113+L113+M113+N113+O113</f>
        <v>0</v>
      </c>
      <c r="Q113" s="18"/>
    </row>
    <row r="114" spans="1:19" ht="17.45" customHeight="1">
      <c r="A114" s="103"/>
      <c r="B114" s="31"/>
      <c r="C114" s="29" t="s">
        <v>205</v>
      </c>
      <c r="D114" s="81"/>
      <c r="E114" s="81"/>
      <c r="F114" s="81">
        <v>0</v>
      </c>
      <c r="G114" s="81"/>
      <c r="H114" s="81"/>
      <c r="I114" s="81"/>
      <c r="J114" s="81"/>
      <c r="K114" s="81"/>
      <c r="L114" s="81"/>
      <c r="M114" s="81"/>
      <c r="N114" s="81"/>
      <c r="O114" s="81"/>
      <c r="P114" s="81">
        <f>D114+E114+F114+G114+H114+I114+J114+K114+L114+M114+N114+O114</f>
        <v>0</v>
      </c>
      <c r="Q114" s="18"/>
    </row>
    <row r="115" spans="1:19" ht="17.45" customHeight="1">
      <c r="A115" s="103"/>
      <c r="B115" s="31" t="s">
        <v>206</v>
      </c>
      <c r="C115" s="26" t="s">
        <v>207</v>
      </c>
      <c r="D115" s="81"/>
      <c r="E115" s="81"/>
      <c r="F115" s="81">
        <v>0</v>
      </c>
      <c r="G115" s="81"/>
      <c r="H115" s="81"/>
      <c r="I115" s="81"/>
      <c r="J115" s="81"/>
      <c r="K115" s="81"/>
      <c r="L115" s="81"/>
      <c r="M115" s="81"/>
      <c r="N115" s="81"/>
      <c r="O115" s="81"/>
      <c r="P115" s="81">
        <f>D115+E115+F115+G115+H115+I115+J115+K115+L115+M115+N115+O115</f>
        <v>0</v>
      </c>
      <c r="Q115" s="18"/>
    </row>
    <row r="116" spans="1:19" ht="17.45" customHeight="1">
      <c r="A116" s="103"/>
      <c r="B116" s="31" t="s">
        <v>208</v>
      </c>
      <c r="C116" s="26" t="s">
        <v>209</v>
      </c>
      <c r="D116" s="81"/>
      <c r="E116" s="81"/>
      <c r="F116" s="81">
        <v>66.099999999999994</v>
      </c>
      <c r="G116" s="81"/>
      <c r="H116" s="81"/>
      <c r="I116" s="81"/>
      <c r="J116" s="81"/>
      <c r="K116" s="81"/>
      <c r="L116" s="81"/>
      <c r="M116" s="81"/>
      <c r="N116" s="81"/>
      <c r="O116" s="81"/>
      <c r="P116" s="81">
        <f>D116+E116+F116+G116+H116+I116+J116+K116+L116+M116+N116+O116</f>
        <v>66.099999999999994</v>
      </c>
      <c r="Q116" s="18"/>
    </row>
    <row r="117" spans="1:19" ht="17.45" customHeight="1">
      <c r="A117" s="103"/>
      <c r="B117" s="69" t="s">
        <v>210</v>
      </c>
      <c r="C117" s="70" t="s">
        <v>205</v>
      </c>
      <c r="D117" s="88">
        <f>D116</f>
        <v>0</v>
      </c>
      <c r="E117" s="88">
        <f t="shared" ref="E117:O117" si="21">E116</f>
        <v>0</v>
      </c>
      <c r="F117" s="88">
        <f t="shared" si="21"/>
        <v>66.099999999999994</v>
      </c>
      <c r="G117" s="88">
        <f t="shared" si="21"/>
        <v>0</v>
      </c>
      <c r="H117" s="88">
        <f t="shared" si="21"/>
        <v>0</v>
      </c>
      <c r="I117" s="88">
        <f t="shared" si="21"/>
        <v>0</v>
      </c>
      <c r="J117" s="88">
        <f t="shared" si="21"/>
        <v>0</v>
      </c>
      <c r="K117" s="88">
        <f t="shared" si="21"/>
        <v>0</v>
      </c>
      <c r="L117" s="88">
        <f t="shared" si="21"/>
        <v>0</v>
      </c>
      <c r="M117" s="88">
        <f t="shared" si="21"/>
        <v>0</v>
      </c>
      <c r="N117" s="88">
        <f t="shared" si="21"/>
        <v>0</v>
      </c>
      <c r="O117" s="88">
        <f t="shared" si="21"/>
        <v>0</v>
      </c>
      <c r="P117" s="88">
        <f>SUM(P115:P116)</f>
        <v>66.099999999999994</v>
      </c>
      <c r="Q117" s="22"/>
      <c r="R117" s="32"/>
      <c r="S117" s="22"/>
    </row>
    <row r="118" spans="1:19" ht="17.45" customHeight="1">
      <c r="A118" s="103"/>
      <c r="B118" s="31"/>
      <c r="C118" s="29" t="s">
        <v>211</v>
      </c>
      <c r="D118" s="81"/>
      <c r="E118" s="81"/>
      <c r="F118" s="81">
        <v>0</v>
      </c>
      <c r="G118" s="81"/>
      <c r="H118" s="81"/>
      <c r="I118" s="81"/>
      <c r="J118" s="81"/>
      <c r="K118" s="81"/>
      <c r="L118" s="81"/>
      <c r="M118" s="81"/>
      <c r="N118" s="81"/>
      <c r="O118" s="81"/>
      <c r="P118" s="81">
        <f t="shared" ref="P118:P127" si="22">D118+E118+F118+G118+H118+I118+J118+K118+L118+M118+N118+O118</f>
        <v>0</v>
      </c>
      <c r="Q118" s="18"/>
    </row>
    <row r="119" spans="1:19" ht="17.45" customHeight="1">
      <c r="A119" s="103"/>
      <c r="B119" s="31" t="s">
        <v>212</v>
      </c>
      <c r="C119" s="26" t="s">
        <v>213</v>
      </c>
      <c r="D119" s="81"/>
      <c r="E119" s="81"/>
      <c r="F119" s="81">
        <v>5152.54</v>
      </c>
      <c r="G119" s="81"/>
      <c r="H119" s="81"/>
      <c r="I119" s="81"/>
      <c r="J119" s="81"/>
      <c r="K119" s="81"/>
      <c r="L119" s="81"/>
      <c r="M119" s="81"/>
      <c r="N119" s="81"/>
      <c r="O119" s="81"/>
      <c r="P119" s="81">
        <f t="shared" si="22"/>
        <v>5152.54</v>
      </c>
      <c r="Q119" s="18"/>
    </row>
    <row r="120" spans="1:19" ht="17.45" customHeight="1">
      <c r="A120" s="103"/>
      <c r="B120" s="31" t="s">
        <v>214</v>
      </c>
      <c r="C120" s="26" t="s">
        <v>215</v>
      </c>
      <c r="D120" s="81"/>
      <c r="E120" s="81"/>
      <c r="F120" s="81">
        <v>0</v>
      </c>
      <c r="G120" s="81"/>
      <c r="H120" s="81"/>
      <c r="I120" s="81"/>
      <c r="J120" s="81"/>
      <c r="K120" s="81"/>
      <c r="L120" s="81"/>
      <c r="M120" s="81"/>
      <c r="N120" s="81"/>
      <c r="O120" s="81"/>
      <c r="P120" s="81">
        <f t="shared" si="22"/>
        <v>0</v>
      </c>
      <c r="Q120" s="18"/>
    </row>
    <row r="121" spans="1:19" ht="17.45" customHeight="1">
      <c r="A121" s="103"/>
      <c r="B121" s="31"/>
      <c r="C121" s="37" t="s">
        <v>216</v>
      </c>
      <c r="D121" s="81"/>
      <c r="E121" s="81"/>
      <c r="F121" s="81">
        <v>0</v>
      </c>
      <c r="G121" s="81"/>
      <c r="H121" s="81"/>
      <c r="I121" s="81"/>
      <c r="J121" s="81"/>
      <c r="K121" s="81"/>
      <c r="L121" s="81"/>
      <c r="M121" s="81"/>
      <c r="N121" s="81"/>
      <c r="O121" s="81"/>
      <c r="P121" s="81">
        <f t="shared" si="22"/>
        <v>0</v>
      </c>
      <c r="Q121" s="18"/>
    </row>
    <row r="122" spans="1:19" ht="17.45" customHeight="1">
      <c r="A122" s="103"/>
      <c r="B122" s="31" t="s">
        <v>217</v>
      </c>
      <c r="C122" s="26" t="s">
        <v>218</v>
      </c>
      <c r="D122" s="81"/>
      <c r="E122" s="81"/>
      <c r="F122" s="81">
        <v>279.98</v>
      </c>
      <c r="G122" s="81"/>
      <c r="H122" s="81"/>
      <c r="I122" s="81"/>
      <c r="J122" s="81"/>
      <c r="K122" s="81"/>
      <c r="L122" s="81"/>
      <c r="M122" s="81"/>
      <c r="N122" s="81"/>
      <c r="O122" s="81"/>
      <c r="P122" s="81">
        <f t="shared" si="22"/>
        <v>279.98</v>
      </c>
      <c r="Q122" s="18"/>
    </row>
    <row r="123" spans="1:19" ht="17.45" customHeight="1">
      <c r="A123" s="103"/>
      <c r="B123" s="31" t="s">
        <v>219</v>
      </c>
      <c r="C123" s="26" t="s">
        <v>220</v>
      </c>
      <c r="D123" s="81"/>
      <c r="E123" s="81"/>
      <c r="F123" s="81">
        <v>382.99</v>
      </c>
      <c r="G123" s="81"/>
      <c r="H123" s="81"/>
      <c r="I123" s="81"/>
      <c r="J123" s="81"/>
      <c r="K123" s="81"/>
      <c r="L123" s="81"/>
      <c r="M123" s="81"/>
      <c r="N123" s="81"/>
      <c r="O123" s="81"/>
      <c r="P123" s="81">
        <f t="shared" si="22"/>
        <v>382.99</v>
      </c>
      <c r="Q123" s="18"/>
    </row>
    <row r="124" spans="1:19" ht="17.45" customHeight="1">
      <c r="A124" s="103"/>
      <c r="B124" s="31" t="s">
        <v>221</v>
      </c>
      <c r="C124" s="26" t="s">
        <v>222</v>
      </c>
      <c r="D124" s="81"/>
      <c r="E124" s="81"/>
      <c r="F124" s="81">
        <v>0</v>
      </c>
      <c r="G124" s="81"/>
      <c r="H124" s="81"/>
      <c r="I124" s="81"/>
      <c r="J124" s="81"/>
      <c r="K124" s="81"/>
      <c r="L124" s="81"/>
      <c r="M124" s="81"/>
      <c r="N124" s="81"/>
      <c r="O124" s="81"/>
      <c r="P124" s="81">
        <f t="shared" si="22"/>
        <v>0</v>
      </c>
      <c r="Q124" s="18"/>
    </row>
    <row r="125" spans="1:19" ht="17.45" customHeight="1">
      <c r="A125" s="103"/>
      <c r="B125" s="31" t="s">
        <v>223</v>
      </c>
      <c r="C125" s="26" t="s">
        <v>224</v>
      </c>
      <c r="D125" s="81"/>
      <c r="E125" s="81"/>
      <c r="F125" s="81">
        <v>0</v>
      </c>
      <c r="G125" s="81"/>
      <c r="H125" s="81"/>
      <c r="I125" s="81"/>
      <c r="J125" s="81"/>
      <c r="K125" s="81"/>
      <c r="L125" s="81"/>
      <c r="M125" s="81"/>
      <c r="N125" s="81"/>
      <c r="O125" s="81"/>
      <c r="P125" s="81">
        <f t="shared" si="22"/>
        <v>0</v>
      </c>
      <c r="Q125" s="18"/>
    </row>
    <row r="126" spans="1:19" ht="17.45" customHeight="1">
      <c r="A126" s="103"/>
      <c r="B126" s="31" t="s">
        <v>225</v>
      </c>
      <c r="C126" s="26" t="s">
        <v>226</v>
      </c>
      <c r="D126" s="81"/>
      <c r="E126" s="81"/>
      <c r="F126" s="81">
        <v>125</v>
      </c>
      <c r="G126" s="81"/>
      <c r="H126" s="81"/>
      <c r="I126" s="81"/>
      <c r="J126" s="81"/>
      <c r="K126" s="81"/>
      <c r="L126" s="81"/>
      <c r="M126" s="81"/>
      <c r="N126" s="81"/>
      <c r="O126" s="81"/>
      <c r="P126" s="81">
        <f t="shared" si="22"/>
        <v>125</v>
      </c>
      <c r="Q126" s="18"/>
    </row>
    <row r="127" spans="1:19" ht="17.45" customHeight="1">
      <c r="A127" s="103"/>
      <c r="B127" s="31" t="s">
        <v>227</v>
      </c>
      <c r="C127" s="26" t="s">
        <v>228</v>
      </c>
      <c r="D127" s="81"/>
      <c r="E127" s="81"/>
      <c r="F127" s="81">
        <v>0</v>
      </c>
      <c r="G127" s="81"/>
      <c r="H127" s="81"/>
      <c r="I127" s="81"/>
      <c r="J127" s="81"/>
      <c r="K127" s="81"/>
      <c r="L127" s="81"/>
      <c r="M127" s="81"/>
      <c r="N127" s="81"/>
      <c r="O127" s="81"/>
      <c r="P127" s="81">
        <f t="shared" si="22"/>
        <v>0</v>
      </c>
      <c r="Q127" s="18"/>
    </row>
    <row r="128" spans="1:19" ht="17.45" customHeight="1">
      <c r="A128" s="103"/>
      <c r="B128" s="69" t="s">
        <v>229</v>
      </c>
      <c r="C128" s="70" t="s">
        <v>216</v>
      </c>
      <c r="D128" s="88">
        <f t="shared" ref="D128:O128" si="23">SUM(D122:D127)</f>
        <v>0</v>
      </c>
      <c r="E128" s="88">
        <f t="shared" si="23"/>
        <v>0</v>
      </c>
      <c r="F128" s="88">
        <f t="shared" si="23"/>
        <v>787.97</v>
      </c>
      <c r="G128" s="88">
        <f t="shared" si="23"/>
        <v>0</v>
      </c>
      <c r="H128" s="88">
        <f t="shared" si="23"/>
        <v>0</v>
      </c>
      <c r="I128" s="88">
        <f t="shared" si="23"/>
        <v>0</v>
      </c>
      <c r="J128" s="88">
        <f t="shared" si="23"/>
        <v>0</v>
      </c>
      <c r="K128" s="88">
        <f t="shared" si="23"/>
        <v>0</v>
      </c>
      <c r="L128" s="88">
        <f t="shared" si="23"/>
        <v>0</v>
      </c>
      <c r="M128" s="88">
        <f t="shared" si="23"/>
        <v>0</v>
      </c>
      <c r="N128" s="88">
        <f t="shared" si="23"/>
        <v>0</v>
      </c>
      <c r="O128" s="88">
        <f t="shared" si="23"/>
        <v>0</v>
      </c>
      <c r="P128" s="88">
        <f>SUM(P122:P127)</f>
        <v>787.97</v>
      </c>
      <c r="Q128" s="22"/>
      <c r="R128" s="32"/>
      <c r="S128" s="22"/>
    </row>
    <row r="129" spans="1:19" ht="17.45" customHeight="1">
      <c r="A129" s="103"/>
      <c r="B129" s="31" t="s">
        <v>230</v>
      </c>
      <c r="C129" s="26" t="s">
        <v>231</v>
      </c>
      <c r="D129" s="81"/>
      <c r="E129" s="81"/>
      <c r="F129" s="81">
        <v>5630.98</v>
      </c>
      <c r="G129" s="81"/>
      <c r="H129" s="81"/>
      <c r="I129" s="81"/>
      <c r="J129" s="81"/>
      <c r="K129" s="81"/>
      <c r="L129" s="81"/>
      <c r="M129" s="81"/>
      <c r="N129" s="81"/>
      <c r="O129" s="81"/>
      <c r="P129" s="81">
        <f>D129+E129+F129+G129+H129+I129+J129+K129+L129+M129+N129+O129</f>
        <v>5630.98</v>
      </c>
      <c r="Q129" s="18"/>
    </row>
    <row r="130" spans="1:19" ht="17.45" customHeight="1">
      <c r="A130" s="103"/>
      <c r="B130" s="31" t="s">
        <v>232</v>
      </c>
      <c r="C130" s="26" t="s">
        <v>233</v>
      </c>
      <c r="D130" s="81"/>
      <c r="E130" s="81"/>
      <c r="F130" s="81">
        <v>40.39</v>
      </c>
      <c r="G130" s="81"/>
      <c r="H130" s="81"/>
      <c r="I130" s="81"/>
      <c r="J130" s="81"/>
      <c r="K130" s="81"/>
      <c r="L130" s="81"/>
      <c r="M130" s="81"/>
      <c r="N130" s="81"/>
      <c r="O130" s="81"/>
      <c r="P130" s="81">
        <f>D130+E130+F130+G130+H130+I130+J130+K130+L130+M130+N130+O130</f>
        <v>40.39</v>
      </c>
      <c r="Q130" s="18"/>
    </row>
    <row r="131" spans="1:19" ht="17.45" customHeight="1">
      <c r="A131" s="103"/>
      <c r="B131" s="31" t="s">
        <v>234</v>
      </c>
      <c r="C131" s="26" t="s">
        <v>235</v>
      </c>
      <c r="D131" s="81"/>
      <c r="E131" s="81"/>
      <c r="F131" s="81">
        <v>0</v>
      </c>
      <c r="G131" s="81"/>
      <c r="H131" s="81"/>
      <c r="I131" s="81"/>
      <c r="J131" s="81"/>
      <c r="K131" s="81"/>
      <c r="L131" s="81"/>
      <c r="M131" s="81"/>
      <c r="N131" s="81"/>
      <c r="O131" s="81"/>
      <c r="P131" s="81">
        <f>D131+E131+F131+G131+H131+I131+J131+K131+L131+M131+N131+O131</f>
        <v>0</v>
      </c>
      <c r="Q131" s="18"/>
    </row>
    <row r="132" spans="1:19" ht="17.45" customHeight="1">
      <c r="A132" s="103"/>
      <c r="B132" s="69" t="s">
        <v>236</v>
      </c>
      <c r="C132" s="70" t="s">
        <v>211</v>
      </c>
      <c r="D132" s="88">
        <f t="shared" ref="D132:O132" si="24">D119+D128+D129+D130</f>
        <v>0</v>
      </c>
      <c r="E132" s="88">
        <f t="shared" si="24"/>
        <v>0</v>
      </c>
      <c r="F132" s="88">
        <f t="shared" si="24"/>
        <v>11611.88</v>
      </c>
      <c r="G132" s="88">
        <f t="shared" si="24"/>
        <v>0</v>
      </c>
      <c r="H132" s="88">
        <f t="shared" si="24"/>
        <v>0</v>
      </c>
      <c r="I132" s="88">
        <f t="shared" si="24"/>
        <v>0</v>
      </c>
      <c r="J132" s="88">
        <f t="shared" si="24"/>
        <v>0</v>
      </c>
      <c r="K132" s="88">
        <f t="shared" si="24"/>
        <v>0</v>
      </c>
      <c r="L132" s="88">
        <f t="shared" si="24"/>
        <v>0</v>
      </c>
      <c r="M132" s="88">
        <f t="shared" si="24"/>
        <v>0</v>
      </c>
      <c r="N132" s="88">
        <f t="shared" si="24"/>
        <v>0</v>
      </c>
      <c r="O132" s="88">
        <f t="shared" si="24"/>
        <v>0</v>
      </c>
      <c r="P132" s="88">
        <f>P119+P128+P129+P130</f>
        <v>11611.88</v>
      </c>
      <c r="Q132" s="22"/>
      <c r="R132" s="32"/>
      <c r="S132" s="22"/>
    </row>
    <row r="133" spans="1:19" ht="17.45" customHeight="1">
      <c r="A133" s="103"/>
      <c r="B133" s="31"/>
      <c r="C133" s="37" t="s">
        <v>237</v>
      </c>
      <c r="D133" s="81"/>
      <c r="E133" s="81"/>
      <c r="F133" s="81">
        <v>0</v>
      </c>
      <c r="G133" s="81"/>
      <c r="H133" s="81"/>
      <c r="I133" s="81"/>
      <c r="J133" s="81"/>
      <c r="K133" s="81"/>
      <c r="L133" s="81"/>
      <c r="M133" s="81"/>
      <c r="N133" s="81"/>
      <c r="O133" s="81"/>
      <c r="P133" s="81">
        <f>D133+E133+F133+G133+H133+I133+J133+K133+L133+M133+N133+O133</f>
        <v>0</v>
      </c>
      <c r="Q133" s="18"/>
    </row>
    <row r="134" spans="1:19" ht="17.45" customHeight="1">
      <c r="A134" s="103"/>
      <c r="B134" s="31" t="s">
        <v>238</v>
      </c>
      <c r="C134" s="26" t="s">
        <v>41</v>
      </c>
      <c r="D134" s="81"/>
      <c r="E134" s="81"/>
      <c r="F134" s="81">
        <v>0</v>
      </c>
      <c r="G134" s="81"/>
      <c r="H134" s="81"/>
      <c r="I134" s="81"/>
      <c r="J134" s="81"/>
      <c r="K134" s="81"/>
      <c r="L134" s="81"/>
      <c r="M134" s="81"/>
      <c r="N134" s="81"/>
      <c r="O134" s="81"/>
      <c r="P134" s="81">
        <f>D134+E134+F134+G134+H134+I134+J134+K134+L134+M134+N134+O134</f>
        <v>0</v>
      </c>
      <c r="Q134" s="18"/>
    </row>
    <row r="135" spans="1:19" ht="17.45" customHeight="1">
      <c r="A135" s="103"/>
      <c r="B135" s="31" t="s">
        <v>239</v>
      </c>
      <c r="C135" s="26" t="s">
        <v>240</v>
      </c>
      <c r="D135" s="81"/>
      <c r="E135" s="81"/>
      <c r="F135" s="81">
        <v>1019.2</v>
      </c>
      <c r="G135" s="81"/>
      <c r="H135" s="81"/>
      <c r="I135" s="81"/>
      <c r="J135" s="81"/>
      <c r="K135" s="81"/>
      <c r="L135" s="81"/>
      <c r="M135" s="81"/>
      <c r="N135" s="81"/>
      <c r="O135" s="81"/>
      <c r="P135" s="81">
        <f>D135+E135+F135+G135+H135+I135+J135+K135+L135+M135+N135+O135</f>
        <v>1019.2</v>
      </c>
      <c r="Q135" s="18"/>
    </row>
    <row r="136" spans="1:19" ht="17.45" customHeight="1">
      <c r="A136" s="103"/>
      <c r="B136" s="31" t="s">
        <v>241</v>
      </c>
      <c r="C136" s="26" t="s">
        <v>242</v>
      </c>
      <c r="D136" s="81"/>
      <c r="E136" s="81"/>
      <c r="F136" s="81">
        <v>1899.15</v>
      </c>
      <c r="G136" s="81"/>
      <c r="H136" s="81"/>
      <c r="I136" s="81"/>
      <c r="J136" s="81"/>
      <c r="K136" s="81"/>
      <c r="L136" s="81"/>
      <c r="M136" s="81"/>
      <c r="N136" s="81"/>
      <c r="O136" s="81"/>
      <c r="P136" s="81">
        <f>D136+E136+F136+G136+H136+I136+J136+K136+L136+M136+N136+O136</f>
        <v>1899.15</v>
      </c>
      <c r="Q136" s="18"/>
    </row>
    <row r="137" spans="1:19" ht="17.45" customHeight="1">
      <c r="A137" s="103"/>
      <c r="B137" s="65" t="s">
        <v>243</v>
      </c>
      <c r="C137" s="66" t="s">
        <v>237</v>
      </c>
      <c r="D137" s="116">
        <f t="shared" ref="D137:O137" si="25">SUM(D134:D136)</f>
        <v>0</v>
      </c>
      <c r="E137" s="116">
        <f t="shared" si="25"/>
        <v>0</v>
      </c>
      <c r="F137" s="116">
        <f t="shared" si="25"/>
        <v>2918.3500000000004</v>
      </c>
      <c r="G137" s="116">
        <f t="shared" si="25"/>
        <v>0</v>
      </c>
      <c r="H137" s="116">
        <f t="shared" si="25"/>
        <v>0</v>
      </c>
      <c r="I137" s="116">
        <f t="shared" si="25"/>
        <v>0</v>
      </c>
      <c r="J137" s="116">
        <f t="shared" si="25"/>
        <v>0</v>
      </c>
      <c r="K137" s="116">
        <f t="shared" si="25"/>
        <v>0</v>
      </c>
      <c r="L137" s="116">
        <f t="shared" si="25"/>
        <v>0</v>
      </c>
      <c r="M137" s="116">
        <f t="shared" si="25"/>
        <v>0</v>
      </c>
      <c r="N137" s="116">
        <f t="shared" si="25"/>
        <v>0</v>
      </c>
      <c r="O137" s="116">
        <f t="shared" si="25"/>
        <v>0</v>
      </c>
      <c r="P137" s="116">
        <f>SUM(P134:P136)</f>
        <v>2918.3500000000004</v>
      </c>
      <c r="Q137" s="22"/>
      <c r="R137" s="32"/>
      <c r="S137" s="22"/>
    </row>
    <row r="138" spans="1:19" ht="17.45" customHeight="1">
      <c r="A138" s="103"/>
      <c r="B138" s="74" t="s">
        <v>244</v>
      </c>
      <c r="C138" s="75" t="s">
        <v>204</v>
      </c>
      <c r="D138" s="88">
        <f t="shared" ref="D138:O138" si="26">D137+D132+D117</f>
        <v>0</v>
      </c>
      <c r="E138" s="88">
        <f t="shared" si="26"/>
        <v>0</v>
      </c>
      <c r="F138" s="88">
        <f t="shared" si="26"/>
        <v>14596.33</v>
      </c>
      <c r="G138" s="88">
        <f t="shared" si="26"/>
        <v>0</v>
      </c>
      <c r="H138" s="88">
        <f t="shared" si="26"/>
        <v>0</v>
      </c>
      <c r="I138" s="88">
        <f t="shared" si="26"/>
        <v>0</v>
      </c>
      <c r="J138" s="88">
        <f t="shared" si="26"/>
        <v>0</v>
      </c>
      <c r="K138" s="88">
        <f t="shared" si="26"/>
        <v>0</v>
      </c>
      <c r="L138" s="88">
        <f t="shared" si="26"/>
        <v>0</v>
      </c>
      <c r="M138" s="88">
        <f t="shared" si="26"/>
        <v>0</v>
      </c>
      <c r="N138" s="88">
        <f t="shared" si="26"/>
        <v>0</v>
      </c>
      <c r="O138" s="88">
        <f t="shared" si="26"/>
        <v>0</v>
      </c>
      <c r="P138" s="88">
        <f>P137+P132+P117</f>
        <v>14596.33</v>
      </c>
      <c r="Q138" s="22"/>
      <c r="R138" s="32"/>
      <c r="S138" s="22"/>
    </row>
    <row r="139" spans="1:19" ht="17.45" customHeight="1">
      <c r="A139" s="103"/>
      <c r="B139" s="31"/>
      <c r="C139" s="28" t="s">
        <v>245</v>
      </c>
      <c r="D139" s="81"/>
      <c r="E139" s="81"/>
      <c r="F139" s="81" t="s">
        <v>441</v>
      </c>
      <c r="G139" s="81"/>
      <c r="H139" s="81"/>
      <c r="I139" s="81"/>
      <c r="J139" s="81"/>
      <c r="K139" s="81"/>
      <c r="L139" s="81"/>
      <c r="M139" s="81"/>
      <c r="N139" s="81"/>
      <c r="O139" s="81"/>
      <c r="P139" s="81" t="e">
        <f t="shared" ref="P139:P146" si="27">D139+E139+F139+G139+H139+I139+J139+K139+L139+M139+N139+O139</f>
        <v>#VALUE!</v>
      </c>
      <c r="Q139" s="18"/>
    </row>
    <row r="140" spans="1:19" ht="17.45" customHeight="1">
      <c r="A140" s="103"/>
      <c r="B140" s="31"/>
      <c r="C140" s="29" t="s">
        <v>246</v>
      </c>
      <c r="D140" s="81"/>
      <c r="E140" s="81"/>
      <c r="F140" s="81">
        <v>0</v>
      </c>
      <c r="G140" s="81"/>
      <c r="H140" s="81"/>
      <c r="I140" s="81"/>
      <c r="J140" s="81"/>
      <c r="K140" s="81"/>
      <c r="L140" s="81"/>
      <c r="M140" s="81"/>
      <c r="N140" s="81"/>
      <c r="O140" s="81"/>
      <c r="P140" s="81">
        <f t="shared" si="27"/>
        <v>0</v>
      </c>
      <c r="Q140" s="18"/>
    </row>
    <row r="141" spans="1:19" ht="17.45" customHeight="1">
      <c r="A141" s="103"/>
      <c r="B141" s="31" t="s">
        <v>247</v>
      </c>
      <c r="C141" s="26" t="s">
        <v>248</v>
      </c>
      <c r="D141" s="81"/>
      <c r="E141" s="81"/>
      <c r="F141" s="81">
        <v>42720.01</v>
      </c>
      <c r="G141" s="81"/>
      <c r="H141" s="81"/>
      <c r="I141" s="81"/>
      <c r="J141" s="81"/>
      <c r="K141" s="81"/>
      <c r="L141" s="81"/>
      <c r="M141" s="81"/>
      <c r="N141" s="81"/>
      <c r="O141" s="81"/>
      <c r="P141" s="81">
        <f t="shared" si="27"/>
        <v>42720.01</v>
      </c>
      <c r="Q141" s="18"/>
    </row>
    <row r="142" spans="1:19" ht="17.45" customHeight="1">
      <c r="A142" s="103"/>
      <c r="B142" s="31" t="s">
        <v>249</v>
      </c>
      <c r="C142" s="26" t="s">
        <v>250</v>
      </c>
      <c r="D142" s="81"/>
      <c r="E142" s="81"/>
      <c r="F142" s="81">
        <v>2417.17</v>
      </c>
      <c r="G142" s="81"/>
      <c r="H142" s="81"/>
      <c r="I142" s="81"/>
      <c r="J142" s="81"/>
      <c r="K142" s="81"/>
      <c r="L142" s="81"/>
      <c r="M142" s="81"/>
      <c r="N142" s="81"/>
      <c r="O142" s="81"/>
      <c r="P142" s="81">
        <f t="shared" si="27"/>
        <v>2417.17</v>
      </c>
      <c r="Q142" s="18"/>
    </row>
    <row r="143" spans="1:19" ht="17.45" customHeight="1">
      <c r="A143" s="103"/>
      <c r="B143" s="31" t="s">
        <v>251</v>
      </c>
      <c r="C143" s="26" t="s">
        <v>252</v>
      </c>
      <c r="D143" s="81"/>
      <c r="E143" s="81"/>
      <c r="F143" s="81" t="s">
        <v>441</v>
      </c>
      <c r="G143" s="81"/>
      <c r="H143" s="81"/>
      <c r="I143" s="81"/>
      <c r="J143" s="81"/>
      <c r="K143" s="81"/>
      <c r="L143" s="81"/>
      <c r="M143" s="81"/>
      <c r="N143" s="81"/>
      <c r="O143" s="81"/>
      <c r="P143" s="81" t="e">
        <f t="shared" si="27"/>
        <v>#VALUE!</v>
      </c>
      <c r="Q143" s="18"/>
    </row>
    <row r="144" spans="1:19" ht="17.45" customHeight="1">
      <c r="A144" s="103"/>
      <c r="B144" s="31" t="s">
        <v>253</v>
      </c>
      <c r="C144" s="26" t="s">
        <v>123</v>
      </c>
      <c r="D144" s="81"/>
      <c r="E144" s="81"/>
      <c r="F144" s="81">
        <v>164.52</v>
      </c>
      <c r="G144" s="81"/>
      <c r="H144" s="81"/>
      <c r="I144" s="81"/>
      <c r="J144" s="81"/>
      <c r="K144" s="81"/>
      <c r="L144" s="81"/>
      <c r="M144" s="81"/>
      <c r="N144" s="81"/>
      <c r="O144" s="81"/>
      <c r="P144" s="81">
        <f t="shared" si="27"/>
        <v>164.52</v>
      </c>
      <c r="Q144" s="18"/>
    </row>
    <row r="145" spans="1:19" ht="17.45" customHeight="1">
      <c r="A145" s="103"/>
      <c r="B145" s="31" t="s">
        <v>254</v>
      </c>
      <c r="C145" s="26" t="s">
        <v>255</v>
      </c>
      <c r="D145" s="81"/>
      <c r="E145" s="81"/>
      <c r="F145" s="81">
        <v>0</v>
      </c>
      <c r="G145" s="81"/>
      <c r="H145" s="81"/>
      <c r="I145" s="81"/>
      <c r="J145" s="81"/>
      <c r="K145" s="81"/>
      <c r="L145" s="81"/>
      <c r="M145" s="81"/>
      <c r="N145" s="81"/>
      <c r="O145" s="81"/>
      <c r="P145" s="81">
        <f t="shared" si="27"/>
        <v>0</v>
      </c>
      <c r="Q145" s="18"/>
    </row>
    <row r="146" spans="1:19" ht="17.45" customHeight="1">
      <c r="A146" s="103"/>
      <c r="B146" s="31" t="s">
        <v>256</v>
      </c>
      <c r="C146" s="26" t="s">
        <v>257</v>
      </c>
      <c r="D146" s="81"/>
      <c r="E146" s="81"/>
      <c r="F146" s="81">
        <v>2255.6</v>
      </c>
      <c r="G146" s="81"/>
      <c r="H146" s="81"/>
      <c r="I146" s="81"/>
      <c r="J146" s="81"/>
      <c r="K146" s="81"/>
      <c r="L146" s="81"/>
      <c r="M146" s="81"/>
      <c r="N146" s="81"/>
      <c r="O146" s="81"/>
      <c r="P146" s="81">
        <f t="shared" si="27"/>
        <v>2255.6</v>
      </c>
      <c r="Q146" s="18"/>
    </row>
    <row r="147" spans="1:19" ht="17.45" customHeight="1">
      <c r="A147" s="103"/>
      <c r="B147" s="31"/>
      <c r="C147" s="26" t="s">
        <v>258</v>
      </c>
      <c r="D147" s="81"/>
      <c r="E147" s="81"/>
      <c r="F147" s="81">
        <v>0</v>
      </c>
      <c r="G147" s="81"/>
      <c r="H147" s="81"/>
      <c r="I147" s="81"/>
      <c r="J147" s="81"/>
      <c r="K147" s="81"/>
      <c r="L147" s="81"/>
      <c r="M147" s="81"/>
      <c r="N147" s="81"/>
      <c r="O147" s="81"/>
      <c r="P147" s="81" t="s">
        <v>0</v>
      </c>
      <c r="Q147" s="18"/>
    </row>
    <row r="148" spans="1:19" ht="17.45" customHeight="1">
      <c r="A148" s="103"/>
      <c r="B148" s="68" t="s">
        <v>259</v>
      </c>
      <c r="C148" s="67" t="s">
        <v>246</v>
      </c>
      <c r="D148" s="88">
        <f t="shared" ref="D148:P148" si="28">SUM(D141:D147)</f>
        <v>0</v>
      </c>
      <c r="E148" s="88">
        <f t="shared" si="28"/>
        <v>0</v>
      </c>
      <c r="F148" s="88">
        <f t="shared" si="28"/>
        <v>47557.299999999996</v>
      </c>
      <c r="G148" s="88">
        <f t="shared" si="28"/>
        <v>0</v>
      </c>
      <c r="H148" s="88">
        <f t="shared" si="28"/>
        <v>0</v>
      </c>
      <c r="I148" s="88">
        <f t="shared" si="28"/>
        <v>0</v>
      </c>
      <c r="J148" s="88">
        <f t="shared" si="28"/>
        <v>0</v>
      </c>
      <c r="K148" s="88">
        <f t="shared" si="28"/>
        <v>0</v>
      </c>
      <c r="L148" s="88">
        <f t="shared" si="28"/>
        <v>0</v>
      </c>
      <c r="M148" s="88">
        <f t="shared" si="28"/>
        <v>0</v>
      </c>
      <c r="N148" s="88">
        <f t="shared" si="28"/>
        <v>0</v>
      </c>
      <c r="O148" s="88">
        <f t="shared" si="28"/>
        <v>0</v>
      </c>
      <c r="P148" s="88" t="e">
        <f t="shared" si="28"/>
        <v>#VALUE!</v>
      </c>
      <c r="Q148" s="22"/>
      <c r="R148" s="32"/>
      <c r="S148" s="22"/>
    </row>
    <row r="149" spans="1:19" ht="17.45" customHeight="1">
      <c r="A149" s="103"/>
      <c r="B149" s="31"/>
      <c r="C149" s="28" t="s">
        <v>260</v>
      </c>
      <c r="D149" s="81"/>
      <c r="E149" s="81"/>
      <c r="F149" s="81" t="s">
        <v>441</v>
      </c>
      <c r="G149" s="81"/>
      <c r="H149" s="81"/>
      <c r="I149" s="81"/>
      <c r="J149" s="81"/>
      <c r="K149" s="81"/>
      <c r="L149" s="81"/>
      <c r="M149" s="81"/>
      <c r="N149" s="81"/>
      <c r="O149" s="81"/>
      <c r="P149" s="81" t="e">
        <f>D149+E149+F149+G149+H149+I149+J149+K149+L149+M149+N149+O149</f>
        <v>#VALUE!</v>
      </c>
      <c r="Q149" s="18"/>
    </row>
    <row r="150" spans="1:19" ht="17.45" customHeight="1">
      <c r="A150" s="103"/>
      <c r="B150" s="31" t="s">
        <v>261</v>
      </c>
      <c r="C150" s="26" t="s">
        <v>262</v>
      </c>
      <c r="D150" s="81"/>
      <c r="E150" s="81"/>
      <c r="F150" s="81">
        <v>0</v>
      </c>
      <c r="G150" s="81"/>
      <c r="H150" s="81"/>
      <c r="I150" s="81"/>
      <c r="J150" s="81"/>
      <c r="K150" s="81"/>
      <c r="L150" s="81"/>
      <c r="M150" s="81"/>
      <c r="N150" s="81"/>
      <c r="O150" s="81"/>
      <c r="P150" s="81">
        <f>D150+E150+F150+G150+H150+I150+J150+K150+L150+M150+N150+O150</f>
        <v>0</v>
      </c>
      <c r="Q150" s="18"/>
    </row>
    <row r="151" spans="1:19" ht="17.45" customHeight="1">
      <c r="A151" s="103"/>
      <c r="B151" s="31" t="s">
        <v>263</v>
      </c>
      <c r="C151" s="26" t="s">
        <v>264</v>
      </c>
      <c r="D151" s="81"/>
      <c r="E151" s="81"/>
      <c r="F151" s="81">
        <v>118.19</v>
      </c>
      <c r="G151" s="81"/>
      <c r="H151" s="81"/>
      <c r="I151" s="81"/>
      <c r="J151" s="81"/>
      <c r="K151" s="81"/>
      <c r="L151" s="81"/>
      <c r="M151" s="81"/>
      <c r="N151" s="81"/>
      <c r="O151" s="81"/>
      <c r="P151" s="81">
        <f>D151+E151+F151+G151+H151+I151+J151+K151+L151+M151+N151+O151</f>
        <v>118.19</v>
      </c>
      <c r="Q151" s="18"/>
    </row>
    <row r="152" spans="1:19" ht="17.45" customHeight="1">
      <c r="A152" s="103"/>
      <c r="B152" s="31" t="s">
        <v>265</v>
      </c>
      <c r="C152" s="26" t="s">
        <v>266</v>
      </c>
      <c r="D152" s="81"/>
      <c r="E152" s="81"/>
      <c r="F152" s="81">
        <v>0</v>
      </c>
      <c r="G152" s="81"/>
      <c r="H152" s="81"/>
      <c r="I152" s="81"/>
      <c r="J152" s="81"/>
      <c r="K152" s="81"/>
      <c r="L152" s="81"/>
      <c r="M152" s="81"/>
      <c r="N152" s="81"/>
      <c r="O152" s="81"/>
      <c r="P152" s="81">
        <f>D152+E152+F152+G152+H152+I152+J152+K152+L152+M152+N152+O152</f>
        <v>0</v>
      </c>
      <c r="Q152" s="18"/>
    </row>
    <row r="153" spans="1:19" ht="17.45" customHeight="1">
      <c r="A153" s="103"/>
      <c r="B153" s="31" t="s">
        <v>267</v>
      </c>
      <c r="C153" s="26" t="s">
        <v>268</v>
      </c>
      <c r="D153" s="81">
        <v>0</v>
      </c>
      <c r="E153" s="81"/>
      <c r="F153" s="81">
        <v>471.06</v>
      </c>
      <c r="G153" s="81"/>
      <c r="H153" s="81"/>
      <c r="I153" s="81"/>
      <c r="J153" s="81"/>
      <c r="K153" s="81"/>
      <c r="L153" s="81"/>
      <c r="M153" s="81"/>
      <c r="N153" s="81"/>
      <c r="O153" s="81"/>
      <c r="P153" s="81">
        <f>D153+E153+F153+G153+H153+I153+J153+K153+L153+M153+N153+O153</f>
        <v>471.06</v>
      </c>
      <c r="Q153" s="18"/>
    </row>
    <row r="154" spans="1:19" ht="17.45" customHeight="1">
      <c r="A154" s="103"/>
      <c r="B154" s="68" t="s">
        <v>269</v>
      </c>
      <c r="C154" s="67" t="s">
        <v>260</v>
      </c>
      <c r="D154" s="88">
        <f t="shared" ref="D154:O154" si="29">SUM(D151:D153)</f>
        <v>0</v>
      </c>
      <c r="E154" s="88">
        <f t="shared" si="29"/>
        <v>0</v>
      </c>
      <c r="F154" s="88">
        <f t="shared" si="29"/>
        <v>589.25</v>
      </c>
      <c r="G154" s="88">
        <f t="shared" si="29"/>
        <v>0</v>
      </c>
      <c r="H154" s="88">
        <f t="shared" si="29"/>
        <v>0</v>
      </c>
      <c r="I154" s="88">
        <f t="shared" si="29"/>
        <v>0</v>
      </c>
      <c r="J154" s="88">
        <f t="shared" si="29"/>
        <v>0</v>
      </c>
      <c r="K154" s="88">
        <f t="shared" si="29"/>
        <v>0</v>
      </c>
      <c r="L154" s="88">
        <f t="shared" si="29"/>
        <v>0</v>
      </c>
      <c r="M154" s="88">
        <f t="shared" si="29"/>
        <v>0</v>
      </c>
      <c r="N154" s="88">
        <f t="shared" si="29"/>
        <v>0</v>
      </c>
      <c r="O154" s="88">
        <f t="shared" si="29"/>
        <v>0</v>
      </c>
      <c r="P154" s="88">
        <f>SUM(P151:P153)</f>
        <v>589.25</v>
      </c>
      <c r="Q154" s="22"/>
      <c r="R154" s="32"/>
      <c r="S154" s="22"/>
    </row>
    <row r="155" spans="1:19" ht="17.45" customHeight="1">
      <c r="A155" s="103"/>
      <c r="B155" s="31"/>
      <c r="C155" s="28" t="s">
        <v>270</v>
      </c>
      <c r="D155" s="81"/>
      <c r="E155" s="81"/>
      <c r="F155" s="81">
        <v>0</v>
      </c>
      <c r="G155" s="81"/>
      <c r="H155" s="81"/>
      <c r="I155" s="81"/>
      <c r="J155" s="81"/>
      <c r="K155" s="81"/>
      <c r="L155" s="81"/>
      <c r="M155" s="81"/>
      <c r="N155" s="81"/>
      <c r="O155" s="81"/>
      <c r="P155" s="81">
        <f>D155+E155+F155+G155+H155+I155+J155+K155+L155+M155+N155+O155</f>
        <v>0</v>
      </c>
      <c r="Q155" s="18"/>
    </row>
    <row r="156" spans="1:19" ht="17.45" customHeight="1">
      <c r="A156" s="103"/>
      <c r="B156" s="31" t="s">
        <v>271</v>
      </c>
      <c r="C156" s="26" t="s">
        <v>272</v>
      </c>
      <c r="D156" s="81"/>
      <c r="E156" s="81"/>
      <c r="F156" s="81">
        <v>0</v>
      </c>
      <c r="G156" s="81"/>
      <c r="H156" s="81"/>
      <c r="I156" s="81"/>
      <c r="J156" s="81"/>
      <c r="K156" s="81"/>
      <c r="L156" s="81"/>
      <c r="M156" s="81"/>
      <c r="N156" s="81"/>
      <c r="O156" s="81"/>
      <c r="P156" s="81">
        <f>D156+E156+F156+G156+H156+I156+J156+K156+L156+M156+N156+O156</f>
        <v>0</v>
      </c>
      <c r="Q156" s="18"/>
    </row>
    <row r="157" spans="1:19" ht="17.45" customHeight="1">
      <c r="A157" s="103"/>
      <c r="B157" s="31" t="s">
        <v>273</v>
      </c>
      <c r="C157" s="26" t="s">
        <v>129</v>
      </c>
      <c r="D157" s="81"/>
      <c r="E157" s="81"/>
      <c r="F157" s="81">
        <v>82.93</v>
      </c>
      <c r="G157" s="81"/>
      <c r="H157" s="81"/>
      <c r="I157" s="81"/>
      <c r="J157" s="81"/>
      <c r="K157" s="81"/>
      <c r="L157" s="81"/>
      <c r="M157" s="81"/>
      <c r="N157" s="81"/>
      <c r="O157" s="81"/>
      <c r="P157" s="81">
        <f>D157+E157+F157+G157+H157+I157+J157+K157+L157+M157+N157+O157</f>
        <v>82.93</v>
      </c>
      <c r="Q157" s="18"/>
    </row>
    <row r="158" spans="1:19" ht="17.45" customHeight="1">
      <c r="A158" s="103"/>
      <c r="B158" s="68" t="s">
        <v>274</v>
      </c>
      <c r="C158" s="67" t="s">
        <v>270</v>
      </c>
      <c r="D158" s="88">
        <f>D157+D156</f>
        <v>0</v>
      </c>
      <c r="E158" s="88">
        <f t="shared" ref="E158:P158" si="30">E157+E156</f>
        <v>0</v>
      </c>
      <c r="F158" s="88">
        <f t="shared" si="30"/>
        <v>82.93</v>
      </c>
      <c r="G158" s="88">
        <f t="shared" si="30"/>
        <v>0</v>
      </c>
      <c r="H158" s="88">
        <f t="shared" si="30"/>
        <v>0</v>
      </c>
      <c r="I158" s="88">
        <f t="shared" si="30"/>
        <v>0</v>
      </c>
      <c r="J158" s="88">
        <f t="shared" si="30"/>
        <v>0</v>
      </c>
      <c r="K158" s="88">
        <f t="shared" si="30"/>
        <v>0</v>
      </c>
      <c r="L158" s="88">
        <f t="shared" si="30"/>
        <v>0</v>
      </c>
      <c r="M158" s="88">
        <f t="shared" si="30"/>
        <v>0</v>
      </c>
      <c r="N158" s="88">
        <f t="shared" si="30"/>
        <v>0</v>
      </c>
      <c r="O158" s="88">
        <f t="shared" si="30"/>
        <v>0</v>
      </c>
      <c r="P158" s="88">
        <f t="shared" si="30"/>
        <v>82.93</v>
      </c>
      <c r="Q158" s="22"/>
      <c r="R158" s="32"/>
      <c r="S158" s="22"/>
    </row>
    <row r="159" spans="1:19" ht="17.45" customHeight="1">
      <c r="A159" s="103"/>
      <c r="B159" s="31" t="s">
        <v>275</v>
      </c>
      <c r="C159" s="26" t="s">
        <v>276</v>
      </c>
      <c r="D159" s="81"/>
      <c r="E159" s="81"/>
      <c r="F159" s="81" t="s">
        <v>441</v>
      </c>
      <c r="G159" s="81"/>
      <c r="H159" s="81"/>
      <c r="I159" s="81"/>
      <c r="J159" s="81"/>
      <c r="K159" s="81"/>
      <c r="L159" s="81"/>
      <c r="M159" s="81"/>
      <c r="N159" s="81"/>
      <c r="O159" s="81"/>
      <c r="P159" s="81" t="e">
        <f t="shared" ref="P159:P169" si="31">D159+E159+F159+G159+H159+I159+J159+K159+L159+M159+N159+O159</f>
        <v>#VALUE!</v>
      </c>
      <c r="Q159" s="18"/>
    </row>
    <row r="160" spans="1:19" ht="17.45" customHeight="1">
      <c r="A160" s="103"/>
      <c r="B160" s="31" t="s">
        <v>277</v>
      </c>
      <c r="C160" s="26" t="s">
        <v>278</v>
      </c>
      <c r="D160" s="81"/>
      <c r="E160" s="81"/>
      <c r="F160" s="81">
        <v>0</v>
      </c>
      <c r="G160" s="81"/>
      <c r="H160" s="81"/>
      <c r="I160" s="81"/>
      <c r="J160" s="81"/>
      <c r="K160" s="81"/>
      <c r="L160" s="81"/>
      <c r="M160" s="81"/>
      <c r="N160" s="81"/>
      <c r="O160" s="81"/>
      <c r="P160" s="81">
        <f t="shared" si="31"/>
        <v>0</v>
      </c>
      <c r="Q160" s="18"/>
    </row>
    <row r="161" spans="1:19" ht="17.45" customHeight="1">
      <c r="A161" s="103"/>
      <c r="B161" s="31"/>
      <c r="C161" s="26" t="s">
        <v>279</v>
      </c>
      <c r="D161" s="81"/>
      <c r="E161" s="81"/>
      <c r="F161" s="81">
        <v>743.73</v>
      </c>
      <c r="G161" s="81"/>
      <c r="H161" s="81"/>
      <c r="I161" s="81"/>
      <c r="J161" s="81"/>
      <c r="K161" s="81"/>
      <c r="L161" s="81"/>
      <c r="M161" s="81"/>
      <c r="N161" s="81"/>
      <c r="O161" s="81"/>
      <c r="P161" s="81">
        <f t="shared" si="31"/>
        <v>743.73</v>
      </c>
      <c r="Q161" s="18"/>
    </row>
    <row r="162" spans="1:19" ht="17.45" customHeight="1">
      <c r="A162" s="103"/>
      <c r="B162" s="31" t="s">
        <v>280</v>
      </c>
      <c r="C162" s="26" t="s">
        <v>281</v>
      </c>
      <c r="D162" s="81"/>
      <c r="E162" s="81"/>
      <c r="F162" s="81">
        <v>0</v>
      </c>
      <c r="G162" s="81"/>
      <c r="H162" s="81"/>
      <c r="I162" s="81"/>
      <c r="J162" s="81"/>
      <c r="K162" s="81"/>
      <c r="L162" s="81"/>
      <c r="M162" s="81"/>
      <c r="N162" s="81"/>
      <c r="O162" s="81"/>
      <c r="P162" s="81">
        <f t="shared" si="31"/>
        <v>0</v>
      </c>
      <c r="Q162" s="18"/>
    </row>
    <row r="163" spans="1:19" ht="17.45" customHeight="1">
      <c r="A163" s="103"/>
      <c r="B163" s="31" t="s">
        <v>282</v>
      </c>
      <c r="C163" s="26" t="s">
        <v>283</v>
      </c>
      <c r="D163" s="81"/>
      <c r="E163" s="81"/>
      <c r="F163" s="81">
        <v>161.93</v>
      </c>
      <c r="G163" s="81"/>
      <c r="H163" s="81"/>
      <c r="I163" s="81"/>
      <c r="J163" s="81"/>
      <c r="K163" s="81"/>
      <c r="L163" s="81"/>
      <c r="M163" s="81"/>
      <c r="N163" s="81"/>
      <c r="O163" s="81"/>
      <c r="P163" s="81">
        <f t="shared" si="31"/>
        <v>161.93</v>
      </c>
      <c r="Q163" s="18"/>
    </row>
    <row r="164" spans="1:19" ht="17.45" customHeight="1">
      <c r="A164" s="103"/>
      <c r="B164" s="31" t="s">
        <v>284</v>
      </c>
      <c r="C164" s="26" t="s">
        <v>285</v>
      </c>
      <c r="D164" s="81"/>
      <c r="E164" s="81"/>
      <c r="F164" s="81">
        <v>573.72</v>
      </c>
      <c r="G164" s="81"/>
      <c r="H164" s="81"/>
      <c r="I164" s="81"/>
      <c r="J164" s="81"/>
      <c r="K164" s="81"/>
      <c r="L164" s="81"/>
      <c r="M164" s="81"/>
      <c r="N164" s="81"/>
      <c r="O164" s="81"/>
      <c r="P164" s="81">
        <f t="shared" si="31"/>
        <v>573.72</v>
      </c>
      <c r="Q164" s="18"/>
    </row>
    <row r="165" spans="1:19" ht="17.45" customHeight="1">
      <c r="A165" s="103"/>
      <c r="B165" s="31" t="s">
        <v>286</v>
      </c>
      <c r="C165" s="26" t="s">
        <v>287</v>
      </c>
      <c r="D165" s="81"/>
      <c r="E165" s="81"/>
      <c r="F165" s="81">
        <v>161.93</v>
      </c>
      <c r="G165" s="81"/>
      <c r="H165" s="81"/>
      <c r="I165" s="81"/>
      <c r="J165" s="81"/>
      <c r="K165" s="81"/>
      <c r="L165" s="81"/>
      <c r="M165" s="81"/>
      <c r="N165" s="81"/>
      <c r="O165" s="81"/>
      <c r="P165" s="81">
        <f t="shared" si="31"/>
        <v>161.93</v>
      </c>
      <c r="Q165" s="18"/>
    </row>
    <row r="166" spans="1:19" ht="17.45" customHeight="1">
      <c r="A166" s="103"/>
      <c r="B166" s="31"/>
      <c r="C166" s="28" t="s">
        <v>288</v>
      </c>
      <c r="D166" s="81"/>
      <c r="E166" s="81"/>
      <c r="F166" s="81">
        <v>0</v>
      </c>
      <c r="G166" s="81"/>
      <c r="H166" s="81"/>
      <c r="I166" s="81"/>
      <c r="J166" s="81"/>
      <c r="K166" s="81"/>
      <c r="L166" s="81"/>
      <c r="M166" s="81"/>
      <c r="N166" s="81"/>
      <c r="O166" s="81"/>
      <c r="P166" s="81">
        <f t="shared" si="31"/>
        <v>0</v>
      </c>
      <c r="Q166" s="18"/>
    </row>
    <row r="167" spans="1:19" ht="17.45" customHeight="1">
      <c r="A167" s="103"/>
      <c r="B167" s="31" t="s">
        <v>289</v>
      </c>
      <c r="C167" s="26" t="s">
        <v>290</v>
      </c>
      <c r="D167" s="81"/>
      <c r="E167" s="81"/>
      <c r="F167" s="81">
        <v>124.14</v>
      </c>
      <c r="G167" s="81"/>
      <c r="H167" s="81"/>
      <c r="I167" s="81"/>
      <c r="J167" s="81"/>
      <c r="K167" s="81"/>
      <c r="L167" s="81"/>
      <c r="M167" s="81"/>
      <c r="N167" s="81"/>
      <c r="O167" s="81"/>
      <c r="P167" s="81">
        <f t="shared" si="31"/>
        <v>124.14</v>
      </c>
      <c r="Q167" s="18"/>
    </row>
    <row r="168" spans="1:19" ht="17.45" customHeight="1">
      <c r="A168" s="103"/>
      <c r="B168" s="31" t="s">
        <v>291</v>
      </c>
      <c r="C168" s="26" t="s">
        <v>292</v>
      </c>
      <c r="D168" s="81"/>
      <c r="E168" s="81"/>
      <c r="F168" s="81">
        <v>0</v>
      </c>
      <c r="G168" s="81"/>
      <c r="H168" s="81"/>
      <c r="I168" s="81"/>
      <c r="J168" s="81"/>
      <c r="K168" s="81"/>
      <c r="L168" s="81"/>
      <c r="M168" s="81"/>
      <c r="N168" s="81"/>
      <c r="O168" s="81"/>
      <c r="P168" s="81">
        <f t="shared" si="31"/>
        <v>0</v>
      </c>
      <c r="Q168" s="18"/>
    </row>
    <row r="169" spans="1:19" ht="17.45" customHeight="1">
      <c r="A169" s="103"/>
      <c r="B169" s="31" t="s">
        <v>293</v>
      </c>
      <c r="C169" s="26" t="s">
        <v>294</v>
      </c>
      <c r="D169" s="81"/>
      <c r="E169" s="81"/>
      <c r="F169" s="81">
        <v>0</v>
      </c>
      <c r="G169" s="81"/>
      <c r="H169" s="81"/>
      <c r="I169" s="81"/>
      <c r="J169" s="81"/>
      <c r="K169" s="81"/>
      <c r="L169" s="81"/>
      <c r="M169" s="81"/>
      <c r="N169" s="81"/>
      <c r="O169" s="81"/>
      <c r="P169" s="81">
        <f t="shared" si="31"/>
        <v>0</v>
      </c>
      <c r="Q169" s="18"/>
    </row>
    <row r="170" spans="1:19" ht="17.45" customHeight="1">
      <c r="A170" s="103"/>
      <c r="B170" s="68" t="s">
        <v>295</v>
      </c>
      <c r="C170" s="67" t="s">
        <v>288</v>
      </c>
      <c r="D170" s="88">
        <f t="shared" ref="D170:O170" si="32">SUM(D167:D169)</f>
        <v>0</v>
      </c>
      <c r="E170" s="88">
        <f t="shared" si="32"/>
        <v>0</v>
      </c>
      <c r="F170" s="88">
        <f t="shared" si="32"/>
        <v>124.14</v>
      </c>
      <c r="G170" s="88">
        <f t="shared" si="32"/>
        <v>0</v>
      </c>
      <c r="H170" s="88">
        <f t="shared" si="32"/>
        <v>0</v>
      </c>
      <c r="I170" s="88">
        <f t="shared" si="32"/>
        <v>0</v>
      </c>
      <c r="J170" s="88">
        <f t="shared" si="32"/>
        <v>0</v>
      </c>
      <c r="K170" s="88">
        <f t="shared" si="32"/>
        <v>0</v>
      </c>
      <c r="L170" s="88">
        <f t="shared" si="32"/>
        <v>0</v>
      </c>
      <c r="M170" s="88">
        <f t="shared" si="32"/>
        <v>0</v>
      </c>
      <c r="N170" s="88">
        <f t="shared" si="32"/>
        <v>0</v>
      </c>
      <c r="O170" s="88">
        <f t="shared" si="32"/>
        <v>0</v>
      </c>
      <c r="P170" s="88">
        <f>SUM(P167:P169)</f>
        <v>124.14</v>
      </c>
      <c r="Q170" s="22"/>
      <c r="R170" s="32"/>
      <c r="S170" s="22"/>
    </row>
    <row r="171" spans="1:19" ht="17.45" customHeight="1">
      <c r="A171" s="103"/>
      <c r="B171" s="31"/>
      <c r="C171" s="28" t="s">
        <v>296</v>
      </c>
      <c r="D171" s="81"/>
      <c r="E171" s="81"/>
      <c r="F171" s="81">
        <v>0</v>
      </c>
      <c r="G171" s="81"/>
      <c r="H171" s="81"/>
      <c r="I171" s="81"/>
      <c r="J171" s="81"/>
      <c r="K171" s="81"/>
      <c r="L171" s="81"/>
      <c r="M171" s="81"/>
      <c r="N171" s="81"/>
      <c r="O171" s="81"/>
      <c r="P171" s="81">
        <f>D171+E171+F171+G171+H171+I171+J171+K171+L171+M171+N171+O171</f>
        <v>0</v>
      </c>
      <c r="Q171" s="18"/>
    </row>
    <row r="172" spans="1:19" ht="17.45" customHeight="1">
      <c r="A172" s="103"/>
      <c r="B172" s="31" t="s">
        <v>297</v>
      </c>
      <c r="C172" s="26" t="s">
        <v>298</v>
      </c>
      <c r="D172" s="81"/>
      <c r="E172" s="81"/>
      <c r="F172" s="81" t="s">
        <v>441</v>
      </c>
      <c r="G172" s="81"/>
      <c r="H172" s="81"/>
      <c r="I172" s="81"/>
      <c r="J172" s="81"/>
      <c r="K172" s="81"/>
      <c r="L172" s="81"/>
      <c r="M172" s="81"/>
      <c r="N172" s="81"/>
      <c r="O172" s="81"/>
      <c r="P172" s="81" t="e">
        <f>D172+E172+F172+G172+H172+I172+J172+K172+L172+M172+N172+O172</f>
        <v>#VALUE!</v>
      </c>
      <c r="Q172" s="18"/>
    </row>
    <row r="173" spans="1:19" ht="17.45" customHeight="1">
      <c r="A173" s="103"/>
      <c r="B173" s="31" t="s">
        <v>299</v>
      </c>
      <c r="C173" s="26" t="s">
        <v>300</v>
      </c>
      <c r="D173" s="81"/>
      <c r="E173" s="81"/>
      <c r="F173" s="81">
        <v>0</v>
      </c>
      <c r="G173" s="81"/>
      <c r="H173" s="81"/>
      <c r="I173" s="81"/>
      <c r="J173" s="81"/>
      <c r="K173" s="81"/>
      <c r="L173" s="81"/>
      <c r="M173" s="81"/>
      <c r="N173" s="81"/>
      <c r="O173" s="81"/>
      <c r="P173" s="81">
        <f>D173+E173+F173+G173+H173+I173+J173+K173+L173+M173+N173+O173</f>
        <v>0</v>
      </c>
      <c r="Q173" s="18"/>
    </row>
    <row r="174" spans="1:19" ht="17.45" customHeight="1">
      <c r="A174" s="103"/>
      <c r="B174" s="31" t="s">
        <v>301</v>
      </c>
      <c r="C174" s="26" t="s">
        <v>302</v>
      </c>
      <c r="D174" s="81"/>
      <c r="E174" s="81"/>
      <c r="F174" s="81" t="s">
        <v>441</v>
      </c>
      <c r="G174" s="81"/>
      <c r="H174" s="81"/>
      <c r="I174" s="81"/>
      <c r="J174" s="81"/>
      <c r="K174" s="81"/>
      <c r="L174" s="81"/>
      <c r="M174" s="81"/>
      <c r="N174" s="81"/>
      <c r="O174" s="81"/>
      <c r="P174" s="81" t="e">
        <f>D174+E174+F174+G174+H174+I174+J174+K174+L174+M174+N174+O174</f>
        <v>#VALUE!</v>
      </c>
      <c r="Q174" s="18"/>
    </row>
    <row r="175" spans="1:19" ht="17.45" customHeight="1">
      <c r="A175" s="103"/>
      <c r="B175" s="68" t="s">
        <v>303</v>
      </c>
      <c r="C175" s="67" t="s">
        <v>296</v>
      </c>
      <c r="D175" s="88">
        <f t="shared" ref="D175:O175" si="33">SUM(D172:D174)</f>
        <v>0</v>
      </c>
      <c r="E175" s="88">
        <f t="shared" si="33"/>
        <v>0</v>
      </c>
      <c r="F175" s="88">
        <f t="shared" si="33"/>
        <v>0</v>
      </c>
      <c r="G175" s="88">
        <f t="shared" si="33"/>
        <v>0</v>
      </c>
      <c r="H175" s="88">
        <f t="shared" si="33"/>
        <v>0</v>
      </c>
      <c r="I175" s="88">
        <f t="shared" si="33"/>
        <v>0</v>
      </c>
      <c r="J175" s="88">
        <f t="shared" si="33"/>
        <v>0</v>
      </c>
      <c r="K175" s="88">
        <f t="shared" si="33"/>
        <v>0</v>
      </c>
      <c r="L175" s="88">
        <f t="shared" si="33"/>
        <v>0</v>
      </c>
      <c r="M175" s="88">
        <f t="shared" si="33"/>
        <v>0</v>
      </c>
      <c r="N175" s="88">
        <f t="shared" si="33"/>
        <v>0</v>
      </c>
      <c r="O175" s="88">
        <f t="shared" si="33"/>
        <v>0</v>
      </c>
      <c r="P175" s="88" t="e">
        <f>SUM(P172:P174)</f>
        <v>#VALUE!</v>
      </c>
      <c r="Q175" s="22"/>
      <c r="R175" s="32"/>
      <c r="S175" s="22"/>
    </row>
    <row r="176" spans="1:19" ht="17.45" customHeight="1">
      <c r="A176" s="103"/>
      <c r="B176" s="31" t="s">
        <v>304</v>
      </c>
      <c r="C176" s="26" t="s">
        <v>305</v>
      </c>
      <c r="D176" s="81"/>
      <c r="E176" s="81"/>
      <c r="F176" s="81">
        <v>4004.44</v>
      </c>
      <c r="G176" s="81"/>
      <c r="H176" s="81"/>
      <c r="I176" s="81"/>
      <c r="J176" s="81"/>
      <c r="K176" s="81"/>
      <c r="L176" s="81"/>
      <c r="M176" s="81"/>
      <c r="N176" s="81"/>
      <c r="O176" s="81"/>
      <c r="P176" s="81">
        <f t="shared" ref="P176:P181" si="34">D176+E176+F176+G176+H176+I176+J176+K176+L176+M176+N176+O176</f>
        <v>4004.44</v>
      </c>
      <c r="Q176" s="18"/>
    </row>
    <row r="177" spans="1:19" ht="17.45" customHeight="1">
      <c r="A177" s="103"/>
      <c r="B177" s="31" t="s">
        <v>306</v>
      </c>
      <c r="C177" s="26" t="s">
        <v>307</v>
      </c>
      <c r="D177" s="81"/>
      <c r="E177" s="81"/>
      <c r="F177" s="81">
        <v>1089.1300000000001</v>
      </c>
      <c r="G177" s="81"/>
      <c r="H177" s="81"/>
      <c r="I177" s="81"/>
      <c r="J177" s="81"/>
      <c r="K177" s="81"/>
      <c r="L177" s="81"/>
      <c r="M177" s="81"/>
      <c r="N177" s="81"/>
      <c r="O177" s="81"/>
      <c r="P177" s="81">
        <f t="shared" si="34"/>
        <v>1089.1300000000001</v>
      </c>
      <c r="Q177" s="18"/>
    </row>
    <row r="178" spans="1:19" ht="17.45" customHeight="1">
      <c r="A178" s="103"/>
      <c r="B178" s="31"/>
      <c r="C178" s="28" t="s">
        <v>308</v>
      </c>
      <c r="D178" s="81"/>
      <c r="E178" s="81"/>
      <c r="F178" s="81">
        <v>0</v>
      </c>
      <c r="G178" s="81"/>
      <c r="H178" s="81"/>
      <c r="I178" s="81"/>
      <c r="J178" s="81"/>
      <c r="K178" s="81"/>
      <c r="L178" s="81"/>
      <c r="M178" s="81"/>
      <c r="N178" s="81"/>
      <c r="O178" s="81"/>
      <c r="P178" s="81">
        <f t="shared" si="34"/>
        <v>0</v>
      </c>
      <c r="Q178" s="18"/>
    </row>
    <row r="179" spans="1:19" ht="17.45" customHeight="1">
      <c r="A179" s="103"/>
      <c r="B179" s="31" t="s">
        <v>309</v>
      </c>
      <c r="C179" s="26" t="s">
        <v>310</v>
      </c>
      <c r="D179" s="81"/>
      <c r="E179" s="81"/>
      <c r="F179" s="81" t="s">
        <v>441</v>
      </c>
      <c r="G179" s="81"/>
      <c r="H179" s="81"/>
      <c r="I179" s="81"/>
      <c r="J179" s="81"/>
      <c r="K179" s="81"/>
      <c r="L179" s="81"/>
      <c r="M179" s="81"/>
      <c r="N179" s="81"/>
      <c r="O179" s="81"/>
      <c r="P179" s="81" t="e">
        <f t="shared" si="34"/>
        <v>#VALUE!</v>
      </c>
      <c r="Q179" s="18"/>
    </row>
    <row r="180" spans="1:19" ht="17.45" customHeight="1">
      <c r="A180" s="103"/>
      <c r="B180" s="31" t="s">
        <v>311</v>
      </c>
      <c r="C180" s="26" t="s">
        <v>312</v>
      </c>
      <c r="D180" s="81"/>
      <c r="E180" s="81"/>
      <c r="F180" s="81" t="s">
        <v>441</v>
      </c>
      <c r="G180" s="81"/>
      <c r="H180" s="81"/>
      <c r="I180" s="81"/>
      <c r="J180" s="81"/>
      <c r="K180" s="81"/>
      <c r="L180" s="81"/>
      <c r="M180" s="81"/>
      <c r="N180" s="81"/>
      <c r="O180" s="81"/>
      <c r="P180" s="81" t="e">
        <f t="shared" si="34"/>
        <v>#VALUE!</v>
      </c>
      <c r="Q180" s="18"/>
    </row>
    <row r="181" spans="1:19" ht="17.45" customHeight="1">
      <c r="A181" s="103"/>
      <c r="B181" s="31"/>
      <c r="C181" s="26" t="s">
        <v>313</v>
      </c>
      <c r="D181" s="81"/>
      <c r="E181" s="81"/>
      <c r="F181" s="81">
        <v>0</v>
      </c>
      <c r="G181" s="81"/>
      <c r="H181" s="81"/>
      <c r="I181" s="81"/>
      <c r="J181" s="81"/>
      <c r="K181" s="81"/>
      <c r="L181" s="81"/>
      <c r="M181" s="81"/>
      <c r="N181" s="81"/>
      <c r="O181" s="81"/>
      <c r="P181" s="81">
        <f t="shared" si="34"/>
        <v>0</v>
      </c>
    </row>
    <row r="182" spans="1:19" ht="17.45" customHeight="1">
      <c r="A182" s="103"/>
      <c r="B182" s="68" t="s">
        <v>314</v>
      </c>
      <c r="C182" s="67" t="s">
        <v>308</v>
      </c>
      <c r="D182" s="88">
        <f t="shared" ref="D182:O182" si="35">SUM(D179:D181)</f>
        <v>0</v>
      </c>
      <c r="E182" s="88">
        <f t="shared" si="35"/>
        <v>0</v>
      </c>
      <c r="F182" s="88">
        <f t="shared" si="35"/>
        <v>0</v>
      </c>
      <c r="G182" s="88">
        <f t="shared" si="35"/>
        <v>0</v>
      </c>
      <c r="H182" s="88">
        <f t="shared" si="35"/>
        <v>0</v>
      </c>
      <c r="I182" s="88">
        <f t="shared" si="35"/>
        <v>0</v>
      </c>
      <c r="J182" s="88">
        <f t="shared" si="35"/>
        <v>0</v>
      </c>
      <c r="K182" s="88">
        <f t="shared" si="35"/>
        <v>0</v>
      </c>
      <c r="L182" s="88">
        <f t="shared" si="35"/>
        <v>0</v>
      </c>
      <c r="M182" s="88">
        <f t="shared" si="35"/>
        <v>0</v>
      </c>
      <c r="N182" s="88">
        <f t="shared" si="35"/>
        <v>0</v>
      </c>
      <c r="O182" s="88">
        <f t="shared" si="35"/>
        <v>0</v>
      </c>
      <c r="P182" s="88" t="e">
        <f>SUM(P179:P181)</f>
        <v>#VALUE!</v>
      </c>
      <c r="Q182" s="22"/>
      <c r="R182" s="32"/>
      <c r="S182" s="22"/>
    </row>
    <row r="183" spans="1:19" ht="17.45" customHeight="1">
      <c r="A183" s="103"/>
      <c r="B183" s="31"/>
      <c r="C183" s="28" t="s">
        <v>315</v>
      </c>
      <c r="D183" s="81"/>
      <c r="E183" s="81"/>
      <c r="F183" s="81">
        <v>0</v>
      </c>
      <c r="G183" s="81"/>
      <c r="H183" s="81"/>
      <c r="I183" s="81"/>
      <c r="J183" s="81"/>
      <c r="K183" s="81"/>
      <c r="L183" s="81"/>
      <c r="M183" s="81"/>
      <c r="N183" s="81"/>
      <c r="O183" s="81"/>
      <c r="P183" s="81">
        <f>D183+E183+F183+G183+H183+I183+J183+K183+L183+M183+N183+O183</f>
        <v>0</v>
      </c>
      <c r="Q183" s="18"/>
    </row>
    <row r="184" spans="1:19" ht="17.45" customHeight="1">
      <c r="A184" s="103"/>
      <c r="B184" s="31" t="s">
        <v>316</v>
      </c>
      <c r="C184" s="26" t="s">
        <v>171</v>
      </c>
      <c r="D184" s="81"/>
      <c r="E184" s="81"/>
      <c r="F184" s="81">
        <v>1388.61</v>
      </c>
      <c r="G184" s="81"/>
      <c r="H184" s="81"/>
      <c r="I184" s="81"/>
      <c r="J184" s="81"/>
      <c r="K184" s="81"/>
      <c r="L184" s="81"/>
      <c r="M184" s="81"/>
      <c r="N184" s="81"/>
      <c r="O184" s="81"/>
      <c r="P184" s="81">
        <f>D184+E184+F184+G184+H184+I184+J184+K184+L184+M184+N184+O184</f>
        <v>1388.61</v>
      </c>
      <c r="Q184" s="18"/>
    </row>
    <row r="185" spans="1:19" ht="17.45" customHeight="1">
      <c r="A185" s="103"/>
      <c r="B185" s="31"/>
      <c r="C185" s="26" t="s">
        <v>317</v>
      </c>
      <c r="D185" s="81"/>
      <c r="E185" s="81"/>
      <c r="F185" s="81">
        <v>764.4</v>
      </c>
      <c r="G185" s="81"/>
      <c r="H185" s="81"/>
      <c r="I185" s="81"/>
      <c r="J185" s="81"/>
      <c r="K185" s="81"/>
      <c r="L185" s="81"/>
      <c r="M185" s="81"/>
      <c r="N185" s="81"/>
      <c r="O185" s="81"/>
      <c r="P185" s="81">
        <f>D185+E185+F185+G185+H185+I185+J185+K185+L185+M185+N185+O185</f>
        <v>764.4</v>
      </c>
    </row>
    <row r="186" spans="1:19" ht="17.45" customHeight="1">
      <c r="A186" s="103"/>
      <c r="B186" s="31" t="s">
        <v>318</v>
      </c>
      <c r="C186" s="26" t="s">
        <v>319</v>
      </c>
      <c r="D186" s="81"/>
      <c r="E186" s="81"/>
      <c r="F186" s="81">
        <v>0</v>
      </c>
      <c r="G186" s="81"/>
      <c r="H186" s="81"/>
      <c r="I186" s="81"/>
      <c r="J186" s="81"/>
      <c r="K186" s="81"/>
      <c r="L186" s="81"/>
      <c r="M186" s="81"/>
      <c r="N186" s="81"/>
      <c r="O186" s="81"/>
      <c r="P186" s="81">
        <f>D186+E186+F186+G186+H186+I186+J186+K186+L186+M186+N186+O186</f>
        <v>0</v>
      </c>
      <c r="Q186" s="18"/>
    </row>
    <row r="187" spans="1:19" ht="17.45" customHeight="1">
      <c r="A187" s="103"/>
      <c r="B187" s="68" t="s">
        <v>320</v>
      </c>
      <c r="C187" s="67" t="s">
        <v>315</v>
      </c>
      <c r="D187" s="88">
        <f t="shared" ref="D187:P187" si="36">SUM(D184:D186)</f>
        <v>0</v>
      </c>
      <c r="E187" s="88">
        <f t="shared" si="36"/>
        <v>0</v>
      </c>
      <c r="F187" s="88">
        <f t="shared" si="36"/>
        <v>2153.0099999999998</v>
      </c>
      <c r="G187" s="88">
        <f t="shared" si="36"/>
        <v>0</v>
      </c>
      <c r="H187" s="88">
        <f t="shared" si="36"/>
        <v>0</v>
      </c>
      <c r="I187" s="88">
        <f t="shared" si="36"/>
        <v>0</v>
      </c>
      <c r="J187" s="88">
        <f t="shared" si="36"/>
        <v>0</v>
      </c>
      <c r="K187" s="88">
        <f t="shared" si="36"/>
        <v>0</v>
      </c>
      <c r="L187" s="88">
        <f t="shared" si="36"/>
        <v>0</v>
      </c>
      <c r="M187" s="88">
        <f t="shared" si="36"/>
        <v>0</v>
      </c>
      <c r="N187" s="88">
        <f t="shared" si="36"/>
        <v>0</v>
      </c>
      <c r="O187" s="88">
        <f t="shared" si="36"/>
        <v>0</v>
      </c>
      <c r="P187" s="88">
        <f t="shared" si="36"/>
        <v>2153.0099999999998</v>
      </c>
      <c r="Q187" s="22"/>
      <c r="R187" s="32"/>
      <c r="S187" s="22"/>
    </row>
    <row r="188" spans="1:19" ht="17.45" customHeight="1">
      <c r="A188" s="103"/>
      <c r="B188" s="31" t="s">
        <v>321</v>
      </c>
      <c r="C188" s="28" t="s">
        <v>322</v>
      </c>
      <c r="D188" s="81"/>
      <c r="E188" s="81"/>
      <c r="F188" s="81">
        <v>0</v>
      </c>
      <c r="G188" s="81"/>
      <c r="H188" s="81"/>
      <c r="I188" s="81"/>
      <c r="J188" s="81"/>
      <c r="K188" s="81"/>
      <c r="L188" s="81"/>
      <c r="M188" s="81"/>
      <c r="N188" s="81"/>
      <c r="O188" s="81"/>
      <c r="P188" s="81">
        <f t="shared" ref="P188:P194" si="37">D188+E188+F188+G188+H188+I188+J188+K188+L188+M188+N188+O188</f>
        <v>0</v>
      </c>
      <c r="Q188" s="18"/>
    </row>
    <row r="189" spans="1:19" ht="17.45" customHeight="1">
      <c r="A189" s="103"/>
      <c r="B189" s="31" t="s">
        <v>323</v>
      </c>
      <c r="C189" s="26" t="s">
        <v>324</v>
      </c>
      <c r="D189" s="81"/>
      <c r="E189" s="81"/>
      <c r="F189" s="81">
        <v>1318.26</v>
      </c>
      <c r="G189" s="81"/>
      <c r="H189" s="81"/>
      <c r="I189" s="81"/>
      <c r="J189" s="81"/>
      <c r="K189" s="81"/>
      <c r="L189" s="81"/>
      <c r="M189" s="81"/>
      <c r="N189" s="81"/>
      <c r="O189" s="81"/>
      <c r="P189" s="81">
        <f t="shared" si="37"/>
        <v>1318.26</v>
      </c>
      <c r="Q189" s="18"/>
    </row>
    <row r="190" spans="1:19" ht="17.45" customHeight="1">
      <c r="A190" s="103"/>
      <c r="B190" s="31" t="s">
        <v>325</v>
      </c>
      <c r="C190" s="26" t="s">
        <v>326</v>
      </c>
      <c r="D190" s="81"/>
      <c r="E190" s="81"/>
      <c r="F190" s="81">
        <v>6626.07</v>
      </c>
      <c r="G190" s="81"/>
      <c r="H190" s="81"/>
      <c r="I190" s="81"/>
      <c r="J190" s="81"/>
      <c r="K190" s="81"/>
      <c r="L190" s="81"/>
      <c r="M190" s="81"/>
      <c r="N190" s="81"/>
      <c r="O190" s="81"/>
      <c r="P190" s="81">
        <f t="shared" si="37"/>
        <v>6626.07</v>
      </c>
      <c r="Q190" s="18"/>
    </row>
    <row r="191" spans="1:19" ht="17.45" customHeight="1">
      <c r="A191" s="103"/>
      <c r="B191" s="31">
        <v>816130</v>
      </c>
      <c r="C191" s="26" t="s">
        <v>327</v>
      </c>
      <c r="D191" s="81"/>
      <c r="E191" s="81"/>
      <c r="F191" s="81" t="s">
        <v>441</v>
      </c>
      <c r="G191" s="81"/>
      <c r="H191" s="81"/>
      <c r="I191" s="81"/>
      <c r="J191" s="81"/>
      <c r="K191" s="81"/>
      <c r="L191" s="81"/>
      <c r="M191" s="81"/>
      <c r="N191" s="81"/>
      <c r="O191" s="81"/>
      <c r="P191" s="81" t="e">
        <f t="shared" si="37"/>
        <v>#VALUE!</v>
      </c>
      <c r="Q191" s="18"/>
    </row>
    <row r="192" spans="1:19" ht="17.45" customHeight="1">
      <c r="A192" s="103"/>
      <c r="B192" s="31" t="s">
        <v>328</v>
      </c>
      <c r="C192" s="26" t="s">
        <v>329</v>
      </c>
      <c r="D192" s="81"/>
      <c r="E192" s="81"/>
      <c r="F192" s="81">
        <v>0</v>
      </c>
      <c r="G192" s="81"/>
      <c r="H192" s="81"/>
      <c r="I192" s="81"/>
      <c r="J192" s="81"/>
      <c r="K192" s="81"/>
      <c r="L192" s="81"/>
      <c r="M192" s="81"/>
      <c r="N192" s="81"/>
      <c r="O192" s="81"/>
      <c r="P192" s="81">
        <f t="shared" si="37"/>
        <v>0</v>
      </c>
      <c r="Q192" s="18"/>
    </row>
    <row r="193" spans="1:19" ht="17.45" customHeight="1">
      <c r="A193" s="103"/>
      <c r="B193" s="31" t="s">
        <v>330</v>
      </c>
      <c r="C193" s="26" t="s">
        <v>331</v>
      </c>
      <c r="D193" s="81"/>
      <c r="E193" s="81"/>
      <c r="F193" s="81" t="s">
        <v>441</v>
      </c>
      <c r="G193" s="81"/>
      <c r="H193" s="81"/>
      <c r="I193" s="81"/>
      <c r="J193" s="81"/>
      <c r="K193" s="81"/>
      <c r="L193" s="81"/>
      <c r="M193" s="81"/>
      <c r="N193" s="81"/>
      <c r="O193" s="81"/>
      <c r="P193" s="81" t="e">
        <f t="shared" si="37"/>
        <v>#VALUE!</v>
      </c>
      <c r="Q193" s="18"/>
    </row>
    <row r="194" spans="1:19" ht="17.45" customHeight="1">
      <c r="A194" s="103"/>
      <c r="B194" s="31"/>
      <c r="C194" s="26" t="s">
        <v>332</v>
      </c>
      <c r="D194" s="81"/>
      <c r="E194" s="81"/>
      <c r="F194" s="81">
        <v>0</v>
      </c>
      <c r="G194" s="81"/>
      <c r="H194" s="81"/>
      <c r="I194" s="81"/>
      <c r="J194" s="81"/>
      <c r="K194" s="81"/>
      <c r="L194" s="81"/>
      <c r="M194" s="81"/>
      <c r="N194" s="81"/>
      <c r="O194" s="81"/>
      <c r="P194" s="81">
        <f t="shared" si="37"/>
        <v>0</v>
      </c>
      <c r="Q194" s="18"/>
    </row>
    <row r="195" spans="1:19" ht="17.45" customHeight="1">
      <c r="A195" s="103"/>
      <c r="B195" s="31"/>
      <c r="C195" s="26" t="s">
        <v>333</v>
      </c>
      <c r="D195" s="81"/>
      <c r="E195" s="81"/>
      <c r="F195" s="81">
        <v>0</v>
      </c>
      <c r="G195" s="81"/>
      <c r="H195" s="81"/>
      <c r="I195" s="81"/>
      <c r="J195" s="81"/>
      <c r="K195" s="81"/>
      <c r="L195" s="81"/>
      <c r="M195" s="81"/>
      <c r="N195" s="81"/>
      <c r="O195" s="81"/>
      <c r="P195" s="81">
        <v>0</v>
      </c>
    </row>
    <row r="196" spans="1:19" ht="17.45" customHeight="1">
      <c r="A196" s="103"/>
      <c r="B196" s="31"/>
      <c r="C196" s="26"/>
      <c r="D196" s="81"/>
      <c r="E196" s="81"/>
      <c r="F196" s="81" t="s">
        <v>441</v>
      </c>
      <c r="G196" s="81"/>
      <c r="H196" s="81"/>
      <c r="I196" s="81"/>
      <c r="J196" s="81"/>
      <c r="K196" s="81"/>
      <c r="L196" s="81"/>
      <c r="M196" s="81"/>
      <c r="N196" s="81"/>
      <c r="O196" s="81"/>
      <c r="P196" s="81">
        <v>0</v>
      </c>
    </row>
    <row r="197" spans="1:19" ht="17.45" customHeight="1">
      <c r="A197" s="103"/>
      <c r="B197" s="63" t="s">
        <v>321</v>
      </c>
      <c r="C197" s="64" t="s">
        <v>322</v>
      </c>
      <c r="D197" s="117">
        <f t="shared" ref="D197:P197" si="38">SUM(D189:D196)</f>
        <v>0</v>
      </c>
      <c r="E197" s="117">
        <f t="shared" si="38"/>
        <v>0</v>
      </c>
      <c r="F197" s="117">
        <f t="shared" si="38"/>
        <v>7944.33</v>
      </c>
      <c r="G197" s="117">
        <f t="shared" si="38"/>
        <v>0</v>
      </c>
      <c r="H197" s="117">
        <f t="shared" si="38"/>
        <v>0</v>
      </c>
      <c r="I197" s="117">
        <f t="shared" si="38"/>
        <v>0</v>
      </c>
      <c r="J197" s="117">
        <f t="shared" si="38"/>
        <v>0</v>
      </c>
      <c r="K197" s="117">
        <f t="shared" si="38"/>
        <v>0</v>
      </c>
      <c r="L197" s="117">
        <f t="shared" si="38"/>
        <v>0</v>
      </c>
      <c r="M197" s="117">
        <f t="shared" si="38"/>
        <v>0</v>
      </c>
      <c r="N197" s="117">
        <f t="shared" si="38"/>
        <v>0</v>
      </c>
      <c r="O197" s="117">
        <f t="shared" si="38"/>
        <v>0</v>
      </c>
      <c r="P197" s="117" t="e">
        <f t="shared" si="38"/>
        <v>#VALUE!</v>
      </c>
      <c r="Q197" s="22"/>
      <c r="R197" s="32"/>
      <c r="S197" s="22"/>
    </row>
    <row r="198" spans="1:19" ht="17.45" customHeight="1">
      <c r="A198" s="103"/>
      <c r="B198" s="68" t="s">
        <v>334</v>
      </c>
      <c r="C198" s="67" t="s">
        <v>245</v>
      </c>
      <c r="D198" s="89">
        <f t="shared" ref="D198:P198" si="39">D148+D154+D158+D170+D175+D182+D187+D197+D163+D164+D165+D176+D177</f>
        <v>0</v>
      </c>
      <c r="E198" s="89">
        <f t="shared" si="39"/>
        <v>0</v>
      </c>
      <c r="F198" s="89">
        <f t="shared" si="39"/>
        <v>64442.11</v>
      </c>
      <c r="G198" s="89">
        <f t="shared" si="39"/>
        <v>0</v>
      </c>
      <c r="H198" s="89">
        <f t="shared" si="39"/>
        <v>0</v>
      </c>
      <c r="I198" s="89">
        <f t="shared" si="39"/>
        <v>0</v>
      </c>
      <c r="J198" s="89">
        <f t="shared" si="39"/>
        <v>0</v>
      </c>
      <c r="K198" s="89">
        <f t="shared" si="39"/>
        <v>0</v>
      </c>
      <c r="L198" s="89">
        <f t="shared" si="39"/>
        <v>0</v>
      </c>
      <c r="M198" s="89">
        <f t="shared" si="39"/>
        <v>0</v>
      </c>
      <c r="N198" s="89">
        <f t="shared" si="39"/>
        <v>0</v>
      </c>
      <c r="O198" s="89">
        <f t="shared" si="39"/>
        <v>0</v>
      </c>
      <c r="P198" s="89" t="e">
        <f t="shared" si="39"/>
        <v>#VALUE!</v>
      </c>
      <c r="Q198" s="22"/>
      <c r="R198" s="32"/>
      <c r="S198" s="22"/>
    </row>
    <row r="199" spans="1:19" ht="17.45" customHeight="1">
      <c r="A199" s="103"/>
      <c r="B199" s="31"/>
      <c r="C199" s="28" t="s">
        <v>335</v>
      </c>
      <c r="D199" s="81"/>
      <c r="E199" s="81"/>
      <c r="F199" s="81">
        <v>0</v>
      </c>
      <c r="G199" s="81"/>
      <c r="H199" s="81"/>
      <c r="I199" s="81"/>
      <c r="J199" s="81"/>
      <c r="K199" s="81"/>
      <c r="L199" s="81"/>
      <c r="M199" s="81"/>
      <c r="N199" s="81"/>
      <c r="O199" s="81"/>
      <c r="P199" s="81">
        <f t="shared" ref="P199:P205" si="40">D199+E199+F199+G199+H199+I199+J199+K199+L199+M199+N199+O199</f>
        <v>0</v>
      </c>
      <c r="Q199" s="18"/>
    </row>
    <row r="200" spans="1:19" ht="17.45" customHeight="1">
      <c r="A200" s="103"/>
      <c r="B200" s="31"/>
      <c r="C200" s="28" t="s">
        <v>336</v>
      </c>
      <c r="D200" s="81"/>
      <c r="E200" s="81"/>
      <c r="F200" s="81">
        <v>0</v>
      </c>
      <c r="G200" s="81"/>
      <c r="H200" s="81"/>
      <c r="I200" s="81"/>
      <c r="J200" s="81"/>
      <c r="K200" s="81"/>
      <c r="L200" s="81"/>
      <c r="M200" s="81"/>
      <c r="N200" s="81"/>
      <c r="O200" s="81"/>
      <c r="P200" s="81">
        <f t="shared" si="40"/>
        <v>0</v>
      </c>
      <c r="Q200" s="18"/>
    </row>
    <row r="201" spans="1:19" ht="17.45" customHeight="1">
      <c r="A201" s="103"/>
      <c r="B201" s="31" t="s">
        <v>337</v>
      </c>
      <c r="C201" s="26" t="s">
        <v>338</v>
      </c>
      <c r="D201" s="81"/>
      <c r="E201" s="81"/>
      <c r="F201" s="81">
        <v>0</v>
      </c>
      <c r="G201" s="81"/>
      <c r="H201" s="81"/>
      <c r="I201" s="81"/>
      <c r="J201" s="81"/>
      <c r="K201" s="81"/>
      <c r="L201" s="81"/>
      <c r="M201" s="81"/>
      <c r="N201" s="81"/>
      <c r="O201" s="81"/>
      <c r="P201" s="81">
        <f t="shared" si="40"/>
        <v>0</v>
      </c>
      <c r="Q201" s="18"/>
    </row>
    <row r="202" spans="1:19" ht="17.45" customHeight="1">
      <c r="A202" s="103"/>
      <c r="B202" s="31" t="s">
        <v>339</v>
      </c>
      <c r="C202" s="26" t="s">
        <v>340</v>
      </c>
      <c r="D202" s="81"/>
      <c r="E202" s="81"/>
      <c r="F202" s="81">
        <v>0</v>
      </c>
      <c r="G202" s="81"/>
      <c r="H202" s="81"/>
      <c r="I202" s="81"/>
      <c r="J202" s="81"/>
      <c r="K202" s="81"/>
      <c r="L202" s="81"/>
      <c r="M202" s="81"/>
      <c r="N202" s="81"/>
      <c r="O202" s="81"/>
      <c r="P202" s="81">
        <f t="shared" si="40"/>
        <v>0</v>
      </c>
      <c r="Q202" s="18"/>
    </row>
    <row r="203" spans="1:19" ht="17.45" customHeight="1">
      <c r="A203" s="103"/>
      <c r="B203" s="31"/>
      <c r="C203" s="28" t="s">
        <v>341</v>
      </c>
      <c r="D203" s="81"/>
      <c r="E203" s="81"/>
      <c r="F203" s="81" t="s">
        <v>441</v>
      </c>
      <c r="G203" s="81"/>
      <c r="H203" s="81"/>
      <c r="I203" s="81"/>
      <c r="J203" s="81"/>
      <c r="K203" s="81"/>
      <c r="L203" s="81"/>
      <c r="M203" s="81"/>
      <c r="N203" s="81"/>
      <c r="O203" s="81"/>
      <c r="P203" s="81" t="e">
        <f t="shared" si="40"/>
        <v>#VALUE!</v>
      </c>
      <c r="Q203" s="18"/>
    </row>
    <row r="204" spans="1:19" ht="17.45" customHeight="1">
      <c r="A204" s="103"/>
      <c r="B204" s="31" t="s">
        <v>342</v>
      </c>
      <c r="C204" s="26" t="s">
        <v>343</v>
      </c>
      <c r="D204" s="81"/>
      <c r="E204" s="81"/>
      <c r="F204" s="81" t="s">
        <v>441</v>
      </c>
      <c r="G204" s="81"/>
      <c r="H204" s="81"/>
      <c r="I204" s="81"/>
      <c r="J204" s="81"/>
      <c r="K204" s="81"/>
      <c r="L204" s="81"/>
      <c r="M204" s="81"/>
      <c r="N204" s="81"/>
      <c r="O204" s="81"/>
      <c r="P204" s="81" t="e">
        <f t="shared" si="40"/>
        <v>#VALUE!</v>
      </c>
      <c r="Q204" s="18"/>
    </row>
    <row r="205" spans="1:19" ht="17.45" customHeight="1">
      <c r="A205" s="103"/>
      <c r="B205" s="31" t="s">
        <v>344</v>
      </c>
      <c r="C205" s="26" t="s">
        <v>345</v>
      </c>
      <c r="D205" s="81"/>
      <c r="E205" s="81"/>
      <c r="F205" s="81" t="s">
        <v>441</v>
      </c>
      <c r="G205" s="81"/>
      <c r="H205" s="81"/>
      <c r="I205" s="81"/>
      <c r="J205" s="81"/>
      <c r="K205" s="81"/>
      <c r="L205" s="81"/>
      <c r="M205" s="81"/>
      <c r="N205" s="81"/>
      <c r="O205" s="81"/>
      <c r="P205" s="81" t="e">
        <f t="shared" si="40"/>
        <v>#VALUE!</v>
      </c>
      <c r="Q205" s="18"/>
    </row>
    <row r="206" spans="1:19" ht="17.45" customHeight="1">
      <c r="A206" s="103"/>
      <c r="B206" s="68" t="s">
        <v>346</v>
      </c>
      <c r="C206" s="67" t="s">
        <v>341</v>
      </c>
      <c r="D206" s="84">
        <f>D204</f>
        <v>0</v>
      </c>
      <c r="E206" s="84">
        <f t="shared" ref="E206:P206" si="41">E204</f>
        <v>0</v>
      </c>
      <c r="F206" s="84" t="str">
        <f t="shared" si="41"/>
        <v>NOT FOUND</v>
      </c>
      <c r="G206" s="84">
        <f t="shared" si="41"/>
        <v>0</v>
      </c>
      <c r="H206" s="84">
        <f t="shared" si="41"/>
        <v>0</v>
      </c>
      <c r="I206" s="84">
        <f t="shared" si="41"/>
        <v>0</v>
      </c>
      <c r="J206" s="84">
        <f t="shared" si="41"/>
        <v>0</v>
      </c>
      <c r="K206" s="84">
        <f t="shared" si="41"/>
        <v>0</v>
      </c>
      <c r="L206" s="84">
        <f t="shared" si="41"/>
        <v>0</v>
      </c>
      <c r="M206" s="84">
        <f t="shared" si="41"/>
        <v>0</v>
      </c>
      <c r="N206" s="84">
        <f t="shared" si="41"/>
        <v>0</v>
      </c>
      <c r="O206" s="84">
        <f t="shared" si="41"/>
        <v>0</v>
      </c>
      <c r="P206" s="84" t="e">
        <f t="shared" si="41"/>
        <v>#VALUE!</v>
      </c>
      <c r="Q206" s="22"/>
      <c r="R206" s="32"/>
      <c r="S206" s="22"/>
    </row>
    <row r="207" spans="1:19" ht="17.45" customHeight="1">
      <c r="A207" s="103"/>
      <c r="B207" s="31" t="s">
        <v>347</v>
      </c>
      <c r="C207" s="26" t="s">
        <v>348</v>
      </c>
      <c r="D207" s="81"/>
      <c r="E207" s="81"/>
      <c r="F207" s="81">
        <v>0</v>
      </c>
      <c r="G207" s="81"/>
      <c r="H207" s="81"/>
      <c r="I207" s="81"/>
      <c r="J207" s="81"/>
      <c r="K207" s="81"/>
      <c r="L207" s="81"/>
      <c r="M207" s="81"/>
      <c r="N207" s="81"/>
      <c r="O207" s="81"/>
      <c r="P207" s="81">
        <f t="shared" ref="P207:P213" si="42">D207+E207+F207+G207+H207+I207+J207+K207+L207+M207+N207+O207</f>
        <v>0</v>
      </c>
      <c r="Q207" s="18"/>
    </row>
    <row r="208" spans="1:19" ht="17.45" customHeight="1">
      <c r="A208" s="103"/>
      <c r="B208" s="31" t="s">
        <v>349</v>
      </c>
      <c r="C208" s="26" t="s">
        <v>350</v>
      </c>
      <c r="D208" s="81"/>
      <c r="E208" s="81"/>
      <c r="F208" s="81">
        <v>0</v>
      </c>
      <c r="G208" s="81"/>
      <c r="H208" s="81"/>
      <c r="I208" s="81"/>
      <c r="J208" s="81"/>
      <c r="K208" s="81"/>
      <c r="L208" s="81"/>
      <c r="M208" s="81"/>
      <c r="N208" s="81"/>
      <c r="O208" s="81"/>
      <c r="P208" s="81">
        <f t="shared" si="42"/>
        <v>0</v>
      </c>
      <c r="Q208" s="18"/>
    </row>
    <row r="209" spans="1:19" ht="17.45" customHeight="1">
      <c r="A209" s="103"/>
      <c r="B209" s="31" t="s">
        <v>351</v>
      </c>
      <c r="C209" s="26" t="s">
        <v>352</v>
      </c>
      <c r="D209" s="81"/>
      <c r="E209" s="81"/>
      <c r="F209" s="81">
        <v>0.9</v>
      </c>
      <c r="G209" s="81"/>
      <c r="H209" s="81"/>
      <c r="I209" s="81"/>
      <c r="J209" s="81"/>
      <c r="K209" s="81"/>
      <c r="L209" s="81"/>
      <c r="M209" s="81"/>
      <c r="N209" s="81"/>
      <c r="O209" s="81"/>
      <c r="P209" s="81">
        <f t="shared" si="42"/>
        <v>0.9</v>
      </c>
      <c r="Q209" s="18"/>
    </row>
    <row r="210" spans="1:19" ht="17.45" customHeight="1">
      <c r="A210" s="103"/>
      <c r="B210" s="31"/>
      <c r="C210" s="26" t="s">
        <v>353</v>
      </c>
      <c r="D210" s="81"/>
      <c r="E210" s="81"/>
      <c r="F210" s="81">
        <v>-166.73</v>
      </c>
      <c r="G210" s="81"/>
      <c r="H210" s="81"/>
      <c r="I210" s="81"/>
      <c r="J210" s="81"/>
      <c r="K210" s="81"/>
      <c r="L210" s="81"/>
      <c r="M210" s="81"/>
      <c r="N210" s="81"/>
      <c r="O210" s="81"/>
      <c r="P210" s="81">
        <f t="shared" si="42"/>
        <v>-166.73</v>
      </c>
      <c r="Q210" s="18"/>
    </row>
    <row r="211" spans="1:19" ht="17.45" customHeight="1">
      <c r="A211" s="103"/>
      <c r="B211" s="31" t="s">
        <v>354</v>
      </c>
      <c r="C211" s="26" t="s">
        <v>355</v>
      </c>
      <c r="D211" s="81"/>
      <c r="E211" s="81"/>
      <c r="F211" s="81">
        <v>0</v>
      </c>
      <c r="G211" s="81"/>
      <c r="H211" s="81"/>
      <c r="I211" s="81"/>
      <c r="J211" s="81"/>
      <c r="K211" s="81"/>
      <c r="L211" s="81"/>
      <c r="M211" s="81"/>
      <c r="N211" s="81"/>
      <c r="O211" s="81"/>
      <c r="P211" s="81">
        <f t="shared" si="42"/>
        <v>0</v>
      </c>
      <c r="Q211" s="18"/>
    </row>
    <row r="212" spans="1:19" ht="17.45" customHeight="1">
      <c r="A212" s="103"/>
      <c r="B212" s="31"/>
      <c r="C212" s="26" t="s">
        <v>356</v>
      </c>
      <c r="D212" s="81"/>
      <c r="E212" s="81"/>
      <c r="F212" s="81">
        <v>12411.61</v>
      </c>
      <c r="G212" s="81"/>
      <c r="H212" s="81"/>
      <c r="I212" s="81"/>
      <c r="J212" s="81"/>
      <c r="K212" s="81"/>
      <c r="L212" s="81"/>
      <c r="M212" s="81"/>
      <c r="N212" s="81"/>
      <c r="O212" s="81"/>
      <c r="P212" s="81">
        <f t="shared" si="42"/>
        <v>12411.61</v>
      </c>
      <c r="Q212" s="18"/>
    </row>
    <row r="213" spans="1:19" ht="17.45" customHeight="1">
      <c r="A213" s="103"/>
      <c r="B213" s="31" t="s">
        <v>357</v>
      </c>
      <c r="C213" s="26" t="s">
        <v>358</v>
      </c>
      <c r="D213" s="81"/>
      <c r="E213" s="81"/>
      <c r="F213" s="81">
        <v>-3.15</v>
      </c>
      <c r="G213" s="81"/>
      <c r="H213" s="81"/>
      <c r="I213" s="81"/>
      <c r="J213" s="81"/>
      <c r="K213" s="81"/>
      <c r="L213" s="81"/>
      <c r="M213" s="81"/>
      <c r="N213" s="81"/>
      <c r="O213" s="81"/>
      <c r="P213" s="81">
        <f t="shared" si="42"/>
        <v>-3.15</v>
      </c>
      <c r="Q213" s="18"/>
    </row>
    <row r="214" spans="1:19" ht="17.45" customHeight="1">
      <c r="A214" s="103"/>
      <c r="B214" s="68" t="s">
        <v>359</v>
      </c>
      <c r="C214" s="67" t="s">
        <v>336</v>
      </c>
      <c r="D214" s="89">
        <f t="shared" ref="D214:O214" si="43">SUM(D201:D213)</f>
        <v>0</v>
      </c>
      <c r="E214" s="89">
        <f t="shared" si="43"/>
        <v>0</v>
      </c>
      <c r="F214" s="89">
        <f t="shared" si="43"/>
        <v>12242.630000000001</v>
      </c>
      <c r="G214" s="89">
        <f t="shared" si="43"/>
        <v>0</v>
      </c>
      <c r="H214" s="89">
        <f t="shared" si="43"/>
        <v>0</v>
      </c>
      <c r="I214" s="89">
        <f t="shared" si="43"/>
        <v>0</v>
      </c>
      <c r="J214" s="89">
        <f t="shared" si="43"/>
        <v>0</v>
      </c>
      <c r="K214" s="89">
        <f t="shared" si="43"/>
        <v>0</v>
      </c>
      <c r="L214" s="89">
        <f t="shared" si="43"/>
        <v>0</v>
      </c>
      <c r="M214" s="89">
        <f t="shared" si="43"/>
        <v>0</v>
      </c>
      <c r="N214" s="89">
        <f t="shared" si="43"/>
        <v>0</v>
      </c>
      <c r="O214" s="89">
        <f t="shared" si="43"/>
        <v>0</v>
      </c>
      <c r="P214" s="89" t="e">
        <f>SUM(P201:P213)</f>
        <v>#VALUE!</v>
      </c>
      <c r="Q214" s="22"/>
      <c r="R214" s="32"/>
      <c r="S214" s="22"/>
    </row>
    <row r="215" spans="1:19" ht="17.45" customHeight="1">
      <c r="A215" s="103"/>
      <c r="B215" s="31"/>
      <c r="C215" s="28" t="s">
        <v>360</v>
      </c>
      <c r="D215" s="81"/>
      <c r="E215" s="81"/>
      <c r="F215" s="81">
        <v>0</v>
      </c>
      <c r="G215" s="81"/>
      <c r="H215" s="81"/>
      <c r="I215" s="81"/>
      <c r="J215" s="81"/>
      <c r="K215" s="81"/>
      <c r="L215" s="81"/>
      <c r="M215" s="81"/>
      <c r="N215" s="81"/>
      <c r="O215" s="81"/>
      <c r="P215" s="81">
        <f>D215+E215+F215+G215+H215+I215+J215+K215+L215+M215+N215+O215</f>
        <v>0</v>
      </c>
      <c r="Q215" s="18"/>
    </row>
    <row r="216" spans="1:19" ht="17.45" customHeight="1">
      <c r="A216" s="103"/>
      <c r="B216" s="31"/>
      <c r="C216" s="29" t="s">
        <v>361</v>
      </c>
      <c r="D216" s="81"/>
      <c r="E216" s="81"/>
      <c r="F216" s="81">
        <v>0</v>
      </c>
      <c r="G216" s="81"/>
      <c r="H216" s="81"/>
      <c r="I216" s="81"/>
      <c r="J216" s="81"/>
      <c r="K216" s="81"/>
      <c r="L216" s="81"/>
      <c r="M216" s="81"/>
      <c r="N216" s="81"/>
      <c r="O216" s="81"/>
      <c r="P216" s="81">
        <f>D216+E216+F216+G216+H216+I216+J216+K216+L216+M216+N216+O216</f>
        <v>0</v>
      </c>
      <c r="Q216" s="18"/>
    </row>
    <row r="217" spans="1:19" ht="17.45" customHeight="1">
      <c r="A217" s="103"/>
      <c r="B217" s="31" t="s">
        <v>362</v>
      </c>
      <c r="C217" s="26" t="s">
        <v>363</v>
      </c>
      <c r="D217" s="81"/>
      <c r="E217" s="81"/>
      <c r="F217" s="81">
        <v>0</v>
      </c>
      <c r="G217" s="81"/>
      <c r="H217" s="81"/>
      <c r="I217" s="81"/>
      <c r="J217" s="81"/>
      <c r="K217" s="81"/>
      <c r="L217" s="81"/>
      <c r="M217" s="81"/>
      <c r="N217" s="81"/>
      <c r="O217" s="81"/>
      <c r="P217" s="81">
        <f>D217+E217+F217+G217+H217+I217+J217+K217+L217+M217+N217+O217</f>
        <v>0</v>
      </c>
      <c r="Q217" s="18"/>
    </row>
    <row r="218" spans="1:19" ht="17.45" customHeight="1">
      <c r="A218" s="103"/>
      <c r="B218" s="31" t="s">
        <v>364</v>
      </c>
      <c r="C218" s="26" t="s">
        <v>365</v>
      </c>
      <c r="D218" s="81"/>
      <c r="E218" s="81"/>
      <c r="F218" s="81" t="s">
        <v>441</v>
      </c>
      <c r="G218" s="81"/>
      <c r="H218" s="81"/>
      <c r="I218" s="81"/>
      <c r="J218" s="81"/>
      <c r="K218" s="81"/>
      <c r="L218" s="81"/>
      <c r="M218" s="81"/>
      <c r="N218" s="81"/>
      <c r="O218" s="81"/>
      <c r="P218" s="81" t="e">
        <f>D218+E218+F218+G218+H218+I218+J218+K218+L218+M218+N218+O218</f>
        <v>#VALUE!</v>
      </c>
      <c r="Q218" s="18"/>
    </row>
    <row r="219" spans="1:19" ht="17.45" customHeight="1">
      <c r="A219" s="103"/>
      <c r="B219" s="68" t="s">
        <v>366</v>
      </c>
      <c r="C219" s="67" t="s">
        <v>361</v>
      </c>
      <c r="D219" s="89">
        <f t="shared" ref="D219:O219" si="44">SUM(D217:D218)</f>
        <v>0</v>
      </c>
      <c r="E219" s="89">
        <f t="shared" si="44"/>
        <v>0</v>
      </c>
      <c r="F219" s="89">
        <f t="shared" si="44"/>
        <v>0</v>
      </c>
      <c r="G219" s="89">
        <f t="shared" si="44"/>
        <v>0</v>
      </c>
      <c r="H219" s="89">
        <f t="shared" si="44"/>
        <v>0</v>
      </c>
      <c r="I219" s="89">
        <f t="shared" si="44"/>
        <v>0</v>
      </c>
      <c r="J219" s="89">
        <f t="shared" si="44"/>
        <v>0</v>
      </c>
      <c r="K219" s="89">
        <f t="shared" si="44"/>
        <v>0</v>
      </c>
      <c r="L219" s="89">
        <f t="shared" si="44"/>
        <v>0</v>
      </c>
      <c r="M219" s="89">
        <f t="shared" si="44"/>
        <v>0</v>
      </c>
      <c r="N219" s="89">
        <f t="shared" si="44"/>
        <v>0</v>
      </c>
      <c r="O219" s="89">
        <f t="shared" si="44"/>
        <v>0</v>
      </c>
      <c r="P219" s="89" t="e">
        <f>SUM(P217:P218)</f>
        <v>#VALUE!</v>
      </c>
      <c r="Q219" s="22"/>
      <c r="R219" s="32"/>
      <c r="S219" s="22"/>
    </row>
    <row r="220" spans="1:19" ht="17.45" customHeight="1">
      <c r="A220" s="103"/>
      <c r="B220" s="31"/>
      <c r="C220" s="28" t="s">
        <v>367</v>
      </c>
      <c r="D220" s="81"/>
      <c r="E220" s="81"/>
      <c r="F220" s="81">
        <v>0</v>
      </c>
      <c r="G220" s="81"/>
      <c r="H220" s="81"/>
      <c r="I220" s="81"/>
      <c r="J220" s="81"/>
      <c r="K220" s="81"/>
      <c r="L220" s="81"/>
      <c r="M220" s="81"/>
      <c r="N220" s="81"/>
      <c r="O220" s="81"/>
      <c r="P220" s="81">
        <f>D220+E220+F220+G220+H220+I220+J220+K220+L220+M220+N220+O220</f>
        <v>0</v>
      </c>
      <c r="Q220" s="18"/>
    </row>
    <row r="221" spans="1:19" ht="17.45" customHeight="1">
      <c r="A221" s="103"/>
      <c r="B221" s="31" t="s">
        <v>368</v>
      </c>
      <c r="C221" s="26" t="s">
        <v>369</v>
      </c>
      <c r="D221" s="81"/>
      <c r="E221" s="81"/>
      <c r="F221" s="81">
        <v>19464.14</v>
      </c>
      <c r="G221" s="81"/>
      <c r="H221" s="81"/>
      <c r="I221" s="81"/>
      <c r="J221" s="81"/>
      <c r="K221" s="81"/>
      <c r="L221" s="81"/>
      <c r="M221" s="81"/>
      <c r="N221" s="81"/>
      <c r="O221" s="81"/>
      <c r="P221" s="81">
        <f>D221+E221+F221+G221+H221+I221+J221+K221+L221+M221+N221+O221</f>
        <v>19464.14</v>
      </c>
      <c r="Q221" s="18"/>
    </row>
    <row r="222" spans="1:19" ht="17.45" customHeight="1">
      <c r="A222" s="103"/>
      <c r="B222" s="31" t="s">
        <v>370</v>
      </c>
      <c r="C222" s="26" t="s">
        <v>371</v>
      </c>
      <c r="D222" s="81"/>
      <c r="E222" s="81"/>
      <c r="F222" s="81">
        <v>4188.62</v>
      </c>
      <c r="G222" s="81"/>
      <c r="H222" s="81"/>
      <c r="I222" s="81"/>
      <c r="J222" s="81"/>
      <c r="K222" s="81"/>
      <c r="L222" s="81"/>
      <c r="M222" s="81"/>
      <c r="N222" s="81"/>
      <c r="O222" s="81"/>
      <c r="P222" s="81">
        <f>D222+E222+F222+G222+H222+I222+J222+K222+L222+M222+N222+O222</f>
        <v>4188.62</v>
      </c>
      <c r="Q222" s="18"/>
    </row>
    <row r="223" spans="1:19" ht="17.45" customHeight="1">
      <c r="A223" s="103"/>
      <c r="B223" s="68" t="s">
        <v>372</v>
      </c>
      <c r="C223" s="67" t="s">
        <v>367</v>
      </c>
      <c r="D223" s="89">
        <f t="shared" ref="D223:O223" si="45">SUM(D221:D222)</f>
        <v>0</v>
      </c>
      <c r="E223" s="89">
        <f t="shared" si="45"/>
        <v>0</v>
      </c>
      <c r="F223" s="89">
        <f t="shared" si="45"/>
        <v>23652.76</v>
      </c>
      <c r="G223" s="89">
        <f t="shared" si="45"/>
        <v>0</v>
      </c>
      <c r="H223" s="89">
        <f t="shared" si="45"/>
        <v>0</v>
      </c>
      <c r="I223" s="89">
        <f t="shared" si="45"/>
        <v>0</v>
      </c>
      <c r="J223" s="89">
        <f t="shared" si="45"/>
        <v>0</v>
      </c>
      <c r="K223" s="89">
        <f t="shared" si="45"/>
        <v>0</v>
      </c>
      <c r="L223" s="89">
        <f t="shared" si="45"/>
        <v>0</v>
      </c>
      <c r="M223" s="89">
        <f t="shared" si="45"/>
        <v>0</v>
      </c>
      <c r="N223" s="89">
        <f t="shared" si="45"/>
        <v>0</v>
      </c>
      <c r="O223" s="89">
        <f t="shared" si="45"/>
        <v>0</v>
      </c>
      <c r="P223" s="89">
        <f>SUM(P221:P222)</f>
        <v>23652.76</v>
      </c>
      <c r="Q223" s="22"/>
      <c r="R223" s="32"/>
      <c r="S223" s="22"/>
    </row>
    <row r="224" spans="1:19" ht="17.45" customHeight="1">
      <c r="A224" s="103"/>
      <c r="B224" s="31" t="s">
        <v>373</v>
      </c>
      <c r="C224" s="26" t="s">
        <v>374</v>
      </c>
      <c r="D224" s="81"/>
      <c r="E224" s="81"/>
      <c r="F224" s="81">
        <v>-17681.47</v>
      </c>
      <c r="G224" s="81"/>
      <c r="H224" s="81"/>
      <c r="I224" s="81"/>
      <c r="J224" s="81"/>
      <c r="K224" s="81"/>
      <c r="L224" s="81"/>
      <c r="M224" s="81"/>
      <c r="N224" s="81"/>
      <c r="O224" s="81"/>
      <c r="P224" s="81">
        <f>D224+E224+F224+G224+H224+I224+J224+K224+L224+M224+N224+O224</f>
        <v>-17681.47</v>
      </c>
      <c r="Q224" s="18"/>
    </row>
    <row r="225" spans="1:19" ht="17.45" customHeight="1">
      <c r="A225" s="103"/>
      <c r="B225" s="31"/>
      <c r="C225" s="28" t="s">
        <v>375</v>
      </c>
      <c r="D225" s="81"/>
      <c r="E225" s="81"/>
      <c r="F225" s="81">
        <v>0</v>
      </c>
      <c r="G225" s="81"/>
      <c r="H225" s="81"/>
      <c r="I225" s="81"/>
      <c r="J225" s="81"/>
      <c r="K225" s="81"/>
      <c r="L225" s="81"/>
      <c r="M225" s="81"/>
      <c r="N225" s="81"/>
      <c r="O225" s="81"/>
      <c r="P225" s="81">
        <f>D225+E225+F225+G225+H225+I225+J225+K225+L225+M225+N225+O225</f>
        <v>0</v>
      </c>
      <c r="Q225" s="18"/>
    </row>
    <row r="226" spans="1:19" ht="17.45" customHeight="1">
      <c r="A226" s="103"/>
      <c r="B226" s="31" t="s">
        <v>376</v>
      </c>
      <c r="C226" s="26" t="s">
        <v>377</v>
      </c>
      <c r="D226" s="81"/>
      <c r="E226" s="81"/>
      <c r="F226" s="81">
        <v>1661.84</v>
      </c>
      <c r="G226" s="81"/>
      <c r="H226" s="81"/>
      <c r="I226" s="81"/>
      <c r="J226" s="81"/>
      <c r="K226" s="81"/>
      <c r="L226" s="81"/>
      <c r="M226" s="81"/>
      <c r="N226" s="81"/>
      <c r="O226" s="81"/>
      <c r="P226" s="81">
        <f>D226+E226+F226+G226+H226+I226+J226+K226+L226+M226+N226+O226</f>
        <v>1661.84</v>
      </c>
      <c r="Q226" s="18"/>
    </row>
    <row r="227" spans="1:19" ht="17.45" customHeight="1">
      <c r="A227" s="103"/>
      <c r="B227" s="31" t="s">
        <v>378</v>
      </c>
      <c r="C227" s="26" t="s">
        <v>379</v>
      </c>
      <c r="D227" s="81"/>
      <c r="E227" s="81"/>
      <c r="F227" s="81">
        <v>0</v>
      </c>
      <c r="G227" s="81"/>
      <c r="H227" s="81"/>
      <c r="I227" s="81"/>
      <c r="J227" s="81"/>
      <c r="K227" s="81"/>
      <c r="L227" s="81"/>
      <c r="M227" s="81"/>
      <c r="N227" s="81"/>
      <c r="O227" s="81"/>
      <c r="P227" s="81">
        <f>D227+E227+F227+G227+H227+I227+J227+K227+L227+M227+N227+O227</f>
        <v>0</v>
      </c>
      <c r="Q227" s="18"/>
    </row>
    <row r="228" spans="1:19" ht="17.45" customHeight="1">
      <c r="A228" s="103"/>
      <c r="B228" s="31"/>
      <c r="C228" s="26" t="s">
        <v>380</v>
      </c>
      <c r="D228" s="81"/>
      <c r="E228" s="81"/>
      <c r="F228" s="81">
        <v>0</v>
      </c>
      <c r="G228" s="81"/>
      <c r="H228" s="81"/>
      <c r="I228" s="81"/>
      <c r="J228" s="81"/>
      <c r="K228" s="81"/>
      <c r="L228" s="81"/>
      <c r="M228" s="81"/>
      <c r="N228" s="81"/>
      <c r="O228" s="81"/>
      <c r="P228" s="81">
        <v>0</v>
      </c>
    </row>
    <row r="229" spans="1:19" ht="17.45" customHeight="1">
      <c r="A229" s="103"/>
      <c r="B229" s="68" t="s">
        <v>381</v>
      </c>
      <c r="C229" s="67" t="s">
        <v>375</v>
      </c>
      <c r="D229" s="89">
        <f t="shared" ref="D229:O229" si="46">SUM(D226:D228)</f>
        <v>0</v>
      </c>
      <c r="E229" s="89">
        <f t="shared" si="46"/>
        <v>0</v>
      </c>
      <c r="F229" s="89">
        <f t="shared" si="46"/>
        <v>1661.84</v>
      </c>
      <c r="G229" s="89">
        <f t="shared" si="46"/>
        <v>0</v>
      </c>
      <c r="H229" s="89">
        <f t="shared" si="46"/>
        <v>0</v>
      </c>
      <c r="I229" s="89">
        <f t="shared" si="46"/>
        <v>0</v>
      </c>
      <c r="J229" s="89">
        <f t="shared" si="46"/>
        <v>0</v>
      </c>
      <c r="K229" s="89">
        <f t="shared" si="46"/>
        <v>0</v>
      </c>
      <c r="L229" s="89">
        <f t="shared" si="46"/>
        <v>0</v>
      </c>
      <c r="M229" s="89">
        <f t="shared" si="46"/>
        <v>0</v>
      </c>
      <c r="N229" s="89">
        <f t="shared" si="46"/>
        <v>0</v>
      </c>
      <c r="O229" s="89">
        <f t="shared" si="46"/>
        <v>0</v>
      </c>
      <c r="P229" s="89">
        <f>SUM(P226:P228)</f>
        <v>1661.84</v>
      </c>
      <c r="Q229" s="22"/>
      <c r="R229" s="32"/>
      <c r="S229" s="22"/>
    </row>
    <row r="230" spans="1:19" ht="17.45" customHeight="1">
      <c r="A230" s="103"/>
      <c r="B230" s="31"/>
      <c r="C230" s="28" t="s">
        <v>382</v>
      </c>
      <c r="D230" s="81"/>
      <c r="E230" s="81"/>
      <c r="F230" s="81" t="s">
        <v>441</v>
      </c>
      <c r="G230" s="81"/>
      <c r="H230" s="81"/>
      <c r="I230" s="81"/>
      <c r="J230" s="81"/>
      <c r="K230" s="81"/>
      <c r="L230" s="81"/>
      <c r="M230" s="81"/>
      <c r="N230" s="81"/>
      <c r="O230" s="81"/>
      <c r="P230" s="81" t="e">
        <f>D230+E230+F230+G230+H230+I230+J230+K230+L230+M230+N230+O230</f>
        <v>#VALUE!</v>
      </c>
      <c r="Q230" s="18"/>
    </row>
    <row r="231" spans="1:19" ht="17.45" customHeight="1">
      <c r="A231" s="103"/>
      <c r="B231" s="31" t="s">
        <v>383</v>
      </c>
      <c r="C231" s="26" t="s">
        <v>384</v>
      </c>
      <c r="D231" s="81"/>
      <c r="E231" s="81"/>
      <c r="F231" s="81" t="s">
        <v>441</v>
      </c>
      <c r="G231" s="81"/>
      <c r="H231" s="81"/>
      <c r="I231" s="81"/>
      <c r="J231" s="81"/>
      <c r="K231" s="81"/>
      <c r="L231" s="81"/>
      <c r="M231" s="81"/>
      <c r="N231" s="81"/>
      <c r="O231" s="81"/>
      <c r="P231" s="81" t="e">
        <f>D231+E231+F231+G231+H231+I231+J231+K231+L231+M231+N231+O231</f>
        <v>#VALUE!</v>
      </c>
      <c r="Q231" s="18"/>
    </row>
    <row r="232" spans="1:19" ht="17.45" customHeight="1">
      <c r="A232" s="103"/>
      <c r="B232" s="31" t="s">
        <v>385</v>
      </c>
      <c r="C232" s="26" t="s">
        <v>386</v>
      </c>
      <c r="D232" s="81"/>
      <c r="E232" s="81"/>
      <c r="F232" s="81" t="s">
        <v>441</v>
      </c>
      <c r="G232" s="81"/>
      <c r="H232" s="81"/>
      <c r="I232" s="81"/>
      <c r="J232" s="81"/>
      <c r="K232" s="81"/>
      <c r="L232" s="81"/>
      <c r="M232" s="81"/>
      <c r="N232" s="81"/>
      <c r="O232" s="81"/>
      <c r="P232" s="81" t="e">
        <f>D232+E232+F232+G232+H232+I232+J232+K232+L232+M232+N232+O232</f>
        <v>#VALUE!</v>
      </c>
      <c r="Q232" s="18"/>
    </row>
    <row r="233" spans="1:19" ht="17.45" customHeight="1">
      <c r="A233" s="103"/>
      <c r="B233" s="68" t="s">
        <v>387</v>
      </c>
      <c r="C233" s="67" t="s">
        <v>382</v>
      </c>
      <c r="D233" s="89">
        <f>D232+D231</f>
        <v>0</v>
      </c>
      <c r="E233" s="89">
        <f t="shared" ref="E233:P233" si="47">E232+E231</f>
        <v>0</v>
      </c>
      <c r="F233" s="89" t="e">
        <f t="shared" si="47"/>
        <v>#VALUE!</v>
      </c>
      <c r="G233" s="89">
        <f t="shared" si="47"/>
        <v>0</v>
      </c>
      <c r="H233" s="89">
        <f t="shared" si="47"/>
        <v>0</v>
      </c>
      <c r="I233" s="89">
        <f t="shared" si="47"/>
        <v>0</v>
      </c>
      <c r="J233" s="89">
        <f t="shared" si="47"/>
        <v>0</v>
      </c>
      <c r="K233" s="89">
        <f t="shared" si="47"/>
        <v>0</v>
      </c>
      <c r="L233" s="89">
        <f t="shared" si="47"/>
        <v>0</v>
      </c>
      <c r="M233" s="89">
        <f t="shared" si="47"/>
        <v>0</v>
      </c>
      <c r="N233" s="89">
        <f t="shared" si="47"/>
        <v>0</v>
      </c>
      <c r="O233" s="89">
        <f t="shared" si="47"/>
        <v>0</v>
      </c>
      <c r="P233" s="89" t="e">
        <f t="shared" si="47"/>
        <v>#VALUE!</v>
      </c>
      <c r="Q233" s="22"/>
      <c r="R233" s="32"/>
      <c r="S233" s="22"/>
    </row>
    <row r="234" spans="1:19" ht="17.45" customHeight="1">
      <c r="A234" s="103"/>
      <c r="B234" s="31" t="s">
        <v>388</v>
      </c>
      <c r="C234" s="26" t="s">
        <v>389</v>
      </c>
      <c r="D234" s="81"/>
      <c r="E234" s="81"/>
      <c r="F234" s="81">
        <v>0</v>
      </c>
      <c r="G234" s="81"/>
      <c r="H234" s="81"/>
      <c r="I234" s="81"/>
      <c r="J234" s="81"/>
      <c r="K234" s="81"/>
      <c r="L234" s="81"/>
      <c r="M234" s="81"/>
      <c r="N234" s="81"/>
      <c r="O234" s="81"/>
      <c r="P234" s="81">
        <f t="shared" ref="P234:P240" si="48">D234+E234+F234+G234+H234+I234+J234+K234+L234+M234+N234+O234</f>
        <v>0</v>
      </c>
      <c r="Q234" s="18"/>
    </row>
    <row r="235" spans="1:19" ht="17.45" customHeight="1">
      <c r="A235" s="103"/>
      <c r="B235" s="31" t="s">
        <v>390</v>
      </c>
      <c r="C235" s="26" t="s">
        <v>391</v>
      </c>
      <c r="D235" s="81"/>
      <c r="E235" s="81"/>
      <c r="F235" s="81">
        <v>127.95</v>
      </c>
      <c r="G235" s="81"/>
      <c r="H235" s="81"/>
      <c r="I235" s="81"/>
      <c r="J235" s="81"/>
      <c r="K235" s="81"/>
      <c r="L235" s="81"/>
      <c r="M235" s="81"/>
      <c r="N235" s="81"/>
      <c r="O235" s="81"/>
      <c r="P235" s="81">
        <f t="shared" si="48"/>
        <v>127.95</v>
      </c>
      <c r="Q235" s="18"/>
    </row>
    <row r="236" spans="1:19" ht="17.45" customHeight="1">
      <c r="A236" s="103"/>
      <c r="B236" s="31" t="s">
        <v>392</v>
      </c>
      <c r="C236" s="26" t="s">
        <v>393</v>
      </c>
      <c r="D236" s="81"/>
      <c r="E236" s="81"/>
      <c r="F236" s="81" t="s">
        <v>441</v>
      </c>
      <c r="G236" s="81"/>
      <c r="H236" s="81"/>
      <c r="I236" s="81"/>
      <c r="J236" s="81"/>
      <c r="K236" s="81"/>
      <c r="L236" s="81"/>
      <c r="M236" s="81"/>
      <c r="N236" s="81"/>
      <c r="O236" s="81"/>
      <c r="P236" s="81" t="e">
        <f t="shared" si="48"/>
        <v>#VALUE!</v>
      </c>
      <c r="Q236" s="18"/>
    </row>
    <row r="237" spans="1:19" ht="17.45" customHeight="1">
      <c r="A237" s="103"/>
      <c r="B237" s="31" t="s">
        <v>394</v>
      </c>
      <c r="C237" s="26" t="s">
        <v>395</v>
      </c>
      <c r="D237" s="81"/>
      <c r="E237" s="81"/>
      <c r="F237" s="81" t="s">
        <v>441</v>
      </c>
      <c r="G237" s="81"/>
      <c r="H237" s="81"/>
      <c r="I237" s="81"/>
      <c r="J237" s="81"/>
      <c r="K237" s="81"/>
      <c r="L237" s="81"/>
      <c r="M237" s="81"/>
      <c r="N237" s="81"/>
      <c r="O237" s="81"/>
      <c r="P237" s="81" t="e">
        <f t="shared" si="48"/>
        <v>#VALUE!</v>
      </c>
      <c r="Q237" s="18"/>
    </row>
    <row r="238" spans="1:19" ht="17.45" customHeight="1">
      <c r="A238" s="103"/>
      <c r="B238" s="31" t="s">
        <v>396</v>
      </c>
      <c r="C238" s="26" t="s">
        <v>397</v>
      </c>
      <c r="D238" s="81"/>
      <c r="E238" s="81"/>
      <c r="F238" s="81">
        <v>0</v>
      </c>
      <c r="G238" s="81"/>
      <c r="H238" s="81"/>
      <c r="I238" s="81"/>
      <c r="J238" s="81"/>
      <c r="K238" s="81"/>
      <c r="L238" s="81"/>
      <c r="M238" s="81"/>
      <c r="N238" s="81"/>
      <c r="O238" s="81"/>
      <c r="P238" s="81">
        <f t="shared" si="48"/>
        <v>0</v>
      </c>
      <c r="Q238" s="18"/>
    </row>
    <row r="239" spans="1:19" ht="17.45" customHeight="1">
      <c r="A239" s="103"/>
      <c r="B239" s="31"/>
      <c r="C239" s="26" t="s">
        <v>398</v>
      </c>
      <c r="D239" s="81"/>
      <c r="E239" s="81"/>
      <c r="F239" s="81" t="s">
        <v>441</v>
      </c>
      <c r="G239" s="81"/>
      <c r="H239" s="81"/>
      <c r="I239" s="81"/>
      <c r="J239" s="81"/>
      <c r="K239" s="81"/>
      <c r="L239" s="81"/>
      <c r="M239" s="81"/>
      <c r="N239" s="81"/>
      <c r="O239" s="81"/>
      <c r="P239" s="81" t="e">
        <f t="shared" si="48"/>
        <v>#VALUE!</v>
      </c>
      <c r="Q239" s="18"/>
    </row>
    <row r="240" spans="1:19" ht="17.45" customHeight="1">
      <c r="A240" s="103"/>
      <c r="B240" s="31" t="s">
        <v>399</v>
      </c>
      <c r="C240" s="26" t="s">
        <v>355</v>
      </c>
      <c r="D240" s="81"/>
      <c r="E240" s="81"/>
      <c r="F240" s="81">
        <v>0</v>
      </c>
      <c r="G240" s="81"/>
      <c r="H240" s="81"/>
      <c r="I240" s="81"/>
      <c r="J240" s="81"/>
      <c r="K240" s="81"/>
      <c r="L240" s="81"/>
      <c r="M240" s="81"/>
      <c r="N240" s="81"/>
      <c r="O240" s="81"/>
      <c r="P240" s="81">
        <f t="shared" si="48"/>
        <v>0</v>
      </c>
      <c r="Q240" s="18"/>
    </row>
    <row r="241" spans="1:19" ht="17.45" customHeight="1">
      <c r="A241" s="103"/>
      <c r="B241" s="31"/>
      <c r="C241" s="26" t="s">
        <v>400</v>
      </c>
      <c r="D241" s="81"/>
      <c r="E241" s="81"/>
      <c r="F241" s="81">
        <v>0</v>
      </c>
      <c r="G241" s="81"/>
      <c r="H241" s="81"/>
      <c r="I241" s="81"/>
      <c r="J241" s="81"/>
      <c r="K241" s="81"/>
      <c r="L241" s="81"/>
      <c r="M241" s="81"/>
      <c r="N241" s="81"/>
      <c r="O241" s="81"/>
      <c r="P241" s="81">
        <v>0</v>
      </c>
    </row>
    <row r="242" spans="1:19" ht="17.45" customHeight="1">
      <c r="A242" s="103"/>
      <c r="B242" s="31" t="s">
        <v>401</v>
      </c>
      <c r="C242" s="26" t="s">
        <v>358</v>
      </c>
      <c r="D242" s="81"/>
      <c r="E242" s="81"/>
      <c r="F242" s="81">
        <v>-3.15</v>
      </c>
      <c r="G242" s="81"/>
      <c r="H242" s="81"/>
      <c r="I242" s="81"/>
      <c r="J242" s="81"/>
      <c r="K242" s="81"/>
      <c r="L242" s="81"/>
      <c r="M242" s="81"/>
      <c r="N242" s="81"/>
      <c r="O242" s="81"/>
      <c r="P242" s="81">
        <f>D242+E242+F242+G242+H242+I242+J242+K242+L242+M242+N242+O242</f>
        <v>-3.15</v>
      </c>
      <c r="Q242" s="18"/>
    </row>
    <row r="243" spans="1:19" ht="17.45" customHeight="1">
      <c r="A243" s="103"/>
      <c r="B243" s="68" t="s">
        <v>402</v>
      </c>
      <c r="C243" s="67" t="s">
        <v>360</v>
      </c>
      <c r="D243" s="89">
        <f t="shared" ref="D243:O243" si="49">D219+D223+D224+D229+D234+D235+D242+D237</f>
        <v>0</v>
      </c>
      <c r="E243" s="89">
        <f t="shared" si="49"/>
        <v>0</v>
      </c>
      <c r="F243" s="89" t="e">
        <f t="shared" si="49"/>
        <v>#VALUE!</v>
      </c>
      <c r="G243" s="89">
        <f t="shared" si="49"/>
        <v>0</v>
      </c>
      <c r="H243" s="89">
        <f t="shared" si="49"/>
        <v>0</v>
      </c>
      <c r="I243" s="89">
        <f t="shared" si="49"/>
        <v>0</v>
      </c>
      <c r="J243" s="89">
        <f t="shared" si="49"/>
        <v>0</v>
      </c>
      <c r="K243" s="89">
        <f t="shared" si="49"/>
        <v>0</v>
      </c>
      <c r="L243" s="89">
        <f t="shared" si="49"/>
        <v>0</v>
      </c>
      <c r="M243" s="89">
        <f t="shared" si="49"/>
        <v>0</v>
      </c>
      <c r="N243" s="89">
        <f t="shared" si="49"/>
        <v>0</v>
      </c>
      <c r="O243" s="89">
        <f t="shared" si="49"/>
        <v>0</v>
      </c>
      <c r="P243" s="89" t="e">
        <f>P219+P223+P224+P229+P234+P235+P242+P237</f>
        <v>#VALUE!</v>
      </c>
      <c r="Q243" s="22"/>
      <c r="R243" s="32"/>
      <c r="S243" s="22"/>
    </row>
    <row r="244" spans="1:19" ht="17.45" customHeight="1">
      <c r="A244" s="103"/>
      <c r="B244" s="31" t="s">
        <v>403</v>
      </c>
      <c r="C244" s="26" t="s">
        <v>404</v>
      </c>
      <c r="D244" s="81"/>
      <c r="E244" s="81"/>
      <c r="F244" s="81">
        <v>0</v>
      </c>
      <c r="G244" s="81"/>
      <c r="H244" s="81"/>
      <c r="I244" s="81"/>
      <c r="J244" s="81"/>
      <c r="K244" s="81"/>
      <c r="L244" s="81"/>
      <c r="M244" s="81"/>
      <c r="N244" s="81"/>
      <c r="O244" s="81"/>
      <c r="P244" s="81">
        <f>D244+E244+F244+G244+H244+I244+J244+K244+L244+M244+N244+O244</f>
        <v>0</v>
      </c>
      <c r="Q244" s="18"/>
    </row>
    <row r="245" spans="1:19" ht="17.45" customHeight="1">
      <c r="A245" s="103"/>
      <c r="B245" s="31" t="s">
        <v>405</v>
      </c>
      <c r="C245" s="26" t="s">
        <v>406</v>
      </c>
      <c r="D245" s="81"/>
      <c r="E245" s="81"/>
      <c r="F245" s="81" t="s">
        <v>441</v>
      </c>
      <c r="G245" s="81"/>
      <c r="H245" s="81"/>
      <c r="I245" s="81"/>
      <c r="J245" s="81"/>
      <c r="K245" s="81"/>
      <c r="L245" s="81"/>
      <c r="M245" s="81"/>
      <c r="N245" s="81"/>
      <c r="O245" s="81"/>
      <c r="P245" s="81" t="e">
        <f>D245+E245+F245+G245+H245+I245+J245+K245+L245+M245+N245+O245</f>
        <v>#VALUE!</v>
      </c>
      <c r="Q245" s="18"/>
    </row>
    <row r="246" spans="1:19" ht="17.45" customHeight="1">
      <c r="A246" s="103"/>
      <c r="B246" s="31" t="s">
        <v>407</v>
      </c>
      <c r="C246" s="26" t="s">
        <v>408</v>
      </c>
      <c r="D246" s="81"/>
      <c r="E246" s="81"/>
      <c r="F246" s="81" t="s">
        <v>441</v>
      </c>
      <c r="G246" s="81"/>
      <c r="H246" s="81"/>
      <c r="I246" s="81"/>
      <c r="J246" s="81"/>
      <c r="K246" s="81"/>
      <c r="L246" s="81"/>
      <c r="M246" s="81"/>
      <c r="N246" s="81"/>
      <c r="O246" s="81"/>
      <c r="P246" s="81" t="e">
        <f>D246+E246+F246+G246+H246+I246+J246+K246+L246+M246+N246+O246</f>
        <v>#VALUE!</v>
      </c>
      <c r="Q246" s="18"/>
    </row>
    <row r="247" spans="1:19" ht="17.45" customHeight="1">
      <c r="A247" s="103"/>
      <c r="B247" s="31" t="s">
        <v>409</v>
      </c>
      <c r="C247" s="26" t="s">
        <v>410</v>
      </c>
      <c r="D247" s="81"/>
      <c r="E247" s="81"/>
      <c r="F247" s="81" t="s">
        <v>441</v>
      </c>
      <c r="G247" s="81"/>
      <c r="H247" s="81"/>
      <c r="I247" s="81"/>
      <c r="J247" s="81"/>
      <c r="K247" s="81"/>
      <c r="L247" s="81"/>
      <c r="M247" s="81"/>
      <c r="N247" s="81"/>
      <c r="O247" s="81"/>
      <c r="P247" s="81" t="e">
        <f>D247+E247+F247+G247+H247+I247+J247+K247+L247+M247+N247+O247</f>
        <v>#VALUE!</v>
      </c>
      <c r="Q247" s="18"/>
    </row>
    <row r="248" spans="1:19" ht="17.45" customHeight="1">
      <c r="A248" s="103"/>
      <c r="B248" s="68" t="s">
        <v>411</v>
      </c>
      <c r="C248" s="67" t="s">
        <v>335</v>
      </c>
      <c r="D248" s="89">
        <f t="shared" ref="D248:O248" si="50">D243+D214</f>
        <v>0</v>
      </c>
      <c r="E248" s="89">
        <f t="shared" si="50"/>
        <v>0</v>
      </c>
      <c r="F248" s="89" t="e">
        <f t="shared" si="50"/>
        <v>#VALUE!</v>
      </c>
      <c r="G248" s="89">
        <f t="shared" si="50"/>
        <v>0</v>
      </c>
      <c r="H248" s="89">
        <f t="shared" si="50"/>
        <v>0</v>
      </c>
      <c r="I248" s="89">
        <f t="shared" si="50"/>
        <v>0</v>
      </c>
      <c r="J248" s="89">
        <f t="shared" si="50"/>
        <v>0</v>
      </c>
      <c r="K248" s="89">
        <f t="shared" si="50"/>
        <v>0</v>
      </c>
      <c r="L248" s="89">
        <f t="shared" si="50"/>
        <v>0</v>
      </c>
      <c r="M248" s="89">
        <f t="shared" si="50"/>
        <v>0</v>
      </c>
      <c r="N248" s="89">
        <f t="shared" si="50"/>
        <v>0</v>
      </c>
      <c r="O248" s="89">
        <f t="shared" si="50"/>
        <v>0</v>
      </c>
      <c r="P248" s="89" t="e">
        <f>P243+P214</f>
        <v>#VALUE!</v>
      </c>
      <c r="Q248" s="22"/>
      <c r="R248" s="32"/>
      <c r="S248" s="22"/>
    </row>
    <row r="249" spans="1:19" ht="17.45" customHeight="1">
      <c r="A249" s="103"/>
      <c r="B249" s="31" t="s">
        <v>412</v>
      </c>
      <c r="C249" s="26" t="s">
        <v>413</v>
      </c>
      <c r="D249" s="81"/>
      <c r="E249" s="81"/>
      <c r="F249" s="81">
        <v>0</v>
      </c>
      <c r="G249" s="81"/>
      <c r="H249" s="81"/>
      <c r="I249" s="81"/>
      <c r="J249" s="81"/>
      <c r="K249" s="81"/>
      <c r="L249" s="81"/>
      <c r="M249" s="81"/>
      <c r="N249" s="81"/>
      <c r="O249" s="81"/>
      <c r="P249" s="81">
        <f>D249+E249+F249+G249+H249+I249+J249+K249+L249+M249+N249+O249</f>
        <v>0</v>
      </c>
      <c r="Q249" s="18"/>
    </row>
    <row r="250" spans="1:19" ht="17.45" customHeight="1">
      <c r="A250" s="103"/>
      <c r="B250" s="31" t="s">
        <v>414</v>
      </c>
      <c r="C250" s="26" t="s">
        <v>415</v>
      </c>
      <c r="D250" s="81"/>
      <c r="E250" s="81"/>
      <c r="F250" s="81">
        <v>0</v>
      </c>
      <c r="G250" s="81"/>
      <c r="H250" s="81"/>
      <c r="I250" s="81"/>
      <c r="J250" s="81"/>
      <c r="K250" s="81"/>
      <c r="L250" s="81"/>
      <c r="M250" s="81"/>
      <c r="N250" s="81"/>
      <c r="O250" s="81"/>
      <c r="P250" s="81">
        <f>D250+E250+F250+G250+H250+I250+J250+K250+L250+M250+N250+O250</f>
        <v>0</v>
      </c>
      <c r="Q250" s="18"/>
    </row>
    <row r="251" spans="1:19" ht="17.45" customHeight="1">
      <c r="A251" s="103"/>
      <c r="B251" s="31"/>
      <c r="C251" s="26" t="s">
        <v>416</v>
      </c>
      <c r="D251" s="81"/>
      <c r="E251" s="81"/>
      <c r="F251" s="81">
        <v>0</v>
      </c>
      <c r="G251" s="81"/>
      <c r="H251" s="81"/>
      <c r="I251" s="81"/>
      <c r="J251" s="81"/>
      <c r="K251" s="81"/>
      <c r="L251" s="81"/>
      <c r="M251" s="81"/>
      <c r="N251" s="81"/>
      <c r="O251" s="81"/>
      <c r="P251" s="81">
        <v>0</v>
      </c>
    </row>
    <row r="252" spans="1:19" ht="17.45" customHeight="1">
      <c r="B252" s="25"/>
      <c r="C252" s="26" t="s">
        <v>413</v>
      </c>
      <c r="D252" s="81"/>
      <c r="E252" s="81"/>
      <c r="F252" s="81">
        <v>0</v>
      </c>
      <c r="G252" s="81"/>
      <c r="H252" s="81"/>
      <c r="I252" s="81"/>
      <c r="J252" s="81"/>
      <c r="K252" s="81"/>
      <c r="L252" s="81"/>
      <c r="M252" s="81"/>
      <c r="N252" s="81"/>
      <c r="O252" s="81"/>
      <c r="P252" s="81">
        <f>D252+E252+F252+G252+H252+I252+J252+K252+L252+M252+N252+O252</f>
        <v>0</v>
      </c>
      <c r="Q252" s="18"/>
    </row>
    <row r="253" spans="1:19" ht="24.95" customHeight="1">
      <c r="B253" s="104"/>
      <c r="C253" s="104" t="s">
        <v>417</v>
      </c>
      <c r="D253" s="104">
        <f t="shared" ref="D253:O253" si="51">D16-D36-D138-D198-D248</f>
        <v>0</v>
      </c>
      <c r="E253" s="104">
        <f t="shared" si="51"/>
        <v>0</v>
      </c>
      <c r="F253" s="104" t="e">
        <f t="shared" si="51"/>
        <v>#VALUE!</v>
      </c>
      <c r="G253" s="104">
        <f t="shared" si="51"/>
        <v>0</v>
      </c>
      <c r="H253" s="104">
        <f t="shared" si="51"/>
        <v>0</v>
      </c>
      <c r="I253" s="104">
        <f t="shared" si="51"/>
        <v>0</v>
      </c>
      <c r="J253" s="104">
        <f t="shared" si="51"/>
        <v>0</v>
      </c>
      <c r="K253" s="104">
        <f t="shared" si="51"/>
        <v>0</v>
      </c>
      <c r="L253" s="104">
        <f t="shared" si="51"/>
        <v>0</v>
      </c>
      <c r="M253" s="104">
        <f t="shared" si="51"/>
        <v>0</v>
      </c>
      <c r="N253" s="104">
        <f t="shared" si="51"/>
        <v>0</v>
      </c>
      <c r="O253" s="104">
        <f t="shared" si="51"/>
        <v>0</v>
      </c>
      <c r="P253" s="104" t="e">
        <f>P16-P36-P138-P198-P248</f>
        <v>#VALUE!</v>
      </c>
      <c r="Q253" s="22"/>
      <c r="R253" s="32"/>
      <c r="S253" s="22"/>
    </row>
    <row r="254" spans="1:19">
      <c r="E254" s="22"/>
      <c r="F254" s="18"/>
      <c r="G254" s="18"/>
      <c r="H254" s="18"/>
      <c r="I254" s="18"/>
      <c r="J254" s="18"/>
      <c r="K254" s="18"/>
    </row>
  </sheetData>
  <conditionalFormatting sqref="D15:P15">
    <cfRule type="containsText" dxfId="125" priority="42" operator="containsText" text="NOT FOUND">
      <formula>NOT(ISERROR(SEARCH("NOT FOUND",D15)))</formula>
    </cfRule>
  </conditionalFormatting>
  <conditionalFormatting sqref="D16:P16">
    <cfRule type="containsText" dxfId="124" priority="41" operator="containsText" text="NOT FOUND">
      <formula>NOT(ISERROR(SEARCH("NOT FOUND",D16)))</formula>
    </cfRule>
  </conditionalFormatting>
  <conditionalFormatting sqref="D24:P24">
    <cfRule type="containsText" dxfId="123" priority="40" operator="containsText" text="NOT FOUND">
      <formula>NOT(ISERROR(SEARCH("NOT FOUND",D24)))</formula>
    </cfRule>
  </conditionalFormatting>
  <conditionalFormatting sqref="D29:P29">
    <cfRule type="containsText" dxfId="122" priority="39" operator="containsText" text="NOT FOUND">
      <formula>NOT(ISERROR(SEARCH("NOT FOUND",D29)))</formula>
    </cfRule>
  </conditionalFormatting>
  <conditionalFormatting sqref="D34:P34">
    <cfRule type="containsText" dxfId="121" priority="38" operator="containsText" text="NOT FOUND">
      <formula>NOT(ISERROR(SEARCH("NOT FOUND",D34)))</formula>
    </cfRule>
  </conditionalFormatting>
  <conditionalFormatting sqref="D35:P35">
    <cfRule type="containsText" dxfId="120" priority="37" operator="containsText" text="NOT FOUND">
      <formula>NOT(ISERROR(SEARCH("NOT FOUND",D35)))</formula>
    </cfRule>
  </conditionalFormatting>
  <conditionalFormatting sqref="D36:P36">
    <cfRule type="containsText" dxfId="119" priority="36" operator="containsText" text="NOT FOUND">
      <formula>NOT(ISERROR(SEARCH("NOT FOUND",D36)))</formula>
    </cfRule>
  </conditionalFormatting>
  <conditionalFormatting sqref="D47:P47">
    <cfRule type="containsText" dxfId="118" priority="35" operator="containsText" text="NOT FOUND">
      <formula>NOT(ISERROR(SEARCH("NOT FOUND",D47)))</formula>
    </cfRule>
  </conditionalFormatting>
  <conditionalFormatting sqref="D52:P52">
    <cfRule type="containsText" dxfId="117" priority="34" operator="containsText" text="NOT FOUND">
      <formula>NOT(ISERROR(SEARCH("NOT FOUND",D52)))</formula>
    </cfRule>
  </conditionalFormatting>
  <conditionalFormatting sqref="D53:P53">
    <cfRule type="containsText" dxfId="116" priority="33" operator="containsText" text="NOT FOUND">
      <formula>NOT(ISERROR(SEARCH("NOT FOUND",D53)))</formula>
    </cfRule>
  </conditionalFormatting>
  <conditionalFormatting sqref="D61:P61">
    <cfRule type="containsText" dxfId="115" priority="32" operator="containsText" text="NOT FOUND">
      <formula>NOT(ISERROR(SEARCH("NOT FOUND",D61)))</formula>
    </cfRule>
  </conditionalFormatting>
  <conditionalFormatting sqref="D70:P70">
    <cfRule type="containsText" dxfId="114" priority="31" operator="containsText" text="NOT FOUND">
      <formula>NOT(ISERROR(SEARCH("NOT FOUND",D70)))</formula>
    </cfRule>
  </conditionalFormatting>
  <conditionalFormatting sqref="D80:P80">
    <cfRule type="containsText" dxfId="113" priority="30" operator="containsText" text="NOT FOUND">
      <formula>NOT(ISERROR(SEARCH("NOT FOUND",D80)))</formula>
    </cfRule>
  </conditionalFormatting>
  <conditionalFormatting sqref="D89:P89">
    <cfRule type="containsText" dxfId="112" priority="29" operator="containsText" text="NOT FOUND">
      <formula>NOT(ISERROR(SEARCH("NOT FOUND",D89)))</formula>
    </cfRule>
  </conditionalFormatting>
  <conditionalFormatting sqref="D101:P101">
    <cfRule type="containsText" dxfId="111" priority="28" operator="containsText" text="NOT FOUND">
      <formula>NOT(ISERROR(SEARCH("NOT FOUND",D101)))</formula>
    </cfRule>
  </conditionalFormatting>
  <conditionalFormatting sqref="D106:P106">
    <cfRule type="containsText" dxfId="110" priority="27" operator="containsText" text="NOT FOUND">
      <formula>NOT(ISERROR(SEARCH("NOT FOUND",D106)))</formula>
    </cfRule>
  </conditionalFormatting>
  <conditionalFormatting sqref="D111:P111">
    <cfRule type="containsText" dxfId="109" priority="26" operator="containsText" text="NOT FOUND">
      <formula>NOT(ISERROR(SEARCH("NOT FOUND",D111)))</formula>
    </cfRule>
  </conditionalFormatting>
  <conditionalFormatting sqref="D112:P112">
    <cfRule type="containsText" dxfId="108" priority="25" operator="containsText" text="NOT FOUND">
      <formula>NOT(ISERROR(SEARCH("NOT FOUND",D112)))</formula>
    </cfRule>
  </conditionalFormatting>
  <conditionalFormatting sqref="D117:P117">
    <cfRule type="containsText" dxfId="107" priority="24" operator="containsText" text="NOT FOUND">
      <formula>NOT(ISERROR(SEARCH("NOT FOUND",D117)))</formula>
    </cfRule>
  </conditionalFormatting>
  <conditionalFormatting sqref="D128:P128">
    <cfRule type="containsText" dxfId="106" priority="23" operator="containsText" text="NOT FOUND">
      <formula>NOT(ISERROR(SEARCH("NOT FOUND",D128)))</formula>
    </cfRule>
  </conditionalFormatting>
  <conditionalFormatting sqref="D132:P132">
    <cfRule type="containsText" dxfId="105" priority="22" operator="containsText" text="NOT FOUND">
      <formula>NOT(ISERROR(SEARCH("NOT FOUND",D132)))</formula>
    </cfRule>
  </conditionalFormatting>
  <conditionalFormatting sqref="D137:P137">
    <cfRule type="containsText" dxfId="104" priority="21" operator="containsText" text="NOT FOUND">
      <formula>NOT(ISERROR(SEARCH("NOT FOUND",D137)))</formula>
    </cfRule>
  </conditionalFormatting>
  <conditionalFormatting sqref="D138:P138">
    <cfRule type="containsText" dxfId="103" priority="20" operator="containsText" text="NOT FOUND">
      <formula>NOT(ISERROR(SEARCH("NOT FOUND",D138)))</formula>
    </cfRule>
  </conditionalFormatting>
  <conditionalFormatting sqref="D148:P148">
    <cfRule type="containsText" dxfId="102" priority="19" operator="containsText" text="NOT FOUND">
      <formula>NOT(ISERROR(SEARCH("NOT FOUND",D148)))</formula>
    </cfRule>
  </conditionalFormatting>
  <conditionalFormatting sqref="D154:P154">
    <cfRule type="containsText" dxfId="101" priority="18" operator="containsText" text="NOT FOUND">
      <formula>NOT(ISERROR(SEARCH("NOT FOUND",D154)))</formula>
    </cfRule>
  </conditionalFormatting>
  <conditionalFormatting sqref="D158:P158">
    <cfRule type="containsText" dxfId="100" priority="17" operator="containsText" text="NOT FOUND">
      <formula>NOT(ISERROR(SEARCH("NOT FOUND",D158)))</formula>
    </cfRule>
  </conditionalFormatting>
  <conditionalFormatting sqref="D170:P170">
    <cfRule type="containsText" dxfId="99" priority="16" operator="containsText" text="NOT FOUND">
      <formula>NOT(ISERROR(SEARCH("NOT FOUND",D170)))</formula>
    </cfRule>
  </conditionalFormatting>
  <conditionalFormatting sqref="D175:P175">
    <cfRule type="containsText" dxfId="98" priority="15" operator="containsText" text="NOT FOUND">
      <formula>NOT(ISERROR(SEARCH("NOT FOUND",D175)))</formula>
    </cfRule>
  </conditionalFormatting>
  <conditionalFormatting sqref="D182:P182">
    <cfRule type="containsText" dxfId="97" priority="14" operator="containsText" text="NOT FOUND">
      <formula>NOT(ISERROR(SEARCH("NOT FOUND",D182)))</formula>
    </cfRule>
  </conditionalFormatting>
  <conditionalFormatting sqref="D187:P187">
    <cfRule type="containsText" dxfId="96" priority="13" operator="containsText" text="NOT FOUND">
      <formula>NOT(ISERROR(SEARCH("NOT FOUND",D187)))</formula>
    </cfRule>
  </conditionalFormatting>
  <conditionalFormatting sqref="D197:P197">
    <cfRule type="containsText" dxfId="95" priority="12" operator="containsText" text="NOT FOUND">
      <formula>NOT(ISERROR(SEARCH("NOT FOUND",D197)))</formula>
    </cfRule>
  </conditionalFormatting>
  <conditionalFormatting sqref="D198:P198">
    <cfRule type="containsText" dxfId="94" priority="11" operator="containsText" text="NOT FOUND">
      <formula>NOT(ISERROR(SEARCH("NOT FOUND",D198)))</formula>
    </cfRule>
  </conditionalFormatting>
  <conditionalFormatting sqref="D206:P206">
    <cfRule type="containsText" dxfId="93" priority="10" operator="containsText" text="NOT FOUND">
      <formula>NOT(ISERROR(SEARCH("NOT FOUND",D206)))</formula>
    </cfRule>
  </conditionalFormatting>
  <conditionalFormatting sqref="D214:P214">
    <cfRule type="containsText" dxfId="92" priority="9" operator="containsText" text="NOT FOUND">
      <formula>NOT(ISERROR(SEARCH("NOT FOUND",D214)))</formula>
    </cfRule>
  </conditionalFormatting>
  <conditionalFormatting sqref="D219:P219">
    <cfRule type="containsText" dxfId="91" priority="8" operator="containsText" text="NOT FOUND">
      <formula>NOT(ISERROR(SEARCH("NOT FOUND",D219)))</formula>
    </cfRule>
  </conditionalFormatting>
  <conditionalFormatting sqref="D223:P223">
    <cfRule type="containsText" dxfId="90" priority="7" operator="containsText" text="NOT FOUND">
      <formula>NOT(ISERROR(SEARCH("NOT FOUND",D223)))</formula>
    </cfRule>
  </conditionalFormatting>
  <conditionalFormatting sqref="D229:P229">
    <cfRule type="containsText" dxfId="89" priority="6" operator="containsText" text="NOT FOUND">
      <formula>NOT(ISERROR(SEARCH("NOT FOUND",D229)))</formula>
    </cfRule>
  </conditionalFormatting>
  <conditionalFormatting sqref="D233:P233">
    <cfRule type="containsText" dxfId="88" priority="5" operator="containsText" text="NOT FOUND">
      <formula>NOT(ISERROR(SEARCH("NOT FOUND",D233)))</formula>
    </cfRule>
  </conditionalFormatting>
  <conditionalFormatting sqref="D243:P243">
    <cfRule type="containsText" dxfId="87" priority="4" operator="containsText" text="NOT FOUND">
      <formula>NOT(ISERROR(SEARCH("NOT FOUND",D243)))</formula>
    </cfRule>
  </conditionalFormatting>
  <conditionalFormatting sqref="D248:P248">
    <cfRule type="containsText" dxfId="86" priority="3" operator="containsText" text="NOT FOUND">
      <formula>NOT(ISERROR(SEARCH("NOT FOUND",D248)))</formula>
    </cfRule>
  </conditionalFormatting>
  <conditionalFormatting sqref="D253:P253">
    <cfRule type="containsText" dxfId="85" priority="2" operator="containsText" text="NOT FOUND">
      <formula>NOT(ISERROR(SEARCH("NOT FOUND",D253)))</formula>
    </cfRule>
  </conditionalFormatting>
  <conditionalFormatting sqref="D6:P1000">
    <cfRule type="containsText" dxfId="84" priority="1" operator="containsText" text="NOT FOUND">
      <formula>NOT(ISERROR(SEARCH("NOT FOUND",D6)))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6DB05-59C7-4FFD-BD91-C34A7A17A8FC}">
  <sheetPr codeName="Sheet4"/>
  <dimension ref="A1:S255"/>
  <sheetViews>
    <sheetView zoomScale="70" zoomScaleNormal="70" workbookViewId="0">
      <selection activeCell="F6" sqref="F6"/>
    </sheetView>
  </sheetViews>
  <sheetFormatPr defaultRowHeight="16.5"/>
  <cols>
    <col min="1" max="1" width="5.7109375" style="102" customWidth="1"/>
    <col min="2" max="2" width="17.140625" style="41" customWidth="1"/>
    <col min="3" max="3" width="52" style="20" customWidth="1"/>
    <col min="4" max="4" width="22" style="20" customWidth="1"/>
    <col min="5" max="5" width="19" style="20" customWidth="1"/>
    <col min="6" max="6" width="18.28515625" style="20" customWidth="1"/>
    <col min="7" max="7" width="21.7109375" style="20" customWidth="1"/>
    <col min="8" max="8" width="18.85546875" style="20" customWidth="1"/>
    <col min="9" max="9" width="19.140625" style="20" customWidth="1"/>
    <col min="10" max="15" width="21.7109375" style="20" customWidth="1"/>
    <col min="16" max="16" width="23.7109375" style="20" customWidth="1"/>
    <col min="17" max="17" width="20.7109375" style="20" customWidth="1"/>
    <col min="18" max="256" width="9.140625" style="20"/>
    <col min="257" max="257" width="5.7109375" style="20" customWidth="1"/>
    <col min="258" max="258" width="17.140625" style="20" customWidth="1"/>
    <col min="259" max="259" width="38.28515625" style="20" customWidth="1"/>
    <col min="260" max="260" width="22" style="20" customWidth="1"/>
    <col min="261" max="261" width="19" style="20" customWidth="1"/>
    <col min="262" max="262" width="18.28515625" style="20" customWidth="1"/>
    <col min="263" max="263" width="21.7109375" style="20" customWidth="1"/>
    <col min="264" max="264" width="18.85546875" style="20" customWidth="1"/>
    <col min="265" max="265" width="19.140625" style="20" customWidth="1"/>
    <col min="266" max="271" width="21.7109375" style="20" customWidth="1"/>
    <col min="272" max="272" width="23.7109375" style="20" customWidth="1"/>
    <col min="273" max="273" width="20.7109375" style="20" customWidth="1"/>
    <col min="274" max="512" width="9.140625" style="20"/>
    <col min="513" max="513" width="5.7109375" style="20" customWidth="1"/>
    <col min="514" max="514" width="17.140625" style="20" customWidth="1"/>
    <col min="515" max="515" width="38.28515625" style="20" customWidth="1"/>
    <col min="516" max="516" width="22" style="20" customWidth="1"/>
    <col min="517" max="517" width="19" style="20" customWidth="1"/>
    <col min="518" max="518" width="18.28515625" style="20" customWidth="1"/>
    <col min="519" max="519" width="21.7109375" style="20" customWidth="1"/>
    <col min="520" max="520" width="18.85546875" style="20" customWidth="1"/>
    <col min="521" max="521" width="19.140625" style="20" customWidth="1"/>
    <col min="522" max="527" width="21.7109375" style="20" customWidth="1"/>
    <col min="528" max="528" width="23.7109375" style="20" customWidth="1"/>
    <col min="529" max="529" width="20.7109375" style="20" customWidth="1"/>
    <col min="530" max="768" width="9.140625" style="20"/>
    <col min="769" max="769" width="5.7109375" style="20" customWidth="1"/>
    <col min="770" max="770" width="17.140625" style="20" customWidth="1"/>
    <col min="771" max="771" width="38.28515625" style="20" customWidth="1"/>
    <col min="772" max="772" width="22" style="20" customWidth="1"/>
    <col min="773" max="773" width="19" style="20" customWidth="1"/>
    <col min="774" max="774" width="18.28515625" style="20" customWidth="1"/>
    <col min="775" max="775" width="21.7109375" style="20" customWidth="1"/>
    <col min="776" max="776" width="18.85546875" style="20" customWidth="1"/>
    <col min="777" max="777" width="19.140625" style="20" customWidth="1"/>
    <col min="778" max="783" width="21.7109375" style="20" customWidth="1"/>
    <col min="784" max="784" width="23.7109375" style="20" customWidth="1"/>
    <col min="785" max="785" width="20.7109375" style="20" customWidth="1"/>
    <col min="786" max="1024" width="9.140625" style="20"/>
    <col min="1025" max="1025" width="5.7109375" style="20" customWidth="1"/>
    <col min="1026" max="1026" width="17.140625" style="20" customWidth="1"/>
    <col min="1027" max="1027" width="38.28515625" style="20" customWidth="1"/>
    <col min="1028" max="1028" width="22" style="20" customWidth="1"/>
    <col min="1029" max="1029" width="19" style="20" customWidth="1"/>
    <col min="1030" max="1030" width="18.28515625" style="20" customWidth="1"/>
    <col min="1031" max="1031" width="21.7109375" style="20" customWidth="1"/>
    <col min="1032" max="1032" width="18.85546875" style="20" customWidth="1"/>
    <col min="1033" max="1033" width="19.140625" style="20" customWidth="1"/>
    <col min="1034" max="1039" width="21.7109375" style="20" customWidth="1"/>
    <col min="1040" max="1040" width="23.7109375" style="20" customWidth="1"/>
    <col min="1041" max="1041" width="20.7109375" style="20" customWidth="1"/>
    <col min="1042" max="1280" width="9.140625" style="20"/>
    <col min="1281" max="1281" width="5.7109375" style="20" customWidth="1"/>
    <col min="1282" max="1282" width="17.140625" style="20" customWidth="1"/>
    <col min="1283" max="1283" width="38.28515625" style="20" customWidth="1"/>
    <col min="1284" max="1284" width="22" style="20" customWidth="1"/>
    <col min="1285" max="1285" width="19" style="20" customWidth="1"/>
    <col min="1286" max="1286" width="18.28515625" style="20" customWidth="1"/>
    <col min="1287" max="1287" width="21.7109375" style="20" customWidth="1"/>
    <col min="1288" max="1288" width="18.85546875" style="20" customWidth="1"/>
    <col min="1289" max="1289" width="19.140625" style="20" customWidth="1"/>
    <col min="1290" max="1295" width="21.7109375" style="20" customWidth="1"/>
    <col min="1296" max="1296" width="23.7109375" style="20" customWidth="1"/>
    <col min="1297" max="1297" width="20.7109375" style="20" customWidth="1"/>
    <col min="1298" max="1536" width="9.140625" style="20"/>
    <col min="1537" max="1537" width="5.7109375" style="20" customWidth="1"/>
    <col min="1538" max="1538" width="17.140625" style="20" customWidth="1"/>
    <col min="1539" max="1539" width="38.28515625" style="20" customWidth="1"/>
    <col min="1540" max="1540" width="22" style="20" customWidth="1"/>
    <col min="1541" max="1541" width="19" style="20" customWidth="1"/>
    <col min="1542" max="1542" width="18.28515625" style="20" customWidth="1"/>
    <col min="1543" max="1543" width="21.7109375" style="20" customWidth="1"/>
    <col min="1544" max="1544" width="18.85546875" style="20" customWidth="1"/>
    <col min="1545" max="1545" width="19.140625" style="20" customWidth="1"/>
    <col min="1546" max="1551" width="21.7109375" style="20" customWidth="1"/>
    <col min="1552" max="1552" width="23.7109375" style="20" customWidth="1"/>
    <col min="1553" max="1553" width="20.7109375" style="20" customWidth="1"/>
    <col min="1554" max="1792" width="9.140625" style="20"/>
    <col min="1793" max="1793" width="5.7109375" style="20" customWidth="1"/>
    <col min="1794" max="1794" width="17.140625" style="20" customWidth="1"/>
    <col min="1795" max="1795" width="38.28515625" style="20" customWidth="1"/>
    <col min="1796" max="1796" width="22" style="20" customWidth="1"/>
    <col min="1797" max="1797" width="19" style="20" customWidth="1"/>
    <col min="1798" max="1798" width="18.28515625" style="20" customWidth="1"/>
    <col min="1799" max="1799" width="21.7109375" style="20" customWidth="1"/>
    <col min="1800" max="1800" width="18.85546875" style="20" customWidth="1"/>
    <col min="1801" max="1801" width="19.140625" style="20" customWidth="1"/>
    <col min="1802" max="1807" width="21.7109375" style="20" customWidth="1"/>
    <col min="1808" max="1808" width="23.7109375" style="20" customWidth="1"/>
    <col min="1809" max="1809" width="20.7109375" style="20" customWidth="1"/>
    <col min="1810" max="2048" width="9.140625" style="20"/>
    <col min="2049" max="2049" width="5.7109375" style="20" customWidth="1"/>
    <col min="2050" max="2050" width="17.140625" style="20" customWidth="1"/>
    <col min="2051" max="2051" width="38.28515625" style="20" customWidth="1"/>
    <col min="2052" max="2052" width="22" style="20" customWidth="1"/>
    <col min="2053" max="2053" width="19" style="20" customWidth="1"/>
    <col min="2054" max="2054" width="18.28515625" style="20" customWidth="1"/>
    <col min="2055" max="2055" width="21.7109375" style="20" customWidth="1"/>
    <col min="2056" max="2056" width="18.85546875" style="20" customWidth="1"/>
    <col min="2057" max="2057" width="19.140625" style="20" customWidth="1"/>
    <col min="2058" max="2063" width="21.7109375" style="20" customWidth="1"/>
    <col min="2064" max="2064" width="23.7109375" style="20" customWidth="1"/>
    <col min="2065" max="2065" width="20.7109375" style="20" customWidth="1"/>
    <col min="2066" max="2304" width="9.140625" style="20"/>
    <col min="2305" max="2305" width="5.7109375" style="20" customWidth="1"/>
    <col min="2306" max="2306" width="17.140625" style="20" customWidth="1"/>
    <col min="2307" max="2307" width="38.28515625" style="20" customWidth="1"/>
    <col min="2308" max="2308" width="22" style="20" customWidth="1"/>
    <col min="2309" max="2309" width="19" style="20" customWidth="1"/>
    <col min="2310" max="2310" width="18.28515625" style="20" customWidth="1"/>
    <col min="2311" max="2311" width="21.7109375" style="20" customWidth="1"/>
    <col min="2312" max="2312" width="18.85546875" style="20" customWidth="1"/>
    <col min="2313" max="2313" width="19.140625" style="20" customWidth="1"/>
    <col min="2314" max="2319" width="21.7109375" style="20" customWidth="1"/>
    <col min="2320" max="2320" width="23.7109375" style="20" customWidth="1"/>
    <col min="2321" max="2321" width="20.7109375" style="20" customWidth="1"/>
    <col min="2322" max="2560" width="9.140625" style="20"/>
    <col min="2561" max="2561" width="5.7109375" style="20" customWidth="1"/>
    <col min="2562" max="2562" width="17.140625" style="20" customWidth="1"/>
    <col min="2563" max="2563" width="38.28515625" style="20" customWidth="1"/>
    <col min="2564" max="2564" width="22" style="20" customWidth="1"/>
    <col min="2565" max="2565" width="19" style="20" customWidth="1"/>
    <col min="2566" max="2566" width="18.28515625" style="20" customWidth="1"/>
    <col min="2567" max="2567" width="21.7109375" style="20" customWidth="1"/>
    <col min="2568" max="2568" width="18.85546875" style="20" customWidth="1"/>
    <col min="2569" max="2569" width="19.140625" style="20" customWidth="1"/>
    <col min="2570" max="2575" width="21.7109375" style="20" customWidth="1"/>
    <col min="2576" max="2576" width="23.7109375" style="20" customWidth="1"/>
    <col min="2577" max="2577" width="20.7109375" style="20" customWidth="1"/>
    <col min="2578" max="2816" width="9.140625" style="20"/>
    <col min="2817" max="2817" width="5.7109375" style="20" customWidth="1"/>
    <col min="2818" max="2818" width="17.140625" style="20" customWidth="1"/>
    <col min="2819" max="2819" width="38.28515625" style="20" customWidth="1"/>
    <col min="2820" max="2820" width="22" style="20" customWidth="1"/>
    <col min="2821" max="2821" width="19" style="20" customWidth="1"/>
    <col min="2822" max="2822" width="18.28515625" style="20" customWidth="1"/>
    <col min="2823" max="2823" width="21.7109375" style="20" customWidth="1"/>
    <col min="2824" max="2824" width="18.85546875" style="20" customWidth="1"/>
    <col min="2825" max="2825" width="19.140625" style="20" customWidth="1"/>
    <col min="2826" max="2831" width="21.7109375" style="20" customWidth="1"/>
    <col min="2832" max="2832" width="23.7109375" style="20" customWidth="1"/>
    <col min="2833" max="2833" width="20.7109375" style="20" customWidth="1"/>
    <col min="2834" max="3072" width="9.140625" style="20"/>
    <col min="3073" max="3073" width="5.7109375" style="20" customWidth="1"/>
    <col min="3074" max="3074" width="17.140625" style="20" customWidth="1"/>
    <col min="3075" max="3075" width="38.28515625" style="20" customWidth="1"/>
    <col min="3076" max="3076" width="22" style="20" customWidth="1"/>
    <col min="3077" max="3077" width="19" style="20" customWidth="1"/>
    <col min="3078" max="3078" width="18.28515625" style="20" customWidth="1"/>
    <col min="3079" max="3079" width="21.7109375" style="20" customWidth="1"/>
    <col min="3080" max="3080" width="18.85546875" style="20" customWidth="1"/>
    <col min="3081" max="3081" width="19.140625" style="20" customWidth="1"/>
    <col min="3082" max="3087" width="21.7109375" style="20" customWidth="1"/>
    <col min="3088" max="3088" width="23.7109375" style="20" customWidth="1"/>
    <col min="3089" max="3089" width="20.7109375" style="20" customWidth="1"/>
    <col min="3090" max="3328" width="9.140625" style="20"/>
    <col min="3329" max="3329" width="5.7109375" style="20" customWidth="1"/>
    <col min="3330" max="3330" width="17.140625" style="20" customWidth="1"/>
    <col min="3331" max="3331" width="38.28515625" style="20" customWidth="1"/>
    <col min="3332" max="3332" width="22" style="20" customWidth="1"/>
    <col min="3333" max="3333" width="19" style="20" customWidth="1"/>
    <col min="3334" max="3334" width="18.28515625" style="20" customWidth="1"/>
    <col min="3335" max="3335" width="21.7109375" style="20" customWidth="1"/>
    <col min="3336" max="3336" width="18.85546875" style="20" customWidth="1"/>
    <col min="3337" max="3337" width="19.140625" style="20" customWidth="1"/>
    <col min="3338" max="3343" width="21.7109375" style="20" customWidth="1"/>
    <col min="3344" max="3344" width="23.7109375" style="20" customWidth="1"/>
    <col min="3345" max="3345" width="20.7109375" style="20" customWidth="1"/>
    <col min="3346" max="3584" width="9.140625" style="20"/>
    <col min="3585" max="3585" width="5.7109375" style="20" customWidth="1"/>
    <col min="3586" max="3586" width="17.140625" style="20" customWidth="1"/>
    <col min="3587" max="3587" width="38.28515625" style="20" customWidth="1"/>
    <col min="3588" max="3588" width="22" style="20" customWidth="1"/>
    <col min="3589" max="3589" width="19" style="20" customWidth="1"/>
    <col min="3590" max="3590" width="18.28515625" style="20" customWidth="1"/>
    <col min="3591" max="3591" width="21.7109375" style="20" customWidth="1"/>
    <col min="3592" max="3592" width="18.85546875" style="20" customWidth="1"/>
    <col min="3593" max="3593" width="19.140625" style="20" customWidth="1"/>
    <col min="3594" max="3599" width="21.7109375" style="20" customWidth="1"/>
    <col min="3600" max="3600" width="23.7109375" style="20" customWidth="1"/>
    <col min="3601" max="3601" width="20.7109375" style="20" customWidth="1"/>
    <col min="3602" max="3840" width="9.140625" style="20"/>
    <col min="3841" max="3841" width="5.7109375" style="20" customWidth="1"/>
    <col min="3842" max="3842" width="17.140625" style="20" customWidth="1"/>
    <col min="3843" max="3843" width="38.28515625" style="20" customWidth="1"/>
    <col min="3844" max="3844" width="22" style="20" customWidth="1"/>
    <col min="3845" max="3845" width="19" style="20" customWidth="1"/>
    <col min="3846" max="3846" width="18.28515625" style="20" customWidth="1"/>
    <col min="3847" max="3847" width="21.7109375" style="20" customWidth="1"/>
    <col min="3848" max="3848" width="18.85546875" style="20" customWidth="1"/>
    <col min="3849" max="3849" width="19.140625" style="20" customWidth="1"/>
    <col min="3850" max="3855" width="21.7109375" style="20" customWidth="1"/>
    <col min="3856" max="3856" width="23.7109375" style="20" customWidth="1"/>
    <col min="3857" max="3857" width="20.7109375" style="20" customWidth="1"/>
    <col min="3858" max="4096" width="9.140625" style="20"/>
    <col min="4097" max="4097" width="5.7109375" style="20" customWidth="1"/>
    <col min="4098" max="4098" width="17.140625" style="20" customWidth="1"/>
    <col min="4099" max="4099" width="38.28515625" style="20" customWidth="1"/>
    <col min="4100" max="4100" width="22" style="20" customWidth="1"/>
    <col min="4101" max="4101" width="19" style="20" customWidth="1"/>
    <col min="4102" max="4102" width="18.28515625" style="20" customWidth="1"/>
    <col min="4103" max="4103" width="21.7109375" style="20" customWidth="1"/>
    <col min="4104" max="4104" width="18.85546875" style="20" customWidth="1"/>
    <col min="4105" max="4105" width="19.140625" style="20" customWidth="1"/>
    <col min="4106" max="4111" width="21.7109375" style="20" customWidth="1"/>
    <col min="4112" max="4112" width="23.7109375" style="20" customWidth="1"/>
    <col min="4113" max="4113" width="20.7109375" style="20" customWidth="1"/>
    <col min="4114" max="4352" width="9.140625" style="20"/>
    <col min="4353" max="4353" width="5.7109375" style="20" customWidth="1"/>
    <col min="4354" max="4354" width="17.140625" style="20" customWidth="1"/>
    <col min="4355" max="4355" width="38.28515625" style="20" customWidth="1"/>
    <col min="4356" max="4356" width="22" style="20" customWidth="1"/>
    <col min="4357" max="4357" width="19" style="20" customWidth="1"/>
    <col min="4358" max="4358" width="18.28515625" style="20" customWidth="1"/>
    <col min="4359" max="4359" width="21.7109375" style="20" customWidth="1"/>
    <col min="4360" max="4360" width="18.85546875" style="20" customWidth="1"/>
    <col min="4361" max="4361" width="19.140625" style="20" customWidth="1"/>
    <col min="4362" max="4367" width="21.7109375" style="20" customWidth="1"/>
    <col min="4368" max="4368" width="23.7109375" style="20" customWidth="1"/>
    <col min="4369" max="4369" width="20.7109375" style="20" customWidth="1"/>
    <col min="4370" max="4608" width="9.140625" style="20"/>
    <col min="4609" max="4609" width="5.7109375" style="20" customWidth="1"/>
    <col min="4610" max="4610" width="17.140625" style="20" customWidth="1"/>
    <col min="4611" max="4611" width="38.28515625" style="20" customWidth="1"/>
    <col min="4612" max="4612" width="22" style="20" customWidth="1"/>
    <col min="4613" max="4613" width="19" style="20" customWidth="1"/>
    <col min="4614" max="4614" width="18.28515625" style="20" customWidth="1"/>
    <col min="4615" max="4615" width="21.7109375" style="20" customWidth="1"/>
    <col min="4616" max="4616" width="18.85546875" style="20" customWidth="1"/>
    <col min="4617" max="4617" width="19.140625" style="20" customWidth="1"/>
    <col min="4618" max="4623" width="21.7109375" style="20" customWidth="1"/>
    <col min="4624" max="4624" width="23.7109375" style="20" customWidth="1"/>
    <col min="4625" max="4625" width="20.7109375" style="20" customWidth="1"/>
    <col min="4626" max="4864" width="9.140625" style="20"/>
    <col min="4865" max="4865" width="5.7109375" style="20" customWidth="1"/>
    <col min="4866" max="4866" width="17.140625" style="20" customWidth="1"/>
    <col min="4867" max="4867" width="38.28515625" style="20" customWidth="1"/>
    <col min="4868" max="4868" width="22" style="20" customWidth="1"/>
    <col min="4869" max="4869" width="19" style="20" customWidth="1"/>
    <col min="4870" max="4870" width="18.28515625" style="20" customWidth="1"/>
    <col min="4871" max="4871" width="21.7109375" style="20" customWidth="1"/>
    <col min="4872" max="4872" width="18.85546875" style="20" customWidth="1"/>
    <col min="4873" max="4873" width="19.140625" style="20" customWidth="1"/>
    <col min="4874" max="4879" width="21.7109375" style="20" customWidth="1"/>
    <col min="4880" max="4880" width="23.7109375" style="20" customWidth="1"/>
    <col min="4881" max="4881" width="20.7109375" style="20" customWidth="1"/>
    <col min="4882" max="5120" width="9.140625" style="20"/>
    <col min="5121" max="5121" width="5.7109375" style="20" customWidth="1"/>
    <col min="5122" max="5122" width="17.140625" style="20" customWidth="1"/>
    <col min="5123" max="5123" width="38.28515625" style="20" customWidth="1"/>
    <col min="5124" max="5124" width="22" style="20" customWidth="1"/>
    <col min="5125" max="5125" width="19" style="20" customWidth="1"/>
    <col min="5126" max="5126" width="18.28515625" style="20" customWidth="1"/>
    <col min="5127" max="5127" width="21.7109375" style="20" customWidth="1"/>
    <col min="5128" max="5128" width="18.85546875" style="20" customWidth="1"/>
    <col min="5129" max="5129" width="19.140625" style="20" customWidth="1"/>
    <col min="5130" max="5135" width="21.7109375" style="20" customWidth="1"/>
    <col min="5136" max="5136" width="23.7109375" style="20" customWidth="1"/>
    <col min="5137" max="5137" width="20.7109375" style="20" customWidth="1"/>
    <col min="5138" max="5376" width="9.140625" style="20"/>
    <col min="5377" max="5377" width="5.7109375" style="20" customWidth="1"/>
    <col min="5378" max="5378" width="17.140625" style="20" customWidth="1"/>
    <col min="5379" max="5379" width="38.28515625" style="20" customWidth="1"/>
    <col min="5380" max="5380" width="22" style="20" customWidth="1"/>
    <col min="5381" max="5381" width="19" style="20" customWidth="1"/>
    <col min="5382" max="5382" width="18.28515625" style="20" customWidth="1"/>
    <col min="5383" max="5383" width="21.7109375" style="20" customWidth="1"/>
    <col min="5384" max="5384" width="18.85546875" style="20" customWidth="1"/>
    <col min="5385" max="5385" width="19.140625" style="20" customWidth="1"/>
    <col min="5386" max="5391" width="21.7109375" style="20" customWidth="1"/>
    <col min="5392" max="5392" width="23.7109375" style="20" customWidth="1"/>
    <col min="5393" max="5393" width="20.7109375" style="20" customWidth="1"/>
    <col min="5394" max="5632" width="9.140625" style="20"/>
    <col min="5633" max="5633" width="5.7109375" style="20" customWidth="1"/>
    <col min="5634" max="5634" width="17.140625" style="20" customWidth="1"/>
    <col min="5635" max="5635" width="38.28515625" style="20" customWidth="1"/>
    <col min="5636" max="5636" width="22" style="20" customWidth="1"/>
    <col min="5637" max="5637" width="19" style="20" customWidth="1"/>
    <col min="5638" max="5638" width="18.28515625" style="20" customWidth="1"/>
    <col min="5639" max="5639" width="21.7109375" style="20" customWidth="1"/>
    <col min="5640" max="5640" width="18.85546875" style="20" customWidth="1"/>
    <col min="5641" max="5641" width="19.140625" style="20" customWidth="1"/>
    <col min="5642" max="5647" width="21.7109375" style="20" customWidth="1"/>
    <col min="5648" max="5648" width="23.7109375" style="20" customWidth="1"/>
    <col min="5649" max="5649" width="20.7109375" style="20" customWidth="1"/>
    <col min="5650" max="5888" width="9.140625" style="20"/>
    <col min="5889" max="5889" width="5.7109375" style="20" customWidth="1"/>
    <col min="5890" max="5890" width="17.140625" style="20" customWidth="1"/>
    <col min="5891" max="5891" width="38.28515625" style="20" customWidth="1"/>
    <col min="5892" max="5892" width="22" style="20" customWidth="1"/>
    <col min="5893" max="5893" width="19" style="20" customWidth="1"/>
    <col min="5894" max="5894" width="18.28515625" style="20" customWidth="1"/>
    <col min="5895" max="5895" width="21.7109375" style="20" customWidth="1"/>
    <col min="5896" max="5896" width="18.85546875" style="20" customWidth="1"/>
    <col min="5897" max="5897" width="19.140625" style="20" customWidth="1"/>
    <col min="5898" max="5903" width="21.7109375" style="20" customWidth="1"/>
    <col min="5904" max="5904" width="23.7109375" style="20" customWidth="1"/>
    <col min="5905" max="5905" width="20.7109375" style="20" customWidth="1"/>
    <col min="5906" max="6144" width="9.140625" style="20"/>
    <col min="6145" max="6145" width="5.7109375" style="20" customWidth="1"/>
    <col min="6146" max="6146" width="17.140625" style="20" customWidth="1"/>
    <col min="6147" max="6147" width="38.28515625" style="20" customWidth="1"/>
    <col min="6148" max="6148" width="22" style="20" customWidth="1"/>
    <col min="6149" max="6149" width="19" style="20" customWidth="1"/>
    <col min="6150" max="6150" width="18.28515625" style="20" customWidth="1"/>
    <col min="6151" max="6151" width="21.7109375" style="20" customWidth="1"/>
    <col min="6152" max="6152" width="18.85546875" style="20" customWidth="1"/>
    <col min="6153" max="6153" width="19.140625" style="20" customWidth="1"/>
    <col min="6154" max="6159" width="21.7109375" style="20" customWidth="1"/>
    <col min="6160" max="6160" width="23.7109375" style="20" customWidth="1"/>
    <col min="6161" max="6161" width="20.7109375" style="20" customWidth="1"/>
    <col min="6162" max="6400" width="9.140625" style="20"/>
    <col min="6401" max="6401" width="5.7109375" style="20" customWidth="1"/>
    <col min="6402" max="6402" width="17.140625" style="20" customWidth="1"/>
    <col min="6403" max="6403" width="38.28515625" style="20" customWidth="1"/>
    <col min="6404" max="6404" width="22" style="20" customWidth="1"/>
    <col min="6405" max="6405" width="19" style="20" customWidth="1"/>
    <col min="6406" max="6406" width="18.28515625" style="20" customWidth="1"/>
    <col min="6407" max="6407" width="21.7109375" style="20" customWidth="1"/>
    <col min="6408" max="6408" width="18.85546875" style="20" customWidth="1"/>
    <col min="6409" max="6409" width="19.140625" style="20" customWidth="1"/>
    <col min="6410" max="6415" width="21.7109375" style="20" customWidth="1"/>
    <col min="6416" max="6416" width="23.7109375" style="20" customWidth="1"/>
    <col min="6417" max="6417" width="20.7109375" style="20" customWidth="1"/>
    <col min="6418" max="6656" width="9.140625" style="20"/>
    <col min="6657" max="6657" width="5.7109375" style="20" customWidth="1"/>
    <col min="6658" max="6658" width="17.140625" style="20" customWidth="1"/>
    <col min="6659" max="6659" width="38.28515625" style="20" customWidth="1"/>
    <col min="6660" max="6660" width="22" style="20" customWidth="1"/>
    <col min="6661" max="6661" width="19" style="20" customWidth="1"/>
    <col min="6662" max="6662" width="18.28515625" style="20" customWidth="1"/>
    <col min="6663" max="6663" width="21.7109375" style="20" customWidth="1"/>
    <col min="6664" max="6664" width="18.85546875" style="20" customWidth="1"/>
    <col min="6665" max="6665" width="19.140625" style="20" customWidth="1"/>
    <col min="6666" max="6671" width="21.7109375" style="20" customWidth="1"/>
    <col min="6672" max="6672" width="23.7109375" style="20" customWidth="1"/>
    <col min="6673" max="6673" width="20.7109375" style="20" customWidth="1"/>
    <col min="6674" max="6912" width="9.140625" style="20"/>
    <col min="6913" max="6913" width="5.7109375" style="20" customWidth="1"/>
    <col min="6914" max="6914" width="17.140625" style="20" customWidth="1"/>
    <col min="6915" max="6915" width="38.28515625" style="20" customWidth="1"/>
    <col min="6916" max="6916" width="22" style="20" customWidth="1"/>
    <col min="6917" max="6917" width="19" style="20" customWidth="1"/>
    <col min="6918" max="6918" width="18.28515625" style="20" customWidth="1"/>
    <col min="6919" max="6919" width="21.7109375" style="20" customWidth="1"/>
    <col min="6920" max="6920" width="18.85546875" style="20" customWidth="1"/>
    <col min="6921" max="6921" width="19.140625" style="20" customWidth="1"/>
    <col min="6922" max="6927" width="21.7109375" style="20" customWidth="1"/>
    <col min="6928" max="6928" width="23.7109375" style="20" customWidth="1"/>
    <col min="6929" max="6929" width="20.7109375" style="20" customWidth="1"/>
    <col min="6930" max="7168" width="9.140625" style="20"/>
    <col min="7169" max="7169" width="5.7109375" style="20" customWidth="1"/>
    <col min="7170" max="7170" width="17.140625" style="20" customWidth="1"/>
    <col min="7171" max="7171" width="38.28515625" style="20" customWidth="1"/>
    <col min="7172" max="7172" width="22" style="20" customWidth="1"/>
    <col min="7173" max="7173" width="19" style="20" customWidth="1"/>
    <col min="7174" max="7174" width="18.28515625" style="20" customWidth="1"/>
    <col min="7175" max="7175" width="21.7109375" style="20" customWidth="1"/>
    <col min="7176" max="7176" width="18.85546875" style="20" customWidth="1"/>
    <col min="7177" max="7177" width="19.140625" style="20" customWidth="1"/>
    <col min="7178" max="7183" width="21.7109375" style="20" customWidth="1"/>
    <col min="7184" max="7184" width="23.7109375" style="20" customWidth="1"/>
    <col min="7185" max="7185" width="20.7109375" style="20" customWidth="1"/>
    <col min="7186" max="7424" width="9.140625" style="20"/>
    <col min="7425" max="7425" width="5.7109375" style="20" customWidth="1"/>
    <col min="7426" max="7426" width="17.140625" style="20" customWidth="1"/>
    <col min="7427" max="7427" width="38.28515625" style="20" customWidth="1"/>
    <col min="7428" max="7428" width="22" style="20" customWidth="1"/>
    <col min="7429" max="7429" width="19" style="20" customWidth="1"/>
    <col min="7430" max="7430" width="18.28515625" style="20" customWidth="1"/>
    <col min="7431" max="7431" width="21.7109375" style="20" customWidth="1"/>
    <col min="7432" max="7432" width="18.85546875" style="20" customWidth="1"/>
    <col min="7433" max="7433" width="19.140625" style="20" customWidth="1"/>
    <col min="7434" max="7439" width="21.7109375" style="20" customWidth="1"/>
    <col min="7440" max="7440" width="23.7109375" style="20" customWidth="1"/>
    <col min="7441" max="7441" width="20.7109375" style="20" customWidth="1"/>
    <col min="7442" max="7680" width="9.140625" style="20"/>
    <col min="7681" max="7681" width="5.7109375" style="20" customWidth="1"/>
    <col min="7682" max="7682" width="17.140625" style="20" customWidth="1"/>
    <col min="7683" max="7683" width="38.28515625" style="20" customWidth="1"/>
    <col min="7684" max="7684" width="22" style="20" customWidth="1"/>
    <col min="7685" max="7685" width="19" style="20" customWidth="1"/>
    <col min="7686" max="7686" width="18.28515625" style="20" customWidth="1"/>
    <col min="7687" max="7687" width="21.7109375" style="20" customWidth="1"/>
    <col min="7688" max="7688" width="18.85546875" style="20" customWidth="1"/>
    <col min="7689" max="7689" width="19.140625" style="20" customWidth="1"/>
    <col min="7690" max="7695" width="21.7109375" style="20" customWidth="1"/>
    <col min="7696" max="7696" width="23.7109375" style="20" customWidth="1"/>
    <col min="7697" max="7697" width="20.7109375" style="20" customWidth="1"/>
    <col min="7698" max="7936" width="9.140625" style="20"/>
    <col min="7937" max="7937" width="5.7109375" style="20" customWidth="1"/>
    <col min="7938" max="7938" width="17.140625" style="20" customWidth="1"/>
    <col min="7939" max="7939" width="38.28515625" style="20" customWidth="1"/>
    <col min="7940" max="7940" width="22" style="20" customWidth="1"/>
    <col min="7941" max="7941" width="19" style="20" customWidth="1"/>
    <col min="7942" max="7942" width="18.28515625" style="20" customWidth="1"/>
    <col min="7943" max="7943" width="21.7109375" style="20" customWidth="1"/>
    <col min="7944" max="7944" width="18.85546875" style="20" customWidth="1"/>
    <col min="7945" max="7945" width="19.140625" style="20" customWidth="1"/>
    <col min="7946" max="7951" width="21.7109375" style="20" customWidth="1"/>
    <col min="7952" max="7952" width="23.7109375" style="20" customWidth="1"/>
    <col min="7953" max="7953" width="20.7109375" style="20" customWidth="1"/>
    <col min="7954" max="8192" width="9.140625" style="20"/>
    <col min="8193" max="8193" width="5.7109375" style="20" customWidth="1"/>
    <col min="8194" max="8194" width="17.140625" style="20" customWidth="1"/>
    <col min="8195" max="8195" width="38.28515625" style="20" customWidth="1"/>
    <col min="8196" max="8196" width="22" style="20" customWidth="1"/>
    <col min="8197" max="8197" width="19" style="20" customWidth="1"/>
    <col min="8198" max="8198" width="18.28515625" style="20" customWidth="1"/>
    <col min="8199" max="8199" width="21.7109375" style="20" customWidth="1"/>
    <col min="8200" max="8200" width="18.85546875" style="20" customWidth="1"/>
    <col min="8201" max="8201" width="19.140625" style="20" customWidth="1"/>
    <col min="8202" max="8207" width="21.7109375" style="20" customWidth="1"/>
    <col min="8208" max="8208" width="23.7109375" style="20" customWidth="1"/>
    <col min="8209" max="8209" width="20.7109375" style="20" customWidth="1"/>
    <col min="8210" max="8448" width="9.140625" style="20"/>
    <col min="8449" max="8449" width="5.7109375" style="20" customWidth="1"/>
    <col min="8450" max="8450" width="17.140625" style="20" customWidth="1"/>
    <col min="8451" max="8451" width="38.28515625" style="20" customWidth="1"/>
    <col min="8452" max="8452" width="22" style="20" customWidth="1"/>
    <col min="8453" max="8453" width="19" style="20" customWidth="1"/>
    <col min="8454" max="8454" width="18.28515625" style="20" customWidth="1"/>
    <col min="8455" max="8455" width="21.7109375" style="20" customWidth="1"/>
    <col min="8456" max="8456" width="18.85546875" style="20" customWidth="1"/>
    <col min="8457" max="8457" width="19.140625" style="20" customWidth="1"/>
    <col min="8458" max="8463" width="21.7109375" style="20" customWidth="1"/>
    <col min="8464" max="8464" width="23.7109375" style="20" customWidth="1"/>
    <col min="8465" max="8465" width="20.7109375" style="20" customWidth="1"/>
    <col min="8466" max="8704" width="9.140625" style="20"/>
    <col min="8705" max="8705" width="5.7109375" style="20" customWidth="1"/>
    <col min="8706" max="8706" width="17.140625" style="20" customWidth="1"/>
    <col min="8707" max="8707" width="38.28515625" style="20" customWidth="1"/>
    <col min="8708" max="8708" width="22" style="20" customWidth="1"/>
    <col min="8709" max="8709" width="19" style="20" customWidth="1"/>
    <col min="8710" max="8710" width="18.28515625" style="20" customWidth="1"/>
    <col min="8711" max="8711" width="21.7109375" style="20" customWidth="1"/>
    <col min="8712" max="8712" width="18.85546875" style="20" customWidth="1"/>
    <col min="8713" max="8713" width="19.140625" style="20" customWidth="1"/>
    <col min="8714" max="8719" width="21.7109375" style="20" customWidth="1"/>
    <col min="8720" max="8720" width="23.7109375" style="20" customWidth="1"/>
    <col min="8721" max="8721" width="20.7109375" style="20" customWidth="1"/>
    <col min="8722" max="8960" width="9.140625" style="20"/>
    <col min="8961" max="8961" width="5.7109375" style="20" customWidth="1"/>
    <col min="8962" max="8962" width="17.140625" style="20" customWidth="1"/>
    <col min="8963" max="8963" width="38.28515625" style="20" customWidth="1"/>
    <col min="8964" max="8964" width="22" style="20" customWidth="1"/>
    <col min="8965" max="8965" width="19" style="20" customWidth="1"/>
    <col min="8966" max="8966" width="18.28515625" style="20" customWidth="1"/>
    <col min="8967" max="8967" width="21.7109375" style="20" customWidth="1"/>
    <col min="8968" max="8968" width="18.85546875" style="20" customWidth="1"/>
    <col min="8969" max="8969" width="19.140625" style="20" customWidth="1"/>
    <col min="8970" max="8975" width="21.7109375" style="20" customWidth="1"/>
    <col min="8976" max="8976" width="23.7109375" style="20" customWidth="1"/>
    <col min="8977" max="8977" width="20.7109375" style="20" customWidth="1"/>
    <col min="8978" max="9216" width="9.140625" style="20"/>
    <col min="9217" max="9217" width="5.7109375" style="20" customWidth="1"/>
    <col min="9218" max="9218" width="17.140625" style="20" customWidth="1"/>
    <col min="9219" max="9219" width="38.28515625" style="20" customWidth="1"/>
    <col min="9220" max="9220" width="22" style="20" customWidth="1"/>
    <col min="9221" max="9221" width="19" style="20" customWidth="1"/>
    <col min="9222" max="9222" width="18.28515625" style="20" customWidth="1"/>
    <col min="9223" max="9223" width="21.7109375" style="20" customWidth="1"/>
    <col min="9224" max="9224" width="18.85546875" style="20" customWidth="1"/>
    <col min="9225" max="9225" width="19.140625" style="20" customWidth="1"/>
    <col min="9226" max="9231" width="21.7109375" style="20" customWidth="1"/>
    <col min="9232" max="9232" width="23.7109375" style="20" customWidth="1"/>
    <col min="9233" max="9233" width="20.7109375" style="20" customWidth="1"/>
    <col min="9234" max="9472" width="9.140625" style="20"/>
    <col min="9473" max="9473" width="5.7109375" style="20" customWidth="1"/>
    <col min="9474" max="9474" width="17.140625" style="20" customWidth="1"/>
    <col min="9475" max="9475" width="38.28515625" style="20" customWidth="1"/>
    <col min="9476" max="9476" width="22" style="20" customWidth="1"/>
    <col min="9477" max="9477" width="19" style="20" customWidth="1"/>
    <col min="9478" max="9478" width="18.28515625" style="20" customWidth="1"/>
    <col min="9479" max="9479" width="21.7109375" style="20" customWidth="1"/>
    <col min="9480" max="9480" width="18.85546875" style="20" customWidth="1"/>
    <col min="9481" max="9481" width="19.140625" style="20" customWidth="1"/>
    <col min="9482" max="9487" width="21.7109375" style="20" customWidth="1"/>
    <col min="9488" max="9488" width="23.7109375" style="20" customWidth="1"/>
    <col min="9489" max="9489" width="20.7109375" style="20" customWidth="1"/>
    <col min="9490" max="9728" width="9.140625" style="20"/>
    <col min="9729" max="9729" width="5.7109375" style="20" customWidth="1"/>
    <col min="9730" max="9730" width="17.140625" style="20" customWidth="1"/>
    <col min="9731" max="9731" width="38.28515625" style="20" customWidth="1"/>
    <col min="9732" max="9732" width="22" style="20" customWidth="1"/>
    <col min="9733" max="9733" width="19" style="20" customWidth="1"/>
    <col min="9734" max="9734" width="18.28515625" style="20" customWidth="1"/>
    <col min="9735" max="9735" width="21.7109375" style="20" customWidth="1"/>
    <col min="9736" max="9736" width="18.85546875" style="20" customWidth="1"/>
    <col min="9737" max="9737" width="19.140625" style="20" customWidth="1"/>
    <col min="9738" max="9743" width="21.7109375" style="20" customWidth="1"/>
    <col min="9744" max="9744" width="23.7109375" style="20" customWidth="1"/>
    <col min="9745" max="9745" width="20.7109375" style="20" customWidth="1"/>
    <col min="9746" max="9984" width="9.140625" style="20"/>
    <col min="9985" max="9985" width="5.7109375" style="20" customWidth="1"/>
    <col min="9986" max="9986" width="17.140625" style="20" customWidth="1"/>
    <col min="9987" max="9987" width="38.28515625" style="20" customWidth="1"/>
    <col min="9988" max="9988" width="22" style="20" customWidth="1"/>
    <col min="9989" max="9989" width="19" style="20" customWidth="1"/>
    <col min="9990" max="9990" width="18.28515625" style="20" customWidth="1"/>
    <col min="9991" max="9991" width="21.7109375" style="20" customWidth="1"/>
    <col min="9992" max="9992" width="18.85546875" style="20" customWidth="1"/>
    <col min="9993" max="9993" width="19.140625" style="20" customWidth="1"/>
    <col min="9994" max="9999" width="21.7109375" style="20" customWidth="1"/>
    <col min="10000" max="10000" width="23.7109375" style="20" customWidth="1"/>
    <col min="10001" max="10001" width="20.7109375" style="20" customWidth="1"/>
    <col min="10002" max="10240" width="9.140625" style="20"/>
    <col min="10241" max="10241" width="5.7109375" style="20" customWidth="1"/>
    <col min="10242" max="10242" width="17.140625" style="20" customWidth="1"/>
    <col min="10243" max="10243" width="38.28515625" style="20" customWidth="1"/>
    <col min="10244" max="10244" width="22" style="20" customWidth="1"/>
    <col min="10245" max="10245" width="19" style="20" customWidth="1"/>
    <col min="10246" max="10246" width="18.28515625" style="20" customWidth="1"/>
    <col min="10247" max="10247" width="21.7109375" style="20" customWidth="1"/>
    <col min="10248" max="10248" width="18.85546875" style="20" customWidth="1"/>
    <col min="10249" max="10249" width="19.140625" style="20" customWidth="1"/>
    <col min="10250" max="10255" width="21.7109375" style="20" customWidth="1"/>
    <col min="10256" max="10256" width="23.7109375" style="20" customWidth="1"/>
    <col min="10257" max="10257" width="20.7109375" style="20" customWidth="1"/>
    <col min="10258" max="10496" width="9.140625" style="20"/>
    <col min="10497" max="10497" width="5.7109375" style="20" customWidth="1"/>
    <col min="10498" max="10498" width="17.140625" style="20" customWidth="1"/>
    <col min="10499" max="10499" width="38.28515625" style="20" customWidth="1"/>
    <col min="10500" max="10500" width="22" style="20" customWidth="1"/>
    <col min="10501" max="10501" width="19" style="20" customWidth="1"/>
    <col min="10502" max="10502" width="18.28515625" style="20" customWidth="1"/>
    <col min="10503" max="10503" width="21.7109375" style="20" customWidth="1"/>
    <col min="10504" max="10504" width="18.85546875" style="20" customWidth="1"/>
    <col min="10505" max="10505" width="19.140625" style="20" customWidth="1"/>
    <col min="10506" max="10511" width="21.7109375" style="20" customWidth="1"/>
    <col min="10512" max="10512" width="23.7109375" style="20" customWidth="1"/>
    <col min="10513" max="10513" width="20.7109375" style="20" customWidth="1"/>
    <col min="10514" max="10752" width="9.140625" style="20"/>
    <col min="10753" max="10753" width="5.7109375" style="20" customWidth="1"/>
    <col min="10754" max="10754" width="17.140625" style="20" customWidth="1"/>
    <col min="10755" max="10755" width="38.28515625" style="20" customWidth="1"/>
    <col min="10756" max="10756" width="22" style="20" customWidth="1"/>
    <col min="10757" max="10757" width="19" style="20" customWidth="1"/>
    <col min="10758" max="10758" width="18.28515625" style="20" customWidth="1"/>
    <col min="10759" max="10759" width="21.7109375" style="20" customWidth="1"/>
    <col min="10760" max="10760" width="18.85546875" style="20" customWidth="1"/>
    <col min="10761" max="10761" width="19.140625" style="20" customWidth="1"/>
    <col min="10762" max="10767" width="21.7109375" style="20" customWidth="1"/>
    <col min="10768" max="10768" width="23.7109375" style="20" customWidth="1"/>
    <col min="10769" max="10769" width="20.7109375" style="20" customWidth="1"/>
    <col min="10770" max="11008" width="9.140625" style="20"/>
    <col min="11009" max="11009" width="5.7109375" style="20" customWidth="1"/>
    <col min="11010" max="11010" width="17.140625" style="20" customWidth="1"/>
    <col min="11011" max="11011" width="38.28515625" style="20" customWidth="1"/>
    <col min="11012" max="11012" width="22" style="20" customWidth="1"/>
    <col min="11013" max="11013" width="19" style="20" customWidth="1"/>
    <col min="11014" max="11014" width="18.28515625" style="20" customWidth="1"/>
    <col min="11015" max="11015" width="21.7109375" style="20" customWidth="1"/>
    <col min="11016" max="11016" width="18.85546875" style="20" customWidth="1"/>
    <col min="11017" max="11017" width="19.140625" style="20" customWidth="1"/>
    <col min="11018" max="11023" width="21.7109375" style="20" customWidth="1"/>
    <col min="11024" max="11024" width="23.7109375" style="20" customWidth="1"/>
    <col min="11025" max="11025" width="20.7109375" style="20" customWidth="1"/>
    <col min="11026" max="11264" width="9.140625" style="20"/>
    <col min="11265" max="11265" width="5.7109375" style="20" customWidth="1"/>
    <col min="11266" max="11266" width="17.140625" style="20" customWidth="1"/>
    <col min="11267" max="11267" width="38.28515625" style="20" customWidth="1"/>
    <col min="11268" max="11268" width="22" style="20" customWidth="1"/>
    <col min="11269" max="11269" width="19" style="20" customWidth="1"/>
    <col min="11270" max="11270" width="18.28515625" style="20" customWidth="1"/>
    <col min="11271" max="11271" width="21.7109375" style="20" customWidth="1"/>
    <col min="11272" max="11272" width="18.85546875" style="20" customWidth="1"/>
    <col min="11273" max="11273" width="19.140625" style="20" customWidth="1"/>
    <col min="11274" max="11279" width="21.7109375" style="20" customWidth="1"/>
    <col min="11280" max="11280" width="23.7109375" style="20" customWidth="1"/>
    <col min="11281" max="11281" width="20.7109375" style="20" customWidth="1"/>
    <col min="11282" max="11520" width="9.140625" style="20"/>
    <col min="11521" max="11521" width="5.7109375" style="20" customWidth="1"/>
    <col min="11522" max="11522" width="17.140625" style="20" customWidth="1"/>
    <col min="11523" max="11523" width="38.28515625" style="20" customWidth="1"/>
    <col min="11524" max="11524" width="22" style="20" customWidth="1"/>
    <col min="11525" max="11525" width="19" style="20" customWidth="1"/>
    <col min="11526" max="11526" width="18.28515625" style="20" customWidth="1"/>
    <col min="11527" max="11527" width="21.7109375" style="20" customWidth="1"/>
    <col min="11528" max="11528" width="18.85546875" style="20" customWidth="1"/>
    <col min="11529" max="11529" width="19.140625" style="20" customWidth="1"/>
    <col min="11530" max="11535" width="21.7109375" style="20" customWidth="1"/>
    <col min="11536" max="11536" width="23.7109375" style="20" customWidth="1"/>
    <col min="11537" max="11537" width="20.7109375" style="20" customWidth="1"/>
    <col min="11538" max="11776" width="9.140625" style="20"/>
    <col min="11777" max="11777" width="5.7109375" style="20" customWidth="1"/>
    <col min="11778" max="11778" width="17.140625" style="20" customWidth="1"/>
    <col min="11779" max="11779" width="38.28515625" style="20" customWidth="1"/>
    <col min="11780" max="11780" width="22" style="20" customWidth="1"/>
    <col min="11781" max="11781" width="19" style="20" customWidth="1"/>
    <col min="11782" max="11782" width="18.28515625" style="20" customWidth="1"/>
    <col min="11783" max="11783" width="21.7109375" style="20" customWidth="1"/>
    <col min="11784" max="11784" width="18.85546875" style="20" customWidth="1"/>
    <col min="11785" max="11785" width="19.140625" style="20" customWidth="1"/>
    <col min="11786" max="11791" width="21.7109375" style="20" customWidth="1"/>
    <col min="11792" max="11792" width="23.7109375" style="20" customWidth="1"/>
    <col min="11793" max="11793" width="20.7109375" style="20" customWidth="1"/>
    <col min="11794" max="12032" width="9.140625" style="20"/>
    <col min="12033" max="12033" width="5.7109375" style="20" customWidth="1"/>
    <col min="12034" max="12034" width="17.140625" style="20" customWidth="1"/>
    <col min="12035" max="12035" width="38.28515625" style="20" customWidth="1"/>
    <col min="12036" max="12036" width="22" style="20" customWidth="1"/>
    <col min="12037" max="12037" width="19" style="20" customWidth="1"/>
    <col min="12038" max="12038" width="18.28515625" style="20" customWidth="1"/>
    <col min="12039" max="12039" width="21.7109375" style="20" customWidth="1"/>
    <col min="12040" max="12040" width="18.85546875" style="20" customWidth="1"/>
    <col min="12041" max="12041" width="19.140625" style="20" customWidth="1"/>
    <col min="12042" max="12047" width="21.7109375" style="20" customWidth="1"/>
    <col min="12048" max="12048" width="23.7109375" style="20" customWidth="1"/>
    <col min="12049" max="12049" width="20.7109375" style="20" customWidth="1"/>
    <col min="12050" max="12288" width="9.140625" style="20"/>
    <col min="12289" max="12289" width="5.7109375" style="20" customWidth="1"/>
    <col min="12290" max="12290" width="17.140625" style="20" customWidth="1"/>
    <col min="12291" max="12291" width="38.28515625" style="20" customWidth="1"/>
    <col min="12292" max="12292" width="22" style="20" customWidth="1"/>
    <col min="12293" max="12293" width="19" style="20" customWidth="1"/>
    <col min="12294" max="12294" width="18.28515625" style="20" customWidth="1"/>
    <col min="12295" max="12295" width="21.7109375" style="20" customWidth="1"/>
    <col min="12296" max="12296" width="18.85546875" style="20" customWidth="1"/>
    <col min="12297" max="12297" width="19.140625" style="20" customWidth="1"/>
    <col min="12298" max="12303" width="21.7109375" style="20" customWidth="1"/>
    <col min="12304" max="12304" width="23.7109375" style="20" customWidth="1"/>
    <col min="12305" max="12305" width="20.7109375" style="20" customWidth="1"/>
    <col min="12306" max="12544" width="9.140625" style="20"/>
    <col min="12545" max="12545" width="5.7109375" style="20" customWidth="1"/>
    <col min="12546" max="12546" width="17.140625" style="20" customWidth="1"/>
    <col min="12547" max="12547" width="38.28515625" style="20" customWidth="1"/>
    <col min="12548" max="12548" width="22" style="20" customWidth="1"/>
    <col min="12549" max="12549" width="19" style="20" customWidth="1"/>
    <col min="12550" max="12550" width="18.28515625" style="20" customWidth="1"/>
    <col min="12551" max="12551" width="21.7109375" style="20" customWidth="1"/>
    <col min="12552" max="12552" width="18.85546875" style="20" customWidth="1"/>
    <col min="12553" max="12553" width="19.140625" style="20" customWidth="1"/>
    <col min="12554" max="12559" width="21.7109375" style="20" customWidth="1"/>
    <col min="12560" max="12560" width="23.7109375" style="20" customWidth="1"/>
    <col min="12561" max="12561" width="20.7109375" style="20" customWidth="1"/>
    <col min="12562" max="12800" width="9.140625" style="20"/>
    <col min="12801" max="12801" width="5.7109375" style="20" customWidth="1"/>
    <col min="12802" max="12802" width="17.140625" style="20" customWidth="1"/>
    <col min="12803" max="12803" width="38.28515625" style="20" customWidth="1"/>
    <col min="12804" max="12804" width="22" style="20" customWidth="1"/>
    <col min="12805" max="12805" width="19" style="20" customWidth="1"/>
    <col min="12806" max="12806" width="18.28515625" style="20" customWidth="1"/>
    <col min="12807" max="12807" width="21.7109375" style="20" customWidth="1"/>
    <col min="12808" max="12808" width="18.85546875" style="20" customWidth="1"/>
    <col min="12809" max="12809" width="19.140625" style="20" customWidth="1"/>
    <col min="12810" max="12815" width="21.7109375" style="20" customWidth="1"/>
    <col min="12816" max="12816" width="23.7109375" style="20" customWidth="1"/>
    <col min="12817" max="12817" width="20.7109375" style="20" customWidth="1"/>
    <col min="12818" max="13056" width="9.140625" style="20"/>
    <col min="13057" max="13057" width="5.7109375" style="20" customWidth="1"/>
    <col min="13058" max="13058" width="17.140625" style="20" customWidth="1"/>
    <col min="13059" max="13059" width="38.28515625" style="20" customWidth="1"/>
    <col min="13060" max="13060" width="22" style="20" customWidth="1"/>
    <col min="13061" max="13061" width="19" style="20" customWidth="1"/>
    <col min="13062" max="13062" width="18.28515625" style="20" customWidth="1"/>
    <col min="13063" max="13063" width="21.7109375" style="20" customWidth="1"/>
    <col min="13064" max="13064" width="18.85546875" style="20" customWidth="1"/>
    <col min="13065" max="13065" width="19.140625" style="20" customWidth="1"/>
    <col min="13066" max="13071" width="21.7109375" style="20" customWidth="1"/>
    <col min="13072" max="13072" width="23.7109375" style="20" customWidth="1"/>
    <col min="13073" max="13073" width="20.7109375" style="20" customWidth="1"/>
    <col min="13074" max="13312" width="9.140625" style="20"/>
    <col min="13313" max="13313" width="5.7109375" style="20" customWidth="1"/>
    <col min="13314" max="13314" width="17.140625" style="20" customWidth="1"/>
    <col min="13315" max="13315" width="38.28515625" style="20" customWidth="1"/>
    <col min="13316" max="13316" width="22" style="20" customWidth="1"/>
    <col min="13317" max="13317" width="19" style="20" customWidth="1"/>
    <col min="13318" max="13318" width="18.28515625" style="20" customWidth="1"/>
    <col min="13319" max="13319" width="21.7109375" style="20" customWidth="1"/>
    <col min="13320" max="13320" width="18.85546875" style="20" customWidth="1"/>
    <col min="13321" max="13321" width="19.140625" style="20" customWidth="1"/>
    <col min="13322" max="13327" width="21.7109375" style="20" customWidth="1"/>
    <col min="13328" max="13328" width="23.7109375" style="20" customWidth="1"/>
    <col min="13329" max="13329" width="20.7109375" style="20" customWidth="1"/>
    <col min="13330" max="13568" width="9.140625" style="20"/>
    <col min="13569" max="13569" width="5.7109375" style="20" customWidth="1"/>
    <col min="13570" max="13570" width="17.140625" style="20" customWidth="1"/>
    <col min="13571" max="13571" width="38.28515625" style="20" customWidth="1"/>
    <col min="13572" max="13572" width="22" style="20" customWidth="1"/>
    <col min="13573" max="13573" width="19" style="20" customWidth="1"/>
    <col min="13574" max="13574" width="18.28515625" style="20" customWidth="1"/>
    <col min="13575" max="13575" width="21.7109375" style="20" customWidth="1"/>
    <col min="13576" max="13576" width="18.85546875" style="20" customWidth="1"/>
    <col min="13577" max="13577" width="19.140625" style="20" customWidth="1"/>
    <col min="13578" max="13583" width="21.7109375" style="20" customWidth="1"/>
    <col min="13584" max="13584" width="23.7109375" style="20" customWidth="1"/>
    <col min="13585" max="13585" width="20.7109375" style="20" customWidth="1"/>
    <col min="13586" max="13824" width="9.140625" style="20"/>
    <col min="13825" max="13825" width="5.7109375" style="20" customWidth="1"/>
    <col min="13826" max="13826" width="17.140625" style="20" customWidth="1"/>
    <col min="13827" max="13827" width="38.28515625" style="20" customWidth="1"/>
    <col min="13828" max="13828" width="22" style="20" customWidth="1"/>
    <col min="13829" max="13829" width="19" style="20" customWidth="1"/>
    <col min="13830" max="13830" width="18.28515625" style="20" customWidth="1"/>
    <col min="13831" max="13831" width="21.7109375" style="20" customWidth="1"/>
    <col min="13832" max="13832" width="18.85546875" style="20" customWidth="1"/>
    <col min="13833" max="13833" width="19.140625" style="20" customWidth="1"/>
    <col min="13834" max="13839" width="21.7109375" style="20" customWidth="1"/>
    <col min="13840" max="13840" width="23.7109375" style="20" customWidth="1"/>
    <col min="13841" max="13841" width="20.7109375" style="20" customWidth="1"/>
    <col min="13842" max="14080" width="9.140625" style="20"/>
    <col min="14081" max="14081" width="5.7109375" style="20" customWidth="1"/>
    <col min="14082" max="14082" width="17.140625" style="20" customWidth="1"/>
    <col min="14083" max="14083" width="38.28515625" style="20" customWidth="1"/>
    <col min="14084" max="14084" width="22" style="20" customWidth="1"/>
    <col min="14085" max="14085" width="19" style="20" customWidth="1"/>
    <col min="14086" max="14086" width="18.28515625" style="20" customWidth="1"/>
    <col min="14087" max="14087" width="21.7109375" style="20" customWidth="1"/>
    <col min="14088" max="14088" width="18.85546875" style="20" customWidth="1"/>
    <col min="14089" max="14089" width="19.140625" style="20" customWidth="1"/>
    <col min="14090" max="14095" width="21.7109375" style="20" customWidth="1"/>
    <col min="14096" max="14096" width="23.7109375" style="20" customWidth="1"/>
    <col min="14097" max="14097" width="20.7109375" style="20" customWidth="1"/>
    <col min="14098" max="14336" width="9.140625" style="20"/>
    <col min="14337" max="14337" width="5.7109375" style="20" customWidth="1"/>
    <col min="14338" max="14338" width="17.140625" style="20" customWidth="1"/>
    <col min="14339" max="14339" width="38.28515625" style="20" customWidth="1"/>
    <col min="14340" max="14340" width="22" style="20" customWidth="1"/>
    <col min="14341" max="14341" width="19" style="20" customWidth="1"/>
    <col min="14342" max="14342" width="18.28515625" style="20" customWidth="1"/>
    <col min="14343" max="14343" width="21.7109375" style="20" customWidth="1"/>
    <col min="14344" max="14344" width="18.85546875" style="20" customWidth="1"/>
    <col min="14345" max="14345" width="19.140625" style="20" customWidth="1"/>
    <col min="14346" max="14351" width="21.7109375" style="20" customWidth="1"/>
    <col min="14352" max="14352" width="23.7109375" style="20" customWidth="1"/>
    <col min="14353" max="14353" width="20.7109375" style="20" customWidth="1"/>
    <col min="14354" max="14592" width="9.140625" style="20"/>
    <col min="14593" max="14593" width="5.7109375" style="20" customWidth="1"/>
    <col min="14594" max="14594" width="17.140625" style="20" customWidth="1"/>
    <col min="14595" max="14595" width="38.28515625" style="20" customWidth="1"/>
    <col min="14596" max="14596" width="22" style="20" customWidth="1"/>
    <col min="14597" max="14597" width="19" style="20" customWidth="1"/>
    <col min="14598" max="14598" width="18.28515625" style="20" customWidth="1"/>
    <col min="14599" max="14599" width="21.7109375" style="20" customWidth="1"/>
    <col min="14600" max="14600" width="18.85546875" style="20" customWidth="1"/>
    <col min="14601" max="14601" width="19.140625" style="20" customWidth="1"/>
    <col min="14602" max="14607" width="21.7109375" style="20" customWidth="1"/>
    <col min="14608" max="14608" width="23.7109375" style="20" customWidth="1"/>
    <col min="14609" max="14609" width="20.7109375" style="20" customWidth="1"/>
    <col min="14610" max="14848" width="9.140625" style="20"/>
    <col min="14849" max="14849" width="5.7109375" style="20" customWidth="1"/>
    <col min="14850" max="14850" width="17.140625" style="20" customWidth="1"/>
    <col min="14851" max="14851" width="38.28515625" style="20" customWidth="1"/>
    <col min="14852" max="14852" width="22" style="20" customWidth="1"/>
    <col min="14853" max="14853" width="19" style="20" customWidth="1"/>
    <col min="14854" max="14854" width="18.28515625" style="20" customWidth="1"/>
    <col min="14855" max="14855" width="21.7109375" style="20" customWidth="1"/>
    <col min="14856" max="14856" width="18.85546875" style="20" customWidth="1"/>
    <col min="14857" max="14857" width="19.140625" style="20" customWidth="1"/>
    <col min="14858" max="14863" width="21.7109375" style="20" customWidth="1"/>
    <col min="14864" max="14864" width="23.7109375" style="20" customWidth="1"/>
    <col min="14865" max="14865" width="20.7109375" style="20" customWidth="1"/>
    <col min="14866" max="15104" width="9.140625" style="20"/>
    <col min="15105" max="15105" width="5.7109375" style="20" customWidth="1"/>
    <col min="15106" max="15106" width="17.140625" style="20" customWidth="1"/>
    <col min="15107" max="15107" width="38.28515625" style="20" customWidth="1"/>
    <col min="15108" max="15108" width="22" style="20" customWidth="1"/>
    <col min="15109" max="15109" width="19" style="20" customWidth="1"/>
    <col min="15110" max="15110" width="18.28515625" style="20" customWidth="1"/>
    <col min="15111" max="15111" width="21.7109375" style="20" customWidth="1"/>
    <col min="15112" max="15112" width="18.85546875" style="20" customWidth="1"/>
    <col min="15113" max="15113" width="19.140625" style="20" customWidth="1"/>
    <col min="15114" max="15119" width="21.7109375" style="20" customWidth="1"/>
    <col min="15120" max="15120" width="23.7109375" style="20" customWidth="1"/>
    <col min="15121" max="15121" width="20.7109375" style="20" customWidth="1"/>
    <col min="15122" max="15360" width="9.140625" style="20"/>
    <col min="15361" max="15361" width="5.7109375" style="20" customWidth="1"/>
    <col min="15362" max="15362" width="17.140625" style="20" customWidth="1"/>
    <col min="15363" max="15363" width="38.28515625" style="20" customWidth="1"/>
    <col min="15364" max="15364" width="22" style="20" customWidth="1"/>
    <col min="15365" max="15365" width="19" style="20" customWidth="1"/>
    <col min="15366" max="15366" width="18.28515625" style="20" customWidth="1"/>
    <col min="15367" max="15367" width="21.7109375" style="20" customWidth="1"/>
    <col min="15368" max="15368" width="18.85546875" style="20" customWidth="1"/>
    <col min="15369" max="15369" width="19.140625" style="20" customWidth="1"/>
    <col min="15370" max="15375" width="21.7109375" style="20" customWidth="1"/>
    <col min="15376" max="15376" width="23.7109375" style="20" customWidth="1"/>
    <col min="15377" max="15377" width="20.7109375" style="20" customWidth="1"/>
    <col min="15378" max="15616" width="9.140625" style="20"/>
    <col min="15617" max="15617" width="5.7109375" style="20" customWidth="1"/>
    <col min="15618" max="15618" width="17.140625" style="20" customWidth="1"/>
    <col min="15619" max="15619" width="38.28515625" style="20" customWidth="1"/>
    <col min="15620" max="15620" width="22" style="20" customWidth="1"/>
    <col min="15621" max="15621" width="19" style="20" customWidth="1"/>
    <col min="15622" max="15622" width="18.28515625" style="20" customWidth="1"/>
    <col min="15623" max="15623" width="21.7109375" style="20" customWidth="1"/>
    <col min="15624" max="15624" width="18.85546875" style="20" customWidth="1"/>
    <col min="15625" max="15625" width="19.140625" style="20" customWidth="1"/>
    <col min="15626" max="15631" width="21.7109375" style="20" customWidth="1"/>
    <col min="15632" max="15632" width="23.7109375" style="20" customWidth="1"/>
    <col min="15633" max="15633" width="20.7109375" style="20" customWidth="1"/>
    <col min="15634" max="15872" width="9.140625" style="20"/>
    <col min="15873" max="15873" width="5.7109375" style="20" customWidth="1"/>
    <col min="15874" max="15874" width="17.140625" style="20" customWidth="1"/>
    <col min="15875" max="15875" width="38.28515625" style="20" customWidth="1"/>
    <col min="15876" max="15876" width="22" style="20" customWidth="1"/>
    <col min="15877" max="15877" width="19" style="20" customWidth="1"/>
    <col min="15878" max="15878" width="18.28515625" style="20" customWidth="1"/>
    <col min="15879" max="15879" width="21.7109375" style="20" customWidth="1"/>
    <col min="15880" max="15880" width="18.85546875" style="20" customWidth="1"/>
    <col min="15881" max="15881" width="19.140625" style="20" customWidth="1"/>
    <col min="15882" max="15887" width="21.7109375" style="20" customWidth="1"/>
    <col min="15888" max="15888" width="23.7109375" style="20" customWidth="1"/>
    <col min="15889" max="15889" width="20.7109375" style="20" customWidth="1"/>
    <col min="15890" max="16128" width="9.140625" style="20"/>
    <col min="16129" max="16129" width="5.7109375" style="20" customWidth="1"/>
    <col min="16130" max="16130" width="17.140625" style="20" customWidth="1"/>
    <col min="16131" max="16131" width="38.28515625" style="20" customWidth="1"/>
    <col min="16132" max="16132" width="22" style="20" customWidth="1"/>
    <col min="16133" max="16133" width="19" style="20" customWidth="1"/>
    <col min="16134" max="16134" width="18.28515625" style="20" customWidth="1"/>
    <col min="16135" max="16135" width="21.7109375" style="20" customWidth="1"/>
    <col min="16136" max="16136" width="18.85546875" style="20" customWidth="1"/>
    <col min="16137" max="16137" width="19.140625" style="20" customWidth="1"/>
    <col min="16138" max="16143" width="21.7109375" style="20" customWidth="1"/>
    <col min="16144" max="16144" width="23.7109375" style="20" customWidth="1"/>
    <col min="16145" max="16145" width="20.7109375" style="20" customWidth="1"/>
    <col min="16146" max="16384" width="9.140625" style="20"/>
  </cols>
  <sheetData>
    <row r="1" spans="1:19" ht="26.25" customHeight="1">
      <c r="A1" s="100"/>
      <c r="B1" s="18"/>
      <c r="C1" s="19" t="s">
        <v>418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9" ht="19.5" customHeight="1">
      <c r="A2" s="100"/>
      <c r="B2" s="18"/>
      <c r="C2" s="21" t="s">
        <v>11</v>
      </c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3" spans="1:19" ht="17.45" customHeight="1">
      <c r="A3" s="100"/>
      <c r="B3" s="18"/>
      <c r="C3" s="23">
        <v>1206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</row>
    <row r="4" spans="1:19" ht="24" customHeight="1">
      <c r="A4" s="100"/>
      <c r="B4" s="62" t="s">
        <v>12</v>
      </c>
      <c r="C4" s="62" t="s">
        <v>13</v>
      </c>
      <c r="D4" s="62" t="s">
        <v>14</v>
      </c>
      <c r="E4" s="62" t="s">
        <v>15</v>
      </c>
      <c r="F4" s="62" t="s">
        <v>16</v>
      </c>
      <c r="G4" s="62" t="s">
        <v>17</v>
      </c>
      <c r="H4" s="62" t="s">
        <v>18</v>
      </c>
      <c r="I4" s="62" t="s">
        <v>19</v>
      </c>
      <c r="J4" s="62" t="s">
        <v>20</v>
      </c>
      <c r="K4" s="62" t="s">
        <v>21</v>
      </c>
      <c r="L4" s="62" t="s">
        <v>22</v>
      </c>
      <c r="M4" s="62" t="s">
        <v>23</v>
      </c>
      <c r="N4" s="62" t="s">
        <v>24</v>
      </c>
      <c r="O4" s="62" t="s">
        <v>25</v>
      </c>
      <c r="P4" s="62" t="s">
        <v>26</v>
      </c>
      <c r="Q4" s="18"/>
    </row>
    <row r="5" spans="1:19" ht="3" customHeight="1">
      <c r="B5" s="109" t="s">
        <v>0</v>
      </c>
      <c r="C5" s="110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 t="s">
        <v>0</v>
      </c>
      <c r="Q5" s="18"/>
    </row>
    <row r="6" spans="1:19" ht="17.45" customHeight="1">
      <c r="B6" s="25"/>
      <c r="C6" s="90" t="s">
        <v>27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18"/>
    </row>
    <row r="7" spans="1:19" ht="17.45" customHeight="1">
      <c r="B7" s="25"/>
      <c r="C7" s="91" t="s">
        <v>28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18"/>
    </row>
    <row r="8" spans="1:19" ht="17.45" customHeight="1">
      <c r="A8" s="103"/>
      <c r="B8" s="31" t="s">
        <v>30</v>
      </c>
      <c r="C8" s="92" t="s">
        <v>31</v>
      </c>
      <c r="D8" s="81"/>
      <c r="E8" s="81"/>
      <c r="F8" s="81">
        <v>826982.18</v>
      </c>
      <c r="G8" s="81"/>
      <c r="H8" s="81"/>
      <c r="I8" s="81"/>
      <c r="J8" s="81"/>
      <c r="K8" s="81"/>
      <c r="L8" s="81"/>
      <c r="M8" s="81"/>
      <c r="N8" s="81"/>
      <c r="O8" s="81"/>
      <c r="P8" s="81">
        <f t="shared" ref="P8:P13" si="0">D8+E8+F8+G8+H8+I8+J8+K8+L8+M8+N8+O8</f>
        <v>826982.18</v>
      </c>
      <c r="Q8" s="18"/>
    </row>
    <row r="9" spans="1:19" ht="17.45" customHeight="1">
      <c r="A9" s="103"/>
      <c r="B9" s="31" t="s">
        <v>32</v>
      </c>
      <c r="C9" s="92" t="s">
        <v>33</v>
      </c>
      <c r="D9" s="81"/>
      <c r="E9" s="81"/>
      <c r="F9" s="81">
        <v>0</v>
      </c>
      <c r="G9" s="81"/>
      <c r="H9" s="81"/>
      <c r="I9" s="81"/>
      <c r="J9" s="81"/>
      <c r="K9" s="81"/>
      <c r="L9" s="81"/>
      <c r="M9" s="81"/>
      <c r="N9" s="81"/>
      <c r="O9" s="81"/>
      <c r="P9" s="81">
        <f t="shared" si="0"/>
        <v>0</v>
      </c>
      <c r="Q9" s="18"/>
    </row>
    <row r="10" spans="1:19" ht="17.45" customHeight="1">
      <c r="A10" s="103"/>
      <c r="B10" s="31" t="s">
        <v>34</v>
      </c>
      <c r="C10" s="92" t="s">
        <v>35</v>
      </c>
      <c r="D10" s="81"/>
      <c r="E10" s="81"/>
      <c r="F10" s="81">
        <v>0</v>
      </c>
      <c r="G10" s="81"/>
      <c r="H10" s="81"/>
      <c r="I10" s="81"/>
      <c r="J10" s="81"/>
      <c r="K10" s="81"/>
      <c r="L10" s="81"/>
      <c r="M10" s="81"/>
      <c r="N10" s="81"/>
      <c r="O10" s="81"/>
      <c r="P10" s="81">
        <f t="shared" si="0"/>
        <v>0</v>
      </c>
      <c r="Q10" s="18"/>
    </row>
    <row r="11" spans="1:19" ht="17.45" customHeight="1">
      <c r="A11" s="103"/>
      <c r="B11" s="31" t="s">
        <v>36</v>
      </c>
      <c r="C11" s="92" t="s">
        <v>37</v>
      </c>
      <c r="D11" s="81"/>
      <c r="E11" s="81"/>
      <c r="F11" s="81">
        <v>14591.23</v>
      </c>
      <c r="G11" s="81"/>
      <c r="H11" s="81"/>
      <c r="I11" s="81"/>
      <c r="J11" s="81"/>
      <c r="K11" s="81"/>
      <c r="L11" s="81"/>
      <c r="M11" s="81"/>
      <c r="N11" s="81"/>
      <c r="O11" s="81"/>
      <c r="P11" s="81">
        <f t="shared" si="0"/>
        <v>14591.23</v>
      </c>
      <c r="Q11" s="18"/>
    </row>
    <row r="12" spans="1:19" ht="17.45" customHeight="1">
      <c r="A12" s="103"/>
      <c r="B12" s="31" t="s">
        <v>38</v>
      </c>
      <c r="C12" s="92" t="s">
        <v>39</v>
      </c>
      <c r="D12" s="81"/>
      <c r="E12" s="81"/>
      <c r="F12" s="81">
        <v>0</v>
      </c>
      <c r="G12" s="81"/>
      <c r="H12" s="81"/>
      <c r="I12" s="81"/>
      <c r="J12" s="81"/>
      <c r="K12" s="81"/>
      <c r="L12" s="81"/>
      <c r="M12" s="81"/>
      <c r="N12" s="81"/>
      <c r="O12" s="81"/>
      <c r="P12" s="81">
        <f t="shared" si="0"/>
        <v>0</v>
      </c>
      <c r="Q12" s="18"/>
    </row>
    <row r="13" spans="1:19" ht="17.45" customHeight="1">
      <c r="A13" s="103"/>
      <c r="B13" s="31" t="s">
        <v>40</v>
      </c>
      <c r="C13" s="92" t="s">
        <v>41</v>
      </c>
      <c r="D13" s="81"/>
      <c r="E13" s="81"/>
      <c r="F13" s="81">
        <v>0</v>
      </c>
      <c r="G13" s="81"/>
      <c r="H13" s="81"/>
      <c r="I13" s="81"/>
      <c r="J13" s="81"/>
      <c r="K13" s="81"/>
      <c r="L13" s="81"/>
      <c r="M13" s="81"/>
      <c r="N13" s="81"/>
      <c r="O13" s="81"/>
      <c r="P13" s="81">
        <f t="shared" si="0"/>
        <v>0</v>
      </c>
      <c r="Q13" s="18"/>
    </row>
    <row r="14" spans="1:19" ht="17.45" customHeight="1">
      <c r="A14" s="103"/>
      <c r="B14" s="31"/>
      <c r="C14" s="92" t="s">
        <v>42</v>
      </c>
      <c r="D14" s="81"/>
      <c r="E14" s="81"/>
      <c r="F14" s="81">
        <v>0</v>
      </c>
      <c r="G14" s="81"/>
      <c r="H14" s="81"/>
      <c r="I14" s="81"/>
      <c r="J14" s="81"/>
      <c r="K14" s="81"/>
      <c r="L14" s="81"/>
      <c r="M14" s="81"/>
      <c r="N14" s="81"/>
      <c r="O14" s="81"/>
      <c r="P14" s="81">
        <v>0</v>
      </c>
    </row>
    <row r="15" spans="1:19" ht="17.45" customHeight="1">
      <c r="A15" s="103"/>
      <c r="B15" s="63" t="s">
        <v>44</v>
      </c>
      <c r="C15" s="115" t="s">
        <v>28</v>
      </c>
      <c r="D15" s="114">
        <f t="shared" ref="D15:O15" si="1">SUM(D7:D13)</f>
        <v>0</v>
      </c>
      <c r="E15" s="114">
        <f t="shared" si="1"/>
        <v>0</v>
      </c>
      <c r="F15" s="114">
        <f t="shared" si="1"/>
        <v>841573.41</v>
      </c>
      <c r="G15" s="114">
        <f t="shared" si="1"/>
        <v>0</v>
      </c>
      <c r="H15" s="114">
        <f t="shared" si="1"/>
        <v>0</v>
      </c>
      <c r="I15" s="114">
        <f t="shared" si="1"/>
        <v>0</v>
      </c>
      <c r="J15" s="114">
        <f t="shared" si="1"/>
        <v>0</v>
      </c>
      <c r="K15" s="114">
        <f t="shared" si="1"/>
        <v>0</v>
      </c>
      <c r="L15" s="114">
        <f t="shared" si="1"/>
        <v>0</v>
      </c>
      <c r="M15" s="114">
        <f t="shared" si="1"/>
        <v>0</v>
      </c>
      <c r="N15" s="114">
        <f t="shared" si="1"/>
        <v>0</v>
      </c>
      <c r="O15" s="114">
        <f t="shared" si="1"/>
        <v>0</v>
      </c>
      <c r="P15" s="114">
        <f>SUM(P7:P13)</f>
        <v>841573.41</v>
      </c>
      <c r="Q15" s="22"/>
      <c r="R15" s="32"/>
      <c r="S15" s="22"/>
    </row>
    <row r="16" spans="1:19" ht="17.45" customHeight="1">
      <c r="A16" s="103"/>
      <c r="B16" s="69" t="s">
        <v>46</v>
      </c>
      <c r="C16" s="93" t="s">
        <v>47</v>
      </c>
      <c r="D16" s="89">
        <f t="shared" ref="D16:O16" si="2">D15</f>
        <v>0</v>
      </c>
      <c r="E16" s="89">
        <f t="shared" si="2"/>
        <v>0</v>
      </c>
      <c r="F16" s="89">
        <f t="shared" si="2"/>
        <v>841573.41</v>
      </c>
      <c r="G16" s="89">
        <f t="shared" si="2"/>
        <v>0</v>
      </c>
      <c r="H16" s="89">
        <f t="shared" si="2"/>
        <v>0</v>
      </c>
      <c r="I16" s="89">
        <f t="shared" si="2"/>
        <v>0</v>
      </c>
      <c r="J16" s="89">
        <f t="shared" si="2"/>
        <v>0</v>
      </c>
      <c r="K16" s="89">
        <f t="shared" si="2"/>
        <v>0</v>
      </c>
      <c r="L16" s="89">
        <f t="shared" si="2"/>
        <v>0</v>
      </c>
      <c r="M16" s="89">
        <f t="shared" si="2"/>
        <v>0</v>
      </c>
      <c r="N16" s="89">
        <f t="shared" si="2"/>
        <v>0</v>
      </c>
      <c r="O16" s="89">
        <f t="shared" si="2"/>
        <v>0</v>
      </c>
      <c r="P16" s="89">
        <f>P15</f>
        <v>841573.41</v>
      </c>
      <c r="Q16" s="22"/>
      <c r="R16" s="32"/>
      <c r="S16" s="22"/>
    </row>
    <row r="17" spans="1:19" ht="17.45" customHeight="1">
      <c r="A17" s="103"/>
      <c r="B17" s="31"/>
      <c r="C17" s="90" t="s">
        <v>48</v>
      </c>
      <c r="D17" s="81"/>
      <c r="E17" s="81"/>
      <c r="F17" s="81">
        <v>0</v>
      </c>
      <c r="G17" s="81"/>
      <c r="H17" s="81"/>
      <c r="I17" s="81"/>
      <c r="J17" s="81"/>
      <c r="K17" s="81"/>
      <c r="L17" s="81"/>
      <c r="M17" s="81"/>
      <c r="N17" s="81"/>
      <c r="O17" s="81"/>
      <c r="P17" s="81">
        <f t="shared" ref="P17:P23" si="3">D17+E17+F17+G17+H17+I17+J17+K17+L17+M17+N17+O17</f>
        <v>0</v>
      </c>
      <c r="Q17" s="18"/>
    </row>
    <row r="18" spans="1:19" ht="17.45" customHeight="1">
      <c r="A18" s="103"/>
      <c r="B18" s="31"/>
      <c r="C18" s="91" t="s">
        <v>49</v>
      </c>
      <c r="D18" s="81"/>
      <c r="E18" s="81"/>
      <c r="F18" s="81">
        <v>0</v>
      </c>
      <c r="G18" s="81"/>
      <c r="H18" s="81"/>
      <c r="I18" s="81"/>
      <c r="J18" s="81"/>
      <c r="K18" s="81"/>
      <c r="L18" s="81"/>
      <c r="M18" s="81"/>
      <c r="N18" s="81"/>
      <c r="O18" s="81"/>
      <c r="P18" s="81">
        <f t="shared" si="3"/>
        <v>0</v>
      </c>
      <c r="Q18" s="18"/>
    </row>
    <row r="19" spans="1:19" ht="17.45" customHeight="1">
      <c r="A19" s="103"/>
      <c r="B19" s="31" t="s">
        <v>50</v>
      </c>
      <c r="C19" s="92" t="s">
        <v>51</v>
      </c>
      <c r="D19" s="81"/>
      <c r="E19" s="81"/>
      <c r="F19" s="81">
        <v>2043009.97</v>
      </c>
      <c r="G19" s="81"/>
      <c r="H19" s="81"/>
      <c r="I19" s="81"/>
      <c r="J19" s="81"/>
      <c r="K19" s="81"/>
      <c r="L19" s="81"/>
      <c r="M19" s="81"/>
      <c r="N19" s="81"/>
      <c r="O19" s="81"/>
      <c r="P19" s="81">
        <f t="shared" si="3"/>
        <v>2043009.97</v>
      </c>
      <c r="Q19" s="18"/>
    </row>
    <row r="20" spans="1:19" ht="17.45" customHeight="1">
      <c r="A20" s="103"/>
      <c r="B20" s="31" t="s">
        <v>53</v>
      </c>
      <c r="C20" s="26" t="s">
        <v>54</v>
      </c>
      <c r="D20" s="81"/>
      <c r="E20" s="81"/>
      <c r="F20" s="81">
        <v>0</v>
      </c>
      <c r="G20" s="81"/>
      <c r="H20" s="81"/>
      <c r="I20" s="81"/>
      <c r="J20" s="81"/>
      <c r="K20" s="81"/>
      <c r="L20" s="81"/>
      <c r="M20" s="81"/>
      <c r="N20" s="81"/>
      <c r="O20" s="81"/>
      <c r="P20" s="81">
        <f t="shared" si="3"/>
        <v>0</v>
      </c>
      <c r="Q20" s="18"/>
    </row>
    <row r="21" spans="1:19" ht="17.45" customHeight="1">
      <c r="A21" s="103"/>
      <c r="B21" s="31"/>
      <c r="C21" s="26" t="s">
        <v>55</v>
      </c>
      <c r="D21" s="81"/>
      <c r="E21" s="81"/>
      <c r="F21" s="81">
        <v>2043009.97</v>
      </c>
      <c r="G21" s="81"/>
      <c r="H21" s="81"/>
      <c r="I21" s="81"/>
      <c r="J21" s="81"/>
      <c r="K21" s="81"/>
      <c r="L21" s="81"/>
      <c r="M21" s="81"/>
      <c r="N21" s="81"/>
      <c r="O21" s="81"/>
      <c r="P21" s="81">
        <f t="shared" si="3"/>
        <v>2043009.97</v>
      </c>
      <c r="Q21" s="18"/>
    </row>
    <row r="22" spans="1:19" ht="17.45" customHeight="1">
      <c r="A22" s="103"/>
      <c r="B22" s="31" t="s">
        <v>56</v>
      </c>
      <c r="C22" s="26" t="s">
        <v>57</v>
      </c>
      <c r="D22" s="81"/>
      <c r="E22" s="81"/>
      <c r="F22" s="81">
        <v>0</v>
      </c>
      <c r="G22" s="81"/>
      <c r="H22" s="81"/>
      <c r="I22" s="81"/>
      <c r="J22" s="81"/>
      <c r="K22" s="81"/>
      <c r="L22" s="81"/>
      <c r="M22" s="81"/>
      <c r="N22" s="81"/>
      <c r="O22" s="81"/>
      <c r="P22" s="81">
        <f t="shared" si="3"/>
        <v>0</v>
      </c>
      <c r="Q22" s="18"/>
    </row>
    <row r="23" spans="1:19" ht="17.45" customHeight="1">
      <c r="A23" s="103"/>
      <c r="B23" s="31" t="s">
        <v>58</v>
      </c>
      <c r="C23" s="26" t="s">
        <v>59</v>
      </c>
      <c r="D23" s="81"/>
      <c r="E23" s="81"/>
      <c r="F23" s="81">
        <v>0</v>
      </c>
      <c r="G23" s="81"/>
      <c r="H23" s="81"/>
      <c r="I23" s="81"/>
      <c r="J23" s="81"/>
      <c r="K23" s="81"/>
      <c r="L23" s="81"/>
      <c r="M23" s="81"/>
      <c r="N23" s="81"/>
      <c r="O23" s="81"/>
      <c r="P23" s="81">
        <f t="shared" si="3"/>
        <v>0</v>
      </c>
      <c r="Q23" s="18"/>
    </row>
    <row r="24" spans="1:19" ht="17.45" customHeight="1">
      <c r="A24" s="103"/>
      <c r="B24" s="71"/>
      <c r="C24" s="72" t="s">
        <v>60</v>
      </c>
      <c r="D24" s="88">
        <f t="shared" ref="D24:O24" si="4">SUM(D18:D23)</f>
        <v>0</v>
      </c>
      <c r="E24" s="88">
        <f t="shared" si="4"/>
        <v>0</v>
      </c>
      <c r="F24" s="88">
        <f t="shared" si="4"/>
        <v>4086019.94</v>
      </c>
      <c r="G24" s="88">
        <f t="shared" si="4"/>
        <v>0</v>
      </c>
      <c r="H24" s="88">
        <f t="shared" si="4"/>
        <v>0</v>
      </c>
      <c r="I24" s="88">
        <f t="shared" si="4"/>
        <v>0</v>
      </c>
      <c r="J24" s="88">
        <f t="shared" si="4"/>
        <v>0</v>
      </c>
      <c r="K24" s="88">
        <f t="shared" si="4"/>
        <v>0</v>
      </c>
      <c r="L24" s="88">
        <f t="shared" si="4"/>
        <v>0</v>
      </c>
      <c r="M24" s="88">
        <f t="shared" si="4"/>
        <v>0</v>
      </c>
      <c r="N24" s="88">
        <f t="shared" si="4"/>
        <v>0</v>
      </c>
      <c r="O24" s="88">
        <f t="shared" si="4"/>
        <v>0</v>
      </c>
      <c r="P24" s="88">
        <f>SUM(P18:P23)</f>
        <v>4086019.94</v>
      </c>
      <c r="Q24" s="22"/>
      <c r="R24" s="32"/>
      <c r="S24" s="22"/>
    </row>
    <row r="25" spans="1:19" ht="17.45" customHeight="1">
      <c r="A25" s="103"/>
      <c r="B25" s="31" t="s">
        <v>61</v>
      </c>
      <c r="C25" s="26" t="s">
        <v>62</v>
      </c>
      <c r="D25" s="81"/>
      <c r="E25" s="81"/>
      <c r="F25" s="81">
        <v>0</v>
      </c>
      <c r="G25" s="81"/>
      <c r="H25" s="81"/>
      <c r="I25" s="81"/>
      <c r="J25" s="81"/>
      <c r="K25" s="81"/>
      <c r="L25" s="81"/>
      <c r="M25" s="81"/>
      <c r="N25" s="81"/>
      <c r="O25" s="81"/>
      <c r="P25" s="81">
        <f>D25+E25+F25+G25+H25+I25+J25+K25+L25+M25+N25+O25</f>
        <v>0</v>
      </c>
      <c r="Q25" s="18"/>
    </row>
    <row r="26" spans="1:19" ht="17.45" customHeight="1">
      <c r="A26" s="103"/>
      <c r="B26" s="31" t="s">
        <v>63</v>
      </c>
      <c r="C26" s="26" t="s">
        <v>64</v>
      </c>
      <c r="D26" s="81"/>
      <c r="E26" s="81"/>
      <c r="F26" s="81">
        <v>0</v>
      </c>
      <c r="G26" s="81"/>
      <c r="H26" s="81"/>
      <c r="I26" s="81"/>
      <c r="J26" s="81"/>
      <c r="K26" s="81"/>
      <c r="L26" s="81"/>
      <c r="M26" s="81"/>
      <c r="N26" s="81"/>
      <c r="O26" s="81"/>
      <c r="P26" s="81">
        <f>D26+E26+F26+G26+H26+I26+J26+K26+L26+M26+N26+O26</f>
        <v>0</v>
      </c>
      <c r="Q26" s="18"/>
    </row>
    <row r="27" spans="1:19" ht="17.45" customHeight="1">
      <c r="A27" s="103"/>
      <c r="B27" s="31" t="s">
        <v>65</v>
      </c>
      <c r="C27" s="26" t="s">
        <v>66</v>
      </c>
      <c r="D27" s="81"/>
      <c r="E27" s="81"/>
      <c r="F27" s="81">
        <v>0</v>
      </c>
      <c r="G27" s="81"/>
      <c r="H27" s="81"/>
      <c r="I27" s="81"/>
      <c r="J27" s="81"/>
      <c r="K27" s="81"/>
      <c r="L27" s="81"/>
      <c r="M27" s="81"/>
      <c r="N27" s="81"/>
      <c r="O27" s="81"/>
      <c r="P27" s="81">
        <f>D27+E27+F27+G27+H27+I27+J27+K27+L27+M27+N27+O27</f>
        <v>0</v>
      </c>
      <c r="Q27" s="18"/>
    </row>
    <row r="28" spans="1:19" ht="17.45" customHeight="1">
      <c r="A28" s="103"/>
      <c r="B28" s="31" t="s">
        <v>67</v>
      </c>
      <c r="C28" s="26" t="s">
        <v>68</v>
      </c>
      <c r="D28" s="81"/>
      <c r="E28" s="81"/>
      <c r="F28" s="81">
        <v>0</v>
      </c>
      <c r="G28" s="81"/>
      <c r="H28" s="81"/>
      <c r="I28" s="81"/>
      <c r="J28" s="81"/>
      <c r="K28" s="81"/>
      <c r="L28" s="81"/>
      <c r="M28" s="81"/>
      <c r="N28" s="81"/>
      <c r="O28" s="81"/>
      <c r="P28" s="81">
        <f>D28+E28+F28+G28+H28+I28+J28+K28+L28+M28+N28+O28</f>
        <v>0</v>
      </c>
      <c r="Q28" s="18"/>
    </row>
    <row r="29" spans="1:19" ht="17.45" customHeight="1">
      <c r="A29" s="103"/>
      <c r="B29" s="71"/>
      <c r="C29" s="72" t="s">
        <v>69</v>
      </c>
      <c r="D29" s="88">
        <f>D25</f>
        <v>0</v>
      </c>
      <c r="E29" s="88">
        <f t="shared" ref="E29:P29" si="5">E25</f>
        <v>0</v>
      </c>
      <c r="F29" s="88">
        <f t="shared" si="5"/>
        <v>0</v>
      </c>
      <c r="G29" s="88">
        <f t="shared" si="5"/>
        <v>0</v>
      </c>
      <c r="H29" s="88">
        <f t="shared" si="5"/>
        <v>0</v>
      </c>
      <c r="I29" s="88">
        <f t="shared" si="5"/>
        <v>0</v>
      </c>
      <c r="J29" s="88">
        <f t="shared" si="5"/>
        <v>0</v>
      </c>
      <c r="K29" s="88">
        <f t="shared" si="5"/>
        <v>0</v>
      </c>
      <c r="L29" s="88">
        <f t="shared" si="5"/>
        <v>0</v>
      </c>
      <c r="M29" s="88">
        <f t="shared" si="5"/>
        <v>0</v>
      </c>
      <c r="N29" s="88">
        <f t="shared" si="5"/>
        <v>0</v>
      </c>
      <c r="O29" s="88">
        <f t="shared" si="5"/>
        <v>0</v>
      </c>
      <c r="P29" s="88">
        <f t="shared" si="5"/>
        <v>0</v>
      </c>
      <c r="Q29" s="22"/>
      <c r="R29" s="32"/>
      <c r="S29" s="22"/>
    </row>
    <row r="30" spans="1:19" ht="17.45" customHeight="1">
      <c r="A30" s="103"/>
      <c r="B30" s="31" t="s">
        <v>70</v>
      </c>
      <c r="C30" s="26" t="s">
        <v>71</v>
      </c>
      <c r="D30" s="81"/>
      <c r="E30" s="81"/>
      <c r="F30" s="81">
        <v>0</v>
      </c>
      <c r="G30" s="81"/>
      <c r="H30" s="81"/>
      <c r="I30" s="81"/>
      <c r="J30" s="81"/>
      <c r="K30" s="81"/>
      <c r="L30" s="81"/>
      <c r="M30" s="81"/>
      <c r="N30" s="81"/>
      <c r="O30" s="81"/>
      <c r="P30" s="81">
        <f>D30+E30+F30+G30+H30+I30+J30+K30+L30+M30+N30+O30</f>
        <v>0</v>
      </c>
      <c r="Q30" s="18"/>
    </row>
    <row r="31" spans="1:19" ht="17.45" customHeight="1">
      <c r="A31" s="103"/>
      <c r="B31" s="31" t="s">
        <v>72</v>
      </c>
      <c r="C31" s="26" t="s">
        <v>73</v>
      </c>
      <c r="D31" s="81"/>
      <c r="E31" s="81"/>
      <c r="F31" s="81">
        <v>0</v>
      </c>
      <c r="G31" s="81"/>
      <c r="H31" s="81"/>
      <c r="I31" s="81"/>
      <c r="J31" s="81"/>
      <c r="K31" s="81"/>
      <c r="L31" s="81"/>
      <c r="M31" s="81"/>
      <c r="N31" s="81"/>
      <c r="O31" s="81"/>
      <c r="P31" s="81">
        <f>D31+E31+F31+G31+H31+I31+J31+K31+L31+M31+N31+O31</f>
        <v>0</v>
      </c>
      <c r="Q31" s="18"/>
    </row>
    <row r="32" spans="1:19" ht="17.45" customHeight="1">
      <c r="A32" s="103"/>
      <c r="B32" s="31" t="s">
        <v>74</v>
      </c>
      <c r="C32" s="26" t="s">
        <v>75</v>
      </c>
      <c r="D32" s="81"/>
      <c r="E32" s="81"/>
      <c r="F32" s="81" t="s">
        <v>441</v>
      </c>
      <c r="G32" s="81"/>
      <c r="H32" s="81"/>
      <c r="I32" s="81"/>
      <c r="J32" s="81"/>
      <c r="K32" s="81"/>
      <c r="L32" s="81"/>
      <c r="M32" s="81"/>
      <c r="N32" s="81"/>
      <c r="O32" s="81"/>
      <c r="P32" s="81" t="e">
        <f>D32+E32+F32+G32+H32+I32+J32+K32+L32+M32+N32+O32</f>
        <v>#VALUE!</v>
      </c>
      <c r="Q32" s="18"/>
    </row>
    <row r="33" spans="1:19" ht="17.45" customHeight="1">
      <c r="A33" s="103"/>
      <c r="B33" s="31" t="s">
        <v>76</v>
      </c>
      <c r="C33" s="26" t="s">
        <v>77</v>
      </c>
      <c r="D33" s="81"/>
      <c r="E33" s="81"/>
      <c r="F33" s="81">
        <v>0</v>
      </c>
      <c r="G33" s="81"/>
      <c r="H33" s="81"/>
      <c r="I33" s="81"/>
      <c r="J33" s="81"/>
      <c r="K33" s="81"/>
      <c r="L33" s="81"/>
      <c r="M33" s="81"/>
      <c r="N33" s="81"/>
      <c r="O33" s="81"/>
      <c r="P33" s="81">
        <f>D33+E33+F33+G33+H33+I33+J33+K33+L33+M33+N33+O33</f>
        <v>0</v>
      </c>
      <c r="Q33" s="18"/>
    </row>
    <row r="34" spans="1:19" ht="17.45" customHeight="1">
      <c r="A34" s="103"/>
      <c r="B34" s="97"/>
      <c r="C34" s="98" t="s">
        <v>78</v>
      </c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>
        <v>0</v>
      </c>
      <c r="Q34" s="22"/>
      <c r="R34" s="32"/>
      <c r="S34" s="22"/>
    </row>
    <row r="35" spans="1:19" ht="17.45" customHeight="1">
      <c r="A35" s="103"/>
      <c r="B35" s="97" t="s">
        <v>79</v>
      </c>
      <c r="C35" s="98" t="s">
        <v>80</v>
      </c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>
        <v>0</v>
      </c>
      <c r="Q35" s="22"/>
      <c r="R35" s="32"/>
      <c r="S35" s="22"/>
    </row>
    <row r="36" spans="1:19" ht="17.45" customHeight="1">
      <c r="A36" s="103"/>
      <c r="B36" s="69" t="s">
        <v>81</v>
      </c>
      <c r="C36" s="70" t="s">
        <v>82</v>
      </c>
      <c r="D36" s="88">
        <f t="shared" ref="D36:O36" si="6">D24+D29+D34+D35</f>
        <v>0</v>
      </c>
      <c r="E36" s="88">
        <f t="shared" si="6"/>
        <v>0</v>
      </c>
      <c r="F36" s="88">
        <f t="shared" si="6"/>
        <v>4086019.94</v>
      </c>
      <c r="G36" s="88">
        <f t="shared" si="6"/>
        <v>0</v>
      </c>
      <c r="H36" s="88">
        <f t="shared" si="6"/>
        <v>0</v>
      </c>
      <c r="I36" s="88">
        <f t="shared" si="6"/>
        <v>0</v>
      </c>
      <c r="J36" s="88">
        <f t="shared" si="6"/>
        <v>0</v>
      </c>
      <c r="K36" s="88">
        <f t="shared" si="6"/>
        <v>0</v>
      </c>
      <c r="L36" s="88">
        <f t="shared" si="6"/>
        <v>0</v>
      </c>
      <c r="M36" s="88">
        <f t="shared" si="6"/>
        <v>0</v>
      </c>
      <c r="N36" s="88">
        <f t="shared" si="6"/>
        <v>0</v>
      </c>
      <c r="O36" s="88">
        <f t="shared" si="6"/>
        <v>0</v>
      </c>
      <c r="P36" s="88">
        <f>P24+P29+P34+P35</f>
        <v>4086019.94</v>
      </c>
      <c r="Q36" s="22"/>
      <c r="R36" s="32"/>
      <c r="S36" s="22"/>
    </row>
    <row r="37" spans="1:19" ht="17.45" customHeight="1">
      <c r="A37" s="103"/>
      <c r="B37" s="31"/>
      <c r="C37" s="35" t="s">
        <v>83</v>
      </c>
      <c r="D37" s="81"/>
      <c r="E37" s="81"/>
      <c r="F37" s="81">
        <v>0</v>
      </c>
      <c r="G37" s="81"/>
      <c r="H37" s="81"/>
      <c r="I37" s="81"/>
      <c r="J37" s="81"/>
      <c r="K37" s="81"/>
      <c r="L37" s="81"/>
      <c r="M37" s="81"/>
      <c r="N37" s="81"/>
      <c r="O37" s="81"/>
      <c r="P37" s="81">
        <f t="shared" ref="P37:P42" si="7">D37+E37+F37+G37+H37+I37+J37+K37+L37+M37+N37+O37</f>
        <v>0</v>
      </c>
      <c r="Q37" s="18"/>
    </row>
    <row r="38" spans="1:19" ht="17.45" customHeight="1">
      <c r="A38" s="103"/>
      <c r="B38" s="31" t="s">
        <v>84</v>
      </c>
      <c r="C38" s="29" t="s">
        <v>85</v>
      </c>
      <c r="D38" s="81"/>
      <c r="E38" s="81"/>
      <c r="F38" s="81">
        <v>0</v>
      </c>
      <c r="G38" s="81"/>
      <c r="H38" s="81"/>
      <c r="I38" s="81"/>
      <c r="J38" s="81"/>
      <c r="K38" s="81"/>
      <c r="L38" s="81"/>
      <c r="M38" s="81"/>
      <c r="N38" s="81"/>
      <c r="O38" s="81"/>
      <c r="P38" s="81">
        <f t="shared" si="7"/>
        <v>0</v>
      </c>
      <c r="Q38" s="18"/>
    </row>
    <row r="39" spans="1:19" ht="17.45" customHeight="1">
      <c r="A39" s="103"/>
      <c r="B39" s="31" t="s">
        <v>86</v>
      </c>
      <c r="C39" s="26" t="s">
        <v>87</v>
      </c>
      <c r="D39" s="81"/>
      <c r="E39" s="81"/>
      <c r="F39" s="81">
        <v>0</v>
      </c>
      <c r="G39" s="81"/>
      <c r="H39" s="81"/>
      <c r="I39" s="81"/>
      <c r="J39" s="81"/>
      <c r="K39" s="81"/>
      <c r="L39" s="81"/>
      <c r="M39" s="81"/>
      <c r="N39" s="81"/>
      <c r="O39" s="81"/>
      <c r="P39" s="81">
        <f t="shared" si="7"/>
        <v>0</v>
      </c>
      <c r="Q39" s="18"/>
    </row>
    <row r="40" spans="1:19" ht="17.45" customHeight="1">
      <c r="A40" s="103"/>
      <c r="B40" s="31"/>
      <c r="C40" s="29" t="s">
        <v>88</v>
      </c>
      <c r="D40" s="81"/>
      <c r="E40" s="81"/>
      <c r="F40" s="81" t="s">
        <v>441</v>
      </c>
      <c r="G40" s="81"/>
      <c r="H40" s="81"/>
      <c r="I40" s="81"/>
      <c r="J40" s="81"/>
      <c r="K40" s="81"/>
      <c r="L40" s="81"/>
      <c r="M40" s="81"/>
      <c r="N40" s="81"/>
      <c r="O40" s="81"/>
      <c r="P40" s="81" t="e">
        <f t="shared" si="7"/>
        <v>#VALUE!</v>
      </c>
      <c r="Q40" s="18"/>
    </row>
    <row r="41" spans="1:19" ht="17.45" customHeight="1">
      <c r="A41" s="103"/>
      <c r="B41" s="31" t="s">
        <v>89</v>
      </c>
      <c r="C41" s="26" t="s">
        <v>90</v>
      </c>
      <c r="D41" s="81"/>
      <c r="E41" s="81"/>
      <c r="F41" s="81">
        <v>0</v>
      </c>
      <c r="G41" s="81"/>
      <c r="H41" s="81"/>
      <c r="I41" s="81"/>
      <c r="J41" s="81"/>
      <c r="K41" s="81"/>
      <c r="L41" s="81"/>
      <c r="M41" s="81"/>
      <c r="N41" s="81"/>
      <c r="O41" s="81"/>
      <c r="P41" s="81">
        <f t="shared" si="7"/>
        <v>0</v>
      </c>
      <c r="Q41" s="18"/>
    </row>
    <row r="42" spans="1:19" ht="17.45" customHeight="1">
      <c r="A42" s="103"/>
      <c r="B42" s="31" t="s">
        <v>91</v>
      </c>
      <c r="C42" s="26" t="s">
        <v>92</v>
      </c>
      <c r="D42" s="81"/>
      <c r="E42" s="81"/>
      <c r="F42" s="81">
        <v>0</v>
      </c>
      <c r="G42" s="81"/>
      <c r="H42" s="81"/>
      <c r="I42" s="81"/>
      <c r="J42" s="81"/>
      <c r="K42" s="81"/>
      <c r="L42" s="81"/>
      <c r="M42" s="81"/>
      <c r="N42" s="81"/>
      <c r="O42" s="81"/>
      <c r="P42" s="81">
        <f t="shared" si="7"/>
        <v>0</v>
      </c>
      <c r="Q42" s="18"/>
    </row>
    <row r="43" spans="1:19" ht="17.45" customHeight="1">
      <c r="A43" s="103"/>
      <c r="B43" s="31"/>
      <c r="C43" s="26" t="s">
        <v>93</v>
      </c>
      <c r="D43" s="81"/>
      <c r="E43" s="81"/>
      <c r="F43" s="81">
        <v>0</v>
      </c>
      <c r="G43" s="81"/>
      <c r="H43" s="81"/>
      <c r="I43" s="81"/>
      <c r="J43" s="81"/>
      <c r="K43" s="81"/>
      <c r="L43" s="81"/>
      <c r="M43" s="81"/>
      <c r="N43" s="81"/>
      <c r="O43" s="81"/>
      <c r="P43" s="81">
        <v>0</v>
      </c>
    </row>
    <row r="44" spans="1:19" ht="17.45" customHeight="1">
      <c r="A44" s="103"/>
      <c r="B44" s="31" t="s">
        <v>94</v>
      </c>
      <c r="C44" s="26" t="s">
        <v>95</v>
      </c>
      <c r="D44" s="81"/>
      <c r="E44" s="81"/>
      <c r="F44" s="81">
        <v>0</v>
      </c>
      <c r="G44" s="81"/>
      <c r="H44" s="81"/>
      <c r="I44" s="81"/>
      <c r="J44" s="81"/>
      <c r="K44" s="81"/>
      <c r="L44" s="81"/>
      <c r="M44" s="81"/>
      <c r="N44" s="81"/>
      <c r="O44" s="81"/>
      <c r="P44" s="81">
        <v>0</v>
      </c>
      <c r="Q44" s="18"/>
    </row>
    <row r="45" spans="1:19" ht="17.45" customHeight="1">
      <c r="A45" s="103"/>
      <c r="B45" s="31"/>
      <c r="C45" s="26" t="s">
        <v>96</v>
      </c>
      <c r="D45" s="81"/>
      <c r="E45" s="81"/>
      <c r="F45" s="81">
        <v>0</v>
      </c>
      <c r="G45" s="81"/>
      <c r="H45" s="81"/>
      <c r="I45" s="81"/>
      <c r="J45" s="81"/>
      <c r="K45" s="81"/>
      <c r="L45" s="81"/>
      <c r="M45" s="81"/>
      <c r="N45" s="81"/>
      <c r="O45" s="81"/>
      <c r="P45" s="81">
        <v>0</v>
      </c>
    </row>
    <row r="46" spans="1:19" ht="17.45" customHeight="1">
      <c r="A46" s="103"/>
      <c r="B46" s="31"/>
      <c r="C46" s="26" t="s">
        <v>97</v>
      </c>
      <c r="D46" s="81"/>
      <c r="E46" s="81"/>
      <c r="F46" s="81">
        <v>0</v>
      </c>
      <c r="G46" s="81"/>
      <c r="H46" s="81"/>
      <c r="I46" s="81"/>
      <c r="J46" s="81"/>
      <c r="K46" s="81"/>
      <c r="L46" s="81"/>
      <c r="M46" s="81"/>
      <c r="N46" s="81"/>
      <c r="O46" s="81"/>
      <c r="P46" s="81">
        <v>0</v>
      </c>
    </row>
    <row r="47" spans="1:19" ht="17.45" customHeight="1">
      <c r="A47" s="103"/>
      <c r="B47" s="68" t="s">
        <v>98</v>
      </c>
      <c r="C47" s="67" t="s">
        <v>88</v>
      </c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>
        <f>SUM(D47:O47)</f>
        <v>0</v>
      </c>
      <c r="Q47" s="22"/>
      <c r="R47" s="32"/>
      <c r="S47" s="22"/>
    </row>
    <row r="48" spans="1:19" ht="17.45" customHeight="1">
      <c r="A48" s="103"/>
      <c r="B48" s="31"/>
      <c r="C48" s="29" t="s">
        <v>99</v>
      </c>
      <c r="D48" s="81"/>
      <c r="E48" s="81"/>
      <c r="F48" s="81">
        <v>0</v>
      </c>
      <c r="G48" s="81"/>
      <c r="H48" s="81"/>
      <c r="I48" s="81"/>
      <c r="J48" s="81"/>
      <c r="K48" s="81"/>
      <c r="L48" s="81"/>
      <c r="M48" s="81"/>
      <c r="N48" s="81"/>
      <c r="O48" s="81"/>
      <c r="P48" s="81">
        <f>D48+E48+F48+G48+H48+I48+J48+K48+L48+M48+N48+O48</f>
        <v>0</v>
      </c>
      <c r="Q48" s="18"/>
    </row>
    <row r="49" spans="1:19" ht="17.45" customHeight="1">
      <c r="A49" s="103"/>
      <c r="B49" s="31" t="s">
        <v>100</v>
      </c>
      <c r="C49" s="26" t="s">
        <v>101</v>
      </c>
      <c r="D49" s="81"/>
      <c r="E49" s="81"/>
      <c r="F49" s="81" t="s">
        <v>441</v>
      </c>
      <c r="G49" s="81"/>
      <c r="H49" s="81"/>
      <c r="I49" s="81"/>
      <c r="J49" s="81"/>
      <c r="K49" s="81"/>
      <c r="L49" s="81"/>
      <c r="M49" s="81"/>
      <c r="N49" s="81"/>
      <c r="O49" s="81"/>
      <c r="P49" s="81" t="e">
        <f>D49+E49+F49+G49+H49+I49+J49+K49+L49+M49+N49+O49</f>
        <v>#VALUE!</v>
      </c>
      <c r="Q49" s="18"/>
    </row>
    <row r="50" spans="1:19" ht="17.45" customHeight="1">
      <c r="A50" s="103"/>
      <c r="B50" s="31" t="s">
        <v>102</v>
      </c>
      <c r="C50" s="26" t="s">
        <v>103</v>
      </c>
      <c r="D50" s="81"/>
      <c r="E50" s="81"/>
      <c r="F50" s="81" t="s">
        <v>441</v>
      </c>
      <c r="G50" s="81"/>
      <c r="H50" s="81"/>
      <c r="I50" s="81"/>
      <c r="J50" s="81"/>
      <c r="K50" s="81"/>
      <c r="L50" s="81"/>
      <c r="M50" s="81"/>
      <c r="N50" s="81"/>
      <c r="O50" s="81"/>
      <c r="P50" s="81" t="e">
        <f>D50+E50+F50+G50+H50+I50+J50+K50+L50+M50+N50+O50</f>
        <v>#VALUE!</v>
      </c>
      <c r="Q50" s="18"/>
    </row>
    <row r="51" spans="1:19" ht="17.45" customHeight="1">
      <c r="A51" s="103"/>
      <c r="B51" s="31" t="s">
        <v>104</v>
      </c>
      <c r="C51" s="26" t="s">
        <v>105</v>
      </c>
      <c r="D51" s="81"/>
      <c r="E51" s="81"/>
      <c r="F51" s="81">
        <v>0</v>
      </c>
      <c r="G51" s="81"/>
      <c r="H51" s="81"/>
      <c r="I51" s="81"/>
      <c r="J51" s="81"/>
      <c r="K51" s="81"/>
      <c r="L51" s="81"/>
      <c r="M51" s="81"/>
      <c r="N51" s="81"/>
      <c r="O51" s="81"/>
      <c r="P51" s="81">
        <f>D51+E51+F51+G51+H51+I51+J51+K51+L51+M51+N51+O51</f>
        <v>0</v>
      </c>
      <c r="Q51" s="18"/>
    </row>
    <row r="52" spans="1:19" ht="17.45" customHeight="1">
      <c r="A52" s="103"/>
      <c r="B52" s="97" t="s">
        <v>106</v>
      </c>
      <c r="C52" s="98" t="s">
        <v>99</v>
      </c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>
        <f>SUM(D52:O52)</f>
        <v>0</v>
      </c>
      <c r="Q52" s="22"/>
      <c r="R52" s="32"/>
      <c r="S52" s="22"/>
    </row>
    <row r="53" spans="1:19" ht="17.45" customHeight="1">
      <c r="A53" s="103"/>
      <c r="B53" s="97" t="s">
        <v>107</v>
      </c>
      <c r="C53" s="98" t="s">
        <v>108</v>
      </c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>
        <f>SUM(D53:O53)</f>
        <v>0</v>
      </c>
      <c r="Q53" s="22"/>
      <c r="R53" s="32"/>
      <c r="S53" s="22"/>
    </row>
    <row r="54" spans="1:19" ht="17.45" customHeight="1">
      <c r="A54" s="103"/>
      <c r="B54" s="31"/>
      <c r="C54" s="28" t="s">
        <v>109</v>
      </c>
      <c r="D54" s="81"/>
      <c r="E54" s="81"/>
      <c r="F54" s="81">
        <v>0</v>
      </c>
      <c r="G54" s="81"/>
      <c r="H54" s="81"/>
      <c r="I54" s="81"/>
      <c r="J54" s="81"/>
      <c r="K54" s="81"/>
      <c r="L54" s="81"/>
      <c r="M54" s="81"/>
      <c r="N54" s="81"/>
      <c r="O54" s="81"/>
      <c r="P54" s="81">
        <f t="shared" ref="P54:P60" si="8">D54+E54+F54+G54+H54+I54+J54+K54+L54+M54+N54+O54</f>
        <v>0</v>
      </c>
      <c r="Q54" s="18"/>
    </row>
    <row r="55" spans="1:19" ht="17.45" customHeight="1">
      <c r="A55" s="103"/>
      <c r="B55" s="31"/>
      <c r="C55" s="29" t="s">
        <v>110</v>
      </c>
      <c r="D55" s="81"/>
      <c r="E55" s="81"/>
      <c r="F55" s="81">
        <v>0</v>
      </c>
      <c r="G55" s="81"/>
      <c r="H55" s="81"/>
      <c r="I55" s="81"/>
      <c r="J55" s="81"/>
      <c r="K55" s="81"/>
      <c r="L55" s="81"/>
      <c r="M55" s="81"/>
      <c r="N55" s="81"/>
      <c r="O55" s="81"/>
      <c r="P55" s="81">
        <f t="shared" si="8"/>
        <v>0</v>
      </c>
      <c r="Q55" s="18"/>
    </row>
    <row r="56" spans="1:19" ht="17.45" customHeight="1">
      <c r="A56" s="103"/>
      <c r="B56" s="31" t="s">
        <v>111</v>
      </c>
      <c r="C56" s="26" t="s">
        <v>112</v>
      </c>
      <c r="D56" s="81"/>
      <c r="E56" s="81"/>
      <c r="F56" s="81">
        <v>35993.43</v>
      </c>
      <c r="G56" s="81"/>
      <c r="H56" s="81"/>
      <c r="I56" s="81"/>
      <c r="J56" s="81"/>
      <c r="K56" s="81"/>
      <c r="L56" s="81"/>
      <c r="M56" s="81"/>
      <c r="N56" s="81"/>
      <c r="O56" s="81"/>
      <c r="P56" s="81">
        <f t="shared" si="8"/>
        <v>35993.43</v>
      </c>
      <c r="Q56" s="18"/>
    </row>
    <row r="57" spans="1:19" ht="17.45" customHeight="1">
      <c r="A57" s="103"/>
      <c r="B57" s="31" t="s">
        <v>113</v>
      </c>
      <c r="C57" s="26" t="s">
        <v>114</v>
      </c>
      <c r="D57" s="81"/>
      <c r="E57" s="81"/>
      <c r="F57" s="81" t="s">
        <v>441</v>
      </c>
      <c r="G57" s="81"/>
      <c r="H57" s="81"/>
      <c r="I57" s="81"/>
      <c r="J57" s="81"/>
      <c r="K57" s="81"/>
      <c r="L57" s="81"/>
      <c r="M57" s="81"/>
      <c r="N57" s="81"/>
      <c r="O57" s="81"/>
      <c r="P57" s="81" t="e">
        <f t="shared" si="8"/>
        <v>#VALUE!</v>
      </c>
      <c r="Q57" s="18"/>
    </row>
    <row r="58" spans="1:19" ht="17.45" customHeight="1">
      <c r="A58" s="103"/>
      <c r="B58" s="31" t="s">
        <v>115</v>
      </c>
      <c r="C58" s="26" t="s">
        <v>116</v>
      </c>
      <c r="D58" s="81"/>
      <c r="E58" s="81"/>
      <c r="F58" s="81">
        <v>2417.17</v>
      </c>
      <c r="G58" s="81"/>
      <c r="H58" s="81"/>
      <c r="I58" s="81"/>
      <c r="J58" s="81"/>
      <c r="K58" s="81"/>
      <c r="L58" s="81"/>
      <c r="M58" s="81"/>
      <c r="N58" s="81"/>
      <c r="O58" s="81"/>
      <c r="P58" s="81">
        <f t="shared" si="8"/>
        <v>2417.17</v>
      </c>
      <c r="Q58" s="18"/>
    </row>
    <row r="59" spans="1:19" ht="17.45" customHeight="1">
      <c r="A59" s="103"/>
      <c r="B59" s="31" t="s">
        <v>117</v>
      </c>
      <c r="C59" s="26" t="s">
        <v>118</v>
      </c>
      <c r="D59" s="81"/>
      <c r="E59" s="81"/>
      <c r="F59" s="81">
        <v>0</v>
      </c>
      <c r="G59" s="81"/>
      <c r="H59" s="81"/>
      <c r="I59" s="81"/>
      <c r="J59" s="81"/>
      <c r="K59" s="81"/>
      <c r="L59" s="81"/>
      <c r="M59" s="81"/>
      <c r="N59" s="81"/>
      <c r="O59" s="81"/>
      <c r="P59" s="81">
        <f t="shared" si="8"/>
        <v>0</v>
      </c>
      <c r="Q59" s="18"/>
    </row>
    <row r="60" spans="1:19" ht="17.45" customHeight="1">
      <c r="A60" s="103"/>
      <c r="B60" s="31" t="s">
        <v>119</v>
      </c>
      <c r="C60" s="26" t="s">
        <v>120</v>
      </c>
      <c r="D60" s="81"/>
      <c r="E60" s="81"/>
      <c r="F60" s="81">
        <v>2255.6</v>
      </c>
      <c r="G60" s="81"/>
      <c r="H60" s="81"/>
      <c r="I60" s="81"/>
      <c r="J60" s="81"/>
      <c r="K60" s="81"/>
      <c r="L60" s="81"/>
      <c r="M60" s="81"/>
      <c r="N60" s="81"/>
      <c r="O60" s="81"/>
      <c r="P60" s="81">
        <f t="shared" si="8"/>
        <v>2255.6</v>
      </c>
      <c r="Q60" s="18"/>
    </row>
    <row r="61" spans="1:19" ht="17.45" customHeight="1">
      <c r="A61" s="103"/>
      <c r="B61" s="68" t="s">
        <v>121</v>
      </c>
      <c r="C61" s="67" t="s">
        <v>110</v>
      </c>
      <c r="D61" s="88">
        <f t="shared" ref="D61:O61" si="9">SUM(D56:D60)</f>
        <v>0</v>
      </c>
      <c r="E61" s="88">
        <f t="shared" si="9"/>
        <v>0</v>
      </c>
      <c r="F61" s="88">
        <f t="shared" si="9"/>
        <v>40666.199999999997</v>
      </c>
      <c r="G61" s="88">
        <f t="shared" si="9"/>
        <v>0</v>
      </c>
      <c r="H61" s="88">
        <f t="shared" si="9"/>
        <v>0</v>
      </c>
      <c r="I61" s="88">
        <f t="shared" si="9"/>
        <v>0</v>
      </c>
      <c r="J61" s="88">
        <f t="shared" si="9"/>
        <v>0</v>
      </c>
      <c r="K61" s="88">
        <f t="shared" si="9"/>
        <v>0</v>
      </c>
      <c r="L61" s="88">
        <f t="shared" si="9"/>
        <v>0</v>
      </c>
      <c r="M61" s="88">
        <f t="shared" si="9"/>
        <v>0</v>
      </c>
      <c r="N61" s="88">
        <f t="shared" si="9"/>
        <v>0</v>
      </c>
      <c r="O61" s="88">
        <f t="shared" si="9"/>
        <v>0</v>
      </c>
      <c r="P61" s="88" t="e">
        <f>SUM(P56:P60)</f>
        <v>#VALUE!</v>
      </c>
      <c r="Q61" s="22"/>
      <c r="R61" s="32"/>
      <c r="S61" s="22"/>
    </row>
    <row r="62" spans="1:19" ht="17.45" customHeight="1">
      <c r="A62" s="103"/>
      <c r="B62" s="31" t="s">
        <v>122</v>
      </c>
      <c r="C62" s="26" t="s">
        <v>123</v>
      </c>
      <c r="D62" s="81"/>
      <c r="E62" s="81"/>
      <c r="F62" s="81">
        <v>164.52</v>
      </c>
      <c r="G62" s="81"/>
      <c r="H62" s="81"/>
      <c r="I62" s="81"/>
      <c r="J62" s="81"/>
      <c r="K62" s="81"/>
      <c r="L62" s="81"/>
      <c r="M62" s="81"/>
      <c r="N62" s="81"/>
      <c r="O62" s="81"/>
      <c r="P62" s="81">
        <f t="shared" ref="P62:P69" si="10">D62+E62+F62+G62+H62+I62+J62+K62+L62+M62+N62+O62</f>
        <v>164.52</v>
      </c>
      <c r="Q62" s="18"/>
    </row>
    <row r="63" spans="1:19" ht="17.45" customHeight="1">
      <c r="A63" s="103"/>
      <c r="B63" s="31" t="s">
        <v>124</v>
      </c>
      <c r="C63" s="26" t="s">
        <v>125</v>
      </c>
      <c r="D63" s="81"/>
      <c r="E63" s="81"/>
      <c r="F63" s="81">
        <v>164.36</v>
      </c>
      <c r="G63" s="81"/>
      <c r="H63" s="81"/>
      <c r="I63" s="81"/>
      <c r="J63" s="81"/>
      <c r="K63" s="81"/>
      <c r="L63" s="81"/>
      <c r="M63" s="81"/>
      <c r="N63" s="81"/>
      <c r="O63" s="81"/>
      <c r="P63" s="81">
        <f t="shared" si="10"/>
        <v>164.36</v>
      </c>
      <c r="Q63" s="18"/>
    </row>
    <row r="64" spans="1:19" ht="17.45" customHeight="1">
      <c r="A64" s="103"/>
      <c r="B64" s="31" t="s">
        <v>126</v>
      </c>
      <c r="C64" s="26" t="s">
        <v>127</v>
      </c>
      <c r="D64" s="81"/>
      <c r="E64" s="81"/>
      <c r="F64" s="81">
        <v>0</v>
      </c>
      <c r="G64" s="81"/>
      <c r="H64" s="81"/>
      <c r="I64" s="81"/>
      <c r="J64" s="81"/>
      <c r="K64" s="81"/>
      <c r="L64" s="81"/>
      <c r="M64" s="81"/>
      <c r="N64" s="81"/>
      <c r="O64" s="81"/>
      <c r="P64" s="81">
        <f t="shared" si="10"/>
        <v>0</v>
      </c>
      <c r="Q64" s="18"/>
    </row>
    <row r="65" spans="1:19" ht="17.45" customHeight="1">
      <c r="A65" s="103"/>
      <c r="B65" s="31" t="s">
        <v>128</v>
      </c>
      <c r="C65" s="26" t="s">
        <v>129</v>
      </c>
      <c r="D65" s="81"/>
      <c r="E65" s="81"/>
      <c r="F65" s="81">
        <v>82.93</v>
      </c>
      <c r="G65" s="81"/>
      <c r="H65" s="81"/>
      <c r="I65" s="81"/>
      <c r="J65" s="81"/>
      <c r="K65" s="81"/>
      <c r="L65" s="81"/>
      <c r="M65" s="81"/>
      <c r="N65" s="81"/>
      <c r="O65" s="81"/>
      <c r="P65" s="81">
        <f t="shared" si="10"/>
        <v>82.93</v>
      </c>
      <c r="Q65" s="18"/>
    </row>
    <row r="66" spans="1:19" ht="17.45" customHeight="1">
      <c r="A66" s="103"/>
      <c r="B66" s="31"/>
      <c r="C66" s="29" t="s">
        <v>130</v>
      </c>
      <c r="D66" s="81"/>
      <c r="E66" s="81"/>
      <c r="F66" s="81" t="s">
        <v>441</v>
      </c>
      <c r="G66" s="81"/>
      <c r="H66" s="81"/>
      <c r="I66" s="81"/>
      <c r="J66" s="81"/>
      <c r="K66" s="81"/>
      <c r="L66" s="81"/>
      <c r="M66" s="81"/>
      <c r="N66" s="81"/>
      <c r="O66" s="81"/>
      <c r="P66" s="81" t="e">
        <f t="shared" si="10"/>
        <v>#VALUE!</v>
      </c>
      <c r="Q66" s="18"/>
    </row>
    <row r="67" spans="1:19" ht="17.45" customHeight="1">
      <c r="A67" s="103"/>
      <c r="B67" s="31" t="s">
        <v>131</v>
      </c>
      <c r="C67" s="26" t="s">
        <v>132</v>
      </c>
      <c r="D67" s="81"/>
      <c r="E67" s="81"/>
      <c r="F67" s="81">
        <v>0</v>
      </c>
      <c r="G67" s="81"/>
      <c r="H67" s="81"/>
      <c r="I67" s="81"/>
      <c r="J67" s="81"/>
      <c r="K67" s="81"/>
      <c r="L67" s="81"/>
      <c r="M67" s="81"/>
      <c r="N67" s="81"/>
      <c r="O67" s="81"/>
      <c r="P67" s="81">
        <f t="shared" si="10"/>
        <v>0</v>
      </c>
      <c r="Q67" s="18"/>
    </row>
    <row r="68" spans="1:19" ht="17.45" customHeight="1">
      <c r="A68" s="103"/>
      <c r="B68" s="31" t="s">
        <v>133</v>
      </c>
      <c r="C68" s="26" t="s">
        <v>134</v>
      </c>
      <c r="D68" s="81"/>
      <c r="E68" s="81"/>
      <c r="F68" s="81">
        <v>0</v>
      </c>
      <c r="G68" s="81"/>
      <c r="H68" s="81"/>
      <c r="I68" s="81"/>
      <c r="J68" s="81"/>
      <c r="K68" s="81"/>
      <c r="L68" s="81"/>
      <c r="M68" s="81"/>
      <c r="N68" s="81"/>
      <c r="O68" s="81"/>
      <c r="P68" s="81">
        <f t="shared" si="10"/>
        <v>0</v>
      </c>
      <c r="Q68" s="18"/>
    </row>
    <row r="69" spans="1:19" ht="17.45" customHeight="1">
      <c r="A69" s="103"/>
      <c r="B69" s="31"/>
      <c r="C69" s="26" t="s">
        <v>135</v>
      </c>
      <c r="D69" s="81"/>
      <c r="E69" s="81"/>
      <c r="F69" s="81">
        <v>11300.68</v>
      </c>
      <c r="G69" s="81"/>
      <c r="H69" s="81"/>
      <c r="I69" s="81"/>
      <c r="J69" s="81"/>
      <c r="K69" s="81"/>
      <c r="L69" s="81"/>
      <c r="M69" s="81"/>
      <c r="N69" s="81"/>
      <c r="O69" s="81"/>
      <c r="P69" s="81">
        <f t="shared" si="10"/>
        <v>11300.68</v>
      </c>
      <c r="Q69" s="18"/>
    </row>
    <row r="70" spans="1:19" ht="17.45" customHeight="1">
      <c r="A70" s="103"/>
      <c r="B70" s="68" t="s">
        <v>136</v>
      </c>
      <c r="C70" s="67" t="s">
        <v>130</v>
      </c>
      <c r="D70" s="88">
        <f t="shared" ref="D70:O70" si="11">SUM(D68:D69)</f>
        <v>0</v>
      </c>
      <c r="E70" s="88">
        <f t="shared" si="11"/>
        <v>0</v>
      </c>
      <c r="F70" s="88">
        <f t="shared" si="11"/>
        <v>11300.68</v>
      </c>
      <c r="G70" s="88">
        <f t="shared" si="11"/>
        <v>0</v>
      </c>
      <c r="H70" s="88">
        <f t="shared" si="11"/>
        <v>0</v>
      </c>
      <c r="I70" s="88">
        <f t="shared" si="11"/>
        <v>0</v>
      </c>
      <c r="J70" s="88">
        <f t="shared" si="11"/>
        <v>0</v>
      </c>
      <c r="K70" s="88">
        <f t="shared" si="11"/>
        <v>0</v>
      </c>
      <c r="L70" s="88">
        <f t="shared" si="11"/>
        <v>0</v>
      </c>
      <c r="M70" s="88">
        <f t="shared" si="11"/>
        <v>0</v>
      </c>
      <c r="N70" s="88">
        <f t="shared" si="11"/>
        <v>0</v>
      </c>
      <c r="O70" s="88">
        <f t="shared" si="11"/>
        <v>0</v>
      </c>
      <c r="P70" s="88">
        <f>SUM(P68:P69)</f>
        <v>11300.68</v>
      </c>
      <c r="Q70" s="22"/>
      <c r="R70" s="32"/>
      <c r="S70" s="22"/>
    </row>
    <row r="71" spans="1:19" ht="17.45" customHeight="1">
      <c r="A71" s="103"/>
      <c r="B71" s="31" t="s">
        <v>137</v>
      </c>
      <c r="C71" s="26" t="s">
        <v>138</v>
      </c>
      <c r="D71" s="81"/>
      <c r="E71" s="81"/>
      <c r="F71" s="81">
        <v>166255.09</v>
      </c>
      <c r="G71" s="81"/>
      <c r="H71" s="81"/>
      <c r="I71" s="81"/>
      <c r="J71" s="81"/>
      <c r="K71" s="81"/>
      <c r="L71" s="81"/>
      <c r="M71" s="81"/>
      <c r="N71" s="81"/>
      <c r="O71" s="81"/>
      <c r="P71" s="81">
        <f t="shared" ref="P71:P79" si="12">D71+E71+F71+G71+H71+I71+J71+K71+L71+M71+N71+O71</f>
        <v>166255.09</v>
      </c>
      <c r="Q71" s="18"/>
    </row>
    <row r="72" spans="1:19" ht="17.45" customHeight="1">
      <c r="A72" s="103"/>
      <c r="B72" s="31"/>
      <c r="C72" s="29" t="s">
        <v>139</v>
      </c>
      <c r="D72" s="81"/>
      <c r="E72" s="81"/>
      <c r="F72" s="81" t="s">
        <v>441</v>
      </c>
      <c r="G72" s="81"/>
      <c r="H72" s="81"/>
      <c r="I72" s="81"/>
      <c r="J72" s="81"/>
      <c r="K72" s="81"/>
      <c r="L72" s="81"/>
      <c r="M72" s="81"/>
      <c r="N72" s="81"/>
      <c r="O72" s="81"/>
      <c r="P72" s="81" t="e">
        <f t="shared" si="12"/>
        <v>#VALUE!</v>
      </c>
      <c r="Q72" s="18"/>
    </row>
    <row r="73" spans="1:19" ht="17.45" customHeight="1">
      <c r="A73" s="103"/>
      <c r="B73" s="31" t="s">
        <v>140</v>
      </c>
      <c r="C73" s="26" t="s">
        <v>141</v>
      </c>
      <c r="D73" s="81"/>
      <c r="E73" s="81"/>
      <c r="F73" s="81">
        <v>1397.6</v>
      </c>
      <c r="G73" s="81"/>
      <c r="H73" s="81"/>
      <c r="I73" s="81"/>
      <c r="J73" s="81"/>
      <c r="K73" s="81"/>
      <c r="L73" s="81"/>
      <c r="M73" s="81"/>
      <c r="N73" s="81"/>
      <c r="O73" s="81"/>
      <c r="P73" s="81">
        <f t="shared" si="12"/>
        <v>1397.6</v>
      </c>
      <c r="Q73" s="18"/>
    </row>
    <row r="74" spans="1:19" ht="17.45" customHeight="1">
      <c r="A74" s="103"/>
      <c r="B74" s="31" t="s">
        <v>142</v>
      </c>
      <c r="C74" s="26" t="s">
        <v>143</v>
      </c>
      <c r="D74" s="81"/>
      <c r="E74" s="81"/>
      <c r="F74" s="81">
        <v>168.4</v>
      </c>
      <c r="G74" s="81"/>
      <c r="H74" s="81"/>
      <c r="I74" s="81"/>
      <c r="J74" s="81"/>
      <c r="K74" s="81"/>
      <c r="L74" s="81"/>
      <c r="M74" s="81"/>
      <c r="N74" s="81"/>
      <c r="O74" s="81"/>
      <c r="P74" s="81">
        <f t="shared" si="12"/>
        <v>168.4</v>
      </c>
      <c r="Q74" s="18"/>
    </row>
    <row r="75" spans="1:19" ht="17.45" customHeight="1">
      <c r="A75" s="103"/>
      <c r="B75" s="31" t="s">
        <v>144</v>
      </c>
      <c r="C75" s="26" t="s">
        <v>145</v>
      </c>
      <c r="D75" s="81"/>
      <c r="E75" s="81"/>
      <c r="F75" s="81">
        <v>0</v>
      </c>
      <c r="G75" s="81"/>
      <c r="H75" s="81"/>
      <c r="I75" s="81"/>
      <c r="J75" s="81"/>
      <c r="K75" s="81"/>
      <c r="L75" s="81"/>
      <c r="M75" s="81"/>
      <c r="N75" s="81"/>
      <c r="O75" s="81"/>
      <c r="P75" s="81">
        <f t="shared" si="12"/>
        <v>0</v>
      </c>
      <c r="Q75" s="18"/>
    </row>
    <row r="76" spans="1:19" ht="17.45" customHeight="1">
      <c r="A76" s="103"/>
      <c r="B76" s="31" t="s">
        <v>146</v>
      </c>
      <c r="C76" s="26" t="s">
        <v>147</v>
      </c>
      <c r="D76" s="81"/>
      <c r="E76" s="81"/>
      <c r="F76" s="81">
        <v>0</v>
      </c>
      <c r="G76" s="81"/>
      <c r="H76" s="81"/>
      <c r="I76" s="81"/>
      <c r="J76" s="81"/>
      <c r="K76" s="81"/>
      <c r="L76" s="81"/>
      <c r="M76" s="81"/>
      <c r="N76" s="81"/>
      <c r="O76" s="81"/>
      <c r="P76" s="81">
        <f t="shared" si="12"/>
        <v>0</v>
      </c>
      <c r="Q76" s="18"/>
    </row>
    <row r="77" spans="1:19" ht="17.45" customHeight="1">
      <c r="A77" s="103"/>
      <c r="B77" s="31" t="s">
        <v>148</v>
      </c>
      <c r="C77" s="26" t="s">
        <v>149</v>
      </c>
      <c r="D77" s="81"/>
      <c r="E77" s="81"/>
      <c r="F77" s="81">
        <v>0</v>
      </c>
      <c r="G77" s="81"/>
      <c r="H77" s="81"/>
      <c r="I77" s="81"/>
      <c r="J77" s="81"/>
      <c r="K77" s="81"/>
      <c r="L77" s="81"/>
      <c r="M77" s="81"/>
      <c r="N77" s="81"/>
      <c r="O77" s="81"/>
      <c r="P77" s="81">
        <f t="shared" si="12"/>
        <v>0</v>
      </c>
      <c r="Q77" s="18"/>
    </row>
    <row r="78" spans="1:19" ht="17.45" customHeight="1">
      <c r="A78" s="103"/>
      <c r="B78" s="31"/>
      <c r="C78" s="26" t="s">
        <v>150</v>
      </c>
      <c r="D78" s="81"/>
      <c r="E78" s="81"/>
      <c r="F78" s="81">
        <v>0</v>
      </c>
      <c r="G78" s="81"/>
      <c r="H78" s="81"/>
      <c r="I78" s="81"/>
      <c r="J78" s="81"/>
      <c r="K78" s="81"/>
      <c r="L78" s="81"/>
      <c r="M78" s="81"/>
      <c r="N78" s="81"/>
      <c r="O78" s="81"/>
      <c r="P78" s="81">
        <f t="shared" si="12"/>
        <v>0</v>
      </c>
      <c r="Q78" s="18"/>
    </row>
    <row r="79" spans="1:19" ht="17.45" customHeight="1">
      <c r="A79" s="103"/>
      <c r="B79" s="31"/>
      <c r="C79" s="26" t="s">
        <v>151</v>
      </c>
      <c r="D79" s="81"/>
      <c r="E79" s="81"/>
      <c r="F79" s="81">
        <v>0</v>
      </c>
      <c r="G79" s="81"/>
      <c r="H79" s="81"/>
      <c r="I79" s="81"/>
      <c r="J79" s="81"/>
      <c r="K79" s="81"/>
      <c r="L79" s="81"/>
      <c r="M79" s="81"/>
      <c r="N79" s="81"/>
      <c r="O79" s="81"/>
      <c r="P79" s="81">
        <f t="shared" si="12"/>
        <v>0</v>
      </c>
      <c r="Q79" s="18"/>
    </row>
    <row r="80" spans="1:19" ht="17.45" customHeight="1">
      <c r="A80" s="103"/>
      <c r="B80" s="68" t="s">
        <v>152</v>
      </c>
      <c r="C80" s="67" t="s">
        <v>139</v>
      </c>
      <c r="D80" s="88">
        <f t="shared" ref="D80:O80" si="13">SUM(D73:D79)</f>
        <v>0</v>
      </c>
      <c r="E80" s="88">
        <f t="shared" si="13"/>
        <v>0</v>
      </c>
      <c r="F80" s="88">
        <f t="shared" si="13"/>
        <v>1566</v>
      </c>
      <c r="G80" s="88">
        <f t="shared" si="13"/>
        <v>0</v>
      </c>
      <c r="H80" s="88">
        <f t="shared" si="13"/>
        <v>0</v>
      </c>
      <c r="I80" s="88">
        <f t="shared" si="13"/>
        <v>0</v>
      </c>
      <c r="J80" s="88">
        <f t="shared" si="13"/>
        <v>0</v>
      </c>
      <c r="K80" s="88">
        <f t="shared" si="13"/>
        <v>0</v>
      </c>
      <c r="L80" s="88">
        <f t="shared" si="13"/>
        <v>0</v>
      </c>
      <c r="M80" s="88">
        <f t="shared" si="13"/>
        <v>0</v>
      </c>
      <c r="N80" s="88">
        <f t="shared" si="13"/>
        <v>0</v>
      </c>
      <c r="O80" s="88">
        <f t="shared" si="13"/>
        <v>0</v>
      </c>
      <c r="P80" s="88">
        <f>SUM(P73:P79)</f>
        <v>1566</v>
      </c>
      <c r="Q80" s="22"/>
      <c r="R80" s="32"/>
      <c r="S80" s="22"/>
    </row>
    <row r="81" spans="1:19" ht="17.45" customHeight="1">
      <c r="A81" s="103"/>
      <c r="B81" s="31"/>
      <c r="C81" s="29" t="s">
        <v>153</v>
      </c>
      <c r="D81" s="81"/>
      <c r="E81" s="81"/>
      <c r="F81" s="81">
        <v>0</v>
      </c>
      <c r="G81" s="81"/>
      <c r="H81" s="81"/>
      <c r="I81" s="81"/>
      <c r="J81" s="81"/>
      <c r="K81" s="81"/>
      <c r="L81" s="81"/>
      <c r="M81" s="81"/>
      <c r="N81" s="81"/>
      <c r="O81" s="81"/>
      <c r="P81" s="81">
        <v>0</v>
      </c>
      <c r="Q81" s="18"/>
    </row>
    <row r="82" spans="1:19" ht="17.45" customHeight="1">
      <c r="A82" s="103"/>
      <c r="B82" s="31"/>
      <c r="C82" s="26" t="s">
        <v>154</v>
      </c>
      <c r="D82" s="81"/>
      <c r="E82" s="81"/>
      <c r="F82" s="81">
        <v>0</v>
      </c>
      <c r="G82" s="81"/>
      <c r="H82" s="81"/>
      <c r="I82" s="81"/>
      <c r="J82" s="81"/>
      <c r="K82" s="81"/>
      <c r="L82" s="81"/>
      <c r="M82" s="81"/>
      <c r="N82" s="81"/>
      <c r="O82" s="81"/>
      <c r="P82" s="81">
        <v>0</v>
      </c>
    </row>
    <row r="83" spans="1:19" ht="17.45" customHeight="1">
      <c r="A83" s="103"/>
      <c r="B83" s="31" t="s">
        <v>155</v>
      </c>
      <c r="C83" s="26" t="s">
        <v>156</v>
      </c>
      <c r="D83" s="81"/>
      <c r="E83" s="81"/>
      <c r="F83" s="81">
        <v>3253.47</v>
      </c>
      <c r="G83" s="81"/>
      <c r="H83" s="81"/>
      <c r="I83" s="81"/>
      <c r="J83" s="81"/>
      <c r="K83" s="81"/>
      <c r="L83" s="81"/>
      <c r="M83" s="81"/>
      <c r="N83" s="81"/>
      <c r="O83" s="81"/>
      <c r="P83" s="81">
        <f t="shared" ref="P83:P88" si="14">D83+E83+F83+G83+H83+I83+J83+K83+L83+M83+N83+O83</f>
        <v>3253.47</v>
      </c>
      <c r="Q83" s="18"/>
    </row>
    <row r="84" spans="1:19" ht="17.45" customHeight="1">
      <c r="A84" s="103"/>
      <c r="B84" s="31" t="s">
        <v>157</v>
      </c>
      <c r="C84" s="26" t="s">
        <v>158</v>
      </c>
      <c r="D84" s="81"/>
      <c r="E84" s="81"/>
      <c r="F84" s="81">
        <v>11533.96</v>
      </c>
      <c r="G84" s="81"/>
      <c r="H84" s="81"/>
      <c r="I84" s="81"/>
      <c r="J84" s="81"/>
      <c r="K84" s="81"/>
      <c r="L84" s="81"/>
      <c r="M84" s="81"/>
      <c r="N84" s="81"/>
      <c r="O84" s="81"/>
      <c r="P84" s="81">
        <f t="shared" si="14"/>
        <v>11533.96</v>
      </c>
      <c r="Q84" s="18"/>
    </row>
    <row r="85" spans="1:19" ht="17.45" customHeight="1">
      <c r="A85" s="103"/>
      <c r="B85" s="31" t="s">
        <v>159</v>
      </c>
      <c r="C85" s="26" t="s">
        <v>160</v>
      </c>
      <c r="D85" s="81"/>
      <c r="E85" s="81"/>
      <c r="F85" s="81" t="s">
        <v>441</v>
      </c>
      <c r="G85" s="81"/>
      <c r="H85" s="81"/>
      <c r="I85" s="81"/>
      <c r="J85" s="81"/>
      <c r="K85" s="81"/>
      <c r="L85" s="81"/>
      <c r="M85" s="81"/>
      <c r="N85" s="81"/>
      <c r="O85" s="81"/>
      <c r="P85" s="81" t="e">
        <f t="shared" si="14"/>
        <v>#VALUE!</v>
      </c>
      <c r="Q85" s="18"/>
    </row>
    <row r="86" spans="1:19" ht="17.45" customHeight="1">
      <c r="A86" s="103"/>
      <c r="B86" s="31" t="s">
        <v>161</v>
      </c>
      <c r="C86" s="26" t="s">
        <v>162</v>
      </c>
      <c r="D86" s="81"/>
      <c r="E86" s="81"/>
      <c r="F86" s="81" t="s">
        <v>441</v>
      </c>
      <c r="G86" s="81"/>
      <c r="H86" s="81"/>
      <c r="I86" s="81"/>
      <c r="J86" s="81"/>
      <c r="K86" s="81"/>
      <c r="L86" s="81"/>
      <c r="M86" s="81"/>
      <c r="N86" s="81"/>
      <c r="O86" s="81"/>
      <c r="P86" s="81" t="e">
        <f t="shared" si="14"/>
        <v>#VALUE!</v>
      </c>
      <c r="Q86" s="18"/>
    </row>
    <row r="87" spans="1:19" ht="17.45" customHeight="1">
      <c r="A87" s="103"/>
      <c r="B87" s="31" t="s">
        <v>163</v>
      </c>
      <c r="C87" s="26" t="s">
        <v>164</v>
      </c>
      <c r="D87" s="81"/>
      <c r="E87" s="81"/>
      <c r="F87" s="81">
        <v>0</v>
      </c>
      <c r="G87" s="81"/>
      <c r="H87" s="81"/>
      <c r="I87" s="81"/>
      <c r="J87" s="81"/>
      <c r="K87" s="81"/>
      <c r="L87" s="81"/>
      <c r="M87" s="81"/>
      <c r="N87" s="81"/>
      <c r="O87" s="81"/>
      <c r="P87" s="81">
        <f t="shared" si="14"/>
        <v>0</v>
      </c>
      <c r="Q87" s="18"/>
    </row>
    <row r="88" spans="1:19" ht="17.45" customHeight="1">
      <c r="A88" s="103"/>
      <c r="B88" s="31" t="s">
        <v>165</v>
      </c>
      <c r="C88" s="26" t="s">
        <v>166</v>
      </c>
      <c r="D88" s="81"/>
      <c r="E88" s="81"/>
      <c r="F88" s="81" t="s">
        <v>441</v>
      </c>
      <c r="G88" s="81"/>
      <c r="H88" s="81"/>
      <c r="I88" s="81"/>
      <c r="J88" s="81"/>
      <c r="K88" s="81"/>
      <c r="L88" s="81"/>
      <c r="M88" s="81"/>
      <c r="N88" s="81"/>
      <c r="O88" s="81"/>
      <c r="P88" s="81" t="e">
        <f t="shared" si="14"/>
        <v>#VALUE!</v>
      </c>
      <c r="Q88" s="18"/>
    </row>
    <row r="89" spans="1:19" ht="17.45" customHeight="1">
      <c r="A89" s="103"/>
      <c r="B89" s="68" t="s">
        <v>167</v>
      </c>
      <c r="C89" s="67" t="s">
        <v>153</v>
      </c>
      <c r="D89" s="88">
        <f t="shared" ref="D89:O89" si="15">SUM(D82:D88)</f>
        <v>0</v>
      </c>
      <c r="E89" s="88">
        <f t="shared" si="15"/>
        <v>0</v>
      </c>
      <c r="F89" s="88">
        <f t="shared" si="15"/>
        <v>14787.429999999998</v>
      </c>
      <c r="G89" s="88">
        <f t="shared" si="15"/>
        <v>0</v>
      </c>
      <c r="H89" s="88">
        <f t="shared" si="15"/>
        <v>0</v>
      </c>
      <c r="I89" s="88">
        <f t="shared" si="15"/>
        <v>0</v>
      </c>
      <c r="J89" s="88">
        <f t="shared" si="15"/>
        <v>0</v>
      </c>
      <c r="K89" s="88">
        <f t="shared" si="15"/>
        <v>0</v>
      </c>
      <c r="L89" s="88">
        <f t="shared" si="15"/>
        <v>0</v>
      </c>
      <c r="M89" s="88">
        <f t="shared" si="15"/>
        <v>0</v>
      </c>
      <c r="N89" s="88">
        <f t="shared" si="15"/>
        <v>0</v>
      </c>
      <c r="O89" s="88">
        <f t="shared" si="15"/>
        <v>0</v>
      </c>
      <c r="P89" s="88" t="e">
        <f>SUM(P82:P88)</f>
        <v>#VALUE!</v>
      </c>
      <c r="Q89" s="22"/>
      <c r="R89" s="32"/>
      <c r="S89" s="22"/>
    </row>
    <row r="90" spans="1:19" ht="17.45" customHeight="1">
      <c r="A90" s="103"/>
      <c r="B90" s="31" t="s">
        <v>168</v>
      </c>
      <c r="C90" s="26" t="s">
        <v>169</v>
      </c>
      <c r="D90" s="81"/>
      <c r="E90" s="81"/>
      <c r="F90" s="81">
        <v>999.88</v>
      </c>
      <c r="G90" s="81"/>
      <c r="H90" s="81"/>
      <c r="I90" s="81"/>
      <c r="J90" s="81"/>
      <c r="K90" s="81"/>
      <c r="L90" s="81"/>
      <c r="M90" s="81"/>
      <c r="N90" s="81"/>
      <c r="O90" s="81"/>
      <c r="P90" s="81">
        <f t="shared" ref="P90:P100" si="16">D90+E90+F90+G90+H90+I90+J90+K90+L90+M90+N90+O90</f>
        <v>999.88</v>
      </c>
      <c r="Q90" s="18"/>
    </row>
    <row r="91" spans="1:19" ht="17.45" customHeight="1">
      <c r="A91" s="103"/>
      <c r="B91" s="31" t="s">
        <v>170</v>
      </c>
      <c r="C91" s="26" t="s">
        <v>171</v>
      </c>
      <c r="D91" s="81"/>
      <c r="E91" s="81"/>
      <c r="F91" s="81">
        <v>1388.61</v>
      </c>
      <c r="G91" s="81"/>
      <c r="H91" s="81"/>
      <c r="I91" s="81"/>
      <c r="J91" s="81"/>
      <c r="K91" s="81"/>
      <c r="L91" s="81"/>
      <c r="M91" s="81"/>
      <c r="N91" s="81"/>
      <c r="O91" s="81"/>
      <c r="P91" s="81">
        <f t="shared" si="16"/>
        <v>1388.61</v>
      </c>
      <c r="Q91" s="18"/>
    </row>
    <row r="92" spans="1:19" ht="17.45" customHeight="1">
      <c r="A92" s="103"/>
      <c r="B92" s="31" t="s">
        <v>172</v>
      </c>
      <c r="C92" s="26" t="s">
        <v>173</v>
      </c>
      <c r="D92" s="81"/>
      <c r="E92" s="81"/>
      <c r="F92" s="81">
        <v>2830.65</v>
      </c>
      <c r="G92" s="81"/>
      <c r="H92" s="81"/>
      <c r="I92" s="81"/>
      <c r="J92" s="81"/>
      <c r="K92" s="81"/>
      <c r="L92" s="81"/>
      <c r="M92" s="81"/>
      <c r="N92" s="81"/>
      <c r="O92" s="81"/>
      <c r="P92" s="81">
        <f t="shared" si="16"/>
        <v>2830.65</v>
      </c>
      <c r="Q92" s="18"/>
    </row>
    <row r="93" spans="1:19" ht="17.45" customHeight="1">
      <c r="A93" s="103"/>
      <c r="B93" s="31" t="s">
        <v>174</v>
      </c>
      <c r="C93" s="26" t="s">
        <v>175</v>
      </c>
      <c r="D93" s="81"/>
      <c r="E93" s="81"/>
      <c r="F93" s="81">
        <v>143.99</v>
      </c>
      <c r="G93" s="81"/>
      <c r="H93" s="81"/>
      <c r="I93" s="81"/>
      <c r="J93" s="81"/>
      <c r="K93" s="81"/>
      <c r="L93" s="81"/>
      <c r="M93" s="81"/>
      <c r="N93" s="81"/>
      <c r="O93" s="81"/>
      <c r="P93" s="81">
        <f t="shared" si="16"/>
        <v>143.99</v>
      </c>
      <c r="Q93" s="18"/>
    </row>
    <row r="94" spans="1:19" ht="17.45" customHeight="1">
      <c r="A94" s="103"/>
      <c r="B94" s="31" t="s">
        <v>176</v>
      </c>
      <c r="C94" s="26" t="s">
        <v>177</v>
      </c>
      <c r="D94" s="81"/>
      <c r="E94" s="81"/>
      <c r="F94" s="81">
        <v>0</v>
      </c>
      <c r="G94" s="81"/>
      <c r="H94" s="81"/>
      <c r="I94" s="81"/>
      <c r="J94" s="81"/>
      <c r="K94" s="81"/>
      <c r="L94" s="81"/>
      <c r="M94" s="81"/>
      <c r="N94" s="81"/>
      <c r="O94" s="81"/>
      <c r="P94" s="81">
        <f t="shared" si="16"/>
        <v>0</v>
      </c>
      <c r="Q94" s="18"/>
    </row>
    <row r="95" spans="1:19" ht="17.45" customHeight="1">
      <c r="A95" s="103"/>
      <c r="B95" s="31" t="s">
        <v>178</v>
      </c>
      <c r="C95" s="26" t="s">
        <v>179</v>
      </c>
      <c r="D95" s="81"/>
      <c r="E95" s="81"/>
      <c r="F95" s="81">
        <v>0</v>
      </c>
      <c r="G95" s="81"/>
      <c r="H95" s="81"/>
      <c r="I95" s="81"/>
      <c r="J95" s="81"/>
      <c r="K95" s="81"/>
      <c r="L95" s="81"/>
      <c r="M95" s="81"/>
      <c r="N95" s="81"/>
      <c r="O95" s="81"/>
      <c r="P95" s="81">
        <f t="shared" si="16"/>
        <v>0</v>
      </c>
      <c r="Q95" s="18"/>
    </row>
    <row r="96" spans="1:19" ht="17.45" customHeight="1">
      <c r="A96" s="103"/>
      <c r="B96" s="31" t="s">
        <v>180</v>
      </c>
      <c r="C96" s="26" t="s">
        <v>181</v>
      </c>
      <c r="D96" s="81"/>
      <c r="E96" s="81"/>
      <c r="F96" s="81">
        <v>0</v>
      </c>
      <c r="G96" s="81"/>
      <c r="H96" s="81"/>
      <c r="I96" s="81"/>
      <c r="J96" s="81"/>
      <c r="K96" s="81"/>
      <c r="L96" s="81"/>
      <c r="M96" s="81"/>
      <c r="N96" s="81"/>
      <c r="O96" s="81"/>
      <c r="P96" s="81">
        <f t="shared" si="16"/>
        <v>0</v>
      </c>
      <c r="Q96" s="18"/>
    </row>
    <row r="97" spans="1:19" ht="17.45" customHeight="1">
      <c r="A97" s="103"/>
      <c r="B97" s="31" t="s">
        <v>182</v>
      </c>
      <c r="C97" s="26" t="s">
        <v>183</v>
      </c>
      <c r="D97" s="81"/>
      <c r="E97" s="81"/>
      <c r="F97" s="81">
        <v>2.4900000000000002</v>
      </c>
      <c r="G97" s="81"/>
      <c r="H97" s="81"/>
      <c r="I97" s="81"/>
      <c r="J97" s="81"/>
      <c r="K97" s="81"/>
      <c r="L97" s="81"/>
      <c r="M97" s="81"/>
      <c r="N97" s="81"/>
      <c r="O97" s="81"/>
      <c r="P97" s="81">
        <f t="shared" si="16"/>
        <v>2.4900000000000002</v>
      </c>
      <c r="Q97" s="18"/>
    </row>
    <row r="98" spans="1:19" ht="17.45" customHeight="1">
      <c r="A98" s="103"/>
      <c r="B98" s="31" t="s">
        <v>184</v>
      </c>
      <c r="C98" s="26" t="s">
        <v>185</v>
      </c>
      <c r="D98" s="81"/>
      <c r="E98" s="81"/>
      <c r="F98" s="81">
        <v>0</v>
      </c>
      <c r="G98" s="81"/>
      <c r="H98" s="81"/>
      <c r="I98" s="81"/>
      <c r="J98" s="81"/>
      <c r="K98" s="81"/>
      <c r="L98" s="81"/>
      <c r="M98" s="81"/>
      <c r="N98" s="81"/>
      <c r="O98" s="81"/>
      <c r="P98" s="81">
        <f t="shared" si="16"/>
        <v>0</v>
      </c>
      <c r="Q98" s="18"/>
    </row>
    <row r="99" spans="1:19" ht="17.45" customHeight="1">
      <c r="A99" s="103"/>
      <c r="B99" s="31" t="s">
        <v>186</v>
      </c>
      <c r="C99" s="26" t="s">
        <v>187</v>
      </c>
      <c r="D99" s="81"/>
      <c r="E99" s="81"/>
      <c r="F99" s="81">
        <v>0</v>
      </c>
      <c r="G99" s="81"/>
      <c r="H99" s="81"/>
      <c r="I99" s="81"/>
      <c r="J99" s="81"/>
      <c r="K99" s="81"/>
      <c r="L99" s="81"/>
      <c r="M99" s="81"/>
      <c r="N99" s="81"/>
      <c r="O99" s="81"/>
      <c r="P99" s="81">
        <f t="shared" si="16"/>
        <v>0</v>
      </c>
      <c r="Q99" s="18"/>
    </row>
    <row r="100" spans="1:19" ht="17.45" customHeight="1">
      <c r="A100" s="103"/>
      <c r="B100" s="36">
        <v>631180</v>
      </c>
      <c r="C100" s="26" t="s">
        <v>188</v>
      </c>
      <c r="D100" s="81"/>
      <c r="E100" s="81"/>
      <c r="F100" s="81" t="s">
        <v>441</v>
      </c>
      <c r="G100" s="81"/>
      <c r="H100" s="81"/>
      <c r="I100" s="81"/>
      <c r="J100" s="81"/>
      <c r="K100" s="81"/>
      <c r="L100" s="81"/>
      <c r="M100" s="81"/>
      <c r="N100" s="81"/>
      <c r="O100" s="81"/>
      <c r="P100" s="81" t="e">
        <f t="shared" si="16"/>
        <v>#VALUE!</v>
      </c>
      <c r="Q100" s="18"/>
    </row>
    <row r="101" spans="1:19" ht="17.45" customHeight="1">
      <c r="A101" s="103"/>
      <c r="B101" s="68" t="s">
        <v>172</v>
      </c>
      <c r="C101" s="73" t="s">
        <v>173</v>
      </c>
      <c r="D101" s="88">
        <f t="shared" ref="D101:O101" si="17">SUM(D92:D100)</f>
        <v>0</v>
      </c>
      <c r="E101" s="88">
        <f t="shared" si="17"/>
        <v>0</v>
      </c>
      <c r="F101" s="88">
        <f t="shared" si="17"/>
        <v>2977.13</v>
      </c>
      <c r="G101" s="88">
        <f t="shared" si="17"/>
        <v>0</v>
      </c>
      <c r="H101" s="88">
        <f t="shared" si="17"/>
        <v>0</v>
      </c>
      <c r="I101" s="88">
        <f t="shared" si="17"/>
        <v>0</v>
      </c>
      <c r="J101" s="88">
        <f t="shared" si="17"/>
        <v>0</v>
      </c>
      <c r="K101" s="88">
        <f t="shared" si="17"/>
        <v>0</v>
      </c>
      <c r="L101" s="88">
        <f t="shared" si="17"/>
        <v>0</v>
      </c>
      <c r="M101" s="88">
        <f t="shared" si="17"/>
        <v>0</v>
      </c>
      <c r="N101" s="88">
        <f t="shared" si="17"/>
        <v>0</v>
      </c>
      <c r="O101" s="88">
        <f t="shared" si="17"/>
        <v>0</v>
      </c>
      <c r="P101" s="88" t="e">
        <f>SUM(P92:P100)</f>
        <v>#VALUE!</v>
      </c>
      <c r="Q101" s="22"/>
      <c r="R101" s="32"/>
      <c r="S101" s="22"/>
    </row>
    <row r="102" spans="1:19" ht="17.45" customHeight="1">
      <c r="A102" s="103"/>
      <c r="B102" s="31"/>
      <c r="C102" s="29" t="s">
        <v>189</v>
      </c>
      <c r="D102" s="81"/>
      <c r="E102" s="81"/>
      <c r="F102" s="81" t="s">
        <v>441</v>
      </c>
      <c r="G102" s="81"/>
      <c r="H102" s="81"/>
      <c r="I102" s="81"/>
      <c r="J102" s="81"/>
      <c r="K102" s="81"/>
      <c r="L102" s="81"/>
      <c r="M102" s="81"/>
      <c r="N102" s="81"/>
      <c r="O102" s="81"/>
      <c r="P102" s="81" t="e">
        <f>D102+E102+F102+G102+H102+I102+J102+K102+L102+M102+N102+O102</f>
        <v>#VALUE!</v>
      </c>
      <c r="Q102" s="18"/>
    </row>
    <row r="103" spans="1:19" ht="17.45" customHeight="1">
      <c r="A103" s="103"/>
      <c r="B103" s="31" t="s">
        <v>190</v>
      </c>
      <c r="C103" s="26" t="s">
        <v>191</v>
      </c>
      <c r="D103" s="81"/>
      <c r="E103" s="81"/>
      <c r="F103" s="81">
        <v>0</v>
      </c>
      <c r="G103" s="81"/>
      <c r="H103" s="81"/>
      <c r="I103" s="81"/>
      <c r="J103" s="81"/>
      <c r="K103" s="81"/>
      <c r="L103" s="81"/>
      <c r="M103" s="81"/>
      <c r="N103" s="81"/>
      <c r="O103" s="81"/>
      <c r="P103" s="81">
        <f>D103+E103+F103+G103+H103+I103+J103+K103+L103+M103+N103+O103</f>
        <v>0</v>
      </c>
      <c r="Q103" s="18"/>
    </row>
    <row r="104" spans="1:19" ht="17.45" customHeight="1">
      <c r="A104" s="103"/>
      <c r="B104" s="31" t="s">
        <v>192</v>
      </c>
      <c r="C104" s="26" t="s">
        <v>193</v>
      </c>
      <c r="D104" s="81"/>
      <c r="E104" s="81"/>
      <c r="F104" s="81">
        <v>-43366.2</v>
      </c>
      <c r="G104" s="81"/>
      <c r="H104" s="81"/>
      <c r="I104" s="81"/>
      <c r="J104" s="81"/>
      <c r="K104" s="81"/>
      <c r="L104" s="81"/>
      <c r="M104" s="81"/>
      <c r="N104" s="81"/>
      <c r="O104" s="81"/>
      <c r="P104" s="81">
        <f>D104+E104+F104+G104+H104+I104+J104+K104+L104+M104+N104+O104</f>
        <v>-43366.2</v>
      </c>
      <c r="Q104" s="18"/>
    </row>
    <row r="105" spans="1:19" ht="17.45" customHeight="1">
      <c r="A105" s="103"/>
      <c r="B105" s="31" t="s">
        <v>194</v>
      </c>
      <c r="C105" s="26" t="s">
        <v>195</v>
      </c>
      <c r="D105" s="81"/>
      <c r="E105" s="81"/>
      <c r="F105" s="81">
        <v>-201820.99</v>
      </c>
      <c r="G105" s="81"/>
      <c r="H105" s="81"/>
      <c r="I105" s="81"/>
      <c r="J105" s="81"/>
      <c r="K105" s="81"/>
      <c r="L105" s="81"/>
      <c r="M105" s="81"/>
      <c r="N105" s="81"/>
      <c r="O105" s="81"/>
      <c r="P105" s="81">
        <f>D105+E105+F105+G105+H105+I105+J105+K105+L105+M105+N105+O105</f>
        <v>-201820.99</v>
      </c>
      <c r="Q105" s="18"/>
    </row>
    <row r="106" spans="1:19" ht="17.45" customHeight="1">
      <c r="A106" s="103"/>
      <c r="B106" s="68" t="s">
        <v>196</v>
      </c>
      <c r="C106" s="67" t="s">
        <v>189</v>
      </c>
      <c r="D106" s="88">
        <f t="shared" ref="D106:O106" si="18">SUM(D104:D105)</f>
        <v>0</v>
      </c>
      <c r="E106" s="88">
        <f t="shared" si="18"/>
        <v>0</v>
      </c>
      <c r="F106" s="88">
        <f t="shared" si="18"/>
        <v>-245187.19</v>
      </c>
      <c r="G106" s="88">
        <f t="shared" si="18"/>
        <v>0</v>
      </c>
      <c r="H106" s="88">
        <f t="shared" si="18"/>
        <v>0</v>
      </c>
      <c r="I106" s="88">
        <f t="shared" si="18"/>
        <v>0</v>
      </c>
      <c r="J106" s="88">
        <f t="shared" si="18"/>
        <v>0</v>
      </c>
      <c r="K106" s="88">
        <f t="shared" si="18"/>
        <v>0</v>
      </c>
      <c r="L106" s="88">
        <f t="shared" si="18"/>
        <v>0</v>
      </c>
      <c r="M106" s="88">
        <f t="shared" si="18"/>
        <v>0</v>
      </c>
      <c r="N106" s="88">
        <f t="shared" si="18"/>
        <v>0</v>
      </c>
      <c r="O106" s="88">
        <f t="shared" si="18"/>
        <v>0</v>
      </c>
      <c r="P106" s="88">
        <f>SUM(P104:P105)</f>
        <v>-245187.19</v>
      </c>
      <c r="Q106" s="22"/>
      <c r="R106" s="32"/>
      <c r="S106" s="22"/>
    </row>
    <row r="107" spans="1:19" ht="17.45" customHeight="1">
      <c r="A107" s="103"/>
      <c r="B107" s="31"/>
      <c r="C107" s="29" t="s">
        <v>197</v>
      </c>
      <c r="D107" s="81"/>
      <c r="E107" s="81"/>
      <c r="F107" s="81">
        <v>0</v>
      </c>
      <c r="G107" s="81"/>
      <c r="H107" s="81"/>
      <c r="I107" s="81"/>
      <c r="J107" s="81"/>
      <c r="K107" s="81"/>
      <c r="L107" s="81"/>
      <c r="M107" s="81"/>
      <c r="N107" s="81"/>
      <c r="O107" s="81"/>
      <c r="P107" s="81">
        <v>0</v>
      </c>
    </row>
    <row r="108" spans="1:19" ht="17.45" customHeight="1">
      <c r="A108" s="103"/>
      <c r="B108" s="31"/>
      <c r="C108" s="26" t="s">
        <v>198</v>
      </c>
      <c r="D108" s="81"/>
      <c r="E108" s="81"/>
      <c r="F108" s="81">
        <v>0</v>
      </c>
      <c r="G108" s="81"/>
      <c r="H108" s="81"/>
      <c r="I108" s="81"/>
      <c r="J108" s="81"/>
      <c r="K108" s="81"/>
      <c r="L108" s="81"/>
      <c r="M108" s="81"/>
      <c r="N108" s="81"/>
      <c r="O108" s="81"/>
      <c r="P108" s="81">
        <v>0</v>
      </c>
    </row>
    <row r="109" spans="1:19" ht="17.45" customHeight="1">
      <c r="A109" s="103"/>
      <c r="B109" s="31"/>
      <c r="C109" s="26" t="s">
        <v>199</v>
      </c>
      <c r="D109" s="81"/>
      <c r="E109" s="81"/>
      <c r="F109" s="81">
        <v>0</v>
      </c>
      <c r="G109" s="81"/>
      <c r="H109" s="81"/>
      <c r="I109" s="81"/>
      <c r="J109" s="81"/>
      <c r="K109" s="81"/>
      <c r="L109" s="81"/>
      <c r="M109" s="81"/>
      <c r="N109" s="81"/>
      <c r="O109" s="81"/>
      <c r="P109" s="81">
        <v>0</v>
      </c>
    </row>
    <row r="110" spans="1:19" ht="17.45" customHeight="1">
      <c r="A110" s="103"/>
      <c r="B110" s="31"/>
      <c r="C110" s="37" t="s">
        <v>200</v>
      </c>
      <c r="D110" s="81"/>
      <c r="E110" s="81"/>
      <c r="F110" s="81">
        <v>0</v>
      </c>
      <c r="G110" s="81"/>
      <c r="H110" s="81"/>
      <c r="I110" s="81"/>
      <c r="J110" s="81"/>
      <c r="K110" s="81"/>
      <c r="L110" s="81"/>
      <c r="M110" s="81"/>
      <c r="N110" s="81"/>
      <c r="O110" s="81"/>
      <c r="P110" s="81">
        <v>0</v>
      </c>
    </row>
    <row r="111" spans="1:19" ht="17.45" customHeight="1">
      <c r="A111" s="103"/>
      <c r="B111" s="69" t="s">
        <v>201</v>
      </c>
      <c r="C111" s="70" t="s">
        <v>109</v>
      </c>
      <c r="D111" s="114">
        <f t="shared" ref="D111:P111" si="19">D106+D101+D91+D90+D89+D80+D71+D70+D65+D64+D63+D62+D61+D110</f>
        <v>0</v>
      </c>
      <c r="E111" s="114">
        <f t="shared" si="19"/>
        <v>0</v>
      </c>
      <c r="F111" s="114">
        <f t="shared" si="19"/>
        <v>-4834.3600000000224</v>
      </c>
      <c r="G111" s="114">
        <f t="shared" si="19"/>
        <v>0</v>
      </c>
      <c r="H111" s="114">
        <f t="shared" si="19"/>
        <v>0</v>
      </c>
      <c r="I111" s="114">
        <f t="shared" si="19"/>
        <v>0</v>
      </c>
      <c r="J111" s="114">
        <f t="shared" si="19"/>
        <v>0</v>
      </c>
      <c r="K111" s="114">
        <f t="shared" si="19"/>
        <v>0</v>
      </c>
      <c r="L111" s="114">
        <f t="shared" si="19"/>
        <v>0</v>
      </c>
      <c r="M111" s="114">
        <f t="shared" si="19"/>
        <v>0</v>
      </c>
      <c r="N111" s="114">
        <f t="shared" si="19"/>
        <v>0</v>
      </c>
      <c r="O111" s="114">
        <f t="shared" si="19"/>
        <v>0</v>
      </c>
      <c r="P111" s="114" t="e">
        <f t="shared" si="19"/>
        <v>#VALUE!</v>
      </c>
      <c r="Q111" s="22"/>
      <c r="R111" s="32"/>
      <c r="S111" s="22"/>
    </row>
    <row r="112" spans="1:19" ht="17.45" customHeight="1">
      <c r="A112" s="103"/>
      <c r="B112" s="74" t="s">
        <v>202</v>
      </c>
      <c r="C112" s="75" t="s">
        <v>203</v>
      </c>
      <c r="D112" s="88">
        <f t="shared" ref="D112:P112" si="20">D36</f>
        <v>0</v>
      </c>
      <c r="E112" s="88">
        <f t="shared" si="20"/>
        <v>0</v>
      </c>
      <c r="F112" s="88">
        <f t="shared" si="20"/>
        <v>4086019.94</v>
      </c>
      <c r="G112" s="88">
        <f t="shared" si="20"/>
        <v>0</v>
      </c>
      <c r="H112" s="88">
        <f t="shared" si="20"/>
        <v>0</v>
      </c>
      <c r="I112" s="88">
        <f t="shared" si="20"/>
        <v>0</v>
      </c>
      <c r="J112" s="88">
        <f t="shared" si="20"/>
        <v>0</v>
      </c>
      <c r="K112" s="88">
        <f t="shared" si="20"/>
        <v>0</v>
      </c>
      <c r="L112" s="88">
        <f t="shared" si="20"/>
        <v>0</v>
      </c>
      <c r="M112" s="88">
        <f t="shared" si="20"/>
        <v>0</v>
      </c>
      <c r="N112" s="88">
        <f t="shared" si="20"/>
        <v>0</v>
      </c>
      <c r="O112" s="88">
        <f t="shared" si="20"/>
        <v>0</v>
      </c>
      <c r="P112" s="88">
        <f t="shared" si="20"/>
        <v>4086019.94</v>
      </c>
      <c r="Q112" s="22"/>
      <c r="R112" s="32"/>
      <c r="S112" s="22"/>
    </row>
    <row r="113" spans="1:19" ht="17.45" customHeight="1">
      <c r="A113" s="103"/>
      <c r="B113" s="31"/>
      <c r="C113" s="28" t="s">
        <v>204</v>
      </c>
      <c r="D113" s="81"/>
      <c r="E113" s="81"/>
      <c r="F113" s="81">
        <v>0</v>
      </c>
      <c r="G113" s="81"/>
      <c r="H113" s="81"/>
      <c r="I113" s="81"/>
      <c r="J113" s="81"/>
      <c r="K113" s="81"/>
      <c r="L113" s="81"/>
      <c r="M113" s="81"/>
      <c r="N113" s="81"/>
      <c r="O113" s="81"/>
      <c r="P113" s="81">
        <f>D113+E113+F113+G113+H113+I113+J113+K113+L113+M113+N113+O113</f>
        <v>0</v>
      </c>
      <c r="Q113" s="18"/>
    </row>
    <row r="114" spans="1:19" ht="17.45" customHeight="1">
      <c r="A114" s="103"/>
      <c r="B114" s="31"/>
      <c r="C114" s="29" t="s">
        <v>205</v>
      </c>
      <c r="D114" s="81"/>
      <c r="E114" s="81"/>
      <c r="F114" s="81">
        <v>0</v>
      </c>
      <c r="G114" s="81"/>
      <c r="H114" s="81"/>
      <c r="I114" s="81"/>
      <c r="J114" s="81"/>
      <c r="K114" s="81"/>
      <c r="L114" s="81"/>
      <c r="M114" s="81"/>
      <c r="N114" s="81"/>
      <c r="O114" s="81"/>
      <c r="P114" s="81">
        <f>D114+E114+F114+G114+H114+I114+J114+K114+L114+M114+N114+O114</f>
        <v>0</v>
      </c>
      <c r="Q114" s="18"/>
    </row>
    <row r="115" spans="1:19" ht="17.45" customHeight="1">
      <c r="A115" s="103"/>
      <c r="B115" s="31" t="s">
        <v>206</v>
      </c>
      <c r="C115" s="26" t="s">
        <v>207</v>
      </c>
      <c r="D115" s="81"/>
      <c r="E115" s="81"/>
      <c r="F115" s="81">
        <v>0</v>
      </c>
      <c r="G115" s="81"/>
      <c r="H115" s="81"/>
      <c r="I115" s="81"/>
      <c r="J115" s="81"/>
      <c r="K115" s="81"/>
      <c r="L115" s="81"/>
      <c r="M115" s="81"/>
      <c r="N115" s="81"/>
      <c r="O115" s="81"/>
      <c r="P115" s="81">
        <f>D115+E115+F115+G115+H115+I115+J115+K115+L115+M115+N115+O115</f>
        <v>0</v>
      </c>
      <c r="Q115" s="18"/>
    </row>
    <row r="116" spans="1:19" ht="17.45" customHeight="1">
      <c r="A116" s="103"/>
      <c r="B116" s="31" t="s">
        <v>208</v>
      </c>
      <c r="C116" s="26" t="s">
        <v>209</v>
      </c>
      <c r="D116" s="81"/>
      <c r="E116" s="81"/>
      <c r="F116" s="81">
        <v>66.099999999999994</v>
      </c>
      <c r="G116" s="81"/>
      <c r="H116" s="81"/>
      <c r="I116" s="81"/>
      <c r="J116" s="81"/>
      <c r="K116" s="81"/>
      <c r="L116" s="81"/>
      <c r="M116" s="81"/>
      <c r="N116" s="81"/>
      <c r="O116" s="81"/>
      <c r="P116" s="81">
        <f>D116+E116+F116+G116+H116+I116+J116+K116+L116+M116+N116+O116</f>
        <v>66.099999999999994</v>
      </c>
      <c r="Q116" s="18"/>
    </row>
    <row r="117" spans="1:19" ht="17.45" customHeight="1">
      <c r="A117" s="103"/>
      <c r="B117" s="69" t="s">
        <v>210</v>
      </c>
      <c r="C117" s="70" t="s">
        <v>205</v>
      </c>
      <c r="D117" s="88">
        <f>D116</f>
        <v>0</v>
      </c>
      <c r="E117" s="88">
        <f t="shared" ref="E117:O117" si="21">E116</f>
        <v>0</v>
      </c>
      <c r="F117" s="88">
        <f t="shared" si="21"/>
        <v>66.099999999999994</v>
      </c>
      <c r="G117" s="88">
        <f t="shared" si="21"/>
        <v>0</v>
      </c>
      <c r="H117" s="88">
        <f t="shared" si="21"/>
        <v>0</v>
      </c>
      <c r="I117" s="88">
        <f t="shared" si="21"/>
        <v>0</v>
      </c>
      <c r="J117" s="88">
        <f t="shared" si="21"/>
        <v>0</v>
      </c>
      <c r="K117" s="88">
        <f t="shared" si="21"/>
        <v>0</v>
      </c>
      <c r="L117" s="88">
        <f t="shared" si="21"/>
        <v>0</v>
      </c>
      <c r="M117" s="88">
        <f t="shared" si="21"/>
        <v>0</v>
      </c>
      <c r="N117" s="88">
        <f t="shared" si="21"/>
        <v>0</v>
      </c>
      <c r="O117" s="88">
        <f t="shared" si="21"/>
        <v>0</v>
      </c>
      <c r="P117" s="88">
        <f>SUM(P115:P116)</f>
        <v>66.099999999999994</v>
      </c>
      <c r="Q117" s="22"/>
      <c r="R117" s="32"/>
      <c r="S117" s="22"/>
    </row>
    <row r="118" spans="1:19" ht="17.45" customHeight="1">
      <c r="A118" s="103"/>
      <c r="B118" s="31"/>
      <c r="C118" s="29" t="s">
        <v>211</v>
      </c>
      <c r="D118" s="81"/>
      <c r="E118" s="81"/>
      <c r="F118" s="81">
        <v>0</v>
      </c>
      <c r="G118" s="81"/>
      <c r="H118" s="81"/>
      <c r="I118" s="81"/>
      <c r="J118" s="81"/>
      <c r="K118" s="81"/>
      <c r="L118" s="81"/>
      <c r="M118" s="81"/>
      <c r="N118" s="81"/>
      <c r="O118" s="81"/>
      <c r="P118" s="81">
        <f t="shared" ref="P118:P127" si="22">D118+E118+F118+G118+H118+I118+J118+K118+L118+M118+N118+O118</f>
        <v>0</v>
      </c>
      <c r="Q118" s="18"/>
    </row>
    <row r="119" spans="1:19" ht="17.45" customHeight="1">
      <c r="A119" s="103"/>
      <c r="B119" s="31" t="s">
        <v>212</v>
      </c>
      <c r="C119" s="26" t="s">
        <v>213</v>
      </c>
      <c r="D119" s="81"/>
      <c r="E119" s="81"/>
      <c r="F119" s="81">
        <v>5152.54</v>
      </c>
      <c r="G119" s="81"/>
      <c r="H119" s="81"/>
      <c r="I119" s="81"/>
      <c r="J119" s="81"/>
      <c r="K119" s="81"/>
      <c r="L119" s="81"/>
      <c r="M119" s="81"/>
      <c r="N119" s="81"/>
      <c r="O119" s="81"/>
      <c r="P119" s="81">
        <f t="shared" si="22"/>
        <v>5152.54</v>
      </c>
      <c r="Q119" s="18"/>
    </row>
    <row r="120" spans="1:19" ht="17.45" customHeight="1">
      <c r="A120" s="103"/>
      <c r="B120" s="31" t="s">
        <v>214</v>
      </c>
      <c r="C120" s="26" t="s">
        <v>215</v>
      </c>
      <c r="D120" s="81"/>
      <c r="E120" s="81"/>
      <c r="F120" s="81">
        <v>0</v>
      </c>
      <c r="G120" s="81"/>
      <c r="H120" s="81"/>
      <c r="I120" s="81"/>
      <c r="J120" s="81"/>
      <c r="K120" s="81"/>
      <c r="L120" s="81"/>
      <c r="M120" s="81"/>
      <c r="N120" s="81"/>
      <c r="O120" s="81"/>
      <c r="P120" s="81">
        <f t="shared" si="22"/>
        <v>0</v>
      </c>
      <c r="Q120" s="18"/>
    </row>
    <row r="121" spans="1:19" ht="17.45" customHeight="1">
      <c r="A121" s="103"/>
      <c r="B121" s="31"/>
      <c r="C121" s="37" t="s">
        <v>216</v>
      </c>
      <c r="D121" s="81"/>
      <c r="E121" s="81"/>
      <c r="F121" s="81">
        <v>0</v>
      </c>
      <c r="G121" s="81"/>
      <c r="H121" s="81"/>
      <c r="I121" s="81"/>
      <c r="J121" s="81"/>
      <c r="K121" s="81"/>
      <c r="L121" s="81"/>
      <c r="M121" s="81"/>
      <c r="N121" s="81"/>
      <c r="O121" s="81"/>
      <c r="P121" s="81">
        <f t="shared" si="22"/>
        <v>0</v>
      </c>
      <c r="Q121" s="18"/>
    </row>
    <row r="122" spans="1:19" ht="17.45" customHeight="1">
      <c r="A122" s="103"/>
      <c r="B122" s="31" t="s">
        <v>217</v>
      </c>
      <c r="C122" s="26" t="s">
        <v>218</v>
      </c>
      <c r="D122" s="81"/>
      <c r="E122" s="81"/>
      <c r="F122" s="81">
        <v>279.98</v>
      </c>
      <c r="G122" s="81"/>
      <c r="H122" s="81"/>
      <c r="I122" s="81"/>
      <c r="J122" s="81"/>
      <c r="K122" s="81"/>
      <c r="L122" s="81"/>
      <c r="M122" s="81"/>
      <c r="N122" s="81"/>
      <c r="O122" s="81"/>
      <c r="P122" s="81">
        <f t="shared" si="22"/>
        <v>279.98</v>
      </c>
      <c r="Q122" s="18"/>
    </row>
    <row r="123" spans="1:19" ht="17.45" customHeight="1">
      <c r="A123" s="103"/>
      <c r="B123" s="31" t="s">
        <v>219</v>
      </c>
      <c r="C123" s="26" t="s">
        <v>220</v>
      </c>
      <c r="D123" s="81"/>
      <c r="E123" s="81"/>
      <c r="F123" s="81">
        <v>382.99</v>
      </c>
      <c r="G123" s="81"/>
      <c r="H123" s="81"/>
      <c r="I123" s="81"/>
      <c r="J123" s="81"/>
      <c r="K123" s="81"/>
      <c r="L123" s="81"/>
      <c r="M123" s="81"/>
      <c r="N123" s="81"/>
      <c r="O123" s="81"/>
      <c r="P123" s="81">
        <f t="shared" si="22"/>
        <v>382.99</v>
      </c>
      <c r="Q123" s="18"/>
    </row>
    <row r="124" spans="1:19" ht="17.45" customHeight="1">
      <c r="A124" s="103"/>
      <c r="B124" s="31" t="s">
        <v>221</v>
      </c>
      <c r="C124" s="26" t="s">
        <v>222</v>
      </c>
      <c r="D124" s="81"/>
      <c r="E124" s="81"/>
      <c r="F124" s="81">
        <v>0</v>
      </c>
      <c r="G124" s="81"/>
      <c r="H124" s="81"/>
      <c r="I124" s="81"/>
      <c r="J124" s="81"/>
      <c r="K124" s="81"/>
      <c r="L124" s="81"/>
      <c r="M124" s="81"/>
      <c r="N124" s="81"/>
      <c r="O124" s="81"/>
      <c r="P124" s="81">
        <f t="shared" si="22"/>
        <v>0</v>
      </c>
      <c r="Q124" s="18"/>
    </row>
    <row r="125" spans="1:19" ht="17.45" customHeight="1">
      <c r="A125" s="103"/>
      <c r="B125" s="31" t="s">
        <v>223</v>
      </c>
      <c r="C125" s="26" t="s">
        <v>224</v>
      </c>
      <c r="D125" s="81"/>
      <c r="E125" s="81"/>
      <c r="F125" s="81">
        <v>0</v>
      </c>
      <c r="G125" s="81"/>
      <c r="H125" s="81"/>
      <c r="I125" s="81"/>
      <c r="J125" s="81"/>
      <c r="K125" s="81"/>
      <c r="L125" s="81"/>
      <c r="M125" s="81"/>
      <c r="N125" s="81"/>
      <c r="O125" s="81"/>
      <c r="P125" s="81">
        <f t="shared" si="22"/>
        <v>0</v>
      </c>
      <c r="Q125" s="18"/>
    </row>
    <row r="126" spans="1:19" ht="17.45" customHeight="1">
      <c r="A126" s="103"/>
      <c r="B126" s="31" t="s">
        <v>225</v>
      </c>
      <c r="C126" s="26" t="s">
        <v>226</v>
      </c>
      <c r="D126" s="81"/>
      <c r="E126" s="81"/>
      <c r="F126" s="81">
        <v>125</v>
      </c>
      <c r="G126" s="81"/>
      <c r="H126" s="81"/>
      <c r="I126" s="81"/>
      <c r="J126" s="81"/>
      <c r="K126" s="81"/>
      <c r="L126" s="81"/>
      <c r="M126" s="81"/>
      <c r="N126" s="81"/>
      <c r="O126" s="81"/>
      <c r="P126" s="81">
        <f t="shared" si="22"/>
        <v>125</v>
      </c>
      <c r="Q126" s="18"/>
    </row>
    <row r="127" spans="1:19" ht="17.45" customHeight="1">
      <c r="A127" s="103"/>
      <c r="B127" s="31" t="s">
        <v>227</v>
      </c>
      <c r="C127" s="26" t="s">
        <v>228</v>
      </c>
      <c r="D127" s="81"/>
      <c r="E127" s="81"/>
      <c r="F127" s="81">
        <v>0</v>
      </c>
      <c r="G127" s="81"/>
      <c r="H127" s="81"/>
      <c r="I127" s="81"/>
      <c r="J127" s="81"/>
      <c r="K127" s="81"/>
      <c r="L127" s="81"/>
      <c r="M127" s="81"/>
      <c r="N127" s="81"/>
      <c r="O127" s="81"/>
      <c r="P127" s="81">
        <f t="shared" si="22"/>
        <v>0</v>
      </c>
      <c r="Q127" s="18"/>
    </row>
    <row r="128" spans="1:19" ht="17.45" customHeight="1">
      <c r="A128" s="103"/>
      <c r="B128" s="69" t="s">
        <v>229</v>
      </c>
      <c r="C128" s="70" t="s">
        <v>216</v>
      </c>
      <c r="D128" s="88">
        <f t="shared" ref="D128:O128" si="23">SUM(D122:D127)</f>
        <v>0</v>
      </c>
      <c r="E128" s="88">
        <f t="shared" si="23"/>
        <v>0</v>
      </c>
      <c r="F128" s="88">
        <f t="shared" si="23"/>
        <v>787.97</v>
      </c>
      <c r="G128" s="88">
        <f t="shared" si="23"/>
        <v>0</v>
      </c>
      <c r="H128" s="88">
        <f t="shared" si="23"/>
        <v>0</v>
      </c>
      <c r="I128" s="88">
        <f t="shared" si="23"/>
        <v>0</v>
      </c>
      <c r="J128" s="88">
        <f t="shared" si="23"/>
        <v>0</v>
      </c>
      <c r="K128" s="88">
        <f t="shared" si="23"/>
        <v>0</v>
      </c>
      <c r="L128" s="88">
        <f t="shared" si="23"/>
        <v>0</v>
      </c>
      <c r="M128" s="88">
        <f t="shared" si="23"/>
        <v>0</v>
      </c>
      <c r="N128" s="88">
        <f t="shared" si="23"/>
        <v>0</v>
      </c>
      <c r="O128" s="88">
        <f t="shared" si="23"/>
        <v>0</v>
      </c>
      <c r="P128" s="88">
        <f>SUM(P122:P127)</f>
        <v>787.97</v>
      </c>
      <c r="Q128" s="22"/>
      <c r="R128" s="32"/>
      <c r="S128" s="22"/>
    </row>
    <row r="129" spans="1:19" ht="17.45" customHeight="1">
      <c r="A129" s="103"/>
      <c r="B129" s="31" t="s">
        <v>230</v>
      </c>
      <c r="C129" s="26" t="s">
        <v>231</v>
      </c>
      <c r="D129" s="81"/>
      <c r="E129" s="81"/>
      <c r="F129" s="81">
        <v>5630.98</v>
      </c>
      <c r="G129" s="81"/>
      <c r="H129" s="81"/>
      <c r="I129" s="81"/>
      <c r="J129" s="81"/>
      <c r="K129" s="81"/>
      <c r="L129" s="81"/>
      <c r="M129" s="81"/>
      <c r="N129" s="81"/>
      <c r="O129" s="81"/>
      <c r="P129" s="81">
        <f>D129+E129+F129+G129+H129+I129+J129+K129+L129+M129+N129+O129</f>
        <v>5630.98</v>
      </c>
      <c r="Q129" s="18"/>
    </row>
    <row r="130" spans="1:19" ht="17.45" customHeight="1">
      <c r="A130" s="103"/>
      <c r="B130" s="31" t="s">
        <v>232</v>
      </c>
      <c r="C130" s="26" t="s">
        <v>233</v>
      </c>
      <c r="D130" s="81"/>
      <c r="E130" s="81"/>
      <c r="F130" s="81">
        <v>40.39</v>
      </c>
      <c r="G130" s="81"/>
      <c r="H130" s="81"/>
      <c r="I130" s="81"/>
      <c r="J130" s="81"/>
      <c r="K130" s="81"/>
      <c r="L130" s="81"/>
      <c r="M130" s="81"/>
      <c r="N130" s="81"/>
      <c r="O130" s="81"/>
      <c r="P130" s="81">
        <f>D130+E130+F130+G130+H130+I130+J130+K130+L130+M130+N130+O130</f>
        <v>40.39</v>
      </c>
      <c r="Q130" s="18"/>
    </row>
    <row r="131" spans="1:19" ht="17.45" customHeight="1">
      <c r="A131" s="103"/>
      <c r="B131" s="31" t="s">
        <v>234</v>
      </c>
      <c r="C131" s="26" t="s">
        <v>235</v>
      </c>
      <c r="D131" s="81"/>
      <c r="E131" s="81"/>
      <c r="F131" s="81">
        <v>0</v>
      </c>
      <c r="G131" s="81"/>
      <c r="H131" s="81"/>
      <c r="I131" s="81"/>
      <c r="J131" s="81"/>
      <c r="K131" s="81"/>
      <c r="L131" s="81"/>
      <c r="M131" s="81"/>
      <c r="N131" s="81"/>
      <c r="O131" s="81"/>
      <c r="P131" s="81">
        <f>D131+E131+F131+G131+H131+I131+J131+K131+L131+M131+N131+O131</f>
        <v>0</v>
      </c>
      <c r="Q131" s="18"/>
    </row>
    <row r="132" spans="1:19" ht="17.45" customHeight="1">
      <c r="A132" s="103"/>
      <c r="B132" s="69" t="s">
        <v>236</v>
      </c>
      <c r="C132" s="70" t="s">
        <v>211</v>
      </c>
      <c r="D132" s="88">
        <f t="shared" ref="D132:O132" si="24">D119+D128+D129+D130</f>
        <v>0</v>
      </c>
      <c r="E132" s="88">
        <f t="shared" si="24"/>
        <v>0</v>
      </c>
      <c r="F132" s="88">
        <f t="shared" si="24"/>
        <v>11611.88</v>
      </c>
      <c r="G132" s="88">
        <f t="shared" si="24"/>
        <v>0</v>
      </c>
      <c r="H132" s="88">
        <f t="shared" si="24"/>
        <v>0</v>
      </c>
      <c r="I132" s="88">
        <f t="shared" si="24"/>
        <v>0</v>
      </c>
      <c r="J132" s="88">
        <f t="shared" si="24"/>
        <v>0</v>
      </c>
      <c r="K132" s="88">
        <f t="shared" si="24"/>
        <v>0</v>
      </c>
      <c r="L132" s="88">
        <f t="shared" si="24"/>
        <v>0</v>
      </c>
      <c r="M132" s="88">
        <f t="shared" si="24"/>
        <v>0</v>
      </c>
      <c r="N132" s="88">
        <f t="shared" si="24"/>
        <v>0</v>
      </c>
      <c r="O132" s="88">
        <f t="shared" si="24"/>
        <v>0</v>
      </c>
      <c r="P132" s="88">
        <f>P119+P128+P129+P130</f>
        <v>11611.88</v>
      </c>
      <c r="Q132" s="22"/>
      <c r="R132" s="32"/>
      <c r="S132" s="22"/>
    </row>
    <row r="133" spans="1:19" ht="17.45" customHeight="1">
      <c r="A133" s="103"/>
      <c r="B133" s="31"/>
      <c r="C133" s="37" t="s">
        <v>237</v>
      </c>
      <c r="D133" s="81"/>
      <c r="E133" s="81"/>
      <c r="F133" s="81">
        <v>0</v>
      </c>
      <c r="G133" s="81"/>
      <c r="H133" s="81"/>
      <c r="I133" s="81"/>
      <c r="J133" s="81"/>
      <c r="K133" s="81"/>
      <c r="L133" s="81"/>
      <c r="M133" s="81"/>
      <c r="N133" s="81"/>
      <c r="O133" s="81"/>
      <c r="P133" s="81">
        <f>D133+E133+F133+G133+H133+I133+J133+K133+L133+M133+N133+O133</f>
        <v>0</v>
      </c>
      <c r="Q133" s="18"/>
    </row>
    <row r="134" spans="1:19" ht="17.45" customHeight="1">
      <c r="A134" s="103"/>
      <c r="B134" s="31" t="s">
        <v>238</v>
      </c>
      <c r="C134" s="26" t="s">
        <v>41</v>
      </c>
      <c r="D134" s="81"/>
      <c r="E134" s="81"/>
      <c r="F134" s="81">
        <v>0</v>
      </c>
      <c r="G134" s="81"/>
      <c r="H134" s="81"/>
      <c r="I134" s="81"/>
      <c r="J134" s="81"/>
      <c r="K134" s="81"/>
      <c r="L134" s="81"/>
      <c r="M134" s="81"/>
      <c r="N134" s="81"/>
      <c r="O134" s="81"/>
      <c r="P134" s="81">
        <f>D134+E134+F134+G134+H134+I134+J134+K134+L134+M134+N134+O134</f>
        <v>0</v>
      </c>
      <c r="Q134" s="18"/>
    </row>
    <row r="135" spans="1:19" ht="17.45" customHeight="1">
      <c r="A135" s="103"/>
      <c r="B135" s="31" t="s">
        <v>239</v>
      </c>
      <c r="C135" s="26" t="s">
        <v>240</v>
      </c>
      <c r="D135" s="81"/>
      <c r="E135" s="81"/>
      <c r="F135" s="81">
        <v>1019.2</v>
      </c>
      <c r="G135" s="81"/>
      <c r="H135" s="81"/>
      <c r="I135" s="81"/>
      <c r="J135" s="81"/>
      <c r="K135" s="81"/>
      <c r="L135" s="81"/>
      <c r="M135" s="81"/>
      <c r="N135" s="81"/>
      <c r="O135" s="81"/>
      <c r="P135" s="81">
        <f>D135+E135+F135+G135+H135+I135+J135+K135+L135+M135+N135+O135</f>
        <v>1019.2</v>
      </c>
      <c r="Q135" s="18"/>
    </row>
    <row r="136" spans="1:19" ht="17.45" customHeight="1">
      <c r="A136" s="103"/>
      <c r="B136" s="31" t="s">
        <v>241</v>
      </c>
      <c r="C136" s="26" t="s">
        <v>242</v>
      </c>
      <c r="D136" s="81"/>
      <c r="E136" s="81"/>
      <c r="F136" s="81">
        <v>1899.15</v>
      </c>
      <c r="G136" s="81"/>
      <c r="H136" s="81"/>
      <c r="I136" s="81"/>
      <c r="J136" s="81"/>
      <c r="K136" s="81"/>
      <c r="L136" s="81"/>
      <c r="M136" s="81"/>
      <c r="N136" s="81"/>
      <c r="O136" s="81"/>
      <c r="P136" s="81">
        <f>D136+E136+F136+G136+H136+I136+J136+K136+L136+M136+N136+O136</f>
        <v>1899.15</v>
      </c>
      <c r="Q136" s="18"/>
    </row>
    <row r="137" spans="1:19" ht="17.45" customHeight="1">
      <c r="A137" s="103"/>
      <c r="B137" s="65" t="s">
        <v>243</v>
      </c>
      <c r="C137" s="66" t="s">
        <v>237</v>
      </c>
      <c r="D137" s="116">
        <f t="shared" ref="D137:O137" si="25">SUM(D134:D136)</f>
        <v>0</v>
      </c>
      <c r="E137" s="116">
        <f t="shared" si="25"/>
        <v>0</v>
      </c>
      <c r="F137" s="116">
        <f t="shared" si="25"/>
        <v>2918.3500000000004</v>
      </c>
      <c r="G137" s="116">
        <f t="shared" si="25"/>
        <v>0</v>
      </c>
      <c r="H137" s="116">
        <f t="shared" si="25"/>
        <v>0</v>
      </c>
      <c r="I137" s="116">
        <f t="shared" si="25"/>
        <v>0</v>
      </c>
      <c r="J137" s="116">
        <f t="shared" si="25"/>
        <v>0</v>
      </c>
      <c r="K137" s="116">
        <f t="shared" si="25"/>
        <v>0</v>
      </c>
      <c r="L137" s="116">
        <f t="shared" si="25"/>
        <v>0</v>
      </c>
      <c r="M137" s="116">
        <f t="shared" si="25"/>
        <v>0</v>
      </c>
      <c r="N137" s="116">
        <f t="shared" si="25"/>
        <v>0</v>
      </c>
      <c r="O137" s="116">
        <f t="shared" si="25"/>
        <v>0</v>
      </c>
      <c r="P137" s="116">
        <f>SUM(P134:P136)</f>
        <v>2918.3500000000004</v>
      </c>
      <c r="Q137" s="22"/>
      <c r="R137" s="32"/>
      <c r="S137" s="22"/>
    </row>
    <row r="138" spans="1:19" ht="17.45" customHeight="1">
      <c r="A138" s="103"/>
      <c r="B138" s="74" t="s">
        <v>244</v>
      </c>
      <c r="C138" s="75" t="s">
        <v>204</v>
      </c>
      <c r="D138" s="88">
        <f t="shared" ref="D138:O138" si="26">D137+D132+D117</f>
        <v>0</v>
      </c>
      <c r="E138" s="88">
        <f t="shared" si="26"/>
        <v>0</v>
      </c>
      <c r="F138" s="88">
        <f t="shared" si="26"/>
        <v>14596.33</v>
      </c>
      <c r="G138" s="88">
        <f t="shared" si="26"/>
        <v>0</v>
      </c>
      <c r="H138" s="88">
        <f t="shared" si="26"/>
        <v>0</v>
      </c>
      <c r="I138" s="88">
        <f t="shared" si="26"/>
        <v>0</v>
      </c>
      <c r="J138" s="88">
        <f t="shared" si="26"/>
        <v>0</v>
      </c>
      <c r="K138" s="88">
        <f t="shared" si="26"/>
        <v>0</v>
      </c>
      <c r="L138" s="88">
        <f t="shared" si="26"/>
        <v>0</v>
      </c>
      <c r="M138" s="88">
        <f t="shared" si="26"/>
        <v>0</v>
      </c>
      <c r="N138" s="88">
        <f t="shared" si="26"/>
        <v>0</v>
      </c>
      <c r="O138" s="88">
        <f t="shared" si="26"/>
        <v>0</v>
      </c>
      <c r="P138" s="88">
        <f>P137+P132+P117</f>
        <v>14596.33</v>
      </c>
      <c r="Q138" s="22"/>
      <c r="R138" s="32"/>
      <c r="S138" s="22"/>
    </row>
    <row r="139" spans="1:19" ht="17.45" customHeight="1">
      <c r="A139" s="103"/>
      <c r="B139" s="31"/>
      <c r="C139" s="28" t="s">
        <v>245</v>
      </c>
      <c r="D139" s="81"/>
      <c r="E139" s="81"/>
      <c r="F139" s="81" t="s">
        <v>441</v>
      </c>
      <c r="G139" s="81"/>
      <c r="H139" s="81"/>
      <c r="I139" s="81"/>
      <c r="J139" s="81"/>
      <c r="K139" s="81"/>
      <c r="L139" s="81"/>
      <c r="M139" s="81"/>
      <c r="N139" s="81"/>
      <c r="O139" s="81"/>
      <c r="P139" s="81" t="e">
        <f t="shared" ref="P139:P146" si="27">D139+E139+F139+G139+H139+I139+J139+K139+L139+M139+N139+O139</f>
        <v>#VALUE!</v>
      </c>
      <c r="Q139" s="18"/>
    </row>
    <row r="140" spans="1:19" ht="17.45" customHeight="1">
      <c r="A140" s="103"/>
      <c r="B140" s="31"/>
      <c r="C140" s="29" t="s">
        <v>246</v>
      </c>
      <c r="D140" s="81"/>
      <c r="E140" s="81"/>
      <c r="F140" s="81">
        <v>0</v>
      </c>
      <c r="G140" s="81"/>
      <c r="H140" s="81"/>
      <c r="I140" s="81"/>
      <c r="J140" s="81"/>
      <c r="K140" s="81"/>
      <c r="L140" s="81"/>
      <c r="M140" s="81"/>
      <c r="N140" s="81"/>
      <c r="O140" s="81"/>
      <c r="P140" s="81">
        <f t="shared" si="27"/>
        <v>0</v>
      </c>
      <c r="Q140" s="18"/>
    </row>
    <row r="141" spans="1:19" ht="17.45" customHeight="1">
      <c r="A141" s="103"/>
      <c r="B141" s="31" t="s">
        <v>247</v>
      </c>
      <c r="C141" s="26" t="s">
        <v>248</v>
      </c>
      <c r="D141" s="81"/>
      <c r="E141" s="81"/>
      <c r="F141" s="81">
        <v>42720.01</v>
      </c>
      <c r="G141" s="81"/>
      <c r="H141" s="81"/>
      <c r="I141" s="81"/>
      <c r="J141" s="81"/>
      <c r="K141" s="81"/>
      <c r="L141" s="81"/>
      <c r="M141" s="81"/>
      <c r="N141" s="81"/>
      <c r="O141" s="81"/>
      <c r="P141" s="81">
        <f t="shared" si="27"/>
        <v>42720.01</v>
      </c>
      <c r="Q141" s="18"/>
    </row>
    <row r="142" spans="1:19" ht="17.45" customHeight="1">
      <c r="A142" s="103"/>
      <c r="B142" s="31" t="s">
        <v>249</v>
      </c>
      <c r="C142" s="26" t="s">
        <v>250</v>
      </c>
      <c r="D142" s="81"/>
      <c r="E142" s="81"/>
      <c r="F142" s="81">
        <v>2417.17</v>
      </c>
      <c r="G142" s="81"/>
      <c r="H142" s="81"/>
      <c r="I142" s="81"/>
      <c r="J142" s="81"/>
      <c r="K142" s="81"/>
      <c r="L142" s="81"/>
      <c r="M142" s="81"/>
      <c r="N142" s="81"/>
      <c r="O142" s="81"/>
      <c r="P142" s="81">
        <f t="shared" si="27"/>
        <v>2417.17</v>
      </c>
      <c r="Q142" s="18"/>
    </row>
    <row r="143" spans="1:19" ht="17.45" customHeight="1">
      <c r="A143" s="103"/>
      <c r="B143" s="31" t="s">
        <v>251</v>
      </c>
      <c r="C143" s="26" t="s">
        <v>252</v>
      </c>
      <c r="D143" s="81"/>
      <c r="E143" s="81"/>
      <c r="F143" s="81" t="s">
        <v>441</v>
      </c>
      <c r="G143" s="81"/>
      <c r="H143" s="81"/>
      <c r="I143" s="81"/>
      <c r="J143" s="81"/>
      <c r="K143" s="81"/>
      <c r="L143" s="81"/>
      <c r="M143" s="81"/>
      <c r="N143" s="81"/>
      <c r="O143" s="81"/>
      <c r="P143" s="81" t="e">
        <f t="shared" si="27"/>
        <v>#VALUE!</v>
      </c>
      <c r="Q143" s="18"/>
    </row>
    <row r="144" spans="1:19" ht="17.45" customHeight="1">
      <c r="A144" s="103"/>
      <c r="B144" s="31" t="s">
        <v>253</v>
      </c>
      <c r="C144" s="26" t="s">
        <v>123</v>
      </c>
      <c r="D144" s="81"/>
      <c r="E144" s="81"/>
      <c r="F144" s="81">
        <v>164.52</v>
      </c>
      <c r="G144" s="81"/>
      <c r="H144" s="81"/>
      <c r="I144" s="81"/>
      <c r="J144" s="81"/>
      <c r="K144" s="81"/>
      <c r="L144" s="81"/>
      <c r="M144" s="81"/>
      <c r="N144" s="81"/>
      <c r="O144" s="81"/>
      <c r="P144" s="81">
        <f t="shared" si="27"/>
        <v>164.52</v>
      </c>
      <c r="Q144" s="18"/>
    </row>
    <row r="145" spans="1:19" ht="17.45" customHeight="1">
      <c r="A145" s="103"/>
      <c r="B145" s="31" t="s">
        <v>254</v>
      </c>
      <c r="C145" s="26" t="s">
        <v>255</v>
      </c>
      <c r="D145" s="81"/>
      <c r="E145" s="81"/>
      <c r="F145" s="81">
        <v>0</v>
      </c>
      <c r="G145" s="81"/>
      <c r="H145" s="81"/>
      <c r="I145" s="81"/>
      <c r="J145" s="81"/>
      <c r="K145" s="81"/>
      <c r="L145" s="81"/>
      <c r="M145" s="81"/>
      <c r="N145" s="81"/>
      <c r="O145" s="81"/>
      <c r="P145" s="81">
        <f t="shared" si="27"/>
        <v>0</v>
      </c>
      <c r="Q145" s="18"/>
    </row>
    <row r="146" spans="1:19" ht="17.45" customHeight="1">
      <c r="A146" s="103"/>
      <c r="B146" s="31" t="s">
        <v>256</v>
      </c>
      <c r="C146" s="26" t="s">
        <v>257</v>
      </c>
      <c r="D146" s="81"/>
      <c r="E146" s="81"/>
      <c r="F146" s="81">
        <v>2255.6</v>
      </c>
      <c r="G146" s="81"/>
      <c r="H146" s="81"/>
      <c r="I146" s="81"/>
      <c r="J146" s="81"/>
      <c r="K146" s="81"/>
      <c r="L146" s="81"/>
      <c r="M146" s="81"/>
      <c r="N146" s="81"/>
      <c r="O146" s="81"/>
      <c r="P146" s="81">
        <f t="shared" si="27"/>
        <v>2255.6</v>
      </c>
      <c r="Q146" s="18"/>
    </row>
    <row r="147" spans="1:19" ht="17.45" customHeight="1">
      <c r="A147" s="103"/>
      <c r="B147" s="31"/>
      <c r="C147" s="26" t="s">
        <v>258</v>
      </c>
      <c r="D147" s="81"/>
      <c r="E147" s="81"/>
      <c r="F147" s="81">
        <v>0</v>
      </c>
      <c r="G147" s="81"/>
      <c r="H147" s="81"/>
      <c r="I147" s="81"/>
      <c r="J147" s="81"/>
      <c r="K147" s="81"/>
      <c r="L147" s="81"/>
      <c r="M147" s="81"/>
      <c r="N147" s="81"/>
      <c r="O147" s="81"/>
      <c r="P147" s="81" t="s">
        <v>0</v>
      </c>
      <c r="Q147" s="18"/>
    </row>
    <row r="148" spans="1:19" ht="17.45" customHeight="1">
      <c r="A148" s="103"/>
      <c r="B148" s="68" t="s">
        <v>259</v>
      </c>
      <c r="C148" s="67" t="s">
        <v>246</v>
      </c>
      <c r="D148" s="88">
        <f t="shared" ref="D148:P148" si="28">SUM(D141:D147)</f>
        <v>0</v>
      </c>
      <c r="E148" s="88">
        <f t="shared" si="28"/>
        <v>0</v>
      </c>
      <c r="F148" s="88">
        <f t="shared" si="28"/>
        <v>47557.299999999996</v>
      </c>
      <c r="G148" s="88">
        <f t="shared" si="28"/>
        <v>0</v>
      </c>
      <c r="H148" s="88">
        <f t="shared" si="28"/>
        <v>0</v>
      </c>
      <c r="I148" s="88">
        <f t="shared" si="28"/>
        <v>0</v>
      </c>
      <c r="J148" s="88">
        <f t="shared" si="28"/>
        <v>0</v>
      </c>
      <c r="K148" s="88">
        <f t="shared" si="28"/>
        <v>0</v>
      </c>
      <c r="L148" s="88">
        <f t="shared" si="28"/>
        <v>0</v>
      </c>
      <c r="M148" s="88">
        <f t="shared" si="28"/>
        <v>0</v>
      </c>
      <c r="N148" s="88">
        <f t="shared" si="28"/>
        <v>0</v>
      </c>
      <c r="O148" s="88">
        <f t="shared" si="28"/>
        <v>0</v>
      </c>
      <c r="P148" s="88" t="e">
        <f t="shared" si="28"/>
        <v>#VALUE!</v>
      </c>
      <c r="Q148" s="22"/>
      <c r="R148" s="32"/>
      <c r="S148" s="22"/>
    </row>
    <row r="149" spans="1:19" ht="17.45" customHeight="1">
      <c r="A149" s="103"/>
      <c r="B149" s="31"/>
      <c r="C149" s="28" t="s">
        <v>260</v>
      </c>
      <c r="D149" s="81"/>
      <c r="E149" s="81"/>
      <c r="F149" s="81" t="s">
        <v>441</v>
      </c>
      <c r="G149" s="81"/>
      <c r="H149" s="81"/>
      <c r="I149" s="81"/>
      <c r="J149" s="81"/>
      <c r="K149" s="81"/>
      <c r="L149" s="81"/>
      <c r="M149" s="81"/>
      <c r="N149" s="81"/>
      <c r="O149" s="81"/>
      <c r="P149" s="81" t="e">
        <f>D149+E149+F149+G149+H149+I149+J149+K149+L149+M149+N149+O149</f>
        <v>#VALUE!</v>
      </c>
      <c r="Q149" s="18"/>
    </row>
    <row r="150" spans="1:19" ht="17.45" customHeight="1">
      <c r="A150" s="103"/>
      <c r="B150" s="31" t="s">
        <v>261</v>
      </c>
      <c r="C150" s="26" t="s">
        <v>262</v>
      </c>
      <c r="D150" s="81"/>
      <c r="E150" s="81"/>
      <c r="F150" s="81">
        <v>0</v>
      </c>
      <c r="G150" s="81"/>
      <c r="H150" s="81"/>
      <c r="I150" s="81"/>
      <c r="J150" s="81"/>
      <c r="K150" s="81"/>
      <c r="L150" s="81"/>
      <c r="M150" s="81"/>
      <c r="N150" s="81"/>
      <c r="O150" s="81"/>
      <c r="P150" s="81">
        <f>D150+E150+F150+G150+H150+I150+J150+K150+L150+M150+N150+O150</f>
        <v>0</v>
      </c>
      <c r="Q150" s="18"/>
    </row>
    <row r="151" spans="1:19" ht="17.45" customHeight="1">
      <c r="A151" s="103"/>
      <c r="B151" s="31" t="s">
        <v>263</v>
      </c>
      <c r="C151" s="26" t="s">
        <v>264</v>
      </c>
      <c r="D151" s="81"/>
      <c r="E151" s="81"/>
      <c r="F151" s="81">
        <v>118.19</v>
      </c>
      <c r="G151" s="81"/>
      <c r="H151" s="81"/>
      <c r="I151" s="81"/>
      <c r="J151" s="81"/>
      <c r="K151" s="81"/>
      <c r="L151" s="81"/>
      <c r="M151" s="81"/>
      <c r="N151" s="81"/>
      <c r="O151" s="81"/>
      <c r="P151" s="81">
        <f>D151+E151+F151+G151+H151+I151+J151+K151+L151+M151+N151+O151</f>
        <v>118.19</v>
      </c>
      <c r="Q151" s="18"/>
    </row>
    <row r="152" spans="1:19" ht="17.45" customHeight="1">
      <c r="A152" s="103"/>
      <c r="B152" s="31" t="s">
        <v>265</v>
      </c>
      <c r="C152" s="26" t="s">
        <v>266</v>
      </c>
      <c r="D152" s="81"/>
      <c r="E152" s="81"/>
      <c r="F152" s="81">
        <v>0</v>
      </c>
      <c r="G152" s="81"/>
      <c r="H152" s="81"/>
      <c r="I152" s="81"/>
      <c r="J152" s="81"/>
      <c r="K152" s="81"/>
      <c r="L152" s="81"/>
      <c r="M152" s="81"/>
      <c r="N152" s="81"/>
      <c r="O152" s="81"/>
      <c r="P152" s="81">
        <f>D152+E152+F152+G152+H152+I152+J152+K152+L152+M152+N152+O152</f>
        <v>0</v>
      </c>
      <c r="Q152" s="18"/>
    </row>
    <row r="153" spans="1:19" ht="17.45" customHeight="1">
      <c r="A153" s="103"/>
      <c r="B153" s="31" t="s">
        <v>267</v>
      </c>
      <c r="C153" s="26" t="s">
        <v>268</v>
      </c>
      <c r="D153" s="81">
        <v>0</v>
      </c>
      <c r="E153" s="81"/>
      <c r="F153" s="81">
        <v>471.06</v>
      </c>
      <c r="G153" s="81"/>
      <c r="H153" s="81"/>
      <c r="I153" s="81"/>
      <c r="J153" s="81"/>
      <c r="K153" s="81"/>
      <c r="L153" s="81"/>
      <c r="M153" s="81"/>
      <c r="N153" s="81"/>
      <c r="O153" s="81"/>
      <c r="P153" s="81">
        <f>D153+E153+F153+G153+H153+I153+J153+K153+L153+M153+N153+O153</f>
        <v>471.06</v>
      </c>
      <c r="Q153" s="18"/>
    </row>
    <row r="154" spans="1:19" ht="17.45" customHeight="1">
      <c r="A154" s="103"/>
      <c r="B154" s="68" t="s">
        <v>269</v>
      </c>
      <c r="C154" s="67" t="s">
        <v>260</v>
      </c>
      <c r="D154" s="88">
        <f t="shared" ref="D154:O154" si="29">SUM(D151:D153)</f>
        <v>0</v>
      </c>
      <c r="E154" s="88">
        <f t="shared" si="29"/>
        <v>0</v>
      </c>
      <c r="F154" s="88">
        <f t="shared" si="29"/>
        <v>589.25</v>
      </c>
      <c r="G154" s="88">
        <f t="shared" si="29"/>
        <v>0</v>
      </c>
      <c r="H154" s="88">
        <f t="shared" si="29"/>
        <v>0</v>
      </c>
      <c r="I154" s="88">
        <f t="shared" si="29"/>
        <v>0</v>
      </c>
      <c r="J154" s="88">
        <f t="shared" si="29"/>
        <v>0</v>
      </c>
      <c r="K154" s="88">
        <f t="shared" si="29"/>
        <v>0</v>
      </c>
      <c r="L154" s="88">
        <f t="shared" si="29"/>
        <v>0</v>
      </c>
      <c r="M154" s="88">
        <f t="shared" si="29"/>
        <v>0</v>
      </c>
      <c r="N154" s="88">
        <f t="shared" si="29"/>
        <v>0</v>
      </c>
      <c r="O154" s="88">
        <f t="shared" si="29"/>
        <v>0</v>
      </c>
      <c r="P154" s="88">
        <f>SUM(P151:P153)</f>
        <v>589.25</v>
      </c>
      <c r="Q154" s="22"/>
      <c r="R154" s="32"/>
      <c r="S154" s="22"/>
    </row>
    <row r="155" spans="1:19" ht="17.45" customHeight="1">
      <c r="A155" s="103"/>
      <c r="B155" s="31"/>
      <c r="C155" s="28" t="s">
        <v>270</v>
      </c>
      <c r="D155" s="81"/>
      <c r="E155" s="81"/>
      <c r="F155" s="81">
        <v>0</v>
      </c>
      <c r="G155" s="81"/>
      <c r="H155" s="81"/>
      <c r="I155" s="81"/>
      <c r="J155" s="81"/>
      <c r="K155" s="81"/>
      <c r="L155" s="81"/>
      <c r="M155" s="81"/>
      <c r="N155" s="81"/>
      <c r="O155" s="81"/>
      <c r="P155" s="81">
        <f>D155+E155+F155+G155+H155+I155+J155+K155+L155+M155+N155+O155</f>
        <v>0</v>
      </c>
      <c r="Q155" s="18"/>
    </row>
    <row r="156" spans="1:19" ht="17.45" customHeight="1">
      <c r="A156" s="103"/>
      <c r="B156" s="31" t="s">
        <v>271</v>
      </c>
      <c r="C156" s="26" t="s">
        <v>272</v>
      </c>
      <c r="D156" s="81"/>
      <c r="E156" s="81"/>
      <c r="F156" s="81">
        <v>0</v>
      </c>
      <c r="G156" s="81"/>
      <c r="H156" s="81"/>
      <c r="I156" s="81"/>
      <c r="J156" s="81"/>
      <c r="K156" s="81"/>
      <c r="L156" s="81"/>
      <c r="M156" s="81"/>
      <c r="N156" s="81"/>
      <c r="O156" s="81"/>
      <c r="P156" s="81">
        <f>D156+E156+F156+G156+H156+I156+J156+K156+L156+M156+N156+O156</f>
        <v>0</v>
      </c>
      <c r="Q156" s="18"/>
    </row>
    <row r="157" spans="1:19" ht="17.45" customHeight="1">
      <c r="A157" s="103"/>
      <c r="B157" s="31" t="s">
        <v>273</v>
      </c>
      <c r="C157" s="26" t="s">
        <v>129</v>
      </c>
      <c r="D157" s="81"/>
      <c r="E157" s="81"/>
      <c r="F157" s="81">
        <v>82.93</v>
      </c>
      <c r="G157" s="81"/>
      <c r="H157" s="81"/>
      <c r="I157" s="81"/>
      <c r="J157" s="81"/>
      <c r="K157" s="81"/>
      <c r="L157" s="81"/>
      <c r="M157" s="81"/>
      <c r="N157" s="81"/>
      <c r="O157" s="81"/>
      <c r="P157" s="81">
        <f>D157+E157+F157+G157+H157+I157+J157+K157+L157+M157+N157+O157</f>
        <v>82.93</v>
      </c>
      <c r="Q157" s="18"/>
    </row>
    <row r="158" spans="1:19" ht="17.45" customHeight="1">
      <c r="A158" s="103"/>
      <c r="B158" s="68" t="s">
        <v>274</v>
      </c>
      <c r="C158" s="67" t="s">
        <v>270</v>
      </c>
      <c r="D158" s="88">
        <f>D157+D156</f>
        <v>0</v>
      </c>
      <c r="E158" s="88">
        <f t="shared" ref="E158:P158" si="30">E157+E156</f>
        <v>0</v>
      </c>
      <c r="F158" s="88">
        <f t="shared" si="30"/>
        <v>82.93</v>
      </c>
      <c r="G158" s="88">
        <f t="shared" si="30"/>
        <v>0</v>
      </c>
      <c r="H158" s="88">
        <f t="shared" si="30"/>
        <v>0</v>
      </c>
      <c r="I158" s="88">
        <f t="shared" si="30"/>
        <v>0</v>
      </c>
      <c r="J158" s="88">
        <f t="shared" si="30"/>
        <v>0</v>
      </c>
      <c r="K158" s="88">
        <f t="shared" si="30"/>
        <v>0</v>
      </c>
      <c r="L158" s="88">
        <f t="shared" si="30"/>
        <v>0</v>
      </c>
      <c r="M158" s="88">
        <f t="shared" si="30"/>
        <v>0</v>
      </c>
      <c r="N158" s="88">
        <f t="shared" si="30"/>
        <v>0</v>
      </c>
      <c r="O158" s="88">
        <f t="shared" si="30"/>
        <v>0</v>
      </c>
      <c r="P158" s="88">
        <f t="shared" si="30"/>
        <v>82.93</v>
      </c>
      <c r="Q158" s="22"/>
      <c r="R158" s="32"/>
      <c r="S158" s="22"/>
    </row>
    <row r="159" spans="1:19" ht="17.45" customHeight="1">
      <c r="A159" s="103"/>
      <c r="B159" s="31" t="s">
        <v>275</v>
      </c>
      <c r="C159" s="26" t="s">
        <v>276</v>
      </c>
      <c r="D159" s="81"/>
      <c r="E159" s="81"/>
      <c r="F159" s="81" t="s">
        <v>441</v>
      </c>
      <c r="G159" s="81"/>
      <c r="H159" s="81"/>
      <c r="I159" s="81"/>
      <c r="J159" s="81"/>
      <c r="K159" s="81"/>
      <c r="L159" s="81"/>
      <c r="M159" s="81"/>
      <c r="N159" s="81"/>
      <c r="O159" s="81"/>
      <c r="P159" s="81" t="e">
        <f t="shared" ref="P159:P169" si="31">D159+E159+F159+G159+H159+I159+J159+K159+L159+M159+N159+O159</f>
        <v>#VALUE!</v>
      </c>
      <c r="Q159" s="18"/>
    </row>
    <row r="160" spans="1:19" ht="17.45" customHeight="1">
      <c r="A160" s="103"/>
      <c r="B160" s="31" t="s">
        <v>277</v>
      </c>
      <c r="C160" s="26" t="s">
        <v>278</v>
      </c>
      <c r="D160" s="81"/>
      <c r="E160" s="81"/>
      <c r="F160" s="81">
        <v>0</v>
      </c>
      <c r="G160" s="81"/>
      <c r="H160" s="81"/>
      <c r="I160" s="81"/>
      <c r="J160" s="81"/>
      <c r="K160" s="81"/>
      <c r="L160" s="81"/>
      <c r="M160" s="81"/>
      <c r="N160" s="81"/>
      <c r="O160" s="81"/>
      <c r="P160" s="81">
        <f t="shared" si="31"/>
        <v>0</v>
      </c>
      <c r="Q160" s="18"/>
    </row>
    <row r="161" spans="1:19" ht="17.45" customHeight="1">
      <c r="A161" s="103"/>
      <c r="B161" s="31"/>
      <c r="C161" s="26" t="s">
        <v>279</v>
      </c>
      <c r="D161" s="81"/>
      <c r="E161" s="81"/>
      <c r="F161" s="81">
        <v>743.73</v>
      </c>
      <c r="G161" s="81"/>
      <c r="H161" s="81"/>
      <c r="I161" s="81"/>
      <c r="J161" s="81"/>
      <c r="K161" s="81"/>
      <c r="L161" s="81"/>
      <c r="M161" s="81"/>
      <c r="N161" s="81"/>
      <c r="O161" s="81"/>
      <c r="P161" s="81">
        <f t="shared" si="31"/>
        <v>743.73</v>
      </c>
      <c r="Q161" s="18"/>
    </row>
    <row r="162" spans="1:19" ht="17.45" customHeight="1">
      <c r="A162" s="103"/>
      <c r="B162" s="31" t="s">
        <v>280</v>
      </c>
      <c r="C162" s="26" t="s">
        <v>281</v>
      </c>
      <c r="D162" s="81"/>
      <c r="E162" s="81"/>
      <c r="F162" s="81">
        <v>0</v>
      </c>
      <c r="G162" s="81"/>
      <c r="H162" s="81"/>
      <c r="I162" s="81"/>
      <c r="J162" s="81"/>
      <c r="K162" s="81"/>
      <c r="L162" s="81"/>
      <c r="M162" s="81"/>
      <c r="N162" s="81"/>
      <c r="O162" s="81"/>
      <c r="P162" s="81">
        <f t="shared" si="31"/>
        <v>0</v>
      </c>
      <c r="Q162" s="18"/>
    </row>
    <row r="163" spans="1:19" ht="17.45" customHeight="1">
      <c r="A163" s="103"/>
      <c r="B163" s="31" t="s">
        <v>282</v>
      </c>
      <c r="C163" s="26" t="s">
        <v>283</v>
      </c>
      <c r="D163" s="81"/>
      <c r="E163" s="81"/>
      <c r="F163" s="81">
        <v>161.93</v>
      </c>
      <c r="G163" s="81"/>
      <c r="H163" s="81"/>
      <c r="I163" s="81"/>
      <c r="J163" s="81"/>
      <c r="K163" s="81"/>
      <c r="L163" s="81"/>
      <c r="M163" s="81"/>
      <c r="N163" s="81"/>
      <c r="O163" s="81"/>
      <c r="P163" s="81">
        <f t="shared" si="31"/>
        <v>161.93</v>
      </c>
      <c r="Q163" s="18"/>
    </row>
    <row r="164" spans="1:19" ht="17.45" customHeight="1">
      <c r="A164" s="103"/>
      <c r="B164" s="31" t="s">
        <v>284</v>
      </c>
      <c r="C164" s="26" t="s">
        <v>285</v>
      </c>
      <c r="D164" s="81"/>
      <c r="E164" s="81"/>
      <c r="F164" s="81">
        <v>573.72</v>
      </c>
      <c r="G164" s="81"/>
      <c r="H164" s="81"/>
      <c r="I164" s="81"/>
      <c r="J164" s="81"/>
      <c r="K164" s="81"/>
      <c r="L164" s="81"/>
      <c r="M164" s="81"/>
      <c r="N164" s="81"/>
      <c r="O164" s="81"/>
      <c r="P164" s="81">
        <f t="shared" si="31"/>
        <v>573.72</v>
      </c>
      <c r="Q164" s="18"/>
    </row>
    <row r="165" spans="1:19" ht="17.45" customHeight="1">
      <c r="A165" s="103"/>
      <c r="B165" s="31" t="s">
        <v>286</v>
      </c>
      <c r="C165" s="26" t="s">
        <v>287</v>
      </c>
      <c r="D165" s="81"/>
      <c r="E165" s="81"/>
      <c r="F165" s="81">
        <v>161.93</v>
      </c>
      <c r="G165" s="81"/>
      <c r="H165" s="81"/>
      <c r="I165" s="81"/>
      <c r="J165" s="81"/>
      <c r="K165" s="81"/>
      <c r="L165" s="81"/>
      <c r="M165" s="81"/>
      <c r="N165" s="81"/>
      <c r="O165" s="81"/>
      <c r="P165" s="81">
        <f t="shared" si="31"/>
        <v>161.93</v>
      </c>
      <c r="Q165" s="18"/>
    </row>
    <row r="166" spans="1:19" ht="17.45" customHeight="1">
      <c r="A166" s="103"/>
      <c r="B166" s="31"/>
      <c r="C166" s="28" t="s">
        <v>288</v>
      </c>
      <c r="D166" s="81"/>
      <c r="E166" s="81"/>
      <c r="F166" s="81">
        <v>0</v>
      </c>
      <c r="G166" s="81"/>
      <c r="H166" s="81"/>
      <c r="I166" s="81"/>
      <c r="J166" s="81"/>
      <c r="K166" s="81"/>
      <c r="L166" s="81"/>
      <c r="M166" s="81"/>
      <c r="N166" s="81"/>
      <c r="O166" s="81"/>
      <c r="P166" s="81">
        <f t="shared" si="31"/>
        <v>0</v>
      </c>
      <c r="Q166" s="18"/>
    </row>
    <row r="167" spans="1:19" ht="17.45" customHeight="1">
      <c r="A167" s="103"/>
      <c r="B167" s="31" t="s">
        <v>289</v>
      </c>
      <c r="C167" s="26" t="s">
        <v>290</v>
      </c>
      <c r="D167" s="81"/>
      <c r="E167" s="81"/>
      <c r="F167" s="81">
        <v>124.14</v>
      </c>
      <c r="G167" s="81"/>
      <c r="H167" s="81"/>
      <c r="I167" s="81"/>
      <c r="J167" s="81"/>
      <c r="K167" s="81"/>
      <c r="L167" s="81"/>
      <c r="M167" s="81"/>
      <c r="N167" s="81"/>
      <c r="O167" s="81"/>
      <c r="P167" s="81">
        <f t="shared" si="31"/>
        <v>124.14</v>
      </c>
      <c r="Q167" s="18"/>
    </row>
    <row r="168" spans="1:19" ht="17.45" customHeight="1">
      <c r="A168" s="103"/>
      <c r="B168" s="31" t="s">
        <v>291</v>
      </c>
      <c r="C168" s="26" t="s">
        <v>292</v>
      </c>
      <c r="D168" s="81"/>
      <c r="E168" s="81"/>
      <c r="F168" s="81">
        <v>0</v>
      </c>
      <c r="G168" s="81"/>
      <c r="H168" s="81"/>
      <c r="I168" s="81"/>
      <c r="J168" s="81"/>
      <c r="K168" s="81"/>
      <c r="L168" s="81"/>
      <c r="M168" s="81"/>
      <c r="N168" s="81"/>
      <c r="O168" s="81"/>
      <c r="P168" s="81">
        <f t="shared" si="31"/>
        <v>0</v>
      </c>
      <c r="Q168" s="18"/>
    </row>
    <row r="169" spans="1:19" ht="17.45" customHeight="1">
      <c r="A169" s="103"/>
      <c r="B169" s="31" t="s">
        <v>293</v>
      </c>
      <c r="C169" s="26" t="s">
        <v>294</v>
      </c>
      <c r="D169" s="81"/>
      <c r="E169" s="81"/>
      <c r="F169" s="81">
        <v>0</v>
      </c>
      <c r="G169" s="81"/>
      <c r="H169" s="81"/>
      <c r="I169" s="81"/>
      <c r="J169" s="81"/>
      <c r="K169" s="81"/>
      <c r="L169" s="81"/>
      <c r="M169" s="81"/>
      <c r="N169" s="81"/>
      <c r="O169" s="81"/>
      <c r="P169" s="81">
        <f t="shared" si="31"/>
        <v>0</v>
      </c>
      <c r="Q169" s="18"/>
    </row>
    <row r="170" spans="1:19" ht="17.45" customHeight="1">
      <c r="A170" s="103"/>
      <c r="B170" s="68" t="s">
        <v>295</v>
      </c>
      <c r="C170" s="67" t="s">
        <v>288</v>
      </c>
      <c r="D170" s="88">
        <f t="shared" ref="D170:O170" si="32">SUM(D167:D169)</f>
        <v>0</v>
      </c>
      <c r="E170" s="88">
        <f t="shared" si="32"/>
        <v>0</v>
      </c>
      <c r="F170" s="88">
        <f t="shared" si="32"/>
        <v>124.14</v>
      </c>
      <c r="G170" s="88">
        <f t="shared" si="32"/>
        <v>0</v>
      </c>
      <c r="H170" s="88">
        <f t="shared" si="32"/>
        <v>0</v>
      </c>
      <c r="I170" s="88">
        <f t="shared" si="32"/>
        <v>0</v>
      </c>
      <c r="J170" s="88">
        <f t="shared" si="32"/>
        <v>0</v>
      </c>
      <c r="K170" s="88">
        <f t="shared" si="32"/>
        <v>0</v>
      </c>
      <c r="L170" s="88">
        <f t="shared" si="32"/>
        <v>0</v>
      </c>
      <c r="M170" s="88">
        <f t="shared" si="32"/>
        <v>0</v>
      </c>
      <c r="N170" s="88">
        <f t="shared" si="32"/>
        <v>0</v>
      </c>
      <c r="O170" s="88">
        <f t="shared" si="32"/>
        <v>0</v>
      </c>
      <c r="P170" s="88">
        <f>SUM(P167:P169)</f>
        <v>124.14</v>
      </c>
      <c r="Q170" s="22"/>
      <c r="R170" s="32"/>
      <c r="S170" s="22"/>
    </row>
    <row r="171" spans="1:19" ht="17.45" customHeight="1">
      <c r="A171" s="103"/>
      <c r="B171" s="31"/>
      <c r="C171" s="28" t="s">
        <v>296</v>
      </c>
      <c r="D171" s="81"/>
      <c r="E171" s="81"/>
      <c r="F171" s="81">
        <v>0</v>
      </c>
      <c r="G171" s="81"/>
      <c r="H171" s="81"/>
      <c r="I171" s="81"/>
      <c r="J171" s="81"/>
      <c r="K171" s="81"/>
      <c r="L171" s="81"/>
      <c r="M171" s="81"/>
      <c r="N171" s="81"/>
      <c r="O171" s="81"/>
      <c r="P171" s="81">
        <f>D171+E171+F171+G171+H171+I171+J171+K171+L171+M171+N171+O171</f>
        <v>0</v>
      </c>
      <c r="Q171" s="18"/>
    </row>
    <row r="172" spans="1:19" ht="17.45" customHeight="1">
      <c r="A172" s="103"/>
      <c r="B172" s="31" t="s">
        <v>297</v>
      </c>
      <c r="C172" s="26" t="s">
        <v>298</v>
      </c>
      <c r="D172" s="81"/>
      <c r="E172" s="81"/>
      <c r="F172" s="81" t="s">
        <v>441</v>
      </c>
      <c r="G172" s="81"/>
      <c r="H172" s="81"/>
      <c r="I172" s="81"/>
      <c r="J172" s="81"/>
      <c r="K172" s="81"/>
      <c r="L172" s="81"/>
      <c r="M172" s="81"/>
      <c r="N172" s="81"/>
      <c r="O172" s="81"/>
      <c r="P172" s="81" t="e">
        <f>D172+E172+F172+G172+H172+I172+J172+K172+L172+M172+N172+O172</f>
        <v>#VALUE!</v>
      </c>
      <c r="Q172" s="18"/>
    </row>
    <row r="173" spans="1:19" ht="17.45" customHeight="1">
      <c r="A173" s="103"/>
      <c r="B173" s="31" t="s">
        <v>299</v>
      </c>
      <c r="C173" s="26" t="s">
        <v>300</v>
      </c>
      <c r="D173" s="81"/>
      <c r="E173" s="81"/>
      <c r="F173" s="81">
        <v>0</v>
      </c>
      <c r="G173" s="81"/>
      <c r="H173" s="81"/>
      <c r="I173" s="81"/>
      <c r="J173" s="81"/>
      <c r="K173" s="81"/>
      <c r="L173" s="81"/>
      <c r="M173" s="81"/>
      <c r="N173" s="81"/>
      <c r="O173" s="81"/>
      <c r="P173" s="81">
        <f>D173+E173+F173+G173+H173+I173+J173+K173+L173+M173+N173+O173</f>
        <v>0</v>
      </c>
      <c r="Q173" s="18"/>
    </row>
    <row r="174" spans="1:19" ht="17.45" customHeight="1">
      <c r="A174" s="103"/>
      <c r="B174" s="31" t="s">
        <v>301</v>
      </c>
      <c r="C174" s="26" t="s">
        <v>302</v>
      </c>
      <c r="D174" s="81"/>
      <c r="E174" s="81"/>
      <c r="F174" s="81" t="s">
        <v>441</v>
      </c>
      <c r="G174" s="81"/>
      <c r="H174" s="81"/>
      <c r="I174" s="81"/>
      <c r="J174" s="81"/>
      <c r="K174" s="81"/>
      <c r="L174" s="81"/>
      <c r="M174" s="81"/>
      <c r="N174" s="81"/>
      <c r="O174" s="81"/>
      <c r="P174" s="81" t="e">
        <f>D174+E174+F174+G174+H174+I174+J174+K174+L174+M174+N174+O174</f>
        <v>#VALUE!</v>
      </c>
      <c r="Q174" s="18"/>
    </row>
    <row r="175" spans="1:19" ht="17.45" customHeight="1">
      <c r="A175" s="103"/>
      <c r="B175" s="68" t="s">
        <v>303</v>
      </c>
      <c r="C175" s="67" t="s">
        <v>296</v>
      </c>
      <c r="D175" s="88">
        <f t="shared" ref="D175:O175" si="33">SUM(D172:D174)</f>
        <v>0</v>
      </c>
      <c r="E175" s="88">
        <f t="shared" si="33"/>
        <v>0</v>
      </c>
      <c r="F175" s="88">
        <f t="shared" si="33"/>
        <v>0</v>
      </c>
      <c r="G175" s="88">
        <f t="shared" si="33"/>
        <v>0</v>
      </c>
      <c r="H175" s="88">
        <f t="shared" si="33"/>
        <v>0</v>
      </c>
      <c r="I175" s="88">
        <f t="shared" si="33"/>
        <v>0</v>
      </c>
      <c r="J175" s="88">
        <f t="shared" si="33"/>
        <v>0</v>
      </c>
      <c r="K175" s="88">
        <f t="shared" si="33"/>
        <v>0</v>
      </c>
      <c r="L175" s="88">
        <f t="shared" si="33"/>
        <v>0</v>
      </c>
      <c r="M175" s="88">
        <f t="shared" si="33"/>
        <v>0</v>
      </c>
      <c r="N175" s="88">
        <f t="shared" si="33"/>
        <v>0</v>
      </c>
      <c r="O175" s="88">
        <f t="shared" si="33"/>
        <v>0</v>
      </c>
      <c r="P175" s="88" t="e">
        <f>SUM(P172:P174)</f>
        <v>#VALUE!</v>
      </c>
      <c r="Q175" s="22"/>
      <c r="R175" s="32"/>
      <c r="S175" s="22"/>
    </row>
    <row r="176" spans="1:19" ht="17.45" customHeight="1">
      <c r="A176" s="103"/>
      <c r="B176" s="31" t="s">
        <v>304</v>
      </c>
      <c r="C176" s="26" t="s">
        <v>305</v>
      </c>
      <c r="D176" s="81"/>
      <c r="E176" s="81"/>
      <c r="F176" s="81">
        <v>4004.44</v>
      </c>
      <c r="G176" s="81"/>
      <c r="H176" s="81"/>
      <c r="I176" s="81"/>
      <c r="J176" s="81"/>
      <c r="K176" s="81"/>
      <c r="L176" s="81"/>
      <c r="M176" s="81"/>
      <c r="N176" s="81"/>
      <c r="O176" s="81"/>
      <c r="P176" s="81">
        <f t="shared" ref="P176:P181" si="34">D176+E176+F176+G176+H176+I176+J176+K176+L176+M176+N176+O176</f>
        <v>4004.44</v>
      </c>
      <c r="Q176" s="18"/>
    </row>
    <row r="177" spans="1:19" ht="17.45" customHeight="1">
      <c r="A177" s="103"/>
      <c r="B177" s="31" t="s">
        <v>306</v>
      </c>
      <c r="C177" s="26" t="s">
        <v>307</v>
      </c>
      <c r="D177" s="81"/>
      <c r="E177" s="81"/>
      <c r="F177" s="81">
        <v>1089.1300000000001</v>
      </c>
      <c r="G177" s="81"/>
      <c r="H177" s="81"/>
      <c r="I177" s="81"/>
      <c r="J177" s="81"/>
      <c r="K177" s="81"/>
      <c r="L177" s="81"/>
      <c r="M177" s="81"/>
      <c r="N177" s="81"/>
      <c r="O177" s="81"/>
      <c r="P177" s="81">
        <f t="shared" si="34"/>
        <v>1089.1300000000001</v>
      </c>
      <c r="Q177" s="18"/>
    </row>
    <row r="178" spans="1:19" ht="17.45" customHeight="1">
      <c r="A178" s="103"/>
      <c r="B178" s="31"/>
      <c r="C178" s="28" t="s">
        <v>308</v>
      </c>
      <c r="D178" s="81"/>
      <c r="E178" s="81"/>
      <c r="F178" s="81">
        <v>0</v>
      </c>
      <c r="G178" s="81"/>
      <c r="H178" s="81"/>
      <c r="I178" s="81"/>
      <c r="J178" s="81"/>
      <c r="K178" s="81"/>
      <c r="L178" s="81"/>
      <c r="M178" s="81"/>
      <c r="N178" s="81"/>
      <c r="O178" s="81"/>
      <c r="P178" s="81">
        <f t="shared" si="34"/>
        <v>0</v>
      </c>
      <c r="Q178" s="18"/>
    </row>
    <row r="179" spans="1:19" ht="17.45" customHeight="1">
      <c r="A179" s="103"/>
      <c r="B179" s="31" t="s">
        <v>309</v>
      </c>
      <c r="C179" s="26" t="s">
        <v>310</v>
      </c>
      <c r="D179" s="81"/>
      <c r="E179" s="81"/>
      <c r="F179" s="81" t="s">
        <v>441</v>
      </c>
      <c r="G179" s="81"/>
      <c r="H179" s="81"/>
      <c r="I179" s="81"/>
      <c r="J179" s="81"/>
      <c r="K179" s="81"/>
      <c r="L179" s="81"/>
      <c r="M179" s="81"/>
      <c r="N179" s="81"/>
      <c r="O179" s="81"/>
      <c r="P179" s="81" t="e">
        <f t="shared" si="34"/>
        <v>#VALUE!</v>
      </c>
      <c r="Q179" s="18"/>
    </row>
    <row r="180" spans="1:19" ht="17.45" customHeight="1">
      <c r="A180" s="103"/>
      <c r="B180" s="31" t="s">
        <v>311</v>
      </c>
      <c r="C180" s="26" t="s">
        <v>312</v>
      </c>
      <c r="D180" s="81"/>
      <c r="E180" s="81"/>
      <c r="F180" s="81" t="s">
        <v>441</v>
      </c>
      <c r="G180" s="81"/>
      <c r="H180" s="81"/>
      <c r="I180" s="81"/>
      <c r="J180" s="81"/>
      <c r="K180" s="81"/>
      <c r="L180" s="81"/>
      <c r="M180" s="81"/>
      <c r="N180" s="81"/>
      <c r="O180" s="81"/>
      <c r="P180" s="81" t="e">
        <f t="shared" si="34"/>
        <v>#VALUE!</v>
      </c>
      <c r="Q180" s="18"/>
    </row>
    <row r="181" spans="1:19" ht="17.45" customHeight="1">
      <c r="A181" s="103"/>
      <c r="B181" s="31"/>
      <c r="C181" s="26" t="s">
        <v>313</v>
      </c>
      <c r="D181" s="81"/>
      <c r="E181" s="81"/>
      <c r="F181" s="81">
        <v>0</v>
      </c>
      <c r="G181" s="81"/>
      <c r="H181" s="81"/>
      <c r="I181" s="81"/>
      <c r="J181" s="81"/>
      <c r="K181" s="81"/>
      <c r="L181" s="81"/>
      <c r="M181" s="81"/>
      <c r="N181" s="81"/>
      <c r="O181" s="81"/>
      <c r="P181" s="81">
        <f t="shared" si="34"/>
        <v>0</v>
      </c>
    </row>
    <row r="182" spans="1:19" ht="17.45" customHeight="1">
      <c r="A182" s="103"/>
      <c r="B182" s="68" t="s">
        <v>314</v>
      </c>
      <c r="C182" s="67" t="s">
        <v>308</v>
      </c>
      <c r="D182" s="88">
        <f t="shared" ref="D182:O182" si="35">SUM(D179:D181)</f>
        <v>0</v>
      </c>
      <c r="E182" s="88">
        <f t="shared" si="35"/>
        <v>0</v>
      </c>
      <c r="F182" s="88">
        <f t="shared" si="35"/>
        <v>0</v>
      </c>
      <c r="G182" s="88">
        <f t="shared" si="35"/>
        <v>0</v>
      </c>
      <c r="H182" s="88">
        <f t="shared" si="35"/>
        <v>0</v>
      </c>
      <c r="I182" s="88">
        <f t="shared" si="35"/>
        <v>0</v>
      </c>
      <c r="J182" s="88">
        <f t="shared" si="35"/>
        <v>0</v>
      </c>
      <c r="K182" s="88">
        <f t="shared" si="35"/>
        <v>0</v>
      </c>
      <c r="L182" s="88">
        <f t="shared" si="35"/>
        <v>0</v>
      </c>
      <c r="M182" s="88">
        <f t="shared" si="35"/>
        <v>0</v>
      </c>
      <c r="N182" s="88">
        <f t="shared" si="35"/>
        <v>0</v>
      </c>
      <c r="O182" s="88">
        <f t="shared" si="35"/>
        <v>0</v>
      </c>
      <c r="P182" s="88" t="e">
        <f>SUM(P179:P181)</f>
        <v>#VALUE!</v>
      </c>
      <c r="Q182" s="22"/>
      <c r="R182" s="32"/>
      <c r="S182" s="22"/>
    </row>
    <row r="183" spans="1:19" ht="17.45" customHeight="1">
      <c r="A183" s="103"/>
      <c r="B183" s="31"/>
      <c r="C183" s="28" t="s">
        <v>315</v>
      </c>
      <c r="D183" s="81"/>
      <c r="E183" s="81"/>
      <c r="F183" s="81">
        <v>0</v>
      </c>
      <c r="G183" s="81"/>
      <c r="H183" s="81"/>
      <c r="I183" s="81"/>
      <c r="J183" s="81"/>
      <c r="K183" s="81"/>
      <c r="L183" s="81"/>
      <c r="M183" s="81"/>
      <c r="N183" s="81"/>
      <c r="O183" s="81"/>
      <c r="P183" s="81">
        <f>D183+E183+F183+G183+H183+I183+J183+K183+L183+M183+N183+O183</f>
        <v>0</v>
      </c>
      <c r="Q183" s="18"/>
    </row>
    <row r="184" spans="1:19" ht="17.45" customHeight="1">
      <c r="A184" s="103"/>
      <c r="B184" s="31" t="s">
        <v>316</v>
      </c>
      <c r="C184" s="26" t="s">
        <v>171</v>
      </c>
      <c r="D184" s="81"/>
      <c r="E184" s="81"/>
      <c r="F184" s="81">
        <v>1388.61</v>
      </c>
      <c r="G184" s="81"/>
      <c r="H184" s="81"/>
      <c r="I184" s="81"/>
      <c r="J184" s="81"/>
      <c r="K184" s="81"/>
      <c r="L184" s="81"/>
      <c r="M184" s="81"/>
      <c r="N184" s="81"/>
      <c r="O184" s="81"/>
      <c r="P184" s="81">
        <f>D184+E184+F184+G184+H184+I184+J184+K184+L184+M184+N184+O184</f>
        <v>1388.61</v>
      </c>
      <c r="Q184" s="18"/>
    </row>
    <row r="185" spans="1:19" ht="17.45" customHeight="1">
      <c r="A185" s="103"/>
      <c r="B185" s="31"/>
      <c r="C185" s="26" t="s">
        <v>317</v>
      </c>
      <c r="D185" s="81"/>
      <c r="E185" s="81"/>
      <c r="F185" s="81">
        <v>764.4</v>
      </c>
      <c r="G185" s="81"/>
      <c r="H185" s="81"/>
      <c r="I185" s="81"/>
      <c r="J185" s="81"/>
      <c r="K185" s="81"/>
      <c r="L185" s="81"/>
      <c r="M185" s="81"/>
      <c r="N185" s="81"/>
      <c r="O185" s="81"/>
      <c r="P185" s="81">
        <f>D185+E185+F185+G185+H185+I185+J185+K185+L185+M185+N185+O185</f>
        <v>764.4</v>
      </c>
    </row>
    <row r="186" spans="1:19" ht="17.45" customHeight="1">
      <c r="A186" s="103"/>
      <c r="B186" s="31" t="s">
        <v>318</v>
      </c>
      <c r="C186" s="26" t="s">
        <v>319</v>
      </c>
      <c r="D186" s="81"/>
      <c r="E186" s="81"/>
      <c r="F186" s="81">
        <v>0</v>
      </c>
      <c r="G186" s="81"/>
      <c r="H186" s="81"/>
      <c r="I186" s="81"/>
      <c r="J186" s="81"/>
      <c r="K186" s="81"/>
      <c r="L186" s="81"/>
      <c r="M186" s="81"/>
      <c r="N186" s="81"/>
      <c r="O186" s="81"/>
      <c r="P186" s="81">
        <f>D186+E186+F186+G186+H186+I186+J186+K186+L186+M186+N186+O186</f>
        <v>0</v>
      </c>
      <c r="Q186" s="18"/>
    </row>
    <row r="187" spans="1:19" ht="17.45" customHeight="1">
      <c r="A187" s="103"/>
      <c r="B187" s="68" t="s">
        <v>320</v>
      </c>
      <c r="C187" s="67" t="s">
        <v>315</v>
      </c>
      <c r="D187" s="88">
        <f t="shared" ref="D187:P187" si="36">SUM(D184:D186)</f>
        <v>0</v>
      </c>
      <c r="E187" s="88">
        <f t="shared" si="36"/>
        <v>0</v>
      </c>
      <c r="F187" s="88">
        <f t="shared" si="36"/>
        <v>2153.0099999999998</v>
      </c>
      <c r="G187" s="88">
        <f t="shared" si="36"/>
        <v>0</v>
      </c>
      <c r="H187" s="88">
        <f t="shared" si="36"/>
        <v>0</v>
      </c>
      <c r="I187" s="88">
        <f t="shared" si="36"/>
        <v>0</v>
      </c>
      <c r="J187" s="88">
        <f t="shared" si="36"/>
        <v>0</v>
      </c>
      <c r="K187" s="88">
        <f t="shared" si="36"/>
        <v>0</v>
      </c>
      <c r="L187" s="88">
        <f t="shared" si="36"/>
        <v>0</v>
      </c>
      <c r="M187" s="88">
        <f t="shared" si="36"/>
        <v>0</v>
      </c>
      <c r="N187" s="88">
        <f t="shared" si="36"/>
        <v>0</v>
      </c>
      <c r="O187" s="88">
        <f t="shared" si="36"/>
        <v>0</v>
      </c>
      <c r="P187" s="88">
        <f t="shared" si="36"/>
        <v>2153.0099999999998</v>
      </c>
      <c r="Q187" s="22"/>
      <c r="R187" s="32"/>
      <c r="S187" s="22"/>
    </row>
    <row r="188" spans="1:19" ht="17.45" customHeight="1">
      <c r="A188" s="103"/>
      <c r="B188" s="31" t="s">
        <v>321</v>
      </c>
      <c r="C188" s="28" t="s">
        <v>322</v>
      </c>
      <c r="D188" s="81"/>
      <c r="E188" s="81"/>
      <c r="F188" s="81">
        <v>0</v>
      </c>
      <c r="G188" s="81"/>
      <c r="H188" s="81"/>
      <c r="I188" s="81"/>
      <c r="J188" s="81"/>
      <c r="K188" s="81"/>
      <c r="L188" s="81"/>
      <c r="M188" s="81"/>
      <c r="N188" s="81"/>
      <c r="O188" s="81"/>
      <c r="P188" s="81">
        <f t="shared" ref="P188:P194" si="37">D188+E188+F188+G188+H188+I188+J188+K188+L188+M188+N188+O188</f>
        <v>0</v>
      </c>
      <c r="Q188" s="18"/>
    </row>
    <row r="189" spans="1:19" ht="17.45" customHeight="1">
      <c r="A189" s="103"/>
      <c r="B189" s="31" t="s">
        <v>323</v>
      </c>
      <c r="C189" s="26" t="s">
        <v>324</v>
      </c>
      <c r="D189" s="81"/>
      <c r="E189" s="81"/>
      <c r="F189" s="81">
        <v>1318.26</v>
      </c>
      <c r="G189" s="81"/>
      <c r="H189" s="81"/>
      <c r="I189" s="81"/>
      <c r="J189" s="81"/>
      <c r="K189" s="81"/>
      <c r="L189" s="81"/>
      <c r="M189" s="81"/>
      <c r="N189" s="81"/>
      <c r="O189" s="81"/>
      <c r="P189" s="81">
        <f t="shared" si="37"/>
        <v>1318.26</v>
      </c>
      <c r="Q189" s="18"/>
    </row>
    <row r="190" spans="1:19" ht="17.45" customHeight="1">
      <c r="A190" s="103"/>
      <c r="B190" s="31" t="s">
        <v>325</v>
      </c>
      <c r="C190" s="26" t="s">
        <v>326</v>
      </c>
      <c r="D190" s="81"/>
      <c r="E190" s="81"/>
      <c r="F190" s="81">
        <v>6626.07</v>
      </c>
      <c r="G190" s="81"/>
      <c r="H190" s="81"/>
      <c r="I190" s="81"/>
      <c r="J190" s="81"/>
      <c r="K190" s="81"/>
      <c r="L190" s="81"/>
      <c r="M190" s="81"/>
      <c r="N190" s="81"/>
      <c r="O190" s="81"/>
      <c r="P190" s="81">
        <f t="shared" si="37"/>
        <v>6626.07</v>
      </c>
      <c r="Q190" s="18"/>
    </row>
    <row r="191" spans="1:19" ht="17.45" customHeight="1">
      <c r="A191" s="103"/>
      <c r="B191" s="31">
        <v>816130</v>
      </c>
      <c r="C191" s="26" t="s">
        <v>327</v>
      </c>
      <c r="D191" s="81"/>
      <c r="E191" s="81"/>
      <c r="F191" s="81" t="s">
        <v>441</v>
      </c>
      <c r="G191" s="81"/>
      <c r="H191" s="81"/>
      <c r="I191" s="81"/>
      <c r="J191" s="81"/>
      <c r="K191" s="81"/>
      <c r="L191" s="81"/>
      <c r="M191" s="81"/>
      <c r="N191" s="81"/>
      <c r="O191" s="81"/>
      <c r="P191" s="81" t="e">
        <f t="shared" si="37"/>
        <v>#VALUE!</v>
      </c>
      <c r="Q191" s="18"/>
    </row>
    <row r="192" spans="1:19" ht="17.45" customHeight="1">
      <c r="A192" s="103"/>
      <c r="B192" s="31" t="s">
        <v>328</v>
      </c>
      <c r="C192" s="26" t="s">
        <v>329</v>
      </c>
      <c r="D192" s="81"/>
      <c r="E192" s="81"/>
      <c r="F192" s="81">
        <v>0</v>
      </c>
      <c r="G192" s="81"/>
      <c r="H192" s="81"/>
      <c r="I192" s="81"/>
      <c r="J192" s="81"/>
      <c r="K192" s="81"/>
      <c r="L192" s="81"/>
      <c r="M192" s="81"/>
      <c r="N192" s="81"/>
      <c r="O192" s="81"/>
      <c r="P192" s="81">
        <f t="shared" si="37"/>
        <v>0</v>
      </c>
      <c r="Q192" s="18"/>
    </row>
    <row r="193" spans="1:19" ht="17.45" customHeight="1">
      <c r="A193" s="103"/>
      <c r="B193" s="31" t="s">
        <v>330</v>
      </c>
      <c r="C193" s="26" t="s">
        <v>331</v>
      </c>
      <c r="D193" s="81"/>
      <c r="E193" s="81"/>
      <c r="F193" s="81" t="s">
        <v>441</v>
      </c>
      <c r="G193" s="81"/>
      <c r="H193" s="81"/>
      <c r="I193" s="81"/>
      <c r="J193" s="81"/>
      <c r="K193" s="81"/>
      <c r="L193" s="81"/>
      <c r="M193" s="81"/>
      <c r="N193" s="81"/>
      <c r="O193" s="81"/>
      <c r="P193" s="81" t="e">
        <f t="shared" si="37"/>
        <v>#VALUE!</v>
      </c>
      <c r="Q193" s="18"/>
    </row>
    <row r="194" spans="1:19" ht="17.45" customHeight="1">
      <c r="A194" s="103"/>
      <c r="B194" s="31"/>
      <c r="C194" s="26" t="s">
        <v>332</v>
      </c>
      <c r="D194" s="81"/>
      <c r="E194" s="81"/>
      <c r="F194" s="81">
        <v>0</v>
      </c>
      <c r="G194" s="81"/>
      <c r="H194" s="81"/>
      <c r="I194" s="81"/>
      <c r="J194" s="81"/>
      <c r="K194" s="81"/>
      <c r="L194" s="81"/>
      <c r="M194" s="81"/>
      <c r="N194" s="81"/>
      <c r="O194" s="81"/>
      <c r="P194" s="81">
        <f t="shared" si="37"/>
        <v>0</v>
      </c>
      <c r="Q194" s="18"/>
    </row>
    <row r="195" spans="1:19" ht="17.45" customHeight="1">
      <c r="A195" s="103"/>
      <c r="B195" s="31"/>
      <c r="C195" s="26" t="s">
        <v>333</v>
      </c>
      <c r="D195" s="81"/>
      <c r="E195" s="81"/>
      <c r="F195" s="81">
        <v>0</v>
      </c>
      <c r="G195" s="81"/>
      <c r="H195" s="81"/>
      <c r="I195" s="81"/>
      <c r="J195" s="81"/>
      <c r="K195" s="81"/>
      <c r="L195" s="81"/>
      <c r="M195" s="81"/>
      <c r="N195" s="81"/>
      <c r="O195" s="81"/>
      <c r="P195" s="81">
        <v>0</v>
      </c>
    </row>
    <row r="196" spans="1:19" ht="17.45" customHeight="1">
      <c r="A196" s="103"/>
      <c r="B196" s="31"/>
      <c r="C196" s="26"/>
      <c r="D196" s="81"/>
      <c r="E196" s="81"/>
      <c r="F196" s="81" t="s">
        <v>441</v>
      </c>
      <c r="G196" s="81"/>
      <c r="H196" s="81"/>
      <c r="I196" s="81"/>
      <c r="J196" s="81"/>
      <c r="K196" s="81"/>
      <c r="L196" s="81"/>
      <c r="M196" s="81"/>
      <c r="N196" s="81"/>
      <c r="O196" s="81"/>
      <c r="P196" s="81">
        <v>0</v>
      </c>
    </row>
    <row r="197" spans="1:19" ht="17.45" customHeight="1">
      <c r="A197" s="103"/>
      <c r="B197" s="63" t="s">
        <v>321</v>
      </c>
      <c r="C197" s="64" t="s">
        <v>322</v>
      </c>
      <c r="D197" s="117">
        <f t="shared" ref="D197:P197" si="38">SUM(D189:D196)</f>
        <v>0</v>
      </c>
      <c r="E197" s="117">
        <f t="shared" si="38"/>
        <v>0</v>
      </c>
      <c r="F197" s="117">
        <f t="shared" si="38"/>
        <v>7944.33</v>
      </c>
      <c r="G197" s="117">
        <f t="shared" si="38"/>
        <v>0</v>
      </c>
      <c r="H197" s="117">
        <f t="shared" si="38"/>
        <v>0</v>
      </c>
      <c r="I197" s="117">
        <f t="shared" si="38"/>
        <v>0</v>
      </c>
      <c r="J197" s="117">
        <f t="shared" si="38"/>
        <v>0</v>
      </c>
      <c r="K197" s="117">
        <f t="shared" si="38"/>
        <v>0</v>
      </c>
      <c r="L197" s="117">
        <f t="shared" si="38"/>
        <v>0</v>
      </c>
      <c r="M197" s="117">
        <f t="shared" si="38"/>
        <v>0</v>
      </c>
      <c r="N197" s="117">
        <f t="shared" si="38"/>
        <v>0</v>
      </c>
      <c r="O197" s="117">
        <f t="shared" si="38"/>
        <v>0</v>
      </c>
      <c r="P197" s="117" t="e">
        <f t="shared" si="38"/>
        <v>#VALUE!</v>
      </c>
      <c r="Q197" s="22"/>
      <c r="R197" s="32"/>
      <c r="S197" s="22"/>
    </row>
    <row r="198" spans="1:19" ht="17.45" customHeight="1">
      <c r="A198" s="103"/>
      <c r="B198" s="68" t="s">
        <v>334</v>
      </c>
      <c r="C198" s="67" t="s">
        <v>245</v>
      </c>
      <c r="D198" s="89">
        <f t="shared" ref="D198:P198" si="39">D148+D154+D158+D170+D175+D182+D187+D197+D163+D164+D165+D176+D177</f>
        <v>0</v>
      </c>
      <c r="E198" s="89">
        <f t="shared" si="39"/>
        <v>0</v>
      </c>
      <c r="F198" s="89">
        <f t="shared" si="39"/>
        <v>64442.11</v>
      </c>
      <c r="G198" s="89">
        <f t="shared" si="39"/>
        <v>0</v>
      </c>
      <c r="H198" s="89">
        <f t="shared" si="39"/>
        <v>0</v>
      </c>
      <c r="I198" s="89">
        <f t="shared" si="39"/>
        <v>0</v>
      </c>
      <c r="J198" s="89">
        <f t="shared" si="39"/>
        <v>0</v>
      </c>
      <c r="K198" s="89">
        <f t="shared" si="39"/>
        <v>0</v>
      </c>
      <c r="L198" s="89">
        <f t="shared" si="39"/>
        <v>0</v>
      </c>
      <c r="M198" s="89">
        <f t="shared" si="39"/>
        <v>0</v>
      </c>
      <c r="N198" s="89">
        <f t="shared" si="39"/>
        <v>0</v>
      </c>
      <c r="O198" s="89">
        <f t="shared" si="39"/>
        <v>0</v>
      </c>
      <c r="P198" s="89" t="e">
        <f t="shared" si="39"/>
        <v>#VALUE!</v>
      </c>
      <c r="Q198" s="22"/>
      <c r="R198" s="32"/>
      <c r="S198" s="22"/>
    </row>
    <row r="199" spans="1:19" ht="17.45" customHeight="1">
      <c r="A199" s="103"/>
      <c r="B199" s="31"/>
      <c r="C199" s="28" t="s">
        <v>335</v>
      </c>
      <c r="D199" s="81"/>
      <c r="E199" s="81"/>
      <c r="F199" s="81">
        <v>0</v>
      </c>
      <c r="G199" s="81"/>
      <c r="H199" s="81"/>
      <c r="I199" s="81"/>
      <c r="J199" s="81"/>
      <c r="K199" s="81"/>
      <c r="L199" s="81"/>
      <c r="M199" s="81"/>
      <c r="N199" s="81"/>
      <c r="O199" s="81"/>
      <c r="P199" s="81">
        <f t="shared" ref="P199:P205" si="40">D199+E199+F199+G199+H199+I199+J199+K199+L199+M199+N199+O199</f>
        <v>0</v>
      </c>
      <c r="Q199" s="18"/>
    </row>
    <row r="200" spans="1:19" ht="17.45" customHeight="1">
      <c r="A200" s="103"/>
      <c r="B200" s="31"/>
      <c r="C200" s="28" t="s">
        <v>336</v>
      </c>
      <c r="D200" s="81"/>
      <c r="E200" s="81"/>
      <c r="F200" s="81">
        <v>0</v>
      </c>
      <c r="G200" s="81"/>
      <c r="H200" s="81"/>
      <c r="I200" s="81"/>
      <c r="J200" s="81"/>
      <c r="K200" s="81"/>
      <c r="L200" s="81"/>
      <c r="M200" s="81"/>
      <c r="N200" s="81"/>
      <c r="O200" s="81"/>
      <c r="P200" s="81">
        <f t="shared" si="40"/>
        <v>0</v>
      </c>
      <c r="Q200" s="18"/>
    </row>
    <row r="201" spans="1:19" ht="17.45" customHeight="1">
      <c r="A201" s="103"/>
      <c r="B201" s="31" t="s">
        <v>337</v>
      </c>
      <c r="C201" s="26" t="s">
        <v>338</v>
      </c>
      <c r="D201" s="81"/>
      <c r="E201" s="81"/>
      <c r="F201" s="81">
        <v>0</v>
      </c>
      <c r="G201" s="81"/>
      <c r="H201" s="81"/>
      <c r="I201" s="81"/>
      <c r="J201" s="81"/>
      <c r="K201" s="81"/>
      <c r="L201" s="81"/>
      <c r="M201" s="81"/>
      <c r="N201" s="81"/>
      <c r="O201" s="81"/>
      <c r="P201" s="81">
        <f t="shared" si="40"/>
        <v>0</v>
      </c>
      <c r="Q201" s="18"/>
    </row>
    <row r="202" spans="1:19" ht="17.45" customHeight="1">
      <c r="A202" s="103"/>
      <c r="B202" s="31" t="s">
        <v>339</v>
      </c>
      <c r="C202" s="26" t="s">
        <v>340</v>
      </c>
      <c r="D202" s="81"/>
      <c r="E202" s="81"/>
      <c r="F202" s="81">
        <v>0</v>
      </c>
      <c r="G202" s="81"/>
      <c r="H202" s="81"/>
      <c r="I202" s="81"/>
      <c r="J202" s="81"/>
      <c r="K202" s="81"/>
      <c r="L202" s="81"/>
      <c r="M202" s="81"/>
      <c r="N202" s="81"/>
      <c r="O202" s="81"/>
      <c r="P202" s="81">
        <f t="shared" si="40"/>
        <v>0</v>
      </c>
      <c r="Q202" s="18"/>
    </row>
    <row r="203" spans="1:19" ht="17.45" customHeight="1">
      <c r="A203" s="103"/>
      <c r="B203" s="31"/>
      <c r="C203" s="28" t="s">
        <v>341</v>
      </c>
      <c r="D203" s="81"/>
      <c r="E203" s="81"/>
      <c r="F203" s="81" t="s">
        <v>441</v>
      </c>
      <c r="G203" s="81"/>
      <c r="H203" s="81"/>
      <c r="I203" s="81"/>
      <c r="J203" s="81"/>
      <c r="K203" s="81"/>
      <c r="L203" s="81"/>
      <c r="M203" s="81"/>
      <c r="N203" s="81"/>
      <c r="O203" s="81"/>
      <c r="P203" s="81" t="e">
        <f t="shared" si="40"/>
        <v>#VALUE!</v>
      </c>
      <c r="Q203" s="18"/>
    </row>
    <row r="204" spans="1:19" ht="17.45" customHeight="1">
      <c r="A204" s="103"/>
      <c r="B204" s="31" t="s">
        <v>342</v>
      </c>
      <c r="C204" s="26" t="s">
        <v>343</v>
      </c>
      <c r="D204" s="81"/>
      <c r="E204" s="81"/>
      <c r="F204" s="81" t="s">
        <v>441</v>
      </c>
      <c r="G204" s="81"/>
      <c r="H204" s="81"/>
      <c r="I204" s="81"/>
      <c r="J204" s="81"/>
      <c r="K204" s="81"/>
      <c r="L204" s="81"/>
      <c r="M204" s="81"/>
      <c r="N204" s="81"/>
      <c r="O204" s="81"/>
      <c r="P204" s="81" t="e">
        <f t="shared" si="40"/>
        <v>#VALUE!</v>
      </c>
      <c r="Q204" s="18"/>
    </row>
    <row r="205" spans="1:19" ht="17.45" customHeight="1">
      <c r="A205" s="103"/>
      <c r="B205" s="31" t="s">
        <v>344</v>
      </c>
      <c r="C205" s="26" t="s">
        <v>345</v>
      </c>
      <c r="D205" s="81"/>
      <c r="E205" s="81"/>
      <c r="F205" s="81" t="s">
        <v>441</v>
      </c>
      <c r="G205" s="81"/>
      <c r="H205" s="81"/>
      <c r="I205" s="81"/>
      <c r="J205" s="81"/>
      <c r="K205" s="81"/>
      <c r="L205" s="81"/>
      <c r="M205" s="81"/>
      <c r="N205" s="81"/>
      <c r="O205" s="81"/>
      <c r="P205" s="81" t="e">
        <f t="shared" si="40"/>
        <v>#VALUE!</v>
      </c>
      <c r="Q205" s="18"/>
    </row>
    <row r="206" spans="1:19" ht="17.45" customHeight="1">
      <c r="A206" s="103"/>
      <c r="B206" s="68" t="s">
        <v>346</v>
      </c>
      <c r="C206" s="67" t="s">
        <v>341</v>
      </c>
      <c r="D206" s="84">
        <f>D204</f>
        <v>0</v>
      </c>
      <c r="E206" s="84">
        <f t="shared" ref="E206:P206" si="41">E204</f>
        <v>0</v>
      </c>
      <c r="F206" s="84" t="str">
        <f t="shared" si="41"/>
        <v>NOT FOUND</v>
      </c>
      <c r="G206" s="84">
        <f t="shared" si="41"/>
        <v>0</v>
      </c>
      <c r="H206" s="84">
        <f t="shared" si="41"/>
        <v>0</v>
      </c>
      <c r="I206" s="84">
        <f t="shared" si="41"/>
        <v>0</v>
      </c>
      <c r="J206" s="84">
        <f t="shared" si="41"/>
        <v>0</v>
      </c>
      <c r="K206" s="84">
        <f t="shared" si="41"/>
        <v>0</v>
      </c>
      <c r="L206" s="84">
        <f t="shared" si="41"/>
        <v>0</v>
      </c>
      <c r="M206" s="84">
        <f t="shared" si="41"/>
        <v>0</v>
      </c>
      <c r="N206" s="84">
        <f t="shared" si="41"/>
        <v>0</v>
      </c>
      <c r="O206" s="84">
        <f t="shared" si="41"/>
        <v>0</v>
      </c>
      <c r="P206" s="84" t="e">
        <f t="shared" si="41"/>
        <v>#VALUE!</v>
      </c>
      <c r="Q206" s="22"/>
      <c r="R206" s="32"/>
      <c r="S206" s="22"/>
    </row>
    <row r="207" spans="1:19" ht="17.45" customHeight="1">
      <c r="A207" s="103"/>
      <c r="B207" s="31" t="s">
        <v>347</v>
      </c>
      <c r="C207" s="26" t="s">
        <v>348</v>
      </c>
      <c r="D207" s="81"/>
      <c r="E207" s="81"/>
      <c r="F207" s="81">
        <v>0</v>
      </c>
      <c r="G207" s="81"/>
      <c r="H207" s="81"/>
      <c r="I207" s="81"/>
      <c r="J207" s="81"/>
      <c r="K207" s="81"/>
      <c r="L207" s="81"/>
      <c r="M207" s="81"/>
      <c r="N207" s="81"/>
      <c r="O207" s="81"/>
      <c r="P207" s="81">
        <f t="shared" ref="P207:P213" si="42">D207+E207+F207+G207+H207+I207+J207+K207+L207+M207+N207+O207</f>
        <v>0</v>
      </c>
      <c r="Q207" s="18"/>
    </row>
    <row r="208" spans="1:19" ht="17.45" customHeight="1">
      <c r="A208" s="103"/>
      <c r="B208" s="31" t="s">
        <v>349</v>
      </c>
      <c r="C208" s="26" t="s">
        <v>350</v>
      </c>
      <c r="D208" s="81"/>
      <c r="E208" s="81"/>
      <c r="F208" s="81">
        <v>0</v>
      </c>
      <c r="G208" s="81"/>
      <c r="H208" s="81"/>
      <c r="I208" s="81"/>
      <c r="J208" s="81"/>
      <c r="K208" s="81"/>
      <c r="L208" s="81"/>
      <c r="M208" s="81"/>
      <c r="N208" s="81"/>
      <c r="O208" s="81"/>
      <c r="P208" s="81">
        <f t="shared" si="42"/>
        <v>0</v>
      </c>
      <c r="Q208" s="18"/>
    </row>
    <row r="209" spans="1:19" ht="17.45" customHeight="1">
      <c r="A209" s="103"/>
      <c r="B209" s="31" t="s">
        <v>351</v>
      </c>
      <c r="C209" s="26" t="s">
        <v>352</v>
      </c>
      <c r="D209" s="81"/>
      <c r="E209" s="81"/>
      <c r="F209" s="81">
        <v>0.9</v>
      </c>
      <c r="G209" s="81"/>
      <c r="H209" s="81"/>
      <c r="I209" s="81"/>
      <c r="J209" s="81"/>
      <c r="K209" s="81"/>
      <c r="L209" s="81"/>
      <c r="M209" s="81"/>
      <c r="N209" s="81"/>
      <c r="O209" s="81"/>
      <c r="P209" s="81">
        <f t="shared" si="42"/>
        <v>0.9</v>
      </c>
      <c r="Q209" s="18"/>
    </row>
    <row r="210" spans="1:19" ht="17.45" customHeight="1">
      <c r="A210" s="103"/>
      <c r="B210" s="31"/>
      <c r="C210" s="26" t="s">
        <v>353</v>
      </c>
      <c r="D210" s="81"/>
      <c r="E210" s="81"/>
      <c r="F210" s="81">
        <v>-166.73</v>
      </c>
      <c r="G210" s="81"/>
      <c r="H210" s="81"/>
      <c r="I210" s="81"/>
      <c r="J210" s="81"/>
      <c r="K210" s="81"/>
      <c r="L210" s="81"/>
      <c r="M210" s="81"/>
      <c r="N210" s="81"/>
      <c r="O210" s="81"/>
      <c r="P210" s="81">
        <f t="shared" si="42"/>
        <v>-166.73</v>
      </c>
      <c r="Q210" s="18"/>
    </row>
    <row r="211" spans="1:19" ht="17.45" customHeight="1">
      <c r="A211" s="103"/>
      <c r="B211" s="31" t="s">
        <v>354</v>
      </c>
      <c r="C211" s="26" t="s">
        <v>355</v>
      </c>
      <c r="D211" s="81"/>
      <c r="E211" s="81"/>
      <c r="F211" s="81">
        <v>0</v>
      </c>
      <c r="G211" s="81"/>
      <c r="H211" s="81"/>
      <c r="I211" s="81"/>
      <c r="J211" s="81"/>
      <c r="K211" s="81"/>
      <c r="L211" s="81"/>
      <c r="M211" s="81"/>
      <c r="N211" s="81"/>
      <c r="O211" s="81"/>
      <c r="P211" s="81">
        <f t="shared" si="42"/>
        <v>0</v>
      </c>
      <c r="Q211" s="18"/>
    </row>
    <row r="212" spans="1:19" ht="17.45" customHeight="1">
      <c r="A212" s="103"/>
      <c r="B212" s="31"/>
      <c r="C212" s="26" t="s">
        <v>356</v>
      </c>
      <c r="D212" s="81"/>
      <c r="E212" s="81"/>
      <c r="F212" s="81">
        <v>12411.61</v>
      </c>
      <c r="G212" s="81"/>
      <c r="H212" s="81"/>
      <c r="I212" s="81"/>
      <c r="J212" s="81"/>
      <c r="K212" s="81"/>
      <c r="L212" s="81"/>
      <c r="M212" s="81"/>
      <c r="N212" s="81"/>
      <c r="O212" s="81"/>
      <c r="P212" s="81">
        <f t="shared" si="42"/>
        <v>12411.61</v>
      </c>
      <c r="Q212" s="18"/>
    </row>
    <row r="213" spans="1:19" ht="17.45" customHeight="1">
      <c r="A213" s="103"/>
      <c r="B213" s="31" t="s">
        <v>357</v>
      </c>
      <c r="C213" s="26" t="s">
        <v>358</v>
      </c>
      <c r="D213" s="81"/>
      <c r="E213" s="81"/>
      <c r="F213" s="81">
        <v>-3.15</v>
      </c>
      <c r="G213" s="81"/>
      <c r="H213" s="81"/>
      <c r="I213" s="81"/>
      <c r="J213" s="81"/>
      <c r="K213" s="81"/>
      <c r="L213" s="81"/>
      <c r="M213" s="81"/>
      <c r="N213" s="81"/>
      <c r="O213" s="81"/>
      <c r="P213" s="81">
        <f t="shared" si="42"/>
        <v>-3.15</v>
      </c>
      <c r="Q213" s="18"/>
    </row>
    <row r="214" spans="1:19" ht="17.45" customHeight="1">
      <c r="A214" s="103"/>
      <c r="B214" s="68" t="s">
        <v>359</v>
      </c>
      <c r="C214" s="67" t="s">
        <v>336</v>
      </c>
      <c r="D214" s="89">
        <f t="shared" ref="D214:O214" si="43">SUM(D201:D213)</f>
        <v>0</v>
      </c>
      <c r="E214" s="89">
        <f t="shared" si="43"/>
        <v>0</v>
      </c>
      <c r="F214" s="89">
        <f t="shared" si="43"/>
        <v>12242.630000000001</v>
      </c>
      <c r="G214" s="89">
        <f t="shared" si="43"/>
        <v>0</v>
      </c>
      <c r="H214" s="89">
        <f t="shared" si="43"/>
        <v>0</v>
      </c>
      <c r="I214" s="89">
        <f t="shared" si="43"/>
        <v>0</v>
      </c>
      <c r="J214" s="89">
        <f t="shared" si="43"/>
        <v>0</v>
      </c>
      <c r="K214" s="89">
        <f t="shared" si="43"/>
        <v>0</v>
      </c>
      <c r="L214" s="89">
        <f t="shared" si="43"/>
        <v>0</v>
      </c>
      <c r="M214" s="89">
        <f t="shared" si="43"/>
        <v>0</v>
      </c>
      <c r="N214" s="89">
        <f t="shared" si="43"/>
        <v>0</v>
      </c>
      <c r="O214" s="89">
        <f t="shared" si="43"/>
        <v>0</v>
      </c>
      <c r="P214" s="89" t="e">
        <f>SUM(P201:P213)</f>
        <v>#VALUE!</v>
      </c>
      <c r="Q214" s="22"/>
      <c r="R214" s="32"/>
      <c r="S214" s="22"/>
    </row>
    <row r="215" spans="1:19" ht="17.45" customHeight="1">
      <c r="A215" s="103"/>
      <c r="B215" s="31"/>
      <c r="C215" s="28" t="s">
        <v>360</v>
      </c>
      <c r="D215" s="81"/>
      <c r="E215" s="81"/>
      <c r="F215" s="81">
        <v>0</v>
      </c>
      <c r="G215" s="81"/>
      <c r="H215" s="81"/>
      <c r="I215" s="81"/>
      <c r="J215" s="81"/>
      <c r="K215" s="81"/>
      <c r="L215" s="81"/>
      <c r="M215" s="81"/>
      <c r="N215" s="81"/>
      <c r="O215" s="81"/>
      <c r="P215" s="81">
        <f>D215+E215+F215+G215+H215+I215+J215+K215+L215+M215+N215+O215</f>
        <v>0</v>
      </c>
      <c r="Q215" s="18"/>
    </row>
    <row r="216" spans="1:19" ht="17.45" customHeight="1">
      <c r="A216" s="103"/>
      <c r="B216" s="31"/>
      <c r="C216" s="29" t="s">
        <v>361</v>
      </c>
      <c r="D216" s="81"/>
      <c r="E216" s="81"/>
      <c r="F216" s="81">
        <v>0</v>
      </c>
      <c r="G216" s="81"/>
      <c r="H216" s="81"/>
      <c r="I216" s="81"/>
      <c r="J216" s="81"/>
      <c r="K216" s="81"/>
      <c r="L216" s="81"/>
      <c r="M216" s="81"/>
      <c r="N216" s="81"/>
      <c r="O216" s="81"/>
      <c r="P216" s="81">
        <f>D216+E216+F216+G216+H216+I216+J216+K216+L216+M216+N216+O216</f>
        <v>0</v>
      </c>
      <c r="Q216" s="18"/>
    </row>
    <row r="217" spans="1:19" ht="17.45" customHeight="1">
      <c r="A217" s="103"/>
      <c r="B217" s="31" t="s">
        <v>362</v>
      </c>
      <c r="C217" s="26" t="s">
        <v>363</v>
      </c>
      <c r="D217" s="81"/>
      <c r="E217" s="81"/>
      <c r="F217" s="81">
        <v>0</v>
      </c>
      <c r="G217" s="81"/>
      <c r="H217" s="81"/>
      <c r="I217" s="81"/>
      <c r="J217" s="81"/>
      <c r="K217" s="81"/>
      <c r="L217" s="81"/>
      <c r="M217" s="81"/>
      <c r="N217" s="81"/>
      <c r="O217" s="81"/>
      <c r="P217" s="81">
        <f>D217+E217+F217+G217+H217+I217+J217+K217+L217+M217+N217+O217</f>
        <v>0</v>
      </c>
      <c r="Q217" s="18"/>
    </row>
    <row r="218" spans="1:19" ht="17.45" customHeight="1">
      <c r="A218" s="103"/>
      <c r="B218" s="31" t="s">
        <v>364</v>
      </c>
      <c r="C218" s="26" t="s">
        <v>365</v>
      </c>
      <c r="D218" s="81"/>
      <c r="E218" s="81"/>
      <c r="F218" s="81" t="s">
        <v>441</v>
      </c>
      <c r="G218" s="81"/>
      <c r="H218" s="81"/>
      <c r="I218" s="81"/>
      <c r="J218" s="81"/>
      <c r="K218" s="81"/>
      <c r="L218" s="81"/>
      <c r="M218" s="81"/>
      <c r="N218" s="81"/>
      <c r="O218" s="81"/>
      <c r="P218" s="81" t="e">
        <f>D218+E218+F218+G218+H218+I218+J218+K218+L218+M218+N218+O218</f>
        <v>#VALUE!</v>
      </c>
      <c r="Q218" s="18"/>
    </row>
    <row r="219" spans="1:19" ht="17.45" customHeight="1">
      <c r="A219" s="113"/>
      <c r="B219" s="68" t="s">
        <v>366</v>
      </c>
      <c r="C219" s="67" t="s">
        <v>361</v>
      </c>
      <c r="D219" s="89">
        <f t="shared" ref="D219:O219" si="44">SUM(D217:D218)</f>
        <v>0</v>
      </c>
      <c r="E219" s="89">
        <f t="shared" si="44"/>
        <v>0</v>
      </c>
      <c r="F219" s="89">
        <f t="shared" si="44"/>
        <v>0</v>
      </c>
      <c r="G219" s="89">
        <f t="shared" si="44"/>
        <v>0</v>
      </c>
      <c r="H219" s="89">
        <f t="shared" si="44"/>
        <v>0</v>
      </c>
      <c r="I219" s="89">
        <f t="shared" si="44"/>
        <v>0</v>
      </c>
      <c r="J219" s="89">
        <f t="shared" si="44"/>
        <v>0</v>
      </c>
      <c r="K219" s="89">
        <f t="shared" si="44"/>
        <v>0</v>
      </c>
      <c r="L219" s="89">
        <f t="shared" si="44"/>
        <v>0</v>
      </c>
      <c r="M219" s="89">
        <f t="shared" si="44"/>
        <v>0</v>
      </c>
      <c r="N219" s="89">
        <f t="shared" si="44"/>
        <v>0</v>
      </c>
      <c r="O219" s="89">
        <f t="shared" si="44"/>
        <v>0</v>
      </c>
      <c r="P219" s="89" t="e">
        <f>SUM(P217:P218)</f>
        <v>#VALUE!</v>
      </c>
      <c r="Q219" s="22"/>
      <c r="R219" s="32"/>
      <c r="S219" s="22"/>
    </row>
    <row r="220" spans="1:19" ht="17.45" customHeight="1">
      <c r="A220" s="103"/>
      <c r="B220" s="31"/>
      <c r="C220" s="28" t="s">
        <v>367</v>
      </c>
      <c r="D220" s="81"/>
      <c r="E220" s="81"/>
      <c r="F220" s="81">
        <v>0</v>
      </c>
      <c r="G220" s="81"/>
      <c r="H220" s="81"/>
      <c r="I220" s="81"/>
      <c r="J220" s="81"/>
      <c r="K220" s="81"/>
      <c r="L220" s="81"/>
      <c r="M220" s="81"/>
      <c r="N220" s="81"/>
      <c r="O220" s="81"/>
      <c r="P220" s="81">
        <f>D220+E220+F220+G220+H220+I220+J220+K220+L220+M220+N220+O220</f>
        <v>0</v>
      </c>
      <c r="Q220" s="18"/>
    </row>
    <row r="221" spans="1:19" ht="17.45" customHeight="1">
      <c r="A221" s="103"/>
      <c r="B221" s="31" t="s">
        <v>368</v>
      </c>
      <c r="C221" s="26" t="s">
        <v>369</v>
      </c>
      <c r="D221" s="81"/>
      <c r="E221" s="81"/>
      <c r="F221" s="81">
        <v>19464.14</v>
      </c>
      <c r="G221" s="81"/>
      <c r="H221" s="81"/>
      <c r="I221" s="81"/>
      <c r="J221" s="81"/>
      <c r="K221" s="81"/>
      <c r="L221" s="81"/>
      <c r="M221" s="81"/>
      <c r="N221" s="81"/>
      <c r="O221" s="81"/>
      <c r="P221" s="81">
        <f>D221+E221+F221+G221+H221+I221+J221+K221+L221+M221+N221+O221</f>
        <v>19464.14</v>
      </c>
      <c r="Q221" s="18"/>
    </row>
    <row r="222" spans="1:19" ht="17.45" customHeight="1">
      <c r="A222" s="103"/>
      <c r="B222" s="31" t="s">
        <v>370</v>
      </c>
      <c r="C222" s="26" t="s">
        <v>371</v>
      </c>
      <c r="D222" s="81"/>
      <c r="E222" s="81"/>
      <c r="F222" s="81">
        <v>4188.62</v>
      </c>
      <c r="G222" s="81"/>
      <c r="H222" s="81"/>
      <c r="I222" s="81"/>
      <c r="J222" s="81"/>
      <c r="K222" s="81"/>
      <c r="L222" s="81"/>
      <c r="M222" s="81"/>
      <c r="N222" s="81"/>
      <c r="O222" s="81"/>
      <c r="P222" s="81">
        <f>D222+E222+F222+G222+H222+I222+J222+K222+L222+M222+N222+O222</f>
        <v>4188.62</v>
      </c>
      <c r="Q222" s="18"/>
    </row>
    <row r="223" spans="1:19" ht="17.45" customHeight="1">
      <c r="A223" s="113"/>
      <c r="B223" s="68" t="s">
        <v>372</v>
      </c>
      <c r="C223" s="67" t="s">
        <v>367</v>
      </c>
      <c r="D223" s="89">
        <f t="shared" ref="D223:O223" si="45">SUM(D221:D222)</f>
        <v>0</v>
      </c>
      <c r="E223" s="89">
        <f t="shared" si="45"/>
        <v>0</v>
      </c>
      <c r="F223" s="89">
        <f t="shared" si="45"/>
        <v>23652.76</v>
      </c>
      <c r="G223" s="89">
        <f t="shared" si="45"/>
        <v>0</v>
      </c>
      <c r="H223" s="89">
        <f t="shared" si="45"/>
        <v>0</v>
      </c>
      <c r="I223" s="89">
        <f t="shared" si="45"/>
        <v>0</v>
      </c>
      <c r="J223" s="89">
        <f t="shared" si="45"/>
        <v>0</v>
      </c>
      <c r="K223" s="89">
        <f t="shared" si="45"/>
        <v>0</v>
      </c>
      <c r="L223" s="89">
        <f t="shared" si="45"/>
        <v>0</v>
      </c>
      <c r="M223" s="89">
        <f t="shared" si="45"/>
        <v>0</v>
      </c>
      <c r="N223" s="89">
        <f t="shared" si="45"/>
        <v>0</v>
      </c>
      <c r="O223" s="89">
        <f t="shared" si="45"/>
        <v>0</v>
      </c>
      <c r="P223" s="89">
        <f>SUM(P221:P222)</f>
        <v>23652.76</v>
      </c>
      <c r="Q223" s="22"/>
      <c r="R223" s="32"/>
      <c r="S223" s="22"/>
    </row>
    <row r="224" spans="1:19" ht="17.45" customHeight="1">
      <c r="A224" s="103"/>
      <c r="B224" s="31" t="s">
        <v>373</v>
      </c>
      <c r="C224" s="26" t="s">
        <v>374</v>
      </c>
      <c r="D224" s="81"/>
      <c r="E224" s="81"/>
      <c r="F224" s="81">
        <v>-17681.47</v>
      </c>
      <c r="G224" s="81"/>
      <c r="H224" s="81"/>
      <c r="I224" s="81"/>
      <c r="J224" s="81"/>
      <c r="K224" s="81"/>
      <c r="L224" s="81"/>
      <c r="M224" s="81"/>
      <c r="N224" s="81"/>
      <c r="O224" s="81"/>
      <c r="P224" s="81">
        <f>D224+E224+F224+G224+H224+I224+J224+K224+L224+M224+N224+O224</f>
        <v>-17681.47</v>
      </c>
      <c r="Q224" s="18"/>
    </row>
    <row r="225" spans="1:19" ht="17.45" customHeight="1">
      <c r="A225" s="103"/>
      <c r="B225" s="31"/>
      <c r="C225" s="28" t="s">
        <v>375</v>
      </c>
      <c r="D225" s="81"/>
      <c r="E225" s="81"/>
      <c r="F225" s="81">
        <v>0</v>
      </c>
      <c r="G225" s="81"/>
      <c r="H225" s="81"/>
      <c r="I225" s="81"/>
      <c r="J225" s="81"/>
      <c r="K225" s="81"/>
      <c r="L225" s="81"/>
      <c r="M225" s="81"/>
      <c r="N225" s="81"/>
      <c r="O225" s="81"/>
      <c r="P225" s="81">
        <f>D225+E225+F225+G225+H225+I225+J225+K225+L225+M225+N225+O225</f>
        <v>0</v>
      </c>
      <c r="Q225" s="18"/>
    </row>
    <row r="226" spans="1:19" ht="17.45" customHeight="1">
      <c r="A226" s="103"/>
      <c r="B226" s="31" t="s">
        <v>376</v>
      </c>
      <c r="C226" s="26" t="s">
        <v>377</v>
      </c>
      <c r="D226" s="81"/>
      <c r="E226" s="81"/>
      <c r="F226" s="81">
        <v>1661.84</v>
      </c>
      <c r="G226" s="81"/>
      <c r="H226" s="81"/>
      <c r="I226" s="81"/>
      <c r="J226" s="81"/>
      <c r="K226" s="81"/>
      <c r="L226" s="81"/>
      <c r="M226" s="81"/>
      <c r="N226" s="81"/>
      <c r="O226" s="81"/>
      <c r="P226" s="81">
        <f>D226+E226+F226+G226+H226+I226+J226+K226+L226+M226+N226+O226</f>
        <v>1661.84</v>
      </c>
      <c r="Q226" s="18"/>
    </row>
    <row r="227" spans="1:19" ht="17.45" customHeight="1">
      <c r="A227" s="103"/>
      <c r="B227" s="31" t="s">
        <v>378</v>
      </c>
      <c r="C227" s="26" t="s">
        <v>379</v>
      </c>
      <c r="D227" s="81"/>
      <c r="E227" s="81"/>
      <c r="F227" s="81">
        <v>0</v>
      </c>
      <c r="G227" s="81"/>
      <c r="H227" s="81"/>
      <c r="I227" s="81"/>
      <c r="J227" s="81"/>
      <c r="K227" s="81"/>
      <c r="L227" s="81"/>
      <c r="M227" s="81"/>
      <c r="N227" s="81"/>
      <c r="O227" s="81"/>
      <c r="P227" s="81">
        <f>D227+E227+F227+G227+H227+I227+J227+K227+L227+M227+N227+O227</f>
        <v>0</v>
      </c>
      <c r="Q227" s="18"/>
    </row>
    <row r="228" spans="1:19" ht="17.45" customHeight="1">
      <c r="A228" s="103"/>
      <c r="B228" s="31"/>
      <c r="C228" s="26" t="s">
        <v>380</v>
      </c>
      <c r="D228" s="81"/>
      <c r="E228" s="81"/>
      <c r="F228" s="81">
        <v>0</v>
      </c>
      <c r="G228" s="81"/>
      <c r="H228" s="81"/>
      <c r="I228" s="81"/>
      <c r="J228" s="81"/>
      <c r="K228" s="81"/>
      <c r="L228" s="81"/>
      <c r="M228" s="81"/>
      <c r="N228" s="81"/>
      <c r="O228" s="81"/>
      <c r="P228" s="81">
        <v>0</v>
      </c>
    </row>
    <row r="229" spans="1:19" ht="17.45" customHeight="1">
      <c r="A229" s="113"/>
      <c r="B229" s="68" t="s">
        <v>381</v>
      </c>
      <c r="C229" s="67" t="s">
        <v>375</v>
      </c>
      <c r="D229" s="89">
        <f t="shared" ref="D229:O229" si="46">SUM(D226:D228)</f>
        <v>0</v>
      </c>
      <c r="E229" s="89">
        <f t="shared" si="46"/>
        <v>0</v>
      </c>
      <c r="F229" s="89">
        <f t="shared" si="46"/>
        <v>1661.84</v>
      </c>
      <c r="G229" s="89">
        <f t="shared" si="46"/>
        <v>0</v>
      </c>
      <c r="H229" s="89">
        <f t="shared" si="46"/>
        <v>0</v>
      </c>
      <c r="I229" s="89">
        <f t="shared" si="46"/>
        <v>0</v>
      </c>
      <c r="J229" s="89">
        <f t="shared" si="46"/>
        <v>0</v>
      </c>
      <c r="K229" s="89">
        <f t="shared" si="46"/>
        <v>0</v>
      </c>
      <c r="L229" s="89">
        <f t="shared" si="46"/>
        <v>0</v>
      </c>
      <c r="M229" s="89">
        <f t="shared" si="46"/>
        <v>0</v>
      </c>
      <c r="N229" s="89">
        <f t="shared" si="46"/>
        <v>0</v>
      </c>
      <c r="O229" s="89">
        <f t="shared" si="46"/>
        <v>0</v>
      </c>
      <c r="P229" s="89">
        <f>SUM(P226:P228)</f>
        <v>1661.84</v>
      </c>
      <c r="Q229" s="22"/>
      <c r="R229" s="32"/>
      <c r="S229" s="22"/>
    </row>
    <row r="230" spans="1:19" ht="17.45" customHeight="1">
      <c r="A230" s="103"/>
      <c r="B230" s="31"/>
      <c r="C230" s="28" t="s">
        <v>382</v>
      </c>
      <c r="D230" s="81"/>
      <c r="E230" s="81"/>
      <c r="F230" s="81" t="s">
        <v>441</v>
      </c>
      <c r="G230" s="81"/>
      <c r="H230" s="81"/>
      <c r="I230" s="81"/>
      <c r="J230" s="81"/>
      <c r="K230" s="81"/>
      <c r="L230" s="81"/>
      <c r="M230" s="81"/>
      <c r="N230" s="81"/>
      <c r="O230" s="81"/>
      <c r="P230" s="81" t="e">
        <f>D230+E230+F230+G230+H230+I230+J230+K230+L230+M230+N230+O230</f>
        <v>#VALUE!</v>
      </c>
      <c r="Q230" s="18"/>
    </row>
    <row r="231" spans="1:19" ht="17.45" customHeight="1">
      <c r="A231" s="103"/>
      <c r="B231" s="31" t="s">
        <v>383</v>
      </c>
      <c r="C231" s="26" t="s">
        <v>384</v>
      </c>
      <c r="D231" s="81"/>
      <c r="E231" s="81"/>
      <c r="F231" s="81" t="s">
        <v>441</v>
      </c>
      <c r="G231" s="81"/>
      <c r="H231" s="81"/>
      <c r="I231" s="81"/>
      <c r="J231" s="81"/>
      <c r="K231" s="81"/>
      <c r="L231" s="81"/>
      <c r="M231" s="81"/>
      <c r="N231" s="81"/>
      <c r="O231" s="81"/>
      <c r="P231" s="81" t="e">
        <f>D231+E231+F231+G231+H231+I231+J231+K231+L231+M231+N231+O231</f>
        <v>#VALUE!</v>
      </c>
      <c r="Q231" s="18"/>
    </row>
    <row r="232" spans="1:19" ht="17.45" customHeight="1">
      <c r="A232" s="103"/>
      <c r="B232" s="31" t="s">
        <v>385</v>
      </c>
      <c r="C232" s="26" t="s">
        <v>386</v>
      </c>
      <c r="D232" s="81"/>
      <c r="E232" s="81"/>
      <c r="F232" s="81" t="s">
        <v>441</v>
      </c>
      <c r="G232" s="81"/>
      <c r="H232" s="81"/>
      <c r="I232" s="81"/>
      <c r="J232" s="81"/>
      <c r="K232" s="81"/>
      <c r="L232" s="81"/>
      <c r="M232" s="81"/>
      <c r="N232" s="81"/>
      <c r="O232" s="81"/>
      <c r="P232" s="81" t="e">
        <f>D232+E232+F232+G232+H232+I232+J232+K232+L232+M232+N232+O232</f>
        <v>#VALUE!</v>
      </c>
      <c r="Q232" s="18"/>
    </row>
    <row r="233" spans="1:19" ht="17.45" customHeight="1">
      <c r="A233" s="113"/>
      <c r="B233" s="68" t="s">
        <v>387</v>
      </c>
      <c r="C233" s="67" t="s">
        <v>382</v>
      </c>
      <c r="D233" s="89">
        <f>D232+D231</f>
        <v>0</v>
      </c>
      <c r="E233" s="89">
        <f t="shared" ref="E233:P233" si="47">E232+E231</f>
        <v>0</v>
      </c>
      <c r="F233" s="89" t="e">
        <f t="shared" si="47"/>
        <v>#VALUE!</v>
      </c>
      <c r="G233" s="89">
        <f t="shared" si="47"/>
        <v>0</v>
      </c>
      <c r="H233" s="89">
        <f t="shared" si="47"/>
        <v>0</v>
      </c>
      <c r="I233" s="89">
        <f t="shared" si="47"/>
        <v>0</v>
      </c>
      <c r="J233" s="89">
        <f t="shared" si="47"/>
        <v>0</v>
      </c>
      <c r="K233" s="89">
        <f t="shared" si="47"/>
        <v>0</v>
      </c>
      <c r="L233" s="89">
        <f t="shared" si="47"/>
        <v>0</v>
      </c>
      <c r="M233" s="89">
        <f t="shared" si="47"/>
        <v>0</v>
      </c>
      <c r="N233" s="89">
        <f t="shared" si="47"/>
        <v>0</v>
      </c>
      <c r="O233" s="89">
        <f t="shared" si="47"/>
        <v>0</v>
      </c>
      <c r="P233" s="89" t="e">
        <f t="shared" si="47"/>
        <v>#VALUE!</v>
      </c>
      <c r="Q233" s="22"/>
      <c r="R233" s="32"/>
      <c r="S233" s="22"/>
    </row>
    <row r="234" spans="1:19" ht="17.45" customHeight="1">
      <c r="A234" s="103"/>
      <c r="B234" s="31" t="s">
        <v>388</v>
      </c>
      <c r="C234" s="26" t="s">
        <v>389</v>
      </c>
      <c r="D234" s="81"/>
      <c r="E234" s="81"/>
      <c r="F234" s="81">
        <v>0</v>
      </c>
      <c r="G234" s="81"/>
      <c r="H234" s="81"/>
      <c r="I234" s="81"/>
      <c r="J234" s="81"/>
      <c r="K234" s="81"/>
      <c r="L234" s="81"/>
      <c r="M234" s="81"/>
      <c r="N234" s="81"/>
      <c r="O234" s="81"/>
      <c r="P234" s="81">
        <f t="shared" ref="P234:P240" si="48">D234+E234+F234+G234+H234+I234+J234+K234+L234+M234+N234+O234</f>
        <v>0</v>
      </c>
      <c r="Q234" s="18"/>
    </row>
    <row r="235" spans="1:19" ht="17.45" customHeight="1">
      <c r="A235" s="103"/>
      <c r="B235" s="31" t="s">
        <v>390</v>
      </c>
      <c r="C235" s="26" t="s">
        <v>391</v>
      </c>
      <c r="D235" s="81"/>
      <c r="E235" s="81"/>
      <c r="F235" s="81">
        <v>127.95</v>
      </c>
      <c r="G235" s="81"/>
      <c r="H235" s="81"/>
      <c r="I235" s="81"/>
      <c r="J235" s="81"/>
      <c r="K235" s="81"/>
      <c r="L235" s="81"/>
      <c r="M235" s="81"/>
      <c r="N235" s="81"/>
      <c r="O235" s="81"/>
      <c r="P235" s="81">
        <f t="shared" si="48"/>
        <v>127.95</v>
      </c>
      <c r="Q235" s="18"/>
    </row>
    <row r="236" spans="1:19" ht="17.45" customHeight="1">
      <c r="A236" s="103"/>
      <c r="B236" s="31" t="s">
        <v>392</v>
      </c>
      <c r="C236" s="26" t="s">
        <v>393</v>
      </c>
      <c r="D236" s="81"/>
      <c r="E236" s="81"/>
      <c r="F236" s="81" t="s">
        <v>441</v>
      </c>
      <c r="G236" s="81"/>
      <c r="H236" s="81"/>
      <c r="I236" s="81"/>
      <c r="J236" s="81"/>
      <c r="K236" s="81"/>
      <c r="L236" s="81"/>
      <c r="M236" s="81"/>
      <c r="N236" s="81"/>
      <c r="O236" s="81"/>
      <c r="P236" s="81" t="e">
        <f t="shared" si="48"/>
        <v>#VALUE!</v>
      </c>
      <c r="Q236" s="18"/>
    </row>
    <row r="237" spans="1:19" ht="17.45" customHeight="1">
      <c r="A237" s="103"/>
      <c r="B237" s="31" t="s">
        <v>394</v>
      </c>
      <c r="C237" s="26" t="s">
        <v>395</v>
      </c>
      <c r="D237" s="81"/>
      <c r="E237" s="81"/>
      <c r="F237" s="81" t="s">
        <v>441</v>
      </c>
      <c r="G237" s="81"/>
      <c r="H237" s="81"/>
      <c r="I237" s="81"/>
      <c r="J237" s="81"/>
      <c r="K237" s="81"/>
      <c r="L237" s="81"/>
      <c r="M237" s="81"/>
      <c r="N237" s="81"/>
      <c r="O237" s="81"/>
      <c r="P237" s="81" t="e">
        <f t="shared" si="48"/>
        <v>#VALUE!</v>
      </c>
      <c r="Q237" s="18"/>
    </row>
    <row r="238" spans="1:19" ht="17.45" customHeight="1">
      <c r="A238" s="103"/>
      <c r="B238" s="31" t="s">
        <v>396</v>
      </c>
      <c r="C238" s="26" t="s">
        <v>397</v>
      </c>
      <c r="D238" s="81"/>
      <c r="E238" s="81"/>
      <c r="F238" s="81">
        <v>0</v>
      </c>
      <c r="G238" s="81"/>
      <c r="H238" s="81"/>
      <c r="I238" s="81"/>
      <c r="J238" s="81"/>
      <c r="K238" s="81"/>
      <c r="L238" s="81"/>
      <c r="M238" s="81"/>
      <c r="N238" s="81"/>
      <c r="O238" s="81"/>
      <c r="P238" s="81">
        <f t="shared" si="48"/>
        <v>0</v>
      </c>
      <c r="Q238" s="18"/>
    </row>
    <row r="239" spans="1:19" ht="17.45" customHeight="1">
      <c r="A239" s="103"/>
      <c r="B239" s="31"/>
      <c r="C239" s="26" t="s">
        <v>398</v>
      </c>
      <c r="D239" s="81"/>
      <c r="E239" s="81"/>
      <c r="F239" s="81" t="s">
        <v>441</v>
      </c>
      <c r="G239" s="81"/>
      <c r="H239" s="81"/>
      <c r="I239" s="81"/>
      <c r="J239" s="81"/>
      <c r="K239" s="81"/>
      <c r="L239" s="81"/>
      <c r="M239" s="81"/>
      <c r="N239" s="81"/>
      <c r="O239" s="81"/>
      <c r="P239" s="81" t="e">
        <f t="shared" si="48"/>
        <v>#VALUE!</v>
      </c>
      <c r="Q239" s="18"/>
    </row>
    <row r="240" spans="1:19" ht="17.45" customHeight="1">
      <c r="A240" s="103"/>
      <c r="B240" s="31" t="s">
        <v>399</v>
      </c>
      <c r="C240" s="26" t="s">
        <v>355</v>
      </c>
      <c r="D240" s="81"/>
      <c r="E240" s="81"/>
      <c r="F240" s="81">
        <v>0</v>
      </c>
      <c r="G240" s="81"/>
      <c r="H240" s="81"/>
      <c r="I240" s="81"/>
      <c r="J240" s="81"/>
      <c r="K240" s="81"/>
      <c r="L240" s="81"/>
      <c r="M240" s="81"/>
      <c r="N240" s="81"/>
      <c r="O240" s="81"/>
      <c r="P240" s="81">
        <f t="shared" si="48"/>
        <v>0</v>
      </c>
      <c r="Q240" s="18"/>
    </row>
    <row r="241" spans="1:19" ht="17.45" customHeight="1">
      <c r="A241" s="103"/>
      <c r="B241" s="31"/>
      <c r="C241" s="26" t="s">
        <v>400</v>
      </c>
      <c r="D241" s="81"/>
      <c r="E241" s="81"/>
      <c r="F241" s="81">
        <v>0</v>
      </c>
      <c r="G241" s="81"/>
      <c r="H241" s="81"/>
      <c r="I241" s="81"/>
      <c r="J241" s="81"/>
      <c r="K241" s="81"/>
      <c r="L241" s="81"/>
      <c r="M241" s="81"/>
      <c r="N241" s="81"/>
      <c r="O241" s="81"/>
      <c r="P241" s="81">
        <v>0</v>
      </c>
    </row>
    <row r="242" spans="1:19" ht="17.45" customHeight="1">
      <c r="A242" s="103"/>
      <c r="B242" s="31" t="s">
        <v>401</v>
      </c>
      <c r="C242" s="26" t="s">
        <v>358</v>
      </c>
      <c r="D242" s="81"/>
      <c r="E242" s="81"/>
      <c r="F242" s="81">
        <v>-3.15</v>
      </c>
      <c r="G242" s="81"/>
      <c r="H242" s="81"/>
      <c r="I242" s="81"/>
      <c r="J242" s="81"/>
      <c r="K242" s="81"/>
      <c r="L242" s="81"/>
      <c r="M242" s="81"/>
      <c r="N242" s="81"/>
      <c r="O242" s="81"/>
      <c r="P242" s="81">
        <f>D242+E242+F242+G242+H242+I242+J242+K242+L242+M242+N242+O242</f>
        <v>-3.15</v>
      </c>
      <c r="Q242" s="18"/>
    </row>
    <row r="243" spans="1:19" ht="17.45" customHeight="1">
      <c r="A243" s="103"/>
      <c r="B243" s="68" t="s">
        <v>402</v>
      </c>
      <c r="C243" s="67" t="s">
        <v>360</v>
      </c>
      <c r="D243" s="89">
        <f t="shared" ref="D243:O243" si="49">D219+D223+D224+D229+D234+D235+D242+D237</f>
        <v>0</v>
      </c>
      <c r="E243" s="89">
        <f t="shared" si="49"/>
        <v>0</v>
      </c>
      <c r="F243" s="89" t="e">
        <f t="shared" si="49"/>
        <v>#VALUE!</v>
      </c>
      <c r="G243" s="89">
        <f t="shared" si="49"/>
        <v>0</v>
      </c>
      <c r="H243" s="89">
        <f t="shared" si="49"/>
        <v>0</v>
      </c>
      <c r="I243" s="89">
        <f t="shared" si="49"/>
        <v>0</v>
      </c>
      <c r="J243" s="89">
        <f t="shared" si="49"/>
        <v>0</v>
      </c>
      <c r="K243" s="89">
        <f t="shared" si="49"/>
        <v>0</v>
      </c>
      <c r="L243" s="89">
        <f t="shared" si="49"/>
        <v>0</v>
      </c>
      <c r="M243" s="89">
        <f t="shared" si="49"/>
        <v>0</v>
      </c>
      <c r="N243" s="89">
        <f t="shared" si="49"/>
        <v>0</v>
      </c>
      <c r="O243" s="89">
        <f t="shared" si="49"/>
        <v>0</v>
      </c>
      <c r="P243" s="89" t="e">
        <f>P219+P223+P224+P229+P234+P235+P242+P237</f>
        <v>#VALUE!</v>
      </c>
      <c r="Q243" s="22"/>
      <c r="R243" s="32"/>
      <c r="S243" s="22"/>
    </row>
    <row r="244" spans="1:19" ht="17.45" customHeight="1">
      <c r="A244" s="103"/>
      <c r="B244" s="31" t="s">
        <v>403</v>
      </c>
      <c r="C244" s="26" t="s">
        <v>404</v>
      </c>
      <c r="D244" s="81"/>
      <c r="E244" s="81"/>
      <c r="F244" s="81">
        <v>0</v>
      </c>
      <c r="G244" s="81"/>
      <c r="H244" s="81"/>
      <c r="I244" s="81"/>
      <c r="J244" s="81"/>
      <c r="K244" s="81"/>
      <c r="L244" s="81"/>
      <c r="M244" s="81"/>
      <c r="N244" s="81"/>
      <c r="O244" s="81"/>
      <c r="P244" s="81">
        <f>D244+E244+F244+G244+H244+I244+J244+K244+L244+M244+N244+O244</f>
        <v>0</v>
      </c>
      <c r="Q244" s="18"/>
    </row>
    <row r="245" spans="1:19" ht="17.45" customHeight="1">
      <c r="A245" s="103"/>
      <c r="B245" s="31" t="s">
        <v>405</v>
      </c>
      <c r="C245" s="26" t="s">
        <v>406</v>
      </c>
      <c r="D245" s="81"/>
      <c r="E245" s="81"/>
      <c r="F245" s="81" t="s">
        <v>441</v>
      </c>
      <c r="G245" s="81"/>
      <c r="H245" s="81"/>
      <c r="I245" s="81"/>
      <c r="J245" s="81"/>
      <c r="K245" s="81"/>
      <c r="L245" s="81"/>
      <c r="M245" s="81"/>
      <c r="N245" s="81"/>
      <c r="O245" s="81"/>
      <c r="P245" s="81" t="e">
        <f>D245+E245+F245+G245+H245+I245+J245+K245+L245+M245+N245+O245</f>
        <v>#VALUE!</v>
      </c>
      <c r="Q245" s="18"/>
    </row>
    <row r="246" spans="1:19" ht="17.45" customHeight="1">
      <c r="A246" s="103"/>
      <c r="B246" s="31" t="s">
        <v>407</v>
      </c>
      <c r="C246" s="26" t="s">
        <v>408</v>
      </c>
      <c r="D246" s="81"/>
      <c r="E246" s="81"/>
      <c r="F246" s="81" t="s">
        <v>441</v>
      </c>
      <c r="G246" s="81"/>
      <c r="H246" s="81"/>
      <c r="I246" s="81"/>
      <c r="J246" s="81"/>
      <c r="K246" s="81"/>
      <c r="L246" s="81"/>
      <c r="M246" s="81"/>
      <c r="N246" s="81"/>
      <c r="O246" s="81"/>
      <c r="P246" s="81" t="e">
        <f>D246+E246+F246+G246+H246+I246+J246+K246+L246+M246+N246+O246</f>
        <v>#VALUE!</v>
      </c>
      <c r="Q246" s="18"/>
    </row>
    <row r="247" spans="1:19" ht="17.45" customHeight="1">
      <c r="A247" s="103"/>
      <c r="B247" s="31" t="s">
        <v>409</v>
      </c>
      <c r="C247" s="26" t="s">
        <v>410</v>
      </c>
      <c r="D247" s="81"/>
      <c r="E247" s="81"/>
      <c r="F247" s="81" t="s">
        <v>441</v>
      </c>
      <c r="G247" s="81"/>
      <c r="H247" s="81"/>
      <c r="I247" s="81"/>
      <c r="J247" s="81"/>
      <c r="K247" s="81"/>
      <c r="L247" s="81"/>
      <c r="M247" s="81"/>
      <c r="N247" s="81"/>
      <c r="O247" s="81"/>
      <c r="P247" s="81" t="e">
        <f>D247+E247+F247+G247+H247+I247+J247+K247+L247+M247+N247+O247</f>
        <v>#VALUE!</v>
      </c>
      <c r="Q247" s="18"/>
    </row>
    <row r="248" spans="1:19" ht="17.45" customHeight="1">
      <c r="A248" s="103"/>
      <c r="B248" s="68" t="s">
        <v>411</v>
      </c>
      <c r="C248" s="67" t="s">
        <v>335</v>
      </c>
      <c r="D248" s="89">
        <f t="shared" ref="D248:O248" si="50">D243+D214</f>
        <v>0</v>
      </c>
      <c r="E248" s="89">
        <f t="shared" si="50"/>
        <v>0</v>
      </c>
      <c r="F248" s="89" t="e">
        <f t="shared" si="50"/>
        <v>#VALUE!</v>
      </c>
      <c r="G248" s="89">
        <f t="shared" si="50"/>
        <v>0</v>
      </c>
      <c r="H248" s="89">
        <f t="shared" si="50"/>
        <v>0</v>
      </c>
      <c r="I248" s="89">
        <f t="shared" si="50"/>
        <v>0</v>
      </c>
      <c r="J248" s="89">
        <f t="shared" si="50"/>
        <v>0</v>
      </c>
      <c r="K248" s="89">
        <f t="shared" si="50"/>
        <v>0</v>
      </c>
      <c r="L248" s="89">
        <f t="shared" si="50"/>
        <v>0</v>
      </c>
      <c r="M248" s="89">
        <f t="shared" si="50"/>
        <v>0</v>
      </c>
      <c r="N248" s="89">
        <f t="shared" si="50"/>
        <v>0</v>
      </c>
      <c r="O248" s="89">
        <f t="shared" si="50"/>
        <v>0</v>
      </c>
      <c r="P248" s="89" t="e">
        <f>P243+P214</f>
        <v>#VALUE!</v>
      </c>
      <c r="Q248" s="22"/>
      <c r="R248" s="32"/>
      <c r="S248" s="22"/>
    </row>
    <row r="249" spans="1:19" ht="17.45" customHeight="1">
      <c r="A249" s="103"/>
      <c r="B249" s="31" t="s">
        <v>412</v>
      </c>
      <c r="C249" s="26" t="s">
        <v>413</v>
      </c>
      <c r="D249" s="81"/>
      <c r="E249" s="81"/>
      <c r="F249" s="81">
        <v>0</v>
      </c>
      <c r="G249" s="81"/>
      <c r="H249" s="81"/>
      <c r="I249" s="81"/>
      <c r="J249" s="81"/>
      <c r="K249" s="81"/>
      <c r="L249" s="81"/>
      <c r="M249" s="81"/>
      <c r="N249" s="81"/>
      <c r="O249" s="81"/>
      <c r="P249" s="81">
        <f>D249+E249+F249+G249+H249+I249+J249+K249+L249+M249+N249+O249</f>
        <v>0</v>
      </c>
      <c r="Q249" s="18"/>
    </row>
    <row r="250" spans="1:19" ht="17.45" customHeight="1">
      <c r="A250" s="103"/>
      <c r="B250" s="31" t="s">
        <v>414</v>
      </c>
      <c r="C250" s="26" t="s">
        <v>415</v>
      </c>
      <c r="D250" s="81"/>
      <c r="E250" s="81"/>
      <c r="F250" s="81">
        <v>0</v>
      </c>
      <c r="G250" s="81"/>
      <c r="H250" s="81"/>
      <c r="I250" s="81"/>
      <c r="J250" s="81"/>
      <c r="K250" s="81"/>
      <c r="L250" s="81"/>
      <c r="M250" s="81"/>
      <c r="N250" s="81"/>
      <c r="O250" s="81"/>
      <c r="P250" s="81">
        <f>D250+E250+F250+G250+H250+I250+J250+K250+L250+M250+N250+O250</f>
        <v>0</v>
      </c>
      <c r="Q250" s="18"/>
    </row>
    <row r="251" spans="1:19" ht="17.45" customHeight="1">
      <c r="A251" s="103"/>
      <c r="B251" s="31"/>
      <c r="C251" s="26" t="s">
        <v>416</v>
      </c>
      <c r="D251" s="81"/>
      <c r="E251" s="81"/>
      <c r="F251" s="81">
        <v>0</v>
      </c>
      <c r="G251" s="81"/>
      <c r="H251" s="81"/>
      <c r="I251" s="81"/>
      <c r="J251" s="81"/>
      <c r="K251" s="81"/>
      <c r="L251" s="81"/>
      <c r="M251" s="81"/>
      <c r="N251" s="81"/>
      <c r="O251" s="81"/>
      <c r="P251" s="81">
        <v>0</v>
      </c>
    </row>
    <row r="252" spans="1:19" ht="17.45" customHeight="1">
      <c r="B252" s="25"/>
      <c r="C252" s="26" t="s">
        <v>413</v>
      </c>
      <c r="D252" s="81"/>
      <c r="E252" s="81"/>
      <c r="F252" s="81">
        <v>0</v>
      </c>
      <c r="G252" s="81"/>
      <c r="H252" s="81"/>
      <c r="I252" s="81"/>
      <c r="J252" s="81"/>
      <c r="K252" s="81"/>
      <c r="L252" s="81"/>
      <c r="M252" s="81"/>
      <c r="N252" s="81"/>
      <c r="O252" s="81"/>
      <c r="P252" s="81">
        <f>D252+E252+F252+G252+H252+I252+J252+K252+L252+M252+N252+O252</f>
        <v>0</v>
      </c>
      <c r="Q252" s="18"/>
    </row>
    <row r="253" spans="1:19" ht="24.95" customHeight="1">
      <c r="B253" s="104"/>
      <c r="C253" s="104" t="s">
        <v>417</v>
      </c>
      <c r="D253" s="104">
        <f t="shared" ref="D253:O253" si="51">D16-D36-D138-D198-D248</f>
        <v>0</v>
      </c>
      <c r="E253" s="104">
        <f t="shared" si="51"/>
        <v>0</v>
      </c>
      <c r="F253" s="104" t="e">
        <f t="shared" si="51"/>
        <v>#VALUE!</v>
      </c>
      <c r="G253" s="104">
        <f t="shared" si="51"/>
        <v>0</v>
      </c>
      <c r="H253" s="104">
        <f t="shared" si="51"/>
        <v>0</v>
      </c>
      <c r="I253" s="104">
        <f t="shared" si="51"/>
        <v>0</v>
      </c>
      <c r="J253" s="104">
        <f t="shared" si="51"/>
        <v>0</v>
      </c>
      <c r="K253" s="104">
        <f t="shared" si="51"/>
        <v>0</v>
      </c>
      <c r="L253" s="104">
        <f t="shared" si="51"/>
        <v>0</v>
      </c>
      <c r="M253" s="104">
        <f t="shared" si="51"/>
        <v>0</v>
      </c>
      <c r="N253" s="104">
        <f t="shared" si="51"/>
        <v>0</v>
      </c>
      <c r="O253" s="104">
        <f t="shared" si="51"/>
        <v>0</v>
      </c>
      <c r="P253" s="104" t="e">
        <f>P16-P36-P138-P198-P248</f>
        <v>#VALUE!</v>
      </c>
      <c r="Q253" s="22"/>
      <c r="R253" s="32"/>
      <c r="S253" s="22"/>
    </row>
    <row r="254" spans="1:19">
      <c r="D254" s="22"/>
      <c r="E254" s="18"/>
      <c r="F254" s="18"/>
      <c r="G254" s="18"/>
      <c r="H254" s="18"/>
      <c r="I254" s="18"/>
      <c r="J254" s="18"/>
      <c r="K254" s="18"/>
    </row>
    <row r="255" spans="1:19">
      <c r="E255" s="22"/>
      <c r="F255" s="18"/>
      <c r="G255" s="18"/>
      <c r="H255" s="18"/>
      <c r="I255" s="18"/>
      <c r="J255" s="18"/>
      <c r="K255" s="18"/>
    </row>
  </sheetData>
  <conditionalFormatting sqref="D15:P15">
    <cfRule type="containsText" dxfId="167" priority="42" operator="containsText" text="NOT FOUND">
      <formula>NOT(ISERROR(SEARCH("NOT FOUND",D15)))</formula>
    </cfRule>
  </conditionalFormatting>
  <conditionalFormatting sqref="D16:P16">
    <cfRule type="containsText" dxfId="166" priority="41" operator="containsText" text="NOT FOUND">
      <formula>NOT(ISERROR(SEARCH("NOT FOUND",D16)))</formula>
    </cfRule>
  </conditionalFormatting>
  <conditionalFormatting sqref="D24:P24">
    <cfRule type="containsText" dxfId="165" priority="40" operator="containsText" text="NOT FOUND">
      <formula>NOT(ISERROR(SEARCH("NOT FOUND",D24)))</formula>
    </cfRule>
  </conditionalFormatting>
  <conditionalFormatting sqref="D29:P29">
    <cfRule type="containsText" dxfId="164" priority="39" operator="containsText" text="NOT FOUND">
      <formula>NOT(ISERROR(SEARCH("NOT FOUND",D29)))</formula>
    </cfRule>
  </conditionalFormatting>
  <conditionalFormatting sqref="D34:P34">
    <cfRule type="containsText" dxfId="163" priority="38" operator="containsText" text="NOT FOUND">
      <formula>NOT(ISERROR(SEARCH("NOT FOUND",D34)))</formula>
    </cfRule>
  </conditionalFormatting>
  <conditionalFormatting sqref="D35:P35">
    <cfRule type="containsText" dxfId="162" priority="37" operator="containsText" text="NOT FOUND">
      <formula>NOT(ISERROR(SEARCH("NOT FOUND",D35)))</formula>
    </cfRule>
  </conditionalFormatting>
  <conditionalFormatting sqref="D36:P36">
    <cfRule type="containsText" dxfId="161" priority="36" operator="containsText" text="NOT FOUND">
      <formula>NOT(ISERROR(SEARCH("NOT FOUND",D36)))</formula>
    </cfRule>
  </conditionalFormatting>
  <conditionalFormatting sqref="D47:P47">
    <cfRule type="containsText" dxfId="160" priority="35" operator="containsText" text="NOT FOUND">
      <formula>NOT(ISERROR(SEARCH("NOT FOUND",D47)))</formula>
    </cfRule>
  </conditionalFormatting>
  <conditionalFormatting sqref="D52:P52">
    <cfRule type="containsText" dxfId="159" priority="34" operator="containsText" text="NOT FOUND">
      <formula>NOT(ISERROR(SEARCH("NOT FOUND",D52)))</formula>
    </cfRule>
  </conditionalFormatting>
  <conditionalFormatting sqref="D53:P53">
    <cfRule type="containsText" dxfId="158" priority="33" operator="containsText" text="NOT FOUND">
      <formula>NOT(ISERROR(SEARCH("NOT FOUND",D53)))</formula>
    </cfRule>
  </conditionalFormatting>
  <conditionalFormatting sqref="D61:P61">
    <cfRule type="containsText" dxfId="157" priority="32" operator="containsText" text="NOT FOUND">
      <formula>NOT(ISERROR(SEARCH("NOT FOUND",D61)))</formula>
    </cfRule>
  </conditionalFormatting>
  <conditionalFormatting sqref="D70:P70">
    <cfRule type="containsText" dxfId="156" priority="31" operator="containsText" text="NOT FOUND">
      <formula>NOT(ISERROR(SEARCH("NOT FOUND",D70)))</formula>
    </cfRule>
  </conditionalFormatting>
  <conditionalFormatting sqref="D80:P80">
    <cfRule type="containsText" dxfId="155" priority="30" operator="containsText" text="NOT FOUND">
      <formula>NOT(ISERROR(SEARCH("NOT FOUND",D80)))</formula>
    </cfRule>
  </conditionalFormatting>
  <conditionalFormatting sqref="D89:P89">
    <cfRule type="containsText" dxfId="154" priority="29" operator="containsText" text="NOT FOUND">
      <formula>NOT(ISERROR(SEARCH("NOT FOUND",D89)))</formula>
    </cfRule>
  </conditionalFormatting>
  <conditionalFormatting sqref="D101:P101">
    <cfRule type="containsText" dxfId="153" priority="28" operator="containsText" text="NOT FOUND">
      <formula>NOT(ISERROR(SEARCH("NOT FOUND",D101)))</formula>
    </cfRule>
  </conditionalFormatting>
  <conditionalFormatting sqref="D106:P106">
    <cfRule type="containsText" dxfId="152" priority="27" operator="containsText" text="NOT FOUND">
      <formula>NOT(ISERROR(SEARCH("NOT FOUND",D106)))</formula>
    </cfRule>
  </conditionalFormatting>
  <conditionalFormatting sqref="D111:P111">
    <cfRule type="containsText" dxfId="151" priority="26" operator="containsText" text="NOT FOUND">
      <formula>NOT(ISERROR(SEARCH("NOT FOUND",D111)))</formula>
    </cfRule>
  </conditionalFormatting>
  <conditionalFormatting sqref="D112:P112">
    <cfRule type="containsText" dxfId="150" priority="25" operator="containsText" text="NOT FOUND">
      <formula>NOT(ISERROR(SEARCH("NOT FOUND",D112)))</formula>
    </cfRule>
  </conditionalFormatting>
  <conditionalFormatting sqref="D117:P117">
    <cfRule type="containsText" dxfId="149" priority="24" operator="containsText" text="NOT FOUND">
      <formula>NOT(ISERROR(SEARCH("NOT FOUND",D117)))</formula>
    </cfRule>
  </conditionalFormatting>
  <conditionalFormatting sqref="D128:P128">
    <cfRule type="containsText" dxfId="148" priority="23" operator="containsText" text="NOT FOUND">
      <formula>NOT(ISERROR(SEARCH("NOT FOUND",D128)))</formula>
    </cfRule>
  </conditionalFormatting>
  <conditionalFormatting sqref="D132:P132">
    <cfRule type="containsText" dxfId="147" priority="22" operator="containsText" text="NOT FOUND">
      <formula>NOT(ISERROR(SEARCH("NOT FOUND",D132)))</formula>
    </cfRule>
  </conditionalFormatting>
  <conditionalFormatting sqref="D137:P137">
    <cfRule type="containsText" dxfId="146" priority="21" operator="containsText" text="NOT FOUND">
      <formula>NOT(ISERROR(SEARCH("NOT FOUND",D137)))</formula>
    </cfRule>
  </conditionalFormatting>
  <conditionalFormatting sqref="D138:P138">
    <cfRule type="containsText" dxfId="145" priority="20" operator="containsText" text="NOT FOUND">
      <formula>NOT(ISERROR(SEARCH("NOT FOUND",D138)))</formula>
    </cfRule>
  </conditionalFormatting>
  <conditionalFormatting sqref="D148:P148">
    <cfRule type="containsText" dxfId="144" priority="19" operator="containsText" text="NOT FOUND">
      <formula>NOT(ISERROR(SEARCH("NOT FOUND",D148)))</formula>
    </cfRule>
  </conditionalFormatting>
  <conditionalFormatting sqref="D154:P154">
    <cfRule type="containsText" dxfId="143" priority="18" operator="containsText" text="NOT FOUND">
      <formula>NOT(ISERROR(SEARCH("NOT FOUND",D154)))</formula>
    </cfRule>
  </conditionalFormatting>
  <conditionalFormatting sqref="D158:P158">
    <cfRule type="containsText" dxfId="142" priority="17" operator="containsText" text="NOT FOUND">
      <formula>NOT(ISERROR(SEARCH("NOT FOUND",D158)))</formula>
    </cfRule>
  </conditionalFormatting>
  <conditionalFormatting sqref="D170:P170">
    <cfRule type="containsText" dxfId="141" priority="16" operator="containsText" text="NOT FOUND">
      <formula>NOT(ISERROR(SEARCH("NOT FOUND",D170)))</formula>
    </cfRule>
  </conditionalFormatting>
  <conditionalFormatting sqref="D175:P175">
    <cfRule type="containsText" dxfId="140" priority="15" operator="containsText" text="NOT FOUND">
      <formula>NOT(ISERROR(SEARCH("NOT FOUND",D175)))</formula>
    </cfRule>
  </conditionalFormatting>
  <conditionalFormatting sqref="D182:P182">
    <cfRule type="containsText" dxfId="139" priority="14" operator="containsText" text="NOT FOUND">
      <formula>NOT(ISERROR(SEARCH("NOT FOUND",D182)))</formula>
    </cfRule>
  </conditionalFormatting>
  <conditionalFormatting sqref="D187:P187">
    <cfRule type="containsText" dxfId="138" priority="13" operator="containsText" text="NOT FOUND">
      <formula>NOT(ISERROR(SEARCH("NOT FOUND",D187)))</formula>
    </cfRule>
  </conditionalFormatting>
  <conditionalFormatting sqref="D197:P197">
    <cfRule type="containsText" dxfId="137" priority="12" operator="containsText" text="NOT FOUND">
      <formula>NOT(ISERROR(SEARCH("NOT FOUND",D197)))</formula>
    </cfRule>
  </conditionalFormatting>
  <conditionalFormatting sqref="D198:P198">
    <cfRule type="containsText" dxfId="136" priority="11" operator="containsText" text="NOT FOUND">
      <formula>NOT(ISERROR(SEARCH("NOT FOUND",D198)))</formula>
    </cfRule>
  </conditionalFormatting>
  <conditionalFormatting sqref="D206:P206">
    <cfRule type="containsText" dxfId="135" priority="10" operator="containsText" text="NOT FOUND">
      <formula>NOT(ISERROR(SEARCH("NOT FOUND",D206)))</formula>
    </cfRule>
  </conditionalFormatting>
  <conditionalFormatting sqref="D214:P214">
    <cfRule type="containsText" dxfId="134" priority="9" operator="containsText" text="NOT FOUND">
      <formula>NOT(ISERROR(SEARCH("NOT FOUND",D214)))</formula>
    </cfRule>
  </conditionalFormatting>
  <conditionalFormatting sqref="D219:P219">
    <cfRule type="containsText" dxfId="133" priority="8" operator="containsText" text="NOT FOUND">
      <formula>NOT(ISERROR(SEARCH("NOT FOUND",D219)))</formula>
    </cfRule>
  </conditionalFormatting>
  <conditionalFormatting sqref="D223:P223">
    <cfRule type="containsText" dxfId="132" priority="7" operator="containsText" text="NOT FOUND">
      <formula>NOT(ISERROR(SEARCH("NOT FOUND",D223)))</formula>
    </cfRule>
  </conditionalFormatting>
  <conditionalFormatting sqref="D229:P229">
    <cfRule type="containsText" dxfId="131" priority="6" operator="containsText" text="NOT FOUND">
      <formula>NOT(ISERROR(SEARCH("NOT FOUND",D229)))</formula>
    </cfRule>
  </conditionalFormatting>
  <conditionalFormatting sqref="D233:P233">
    <cfRule type="containsText" dxfId="130" priority="5" operator="containsText" text="NOT FOUND">
      <formula>NOT(ISERROR(SEARCH("NOT FOUND",D233)))</formula>
    </cfRule>
  </conditionalFormatting>
  <conditionalFormatting sqref="D243:P243">
    <cfRule type="containsText" dxfId="129" priority="4" operator="containsText" text="NOT FOUND">
      <formula>NOT(ISERROR(SEARCH("NOT FOUND",D243)))</formula>
    </cfRule>
  </conditionalFormatting>
  <conditionalFormatting sqref="D248:P248">
    <cfRule type="containsText" dxfId="128" priority="3" operator="containsText" text="NOT FOUND">
      <formula>NOT(ISERROR(SEARCH("NOT FOUND",D248)))</formula>
    </cfRule>
  </conditionalFormatting>
  <conditionalFormatting sqref="D253:P253">
    <cfRule type="containsText" dxfId="127" priority="2" operator="containsText" text="NOT FOUND">
      <formula>NOT(ISERROR(SEARCH("NOT FOUND",D253)))</formula>
    </cfRule>
  </conditionalFormatting>
  <conditionalFormatting sqref="D6:P1000">
    <cfRule type="containsText" dxfId="126" priority="1" operator="containsText" text="NOT FOUND">
      <formula>NOT(ISERROR(SEARCH("NOT FOUND",D6)))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3DE58-4A31-4437-BD69-51D258804094}">
  <sheetPr codeName="Sheet5">
    <pageSetUpPr fitToPage="1"/>
  </sheetPr>
  <dimension ref="A1:Z263"/>
  <sheetViews>
    <sheetView zoomScale="75" zoomScaleNormal="75" workbookViewId="0">
      <selection activeCell="C3" sqref="C3"/>
    </sheetView>
  </sheetViews>
  <sheetFormatPr defaultRowHeight="16.5"/>
  <cols>
    <col min="1" max="1" width="5.7109375" style="20" customWidth="1"/>
    <col min="2" max="2" width="17.140625" style="41" customWidth="1"/>
    <col min="3" max="3" width="52" style="20" customWidth="1"/>
    <col min="4" max="7" width="21.7109375" style="20" customWidth="1"/>
    <col min="8" max="8" width="21.7109375" style="43" customWidth="1"/>
    <col min="9" max="9" width="9.140625" style="20"/>
    <col min="10" max="10" width="33.28515625" style="20" customWidth="1"/>
    <col min="11" max="256" width="9.140625" style="20"/>
    <col min="257" max="257" width="5.7109375" style="20" customWidth="1"/>
    <col min="258" max="258" width="17.140625" style="20" customWidth="1"/>
    <col min="259" max="259" width="43.85546875" style="20" customWidth="1"/>
    <col min="260" max="264" width="21.7109375" style="20" customWidth="1"/>
    <col min="265" max="265" width="9.140625" style="20"/>
    <col min="266" max="266" width="33.28515625" style="20" customWidth="1"/>
    <col min="267" max="512" width="9.140625" style="20"/>
    <col min="513" max="513" width="5.7109375" style="20" customWidth="1"/>
    <col min="514" max="514" width="17.140625" style="20" customWidth="1"/>
    <col min="515" max="515" width="43.85546875" style="20" customWidth="1"/>
    <col min="516" max="520" width="21.7109375" style="20" customWidth="1"/>
    <col min="521" max="521" width="9.140625" style="20"/>
    <col min="522" max="522" width="33.28515625" style="20" customWidth="1"/>
    <col min="523" max="768" width="9.140625" style="20"/>
    <col min="769" max="769" width="5.7109375" style="20" customWidth="1"/>
    <col min="770" max="770" width="17.140625" style="20" customWidth="1"/>
    <col min="771" max="771" width="43.85546875" style="20" customWidth="1"/>
    <col min="772" max="776" width="21.7109375" style="20" customWidth="1"/>
    <col min="777" max="777" width="9.140625" style="20"/>
    <col min="778" max="778" width="33.28515625" style="20" customWidth="1"/>
    <col min="779" max="1024" width="9.140625" style="20"/>
    <col min="1025" max="1025" width="5.7109375" style="20" customWidth="1"/>
    <col min="1026" max="1026" width="17.140625" style="20" customWidth="1"/>
    <col min="1027" max="1027" width="43.85546875" style="20" customWidth="1"/>
    <col min="1028" max="1032" width="21.7109375" style="20" customWidth="1"/>
    <col min="1033" max="1033" width="9.140625" style="20"/>
    <col min="1034" max="1034" width="33.28515625" style="20" customWidth="1"/>
    <col min="1035" max="1280" width="9.140625" style="20"/>
    <col min="1281" max="1281" width="5.7109375" style="20" customWidth="1"/>
    <col min="1282" max="1282" width="17.140625" style="20" customWidth="1"/>
    <col min="1283" max="1283" width="43.85546875" style="20" customWidth="1"/>
    <col min="1284" max="1288" width="21.7109375" style="20" customWidth="1"/>
    <col min="1289" max="1289" width="9.140625" style="20"/>
    <col min="1290" max="1290" width="33.28515625" style="20" customWidth="1"/>
    <col min="1291" max="1536" width="9.140625" style="20"/>
    <col min="1537" max="1537" width="5.7109375" style="20" customWidth="1"/>
    <col min="1538" max="1538" width="17.140625" style="20" customWidth="1"/>
    <col min="1539" max="1539" width="43.85546875" style="20" customWidth="1"/>
    <col min="1540" max="1544" width="21.7109375" style="20" customWidth="1"/>
    <col min="1545" max="1545" width="9.140625" style="20"/>
    <col min="1546" max="1546" width="33.28515625" style="20" customWidth="1"/>
    <col min="1547" max="1792" width="9.140625" style="20"/>
    <col min="1793" max="1793" width="5.7109375" style="20" customWidth="1"/>
    <col min="1794" max="1794" width="17.140625" style="20" customWidth="1"/>
    <col min="1795" max="1795" width="43.85546875" style="20" customWidth="1"/>
    <col min="1796" max="1800" width="21.7109375" style="20" customWidth="1"/>
    <col min="1801" max="1801" width="9.140625" style="20"/>
    <col min="1802" max="1802" width="33.28515625" style="20" customWidth="1"/>
    <col min="1803" max="2048" width="9.140625" style="20"/>
    <col min="2049" max="2049" width="5.7109375" style="20" customWidth="1"/>
    <col min="2050" max="2050" width="17.140625" style="20" customWidth="1"/>
    <col min="2051" max="2051" width="43.85546875" style="20" customWidth="1"/>
    <col min="2052" max="2056" width="21.7109375" style="20" customWidth="1"/>
    <col min="2057" max="2057" width="9.140625" style="20"/>
    <col min="2058" max="2058" width="33.28515625" style="20" customWidth="1"/>
    <col min="2059" max="2304" width="9.140625" style="20"/>
    <col min="2305" max="2305" width="5.7109375" style="20" customWidth="1"/>
    <col min="2306" max="2306" width="17.140625" style="20" customWidth="1"/>
    <col min="2307" max="2307" width="43.85546875" style="20" customWidth="1"/>
    <col min="2308" max="2312" width="21.7109375" style="20" customWidth="1"/>
    <col min="2313" max="2313" width="9.140625" style="20"/>
    <col min="2314" max="2314" width="33.28515625" style="20" customWidth="1"/>
    <col min="2315" max="2560" width="9.140625" style="20"/>
    <col min="2561" max="2561" width="5.7109375" style="20" customWidth="1"/>
    <col min="2562" max="2562" width="17.140625" style="20" customWidth="1"/>
    <col min="2563" max="2563" width="43.85546875" style="20" customWidth="1"/>
    <col min="2564" max="2568" width="21.7109375" style="20" customWidth="1"/>
    <col min="2569" max="2569" width="9.140625" style="20"/>
    <col min="2570" max="2570" width="33.28515625" style="20" customWidth="1"/>
    <col min="2571" max="2816" width="9.140625" style="20"/>
    <col min="2817" max="2817" width="5.7109375" style="20" customWidth="1"/>
    <col min="2818" max="2818" width="17.140625" style="20" customWidth="1"/>
    <col min="2819" max="2819" width="43.85546875" style="20" customWidth="1"/>
    <col min="2820" max="2824" width="21.7109375" style="20" customWidth="1"/>
    <col min="2825" max="2825" width="9.140625" style="20"/>
    <col min="2826" max="2826" width="33.28515625" style="20" customWidth="1"/>
    <col min="2827" max="3072" width="9.140625" style="20"/>
    <col min="3073" max="3073" width="5.7109375" style="20" customWidth="1"/>
    <col min="3074" max="3074" width="17.140625" style="20" customWidth="1"/>
    <col min="3075" max="3075" width="43.85546875" style="20" customWidth="1"/>
    <col min="3076" max="3080" width="21.7109375" style="20" customWidth="1"/>
    <col min="3081" max="3081" width="9.140625" style="20"/>
    <col min="3082" max="3082" width="33.28515625" style="20" customWidth="1"/>
    <col min="3083" max="3328" width="9.140625" style="20"/>
    <col min="3329" max="3329" width="5.7109375" style="20" customWidth="1"/>
    <col min="3330" max="3330" width="17.140625" style="20" customWidth="1"/>
    <col min="3331" max="3331" width="43.85546875" style="20" customWidth="1"/>
    <col min="3332" max="3336" width="21.7109375" style="20" customWidth="1"/>
    <col min="3337" max="3337" width="9.140625" style="20"/>
    <col min="3338" max="3338" width="33.28515625" style="20" customWidth="1"/>
    <col min="3339" max="3584" width="9.140625" style="20"/>
    <col min="3585" max="3585" width="5.7109375" style="20" customWidth="1"/>
    <col min="3586" max="3586" width="17.140625" style="20" customWidth="1"/>
    <col min="3587" max="3587" width="43.85546875" style="20" customWidth="1"/>
    <col min="3588" max="3592" width="21.7109375" style="20" customWidth="1"/>
    <col min="3593" max="3593" width="9.140625" style="20"/>
    <col min="3594" max="3594" width="33.28515625" style="20" customWidth="1"/>
    <col min="3595" max="3840" width="9.140625" style="20"/>
    <col min="3841" max="3841" width="5.7109375" style="20" customWidth="1"/>
    <col min="3842" max="3842" width="17.140625" style="20" customWidth="1"/>
    <col min="3843" max="3843" width="43.85546875" style="20" customWidth="1"/>
    <col min="3844" max="3848" width="21.7109375" style="20" customWidth="1"/>
    <col min="3849" max="3849" width="9.140625" style="20"/>
    <col min="3850" max="3850" width="33.28515625" style="20" customWidth="1"/>
    <col min="3851" max="4096" width="9.140625" style="20"/>
    <col min="4097" max="4097" width="5.7109375" style="20" customWidth="1"/>
    <col min="4098" max="4098" width="17.140625" style="20" customWidth="1"/>
    <col min="4099" max="4099" width="43.85546875" style="20" customWidth="1"/>
    <col min="4100" max="4104" width="21.7109375" style="20" customWidth="1"/>
    <col min="4105" max="4105" width="9.140625" style="20"/>
    <col min="4106" max="4106" width="33.28515625" style="20" customWidth="1"/>
    <col min="4107" max="4352" width="9.140625" style="20"/>
    <col min="4353" max="4353" width="5.7109375" style="20" customWidth="1"/>
    <col min="4354" max="4354" width="17.140625" style="20" customWidth="1"/>
    <col min="4355" max="4355" width="43.85546875" style="20" customWidth="1"/>
    <col min="4356" max="4360" width="21.7109375" style="20" customWidth="1"/>
    <col min="4361" max="4361" width="9.140625" style="20"/>
    <col min="4362" max="4362" width="33.28515625" style="20" customWidth="1"/>
    <col min="4363" max="4608" width="9.140625" style="20"/>
    <col min="4609" max="4609" width="5.7109375" style="20" customWidth="1"/>
    <col min="4610" max="4610" width="17.140625" style="20" customWidth="1"/>
    <col min="4611" max="4611" width="43.85546875" style="20" customWidth="1"/>
    <col min="4612" max="4616" width="21.7109375" style="20" customWidth="1"/>
    <col min="4617" max="4617" width="9.140625" style="20"/>
    <col min="4618" max="4618" width="33.28515625" style="20" customWidth="1"/>
    <col min="4619" max="4864" width="9.140625" style="20"/>
    <col min="4865" max="4865" width="5.7109375" style="20" customWidth="1"/>
    <col min="4866" max="4866" width="17.140625" style="20" customWidth="1"/>
    <col min="4867" max="4867" width="43.85546875" style="20" customWidth="1"/>
    <col min="4868" max="4872" width="21.7109375" style="20" customWidth="1"/>
    <col min="4873" max="4873" width="9.140625" style="20"/>
    <col min="4874" max="4874" width="33.28515625" style="20" customWidth="1"/>
    <col min="4875" max="5120" width="9.140625" style="20"/>
    <col min="5121" max="5121" width="5.7109375" style="20" customWidth="1"/>
    <col min="5122" max="5122" width="17.140625" style="20" customWidth="1"/>
    <col min="5123" max="5123" width="43.85546875" style="20" customWidth="1"/>
    <col min="5124" max="5128" width="21.7109375" style="20" customWidth="1"/>
    <col min="5129" max="5129" width="9.140625" style="20"/>
    <col min="5130" max="5130" width="33.28515625" style="20" customWidth="1"/>
    <col min="5131" max="5376" width="9.140625" style="20"/>
    <col min="5377" max="5377" width="5.7109375" style="20" customWidth="1"/>
    <col min="5378" max="5378" width="17.140625" style="20" customWidth="1"/>
    <col min="5379" max="5379" width="43.85546875" style="20" customWidth="1"/>
    <col min="5380" max="5384" width="21.7109375" style="20" customWidth="1"/>
    <col min="5385" max="5385" width="9.140625" style="20"/>
    <col min="5386" max="5386" width="33.28515625" style="20" customWidth="1"/>
    <col min="5387" max="5632" width="9.140625" style="20"/>
    <col min="5633" max="5633" width="5.7109375" style="20" customWidth="1"/>
    <col min="5634" max="5634" width="17.140625" style="20" customWidth="1"/>
    <col min="5635" max="5635" width="43.85546875" style="20" customWidth="1"/>
    <col min="5636" max="5640" width="21.7109375" style="20" customWidth="1"/>
    <col min="5641" max="5641" width="9.140625" style="20"/>
    <col min="5642" max="5642" width="33.28515625" style="20" customWidth="1"/>
    <col min="5643" max="5888" width="9.140625" style="20"/>
    <col min="5889" max="5889" width="5.7109375" style="20" customWidth="1"/>
    <col min="5890" max="5890" width="17.140625" style="20" customWidth="1"/>
    <col min="5891" max="5891" width="43.85546875" style="20" customWidth="1"/>
    <col min="5892" max="5896" width="21.7109375" style="20" customWidth="1"/>
    <col min="5897" max="5897" width="9.140625" style="20"/>
    <col min="5898" max="5898" width="33.28515625" style="20" customWidth="1"/>
    <col min="5899" max="6144" width="9.140625" style="20"/>
    <col min="6145" max="6145" width="5.7109375" style="20" customWidth="1"/>
    <col min="6146" max="6146" width="17.140625" style="20" customWidth="1"/>
    <col min="6147" max="6147" width="43.85546875" style="20" customWidth="1"/>
    <col min="6148" max="6152" width="21.7109375" style="20" customWidth="1"/>
    <col min="6153" max="6153" width="9.140625" style="20"/>
    <col min="6154" max="6154" width="33.28515625" style="20" customWidth="1"/>
    <col min="6155" max="6400" width="9.140625" style="20"/>
    <col min="6401" max="6401" width="5.7109375" style="20" customWidth="1"/>
    <col min="6402" max="6402" width="17.140625" style="20" customWidth="1"/>
    <col min="6403" max="6403" width="43.85546875" style="20" customWidth="1"/>
    <col min="6404" max="6408" width="21.7109375" style="20" customWidth="1"/>
    <col min="6409" max="6409" width="9.140625" style="20"/>
    <col min="6410" max="6410" width="33.28515625" style="20" customWidth="1"/>
    <col min="6411" max="6656" width="9.140625" style="20"/>
    <col min="6657" max="6657" width="5.7109375" style="20" customWidth="1"/>
    <col min="6658" max="6658" width="17.140625" style="20" customWidth="1"/>
    <col min="6659" max="6659" width="43.85546875" style="20" customWidth="1"/>
    <col min="6660" max="6664" width="21.7109375" style="20" customWidth="1"/>
    <col min="6665" max="6665" width="9.140625" style="20"/>
    <col min="6666" max="6666" width="33.28515625" style="20" customWidth="1"/>
    <col min="6667" max="6912" width="9.140625" style="20"/>
    <col min="6913" max="6913" width="5.7109375" style="20" customWidth="1"/>
    <col min="6914" max="6914" width="17.140625" style="20" customWidth="1"/>
    <col min="6915" max="6915" width="43.85546875" style="20" customWidth="1"/>
    <col min="6916" max="6920" width="21.7109375" style="20" customWidth="1"/>
    <col min="6921" max="6921" width="9.140625" style="20"/>
    <col min="6922" max="6922" width="33.28515625" style="20" customWidth="1"/>
    <col min="6923" max="7168" width="9.140625" style="20"/>
    <col min="7169" max="7169" width="5.7109375" style="20" customWidth="1"/>
    <col min="7170" max="7170" width="17.140625" style="20" customWidth="1"/>
    <col min="7171" max="7171" width="43.85546875" style="20" customWidth="1"/>
    <col min="7172" max="7176" width="21.7109375" style="20" customWidth="1"/>
    <col min="7177" max="7177" width="9.140625" style="20"/>
    <col min="7178" max="7178" width="33.28515625" style="20" customWidth="1"/>
    <col min="7179" max="7424" width="9.140625" style="20"/>
    <col min="7425" max="7425" width="5.7109375" style="20" customWidth="1"/>
    <col min="7426" max="7426" width="17.140625" style="20" customWidth="1"/>
    <col min="7427" max="7427" width="43.85546875" style="20" customWidth="1"/>
    <col min="7428" max="7432" width="21.7109375" style="20" customWidth="1"/>
    <col min="7433" max="7433" width="9.140625" style="20"/>
    <col min="7434" max="7434" width="33.28515625" style="20" customWidth="1"/>
    <col min="7435" max="7680" width="9.140625" style="20"/>
    <col min="7681" max="7681" width="5.7109375" style="20" customWidth="1"/>
    <col min="7682" max="7682" width="17.140625" style="20" customWidth="1"/>
    <col min="7683" max="7683" width="43.85546875" style="20" customWidth="1"/>
    <col min="7684" max="7688" width="21.7109375" style="20" customWidth="1"/>
    <col min="7689" max="7689" width="9.140625" style="20"/>
    <col min="7690" max="7690" width="33.28515625" style="20" customWidth="1"/>
    <col min="7691" max="7936" width="9.140625" style="20"/>
    <col min="7937" max="7937" width="5.7109375" style="20" customWidth="1"/>
    <col min="7938" max="7938" width="17.140625" style="20" customWidth="1"/>
    <col min="7939" max="7939" width="43.85546875" style="20" customWidth="1"/>
    <col min="7940" max="7944" width="21.7109375" style="20" customWidth="1"/>
    <col min="7945" max="7945" width="9.140625" style="20"/>
    <col min="7946" max="7946" width="33.28515625" style="20" customWidth="1"/>
    <col min="7947" max="8192" width="9.140625" style="20"/>
    <col min="8193" max="8193" width="5.7109375" style="20" customWidth="1"/>
    <col min="8194" max="8194" width="17.140625" style="20" customWidth="1"/>
    <col min="8195" max="8195" width="43.85546875" style="20" customWidth="1"/>
    <col min="8196" max="8200" width="21.7109375" style="20" customWidth="1"/>
    <col min="8201" max="8201" width="9.140625" style="20"/>
    <col min="8202" max="8202" width="33.28515625" style="20" customWidth="1"/>
    <col min="8203" max="8448" width="9.140625" style="20"/>
    <col min="8449" max="8449" width="5.7109375" style="20" customWidth="1"/>
    <col min="8450" max="8450" width="17.140625" style="20" customWidth="1"/>
    <col min="8451" max="8451" width="43.85546875" style="20" customWidth="1"/>
    <col min="8452" max="8456" width="21.7109375" style="20" customWidth="1"/>
    <col min="8457" max="8457" width="9.140625" style="20"/>
    <col min="8458" max="8458" width="33.28515625" style="20" customWidth="1"/>
    <col min="8459" max="8704" width="9.140625" style="20"/>
    <col min="8705" max="8705" width="5.7109375" style="20" customWidth="1"/>
    <col min="8706" max="8706" width="17.140625" style="20" customWidth="1"/>
    <col min="8707" max="8707" width="43.85546875" style="20" customWidth="1"/>
    <col min="8708" max="8712" width="21.7109375" style="20" customWidth="1"/>
    <col min="8713" max="8713" width="9.140625" style="20"/>
    <col min="8714" max="8714" width="33.28515625" style="20" customWidth="1"/>
    <col min="8715" max="8960" width="9.140625" style="20"/>
    <col min="8961" max="8961" width="5.7109375" style="20" customWidth="1"/>
    <col min="8962" max="8962" width="17.140625" style="20" customWidth="1"/>
    <col min="8963" max="8963" width="43.85546875" style="20" customWidth="1"/>
    <col min="8964" max="8968" width="21.7109375" style="20" customWidth="1"/>
    <col min="8969" max="8969" width="9.140625" style="20"/>
    <col min="8970" max="8970" width="33.28515625" style="20" customWidth="1"/>
    <col min="8971" max="9216" width="9.140625" style="20"/>
    <col min="9217" max="9217" width="5.7109375" style="20" customWidth="1"/>
    <col min="9218" max="9218" width="17.140625" style="20" customWidth="1"/>
    <col min="9219" max="9219" width="43.85546875" style="20" customWidth="1"/>
    <col min="9220" max="9224" width="21.7109375" style="20" customWidth="1"/>
    <col min="9225" max="9225" width="9.140625" style="20"/>
    <col min="9226" max="9226" width="33.28515625" style="20" customWidth="1"/>
    <col min="9227" max="9472" width="9.140625" style="20"/>
    <col min="9473" max="9473" width="5.7109375" style="20" customWidth="1"/>
    <col min="9474" max="9474" width="17.140625" style="20" customWidth="1"/>
    <col min="9475" max="9475" width="43.85546875" style="20" customWidth="1"/>
    <col min="9476" max="9480" width="21.7109375" style="20" customWidth="1"/>
    <col min="9481" max="9481" width="9.140625" style="20"/>
    <col min="9482" max="9482" width="33.28515625" style="20" customWidth="1"/>
    <col min="9483" max="9728" width="9.140625" style="20"/>
    <col min="9729" max="9729" width="5.7109375" style="20" customWidth="1"/>
    <col min="9730" max="9730" width="17.140625" style="20" customWidth="1"/>
    <col min="9731" max="9731" width="43.85546875" style="20" customWidth="1"/>
    <col min="9732" max="9736" width="21.7109375" style="20" customWidth="1"/>
    <col min="9737" max="9737" width="9.140625" style="20"/>
    <col min="9738" max="9738" width="33.28515625" style="20" customWidth="1"/>
    <col min="9739" max="9984" width="9.140625" style="20"/>
    <col min="9985" max="9985" width="5.7109375" style="20" customWidth="1"/>
    <col min="9986" max="9986" width="17.140625" style="20" customWidth="1"/>
    <col min="9987" max="9987" width="43.85546875" style="20" customWidth="1"/>
    <col min="9988" max="9992" width="21.7109375" style="20" customWidth="1"/>
    <col min="9993" max="9993" width="9.140625" style="20"/>
    <col min="9994" max="9994" width="33.28515625" style="20" customWidth="1"/>
    <col min="9995" max="10240" width="9.140625" style="20"/>
    <col min="10241" max="10241" width="5.7109375" style="20" customWidth="1"/>
    <col min="10242" max="10242" width="17.140625" style="20" customWidth="1"/>
    <col min="10243" max="10243" width="43.85546875" style="20" customWidth="1"/>
    <col min="10244" max="10248" width="21.7109375" style="20" customWidth="1"/>
    <col min="10249" max="10249" width="9.140625" style="20"/>
    <col min="10250" max="10250" width="33.28515625" style="20" customWidth="1"/>
    <col min="10251" max="10496" width="9.140625" style="20"/>
    <col min="10497" max="10497" width="5.7109375" style="20" customWidth="1"/>
    <col min="10498" max="10498" width="17.140625" style="20" customWidth="1"/>
    <col min="10499" max="10499" width="43.85546875" style="20" customWidth="1"/>
    <col min="10500" max="10504" width="21.7109375" style="20" customWidth="1"/>
    <col min="10505" max="10505" width="9.140625" style="20"/>
    <col min="10506" max="10506" width="33.28515625" style="20" customWidth="1"/>
    <col min="10507" max="10752" width="9.140625" style="20"/>
    <col min="10753" max="10753" width="5.7109375" style="20" customWidth="1"/>
    <col min="10754" max="10754" width="17.140625" style="20" customWidth="1"/>
    <col min="10755" max="10755" width="43.85546875" style="20" customWidth="1"/>
    <col min="10756" max="10760" width="21.7109375" style="20" customWidth="1"/>
    <col min="10761" max="10761" width="9.140625" style="20"/>
    <col min="10762" max="10762" width="33.28515625" style="20" customWidth="1"/>
    <col min="10763" max="11008" width="9.140625" style="20"/>
    <col min="11009" max="11009" width="5.7109375" style="20" customWidth="1"/>
    <col min="11010" max="11010" width="17.140625" style="20" customWidth="1"/>
    <col min="11011" max="11011" width="43.85546875" style="20" customWidth="1"/>
    <col min="11012" max="11016" width="21.7109375" style="20" customWidth="1"/>
    <col min="11017" max="11017" width="9.140625" style="20"/>
    <col min="11018" max="11018" width="33.28515625" style="20" customWidth="1"/>
    <col min="11019" max="11264" width="9.140625" style="20"/>
    <col min="11265" max="11265" width="5.7109375" style="20" customWidth="1"/>
    <col min="11266" max="11266" width="17.140625" style="20" customWidth="1"/>
    <col min="11267" max="11267" width="43.85546875" style="20" customWidth="1"/>
    <col min="11268" max="11272" width="21.7109375" style="20" customWidth="1"/>
    <col min="11273" max="11273" width="9.140625" style="20"/>
    <col min="11274" max="11274" width="33.28515625" style="20" customWidth="1"/>
    <col min="11275" max="11520" width="9.140625" style="20"/>
    <col min="11521" max="11521" width="5.7109375" style="20" customWidth="1"/>
    <col min="11522" max="11522" width="17.140625" style="20" customWidth="1"/>
    <col min="11523" max="11523" width="43.85546875" style="20" customWidth="1"/>
    <col min="11524" max="11528" width="21.7109375" style="20" customWidth="1"/>
    <col min="11529" max="11529" width="9.140625" style="20"/>
    <col min="11530" max="11530" width="33.28515625" style="20" customWidth="1"/>
    <col min="11531" max="11776" width="9.140625" style="20"/>
    <col min="11777" max="11777" width="5.7109375" style="20" customWidth="1"/>
    <col min="11778" max="11778" width="17.140625" style="20" customWidth="1"/>
    <col min="11779" max="11779" width="43.85546875" style="20" customWidth="1"/>
    <col min="11780" max="11784" width="21.7109375" style="20" customWidth="1"/>
    <col min="11785" max="11785" width="9.140625" style="20"/>
    <col min="11786" max="11786" width="33.28515625" style="20" customWidth="1"/>
    <col min="11787" max="12032" width="9.140625" style="20"/>
    <col min="12033" max="12033" width="5.7109375" style="20" customWidth="1"/>
    <col min="12034" max="12034" width="17.140625" style="20" customWidth="1"/>
    <col min="12035" max="12035" width="43.85546875" style="20" customWidth="1"/>
    <col min="12036" max="12040" width="21.7109375" style="20" customWidth="1"/>
    <col min="12041" max="12041" width="9.140625" style="20"/>
    <col min="12042" max="12042" width="33.28515625" style="20" customWidth="1"/>
    <col min="12043" max="12288" width="9.140625" style="20"/>
    <col min="12289" max="12289" width="5.7109375" style="20" customWidth="1"/>
    <col min="12290" max="12290" width="17.140625" style="20" customWidth="1"/>
    <col min="12291" max="12291" width="43.85546875" style="20" customWidth="1"/>
    <col min="12292" max="12296" width="21.7109375" style="20" customWidth="1"/>
    <col min="12297" max="12297" width="9.140625" style="20"/>
    <col min="12298" max="12298" width="33.28515625" style="20" customWidth="1"/>
    <col min="12299" max="12544" width="9.140625" style="20"/>
    <col min="12545" max="12545" width="5.7109375" style="20" customWidth="1"/>
    <col min="12546" max="12546" width="17.140625" style="20" customWidth="1"/>
    <col min="12547" max="12547" width="43.85546875" style="20" customWidth="1"/>
    <col min="12548" max="12552" width="21.7109375" style="20" customWidth="1"/>
    <col min="12553" max="12553" width="9.140625" style="20"/>
    <col min="12554" max="12554" width="33.28515625" style="20" customWidth="1"/>
    <col min="12555" max="12800" width="9.140625" style="20"/>
    <col min="12801" max="12801" width="5.7109375" style="20" customWidth="1"/>
    <col min="12802" max="12802" width="17.140625" style="20" customWidth="1"/>
    <col min="12803" max="12803" width="43.85546875" style="20" customWidth="1"/>
    <col min="12804" max="12808" width="21.7109375" style="20" customWidth="1"/>
    <col min="12809" max="12809" width="9.140625" style="20"/>
    <col min="12810" max="12810" width="33.28515625" style="20" customWidth="1"/>
    <col min="12811" max="13056" width="9.140625" style="20"/>
    <col min="13057" max="13057" width="5.7109375" style="20" customWidth="1"/>
    <col min="13058" max="13058" width="17.140625" style="20" customWidth="1"/>
    <col min="13059" max="13059" width="43.85546875" style="20" customWidth="1"/>
    <col min="13060" max="13064" width="21.7109375" style="20" customWidth="1"/>
    <col min="13065" max="13065" width="9.140625" style="20"/>
    <col min="13066" max="13066" width="33.28515625" style="20" customWidth="1"/>
    <col min="13067" max="13312" width="9.140625" style="20"/>
    <col min="13313" max="13313" width="5.7109375" style="20" customWidth="1"/>
    <col min="13314" max="13314" width="17.140625" style="20" customWidth="1"/>
    <col min="13315" max="13315" width="43.85546875" style="20" customWidth="1"/>
    <col min="13316" max="13320" width="21.7109375" style="20" customWidth="1"/>
    <col min="13321" max="13321" width="9.140625" style="20"/>
    <col min="13322" max="13322" width="33.28515625" style="20" customWidth="1"/>
    <col min="13323" max="13568" width="9.140625" style="20"/>
    <col min="13569" max="13569" width="5.7109375" style="20" customWidth="1"/>
    <col min="13570" max="13570" width="17.140625" style="20" customWidth="1"/>
    <col min="13571" max="13571" width="43.85546875" style="20" customWidth="1"/>
    <col min="13572" max="13576" width="21.7109375" style="20" customWidth="1"/>
    <col min="13577" max="13577" width="9.140625" style="20"/>
    <col min="13578" max="13578" width="33.28515625" style="20" customWidth="1"/>
    <col min="13579" max="13824" width="9.140625" style="20"/>
    <col min="13825" max="13825" width="5.7109375" style="20" customWidth="1"/>
    <col min="13826" max="13826" width="17.140625" style="20" customWidth="1"/>
    <col min="13827" max="13827" width="43.85546875" style="20" customWidth="1"/>
    <col min="13828" max="13832" width="21.7109375" style="20" customWidth="1"/>
    <col min="13833" max="13833" width="9.140625" style="20"/>
    <col min="13834" max="13834" width="33.28515625" style="20" customWidth="1"/>
    <col min="13835" max="14080" width="9.140625" style="20"/>
    <col min="14081" max="14081" width="5.7109375" style="20" customWidth="1"/>
    <col min="14082" max="14082" width="17.140625" style="20" customWidth="1"/>
    <col min="14083" max="14083" width="43.85546875" style="20" customWidth="1"/>
    <col min="14084" max="14088" width="21.7109375" style="20" customWidth="1"/>
    <col min="14089" max="14089" width="9.140625" style="20"/>
    <col min="14090" max="14090" width="33.28515625" style="20" customWidth="1"/>
    <col min="14091" max="14336" width="9.140625" style="20"/>
    <col min="14337" max="14337" width="5.7109375" style="20" customWidth="1"/>
    <col min="14338" max="14338" width="17.140625" style="20" customWidth="1"/>
    <col min="14339" max="14339" width="43.85546875" style="20" customWidth="1"/>
    <col min="14340" max="14344" width="21.7109375" style="20" customWidth="1"/>
    <col min="14345" max="14345" width="9.140625" style="20"/>
    <col min="14346" max="14346" width="33.28515625" style="20" customWidth="1"/>
    <col min="14347" max="14592" width="9.140625" style="20"/>
    <col min="14593" max="14593" width="5.7109375" style="20" customWidth="1"/>
    <col min="14594" max="14594" width="17.140625" style="20" customWidth="1"/>
    <col min="14595" max="14595" width="43.85546875" style="20" customWidth="1"/>
    <col min="14596" max="14600" width="21.7109375" style="20" customWidth="1"/>
    <col min="14601" max="14601" width="9.140625" style="20"/>
    <col min="14602" max="14602" width="33.28515625" style="20" customWidth="1"/>
    <col min="14603" max="14848" width="9.140625" style="20"/>
    <col min="14849" max="14849" width="5.7109375" style="20" customWidth="1"/>
    <col min="14850" max="14850" width="17.140625" style="20" customWidth="1"/>
    <col min="14851" max="14851" width="43.85546875" style="20" customWidth="1"/>
    <col min="14852" max="14856" width="21.7109375" style="20" customWidth="1"/>
    <col min="14857" max="14857" width="9.140625" style="20"/>
    <col min="14858" max="14858" width="33.28515625" style="20" customWidth="1"/>
    <col min="14859" max="15104" width="9.140625" style="20"/>
    <col min="15105" max="15105" width="5.7109375" style="20" customWidth="1"/>
    <col min="15106" max="15106" width="17.140625" style="20" customWidth="1"/>
    <col min="15107" max="15107" width="43.85546875" style="20" customWidth="1"/>
    <col min="15108" max="15112" width="21.7109375" style="20" customWidth="1"/>
    <col min="15113" max="15113" width="9.140625" style="20"/>
    <col min="15114" max="15114" width="33.28515625" style="20" customWidth="1"/>
    <col min="15115" max="15360" width="9.140625" style="20"/>
    <col min="15361" max="15361" width="5.7109375" style="20" customWidth="1"/>
    <col min="15362" max="15362" width="17.140625" style="20" customWidth="1"/>
    <col min="15363" max="15363" width="43.85546875" style="20" customWidth="1"/>
    <col min="15364" max="15368" width="21.7109375" style="20" customWidth="1"/>
    <col min="15369" max="15369" width="9.140625" style="20"/>
    <col min="15370" max="15370" width="33.28515625" style="20" customWidth="1"/>
    <col min="15371" max="15616" width="9.140625" style="20"/>
    <col min="15617" max="15617" width="5.7109375" style="20" customWidth="1"/>
    <col min="15618" max="15618" width="17.140625" style="20" customWidth="1"/>
    <col min="15619" max="15619" width="43.85546875" style="20" customWidth="1"/>
    <col min="15620" max="15624" width="21.7109375" style="20" customWidth="1"/>
    <col min="15625" max="15625" width="9.140625" style="20"/>
    <col min="15626" max="15626" width="33.28515625" style="20" customWidth="1"/>
    <col min="15627" max="15872" width="9.140625" style="20"/>
    <col min="15873" max="15873" width="5.7109375" style="20" customWidth="1"/>
    <col min="15874" max="15874" width="17.140625" style="20" customWidth="1"/>
    <col min="15875" max="15875" width="43.85546875" style="20" customWidth="1"/>
    <col min="15876" max="15880" width="21.7109375" style="20" customWidth="1"/>
    <col min="15881" max="15881" width="9.140625" style="20"/>
    <col min="15882" max="15882" width="33.28515625" style="20" customWidth="1"/>
    <col min="15883" max="16128" width="9.140625" style="20"/>
    <col min="16129" max="16129" width="5.7109375" style="20" customWidth="1"/>
    <col min="16130" max="16130" width="17.140625" style="20" customWidth="1"/>
    <col min="16131" max="16131" width="43.85546875" style="20" customWidth="1"/>
    <col min="16132" max="16136" width="21.7109375" style="20" customWidth="1"/>
    <col min="16137" max="16137" width="9.140625" style="20"/>
    <col min="16138" max="16138" width="33.28515625" style="20" customWidth="1"/>
    <col min="16139" max="16384" width="9.140625" style="20"/>
  </cols>
  <sheetData>
    <row r="1" spans="1:26" ht="26.25" customHeight="1">
      <c r="C1" s="19" t="s">
        <v>419</v>
      </c>
    </row>
    <row r="2" spans="1:26" ht="19.5" customHeight="1">
      <c r="C2" s="21" t="s">
        <v>11</v>
      </c>
    </row>
    <row r="3" spans="1:26" ht="17.45" customHeight="1">
      <c r="C3" s="23" t="s">
        <v>426</v>
      </c>
    </row>
    <row r="4" spans="1:26">
      <c r="B4" s="24" t="s">
        <v>12</v>
      </c>
      <c r="C4" s="24" t="s">
        <v>13</v>
      </c>
      <c r="D4" s="129" t="s">
        <v>421</v>
      </c>
      <c r="E4" s="130"/>
      <c r="F4" s="130"/>
      <c r="G4" s="130"/>
      <c r="H4" s="131"/>
    </row>
    <row r="5" spans="1:26" ht="24" customHeight="1">
      <c r="B5" s="44"/>
      <c r="C5" s="45"/>
      <c r="D5" s="24" t="s">
        <v>422</v>
      </c>
      <c r="E5" s="24" t="s">
        <v>423</v>
      </c>
      <c r="F5" s="24" t="s">
        <v>424</v>
      </c>
      <c r="G5" s="24" t="s">
        <v>425</v>
      </c>
      <c r="H5" s="46" t="s">
        <v>26</v>
      </c>
    </row>
    <row r="6" spans="1:26" ht="17.45" customHeight="1">
      <c r="B6" s="25"/>
      <c r="C6" s="28" t="s">
        <v>27</v>
      </c>
      <c r="D6" s="27"/>
      <c r="E6" s="27"/>
      <c r="F6" s="27"/>
      <c r="G6" s="27"/>
      <c r="H6" s="27"/>
    </row>
    <row r="7" spans="1:26" ht="17.25" customHeight="1">
      <c r="B7" s="25"/>
      <c r="C7" s="29" t="s">
        <v>28</v>
      </c>
      <c r="D7" s="27"/>
      <c r="E7" s="27"/>
      <c r="F7" s="27"/>
      <c r="G7" s="27"/>
      <c r="H7" s="27"/>
    </row>
    <row r="8" spans="1:26" ht="17.45" customHeight="1">
      <c r="A8" s="30" t="s">
        <v>29</v>
      </c>
      <c r="B8" s="31" t="s">
        <v>30</v>
      </c>
      <c r="C8" s="26" t="s">
        <v>31</v>
      </c>
      <c r="D8" s="27">
        <f>+[2]CLN!P8</f>
        <v>826982.18</v>
      </c>
      <c r="E8" s="27">
        <f>'[2]MJK 2'!P8</f>
        <v>947218.31</v>
      </c>
      <c r="F8" s="27">
        <f>'[2]MJK 1'!P8</f>
        <v>0</v>
      </c>
      <c r="G8" s="27">
        <f>[2]BJR!P8</f>
        <v>0</v>
      </c>
      <c r="H8" s="27">
        <f>SUM(D8:G8)</f>
        <v>1774200.4900000002</v>
      </c>
      <c r="J8" s="51">
        <f>D8*$J$5</f>
        <v>0</v>
      </c>
    </row>
    <row r="9" spans="1:26" ht="17.45" customHeight="1">
      <c r="A9" s="30" t="s">
        <v>29</v>
      </c>
      <c r="B9" s="31" t="s">
        <v>32</v>
      </c>
      <c r="C9" s="26" t="s">
        <v>33</v>
      </c>
      <c r="D9" s="27">
        <f>+[2]CLN!P9</f>
        <v>0</v>
      </c>
      <c r="E9" s="27">
        <f>'[2]MJK 2'!P9</f>
        <v>0</v>
      </c>
      <c r="F9" s="27">
        <f>'[2]MJK 1'!P9</f>
        <v>224778.67</v>
      </c>
      <c r="G9" s="27">
        <f>[2]BJR!P9</f>
        <v>0</v>
      </c>
      <c r="H9" s="27">
        <f t="shared" ref="H9:H72" si="0">SUM(D9:G9)</f>
        <v>224778.67</v>
      </c>
      <c r="J9" s="51">
        <f t="shared" ref="J9:J15" si="1">D9*$J$5</f>
        <v>0</v>
      </c>
    </row>
    <row r="10" spans="1:26" ht="17.45" customHeight="1">
      <c r="A10" s="30" t="s">
        <v>29</v>
      </c>
      <c r="B10" s="31" t="s">
        <v>34</v>
      </c>
      <c r="C10" s="26" t="s">
        <v>35</v>
      </c>
      <c r="D10" s="27">
        <f>+[2]CLN!P10</f>
        <v>0</v>
      </c>
      <c r="E10" s="27">
        <f>'[2]MJK 2'!P10</f>
        <v>0</v>
      </c>
      <c r="F10" s="27">
        <f>'[2]MJK 1'!P10</f>
        <v>0</v>
      </c>
      <c r="G10" s="27">
        <f>[2]BJR!P10</f>
        <v>0</v>
      </c>
      <c r="H10" s="27">
        <f t="shared" si="0"/>
        <v>0</v>
      </c>
      <c r="J10" s="51">
        <f t="shared" si="1"/>
        <v>0</v>
      </c>
    </row>
    <row r="11" spans="1:26" ht="17.45" customHeight="1">
      <c r="A11" s="30" t="s">
        <v>29</v>
      </c>
      <c r="B11" s="31" t="s">
        <v>36</v>
      </c>
      <c r="C11" s="26" t="s">
        <v>37</v>
      </c>
      <c r="D11" s="27">
        <f>+[2]CLN!P11</f>
        <v>14591.23</v>
      </c>
      <c r="E11" s="27">
        <f>'[2]MJK 2'!P11</f>
        <v>58.28</v>
      </c>
      <c r="F11" s="27">
        <f>'[2]MJK 1'!P11</f>
        <v>931.28</v>
      </c>
      <c r="G11" s="27">
        <f>[2]BJR!P11</f>
        <v>0</v>
      </c>
      <c r="H11" s="27">
        <f t="shared" si="0"/>
        <v>15580.79</v>
      </c>
      <c r="J11" s="51">
        <f t="shared" si="1"/>
        <v>0</v>
      </c>
    </row>
    <row r="12" spans="1:26" ht="17.45" customHeight="1">
      <c r="A12" s="30" t="s">
        <v>29</v>
      </c>
      <c r="B12" s="31" t="s">
        <v>38</v>
      </c>
      <c r="C12" s="26" t="s">
        <v>39</v>
      </c>
      <c r="D12" s="27">
        <f>+[2]CLN!P12</f>
        <v>0</v>
      </c>
      <c r="E12" s="27">
        <f>'[2]MJK 2'!P12</f>
        <v>0</v>
      </c>
      <c r="F12" s="27">
        <f>'[2]MJK 1'!P12</f>
        <v>0</v>
      </c>
      <c r="G12" s="27">
        <f>[2]BJR!P12</f>
        <v>0</v>
      </c>
      <c r="H12" s="27">
        <f t="shared" si="0"/>
        <v>0</v>
      </c>
      <c r="J12" s="51">
        <f t="shared" si="1"/>
        <v>0</v>
      </c>
    </row>
    <row r="13" spans="1:26" ht="17.45" customHeight="1">
      <c r="A13" s="30" t="s">
        <v>29</v>
      </c>
      <c r="B13" s="31" t="s">
        <v>40</v>
      </c>
      <c r="C13" s="26" t="s">
        <v>41</v>
      </c>
      <c r="D13" s="27">
        <f>+[2]CLN!P13</f>
        <v>0</v>
      </c>
      <c r="E13" s="27">
        <f>'[2]MJK 2'!P13</f>
        <v>0</v>
      </c>
      <c r="F13" s="27">
        <f>'[2]MJK 1'!P13</f>
        <v>0</v>
      </c>
      <c r="G13" s="27">
        <f>[2]BJR!P13</f>
        <v>0</v>
      </c>
      <c r="H13" s="27">
        <f t="shared" si="0"/>
        <v>0</v>
      </c>
      <c r="J13" s="51">
        <f t="shared" si="1"/>
        <v>0</v>
      </c>
    </row>
    <row r="14" spans="1:26" ht="17.45" customHeight="1">
      <c r="A14" s="30" t="s">
        <v>29</v>
      </c>
      <c r="B14" s="31"/>
      <c r="C14" s="26" t="s">
        <v>42</v>
      </c>
      <c r="D14" s="27">
        <f>+[2]CLN!P14</f>
        <v>0</v>
      </c>
      <c r="E14" s="27">
        <f>'[2]MJK 2'!P14</f>
        <v>0</v>
      </c>
      <c r="F14" s="27">
        <f>'[2]MJK 1'!P14</f>
        <v>0</v>
      </c>
      <c r="G14" s="27">
        <f>[2]BJR!P14</f>
        <v>0</v>
      </c>
      <c r="H14" s="27">
        <f t="shared" si="0"/>
        <v>0</v>
      </c>
      <c r="I14" s="27"/>
      <c r="J14" s="51">
        <f t="shared" si="1"/>
        <v>0</v>
      </c>
      <c r="K14" s="27"/>
      <c r="L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>
        <f>SUM(N14:Y14)</f>
        <v>0</v>
      </c>
    </row>
    <row r="15" spans="1:26" ht="17.45" customHeight="1">
      <c r="A15" s="30" t="s">
        <v>43</v>
      </c>
      <c r="B15" s="31" t="s">
        <v>44</v>
      </c>
      <c r="C15" s="37" t="s">
        <v>28</v>
      </c>
      <c r="D15" s="27">
        <f>+[2]CLN!P15</f>
        <v>841573.41</v>
      </c>
      <c r="E15" s="27">
        <f>'[2]MJK 2'!P15</f>
        <v>947276.59000000008</v>
      </c>
      <c r="F15" s="27">
        <f>'[2]MJK 1'!P15</f>
        <v>225709.95</v>
      </c>
      <c r="G15" s="27">
        <f>[2]BJR!P15</f>
        <v>0</v>
      </c>
      <c r="H15" s="27">
        <f t="shared" si="0"/>
        <v>2014559.95</v>
      </c>
      <c r="J15" s="51">
        <f t="shared" si="1"/>
        <v>0</v>
      </c>
    </row>
    <row r="16" spans="1:26" ht="17.45" customHeight="1">
      <c r="A16" s="30" t="s">
        <v>45</v>
      </c>
      <c r="B16" s="31" t="s">
        <v>46</v>
      </c>
      <c r="C16" s="37" t="s">
        <v>47</v>
      </c>
      <c r="D16" s="27">
        <f>+[2]CLN!P16</f>
        <v>841573.41</v>
      </c>
      <c r="E16" s="27">
        <f>'[2]MJK 2'!P16</f>
        <v>947276.59000000008</v>
      </c>
      <c r="F16" s="27">
        <f>'[2]MJK 1'!P16</f>
        <v>225709.95</v>
      </c>
      <c r="G16" s="27">
        <f>[2]BJR!P16</f>
        <v>0</v>
      </c>
      <c r="H16" s="27">
        <f t="shared" si="0"/>
        <v>2014559.95</v>
      </c>
    </row>
    <row r="17" spans="1:8" ht="17.45" customHeight="1">
      <c r="A17" s="30"/>
      <c r="B17" s="31"/>
      <c r="C17" s="28" t="s">
        <v>48</v>
      </c>
      <c r="D17" s="27">
        <f>+[2]CLN!P17</f>
        <v>0</v>
      </c>
      <c r="E17" s="27">
        <f>'[2]MJK 2'!P17</f>
        <v>0</v>
      </c>
      <c r="F17" s="27">
        <f>'[2]MJK 1'!P17</f>
        <v>0</v>
      </c>
      <c r="G17" s="27">
        <f>[2]BJR!P17</f>
        <v>0</v>
      </c>
      <c r="H17" s="27">
        <f t="shared" si="0"/>
        <v>0</v>
      </c>
    </row>
    <row r="18" spans="1:8" ht="17.45" customHeight="1">
      <c r="A18" s="30"/>
      <c r="B18" s="31"/>
      <c r="C18" s="29" t="s">
        <v>49</v>
      </c>
      <c r="D18" s="27">
        <f>+[2]CLN!P18</f>
        <v>0</v>
      </c>
      <c r="E18" s="27">
        <f>'[2]MJK 2'!P18</f>
        <v>0</v>
      </c>
      <c r="F18" s="27">
        <f>'[2]MJK 1'!P18</f>
        <v>0</v>
      </c>
      <c r="G18" s="27">
        <f>[2]BJR!P18</f>
        <v>0</v>
      </c>
      <c r="H18" s="27">
        <f t="shared" si="0"/>
        <v>0</v>
      </c>
    </row>
    <row r="19" spans="1:8" ht="17.45" customHeight="1">
      <c r="A19" s="30" t="s">
        <v>29</v>
      </c>
      <c r="B19" s="31" t="s">
        <v>50</v>
      </c>
      <c r="C19" s="26" t="s">
        <v>51</v>
      </c>
      <c r="D19" s="27">
        <f>+[2]CLN!P19</f>
        <v>1321758.24</v>
      </c>
      <c r="E19" s="27">
        <f>'[2]MJK 2'!P19</f>
        <v>239283.4</v>
      </c>
      <c r="F19" s="27">
        <f>'[2]MJK 1'!P19</f>
        <v>239006.03</v>
      </c>
      <c r="G19" s="27">
        <f>[2]BJR!P19</f>
        <v>76148.05</v>
      </c>
      <c r="H19" s="27">
        <f t="shared" si="0"/>
        <v>1876195.72</v>
      </c>
    </row>
    <row r="20" spans="1:8" ht="17.45" customHeight="1">
      <c r="A20" s="30" t="s">
        <v>52</v>
      </c>
      <c r="B20" s="31" t="s">
        <v>53</v>
      </c>
      <c r="C20" s="26" t="s">
        <v>54</v>
      </c>
      <c r="D20" s="27">
        <f>+[2]CLN!P20</f>
        <v>0</v>
      </c>
      <c r="E20" s="27">
        <f>'[2]MJK 2'!P20</f>
        <v>0</v>
      </c>
      <c r="F20" s="27">
        <f>'[2]MJK 1'!P20</f>
        <v>0</v>
      </c>
      <c r="G20" s="27">
        <f>[2]BJR!P20</f>
        <v>0</v>
      </c>
      <c r="H20" s="27">
        <f t="shared" si="0"/>
        <v>0</v>
      </c>
    </row>
    <row r="21" spans="1:8" ht="17.45" customHeight="1">
      <c r="A21" s="30"/>
      <c r="B21" s="31"/>
      <c r="C21" s="26" t="s">
        <v>55</v>
      </c>
      <c r="D21" s="27">
        <f>+[2]CLN!P21</f>
        <v>0</v>
      </c>
      <c r="E21" s="27">
        <f>'[2]MJK 2'!P21</f>
        <v>0</v>
      </c>
      <c r="F21" s="27">
        <f>'[2]MJK 1'!P21</f>
        <v>0</v>
      </c>
      <c r="G21" s="27">
        <f>[2]BJR!P21</f>
        <v>0</v>
      </c>
      <c r="H21" s="27">
        <f t="shared" si="0"/>
        <v>0</v>
      </c>
    </row>
    <row r="22" spans="1:8" ht="17.45" customHeight="1">
      <c r="A22" s="30" t="s">
        <v>52</v>
      </c>
      <c r="B22" s="31" t="s">
        <v>56</v>
      </c>
      <c r="C22" s="26" t="s">
        <v>57</v>
      </c>
      <c r="D22" s="27">
        <f>+[2]CLN!P22</f>
        <v>0</v>
      </c>
      <c r="E22" s="27">
        <f>'[2]MJK 2'!P22</f>
        <v>0</v>
      </c>
      <c r="F22" s="27">
        <f>'[2]MJK 1'!P22</f>
        <v>0</v>
      </c>
      <c r="G22" s="27">
        <f>[2]BJR!P22</f>
        <v>0</v>
      </c>
      <c r="H22" s="27">
        <f t="shared" si="0"/>
        <v>0</v>
      </c>
    </row>
    <row r="23" spans="1:8" ht="17.45" customHeight="1">
      <c r="A23" s="30" t="s">
        <v>52</v>
      </c>
      <c r="B23" s="31" t="s">
        <v>58</v>
      </c>
      <c r="C23" s="26" t="s">
        <v>59</v>
      </c>
      <c r="D23" s="27">
        <f>+[2]CLN!P23</f>
        <v>0</v>
      </c>
      <c r="E23" s="27">
        <f>'[2]MJK 2'!P23</f>
        <v>0</v>
      </c>
      <c r="F23" s="27">
        <f>'[2]MJK 1'!P23</f>
        <v>0</v>
      </c>
      <c r="G23" s="27">
        <f>[2]BJR!P23</f>
        <v>0</v>
      </c>
      <c r="H23" s="27">
        <f t="shared" si="0"/>
        <v>0</v>
      </c>
    </row>
    <row r="24" spans="1:8" ht="17.45" customHeight="1">
      <c r="A24" s="30"/>
      <c r="B24" s="31"/>
      <c r="C24" s="37" t="s">
        <v>60</v>
      </c>
      <c r="D24" s="27">
        <f>+[2]CLN!P24</f>
        <v>1321758.24</v>
      </c>
      <c r="E24" s="27">
        <f>'[2]MJK 2'!P24</f>
        <v>239283.4</v>
      </c>
      <c r="F24" s="27">
        <f>'[2]MJK 1'!P24</f>
        <v>239006.03</v>
      </c>
      <c r="G24" s="27">
        <f>[2]BJR!P24</f>
        <v>76148.05</v>
      </c>
      <c r="H24" s="27">
        <f t="shared" si="0"/>
        <v>1876195.72</v>
      </c>
    </row>
    <row r="25" spans="1:8" ht="17.45" customHeight="1">
      <c r="A25" s="30" t="s">
        <v>29</v>
      </c>
      <c r="B25" s="31" t="s">
        <v>61</v>
      </c>
      <c r="C25" s="26" t="s">
        <v>62</v>
      </c>
      <c r="D25" s="27">
        <f>+[2]CLN!P25</f>
        <v>0</v>
      </c>
      <c r="E25" s="27">
        <f>'[2]MJK 2'!P25</f>
        <v>0</v>
      </c>
      <c r="F25" s="27">
        <f>'[2]MJK 1'!P25</f>
        <v>0</v>
      </c>
      <c r="G25" s="27">
        <f>[2]BJR!P25</f>
        <v>0</v>
      </c>
      <c r="H25" s="27">
        <f t="shared" si="0"/>
        <v>0</v>
      </c>
    </row>
    <row r="26" spans="1:8" ht="17.45" customHeight="1">
      <c r="A26" s="30" t="s">
        <v>52</v>
      </c>
      <c r="B26" s="31" t="s">
        <v>63</v>
      </c>
      <c r="C26" s="26" t="s">
        <v>64</v>
      </c>
      <c r="D26" s="27">
        <f>+[2]CLN!P26</f>
        <v>0</v>
      </c>
      <c r="E26" s="27">
        <f>'[2]MJK 2'!P26</f>
        <v>0</v>
      </c>
      <c r="F26" s="27">
        <f>'[2]MJK 1'!P26</f>
        <v>0</v>
      </c>
      <c r="G26" s="27">
        <f>[2]BJR!P26</f>
        <v>0</v>
      </c>
      <c r="H26" s="27">
        <f t="shared" si="0"/>
        <v>0</v>
      </c>
    </row>
    <row r="27" spans="1:8" ht="17.45" customHeight="1">
      <c r="A27" s="30" t="s">
        <v>52</v>
      </c>
      <c r="B27" s="31" t="s">
        <v>65</v>
      </c>
      <c r="C27" s="26" t="s">
        <v>66</v>
      </c>
      <c r="D27" s="27">
        <f>+[2]CLN!P27</f>
        <v>0</v>
      </c>
      <c r="E27" s="27">
        <f>'[2]MJK 2'!P27</f>
        <v>0</v>
      </c>
      <c r="F27" s="27">
        <f>'[2]MJK 1'!P27</f>
        <v>0</v>
      </c>
      <c r="G27" s="27">
        <f>[2]BJR!P27</f>
        <v>0</v>
      </c>
      <c r="H27" s="27">
        <f t="shared" si="0"/>
        <v>0</v>
      </c>
    </row>
    <row r="28" spans="1:8" ht="17.45" customHeight="1">
      <c r="A28" s="30" t="s">
        <v>52</v>
      </c>
      <c r="B28" s="31" t="s">
        <v>67</v>
      </c>
      <c r="C28" s="26" t="s">
        <v>68</v>
      </c>
      <c r="D28" s="27">
        <f>+[2]CLN!P28</f>
        <v>0</v>
      </c>
      <c r="E28" s="27">
        <f>'[2]MJK 2'!P28</f>
        <v>0</v>
      </c>
      <c r="F28" s="27">
        <f>'[2]MJK 1'!P28</f>
        <v>0</v>
      </c>
      <c r="G28" s="27">
        <f>[2]BJR!P28</f>
        <v>0</v>
      </c>
      <c r="H28" s="27">
        <f t="shared" si="0"/>
        <v>0</v>
      </c>
    </row>
    <row r="29" spans="1:8" ht="17.45" customHeight="1">
      <c r="A29" s="30"/>
      <c r="B29" s="31"/>
      <c r="C29" s="37" t="s">
        <v>69</v>
      </c>
      <c r="D29" s="27">
        <f>+[2]CLN!P29</f>
        <v>0</v>
      </c>
      <c r="E29" s="27">
        <f>'[2]MJK 2'!P29</f>
        <v>0</v>
      </c>
      <c r="F29" s="27">
        <f>'[2]MJK 1'!P29</f>
        <v>0</v>
      </c>
      <c r="G29" s="27">
        <f>[2]BJR!P29</f>
        <v>0</v>
      </c>
      <c r="H29" s="27">
        <f t="shared" si="0"/>
        <v>0</v>
      </c>
    </row>
    <row r="30" spans="1:8" ht="17.45" customHeight="1">
      <c r="A30" s="30" t="s">
        <v>29</v>
      </c>
      <c r="B30" s="31" t="s">
        <v>70</v>
      </c>
      <c r="C30" s="26" t="s">
        <v>71</v>
      </c>
      <c r="D30" s="27">
        <f>+[2]CLN!P30</f>
        <v>0</v>
      </c>
      <c r="E30" s="27">
        <f>'[2]MJK 2'!P30</f>
        <v>0</v>
      </c>
      <c r="F30" s="27">
        <f>'[2]MJK 1'!P30</f>
        <v>0</v>
      </c>
      <c r="G30" s="27">
        <f>[2]BJR!P30</f>
        <v>0</v>
      </c>
      <c r="H30" s="27">
        <f t="shared" si="0"/>
        <v>0</v>
      </c>
    </row>
    <row r="31" spans="1:8" ht="17.45" customHeight="1">
      <c r="A31" s="30" t="s">
        <v>52</v>
      </c>
      <c r="B31" s="31" t="s">
        <v>72</v>
      </c>
      <c r="C31" s="26" t="s">
        <v>73</v>
      </c>
      <c r="D31" s="27">
        <f>+[2]CLN!P31</f>
        <v>0</v>
      </c>
      <c r="E31" s="27">
        <f>'[2]MJK 2'!P31</f>
        <v>0</v>
      </c>
      <c r="F31" s="27">
        <f>'[2]MJK 1'!P31</f>
        <v>0</v>
      </c>
      <c r="G31" s="27">
        <f>[2]BJR!P31</f>
        <v>0</v>
      </c>
      <c r="H31" s="27">
        <f t="shared" si="0"/>
        <v>0</v>
      </c>
    </row>
    <row r="32" spans="1:8" ht="17.45" customHeight="1">
      <c r="A32" s="30" t="s">
        <v>52</v>
      </c>
      <c r="B32" s="31" t="s">
        <v>74</v>
      </c>
      <c r="C32" s="26" t="s">
        <v>75</v>
      </c>
      <c r="D32" s="27">
        <f>+[2]CLN!P32</f>
        <v>0</v>
      </c>
      <c r="E32" s="27">
        <f>'[2]MJK 2'!P32</f>
        <v>0</v>
      </c>
      <c r="F32" s="27">
        <f>'[2]MJK 1'!P32</f>
        <v>0</v>
      </c>
      <c r="G32" s="27">
        <f>[2]BJR!P32</f>
        <v>0</v>
      </c>
      <c r="H32" s="27">
        <f t="shared" si="0"/>
        <v>0</v>
      </c>
    </row>
    <row r="33" spans="1:26" ht="17.45" customHeight="1">
      <c r="A33" s="30" t="s">
        <v>52</v>
      </c>
      <c r="B33" s="31" t="s">
        <v>76</v>
      </c>
      <c r="C33" s="26" t="s">
        <v>77</v>
      </c>
      <c r="D33" s="27">
        <f>+[2]CLN!P33</f>
        <v>0</v>
      </c>
      <c r="E33" s="27">
        <f>'[2]MJK 2'!P33</f>
        <v>0</v>
      </c>
      <c r="F33" s="27">
        <f>'[2]MJK 1'!P33</f>
        <v>0</v>
      </c>
      <c r="G33" s="27">
        <f>[2]BJR!P33</f>
        <v>0</v>
      </c>
      <c r="H33" s="27">
        <f t="shared" si="0"/>
        <v>0</v>
      </c>
    </row>
    <row r="34" spans="1:26" ht="17.45" customHeight="1">
      <c r="A34" s="30"/>
      <c r="B34" s="31"/>
      <c r="C34" s="37" t="s">
        <v>78</v>
      </c>
      <c r="D34" s="27">
        <f>+[2]CLN!P34</f>
        <v>0</v>
      </c>
      <c r="E34" s="27">
        <f>'[2]MJK 2'!P34</f>
        <v>0</v>
      </c>
      <c r="F34" s="27">
        <f>'[2]MJK 1'!P34</f>
        <v>0</v>
      </c>
      <c r="G34" s="27">
        <f>[2]BJR!P34</f>
        <v>0</v>
      </c>
      <c r="H34" s="27">
        <f t="shared" si="0"/>
        <v>0</v>
      </c>
    </row>
    <row r="35" spans="1:26" ht="17.45" customHeight="1">
      <c r="A35" s="30" t="s">
        <v>29</v>
      </c>
      <c r="B35" s="31" t="s">
        <v>79</v>
      </c>
      <c r="C35" s="37" t="s">
        <v>80</v>
      </c>
      <c r="D35" s="27">
        <f>+[2]CLN!P35</f>
        <v>0</v>
      </c>
      <c r="E35" s="27">
        <f>'[2]MJK 2'!P35</f>
        <v>0</v>
      </c>
      <c r="F35" s="27">
        <f>'[2]MJK 1'!P35</f>
        <v>0</v>
      </c>
      <c r="G35" s="27">
        <f>[2]BJR!P35</f>
        <v>0</v>
      </c>
      <c r="H35" s="27">
        <f t="shared" si="0"/>
        <v>0</v>
      </c>
    </row>
    <row r="36" spans="1:26" ht="17.45" customHeight="1">
      <c r="A36" s="30" t="s">
        <v>43</v>
      </c>
      <c r="B36" s="31" t="s">
        <v>81</v>
      </c>
      <c r="C36" s="37" t="s">
        <v>82</v>
      </c>
      <c r="D36" s="27">
        <f>+[2]CLN!P36</f>
        <v>1321758.24</v>
      </c>
      <c r="E36" s="27">
        <f>'[2]MJK 2'!P36</f>
        <v>239283.4</v>
      </c>
      <c r="F36" s="27">
        <f>'[2]MJK 1'!P36</f>
        <v>239006.03</v>
      </c>
      <c r="G36" s="27">
        <f>[2]BJR!P36</f>
        <v>76148.05</v>
      </c>
      <c r="H36" s="27">
        <f t="shared" si="0"/>
        <v>1876195.72</v>
      </c>
    </row>
    <row r="37" spans="1:26" ht="17.45" customHeight="1">
      <c r="A37" s="30"/>
      <c r="B37" s="31"/>
      <c r="C37" s="35" t="s">
        <v>83</v>
      </c>
      <c r="D37" s="27">
        <f>+[2]CLN!P37</f>
        <v>0</v>
      </c>
      <c r="E37" s="27">
        <f>'[2]MJK 2'!P37</f>
        <v>0</v>
      </c>
      <c r="F37" s="27">
        <f>'[2]MJK 1'!P37</f>
        <v>0</v>
      </c>
      <c r="G37" s="27">
        <f>[2]BJR!P37</f>
        <v>0</v>
      </c>
      <c r="H37" s="27">
        <f t="shared" si="0"/>
        <v>0</v>
      </c>
    </row>
    <row r="38" spans="1:26" ht="17.45" customHeight="1">
      <c r="A38" s="30" t="s">
        <v>29</v>
      </c>
      <c r="B38" s="31" t="s">
        <v>84</v>
      </c>
      <c r="C38" s="29" t="s">
        <v>85</v>
      </c>
      <c r="D38" s="27">
        <f>+[2]CLN!P38</f>
        <v>0</v>
      </c>
      <c r="E38" s="27">
        <f>'[2]MJK 2'!P38</f>
        <v>0</v>
      </c>
      <c r="F38" s="27">
        <f>'[2]MJK 1'!P38</f>
        <v>0</v>
      </c>
      <c r="G38" s="27">
        <f>[2]BJR!P38</f>
        <v>0</v>
      </c>
      <c r="H38" s="27">
        <f t="shared" si="0"/>
        <v>0</v>
      </c>
    </row>
    <row r="39" spans="1:26" ht="17.45" customHeight="1">
      <c r="A39" s="30" t="s">
        <v>29</v>
      </c>
      <c r="B39" s="31" t="s">
        <v>86</v>
      </c>
      <c r="C39" s="26" t="s">
        <v>87</v>
      </c>
      <c r="D39" s="27">
        <f>+[2]CLN!P39</f>
        <v>0</v>
      </c>
      <c r="E39" s="27">
        <f>'[2]MJK 2'!P39</f>
        <v>0</v>
      </c>
      <c r="F39" s="27">
        <f>'[2]MJK 1'!P39</f>
        <v>0</v>
      </c>
      <c r="G39" s="27">
        <f>[2]BJR!P39</f>
        <v>0</v>
      </c>
      <c r="H39" s="27">
        <f t="shared" si="0"/>
        <v>0</v>
      </c>
    </row>
    <row r="40" spans="1:26" ht="17.45" customHeight="1">
      <c r="A40" s="30"/>
      <c r="B40" s="31"/>
      <c r="C40" s="29" t="s">
        <v>88</v>
      </c>
      <c r="D40" s="27">
        <f>+[2]CLN!P40</f>
        <v>0</v>
      </c>
      <c r="E40" s="27">
        <f>'[2]MJK 2'!P40</f>
        <v>0</v>
      </c>
      <c r="F40" s="27">
        <f>'[2]MJK 1'!P40</f>
        <v>0</v>
      </c>
      <c r="G40" s="27">
        <f>[2]BJR!P40</f>
        <v>0</v>
      </c>
      <c r="H40" s="27">
        <f t="shared" si="0"/>
        <v>0</v>
      </c>
    </row>
    <row r="41" spans="1:26" ht="17.45" customHeight="1">
      <c r="A41" s="30" t="s">
        <v>52</v>
      </c>
      <c r="B41" s="31" t="s">
        <v>89</v>
      </c>
      <c r="C41" s="26" t="s">
        <v>90</v>
      </c>
      <c r="D41" s="27">
        <f>+[2]CLN!P41</f>
        <v>0</v>
      </c>
      <c r="E41" s="27">
        <f>'[2]MJK 2'!P41</f>
        <v>0</v>
      </c>
      <c r="F41" s="27">
        <f>'[2]MJK 1'!P41</f>
        <v>0</v>
      </c>
      <c r="G41" s="27">
        <f>[2]BJR!P41</f>
        <v>0</v>
      </c>
      <c r="H41" s="27">
        <f t="shared" si="0"/>
        <v>0</v>
      </c>
    </row>
    <row r="42" spans="1:26" ht="17.45" customHeight="1">
      <c r="A42" s="30" t="s">
        <v>52</v>
      </c>
      <c r="B42" s="31" t="s">
        <v>91</v>
      </c>
      <c r="C42" s="26" t="s">
        <v>92</v>
      </c>
      <c r="D42" s="27">
        <f>+[2]CLN!P42</f>
        <v>0</v>
      </c>
      <c r="E42" s="27">
        <f>'[2]MJK 2'!P42</f>
        <v>0</v>
      </c>
      <c r="F42" s="27">
        <f>'[2]MJK 1'!P42</f>
        <v>0</v>
      </c>
      <c r="G42" s="27">
        <f>[2]BJR!P42</f>
        <v>0</v>
      </c>
      <c r="H42" s="27">
        <f t="shared" si="0"/>
        <v>0</v>
      </c>
    </row>
    <row r="43" spans="1:26" ht="17.45" customHeight="1">
      <c r="A43" s="30" t="s">
        <v>52</v>
      </c>
      <c r="B43" s="31"/>
      <c r="C43" s="26" t="s">
        <v>93</v>
      </c>
      <c r="D43" s="27">
        <f>+[2]CLN!P43</f>
        <v>0</v>
      </c>
      <c r="E43" s="27">
        <f>'[2]MJK 2'!P43</f>
        <v>0</v>
      </c>
      <c r="F43" s="27">
        <f>'[2]MJK 1'!P43</f>
        <v>0</v>
      </c>
      <c r="G43" s="27">
        <f>[2]BJR!P43</f>
        <v>0</v>
      </c>
      <c r="H43" s="27">
        <f t="shared" si="0"/>
        <v>0</v>
      </c>
      <c r="I43" s="27"/>
      <c r="J43" s="27"/>
      <c r="K43" s="27"/>
      <c r="L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>
        <f>SUM(N43:Y43)</f>
        <v>0</v>
      </c>
    </row>
    <row r="44" spans="1:26" ht="17.45" customHeight="1">
      <c r="A44" s="30" t="s">
        <v>52</v>
      </c>
      <c r="B44" s="31" t="s">
        <v>94</v>
      </c>
      <c r="C44" s="26" t="s">
        <v>95</v>
      </c>
      <c r="D44" s="27">
        <f>+[2]CLN!P44</f>
        <v>0</v>
      </c>
      <c r="E44" s="27">
        <f>'[2]MJK 2'!P44</f>
        <v>0</v>
      </c>
      <c r="F44" s="27">
        <f>'[2]MJK 1'!P44</f>
        <v>0</v>
      </c>
      <c r="G44" s="27">
        <f>[2]BJR!P44</f>
        <v>0</v>
      </c>
      <c r="H44" s="27">
        <f t="shared" si="0"/>
        <v>0</v>
      </c>
    </row>
    <row r="45" spans="1:26" ht="17.45" customHeight="1">
      <c r="A45" s="30" t="s">
        <v>52</v>
      </c>
      <c r="B45" s="31"/>
      <c r="C45" s="26" t="s">
        <v>96</v>
      </c>
      <c r="D45" s="27">
        <f>+[2]CLN!P45</f>
        <v>0</v>
      </c>
      <c r="E45" s="27">
        <f>'[2]MJK 2'!P45</f>
        <v>0</v>
      </c>
      <c r="F45" s="27">
        <f>'[2]MJK 1'!P45</f>
        <v>0</v>
      </c>
      <c r="G45" s="27">
        <f>[2]BJR!P45</f>
        <v>0</v>
      </c>
      <c r="H45" s="27">
        <f t="shared" si="0"/>
        <v>0</v>
      </c>
      <c r="I45" s="27"/>
      <c r="J45" s="27"/>
      <c r="K45" s="27"/>
      <c r="L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>
        <f>SUM(N45:Y45)</f>
        <v>0</v>
      </c>
    </row>
    <row r="46" spans="1:26" ht="17.45" customHeight="1">
      <c r="A46" s="30" t="s">
        <v>52</v>
      </c>
      <c r="B46" s="31"/>
      <c r="C46" s="26" t="s">
        <v>97</v>
      </c>
      <c r="D46" s="27">
        <f>+[2]CLN!P46</f>
        <v>0</v>
      </c>
      <c r="E46" s="27">
        <f>'[2]MJK 2'!P46</f>
        <v>0</v>
      </c>
      <c r="F46" s="27">
        <f>'[2]MJK 1'!P46</f>
        <v>0</v>
      </c>
      <c r="G46" s="27">
        <f>[2]BJR!P46</f>
        <v>0</v>
      </c>
      <c r="H46" s="27">
        <f t="shared" si="0"/>
        <v>0</v>
      </c>
      <c r="I46" s="27"/>
      <c r="J46" s="27"/>
      <c r="K46" s="27"/>
      <c r="L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>
        <f>SUM(N46:Y46)</f>
        <v>0</v>
      </c>
    </row>
    <row r="47" spans="1:26" ht="17.45" customHeight="1">
      <c r="A47" s="30" t="s">
        <v>29</v>
      </c>
      <c r="B47" s="31" t="s">
        <v>98</v>
      </c>
      <c r="C47" s="37" t="s">
        <v>88</v>
      </c>
      <c r="D47" s="27">
        <f>+[2]CLN!P47</f>
        <v>0</v>
      </c>
      <c r="E47" s="27">
        <f>'[2]MJK 2'!P47</f>
        <v>0</v>
      </c>
      <c r="F47" s="27">
        <f>'[2]MJK 1'!P47</f>
        <v>0</v>
      </c>
      <c r="G47" s="27">
        <f>[2]BJR!P47</f>
        <v>0</v>
      </c>
      <c r="H47" s="27">
        <f t="shared" si="0"/>
        <v>0</v>
      </c>
    </row>
    <row r="48" spans="1:26" ht="17.45" customHeight="1">
      <c r="A48" s="30"/>
      <c r="B48" s="31"/>
      <c r="C48" s="29" t="s">
        <v>99</v>
      </c>
      <c r="D48" s="27">
        <f>+[2]CLN!P48</f>
        <v>0</v>
      </c>
      <c r="E48" s="27">
        <f>'[2]MJK 2'!P48</f>
        <v>0</v>
      </c>
      <c r="F48" s="27">
        <f>'[2]MJK 1'!P48</f>
        <v>0</v>
      </c>
      <c r="G48" s="27">
        <f>[2]BJR!P48</f>
        <v>0</v>
      </c>
      <c r="H48" s="27">
        <f t="shared" si="0"/>
        <v>0</v>
      </c>
    </row>
    <row r="49" spans="1:8" ht="17.45" customHeight="1">
      <c r="A49" s="30" t="s">
        <v>52</v>
      </c>
      <c r="B49" s="31" t="s">
        <v>100</v>
      </c>
      <c r="C49" s="26" t="s">
        <v>101</v>
      </c>
      <c r="D49" s="27">
        <f>+[2]CLN!P49</f>
        <v>0</v>
      </c>
      <c r="E49" s="27">
        <f>'[2]MJK 2'!P49</f>
        <v>0</v>
      </c>
      <c r="F49" s="27">
        <f>'[2]MJK 1'!P49</f>
        <v>0</v>
      </c>
      <c r="G49" s="27">
        <f>[2]BJR!P49</f>
        <v>0</v>
      </c>
      <c r="H49" s="27">
        <f t="shared" si="0"/>
        <v>0</v>
      </c>
    </row>
    <row r="50" spans="1:8" ht="17.45" customHeight="1">
      <c r="A50" s="30" t="s">
        <v>52</v>
      </c>
      <c r="B50" s="31" t="s">
        <v>102</v>
      </c>
      <c r="C50" s="26" t="s">
        <v>103</v>
      </c>
      <c r="D50" s="27">
        <f>+[2]CLN!P50</f>
        <v>0</v>
      </c>
      <c r="E50" s="27">
        <f>'[2]MJK 2'!P50</f>
        <v>0</v>
      </c>
      <c r="F50" s="27">
        <f>'[2]MJK 1'!P50</f>
        <v>0</v>
      </c>
      <c r="G50" s="27">
        <f>[2]BJR!P50</f>
        <v>0</v>
      </c>
      <c r="H50" s="27">
        <f t="shared" si="0"/>
        <v>0</v>
      </c>
    </row>
    <row r="51" spans="1:8" ht="17.45" customHeight="1">
      <c r="A51" s="30" t="s">
        <v>52</v>
      </c>
      <c r="B51" s="31" t="s">
        <v>104</v>
      </c>
      <c r="C51" s="26" t="s">
        <v>105</v>
      </c>
      <c r="D51" s="27">
        <f>+[2]CLN!P51</f>
        <v>0</v>
      </c>
      <c r="E51" s="27">
        <f>'[2]MJK 2'!P51</f>
        <v>0</v>
      </c>
      <c r="F51" s="27">
        <f>'[2]MJK 1'!P51</f>
        <v>0</v>
      </c>
      <c r="G51" s="27">
        <f>[2]BJR!P51</f>
        <v>0</v>
      </c>
      <c r="H51" s="27">
        <f t="shared" si="0"/>
        <v>0</v>
      </c>
    </row>
    <row r="52" spans="1:8" ht="17.45" customHeight="1">
      <c r="A52" s="30" t="s">
        <v>29</v>
      </c>
      <c r="B52" s="31" t="s">
        <v>106</v>
      </c>
      <c r="C52" s="37" t="s">
        <v>99</v>
      </c>
      <c r="D52" s="27">
        <f>+[2]CLN!P52</f>
        <v>0</v>
      </c>
      <c r="E52" s="27">
        <f>'[2]MJK 2'!P52</f>
        <v>0</v>
      </c>
      <c r="F52" s="27">
        <f>'[2]MJK 1'!P52</f>
        <v>0</v>
      </c>
      <c r="G52" s="27">
        <f>[2]BJR!P52</f>
        <v>0</v>
      </c>
      <c r="H52" s="27">
        <f t="shared" si="0"/>
        <v>0</v>
      </c>
    </row>
    <row r="53" spans="1:8" ht="17.45" customHeight="1">
      <c r="A53" s="30" t="s">
        <v>43</v>
      </c>
      <c r="B53" s="31" t="s">
        <v>107</v>
      </c>
      <c r="C53" s="37" t="s">
        <v>108</v>
      </c>
      <c r="D53" s="27">
        <f>+[2]CLN!P53</f>
        <v>0</v>
      </c>
      <c r="E53" s="27">
        <f>'[2]MJK 2'!P53</f>
        <v>0</v>
      </c>
      <c r="F53" s="27">
        <f>'[2]MJK 1'!P53</f>
        <v>0</v>
      </c>
      <c r="G53" s="27">
        <f>[2]BJR!P53</f>
        <v>0</v>
      </c>
      <c r="H53" s="27">
        <f t="shared" si="0"/>
        <v>0</v>
      </c>
    </row>
    <row r="54" spans="1:8" ht="17.45" customHeight="1">
      <c r="A54" s="30"/>
      <c r="B54" s="31"/>
      <c r="C54" s="52" t="s">
        <v>109</v>
      </c>
      <c r="D54" s="47">
        <f>+[2]CLN!P54</f>
        <v>0</v>
      </c>
      <c r="E54" s="27">
        <f>'[2]MJK 2'!P54</f>
        <v>0</v>
      </c>
      <c r="F54" s="27">
        <f>'[2]MJK 1'!P54</f>
        <v>0</v>
      </c>
      <c r="G54" s="27">
        <f>[2]BJR!P54</f>
        <v>0</v>
      </c>
      <c r="H54" s="27">
        <f t="shared" si="0"/>
        <v>0</v>
      </c>
    </row>
    <row r="55" spans="1:8" ht="17.45" customHeight="1">
      <c r="A55" s="30"/>
      <c r="B55" s="31"/>
      <c r="C55" s="53" t="s">
        <v>110</v>
      </c>
      <c r="D55" s="47">
        <f>+[2]CLN!P55</f>
        <v>0</v>
      </c>
      <c r="E55" s="27">
        <f>'[2]MJK 2'!P55</f>
        <v>0</v>
      </c>
      <c r="F55" s="27">
        <f>'[2]MJK 1'!P55</f>
        <v>0</v>
      </c>
      <c r="G55" s="27">
        <f>[2]BJR!P55</f>
        <v>0</v>
      </c>
      <c r="H55" s="27">
        <f t="shared" si="0"/>
        <v>0</v>
      </c>
    </row>
    <row r="56" spans="1:8" ht="17.45" customHeight="1">
      <c r="A56" s="30" t="s">
        <v>52</v>
      </c>
      <c r="B56" s="31" t="s">
        <v>111</v>
      </c>
      <c r="C56" s="54" t="s">
        <v>112</v>
      </c>
      <c r="D56" s="47">
        <f>+[2]CLN!P56</f>
        <v>41514.910000000003</v>
      </c>
      <c r="E56" s="27">
        <f>'[2]MJK 2'!P56</f>
        <v>115423.71</v>
      </c>
      <c r="F56" s="27">
        <f>'[2]MJK 1'!P56</f>
        <v>143673.10999999999</v>
      </c>
      <c r="G56" s="27">
        <f>[2]BJR!P56</f>
        <v>48810.3</v>
      </c>
      <c r="H56" s="27">
        <f t="shared" si="0"/>
        <v>349422.02999999997</v>
      </c>
    </row>
    <row r="57" spans="1:8" ht="17.45" customHeight="1">
      <c r="A57" s="30" t="s">
        <v>52</v>
      </c>
      <c r="B57" s="31" t="s">
        <v>113</v>
      </c>
      <c r="C57" s="54" t="s">
        <v>114</v>
      </c>
      <c r="D57" s="47">
        <f>+[2]CLN!P57</f>
        <v>3000</v>
      </c>
      <c r="E57" s="27">
        <f>'[2]MJK 2'!P57</f>
        <v>8000</v>
      </c>
      <c r="F57" s="27">
        <f>'[2]MJK 1'!P57</f>
        <v>10000</v>
      </c>
      <c r="G57" s="27">
        <f>[2]BJR!P57</f>
        <v>4000</v>
      </c>
      <c r="H57" s="27">
        <f t="shared" si="0"/>
        <v>25000</v>
      </c>
    </row>
    <row r="58" spans="1:8" ht="17.45" customHeight="1">
      <c r="A58" s="30" t="s">
        <v>52</v>
      </c>
      <c r="B58" s="31" t="s">
        <v>115</v>
      </c>
      <c r="C58" s="54" t="s">
        <v>116</v>
      </c>
      <c r="D58" s="47">
        <f>+[2]CLN!P58</f>
        <v>2693.84</v>
      </c>
      <c r="E58" s="27">
        <f>'[2]MJK 2'!P58</f>
        <v>5193.18</v>
      </c>
      <c r="F58" s="27">
        <f>'[2]MJK 1'!P58</f>
        <v>5286.94</v>
      </c>
      <c r="G58" s="27">
        <f>[2]BJR!P58</f>
        <v>1832.8</v>
      </c>
      <c r="H58" s="27">
        <f t="shared" si="0"/>
        <v>15006.759999999998</v>
      </c>
    </row>
    <row r="59" spans="1:8" ht="24" customHeight="1">
      <c r="A59" s="30" t="s">
        <v>52</v>
      </c>
      <c r="B59" s="31" t="s">
        <v>117</v>
      </c>
      <c r="C59" s="54" t="s">
        <v>118</v>
      </c>
      <c r="D59" s="47">
        <f>+[2]CLN!P59</f>
        <v>0</v>
      </c>
      <c r="E59" s="27">
        <f>'[2]MJK 2'!P59</f>
        <v>0</v>
      </c>
      <c r="F59" s="27">
        <f>'[2]MJK 1'!P59</f>
        <v>0</v>
      </c>
      <c r="G59" s="27">
        <f>[2]BJR!P59</f>
        <v>0</v>
      </c>
      <c r="H59" s="27">
        <f t="shared" si="0"/>
        <v>0</v>
      </c>
    </row>
    <row r="60" spans="1:8" ht="17.45" customHeight="1">
      <c r="A60" s="30" t="s">
        <v>52</v>
      </c>
      <c r="B60" s="31" t="s">
        <v>119</v>
      </c>
      <c r="C60" s="54" t="s">
        <v>120</v>
      </c>
      <c r="D60" s="47">
        <f>+[2]CLN!P60</f>
        <v>1075.6500000000001</v>
      </c>
      <c r="E60" s="27">
        <f>'[2]MJK 2'!P60</f>
        <v>7053.86</v>
      </c>
      <c r="F60" s="27">
        <f>'[2]MJK 1'!P60</f>
        <v>6808.96</v>
      </c>
      <c r="G60" s="27">
        <f>[2]BJR!P60</f>
        <v>2776.86</v>
      </c>
      <c r="H60" s="27">
        <f t="shared" si="0"/>
        <v>17715.330000000002</v>
      </c>
    </row>
    <row r="61" spans="1:8" ht="17.45" customHeight="1">
      <c r="A61" s="30" t="s">
        <v>29</v>
      </c>
      <c r="B61" s="31" t="s">
        <v>121</v>
      </c>
      <c r="C61" s="55" t="s">
        <v>110</v>
      </c>
      <c r="D61" s="47">
        <f>+[2]CLN!P61</f>
        <v>48284.4</v>
      </c>
      <c r="E61" s="27">
        <f>'[2]MJK 2'!P61</f>
        <v>135670.75</v>
      </c>
      <c r="F61" s="27">
        <f>'[2]MJK 1'!P61</f>
        <v>165769.00999999998</v>
      </c>
      <c r="G61" s="27">
        <f>[2]BJR!P61</f>
        <v>57419.960000000006</v>
      </c>
      <c r="H61" s="27">
        <f t="shared" si="0"/>
        <v>407144.12</v>
      </c>
    </row>
    <row r="62" spans="1:8" ht="17.45" customHeight="1">
      <c r="A62" s="30" t="s">
        <v>29</v>
      </c>
      <c r="B62" s="31" t="s">
        <v>122</v>
      </c>
      <c r="C62" s="54" t="s">
        <v>123</v>
      </c>
      <c r="D62" s="47">
        <f>+[2]CLN!P62</f>
        <v>271.61</v>
      </c>
      <c r="E62" s="27">
        <f>'[2]MJK 2'!P62</f>
        <v>4747.07</v>
      </c>
      <c r="F62" s="27">
        <f>'[2]MJK 1'!P62</f>
        <v>4347.2</v>
      </c>
      <c r="G62" s="27">
        <f>[2]BJR!P62</f>
        <v>3.01</v>
      </c>
      <c r="H62" s="27">
        <f t="shared" si="0"/>
        <v>9368.89</v>
      </c>
    </row>
    <row r="63" spans="1:8" ht="17.45" customHeight="1">
      <c r="A63" s="30" t="s">
        <v>29</v>
      </c>
      <c r="B63" s="31" t="s">
        <v>124</v>
      </c>
      <c r="C63" s="54" t="s">
        <v>125</v>
      </c>
      <c r="D63" s="47">
        <f>+[2]CLN!P63</f>
        <v>467.43</v>
      </c>
      <c r="E63" s="27">
        <f>'[2]MJK 2'!P63</f>
        <v>505.51</v>
      </c>
      <c r="F63" s="27">
        <f>'[2]MJK 1'!P63</f>
        <v>10424.74</v>
      </c>
      <c r="G63" s="27">
        <f>[2]BJR!P63</f>
        <v>494.44</v>
      </c>
      <c r="H63" s="27">
        <f t="shared" si="0"/>
        <v>11892.12</v>
      </c>
    </row>
    <row r="64" spans="1:8" ht="17.45" customHeight="1">
      <c r="A64" s="30" t="s">
        <v>29</v>
      </c>
      <c r="B64" s="31" t="s">
        <v>126</v>
      </c>
      <c r="C64" s="54" t="s">
        <v>127</v>
      </c>
      <c r="D64" s="47">
        <f>+[2]CLN!P64</f>
        <v>0</v>
      </c>
      <c r="E64" s="27">
        <f>'[2]MJK 2'!P64</f>
        <v>0</v>
      </c>
      <c r="F64" s="27">
        <f>'[2]MJK 1'!P64</f>
        <v>1881.77</v>
      </c>
      <c r="G64" s="27">
        <f>[2]BJR!P64</f>
        <v>-1881.77</v>
      </c>
      <c r="H64" s="27">
        <f t="shared" si="0"/>
        <v>0</v>
      </c>
    </row>
    <row r="65" spans="1:8" ht="17.45" customHeight="1">
      <c r="A65" s="30" t="s">
        <v>29</v>
      </c>
      <c r="B65" s="31" t="s">
        <v>128</v>
      </c>
      <c r="C65" s="54" t="s">
        <v>129</v>
      </c>
      <c r="D65" s="47">
        <f>+[2]CLN!P65</f>
        <v>166.87</v>
      </c>
      <c r="E65" s="27">
        <f>'[2]MJK 2'!P65</f>
        <v>0</v>
      </c>
      <c r="F65" s="27">
        <f>'[2]MJK 1'!P65</f>
        <v>0</v>
      </c>
      <c r="G65" s="27">
        <f>[2]BJR!P65</f>
        <v>25.06</v>
      </c>
      <c r="H65" s="27">
        <f t="shared" si="0"/>
        <v>191.93</v>
      </c>
    </row>
    <row r="66" spans="1:8" ht="17.45" customHeight="1">
      <c r="A66" s="30"/>
      <c r="B66" s="31"/>
      <c r="C66" s="53" t="s">
        <v>130</v>
      </c>
      <c r="D66" s="47">
        <f>+[2]CLN!P66</f>
        <v>0</v>
      </c>
      <c r="E66" s="27">
        <f>'[2]MJK 2'!P66</f>
        <v>0</v>
      </c>
      <c r="F66" s="27">
        <f>'[2]MJK 1'!P66</f>
        <v>0</v>
      </c>
      <c r="G66" s="27">
        <f>[2]BJR!P66</f>
        <v>0</v>
      </c>
      <c r="H66" s="27">
        <f t="shared" si="0"/>
        <v>0</v>
      </c>
    </row>
    <row r="67" spans="1:8" ht="17.45" customHeight="1">
      <c r="A67" s="30" t="s">
        <v>52</v>
      </c>
      <c r="B67" s="31" t="s">
        <v>131</v>
      </c>
      <c r="C67" s="54" t="s">
        <v>132</v>
      </c>
      <c r="D67" s="47">
        <f>+[2]CLN!P67</f>
        <v>0</v>
      </c>
      <c r="E67" s="27">
        <f>'[2]MJK 2'!P67</f>
        <v>0</v>
      </c>
      <c r="F67" s="27">
        <f>'[2]MJK 1'!P67</f>
        <v>0</v>
      </c>
      <c r="G67" s="27">
        <f>[2]BJR!P67</f>
        <v>0</v>
      </c>
      <c r="H67" s="27">
        <f t="shared" si="0"/>
        <v>0</v>
      </c>
    </row>
    <row r="68" spans="1:8" ht="17.45" customHeight="1">
      <c r="A68" s="30" t="s">
        <v>52</v>
      </c>
      <c r="B68" s="31" t="s">
        <v>133</v>
      </c>
      <c r="C68" s="54" t="s">
        <v>134</v>
      </c>
      <c r="D68" s="47">
        <f>+[2]CLN!P68</f>
        <v>0</v>
      </c>
      <c r="E68" s="27">
        <f>'[2]MJK 2'!P68</f>
        <v>307.2</v>
      </c>
      <c r="F68" s="27">
        <f>'[2]MJK 1'!P68</f>
        <v>307.2</v>
      </c>
      <c r="G68" s="27">
        <f>[2]BJR!P68</f>
        <v>224.5</v>
      </c>
      <c r="H68" s="27">
        <f t="shared" si="0"/>
        <v>838.9</v>
      </c>
    </row>
    <row r="69" spans="1:8" ht="17.45" customHeight="1">
      <c r="A69" s="30"/>
      <c r="B69" s="31"/>
      <c r="C69" s="54" t="s">
        <v>135</v>
      </c>
      <c r="D69" s="47">
        <f>+[2]CLN!P69</f>
        <v>2637.58</v>
      </c>
      <c r="E69" s="27">
        <f>'[2]MJK 2'!P69</f>
        <v>3379.93</v>
      </c>
      <c r="F69" s="27">
        <f>'[2]MJK 1'!P69</f>
        <v>673.42</v>
      </c>
      <c r="G69" s="27">
        <f>[2]BJR!P69</f>
        <v>737.56</v>
      </c>
      <c r="H69" s="27">
        <f t="shared" si="0"/>
        <v>7428.49</v>
      </c>
    </row>
    <row r="70" spans="1:8" ht="17.45" customHeight="1">
      <c r="A70" s="30" t="s">
        <v>29</v>
      </c>
      <c r="B70" s="31" t="s">
        <v>136</v>
      </c>
      <c r="C70" s="55" t="s">
        <v>130</v>
      </c>
      <c r="D70" s="47">
        <f>+[2]CLN!P70</f>
        <v>2637.58</v>
      </c>
      <c r="E70" s="27">
        <f>'[2]MJK 2'!P70</f>
        <v>3687.1299999999997</v>
      </c>
      <c r="F70" s="27">
        <f>'[2]MJK 1'!P70</f>
        <v>980.61999999999989</v>
      </c>
      <c r="G70" s="27">
        <f>[2]BJR!P70</f>
        <v>962.06</v>
      </c>
      <c r="H70" s="27">
        <f t="shared" si="0"/>
        <v>8267.39</v>
      </c>
    </row>
    <row r="71" spans="1:8" ht="17.45" customHeight="1">
      <c r="A71" s="30" t="s">
        <v>29</v>
      </c>
      <c r="B71" s="31" t="s">
        <v>137</v>
      </c>
      <c r="C71" s="54" t="s">
        <v>138</v>
      </c>
      <c r="D71" s="47">
        <f>+[2]CLN!P71</f>
        <v>152001.26</v>
      </c>
      <c r="E71" s="27">
        <f>'[2]MJK 2'!P71</f>
        <v>43806.35</v>
      </c>
      <c r="F71" s="27">
        <f>'[2]MJK 1'!P71</f>
        <v>27630.38</v>
      </c>
      <c r="G71" s="27">
        <f>[2]BJR!P71</f>
        <v>0</v>
      </c>
      <c r="H71" s="27">
        <f t="shared" si="0"/>
        <v>223437.99000000002</v>
      </c>
    </row>
    <row r="72" spans="1:8" ht="17.45" customHeight="1">
      <c r="A72" s="30"/>
      <c r="B72" s="31"/>
      <c r="C72" s="53" t="s">
        <v>139</v>
      </c>
      <c r="D72" s="47">
        <f>+[2]CLN!P72</f>
        <v>0</v>
      </c>
      <c r="E72" s="27">
        <f>'[2]MJK 2'!P72</f>
        <v>0</v>
      </c>
      <c r="F72" s="27">
        <f>'[2]MJK 1'!P72</f>
        <v>0</v>
      </c>
      <c r="G72" s="27">
        <f>[2]BJR!P72</f>
        <v>0</v>
      </c>
      <c r="H72" s="27">
        <f t="shared" si="0"/>
        <v>0</v>
      </c>
    </row>
    <row r="73" spans="1:8" ht="17.45" customHeight="1">
      <c r="A73" s="30" t="s">
        <v>52</v>
      </c>
      <c r="B73" s="31" t="s">
        <v>140</v>
      </c>
      <c r="C73" s="54" t="s">
        <v>141</v>
      </c>
      <c r="D73" s="47">
        <f>+[2]CLN!P73</f>
        <v>2198.4299999999998</v>
      </c>
      <c r="E73" s="27">
        <f>'[2]MJK 2'!P73</f>
        <v>291.62</v>
      </c>
      <c r="F73" s="27">
        <f>'[2]MJK 1'!P73</f>
        <v>676.49</v>
      </c>
      <c r="G73" s="27">
        <f>[2]BJR!P73</f>
        <v>29.05</v>
      </c>
      <c r="H73" s="27">
        <f t="shared" ref="H73:H136" si="2">SUM(D73:G73)</f>
        <v>3195.59</v>
      </c>
    </row>
    <row r="74" spans="1:8" ht="17.45" customHeight="1">
      <c r="A74" s="30" t="s">
        <v>52</v>
      </c>
      <c r="B74" s="31" t="s">
        <v>142</v>
      </c>
      <c r="C74" s="54" t="s">
        <v>143</v>
      </c>
      <c r="D74" s="47">
        <f>+[2]CLN!P74</f>
        <v>346.32</v>
      </c>
      <c r="E74" s="27">
        <f>'[2]MJK 2'!P74</f>
        <v>0</v>
      </c>
      <c r="F74" s="27">
        <f>'[2]MJK 1'!P74</f>
        <v>0</v>
      </c>
      <c r="G74" s="27">
        <f>[2]BJR!P74</f>
        <v>0</v>
      </c>
      <c r="H74" s="27">
        <f t="shared" si="2"/>
        <v>346.32</v>
      </c>
    </row>
    <row r="75" spans="1:8" ht="17.45" customHeight="1">
      <c r="A75" s="30" t="s">
        <v>52</v>
      </c>
      <c r="B75" s="31" t="s">
        <v>144</v>
      </c>
      <c r="C75" s="54" t="s">
        <v>145</v>
      </c>
      <c r="D75" s="47">
        <f>+[2]CLN!P75</f>
        <v>897.9</v>
      </c>
      <c r="E75" s="27">
        <f>'[2]MJK 2'!P75</f>
        <v>-24.64</v>
      </c>
      <c r="F75" s="27">
        <f>'[2]MJK 1'!P75</f>
        <v>244.02</v>
      </c>
      <c r="G75" s="27">
        <f>[2]BJR!P75</f>
        <v>0</v>
      </c>
      <c r="H75" s="27">
        <f t="shared" si="2"/>
        <v>1117.28</v>
      </c>
    </row>
    <row r="76" spans="1:8" ht="17.45" customHeight="1">
      <c r="A76" s="30" t="s">
        <v>52</v>
      </c>
      <c r="B76" s="31" t="s">
        <v>146</v>
      </c>
      <c r="C76" s="54" t="s">
        <v>147</v>
      </c>
      <c r="D76" s="47">
        <f>+[2]CLN!P76</f>
        <v>0</v>
      </c>
      <c r="E76" s="27">
        <f>'[2]MJK 2'!P76</f>
        <v>0</v>
      </c>
      <c r="F76" s="27">
        <f>'[2]MJK 1'!P76</f>
        <v>0</v>
      </c>
      <c r="G76" s="27">
        <f>[2]BJR!P76</f>
        <v>0</v>
      </c>
      <c r="H76" s="27">
        <f t="shared" si="2"/>
        <v>0</v>
      </c>
    </row>
    <row r="77" spans="1:8" ht="17.45" customHeight="1">
      <c r="A77" s="30" t="s">
        <v>52</v>
      </c>
      <c r="B77" s="31" t="s">
        <v>148</v>
      </c>
      <c r="C77" s="54" t="s">
        <v>149</v>
      </c>
      <c r="D77" s="47">
        <f>+[2]CLN!P77</f>
        <v>0</v>
      </c>
      <c r="E77" s="27">
        <f>'[2]MJK 2'!P77</f>
        <v>0</v>
      </c>
      <c r="F77" s="27">
        <f>'[2]MJK 1'!P77</f>
        <v>0</v>
      </c>
      <c r="G77" s="27">
        <f>[2]BJR!P77</f>
        <v>0</v>
      </c>
      <c r="H77" s="27">
        <f t="shared" si="2"/>
        <v>0</v>
      </c>
    </row>
    <row r="78" spans="1:8" ht="17.45" customHeight="1">
      <c r="A78" s="30"/>
      <c r="B78" s="31"/>
      <c r="C78" s="54" t="s">
        <v>150</v>
      </c>
      <c r="D78" s="47">
        <f>+[2]CLN!P78</f>
        <v>-0.26</v>
      </c>
      <c r="E78" s="27">
        <f>'[2]MJK 2'!P78</f>
        <v>0</v>
      </c>
      <c r="F78" s="27">
        <f>'[2]MJK 1'!P78</f>
        <v>0</v>
      </c>
      <c r="G78" s="27">
        <f>[2]BJR!P78</f>
        <v>0</v>
      </c>
      <c r="H78" s="27">
        <f t="shared" si="2"/>
        <v>-0.26</v>
      </c>
    </row>
    <row r="79" spans="1:8" ht="17.45" customHeight="1">
      <c r="A79" s="30"/>
      <c r="B79" s="31"/>
      <c r="C79" s="54" t="s">
        <v>151</v>
      </c>
      <c r="D79" s="47">
        <f>+[2]CLN!P79</f>
        <v>0</v>
      </c>
      <c r="E79" s="27">
        <f>'[2]MJK 2'!P79</f>
        <v>0</v>
      </c>
      <c r="F79" s="27">
        <f>'[2]MJK 1'!P79</f>
        <v>0</v>
      </c>
      <c r="G79" s="27">
        <f>[2]BJR!P79</f>
        <v>0</v>
      </c>
      <c r="H79" s="27">
        <f t="shared" si="2"/>
        <v>0</v>
      </c>
    </row>
    <row r="80" spans="1:8" ht="17.45" customHeight="1">
      <c r="A80" s="30" t="s">
        <v>29</v>
      </c>
      <c r="B80" s="31" t="s">
        <v>152</v>
      </c>
      <c r="C80" s="55" t="s">
        <v>139</v>
      </c>
      <c r="D80" s="47">
        <f>+[2]CLN!P80</f>
        <v>3442.39</v>
      </c>
      <c r="E80" s="27">
        <f>'[2]MJK 2'!P80</f>
        <v>266.98</v>
      </c>
      <c r="F80" s="27">
        <f>'[2]MJK 1'!P80</f>
        <v>920.51</v>
      </c>
      <c r="G80" s="27">
        <f>[2]BJR!P80</f>
        <v>29.05</v>
      </c>
      <c r="H80" s="27">
        <f t="shared" si="2"/>
        <v>4658.93</v>
      </c>
    </row>
    <row r="81" spans="1:26" ht="17.45" customHeight="1">
      <c r="A81" s="30"/>
      <c r="B81" s="31"/>
      <c r="C81" s="53" t="s">
        <v>153</v>
      </c>
      <c r="D81" s="47">
        <f>+[2]CLN!P81</f>
        <v>0</v>
      </c>
      <c r="E81" s="27">
        <f>'[2]MJK 2'!P81</f>
        <v>0</v>
      </c>
      <c r="F81" s="27">
        <f>'[2]MJK 1'!P81</f>
        <v>0</v>
      </c>
      <c r="G81" s="27">
        <f>[2]BJR!P81</f>
        <v>0</v>
      </c>
      <c r="H81" s="27">
        <f t="shared" si="2"/>
        <v>0</v>
      </c>
    </row>
    <row r="82" spans="1:26" ht="17.45" customHeight="1">
      <c r="A82" s="30" t="s">
        <v>52</v>
      </c>
      <c r="B82" s="31"/>
      <c r="C82" s="54" t="s">
        <v>154</v>
      </c>
      <c r="D82" s="47">
        <f>+[2]CLN!P82</f>
        <v>0</v>
      </c>
      <c r="E82" s="27">
        <f>'[2]MJK 2'!P82</f>
        <v>0</v>
      </c>
      <c r="F82" s="27">
        <f>'[2]MJK 1'!P82</f>
        <v>0</v>
      </c>
      <c r="G82" s="27">
        <f>[2]BJR!P82</f>
        <v>0</v>
      </c>
      <c r="H82" s="27">
        <f t="shared" si="2"/>
        <v>0</v>
      </c>
      <c r="I82" s="47"/>
      <c r="J82" s="47"/>
      <c r="K82" s="47"/>
      <c r="L82" s="4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>
        <f>SUM(N82:Y82)</f>
        <v>0</v>
      </c>
    </row>
    <row r="83" spans="1:26" ht="17.45" customHeight="1">
      <c r="A83" s="30" t="s">
        <v>52</v>
      </c>
      <c r="B83" s="31" t="s">
        <v>155</v>
      </c>
      <c r="C83" s="54" t="s">
        <v>156</v>
      </c>
      <c r="D83" s="47">
        <f>+[2]CLN!P83</f>
        <v>3253.47</v>
      </c>
      <c r="E83" s="27">
        <f>'[2]MJK 2'!P83</f>
        <v>8709.69</v>
      </c>
      <c r="F83" s="27">
        <f>'[2]MJK 1'!P83</f>
        <v>83.95</v>
      </c>
      <c r="G83" s="27">
        <f>[2]BJR!P83</f>
        <v>0</v>
      </c>
      <c r="H83" s="27">
        <f t="shared" si="2"/>
        <v>12047.11</v>
      </c>
    </row>
    <row r="84" spans="1:26" ht="17.45" customHeight="1">
      <c r="A84" s="30" t="s">
        <v>52</v>
      </c>
      <c r="B84" s="31" t="s">
        <v>157</v>
      </c>
      <c r="C84" s="54" t="s">
        <v>158</v>
      </c>
      <c r="D84" s="47">
        <f>+[2]CLN!P84</f>
        <v>12865.32</v>
      </c>
      <c r="E84" s="27">
        <f>'[2]MJK 2'!P84</f>
        <v>17583.189999999999</v>
      </c>
      <c r="F84" s="27">
        <f>'[2]MJK 1'!P84</f>
        <v>3679.39</v>
      </c>
      <c r="G84" s="27">
        <f>[2]BJR!P84</f>
        <v>1179.1400000000001</v>
      </c>
      <c r="H84" s="27">
        <f t="shared" si="2"/>
        <v>35307.040000000001</v>
      </c>
    </row>
    <row r="85" spans="1:26" ht="17.45" customHeight="1">
      <c r="A85" s="30" t="s">
        <v>52</v>
      </c>
      <c r="B85" s="31" t="s">
        <v>159</v>
      </c>
      <c r="C85" s="54" t="s">
        <v>160</v>
      </c>
      <c r="D85" s="47">
        <f>+[2]CLN!P85</f>
        <v>545.99</v>
      </c>
      <c r="E85" s="27">
        <f>'[2]MJK 2'!P85</f>
        <v>3423.61</v>
      </c>
      <c r="F85" s="27">
        <f>'[2]MJK 1'!P85</f>
        <v>62.45</v>
      </c>
      <c r="G85" s="27">
        <f>[2]BJR!P85</f>
        <v>82.44</v>
      </c>
      <c r="H85" s="27">
        <f t="shared" si="2"/>
        <v>4114.49</v>
      </c>
    </row>
    <row r="86" spans="1:26" ht="17.45" customHeight="1">
      <c r="A86" s="30" t="s">
        <v>52</v>
      </c>
      <c r="B86" s="31" t="s">
        <v>161</v>
      </c>
      <c r="C86" s="54" t="s">
        <v>162</v>
      </c>
      <c r="D86" s="47">
        <f>+[2]CLN!P86</f>
        <v>0</v>
      </c>
      <c r="E86" s="27">
        <f>'[2]MJK 2'!P86</f>
        <v>0</v>
      </c>
      <c r="F86" s="27">
        <f>'[2]MJK 1'!P86</f>
        <v>0</v>
      </c>
      <c r="G86" s="27">
        <f>[2]BJR!P86</f>
        <v>792.09</v>
      </c>
      <c r="H86" s="27">
        <f t="shared" si="2"/>
        <v>792.09</v>
      </c>
    </row>
    <row r="87" spans="1:26" ht="17.45" customHeight="1">
      <c r="A87" s="30" t="s">
        <v>52</v>
      </c>
      <c r="B87" s="31" t="s">
        <v>163</v>
      </c>
      <c r="C87" s="54" t="s">
        <v>164</v>
      </c>
      <c r="D87" s="47">
        <f>+[2]CLN!P87</f>
        <v>0</v>
      </c>
      <c r="E87" s="27">
        <f>'[2]MJK 2'!P87</f>
        <v>0</v>
      </c>
      <c r="F87" s="27">
        <f>'[2]MJK 1'!P87</f>
        <v>0</v>
      </c>
      <c r="G87" s="27">
        <f>[2]BJR!P87</f>
        <v>258.5</v>
      </c>
      <c r="H87" s="27">
        <f t="shared" si="2"/>
        <v>258.5</v>
      </c>
    </row>
    <row r="88" spans="1:26" ht="17.45" customHeight="1">
      <c r="A88" s="30" t="s">
        <v>52</v>
      </c>
      <c r="B88" s="31" t="s">
        <v>165</v>
      </c>
      <c r="C88" s="54" t="s">
        <v>166</v>
      </c>
      <c r="D88" s="47">
        <f>+[2]CLN!P88</f>
        <v>752.29</v>
      </c>
      <c r="E88" s="27">
        <f>'[2]MJK 2'!P88</f>
        <v>652.16999999999996</v>
      </c>
      <c r="F88" s="27">
        <f>'[2]MJK 1'!P88</f>
        <v>2598.83</v>
      </c>
      <c r="G88" s="27">
        <f>[2]BJR!P88</f>
        <v>477.07</v>
      </c>
      <c r="H88" s="27">
        <f t="shared" si="2"/>
        <v>4480.3599999999997</v>
      </c>
    </row>
    <row r="89" spans="1:26" ht="17.45" customHeight="1">
      <c r="A89" s="30" t="s">
        <v>29</v>
      </c>
      <c r="B89" s="31" t="s">
        <v>167</v>
      </c>
      <c r="C89" s="55" t="s">
        <v>153</v>
      </c>
      <c r="D89" s="47">
        <f>+[2]CLN!P89</f>
        <v>17417.07</v>
      </c>
      <c r="E89" s="27">
        <f>'[2]MJK 2'!P89</f>
        <v>30368.659999999996</v>
      </c>
      <c r="F89" s="27">
        <f>'[2]MJK 1'!P89</f>
        <v>6424.619999999999</v>
      </c>
      <c r="G89" s="27">
        <f>[2]BJR!P89</f>
        <v>2789.2400000000002</v>
      </c>
      <c r="H89" s="27">
        <f t="shared" si="2"/>
        <v>56999.589999999989</v>
      </c>
    </row>
    <row r="90" spans="1:26" ht="17.45" customHeight="1">
      <c r="A90" s="30" t="s">
        <v>29</v>
      </c>
      <c r="B90" s="31" t="s">
        <v>168</v>
      </c>
      <c r="C90" s="54" t="s">
        <v>169</v>
      </c>
      <c r="D90" s="47">
        <f>+[2]CLN!P90</f>
        <v>1875.33</v>
      </c>
      <c r="E90" s="27">
        <f>'[2]MJK 2'!P90</f>
        <v>1568.34</v>
      </c>
      <c r="F90" s="27">
        <f>'[2]MJK 1'!P90</f>
        <v>0</v>
      </c>
      <c r="G90" s="27">
        <f>[2]BJR!P90</f>
        <v>0</v>
      </c>
      <c r="H90" s="27">
        <f t="shared" si="2"/>
        <v>3443.67</v>
      </c>
    </row>
    <row r="91" spans="1:26" ht="17.45" customHeight="1">
      <c r="A91" s="30" t="s">
        <v>29</v>
      </c>
      <c r="B91" s="31" t="s">
        <v>170</v>
      </c>
      <c r="C91" s="54" t="s">
        <v>171</v>
      </c>
      <c r="D91" s="47">
        <f>+[2]CLN!P91</f>
        <v>0</v>
      </c>
      <c r="E91" s="27">
        <f>'[2]MJK 2'!P91</f>
        <v>0</v>
      </c>
      <c r="F91" s="27">
        <f>'[2]MJK 1'!P91</f>
        <v>0</v>
      </c>
      <c r="G91" s="27">
        <f>[2]BJR!P91</f>
        <v>4288.17</v>
      </c>
      <c r="H91" s="27">
        <f t="shared" si="2"/>
        <v>4288.17</v>
      </c>
    </row>
    <row r="92" spans="1:26" ht="17.45" customHeight="1">
      <c r="A92" s="30" t="s">
        <v>52</v>
      </c>
      <c r="B92" s="31" t="s">
        <v>172</v>
      </c>
      <c r="C92" s="54" t="s">
        <v>173</v>
      </c>
      <c r="D92" s="47">
        <f>+[2]CLN!P92</f>
        <v>28546.11</v>
      </c>
      <c r="E92" s="27">
        <f>'[2]MJK 2'!P92</f>
        <v>4611.42</v>
      </c>
      <c r="F92" s="27">
        <f>'[2]MJK 1'!P92</f>
        <v>6705.69</v>
      </c>
      <c r="G92" s="27">
        <f>[2]BJR!P92</f>
        <v>2213.75</v>
      </c>
      <c r="H92" s="27">
        <f t="shared" si="2"/>
        <v>42076.97</v>
      </c>
    </row>
    <row r="93" spans="1:26" ht="17.45" customHeight="1">
      <c r="A93" s="30" t="s">
        <v>52</v>
      </c>
      <c r="B93" s="31" t="s">
        <v>174</v>
      </c>
      <c r="C93" s="54" t="s">
        <v>175</v>
      </c>
      <c r="D93" s="47">
        <f>+[2]CLN!P93</f>
        <v>496.66</v>
      </c>
      <c r="E93" s="27">
        <f>'[2]MJK 2'!P93</f>
        <v>3702.3</v>
      </c>
      <c r="F93" s="27">
        <f>'[2]MJK 1'!P93</f>
        <v>2728.56</v>
      </c>
      <c r="G93" s="27">
        <f>[2]BJR!P93</f>
        <v>2812.8</v>
      </c>
      <c r="H93" s="27">
        <f t="shared" si="2"/>
        <v>9740.32</v>
      </c>
    </row>
    <row r="94" spans="1:26" ht="17.45" customHeight="1">
      <c r="A94" s="30" t="s">
        <v>52</v>
      </c>
      <c r="B94" s="31" t="s">
        <v>176</v>
      </c>
      <c r="C94" s="54" t="s">
        <v>177</v>
      </c>
      <c r="D94" s="47">
        <f>+[2]CLN!P94</f>
        <v>0</v>
      </c>
      <c r="E94" s="27">
        <f>'[2]MJK 2'!P94</f>
        <v>0</v>
      </c>
      <c r="F94" s="27">
        <f>'[2]MJK 1'!P94</f>
        <v>0</v>
      </c>
      <c r="G94" s="27">
        <f>[2]BJR!P94</f>
        <v>0</v>
      </c>
      <c r="H94" s="27">
        <f t="shared" si="2"/>
        <v>0</v>
      </c>
    </row>
    <row r="95" spans="1:26" ht="17.45" customHeight="1">
      <c r="A95" s="30" t="s">
        <v>52</v>
      </c>
      <c r="B95" s="31" t="s">
        <v>178</v>
      </c>
      <c r="C95" s="54" t="s">
        <v>179</v>
      </c>
      <c r="D95" s="47">
        <f>+[2]CLN!P95</f>
        <v>0</v>
      </c>
      <c r="E95" s="27">
        <f>'[2]MJK 2'!P95</f>
        <v>0</v>
      </c>
      <c r="F95" s="27">
        <f>'[2]MJK 1'!P95</f>
        <v>0</v>
      </c>
      <c r="G95" s="27">
        <f>[2]BJR!P95</f>
        <v>0</v>
      </c>
      <c r="H95" s="27">
        <f t="shared" si="2"/>
        <v>0</v>
      </c>
    </row>
    <row r="96" spans="1:26" ht="17.45" customHeight="1">
      <c r="A96" s="30" t="s">
        <v>52</v>
      </c>
      <c r="B96" s="31" t="s">
        <v>180</v>
      </c>
      <c r="C96" s="54" t="s">
        <v>181</v>
      </c>
      <c r="D96" s="47">
        <f>+[2]CLN!P96</f>
        <v>0</v>
      </c>
      <c r="E96" s="27">
        <f>'[2]MJK 2'!P96</f>
        <v>8759.68</v>
      </c>
      <c r="F96" s="27">
        <f>'[2]MJK 1'!P96</f>
        <v>9805.9</v>
      </c>
      <c r="G96" s="27">
        <f>[2]BJR!P96</f>
        <v>6160.51</v>
      </c>
      <c r="H96" s="27">
        <f t="shared" si="2"/>
        <v>24726.090000000004</v>
      </c>
    </row>
    <row r="97" spans="1:26" ht="17.45" customHeight="1">
      <c r="A97" s="30" t="s">
        <v>52</v>
      </c>
      <c r="B97" s="31" t="s">
        <v>182</v>
      </c>
      <c r="C97" s="54" t="s">
        <v>183</v>
      </c>
      <c r="D97" s="47">
        <f>+[2]CLN!P97</f>
        <v>90.41</v>
      </c>
      <c r="E97" s="27">
        <f>'[2]MJK 2'!P97</f>
        <v>0</v>
      </c>
      <c r="F97" s="27">
        <f>'[2]MJK 1'!P97</f>
        <v>0</v>
      </c>
      <c r="G97" s="27">
        <f>[2]BJR!P97</f>
        <v>0</v>
      </c>
      <c r="H97" s="27">
        <f t="shared" si="2"/>
        <v>90.41</v>
      </c>
    </row>
    <row r="98" spans="1:26" ht="17.45" customHeight="1">
      <c r="A98" s="30" t="s">
        <v>52</v>
      </c>
      <c r="B98" s="31" t="s">
        <v>184</v>
      </c>
      <c r="C98" s="54" t="s">
        <v>185</v>
      </c>
      <c r="D98" s="47">
        <f>+[2]CLN!P98</f>
        <v>0</v>
      </c>
      <c r="E98" s="27">
        <f>'[2]MJK 2'!P98</f>
        <v>0</v>
      </c>
      <c r="F98" s="27">
        <f>'[2]MJK 1'!P98</f>
        <v>0</v>
      </c>
      <c r="G98" s="27">
        <f>[2]BJR!P98</f>
        <v>0</v>
      </c>
      <c r="H98" s="27">
        <f t="shared" si="2"/>
        <v>0</v>
      </c>
    </row>
    <row r="99" spans="1:26" ht="17.45" customHeight="1">
      <c r="A99" s="30" t="s">
        <v>52</v>
      </c>
      <c r="B99" s="31" t="s">
        <v>186</v>
      </c>
      <c r="C99" s="54" t="s">
        <v>187</v>
      </c>
      <c r="D99" s="47">
        <f>+[2]CLN!P99</f>
        <v>0</v>
      </c>
      <c r="E99" s="27">
        <f>'[2]MJK 2'!P99</f>
        <v>0</v>
      </c>
      <c r="F99" s="27">
        <f>'[2]MJK 1'!P99</f>
        <v>0</v>
      </c>
      <c r="G99" s="27">
        <f>[2]BJR!P99</f>
        <v>0</v>
      </c>
      <c r="H99" s="27">
        <f t="shared" si="2"/>
        <v>0</v>
      </c>
    </row>
    <row r="100" spans="1:26" ht="17.45" customHeight="1">
      <c r="A100" s="30" t="s">
        <v>52</v>
      </c>
      <c r="B100" s="36">
        <v>631180</v>
      </c>
      <c r="C100" s="54" t="s">
        <v>188</v>
      </c>
      <c r="D100" s="47">
        <f>+[2]CLN!P100</f>
        <v>905.01</v>
      </c>
      <c r="E100" s="27">
        <f>'[2]MJK 2'!P100</f>
        <v>1589.21</v>
      </c>
      <c r="F100" s="27">
        <f>'[2]MJK 1'!P100</f>
        <v>1387.03</v>
      </c>
      <c r="G100" s="27">
        <f>[2]BJR!P100</f>
        <v>831.77</v>
      </c>
      <c r="H100" s="27">
        <f t="shared" si="2"/>
        <v>4713.0200000000004</v>
      </c>
    </row>
    <row r="101" spans="1:26" ht="17.45" customHeight="1">
      <c r="A101" s="30" t="s">
        <v>29</v>
      </c>
      <c r="B101" s="31" t="s">
        <v>172</v>
      </c>
      <c r="C101" s="54" t="s">
        <v>173</v>
      </c>
      <c r="D101" s="47">
        <f>+[2]CLN!P101</f>
        <v>30038.19</v>
      </c>
      <c r="E101" s="27">
        <f>'[2]MJK 2'!P101</f>
        <v>18662.61</v>
      </c>
      <c r="F101" s="27">
        <f>'[2]MJK 1'!P101</f>
        <v>20627.18</v>
      </c>
      <c r="G101" s="27">
        <f>[2]BJR!P101</f>
        <v>12018.830000000002</v>
      </c>
      <c r="H101" s="27">
        <f t="shared" si="2"/>
        <v>81346.810000000012</v>
      </c>
    </row>
    <row r="102" spans="1:26" ht="17.45" customHeight="1">
      <c r="A102" s="30"/>
      <c r="B102" s="31"/>
      <c r="C102" s="53" t="s">
        <v>189</v>
      </c>
      <c r="D102" s="47">
        <f>+[2]CLN!P102</f>
        <v>0</v>
      </c>
      <c r="E102" s="27">
        <f>'[2]MJK 2'!P102</f>
        <v>0</v>
      </c>
      <c r="F102" s="27">
        <f>'[2]MJK 1'!P102</f>
        <v>0</v>
      </c>
      <c r="G102" s="27">
        <f>[2]BJR!P102</f>
        <v>0</v>
      </c>
      <c r="H102" s="27">
        <f t="shared" si="2"/>
        <v>0</v>
      </c>
    </row>
    <row r="103" spans="1:26" ht="17.45" customHeight="1">
      <c r="A103" s="30" t="s">
        <v>52</v>
      </c>
      <c r="B103" s="31" t="s">
        <v>190</v>
      </c>
      <c r="C103" s="54" t="s">
        <v>191</v>
      </c>
      <c r="D103" s="47">
        <f>+[2]CLN!P103</f>
        <v>0</v>
      </c>
      <c r="E103" s="27">
        <f>'[2]MJK 2'!P103</f>
        <v>0</v>
      </c>
      <c r="F103" s="27">
        <f>'[2]MJK 1'!P103</f>
        <v>0</v>
      </c>
      <c r="G103" s="27">
        <f>[2]BJR!P103</f>
        <v>0</v>
      </c>
      <c r="H103" s="27">
        <f t="shared" si="2"/>
        <v>0</v>
      </c>
    </row>
    <row r="104" spans="1:26" ht="17.45" customHeight="1">
      <c r="A104" s="30" t="s">
        <v>52</v>
      </c>
      <c r="B104" s="31" t="s">
        <v>192</v>
      </c>
      <c r="C104" s="54" t="s">
        <v>193</v>
      </c>
      <c r="D104" s="47">
        <f>+[2]CLN!P104</f>
        <v>-48284.4</v>
      </c>
      <c r="E104" s="27">
        <f>'[2]MJK 2'!P104</f>
        <v>-135670.75</v>
      </c>
      <c r="F104" s="27">
        <f>'[2]MJK 1'!P104</f>
        <v>-165769.01</v>
      </c>
      <c r="G104" s="27">
        <f>[2]BJR!P104</f>
        <v>-57419.96</v>
      </c>
      <c r="H104" s="27">
        <f t="shared" si="2"/>
        <v>-407144.12000000005</v>
      </c>
    </row>
    <row r="105" spans="1:26" ht="17.45" customHeight="1">
      <c r="A105" s="30" t="s">
        <v>52</v>
      </c>
      <c r="B105" s="31" t="s">
        <v>194</v>
      </c>
      <c r="C105" s="54" t="s">
        <v>195</v>
      </c>
      <c r="D105" s="47">
        <f>+[2]CLN!P105</f>
        <v>-208317.73</v>
      </c>
      <c r="E105" s="27">
        <f>'[2]MJK 2'!P105</f>
        <v>-103612.65</v>
      </c>
      <c r="F105" s="27">
        <f>'[2]MJK 1'!P105</f>
        <v>-73237.02</v>
      </c>
      <c r="G105" s="27">
        <f>[2]BJR!P105</f>
        <v>-18728.09</v>
      </c>
      <c r="H105" s="27">
        <f t="shared" si="2"/>
        <v>-403895.49000000005</v>
      </c>
    </row>
    <row r="106" spans="1:26" ht="17.45" customHeight="1">
      <c r="A106" s="30" t="s">
        <v>29</v>
      </c>
      <c r="B106" s="31" t="s">
        <v>196</v>
      </c>
      <c r="C106" s="55" t="s">
        <v>189</v>
      </c>
      <c r="D106" s="47">
        <f>+[2]CLN!P106</f>
        <v>-256602.13</v>
      </c>
      <c r="E106" s="27">
        <f>'[2]MJK 2'!P106</f>
        <v>-239283.4</v>
      </c>
      <c r="F106" s="27">
        <f>'[2]MJK 1'!P106</f>
        <v>-239006.03000000003</v>
      </c>
      <c r="G106" s="27">
        <f>[2]BJR!P106</f>
        <v>-76148.05</v>
      </c>
      <c r="H106" s="27">
        <f t="shared" si="2"/>
        <v>-811039.6100000001</v>
      </c>
    </row>
    <row r="107" spans="1:26" ht="17.45" customHeight="1">
      <c r="A107" s="30"/>
      <c r="B107" s="31"/>
      <c r="C107" s="53" t="s">
        <v>197</v>
      </c>
      <c r="D107" s="47">
        <f>+[2]CLN!P107</f>
        <v>0</v>
      </c>
      <c r="E107" s="27">
        <f>'[2]MJK 2'!P107</f>
        <v>0</v>
      </c>
      <c r="F107" s="27">
        <f>'[2]MJK 1'!P107</f>
        <v>0</v>
      </c>
      <c r="G107" s="27">
        <f>[2]BJR!P107</f>
        <v>0</v>
      </c>
      <c r="H107" s="27">
        <f t="shared" si="2"/>
        <v>0</v>
      </c>
      <c r="I107" s="47"/>
      <c r="J107" s="47"/>
      <c r="K107" s="47"/>
      <c r="L107" s="4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>
        <f>SUM(N107:Y107)</f>
        <v>0</v>
      </c>
    </row>
    <row r="108" spans="1:26" ht="17.45" customHeight="1">
      <c r="A108" s="30" t="s">
        <v>52</v>
      </c>
      <c r="B108" s="31"/>
      <c r="C108" s="54" t="s">
        <v>198</v>
      </c>
      <c r="D108" s="47">
        <f>+[2]CLN!P108</f>
        <v>0</v>
      </c>
      <c r="E108" s="27">
        <f>'[2]MJK 2'!P108</f>
        <v>0</v>
      </c>
      <c r="F108" s="27">
        <f>'[2]MJK 1'!P108</f>
        <v>0</v>
      </c>
      <c r="G108" s="27">
        <f>[2]BJR!P108</f>
        <v>0</v>
      </c>
      <c r="H108" s="27">
        <f t="shared" si="2"/>
        <v>0</v>
      </c>
      <c r="I108" s="47"/>
      <c r="J108" s="47"/>
      <c r="K108" s="47"/>
      <c r="L108" s="4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>
        <f>SUM(N108:Y108)</f>
        <v>0</v>
      </c>
    </row>
    <row r="109" spans="1:26" ht="17.45" customHeight="1">
      <c r="A109" s="30" t="s">
        <v>52</v>
      </c>
      <c r="B109" s="31"/>
      <c r="C109" s="54" t="s">
        <v>199</v>
      </c>
      <c r="D109" s="47">
        <f>+[2]CLN!P109</f>
        <v>0</v>
      </c>
      <c r="E109" s="27">
        <f>'[2]MJK 2'!P109</f>
        <v>0</v>
      </c>
      <c r="F109" s="27">
        <f>'[2]MJK 1'!P109</f>
        <v>0</v>
      </c>
      <c r="G109" s="27">
        <f>[2]BJR!P109</f>
        <v>0</v>
      </c>
      <c r="H109" s="27">
        <f t="shared" si="2"/>
        <v>0</v>
      </c>
      <c r="I109" s="47"/>
      <c r="J109" s="47"/>
      <c r="K109" s="47"/>
      <c r="L109" s="4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>
        <f>SUM(N109:Y109)</f>
        <v>0</v>
      </c>
    </row>
    <row r="110" spans="1:26" ht="17.45" customHeight="1">
      <c r="A110" s="30" t="s">
        <v>52</v>
      </c>
      <c r="B110" s="31"/>
      <c r="C110" s="54" t="s">
        <v>200</v>
      </c>
      <c r="D110" s="47">
        <f>+[2]CLN!P110</f>
        <v>0</v>
      </c>
      <c r="E110" s="27">
        <f>'[2]MJK 2'!P110</f>
        <v>0</v>
      </c>
      <c r="F110" s="27">
        <f>'[2]MJK 1'!P110</f>
        <v>0</v>
      </c>
      <c r="G110" s="27">
        <f>[2]BJR!P110</f>
        <v>0</v>
      </c>
      <c r="H110" s="27">
        <f t="shared" si="2"/>
        <v>0</v>
      </c>
      <c r="I110" s="47"/>
      <c r="J110" s="47"/>
      <c r="K110" s="47"/>
      <c r="L110" s="4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>
        <f>SUM(N110:Y110)</f>
        <v>0</v>
      </c>
    </row>
    <row r="111" spans="1:26" ht="17.45" customHeight="1">
      <c r="A111" s="30" t="s">
        <v>43</v>
      </c>
      <c r="B111" s="31" t="s">
        <v>201</v>
      </c>
      <c r="C111" s="55" t="s">
        <v>109</v>
      </c>
      <c r="D111" s="47">
        <f>+[2]CLN!P111</f>
        <v>0</v>
      </c>
      <c r="E111" s="27">
        <f>'[2]MJK 2'!P111</f>
        <v>5.8207660913467407E-11</v>
      </c>
      <c r="F111" s="27">
        <f>'[2]MJK 1'!P111</f>
        <v>0</v>
      </c>
      <c r="G111" s="27">
        <f>[2]BJR!P111</f>
        <v>0</v>
      </c>
      <c r="H111" s="27">
        <f t="shared" si="2"/>
        <v>5.8207660913467407E-11</v>
      </c>
    </row>
    <row r="112" spans="1:26" ht="17.45" customHeight="1">
      <c r="A112" s="30" t="s">
        <v>45</v>
      </c>
      <c r="B112" s="31" t="s">
        <v>202</v>
      </c>
      <c r="C112" s="37" t="s">
        <v>203</v>
      </c>
      <c r="D112" s="27">
        <f>+[2]CLN!P112</f>
        <v>1321758.24</v>
      </c>
      <c r="E112" s="27">
        <f>'[2]MJK 2'!P112</f>
        <v>239283.4</v>
      </c>
      <c r="F112" s="27">
        <f>'[2]MJK 1'!P112</f>
        <v>239006.03</v>
      </c>
      <c r="G112" s="27">
        <f>[2]BJR!P112</f>
        <v>76148.05</v>
      </c>
      <c r="H112" s="27">
        <f t="shared" si="2"/>
        <v>1876195.72</v>
      </c>
    </row>
    <row r="113" spans="1:8" ht="17.45" customHeight="1">
      <c r="A113" s="30"/>
      <c r="B113" s="31"/>
      <c r="C113" s="28" t="s">
        <v>204</v>
      </c>
      <c r="D113" s="27">
        <f>+[2]CLN!P113</f>
        <v>0</v>
      </c>
      <c r="E113" s="27">
        <f>'[2]MJK 2'!P113</f>
        <v>0</v>
      </c>
      <c r="F113" s="27">
        <f>'[2]MJK 1'!P113</f>
        <v>0</v>
      </c>
      <c r="G113" s="27">
        <f>[2]BJR!P113</f>
        <v>0</v>
      </c>
      <c r="H113" s="27">
        <f t="shared" si="2"/>
        <v>0</v>
      </c>
    </row>
    <row r="114" spans="1:8" ht="17.45" customHeight="1">
      <c r="A114" s="30"/>
      <c r="B114" s="31"/>
      <c r="C114" s="29" t="s">
        <v>205</v>
      </c>
      <c r="D114" s="27">
        <f>+[2]CLN!P114</f>
        <v>0</v>
      </c>
      <c r="E114" s="27">
        <f>'[2]MJK 2'!P114</f>
        <v>0</v>
      </c>
      <c r="F114" s="27">
        <f>'[2]MJK 1'!P114</f>
        <v>0</v>
      </c>
      <c r="G114" s="27">
        <f>[2]BJR!P114</f>
        <v>0</v>
      </c>
      <c r="H114" s="27">
        <f t="shared" si="2"/>
        <v>0</v>
      </c>
    </row>
    <row r="115" spans="1:8" ht="17.45" customHeight="1">
      <c r="A115" s="30" t="s">
        <v>29</v>
      </c>
      <c r="B115" s="31" t="s">
        <v>206</v>
      </c>
      <c r="C115" s="26" t="s">
        <v>207</v>
      </c>
      <c r="D115" s="27">
        <f>+[2]CLN!P115</f>
        <v>0</v>
      </c>
      <c r="E115" s="27">
        <f>'[2]MJK 2'!P115</f>
        <v>0</v>
      </c>
      <c r="F115" s="27">
        <f>'[2]MJK 1'!P115</f>
        <v>0</v>
      </c>
      <c r="G115" s="27">
        <f>[2]BJR!P115</f>
        <v>0</v>
      </c>
      <c r="H115" s="27">
        <f t="shared" si="2"/>
        <v>0</v>
      </c>
    </row>
    <row r="116" spans="1:8" ht="17.45" customHeight="1">
      <c r="A116" s="30" t="s">
        <v>29</v>
      </c>
      <c r="B116" s="31" t="s">
        <v>208</v>
      </c>
      <c r="C116" s="26" t="s">
        <v>209</v>
      </c>
      <c r="D116" s="27">
        <f>+[2]CLN!P116</f>
        <v>357.41</v>
      </c>
      <c r="E116" s="27">
        <f>'[2]MJK 2'!P116</f>
        <v>23.23</v>
      </c>
      <c r="F116" s="27">
        <f>'[2]MJK 1'!P116</f>
        <v>64.59</v>
      </c>
      <c r="G116" s="27">
        <f>[2]BJR!P116</f>
        <v>0</v>
      </c>
      <c r="H116" s="27">
        <f t="shared" si="2"/>
        <v>445.23</v>
      </c>
    </row>
    <row r="117" spans="1:8" ht="17.45" customHeight="1">
      <c r="A117" s="30" t="s">
        <v>43</v>
      </c>
      <c r="B117" s="31" t="s">
        <v>210</v>
      </c>
      <c r="C117" s="37" t="s">
        <v>205</v>
      </c>
      <c r="D117" s="27">
        <f>+[2]CLN!P117</f>
        <v>357.41</v>
      </c>
      <c r="E117" s="27">
        <f>'[2]MJK 2'!P117</f>
        <v>23.23</v>
      </c>
      <c r="F117" s="27">
        <f>'[2]MJK 1'!P117</f>
        <v>64.59</v>
      </c>
      <c r="G117" s="27">
        <f>[2]BJR!P117</f>
        <v>0</v>
      </c>
      <c r="H117" s="27">
        <f t="shared" si="2"/>
        <v>445.23</v>
      </c>
    </row>
    <row r="118" spans="1:8" ht="17.45" customHeight="1">
      <c r="A118" s="30"/>
      <c r="B118" s="31"/>
      <c r="C118" s="29" t="s">
        <v>211</v>
      </c>
      <c r="D118" s="27">
        <f>+[2]CLN!P118</f>
        <v>0</v>
      </c>
      <c r="E118" s="27">
        <f>'[2]MJK 2'!P118</f>
        <v>0</v>
      </c>
      <c r="F118" s="27">
        <f>'[2]MJK 1'!P118</f>
        <v>0</v>
      </c>
      <c r="G118" s="27">
        <f>[2]BJR!P118</f>
        <v>0</v>
      </c>
      <c r="H118" s="27">
        <f t="shared" si="2"/>
        <v>0</v>
      </c>
    </row>
    <row r="119" spans="1:8" ht="17.45" customHeight="1">
      <c r="A119" s="30" t="s">
        <v>29</v>
      </c>
      <c r="B119" s="31" t="s">
        <v>212</v>
      </c>
      <c r="C119" s="26" t="s">
        <v>213</v>
      </c>
      <c r="D119" s="27">
        <f>+[2]CLN!P119</f>
        <v>14020.84</v>
      </c>
      <c r="E119" s="27">
        <f>'[2]MJK 2'!P119</f>
        <v>0</v>
      </c>
      <c r="F119" s="27">
        <f>'[2]MJK 1'!P119</f>
        <v>0</v>
      </c>
      <c r="G119" s="27">
        <f>[2]BJR!P119</f>
        <v>0</v>
      </c>
      <c r="H119" s="27">
        <f t="shared" si="2"/>
        <v>14020.84</v>
      </c>
    </row>
    <row r="120" spans="1:8" ht="17.45" customHeight="1">
      <c r="A120" s="30" t="s">
        <v>29</v>
      </c>
      <c r="B120" s="31" t="s">
        <v>214</v>
      </c>
      <c r="C120" s="26" t="s">
        <v>215</v>
      </c>
      <c r="D120" s="27">
        <f>+[2]CLN!P120</f>
        <v>0</v>
      </c>
      <c r="E120" s="27">
        <f>'[2]MJK 2'!P120</f>
        <v>0</v>
      </c>
      <c r="F120" s="27">
        <f>'[2]MJK 1'!P120</f>
        <v>0</v>
      </c>
      <c r="G120" s="27">
        <f>[2]BJR!P120</f>
        <v>0</v>
      </c>
      <c r="H120" s="27">
        <f t="shared" si="2"/>
        <v>0</v>
      </c>
    </row>
    <row r="121" spans="1:8" ht="17.45" customHeight="1">
      <c r="A121" s="30"/>
      <c r="B121" s="31"/>
      <c r="C121" s="37" t="s">
        <v>216</v>
      </c>
      <c r="D121" s="27">
        <f>+[2]CLN!P121</f>
        <v>0</v>
      </c>
      <c r="E121" s="27">
        <f>'[2]MJK 2'!P121</f>
        <v>0</v>
      </c>
      <c r="F121" s="27">
        <f>'[2]MJK 1'!P121</f>
        <v>0</v>
      </c>
      <c r="G121" s="27">
        <f>[2]BJR!P121</f>
        <v>0</v>
      </c>
      <c r="H121" s="27">
        <f t="shared" si="2"/>
        <v>0</v>
      </c>
    </row>
    <row r="122" spans="1:8" ht="17.45" customHeight="1">
      <c r="A122" s="30" t="s">
        <v>52</v>
      </c>
      <c r="B122" s="31" t="s">
        <v>217</v>
      </c>
      <c r="C122" s="26" t="s">
        <v>218</v>
      </c>
      <c r="D122" s="27">
        <f>+[2]CLN!P122</f>
        <v>1134.49</v>
      </c>
      <c r="E122" s="27">
        <f>'[2]MJK 2'!P122</f>
        <v>0</v>
      </c>
      <c r="F122" s="27">
        <f>'[2]MJK 1'!P122</f>
        <v>0</v>
      </c>
      <c r="G122" s="27">
        <f>[2]BJR!P122</f>
        <v>0</v>
      </c>
      <c r="H122" s="27">
        <f t="shared" si="2"/>
        <v>1134.49</v>
      </c>
    </row>
    <row r="123" spans="1:8" ht="17.45" customHeight="1">
      <c r="A123" s="30" t="s">
        <v>52</v>
      </c>
      <c r="B123" s="31" t="s">
        <v>219</v>
      </c>
      <c r="C123" s="26" t="s">
        <v>220</v>
      </c>
      <c r="D123" s="27">
        <f>+[2]CLN!P123</f>
        <v>380.88</v>
      </c>
      <c r="E123" s="27">
        <f>'[2]MJK 2'!P123</f>
        <v>0</v>
      </c>
      <c r="F123" s="27">
        <f>'[2]MJK 1'!P123</f>
        <v>0</v>
      </c>
      <c r="G123" s="27">
        <f>[2]BJR!P123</f>
        <v>0</v>
      </c>
      <c r="H123" s="27">
        <f t="shared" si="2"/>
        <v>380.88</v>
      </c>
    </row>
    <row r="124" spans="1:8" ht="17.45" customHeight="1">
      <c r="A124" s="30" t="s">
        <v>52</v>
      </c>
      <c r="B124" s="31" t="s">
        <v>221</v>
      </c>
      <c r="C124" s="26" t="s">
        <v>222</v>
      </c>
      <c r="D124" s="27">
        <f>+[2]CLN!P124</f>
        <v>467.31</v>
      </c>
      <c r="E124" s="27">
        <f>'[2]MJK 2'!P124</f>
        <v>0</v>
      </c>
      <c r="F124" s="27">
        <f>'[2]MJK 1'!P124</f>
        <v>0</v>
      </c>
      <c r="G124" s="27">
        <f>[2]BJR!P124</f>
        <v>0</v>
      </c>
      <c r="H124" s="27">
        <f t="shared" si="2"/>
        <v>467.31</v>
      </c>
    </row>
    <row r="125" spans="1:8" ht="17.45" customHeight="1">
      <c r="A125" s="30" t="s">
        <v>52</v>
      </c>
      <c r="B125" s="31" t="s">
        <v>223</v>
      </c>
      <c r="C125" s="26" t="s">
        <v>224</v>
      </c>
      <c r="D125" s="27">
        <f>+[2]CLN!P125</f>
        <v>80</v>
      </c>
      <c r="E125" s="27">
        <f>'[2]MJK 2'!P125</f>
        <v>0</v>
      </c>
      <c r="F125" s="27">
        <f>'[2]MJK 1'!P125</f>
        <v>0</v>
      </c>
      <c r="G125" s="27">
        <f>[2]BJR!P125</f>
        <v>0</v>
      </c>
      <c r="H125" s="27">
        <f t="shared" si="2"/>
        <v>80</v>
      </c>
    </row>
    <row r="126" spans="1:8" ht="17.45" customHeight="1">
      <c r="A126" s="30" t="s">
        <v>52</v>
      </c>
      <c r="B126" s="31" t="s">
        <v>225</v>
      </c>
      <c r="C126" s="26" t="s">
        <v>226</v>
      </c>
      <c r="D126" s="27">
        <f>+[2]CLN!P126</f>
        <v>399.4</v>
      </c>
      <c r="E126" s="27">
        <f>'[2]MJK 2'!P126</f>
        <v>0</v>
      </c>
      <c r="F126" s="27">
        <f>'[2]MJK 1'!P126</f>
        <v>0</v>
      </c>
      <c r="G126" s="27">
        <f>[2]BJR!P126</f>
        <v>0</v>
      </c>
      <c r="H126" s="27">
        <f t="shared" si="2"/>
        <v>399.4</v>
      </c>
    </row>
    <row r="127" spans="1:8" ht="17.45" customHeight="1">
      <c r="A127" s="30" t="s">
        <v>52</v>
      </c>
      <c r="B127" s="31" t="s">
        <v>227</v>
      </c>
      <c r="C127" s="26" t="s">
        <v>228</v>
      </c>
      <c r="D127" s="27">
        <f>+[2]CLN!P127</f>
        <v>0</v>
      </c>
      <c r="E127" s="27">
        <f>'[2]MJK 2'!P127</f>
        <v>0</v>
      </c>
      <c r="F127" s="27">
        <f>'[2]MJK 1'!P127</f>
        <v>0</v>
      </c>
      <c r="G127" s="27">
        <f>[2]BJR!P127</f>
        <v>0</v>
      </c>
      <c r="H127" s="27">
        <f t="shared" si="2"/>
        <v>0</v>
      </c>
    </row>
    <row r="128" spans="1:8" ht="17.45" customHeight="1">
      <c r="A128" s="30" t="s">
        <v>29</v>
      </c>
      <c r="B128" s="31" t="s">
        <v>229</v>
      </c>
      <c r="C128" s="37" t="s">
        <v>216</v>
      </c>
      <c r="D128" s="27">
        <f>+[2]CLN!P128</f>
        <v>2462.08</v>
      </c>
      <c r="E128" s="27">
        <f>'[2]MJK 2'!P128</f>
        <v>0</v>
      </c>
      <c r="F128" s="27">
        <f>'[2]MJK 1'!P128</f>
        <v>0</v>
      </c>
      <c r="G128" s="27">
        <f>[2]BJR!P128</f>
        <v>0</v>
      </c>
      <c r="H128" s="27">
        <f t="shared" si="2"/>
        <v>2462.08</v>
      </c>
    </row>
    <row r="129" spans="1:8" ht="17.45" customHeight="1">
      <c r="A129" s="30" t="s">
        <v>29</v>
      </c>
      <c r="B129" s="31" t="s">
        <v>230</v>
      </c>
      <c r="C129" s="26" t="s">
        <v>231</v>
      </c>
      <c r="D129" s="27">
        <f>+[2]CLN!P129</f>
        <v>20761.509999999998</v>
      </c>
      <c r="E129" s="27">
        <f>'[2]MJK 2'!P129</f>
        <v>96.2</v>
      </c>
      <c r="F129" s="27">
        <f>'[2]MJK 1'!P129</f>
        <v>10.9</v>
      </c>
      <c r="G129" s="27">
        <f>[2]BJR!P129</f>
        <v>0</v>
      </c>
      <c r="H129" s="27">
        <f t="shared" si="2"/>
        <v>20868.61</v>
      </c>
    </row>
    <row r="130" spans="1:8" ht="17.45" customHeight="1">
      <c r="A130" s="30" t="s">
        <v>29</v>
      </c>
      <c r="B130" s="31" t="s">
        <v>232</v>
      </c>
      <c r="C130" s="26" t="s">
        <v>233</v>
      </c>
      <c r="D130" s="27">
        <f>+[2]CLN!P130</f>
        <v>71003.789999999994</v>
      </c>
      <c r="E130" s="27">
        <f>'[2]MJK 2'!P130</f>
        <v>0</v>
      </c>
      <c r="F130" s="27">
        <f>'[2]MJK 1'!P130</f>
        <v>0</v>
      </c>
      <c r="G130" s="27">
        <f>[2]BJR!P130</f>
        <v>0</v>
      </c>
      <c r="H130" s="27">
        <f t="shared" si="2"/>
        <v>71003.789999999994</v>
      </c>
    </row>
    <row r="131" spans="1:8" ht="24" customHeight="1">
      <c r="A131" s="30" t="s">
        <v>29</v>
      </c>
      <c r="B131" s="31" t="s">
        <v>234</v>
      </c>
      <c r="C131" s="26" t="s">
        <v>235</v>
      </c>
      <c r="D131" s="27">
        <f>+[2]CLN!P131</f>
        <v>0</v>
      </c>
      <c r="E131" s="27">
        <f>'[2]MJK 2'!P131</f>
        <v>0</v>
      </c>
      <c r="F131" s="27">
        <f>'[2]MJK 1'!P131</f>
        <v>0</v>
      </c>
      <c r="G131" s="27">
        <f>[2]BJR!P131</f>
        <v>0</v>
      </c>
      <c r="H131" s="27">
        <f t="shared" si="2"/>
        <v>0</v>
      </c>
    </row>
    <row r="132" spans="1:8" ht="17.45" customHeight="1">
      <c r="A132" s="30" t="s">
        <v>43</v>
      </c>
      <c r="B132" s="31" t="s">
        <v>236</v>
      </c>
      <c r="C132" s="37" t="s">
        <v>211</v>
      </c>
      <c r="D132" s="27">
        <f>+[2]CLN!P132</f>
        <v>108248.21999999999</v>
      </c>
      <c r="E132" s="27">
        <f>'[2]MJK 2'!P132</f>
        <v>96.2</v>
      </c>
      <c r="F132" s="27">
        <f>'[2]MJK 1'!P132</f>
        <v>10.9</v>
      </c>
      <c r="G132" s="27">
        <f>[2]BJR!P132</f>
        <v>0</v>
      </c>
      <c r="H132" s="27">
        <f t="shared" si="2"/>
        <v>108355.31999999998</v>
      </c>
    </row>
    <row r="133" spans="1:8" ht="17.45" customHeight="1">
      <c r="A133" s="30"/>
      <c r="B133" s="31"/>
      <c r="C133" s="37" t="s">
        <v>237</v>
      </c>
      <c r="D133" s="27">
        <f>+[2]CLN!P133</f>
        <v>0</v>
      </c>
      <c r="E133" s="27">
        <f>'[2]MJK 2'!P133</f>
        <v>0</v>
      </c>
      <c r="F133" s="27">
        <f>'[2]MJK 1'!P133</f>
        <v>0</v>
      </c>
      <c r="G133" s="27">
        <f>[2]BJR!P133</f>
        <v>0</v>
      </c>
      <c r="H133" s="27">
        <f t="shared" si="2"/>
        <v>0</v>
      </c>
    </row>
    <row r="134" spans="1:8" ht="17.45" customHeight="1">
      <c r="A134" s="30" t="s">
        <v>29</v>
      </c>
      <c r="B134" s="31" t="s">
        <v>238</v>
      </c>
      <c r="C134" s="26" t="s">
        <v>41</v>
      </c>
      <c r="D134" s="27">
        <f>+[2]CLN!P134</f>
        <v>0</v>
      </c>
      <c r="E134" s="27">
        <f>'[2]MJK 2'!P134</f>
        <v>0</v>
      </c>
      <c r="F134" s="27">
        <f>'[2]MJK 1'!P134</f>
        <v>0</v>
      </c>
      <c r="G134" s="27">
        <f>[2]BJR!P134</f>
        <v>0</v>
      </c>
      <c r="H134" s="27">
        <f t="shared" si="2"/>
        <v>0</v>
      </c>
    </row>
    <row r="135" spans="1:8" ht="17.45" customHeight="1">
      <c r="A135" s="30" t="s">
        <v>29</v>
      </c>
      <c r="B135" s="31" t="s">
        <v>239</v>
      </c>
      <c r="C135" s="26" t="s">
        <v>240</v>
      </c>
      <c r="D135" s="27">
        <f>+[2]CLN!P135</f>
        <v>12053.08</v>
      </c>
      <c r="E135" s="27">
        <f>'[2]MJK 2'!P135</f>
        <v>0</v>
      </c>
      <c r="F135" s="27">
        <f>'[2]MJK 1'!P135</f>
        <v>5.9</v>
      </c>
      <c r="G135" s="27">
        <f>[2]BJR!P135</f>
        <v>0</v>
      </c>
      <c r="H135" s="27">
        <f t="shared" si="2"/>
        <v>12058.98</v>
      </c>
    </row>
    <row r="136" spans="1:8" ht="17.45" customHeight="1">
      <c r="A136" s="30" t="s">
        <v>29</v>
      </c>
      <c r="B136" s="31" t="s">
        <v>241</v>
      </c>
      <c r="C136" s="26" t="s">
        <v>242</v>
      </c>
      <c r="D136" s="27">
        <f>+[2]CLN!P136</f>
        <v>3384.72</v>
      </c>
      <c r="E136" s="27">
        <f>'[2]MJK 2'!P136</f>
        <v>-111.52</v>
      </c>
      <c r="F136" s="27">
        <f>'[2]MJK 1'!P136</f>
        <v>0</v>
      </c>
      <c r="G136" s="27">
        <f>[2]BJR!P136</f>
        <v>0</v>
      </c>
      <c r="H136" s="27">
        <f t="shared" si="2"/>
        <v>3273.2</v>
      </c>
    </row>
    <row r="137" spans="1:8" ht="17.45" customHeight="1">
      <c r="A137" s="30" t="s">
        <v>43</v>
      </c>
      <c r="B137" s="31" t="s">
        <v>243</v>
      </c>
      <c r="C137" s="37" t="s">
        <v>237</v>
      </c>
      <c r="D137" s="27">
        <f>+[2]CLN!P137</f>
        <v>15437.8</v>
      </c>
      <c r="E137" s="27">
        <f>'[2]MJK 2'!P137</f>
        <v>-111.52</v>
      </c>
      <c r="F137" s="27">
        <f>'[2]MJK 1'!P137</f>
        <v>5.9</v>
      </c>
      <c r="G137" s="27">
        <f>[2]BJR!P137</f>
        <v>0</v>
      </c>
      <c r="H137" s="27">
        <f t="shared" ref="H137:H200" si="3">SUM(D137:G137)</f>
        <v>15332.179999999998</v>
      </c>
    </row>
    <row r="138" spans="1:8" ht="17.45" customHeight="1">
      <c r="A138" s="30" t="s">
        <v>45</v>
      </c>
      <c r="B138" s="31" t="s">
        <v>244</v>
      </c>
      <c r="C138" s="37" t="s">
        <v>204</v>
      </c>
      <c r="D138" s="27">
        <f>+[2]CLN!P138</f>
        <v>124043.43</v>
      </c>
      <c r="E138" s="27">
        <f>'[2]MJK 2'!P138</f>
        <v>7.9100000000000072</v>
      </c>
      <c r="F138" s="27">
        <f>'[2]MJK 1'!P138</f>
        <v>81.39</v>
      </c>
      <c r="G138" s="27">
        <f>[2]BJR!P138</f>
        <v>0</v>
      </c>
      <c r="H138" s="27">
        <f t="shared" si="3"/>
        <v>124132.73</v>
      </c>
    </row>
    <row r="139" spans="1:8" ht="17.45" customHeight="1">
      <c r="A139" s="30"/>
      <c r="B139" s="31"/>
      <c r="C139" s="28" t="s">
        <v>245</v>
      </c>
      <c r="D139" s="27">
        <f>+[2]CLN!P139</f>
        <v>0</v>
      </c>
      <c r="E139" s="27">
        <f>'[2]MJK 2'!P139</f>
        <v>0</v>
      </c>
      <c r="F139" s="27">
        <f>'[2]MJK 1'!P139</f>
        <v>0</v>
      </c>
      <c r="G139" s="27">
        <f>[2]BJR!P139</f>
        <v>0</v>
      </c>
      <c r="H139" s="27">
        <f t="shared" si="3"/>
        <v>0</v>
      </c>
    </row>
    <row r="140" spans="1:8" ht="17.45" customHeight="1">
      <c r="A140" s="30"/>
      <c r="B140" s="31"/>
      <c r="C140" s="29" t="s">
        <v>246</v>
      </c>
      <c r="D140" s="27">
        <f>+[2]CLN!P140</f>
        <v>0</v>
      </c>
      <c r="E140" s="27">
        <f>'[2]MJK 2'!P140</f>
        <v>0</v>
      </c>
      <c r="F140" s="27">
        <f>'[2]MJK 1'!P140</f>
        <v>0</v>
      </c>
      <c r="G140" s="27">
        <f>[2]BJR!P140</f>
        <v>0</v>
      </c>
      <c r="H140" s="27">
        <f t="shared" si="3"/>
        <v>0</v>
      </c>
    </row>
    <row r="141" spans="1:8" ht="17.45" customHeight="1">
      <c r="A141" s="30" t="s">
        <v>29</v>
      </c>
      <c r="B141" s="31" t="s">
        <v>247</v>
      </c>
      <c r="C141" s="26" t="s">
        <v>248</v>
      </c>
      <c r="D141" s="27">
        <f>+[2]CLN!P141</f>
        <v>43558.74</v>
      </c>
      <c r="E141" s="27">
        <f>'[2]MJK 2'!P141</f>
        <v>5728.64</v>
      </c>
      <c r="F141" s="27">
        <f>'[2]MJK 1'!P141</f>
        <v>12985.37</v>
      </c>
      <c r="G141" s="27">
        <f>[2]BJR!P141</f>
        <v>2279.38</v>
      </c>
      <c r="H141" s="27">
        <f t="shared" si="3"/>
        <v>64552.13</v>
      </c>
    </row>
    <row r="142" spans="1:8" ht="17.45" customHeight="1">
      <c r="A142" s="30" t="s">
        <v>29</v>
      </c>
      <c r="B142" s="31" t="s">
        <v>249</v>
      </c>
      <c r="C142" s="26" t="s">
        <v>250</v>
      </c>
      <c r="D142" s="27">
        <f>+[2]CLN!P142</f>
        <v>-575.35</v>
      </c>
      <c r="E142" s="27">
        <f>'[2]MJK 2'!P142</f>
        <v>-49.44</v>
      </c>
      <c r="F142" s="27">
        <f>'[2]MJK 1'!P142</f>
        <v>-102.28</v>
      </c>
      <c r="G142" s="27">
        <f>[2]BJR!P142</f>
        <v>-20.52</v>
      </c>
      <c r="H142" s="27">
        <f t="shared" si="3"/>
        <v>-747.58999999999992</v>
      </c>
    </row>
    <row r="143" spans="1:8" ht="17.45" customHeight="1">
      <c r="A143" s="30" t="s">
        <v>29</v>
      </c>
      <c r="B143" s="31" t="s">
        <v>251</v>
      </c>
      <c r="C143" s="26" t="s">
        <v>252</v>
      </c>
      <c r="D143" s="27">
        <f>+[2]CLN!P143</f>
        <v>2800</v>
      </c>
      <c r="E143" s="27">
        <f>'[2]MJK 2'!P143</f>
        <v>500</v>
      </c>
      <c r="F143" s="27">
        <f>'[2]MJK 1'!P143</f>
        <v>500</v>
      </c>
      <c r="G143" s="27">
        <f>[2]BJR!P143</f>
        <v>200</v>
      </c>
      <c r="H143" s="27">
        <f t="shared" si="3"/>
        <v>4000</v>
      </c>
    </row>
    <row r="144" spans="1:8" ht="17.45" customHeight="1">
      <c r="A144" s="30" t="s">
        <v>29</v>
      </c>
      <c r="B144" s="31" t="s">
        <v>253</v>
      </c>
      <c r="C144" s="26" t="s">
        <v>123</v>
      </c>
      <c r="D144" s="27">
        <f>+[2]CLN!P144</f>
        <v>2741.97</v>
      </c>
      <c r="E144" s="27">
        <f>'[2]MJK 2'!P144</f>
        <v>0</v>
      </c>
      <c r="F144" s="27">
        <f>'[2]MJK 1'!P144</f>
        <v>2.2999999999999998</v>
      </c>
      <c r="G144" s="27">
        <f>[2]BJR!P144</f>
        <v>0</v>
      </c>
      <c r="H144" s="27">
        <f t="shared" si="3"/>
        <v>2744.27</v>
      </c>
    </row>
    <row r="145" spans="1:8" ht="17.45" customHeight="1">
      <c r="A145" s="30" t="s">
        <v>29</v>
      </c>
      <c r="B145" s="31" t="s">
        <v>254</v>
      </c>
      <c r="C145" s="26" t="s">
        <v>255</v>
      </c>
      <c r="D145" s="27">
        <f>+[2]CLN!P145</f>
        <v>0</v>
      </c>
      <c r="E145" s="27">
        <f>'[2]MJK 2'!P145</f>
        <v>0</v>
      </c>
      <c r="F145" s="27">
        <f>'[2]MJK 1'!P145</f>
        <v>0</v>
      </c>
      <c r="G145" s="27">
        <f>[2]BJR!P145</f>
        <v>0</v>
      </c>
      <c r="H145" s="27">
        <f t="shared" si="3"/>
        <v>0</v>
      </c>
    </row>
    <row r="146" spans="1:8" ht="17.45" customHeight="1">
      <c r="A146" s="30" t="s">
        <v>29</v>
      </c>
      <c r="B146" s="31" t="s">
        <v>256</v>
      </c>
      <c r="C146" s="26" t="s">
        <v>257</v>
      </c>
      <c r="D146" s="27">
        <f>+[2]CLN!P146</f>
        <v>2688.7</v>
      </c>
      <c r="E146" s="27">
        <f>'[2]MJK 2'!P146</f>
        <v>-115.91</v>
      </c>
      <c r="F146" s="27">
        <f>'[2]MJK 1'!P146</f>
        <v>-264.86</v>
      </c>
      <c r="G146" s="27">
        <f>[2]BJR!P146</f>
        <v>-43.45</v>
      </c>
      <c r="H146" s="27">
        <f t="shared" si="3"/>
        <v>2264.48</v>
      </c>
    </row>
    <row r="147" spans="1:8" ht="17.45" customHeight="1">
      <c r="A147" s="30"/>
      <c r="B147" s="31"/>
      <c r="C147" s="26" t="s">
        <v>258</v>
      </c>
      <c r="D147" s="27"/>
      <c r="E147" s="27"/>
      <c r="F147" s="27"/>
      <c r="G147" s="27">
        <f>[2]BJR!P147</f>
        <v>0</v>
      </c>
      <c r="H147" s="27">
        <f t="shared" si="3"/>
        <v>0</v>
      </c>
    </row>
    <row r="148" spans="1:8" ht="17.45" customHeight="1">
      <c r="A148" s="30" t="s">
        <v>43</v>
      </c>
      <c r="B148" s="31" t="s">
        <v>259</v>
      </c>
      <c r="C148" s="37" t="s">
        <v>246</v>
      </c>
      <c r="D148" s="27">
        <f>+[2]CLN!P148</f>
        <v>51214.06</v>
      </c>
      <c r="E148" s="27">
        <f>'[2]MJK 2'!P148</f>
        <v>6063.2900000000009</v>
      </c>
      <c r="F148" s="27">
        <f>'[2]MJK 1'!P148</f>
        <v>13120.529999999999</v>
      </c>
      <c r="G148" s="27">
        <f>[2]BJR!P148</f>
        <v>2415.4100000000003</v>
      </c>
      <c r="H148" s="27">
        <f t="shared" si="3"/>
        <v>72813.290000000008</v>
      </c>
    </row>
    <row r="149" spans="1:8" ht="17.45" customHeight="1">
      <c r="A149" s="30"/>
      <c r="B149" s="31"/>
      <c r="C149" s="28" t="s">
        <v>260</v>
      </c>
      <c r="D149" s="27">
        <f>+[2]CLN!P149</f>
        <v>0</v>
      </c>
      <c r="E149" s="27">
        <f>'[2]MJK 2'!P149</f>
        <v>0</v>
      </c>
      <c r="F149" s="27">
        <f>'[2]MJK 1'!P149</f>
        <v>0</v>
      </c>
      <c r="G149" s="27">
        <f>[2]BJR!P149</f>
        <v>0</v>
      </c>
      <c r="H149" s="27">
        <f t="shared" si="3"/>
        <v>0</v>
      </c>
    </row>
    <row r="150" spans="1:8" ht="17.45" customHeight="1">
      <c r="A150" s="30" t="s">
        <v>29</v>
      </c>
      <c r="B150" s="31" t="s">
        <v>261</v>
      </c>
      <c r="C150" s="26" t="s">
        <v>262</v>
      </c>
      <c r="D150" s="27">
        <f>+[2]CLN!P150</f>
        <v>0</v>
      </c>
      <c r="E150" s="27">
        <f>'[2]MJK 2'!P150</f>
        <v>0</v>
      </c>
      <c r="F150" s="27">
        <f>'[2]MJK 1'!P150</f>
        <v>0</v>
      </c>
      <c r="G150" s="27">
        <f>[2]BJR!P150</f>
        <v>0</v>
      </c>
      <c r="H150" s="27">
        <f t="shared" si="3"/>
        <v>0</v>
      </c>
    </row>
    <row r="151" spans="1:8" ht="17.45" customHeight="1">
      <c r="A151" s="30" t="s">
        <v>29</v>
      </c>
      <c r="B151" s="31" t="s">
        <v>263</v>
      </c>
      <c r="C151" s="26" t="s">
        <v>264</v>
      </c>
      <c r="D151" s="27">
        <f>+[2]CLN!P151</f>
        <v>0</v>
      </c>
      <c r="E151" s="27">
        <f>'[2]MJK 2'!P151</f>
        <v>0</v>
      </c>
      <c r="F151" s="27">
        <f>'[2]MJK 1'!P151</f>
        <v>0</v>
      </c>
      <c r="G151" s="27">
        <f>[2]BJR!P151</f>
        <v>0</v>
      </c>
      <c r="H151" s="27">
        <f t="shared" si="3"/>
        <v>0</v>
      </c>
    </row>
    <row r="152" spans="1:8" ht="17.45" customHeight="1">
      <c r="A152" s="30" t="s">
        <v>29</v>
      </c>
      <c r="B152" s="31" t="s">
        <v>265</v>
      </c>
      <c r="C152" s="26" t="s">
        <v>266</v>
      </c>
      <c r="D152" s="27">
        <f>+[2]CLN!P152</f>
        <v>0</v>
      </c>
      <c r="E152" s="27">
        <f>'[2]MJK 2'!P152</f>
        <v>0</v>
      </c>
      <c r="F152" s="27">
        <f>'[2]MJK 1'!P152</f>
        <v>0</v>
      </c>
      <c r="G152" s="27">
        <f>[2]BJR!P152</f>
        <v>0</v>
      </c>
      <c r="H152" s="27">
        <f t="shared" si="3"/>
        <v>0</v>
      </c>
    </row>
    <row r="153" spans="1:8" ht="17.45" customHeight="1">
      <c r="A153" s="30" t="s">
        <v>29</v>
      </c>
      <c r="B153" s="31" t="s">
        <v>267</v>
      </c>
      <c r="C153" s="26" t="s">
        <v>268</v>
      </c>
      <c r="D153" s="27">
        <f>+[2]CLN!P153</f>
        <v>641.96</v>
      </c>
      <c r="E153" s="27">
        <f>'[2]MJK 2'!P153</f>
        <v>320.36</v>
      </c>
      <c r="F153" s="27">
        <f>'[2]MJK 1'!P153</f>
        <v>0</v>
      </c>
      <c r="G153" s="27">
        <f>[2]BJR!P153</f>
        <v>0</v>
      </c>
      <c r="H153" s="27">
        <f t="shared" si="3"/>
        <v>962.32</v>
      </c>
    </row>
    <row r="154" spans="1:8" ht="17.45" customHeight="1">
      <c r="A154" s="30" t="s">
        <v>43</v>
      </c>
      <c r="B154" s="31" t="s">
        <v>269</v>
      </c>
      <c r="C154" s="37" t="s">
        <v>260</v>
      </c>
      <c r="D154" s="27">
        <f>+[2]CLN!P154</f>
        <v>641.96</v>
      </c>
      <c r="E154" s="27">
        <f>'[2]MJK 2'!P154</f>
        <v>320.36</v>
      </c>
      <c r="F154" s="27">
        <f>'[2]MJK 1'!P154</f>
        <v>0</v>
      </c>
      <c r="G154" s="27">
        <f>[2]BJR!P154</f>
        <v>0</v>
      </c>
      <c r="H154" s="27">
        <f t="shared" si="3"/>
        <v>962.32</v>
      </c>
    </row>
    <row r="155" spans="1:8" ht="17.45" customHeight="1">
      <c r="A155" s="30"/>
      <c r="B155" s="31"/>
      <c r="C155" s="28" t="s">
        <v>270</v>
      </c>
      <c r="D155" s="27">
        <f>+[2]CLN!P155</f>
        <v>0</v>
      </c>
      <c r="E155" s="27">
        <f>'[2]MJK 2'!P155</f>
        <v>0</v>
      </c>
      <c r="F155" s="27">
        <f>'[2]MJK 1'!P155</f>
        <v>0</v>
      </c>
      <c r="G155" s="27">
        <f>[2]BJR!P155</f>
        <v>0</v>
      </c>
      <c r="H155" s="27">
        <f t="shared" si="3"/>
        <v>0</v>
      </c>
    </row>
    <row r="156" spans="1:8" ht="17.45" customHeight="1">
      <c r="A156" s="30" t="s">
        <v>29</v>
      </c>
      <c r="B156" s="31" t="s">
        <v>271</v>
      </c>
      <c r="C156" s="26" t="s">
        <v>272</v>
      </c>
      <c r="D156" s="27">
        <f>+[2]CLN!P156</f>
        <v>0</v>
      </c>
      <c r="E156" s="27">
        <f>'[2]MJK 2'!P156</f>
        <v>0</v>
      </c>
      <c r="F156" s="27">
        <f>'[2]MJK 1'!P156</f>
        <v>0</v>
      </c>
      <c r="G156" s="27">
        <f>[2]BJR!P156</f>
        <v>0</v>
      </c>
      <c r="H156" s="27">
        <f t="shared" si="3"/>
        <v>0</v>
      </c>
    </row>
    <row r="157" spans="1:8" ht="17.45" customHeight="1">
      <c r="A157" s="30" t="s">
        <v>29</v>
      </c>
      <c r="B157" s="31" t="s">
        <v>273</v>
      </c>
      <c r="C157" s="26" t="s">
        <v>129</v>
      </c>
      <c r="D157" s="27">
        <f>+[2]CLN!P157</f>
        <v>0</v>
      </c>
      <c r="E157" s="27">
        <f>'[2]MJK 2'!P157</f>
        <v>0</v>
      </c>
      <c r="F157" s="27">
        <f>'[2]MJK 1'!P157</f>
        <v>0</v>
      </c>
      <c r="G157" s="27">
        <f>[2]BJR!P157</f>
        <v>0</v>
      </c>
      <c r="H157" s="27">
        <f t="shared" si="3"/>
        <v>0</v>
      </c>
    </row>
    <row r="158" spans="1:8" ht="17.45" customHeight="1">
      <c r="A158" s="30" t="s">
        <v>43</v>
      </c>
      <c r="B158" s="31" t="s">
        <v>274</v>
      </c>
      <c r="C158" s="37" t="s">
        <v>270</v>
      </c>
      <c r="D158" s="27">
        <f>+[2]CLN!P158</f>
        <v>0</v>
      </c>
      <c r="E158" s="27">
        <f>'[2]MJK 2'!P158</f>
        <v>0</v>
      </c>
      <c r="F158" s="27">
        <f>'[2]MJK 1'!P158</f>
        <v>0</v>
      </c>
      <c r="G158" s="27">
        <f>[2]BJR!P158</f>
        <v>0</v>
      </c>
      <c r="H158" s="27">
        <f t="shared" si="3"/>
        <v>0</v>
      </c>
    </row>
    <row r="159" spans="1:8" ht="17.45" customHeight="1">
      <c r="A159" s="30" t="s">
        <v>43</v>
      </c>
      <c r="B159" s="31" t="s">
        <v>275</v>
      </c>
      <c r="C159" s="26" t="s">
        <v>276</v>
      </c>
      <c r="D159" s="27">
        <f>+[2]CLN!P159</f>
        <v>0</v>
      </c>
      <c r="E159" s="27">
        <f>'[2]MJK 2'!P159</f>
        <v>0</v>
      </c>
      <c r="F159" s="27">
        <f>'[2]MJK 1'!P159</f>
        <v>0</v>
      </c>
      <c r="G159" s="27">
        <f>[2]BJR!P159</f>
        <v>0</v>
      </c>
      <c r="H159" s="27">
        <f t="shared" si="3"/>
        <v>0</v>
      </c>
    </row>
    <row r="160" spans="1:8" ht="17.45" customHeight="1">
      <c r="A160" s="30" t="s">
        <v>43</v>
      </c>
      <c r="B160" s="31" t="s">
        <v>277</v>
      </c>
      <c r="C160" s="26" t="s">
        <v>278</v>
      </c>
      <c r="D160" s="27">
        <f>+[2]CLN!P160</f>
        <v>0</v>
      </c>
      <c r="E160" s="27">
        <f>'[2]MJK 2'!P160</f>
        <v>0</v>
      </c>
      <c r="F160" s="27">
        <f>'[2]MJK 1'!P160</f>
        <v>0</v>
      </c>
      <c r="G160" s="27">
        <f>[2]BJR!P160</f>
        <v>0</v>
      </c>
      <c r="H160" s="27">
        <f t="shared" si="3"/>
        <v>0</v>
      </c>
    </row>
    <row r="161" spans="1:8" ht="17.45" customHeight="1">
      <c r="A161" s="30"/>
      <c r="B161" s="31"/>
      <c r="C161" s="26" t="s">
        <v>279</v>
      </c>
      <c r="D161" s="27">
        <f>+[2]CLN!P161</f>
        <v>0</v>
      </c>
      <c r="E161" s="27">
        <f>'[2]MJK 2'!P161</f>
        <v>0</v>
      </c>
      <c r="F161" s="27">
        <f>'[2]MJK 1'!P161</f>
        <v>0</v>
      </c>
      <c r="G161" s="27">
        <f>[2]BJR!P161</f>
        <v>0</v>
      </c>
      <c r="H161" s="27">
        <f t="shared" si="3"/>
        <v>0</v>
      </c>
    </row>
    <row r="162" spans="1:8" ht="17.45" customHeight="1">
      <c r="A162" s="30" t="s">
        <v>43</v>
      </c>
      <c r="B162" s="31" t="s">
        <v>280</v>
      </c>
      <c r="C162" s="26" t="s">
        <v>281</v>
      </c>
      <c r="D162" s="27">
        <f>+[2]CLN!P162</f>
        <v>0</v>
      </c>
      <c r="E162" s="27">
        <f>'[2]MJK 2'!P162</f>
        <v>0</v>
      </c>
      <c r="F162" s="27">
        <f>'[2]MJK 1'!P162</f>
        <v>0</v>
      </c>
      <c r="G162" s="27">
        <f>[2]BJR!P162</f>
        <v>0</v>
      </c>
      <c r="H162" s="27">
        <f t="shared" si="3"/>
        <v>0</v>
      </c>
    </row>
    <row r="163" spans="1:8" ht="17.45" customHeight="1">
      <c r="A163" s="30" t="s">
        <v>43</v>
      </c>
      <c r="B163" s="31" t="s">
        <v>282</v>
      </c>
      <c r="C163" s="26" t="s">
        <v>283</v>
      </c>
      <c r="D163" s="27">
        <f>+[2]CLN!P163</f>
        <v>3.21</v>
      </c>
      <c r="E163" s="27">
        <f>'[2]MJK 2'!P163</f>
        <v>64.14</v>
      </c>
      <c r="F163" s="27">
        <f>'[2]MJK 1'!P163</f>
        <v>0</v>
      </c>
      <c r="G163" s="27">
        <f>[2]BJR!P163</f>
        <v>0</v>
      </c>
      <c r="H163" s="27">
        <f t="shared" si="3"/>
        <v>67.349999999999994</v>
      </c>
    </row>
    <row r="164" spans="1:8" ht="17.45" customHeight="1">
      <c r="A164" s="30" t="s">
        <v>43</v>
      </c>
      <c r="B164" s="31" t="s">
        <v>284</v>
      </c>
      <c r="C164" s="26" t="s">
        <v>285</v>
      </c>
      <c r="D164" s="27">
        <f>+[2]CLN!P164</f>
        <v>1758.5</v>
      </c>
      <c r="E164" s="27">
        <f>'[2]MJK 2'!P164</f>
        <v>1687.71</v>
      </c>
      <c r="F164" s="27">
        <f>'[2]MJK 1'!P164</f>
        <v>688.82</v>
      </c>
      <c r="G164" s="27">
        <f>[2]BJR!P164</f>
        <v>12.1</v>
      </c>
      <c r="H164" s="27">
        <f t="shared" si="3"/>
        <v>4147.13</v>
      </c>
    </row>
    <row r="165" spans="1:8" ht="17.45" customHeight="1">
      <c r="A165" s="30" t="s">
        <v>43</v>
      </c>
      <c r="B165" s="31" t="s">
        <v>286</v>
      </c>
      <c r="C165" s="26" t="s">
        <v>287</v>
      </c>
      <c r="D165" s="27">
        <f>+[2]CLN!P165</f>
        <v>128.27000000000001</v>
      </c>
      <c r="E165" s="27">
        <f>'[2]MJK 2'!P165</f>
        <v>518.41</v>
      </c>
      <c r="F165" s="27">
        <f>'[2]MJK 1'!P165</f>
        <v>595.19000000000005</v>
      </c>
      <c r="G165" s="27">
        <f>[2]BJR!P165</f>
        <v>48.1</v>
      </c>
      <c r="H165" s="27">
        <f t="shared" si="3"/>
        <v>1289.9699999999998</v>
      </c>
    </row>
    <row r="166" spans="1:8" ht="17.45" customHeight="1">
      <c r="A166" s="30"/>
      <c r="B166" s="31"/>
      <c r="C166" s="28" t="s">
        <v>288</v>
      </c>
      <c r="D166" s="27">
        <f>+[2]CLN!P166</f>
        <v>0</v>
      </c>
      <c r="E166" s="27">
        <f>'[2]MJK 2'!P166</f>
        <v>0</v>
      </c>
      <c r="F166" s="27">
        <f>'[2]MJK 1'!P166</f>
        <v>0</v>
      </c>
      <c r="G166" s="27">
        <f>[2]BJR!P166</f>
        <v>0</v>
      </c>
      <c r="H166" s="27">
        <f t="shared" si="3"/>
        <v>0</v>
      </c>
    </row>
    <row r="167" spans="1:8" ht="17.45" customHeight="1">
      <c r="A167" s="30" t="s">
        <v>29</v>
      </c>
      <c r="B167" s="31" t="s">
        <v>289</v>
      </c>
      <c r="C167" s="26" t="s">
        <v>290</v>
      </c>
      <c r="D167" s="27">
        <f>+[2]CLN!P167</f>
        <v>529.76</v>
      </c>
      <c r="E167" s="27">
        <f>'[2]MJK 2'!P167</f>
        <v>141.1</v>
      </c>
      <c r="F167" s="27">
        <f>'[2]MJK 1'!P167</f>
        <v>490.64</v>
      </c>
      <c r="G167" s="27">
        <f>[2]BJR!P167</f>
        <v>109.03</v>
      </c>
      <c r="H167" s="27">
        <f t="shared" si="3"/>
        <v>1270.53</v>
      </c>
    </row>
    <row r="168" spans="1:8" ht="17.45" customHeight="1">
      <c r="A168" s="30" t="s">
        <v>29</v>
      </c>
      <c r="B168" s="31" t="s">
        <v>291</v>
      </c>
      <c r="C168" s="26" t="s">
        <v>292</v>
      </c>
      <c r="D168" s="27">
        <f>+[2]CLN!P168</f>
        <v>0</v>
      </c>
      <c r="E168" s="27">
        <f>'[2]MJK 2'!P168</f>
        <v>0</v>
      </c>
      <c r="F168" s="27">
        <f>'[2]MJK 1'!P168</f>
        <v>0</v>
      </c>
      <c r="G168" s="27">
        <f>[2]BJR!P168</f>
        <v>0</v>
      </c>
      <c r="H168" s="27">
        <f t="shared" si="3"/>
        <v>0</v>
      </c>
    </row>
    <row r="169" spans="1:8" ht="17.45" customHeight="1">
      <c r="A169" s="30" t="s">
        <v>29</v>
      </c>
      <c r="B169" s="31" t="s">
        <v>293</v>
      </c>
      <c r="C169" s="26" t="s">
        <v>294</v>
      </c>
      <c r="D169" s="27">
        <f>+[2]CLN!P169</f>
        <v>0</v>
      </c>
      <c r="E169" s="27">
        <f>'[2]MJK 2'!P169</f>
        <v>0</v>
      </c>
      <c r="F169" s="27">
        <f>'[2]MJK 1'!P169</f>
        <v>0</v>
      </c>
      <c r="G169" s="27">
        <f>[2]BJR!P169</f>
        <v>0</v>
      </c>
      <c r="H169" s="27">
        <f t="shared" si="3"/>
        <v>0</v>
      </c>
    </row>
    <row r="170" spans="1:8" ht="17.45" customHeight="1">
      <c r="A170" s="30" t="s">
        <v>43</v>
      </c>
      <c r="B170" s="31" t="s">
        <v>295</v>
      </c>
      <c r="C170" s="37" t="s">
        <v>288</v>
      </c>
      <c r="D170" s="27">
        <f>+[2]CLN!P170</f>
        <v>529.76</v>
      </c>
      <c r="E170" s="27">
        <f>'[2]MJK 2'!P170</f>
        <v>141.1</v>
      </c>
      <c r="F170" s="27">
        <f>'[2]MJK 1'!P170</f>
        <v>490.64</v>
      </c>
      <c r="G170" s="27">
        <f>[2]BJR!P170</f>
        <v>109.03</v>
      </c>
      <c r="H170" s="27">
        <f t="shared" si="3"/>
        <v>1270.53</v>
      </c>
    </row>
    <row r="171" spans="1:8" ht="17.45" customHeight="1">
      <c r="A171" s="30"/>
      <c r="B171" s="31"/>
      <c r="C171" s="28" t="s">
        <v>296</v>
      </c>
      <c r="D171" s="27">
        <f>+[2]CLN!P171</f>
        <v>0</v>
      </c>
      <c r="E171" s="27">
        <f>'[2]MJK 2'!P171</f>
        <v>0</v>
      </c>
      <c r="F171" s="27">
        <f>'[2]MJK 1'!P171</f>
        <v>0</v>
      </c>
      <c r="G171" s="27">
        <f>[2]BJR!P171</f>
        <v>0</v>
      </c>
      <c r="H171" s="27">
        <f t="shared" si="3"/>
        <v>0</v>
      </c>
    </row>
    <row r="172" spans="1:8" ht="17.45" customHeight="1">
      <c r="A172" s="30" t="s">
        <v>29</v>
      </c>
      <c r="B172" s="31" t="s">
        <v>297</v>
      </c>
      <c r="C172" s="26" t="s">
        <v>298</v>
      </c>
      <c r="D172" s="27">
        <f>+[2]CLN!P172</f>
        <v>1220.19</v>
      </c>
      <c r="E172" s="27">
        <f>'[2]MJK 2'!P172</f>
        <v>141.02000000000001</v>
      </c>
      <c r="F172" s="27">
        <f>'[2]MJK 1'!P172</f>
        <v>383.24</v>
      </c>
      <c r="G172" s="27">
        <f>[2]BJR!P172</f>
        <v>298.7</v>
      </c>
      <c r="H172" s="27">
        <f t="shared" si="3"/>
        <v>2043.15</v>
      </c>
    </row>
    <row r="173" spans="1:8" ht="17.45" customHeight="1">
      <c r="A173" s="30" t="s">
        <v>29</v>
      </c>
      <c r="B173" s="31" t="s">
        <v>299</v>
      </c>
      <c r="C173" s="26" t="s">
        <v>300</v>
      </c>
      <c r="D173" s="27">
        <f>+[2]CLN!P173</f>
        <v>0</v>
      </c>
      <c r="E173" s="27">
        <f>'[2]MJK 2'!P173</f>
        <v>0</v>
      </c>
      <c r="F173" s="27">
        <f>'[2]MJK 1'!P173</f>
        <v>0</v>
      </c>
      <c r="G173" s="27">
        <f>[2]BJR!P173</f>
        <v>0</v>
      </c>
      <c r="H173" s="27">
        <f t="shared" si="3"/>
        <v>0</v>
      </c>
    </row>
    <row r="174" spans="1:8" ht="17.45" customHeight="1">
      <c r="A174" s="30" t="s">
        <v>29</v>
      </c>
      <c r="B174" s="31" t="s">
        <v>301</v>
      </c>
      <c r="C174" s="26" t="s">
        <v>302</v>
      </c>
      <c r="D174" s="27">
        <f>+[2]CLN!P174</f>
        <v>0</v>
      </c>
      <c r="E174" s="27">
        <f>'[2]MJK 2'!P174</f>
        <v>0</v>
      </c>
      <c r="F174" s="27">
        <f>'[2]MJK 1'!P174</f>
        <v>0</v>
      </c>
      <c r="G174" s="27">
        <f>[2]BJR!P174</f>
        <v>0</v>
      </c>
      <c r="H174" s="27">
        <f t="shared" si="3"/>
        <v>0</v>
      </c>
    </row>
    <row r="175" spans="1:8" ht="17.45" customHeight="1">
      <c r="A175" s="30" t="s">
        <v>43</v>
      </c>
      <c r="B175" s="31" t="s">
        <v>303</v>
      </c>
      <c r="C175" s="37" t="s">
        <v>296</v>
      </c>
      <c r="D175" s="27">
        <f>+[2]CLN!P175</f>
        <v>1220.19</v>
      </c>
      <c r="E175" s="27">
        <f>'[2]MJK 2'!P175</f>
        <v>141.02000000000001</v>
      </c>
      <c r="F175" s="27">
        <f>'[2]MJK 1'!P175</f>
        <v>383.24</v>
      </c>
      <c r="G175" s="27">
        <f>[2]BJR!P175</f>
        <v>298.7</v>
      </c>
      <c r="H175" s="27">
        <f t="shared" si="3"/>
        <v>2043.15</v>
      </c>
    </row>
    <row r="176" spans="1:8" ht="17.45" customHeight="1">
      <c r="A176" s="30" t="s">
        <v>43</v>
      </c>
      <c r="B176" s="31" t="s">
        <v>304</v>
      </c>
      <c r="C176" s="26" t="s">
        <v>305</v>
      </c>
      <c r="D176" s="27">
        <f>+[2]CLN!P176</f>
        <v>7151.34</v>
      </c>
      <c r="E176" s="27">
        <f>'[2]MJK 2'!P176</f>
        <v>4400.3599999999997</v>
      </c>
      <c r="F176" s="27">
        <f>'[2]MJK 1'!P176</f>
        <v>7463.47</v>
      </c>
      <c r="G176" s="27">
        <f>[2]BJR!P176</f>
        <v>3626.01</v>
      </c>
      <c r="H176" s="27">
        <f t="shared" si="3"/>
        <v>22641.18</v>
      </c>
    </row>
    <row r="177" spans="1:26" ht="17.45" customHeight="1">
      <c r="A177" s="30" t="s">
        <v>43</v>
      </c>
      <c r="B177" s="31" t="s">
        <v>306</v>
      </c>
      <c r="C177" s="26" t="s">
        <v>307</v>
      </c>
      <c r="D177" s="27">
        <f>+[2]CLN!P177</f>
        <v>1539.63</v>
      </c>
      <c r="E177" s="27">
        <f>'[2]MJK 2'!P177</f>
        <v>499.03</v>
      </c>
      <c r="F177" s="27">
        <f>'[2]MJK 1'!P177</f>
        <v>421.04</v>
      </c>
      <c r="G177" s="27">
        <f>[2]BJR!P177</f>
        <v>0</v>
      </c>
      <c r="H177" s="27">
        <f t="shared" si="3"/>
        <v>2459.7000000000003</v>
      </c>
    </row>
    <row r="178" spans="1:26" ht="17.45" customHeight="1">
      <c r="A178" s="30"/>
      <c r="B178" s="31"/>
      <c r="C178" s="28" t="s">
        <v>308</v>
      </c>
      <c r="D178" s="27">
        <f>+[2]CLN!P178</f>
        <v>0</v>
      </c>
      <c r="E178" s="27">
        <f>'[2]MJK 2'!P178</f>
        <v>0</v>
      </c>
      <c r="F178" s="27">
        <f>'[2]MJK 1'!P178</f>
        <v>0</v>
      </c>
      <c r="G178" s="27">
        <f>[2]BJR!P178</f>
        <v>0</v>
      </c>
      <c r="H178" s="27">
        <f t="shared" si="3"/>
        <v>0</v>
      </c>
    </row>
    <row r="179" spans="1:26" ht="17.45" customHeight="1">
      <c r="A179" s="30" t="s">
        <v>29</v>
      </c>
      <c r="B179" s="31" t="s">
        <v>309</v>
      </c>
      <c r="C179" s="26" t="s">
        <v>310</v>
      </c>
      <c r="D179" s="27">
        <f>+[2]CLN!P179</f>
        <v>0</v>
      </c>
      <c r="E179" s="27">
        <f>'[2]MJK 2'!P179</f>
        <v>0</v>
      </c>
      <c r="F179" s="27">
        <f>'[2]MJK 1'!P179</f>
        <v>0</v>
      </c>
      <c r="G179" s="27">
        <f>[2]BJR!P179</f>
        <v>0</v>
      </c>
      <c r="H179" s="27">
        <f t="shared" si="3"/>
        <v>0</v>
      </c>
    </row>
    <row r="180" spans="1:26" ht="17.45" customHeight="1">
      <c r="A180" s="30" t="s">
        <v>29</v>
      </c>
      <c r="B180" s="31" t="s">
        <v>311</v>
      </c>
      <c r="C180" s="26" t="s">
        <v>312</v>
      </c>
      <c r="D180" s="27">
        <f>+[2]CLN!P180</f>
        <v>0</v>
      </c>
      <c r="E180" s="27">
        <f>'[2]MJK 2'!P180</f>
        <v>0</v>
      </c>
      <c r="F180" s="27">
        <f>'[2]MJK 1'!P180</f>
        <v>0</v>
      </c>
      <c r="G180" s="27">
        <f>[2]BJR!P180</f>
        <v>0</v>
      </c>
      <c r="H180" s="27">
        <f t="shared" si="3"/>
        <v>0</v>
      </c>
    </row>
    <row r="181" spans="1:26" ht="17.45" customHeight="1">
      <c r="A181" s="30" t="s">
        <v>29</v>
      </c>
      <c r="B181" s="31"/>
      <c r="C181" s="26" t="s">
        <v>313</v>
      </c>
      <c r="D181" s="27">
        <f>+[2]CLN!P181</f>
        <v>0</v>
      </c>
      <c r="E181" s="27">
        <f>'[2]MJK 2'!P181</f>
        <v>0</v>
      </c>
      <c r="F181" s="27">
        <f>'[2]MJK 1'!P181</f>
        <v>0</v>
      </c>
      <c r="G181" s="27">
        <f>[2]BJR!P181</f>
        <v>0</v>
      </c>
      <c r="H181" s="27">
        <f t="shared" si="3"/>
        <v>0</v>
      </c>
      <c r="I181" s="27"/>
      <c r="J181" s="27"/>
      <c r="K181" s="27"/>
      <c r="L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>
        <f>SUM(N181:Y181)</f>
        <v>0</v>
      </c>
    </row>
    <row r="182" spans="1:26" ht="17.45" customHeight="1">
      <c r="A182" s="30" t="s">
        <v>43</v>
      </c>
      <c r="B182" s="31" t="s">
        <v>314</v>
      </c>
      <c r="C182" s="37" t="s">
        <v>308</v>
      </c>
      <c r="D182" s="27">
        <f>+[2]CLN!P182</f>
        <v>0</v>
      </c>
      <c r="E182" s="27">
        <f>'[2]MJK 2'!P182</f>
        <v>0</v>
      </c>
      <c r="F182" s="27">
        <f>'[2]MJK 1'!P182</f>
        <v>0</v>
      </c>
      <c r="G182" s="27">
        <f>[2]BJR!P182</f>
        <v>0</v>
      </c>
      <c r="H182" s="27">
        <f t="shared" si="3"/>
        <v>0</v>
      </c>
    </row>
    <row r="183" spans="1:26" ht="17.45" customHeight="1">
      <c r="A183" s="30"/>
      <c r="B183" s="31"/>
      <c r="C183" s="28" t="s">
        <v>315</v>
      </c>
      <c r="D183" s="27">
        <f>+[2]CLN!P183</f>
        <v>0</v>
      </c>
      <c r="E183" s="27">
        <f>'[2]MJK 2'!P183</f>
        <v>0</v>
      </c>
      <c r="F183" s="27">
        <f>'[2]MJK 1'!P183</f>
        <v>0</v>
      </c>
      <c r="G183" s="27">
        <f>[2]BJR!P183</f>
        <v>0</v>
      </c>
      <c r="H183" s="27">
        <f t="shared" si="3"/>
        <v>0</v>
      </c>
    </row>
    <row r="184" spans="1:26" ht="17.45" customHeight="1">
      <c r="A184" s="30" t="s">
        <v>29</v>
      </c>
      <c r="B184" s="31" t="s">
        <v>316</v>
      </c>
      <c r="C184" s="26" t="s">
        <v>171</v>
      </c>
      <c r="D184" s="27">
        <f>+[2]CLN!P184</f>
        <v>221.14</v>
      </c>
      <c r="E184" s="27">
        <f>'[2]MJK 2'!P184</f>
        <v>521.98</v>
      </c>
      <c r="F184" s="27">
        <f>'[2]MJK 1'!P184</f>
        <v>0</v>
      </c>
      <c r="G184" s="27">
        <f>[2]BJR!P184</f>
        <v>1656.62</v>
      </c>
      <c r="H184" s="27">
        <f t="shared" si="3"/>
        <v>2399.7399999999998</v>
      </c>
    </row>
    <row r="185" spans="1:26" ht="17.45" customHeight="1">
      <c r="A185" s="30" t="s">
        <v>29</v>
      </c>
      <c r="B185" s="31"/>
      <c r="C185" s="26" t="s">
        <v>317</v>
      </c>
      <c r="D185" s="27">
        <f>+[2]CLN!P185</f>
        <v>969.71</v>
      </c>
      <c r="E185" s="27">
        <f>'[2]MJK 2'!P185</f>
        <v>0</v>
      </c>
      <c r="F185" s="27">
        <f>'[2]MJK 1'!P185</f>
        <v>0</v>
      </c>
      <c r="G185" s="27">
        <f>[2]BJR!P185</f>
        <v>0</v>
      </c>
      <c r="H185" s="27">
        <f t="shared" si="3"/>
        <v>969.71</v>
      </c>
      <c r="I185" s="27"/>
      <c r="J185" s="27"/>
      <c r="K185" s="27"/>
      <c r="L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>
        <f>SUM(N185:Y185)</f>
        <v>0</v>
      </c>
    </row>
    <row r="186" spans="1:26" ht="17.45" customHeight="1">
      <c r="A186" s="30" t="s">
        <v>29</v>
      </c>
      <c r="B186" s="31" t="s">
        <v>318</v>
      </c>
      <c r="C186" s="26" t="s">
        <v>319</v>
      </c>
      <c r="D186" s="27">
        <f>+[2]CLN!P186</f>
        <v>0</v>
      </c>
      <c r="E186" s="27">
        <f>'[2]MJK 2'!P186</f>
        <v>0</v>
      </c>
      <c r="F186" s="27">
        <f>'[2]MJK 1'!P186</f>
        <v>0</v>
      </c>
      <c r="G186" s="27">
        <f>[2]BJR!P186</f>
        <v>0</v>
      </c>
      <c r="H186" s="27">
        <f t="shared" si="3"/>
        <v>0</v>
      </c>
    </row>
    <row r="187" spans="1:26" ht="17.45" customHeight="1">
      <c r="A187" s="30" t="s">
        <v>43</v>
      </c>
      <c r="B187" s="31" t="s">
        <v>320</v>
      </c>
      <c r="C187" s="37" t="s">
        <v>315</v>
      </c>
      <c r="D187" s="27">
        <f>+[2]CLN!P187</f>
        <v>1190.8499999999999</v>
      </c>
      <c r="E187" s="27">
        <f>'[2]MJK 2'!P187</f>
        <v>521.98</v>
      </c>
      <c r="F187" s="27">
        <f>'[2]MJK 1'!P187</f>
        <v>0</v>
      </c>
      <c r="G187" s="27">
        <f>[2]BJR!P187</f>
        <v>1656.62</v>
      </c>
      <c r="H187" s="27">
        <f t="shared" si="3"/>
        <v>3369.45</v>
      </c>
    </row>
    <row r="188" spans="1:26" ht="17.45" customHeight="1">
      <c r="A188" s="30" t="s">
        <v>43</v>
      </c>
      <c r="B188" s="31" t="s">
        <v>321</v>
      </c>
      <c r="C188" s="28" t="s">
        <v>322</v>
      </c>
      <c r="D188" s="27">
        <f>+[2]CLN!P188</f>
        <v>0</v>
      </c>
      <c r="E188" s="27">
        <f>'[2]MJK 2'!P188</f>
        <v>0</v>
      </c>
      <c r="F188" s="27">
        <f>'[2]MJK 1'!P188</f>
        <v>0</v>
      </c>
      <c r="G188" s="27">
        <f>[2]BJR!P188</f>
        <v>0</v>
      </c>
      <c r="H188" s="27">
        <f t="shared" si="3"/>
        <v>0</v>
      </c>
    </row>
    <row r="189" spans="1:26" ht="17.45" customHeight="1">
      <c r="A189" s="30" t="s">
        <v>29</v>
      </c>
      <c r="B189" s="31" t="s">
        <v>323</v>
      </c>
      <c r="C189" s="26" t="s">
        <v>324</v>
      </c>
      <c r="D189" s="27">
        <f>+[2]CLN!P189</f>
        <v>2272.27</v>
      </c>
      <c r="E189" s="27">
        <f>'[2]MJK 2'!P189</f>
        <v>450.63</v>
      </c>
      <c r="F189" s="27">
        <f>'[2]MJK 1'!P189</f>
        <v>0</v>
      </c>
      <c r="G189" s="27">
        <f>[2]BJR!P189</f>
        <v>0</v>
      </c>
      <c r="H189" s="27">
        <f t="shared" si="3"/>
        <v>2722.9</v>
      </c>
    </row>
    <row r="190" spans="1:26" ht="17.45" customHeight="1">
      <c r="A190" s="30" t="s">
        <v>29</v>
      </c>
      <c r="B190" s="31" t="s">
        <v>325</v>
      </c>
      <c r="C190" s="26" t="s">
        <v>326</v>
      </c>
      <c r="D190" s="27">
        <f>+[2]CLN!P190</f>
        <v>3361.98</v>
      </c>
      <c r="E190" s="27">
        <f>'[2]MJK 2'!P190</f>
        <v>0</v>
      </c>
      <c r="F190" s="27">
        <f>'[2]MJK 1'!P190</f>
        <v>0</v>
      </c>
      <c r="G190" s="27">
        <f>[2]BJR!P190</f>
        <v>0</v>
      </c>
      <c r="H190" s="27">
        <f t="shared" si="3"/>
        <v>3361.98</v>
      </c>
    </row>
    <row r="191" spans="1:26" ht="17.45" customHeight="1">
      <c r="A191" s="30" t="s">
        <v>29</v>
      </c>
      <c r="B191" s="31">
        <v>816130</v>
      </c>
      <c r="C191" s="26" t="s">
        <v>327</v>
      </c>
      <c r="D191" s="27">
        <f>+[2]CLN!P191</f>
        <v>1427.97</v>
      </c>
      <c r="E191" s="27">
        <f>'[2]MJK 2'!P191</f>
        <v>1127.19</v>
      </c>
      <c r="F191" s="27">
        <f>'[2]MJK 1'!P191</f>
        <v>1192.21</v>
      </c>
      <c r="G191" s="27">
        <f>[2]BJR!P191</f>
        <v>523.77</v>
      </c>
      <c r="H191" s="27">
        <f t="shared" si="3"/>
        <v>4271.1399999999994</v>
      </c>
    </row>
    <row r="192" spans="1:26" ht="17.45" customHeight="1">
      <c r="A192" s="30" t="s">
        <v>29</v>
      </c>
      <c r="B192" s="31" t="s">
        <v>328</v>
      </c>
      <c r="C192" s="26" t="s">
        <v>329</v>
      </c>
      <c r="D192" s="27">
        <f>+[2]CLN!P192</f>
        <v>0</v>
      </c>
      <c r="E192" s="27">
        <f>'[2]MJK 2'!P192</f>
        <v>0</v>
      </c>
      <c r="F192" s="27">
        <f>'[2]MJK 1'!P192</f>
        <v>0</v>
      </c>
      <c r="G192" s="27">
        <f>[2]BJR!P192</f>
        <v>0</v>
      </c>
      <c r="H192" s="27">
        <f t="shared" si="3"/>
        <v>0</v>
      </c>
    </row>
    <row r="193" spans="1:26" ht="17.45" customHeight="1">
      <c r="A193" s="30" t="s">
        <v>29</v>
      </c>
      <c r="B193" s="31" t="s">
        <v>330</v>
      </c>
      <c r="C193" s="56" t="s">
        <v>331</v>
      </c>
      <c r="D193" s="27">
        <f>+[2]CLN!P193</f>
        <v>0</v>
      </c>
      <c r="E193" s="27">
        <f>'[2]MJK 2'!P193</f>
        <v>0</v>
      </c>
      <c r="F193" s="27">
        <f>'[2]MJK 1'!P193</f>
        <v>0</v>
      </c>
      <c r="G193" s="27">
        <f>[2]BJR!P193</f>
        <v>0</v>
      </c>
      <c r="H193" s="27">
        <f t="shared" si="3"/>
        <v>0</v>
      </c>
    </row>
    <row r="194" spans="1:26" ht="17.45" customHeight="1">
      <c r="A194" s="30"/>
      <c r="B194" s="31"/>
      <c r="C194" s="26" t="s">
        <v>332</v>
      </c>
      <c r="D194" s="27">
        <f>+[2]CLN!P194</f>
        <v>0</v>
      </c>
      <c r="E194" s="27">
        <f>'[2]MJK 2'!P194</f>
        <v>0</v>
      </c>
      <c r="F194" s="27">
        <f>'[2]MJK 1'!P194</f>
        <v>0</v>
      </c>
      <c r="G194" s="27">
        <f>[2]BJR!P194</f>
        <v>0</v>
      </c>
      <c r="H194" s="27">
        <f t="shared" si="3"/>
        <v>0</v>
      </c>
    </row>
    <row r="195" spans="1:26" ht="17.45" customHeight="1">
      <c r="A195" s="30"/>
      <c r="B195" s="31"/>
      <c r="C195" s="26" t="s">
        <v>333</v>
      </c>
      <c r="D195" s="27">
        <f>+[2]CLN!P195</f>
        <v>0</v>
      </c>
      <c r="E195" s="27">
        <f>'[2]MJK 2'!P195</f>
        <v>0</v>
      </c>
      <c r="F195" s="27">
        <f>'[2]MJK 1'!P195</f>
        <v>0</v>
      </c>
      <c r="G195" s="27">
        <f>[2]BJR!P195</f>
        <v>0</v>
      </c>
      <c r="H195" s="27">
        <f t="shared" si="3"/>
        <v>0</v>
      </c>
      <c r="I195" s="27"/>
      <c r="J195" s="27"/>
      <c r="K195" s="27"/>
      <c r="L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>
        <f>SUM(N195:Y195)</f>
        <v>0</v>
      </c>
    </row>
    <row r="196" spans="1:26" ht="17.45" customHeight="1">
      <c r="A196" s="30"/>
      <c r="B196" s="31"/>
      <c r="C196" s="26"/>
      <c r="D196" s="27">
        <f>+[2]CLN!P196</f>
        <v>0</v>
      </c>
      <c r="E196" s="27">
        <f>'[2]MJK 2'!P196</f>
        <v>0</v>
      </c>
      <c r="F196" s="27">
        <f>'[2]MJK 1'!P196</f>
        <v>0</v>
      </c>
      <c r="G196" s="27">
        <f>[2]BJR!P196</f>
        <v>0</v>
      </c>
      <c r="H196" s="27">
        <f t="shared" si="3"/>
        <v>0</v>
      </c>
      <c r="I196" s="27"/>
      <c r="J196" s="27"/>
      <c r="K196" s="27"/>
      <c r="L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>
        <f>SUM(N196:Y196)</f>
        <v>0</v>
      </c>
    </row>
    <row r="197" spans="1:26" ht="17.45" customHeight="1">
      <c r="A197" s="30" t="s">
        <v>43</v>
      </c>
      <c r="B197" s="31" t="s">
        <v>321</v>
      </c>
      <c r="C197" s="37" t="s">
        <v>322</v>
      </c>
      <c r="D197" s="27">
        <f>+[2]CLN!P197</f>
        <v>7062.22</v>
      </c>
      <c r="E197" s="27">
        <f>'[2]MJK 2'!P197</f>
        <v>1577.8200000000002</v>
      </c>
      <c r="F197" s="27">
        <f>'[2]MJK 1'!P197</f>
        <v>1192.21</v>
      </c>
      <c r="G197" s="27">
        <f>[2]BJR!P197</f>
        <v>523.77</v>
      </c>
      <c r="H197" s="27">
        <f t="shared" si="3"/>
        <v>10356.02</v>
      </c>
    </row>
    <row r="198" spans="1:26" ht="17.45" customHeight="1">
      <c r="A198" s="30" t="s">
        <v>45</v>
      </c>
      <c r="B198" s="31" t="s">
        <v>334</v>
      </c>
      <c r="C198" s="37" t="s">
        <v>245</v>
      </c>
      <c r="D198" s="27">
        <f>+[2]CLN!P198</f>
        <v>72439.990000000005</v>
      </c>
      <c r="E198" s="27">
        <f>'[2]MJK 2'!P198</f>
        <v>15935.220000000003</v>
      </c>
      <c r="F198" s="27">
        <f>'[2]MJK 1'!P198</f>
        <v>24355.14</v>
      </c>
      <c r="G198" s="27">
        <f>[2]BJR!P198</f>
        <v>8689.7400000000016</v>
      </c>
      <c r="H198" s="27">
        <f t="shared" si="3"/>
        <v>121420.09000000001</v>
      </c>
    </row>
    <row r="199" spans="1:26" ht="17.45" customHeight="1">
      <c r="A199" s="30"/>
      <c r="B199" s="31"/>
      <c r="C199" s="28" t="s">
        <v>335</v>
      </c>
      <c r="D199" s="27">
        <f>+[2]CLN!P199</f>
        <v>0</v>
      </c>
      <c r="E199" s="27">
        <f>'[2]MJK 2'!P199</f>
        <v>0</v>
      </c>
      <c r="F199" s="27">
        <f>'[2]MJK 1'!P199</f>
        <v>0</v>
      </c>
      <c r="G199" s="27">
        <f>[2]BJR!P199</f>
        <v>0</v>
      </c>
      <c r="H199" s="27">
        <f t="shared" si="3"/>
        <v>0</v>
      </c>
    </row>
    <row r="200" spans="1:26" ht="17.45" customHeight="1">
      <c r="A200" s="30"/>
      <c r="B200" s="31"/>
      <c r="C200" s="28" t="s">
        <v>336</v>
      </c>
      <c r="D200" s="27">
        <f>+[2]CLN!P200</f>
        <v>0</v>
      </c>
      <c r="E200" s="27">
        <f>'[2]MJK 2'!P200</f>
        <v>0</v>
      </c>
      <c r="F200" s="27">
        <f>'[2]MJK 1'!P200</f>
        <v>0</v>
      </c>
      <c r="G200" s="27">
        <f>[2]BJR!P200</f>
        <v>0</v>
      </c>
      <c r="H200" s="27">
        <f t="shared" si="3"/>
        <v>0</v>
      </c>
    </row>
    <row r="201" spans="1:26" ht="17.45" customHeight="1">
      <c r="A201" s="30" t="s">
        <v>29</v>
      </c>
      <c r="B201" s="31" t="s">
        <v>337</v>
      </c>
      <c r="C201" s="26" t="s">
        <v>338</v>
      </c>
      <c r="D201" s="27">
        <f>+[2]CLN!P201</f>
        <v>-23.39</v>
      </c>
      <c r="E201" s="27">
        <f>'[2]MJK 2'!P201</f>
        <v>0</v>
      </c>
      <c r="F201" s="27">
        <f>'[2]MJK 1'!P201</f>
        <v>0</v>
      </c>
      <c r="G201" s="27">
        <f>[2]BJR!P201</f>
        <v>0</v>
      </c>
      <c r="H201" s="27">
        <f t="shared" ref="H201:H252" si="4">SUM(D201:G201)</f>
        <v>-23.39</v>
      </c>
    </row>
    <row r="202" spans="1:26" ht="17.45" customHeight="1">
      <c r="A202" s="30" t="s">
        <v>29</v>
      </c>
      <c r="B202" s="31" t="s">
        <v>339</v>
      </c>
      <c r="C202" s="26" t="s">
        <v>340</v>
      </c>
      <c r="D202" s="27">
        <f>+[2]CLN!P202</f>
        <v>0</v>
      </c>
      <c r="E202" s="27">
        <f>'[2]MJK 2'!P202</f>
        <v>0</v>
      </c>
      <c r="F202" s="27">
        <f>'[2]MJK 1'!P202</f>
        <v>0</v>
      </c>
      <c r="G202" s="27">
        <f>[2]BJR!P202</f>
        <v>0</v>
      </c>
      <c r="H202" s="27">
        <f t="shared" si="4"/>
        <v>0</v>
      </c>
    </row>
    <row r="203" spans="1:26" ht="17.45" customHeight="1">
      <c r="A203" s="30"/>
      <c r="B203" s="31"/>
      <c r="C203" s="28" t="s">
        <v>341</v>
      </c>
      <c r="D203" s="27">
        <f>+[2]CLN!P203</f>
        <v>0</v>
      </c>
      <c r="E203" s="27">
        <f>'[2]MJK 2'!P203</f>
        <v>0</v>
      </c>
      <c r="F203" s="27">
        <f>'[2]MJK 1'!P203</f>
        <v>0</v>
      </c>
      <c r="G203" s="27">
        <f>[2]BJR!P203</f>
        <v>0</v>
      </c>
      <c r="H203" s="27">
        <f t="shared" si="4"/>
        <v>0</v>
      </c>
    </row>
    <row r="204" spans="1:26" ht="17.45" customHeight="1">
      <c r="A204" s="30" t="s">
        <v>52</v>
      </c>
      <c r="B204" s="31" t="s">
        <v>342</v>
      </c>
      <c r="C204" s="26" t="s">
        <v>343</v>
      </c>
      <c r="D204" s="27">
        <f>+[2]CLN!P204</f>
        <v>0</v>
      </c>
      <c r="E204" s="27">
        <f>'[2]MJK 2'!P204</f>
        <v>0</v>
      </c>
      <c r="F204" s="27">
        <f>'[2]MJK 1'!P204</f>
        <v>0</v>
      </c>
      <c r="G204" s="27">
        <f>[2]BJR!P204</f>
        <v>0</v>
      </c>
      <c r="H204" s="27">
        <f t="shared" si="4"/>
        <v>0</v>
      </c>
    </row>
    <row r="205" spans="1:26" ht="17.45" customHeight="1">
      <c r="A205" s="30" t="s">
        <v>52</v>
      </c>
      <c r="B205" s="31" t="s">
        <v>344</v>
      </c>
      <c r="C205" s="26" t="s">
        <v>345</v>
      </c>
      <c r="D205" s="27">
        <f>+[2]CLN!P205</f>
        <v>0</v>
      </c>
      <c r="E205" s="27">
        <f>'[2]MJK 2'!P205</f>
        <v>0</v>
      </c>
      <c r="F205" s="27">
        <f>'[2]MJK 1'!P205</f>
        <v>0</v>
      </c>
      <c r="G205" s="27">
        <f>[2]BJR!P205</f>
        <v>0</v>
      </c>
      <c r="H205" s="27">
        <f t="shared" si="4"/>
        <v>0</v>
      </c>
    </row>
    <row r="206" spans="1:26" ht="17.45" customHeight="1">
      <c r="A206" s="30" t="s">
        <v>29</v>
      </c>
      <c r="B206" s="31" t="s">
        <v>346</v>
      </c>
      <c r="C206" s="37" t="s">
        <v>341</v>
      </c>
      <c r="D206" s="27">
        <f>+[2]CLN!P206</f>
        <v>0</v>
      </c>
      <c r="E206" s="27">
        <f>'[2]MJK 2'!P206</f>
        <v>0</v>
      </c>
      <c r="F206" s="27">
        <f>'[2]MJK 1'!P206</f>
        <v>0</v>
      </c>
      <c r="G206" s="27">
        <f>[2]BJR!P206</f>
        <v>0</v>
      </c>
      <c r="H206" s="27">
        <f t="shared" si="4"/>
        <v>0</v>
      </c>
    </row>
    <row r="207" spans="1:26" ht="17.45" customHeight="1">
      <c r="A207" s="30" t="s">
        <v>29</v>
      </c>
      <c r="B207" s="31" t="s">
        <v>347</v>
      </c>
      <c r="C207" s="26" t="s">
        <v>348</v>
      </c>
      <c r="D207" s="27">
        <f>+[2]CLN!P207</f>
        <v>0</v>
      </c>
      <c r="E207" s="27">
        <f>'[2]MJK 2'!P207</f>
        <v>0</v>
      </c>
      <c r="F207" s="27">
        <f>'[2]MJK 1'!P207</f>
        <v>0</v>
      </c>
      <c r="G207" s="27">
        <f>[2]BJR!P207</f>
        <v>0</v>
      </c>
      <c r="H207" s="27">
        <f t="shared" si="4"/>
        <v>0</v>
      </c>
    </row>
    <row r="208" spans="1:26" ht="17.45" customHeight="1">
      <c r="A208" s="30" t="s">
        <v>29</v>
      </c>
      <c r="B208" s="31" t="s">
        <v>349</v>
      </c>
      <c r="C208" s="26" t="s">
        <v>350</v>
      </c>
      <c r="D208" s="27">
        <f>+[2]CLN!P208</f>
        <v>0</v>
      </c>
      <c r="E208" s="27">
        <f>'[2]MJK 2'!P208</f>
        <v>0</v>
      </c>
      <c r="F208" s="27">
        <f>'[2]MJK 1'!P208</f>
        <v>0</v>
      </c>
      <c r="G208" s="27">
        <f>[2]BJR!P208</f>
        <v>0</v>
      </c>
      <c r="H208" s="27">
        <f t="shared" si="4"/>
        <v>0</v>
      </c>
    </row>
    <row r="209" spans="1:8" ht="17.45" customHeight="1">
      <c r="A209" s="30" t="s">
        <v>29</v>
      </c>
      <c r="B209" s="31" t="s">
        <v>351</v>
      </c>
      <c r="C209" s="26" t="s">
        <v>352</v>
      </c>
      <c r="D209" s="27">
        <f>+[2]CLN!P209</f>
        <v>-1284.67</v>
      </c>
      <c r="E209" s="27">
        <f>'[2]MJK 2'!P209</f>
        <v>-0.06</v>
      </c>
      <c r="F209" s="27">
        <f>'[2]MJK 1'!P209</f>
        <v>-0.97</v>
      </c>
      <c r="G209" s="27">
        <f>[2]BJR!P209</f>
        <v>0</v>
      </c>
      <c r="H209" s="27">
        <f t="shared" si="4"/>
        <v>-1285.7</v>
      </c>
    </row>
    <row r="210" spans="1:8" ht="17.45" customHeight="1">
      <c r="A210" s="30"/>
      <c r="B210" s="31"/>
      <c r="C210" s="26" t="s">
        <v>353</v>
      </c>
      <c r="D210" s="27">
        <f>+[2]CLN!P210</f>
        <v>160.26</v>
      </c>
      <c r="E210" s="27">
        <f>'[2]MJK 2'!P210</f>
        <v>0</v>
      </c>
      <c r="F210" s="27">
        <f>'[2]MJK 1'!P210</f>
        <v>0</v>
      </c>
      <c r="G210" s="27">
        <f>[2]BJR!P210</f>
        <v>0</v>
      </c>
      <c r="H210" s="27">
        <f t="shared" si="4"/>
        <v>160.26</v>
      </c>
    </row>
    <row r="211" spans="1:8" ht="17.45" customHeight="1">
      <c r="A211" s="30" t="s">
        <v>29</v>
      </c>
      <c r="B211" s="31" t="s">
        <v>354</v>
      </c>
      <c r="C211" s="26" t="s">
        <v>355</v>
      </c>
      <c r="D211" s="27">
        <f>+[2]CLN!P211</f>
        <v>0</v>
      </c>
      <c r="E211" s="27">
        <f>'[2]MJK 2'!P211</f>
        <v>0</v>
      </c>
      <c r="F211" s="27">
        <f>'[2]MJK 1'!P211</f>
        <v>0</v>
      </c>
      <c r="G211" s="27">
        <f>[2]BJR!P211</f>
        <v>0</v>
      </c>
      <c r="H211" s="27">
        <f t="shared" si="4"/>
        <v>0</v>
      </c>
    </row>
    <row r="212" spans="1:8" ht="17.45" customHeight="1">
      <c r="A212" s="30"/>
      <c r="B212" s="31"/>
      <c r="C212" s="26" t="s">
        <v>356</v>
      </c>
      <c r="D212" s="27">
        <f>+[2]CLN!P212</f>
        <v>-15231.99</v>
      </c>
      <c r="E212" s="27">
        <f>'[2]MJK 2'!P212</f>
        <v>0</v>
      </c>
      <c r="F212" s="27">
        <f>'[2]MJK 1'!P212</f>
        <v>0</v>
      </c>
      <c r="G212" s="27">
        <f>[2]BJR!P212</f>
        <v>0</v>
      </c>
      <c r="H212" s="27">
        <f t="shared" si="4"/>
        <v>-15231.99</v>
      </c>
    </row>
    <row r="213" spans="1:8" ht="17.45" customHeight="1">
      <c r="A213" s="30" t="s">
        <v>29</v>
      </c>
      <c r="B213" s="31" t="s">
        <v>357</v>
      </c>
      <c r="C213" s="26" t="s">
        <v>358</v>
      </c>
      <c r="D213" s="27">
        <f>+[2]CLN!P213</f>
        <v>0</v>
      </c>
      <c r="E213" s="27">
        <f>'[2]MJK 2'!P213</f>
        <v>0</v>
      </c>
      <c r="F213" s="27">
        <f>'[2]MJK 1'!P213</f>
        <v>0</v>
      </c>
      <c r="G213" s="27">
        <f>[2]BJR!P213</f>
        <v>0</v>
      </c>
      <c r="H213" s="27">
        <f t="shared" si="4"/>
        <v>0</v>
      </c>
    </row>
    <row r="214" spans="1:8" ht="17.45" customHeight="1">
      <c r="A214" s="30" t="s">
        <v>43</v>
      </c>
      <c r="B214" s="31" t="s">
        <v>359</v>
      </c>
      <c r="C214" s="37" t="s">
        <v>336</v>
      </c>
      <c r="D214" s="27">
        <f>+[2]CLN!P214</f>
        <v>-16379.79</v>
      </c>
      <c r="E214" s="27">
        <f>'[2]MJK 2'!P214</f>
        <v>-0.06</v>
      </c>
      <c r="F214" s="27">
        <f>'[2]MJK 1'!P214</f>
        <v>-0.97</v>
      </c>
      <c r="G214" s="27">
        <f>[2]BJR!P214</f>
        <v>0</v>
      </c>
      <c r="H214" s="27">
        <f t="shared" si="4"/>
        <v>-16380.82</v>
      </c>
    </row>
    <row r="215" spans="1:8" ht="17.45" customHeight="1">
      <c r="A215" s="30"/>
      <c r="B215" s="31"/>
      <c r="C215" s="28" t="s">
        <v>360</v>
      </c>
      <c r="D215" s="27">
        <f>+[2]CLN!P215</f>
        <v>0</v>
      </c>
      <c r="E215" s="27">
        <f>'[2]MJK 2'!P215</f>
        <v>0</v>
      </c>
      <c r="F215" s="27">
        <f>'[2]MJK 1'!P215</f>
        <v>0</v>
      </c>
      <c r="G215" s="27">
        <f>[2]BJR!P215</f>
        <v>0</v>
      </c>
      <c r="H215" s="27">
        <f t="shared" si="4"/>
        <v>0</v>
      </c>
    </row>
    <row r="216" spans="1:8" ht="17.45" customHeight="1">
      <c r="A216" s="30"/>
      <c r="B216" s="31"/>
      <c r="C216" s="29" t="s">
        <v>361</v>
      </c>
      <c r="D216" s="27">
        <f>+[2]CLN!P216</f>
        <v>0</v>
      </c>
      <c r="E216" s="27">
        <f>'[2]MJK 2'!P216</f>
        <v>0</v>
      </c>
      <c r="F216" s="27">
        <f>'[2]MJK 1'!P216</f>
        <v>0</v>
      </c>
      <c r="G216" s="27">
        <f>[2]BJR!P216</f>
        <v>0</v>
      </c>
      <c r="H216" s="27">
        <f t="shared" si="4"/>
        <v>0</v>
      </c>
    </row>
    <row r="217" spans="1:8" ht="17.45" customHeight="1">
      <c r="A217" s="30" t="s">
        <v>52</v>
      </c>
      <c r="B217" s="31" t="s">
        <v>362</v>
      </c>
      <c r="C217" s="26" t="s">
        <v>363</v>
      </c>
      <c r="D217" s="27">
        <f>+[2]CLN!P217</f>
        <v>0</v>
      </c>
      <c r="E217" s="27">
        <f>'[2]MJK 2'!P217</f>
        <v>0</v>
      </c>
      <c r="F217" s="27">
        <f>'[2]MJK 1'!P217</f>
        <v>0</v>
      </c>
      <c r="G217" s="27">
        <f>[2]BJR!P217</f>
        <v>0</v>
      </c>
      <c r="H217" s="27">
        <f t="shared" si="4"/>
        <v>0</v>
      </c>
    </row>
    <row r="218" spans="1:8" ht="17.45" customHeight="1">
      <c r="A218" s="30" t="s">
        <v>52</v>
      </c>
      <c r="B218" s="31" t="s">
        <v>364</v>
      </c>
      <c r="C218" s="26" t="s">
        <v>365</v>
      </c>
      <c r="D218" s="27">
        <f>+[2]CLN!P218</f>
        <v>34176.43</v>
      </c>
      <c r="E218" s="27">
        <f>'[2]MJK 2'!P218</f>
        <v>0</v>
      </c>
      <c r="F218" s="27">
        <f>'[2]MJK 1'!P218</f>
        <v>0</v>
      </c>
      <c r="G218" s="27">
        <f>[2]BJR!P218</f>
        <v>0</v>
      </c>
      <c r="H218" s="27">
        <f t="shared" si="4"/>
        <v>34176.43</v>
      </c>
    </row>
    <row r="219" spans="1:8" ht="17.45" customHeight="1">
      <c r="A219" s="30" t="s">
        <v>29</v>
      </c>
      <c r="B219" s="31" t="s">
        <v>366</v>
      </c>
      <c r="C219" s="37" t="s">
        <v>361</v>
      </c>
      <c r="D219" s="27">
        <f>+[2]CLN!P219</f>
        <v>34176.43</v>
      </c>
      <c r="E219" s="27">
        <f>'[2]MJK 2'!P219</f>
        <v>0</v>
      </c>
      <c r="F219" s="27">
        <f>'[2]MJK 1'!P219</f>
        <v>0</v>
      </c>
      <c r="G219" s="27">
        <f>[2]BJR!P219</f>
        <v>0</v>
      </c>
      <c r="H219" s="27">
        <f t="shared" si="4"/>
        <v>34176.43</v>
      </c>
    </row>
    <row r="220" spans="1:8" ht="17.45" customHeight="1">
      <c r="A220" s="30"/>
      <c r="B220" s="31"/>
      <c r="C220" s="28" t="s">
        <v>367</v>
      </c>
      <c r="D220" s="27">
        <f>+[2]CLN!P220</f>
        <v>0</v>
      </c>
      <c r="E220" s="27">
        <f>'[2]MJK 2'!P220</f>
        <v>0</v>
      </c>
      <c r="F220" s="27">
        <f>'[2]MJK 1'!P220</f>
        <v>0</v>
      </c>
      <c r="G220" s="27">
        <f>[2]BJR!P220</f>
        <v>0</v>
      </c>
      <c r="H220" s="27">
        <f t="shared" si="4"/>
        <v>0</v>
      </c>
    </row>
    <row r="221" spans="1:8" ht="17.45" customHeight="1">
      <c r="A221" s="30" t="s">
        <v>52</v>
      </c>
      <c r="B221" s="31" t="s">
        <v>368</v>
      </c>
      <c r="C221" s="26" t="s">
        <v>369</v>
      </c>
      <c r="D221" s="27">
        <f>+[2]CLN!P221</f>
        <v>-26785.69</v>
      </c>
      <c r="E221" s="27">
        <f>'[2]MJK 2'!P221</f>
        <v>0</v>
      </c>
      <c r="F221" s="27">
        <f>'[2]MJK 1'!P221</f>
        <v>0</v>
      </c>
      <c r="G221" s="27">
        <f>[2]BJR!P221</f>
        <v>0</v>
      </c>
      <c r="H221" s="27">
        <f t="shared" si="4"/>
        <v>-26785.69</v>
      </c>
    </row>
    <row r="222" spans="1:8" ht="17.45" customHeight="1">
      <c r="A222" s="30" t="s">
        <v>52</v>
      </c>
      <c r="B222" s="31" t="s">
        <v>370</v>
      </c>
      <c r="C222" s="26" t="s">
        <v>371</v>
      </c>
      <c r="D222" s="27">
        <f>+[2]CLN!P222</f>
        <v>-3439.89</v>
      </c>
      <c r="E222" s="27">
        <f>'[2]MJK 2'!P222</f>
        <v>2937.4</v>
      </c>
      <c r="F222" s="27">
        <f>'[2]MJK 1'!P222</f>
        <v>519.46</v>
      </c>
      <c r="G222" s="27">
        <f>[2]BJR!P222</f>
        <v>11.28</v>
      </c>
      <c r="H222" s="27">
        <f t="shared" si="4"/>
        <v>28.250000000000256</v>
      </c>
    </row>
    <row r="223" spans="1:8" ht="17.45" customHeight="1">
      <c r="A223" s="30" t="s">
        <v>29</v>
      </c>
      <c r="B223" s="31" t="s">
        <v>372</v>
      </c>
      <c r="C223" s="37" t="s">
        <v>367</v>
      </c>
      <c r="D223" s="27">
        <f>+[2]CLN!P223</f>
        <v>-30225.579999999998</v>
      </c>
      <c r="E223" s="27">
        <f>'[2]MJK 2'!P223</f>
        <v>2937.4</v>
      </c>
      <c r="F223" s="27">
        <f>'[2]MJK 1'!P223</f>
        <v>519.46</v>
      </c>
      <c r="G223" s="27">
        <f>[2]BJR!P223</f>
        <v>11.28</v>
      </c>
      <c r="H223" s="27">
        <f t="shared" si="4"/>
        <v>-26757.439999999999</v>
      </c>
    </row>
    <row r="224" spans="1:8" ht="17.45" customHeight="1">
      <c r="A224" s="30" t="s">
        <v>29</v>
      </c>
      <c r="B224" s="31" t="s">
        <v>373</v>
      </c>
      <c r="C224" s="26" t="s">
        <v>374</v>
      </c>
      <c r="D224" s="27">
        <f>+[2]CLN!P224</f>
        <v>67169</v>
      </c>
      <c r="E224" s="27">
        <f>'[2]MJK 2'!P224</f>
        <v>0</v>
      </c>
      <c r="F224" s="27">
        <f>'[2]MJK 1'!P224</f>
        <v>0</v>
      </c>
      <c r="G224" s="27">
        <f>[2]BJR!P224</f>
        <v>0</v>
      </c>
      <c r="H224" s="27">
        <f t="shared" si="4"/>
        <v>67169</v>
      </c>
    </row>
    <row r="225" spans="1:26" ht="17.45" customHeight="1">
      <c r="A225" s="30"/>
      <c r="B225" s="31"/>
      <c r="C225" s="28" t="s">
        <v>375</v>
      </c>
      <c r="D225" s="27">
        <f>+[2]CLN!P225</f>
        <v>0</v>
      </c>
      <c r="E225" s="27">
        <f>'[2]MJK 2'!P225</f>
        <v>0</v>
      </c>
      <c r="F225" s="27">
        <f>'[2]MJK 1'!P225</f>
        <v>0</v>
      </c>
      <c r="G225" s="27">
        <f>[2]BJR!P225</f>
        <v>0</v>
      </c>
      <c r="H225" s="27">
        <f t="shared" si="4"/>
        <v>0</v>
      </c>
    </row>
    <row r="226" spans="1:26" ht="17.45" customHeight="1">
      <c r="A226" s="30" t="s">
        <v>52</v>
      </c>
      <c r="B226" s="31" t="s">
        <v>376</v>
      </c>
      <c r="C226" s="26" t="s">
        <v>377</v>
      </c>
      <c r="D226" s="27">
        <f>+[2]CLN!P226</f>
        <v>2509.0100000000002</v>
      </c>
      <c r="E226" s="27">
        <f>'[2]MJK 2'!P226</f>
        <v>0.22</v>
      </c>
      <c r="F226" s="27">
        <f>'[2]MJK 1'!P226</f>
        <v>0.22</v>
      </c>
      <c r="G226" s="27">
        <f>[2]BJR!P226</f>
        <v>0.44</v>
      </c>
      <c r="H226" s="27">
        <f t="shared" si="4"/>
        <v>2509.89</v>
      </c>
    </row>
    <row r="227" spans="1:26" ht="17.45" customHeight="1">
      <c r="A227" s="30" t="s">
        <v>52</v>
      </c>
      <c r="B227" s="31" t="s">
        <v>378</v>
      </c>
      <c r="C227" s="26" t="s">
        <v>379</v>
      </c>
      <c r="D227" s="27">
        <f>+[2]CLN!P227</f>
        <v>0</v>
      </c>
      <c r="E227" s="27">
        <f>'[2]MJK 2'!P227</f>
        <v>0</v>
      </c>
      <c r="F227" s="27">
        <f>'[2]MJK 1'!P227</f>
        <v>0</v>
      </c>
      <c r="G227" s="27">
        <f>[2]BJR!P227</f>
        <v>0</v>
      </c>
      <c r="H227" s="27">
        <f t="shared" si="4"/>
        <v>0</v>
      </c>
    </row>
    <row r="228" spans="1:26" ht="17.45" customHeight="1">
      <c r="A228" s="30" t="s">
        <v>52</v>
      </c>
      <c r="B228" s="31"/>
      <c r="C228" s="26" t="s">
        <v>380</v>
      </c>
      <c r="D228" s="27">
        <f>+[2]CLN!P228</f>
        <v>0</v>
      </c>
      <c r="E228" s="27">
        <f>'[2]MJK 2'!P228</f>
        <v>0</v>
      </c>
      <c r="F228" s="27">
        <f>'[2]MJK 1'!P228</f>
        <v>0</v>
      </c>
      <c r="G228" s="27">
        <f>[2]BJR!P228</f>
        <v>0</v>
      </c>
      <c r="H228" s="27">
        <f t="shared" si="4"/>
        <v>0</v>
      </c>
      <c r="I228" s="27"/>
      <c r="J228" s="27"/>
      <c r="K228" s="27"/>
      <c r="L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>
        <f>SUM(N228:Y228)</f>
        <v>0</v>
      </c>
    </row>
    <row r="229" spans="1:26" ht="17.45" customHeight="1">
      <c r="A229" s="30" t="s">
        <v>29</v>
      </c>
      <c r="B229" s="31" t="s">
        <v>381</v>
      </c>
      <c r="C229" s="37" t="s">
        <v>375</v>
      </c>
      <c r="D229" s="27">
        <f>+[2]CLN!P229</f>
        <v>2509.0100000000002</v>
      </c>
      <c r="E229" s="27">
        <f>'[2]MJK 2'!P229</f>
        <v>0.22</v>
      </c>
      <c r="F229" s="27">
        <f>'[2]MJK 1'!P229</f>
        <v>0.22</v>
      </c>
      <c r="G229" s="27">
        <f>[2]BJR!P229</f>
        <v>0.44</v>
      </c>
      <c r="H229" s="27">
        <f t="shared" si="4"/>
        <v>2509.89</v>
      </c>
    </row>
    <row r="230" spans="1:26" ht="17.45" customHeight="1">
      <c r="A230" s="30"/>
      <c r="B230" s="31"/>
      <c r="C230" s="28" t="s">
        <v>382</v>
      </c>
      <c r="D230" s="27">
        <f>+[2]CLN!P230</f>
        <v>0</v>
      </c>
      <c r="E230" s="27">
        <f>'[2]MJK 2'!P230</f>
        <v>0</v>
      </c>
      <c r="F230" s="27">
        <f>'[2]MJK 1'!P230</f>
        <v>0</v>
      </c>
      <c r="G230" s="27">
        <f>[2]BJR!P230</f>
        <v>0</v>
      </c>
      <c r="H230" s="27">
        <f t="shared" si="4"/>
        <v>0</v>
      </c>
    </row>
    <row r="231" spans="1:26" ht="17.45" customHeight="1">
      <c r="A231" s="30" t="s">
        <v>52</v>
      </c>
      <c r="B231" s="31" t="s">
        <v>383</v>
      </c>
      <c r="C231" s="26" t="s">
        <v>384</v>
      </c>
      <c r="D231" s="27">
        <f>+[2]CLN!P231</f>
        <v>0</v>
      </c>
      <c r="E231" s="27">
        <f>'[2]MJK 2'!P231</f>
        <v>0</v>
      </c>
      <c r="F231" s="27">
        <f>'[2]MJK 1'!P231</f>
        <v>0</v>
      </c>
      <c r="G231" s="27">
        <f>[2]BJR!P231</f>
        <v>0</v>
      </c>
      <c r="H231" s="27">
        <f t="shared" si="4"/>
        <v>0</v>
      </c>
    </row>
    <row r="232" spans="1:26" ht="17.45" customHeight="1">
      <c r="A232" s="30" t="s">
        <v>52</v>
      </c>
      <c r="B232" s="31" t="s">
        <v>385</v>
      </c>
      <c r="C232" s="26" t="s">
        <v>386</v>
      </c>
      <c r="D232" s="27">
        <f>+[2]CLN!P232</f>
        <v>0</v>
      </c>
      <c r="E232" s="27">
        <f>'[2]MJK 2'!P232</f>
        <v>0</v>
      </c>
      <c r="F232" s="27">
        <f>'[2]MJK 1'!P232</f>
        <v>0</v>
      </c>
      <c r="G232" s="27">
        <f>[2]BJR!P232</f>
        <v>0</v>
      </c>
      <c r="H232" s="27">
        <f t="shared" si="4"/>
        <v>0</v>
      </c>
    </row>
    <row r="233" spans="1:26" ht="17.45" customHeight="1">
      <c r="A233" s="30" t="s">
        <v>29</v>
      </c>
      <c r="B233" s="31" t="s">
        <v>387</v>
      </c>
      <c r="C233" s="37" t="s">
        <v>382</v>
      </c>
      <c r="D233" s="27">
        <f>+[2]CLN!P233</f>
        <v>0</v>
      </c>
      <c r="E233" s="27">
        <f>'[2]MJK 2'!P233</f>
        <v>0</v>
      </c>
      <c r="F233" s="27">
        <f>'[2]MJK 1'!P233</f>
        <v>0</v>
      </c>
      <c r="G233" s="27">
        <f>[2]BJR!P233</f>
        <v>0</v>
      </c>
      <c r="H233" s="27">
        <f t="shared" si="4"/>
        <v>0</v>
      </c>
    </row>
    <row r="234" spans="1:26" ht="17.45" customHeight="1">
      <c r="A234" s="30" t="s">
        <v>29</v>
      </c>
      <c r="B234" s="31" t="s">
        <v>388</v>
      </c>
      <c r="C234" s="26" t="s">
        <v>389</v>
      </c>
      <c r="D234" s="27">
        <f>+[2]CLN!P234</f>
        <v>0</v>
      </c>
      <c r="E234" s="27">
        <f>'[2]MJK 2'!P234</f>
        <v>0</v>
      </c>
      <c r="F234" s="27">
        <f>'[2]MJK 1'!P234</f>
        <v>0</v>
      </c>
      <c r="G234" s="27">
        <f>[2]BJR!P234</f>
        <v>0</v>
      </c>
      <c r="H234" s="27">
        <f t="shared" si="4"/>
        <v>0</v>
      </c>
    </row>
    <row r="235" spans="1:26" ht="17.45" customHeight="1">
      <c r="A235" s="30" t="s">
        <v>29</v>
      </c>
      <c r="B235" s="31" t="s">
        <v>390</v>
      </c>
      <c r="C235" s="26" t="s">
        <v>391</v>
      </c>
      <c r="D235" s="27">
        <f>+[2]CLN!P235</f>
        <v>1169.43</v>
      </c>
      <c r="E235" s="27">
        <f>'[2]MJK 2'!P235</f>
        <v>592.20000000000005</v>
      </c>
      <c r="F235" s="27">
        <f>'[2]MJK 1'!P235</f>
        <v>456.33</v>
      </c>
      <c r="G235" s="27">
        <f>[2]BJR!P235</f>
        <v>115.26</v>
      </c>
      <c r="H235" s="27">
        <f t="shared" si="4"/>
        <v>2333.2200000000003</v>
      </c>
    </row>
    <row r="236" spans="1:26" ht="17.45" customHeight="1">
      <c r="A236" s="30" t="s">
        <v>29</v>
      </c>
      <c r="B236" s="31" t="s">
        <v>392</v>
      </c>
      <c r="C236" s="26" t="s">
        <v>393</v>
      </c>
      <c r="D236" s="27">
        <f>+[2]CLN!P236</f>
        <v>0</v>
      </c>
      <c r="E236" s="27">
        <f>'[2]MJK 2'!P236</f>
        <v>0</v>
      </c>
      <c r="F236" s="27">
        <f>'[2]MJK 1'!P236</f>
        <v>0</v>
      </c>
      <c r="G236" s="27">
        <f>[2]BJR!P236</f>
        <v>0</v>
      </c>
      <c r="H236" s="27">
        <f t="shared" si="4"/>
        <v>0</v>
      </c>
    </row>
    <row r="237" spans="1:26" ht="17.45" customHeight="1">
      <c r="A237" s="30" t="s">
        <v>29</v>
      </c>
      <c r="B237" s="31" t="s">
        <v>394</v>
      </c>
      <c r="C237" s="26" t="s">
        <v>395</v>
      </c>
      <c r="D237" s="27">
        <f>+[2]CLN!P237</f>
        <v>0</v>
      </c>
      <c r="E237" s="27">
        <f>'[2]MJK 2'!P237</f>
        <v>0</v>
      </c>
      <c r="F237" s="27">
        <f>'[2]MJK 1'!P237</f>
        <v>0</v>
      </c>
      <c r="G237" s="27">
        <f>[2]BJR!P237</f>
        <v>0</v>
      </c>
      <c r="H237" s="27">
        <f t="shared" si="4"/>
        <v>0</v>
      </c>
    </row>
    <row r="238" spans="1:26" ht="17.45" customHeight="1">
      <c r="A238" s="30" t="s">
        <v>29</v>
      </c>
      <c r="B238" s="31" t="s">
        <v>396</v>
      </c>
      <c r="C238" s="26" t="s">
        <v>397</v>
      </c>
      <c r="D238" s="27">
        <f>+[2]CLN!P238</f>
        <v>0</v>
      </c>
      <c r="E238" s="27">
        <f>'[2]MJK 2'!P238</f>
        <v>0</v>
      </c>
      <c r="F238" s="27">
        <f>'[2]MJK 1'!P238</f>
        <v>0</v>
      </c>
      <c r="G238" s="27">
        <f>[2]BJR!P238</f>
        <v>0</v>
      </c>
      <c r="H238" s="27">
        <f t="shared" si="4"/>
        <v>0</v>
      </c>
    </row>
    <row r="239" spans="1:26" ht="17.45" customHeight="1">
      <c r="A239" s="30"/>
      <c r="B239" s="31"/>
      <c r="C239" s="26" t="s">
        <v>398</v>
      </c>
      <c r="D239" s="27">
        <f>+[2]CLN!P239</f>
        <v>0</v>
      </c>
      <c r="E239" s="27">
        <f>'[2]MJK 2'!P239</f>
        <v>0</v>
      </c>
      <c r="F239" s="27">
        <f>'[2]MJK 1'!P239</f>
        <v>0</v>
      </c>
      <c r="G239" s="27">
        <f>[2]BJR!P239</f>
        <v>0</v>
      </c>
      <c r="H239" s="27">
        <f t="shared" si="4"/>
        <v>0</v>
      </c>
    </row>
    <row r="240" spans="1:26" ht="17.45" customHeight="1">
      <c r="A240" s="30" t="s">
        <v>29</v>
      </c>
      <c r="B240" s="31" t="s">
        <v>399</v>
      </c>
      <c r="C240" s="26" t="s">
        <v>355</v>
      </c>
      <c r="D240" s="27">
        <f>+[2]CLN!P240</f>
        <v>0</v>
      </c>
      <c r="E240" s="27">
        <f>'[2]MJK 2'!P240</f>
        <v>0</v>
      </c>
      <c r="F240" s="27">
        <f>'[2]MJK 1'!P240</f>
        <v>0</v>
      </c>
      <c r="G240" s="27">
        <f>[2]BJR!P240</f>
        <v>0</v>
      </c>
      <c r="H240" s="27">
        <f t="shared" si="4"/>
        <v>0</v>
      </c>
    </row>
    <row r="241" spans="1:26" ht="17.45" customHeight="1">
      <c r="A241" s="30" t="s">
        <v>29</v>
      </c>
      <c r="B241" s="31"/>
      <c r="C241" s="26" t="s">
        <v>400</v>
      </c>
      <c r="D241" s="27">
        <f>+[2]CLN!P241</f>
        <v>0</v>
      </c>
      <c r="E241" s="27">
        <f>'[2]MJK 2'!P241</f>
        <v>0</v>
      </c>
      <c r="F241" s="27">
        <f>'[2]MJK 1'!P241</f>
        <v>0</v>
      </c>
      <c r="G241" s="27">
        <f>[2]BJR!P241</f>
        <v>0</v>
      </c>
      <c r="H241" s="27">
        <f t="shared" si="4"/>
        <v>0</v>
      </c>
      <c r="I241" s="27"/>
      <c r="J241" s="27"/>
      <c r="K241" s="27"/>
      <c r="L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>
        <f>SUM(N241:Y241)</f>
        <v>0</v>
      </c>
    </row>
    <row r="242" spans="1:26" ht="17.45" customHeight="1">
      <c r="A242" s="30" t="s">
        <v>29</v>
      </c>
      <c r="B242" s="31" t="s">
        <v>401</v>
      </c>
      <c r="C242" s="26" t="s">
        <v>358</v>
      </c>
      <c r="D242" s="27">
        <f>+[2]CLN!P242</f>
        <v>659.35</v>
      </c>
      <c r="E242" s="27">
        <f>'[2]MJK 2'!P242</f>
        <v>0</v>
      </c>
      <c r="F242" s="27">
        <f>'[2]MJK 1'!P242</f>
        <v>0.01</v>
      </c>
      <c r="G242" s="27">
        <f>[2]BJR!P242</f>
        <v>0</v>
      </c>
      <c r="H242" s="27">
        <f t="shared" si="4"/>
        <v>659.36</v>
      </c>
    </row>
    <row r="243" spans="1:26" ht="17.45" customHeight="1">
      <c r="A243" s="30" t="s">
        <v>43</v>
      </c>
      <c r="B243" s="31" t="s">
        <v>402</v>
      </c>
      <c r="C243" s="37" t="s">
        <v>360</v>
      </c>
      <c r="D243" s="27">
        <f>+[2]CLN!P243</f>
        <v>75457.64</v>
      </c>
      <c r="E243" s="27">
        <f>'[2]MJK 2'!P243</f>
        <v>3529.8199999999997</v>
      </c>
      <c r="F243" s="27">
        <f>'[2]MJK 1'!P243</f>
        <v>976.02</v>
      </c>
      <c r="G243" s="27">
        <f>[2]BJR!P243</f>
        <v>126.98</v>
      </c>
      <c r="H243" s="27">
        <f t="shared" si="4"/>
        <v>80090.459999999992</v>
      </c>
    </row>
    <row r="244" spans="1:26" ht="17.45" customHeight="1">
      <c r="A244" s="30" t="s">
        <v>43</v>
      </c>
      <c r="B244" s="31" t="s">
        <v>403</v>
      </c>
      <c r="C244" s="26" t="s">
        <v>404</v>
      </c>
      <c r="D244" s="27">
        <f>+[2]CLN!P244</f>
        <v>0</v>
      </c>
      <c r="E244" s="27">
        <f>'[2]MJK 2'!P244</f>
        <v>0</v>
      </c>
      <c r="F244" s="27">
        <f>'[2]MJK 1'!P244</f>
        <v>0</v>
      </c>
      <c r="G244" s="27">
        <f>[2]BJR!P244</f>
        <v>0</v>
      </c>
      <c r="H244" s="27">
        <f t="shared" si="4"/>
        <v>0</v>
      </c>
    </row>
    <row r="245" spans="1:26" ht="17.45" customHeight="1">
      <c r="A245" s="30" t="s">
        <v>43</v>
      </c>
      <c r="B245" s="31" t="s">
        <v>405</v>
      </c>
      <c r="C245" s="26" t="s">
        <v>406</v>
      </c>
      <c r="D245" s="27">
        <f>+[2]CLN!P245</f>
        <v>0</v>
      </c>
      <c r="E245" s="27">
        <f>'[2]MJK 2'!P245</f>
        <v>0</v>
      </c>
      <c r="F245" s="27">
        <f>'[2]MJK 1'!P245</f>
        <v>0</v>
      </c>
      <c r="G245" s="27">
        <f>[2]BJR!P245</f>
        <v>0</v>
      </c>
      <c r="H245" s="27">
        <f t="shared" si="4"/>
        <v>0</v>
      </c>
    </row>
    <row r="246" spans="1:26" ht="17.45" customHeight="1">
      <c r="A246" s="30" t="s">
        <v>43</v>
      </c>
      <c r="B246" s="31" t="s">
        <v>407</v>
      </c>
      <c r="C246" s="26" t="s">
        <v>408</v>
      </c>
      <c r="D246" s="27">
        <f>+[2]CLN!P246</f>
        <v>0</v>
      </c>
      <c r="E246" s="27">
        <f>'[2]MJK 2'!P246</f>
        <v>0</v>
      </c>
      <c r="F246" s="27">
        <f>'[2]MJK 1'!P246</f>
        <v>0</v>
      </c>
      <c r="G246" s="27">
        <f>[2]BJR!P246</f>
        <v>0</v>
      </c>
      <c r="H246" s="27">
        <f t="shared" si="4"/>
        <v>0</v>
      </c>
    </row>
    <row r="247" spans="1:26" ht="17.45" customHeight="1">
      <c r="A247" s="30" t="s">
        <v>43</v>
      </c>
      <c r="B247" s="31" t="s">
        <v>409</v>
      </c>
      <c r="C247" s="26" t="s">
        <v>410</v>
      </c>
      <c r="D247" s="27">
        <f>+[2]CLN!P247</f>
        <v>0</v>
      </c>
      <c r="E247" s="27">
        <f>'[2]MJK 2'!P247</f>
        <v>0</v>
      </c>
      <c r="F247" s="27">
        <f>'[2]MJK 1'!P247</f>
        <v>0</v>
      </c>
      <c r="G247" s="27">
        <f>[2]BJR!P247</f>
        <v>0</v>
      </c>
      <c r="H247" s="27">
        <f t="shared" si="4"/>
        <v>0</v>
      </c>
    </row>
    <row r="248" spans="1:26" ht="17.45" customHeight="1">
      <c r="A248" s="30" t="s">
        <v>45</v>
      </c>
      <c r="B248" s="31" t="s">
        <v>411</v>
      </c>
      <c r="C248" s="37" t="s">
        <v>335</v>
      </c>
      <c r="D248" s="27">
        <f>+[2]CLN!P248</f>
        <v>59077.85</v>
      </c>
      <c r="E248" s="27">
        <f>'[2]MJK 2'!P248</f>
        <v>3529.7599999999998</v>
      </c>
      <c r="F248" s="27">
        <f>'[2]MJK 1'!P248</f>
        <v>975.05</v>
      </c>
      <c r="G248" s="27">
        <f>[2]BJR!P248</f>
        <v>126.98</v>
      </c>
      <c r="H248" s="27">
        <f t="shared" si="4"/>
        <v>63709.640000000007</v>
      </c>
    </row>
    <row r="249" spans="1:26" ht="17.45" customHeight="1">
      <c r="A249" s="30" t="s">
        <v>45</v>
      </c>
      <c r="B249" s="31" t="s">
        <v>412</v>
      </c>
      <c r="C249" s="26" t="s">
        <v>413</v>
      </c>
      <c r="D249" s="27">
        <f>+[2]CLN!P249</f>
        <v>0</v>
      </c>
      <c r="E249" s="27">
        <f>'[2]MJK 2'!P249</f>
        <v>0</v>
      </c>
      <c r="F249" s="27">
        <f>'[2]MJK 1'!P249</f>
        <v>0</v>
      </c>
      <c r="G249" s="27">
        <f>[2]BJR!P249</f>
        <v>0</v>
      </c>
      <c r="H249" s="27">
        <f t="shared" si="4"/>
        <v>0</v>
      </c>
    </row>
    <row r="250" spans="1:26" ht="17.45" customHeight="1">
      <c r="A250" s="30" t="s">
        <v>43</v>
      </c>
      <c r="B250" s="31" t="s">
        <v>414</v>
      </c>
      <c r="C250" s="26" t="s">
        <v>415</v>
      </c>
      <c r="D250" s="27">
        <f>+[2]CLN!P250</f>
        <v>0</v>
      </c>
      <c r="E250" s="27">
        <f>'[2]MJK 2'!P250</f>
        <v>0</v>
      </c>
      <c r="F250" s="27">
        <f>'[2]MJK 1'!P250</f>
        <v>0</v>
      </c>
      <c r="G250" s="27">
        <f>[2]BJR!P250</f>
        <v>0</v>
      </c>
      <c r="H250" s="27">
        <f t="shared" si="4"/>
        <v>0</v>
      </c>
    </row>
    <row r="251" spans="1:26" ht="17.45" customHeight="1">
      <c r="A251" s="30" t="s">
        <v>43</v>
      </c>
      <c r="B251" s="31"/>
      <c r="C251" s="26" t="s">
        <v>416</v>
      </c>
      <c r="D251" s="27">
        <f>+[2]CLN!P251</f>
        <v>0</v>
      </c>
      <c r="E251" s="27">
        <f>'[2]MJK 2'!P251</f>
        <v>0</v>
      </c>
      <c r="F251" s="27">
        <f>'[2]MJK 1'!P251</f>
        <v>0</v>
      </c>
      <c r="G251" s="27">
        <f>[2]BJR!P251</f>
        <v>0</v>
      </c>
      <c r="H251" s="27">
        <f t="shared" si="4"/>
        <v>0</v>
      </c>
      <c r="I251" s="27"/>
      <c r="J251" s="27"/>
      <c r="K251" s="27"/>
      <c r="L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>
        <f>SUM(N251:Y251)</f>
        <v>0</v>
      </c>
    </row>
    <row r="252" spans="1:26" ht="17.45" customHeight="1">
      <c r="B252" s="25"/>
      <c r="C252" s="26" t="s">
        <v>413</v>
      </c>
      <c r="D252" s="27">
        <f>+[2]CLN!P252</f>
        <v>0</v>
      </c>
      <c r="E252" s="27">
        <f>'[2]MJK 2'!P252</f>
        <v>0</v>
      </c>
      <c r="F252" s="27">
        <f>'[2]MJK 1'!P252</f>
        <v>0</v>
      </c>
      <c r="G252" s="27">
        <f>[2]BJR!P252</f>
        <v>0</v>
      </c>
      <c r="H252" s="27">
        <f t="shared" si="4"/>
        <v>0</v>
      </c>
    </row>
    <row r="253" spans="1:26" ht="17.45" customHeight="1">
      <c r="B253" s="48"/>
      <c r="C253" s="49" t="s">
        <v>417</v>
      </c>
      <c r="D253" s="50">
        <f>+[2]CLN!P253</f>
        <v>-735746.1</v>
      </c>
      <c r="E253" s="50">
        <f>'[2]MJK 2'!P253</f>
        <v>688520.3</v>
      </c>
      <c r="F253" s="50">
        <f>'[2]MJK 1'!P253</f>
        <v>-38707.659999999989</v>
      </c>
      <c r="G253" s="50">
        <f>[2]BJR!P253</f>
        <v>-84964.77</v>
      </c>
      <c r="H253" s="50">
        <f>SUM(D253:G253)</f>
        <v>-170898.22999999992</v>
      </c>
    </row>
    <row r="255" spans="1:26">
      <c r="D255" s="57" t="s">
        <v>427</v>
      </c>
      <c r="H255" s="58"/>
    </row>
    <row r="256" spans="1:26">
      <c r="D256" s="57" t="s">
        <v>428</v>
      </c>
    </row>
    <row r="263" spans="4:4">
      <c r="D263" s="57" t="s">
        <v>429</v>
      </c>
    </row>
  </sheetData>
  <mergeCells count="1">
    <mergeCell ref="D4:H4"/>
  </mergeCells>
  <printOptions horizontalCentered="1"/>
  <pageMargins left="0.59027777777777801" right="0.196527777777778" top="0.39374999999999999" bottom="1.88" header="0.5" footer="0.51180555555555596"/>
  <pageSetup paperSize="5" scale="36" firstPageNumber="0" fitToHeight="2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B0BB3-47FA-4FB9-ADD7-32AC5577F02B}">
  <sheetPr codeName="Sheet28">
    <pageSetUpPr fitToPage="1"/>
  </sheetPr>
  <dimension ref="A1:Z258"/>
  <sheetViews>
    <sheetView zoomScale="75" zoomScaleNormal="7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7" sqref="C7"/>
    </sheetView>
  </sheetViews>
  <sheetFormatPr defaultColWidth="20.7109375" defaultRowHeight="16.5"/>
  <cols>
    <col min="1" max="1" width="5.7109375" style="20" customWidth="1"/>
    <col min="2" max="2" width="17.140625" style="41" customWidth="1"/>
    <col min="3" max="3" width="52" style="20" customWidth="1"/>
    <col min="4" max="7" width="21.7109375" style="20" customWidth="1"/>
    <col min="8" max="8" width="21.7109375" style="43" customWidth="1"/>
    <col min="9" max="256" width="20.7109375" style="20"/>
    <col min="257" max="257" width="5.7109375" style="20" customWidth="1"/>
    <col min="258" max="258" width="17.140625" style="20" customWidth="1"/>
    <col min="259" max="259" width="47.140625" style="20" customWidth="1"/>
    <col min="260" max="264" width="21.7109375" style="20" customWidth="1"/>
    <col min="265" max="512" width="20.7109375" style="20"/>
    <col min="513" max="513" width="5.7109375" style="20" customWidth="1"/>
    <col min="514" max="514" width="17.140625" style="20" customWidth="1"/>
    <col min="515" max="515" width="47.140625" style="20" customWidth="1"/>
    <col min="516" max="520" width="21.7109375" style="20" customWidth="1"/>
    <col min="521" max="768" width="20.7109375" style="20"/>
    <col min="769" max="769" width="5.7109375" style="20" customWidth="1"/>
    <col min="770" max="770" width="17.140625" style="20" customWidth="1"/>
    <col min="771" max="771" width="47.140625" style="20" customWidth="1"/>
    <col min="772" max="776" width="21.7109375" style="20" customWidth="1"/>
    <col min="777" max="1024" width="20.7109375" style="20"/>
    <col min="1025" max="1025" width="5.7109375" style="20" customWidth="1"/>
    <col min="1026" max="1026" width="17.140625" style="20" customWidth="1"/>
    <col min="1027" max="1027" width="47.140625" style="20" customWidth="1"/>
    <col min="1028" max="1032" width="21.7109375" style="20" customWidth="1"/>
    <col min="1033" max="1280" width="20.7109375" style="20"/>
    <col min="1281" max="1281" width="5.7109375" style="20" customWidth="1"/>
    <col min="1282" max="1282" width="17.140625" style="20" customWidth="1"/>
    <col min="1283" max="1283" width="47.140625" style="20" customWidth="1"/>
    <col min="1284" max="1288" width="21.7109375" style="20" customWidth="1"/>
    <col min="1289" max="1536" width="20.7109375" style="20"/>
    <col min="1537" max="1537" width="5.7109375" style="20" customWidth="1"/>
    <col min="1538" max="1538" width="17.140625" style="20" customWidth="1"/>
    <col min="1539" max="1539" width="47.140625" style="20" customWidth="1"/>
    <col min="1540" max="1544" width="21.7109375" style="20" customWidth="1"/>
    <col min="1545" max="1792" width="20.7109375" style="20"/>
    <col min="1793" max="1793" width="5.7109375" style="20" customWidth="1"/>
    <col min="1794" max="1794" width="17.140625" style="20" customWidth="1"/>
    <col min="1795" max="1795" width="47.140625" style="20" customWidth="1"/>
    <col min="1796" max="1800" width="21.7109375" style="20" customWidth="1"/>
    <col min="1801" max="2048" width="20.7109375" style="20"/>
    <col min="2049" max="2049" width="5.7109375" style="20" customWidth="1"/>
    <col min="2050" max="2050" width="17.140625" style="20" customWidth="1"/>
    <col min="2051" max="2051" width="47.140625" style="20" customWidth="1"/>
    <col min="2052" max="2056" width="21.7109375" style="20" customWidth="1"/>
    <col min="2057" max="2304" width="20.7109375" style="20"/>
    <col min="2305" max="2305" width="5.7109375" style="20" customWidth="1"/>
    <col min="2306" max="2306" width="17.140625" style="20" customWidth="1"/>
    <col min="2307" max="2307" width="47.140625" style="20" customWidth="1"/>
    <col min="2308" max="2312" width="21.7109375" style="20" customWidth="1"/>
    <col min="2313" max="2560" width="20.7109375" style="20"/>
    <col min="2561" max="2561" width="5.7109375" style="20" customWidth="1"/>
    <col min="2562" max="2562" width="17.140625" style="20" customWidth="1"/>
    <col min="2563" max="2563" width="47.140625" style="20" customWidth="1"/>
    <col min="2564" max="2568" width="21.7109375" style="20" customWidth="1"/>
    <col min="2569" max="2816" width="20.7109375" style="20"/>
    <col min="2817" max="2817" width="5.7109375" style="20" customWidth="1"/>
    <col min="2818" max="2818" width="17.140625" style="20" customWidth="1"/>
    <col min="2819" max="2819" width="47.140625" style="20" customWidth="1"/>
    <col min="2820" max="2824" width="21.7109375" style="20" customWidth="1"/>
    <col min="2825" max="3072" width="20.7109375" style="20"/>
    <col min="3073" max="3073" width="5.7109375" style="20" customWidth="1"/>
    <col min="3074" max="3074" width="17.140625" style="20" customWidth="1"/>
    <col min="3075" max="3075" width="47.140625" style="20" customWidth="1"/>
    <col min="3076" max="3080" width="21.7109375" style="20" customWidth="1"/>
    <col min="3081" max="3328" width="20.7109375" style="20"/>
    <col min="3329" max="3329" width="5.7109375" style="20" customWidth="1"/>
    <col min="3330" max="3330" width="17.140625" style="20" customWidth="1"/>
    <col min="3331" max="3331" width="47.140625" style="20" customWidth="1"/>
    <col min="3332" max="3336" width="21.7109375" style="20" customWidth="1"/>
    <col min="3337" max="3584" width="20.7109375" style="20"/>
    <col min="3585" max="3585" width="5.7109375" style="20" customWidth="1"/>
    <col min="3586" max="3586" width="17.140625" style="20" customWidth="1"/>
    <col min="3587" max="3587" width="47.140625" style="20" customWidth="1"/>
    <col min="3588" max="3592" width="21.7109375" style="20" customWidth="1"/>
    <col min="3593" max="3840" width="20.7109375" style="20"/>
    <col min="3841" max="3841" width="5.7109375" style="20" customWidth="1"/>
    <col min="3842" max="3842" width="17.140625" style="20" customWidth="1"/>
    <col min="3843" max="3843" width="47.140625" style="20" customWidth="1"/>
    <col min="3844" max="3848" width="21.7109375" style="20" customWidth="1"/>
    <col min="3849" max="4096" width="20.7109375" style="20"/>
    <col min="4097" max="4097" width="5.7109375" style="20" customWidth="1"/>
    <col min="4098" max="4098" width="17.140625" style="20" customWidth="1"/>
    <col min="4099" max="4099" width="47.140625" style="20" customWidth="1"/>
    <col min="4100" max="4104" width="21.7109375" style="20" customWidth="1"/>
    <col min="4105" max="4352" width="20.7109375" style="20"/>
    <col min="4353" max="4353" width="5.7109375" style="20" customWidth="1"/>
    <col min="4354" max="4354" width="17.140625" style="20" customWidth="1"/>
    <col min="4355" max="4355" width="47.140625" style="20" customWidth="1"/>
    <col min="4356" max="4360" width="21.7109375" style="20" customWidth="1"/>
    <col min="4361" max="4608" width="20.7109375" style="20"/>
    <col min="4609" max="4609" width="5.7109375" style="20" customWidth="1"/>
    <col min="4610" max="4610" width="17.140625" style="20" customWidth="1"/>
    <col min="4611" max="4611" width="47.140625" style="20" customWidth="1"/>
    <col min="4612" max="4616" width="21.7109375" style="20" customWidth="1"/>
    <col min="4617" max="4864" width="20.7109375" style="20"/>
    <col min="4865" max="4865" width="5.7109375" style="20" customWidth="1"/>
    <col min="4866" max="4866" width="17.140625" style="20" customWidth="1"/>
    <col min="4867" max="4867" width="47.140625" style="20" customWidth="1"/>
    <col min="4868" max="4872" width="21.7109375" style="20" customWidth="1"/>
    <col min="4873" max="5120" width="20.7109375" style="20"/>
    <col min="5121" max="5121" width="5.7109375" style="20" customWidth="1"/>
    <col min="5122" max="5122" width="17.140625" style="20" customWidth="1"/>
    <col min="5123" max="5123" width="47.140625" style="20" customWidth="1"/>
    <col min="5124" max="5128" width="21.7109375" style="20" customWidth="1"/>
    <col min="5129" max="5376" width="20.7109375" style="20"/>
    <col min="5377" max="5377" width="5.7109375" style="20" customWidth="1"/>
    <col min="5378" max="5378" width="17.140625" style="20" customWidth="1"/>
    <col min="5379" max="5379" width="47.140625" style="20" customWidth="1"/>
    <col min="5380" max="5384" width="21.7109375" style="20" customWidth="1"/>
    <col min="5385" max="5632" width="20.7109375" style="20"/>
    <col min="5633" max="5633" width="5.7109375" style="20" customWidth="1"/>
    <col min="5634" max="5634" width="17.140625" style="20" customWidth="1"/>
    <col min="5635" max="5635" width="47.140625" style="20" customWidth="1"/>
    <col min="5636" max="5640" width="21.7109375" style="20" customWidth="1"/>
    <col min="5641" max="5888" width="20.7109375" style="20"/>
    <col min="5889" max="5889" width="5.7109375" style="20" customWidth="1"/>
    <col min="5890" max="5890" width="17.140625" style="20" customWidth="1"/>
    <col min="5891" max="5891" width="47.140625" style="20" customWidth="1"/>
    <col min="5892" max="5896" width="21.7109375" style="20" customWidth="1"/>
    <col min="5897" max="6144" width="20.7109375" style="20"/>
    <col min="6145" max="6145" width="5.7109375" style="20" customWidth="1"/>
    <col min="6146" max="6146" width="17.140625" style="20" customWidth="1"/>
    <col min="6147" max="6147" width="47.140625" style="20" customWidth="1"/>
    <col min="6148" max="6152" width="21.7109375" style="20" customWidth="1"/>
    <col min="6153" max="6400" width="20.7109375" style="20"/>
    <col min="6401" max="6401" width="5.7109375" style="20" customWidth="1"/>
    <col min="6402" max="6402" width="17.140625" style="20" customWidth="1"/>
    <col min="6403" max="6403" width="47.140625" style="20" customWidth="1"/>
    <col min="6404" max="6408" width="21.7109375" style="20" customWidth="1"/>
    <col min="6409" max="6656" width="20.7109375" style="20"/>
    <col min="6657" max="6657" width="5.7109375" style="20" customWidth="1"/>
    <col min="6658" max="6658" width="17.140625" style="20" customWidth="1"/>
    <col min="6659" max="6659" width="47.140625" style="20" customWidth="1"/>
    <col min="6660" max="6664" width="21.7109375" style="20" customWidth="1"/>
    <col min="6665" max="6912" width="20.7109375" style="20"/>
    <col min="6913" max="6913" width="5.7109375" style="20" customWidth="1"/>
    <col min="6914" max="6914" width="17.140625" style="20" customWidth="1"/>
    <col min="6915" max="6915" width="47.140625" style="20" customWidth="1"/>
    <col min="6916" max="6920" width="21.7109375" style="20" customWidth="1"/>
    <col min="6921" max="7168" width="20.7109375" style="20"/>
    <col min="7169" max="7169" width="5.7109375" style="20" customWidth="1"/>
    <col min="7170" max="7170" width="17.140625" style="20" customWidth="1"/>
    <col min="7171" max="7171" width="47.140625" style="20" customWidth="1"/>
    <col min="7172" max="7176" width="21.7109375" style="20" customWidth="1"/>
    <col min="7177" max="7424" width="20.7109375" style="20"/>
    <col min="7425" max="7425" width="5.7109375" style="20" customWidth="1"/>
    <col min="7426" max="7426" width="17.140625" style="20" customWidth="1"/>
    <col min="7427" max="7427" width="47.140625" style="20" customWidth="1"/>
    <col min="7428" max="7432" width="21.7109375" style="20" customWidth="1"/>
    <col min="7433" max="7680" width="20.7109375" style="20"/>
    <col min="7681" max="7681" width="5.7109375" style="20" customWidth="1"/>
    <col min="7682" max="7682" width="17.140625" style="20" customWidth="1"/>
    <col min="7683" max="7683" width="47.140625" style="20" customWidth="1"/>
    <col min="7684" max="7688" width="21.7109375" style="20" customWidth="1"/>
    <col min="7689" max="7936" width="20.7109375" style="20"/>
    <col min="7937" max="7937" width="5.7109375" style="20" customWidth="1"/>
    <col min="7938" max="7938" width="17.140625" style="20" customWidth="1"/>
    <col min="7939" max="7939" width="47.140625" style="20" customWidth="1"/>
    <col min="7940" max="7944" width="21.7109375" style="20" customWidth="1"/>
    <col min="7945" max="8192" width="20.7109375" style="20"/>
    <col min="8193" max="8193" width="5.7109375" style="20" customWidth="1"/>
    <col min="8194" max="8194" width="17.140625" style="20" customWidth="1"/>
    <col min="8195" max="8195" width="47.140625" style="20" customWidth="1"/>
    <col min="8196" max="8200" width="21.7109375" style="20" customWidth="1"/>
    <col min="8201" max="8448" width="20.7109375" style="20"/>
    <col min="8449" max="8449" width="5.7109375" style="20" customWidth="1"/>
    <col min="8450" max="8450" width="17.140625" style="20" customWidth="1"/>
    <col min="8451" max="8451" width="47.140625" style="20" customWidth="1"/>
    <col min="8452" max="8456" width="21.7109375" style="20" customWidth="1"/>
    <col min="8457" max="8704" width="20.7109375" style="20"/>
    <col min="8705" max="8705" width="5.7109375" style="20" customWidth="1"/>
    <col min="8706" max="8706" width="17.140625" style="20" customWidth="1"/>
    <col min="8707" max="8707" width="47.140625" style="20" customWidth="1"/>
    <col min="8708" max="8712" width="21.7109375" style="20" customWidth="1"/>
    <col min="8713" max="8960" width="20.7109375" style="20"/>
    <col min="8961" max="8961" width="5.7109375" style="20" customWidth="1"/>
    <col min="8962" max="8962" width="17.140625" style="20" customWidth="1"/>
    <col min="8963" max="8963" width="47.140625" style="20" customWidth="1"/>
    <col min="8964" max="8968" width="21.7109375" style="20" customWidth="1"/>
    <col min="8969" max="9216" width="20.7109375" style="20"/>
    <col min="9217" max="9217" width="5.7109375" style="20" customWidth="1"/>
    <col min="9218" max="9218" width="17.140625" style="20" customWidth="1"/>
    <col min="9219" max="9219" width="47.140625" style="20" customWidth="1"/>
    <col min="9220" max="9224" width="21.7109375" style="20" customWidth="1"/>
    <col min="9225" max="9472" width="20.7109375" style="20"/>
    <col min="9473" max="9473" width="5.7109375" style="20" customWidth="1"/>
    <col min="9474" max="9474" width="17.140625" style="20" customWidth="1"/>
    <col min="9475" max="9475" width="47.140625" style="20" customWidth="1"/>
    <col min="9476" max="9480" width="21.7109375" style="20" customWidth="1"/>
    <col min="9481" max="9728" width="20.7109375" style="20"/>
    <col min="9729" max="9729" width="5.7109375" style="20" customWidth="1"/>
    <col min="9730" max="9730" width="17.140625" style="20" customWidth="1"/>
    <col min="9731" max="9731" width="47.140625" style="20" customWidth="1"/>
    <col min="9732" max="9736" width="21.7109375" style="20" customWidth="1"/>
    <col min="9737" max="9984" width="20.7109375" style="20"/>
    <col min="9985" max="9985" width="5.7109375" style="20" customWidth="1"/>
    <col min="9986" max="9986" width="17.140625" style="20" customWidth="1"/>
    <col min="9987" max="9987" width="47.140625" style="20" customWidth="1"/>
    <col min="9988" max="9992" width="21.7109375" style="20" customWidth="1"/>
    <col min="9993" max="10240" width="20.7109375" style="20"/>
    <col min="10241" max="10241" width="5.7109375" style="20" customWidth="1"/>
    <col min="10242" max="10242" width="17.140625" style="20" customWidth="1"/>
    <col min="10243" max="10243" width="47.140625" style="20" customWidth="1"/>
    <col min="10244" max="10248" width="21.7109375" style="20" customWidth="1"/>
    <col min="10249" max="10496" width="20.7109375" style="20"/>
    <col min="10497" max="10497" width="5.7109375" style="20" customWidth="1"/>
    <col min="10498" max="10498" width="17.140625" style="20" customWidth="1"/>
    <col min="10499" max="10499" width="47.140625" style="20" customWidth="1"/>
    <col min="10500" max="10504" width="21.7109375" style="20" customWidth="1"/>
    <col min="10505" max="10752" width="20.7109375" style="20"/>
    <col min="10753" max="10753" width="5.7109375" style="20" customWidth="1"/>
    <col min="10754" max="10754" width="17.140625" style="20" customWidth="1"/>
    <col min="10755" max="10755" width="47.140625" style="20" customWidth="1"/>
    <col min="10756" max="10760" width="21.7109375" style="20" customWidth="1"/>
    <col min="10761" max="11008" width="20.7109375" style="20"/>
    <col min="11009" max="11009" width="5.7109375" style="20" customWidth="1"/>
    <col min="11010" max="11010" width="17.140625" style="20" customWidth="1"/>
    <col min="11011" max="11011" width="47.140625" style="20" customWidth="1"/>
    <col min="11012" max="11016" width="21.7109375" style="20" customWidth="1"/>
    <col min="11017" max="11264" width="20.7109375" style="20"/>
    <col min="11265" max="11265" width="5.7109375" style="20" customWidth="1"/>
    <col min="11266" max="11266" width="17.140625" style="20" customWidth="1"/>
    <col min="11267" max="11267" width="47.140625" style="20" customWidth="1"/>
    <col min="11268" max="11272" width="21.7109375" style="20" customWidth="1"/>
    <col min="11273" max="11520" width="20.7109375" style="20"/>
    <col min="11521" max="11521" width="5.7109375" style="20" customWidth="1"/>
    <col min="11522" max="11522" width="17.140625" style="20" customWidth="1"/>
    <col min="11523" max="11523" width="47.140625" style="20" customWidth="1"/>
    <col min="11524" max="11528" width="21.7109375" style="20" customWidth="1"/>
    <col min="11529" max="11776" width="20.7109375" style="20"/>
    <col min="11777" max="11777" width="5.7109375" style="20" customWidth="1"/>
    <col min="11778" max="11778" width="17.140625" style="20" customWidth="1"/>
    <col min="11779" max="11779" width="47.140625" style="20" customWidth="1"/>
    <col min="11780" max="11784" width="21.7109375" style="20" customWidth="1"/>
    <col min="11785" max="12032" width="20.7109375" style="20"/>
    <col min="12033" max="12033" width="5.7109375" style="20" customWidth="1"/>
    <col min="12034" max="12034" width="17.140625" style="20" customWidth="1"/>
    <col min="12035" max="12035" width="47.140625" style="20" customWidth="1"/>
    <col min="12036" max="12040" width="21.7109375" style="20" customWidth="1"/>
    <col min="12041" max="12288" width="20.7109375" style="20"/>
    <col min="12289" max="12289" width="5.7109375" style="20" customWidth="1"/>
    <col min="12290" max="12290" width="17.140625" style="20" customWidth="1"/>
    <col min="12291" max="12291" width="47.140625" style="20" customWidth="1"/>
    <col min="12292" max="12296" width="21.7109375" style="20" customWidth="1"/>
    <col min="12297" max="12544" width="20.7109375" style="20"/>
    <col min="12545" max="12545" width="5.7109375" style="20" customWidth="1"/>
    <col min="12546" max="12546" width="17.140625" style="20" customWidth="1"/>
    <col min="12547" max="12547" width="47.140625" style="20" customWidth="1"/>
    <col min="12548" max="12552" width="21.7109375" style="20" customWidth="1"/>
    <col min="12553" max="12800" width="20.7109375" style="20"/>
    <col min="12801" max="12801" width="5.7109375" style="20" customWidth="1"/>
    <col min="12802" max="12802" width="17.140625" style="20" customWidth="1"/>
    <col min="12803" max="12803" width="47.140625" style="20" customWidth="1"/>
    <col min="12804" max="12808" width="21.7109375" style="20" customWidth="1"/>
    <col min="12809" max="13056" width="20.7109375" style="20"/>
    <col min="13057" max="13057" width="5.7109375" style="20" customWidth="1"/>
    <col min="13058" max="13058" width="17.140625" style="20" customWidth="1"/>
    <col min="13059" max="13059" width="47.140625" style="20" customWidth="1"/>
    <col min="13060" max="13064" width="21.7109375" style="20" customWidth="1"/>
    <col min="13065" max="13312" width="20.7109375" style="20"/>
    <col min="13313" max="13313" width="5.7109375" style="20" customWidth="1"/>
    <col min="13314" max="13314" width="17.140625" style="20" customWidth="1"/>
    <col min="13315" max="13315" width="47.140625" style="20" customWidth="1"/>
    <col min="13316" max="13320" width="21.7109375" style="20" customWidth="1"/>
    <col min="13321" max="13568" width="20.7109375" style="20"/>
    <col min="13569" max="13569" width="5.7109375" style="20" customWidth="1"/>
    <col min="13570" max="13570" width="17.140625" style="20" customWidth="1"/>
    <col min="13571" max="13571" width="47.140625" style="20" customWidth="1"/>
    <col min="13572" max="13576" width="21.7109375" style="20" customWidth="1"/>
    <col min="13577" max="13824" width="20.7109375" style="20"/>
    <col min="13825" max="13825" width="5.7109375" style="20" customWidth="1"/>
    <col min="13826" max="13826" width="17.140625" style="20" customWidth="1"/>
    <col min="13827" max="13827" width="47.140625" style="20" customWidth="1"/>
    <col min="13828" max="13832" width="21.7109375" style="20" customWidth="1"/>
    <col min="13833" max="14080" width="20.7109375" style="20"/>
    <col min="14081" max="14081" width="5.7109375" style="20" customWidth="1"/>
    <col min="14082" max="14082" width="17.140625" style="20" customWidth="1"/>
    <col min="14083" max="14083" width="47.140625" style="20" customWidth="1"/>
    <col min="14084" max="14088" width="21.7109375" style="20" customWidth="1"/>
    <col min="14089" max="14336" width="20.7109375" style="20"/>
    <col min="14337" max="14337" width="5.7109375" style="20" customWidth="1"/>
    <col min="14338" max="14338" width="17.140625" style="20" customWidth="1"/>
    <col min="14339" max="14339" width="47.140625" style="20" customWidth="1"/>
    <col min="14340" max="14344" width="21.7109375" style="20" customWidth="1"/>
    <col min="14345" max="14592" width="20.7109375" style="20"/>
    <col min="14593" max="14593" width="5.7109375" style="20" customWidth="1"/>
    <col min="14594" max="14594" width="17.140625" style="20" customWidth="1"/>
    <col min="14595" max="14595" width="47.140625" style="20" customWidth="1"/>
    <col min="14596" max="14600" width="21.7109375" style="20" customWidth="1"/>
    <col min="14601" max="14848" width="20.7109375" style="20"/>
    <col min="14849" max="14849" width="5.7109375" style="20" customWidth="1"/>
    <col min="14850" max="14850" width="17.140625" style="20" customWidth="1"/>
    <col min="14851" max="14851" width="47.140625" style="20" customWidth="1"/>
    <col min="14852" max="14856" width="21.7109375" style="20" customWidth="1"/>
    <col min="14857" max="15104" width="20.7109375" style="20"/>
    <col min="15105" max="15105" width="5.7109375" style="20" customWidth="1"/>
    <col min="15106" max="15106" width="17.140625" style="20" customWidth="1"/>
    <col min="15107" max="15107" width="47.140625" style="20" customWidth="1"/>
    <col min="15108" max="15112" width="21.7109375" style="20" customWidth="1"/>
    <col min="15113" max="15360" width="20.7109375" style="20"/>
    <col min="15361" max="15361" width="5.7109375" style="20" customWidth="1"/>
    <col min="15362" max="15362" width="17.140625" style="20" customWidth="1"/>
    <col min="15363" max="15363" width="47.140625" style="20" customWidth="1"/>
    <col min="15364" max="15368" width="21.7109375" style="20" customWidth="1"/>
    <col min="15369" max="15616" width="20.7109375" style="20"/>
    <col min="15617" max="15617" width="5.7109375" style="20" customWidth="1"/>
    <col min="15618" max="15618" width="17.140625" style="20" customWidth="1"/>
    <col min="15619" max="15619" width="47.140625" style="20" customWidth="1"/>
    <col min="15620" max="15624" width="21.7109375" style="20" customWidth="1"/>
    <col min="15625" max="15872" width="20.7109375" style="20"/>
    <col min="15873" max="15873" width="5.7109375" style="20" customWidth="1"/>
    <col min="15874" max="15874" width="17.140625" style="20" customWidth="1"/>
    <col min="15875" max="15875" width="47.140625" style="20" customWidth="1"/>
    <col min="15876" max="15880" width="21.7109375" style="20" customWidth="1"/>
    <col min="15881" max="16128" width="20.7109375" style="20"/>
    <col min="16129" max="16129" width="5.7109375" style="20" customWidth="1"/>
    <col min="16130" max="16130" width="17.140625" style="20" customWidth="1"/>
    <col min="16131" max="16131" width="47.140625" style="20" customWidth="1"/>
    <col min="16132" max="16136" width="21.7109375" style="20" customWidth="1"/>
    <col min="16137" max="16384" width="20.7109375" style="20"/>
  </cols>
  <sheetData>
    <row r="1" spans="1:26" ht="26.25" customHeight="1">
      <c r="C1" s="19" t="s">
        <v>419</v>
      </c>
    </row>
    <row r="2" spans="1:26" ht="19.5" customHeight="1">
      <c r="C2" s="21" t="s">
        <v>11</v>
      </c>
    </row>
    <row r="3" spans="1:26" ht="17.45" customHeight="1">
      <c r="C3" s="23" t="s">
        <v>420</v>
      </c>
    </row>
    <row r="4" spans="1:26">
      <c r="B4" s="24" t="s">
        <v>12</v>
      </c>
      <c r="C4" s="24" t="s">
        <v>13</v>
      </c>
      <c r="D4" s="129" t="s">
        <v>421</v>
      </c>
      <c r="E4" s="130"/>
      <c r="F4" s="130"/>
      <c r="G4" s="130"/>
      <c r="H4" s="131"/>
    </row>
    <row r="5" spans="1:26" ht="24" customHeight="1">
      <c r="B5" s="44"/>
      <c r="C5" s="45"/>
      <c r="D5" s="24" t="s">
        <v>422</v>
      </c>
      <c r="E5" s="24" t="s">
        <v>423</v>
      </c>
      <c r="F5" s="24" t="s">
        <v>424</v>
      </c>
      <c r="G5" s="24" t="s">
        <v>425</v>
      </c>
      <c r="H5" s="46" t="s">
        <v>26</v>
      </c>
    </row>
    <row r="6" spans="1:26" ht="17.45" customHeight="1">
      <c r="B6" s="25"/>
      <c r="C6" s="28" t="s">
        <v>27</v>
      </c>
      <c r="D6" s="27"/>
      <c r="E6" s="27"/>
      <c r="F6" s="27"/>
      <c r="G6" s="27"/>
      <c r="H6" s="27"/>
    </row>
    <row r="7" spans="1:26" ht="17.25" customHeight="1">
      <c r="B7" s="25"/>
      <c r="C7" s="29" t="s">
        <v>28</v>
      </c>
      <c r="D7" s="27"/>
      <c r="E7" s="27"/>
      <c r="F7" s="27"/>
      <c r="G7" s="27"/>
      <c r="H7" s="27"/>
    </row>
    <row r="8" spans="1:26" ht="17.45" customHeight="1">
      <c r="A8" s="30" t="s">
        <v>29</v>
      </c>
      <c r="B8" s="31" t="s">
        <v>30</v>
      </c>
      <c r="C8" s="26" t="s">
        <v>31</v>
      </c>
      <c r="D8" s="27">
        <f>[2]CLN!D8</f>
        <v>826982.18</v>
      </c>
      <c r="E8" s="27">
        <f>'[2]MJK 2'!D8</f>
        <v>947218.31</v>
      </c>
      <c r="F8" s="27">
        <f>'[2]MJK 1'!D8</f>
        <v>0</v>
      </c>
      <c r="G8" s="27">
        <f>[2]BJR!D8</f>
        <v>0</v>
      </c>
      <c r="H8" s="27">
        <f>SUM(D8:G8)</f>
        <v>1774200.4900000002</v>
      </c>
    </row>
    <row r="9" spans="1:26" ht="17.45" customHeight="1">
      <c r="A9" s="30" t="s">
        <v>29</v>
      </c>
      <c r="B9" s="31" t="s">
        <v>32</v>
      </c>
      <c r="C9" s="26" t="s">
        <v>33</v>
      </c>
      <c r="D9" s="27">
        <f>+[2]CLN!D9</f>
        <v>0</v>
      </c>
      <c r="E9" s="27">
        <f>+'[2]MJK 2'!D9</f>
        <v>0</v>
      </c>
      <c r="F9" s="27">
        <f>'[2]MJK 1'!D9</f>
        <v>224778.67</v>
      </c>
      <c r="G9" s="27">
        <f>[2]BJR!D9</f>
        <v>0</v>
      </c>
      <c r="H9" s="27">
        <f t="shared" ref="H9:H71" si="0">SUM(D9:G9)</f>
        <v>224778.67</v>
      </c>
    </row>
    <row r="10" spans="1:26" ht="17.45" customHeight="1">
      <c r="A10" s="30" t="s">
        <v>29</v>
      </c>
      <c r="B10" s="31" t="s">
        <v>34</v>
      </c>
      <c r="C10" s="26" t="s">
        <v>35</v>
      </c>
      <c r="D10" s="27">
        <f>+[2]CLN!D10</f>
        <v>0</v>
      </c>
      <c r="E10" s="27">
        <f>+'[2]MJK 2'!D10</f>
        <v>0</v>
      </c>
      <c r="F10" s="27">
        <f>'[2]MJK 1'!D10</f>
        <v>0</v>
      </c>
      <c r="G10" s="27">
        <f>[2]BJR!D10</f>
        <v>0</v>
      </c>
      <c r="H10" s="27">
        <f t="shared" si="0"/>
        <v>0</v>
      </c>
    </row>
    <row r="11" spans="1:26" ht="17.45" customHeight="1">
      <c r="A11" s="30" t="s">
        <v>29</v>
      </c>
      <c r="B11" s="31" t="s">
        <v>36</v>
      </c>
      <c r="C11" s="26" t="s">
        <v>37</v>
      </c>
      <c r="D11" s="27">
        <f>+[2]CLN!D11</f>
        <v>14591.23</v>
      </c>
      <c r="E11" s="27">
        <f>+'[2]MJK 2'!D11</f>
        <v>58.28</v>
      </c>
      <c r="F11" s="27">
        <f>'[2]MJK 1'!D11</f>
        <v>931.28</v>
      </c>
      <c r="G11" s="27">
        <f>[2]BJR!D11</f>
        <v>0</v>
      </c>
      <c r="H11" s="27">
        <f t="shared" si="0"/>
        <v>15580.79</v>
      </c>
    </row>
    <row r="12" spans="1:26" ht="17.45" customHeight="1">
      <c r="A12" s="30" t="s">
        <v>29</v>
      </c>
      <c r="B12" s="31" t="s">
        <v>38</v>
      </c>
      <c r="C12" s="26" t="s">
        <v>39</v>
      </c>
      <c r="D12" s="27">
        <f>+[2]CLN!D12</f>
        <v>0</v>
      </c>
      <c r="E12" s="27">
        <f>+'[2]MJK 2'!D12</f>
        <v>0</v>
      </c>
      <c r="F12" s="27">
        <f>'[2]MJK 1'!D12</f>
        <v>0</v>
      </c>
      <c r="G12" s="27">
        <f>[2]BJR!D12</f>
        <v>0</v>
      </c>
      <c r="H12" s="27">
        <f t="shared" si="0"/>
        <v>0</v>
      </c>
    </row>
    <row r="13" spans="1:26" ht="17.45" customHeight="1">
      <c r="A13" s="30" t="s">
        <v>29</v>
      </c>
      <c r="B13" s="31" t="s">
        <v>40</v>
      </c>
      <c r="C13" s="26" t="s">
        <v>41</v>
      </c>
      <c r="D13" s="27">
        <f>+[2]CLN!D13</f>
        <v>0</v>
      </c>
      <c r="E13" s="27">
        <f>+'[2]MJK 2'!D13</f>
        <v>0</v>
      </c>
      <c r="F13" s="27">
        <f>'[2]MJK 1'!D13</f>
        <v>0</v>
      </c>
      <c r="G13" s="27">
        <f>[2]BJR!D13</f>
        <v>0</v>
      </c>
      <c r="H13" s="27">
        <f t="shared" si="0"/>
        <v>0</v>
      </c>
    </row>
    <row r="14" spans="1:26" ht="17.45" customHeight="1">
      <c r="A14" s="30" t="s">
        <v>29</v>
      </c>
      <c r="B14" s="31"/>
      <c r="C14" s="26" t="s">
        <v>42</v>
      </c>
      <c r="D14" s="27">
        <f>+[2]CLN!D14</f>
        <v>0</v>
      </c>
      <c r="E14" s="27">
        <f>+'[2]MJK 2'!D14</f>
        <v>0</v>
      </c>
      <c r="F14" s="27">
        <f>'[2]MJK 1'!D14</f>
        <v>0</v>
      </c>
      <c r="G14" s="27">
        <f>[2]BJR!D14</f>
        <v>0</v>
      </c>
      <c r="H14" s="27">
        <f t="shared" si="0"/>
        <v>0</v>
      </c>
      <c r="I14" s="27"/>
      <c r="J14" s="27"/>
      <c r="K14" s="27"/>
      <c r="L14" s="27">
        <f>SUM(D14:K14)</f>
        <v>0</v>
      </c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>
        <f>SUM(N14:Y14)</f>
        <v>0</v>
      </c>
    </row>
    <row r="15" spans="1:26" ht="17.45" customHeight="1">
      <c r="A15" s="30" t="s">
        <v>43</v>
      </c>
      <c r="B15" s="31" t="s">
        <v>44</v>
      </c>
      <c r="C15" s="37" t="s">
        <v>28</v>
      </c>
      <c r="D15" s="27">
        <f>+[2]CLN!D15</f>
        <v>841573.41</v>
      </c>
      <c r="E15" s="27">
        <f>+'[2]MJK 2'!D15</f>
        <v>947276.59000000008</v>
      </c>
      <c r="F15" s="27">
        <f>'[2]MJK 1'!D15</f>
        <v>225709.95</v>
      </c>
      <c r="G15" s="27">
        <f>[2]BJR!D15</f>
        <v>0</v>
      </c>
      <c r="H15" s="27">
        <f t="shared" si="0"/>
        <v>2014559.95</v>
      </c>
    </row>
    <row r="16" spans="1:26" ht="17.45" customHeight="1">
      <c r="A16" s="30" t="s">
        <v>45</v>
      </c>
      <c r="B16" s="31" t="s">
        <v>46</v>
      </c>
      <c r="C16" s="37" t="s">
        <v>47</v>
      </c>
      <c r="D16" s="27">
        <f>+[2]CLN!D16</f>
        <v>841573.41</v>
      </c>
      <c r="E16" s="27">
        <f>+'[2]MJK 2'!D16</f>
        <v>947276.59000000008</v>
      </c>
      <c r="F16" s="27">
        <f>'[2]MJK 1'!D16</f>
        <v>225709.95</v>
      </c>
      <c r="G16" s="27">
        <f>[2]BJR!D16</f>
        <v>0</v>
      </c>
      <c r="H16" s="27">
        <f t="shared" si="0"/>
        <v>2014559.95</v>
      </c>
    </row>
    <row r="17" spans="1:8" ht="17.45" customHeight="1">
      <c r="A17" s="30"/>
      <c r="B17" s="31"/>
      <c r="C17" s="28" t="s">
        <v>48</v>
      </c>
      <c r="D17" s="27"/>
      <c r="E17" s="27"/>
      <c r="F17" s="27"/>
      <c r="G17" s="27"/>
      <c r="H17" s="27"/>
    </row>
    <row r="18" spans="1:8" ht="17.45" customHeight="1">
      <c r="A18" s="30"/>
      <c r="B18" s="31"/>
      <c r="C18" s="29" t="s">
        <v>49</v>
      </c>
      <c r="D18" s="27"/>
      <c r="E18" s="27"/>
      <c r="F18" s="27"/>
      <c r="G18" s="27"/>
      <c r="H18" s="27"/>
    </row>
    <row r="19" spans="1:8" ht="17.45" customHeight="1">
      <c r="A19" s="30" t="s">
        <v>29</v>
      </c>
      <c r="B19" s="31" t="s">
        <v>50</v>
      </c>
      <c r="C19" s="26" t="s">
        <v>51</v>
      </c>
      <c r="D19" s="27">
        <f>+[2]CLN!D19</f>
        <v>1321758.24</v>
      </c>
      <c r="E19" s="27">
        <f>+'[2]MJK 2'!D19</f>
        <v>239283.4</v>
      </c>
      <c r="F19" s="27">
        <f>'[2]MJK 1'!D19</f>
        <v>239006.03</v>
      </c>
      <c r="G19" s="27">
        <f>[2]BJR!D19</f>
        <v>76148.05</v>
      </c>
      <c r="H19" s="27">
        <f t="shared" si="0"/>
        <v>1876195.72</v>
      </c>
    </row>
    <row r="20" spans="1:8" ht="17.45" customHeight="1">
      <c r="A20" s="30" t="s">
        <v>52</v>
      </c>
      <c r="B20" s="31" t="s">
        <v>53</v>
      </c>
      <c r="C20" s="26" t="s">
        <v>54</v>
      </c>
      <c r="D20" s="27">
        <f>+[2]CLN!D20</f>
        <v>0</v>
      </c>
      <c r="E20" s="27">
        <f>+'[2]MJK 2'!D20</f>
        <v>0</v>
      </c>
      <c r="F20" s="27">
        <f>'[2]MJK 1'!D20</f>
        <v>0</v>
      </c>
      <c r="G20" s="27">
        <f>[2]BJR!D20</f>
        <v>0</v>
      </c>
      <c r="H20" s="27">
        <f t="shared" si="0"/>
        <v>0</v>
      </c>
    </row>
    <row r="21" spans="1:8" ht="17.45" customHeight="1">
      <c r="A21" s="30"/>
      <c r="B21" s="31"/>
      <c r="C21" s="26" t="s">
        <v>55</v>
      </c>
      <c r="D21" s="27">
        <f>+[2]CLN!D21</f>
        <v>0</v>
      </c>
      <c r="E21" s="27">
        <f>+'[2]MJK 2'!D21</f>
        <v>0</v>
      </c>
      <c r="F21" s="27">
        <f>'[2]MJK 1'!D21</f>
        <v>0</v>
      </c>
      <c r="G21" s="27">
        <f>[2]BJR!D21</f>
        <v>0</v>
      </c>
      <c r="H21" s="27">
        <f t="shared" si="0"/>
        <v>0</v>
      </c>
    </row>
    <row r="22" spans="1:8" ht="17.45" customHeight="1">
      <c r="A22" s="30" t="s">
        <v>52</v>
      </c>
      <c r="B22" s="31" t="s">
        <v>56</v>
      </c>
      <c r="C22" s="26" t="s">
        <v>57</v>
      </c>
      <c r="D22" s="27">
        <f>+[2]CLN!D22</f>
        <v>0</v>
      </c>
      <c r="E22" s="27">
        <f>+'[2]MJK 2'!D22</f>
        <v>0</v>
      </c>
      <c r="F22" s="27">
        <f>'[2]MJK 1'!D22</f>
        <v>0</v>
      </c>
      <c r="G22" s="27">
        <f>[2]BJR!D22</f>
        <v>0</v>
      </c>
      <c r="H22" s="27">
        <f t="shared" si="0"/>
        <v>0</v>
      </c>
    </row>
    <row r="23" spans="1:8" ht="17.45" customHeight="1">
      <c r="A23" s="30" t="s">
        <v>52</v>
      </c>
      <c r="B23" s="31" t="s">
        <v>58</v>
      </c>
      <c r="C23" s="26" t="s">
        <v>59</v>
      </c>
      <c r="D23" s="27">
        <f>+[2]CLN!D23</f>
        <v>0</v>
      </c>
      <c r="E23" s="27">
        <f>+'[2]MJK 2'!D23</f>
        <v>0</v>
      </c>
      <c r="F23" s="27">
        <f>'[2]MJK 1'!D23</f>
        <v>0</v>
      </c>
      <c r="G23" s="27">
        <f>[2]BJR!D23</f>
        <v>0</v>
      </c>
      <c r="H23" s="27">
        <f t="shared" si="0"/>
        <v>0</v>
      </c>
    </row>
    <row r="24" spans="1:8" ht="17.45" customHeight="1">
      <c r="A24" s="30"/>
      <c r="B24" s="31"/>
      <c r="C24" s="37" t="s">
        <v>60</v>
      </c>
      <c r="D24" s="27">
        <f>+[2]CLN!D24</f>
        <v>1321758.24</v>
      </c>
      <c r="E24" s="27">
        <f>+'[2]MJK 2'!D24</f>
        <v>239283.4</v>
      </c>
      <c r="F24" s="27">
        <f>'[2]MJK 1'!D24</f>
        <v>239006.03</v>
      </c>
      <c r="G24" s="27">
        <f>[2]BJR!D24</f>
        <v>76148.05</v>
      </c>
      <c r="H24" s="27">
        <f t="shared" si="0"/>
        <v>1876195.72</v>
      </c>
    </row>
    <row r="25" spans="1:8" ht="17.45" customHeight="1">
      <c r="A25" s="30" t="s">
        <v>29</v>
      </c>
      <c r="B25" s="31" t="s">
        <v>61</v>
      </c>
      <c r="C25" s="26" t="s">
        <v>62</v>
      </c>
      <c r="D25" s="27">
        <f>+[2]CLN!D25</f>
        <v>0</v>
      </c>
      <c r="E25" s="27">
        <f>+'[2]MJK 2'!D25</f>
        <v>0</v>
      </c>
      <c r="F25" s="27">
        <f>'[2]MJK 1'!D25</f>
        <v>0</v>
      </c>
      <c r="G25" s="27">
        <f>[2]BJR!D25</f>
        <v>0</v>
      </c>
      <c r="H25" s="27">
        <f t="shared" si="0"/>
        <v>0</v>
      </c>
    </row>
    <row r="26" spans="1:8" ht="17.45" customHeight="1">
      <c r="A26" s="30" t="s">
        <v>52</v>
      </c>
      <c r="B26" s="31" t="s">
        <v>63</v>
      </c>
      <c r="C26" s="26" t="s">
        <v>64</v>
      </c>
      <c r="D26" s="27">
        <f>+[2]CLN!D26</f>
        <v>0</v>
      </c>
      <c r="E26" s="27">
        <f>+'[2]MJK 2'!D26</f>
        <v>0</v>
      </c>
      <c r="F26" s="27">
        <f>'[2]MJK 1'!D26</f>
        <v>0</v>
      </c>
      <c r="G26" s="27">
        <f>[2]BJR!D26</f>
        <v>0</v>
      </c>
      <c r="H26" s="27">
        <f t="shared" si="0"/>
        <v>0</v>
      </c>
    </row>
    <row r="27" spans="1:8" ht="17.45" customHeight="1">
      <c r="A27" s="30" t="s">
        <v>52</v>
      </c>
      <c r="B27" s="31" t="s">
        <v>65</v>
      </c>
      <c r="C27" s="26" t="s">
        <v>66</v>
      </c>
      <c r="D27" s="27">
        <f>+[2]CLN!D27</f>
        <v>0</v>
      </c>
      <c r="E27" s="27">
        <f>+'[2]MJK 2'!D27</f>
        <v>0</v>
      </c>
      <c r="F27" s="27">
        <f>'[2]MJK 1'!D27</f>
        <v>0</v>
      </c>
      <c r="G27" s="27">
        <f>[2]BJR!D27</f>
        <v>0</v>
      </c>
      <c r="H27" s="27">
        <f t="shared" si="0"/>
        <v>0</v>
      </c>
    </row>
    <row r="28" spans="1:8" ht="17.45" customHeight="1">
      <c r="A28" s="30" t="s">
        <v>52</v>
      </c>
      <c r="B28" s="31" t="s">
        <v>67</v>
      </c>
      <c r="C28" s="26" t="s">
        <v>68</v>
      </c>
      <c r="D28" s="27">
        <f>+[2]CLN!D28</f>
        <v>0</v>
      </c>
      <c r="E28" s="27">
        <f>+'[2]MJK 2'!D28</f>
        <v>0</v>
      </c>
      <c r="F28" s="27">
        <f>'[2]MJK 1'!D28</f>
        <v>0</v>
      </c>
      <c r="G28" s="27">
        <f>[2]BJR!D28</f>
        <v>0</v>
      </c>
      <c r="H28" s="27">
        <f t="shared" si="0"/>
        <v>0</v>
      </c>
    </row>
    <row r="29" spans="1:8" ht="17.45" customHeight="1">
      <c r="A29" s="30"/>
      <c r="B29" s="31"/>
      <c r="C29" s="37" t="s">
        <v>69</v>
      </c>
      <c r="D29" s="27">
        <f>+[2]CLN!D29</f>
        <v>0</v>
      </c>
      <c r="E29" s="27">
        <f>+'[2]MJK 2'!D29</f>
        <v>0</v>
      </c>
      <c r="F29" s="27">
        <f>'[2]MJK 1'!D29</f>
        <v>0</v>
      </c>
      <c r="G29" s="27">
        <f>[2]BJR!D29</f>
        <v>0</v>
      </c>
      <c r="H29" s="27">
        <f t="shared" si="0"/>
        <v>0</v>
      </c>
    </row>
    <row r="30" spans="1:8" ht="17.45" customHeight="1">
      <c r="A30" s="30" t="s">
        <v>29</v>
      </c>
      <c r="B30" s="31" t="s">
        <v>70</v>
      </c>
      <c r="C30" s="26" t="s">
        <v>71</v>
      </c>
      <c r="D30" s="27">
        <f>+[2]CLN!D30</f>
        <v>0</v>
      </c>
      <c r="E30" s="27">
        <f>+'[2]MJK 2'!D30</f>
        <v>0</v>
      </c>
      <c r="F30" s="27">
        <f>'[2]MJK 1'!D30</f>
        <v>0</v>
      </c>
      <c r="G30" s="27">
        <f>[2]BJR!D30</f>
        <v>0</v>
      </c>
      <c r="H30" s="27">
        <f t="shared" si="0"/>
        <v>0</v>
      </c>
    </row>
    <row r="31" spans="1:8" ht="17.45" customHeight="1">
      <c r="A31" s="30" t="s">
        <v>52</v>
      </c>
      <c r="B31" s="31" t="s">
        <v>72</v>
      </c>
      <c r="C31" s="26" t="s">
        <v>73</v>
      </c>
      <c r="D31" s="27">
        <f>+[2]CLN!D31</f>
        <v>0</v>
      </c>
      <c r="E31" s="27">
        <f>+'[2]MJK 2'!D31</f>
        <v>0</v>
      </c>
      <c r="F31" s="27">
        <f>'[2]MJK 1'!D31</f>
        <v>0</v>
      </c>
      <c r="G31" s="27">
        <f>[2]BJR!D31</f>
        <v>0</v>
      </c>
      <c r="H31" s="27">
        <f t="shared" si="0"/>
        <v>0</v>
      </c>
    </row>
    <row r="32" spans="1:8" ht="17.45" customHeight="1">
      <c r="A32" s="30" t="s">
        <v>52</v>
      </c>
      <c r="B32" s="31" t="s">
        <v>74</v>
      </c>
      <c r="C32" s="26" t="s">
        <v>75</v>
      </c>
      <c r="D32" s="27">
        <f>+[2]CLN!D32</f>
        <v>0</v>
      </c>
      <c r="E32" s="27">
        <f>+'[2]MJK 2'!D32</f>
        <v>0</v>
      </c>
      <c r="F32" s="27">
        <f>'[2]MJK 1'!D32</f>
        <v>0</v>
      </c>
      <c r="G32" s="27">
        <f>[2]BJR!D32</f>
        <v>0</v>
      </c>
      <c r="H32" s="27">
        <f t="shared" si="0"/>
        <v>0</v>
      </c>
    </row>
    <row r="33" spans="1:26" ht="17.45" customHeight="1">
      <c r="A33" s="30" t="s">
        <v>52</v>
      </c>
      <c r="B33" s="31" t="s">
        <v>76</v>
      </c>
      <c r="C33" s="26" t="s">
        <v>77</v>
      </c>
      <c r="D33" s="27">
        <f>+[2]CLN!D33</f>
        <v>0</v>
      </c>
      <c r="E33" s="27">
        <f>+'[2]MJK 2'!D33</f>
        <v>0</v>
      </c>
      <c r="F33" s="27">
        <f>'[2]MJK 1'!D33</f>
        <v>0</v>
      </c>
      <c r="G33" s="27">
        <f>[2]BJR!D33</f>
        <v>0</v>
      </c>
      <c r="H33" s="27">
        <f t="shared" si="0"/>
        <v>0</v>
      </c>
    </row>
    <row r="34" spans="1:26" ht="17.45" customHeight="1">
      <c r="A34" s="30"/>
      <c r="B34" s="31"/>
      <c r="C34" s="37" t="s">
        <v>78</v>
      </c>
      <c r="D34" s="27">
        <f>+[2]CLN!D34</f>
        <v>0</v>
      </c>
      <c r="E34" s="27">
        <f>+'[2]MJK 2'!D34</f>
        <v>0</v>
      </c>
      <c r="F34" s="27">
        <f>'[2]MJK 1'!D34</f>
        <v>0</v>
      </c>
      <c r="G34" s="27">
        <f>[2]BJR!D34</f>
        <v>0</v>
      </c>
      <c r="H34" s="27">
        <f t="shared" si="0"/>
        <v>0</v>
      </c>
    </row>
    <row r="35" spans="1:26" ht="17.45" customHeight="1">
      <c r="A35" s="30" t="s">
        <v>29</v>
      </c>
      <c r="B35" s="31" t="s">
        <v>79</v>
      </c>
      <c r="C35" s="37" t="s">
        <v>80</v>
      </c>
      <c r="D35" s="27">
        <f>+[2]CLN!D35</f>
        <v>0</v>
      </c>
      <c r="E35" s="27">
        <f>+'[2]MJK 2'!D35</f>
        <v>0</v>
      </c>
      <c r="F35" s="27">
        <f>'[2]MJK 1'!D35</f>
        <v>0</v>
      </c>
      <c r="G35" s="27">
        <f>[2]BJR!D35</f>
        <v>0</v>
      </c>
      <c r="H35" s="27">
        <f t="shared" si="0"/>
        <v>0</v>
      </c>
    </row>
    <row r="36" spans="1:26" ht="17.45" customHeight="1">
      <c r="A36" s="30" t="s">
        <v>43</v>
      </c>
      <c r="B36" s="31" t="s">
        <v>81</v>
      </c>
      <c r="C36" s="37" t="s">
        <v>82</v>
      </c>
      <c r="D36" s="27">
        <f>+[2]CLN!D36</f>
        <v>1321758.24</v>
      </c>
      <c r="E36" s="27">
        <f>+'[2]MJK 2'!D36</f>
        <v>239283.4</v>
      </c>
      <c r="F36" s="27">
        <f>'[2]MJK 1'!D36</f>
        <v>239006.03</v>
      </c>
      <c r="G36" s="27">
        <f>[2]BJR!D36</f>
        <v>76148.05</v>
      </c>
      <c r="H36" s="27">
        <f t="shared" si="0"/>
        <v>1876195.72</v>
      </c>
    </row>
    <row r="37" spans="1:26" ht="17.45" customHeight="1">
      <c r="A37" s="30"/>
      <c r="B37" s="31"/>
      <c r="C37" s="35" t="s">
        <v>83</v>
      </c>
      <c r="D37" s="27"/>
      <c r="E37" s="27"/>
      <c r="F37" s="27"/>
      <c r="G37" s="27"/>
      <c r="H37" s="27"/>
    </row>
    <row r="38" spans="1:26" ht="17.45" customHeight="1">
      <c r="A38" s="30" t="s">
        <v>29</v>
      </c>
      <c r="B38" s="31" t="s">
        <v>84</v>
      </c>
      <c r="C38" s="29" t="s">
        <v>85</v>
      </c>
      <c r="D38" s="27"/>
      <c r="E38" s="27"/>
      <c r="F38" s="27"/>
      <c r="G38" s="27"/>
      <c r="H38" s="27"/>
    </row>
    <row r="39" spans="1:26" ht="17.45" customHeight="1">
      <c r="A39" s="30" t="s">
        <v>29</v>
      </c>
      <c r="B39" s="31" t="s">
        <v>86</v>
      </c>
      <c r="C39" s="26" t="s">
        <v>87</v>
      </c>
      <c r="D39" s="27">
        <f>+[2]CLN!D39</f>
        <v>0</v>
      </c>
      <c r="E39" s="27">
        <f>+'[2]MJK 2'!D39</f>
        <v>0</v>
      </c>
      <c r="F39" s="27">
        <f>'[2]MJK 1'!D39</f>
        <v>0</v>
      </c>
      <c r="G39" s="27">
        <f>[2]BJR!D39</f>
        <v>0</v>
      </c>
      <c r="H39" s="27">
        <f t="shared" si="0"/>
        <v>0</v>
      </c>
    </row>
    <row r="40" spans="1:26" ht="17.45" customHeight="1">
      <c r="A40" s="30"/>
      <c r="B40" s="31"/>
      <c r="C40" s="29" t="s">
        <v>88</v>
      </c>
      <c r="D40" s="27">
        <f>+[2]CLN!D40</f>
        <v>0</v>
      </c>
      <c r="E40" s="27">
        <f>+'[2]MJK 2'!D40</f>
        <v>0</v>
      </c>
      <c r="F40" s="27">
        <f>'[2]MJK 1'!D40</f>
        <v>0</v>
      </c>
      <c r="G40" s="27">
        <f>[2]BJR!D40</f>
        <v>0</v>
      </c>
      <c r="H40" s="27">
        <f t="shared" si="0"/>
        <v>0</v>
      </c>
    </row>
    <row r="41" spans="1:26" ht="17.45" customHeight="1">
      <c r="A41" s="30" t="s">
        <v>52</v>
      </c>
      <c r="B41" s="31" t="s">
        <v>89</v>
      </c>
      <c r="C41" s="26" t="s">
        <v>90</v>
      </c>
      <c r="D41" s="27">
        <f>+[2]CLN!D41</f>
        <v>0</v>
      </c>
      <c r="E41" s="27">
        <f>+'[2]MJK 2'!D41</f>
        <v>0</v>
      </c>
      <c r="F41" s="27">
        <f>'[2]MJK 1'!D41</f>
        <v>0</v>
      </c>
      <c r="G41" s="27">
        <f>[2]BJR!D41</f>
        <v>0</v>
      </c>
      <c r="H41" s="27">
        <f t="shared" si="0"/>
        <v>0</v>
      </c>
    </row>
    <row r="42" spans="1:26" ht="17.45" customHeight="1">
      <c r="A42" s="30" t="s">
        <v>52</v>
      </c>
      <c r="B42" s="31" t="s">
        <v>91</v>
      </c>
      <c r="C42" s="26" t="s">
        <v>92</v>
      </c>
      <c r="D42" s="27">
        <f>+[2]CLN!D42</f>
        <v>0</v>
      </c>
      <c r="E42" s="27">
        <f>+'[2]MJK 2'!D42</f>
        <v>0</v>
      </c>
      <c r="F42" s="27">
        <f>'[2]MJK 1'!D42</f>
        <v>0</v>
      </c>
      <c r="G42" s="27">
        <f>[2]BJR!D42</f>
        <v>0</v>
      </c>
      <c r="H42" s="27">
        <f t="shared" si="0"/>
        <v>0</v>
      </c>
    </row>
    <row r="43" spans="1:26" ht="17.45" customHeight="1">
      <c r="A43" s="30" t="s">
        <v>52</v>
      </c>
      <c r="B43" s="31"/>
      <c r="C43" s="26" t="s">
        <v>93</v>
      </c>
      <c r="D43" s="27">
        <f>+[2]CLN!D43</f>
        <v>0</v>
      </c>
      <c r="E43" s="27">
        <f>+'[2]MJK 2'!D43</f>
        <v>0</v>
      </c>
      <c r="F43" s="27">
        <f>'[2]MJK 1'!D43</f>
        <v>0</v>
      </c>
      <c r="G43" s="27">
        <f>[2]BJR!D43</f>
        <v>0</v>
      </c>
      <c r="H43" s="27">
        <f t="shared" si="0"/>
        <v>0</v>
      </c>
      <c r="I43" s="27"/>
      <c r="J43" s="27"/>
      <c r="K43" s="27"/>
      <c r="L43" s="27">
        <f>SUM(D43:K43)</f>
        <v>0</v>
      </c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>
        <f>SUM(N43:Y43)</f>
        <v>0</v>
      </c>
    </row>
    <row r="44" spans="1:26" ht="17.45" customHeight="1">
      <c r="A44" s="30" t="s">
        <v>52</v>
      </c>
      <c r="B44" s="31" t="s">
        <v>94</v>
      </c>
      <c r="C44" s="26" t="s">
        <v>95</v>
      </c>
      <c r="D44" s="27">
        <f>+[2]CLN!D44</f>
        <v>0</v>
      </c>
      <c r="E44" s="27">
        <f>+'[2]MJK 2'!D44</f>
        <v>0</v>
      </c>
      <c r="F44" s="27">
        <f>'[2]MJK 1'!D44</f>
        <v>0</v>
      </c>
      <c r="G44" s="27">
        <f>[2]BJR!D44</f>
        <v>0</v>
      </c>
      <c r="H44" s="27">
        <f t="shared" si="0"/>
        <v>0</v>
      </c>
    </row>
    <row r="45" spans="1:26" ht="17.45" customHeight="1">
      <c r="A45" s="30" t="s">
        <v>52</v>
      </c>
      <c r="B45" s="31"/>
      <c r="C45" s="26" t="s">
        <v>96</v>
      </c>
      <c r="D45" s="27">
        <f>+[2]CLN!D45</f>
        <v>0</v>
      </c>
      <c r="E45" s="27">
        <f>+'[2]MJK 2'!D45</f>
        <v>0</v>
      </c>
      <c r="F45" s="27">
        <f>'[2]MJK 1'!D45</f>
        <v>0</v>
      </c>
      <c r="G45" s="27">
        <f>[2]BJR!D45</f>
        <v>0</v>
      </c>
      <c r="H45" s="27">
        <f t="shared" si="0"/>
        <v>0</v>
      </c>
      <c r="I45" s="27"/>
      <c r="J45" s="27"/>
      <c r="K45" s="27"/>
      <c r="L45" s="27">
        <f>SUM(D45:K45)</f>
        <v>0</v>
      </c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>
        <f>SUM(N45:Y45)</f>
        <v>0</v>
      </c>
    </row>
    <row r="46" spans="1:26" ht="17.45" customHeight="1">
      <c r="A46" s="30" t="s">
        <v>52</v>
      </c>
      <c r="B46" s="31"/>
      <c r="C46" s="26" t="s">
        <v>97</v>
      </c>
      <c r="D46" s="27">
        <f>+[2]CLN!D46</f>
        <v>0</v>
      </c>
      <c r="E46" s="27">
        <f>+'[2]MJK 2'!D46</f>
        <v>0</v>
      </c>
      <c r="F46" s="27">
        <f>'[2]MJK 1'!D46</f>
        <v>0</v>
      </c>
      <c r="G46" s="27">
        <f>[2]BJR!D46</f>
        <v>0</v>
      </c>
      <c r="H46" s="27">
        <f t="shared" si="0"/>
        <v>0</v>
      </c>
      <c r="I46" s="27"/>
      <c r="J46" s="27"/>
      <c r="K46" s="27"/>
      <c r="L46" s="27">
        <f>SUM(D46:K46)</f>
        <v>0</v>
      </c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>
        <f>SUM(N46:Y46)</f>
        <v>0</v>
      </c>
    </row>
    <row r="47" spans="1:26" ht="17.45" customHeight="1">
      <c r="A47" s="30" t="s">
        <v>29</v>
      </c>
      <c r="B47" s="31" t="s">
        <v>98</v>
      </c>
      <c r="C47" s="37" t="s">
        <v>88</v>
      </c>
      <c r="D47" s="27">
        <f>+[2]CLN!D47</f>
        <v>0</v>
      </c>
      <c r="E47" s="27">
        <f>+'[2]MJK 2'!D47</f>
        <v>0</v>
      </c>
      <c r="F47" s="27">
        <f>'[2]MJK 1'!D47</f>
        <v>0</v>
      </c>
      <c r="G47" s="27">
        <f>[2]BJR!D47</f>
        <v>0</v>
      </c>
      <c r="H47" s="27">
        <f t="shared" si="0"/>
        <v>0</v>
      </c>
    </row>
    <row r="48" spans="1:26" ht="17.45" customHeight="1">
      <c r="A48" s="30"/>
      <c r="B48" s="31"/>
      <c r="C48" s="29" t="s">
        <v>99</v>
      </c>
      <c r="D48" s="27">
        <f>+[2]CLN!D48</f>
        <v>0</v>
      </c>
      <c r="E48" s="27">
        <f>+'[2]MJK 2'!D48</f>
        <v>0</v>
      </c>
      <c r="F48" s="27">
        <f>'[2]MJK 1'!D48</f>
        <v>0</v>
      </c>
      <c r="G48" s="27">
        <f>[2]BJR!D48</f>
        <v>0</v>
      </c>
      <c r="H48" s="27">
        <f t="shared" si="0"/>
        <v>0</v>
      </c>
    </row>
    <row r="49" spans="1:8" ht="17.45" customHeight="1">
      <c r="A49" s="30" t="s">
        <v>52</v>
      </c>
      <c r="B49" s="31" t="s">
        <v>100</v>
      </c>
      <c r="C49" s="26" t="s">
        <v>101</v>
      </c>
      <c r="D49" s="27">
        <f>+[2]CLN!D49</f>
        <v>0</v>
      </c>
      <c r="E49" s="27">
        <f>+'[2]MJK 2'!D49</f>
        <v>0</v>
      </c>
      <c r="F49" s="27">
        <f>'[2]MJK 1'!D49</f>
        <v>0</v>
      </c>
      <c r="G49" s="27">
        <f>[2]BJR!D49</f>
        <v>0</v>
      </c>
      <c r="H49" s="27">
        <f t="shared" si="0"/>
        <v>0</v>
      </c>
    </row>
    <row r="50" spans="1:8" ht="17.45" customHeight="1">
      <c r="A50" s="30" t="s">
        <v>52</v>
      </c>
      <c r="B50" s="31" t="s">
        <v>102</v>
      </c>
      <c r="C50" s="26" t="s">
        <v>103</v>
      </c>
      <c r="D50" s="27">
        <f>+[2]CLN!D50</f>
        <v>0</v>
      </c>
      <c r="E50" s="27">
        <f>+'[2]MJK 2'!D50</f>
        <v>0</v>
      </c>
      <c r="F50" s="27">
        <f>'[2]MJK 1'!D50</f>
        <v>0</v>
      </c>
      <c r="G50" s="27">
        <f>[2]BJR!D50</f>
        <v>0</v>
      </c>
      <c r="H50" s="27">
        <f t="shared" si="0"/>
        <v>0</v>
      </c>
    </row>
    <row r="51" spans="1:8" ht="17.45" customHeight="1">
      <c r="A51" s="30" t="s">
        <v>52</v>
      </c>
      <c r="B51" s="31" t="s">
        <v>104</v>
      </c>
      <c r="C51" s="26" t="s">
        <v>105</v>
      </c>
      <c r="D51" s="27">
        <f>+[2]CLN!D51</f>
        <v>0</v>
      </c>
      <c r="E51" s="27">
        <f>+'[2]MJK 2'!D51</f>
        <v>0</v>
      </c>
      <c r="F51" s="27">
        <f>'[2]MJK 1'!D51</f>
        <v>0</v>
      </c>
      <c r="G51" s="27">
        <f>[2]BJR!D51</f>
        <v>0</v>
      </c>
      <c r="H51" s="27">
        <f t="shared" si="0"/>
        <v>0</v>
      </c>
    </row>
    <row r="52" spans="1:8" ht="17.45" customHeight="1">
      <c r="A52" s="30" t="s">
        <v>29</v>
      </c>
      <c r="B52" s="31" t="s">
        <v>106</v>
      </c>
      <c r="C52" s="37" t="s">
        <v>99</v>
      </c>
      <c r="D52" s="27">
        <f>+[2]CLN!D52</f>
        <v>0</v>
      </c>
      <c r="E52" s="27">
        <f>+'[2]MJK 2'!D52</f>
        <v>0</v>
      </c>
      <c r="F52" s="27">
        <f>'[2]MJK 1'!D52</f>
        <v>0</v>
      </c>
      <c r="G52" s="27">
        <f>[2]BJR!D52</f>
        <v>0</v>
      </c>
      <c r="H52" s="27">
        <f t="shared" si="0"/>
        <v>0</v>
      </c>
    </row>
    <row r="53" spans="1:8" ht="17.45" customHeight="1">
      <c r="A53" s="30" t="s">
        <v>43</v>
      </c>
      <c r="B53" s="31" t="s">
        <v>107</v>
      </c>
      <c r="C53" s="37" t="s">
        <v>108</v>
      </c>
      <c r="D53" s="27">
        <f>+[2]CLN!D53</f>
        <v>0</v>
      </c>
      <c r="E53" s="27">
        <f>+'[2]MJK 2'!D53</f>
        <v>0</v>
      </c>
      <c r="F53" s="27">
        <f>'[2]MJK 1'!D53</f>
        <v>0</v>
      </c>
      <c r="G53" s="27">
        <f>[2]BJR!D53</f>
        <v>0</v>
      </c>
      <c r="H53" s="27">
        <f t="shared" si="0"/>
        <v>0</v>
      </c>
    </row>
    <row r="54" spans="1:8" ht="17.45" customHeight="1">
      <c r="A54" s="30"/>
      <c r="B54" s="31"/>
      <c r="C54" s="28" t="s">
        <v>109</v>
      </c>
      <c r="D54" s="27"/>
      <c r="E54" s="27"/>
      <c r="F54" s="27"/>
      <c r="G54" s="27"/>
      <c r="H54" s="27"/>
    </row>
    <row r="55" spans="1:8" ht="17.45" customHeight="1">
      <c r="A55" s="30"/>
      <c r="B55" s="31"/>
      <c r="C55" s="29" t="s">
        <v>110</v>
      </c>
      <c r="D55" s="27"/>
      <c r="E55" s="27"/>
      <c r="F55" s="27"/>
      <c r="G55" s="27"/>
      <c r="H55" s="27"/>
    </row>
    <row r="56" spans="1:8" ht="17.45" customHeight="1">
      <c r="A56" s="30" t="s">
        <v>52</v>
      </c>
      <c r="B56" s="31" t="s">
        <v>111</v>
      </c>
      <c r="C56" s="26" t="s">
        <v>112</v>
      </c>
      <c r="D56" s="27">
        <f>+[2]CLN!D56</f>
        <v>41514.910000000003</v>
      </c>
      <c r="E56" s="27">
        <f>+'[2]MJK 2'!D56</f>
        <v>115423.71</v>
      </c>
      <c r="F56" s="27">
        <f>'[2]MJK 1'!D56</f>
        <v>143673.10999999999</v>
      </c>
      <c r="G56" s="27">
        <f>[2]BJR!D56</f>
        <v>48810.3</v>
      </c>
      <c r="H56" s="27">
        <f t="shared" si="0"/>
        <v>349422.02999999997</v>
      </c>
    </row>
    <row r="57" spans="1:8" ht="17.45" customHeight="1">
      <c r="A57" s="30" t="s">
        <v>52</v>
      </c>
      <c r="B57" s="31" t="s">
        <v>113</v>
      </c>
      <c r="C57" s="26" t="s">
        <v>114</v>
      </c>
      <c r="D57" s="27">
        <f>+[2]CLN!D57</f>
        <v>3000</v>
      </c>
      <c r="E57" s="27">
        <f>+'[2]MJK 2'!D57</f>
        <v>8000</v>
      </c>
      <c r="F57" s="27">
        <f>'[2]MJK 1'!D57</f>
        <v>10000</v>
      </c>
      <c r="G57" s="27">
        <f>[2]BJR!D57</f>
        <v>4000</v>
      </c>
      <c r="H57" s="27">
        <f t="shared" si="0"/>
        <v>25000</v>
      </c>
    </row>
    <row r="58" spans="1:8" ht="17.45" customHeight="1">
      <c r="A58" s="30" t="s">
        <v>52</v>
      </c>
      <c r="B58" s="31" t="s">
        <v>115</v>
      </c>
      <c r="C58" s="26" t="s">
        <v>116</v>
      </c>
      <c r="D58" s="27">
        <f>+[2]CLN!D58</f>
        <v>2693.84</v>
      </c>
      <c r="E58" s="27">
        <f>+'[2]MJK 2'!D58</f>
        <v>5193.18</v>
      </c>
      <c r="F58" s="27">
        <f>'[2]MJK 1'!D58</f>
        <v>5286.94</v>
      </c>
      <c r="G58" s="27">
        <f>[2]BJR!D58</f>
        <v>1832.8</v>
      </c>
      <c r="H58" s="27">
        <f t="shared" si="0"/>
        <v>15006.759999999998</v>
      </c>
    </row>
    <row r="59" spans="1:8" ht="24" customHeight="1">
      <c r="A59" s="30" t="s">
        <v>52</v>
      </c>
      <c r="B59" s="31" t="s">
        <v>117</v>
      </c>
      <c r="C59" s="26" t="s">
        <v>118</v>
      </c>
      <c r="D59" s="27">
        <f>+[2]CLN!D59</f>
        <v>0</v>
      </c>
      <c r="E59" s="27">
        <f>+'[2]MJK 2'!D59</f>
        <v>0</v>
      </c>
      <c r="F59" s="27">
        <f>'[2]MJK 1'!D59</f>
        <v>0</v>
      </c>
      <c r="G59" s="27">
        <f>[2]BJR!D59</f>
        <v>0</v>
      </c>
      <c r="H59" s="27">
        <f t="shared" si="0"/>
        <v>0</v>
      </c>
    </row>
    <row r="60" spans="1:8" ht="17.45" customHeight="1">
      <c r="A60" s="30" t="s">
        <v>52</v>
      </c>
      <c r="B60" s="31" t="s">
        <v>119</v>
      </c>
      <c r="C60" s="26" t="s">
        <v>120</v>
      </c>
      <c r="D60" s="27">
        <f>+[2]CLN!D60</f>
        <v>1075.6500000000001</v>
      </c>
      <c r="E60" s="27">
        <f>+'[2]MJK 2'!D60</f>
        <v>7053.86</v>
      </c>
      <c r="F60" s="27">
        <f>'[2]MJK 1'!D60</f>
        <v>6808.96</v>
      </c>
      <c r="G60" s="27">
        <f>[2]BJR!D60</f>
        <v>2776.86</v>
      </c>
      <c r="H60" s="27">
        <f t="shared" si="0"/>
        <v>17715.330000000002</v>
      </c>
    </row>
    <row r="61" spans="1:8" ht="17.45" customHeight="1">
      <c r="A61" s="30" t="s">
        <v>29</v>
      </c>
      <c r="B61" s="31" t="s">
        <v>121</v>
      </c>
      <c r="C61" s="37" t="s">
        <v>110</v>
      </c>
      <c r="D61" s="27">
        <f>+[2]CLN!D61</f>
        <v>48284.4</v>
      </c>
      <c r="E61" s="27">
        <f>+'[2]MJK 2'!D61</f>
        <v>135670.75</v>
      </c>
      <c r="F61" s="27">
        <f>'[2]MJK 1'!D61</f>
        <v>165769.00999999998</v>
      </c>
      <c r="G61" s="27">
        <f>[2]BJR!D61</f>
        <v>57419.960000000006</v>
      </c>
      <c r="H61" s="27">
        <f t="shared" si="0"/>
        <v>407144.12</v>
      </c>
    </row>
    <row r="62" spans="1:8" ht="17.45" customHeight="1">
      <c r="A62" s="30" t="s">
        <v>29</v>
      </c>
      <c r="B62" s="31" t="s">
        <v>122</v>
      </c>
      <c r="C62" s="26" t="s">
        <v>123</v>
      </c>
      <c r="D62" s="27">
        <f>+[2]CLN!D62</f>
        <v>271.61</v>
      </c>
      <c r="E62" s="27">
        <f>+'[2]MJK 2'!D62</f>
        <v>4747.07</v>
      </c>
      <c r="F62" s="27">
        <f>'[2]MJK 1'!D62</f>
        <v>4347.2</v>
      </c>
      <c r="G62" s="27">
        <f>[2]BJR!D62</f>
        <v>3.01</v>
      </c>
      <c r="H62" s="27">
        <f t="shared" si="0"/>
        <v>9368.89</v>
      </c>
    </row>
    <row r="63" spans="1:8" ht="17.45" customHeight="1">
      <c r="A63" s="30" t="s">
        <v>29</v>
      </c>
      <c r="B63" s="31" t="s">
        <v>124</v>
      </c>
      <c r="C63" s="26" t="s">
        <v>125</v>
      </c>
      <c r="D63" s="27">
        <f>+[2]CLN!D63</f>
        <v>467.43</v>
      </c>
      <c r="E63" s="27">
        <f>+'[2]MJK 2'!D63</f>
        <v>505.51</v>
      </c>
      <c r="F63" s="27">
        <f>'[2]MJK 1'!D63</f>
        <v>10424.74</v>
      </c>
      <c r="G63" s="27">
        <f>[2]BJR!D63</f>
        <v>494.44</v>
      </c>
      <c r="H63" s="27">
        <f t="shared" si="0"/>
        <v>11892.12</v>
      </c>
    </row>
    <row r="64" spans="1:8" ht="17.45" customHeight="1">
      <c r="A64" s="30" t="s">
        <v>29</v>
      </c>
      <c r="B64" s="31" t="s">
        <v>126</v>
      </c>
      <c r="C64" s="26" t="s">
        <v>127</v>
      </c>
      <c r="D64" s="27">
        <f>+[2]CLN!D64</f>
        <v>0</v>
      </c>
      <c r="E64" s="27">
        <f>+'[2]MJK 2'!D64</f>
        <v>0</v>
      </c>
      <c r="F64" s="27">
        <f>'[2]MJK 1'!D64</f>
        <v>1881.77</v>
      </c>
      <c r="G64" s="27">
        <f>[2]BJR!D64</f>
        <v>-1881.77</v>
      </c>
      <c r="H64" s="27">
        <f t="shared" si="0"/>
        <v>0</v>
      </c>
    </row>
    <row r="65" spans="1:8" ht="17.45" customHeight="1">
      <c r="A65" s="30" t="s">
        <v>29</v>
      </c>
      <c r="B65" s="31" t="s">
        <v>128</v>
      </c>
      <c r="C65" s="26" t="s">
        <v>129</v>
      </c>
      <c r="D65" s="27">
        <f>+[2]CLN!D65</f>
        <v>166.87</v>
      </c>
      <c r="E65" s="27">
        <f>+'[2]MJK 2'!D65</f>
        <v>0</v>
      </c>
      <c r="F65" s="27">
        <f>'[2]MJK 1'!D65</f>
        <v>0</v>
      </c>
      <c r="G65" s="27">
        <f>[2]BJR!D65</f>
        <v>25.06</v>
      </c>
      <c r="H65" s="27">
        <f t="shared" si="0"/>
        <v>191.93</v>
      </c>
    </row>
    <row r="66" spans="1:8" ht="17.45" customHeight="1">
      <c r="A66" s="30"/>
      <c r="B66" s="31"/>
      <c r="C66" s="29" t="s">
        <v>130</v>
      </c>
      <c r="D66" s="27"/>
      <c r="E66" s="27"/>
      <c r="F66" s="27"/>
      <c r="G66" s="27"/>
      <c r="H66" s="27"/>
    </row>
    <row r="67" spans="1:8" ht="17.45" customHeight="1">
      <c r="A67" s="30" t="s">
        <v>52</v>
      </c>
      <c r="B67" s="31" t="s">
        <v>131</v>
      </c>
      <c r="C67" s="26" t="s">
        <v>132</v>
      </c>
      <c r="D67" s="27">
        <f>+[2]CLN!D67</f>
        <v>0</v>
      </c>
      <c r="E67" s="27">
        <f>+'[2]MJK 2'!D67</f>
        <v>0</v>
      </c>
      <c r="F67" s="27">
        <f>'[2]MJK 1'!D67</f>
        <v>0</v>
      </c>
      <c r="G67" s="27">
        <f>[2]BJR!D67</f>
        <v>0</v>
      </c>
      <c r="H67" s="27">
        <f t="shared" si="0"/>
        <v>0</v>
      </c>
    </row>
    <row r="68" spans="1:8" ht="17.45" customHeight="1">
      <c r="A68" s="30" t="s">
        <v>52</v>
      </c>
      <c r="B68" s="31" t="s">
        <v>133</v>
      </c>
      <c r="C68" s="26" t="s">
        <v>134</v>
      </c>
      <c r="D68" s="27">
        <f>+[2]CLN!D68</f>
        <v>0</v>
      </c>
      <c r="E68" s="27">
        <f>+'[2]MJK 2'!D68</f>
        <v>307.2</v>
      </c>
      <c r="F68" s="27">
        <f>'[2]MJK 1'!D68</f>
        <v>307.2</v>
      </c>
      <c r="G68" s="27">
        <f>[2]BJR!D68</f>
        <v>224.5</v>
      </c>
      <c r="H68" s="27">
        <f t="shared" si="0"/>
        <v>838.9</v>
      </c>
    </row>
    <row r="69" spans="1:8" ht="17.45" customHeight="1">
      <c r="A69" s="30"/>
      <c r="B69" s="31"/>
      <c r="C69" s="26" t="s">
        <v>135</v>
      </c>
      <c r="D69" s="27">
        <f>+[2]CLN!D69</f>
        <v>2637.58</v>
      </c>
      <c r="E69" s="27">
        <f>+'[2]MJK 2'!D69</f>
        <v>3379.93</v>
      </c>
      <c r="F69" s="27">
        <f>'[2]MJK 1'!D69</f>
        <v>673.42</v>
      </c>
      <c r="G69" s="27">
        <f>[2]BJR!D69</f>
        <v>737.56</v>
      </c>
      <c r="H69" s="27">
        <f t="shared" si="0"/>
        <v>7428.49</v>
      </c>
    </row>
    <row r="70" spans="1:8" ht="17.45" customHeight="1">
      <c r="A70" s="30" t="s">
        <v>29</v>
      </c>
      <c r="B70" s="31" t="s">
        <v>136</v>
      </c>
      <c r="C70" s="37" t="s">
        <v>130</v>
      </c>
      <c r="D70" s="27">
        <f>+[2]CLN!D70</f>
        <v>2637.58</v>
      </c>
      <c r="E70" s="27">
        <f>+'[2]MJK 2'!D70</f>
        <v>3687.1299999999997</v>
      </c>
      <c r="F70" s="27">
        <f>'[2]MJK 1'!D70</f>
        <v>980.61999999999989</v>
      </c>
      <c r="G70" s="27">
        <f>[2]BJR!D70</f>
        <v>962.06</v>
      </c>
      <c r="H70" s="27">
        <f t="shared" si="0"/>
        <v>8267.39</v>
      </c>
    </row>
    <row r="71" spans="1:8" ht="17.45" customHeight="1">
      <c r="A71" s="30" t="s">
        <v>29</v>
      </c>
      <c r="B71" s="31" t="s">
        <v>137</v>
      </c>
      <c r="C71" s="26" t="s">
        <v>138</v>
      </c>
      <c r="D71" s="27">
        <f>+[2]CLN!D71</f>
        <v>152001.26</v>
      </c>
      <c r="E71" s="27">
        <f>+'[2]MJK 2'!D71</f>
        <v>43806.35</v>
      </c>
      <c r="F71" s="27">
        <f>'[2]MJK 1'!D71</f>
        <v>27630.38</v>
      </c>
      <c r="G71" s="27">
        <f>[2]BJR!D71</f>
        <v>0</v>
      </c>
      <c r="H71" s="27">
        <f t="shared" si="0"/>
        <v>223437.99000000002</v>
      </c>
    </row>
    <row r="72" spans="1:8" ht="17.45" customHeight="1">
      <c r="A72" s="30"/>
      <c r="B72" s="31"/>
      <c r="C72" s="29" t="s">
        <v>139</v>
      </c>
      <c r="D72" s="27"/>
      <c r="E72" s="27"/>
      <c r="F72" s="27"/>
      <c r="G72" s="27"/>
      <c r="H72" s="27"/>
    </row>
    <row r="73" spans="1:8" ht="17.45" customHeight="1">
      <c r="A73" s="30" t="s">
        <v>52</v>
      </c>
      <c r="B73" s="31" t="s">
        <v>140</v>
      </c>
      <c r="C73" s="26" t="s">
        <v>141</v>
      </c>
      <c r="D73" s="27">
        <f>+[2]CLN!D73</f>
        <v>2198.4299999999998</v>
      </c>
      <c r="E73" s="27">
        <f>+'[2]MJK 2'!D73</f>
        <v>291.62</v>
      </c>
      <c r="F73" s="27">
        <f>'[2]MJK 1'!D73</f>
        <v>676.49</v>
      </c>
      <c r="G73" s="27">
        <f>[2]BJR!D73</f>
        <v>29.05</v>
      </c>
      <c r="H73" s="27">
        <f t="shared" ref="H73:H136" si="1">SUM(D73:G73)</f>
        <v>3195.59</v>
      </c>
    </row>
    <row r="74" spans="1:8" ht="17.45" customHeight="1">
      <c r="A74" s="30" t="s">
        <v>52</v>
      </c>
      <c r="B74" s="31" t="s">
        <v>142</v>
      </c>
      <c r="C74" s="26" t="s">
        <v>143</v>
      </c>
      <c r="D74" s="27">
        <f>+[2]CLN!D74</f>
        <v>346.32</v>
      </c>
      <c r="E74" s="27">
        <f>+'[2]MJK 2'!D74</f>
        <v>0</v>
      </c>
      <c r="F74" s="27">
        <f>'[2]MJK 1'!D74</f>
        <v>0</v>
      </c>
      <c r="G74" s="27">
        <f>[2]BJR!D74</f>
        <v>0</v>
      </c>
      <c r="H74" s="27">
        <f t="shared" si="1"/>
        <v>346.32</v>
      </c>
    </row>
    <row r="75" spans="1:8" ht="17.45" customHeight="1">
      <c r="A75" s="30" t="s">
        <v>52</v>
      </c>
      <c r="B75" s="31" t="s">
        <v>144</v>
      </c>
      <c r="C75" s="26" t="s">
        <v>145</v>
      </c>
      <c r="D75" s="27">
        <f>+[2]CLN!D75</f>
        <v>897.9</v>
      </c>
      <c r="E75" s="27">
        <f>+'[2]MJK 2'!D75</f>
        <v>-24.64</v>
      </c>
      <c r="F75" s="27">
        <f>'[2]MJK 1'!D75</f>
        <v>244.02</v>
      </c>
      <c r="G75" s="27">
        <f>[2]BJR!D75</f>
        <v>0</v>
      </c>
      <c r="H75" s="27">
        <f t="shared" si="1"/>
        <v>1117.28</v>
      </c>
    </row>
    <row r="76" spans="1:8" ht="17.45" customHeight="1">
      <c r="A76" s="30" t="s">
        <v>52</v>
      </c>
      <c r="B76" s="31" t="s">
        <v>146</v>
      </c>
      <c r="C76" s="26" t="s">
        <v>147</v>
      </c>
      <c r="D76" s="27">
        <f>+[2]CLN!D76</f>
        <v>0</v>
      </c>
      <c r="E76" s="27">
        <f>+'[2]MJK 2'!D76</f>
        <v>0</v>
      </c>
      <c r="F76" s="27">
        <f>'[2]MJK 1'!D76</f>
        <v>0</v>
      </c>
      <c r="G76" s="27">
        <f>[2]BJR!D76</f>
        <v>0</v>
      </c>
      <c r="H76" s="27">
        <f t="shared" si="1"/>
        <v>0</v>
      </c>
    </row>
    <row r="77" spans="1:8" ht="17.45" customHeight="1">
      <c r="A77" s="30" t="s">
        <v>52</v>
      </c>
      <c r="B77" s="31" t="s">
        <v>148</v>
      </c>
      <c r="C77" s="26" t="s">
        <v>149</v>
      </c>
      <c r="D77" s="27">
        <f>+[2]CLN!D77</f>
        <v>0</v>
      </c>
      <c r="E77" s="27">
        <f>+'[2]MJK 2'!D77</f>
        <v>0</v>
      </c>
      <c r="F77" s="27">
        <f>'[2]MJK 1'!D77</f>
        <v>0</v>
      </c>
      <c r="G77" s="27">
        <f>[2]BJR!D77</f>
        <v>0</v>
      </c>
      <c r="H77" s="27">
        <f t="shared" si="1"/>
        <v>0</v>
      </c>
    </row>
    <row r="78" spans="1:8" ht="17.45" customHeight="1">
      <c r="A78" s="30"/>
      <c r="B78" s="31"/>
      <c r="C78" s="26" t="s">
        <v>150</v>
      </c>
      <c r="D78" s="27">
        <f>+[2]CLN!D78</f>
        <v>-0.26</v>
      </c>
      <c r="E78" s="27">
        <f>+'[2]MJK 2'!D78</f>
        <v>0</v>
      </c>
      <c r="F78" s="27">
        <f>'[2]MJK 1'!D78</f>
        <v>0</v>
      </c>
      <c r="G78" s="27">
        <f>[2]BJR!D78</f>
        <v>0</v>
      </c>
      <c r="H78" s="27">
        <f t="shared" si="1"/>
        <v>-0.26</v>
      </c>
    </row>
    <row r="79" spans="1:8" ht="17.45" customHeight="1">
      <c r="A79" s="30"/>
      <c r="B79" s="31"/>
      <c r="C79" s="26" t="s">
        <v>151</v>
      </c>
      <c r="D79" s="27">
        <f>+[2]CLN!D79</f>
        <v>0</v>
      </c>
      <c r="E79" s="27">
        <f>+'[2]MJK 2'!D79</f>
        <v>0</v>
      </c>
      <c r="F79" s="27">
        <f>'[2]MJK 1'!D79</f>
        <v>0</v>
      </c>
      <c r="G79" s="27">
        <f>[2]BJR!D79</f>
        <v>0</v>
      </c>
      <c r="H79" s="27">
        <f t="shared" si="1"/>
        <v>0</v>
      </c>
    </row>
    <row r="80" spans="1:8" ht="17.45" customHeight="1">
      <c r="A80" s="30" t="s">
        <v>29</v>
      </c>
      <c r="B80" s="31" t="s">
        <v>152</v>
      </c>
      <c r="C80" s="37" t="s">
        <v>139</v>
      </c>
      <c r="D80" s="27">
        <f>+[2]CLN!D80</f>
        <v>3442.39</v>
      </c>
      <c r="E80" s="27">
        <f>+'[2]MJK 2'!D80</f>
        <v>266.98</v>
      </c>
      <c r="F80" s="27">
        <f>'[2]MJK 1'!D80</f>
        <v>920.51</v>
      </c>
      <c r="G80" s="27">
        <f>[2]BJR!D80</f>
        <v>29.05</v>
      </c>
      <c r="H80" s="27">
        <f t="shared" si="1"/>
        <v>4658.93</v>
      </c>
    </row>
    <row r="81" spans="1:26" ht="17.45" customHeight="1">
      <c r="A81" s="30"/>
      <c r="B81" s="31"/>
      <c r="C81" s="29" t="s">
        <v>153</v>
      </c>
      <c r="D81" s="27"/>
      <c r="E81" s="27"/>
      <c r="F81" s="27"/>
      <c r="G81" s="27"/>
      <c r="H81" s="27"/>
    </row>
    <row r="82" spans="1:26" ht="17.45" customHeight="1">
      <c r="A82" s="30" t="s">
        <v>52</v>
      </c>
      <c r="B82" s="31"/>
      <c r="C82" s="26" t="s">
        <v>154</v>
      </c>
      <c r="D82" s="27">
        <f>+[2]CLN!D82</f>
        <v>0</v>
      </c>
      <c r="E82" s="27">
        <f>+'[2]MJK 2'!D82</f>
        <v>0</v>
      </c>
      <c r="F82" s="27">
        <f>'[2]MJK 1'!D82</f>
        <v>0</v>
      </c>
      <c r="G82" s="27">
        <f>[2]BJR!D82</f>
        <v>0</v>
      </c>
      <c r="H82" s="27">
        <f t="shared" si="1"/>
        <v>0</v>
      </c>
      <c r="I82" s="47">
        <v>0</v>
      </c>
      <c r="J82" s="47">
        <v>0</v>
      </c>
      <c r="K82" s="47">
        <v>0</v>
      </c>
      <c r="L82" s="47">
        <f>SUM(D82:K82)</f>
        <v>0</v>
      </c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>
        <f>SUM(N82:Y82)</f>
        <v>0</v>
      </c>
    </row>
    <row r="83" spans="1:26" ht="17.45" customHeight="1">
      <c r="A83" s="30" t="s">
        <v>52</v>
      </c>
      <c r="B83" s="31" t="s">
        <v>155</v>
      </c>
      <c r="C83" s="26" t="s">
        <v>156</v>
      </c>
      <c r="D83" s="27">
        <f>+[2]CLN!D83</f>
        <v>3253.47</v>
      </c>
      <c r="E83" s="27">
        <f>+'[2]MJK 2'!D83</f>
        <v>8709.69</v>
      </c>
      <c r="F83" s="27">
        <f>'[2]MJK 1'!D83</f>
        <v>83.95</v>
      </c>
      <c r="G83" s="27">
        <f>[2]BJR!D83</f>
        <v>0</v>
      </c>
      <c r="H83" s="27">
        <f t="shared" si="1"/>
        <v>12047.11</v>
      </c>
    </row>
    <row r="84" spans="1:26" ht="17.45" customHeight="1">
      <c r="A84" s="30" t="s">
        <v>52</v>
      </c>
      <c r="B84" s="31" t="s">
        <v>157</v>
      </c>
      <c r="C84" s="26" t="s">
        <v>158</v>
      </c>
      <c r="D84" s="27">
        <f>+[2]CLN!D84</f>
        <v>12865.32</v>
      </c>
      <c r="E84" s="27">
        <f>+'[2]MJK 2'!D84</f>
        <v>17583.189999999999</v>
      </c>
      <c r="F84" s="27">
        <f>'[2]MJK 1'!D84</f>
        <v>3679.39</v>
      </c>
      <c r="G84" s="27">
        <f>[2]BJR!D84</f>
        <v>1179.1400000000001</v>
      </c>
      <c r="H84" s="27">
        <f t="shared" si="1"/>
        <v>35307.040000000001</v>
      </c>
    </row>
    <row r="85" spans="1:26" ht="17.45" customHeight="1">
      <c r="A85" s="30" t="s">
        <v>52</v>
      </c>
      <c r="B85" s="31" t="s">
        <v>159</v>
      </c>
      <c r="C85" s="26" t="s">
        <v>160</v>
      </c>
      <c r="D85" s="27">
        <f>+[2]CLN!D85</f>
        <v>545.99</v>
      </c>
      <c r="E85" s="27">
        <f>+'[2]MJK 2'!D85</f>
        <v>3423.61</v>
      </c>
      <c r="F85" s="27">
        <f>'[2]MJK 1'!D85</f>
        <v>62.45</v>
      </c>
      <c r="G85" s="27">
        <f>[2]BJR!D85</f>
        <v>82.44</v>
      </c>
      <c r="H85" s="27">
        <f t="shared" si="1"/>
        <v>4114.49</v>
      </c>
    </row>
    <row r="86" spans="1:26" ht="17.45" customHeight="1">
      <c r="A86" s="30" t="s">
        <v>52</v>
      </c>
      <c r="B86" s="31" t="s">
        <v>161</v>
      </c>
      <c r="C86" s="26" t="s">
        <v>162</v>
      </c>
      <c r="D86" s="27">
        <f>+[2]CLN!D86</f>
        <v>0</v>
      </c>
      <c r="E86" s="27">
        <f>+'[2]MJK 2'!D86</f>
        <v>0</v>
      </c>
      <c r="F86" s="27">
        <f>'[2]MJK 1'!D86</f>
        <v>0</v>
      </c>
      <c r="G86" s="27">
        <f>[2]BJR!D86</f>
        <v>792.09</v>
      </c>
      <c r="H86" s="27">
        <f t="shared" si="1"/>
        <v>792.09</v>
      </c>
    </row>
    <row r="87" spans="1:26" ht="17.45" customHeight="1">
      <c r="A87" s="30" t="s">
        <v>52</v>
      </c>
      <c r="B87" s="31" t="s">
        <v>163</v>
      </c>
      <c r="C87" s="26" t="s">
        <v>164</v>
      </c>
      <c r="D87" s="27">
        <f>+[2]CLN!D87</f>
        <v>0</v>
      </c>
      <c r="E87" s="27">
        <f>+'[2]MJK 2'!D87</f>
        <v>0</v>
      </c>
      <c r="F87" s="27">
        <f>'[2]MJK 1'!D87</f>
        <v>0</v>
      </c>
      <c r="G87" s="27">
        <f>[2]BJR!D87</f>
        <v>258.5</v>
      </c>
      <c r="H87" s="27">
        <f t="shared" si="1"/>
        <v>258.5</v>
      </c>
    </row>
    <row r="88" spans="1:26" ht="17.45" customHeight="1">
      <c r="A88" s="30" t="s">
        <v>52</v>
      </c>
      <c r="B88" s="31" t="s">
        <v>165</v>
      </c>
      <c r="C88" s="26" t="s">
        <v>166</v>
      </c>
      <c r="D88" s="27">
        <f>+[2]CLN!D88</f>
        <v>752.29</v>
      </c>
      <c r="E88" s="27">
        <f>+'[2]MJK 2'!D88</f>
        <v>652.16999999999996</v>
      </c>
      <c r="F88" s="27">
        <f>'[2]MJK 1'!D88</f>
        <v>2598.83</v>
      </c>
      <c r="G88" s="27">
        <f>[2]BJR!D88</f>
        <v>477.07</v>
      </c>
      <c r="H88" s="27">
        <f t="shared" si="1"/>
        <v>4480.3599999999997</v>
      </c>
    </row>
    <row r="89" spans="1:26" ht="17.45" customHeight="1">
      <c r="A89" s="30" t="s">
        <v>29</v>
      </c>
      <c r="B89" s="31" t="s">
        <v>167</v>
      </c>
      <c r="C89" s="37" t="s">
        <v>153</v>
      </c>
      <c r="D89" s="27">
        <f>+[2]CLN!D89</f>
        <v>17417.07</v>
      </c>
      <c r="E89" s="27">
        <f>+'[2]MJK 2'!D89</f>
        <v>30368.659999999996</v>
      </c>
      <c r="F89" s="27">
        <f>'[2]MJK 1'!D89</f>
        <v>6424.619999999999</v>
      </c>
      <c r="G89" s="27">
        <f>[2]BJR!D89</f>
        <v>2789.2400000000002</v>
      </c>
      <c r="H89" s="27">
        <f t="shared" si="1"/>
        <v>56999.589999999989</v>
      </c>
    </row>
    <row r="90" spans="1:26" ht="17.45" customHeight="1">
      <c r="A90" s="30" t="s">
        <v>29</v>
      </c>
      <c r="B90" s="31" t="s">
        <v>168</v>
      </c>
      <c r="C90" s="26" t="s">
        <v>169</v>
      </c>
      <c r="D90" s="27">
        <f>+[2]CLN!D90</f>
        <v>1875.33</v>
      </c>
      <c r="E90" s="27">
        <f>+'[2]MJK 2'!D90</f>
        <v>1568.34</v>
      </c>
      <c r="F90" s="27">
        <f>'[2]MJK 1'!D90</f>
        <v>0</v>
      </c>
      <c r="G90" s="27">
        <f>[2]BJR!D90</f>
        <v>0</v>
      </c>
      <c r="H90" s="27">
        <f t="shared" si="1"/>
        <v>3443.67</v>
      </c>
    </row>
    <row r="91" spans="1:26" ht="17.45" customHeight="1">
      <c r="A91" s="30" t="s">
        <v>29</v>
      </c>
      <c r="B91" s="31" t="s">
        <v>170</v>
      </c>
      <c r="C91" s="26" t="s">
        <v>171</v>
      </c>
      <c r="D91" s="27">
        <f>+[2]CLN!D91</f>
        <v>0</v>
      </c>
      <c r="E91" s="27">
        <f>+'[2]MJK 2'!D91</f>
        <v>0</v>
      </c>
      <c r="F91" s="27">
        <f>'[2]MJK 1'!D91</f>
        <v>0</v>
      </c>
      <c r="G91" s="27">
        <f>[2]BJR!D91</f>
        <v>4288.17</v>
      </c>
      <c r="H91" s="27">
        <f t="shared" si="1"/>
        <v>4288.17</v>
      </c>
    </row>
    <row r="92" spans="1:26" ht="17.45" customHeight="1">
      <c r="A92" s="30" t="s">
        <v>52</v>
      </c>
      <c r="B92" s="31" t="s">
        <v>172</v>
      </c>
      <c r="C92" s="26" t="s">
        <v>173</v>
      </c>
      <c r="D92" s="27">
        <f>+[2]CLN!D92</f>
        <v>28546.11</v>
      </c>
      <c r="E92" s="27">
        <f>+'[2]MJK 2'!D92</f>
        <v>4611.42</v>
      </c>
      <c r="F92" s="27">
        <f>'[2]MJK 1'!D92</f>
        <v>6705.69</v>
      </c>
      <c r="G92" s="27">
        <f>[2]BJR!D92</f>
        <v>2213.75</v>
      </c>
      <c r="H92" s="27">
        <f t="shared" si="1"/>
        <v>42076.97</v>
      </c>
    </row>
    <row r="93" spans="1:26" ht="17.45" customHeight="1">
      <c r="A93" s="30" t="s">
        <v>52</v>
      </c>
      <c r="B93" s="31" t="s">
        <v>174</v>
      </c>
      <c r="C93" s="26" t="s">
        <v>175</v>
      </c>
      <c r="D93" s="27">
        <f>+[2]CLN!D93</f>
        <v>496.66</v>
      </c>
      <c r="E93" s="27">
        <f>+'[2]MJK 2'!D93</f>
        <v>3702.3</v>
      </c>
      <c r="F93" s="27">
        <f>'[2]MJK 1'!D93</f>
        <v>2728.56</v>
      </c>
      <c r="G93" s="27">
        <f>[2]BJR!D93</f>
        <v>2812.8</v>
      </c>
      <c r="H93" s="27">
        <f t="shared" si="1"/>
        <v>9740.32</v>
      </c>
    </row>
    <row r="94" spans="1:26" ht="17.45" customHeight="1">
      <c r="A94" s="30" t="s">
        <v>52</v>
      </c>
      <c r="B94" s="31" t="s">
        <v>176</v>
      </c>
      <c r="C94" s="26" t="s">
        <v>177</v>
      </c>
      <c r="D94" s="27">
        <f>+[2]CLN!D94</f>
        <v>0</v>
      </c>
      <c r="E94" s="27">
        <f>+'[2]MJK 2'!D94</f>
        <v>0</v>
      </c>
      <c r="F94" s="27">
        <f>'[2]MJK 1'!D94</f>
        <v>0</v>
      </c>
      <c r="G94" s="27">
        <f>[2]BJR!D94</f>
        <v>0</v>
      </c>
      <c r="H94" s="27">
        <f t="shared" si="1"/>
        <v>0</v>
      </c>
    </row>
    <row r="95" spans="1:26" ht="17.45" customHeight="1">
      <c r="A95" s="30" t="s">
        <v>52</v>
      </c>
      <c r="B95" s="31" t="s">
        <v>178</v>
      </c>
      <c r="C95" s="26" t="s">
        <v>179</v>
      </c>
      <c r="D95" s="27">
        <f>+[2]CLN!D95</f>
        <v>0</v>
      </c>
      <c r="E95" s="27">
        <f>+'[2]MJK 2'!D95</f>
        <v>0</v>
      </c>
      <c r="F95" s="27">
        <f>'[2]MJK 1'!D95</f>
        <v>0</v>
      </c>
      <c r="G95" s="27">
        <f>[2]BJR!D95</f>
        <v>0</v>
      </c>
      <c r="H95" s="27">
        <f t="shared" si="1"/>
        <v>0</v>
      </c>
    </row>
    <row r="96" spans="1:26" ht="17.45" customHeight="1">
      <c r="A96" s="30" t="s">
        <v>52</v>
      </c>
      <c r="B96" s="31" t="s">
        <v>180</v>
      </c>
      <c r="C96" s="26" t="s">
        <v>181</v>
      </c>
      <c r="D96" s="27">
        <f>+[2]CLN!D96</f>
        <v>0</v>
      </c>
      <c r="E96" s="27">
        <f>+'[2]MJK 2'!D96</f>
        <v>8759.68</v>
      </c>
      <c r="F96" s="27">
        <f>'[2]MJK 1'!D96</f>
        <v>9805.9</v>
      </c>
      <c r="G96" s="27">
        <f>[2]BJR!D96</f>
        <v>6160.51</v>
      </c>
      <c r="H96" s="27">
        <f t="shared" si="1"/>
        <v>24726.090000000004</v>
      </c>
    </row>
    <row r="97" spans="1:26" ht="17.45" customHeight="1">
      <c r="A97" s="30" t="s">
        <v>52</v>
      </c>
      <c r="B97" s="31" t="s">
        <v>182</v>
      </c>
      <c r="C97" s="26" t="s">
        <v>183</v>
      </c>
      <c r="D97" s="27">
        <f>+[2]CLN!D97</f>
        <v>90.41</v>
      </c>
      <c r="E97" s="27">
        <f>+'[2]MJK 2'!D97</f>
        <v>0</v>
      </c>
      <c r="F97" s="27">
        <f>'[2]MJK 1'!D97</f>
        <v>0</v>
      </c>
      <c r="G97" s="27">
        <f>[2]BJR!D97</f>
        <v>0</v>
      </c>
      <c r="H97" s="27">
        <f t="shared" si="1"/>
        <v>90.41</v>
      </c>
    </row>
    <row r="98" spans="1:26" ht="17.45" customHeight="1">
      <c r="A98" s="30" t="s">
        <v>52</v>
      </c>
      <c r="B98" s="31" t="s">
        <v>184</v>
      </c>
      <c r="C98" s="26" t="s">
        <v>185</v>
      </c>
      <c r="D98" s="27">
        <f>+[2]CLN!D98</f>
        <v>0</v>
      </c>
      <c r="E98" s="27">
        <f>+'[2]MJK 2'!D98</f>
        <v>0</v>
      </c>
      <c r="F98" s="27">
        <f>'[2]MJK 1'!D98</f>
        <v>0</v>
      </c>
      <c r="G98" s="27">
        <f>[2]BJR!D98</f>
        <v>0</v>
      </c>
      <c r="H98" s="27">
        <f t="shared" si="1"/>
        <v>0</v>
      </c>
    </row>
    <row r="99" spans="1:26" ht="17.45" customHeight="1">
      <c r="A99" s="30" t="s">
        <v>52</v>
      </c>
      <c r="B99" s="31" t="s">
        <v>186</v>
      </c>
      <c r="C99" s="26" t="s">
        <v>187</v>
      </c>
      <c r="D99" s="27">
        <f>+[2]CLN!D99</f>
        <v>0</v>
      </c>
      <c r="E99" s="27">
        <f>+'[2]MJK 2'!D99</f>
        <v>0</v>
      </c>
      <c r="F99" s="27">
        <f>'[2]MJK 1'!D99</f>
        <v>0</v>
      </c>
      <c r="G99" s="27">
        <f>[2]BJR!D99</f>
        <v>0</v>
      </c>
      <c r="H99" s="27">
        <f t="shared" si="1"/>
        <v>0</v>
      </c>
    </row>
    <row r="100" spans="1:26" ht="17.45" customHeight="1">
      <c r="A100" s="30" t="s">
        <v>52</v>
      </c>
      <c r="B100" s="36">
        <v>631180</v>
      </c>
      <c r="C100" s="26" t="s">
        <v>188</v>
      </c>
      <c r="D100" s="27">
        <f>+[2]CLN!D100</f>
        <v>905.01</v>
      </c>
      <c r="E100" s="27">
        <f>+'[2]MJK 2'!D100</f>
        <v>1589.21</v>
      </c>
      <c r="F100" s="27">
        <f>'[2]MJK 1'!D100</f>
        <v>1387.03</v>
      </c>
      <c r="G100" s="27">
        <f>[2]BJR!D100</f>
        <v>831.77</v>
      </c>
      <c r="H100" s="27">
        <f t="shared" si="1"/>
        <v>4713.0200000000004</v>
      </c>
    </row>
    <row r="101" spans="1:26" ht="17.45" customHeight="1">
      <c r="A101" s="30" t="s">
        <v>29</v>
      </c>
      <c r="B101" s="31" t="s">
        <v>172</v>
      </c>
      <c r="C101" s="26" t="s">
        <v>173</v>
      </c>
      <c r="D101" s="27">
        <f>+[2]CLN!D101</f>
        <v>30038.19</v>
      </c>
      <c r="E101" s="27">
        <f>+'[2]MJK 2'!D101</f>
        <v>18662.61</v>
      </c>
      <c r="F101" s="27">
        <f>'[2]MJK 1'!D101</f>
        <v>20627.18</v>
      </c>
      <c r="G101" s="27">
        <f>[2]BJR!D101</f>
        <v>12018.830000000002</v>
      </c>
      <c r="H101" s="27">
        <f t="shared" si="1"/>
        <v>81346.810000000012</v>
      </c>
    </row>
    <row r="102" spans="1:26" ht="17.45" customHeight="1">
      <c r="A102" s="30"/>
      <c r="B102" s="31"/>
      <c r="C102" s="29" t="s">
        <v>189</v>
      </c>
      <c r="D102" s="27"/>
      <c r="E102" s="27"/>
      <c r="F102" s="27"/>
      <c r="G102" s="27"/>
      <c r="H102" s="27"/>
    </row>
    <row r="103" spans="1:26" ht="17.45" customHeight="1">
      <c r="A103" s="30" t="s">
        <v>52</v>
      </c>
      <c r="B103" s="31" t="s">
        <v>190</v>
      </c>
      <c r="C103" s="26" t="s">
        <v>191</v>
      </c>
      <c r="D103" s="27">
        <f>+[2]CLN!D103</f>
        <v>0</v>
      </c>
      <c r="E103" s="27">
        <f>+'[2]MJK 2'!D103</f>
        <v>0</v>
      </c>
      <c r="F103" s="27">
        <f>'[2]MJK 1'!D103</f>
        <v>0</v>
      </c>
      <c r="G103" s="27">
        <f>[2]BJR!D103</f>
        <v>0</v>
      </c>
      <c r="H103" s="27">
        <f t="shared" si="1"/>
        <v>0</v>
      </c>
    </row>
    <row r="104" spans="1:26" ht="17.45" customHeight="1">
      <c r="A104" s="30" t="s">
        <v>52</v>
      </c>
      <c r="B104" s="31" t="s">
        <v>192</v>
      </c>
      <c r="C104" s="26" t="s">
        <v>193</v>
      </c>
      <c r="D104" s="27">
        <f>+[2]CLN!D104</f>
        <v>-48284.4</v>
      </c>
      <c r="E104" s="27">
        <f>+'[2]MJK 2'!D104</f>
        <v>-135670.75</v>
      </c>
      <c r="F104" s="27">
        <f>'[2]MJK 1'!D104</f>
        <v>-165769.01</v>
      </c>
      <c r="G104" s="27">
        <f>[2]BJR!D104</f>
        <v>-57419.96</v>
      </c>
      <c r="H104" s="27">
        <f t="shared" si="1"/>
        <v>-407144.12000000005</v>
      </c>
    </row>
    <row r="105" spans="1:26" ht="17.45" customHeight="1">
      <c r="A105" s="30" t="s">
        <v>52</v>
      </c>
      <c r="B105" s="31" t="s">
        <v>194</v>
      </c>
      <c r="C105" s="26" t="s">
        <v>195</v>
      </c>
      <c r="D105" s="27">
        <f>+[2]CLN!D105</f>
        <v>-208317.73</v>
      </c>
      <c r="E105" s="27">
        <f>+'[2]MJK 2'!D105</f>
        <v>-103612.65</v>
      </c>
      <c r="F105" s="27">
        <f>'[2]MJK 1'!D105</f>
        <v>-73237.02</v>
      </c>
      <c r="G105" s="27">
        <f>[2]BJR!D105</f>
        <v>-18728.09</v>
      </c>
      <c r="H105" s="27">
        <f t="shared" si="1"/>
        <v>-403895.49000000005</v>
      </c>
    </row>
    <row r="106" spans="1:26" ht="17.45" customHeight="1">
      <c r="A106" s="30" t="s">
        <v>29</v>
      </c>
      <c r="B106" s="31" t="s">
        <v>196</v>
      </c>
      <c r="C106" s="37" t="s">
        <v>189</v>
      </c>
      <c r="D106" s="27">
        <f>+[2]CLN!D106</f>
        <v>-256602.13</v>
      </c>
      <c r="E106" s="27">
        <f>+'[2]MJK 2'!D106</f>
        <v>-239283.4</v>
      </c>
      <c r="F106" s="27">
        <f>'[2]MJK 1'!D106</f>
        <v>-239006.03000000003</v>
      </c>
      <c r="G106" s="27">
        <f>[2]BJR!D106</f>
        <v>-76148.05</v>
      </c>
      <c r="H106" s="27">
        <f t="shared" si="1"/>
        <v>-811039.6100000001</v>
      </c>
    </row>
    <row r="107" spans="1:26" ht="17.45" customHeight="1">
      <c r="A107" s="30"/>
      <c r="B107" s="31"/>
      <c r="C107" s="29" t="s">
        <v>197</v>
      </c>
      <c r="D107" s="27"/>
      <c r="E107" s="27"/>
      <c r="F107" s="27"/>
      <c r="G107" s="27"/>
      <c r="H107" s="27"/>
      <c r="I107" s="47"/>
      <c r="J107" s="47"/>
      <c r="K107" s="47"/>
      <c r="L107" s="47">
        <f>SUM(D107:K107)</f>
        <v>0</v>
      </c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>
        <f>SUM(N107:Y107)</f>
        <v>0</v>
      </c>
    </row>
    <row r="108" spans="1:26" ht="17.45" customHeight="1">
      <c r="A108" s="30" t="s">
        <v>52</v>
      </c>
      <c r="B108" s="31"/>
      <c r="C108" s="26" t="s">
        <v>198</v>
      </c>
      <c r="D108" s="27">
        <f>+[2]CLN!D108</f>
        <v>0</v>
      </c>
      <c r="E108" s="27">
        <f>+'[2]MJK 2'!D108</f>
        <v>0</v>
      </c>
      <c r="F108" s="27">
        <f>'[2]MJK 1'!D108</f>
        <v>0</v>
      </c>
      <c r="G108" s="27">
        <f>[2]BJR!D108</f>
        <v>0</v>
      </c>
      <c r="H108" s="27">
        <f t="shared" si="1"/>
        <v>0</v>
      </c>
      <c r="I108" s="47"/>
      <c r="J108" s="47"/>
      <c r="K108" s="47"/>
      <c r="L108" s="47">
        <f>SUM(D108:K108)</f>
        <v>0</v>
      </c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>
        <f>SUM(N108:Y108)</f>
        <v>0</v>
      </c>
    </row>
    <row r="109" spans="1:26" ht="17.45" customHeight="1">
      <c r="A109" s="30" t="s">
        <v>52</v>
      </c>
      <c r="B109" s="31"/>
      <c r="C109" s="26" t="s">
        <v>199</v>
      </c>
      <c r="D109" s="27">
        <f>+[2]CLN!D109</f>
        <v>0</v>
      </c>
      <c r="E109" s="27">
        <f>+'[2]MJK 2'!D109</f>
        <v>0</v>
      </c>
      <c r="F109" s="27">
        <f>'[2]MJK 1'!D109</f>
        <v>0</v>
      </c>
      <c r="G109" s="27">
        <f>[2]BJR!D109</f>
        <v>0</v>
      </c>
      <c r="H109" s="27">
        <f t="shared" si="1"/>
        <v>0</v>
      </c>
      <c r="I109" s="47"/>
      <c r="J109" s="47"/>
      <c r="K109" s="47"/>
      <c r="L109" s="47">
        <f>SUM(D109:K109)</f>
        <v>0</v>
      </c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>
        <f>SUM(N109:Y109)</f>
        <v>0</v>
      </c>
    </row>
    <row r="110" spans="1:26" ht="17.45" customHeight="1">
      <c r="A110" s="30" t="s">
        <v>52</v>
      </c>
      <c r="B110" s="31"/>
      <c r="C110" s="26" t="s">
        <v>200</v>
      </c>
      <c r="D110" s="27">
        <f>+[2]CLN!D110</f>
        <v>0</v>
      </c>
      <c r="E110" s="27">
        <f>+'[2]MJK 2'!D110</f>
        <v>0</v>
      </c>
      <c r="F110" s="27">
        <f>'[2]MJK 1'!D110</f>
        <v>0</v>
      </c>
      <c r="G110" s="27">
        <f>[2]BJR!D110</f>
        <v>0</v>
      </c>
      <c r="H110" s="27">
        <f t="shared" si="1"/>
        <v>0</v>
      </c>
      <c r="I110" s="47"/>
      <c r="J110" s="47"/>
      <c r="K110" s="47"/>
      <c r="L110" s="47">
        <f>SUM(D110:K110)</f>
        <v>0</v>
      </c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>
        <f>SUM(N110:Y110)</f>
        <v>0</v>
      </c>
    </row>
    <row r="111" spans="1:26" ht="17.45" customHeight="1">
      <c r="A111" s="30" t="s">
        <v>43</v>
      </c>
      <c r="B111" s="31" t="s">
        <v>201</v>
      </c>
      <c r="C111" s="37" t="s">
        <v>109</v>
      </c>
      <c r="D111" s="27">
        <f>+[2]CLN!D111</f>
        <v>0</v>
      </c>
      <c r="E111" s="27">
        <f>+'[2]MJK 2'!D111</f>
        <v>5.8207660913467407E-11</v>
      </c>
      <c r="F111" s="27">
        <f>'[2]MJK 1'!D111</f>
        <v>-5.8207660913467407E-11</v>
      </c>
      <c r="G111" s="27">
        <f>[2]BJR!D111</f>
        <v>7.2759576141834259E-12</v>
      </c>
      <c r="H111" s="27">
        <f t="shared" si="1"/>
        <v>7.2759576141834259E-12</v>
      </c>
    </row>
    <row r="112" spans="1:26" ht="17.45" customHeight="1">
      <c r="A112" s="30" t="s">
        <v>45</v>
      </c>
      <c r="B112" s="31" t="s">
        <v>202</v>
      </c>
      <c r="C112" s="37" t="s">
        <v>203</v>
      </c>
      <c r="D112" s="27">
        <f>+[2]CLN!D112</f>
        <v>1321758.24</v>
      </c>
      <c r="E112" s="27">
        <f>+'[2]MJK 2'!D112</f>
        <v>239283.4</v>
      </c>
      <c r="F112" s="27">
        <f>'[2]MJK 1'!D112</f>
        <v>239006.03</v>
      </c>
      <c r="G112" s="27">
        <f>[2]BJR!D112</f>
        <v>76148.05</v>
      </c>
      <c r="H112" s="27">
        <f t="shared" si="1"/>
        <v>1876195.72</v>
      </c>
    </row>
    <row r="113" spans="1:8" ht="17.45" customHeight="1">
      <c r="A113" s="30"/>
      <c r="B113" s="31"/>
      <c r="C113" s="28" t="s">
        <v>204</v>
      </c>
      <c r="D113" s="27"/>
      <c r="E113" s="27"/>
      <c r="F113" s="27"/>
      <c r="G113" s="27"/>
      <c r="H113" s="27"/>
    </row>
    <row r="114" spans="1:8" ht="17.45" customHeight="1">
      <c r="A114" s="30"/>
      <c r="B114" s="31"/>
      <c r="C114" s="29" t="s">
        <v>205</v>
      </c>
      <c r="D114" s="27"/>
      <c r="E114" s="27"/>
      <c r="F114" s="27"/>
      <c r="G114" s="27"/>
      <c r="H114" s="27"/>
    </row>
    <row r="115" spans="1:8" ht="17.45" customHeight="1">
      <c r="A115" s="30" t="s">
        <v>29</v>
      </c>
      <c r="B115" s="31" t="s">
        <v>206</v>
      </c>
      <c r="C115" s="26" t="s">
        <v>207</v>
      </c>
      <c r="D115" s="27">
        <f>+[2]CLN!D115</f>
        <v>0</v>
      </c>
      <c r="E115" s="27">
        <f>+'[2]MJK 2'!D115</f>
        <v>0</v>
      </c>
      <c r="F115" s="27">
        <f>'[2]MJK 1'!D115</f>
        <v>0</v>
      </c>
      <c r="G115" s="27">
        <f>[2]BJR!D115</f>
        <v>0</v>
      </c>
      <c r="H115" s="27">
        <f t="shared" si="1"/>
        <v>0</v>
      </c>
    </row>
    <row r="116" spans="1:8" ht="17.45" customHeight="1">
      <c r="A116" s="30" t="s">
        <v>29</v>
      </c>
      <c r="B116" s="31" t="s">
        <v>208</v>
      </c>
      <c r="C116" s="26" t="s">
        <v>209</v>
      </c>
      <c r="D116" s="27">
        <f>+[2]CLN!D116</f>
        <v>357.41</v>
      </c>
      <c r="E116" s="27">
        <f>+'[2]MJK 2'!D116</f>
        <v>23.23</v>
      </c>
      <c r="F116" s="27">
        <f>'[2]MJK 1'!D116</f>
        <v>64.59</v>
      </c>
      <c r="G116" s="27">
        <f>[2]BJR!D116</f>
        <v>0</v>
      </c>
      <c r="H116" s="27">
        <f t="shared" si="1"/>
        <v>445.23</v>
      </c>
    </row>
    <row r="117" spans="1:8" ht="17.45" customHeight="1">
      <c r="A117" s="30" t="s">
        <v>43</v>
      </c>
      <c r="B117" s="31" t="s">
        <v>210</v>
      </c>
      <c r="C117" s="37" t="s">
        <v>205</v>
      </c>
      <c r="D117" s="27">
        <f>+[2]CLN!D117</f>
        <v>357.41</v>
      </c>
      <c r="E117" s="27">
        <f>+'[2]MJK 2'!D117</f>
        <v>23.23</v>
      </c>
      <c r="F117" s="27">
        <f>'[2]MJK 1'!D117</f>
        <v>64.59</v>
      </c>
      <c r="G117" s="27">
        <f>[2]BJR!D117</f>
        <v>0</v>
      </c>
      <c r="H117" s="27">
        <f t="shared" si="1"/>
        <v>445.23</v>
      </c>
    </row>
    <row r="118" spans="1:8" ht="17.45" customHeight="1">
      <c r="A118" s="30"/>
      <c r="B118" s="31"/>
      <c r="C118" s="29" t="s">
        <v>211</v>
      </c>
      <c r="D118" s="27">
        <f>+[2]CLN!D118</f>
        <v>0</v>
      </c>
      <c r="E118" s="27">
        <f>+'[2]MJK 2'!D118</f>
        <v>0</v>
      </c>
      <c r="F118" s="27">
        <f>'[2]MJK 1'!D118</f>
        <v>0</v>
      </c>
      <c r="G118" s="27">
        <f>[2]BJR!D118</f>
        <v>0</v>
      </c>
      <c r="H118" s="27">
        <f t="shared" si="1"/>
        <v>0</v>
      </c>
    </row>
    <row r="119" spans="1:8" ht="17.45" customHeight="1">
      <c r="A119" s="30" t="s">
        <v>29</v>
      </c>
      <c r="B119" s="31" t="s">
        <v>212</v>
      </c>
      <c r="C119" s="26" t="s">
        <v>213</v>
      </c>
      <c r="D119" s="27">
        <f>+[2]CLN!D119</f>
        <v>14020.84</v>
      </c>
      <c r="E119" s="27">
        <f>+'[2]MJK 2'!D119</f>
        <v>0</v>
      </c>
      <c r="F119" s="27">
        <f>'[2]MJK 1'!D119</f>
        <v>0</v>
      </c>
      <c r="G119" s="27">
        <f>[2]BJR!D119</f>
        <v>0</v>
      </c>
      <c r="H119" s="27">
        <f t="shared" si="1"/>
        <v>14020.84</v>
      </c>
    </row>
    <row r="120" spans="1:8" ht="17.45" customHeight="1">
      <c r="A120" s="30" t="s">
        <v>29</v>
      </c>
      <c r="B120" s="31" t="s">
        <v>214</v>
      </c>
      <c r="C120" s="26" t="s">
        <v>215</v>
      </c>
      <c r="D120" s="27">
        <f>+[2]CLN!D120</f>
        <v>0</v>
      </c>
      <c r="E120" s="27">
        <f>+'[2]MJK 2'!D120</f>
        <v>0</v>
      </c>
      <c r="F120" s="27">
        <f>'[2]MJK 1'!D120</f>
        <v>0</v>
      </c>
      <c r="G120" s="27">
        <f>[2]BJR!D120</f>
        <v>0</v>
      </c>
      <c r="H120" s="27">
        <f t="shared" si="1"/>
        <v>0</v>
      </c>
    </row>
    <row r="121" spans="1:8" ht="17.45" customHeight="1">
      <c r="A121" s="30"/>
      <c r="B121" s="31"/>
      <c r="C121" s="37" t="s">
        <v>216</v>
      </c>
      <c r="D121" s="27">
        <f>+[2]CLN!D121</f>
        <v>0</v>
      </c>
      <c r="E121" s="27">
        <f>+'[2]MJK 2'!D121</f>
        <v>0</v>
      </c>
      <c r="F121" s="27">
        <f>'[2]MJK 1'!D121</f>
        <v>0</v>
      </c>
      <c r="G121" s="27">
        <f>[2]BJR!D121</f>
        <v>0</v>
      </c>
      <c r="H121" s="27">
        <f t="shared" si="1"/>
        <v>0</v>
      </c>
    </row>
    <row r="122" spans="1:8" ht="17.45" customHeight="1">
      <c r="A122" s="30" t="s">
        <v>52</v>
      </c>
      <c r="B122" s="31" t="s">
        <v>217</v>
      </c>
      <c r="C122" s="26" t="s">
        <v>218</v>
      </c>
      <c r="D122" s="27">
        <f>+[2]CLN!D122</f>
        <v>1134.49</v>
      </c>
      <c r="E122" s="27">
        <f>+'[2]MJK 2'!D122</f>
        <v>0</v>
      </c>
      <c r="F122" s="27">
        <f>'[2]MJK 1'!D122</f>
        <v>0</v>
      </c>
      <c r="G122" s="27">
        <f>[2]BJR!D122</f>
        <v>0</v>
      </c>
      <c r="H122" s="27">
        <f t="shared" si="1"/>
        <v>1134.49</v>
      </c>
    </row>
    <row r="123" spans="1:8" ht="17.45" customHeight="1">
      <c r="A123" s="30" t="s">
        <v>52</v>
      </c>
      <c r="B123" s="31" t="s">
        <v>219</v>
      </c>
      <c r="C123" s="26" t="s">
        <v>220</v>
      </c>
      <c r="D123" s="27">
        <f>+[2]CLN!D123</f>
        <v>380.88</v>
      </c>
      <c r="E123" s="27">
        <f>+'[2]MJK 2'!D123</f>
        <v>0</v>
      </c>
      <c r="F123" s="27">
        <f>'[2]MJK 1'!D123</f>
        <v>0</v>
      </c>
      <c r="G123" s="27">
        <f>[2]BJR!D123</f>
        <v>0</v>
      </c>
      <c r="H123" s="27">
        <f t="shared" si="1"/>
        <v>380.88</v>
      </c>
    </row>
    <row r="124" spans="1:8" ht="17.45" customHeight="1">
      <c r="A124" s="30" t="s">
        <v>52</v>
      </c>
      <c r="B124" s="31" t="s">
        <v>221</v>
      </c>
      <c r="C124" s="26" t="s">
        <v>222</v>
      </c>
      <c r="D124" s="27">
        <f>+[2]CLN!D124</f>
        <v>467.31</v>
      </c>
      <c r="E124" s="27">
        <f>+'[2]MJK 2'!D124</f>
        <v>0</v>
      </c>
      <c r="F124" s="27">
        <f>'[2]MJK 1'!D124</f>
        <v>0</v>
      </c>
      <c r="G124" s="27">
        <f>[2]BJR!D124</f>
        <v>0</v>
      </c>
      <c r="H124" s="27">
        <f t="shared" si="1"/>
        <v>467.31</v>
      </c>
    </row>
    <row r="125" spans="1:8" ht="17.45" customHeight="1">
      <c r="A125" s="30" t="s">
        <v>52</v>
      </c>
      <c r="B125" s="31" t="s">
        <v>223</v>
      </c>
      <c r="C125" s="26" t="s">
        <v>224</v>
      </c>
      <c r="D125" s="27">
        <f>+[2]CLN!D125</f>
        <v>80</v>
      </c>
      <c r="E125" s="27">
        <f>+'[2]MJK 2'!D125</f>
        <v>0</v>
      </c>
      <c r="F125" s="27">
        <f>'[2]MJK 1'!D125</f>
        <v>0</v>
      </c>
      <c r="G125" s="27">
        <f>[2]BJR!D125</f>
        <v>0</v>
      </c>
      <c r="H125" s="27">
        <f t="shared" si="1"/>
        <v>80</v>
      </c>
    </row>
    <row r="126" spans="1:8" ht="17.45" customHeight="1">
      <c r="A126" s="30" t="s">
        <v>52</v>
      </c>
      <c r="B126" s="31" t="s">
        <v>225</v>
      </c>
      <c r="C126" s="26" t="s">
        <v>226</v>
      </c>
      <c r="D126" s="27">
        <f>+[2]CLN!D126</f>
        <v>399.4</v>
      </c>
      <c r="E126" s="27">
        <f>+'[2]MJK 2'!D126</f>
        <v>0</v>
      </c>
      <c r="F126" s="27">
        <f>'[2]MJK 1'!D126</f>
        <v>0</v>
      </c>
      <c r="G126" s="27">
        <f>[2]BJR!D126</f>
        <v>0</v>
      </c>
      <c r="H126" s="27">
        <f t="shared" si="1"/>
        <v>399.4</v>
      </c>
    </row>
    <row r="127" spans="1:8" ht="17.45" customHeight="1">
      <c r="A127" s="30" t="s">
        <v>52</v>
      </c>
      <c r="B127" s="31" t="s">
        <v>227</v>
      </c>
      <c r="C127" s="26" t="s">
        <v>228</v>
      </c>
      <c r="D127" s="27">
        <f>+[2]CLN!D127</f>
        <v>0</v>
      </c>
      <c r="E127" s="27">
        <f>+'[2]MJK 2'!D127</f>
        <v>0</v>
      </c>
      <c r="F127" s="27">
        <f>'[2]MJK 1'!D127</f>
        <v>0</v>
      </c>
      <c r="G127" s="27">
        <f>[2]BJR!D127</f>
        <v>0</v>
      </c>
      <c r="H127" s="27">
        <f t="shared" si="1"/>
        <v>0</v>
      </c>
    </row>
    <row r="128" spans="1:8" ht="17.45" customHeight="1">
      <c r="A128" s="30" t="s">
        <v>29</v>
      </c>
      <c r="B128" s="31" t="s">
        <v>229</v>
      </c>
      <c r="C128" s="37" t="s">
        <v>216</v>
      </c>
      <c r="D128" s="27">
        <f>+[2]CLN!D128</f>
        <v>2462.08</v>
      </c>
      <c r="E128" s="27">
        <f>+'[2]MJK 2'!D128</f>
        <v>0</v>
      </c>
      <c r="F128" s="27">
        <f>'[2]MJK 1'!D128</f>
        <v>0</v>
      </c>
      <c r="G128" s="27">
        <f>[2]BJR!D128</f>
        <v>0</v>
      </c>
      <c r="H128" s="27">
        <f t="shared" si="1"/>
        <v>2462.08</v>
      </c>
    </row>
    <row r="129" spans="1:8" ht="17.45" customHeight="1">
      <c r="A129" s="30" t="s">
        <v>29</v>
      </c>
      <c r="B129" s="31" t="s">
        <v>230</v>
      </c>
      <c r="C129" s="26" t="s">
        <v>231</v>
      </c>
      <c r="D129" s="27">
        <f>+[2]CLN!D129</f>
        <v>20761.509999999998</v>
      </c>
      <c r="E129" s="27">
        <f>+'[2]MJK 2'!D129</f>
        <v>96.2</v>
      </c>
      <c r="F129" s="27">
        <f>'[2]MJK 1'!D129</f>
        <v>10.9</v>
      </c>
      <c r="G129" s="27">
        <f>[2]BJR!D129</f>
        <v>0</v>
      </c>
      <c r="H129" s="27">
        <f t="shared" si="1"/>
        <v>20868.61</v>
      </c>
    </row>
    <row r="130" spans="1:8" ht="17.45" customHeight="1">
      <c r="A130" s="30" t="s">
        <v>29</v>
      </c>
      <c r="B130" s="31" t="s">
        <v>232</v>
      </c>
      <c r="C130" s="26" t="s">
        <v>233</v>
      </c>
      <c r="D130" s="27">
        <f>+[2]CLN!D130</f>
        <v>71003.789999999994</v>
      </c>
      <c r="E130" s="27">
        <f>+'[2]MJK 2'!D130</f>
        <v>0</v>
      </c>
      <c r="F130" s="27">
        <f>'[2]MJK 1'!D130</f>
        <v>0</v>
      </c>
      <c r="G130" s="27">
        <f>[2]BJR!D130</f>
        <v>0</v>
      </c>
      <c r="H130" s="27">
        <f t="shared" si="1"/>
        <v>71003.789999999994</v>
      </c>
    </row>
    <row r="131" spans="1:8" ht="24" customHeight="1">
      <c r="A131" s="30" t="s">
        <v>29</v>
      </c>
      <c r="B131" s="31" t="s">
        <v>234</v>
      </c>
      <c r="C131" s="26" t="s">
        <v>235</v>
      </c>
      <c r="D131" s="27">
        <f>+[2]CLN!D131</f>
        <v>0</v>
      </c>
      <c r="E131" s="27">
        <f>+'[2]MJK 2'!D131</f>
        <v>0</v>
      </c>
      <c r="F131" s="27">
        <f>'[2]MJK 1'!D131</f>
        <v>0</v>
      </c>
      <c r="G131" s="27">
        <f>[2]BJR!D131</f>
        <v>0</v>
      </c>
      <c r="H131" s="27">
        <f t="shared" si="1"/>
        <v>0</v>
      </c>
    </row>
    <row r="132" spans="1:8" ht="17.45" customHeight="1">
      <c r="A132" s="30" t="s">
        <v>43</v>
      </c>
      <c r="B132" s="31" t="s">
        <v>236</v>
      </c>
      <c r="C132" s="37" t="s">
        <v>211</v>
      </c>
      <c r="D132" s="27">
        <f>+[2]CLN!D132</f>
        <v>108248.21999999999</v>
      </c>
      <c r="E132" s="27">
        <f>+'[2]MJK 2'!D132</f>
        <v>96.2</v>
      </c>
      <c r="F132" s="27">
        <f>'[2]MJK 1'!D132</f>
        <v>10.9</v>
      </c>
      <c r="G132" s="27">
        <f>[2]BJR!D132</f>
        <v>0</v>
      </c>
      <c r="H132" s="27">
        <f t="shared" si="1"/>
        <v>108355.31999999998</v>
      </c>
    </row>
    <row r="133" spans="1:8" ht="17.45" customHeight="1">
      <c r="A133" s="30"/>
      <c r="B133" s="31"/>
      <c r="C133" s="37" t="s">
        <v>237</v>
      </c>
      <c r="D133" s="27"/>
      <c r="E133" s="27"/>
      <c r="F133" s="27"/>
      <c r="G133" s="27"/>
      <c r="H133" s="27"/>
    </row>
    <row r="134" spans="1:8" ht="17.45" customHeight="1">
      <c r="A134" s="30" t="s">
        <v>29</v>
      </c>
      <c r="B134" s="31" t="s">
        <v>238</v>
      </c>
      <c r="C134" s="26" t="s">
        <v>41</v>
      </c>
      <c r="D134" s="27">
        <f>+[2]CLN!D134</f>
        <v>0</v>
      </c>
      <c r="E134" s="27">
        <f>+'[2]MJK 2'!D134</f>
        <v>0</v>
      </c>
      <c r="F134" s="27">
        <f>'[2]MJK 1'!D134</f>
        <v>0</v>
      </c>
      <c r="G134" s="27">
        <f>[2]BJR!D134</f>
        <v>0</v>
      </c>
      <c r="H134" s="27">
        <f t="shared" si="1"/>
        <v>0</v>
      </c>
    </row>
    <row r="135" spans="1:8" ht="17.45" customHeight="1">
      <c r="A135" s="30" t="s">
        <v>29</v>
      </c>
      <c r="B135" s="31" t="s">
        <v>239</v>
      </c>
      <c r="C135" s="26" t="s">
        <v>240</v>
      </c>
      <c r="D135" s="27">
        <f>+[2]CLN!D135</f>
        <v>12053.08</v>
      </c>
      <c r="E135" s="27">
        <f>+'[2]MJK 2'!D135</f>
        <v>0</v>
      </c>
      <c r="F135" s="27">
        <f>'[2]MJK 1'!D135</f>
        <v>5.9</v>
      </c>
      <c r="G135" s="27">
        <f>[2]BJR!D135</f>
        <v>0</v>
      </c>
      <c r="H135" s="27">
        <f t="shared" si="1"/>
        <v>12058.98</v>
      </c>
    </row>
    <row r="136" spans="1:8" ht="17.45" customHeight="1">
      <c r="A136" s="30" t="s">
        <v>29</v>
      </c>
      <c r="B136" s="31" t="s">
        <v>241</v>
      </c>
      <c r="C136" s="26" t="s">
        <v>242</v>
      </c>
      <c r="D136" s="27">
        <f>+[2]CLN!D136</f>
        <v>3384.72</v>
      </c>
      <c r="E136" s="27">
        <f>+'[2]MJK 2'!D136</f>
        <v>-111.52</v>
      </c>
      <c r="F136" s="27">
        <f>'[2]MJK 1'!D136</f>
        <v>0</v>
      </c>
      <c r="G136" s="27">
        <f>[2]BJR!D136</f>
        <v>0</v>
      </c>
      <c r="H136" s="27">
        <f t="shared" si="1"/>
        <v>3273.2</v>
      </c>
    </row>
    <row r="137" spans="1:8" ht="17.45" customHeight="1">
      <c r="A137" s="30" t="s">
        <v>43</v>
      </c>
      <c r="B137" s="31" t="s">
        <v>243</v>
      </c>
      <c r="C137" s="37" t="s">
        <v>237</v>
      </c>
      <c r="D137" s="27">
        <f>+[2]CLN!D137</f>
        <v>15437.8</v>
      </c>
      <c r="E137" s="27">
        <f>+'[2]MJK 2'!D137</f>
        <v>-111.52</v>
      </c>
      <c r="F137" s="27">
        <f>'[2]MJK 1'!D137</f>
        <v>5.9</v>
      </c>
      <c r="G137" s="27">
        <f>[2]BJR!D137</f>
        <v>0</v>
      </c>
      <c r="H137" s="27">
        <f t="shared" ref="H137:H198" si="2">SUM(D137:G137)</f>
        <v>15332.179999999998</v>
      </c>
    </row>
    <row r="138" spans="1:8" ht="17.45" customHeight="1">
      <c r="A138" s="30" t="s">
        <v>45</v>
      </c>
      <c r="B138" s="31" t="s">
        <v>244</v>
      </c>
      <c r="C138" s="37" t="s">
        <v>204</v>
      </c>
      <c r="D138" s="27">
        <f>+[2]CLN!D138</f>
        <v>124043.43</v>
      </c>
      <c r="E138" s="27">
        <f>+'[2]MJK 2'!D138</f>
        <v>7.9100000000000072</v>
      </c>
      <c r="F138" s="27">
        <f>'[2]MJK 1'!D138</f>
        <v>81.39</v>
      </c>
      <c r="G138" s="27">
        <f>[2]BJR!D138</f>
        <v>0</v>
      </c>
      <c r="H138" s="27">
        <f t="shared" si="2"/>
        <v>124132.73</v>
      </c>
    </row>
    <row r="139" spans="1:8" ht="17.45" customHeight="1">
      <c r="A139" s="30"/>
      <c r="B139" s="31"/>
      <c r="C139" s="28" t="s">
        <v>245</v>
      </c>
      <c r="D139" s="27"/>
      <c r="E139" s="27"/>
      <c r="F139" s="27"/>
      <c r="G139" s="27"/>
      <c r="H139" s="27"/>
    </row>
    <row r="140" spans="1:8" ht="17.45" customHeight="1">
      <c r="A140" s="30"/>
      <c r="B140" s="31"/>
      <c r="C140" s="29" t="s">
        <v>246</v>
      </c>
      <c r="D140" s="27"/>
      <c r="E140" s="27"/>
      <c r="F140" s="27"/>
      <c r="G140" s="27"/>
      <c r="H140" s="27"/>
    </row>
    <row r="141" spans="1:8" ht="17.45" customHeight="1">
      <c r="A141" s="30" t="s">
        <v>29</v>
      </c>
      <c r="B141" s="31" t="s">
        <v>247</v>
      </c>
      <c r="C141" s="26" t="s">
        <v>248</v>
      </c>
      <c r="D141" s="27">
        <f>+[2]CLN!D141</f>
        <v>43558.74</v>
      </c>
      <c r="E141" s="27">
        <f>+'[2]MJK 2'!D141</f>
        <v>5728.64</v>
      </c>
      <c r="F141" s="27">
        <f>'[2]MJK 1'!D141</f>
        <v>12985.37</v>
      </c>
      <c r="G141" s="27">
        <f>[2]BJR!D141</f>
        <v>2279.38</v>
      </c>
      <c r="H141" s="27">
        <f t="shared" si="2"/>
        <v>64552.13</v>
      </c>
    </row>
    <row r="142" spans="1:8" ht="17.45" customHeight="1">
      <c r="A142" s="30" t="s">
        <v>29</v>
      </c>
      <c r="B142" s="31" t="s">
        <v>249</v>
      </c>
      <c r="C142" s="26" t="s">
        <v>250</v>
      </c>
      <c r="D142" s="27">
        <f>+[2]CLN!D142</f>
        <v>-575.35</v>
      </c>
      <c r="E142" s="27">
        <f>+'[2]MJK 2'!D142</f>
        <v>-49.44</v>
      </c>
      <c r="F142" s="27">
        <f>'[2]MJK 1'!D142</f>
        <v>-102.28</v>
      </c>
      <c r="G142" s="27">
        <f>[2]BJR!D142</f>
        <v>-20.52</v>
      </c>
      <c r="H142" s="27">
        <f t="shared" si="2"/>
        <v>-747.58999999999992</v>
      </c>
    </row>
    <row r="143" spans="1:8" ht="17.45" customHeight="1">
      <c r="A143" s="30" t="s">
        <v>29</v>
      </c>
      <c r="B143" s="31" t="s">
        <v>251</v>
      </c>
      <c r="C143" s="26" t="s">
        <v>252</v>
      </c>
      <c r="D143" s="27">
        <f>+[2]CLN!D143</f>
        <v>2800</v>
      </c>
      <c r="E143" s="27">
        <f>+'[2]MJK 2'!D143</f>
        <v>500</v>
      </c>
      <c r="F143" s="27">
        <f>'[2]MJK 1'!D143</f>
        <v>500</v>
      </c>
      <c r="G143" s="27">
        <f>[2]BJR!D143</f>
        <v>200</v>
      </c>
      <c r="H143" s="27">
        <f t="shared" si="2"/>
        <v>4000</v>
      </c>
    </row>
    <row r="144" spans="1:8" ht="17.45" customHeight="1">
      <c r="A144" s="30" t="s">
        <v>29</v>
      </c>
      <c r="B144" s="31" t="s">
        <v>253</v>
      </c>
      <c r="C144" s="26" t="s">
        <v>123</v>
      </c>
      <c r="D144" s="27">
        <f>+[2]CLN!D144</f>
        <v>2741.97</v>
      </c>
      <c r="E144" s="27">
        <f>+'[2]MJK 2'!D144</f>
        <v>0</v>
      </c>
      <c r="F144" s="27">
        <f>'[2]MJK 1'!D144</f>
        <v>2.2999999999999998</v>
      </c>
      <c r="G144" s="27">
        <f>[2]BJR!D144</f>
        <v>0</v>
      </c>
      <c r="H144" s="27">
        <f t="shared" si="2"/>
        <v>2744.27</v>
      </c>
    </row>
    <row r="145" spans="1:8" ht="17.45" customHeight="1">
      <c r="A145" s="30" t="s">
        <v>29</v>
      </c>
      <c r="B145" s="31" t="s">
        <v>254</v>
      </c>
      <c r="C145" s="26" t="s">
        <v>255</v>
      </c>
      <c r="D145" s="27">
        <f>+[2]CLN!D145</f>
        <v>0</v>
      </c>
      <c r="E145" s="27">
        <f>+'[2]MJK 2'!D145</f>
        <v>0</v>
      </c>
      <c r="F145" s="27">
        <f>'[2]MJK 1'!D145</f>
        <v>0</v>
      </c>
      <c r="G145" s="27">
        <f>[2]BJR!D145</f>
        <v>0</v>
      </c>
      <c r="H145" s="27">
        <f t="shared" si="2"/>
        <v>0</v>
      </c>
    </row>
    <row r="146" spans="1:8" ht="17.45" customHeight="1">
      <c r="A146" s="30" t="s">
        <v>29</v>
      </c>
      <c r="B146" s="31" t="s">
        <v>256</v>
      </c>
      <c r="C146" s="26" t="s">
        <v>257</v>
      </c>
      <c r="D146" s="27">
        <f>+[2]CLN!D146</f>
        <v>2688.7</v>
      </c>
      <c r="E146" s="27">
        <f>+'[2]MJK 2'!D146</f>
        <v>-115.91</v>
      </c>
      <c r="F146" s="27">
        <f>'[2]MJK 1'!D146</f>
        <v>-264.86</v>
      </c>
      <c r="G146" s="27">
        <f>[2]BJR!D146</f>
        <v>-43.45</v>
      </c>
      <c r="H146" s="27">
        <f t="shared" si="2"/>
        <v>2264.48</v>
      </c>
    </row>
    <row r="147" spans="1:8" ht="17.45" customHeight="1">
      <c r="A147" s="30"/>
      <c r="B147" s="31"/>
      <c r="C147" s="26" t="s">
        <v>258</v>
      </c>
      <c r="D147" s="27"/>
      <c r="E147" s="27"/>
      <c r="F147" s="27"/>
      <c r="G147" s="27">
        <f>[2]BJR!D147</f>
        <v>0</v>
      </c>
      <c r="H147" s="27">
        <f t="shared" si="2"/>
        <v>0</v>
      </c>
    </row>
    <row r="148" spans="1:8" ht="17.45" customHeight="1">
      <c r="A148" s="30" t="s">
        <v>43</v>
      </c>
      <c r="B148" s="31" t="s">
        <v>259</v>
      </c>
      <c r="C148" s="37" t="s">
        <v>246</v>
      </c>
      <c r="D148" s="27">
        <f>+[2]CLN!D148</f>
        <v>51214.06</v>
      </c>
      <c r="E148" s="27">
        <f>+'[2]MJK 2'!D148</f>
        <v>6063.2900000000009</v>
      </c>
      <c r="F148" s="27">
        <f>'[2]MJK 1'!D148</f>
        <v>13120.529999999999</v>
      </c>
      <c r="G148" s="27">
        <f>[2]BJR!D148</f>
        <v>2415.4100000000003</v>
      </c>
      <c r="H148" s="27">
        <f t="shared" si="2"/>
        <v>72813.290000000008</v>
      </c>
    </row>
    <row r="149" spans="1:8" ht="17.45" customHeight="1">
      <c r="A149" s="30"/>
      <c r="B149" s="31"/>
      <c r="C149" s="28" t="s">
        <v>260</v>
      </c>
      <c r="D149" s="27">
        <f>+[2]CLN!D149</f>
        <v>0</v>
      </c>
      <c r="E149" s="27">
        <f>+'[2]MJK 2'!D149</f>
        <v>0</v>
      </c>
      <c r="F149" s="27">
        <f>'[2]MJK 1'!D149</f>
        <v>0</v>
      </c>
      <c r="G149" s="27">
        <f>[2]BJR!D149</f>
        <v>0</v>
      </c>
      <c r="H149" s="27">
        <f t="shared" si="2"/>
        <v>0</v>
      </c>
    </row>
    <row r="150" spans="1:8" ht="17.45" customHeight="1">
      <c r="A150" s="30" t="s">
        <v>29</v>
      </c>
      <c r="B150" s="31" t="s">
        <v>261</v>
      </c>
      <c r="C150" s="26" t="s">
        <v>262</v>
      </c>
      <c r="D150" s="27">
        <f>+[2]CLN!D150</f>
        <v>0</v>
      </c>
      <c r="E150" s="27">
        <f>+'[2]MJK 2'!D150</f>
        <v>0</v>
      </c>
      <c r="F150" s="27">
        <f>'[2]MJK 1'!D150</f>
        <v>0</v>
      </c>
      <c r="G150" s="27">
        <f>[2]BJR!D150</f>
        <v>0</v>
      </c>
      <c r="H150" s="27">
        <f t="shared" si="2"/>
        <v>0</v>
      </c>
    </row>
    <row r="151" spans="1:8" ht="17.45" customHeight="1">
      <c r="A151" s="30" t="s">
        <v>29</v>
      </c>
      <c r="B151" s="31" t="s">
        <v>263</v>
      </c>
      <c r="C151" s="26" t="s">
        <v>264</v>
      </c>
      <c r="D151" s="27">
        <f>+[2]CLN!D151</f>
        <v>0</v>
      </c>
      <c r="E151" s="27">
        <f>+'[2]MJK 2'!D151</f>
        <v>0</v>
      </c>
      <c r="F151" s="27">
        <f>'[2]MJK 1'!D151</f>
        <v>0</v>
      </c>
      <c r="G151" s="27">
        <f>[2]BJR!D151</f>
        <v>0</v>
      </c>
      <c r="H151" s="27">
        <f t="shared" si="2"/>
        <v>0</v>
      </c>
    </row>
    <row r="152" spans="1:8" ht="17.45" customHeight="1">
      <c r="A152" s="30" t="s">
        <v>29</v>
      </c>
      <c r="B152" s="31" t="s">
        <v>265</v>
      </c>
      <c r="C152" s="26" t="s">
        <v>266</v>
      </c>
      <c r="D152" s="27">
        <f>+[2]CLN!D152</f>
        <v>0</v>
      </c>
      <c r="E152" s="27">
        <f>+'[2]MJK 2'!D152</f>
        <v>0</v>
      </c>
      <c r="F152" s="27">
        <f>'[2]MJK 1'!D152</f>
        <v>0</v>
      </c>
      <c r="G152" s="27">
        <f>[2]BJR!D152</f>
        <v>0</v>
      </c>
      <c r="H152" s="27">
        <f t="shared" si="2"/>
        <v>0</v>
      </c>
    </row>
    <row r="153" spans="1:8" ht="17.45" customHeight="1">
      <c r="A153" s="30" t="s">
        <v>29</v>
      </c>
      <c r="B153" s="31" t="s">
        <v>267</v>
      </c>
      <c r="C153" s="26" t="s">
        <v>268</v>
      </c>
      <c r="D153" s="27">
        <f>+[2]CLN!D153</f>
        <v>641.96</v>
      </c>
      <c r="E153" s="27">
        <f>+'[2]MJK 2'!D153</f>
        <v>320.36</v>
      </c>
      <c r="F153" s="27">
        <f>'[2]MJK 1'!D153</f>
        <v>0</v>
      </c>
      <c r="G153" s="27">
        <f>[2]BJR!D153</f>
        <v>0</v>
      </c>
      <c r="H153" s="27">
        <f t="shared" si="2"/>
        <v>962.32</v>
      </c>
    </row>
    <row r="154" spans="1:8" ht="17.45" customHeight="1">
      <c r="A154" s="30" t="s">
        <v>43</v>
      </c>
      <c r="B154" s="31" t="s">
        <v>269</v>
      </c>
      <c r="C154" s="37" t="s">
        <v>260</v>
      </c>
      <c r="D154" s="27">
        <f>+[2]CLN!D154</f>
        <v>641.96</v>
      </c>
      <c r="E154" s="27">
        <f>+'[2]MJK 2'!D154</f>
        <v>320.36</v>
      </c>
      <c r="F154" s="27">
        <f>'[2]MJK 1'!D154</f>
        <v>0</v>
      </c>
      <c r="G154" s="27">
        <f>[2]BJR!D154</f>
        <v>0</v>
      </c>
      <c r="H154" s="27">
        <f t="shared" si="2"/>
        <v>962.32</v>
      </c>
    </row>
    <row r="155" spans="1:8" ht="17.45" customHeight="1">
      <c r="A155" s="30"/>
      <c r="B155" s="31"/>
      <c r="C155" s="28" t="s">
        <v>270</v>
      </c>
      <c r="D155" s="27">
        <f>+[2]CLN!D155</f>
        <v>0</v>
      </c>
      <c r="E155" s="27">
        <f>+'[2]MJK 2'!D155</f>
        <v>0</v>
      </c>
      <c r="F155" s="27">
        <f>'[2]MJK 1'!D155</f>
        <v>0</v>
      </c>
      <c r="G155" s="27">
        <f>[2]BJR!D155</f>
        <v>0</v>
      </c>
      <c r="H155" s="27">
        <f t="shared" si="2"/>
        <v>0</v>
      </c>
    </row>
    <row r="156" spans="1:8" ht="17.45" customHeight="1">
      <c r="A156" s="30" t="s">
        <v>29</v>
      </c>
      <c r="B156" s="31" t="s">
        <v>271</v>
      </c>
      <c r="C156" s="26" t="s">
        <v>272</v>
      </c>
      <c r="D156" s="27">
        <f>+[2]CLN!D156</f>
        <v>0</v>
      </c>
      <c r="E156" s="27">
        <f>+'[2]MJK 2'!D156</f>
        <v>0</v>
      </c>
      <c r="F156" s="27">
        <f>'[2]MJK 1'!D156</f>
        <v>0</v>
      </c>
      <c r="G156" s="27">
        <f>[2]BJR!D156</f>
        <v>0</v>
      </c>
      <c r="H156" s="27">
        <f t="shared" si="2"/>
        <v>0</v>
      </c>
    </row>
    <row r="157" spans="1:8" ht="17.45" customHeight="1">
      <c r="A157" s="30" t="s">
        <v>29</v>
      </c>
      <c r="B157" s="31" t="s">
        <v>273</v>
      </c>
      <c r="C157" s="26" t="s">
        <v>129</v>
      </c>
      <c r="D157" s="27">
        <f>+[2]CLN!D157</f>
        <v>0</v>
      </c>
      <c r="E157" s="27">
        <f>+'[2]MJK 2'!D157</f>
        <v>0</v>
      </c>
      <c r="F157" s="27">
        <f>'[2]MJK 1'!D157</f>
        <v>0</v>
      </c>
      <c r="G157" s="27">
        <f>[2]BJR!D157</f>
        <v>0</v>
      </c>
      <c r="H157" s="27">
        <f t="shared" si="2"/>
        <v>0</v>
      </c>
    </row>
    <row r="158" spans="1:8" ht="17.45" customHeight="1">
      <c r="A158" s="30" t="s">
        <v>43</v>
      </c>
      <c r="B158" s="31" t="s">
        <v>274</v>
      </c>
      <c r="C158" s="37" t="s">
        <v>270</v>
      </c>
      <c r="D158" s="27">
        <f>+[2]CLN!D158</f>
        <v>0</v>
      </c>
      <c r="E158" s="27">
        <f>+'[2]MJK 2'!D158</f>
        <v>0</v>
      </c>
      <c r="F158" s="27">
        <f>'[2]MJK 1'!D158</f>
        <v>0</v>
      </c>
      <c r="G158" s="27">
        <f>[2]BJR!D158</f>
        <v>0</v>
      </c>
      <c r="H158" s="27">
        <f t="shared" si="2"/>
        <v>0</v>
      </c>
    </row>
    <row r="159" spans="1:8" ht="17.45" customHeight="1">
      <c r="A159" s="30" t="s">
        <v>43</v>
      </c>
      <c r="B159" s="31" t="s">
        <v>275</v>
      </c>
      <c r="C159" s="26" t="s">
        <v>276</v>
      </c>
      <c r="D159" s="27">
        <f>+[2]CLN!D159</f>
        <v>0</v>
      </c>
      <c r="E159" s="27">
        <f>+'[2]MJK 2'!D159</f>
        <v>0</v>
      </c>
      <c r="F159" s="27">
        <f>'[2]MJK 1'!D159</f>
        <v>0</v>
      </c>
      <c r="G159" s="27">
        <f>[2]BJR!D159</f>
        <v>0</v>
      </c>
      <c r="H159" s="27">
        <f t="shared" si="2"/>
        <v>0</v>
      </c>
    </row>
    <row r="160" spans="1:8" ht="17.45" customHeight="1">
      <c r="A160" s="30" t="s">
        <v>43</v>
      </c>
      <c r="B160" s="31" t="s">
        <v>277</v>
      </c>
      <c r="C160" s="26" t="s">
        <v>278</v>
      </c>
      <c r="D160" s="27">
        <f>+[2]CLN!D160</f>
        <v>0</v>
      </c>
      <c r="E160" s="27">
        <f>+'[2]MJK 2'!D160</f>
        <v>0</v>
      </c>
      <c r="F160" s="27">
        <f>'[2]MJK 1'!D160</f>
        <v>0</v>
      </c>
      <c r="G160" s="27">
        <f>[2]BJR!D160</f>
        <v>0</v>
      </c>
      <c r="H160" s="27">
        <f t="shared" si="2"/>
        <v>0</v>
      </c>
    </row>
    <row r="161" spans="1:8" ht="17.45" customHeight="1">
      <c r="A161" s="30"/>
      <c r="B161" s="31"/>
      <c r="C161" s="26" t="s">
        <v>279</v>
      </c>
      <c r="D161" s="27">
        <f>+[2]CLN!D161</f>
        <v>0</v>
      </c>
      <c r="E161" s="27">
        <f>+'[2]MJK 2'!D161</f>
        <v>0</v>
      </c>
      <c r="F161" s="27">
        <f>'[2]MJK 1'!D161</f>
        <v>0</v>
      </c>
      <c r="G161" s="27">
        <f>[2]BJR!D161</f>
        <v>0</v>
      </c>
      <c r="H161" s="27">
        <f t="shared" si="2"/>
        <v>0</v>
      </c>
    </row>
    <row r="162" spans="1:8" ht="17.45" customHeight="1">
      <c r="A162" s="30" t="s">
        <v>43</v>
      </c>
      <c r="B162" s="31" t="s">
        <v>280</v>
      </c>
      <c r="C162" s="26" t="s">
        <v>281</v>
      </c>
      <c r="D162" s="27">
        <f>+[2]CLN!D162</f>
        <v>0</v>
      </c>
      <c r="E162" s="27">
        <f>+'[2]MJK 2'!D162</f>
        <v>0</v>
      </c>
      <c r="F162" s="27">
        <f>'[2]MJK 1'!D162</f>
        <v>0</v>
      </c>
      <c r="G162" s="27">
        <f>[2]BJR!D162</f>
        <v>0</v>
      </c>
      <c r="H162" s="27">
        <f t="shared" si="2"/>
        <v>0</v>
      </c>
    </row>
    <row r="163" spans="1:8" ht="17.45" customHeight="1">
      <c r="A163" s="30" t="s">
        <v>43</v>
      </c>
      <c r="B163" s="31" t="s">
        <v>282</v>
      </c>
      <c r="C163" s="26" t="s">
        <v>283</v>
      </c>
      <c r="D163" s="27">
        <f>+[2]CLN!D163</f>
        <v>3.21</v>
      </c>
      <c r="E163" s="27">
        <f>+'[2]MJK 2'!D163</f>
        <v>64.14</v>
      </c>
      <c r="F163" s="27">
        <f>'[2]MJK 1'!D163</f>
        <v>0</v>
      </c>
      <c r="G163" s="27">
        <f>[2]BJR!D163</f>
        <v>0</v>
      </c>
      <c r="H163" s="27">
        <f t="shared" si="2"/>
        <v>67.349999999999994</v>
      </c>
    </row>
    <row r="164" spans="1:8" ht="17.45" customHeight="1">
      <c r="A164" s="30" t="s">
        <v>43</v>
      </c>
      <c r="B164" s="31" t="s">
        <v>284</v>
      </c>
      <c r="C164" s="26" t="s">
        <v>285</v>
      </c>
      <c r="D164" s="27">
        <f>+[2]CLN!D164</f>
        <v>1758.5</v>
      </c>
      <c r="E164" s="27">
        <f>+'[2]MJK 2'!D164</f>
        <v>1687.71</v>
      </c>
      <c r="F164" s="27">
        <f>'[2]MJK 1'!D164</f>
        <v>688.82</v>
      </c>
      <c r="G164" s="27">
        <f>[2]BJR!D164</f>
        <v>12.1</v>
      </c>
      <c r="H164" s="27">
        <f t="shared" si="2"/>
        <v>4147.13</v>
      </c>
    </row>
    <row r="165" spans="1:8" ht="17.45" customHeight="1">
      <c r="A165" s="30" t="s">
        <v>43</v>
      </c>
      <c r="B165" s="31" t="s">
        <v>286</v>
      </c>
      <c r="C165" s="26" t="s">
        <v>287</v>
      </c>
      <c r="D165" s="27">
        <f>+[2]CLN!D165</f>
        <v>128.27000000000001</v>
      </c>
      <c r="E165" s="27">
        <f>+'[2]MJK 2'!D165</f>
        <v>518.41</v>
      </c>
      <c r="F165" s="27">
        <f>'[2]MJK 1'!D165</f>
        <v>595.19000000000005</v>
      </c>
      <c r="G165" s="27">
        <f>[2]BJR!D165</f>
        <v>48.1</v>
      </c>
      <c r="H165" s="27">
        <f t="shared" si="2"/>
        <v>1289.9699999999998</v>
      </c>
    </row>
    <row r="166" spans="1:8" ht="17.45" customHeight="1">
      <c r="A166" s="30"/>
      <c r="B166" s="31"/>
      <c r="C166" s="28" t="s">
        <v>288</v>
      </c>
      <c r="D166" s="27">
        <f>+[2]CLN!D166</f>
        <v>0</v>
      </c>
      <c r="E166" s="27">
        <f>+'[2]MJK 2'!D166</f>
        <v>0</v>
      </c>
      <c r="F166" s="27">
        <f>'[2]MJK 1'!D166</f>
        <v>0</v>
      </c>
      <c r="G166" s="27">
        <f>[2]BJR!D166</f>
        <v>0</v>
      </c>
      <c r="H166" s="27">
        <f t="shared" si="2"/>
        <v>0</v>
      </c>
    </row>
    <row r="167" spans="1:8" ht="17.45" customHeight="1">
      <c r="A167" s="30" t="s">
        <v>29</v>
      </c>
      <c r="B167" s="31" t="s">
        <v>289</v>
      </c>
      <c r="C167" s="26" t="s">
        <v>290</v>
      </c>
      <c r="D167" s="27">
        <f>+[2]CLN!D167</f>
        <v>529.76</v>
      </c>
      <c r="E167" s="27">
        <f>+'[2]MJK 2'!D167</f>
        <v>141.1</v>
      </c>
      <c r="F167" s="27">
        <f>'[2]MJK 1'!D167</f>
        <v>490.64</v>
      </c>
      <c r="G167" s="27">
        <f>[2]BJR!D167</f>
        <v>109.03</v>
      </c>
      <c r="H167" s="27">
        <f t="shared" si="2"/>
        <v>1270.53</v>
      </c>
    </row>
    <row r="168" spans="1:8" ht="17.45" customHeight="1">
      <c r="A168" s="30" t="s">
        <v>29</v>
      </c>
      <c r="B168" s="31" t="s">
        <v>291</v>
      </c>
      <c r="C168" s="26" t="s">
        <v>292</v>
      </c>
      <c r="D168" s="27">
        <f>+[2]CLN!D168</f>
        <v>0</v>
      </c>
      <c r="E168" s="27">
        <f>+'[2]MJK 2'!D168</f>
        <v>0</v>
      </c>
      <c r="F168" s="27">
        <f>'[2]MJK 1'!D168</f>
        <v>0</v>
      </c>
      <c r="G168" s="27">
        <f>[2]BJR!D168</f>
        <v>0</v>
      </c>
      <c r="H168" s="27">
        <f t="shared" si="2"/>
        <v>0</v>
      </c>
    </row>
    <row r="169" spans="1:8" ht="17.45" customHeight="1">
      <c r="A169" s="30" t="s">
        <v>29</v>
      </c>
      <c r="B169" s="31" t="s">
        <v>293</v>
      </c>
      <c r="C169" s="26" t="s">
        <v>294</v>
      </c>
      <c r="D169" s="27">
        <f>+[2]CLN!D169</f>
        <v>0</v>
      </c>
      <c r="E169" s="27">
        <f>+'[2]MJK 2'!D169</f>
        <v>0</v>
      </c>
      <c r="F169" s="27">
        <f>'[2]MJK 1'!D169</f>
        <v>0</v>
      </c>
      <c r="G169" s="27">
        <f>[2]BJR!D169</f>
        <v>0</v>
      </c>
      <c r="H169" s="27">
        <f t="shared" si="2"/>
        <v>0</v>
      </c>
    </row>
    <row r="170" spans="1:8" ht="17.45" customHeight="1">
      <c r="A170" s="30" t="s">
        <v>43</v>
      </c>
      <c r="B170" s="31" t="s">
        <v>295</v>
      </c>
      <c r="C170" s="37" t="s">
        <v>288</v>
      </c>
      <c r="D170" s="27">
        <f>+[2]CLN!D170</f>
        <v>529.76</v>
      </c>
      <c r="E170" s="27">
        <f>+'[2]MJK 2'!D170</f>
        <v>141.1</v>
      </c>
      <c r="F170" s="27">
        <f>'[2]MJK 1'!D170</f>
        <v>490.64</v>
      </c>
      <c r="G170" s="27">
        <f>[2]BJR!D170</f>
        <v>109.03</v>
      </c>
      <c r="H170" s="27">
        <f t="shared" si="2"/>
        <v>1270.53</v>
      </c>
    </row>
    <row r="171" spans="1:8" ht="17.45" customHeight="1">
      <c r="A171" s="30"/>
      <c r="B171" s="31"/>
      <c r="C171" s="28" t="s">
        <v>296</v>
      </c>
      <c r="D171" s="27">
        <f>+[2]CLN!D171</f>
        <v>0</v>
      </c>
      <c r="E171" s="27">
        <f>+'[2]MJK 2'!D171</f>
        <v>0</v>
      </c>
      <c r="F171" s="27">
        <f>'[2]MJK 1'!D171</f>
        <v>0</v>
      </c>
      <c r="G171" s="27">
        <f>[2]BJR!D171</f>
        <v>0</v>
      </c>
      <c r="H171" s="27">
        <f t="shared" si="2"/>
        <v>0</v>
      </c>
    </row>
    <row r="172" spans="1:8" ht="17.45" customHeight="1">
      <c r="A172" s="30" t="s">
        <v>29</v>
      </c>
      <c r="B172" s="31" t="s">
        <v>297</v>
      </c>
      <c r="C172" s="26" t="s">
        <v>298</v>
      </c>
      <c r="D172" s="27">
        <f>+[2]CLN!D172</f>
        <v>1220.19</v>
      </c>
      <c r="E172" s="27">
        <f>+'[2]MJK 2'!D172</f>
        <v>141.02000000000001</v>
      </c>
      <c r="F172" s="27">
        <f>'[2]MJK 1'!D172</f>
        <v>383.24</v>
      </c>
      <c r="G172" s="27">
        <f>[2]BJR!D172</f>
        <v>298.7</v>
      </c>
      <c r="H172" s="27">
        <f t="shared" si="2"/>
        <v>2043.15</v>
      </c>
    </row>
    <row r="173" spans="1:8" ht="17.45" customHeight="1">
      <c r="A173" s="30" t="s">
        <v>29</v>
      </c>
      <c r="B173" s="31" t="s">
        <v>299</v>
      </c>
      <c r="C173" s="26" t="s">
        <v>300</v>
      </c>
      <c r="D173" s="27">
        <f>+[2]CLN!D173</f>
        <v>0</v>
      </c>
      <c r="E173" s="27">
        <f>+'[2]MJK 2'!D173</f>
        <v>0</v>
      </c>
      <c r="F173" s="27">
        <f>'[2]MJK 1'!D173</f>
        <v>0</v>
      </c>
      <c r="G173" s="27">
        <f>[2]BJR!D173</f>
        <v>0</v>
      </c>
      <c r="H173" s="27">
        <f t="shared" si="2"/>
        <v>0</v>
      </c>
    </row>
    <row r="174" spans="1:8" ht="17.45" customHeight="1">
      <c r="A174" s="30" t="s">
        <v>29</v>
      </c>
      <c r="B174" s="31" t="s">
        <v>301</v>
      </c>
      <c r="C174" s="26" t="s">
        <v>302</v>
      </c>
      <c r="D174" s="27">
        <f>+[2]CLN!D174</f>
        <v>0</v>
      </c>
      <c r="E174" s="27">
        <f>+'[2]MJK 2'!D174</f>
        <v>0</v>
      </c>
      <c r="F174" s="27">
        <f>'[2]MJK 1'!D174</f>
        <v>0</v>
      </c>
      <c r="G174" s="27">
        <f>[2]BJR!D174</f>
        <v>0</v>
      </c>
      <c r="H174" s="27">
        <f t="shared" si="2"/>
        <v>0</v>
      </c>
    </row>
    <row r="175" spans="1:8" ht="17.45" customHeight="1">
      <c r="A175" s="30" t="s">
        <v>43</v>
      </c>
      <c r="B175" s="31" t="s">
        <v>303</v>
      </c>
      <c r="C175" s="37" t="s">
        <v>296</v>
      </c>
      <c r="D175" s="27">
        <f>+[2]CLN!D175</f>
        <v>1220.19</v>
      </c>
      <c r="E175" s="27">
        <f>+'[2]MJK 2'!D175</f>
        <v>141.02000000000001</v>
      </c>
      <c r="F175" s="27">
        <f>'[2]MJK 1'!D175</f>
        <v>383.24</v>
      </c>
      <c r="G175" s="27">
        <f>[2]BJR!D175</f>
        <v>298.7</v>
      </c>
      <c r="H175" s="27">
        <f t="shared" si="2"/>
        <v>2043.15</v>
      </c>
    </row>
    <row r="176" spans="1:8" ht="17.45" customHeight="1">
      <c r="A176" s="30" t="s">
        <v>43</v>
      </c>
      <c r="B176" s="31" t="s">
        <v>304</v>
      </c>
      <c r="C176" s="26" t="s">
        <v>305</v>
      </c>
      <c r="D176" s="27">
        <f>+[2]CLN!D176</f>
        <v>7151.34</v>
      </c>
      <c r="E176" s="27">
        <f>+'[2]MJK 2'!D176</f>
        <v>4400.3599999999997</v>
      </c>
      <c r="F176" s="27">
        <f>'[2]MJK 1'!D176</f>
        <v>7463.47</v>
      </c>
      <c r="G176" s="27">
        <f>[2]BJR!D176</f>
        <v>3626.01</v>
      </c>
      <c r="H176" s="27">
        <f t="shared" si="2"/>
        <v>22641.18</v>
      </c>
    </row>
    <row r="177" spans="1:26" ht="17.45" customHeight="1">
      <c r="A177" s="30" t="s">
        <v>43</v>
      </c>
      <c r="B177" s="31" t="s">
        <v>306</v>
      </c>
      <c r="C177" s="26" t="s">
        <v>307</v>
      </c>
      <c r="D177" s="27">
        <f>+[2]CLN!D177</f>
        <v>1539.63</v>
      </c>
      <c r="E177" s="27">
        <f>+'[2]MJK 2'!D177</f>
        <v>499.03</v>
      </c>
      <c r="F177" s="27">
        <f>'[2]MJK 1'!D177</f>
        <v>421.04</v>
      </c>
      <c r="G177" s="27">
        <f>[2]BJR!D177</f>
        <v>0</v>
      </c>
      <c r="H177" s="27">
        <f t="shared" si="2"/>
        <v>2459.7000000000003</v>
      </c>
    </row>
    <row r="178" spans="1:26" ht="17.45" customHeight="1">
      <c r="A178" s="30"/>
      <c r="B178" s="31"/>
      <c r="C178" s="28" t="s">
        <v>308</v>
      </c>
      <c r="D178" s="27">
        <f>+[2]CLN!D178</f>
        <v>0</v>
      </c>
      <c r="E178" s="27">
        <f>+'[2]MJK 2'!D178</f>
        <v>0</v>
      </c>
      <c r="F178" s="27">
        <f>'[2]MJK 1'!D178</f>
        <v>0</v>
      </c>
      <c r="G178" s="27">
        <f>[2]BJR!D178</f>
        <v>0</v>
      </c>
      <c r="H178" s="27">
        <f t="shared" si="2"/>
        <v>0</v>
      </c>
    </row>
    <row r="179" spans="1:26" ht="17.45" customHeight="1">
      <c r="A179" s="30" t="s">
        <v>29</v>
      </c>
      <c r="B179" s="31" t="s">
        <v>309</v>
      </c>
      <c r="C179" s="26" t="s">
        <v>310</v>
      </c>
      <c r="D179" s="27">
        <f>+[2]CLN!D179</f>
        <v>0</v>
      </c>
      <c r="E179" s="27">
        <f>+'[2]MJK 2'!D179</f>
        <v>0</v>
      </c>
      <c r="F179" s="27">
        <f>'[2]MJK 1'!D179</f>
        <v>0</v>
      </c>
      <c r="G179" s="27">
        <f>[2]BJR!D179</f>
        <v>0</v>
      </c>
      <c r="H179" s="27">
        <f t="shared" si="2"/>
        <v>0</v>
      </c>
    </row>
    <row r="180" spans="1:26" ht="17.45" customHeight="1">
      <c r="A180" s="30" t="s">
        <v>29</v>
      </c>
      <c r="B180" s="31" t="s">
        <v>311</v>
      </c>
      <c r="C180" s="26" t="s">
        <v>312</v>
      </c>
      <c r="D180" s="27">
        <f>+[2]CLN!D180</f>
        <v>0</v>
      </c>
      <c r="E180" s="27">
        <f>+'[2]MJK 2'!D180</f>
        <v>0</v>
      </c>
      <c r="F180" s="27">
        <f>'[2]MJK 1'!D180</f>
        <v>0</v>
      </c>
      <c r="G180" s="27">
        <f>[2]BJR!D180</f>
        <v>0</v>
      </c>
      <c r="H180" s="27">
        <f t="shared" si="2"/>
        <v>0</v>
      </c>
    </row>
    <row r="181" spans="1:26" ht="17.45" customHeight="1">
      <c r="A181" s="30" t="s">
        <v>29</v>
      </c>
      <c r="B181" s="31"/>
      <c r="C181" s="26" t="s">
        <v>313</v>
      </c>
      <c r="D181" s="27">
        <f>+[2]CLN!D181</f>
        <v>0</v>
      </c>
      <c r="E181" s="27">
        <f>+'[2]MJK 2'!D181</f>
        <v>0</v>
      </c>
      <c r="F181" s="27">
        <f>'[2]MJK 1'!D181</f>
        <v>0</v>
      </c>
      <c r="G181" s="27">
        <f>[2]BJR!D181</f>
        <v>0</v>
      </c>
      <c r="H181" s="27">
        <f t="shared" si="2"/>
        <v>0</v>
      </c>
      <c r="I181" s="27">
        <v>0</v>
      </c>
      <c r="J181" s="27">
        <v>0</v>
      </c>
      <c r="K181" s="27">
        <v>0</v>
      </c>
      <c r="L181" s="27">
        <f>SUM(D181:K181)</f>
        <v>0</v>
      </c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>
        <f>SUM(N181:Y181)</f>
        <v>0</v>
      </c>
    </row>
    <row r="182" spans="1:26" ht="17.45" customHeight="1">
      <c r="A182" s="30" t="s">
        <v>43</v>
      </c>
      <c r="B182" s="31" t="s">
        <v>314</v>
      </c>
      <c r="C182" s="37" t="s">
        <v>308</v>
      </c>
      <c r="D182" s="27">
        <f>+[2]CLN!D182</f>
        <v>0</v>
      </c>
      <c r="E182" s="27">
        <f>+'[2]MJK 2'!D182</f>
        <v>0</v>
      </c>
      <c r="F182" s="27">
        <f>'[2]MJK 1'!D182</f>
        <v>0</v>
      </c>
      <c r="G182" s="27">
        <f>[2]BJR!D182</f>
        <v>0</v>
      </c>
      <c r="H182" s="27">
        <f t="shared" si="2"/>
        <v>0</v>
      </c>
    </row>
    <row r="183" spans="1:26" ht="17.45" customHeight="1">
      <c r="A183" s="30"/>
      <c r="B183" s="31"/>
      <c r="C183" s="28" t="s">
        <v>315</v>
      </c>
      <c r="D183" s="27">
        <f>+[2]CLN!D183</f>
        <v>0</v>
      </c>
      <c r="E183" s="27">
        <f>+'[2]MJK 2'!D183</f>
        <v>0</v>
      </c>
      <c r="F183" s="27">
        <f>'[2]MJK 1'!D183</f>
        <v>0</v>
      </c>
      <c r="G183" s="27">
        <f>[2]BJR!D183</f>
        <v>0</v>
      </c>
      <c r="H183" s="27">
        <f t="shared" si="2"/>
        <v>0</v>
      </c>
    </row>
    <row r="184" spans="1:26" ht="17.45" customHeight="1">
      <c r="A184" s="30" t="s">
        <v>29</v>
      </c>
      <c r="B184" s="31" t="s">
        <v>316</v>
      </c>
      <c r="C184" s="26" t="s">
        <v>171</v>
      </c>
      <c r="D184" s="27">
        <f>+[2]CLN!D184</f>
        <v>221.14</v>
      </c>
      <c r="E184" s="27">
        <f>+'[2]MJK 2'!D184</f>
        <v>521.98</v>
      </c>
      <c r="F184" s="27">
        <f>'[2]MJK 1'!D184</f>
        <v>0</v>
      </c>
      <c r="G184" s="27">
        <f>[2]BJR!D184</f>
        <v>1656.62</v>
      </c>
      <c r="H184" s="27">
        <f t="shared" si="2"/>
        <v>2399.7399999999998</v>
      </c>
    </row>
    <row r="185" spans="1:26" ht="17.45" customHeight="1">
      <c r="A185" s="30" t="s">
        <v>29</v>
      </c>
      <c r="B185" s="31"/>
      <c r="C185" s="26" t="s">
        <v>317</v>
      </c>
      <c r="D185" s="27">
        <f>+[2]CLN!D185</f>
        <v>969.71</v>
      </c>
      <c r="E185" s="27">
        <f>+'[2]MJK 2'!D185</f>
        <v>0</v>
      </c>
      <c r="F185" s="27">
        <f>'[2]MJK 1'!D185</f>
        <v>0</v>
      </c>
      <c r="G185" s="27">
        <f>[2]BJR!D185</f>
        <v>0</v>
      </c>
      <c r="H185" s="27">
        <f t="shared" si="2"/>
        <v>969.71</v>
      </c>
      <c r="I185" s="27"/>
      <c r="J185" s="27"/>
      <c r="K185" s="27"/>
      <c r="L185" s="27">
        <f>SUM(D185:K185)</f>
        <v>1939.42</v>
      </c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>
        <f>SUM(N185:Y185)</f>
        <v>0</v>
      </c>
    </row>
    <row r="186" spans="1:26" ht="17.45" customHeight="1">
      <c r="A186" s="30" t="s">
        <v>29</v>
      </c>
      <c r="B186" s="31" t="s">
        <v>318</v>
      </c>
      <c r="C186" s="26" t="s">
        <v>319</v>
      </c>
      <c r="D186" s="27">
        <f>+[2]CLN!D186</f>
        <v>0</v>
      </c>
      <c r="E186" s="27">
        <f>+'[2]MJK 2'!D186</f>
        <v>0</v>
      </c>
      <c r="F186" s="27">
        <f>'[2]MJK 1'!D186</f>
        <v>0</v>
      </c>
      <c r="G186" s="27">
        <f>[2]BJR!D186</f>
        <v>0</v>
      </c>
      <c r="H186" s="27">
        <f t="shared" si="2"/>
        <v>0</v>
      </c>
    </row>
    <row r="187" spans="1:26" ht="17.45" customHeight="1">
      <c r="A187" s="30" t="s">
        <v>43</v>
      </c>
      <c r="B187" s="31" t="s">
        <v>320</v>
      </c>
      <c r="C187" s="37" t="s">
        <v>315</v>
      </c>
      <c r="D187" s="27">
        <f>+[2]CLN!D187</f>
        <v>1190.8499999999999</v>
      </c>
      <c r="E187" s="27">
        <f>+'[2]MJK 2'!D187</f>
        <v>521.98</v>
      </c>
      <c r="F187" s="27">
        <f>'[2]MJK 1'!D187</f>
        <v>0</v>
      </c>
      <c r="G187" s="27">
        <f>[2]BJR!D187</f>
        <v>1656.62</v>
      </c>
      <c r="H187" s="27">
        <f t="shared" si="2"/>
        <v>3369.45</v>
      </c>
    </row>
    <row r="188" spans="1:26" ht="17.45" customHeight="1">
      <c r="A188" s="30" t="s">
        <v>43</v>
      </c>
      <c r="B188" s="31" t="s">
        <v>321</v>
      </c>
      <c r="C188" s="28" t="s">
        <v>322</v>
      </c>
      <c r="D188" s="27">
        <f>+[2]CLN!D188</f>
        <v>0</v>
      </c>
      <c r="E188" s="27">
        <f>+'[2]MJK 2'!D188</f>
        <v>0</v>
      </c>
      <c r="F188" s="27">
        <f>'[2]MJK 1'!D188</f>
        <v>0</v>
      </c>
      <c r="G188" s="27">
        <f>[2]BJR!D188</f>
        <v>0</v>
      </c>
      <c r="H188" s="27">
        <f t="shared" si="2"/>
        <v>0</v>
      </c>
    </row>
    <row r="189" spans="1:26" ht="17.45" customHeight="1">
      <c r="A189" s="30" t="s">
        <v>29</v>
      </c>
      <c r="B189" s="31" t="s">
        <v>323</v>
      </c>
      <c r="C189" s="26" t="s">
        <v>324</v>
      </c>
      <c r="D189" s="27">
        <f>+[2]CLN!D189</f>
        <v>2272.27</v>
      </c>
      <c r="E189" s="27">
        <f>+'[2]MJK 2'!D189</f>
        <v>450.63</v>
      </c>
      <c r="F189" s="27">
        <f>'[2]MJK 1'!D189</f>
        <v>0</v>
      </c>
      <c r="G189" s="27">
        <f>[2]BJR!D189</f>
        <v>0</v>
      </c>
      <c r="H189" s="27">
        <f t="shared" si="2"/>
        <v>2722.9</v>
      </c>
    </row>
    <row r="190" spans="1:26" ht="17.45" customHeight="1">
      <c r="A190" s="30" t="s">
        <v>29</v>
      </c>
      <c r="B190" s="31" t="s">
        <v>325</v>
      </c>
      <c r="C190" s="26" t="s">
        <v>326</v>
      </c>
      <c r="D190" s="27">
        <f>+[2]CLN!D190</f>
        <v>3361.98</v>
      </c>
      <c r="E190" s="27">
        <f>+'[2]MJK 2'!D190</f>
        <v>0</v>
      </c>
      <c r="F190" s="27">
        <f>'[2]MJK 1'!D190</f>
        <v>0</v>
      </c>
      <c r="G190" s="27">
        <f>[2]BJR!D190</f>
        <v>0</v>
      </c>
      <c r="H190" s="27">
        <f t="shared" si="2"/>
        <v>3361.98</v>
      </c>
    </row>
    <row r="191" spans="1:26" ht="17.45" customHeight="1">
      <c r="A191" s="30" t="s">
        <v>29</v>
      </c>
      <c r="B191" s="31">
        <v>816130</v>
      </c>
      <c r="C191" s="26" t="s">
        <v>327</v>
      </c>
      <c r="D191" s="27">
        <f>+[2]CLN!D191</f>
        <v>1427.97</v>
      </c>
      <c r="E191" s="27">
        <f>+'[2]MJK 2'!D191</f>
        <v>1127.19</v>
      </c>
      <c r="F191" s="27">
        <f>'[2]MJK 1'!D191</f>
        <v>1192.21</v>
      </c>
      <c r="G191" s="27">
        <f>[2]BJR!D191</f>
        <v>523.77</v>
      </c>
      <c r="H191" s="27">
        <f t="shared" si="2"/>
        <v>4271.1399999999994</v>
      </c>
    </row>
    <row r="192" spans="1:26" ht="17.45" customHeight="1">
      <c r="A192" s="30" t="s">
        <v>29</v>
      </c>
      <c r="B192" s="31" t="s">
        <v>328</v>
      </c>
      <c r="C192" s="26" t="s">
        <v>329</v>
      </c>
      <c r="D192" s="27">
        <f>+[2]CLN!D192</f>
        <v>0</v>
      </c>
      <c r="E192" s="27">
        <f>+'[2]MJK 2'!D192</f>
        <v>0</v>
      </c>
      <c r="F192" s="27">
        <f>'[2]MJK 1'!D192</f>
        <v>0</v>
      </c>
      <c r="G192" s="27">
        <f>[2]BJR!D192</f>
        <v>0</v>
      </c>
      <c r="H192" s="27">
        <f t="shared" si="2"/>
        <v>0</v>
      </c>
    </row>
    <row r="193" spans="1:26" ht="17.45" customHeight="1">
      <c r="A193" s="30" t="s">
        <v>29</v>
      </c>
      <c r="B193" s="31" t="s">
        <v>330</v>
      </c>
      <c r="C193" s="26" t="s">
        <v>331</v>
      </c>
      <c r="D193" s="27">
        <f>+[2]CLN!D193</f>
        <v>0</v>
      </c>
      <c r="E193" s="27">
        <f>+'[2]MJK 2'!D193</f>
        <v>0</v>
      </c>
      <c r="F193" s="27">
        <f>'[2]MJK 1'!D193</f>
        <v>0</v>
      </c>
      <c r="G193" s="27">
        <f>[2]BJR!D193</f>
        <v>0</v>
      </c>
      <c r="H193" s="27">
        <f t="shared" si="2"/>
        <v>0</v>
      </c>
    </row>
    <row r="194" spans="1:26" ht="17.45" customHeight="1">
      <c r="A194" s="30"/>
      <c r="B194" s="31"/>
      <c r="C194" s="26" t="s">
        <v>332</v>
      </c>
      <c r="D194" s="27">
        <f>+[2]CLN!D194</f>
        <v>0</v>
      </c>
      <c r="E194" s="27">
        <f>+'[2]MJK 2'!D194</f>
        <v>0</v>
      </c>
      <c r="F194" s="27">
        <f>'[2]MJK 1'!D194</f>
        <v>0</v>
      </c>
      <c r="G194" s="27">
        <f>[2]BJR!D194</f>
        <v>0</v>
      </c>
      <c r="H194" s="27">
        <f t="shared" si="2"/>
        <v>0</v>
      </c>
    </row>
    <row r="195" spans="1:26" ht="17.45" customHeight="1">
      <c r="A195" s="30"/>
      <c r="B195" s="31"/>
      <c r="C195" s="26" t="s">
        <v>333</v>
      </c>
      <c r="D195" s="27">
        <f>+[2]CLN!D195</f>
        <v>0</v>
      </c>
      <c r="E195" s="27">
        <f>+'[2]MJK 2'!D195</f>
        <v>0</v>
      </c>
      <c r="F195" s="27">
        <f>'[2]MJK 1'!D195</f>
        <v>0</v>
      </c>
      <c r="G195" s="27">
        <f>[2]BJR!D195</f>
        <v>0</v>
      </c>
      <c r="H195" s="27">
        <f t="shared" si="2"/>
        <v>0</v>
      </c>
      <c r="I195" s="27">
        <v>0</v>
      </c>
      <c r="J195" s="27">
        <v>0</v>
      </c>
      <c r="K195" s="27">
        <v>0</v>
      </c>
      <c r="L195" s="27">
        <f>SUM(D195:K195)</f>
        <v>0</v>
      </c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>
        <f>SUM(N195:Y195)</f>
        <v>0</v>
      </c>
    </row>
    <row r="196" spans="1:26" ht="17.45" customHeight="1">
      <c r="A196" s="30"/>
      <c r="B196" s="31"/>
      <c r="C196" s="26"/>
      <c r="D196" s="27">
        <f>+[2]CLN!D196</f>
        <v>0</v>
      </c>
      <c r="E196" s="27">
        <f>+'[2]MJK 2'!D196</f>
        <v>0</v>
      </c>
      <c r="F196" s="27">
        <f>'[2]MJK 1'!D196</f>
        <v>0</v>
      </c>
      <c r="G196" s="27">
        <f>[2]BJR!D196</f>
        <v>0</v>
      </c>
      <c r="H196" s="27">
        <f t="shared" si="2"/>
        <v>0</v>
      </c>
      <c r="I196" s="27">
        <v>0</v>
      </c>
      <c r="J196" s="27">
        <v>0</v>
      </c>
      <c r="K196" s="27">
        <v>0</v>
      </c>
      <c r="L196" s="27">
        <f>SUM(D196:K196)</f>
        <v>0</v>
      </c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>
        <f>SUM(N196:Y196)</f>
        <v>0</v>
      </c>
    </row>
    <row r="197" spans="1:26" ht="17.45" customHeight="1">
      <c r="A197" s="30" t="s">
        <v>43</v>
      </c>
      <c r="B197" s="31" t="s">
        <v>321</v>
      </c>
      <c r="C197" s="37" t="s">
        <v>322</v>
      </c>
      <c r="D197" s="27">
        <f>+[2]CLN!D197</f>
        <v>7062.22</v>
      </c>
      <c r="E197" s="27">
        <f>+'[2]MJK 2'!D197</f>
        <v>1577.8200000000002</v>
      </c>
      <c r="F197" s="27">
        <f>'[2]MJK 1'!D197</f>
        <v>1192.21</v>
      </c>
      <c r="G197" s="27">
        <f>[2]BJR!D197</f>
        <v>523.77</v>
      </c>
      <c r="H197" s="27">
        <f t="shared" si="2"/>
        <v>10356.02</v>
      </c>
    </row>
    <row r="198" spans="1:26" ht="17.45" customHeight="1">
      <c r="A198" s="30" t="s">
        <v>45</v>
      </c>
      <c r="B198" s="31" t="s">
        <v>334</v>
      </c>
      <c r="C198" s="37" t="s">
        <v>245</v>
      </c>
      <c r="D198" s="27">
        <f>+[2]CLN!D198</f>
        <v>72439.990000000005</v>
      </c>
      <c r="E198" s="27">
        <f>+'[2]MJK 2'!D198</f>
        <v>15935.220000000003</v>
      </c>
      <c r="F198" s="27">
        <f>'[2]MJK 1'!D198</f>
        <v>24355.14</v>
      </c>
      <c r="G198" s="27">
        <f>[2]BJR!D198</f>
        <v>8689.7400000000016</v>
      </c>
      <c r="H198" s="27">
        <f t="shared" si="2"/>
        <v>121420.09000000001</v>
      </c>
    </row>
    <row r="199" spans="1:26" ht="17.45" customHeight="1">
      <c r="A199" s="30"/>
      <c r="B199" s="31"/>
      <c r="C199" s="28" t="s">
        <v>335</v>
      </c>
      <c r="D199" s="27"/>
      <c r="E199" s="27"/>
      <c r="F199" s="27"/>
      <c r="G199" s="27"/>
      <c r="H199" s="27"/>
    </row>
    <row r="200" spans="1:26" ht="17.45" customHeight="1">
      <c r="A200" s="30"/>
      <c r="B200" s="31"/>
      <c r="C200" s="28" t="s">
        <v>336</v>
      </c>
      <c r="D200" s="27"/>
      <c r="E200" s="27"/>
      <c r="F200" s="27"/>
      <c r="G200" s="27"/>
      <c r="H200" s="27"/>
    </row>
    <row r="201" spans="1:26" ht="17.45" customHeight="1">
      <c r="A201" s="30" t="s">
        <v>29</v>
      </c>
      <c r="B201" s="31" t="s">
        <v>337</v>
      </c>
      <c r="C201" s="26" t="s">
        <v>338</v>
      </c>
      <c r="D201" s="27">
        <f>+[2]CLN!D201</f>
        <v>-23.39</v>
      </c>
      <c r="E201" s="27">
        <f>+'[2]MJK 2'!D201</f>
        <v>0</v>
      </c>
      <c r="F201" s="27">
        <f>'[2]MJK 1'!D201</f>
        <v>0</v>
      </c>
      <c r="G201" s="27">
        <f>[2]BJR!D201</f>
        <v>0</v>
      </c>
      <c r="H201" s="27">
        <f t="shared" ref="H201:H253" si="3">SUM(D201:G201)</f>
        <v>-23.39</v>
      </c>
    </row>
    <row r="202" spans="1:26" ht="17.45" customHeight="1">
      <c r="A202" s="30" t="s">
        <v>29</v>
      </c>
      <c r="B202" s="31" t="s">
        <v>339</v>
      </c>
      <c r="C202" s="26" t="s">
        <v>340</v>
      </c>
      <c r="D202" s="27">
        <f>+[2]CLN!D202</f>
        <v>0</v>
      </c>
      <c r="E202" s="27">
        <f>+'[2]MJK 2'!D202</f>
        <v>0</v>
      </c>
      <c r="F202" s="27">
        <f>'[2]MJK 1'!D202</f>
        <v>0</v>
      </c>
      <c r="G202" s="27">
        <f>[2]BJR!D202</f>
        <v>0</v>
      </c>
      <c r="H202" s="27">
        <f t="shared" si="3"/>
        <v>0</v>
      </c>
    </row>
    <row r="203" spans="1:26" ht="17.45" customHeight="1">
      <c r="A203" s="30"/>
      <c r="B203" s="31"/>
      <c r="C203" s="28" t="s">
        <v>341</v>
      </c>
      <c r="D203" s="27">
        <f>+[2]CLN!D203</f>
        <v>0</v>
      </c>
      <c r="E203" s="27">
        <f>+'[2]MJK 2'!D203</f>
        <v>0</v>
      </c>
      <c r="F203" s="27">
        <f>'[2]MJK 1'!D203</f>
        <v>0</v>
      </c>
      <c r="G203" s="27">
        <f>[2]BJR!D203</f>
        <v>0</v>
      </c>
      <c r="H203" s="27">
        <f t="shared" si="3"/>
        <v>0</v>
      </c>
    </row>
    <row r="204" spans="1:26" ht="17.45" customHeight="1">
      <c r="A204" s="30" t="s">
        <v>52</v>
      </c>
      <c r="B204" s="31" t="s">
        <v>342</v>
      </c>
      <c r="C204" s="26" t="s">
        <v>343</v>
      </c>
      <c r="D204" s="27">
        <f>+[2]CLN!D204</f>
        <v>0</v>
      </c>
      <c r="E204" s="27">
        <f>+'[2]MJK 2'!D204</f>
        <v>0</v>
      </c>
      <c r="F204" s="27">
        <f>'[2]MJK 1'!D204</f>
        <v>0</v>
      </c>
      <c r="G204" s="27">
        <f>[2]BJR!D204</f>
        <v>0</v>
      </c>
      <c r="H204" s="27">
        <f t="shared" si="3"/>
        <v>0</v>
      </c>
    </row>
    <row r="205" spans="1:26" ht="17.45" customHeight="1">
      <c r="A205" s="30" t="s">
        <v>52</v>
      </c>
      <c r="B205" s="31" t="s">
        <v>344</v>
      </c>
      <c r="C205" s="26" t="s">
        <v>345</v>
      </c>
      <c r="D205" s="27">
        <f>+[2]CLN!D205</f>
        <v>0</v>
      </c>
      <c r="E205" s="27">
        <f>+'[2]MJK 2'!D205</f>
        <v>0</v>
      </c>
      <c r="F205" s="27">
        <f>'[2]MJK 1'!D205</f>
        <v>0</v>
      </c>
      <c r="G205" s="27">
        <f>[2]BJR!D205</f>
        <v>0</v>
      </c>
      <c r="H205" s="27">
        <f t="shared" si="3"/>
        <v>0</v>
      </c>
    </row>
    <row r="206" spans="1:26" ht="17.45" customHeight="1">
      <c r="A206" s="30" t="s">
        <v>29</v>
      </c>
      <c r="B206" s="31" t="s">
        <v>346</v>
      </c>
      <c r="C206" s="37" t="s">
        <v>341</v>
      </c>
      <c r="D206" s="27">
        <f>+[2]CLN!D206</f>
        <v>0</v>
      </c>
      <c r="E206" s="27">
        <f>+'[2]MJK 2'!D206</f>
        <v>0</v>
      </c>
      <c r="F206" s="27">
        <f>'[2]MJK 1'!D206</f>
        <v>0</v>
      </c>
      <c r="G206" s="27">
        <f>[2]BJR!D206</f>
        <v>0</v>
      </c>
      <c r="H206" s="27">
        <f t="shared" si="3"/>
        <v>0</v>
      </c>
    </row>
    <row r="207" spans="1:26" ht="17.45" customHeight="1">
      <c r="A207" s="30" t="s">
        <v>29</v>
      </c>
      <c r="B207" s="31" t="s">
        <v>347</v>
      </c>
      <c r="C207" s="26" t="s">
        <v>348</v>
      </c>
      <c r="D207" s="27">
        <f>+[2]CLN!D207</f>
        <v>0</v>
      </c>
      <c r="E207" s="27">
        <f>+'[2]MJK 2'!D207</f>
        <v>0</v>
      </c>
      <c r="F207" s="27">
        <f>'[2]MJK 1'!D207</f>
        <v>0</v>
      </c>
      <c r="G207" s="27">
        <f>[2]BJR!D207</f>
        <v>0</v>
      </c>
      <c r="H207" s="27">
        <f t="shared" si="3"/>
        <v>0</v>
      </c>
    </row>
    <row r="208" spans="1:26" ht="17.45" customHeight="1">
      <c r="A208" s="30" t="s">
        <v>29</v>
      </c>
      <c r="B208" s="31" t="s">
        <v>349</v>
      </c>
      <c r="C208" s="26" t="s">
        <v>350</v>
      </c>
      <c r="D208" s="27">
        <f>+[2]CLN!D208</f>
        <v>0</v>
      </c>
      <c r="E208" s="27">
        <f>+'[2]MJK 2'!D208</f>
        <v>0</v>
      </c>
      <c r="F208" s="27">
        <f>'[2]MJK 1'!D208</f>
        <v>0</v>
      </c>
      <c r="G208" s="27">
        <f>[2]BJR!D208</f>
        <v>0</v>
      </c>
      <c r="H208" s="27">
        <f t="shared" si="3"/>
        <v>0</v>
      </c>
    </row>
    <row r="209" spans="1:8" ht="17.45" customHeight="1">
      <c r="A209" s="30" t="s">
        <v>29</v>
      </c>
      <c r="B209" s="31" t="s">
        <v>351</v>
      </c>
      <c r="C209" s="26" t="s">
        <v>352</v>
      </c>
      <c r="D209" s="27">
        <f>+[2]CLN!D209</f>
        <v>-1284.67</v>
      </c>
      <c r="E209" s="27">
        <f>+'[2]MJK 2'!D209</f>
        <v>-0.06</v>
      </c>
      <c r="F209" s="27">
        <f>'[2]MJK 1'!D209</f>
        <v>-0.97</v>
      </c>
      <c r="G209" s="27">
        <f>[2]BJR!D209</f>
        <v>0</v>
      </c>
      <c r="H209" s="27">
        <f t="shared" si="3"/>
        <v>-1285.7</v>
      </c>
    </row>
    <row r="210" spans="1:8" ht="17.45" customHeight="1">
      <c r="A210" s="30"/>
      <c r="B210" s="31"/>
      <c r="C210" s="26" t="s">
        <v>353</v>
      </c>
      <c r="D210" s="27">
        <f>+[2]CLN!D210</f>
        <v>160.26</v>
      </c>
      <c r="E210" s="27">
        <f>+'[2]MJK 2'!D210</f>
        <v>0</v>
      </c>
      <c r="F210" s="27">
        <f>'[2]MJK 1'!D210</f>
        <v>0</v>
      </c>
      <c r="G210" s="27">
        <f>[2]BJR!D210</f>
        <v>0</v>
      </c>
      <c r="H210" s="27">
        <f t="shared" si="3"/>
        <v>160.26</v>
      </c>
    </row>
    <row r="211" spans="1:8" ht="17.45" customHeight="1">
      <c r="A211" s="30" t="s">
        <v>29</v>
      </c>
      <c r="B211" s="31" t="s">
        <v>354</v>
      </c>
      <c r="C211" s="26" t="s">
        <v>355</v>
      </c>
      <c r="D211" s="27">
        <f>+[2]CLN!D211</f>
        <v>0</v>
      </c>
      <c r="E211" s="27">
        <f>+'[2]MJK 2'!D211</f>
        <v>0</v>
      </c>
      <c r="F211" s="27">
        <f>'[2]MJK 1'!D211</f>
        <v>0</v>
      </c>
      <c r="G211" s="27">
        <f>[2]BJR!D211</f>
        <v>0</v>
      </c>
      <c r="H211" s="27">
        <f t="shared" si="3"/>
        <v>0</v>
      </c>
    </row>
    <row r="212" spans="1:8" ht="17.45" customHeight="1">
      <c r="A212" s="30"/>
      <c r="B212" s="31"/>
      <c r="C212" s="26" t="s">
        <v>356</v>
      </c>
      <c r="D212" s="27">
        <f>+[2]CLN!D212</f>
        <v>-15231.99</v>
      </c>
      <c r="E212" s="27">
        <f>+'[2]MJK 2'!D212</f>
        <v>0</v>
      </c>
      <c r="F212" s="27">
        <f>'[2]MJK 1'!D212</f>
        <v>0</v>
      </c>
      <c r="G212" s="27">
        <f>[2]BJR!D212</f>
        <v>0</v>
      </c>
      <c r="H212" s="27">
        <f t="shared" si="3"/>
        <v>-15231.99</v>
      </c>
    </row>
    <row r="213" spans="1:8" ht="17.45" customHeight="1">
      <c r="A213" s="30" t="s">
        <v>29</v>
      </c>
      <c r="B213" s="31" t="s">
        <v>357</v>
      </c>
      <c r="C213" s="26" t="s">
        <v>358</v>
      </c>
      <c r="D213" s="27">
        <f>+[2]CLN!D213</f>
        <v>0</v>
      </c>
      <c r="E213" s="27">
        <f>+'[2]MJK 2'!D213</f>
        <v>0</v>
      </c>
      <c r="F213" s="27">
        <f>'[2]MJK 1'!D213</f>
        <v>0</v>
      </c>
      <c r="G213" s="27">
        <f>[2]BJR!D213</f>
        <v>0</v>
      </c>
      <c r="H213" s="27">
        <f t="shared" si="3"/>
        <v>0</v>
      </c>
    </row>
    <row r="214" spans="1:8" ht="17.45" customHeight="1">
      <c r="A214" s="30" t="s">
        <v>43</v>
      </c>
      <c r="B214" s="31" t="s">
        <v>359</v>
      </c>
      <c r="C214" s="37" t="s">
        <v>336</v>
      </c>
      <c r="D214" s="27">
        <f>+[2]CLN!D214</f>
        <v>-16379.79</v>
      </c>
      <c r="E214" s="27">
        <f>+'[2]MJK 2'!D214</f>
        <v>-0.06</v>
      </c>
      <c r="F214" s="27">
        <f>'[2]MJK 1'!D214</f>
        <v>-0.97</v>
      </c>
      <c r="G214" s="27">
        <f>[2]BJR!D214</f>
        <v>0</v>
      </c>
      <c r="H214" s="27">
        <f t="shared" si="3"/>
        <v>-16380.82</v>
      </c>
    </row>
    <row r="215" spans="1:8" ht="17.45" customHeight="1">
      <c r="A215" s="30"/>
      <c r="B215" s="31"/>
      <c r="C215" s="28" t="s">
        <v>360</v>
      </c>
      <c r="D215" s="27"/>
      <c r="E215" s="27"/>
      <c r="F215" s="27"/>
      <c r="G215" s="27"/>
      <c r="H215" s="27"/>
    </row>
    <row r="216" spans="1:8" ht="17.45" customHeight="1">
      <c r="A216" s="30"/>
      <c r="B216" s="31"/>
      <c r="C216" s="29" t="s">
        <v>361</v>
      </c>
      <c r="D216" s="27"/>
      <c r="E216" s="27"/>
      <c r="F216" s="27"/>
      <c r="G216" s="27"/>
      <c r="H216" s="27"/>
    </row>
    <row r="217" spans="1:8" ht="17.45" customHeight="1">
      <c r="A217" s="30" t="s">
        <v>52</v>
      </c>
      <c r="B217" s="31" t="s">
        <v>362</v>
      </c>
      <c r="C217" s="26" t="s">
        <v>363</v>
      </c>
      <c r="D217" s="27">
        <f>+[2]CLN!D217</f>
        <v>0</v>
      </c>
      <c r="E217" s="27">
        <f>+'[2]MJK 2'!D217</f>
        <v>0</v>
      </c>
      <c r="F217" s="27">
        <f>'[2]MJK 1'!D217</f>
        <v>0</v>
      </c>
      <c r="G217" s="27">
        <f>[2]BJR!D217</f>
        <v>0</v>
      </c>
      <c r="H217" s="27">
        <f t="shared" si="3"/>
        <v>0</v>
      </c>
    </row>
    <row r="218" spans="1:8" ht="17.45" customHeight="1">
      <c r="A218" s="30" t="s">
        <v>52</v>
      </c>
      <c r="B218" s="31" t="s">
        <v>364</v>
      </c>
      <c r="C218" s="26" t="s">
        <v>365</v>
      </c>
      <c r="D218" s="27">
        <f>+[2]CLN!D218</f>
        <v>34176.43</v>
      </c>
      <c r="E218" s="27">
        <f>+'[2]MJK 2'!D218</f>
        <v>0</v>
      </c>
      <c r="F218" s="27">
        <f>'[2]MJK 1'!D218</f>
        <v>0</v>
      </c>
      <c r="G218" s="27">
        <f>[2]BJR!D218</f>
        <v>0</v>
      </c>
      <c r="H218" s="27">
        <f t="shared" si="3"/>
        <v>34176.43</v>
      </c>
    </row>
    <row r="219" spans="1:8" ht="17.45" customHeight="1">
      <c r="A219" s="30" t="s">
        <v>29</v>
      </c>
      <c r="B219" s="31" t="s">
        <v>366</v>
      </c>
      <c r="C219" s="37" t="s">
        <v>361</v>
      </c>
      <c r="D219" s="27">
        <f>+[2]CLN!D219</f>
        <v>34176.43</v>
      </c>
      <c r="E219" s="27">
        <f>+'[2]MJK 2'!D219</f>
        <v>0</v>
      </c>
      <c r="F219" s="27">
        <f>'[2]MJK 1'!D219</f>
        <v>0</v>
      </c>
      <c r="G219" s="27">
        <f>[2]BJR!D219</f>
        <v>0</v>
      </c>
      <c r="H219" s="27">
        <f t="shared" si="3"/>
        <v>34176.43</v>
      </c>
    </row>
    <row r="220" spans="1:8" ht="17.45" customHeight="1">
      <c r="A220" s="30"/>
      <c r="B220" s="31"/>
      <c r="C220" s="28" t="s">
        <v>367</v>
      </c>
      <c r="D220" s="27">
        <f>+[2]CLN!D220</f>
        <v>0</v>
      </c>
      <c r="E220" s="27">
        <f>+'[2]MJK 2'!D220</f>
        <v>0</v>
      </c>
      <c r="F220" s="27">
        <f>'[2]MJK 1'!D220</f>
        <v>0</v>
      </c>
      <c r="G220" s="27">
        <f>[2]BJR!D220</f>
        <v>0</v>
      </c>
      <c r="H220" s="27">
        <f t="shared" si="3"/>
        <v>0</v>
      </c>
    </row>
    <row r="221" spans="1:8" ht="17.45" customHeight="1">
      <c r="A221" s="30" t="s">
        <v>52</v>
      </c>
      <c r="B221" s="31" t="s">
        <v>368</v>
      </c>
      <c r="C221" s="26" t="s">
        <v>369</v>
      </c>
      <c r="D221" s="27">
        <f>+[2]CLN!D221</f>
        <v>-26785.69</v>
      </c>
      <c r="E221" s="27">
        <f>+'[2]MJK 2'!D221</f>
        <v>0</v>
      </c>
      <c r="F221" s="27">
        <f>'[2]MJK 1'!D221</f>
        <v>0</v>
      </c>
      <c r="G221" s="27">
        <f>[2]BJR!D221</f>
        <v>0</v>
      </c>
      <c r="H221" s="27">
        <f t="shared" si="3"/>
        <v>-26785.69</v>
      </c>
    </row>
    <row r="222" spans="1:8" ht="17.45" customHeight="1">
      <c r="A222" s="30" t="s">
        <v>52</v>
      </c>
      <c r="B222" s="31" t="s">
        <v>370</v>
      </c>
      <c r="C222" s="26" t="s">
        <v>371</v>
      </c>
      <c r="D222" s="27">
        <f>+[2]CLN!D222</f>
        <v>-3439.89</v>
      </c>
      <c r="E222" s="27">
        <f>+'[2]MJK 2'!D222</f>
        <v>2937.4</v>
      </c>
      <c r="F222" s="27">
        <f>'[2]MJK 1'!D222</f>
        <v>519.46</v>
      </c>
      <c r="G222" s="27">
        <f>[2]BJR!D222</f>
        <v>11.28</v>
      </c>
      <c r="H222" s="27">
        <f t="shared" si="3"/>
        <v>28.250000000000256</v>
      </c>
    </row>
    <row r="223" spans="1:8" ht="17.45" customHeight="1">
      <c r="A223" s="30" t="s">
        <v>29</v>
      </c>
      <c r="B223" s="31" t="s">
        <v>372</v>
      </c>
      <c r="C223" s="37" t="s">
        <v>367</v>
      </c>
      <c r="D223" s="27">
        <f>+[2]CLN!D223</f>
        <v>-30225.579999999998</v>
      </c>
      <c r="E223" s="27">
        <f>+'[2]MJK 2'!D223</f>
        <v>2937.4</v>
      </c>
      <c r="F223" s="27">
        <f>'[2]MJK 1'!D223</f>
        <v>519.46</v>
      </c>
      <c r="G223" s="27">
        <f>[2]BJR!D223</f>
        <v>11.28</v>
      </c>
      <c r="H223" s="27">
        <f t="shared" si="3"/>
        <v>-26757.439999999999</v>
      </c>
    </row>
    <row r="224" spans="1:8" ht="17.45" customHeight="1">
      <c r="A224" s="30" t="s">
        <v>29</v>
      </c>
      <c r="B224" s="31" t="s">
        <v>373</v>
      </c>
      <c r="C224" s="26" t="s">
        <v>374</v>
      </c>
      <c r="D224" s="27">
        <f>+[2]CLN!D224</f>
        <v>67169</v>
      </c>
      <c r="E224" s="27">
        <f>+'[2]MJK 2'!D224</f>
        <v>0</v>
      </c>
      <c r="F224" s="27">
        <f>'[2]MJK 1'!D224</f>
        <v>0</v>
      </c>
      <c r="G224" s="27">
        <f>[2]BJR!D224</f>
        <v>0</v>
      </c>
      <c r="H224" s="27">
        <f t="shared" si="3"/>
        <v>67169</v>
      </c>
    </row>
    <row r="225" spans="1:26" ht="17.45" customHeight="1">
      <c r="A225" s="30"/>
      <c r="B225" s="31"/>
      <c r="C225" s="28" t="s">
        <v>375</v>
      </c>
      <c r="D225" s="27">
        <f>+[2]CLN!D225</f>
        <v>0</v>
      </c>
      <c r="E225" s="27">
        <f>+'[2]MJK 2'!D225</f>
        <v>0</v>
      </c>
      <c r="F225" s="27">
        <f>'[2]MJK 1'!D225</f>
        <v>0</v>
      </c>
      <c r="G225" s="27">
        <f>[2]BJR!D225</f>
        <v>0</v>
      </c>
      <c r="H225" s="27">
        <f t="shared" si="3"/>
        <v>0</v>
      </c>
    </row>
    <row r="226" spans="1:26" ht="17.45" customHeight="1">
      <c r="A226" s="30" t="s">
        <v>52</v>
      </c>
      <c r="B226" s="31" t="s">
        <v>376</v>
      </c>
      <c r="C226" s="26" t="s">
        <v>377</v>
      </c>
      <c r="D226" s="27">
        <f>+[2]CLN!D226</f>
        <v>2509.0100000000002</v>
      </c>
      <c r="E226" s="27">
        <f>+'[2]MJK 2'!D226</f>
        <v>0.22</v>
      </c>
      <c r="F226" s="27">
        <f>'[2]MJK 1'!D226</f>
        <v>0.22</v>
      </c>
      <c r="G226" s="27">
        <f>[2]BJR!D226</f>
        <v>0.44</v>
      </c>
      <c r="H226" s="27">
        <f t="shared" si="3"/>
        <v>2509.89</v>
      </c>
    </row>
    <row r="227" spans="1:26" ht="17.45" customHeight="1">
      <c r="A227" s="30" t="s">
        <v>52</v>
      </c>
      <c r="B227" s="31" t="s">
        <v>378</v>
      </c>
      <c r="C227" s="26" t="s">
        <v>379</v>
      </c>
      <c r="D227" s="27">
        <f>+[2]CLN!D227</f>
        <v>0</v>
      </c>
      <c r="E227" s="27">
        <f>+'[2]MJK 2'!D227</f>
        <v>0</v>
      </c>
      <c r="F227" s="27">
        <f>'[2]MJK 1'!D227</f>
        <v>0</v>
      </c>
      <c r="G227" s="27">
        <f>[2]BJR!D227</f>
        <v>0</v>
      </c>
      <c r="H227" s="27">
        <f t="shared" si="3"/>
        <v>0</v>
      </c>
    </row>
    <row r="228" spans="1:26" ht="17.45" customHeight="1">
      <c r="A228" s="30" t="s">
        <v>52</v>
      </c>
      <c r="B228" s="31"/>
      <c r="C228" s="26" t="s">
        <v>380</v>
      </c>
      <c r="D228" s="27">
        <f>+[2]CLN!D228</f>
        <v>0</v>
      </c>
      <c r="E228" s="27">
        <f>+'[2]MJK 2'!D228</f>
        <v>0</v>
      </c>
      <c r="F228" s="27">
        <f>'[2]MJK 1'!D228</f>
        <v>0</v>
      </c>
      <c r="G228" s="27">
        <f>[2]BJR!D228</f>
        <v>0</v>
      </c>
      <c r="H228" s="27">
        <f t="shared" si="3"/>
        <v>0</v>
      </c>
      <c r="I228" s="27">
        <v>0</v>
      </c>
      <c r="J228" s="27">
        <v>0</v>
      </c>
      <c r="K228" s="27">
        <v>0</v>
      </c>
      <c r="L228" s="27">
        <f>SUM(D228:K228)</f>
        <v>0</v>
      </c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>
        <f>SUM(N228:Y228)</f>
        <v>0</v>
      </c>
    </row>
    <row r="229" spans="1:26" ht="17.45" customHeight="1">
      <c r="A229" s="30" t="s">
        <v>29</v>
      </c>
      <c r="B229" s="31" t="s">
        <v>381</v>
      </c>
      <c r="C229" s="37" t="s">
        <v>375</v>
      </c>
      <c r="D229" s="27">
        <f>+[2]CLN!D229</f>
        <v>2509.0100000000002</v>
      </c>
      <c r="E229" s="27">
        <f>+'[2]MJK 2'!D229</f>
        <v>0.22</v>
      </c>
      <c r="F229" s="27">
        <f>'[2]MJK 1'!D229</f>
        <v>0.22</v>
      </c>
      <c r="G229" s="27">
        <f>[2]BJR!D229</f>
        <v>0.44</v>
      </c>
      <c r="H229" s="27">
        <f t="shared" si="3"/>
        <v>2509.89</v>
      </c>
    </row>
    <row r="230" spans="1:26" ht="17.45" customHeight="1">
      <c r="A230" s="30"/>
      <c r="B230" s="31"/>
      <c r="C230" s="28" t="s">
        <v>382</v>
      </c>
      <c r="D230" s="27">
        <f>+[2]CLN!D230</f>
        <v>0</v>
      </c>
      <c r="E230" s="27">
        <f>+'[2]MJK 2'!D230</f>
        <v>0</v>
      </c>
      <c r="F230" s="27">
        <f>'[2]MJK 1'!D230</f>
        <v>0</v>
      </c>
      <c r="G230" s="27">
        <f>[2]BJR!D230</f>
        <v>0</v>
      </c>
      <c r="H230" s="27">
        <f t="shared" si="3"/>
        <v>0</v>
      </c>
    </row>
    <row r="231" spans="1:26" ht="17.45" customHeight="1">
      <c r="A231" s="30" t="s">
        <v>52</v>
      </c>
      <c r="B231" s="31" t="s">
        <v>383</v>
      </c>
      <c r="C231" s="26" t="s">
        <v>384</v>
      </c>
      <c r="D231" s="27">
        <f>+[2]CLN!D231</f>
        <v>0</v>
      </c>
      <c r="E231" s="27">
        <f>+'[2]MJK 2'!D231</f>
        <v>0</v>
      </c>
      <c r="F231" s="27">
        <f>'[2]MJK 1'!D231</f>
        <v>0</v>
      </c>
      <c r="G231" s="27">
        <f>[2]BJR!D231</f>
        <v>0</v>
      </c>
      <c r="H231" s="27">
        <f t="shared" si="3"/>
        <v>0</v>
      </c>
    </row>
    <row r="232" spans="1:26" ht="17.45" customHeight="1">
      <c r="A232" s="30" t="s">
        <v>52</v>
      </c>
      <c r="B232" s="31" t="s">
        <v>385</v>
      </c>
      <c r="C232" s="26" t="s">
        <v>386</v>
      </c>
      <c r="D232" s="27">
        <f>+[2]CLN!D232</f>
        <v>0</v>
      </c>
      <c r="E232" s="27">
        <f>+'[2]MJK 2'!D232</f>
        <v>0</v>
      </c>
      <c r="F232" s="27">
        <f>'[2]MJK 1'!D232</f>
        <v>0</v>
      </c>
      <c r="G232" s="27">
        <f>[2]BJR!D232</f>
        <v>0</v>
      </c>
      <c r="H232" s="27">
        <f t="shared" si="3"/>
        <v>0</v>
      </c>
    </row>
    <row r="233" spans="1:26" ht="17.45" customHeight="1">
      <c r="A233" s="30" t="s">
        <v>29</v>
      </c>
      <c r="B233" s="31" t="s">
        <v>387</v>
      </c>
      <c r="C233" s="37" t="s">
        <v>382</v>
      </c>
      <c r="D233" s="27">
        <f>+[2]CLN!D233</f>
        <v>0</v>
      </c>
      <c r="E233" s="27">
        <f>+'[2]MJK 2'!D233</f>
        <v>0</v>
      </c>
      <c r="F233" s="27">
        <f>'[2]MJK 1'!D233</f>
        <v>0</v>
      </c>
      <c r="G233" s="27">
        <f>[2]BJR!D233</f>
        <v>0</v>
      </c>
      <c r="H233" s="27">
        <f t="shared" si="3"/>
        <v>0</v>
      </c>
    </row>
    <row r="234" spans="1:26" ht="17.45" customHeight="1">
      <c r="A234" s="30" t="s">
        <v>29</v>
      </c>
      <c r="B234" s="31" t="s">
        <v>388</v>
      </c>
      <c r="C234" s="26" t="s">
        <v>389</v>
      </c>
      <c r="D234" s="27">
        <f>+[2]CLN!D234</f>
        <v>0</v>
      </c>
      <c r="E234" s="27">
        <f>+'[2]MJK 2'!D234</f>
        <v>0</v>
      </c>
      <c r="F234" s="27">
        <f>'[2]MJK 1'!D234</f>
        <v>0</v>
      </c>
      <c r="G234" s="27">
        <f>[2]BJR!D234</f>
        <v>0</v>
      </c>
      <c r="H234" s="27">
        <f t="shared" si="3"/>
        <v>0</v>
      </c>
    </row>
    <row r="235" spans="1:26" ht="17.45" customHeight="1">
      <c r="A235" s="30" t="s">
        <v>29</v>
      </c>
      <c r="B235" s="31" t="s">
        <v>390</v>
      </c>
      <c r="C235" s="26" t="s">
        <v>391</v>
      </c>
      <c r="D235" s="27">
        <f>+[2]CLN!D235</f>
        <v>1169.43</v>
      </c>
      <c r="E235" s="27">
        <f>+'[2]MJK 2'!D235</f>
        <v>592.20000000000005</v>
      </c>
      <c r="F235" s="27">
        <f>'[2]MJK 1'!D235</f>
        <v>456.33</v>
      </c>
      <c r="G235" s="27">
        <f>[2]BJR!D235</f>
        <v>115.26</v>
      </c>
      <c r="H235" s="27">
        <f t="shared" si="3"/>
        <v>2333.2200000000003</v>
      </c>
    </row>
    <row r="236" spans="1:26" ht="17.45" customHeight="1">
      <c r="A236" s="30" t="s">
        <v>29</v>
      </c>
      <c r="B236" s="31" t="s">
        <v>392</v>
      </c>
      <c r="C236" s="26" t="s">
        <v>393</v>
      </c>
      <c r="D236" s="27">
        <f>+[2]CLN!D236</f>
        <v>0</v>
      </c>
      <c r="E236" s="27">
        <f>+'[2]MJK 2'!D236</f>
        <v>0</v>
      </c>
      <c r="F236" s="27">
        <f>'[2]MJK 1'!D236</f>
        <v>0</v>
      </c>
      <c r="G236" s="27">
        <f>[2]BJR!D236</f>
        <v>0</v>
      </c>
      <c r="H236" s="27">
        <f t="shared" si="3"/>
        <v>0</v>
      </c>
    </row>
    <row r="237" spans="1:26" ht="17.45" customHeight="1">
      <c r="A237" s="30" t="s">
        <v>29</v>
      </c>
      <c r="B237" s="31" t="s">
        <v>394</v>
      </c>
      <c r="C237" s="26" t="s">
        <v>395</v>
      </c>
      <c r="D237" s="27">
        <f>+[2]CLN!D237</f>
        <v>0</v>
      </c>
      <c r="E237" s="27">
        <f>+'[2]MJK 2'!D237</f>
        <v>0</v>
      </c>
      <c r="F237" s="27">
        <f>'[2]MJK 1'!D237</f>
        <v>0</v>
      </c>
      <c r="G237" s="27">
        <f>[2]BJR!D237</f>
        <v>0</v>
      </c>
      <c r="H237" s="27">
        <f t="shared" si="3"/>
        <v>0</v>
      </c>
    </row>
    <row r="238" spans="1:26" ht="17.45" customHeight="1">
      <c r="A238" s="30" t="s">
        <v>29</v>
      </c>
      <c r="B238" s="31" t="s">
        <v>396</v>
      </c>
      <c r="C238" s="26" t="s">
        <v>397</v>
      </c>
      <c r="D238" s="27">
        <f>+[2]CLN!D238</f>
        <v>0</v>
      </c>
      <c r="E238" s="27">
        <f>+'[2]MJK 2'!D238</f>
        <v>0</v>
      </c>
      <c r="F238" s="27">
        <f>'[2]MJK 1'!D238</f>
        <v>0</v>
      </c>
      <c r="G238" s="27">
        <f>[2]BJR!D238</f>
        <v>0</v>
      </c>
      <c r="H238" s="27">
        <f t="shared" si="3"/>
        <v>0</v>
      </c>
    </row>
    <row r="239" spans="1:26" ht="17.45" customHeight="1">
      <c r="A239" s="30"/>
      <c r="B239" s="31"/>
      <c r="C239" s="26" t="s">
        <v>398</v>
      </c>
      <c r="D239" s="27">
        <f>+[2]CLN!D239</f>
        <v>0</v>
      </c>
      <c r="E239" s="27">
        <f>+'[2]MJK 2'!D239</f>
        <v>0</v>
      </c>
      <c r="F239" s="27">
        <f>'[2]MJK 1'!D239</f>
        <v>0</v>
      </c>
      <c r="G239" s="27">
        <f>[2]BJR!D239</f>
        <v>0</v>
      </c>
      <c r="H239" s="27">
        <f t="shared" si="3"/>
        <v>0</v>
      </c>
    </row>
    <row r="240" spans="1:26" ht="17.45" customHeight="1">
      <c r="A240" s="30" t="s">
        <v>29</v>
      </c>
      <c r="B240" s="31" t="s">
        <v>399</v>
      </c>
      <c r="C240" s="26" t="s">
        <v>355</v>
      </c>
      <c r="D240" s="27">
        <f>+[2]CLN!D240</f>
        <v>0</v>
      </c>
      <c r="E240" s="27">
        <f>+'[2]MJK 2'!D240</f>
        <v>0</v>
      </c>
      <c r="F240" s="27">
        <f>'[2]MJK 1'!D240</f>
        <v>0</v>
      </c>
      <c r="G240" s="27">
        <f>[2]BJR!D240</f>
        <v>0</v>
      </c>
      <c r="H240" s="27">
        <f t="shared" si="3"/>
        <v>0</v>
      </c>
    </row>
    <row r="241" spans="1:26" ht="17.45" customHeight="1">
      <c r="A241" s="30" t="s">
        <v>29</v>
      </c>
      <c r="B241" s="31"/>
      <c r="C241" s="26" t="s">
        <v>400</v>
      </c>
      <c r="D241" s="27">
        <f>+[2]CLN!D241</f>
        <v>0</v>
      </c>
      <c r="E241" s="27">
        <f>+'[2]MJK 2'!D241</f>
        <v>0</v>
      </c>
      <c r="F241" s="27">
        <f>'[2]MJK 1'!D241</f>
        <v>0</v>
      </c>
      <c r="G241" s="27">
        <f>[2]BJR!D241</f>
        <v>0</v>
      </c>
      <c r="H241" s="27">
        <f t="shared" si="3"/>
        <v>0</v>
      </c>
      <c r="I241" s="27"/>
      <c r="J241" s="27"/>
      <c r="K241" s="27"/>
      <c r="L241" s="27">
        <f>SUM(D241:K241)</f>
        <v>0</v>
      </c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>
        <f>SUM(N241:Y241)</f>
        <v>0</v>
      </c>
    </row>
    <row r="242" spans="1:26" ht="17.45" customHeight="1">
      <c r="A242" s="30" t="s">
        <v>29</v>
      </c>
      <c r="B242" s="31" t="s">
        <v>401</v>
      </c>
      <c r="C242" s="26" t="s">
        <v>358</v>
      </c>
      <c r="D242" s="27">
        <f>+[2]CLN!D242</f>
        <v>659.35</v>
      </c>
      <c r="E242" s="27">
        <f>+'[2]MJK 2'!D242</f>
        <v>0</v>
      </c>
      <c r="F242" s="27">
        <f>'[2]MJK 1'!D242</f>
        <v>0.01</v>
      </c>
      <c r="G242" s="27">
        <f>[2]BJR!D242</f>
        <v>0</v>
      </c>
      <c r="H242" s="27">
        <f t="shared" si="3"/>
        <v>659.36</v>
      </c>
    </row>
    <row r="243" spans="1:26" ht="17.45" customHeight="1">
      <c r="A243" s="30" t="s">
        <v>43</v>
      </c>
      <c r="B243" s="31" t="s">
        <v>402</v>
      </c>
      <c r="C243" s="37" t="s">
        <v>360</v>
      </c>
      <c r="D243" s="27">
        <f>+[2]CLN!D243</f>
        <v>75457.64</v>
      </c>
      <c r="E243" s="27">
        <f>+'[2]MJK 2'!D243</f>
        <v>3529.8199999999997</v>
      </c>
      <c r="F243" s="27">
        <f>'[2]MJK 1'!D243</f>
        <v>976.02</v>
      </c>
      <c r="G243" s="27">
        <f>[2]BJR!D243</f>
        <v>126.98</v>
      </c>
      <c r="H243" s="27">
        <f t="shared" si="3"/>
        <v>80090.459999999992</v>
      </c>
    </row>
    <row r="244" spans="1:26" ht="17.45" customHeight="1">
      <c r="A244" s="30" t="s">
        <v>43</v>
      </c>
      <c r="B244" s="31" t="s">
        <v>403</v>
      </c>
      <c r="C244" s="26" t="s">
        <v>404</v>
      </c>
      <c r="D244" s="27">
        <f>+[2]CLN!D244</f>
        <v>0</v>
      </c>
      <c r="E244" s="27">
        <f>+'[2]MJK 2'!D244</f>
        <v>0</v>
      </c>
      <c r="F244" s="27">
        <f>'[2]MJK 1'!D244</f>
        <v>0</v>
      </c>
      <c r="G244" s="27">
        <f>[2]BJR!D244</f>
        <v>0</v>
      </c>
      <c r="H244" s="27">
        <f t="shared" si="3"/>
        <v>0</v>
      </c>
    </row>
    <row r="245" spans="1:26" ht="17.45" customHeight="1">
      <c r="A245" s="30" t="s">
        <v>43</v>
      </c>
      <c r="B245" s="31" t="s">
        <v>405</v>
      </c>
      <c r="C245" s="26" t="s">
        <v>406</v>
      </c>
      <c r="D245" s="27">
        <f>+[2]CLN!D245</f>
        <v>0</v>
      </c>
      <c r="E245" s="27">
        <f>+'[2]MJK 2'!D245</f>
        <v>0</v>
      </c>
      <c r="F245" s="27">
        <f>'[2]MJK 1'!D245</f>
        <v>0</v>
      </c>
      <c r="G245" s="27">
        <f>[2]BJR!D245</f>
        <v>0</v>
      </c>
      <c r="H245" s="27">
        <f t="shared" si="3"/>
        <v>0</v>
      </c>
    </row>
    <row r="246" spans="1:26" ht="17.45" customHeight="1">
      <c r="A246" s="30" t="s">
        <v>43</v>
      </c>
      <c r="B246" s="31" t="s">
        <v>407</v>
      </c>
      <c r="C246" s="26" t="s">
        <v>408</v>
      </c>
      <c r="D246" s="27">
        <f>+[2]CLN!D246</f>
        <v>0</v>
      </c>
      <c r="E246" s="27">
        <f>+'[2]MJK 2'!D246</f>
        <v>0</v>
      </c>
      <c r="F246" s="27">
        <f>'[2]MJK 1'!D246</f>
        <v>0</v>
      </c>
      <c r="G246" s="27">
        <f>[2]BJR!D246</f>
        <v>0</v>
      </c>
      <c r="H246" s="27">
        <f t="shared" si="3"/>
        <v>0</v>
      </c>
    </row>
    <row r="247" spans="1:26" ht="17.45" customHeight="1">
      <c r="A247" s="30" t="s">
        <v>43</v>
      </c>
      <c r="B247" s="31" t="s">
        <v>409</v>
      </c>
      <c r="C247" s="26" t="s">
        <v>410</v>
      </c>
      <c r="D247" s="27">
        <f>+[2]CLN!D247</f>
        <v>0</v>
      </c>
      <c r="E247" s="27">
        <f>+'[2]MJK 2'!D247</f>
        <v>0</v>
      </c>
      <c r="F247" s="27">
        <f>'[2]MJK 1'!D247</f>
        <v>0</v>
      </c>
      <c r="G247" s="27">
        <f>[2]BJR!D247</f>
        <v>0</v>
      </c>
      <c r="H247" s="27">
        <f t="shared" si="3"/>
        <v>0</v>
      </c>
    </row>
    <row r="248" spans="1:26" ht="17.45" customHeight="1">
      <c r="A248" s="30" t="s">
        <v>45</v>
      </c>
      <c r="B248" s="31" t="s">
        <v>411</v>
      </c>
      <c r="C248" s="37" t="s">
        <v>335</v>
      </c>
      <c r="D248" s="27">
        <f>+[2]CLN!D248</f>
        <v>59077.85</v>
      </c>
      <c r="E248" s="27">
        <f>+'[2]MJK 2'!D248</f>
        <v>3529.7599999999998</v>
      </c>
      <c r="F248" s="27">
        <f>'[2]MJK 1'!D248</f>
        <v>975.05</v>
      </c>
      <c r="G248" s="27">
        <f>[2]BJR!D248</f>
        <v>126.98</v>
      </c>
      <c r="H248" s="27">
        <f t="shared" si="3"/>
        <v>63709.640000000007</v>
      </c>
    </row>
    <row r="249" spans="1:26" ht="17.45" customHeight="1">
      <c r="A249" s="30" t="s">
        <v>45</v>
      </c>
      <c r="B249" s="31" t="s">
        <v>412</v>
      </c>
      <c r="C249" s="26" t="s">
        <v>413</v>
      </c>
      <c r="D249" s="27">
        <f>+[2]CLN!D249</f>
        <v>0</v>
      </c>
      <c r="E249" s="27">
        <f>+'[2]MJK 2'!D249</f>
        <v>0</v>
      </c>
      <c r="F249" s="27">
        <f>'[2]MJK 1'!D249</f>
        <v>0</v>
      </c>
      <c r="G249" s="27">
        <f>[2]BJR!D249</f>
        <v>0</v>
      </c>
      <c r="H249" s="27">
        <f t="shared" si="3"/>
        <v>0</v>
      </c>
    </row>
    <row r="250" spans="1:26" ht="17.45" customHeight="1">
      <c r="A250" s="30" t="s">
        <v>43</v>
      </c>
      <c r="B250" s="31" t="s">
        <v>414</v>
      </c>
      <c r="C250" s="26" t="s">
        <v>415</v>
      </c>
      <c r="D250" s="27">
        <f>+[2]CLN!D250</f>
        <v>0</v>
      </c>
      <c r="E250" s="27">
        <f>+'[2]MJK 2'!D250</f>
        <v>0</v>
      </c>
      <c r="F250" s="27">
        <f>'[2]MJK 1'!D250</f>
        <v>0</v>
      </c>
      <c r="G250" s="27">
        <f>[2]BJR!D250</f>
        <v>0</v>
      </c>
      <c r="H250" s="27">
        <f t="shared" si="3"/>
        <v>0</v>
      </c>
    </row>
    <row r="251" spans="1:26" ht="17.45" customHeight="1">
      <c r="A251" s="30" t="s">
        <v>43</v>
      </c>
      <c r="B251" s="31"/>
      <c r="C251" s="26" t="s">
        <v>416</v>
      </c>
      <c r="D251" s="27">
        <f>+[2]CLN!D251</f>
        <v>0</v>
      </c>
      <c r="E251" s="27">
        <f>+'[2]MJK 2'!D251</f>
        <v>0</v>
      </c>
      <c r="F251" s="27">
        <f>'[2]MJK 1'!D251</f>
        <v>0</v>
      </c>
      <c r="G251" s="27">
        <f>[2]BJR!D251</f>
        <v>0</v>
      </c>
      <c r="H251" s="27">
        <f t="shared" si="3"/>
        <v>0</v>
      </c>
      <c r="I251" s="27"/>
      <c r="J251" s="27"/>
      <c r="K251" s="27"/>
      <c r="L251" s="27">
        <f>SUM(D251:K251)</f>
        <v>0</v>
      </c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>
        <f>SUM(N251:Y251)</f>
        <v>0</v>
      </c>
    </row>
    <row r="252" spans="1:26" ht="17.45" customHeight="1">
      <c r="B252" s="25"/>
      <c r="C252" s="26" t="s">
        <v>413</v>
      </c>
      <c r="D252" s="27">
        <f>+[2]CLN!D252</f>
        <v>0</v>
      </c>
      <c r="E252" s="27">
        <f>+'[2]MJK 2'!D252</f>
        <v>0</v>
      </c>
      <c r="F252" s="27">
        <f>'[2]MJK 1'!D252</f>
        <v>0</v>
      </c>
      <c r="G252" s="27">
        <f>[2]BJR!D252</f>
        <v>0</v>
      </c>
      <c r="H252" s="27">
        <f t="shared" si="3"/>
        <v>0</v>
      </c>
    </row>
    <row r="253" spans="1:26" ht="17.45" customHeight="1">
      <c r="B253" s="48"/>
      <c r="C253" s="49" t="s">
        <v>417</v>
      </c>
      <c r="D253" s="50">
        <f>+[2]CLN!D253</f>
        <v>-735746.1</v>
      </c>
      <c r="E253" s="50">
        <f>+'[2]MJK 2'!D253</f>
        <v>688520.3</v>
      </c>
      <c r="F253" s="50">
        <f>'[2]MJK 1'!D253</f>
        <v>-38707.659999999989</v>
      </c>
      <c r="G253" s="50">
        <f>[2]BJR!D253</f>
        <v>-84964.77</v>
      </c>
      <c r="H253" s="50">
        <f t="shared" si="3"/>
        <v>-170898.22999999992</v>
      </c>
    </row>
    <row r="254" spans="1:26" ht="17.45" customHeight="1">
      <c r="B254" s="25"/>
      <c r="C254" s="26"/>
      <c r="D254" s="27"/>
      <c r="E254" s="27"/>
      <c r="F254" s="27"/>
      <c r="G254" s="27"/>
      <c r="H254" s="27"/>
    </row>
    <row r="255" spans="1:26" ht="17.45" customHeight="1">
      <c r="B255" s="25"/>
      <c r="C255" s="26"/>
      <c r="D255" s="27"/>
      <c r="E255" s="27"/>
      <c r="F255" s="27"/>
      <c r="G255" s="27"/>
      <c r="H255" s="27"/>
    </row>
    <row r="256" spans="1:26" ht="17.45" customHeight="1">
      <c r="B256" s="25"/>
      <c r="C256" s="26"/>
      <c r="D256" s="27"/>
      <c r="E256" s="27"/>
      <c r="F256" s="27"/>
      <c r="G256" s="27"/>
      <c r="H256" s="27"/>
    </row>
    <row r="257" spans="2:8" ht="17.45" customHeight="1">
      <c r="B257" s="25"/>
      <c r="C257" s="26"/>
      <c r="D257" s="27"/>
      <c r="E257" s="27"/>
      <c r="F257" s="27"/>
      <c r="G257" s="27"/>
      <c r="H257" s="27"/>
    </row>
    <row r="258" spans="2:8">
      <c r="D258" s="22"/>
      <c r="F258" s="22"/>
    </row>
  </sheetData>
  <mergeCells count="1"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(MENU)</vt:lpstr>
      <vt:lpstr>Cache_Option</vt:lpstr>
      <vt:lpstr>Temp_PerBranch1</vt:lpstr>
      <vt:lpstr>Ref_CostCat</vt:lpstr>
      <vt:lpstr>CLN</vt:lpstr>
      <vt:lpstr>CLN (2)</vt:lpstr>
      <vt:lpstr>MJK2</vt:lpstr>
      <vt:lpstr>MJK1</vt:lpstr>
      <vt:lpstr>BJR</vt:lpstr>
      <vt:lpstr>JAN-DEC</vt:lpstr>
      <vt:lpstr>01. JAN</vt:lpstr>
      <vt:lpstr>'01. JAN'!Print_Area</vt:lpstr>
      <vt:lpstr>CLN!Print_Area</vt:lpstr>
      <vt:lpstr>'CLN (2)'!Print_Area</vt:lpstr>
      <vt:lpstr>'JAN-DEC'!Print_Area</vt:lpstr>
      <vt:lpstr>'MJK2'!Print_Area</vt:lpstr>
      <vt:lpstr>Temp_PerBranch1!Print_Area</vt:lpstr>
      <vt:lpstr>'01. JAN'!Print_Titles</vt:lpstr>
      <vt:lpstr>CLN!Print_Titles</vt:lpstr>
      <vt:lpstr>'CLN (2)'!Print_Titles</vt:lpstr>
      <vt:lpstr>'JAN-DEC'!Print_Titles</vt:lpstr>
      <vt:lpstr>'MJK2'!Print_Titles</vt:lpstr>
      <vt:lpstr>Temp_PerBranch1!Print_Titles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2024-03-12T03:11:35Z</dcterms:modified>
</cp:coreProperties>
</file>