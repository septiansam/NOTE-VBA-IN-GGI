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"/>
    </mc:Choice>
  </mc:AlternateContent>
  <xr:revisionPtr revIDLastSave="0" documentId="8_{B01DED86-4A98-4138-A760-B848CFBB4E98}" xr6:coauthVersionLast="47" xr6:coauthVersionMax="47" xr10:uidLastSave="{00000000-0000-0000-0000-000000000000}"/>
  <bookViews>
    <workbookView xWindow="-120" yWindow="-120" windowWidth="20640" windowHeight="11160" firstSheet="4" activeTab="4" xr2:uid="{2CCE3C95-2940-4053-8BE7-2A6EFE1350AC}"/>
  </bookViews>
  <sheets>
    <sheet name="Ref_CostCat" sheetId="10" state="hidden" r:id="rId1"/>
    <sheet name="Cache_Option" sheetId="15" state="hidden" r:id="rId2"/>
    <sheet name="Temp_PerBranch1" sheetId="17" state="hidden" r:id="rId3"/>
    <sheet name="Temp_PerBulan" sheetId="46" state="hidden" r:id="rId4"/>
    <sheet name="(MENU)" sheetId="2" r:id="rId5"/>
    <sheet name="CLN" sheetId="39" r:id="rId6"/>
    <sheet name="MJK2" sheetId="41" r:id="rId7"/>
    <sheet name="MJK1" sheetId="43" r:id="rId8"/>
    <sheet name="BJR" sheetId="45" r:id="rId9"/>
    <sheet name="JAN-DEC" sheetId="74" r:id="rId10"/>
    <sheet name="3. MAR" sheetId="77" r:id="rId11"/>
    <sheet name="1. JAN" sheetId="79" r:id="rId12"/>
  </sheet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11">#REF!</definedName>
    <definedName name="Excel_BuiltIn_Print_Titles_10" localSheetId="10">#REF!</definedName>
    <definedName name="Excel_BuiltIn_Print_Titles_10" localSheetId="9">#REF!</definedName>
    <definedName name="Excel_BuiltIn_Print_Titles_10" localSheetId="3">#REF!</definedName>
    <definedName name="Excel_BuiltIn_Print_Titles_10">#REF!</definedName>
    <definedName name="Excel_BuiltIn_Print_Titles_11" localSheetId="11">#REF!</definedName>
    <definedName name="Excel_BuiltIn_Print_Titles_11" localSheetId="10">#REF!</definedName>
    <definedName name="Excel_BuiltIn_Print_Titles_11" localSheetId="9">#REF!</definedName>
    <definedName name="Excel_BuiltIn_Print_Titles_11" localSheetId="3">#REF!</definedName>
    <definedName name="Excel_BuiltIn_Print_Titles_11">#REF!</definedName>
    <definedName name="Excel_BuiltIn_Print_Titles_12" localSheetId="11">#REF!</definedName>
    <definedName name="Excel_BuiltIn_Print_Titles_12" localSheetId="10">#REF!</definedName>
    <definedName name="Excel_BuiltIn_Print_Titles_12" localSheetId="9">#REF!</definedName>
    <definedName name="Excel_BuiltIn_Print_Titles_12" localSheetId="3">#REF!</definedName>
    <definedName name="Excel_BuiltIn_Print_Titles_12">#REF!</definedName>
    <definedName name="Excel_BuiltIn_Print_Titles_13" localSheetId="11">#REF!</definedName>
    <definedName name="Excel_BuiltIn_Print_Titles_13" localSheetId="10">#REF!</definedName>
    <definedName name="Excel_BuiltIn_Print_Titles_13" localSheetId="9">#REF!</definedName>
    <definedName name="Excel_BuiltIn_Print_Titles_13" localSheetId="3">#REF!</definedName>
    <definedName name="Excel_BuiltIn_Print_Titles_13">#REF!</definedName>
    <definedName name="Excel_BuiltIn_Print_Titles_6" localSheetId="11">#REF!</definedName>
    <definedName name="Excel_BuiltIn_Print_Titles_6" localSheetId="10">#REF!</definedName>
    <definedName name="Excel_BuiltIn_Print_Titles_6" localSheetId="9">#REF!</definedName>
    <definedName name="Excel_BuiltIn_Print_Titles_6" localSheetId="3">#REF!</definedName>
    <definedName name="Excel_BuiltIn_Print_Titles_6">#REF!</definedName>
    <definedName name="Excel_BuiltIn_Print_Titles_7" localSheetId="11">#REF!</definedName>
    <definedName name="Excel_BuiltIn_Print_Titles_7" localSheetId="10">#REF!</definedName>
    <definedName name="Excel_BuiltIn_Print_Titles_7" localSheetId="9">#REF!</definedName>
    <definedName name="Excel_BuiltIn_Print_Titles_7" localSheetId="3">#REF!</definedName>
    <definedName name="Excel_BuiltIn_Print_Titles_7">#REF!</definedName>
    <definedName name="Excel_BuiltIn_Print_Titles_8" localSheetId="11">#REF!</definedName>
    <definedName name="Excel_BuiltIn_Print_Titles_8" localSheetId="10">#REF!</definedName>
    <definedName name="Excel_BuiltIn_Print_Titles_8" localSheetId="9">#REF!</definedName>
    <definedName name="Excel_BuiltIn_Print_Titles_8" localSheetId="3">#REF!</definedName>
    <definedName name="Excel_BuiltIn_Print_Titles_8">#REF!</definedName>
    <definedName name="Excel_BuiltIn_Print_Titles_9" localSheetId="11">#REF!</definedName>
    <definedName name="Excel_BuiltIn_Print_Titles_9" localSheetId="10">#REF!</definedName>
    <definedName name="Excel_BuiltIn_Print_Titles_9" localSheetId="9">#REF!</definedName>
    <definedName name="Excel_BuiltIn_Print_Titles_9" localSheetId="3">#REF!</definedName>
    <definedName name="Excel_BuiltIn_Print_Titles_9">#REF!</definedName>
    <definedName name="_xlnm.Print_Area" localSheetId="11">'1. JAN'!$C$1:$H$5</definedName>
    <definedName name="_xlnm.Print_Area" localSheetId="10">'3. MAR'!$C$1:$H$5</definedName>
    <definedName name="_xlnm.Print_Area" localSheetId="8">BJR!$C$1:$P$255</definedName>
    <definedName name="_xlnm.Print_Area" localSheetId="5">CLN!$C$1:$P$255</definedName>
    <definedName name="_xlnm.Print_Area" localSheetId="9">'JAN-DEC'!$C$1:$H$5</definedName>
    <definedName name="_xlnm.Print_Area" localSheetId="7">'MJK1'!$C$1:$P$255</definedName>
    <definedName name="_xlnm.Print_Area" localSheetId="6">'MJK2'!$C$1:$P$255</definedName>
    <definedName name="_xlnm.Print_Area" localSheetId="2">Temp_PerBranch1!$C$1:$P$255</definedName>
    <definedName name="_xlnm.Print_Area" localSheetId="3">Temp_PerBulan!$C$1:$H$5</definedName>
    <definedName name="_xlnm.Print_Titles" localSheetId="11">'1. JAN'!$1:$4</definedName>
    <definedName name="_xlnm.Print_Titles" localSheetId="10">'3. MAR'!$1:$4</definedName>
    <definedName name="_xlnm.Print_Titles" localSheetId="8">BJR!$1:$4</definedName>
    <definedName name="_xlnm.Print_Titles" localSheetId="5">CLN!$1:$4</definedName>
    <definedName name="_xlnm.Print_Titles" localSheetId="9">'JAN-DEC'!$1:$4</definedName>
    <definedName name="_xlnm.Print_Titles" localSheetId="7">'MJK1'!$1:$4</definedName>
    <definedName name="_xlnm.Print_Titles" localSheetId="6">'MJK2'!$1:$4</definedName>
    <definedName name="_xlnm.Print_Titles" localSheetId="2">Temp_PerBranch1!$1:$4</definedName>
    <definedName name="_xlnm.Print_Titles" localSheetId="3">Temp_PerBulan!$1:$4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9" l="1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H33" i="79"/>
  <c r="H34" i="79"/>
  <c r="H35" i="79"/>
  <c r="H36" i="79"/>
  <c r="H37" i="79"/>
  <c r="H38" i="79"/>
  <c r="H39" i="79"/>
  <c r="H40" i="79"/>
  <c r="H41" i="79"/>
  <c r="H42" i="79"/>
  <c r="H43" i="79"/>
  <c r="H44" i="79"/>
  <c r="H45" i="79"/>
  <c r="H46" i="79"/>
  <c r="H47" i="79"/>
  <c r="H48" i="79"/>
  <c r="H49" i="79"/>
  <c r="H50" i="79"/>
  <c r="H51" i="79"/>
  <c r="H52" i="79"/>
  <c r="H53" i="79"/>
  <c r="H54" i="79"/>
  <c r="H55" i="79"/>
  <c r="H56" i="79"/>
  <c r="H57" i="79"/>
  <c r="H58" i="79"/>
  <c r="H59" i="79"/>
  <c r="H60" i="79"/>
  <c r="H61" i="79"/>
  <c r="H62" i="79"/>
  <c r="H63" i="79"/>
  <c r="H64" i="79"/>
  <c r="H65" i="79"/>
  <c r="H66" i="79"/>
  <c r="H67" i="79"/>
  <c r="H68" i="79"/>
  <c r="H69" i="79"/>
  <c r="H70" i="79"/>
  <c r="H71" i="79"/>
  <c r="H72" i="79"/>
  <c r="H73" i="79"/>
  <c r="H74" i="79"/>
  <c r="H75" i="79"/>
  <c r="H76" i="79"/>
  <c r="H77" i="79"/>
  <c r="H78" i="79"/>
  <c r="H79" i="79"/>
  <c r="H80" i="79"/>
  <c r="H81" i="79"/>
  <c r="H82" i="79"/>
  <c r="H83" i="79"/>
  <c r="H84" i="79"/>
  <c r="H85" i="79"/>
  <c r="H86" i="79"/>
  <c r="H87" i="79"/>
  <c r="H88" i="79"/>
  <c r="H89" i="79"/>
  <c r="H90" i="79"/>
  <c r="H91" i="79"/>
  <c r="H92" i="79"/>
  <c r="H93" i="79"/>
  <c r="H94" i="79"/>
  <c r="H95" i="79"/>
  <c r="H96" i="79"/>
  <c r="H97" i="79"/>
  <c r="H98" i="79"/>
  <c r="H99" i="79"/>
  <c r="H100" i="79"/>
  <c r="H101" i="79"/>
  <c r="H102" i="79"/>
  <c r="H103" i="79"/>
  <c r="H104" i="79"/>
  <c r="H105" i="79"/>
  <c r="H106" i="79"/>
  <c r="H107" i="79"/>
  <c r="H108" i="79"/>
  <c r="H109" i="79"/>
  <c r="H110" i="79"/>
  <c r="H111" i="79"/>
  <c r="H112" i="79"/>
  <c r="H113" i="79"/>
  <c r="H114" i="79"/>
  <c r="H115" i="79"/>
  <c r="H116" i="79"/>
  <c r="H117" i="79"/>
  <c r="H118" i="79"/>
  <c r="H119" i="79"/>
  <c r="H120" i="79"/>
  <c r="H121" i="79"/>
  <c r="H122" i="79"/>
  <c r="H123" i="79"/>
  <c r="H124" i="79"/>
  <c r="H125" i="79"/>
  <c r="H126" i="79"/>
  <c r="H127" i="79"/>
  <c r="H128" i="79"/>
  <c r="H129" i="79"/>
  <c r="H130" i="79"/>
  <c r="H131" i="79"/>
  <c r="H132" i="79"/>
  <c r="H133" i="79"/>
  <c r="H134" i="79"/>
  <c r="H135" i="79"/>
  <c r="H136" i="79"/>
  <c r="H137" i="79"/>
  <c r="H138" i="79"/>
  <c r="H139" i="79"/>
  <c r="H140" i="79"/>
  <c r="H141" i="79"/>
  <c r="H142" i="79"/>
  <c r="H143" i="79"/>
  <c r="H144" i="79"/>
  <c r="H145" i="79"/>
  <c r="H146" i="79"/>
  <c r="H147" i="79"/>
  <c r="H148" i="79"/>
  <c r="H149" i="79"/>
  <c r="H150" i="79"/>
  <c r="H151" i="79"/>
  <c r="H152" i="79"/>
  <c r="H153" i="79"/>
  <c r="H154" i="79"/>
  <c r="H155" i="79"/>
  <c r="H156" i="79"/>
  <c r="H157" i="79"/>
  <c r="H158" i="79"/>
  <c r="H159" i="79"/>
  <c r="H160" i="79"/>
  <c r="H161" i="79"/>
  <c r="H162" i="79"/>
  <c r="H163" i="79"/>
  <c r="H164" i="79"/>
  <c r="H165" i="79"/>
  <c r="H166" i="79"/>
  <c r="H167" i="79"/>
  <c r="H168" i="79"/>
  <c r="H169" i="79"/>
  <c r="H170" i="79"/>
  <c r="H171" i="79"/>
  <c r="H172" i="79"/>
  <c r="H173" i="79"/>
  <c r="H174" i="79"/>
  <c r="H175" i="79"/>
  <c r="H176" i="79"/>
  <c r="H177" i="79"/>
  <c r="H178" i="79"/>
  <c r="H179" i="79"/>
  <c r="H180" i="79"/>
  <c r="H181" i="79"/>
  <c r="H182" i="79"/>
  <c r="H183" i="79"/>
  <c r="H184" i="79"/>
  <c r="H185" i="79"/>
  <c r="H186" i="79"/>
  <c r="H187" i="79"/>
  <c r="H188" i="79"/>
  <c r="H189" i="79"/>
  <c r="H190" i="79"/>
  <c r="H191" i="79"/>
  <c r="H192" i="79"/>
  <c r="H193" i="79"/>
  <c r="H194" i="79"/>
  <c r="H195" i="79"/>
  <c r="H196" i="79"/>
  <c r="H197" i="79"/>
  <c r="H198" i="79"/>
  <c r="H199" i="79"/>
  <c r="H200" i="79"/>
  <c r="H201" i="79"/>
  <c r="H202" i="79"/>
  <c r="H203" i="79"/>
  <c r="H204" i="79"/>
  <c r="H205" i="79"/>
  <c r="H206" i="79"/>
  <c r="H207" i="79"/>
  <c r="H208" i="79"/>
  <c r="H209" i="79"/>
  <c r="H210" i="79"/>
  <c r="H211" i="79"/>
  <c r="H212" i="79"/>
  <c r="H213" i="79"/>
  <c r="H214" i="79"/>
  <c r="H215" i="79"/>
  <c r="H216" i="79"/>
  <c r="H217" i="79"/>
  <c r="H218" i="79"/>
  <c r="H219" i="79"/>
  <c r="H220" i="79"/>
  <c r="H221" i="79"/>
  <c r="H222" i="79"/>
  <c r="H223" i="79"/>
  <c r="H224" i="79"/>
  <c r="H225" i="79"/>
  <c r="H226" i="79"/>
  <c r="H227" i="79"/>
  <c r="H228" i="79"/>
  <c r="H229" i="79"/>
  <c r="H230" i="79"/>
  <c r="H231" i="79"/>
  <c r="H232" i="79"/>
  <c r="H233" i="79"/>
  <c r="H234" i="79"/>
  <c r="H235" i="79"/>
  <c r="H236" i="79"/>
  <c r="H237" i="79"/>
  <c r="H238" i="79"/>
  <c r="H239" i="79"/>
  <c r="H240" i="79"/>
  <c r="H241" i="79"/>
  <c r="H242" i="79"/>
  <c r="H243" i="79"/>
  <c r="H244" i="79"/>
  <c r="H245" i="79"/>
  <c r="H246" i="79"/>
  <c r="H247" i="79"/>
  <c r="H248" i="79"/>
  <c r="H249" i="79"/>
  <c r="H250" i="79"/>
  <c r="H251" i="79"/>
  <c r="H252" i="79"/>
  <c r="H253" i="79"/>
  <c r="P248" i="45"/>
  <c r="O248" i="45"/>
  <c r="N248" i="45"/>
  <c r="M248" i="45"/>
  <c r="L248" i="45"/>
  <c r="K248" i="45"/>
  <c r="J248" i="45"/>
  <c r="I248" i="45"/>
  <c r="H248" i="45"/>
  <c r="G248" i="45"/>
  <c r="F248" i="45"/>
  <c r="E248" i="45"/>
  <c r="D248" i="45"/>
  <c r="P243" i="45"/>
  <c r="O243" i="45"/>
  <c r="N243" i="45"/>
  <c r="M243" i="45"/>
  <c r="L243" i="45"/>
  <c r="K243" i="45"/>
  <c r="J243" i="45"/>
  <c r="I243" i="45"/>
  <c r="H243" i="45"/>
  <c r="G243" i="45"/>
  <c r="F243" i="45"/>
  <c r="E243" i="45"/>
  <c r="D24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D233" i="45"/>
  <c r="P229" i="45"/>
  <c r="O229" i="45"/>
  <c r="N229" i="45"/>
  <c r="M229" i="45"/>
  <c r="L229" i="45"/>
  <c r="K229" i="45"/>
  <c r="J229" i="45"/>
  <c r="I229" i="45"/>
  <c r="H229" i="45"/>
  <c r="G229" i="45"/>
  <c r="F229" i="45"/>
  <c r="E229" i="45"/>
  <c r="D229" i="45"/>
  <c r="P223" i="45"/>
  <c r="O223" i="45"/>
  <c r="N223" i="45"/>
  <c r="M223" i="45"/>
  <c r="L223" i="45"/>
  <c r="K223" i="45"/>
  <c r="J223" i="45"/>
  <c r="I223" i="45"/>
  <c r="H223" i="45"/>
  <c r="G223" i="45"/>
  <c r="F223" i="45"/>
  <c r="E223" i="45"/>
  <c r="D223" i="45"/>
  <c r="P219" i="45"/>
  <c r="O219" i="45"/>
  <c r="N219" i="45"/>
  <c r="M219" i="45"/>
  <c r="L219" i="45"/>
  <c r="K219" i="45"/>
  <c r="J219" i="45"/>
  <c r="I219" i="45"/>
  <c r="H219" i="45"/>
  <c r="G219" i="45"/>
  <c r="F219" i="45"/>
  <c r="E219" i="45"/>
  <c r="D219" i="45"/>
  <c r="P214" i="45"/>
  <c r="O214" i="45"/>
  <c r="N214" i="45"/>
  <c r="M214" i="45"/>
  <c r="L214" i="45"/>
  <c r="K214" i="45"/>
  <c r="J214" i="45"/>
  <c r="I214" i="45"/>
  <c r="H214" i="45"/>
  <c r="G214" i="45"/>
  <c r="F214" i="45"/>
  <c r="E214" i="45"/>
  <c r="D214" i="45"/>
  <c r="P206" i="45"/>
  <c r="O206" i="45"/>
  <c r="N206" i="45"/>
  <c r="M206" i="45"/>
  <c r="L206" i="45"/>
  <c r="K206" i="45"/>
  <c r="J206" i="45"/>
  <c r="I206" i="45"/>
  <c r="H206" i="45"/>
  <c r="G206" i="45"/>
  <c r="F206" i="45"/>
  <c r="E206" i="45"/>
  <c r="D206" i="45"/>
  <c r="O198" i="45"/>
  <c r="O253" i="45" s="1"/>
  <c r="G198" i="45"/>
  <c r="G253" i="45" s="1"/>
  <c r="P197" i="45"/>
  <c r="P198" i="45" s="1"/>
  <c r="P253" i="45" s="1"/>
  <c r="O197" i="45"/>
  <c r="N197" i="45"/>
  <c r="N198" i="45" s="1"/>
  <c r="N253" i="45" s="1"/>
  <c r="M197" i="45"/>
  <c r="M198" i="45" s="1"/>
  <c r="M253" i="45" s="1"/>
  <c r="L197" i="45"/>
  <c r="L198" i="45" s="1"/>
  <c r="L253" i="45" s="1"/>
  <c r="K197" i="45"/>
  <c r="K198" i="45" s="1"/>
  <c r="K253" i="45" s="1"/>
  <c r="J197" i="45"/>
  <c r="J198" i="45" s="1"/>
  <c r="J253" i="45" s="1"/>
  <c r="I197" i="45"/>
  <c r="I198" i="45" s="1"/>
  <c r="I253" i="45" s="1"/>
  <c r="H197" i="45"/>
  <c r="H198" i="45" s="1"/>
  <c r="H253" i="45" s="1"/>
  <c r="G197" i="45"/>
  <c r="F197" i="45"/>
  <c r="F198" i="45" s="1"/>
  <c r="F253" i="45" s="1"/>
  <c r="E197" i="45"/>
  <c r="E198" i="45" s="1"/>
  <c r="E253" i="45" s="1"/>
  <c r="D197" i="45"/>
  <c r="D198" i="45" s="1"/>
  <c r="D253" i="45" s="1"/>
  <c r="P187" i="45"/>
  <c r="O187" i="45"/>
  <c r="N187" i="45"/>
  <c r="M187" i="45"/>
  <c r="L187" i="45"/>
  <c r="K187" i="45"/>
  <c r="J187" i="45"/>
  <c r="I187" i="45"/>
  <c r="H187" i="45"/>
  <c r="G187" i="45"/>
  <c r="F187" i="45"/>
  <c r="E187" i="45"/>
  <c r="D187" i="45"/>
  <c r="P182" i="45"/>
  <c r="O182" i="45"/>
  <c r="N182" i="45"/>
  <c r="M182" i="45"/>
  <c r="L182" i="45"/>
  <c r="K182" i="45"/>
  <c r="J182" i="45"/>
  <c r="I182" i="45"/>
  <c r="H182" i="45"/>
  <c r="G182" i="45"/>
  <c r="F182" i="45"/>
  <c r="E182" i="45"/>
  <c r="D182" i="45"/>
  <c r="P175" i="45"/>
  <c r="O175" i="45"/>
  <c r="N175" i="45"/>
  <c r="M175" i="45"/>
  <c r="L175" i="45"/>
  <c r="K175" i="45"/>
  <c r="J175" i="45"/>
  <c r="I175" i="45"/>
  <c r="H175" i="45"/>
  <c r="G175" i="45"/>
  <c r="F175" i="45"/>
  <c r="E175" i="45"/>
  <c r="D175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D170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D158" i="45"/>
  <c r="P154" i="45"/>
  <c r="O154" i="45"/>
  <c r="N154" i="45"/>
  <c r="M154" i="45"/>
  <c r="L154" i="45"/>
  <c r="K154" i="45"/>
  <c r="J154" i="45"/>
  <c r="I154" i="45"/>
  <c r="H154" i="45"/>
  <c r="G154" i="45"/>
  <c r="F154" i="45"/>
  <c r="E154" i="45"/>
  <c r="D154" i="45"/>
  <c r="P148" i="45"/>
  <c r="O148" i="45"/>
  <c r="N148" i="45"/>
  <c r="M148" i="45"/>
  <c r="L148" i="45"/>
  <c r="K148" i="45"/>
  <c r="J148" i="45"/>
  <c r="I148" i="45"/>
  <c r="H148" i="45"/>
  <c r="G148" i="45"/>
  <c r="F148" i="45"/>
  <c r="E148" i="45"/>
  <c r="D14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D138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D137" i="45"/>
  <c r="P132" i="45"/>
  <c r="O132" i="45"/>
  <c r="N132" i="45"/>
  <c r="M132" i="45"/>
  <c r="L132" i="45"/>
  <c r="K132" i="45"/>
  <c r="J132" i="45"/>
  <c r="I132" i="45"/>
  <c r="H132" i="45"/>
  <c r="G132" i="45"/>
  <c r="F132" i="45"/>
  <c r="E132" i="45"/>
  <c r="D132" i="45"/>
  <c r="P128" i="45"/>
  <c r="O128" i="45"/>
  <c r="N128" i="45"/>
  <c r="M128" i="45"/>
  <c r="L128" i="45"/>
  <c r="K128" i="45"/>
  <c r="J128" i="45"/>
  <c r="I128" i="45"/>
  <c r="H128" i="45"/>
  <c r="G128" i="45"/>
  <c r="F128" i="45"/>
  <c r="E128" i="45"/>
  <c r="D128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D117" i="45"/>
  <c r="P112" i="45"/>
  <c r="O112" i="45"/>
  <c r="N112" i="45"/>
  <c r="M112" i="45"/>
  <c r="L112" i="45"/>
  <c r="K112" i="45"/>
  <c r="J112" i="45"/>
  <c r="I112" i="45"/>
  <c r="H112" i="45"/>
  <c r="G112" i="45"/>
  <c r="F112" i="45"/>
  <c r="E112" i="45"/>
  <c r="D112" i="45"/>
  <c r="P111" i="45"/>
  <c r="O111" i="45"/>
  <c r="N111" i="45"/>
  <c r="M111" i="45"/>
  <c r="L111" i="45"/>
  <c r="K111" i="45"/>
  <c r="J111" i="45"/>
  <c r="I111" i="45"/>
  <c r="H111" i="45"/>
  <c r="G111" i="45"/>
  <c r="F111" i="45"/>
  <c r="E111" i="45"/>
  <c r="D111" i="45"/>
  <c r="P106" i="45"/>
  <c r="O106" i="45"/>
  <c r="N106" i="45"/>
  <c r="M106" i="45"/>
  <c r="L106" i="45"/>
  <c r="K106" i="45"/>
  <c r="J106" i="45"/>
  <c r="I106" i="45"/>
  <c r="H106" i="45"/>
  <c r="G106" i="45"/>
  <c r="F106" i="45"/>
  <c r="E106" i="45"/>
  <c r="D106" i="45"/>
  <c r="P101" i="45"/>
  <c r="O101" i="45"/>
  <c r="N101" i="45"/>
  <c r="M101" i="45"/>
  <c r="L101" i="45"/>
  <c r="K101" i="45"/>
  <c r="J101" i="45"/>
  <c r="I101" i="45"/>
  <c r="H101" i="45"/>
  <c r="G101" i="45"/>
  <c r="F101" i="45"/>
  <c r="E101" i="45"/>
  <c r="D101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D89" i="45"/>
  <c r="P80" i="45"/>
  <c r="O80" i="45"/>
  <c r="N80" i="45"/>
  <c r="M80" i="45"/>
  <c r="L80" i="45"/>
  <c r="K80" i="45"/>
  <c r="J80" i="45"/>
  <c r="I80" i="45"/>
  <c r="H80" i="45"/>
  <c r="G80" i="45"/>
  <c r="F80" i="45"/>
  <c r="E80" i="45"/>
  <c r="D80" i="45"/>
  <c r="P70" i="45"/>
  <c r="O70" i="45"/>
  <c r="N70" i="45"/>
  <c r="M70" i="45"/>
  <c r="L70" i="45"/>
  <c r="K70" i="45"/>
  <c r="J70" i="45"/>
  <c r="I70" i="45"/>
  <c r="H70" i="45"/>
  <c r="G70" i="45"/>
  <c r="F70" i="45"/>
  <c r="E70" i="45"/>
  <c r="D70" i="45"/>
  <c r="P61" i="45"/>
  <c r="O61" i="45"/>
  <c r="N61" i="45"/>
  <c r="M61" i="45"/>
  <c r="L61" i="45"/>
  <c r="K61" i="45"/>
  <c r="J61" i="45"/>
  <c r="I61" i="45"/>
  <c r="H61" i="45"/>
  <c r="G61" i="45"/>
  <c r="F61" i="45"/>
  <c r="E61" i="45"/>
  <c r="D61" i="45"/>
  <c r="P53" i="45"/>
  <c r="P52" i="45"/>
  <c r="P47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P248" i="43"/>
  <c r="O248" i="43"/>
  <c r="N248" i="43"/>
  <c r="M248" i="43"/>
  <c r="L248" i="43"/>
  <c r="K248" i="43"/>
  <c r="J248" i="43"/>
  <c r="I248" i="43"/>
  <c r="H248" i="43"/>
  <c r="G248" i="43"/>
  <c r="F248" i="43"/>
  <c r="E248" i="43"/>
  <c r="D248" i="43"/>
  <c r="P243" i="43"/>
  <c r="O243" i="43"/>
  <c r="N243" i="43"/>
  <c r="M243" i="43"/>
  <c r="L243" i="43"/>
  <c r="K243" i="43"/>
  <c r="J243" i="43"/>
  <c r="I243" i="43"/>
  <c r="H243" i="43"/>
  <c r="G243" i="43"/>
  <c r="F243" i="43"/>
  <c r="E243" i="43"/>
  <c r="D243" i="43"/>
  <c r="P233" i="43"/>
  <c r="O233" i="43"/>
  <c r="N233" i="43"/>
  <c r="M233" i="43"/>
  <c r="L233" i="43"/>
  <c r="K233" i="43"/>
  <c r="J233" i="43"/>
  <c r="I233" i="43"/>
  <c r="H233" i="43"/>
  <c r="G233" i="43"/>
  <c r="F233" i="43"/>
  <c r="E233" i="43"/>
  <c r="D233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D229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D223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D219" i="43"/>
  <c r="P214" i="43"/>
  <c r="O214" i="43"/>
  <c r="N214" i="43"/>
  <c r="M214" i="43"/>
  <c r="L214" i="43"/>
  <c r="K214" i="43"/>
  <c r="J214" i="43"/>
  <c r="I214" i="43"/>
  <c r="H214" i="43"/>
  <c r="G214" i="43"/>
  <c r="F214" i="43"/>
  <c r="E214" i="43"/>
  <c r="D214" i="43"/>
  <c r="P206" i="43"/>
  <c r="O206" i="43"/>
  <c r="N206" i="43"/>
  <c r="M206" i="43"/>
  <c r="L206" i="43"/>
  <c r="K206" i="43"/>
  <c r="J206" i="43"/>
  <c r="I206" i="43"/>
  <c r="H206" i="43"/>
  <c r="G206" i="43"/>
  <c r="F206" i="43"/>
  <c r="E206" i="43"/>
  <c r="D206" i="43"/>
  <c r="O198" i="43"/>
  <c r="O253" i="43" s="1"/>
  <c r="N198" i="43"/>
  <c r="N253" i="43" s="1"/>
  <c r="G198" i="43"/>
  <c r="G253" i="43" s="1"/>
  <c r="F198" i="43"/>
  <c r="F253" i="43" s="1"/>
  <c r="P197" i="43"/>
  <c r="P198" i="43" s="1"/>
  <c r="P253" i="43" s="1"/>
  <c r="O197" i="43"/>
  <c r="N197" i="43"/>
  <c r="M197" i="43"/>
  <c r="M198" i="43" s="1"/>
  <c r="M253" i="43" s="1"/>
  <c r="L197" i="43"/>
  <c r="L198" i="43" s="1"/>
  <c r="L253" i="43" s="1"/>
  <c r="K197" i="43"/>
  <c r="K198" i="43" s="1"/>
  <c r="K253" i="43" s="1"/>
  <c r="J197" i="43"/>
  <c r="J198" i="43" s="1"/>
  <c r="J253" i="43" s="1"/>
  <c r="I197" i="43"/>
  <c r="I198" i="43" s="1"/>
  <c r="I253" i="43" s="1"/>
  <c r="H197" i="43"/>
  <c r="H198" i="43" s="1"/>
  <c r="H253" i="43" s="1"/>
  <c r="G197" i="43"/>
  <c r="F197" i="43"/>
  <c r="E197" i="43"/>
  <c r="E198" i="43" s="1"/>
  <c r="E253" i="43" s="1"/>
  <c r="D197" i="43"/>
  <c r="D198" i="43" s="1"/>
  <c r="D253" i="43" s="1"/>
  <c r="P187" i="43"/>
  <c r="O187" i="43"/>
  <c r="N187" i="43"/>
  <c r="M187" i="43"/>
  <c r="L187" i="43"/>
  <c r="K187" i="43"/>
  <c r="J187" i="43"/>
  <c r="I187" i="43"/>
  <c r="H187" i="43"/>
  <c r="G187" i="43"/>
  <c r="F187" i="43"/>
  <c r="E187" i="43"/>
  <c r="D187" i="43"/>
  <c r="P182" i="43"/>
  <c r="O182" i="43"/>
  <c r="N182" i="43"/>
  <c r="M182" i="43"/>
  <c r="L182" i="43"/>
  <c r="K182" i="43"/>
  <c r="J182" i="43"/>
  <c r="I182" i="43"/>
  <c r="H182" i="43"/>
  <c r="G182" i="43"/>
  <c r="F182" i="43"/>
  <c r="E182" i="43"/>
  <c r="D182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D175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D170" i="43"/>
  <c r="P158" i="43"/>
  <c r="O158" i="43"/>
  <c r="N158" i="43"/>
  <c r="M158" i="43"/>
  <c r="L158" i="43"/>
  <c r="K158" i="43"/>
  <c r="J158" i="43"/>
  <c r="I158" i="43"/>
  <c r="H158" i="43"/>
  <c r="G158" i="43"/>
  <c r="F158" i="43"/>
  <c r="E158" i="43"/>
  <c r="D158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D154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D14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D138" i="43"/>
  <c r="P137" i="43"/>
  <c r="O137" i="43"/>
  <c r="N137" i="43"/>
  <c r="M137" i="43"/>
  <c r="L137" i="43"/>
  <c r="K137" i="43"/>
  <c r="J137" i="43"/>
  <c r="I137" i="43"/>
  <c r="H137" i="43"/>
  <c r="G137" i="43"/>
  <c r="F137" i="43"/>
  <c r="E137" i="43"/>
  <c r="D137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D132" i="43"/>
  <c r="P128" i="43"/>
  <c r="O128" i="43"/>
  <c r="N128" i="43"/>
  <c r="M128" i="43"/>
  <c r="L128" i="43"/>
  <c r="K128" i="43"/>
  <c r="J128" i="43"/>
  <c r="I128" i="43"/>
  <c r="H128" i="43"/>
  <c r="G128" i="43"/>
  <c r="F128" i="43"/>
  <c r="E128" i="43"/>
  <c r="D128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D117" i="43"/>
  <c r="P112" i="43"/>
  <c r="O112" i="43"/>
  <c r="N112" i="43"/>
  <c r="M112" i="43"/>
  <c r="L112" i="43"/>
  <c r="K112" i="43"/>
  <c r="J112" i="43"/>
  <c r="I112" i="43"/>
  <c r="H112" i="43"/>
  <c r="G112" i="43"/>
  <c r="F112" i="43"/>
  <c r="E112" i="43"/>
  <c r="D112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D111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D106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D101" i="43"/>
  <c r="P89" i="43"/>
  <c r="O89" i="43"/>
  <c r="N89" i="43"/>
  <c r="M89" i="43"/>
  <c r="L89" i="43"/>
  <c r="K89" i="43"/>
  <c r="J89" i="43"/>
  <c r="I89" i="43"/>
  <c r="H89" i="43"/>
  <c r="G89" i="43"/>
  <c r="F89" i="43"/>
  <c r="E89" i="43"/>
  <c r="D89" i="43"/>
  <c r="P80" i="43"/>
  <c r="O80" i="43"/>
  <c r="N80" i="43"/>
  <c r="M80" i="43"/>
  <c r="L80" i="43"/>
  <c r="K80" i="43"/>
  <c r="J80" i="43"/>
  <c r="I80" i="43"/>
  <c r="H80" i="43"/>
  <c r="G80" i="43"/>
  <c r="F80" i="43"/>
  <c r="E80" i="43"/>
  <c r="D8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D70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P53" i="43"/>
  <c r="P52" i="43"/>
  <c r="P47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P198" i="41"/>
  <c r="P253" i="41" s="1"/>
  <c r="O198" i="41"/>
  <c r="O253" i="41" s="1"/>
  <c r="N198" i="41"/>
  <c r="N253" i="41" s="1"/>
  <c r="H198" i="41"/>
  <c r="H253" i="41" s="1"/>
  <c r="G198" i="41"/>
  <c r="G253" i="41" s="1"/>
  <c r="F198" i="41"/>
  <c r="F253" i="41" s="1"/>
  <c r="P197" i="41"/>
  <c r="O197" i="41"/>
  <c r="N197" i="41"/>
  <c r="M197" i="41"/>
  <c r="M198" i="41" s="1"/>
  <c r="M253" i="41" s="1"/>
  <c r="L197" i="41"/>
  <c r="L198" i="41" s="1"/>
  <c r="L253" i="41" s="1"/>
  <c r="K197" i="41"/>
  <c r="K198" i="41" s="1"/>
  <c r="K253" i="41" s="1"/>
  <c r="J197" i="41"/>
  <c r="J198" i="41" s="1"/>
  <c r="J253" i="41" s="1"/>
  <c r="I197" i="41"/>
  <c r="I198" i="41" s="1"/>
  <c r="I253" i="41" s="1"/>
  <c r="H197" i="41"/>
  <c r="G197" i="41"/>
  <c r="F197" i="41"/>
  <c r="E197" i="41"/>
  <c r="E198" i="41" s="1"/>
  <c r="E253" i="41" s="1"/>
  <c r="D197" i="41"/>
  <c r="D198" i="41" s="1"/>
  <c r="D253" i="41" s="1"/>
  <c r="P187" i="41"/>
  <c r="O187" i="41"/>
  <c r="N187" i="41"/>
  <c r="M187" i="41"/>
  <c r="L187" i="41"/>
  <c r="K187" i="41"/>
  <c r="J187" i="41"/>
  <c r="I187" i="41"/>
  <c r="H187" i="41"/>
  <c r="G187" i="41"/>
  <c r="F187" i="41"/>
  <c r="E187" i="41"/>
  <c r="D187" i="41"/>
  <c r="P182" i="41"/>
  <c r="O182" i="41"/>
  <c r="N182" i="41"/>
  <c r="M182" i="41"/>
  <c r="L182" i="41"/>
  <c r="K182" i="41"/>
  <c r="J182" i="41"/>
  <c r="I182" i="41"/>
  <c r="H182" i="41"/>
  <c r="G182" i="41"/>
  <c r="F182" i="41"/>
  <c r="E182" i="41"/>
  <c r="D182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P53" i="41"/>
  <c r="P52" i="41"/>
  <c r="P47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P248" i="39"/>
  <c r="O248" i="39"/>
  <c r="N248" i="39"/>
  <c r="M248" i="39"/>
  <c r="L248" i="39"/>
  <c r="K248" i="39"/>
  <c r="J248" i="39"/>
  <c r="I248" i="39"/>
  <c r="H248" i="39"/>
  <c r="G248" i="39"/>
  <c r="F248" i="39"/>
  <c r="E248" i="39"/>
  <c r="D248" i="39"/>
  <c r="P243" i="39"/>
  <c r="O243" i="39"/>
  <c r="N243" i="39"/>
  <c r="M243" i="39"/>
  <c r="L243" i="39"/>
  <c r="K243" i="39"/>
  <c r="J243" i="39"/>
  <c r="I243" i="39"/>
  <c r="H243" i="39"/>
  <c r="G243" i="39"/>
  <c r="F243" i="39"/>
  <c r="E243" i="39"/>
  <c r="D243" i="39"/>
  <c r="P233" i="39"/>
  <c r="O233" i="39"/>
  <c r="N233" i="39"/>
  <c r="M233" i="39"/>
  <c r="L233" i="39"/>
  <c r="K233" i="39"/>
  <c r="J233" i="39"/>
  <c r="I233" i="39"/>
  <c r="H233" i="39"/>
  <c r="G233" i="39"/>
  <c r="F233" i="39"/>
  <c r="E233" i="39"/>
  <c r="D233" i="39"/>
  <c r="P229" i="39"/>
  <c r="O229" i="39"/>
  <c r="N229" i="39"/>
  <c r="M229" i="39"/>
  <c r="L229" i="39"/>
  <c r="K229" i="39"/>
  <c r="J229" i="39"/>
  <c r="I229" i="39"/>
  <c r="H229" i="39"/>
  <c r="G229" i="39"/>
  <c r="F229" i="39"/>
  <c r="E229" i="39"/>
  <c r="D229" i="39"/>
  <c r="P223" i="39"/>
  <c r="O223" i="39"/>
  <c r="N223" i="39"/>
  <c r="M223" i="39"/>
  <c r="L223" i="39"/>
  <c r="K223" i="39"/>
  <c r="J223" i="39"/>
  <c r="I223" i="39"/>
  <c r="H223" i="39"/>
  <c r="G223" i="39"/>
  <c r="F223" i="39"/>
  <c r="E223" i="39"/>
  <c r="D223" i="39"/>
  <c r="P219" i="39"/>
  <c r="O219" i="39"/>
  <c r="N219" i="39"/>
  <c r="M219" i="39"/>
  <c r="L219" i="39"/>
  <c r="K219" i="39"/>
  <c r="J219" i="39"/>
  <c r="I219" i="39"/>
  <c r="H219" i="39"/>
  <c r="G219" i="39"/>
  <c r="F219" i="39"/>
  <c r="E219" i="39"/>
  <c r="D219" i="39"/>
  <c r="P214" i="39"/>
  <c r="O214" i="39"/>
  <c r="N214" i="39"/>
  <c r="M214" i="39"/>
  <c r="L214" i="39"/>
  <c r="K214" i="39"/>
  <c r="J214" i="39"/>
  <c r="I214" i="39"/>
  <c r="H214" i="39"/>
  <c r="G214" i="39"/>
  <c r="F214" i="39"/>
  <c r="E214" i="39"/>
  <c r="D214" i="39"/>
  <c r="P206" i="39"/>
  <c r="O206" i="39"/>
  <c r="N206" i="39"/>
  <c r="M206" i="39"/>
  <c r="L206" i="39"/>
  <c r="K206" i="39"/>
  <c r="J206" i="39"/>
  <c r="I206" i="39"/>
  <c r="H206" i="39"/>
  <c r="G206" i="39"/>
  <c r="F206" i="39"/>
  <c r="E206" i="39"/>
  <c r="D206" i="39"/>
  <c r="O198" i="39"/>
  <c r="O253" i="39" s="1"/>
  <c r="N198" i="39"/>
  <c r="N253" i="39" s="1"/>
  <c r="G198" i="39"/>
  <c r="G253" i="39" s="1"/>
  <c r="F198" i="39"/>
  <c r="F253" i="39" s="1"/>
  <c r="P197" i="39"/>
  <c r="P198" i="39" s="1"/>
  <c r="P253" i="39" s="1"/>
  <c r="O197" i="39"/>
  <c r="N197" i="39"/>
  <c r="M197" i="39"/>
  <c r="M198" i="39" s="1"/>
  <c r="M253" i="39" s="1"/>
  <c r="L197" i="39"/>
  <c r="L198" i="39" s="1"/>
  <c r="L253" i="39" s="1"/>
  <c r="K197" i="39"/>
  <c r="K198" i="39" s="1"/>
  <c r="K253" i="39" s="1"/>
  <c r="J197" i="39"/>
  <c r="J198" i="39" s="1"/>
  <c r="J253" i="39" s="1"/>
  <c r="I197" i="39"/>
  <c r="I198" i="39" s="1"/>
  <c r="I253" i="39" s="1"/>
  <c r="H197" i="39"/>
  <c r="H198" i="39" s="1"/>
  <c r="H253" i="39" s="1"/>
  <c r="G197" i="39"/>
  <c r="F197" i="39"/>
  <c r="E197" i="39"/>
  <c r="E198" i="39" s="1"/>
  <c r="E253" i="39" s="1"/>
  <c r="D197" i="39"/>
  <c r="D198" i="39" s="1"/>
  <c r="D253" i="39" s="1"/>
  <c r="P187" i="39"/>
  <c r="O187" i="39"/>
  <c r="N187" i="39"/>
  <c r="M187" i="39"/>
  <c r="L187" i="39"/>
  <c r="K187" i="39"/>
  <c r="J187" i="39"/>
  <c r="I187" i="39"/>
  <c r="H187" i="39"/>
  <c r="G187" i="39"/>
  <c r="F187" i="39"/>
  <c r="E187" i="39"/>
  <c r="D187" i="39"/>
  <c r="P182" i="39"/>
  <c r="O182" i="39"/>
  <c r="N182" i="39"/>
  <c r="M182" i="39"/>
  <c r="L182" i="39"/>
  <c r="K182" i="39"/>
  <c r="J182" i="39"/>
  <c r="I182" i="39"/>
  <c r="H182" i="39"/>
  <c r="G182" i="39"/>
  <c r="F182" i="39"/>
  <c r="E182" i="39"/>
  <c r="D182" i="39"/>
  <c r="P175" i="39"/>
  <c r="O175" i="39"/>
  <c r="N175" i="39"/>
  <c r="M175" i="39"/>
  <c r="L175" i="39"/>
  <c r="K175" i="39"/>
  <c r="J175" i="39"/>
  <c r="I175" i="39"/>
  <c r="H175" i="39"/>
  <c r="G175" i="39"/>
  <c r="F175" i="39"/>
  <c r="E175" i="39"/>
  <c r="D175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P158" i="39"/>
  <c r="O158" i="39"/>
  <c r="N158" i="39"/>
  <c r="M158" i="39"/>
  <c r="L158" i="39"/>
  <c r="K158" i="39"/>
  <c r="J158" i="39"/>
  <c r="I158" i="39"/>
  <c r="H158" i="39"/>
  <c r="G158" i="39"/>
  <c r="F158" i="39"/>
  <c r="E158" i="39"/>
  <c r="D158" i="39"/>
  <c r="P154" i="39"/>
  <c r="O154" i="39"/>
  <c r="N154" i="39"/>
  <c r="M154" i="39"/>
  <c r="L154" i="39"/>
  <c r="K154" i="39"/>
  <c r="J154" i="39"/>
  <c r="I154" i="39"/>
  <c r="H154" i="39"/>
  <c r="G154" i="39"/>
  <c r="F154" i="39"/>
  <c r="E154" i="39"/>
  <c r="D154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P138" i="39"/>
  <c r="O138" i="39"/>
  <c r="N138" i="39"/>
  <c r="M138" i="39"/>
  <c r="L138" i="39"/>
  <c r="K138" i="39"/>
  <c r="J138" i="39"/>
  <c r="I138" i="39"/>
  <c r="H138" i="39"/>
  <c r="G138" i="39"/>
  <c r="F138" i="39"/>
  <c r="E138" i="39"/>
  <c r="D138" i="39"/>
  <c r="P137" i="39"/>
  <c r="O137" i="39"/>
  <c r="N137" i="39"/>
  <c r="M137" i="39"/>
  <c r="L137" i="39"/>
  <c r="K137" i="39"/>
  <c r="J137" i="39"/>
  <c r="I137" i="39"/>
  <c r="H137" i="39"/>
  <c r="G137" i="39"/>
  <c r="F137" i="39"/>
  <c r="E137" i="39"/>
  <c r="D137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P111" i="39"/>
  <c r="O111" i="39"/>
  <c r="N111" i="39"/>
  <c r="M111" i="39"/>
  <c r="L111" i="39"/>
  <c r="K111" i="39"/>
  <c r="J111" i="39"/>
  <c r="I111" i="39"/>
  <c r="H111" i="39"/>
  <c r="G111" i="39"/>
  <c r="F111" i="39"/>
  <c r="E111" i="39"/>
  <c r="D111" i="39"/>
  <c r="P106" i="39"/>
  <c r="O106" i="39"/>
  <c r="N106" i="39"/>
  <c r="M106" i="39"/>
  <c r="L106" i="39"/>
  <c r="K106" i="39"/>
  <c r="J106" i="39"/>
  <c r="I106" i="39"/>
  <c r="H106" i="39"/>
  <c r="G106" i="39"/>
  <c r="F106" i="39"/>
  <c r="E106" i="39"/>
  <c r="D106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P89" i="39"/>
  <c r="O89" i="39"/>
  <c r="N89" i="39"/>
  <c r="M89" i="39"/>
  <c r="L89" i="39"/>
  <c r="K89" i="39"/>
  <c r="J89" i="39"/>
  <c r="I89" i="39"/>
  <c r="H89" i="39"/>
  <c r="G89" i="39"/>
  <c r="F89" i="39"/>
  <c r="E89" i="39"/>
  <c r="D89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D70" i="39"/>
  <c r="P61" i="39"/>
  <c r="O61" i="39"/>
  <c r="N61" i="39"/>
  <c r="M61" i="39"/>
  <c r="L61" i="39"/>
  <c r="K61" i="39"/>
  <c r="J61" i="39"/>
  <c r="I61" i="39"/>
  <c r="H61" i="39"/>
  <c r="G61" i="39"/>
  <c r="F61" i="39"/>
  <c r="E61" i="39"/>
  <c r="D61" i="39"/>
  <c r="P53" i="39"/>
  <c r="P52" i="39"/>
  <c r="P47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31" i="77"/>
  <c r="H32" i="77"/>
  <c r="H33" i="77"/>
  <c r="H34" i="77"/>
  <c r="H35" i="77"/>
  <c r="H36" i="77"/>
  <c r="H37" i="77"/>
  <c r="H38" i="77"/>
  <c r="H39" i="77"/>
  <c r="H40" i="77"/>
  <c r="H41" i="77"/>
  <c r="H42" i="77"/>
  <c r="H43" i="77"/>
  <c r="H44" i="77"/>
  <c r="H45" i="77"/>
  <c r="H46" i="77"/>
  <c r="H47" i="77"/>
  <c r="H48" i="77"/>
  <c r="H49" i="77"/>
  <c r="H50" i="77"/>
  <c r="H51" i="77"/>
  <c r="H52" i="77"/>
  <c r="H53" i="77"/>
  <c r="H54" i="77"/>
  <c r="H55" i="77"/>
  <c r="H56" i="77"/>
  <c r="H57" i="77"/>
  <c r="H58" i="77"/>
  <c r="H59" i="77"/>
  <c r="H60" i="77"/>
  <c r="H61" i="77"/>
  <c r="H62" i="77"/>
  <c r="H63" i="77"/>
  <c r="H64" i="77"/>
  <c r="H65" i="77"/>
  <c r="H66" i="77"/>
  <c r="H67" i="77"/>
  <c r="H68" i="77"/>
  <c r="H69" i="77"/>
  <c r="H70" i="77"/>
  <c r="H71" i="77"/>
  <c r="H72" i="77"/>
  <c r="H73" i="77"/>
  <c r="H74" i="77"/>
  <c r="H75" i="77"/>
  <c r="H76" i="77"/>
  <c r="H77" i="77"/>
  <c r="H78" i="77"/>
  <c r="H79" i="77"/>
  <c r="H80" i="77"/>
  <c r="H81" i="77"/>
  <c r="H82" i="77"/>
  <c r="H83" i="77"/>
  <c r="H84" i="77"/>
  <c r="H85" i="77"/>
  <c r="H86" i="77"/>
  <c r="H87" i="77"/>
  <c r="H88" i="77"/>
  <c r="H89" i="77"/>
  <c r="H90" i="77"/>
  <c r="H91" i="77"/>
  <c r="H92" i="77"/>
  <c r="H93" i="77"/>
  <c r="H94" i="77"/>
  <c r="H95" i="77"/>
  <c r="H96" i="77"/>
  <c r="H97" i="77"/>
  <c r="H98" i="77"/>
  <c r="H99" i="77"/>
  <c r="H100" i="77"/>
  <c r="H101" i="77"/>
  <c r="H102" i="77"/>
  <c r="H103" i="77"/>
  <c r="H104" i="77"/>
  <c r="H105" i="77"/>
  <c r="H106" i="77"/>
  <c r="H107" i="77"/>
  <c r="H108" i="77"/>
  <c r="H109" i="77"/>
  <c r="H110" i="77"/>
  <c r="H111" i="77"/>
  <c r="H112" i="77"/>
  <c r="H113" i="77"/>
  <c r="H114" i="77"/>
  <c r="H115" i="77"/>
  <c r="H116" i="77"/>
  <c r="H117" i="77"/>
  <c r="H118" i="77"/>
  <c r="H119" i="77"/>
  <c r="H120" i="77"/>
  <c r="H121" i="77"/>
  <c r="H122" i="77"/>
  <c r="H123" i="77"/>
  <c r="H124" i="77"/>
  <c r="H125" i="77"/>
  <c r="H126" i="77"/>
  <c r="H127" i="77"/>
  <c r="H128" i="77"/>
  <c r="H129" i="77"/>
  <c r="H130" i="77"/>
  <c r="H131" i="77"/>
  <c r="H132" i="77"/>
  <c r="H133" i="77"/>
  <c r="H134" i="77"/>
  <c r="H135" i="77"/>
  <c r="H136" i="77"/>
  <c r="H137" i="77"/>
  <c r="H138" i="77"/>
  <c r="H139" i="77"/>
  <c r="H140" i="77"/>
  <c r="H141" i="77"/>
  <c r="H142" i="77"/>
  <c r="H143" i="77"/>
  <c r="H144" i="77"/>
  <c r="H145" i="77"/>
  <c r="H146" i="77"/>
  <c r="H147" i="77"/>
  <c r="H148" i="77"/>
  <c r="H149" i="77"/>
  <c r="H150" i="77"/>
  <c r="H151" i="77"/>
  <c r="H152" i="77"/>
  <c r="H153" i="77"/>
  <c r="H154" i="77"/>
  <c r="H155" i="77"/>
  <c r="H156" i="77"/>
  <c r="H157" i="77"/>
  <c r="H158" i="77"/>
  <c r="H159" i="77"/>
  <c r="H160" i="77"/>
  <c r="H161" i="77"/>
  <c r="H162" i="77"/>
  <c r="H163" i="77"/>
  <c r="H164" i="77"/>
  <c r="H165" i="77"/>
  <c r="H166" i="77"/>
  <c r="H167" i="77"/>
  <c r="H168" i="77"/>
  <c r="H169" i="77"/>
  <c r="H170" i="77"/>
  <c r="H171" i="77"/>
  <c r="H172" i="77"/>
  <c r="H173" i="77"/>
  <c r="H174" i="77"/>
  <c r="H175" i="77"/>
  <c r="H176" i="77"/>
  <c r="H177" i="77"/>
  <c r="H178" i="77"/>
  <c r="H179" i="77"/>
  <c r="H180" i="77"/>
  <c r="H181" i="77"/>
  <c r="H182" i="77"/>
  <c r="H183" i="77"/>
  <c r="H184" i="77"/>
  <c r="H185" i="77"/>
  <c r="H186" i="77"/>
  <c r="H187" i="77"/>
  <c r="H188" i="77"/>
  <c r="H189" i="77"/>
  <c r="H190" i="77"/>
  <c r="H191" i="77"/>
  <c r="H192" i="77"/>
  <c r="H193" i="77"/>
  <c r="H194" i="77"/>
  <c r="H195" i="77"/>
  <c r="H196" i="77"/>
  <c r="H197" i="77"/>
  <c r="H198" i="77"/>
  <c r="H199" i="77"/>
  <c r="H200" i="77"/>
  <c r="H201" i="77"/>
  <c r="H202" i="77"/>
  <c r="H203" i="77"/>
  <c r="H204" i="77"/>
  <c r="H205" i="77"/>
  <c r="H206" i="77"/>
  <c r="H207" i="77"/>
  <c r="H208" i="77"/>
  <c r="H209" i="77"/>
  <c r="H210" i="77"/>
  <c r="H211" i="77"/>
  <c r="H212" i="77"/>
  <c r="H213" i="77"/>
  <c r="H214" i="77"/>
  <c r="H215" i="77"/>
  <c r="H216" i="77"/>
  <c r="H217" i="77"/>
  <c r="H218" i="77"/>
  <c r="H219" i="77"/>
  <c r="H220" i="77"/>
  <c r="H221" i="77"/>
  <c r="H222" i="77"/>
  <c r="H223" i="77"/>
  <c r="H224" i="77"/>
  <c r="H225" i="77"/>
  <c r="H226" i="77"/>
  <c r="H227" i="77"/>
  <c r="H228" i="77"/>
  <c r="H229" i="77"/>
  <c r="H230" i="77"/>
  <c r="H231" i="77"/>
  <c r="H232" i="77"/>
  <c r="H233" i="77"/>
  <c r="H234" i="77"/>
  <c r="H235" i="77"/>
  <c r="H236" i="77"/>
  <c r="H237" i="77"/>
  <c r="H238" i="77"/>
  <c r="H239" i="77"/>
  <c r="H240" i="77"/>
  <c r="H241" i="77"/>
  <c r="H242" i="77"/>
  <c r="H243" i="77"/>
  <c r="H244" i="77"/>
  <c r="H245" i="77"/>
  <c r="H246" i="77"/>
  <c r="H247" i="77"/>
  <c r="H248" i="77"/>
  <c r="H249" i="77"/>
  <c r="H250" i="77"/>
  <c r="H251" i="77"/>
  <c r="H252" i="77"/>
  <c r="H253" i="77"/>
  <c r="C36" i="10"/>
  <c r="C35" i="10"/>
  <c r="C34" i="10"/>
  <c r="C33" i="10"/>
  <c r="C32" i="10"/>
  <c r="C31" i="10"/>
  <c r="C30" i="10"/>
  <c r="C29" i="10"/>
  <c r="C28" i="10"/>
  <c r="C27" i="10"/>
  <c r="C26" i="10"/>
  <c r="C18" i="10"/>
  <c r="C19" i="10"/>
  <c r="C20" i="10"/>
  <c r="C21" i="10"/>
  <c r="C22" i="10"/>
  <c r="C23" i="10"/>
  <c r="C24" i="10"/>
  <c r="C25" i="10"/>
  <c r="C17" i="10"/>
  <c r="C16" i="10"/>
  <c r="C15" i="10"/>
  <c r="C14" i="10"/>
  <c r="C7" i="10"/>
  <c r="C8" i="10"/>
  <c r="C9" i="10"/>
  <c r="C10" i="10"/>
  <c r="C11" i="10"/>
  <c r="C12" i="10"/>
  <c r="C13" i="10"/>
  <c r="D14" i="74" l="1"/>
  <c r="E14" i="74"/>
  <c r="F14" i="74"/>
  <c r="G14" i="74"/>
  <c r="D34" i="74"/>
  <c r="E34" i="74"/>
  <c r="F34" i="74"/>
  <c r="G34" i="74"/>
  <c r="D35" i="74"/>
  <c r="E35" i="74"/>
  <c r="F35" i="74"/>
  <c r="G35" i="74"/>
  <c r="D43" i="74"/>
  <c r="E43" i="74"/>
  <c r="F43" i="74"/>
  <c r="G43" i="74"/>
  <c r="D44" i="74"/>
  <c r="E44" i="74"/>
  <c r="F44" i="74"/>
  <c r="G44" i="74"/>
  <c r="D45" i="74"/>
  <c r="E45" i="74"/>
  <c r="F45" i="74"/>
  <c r="G45" i="74"/>
  <c r="D46" i="74"/>
  <c r="E46" i="74"/>
  <c r="F46" i="74"/>
  <c r="G46" i="74"/>
  <c r="D81" i="74"/>
  <c r="E81" i="74"/>
  <c r="F81" i="74"/>
  <c r="G81" i="74"/>
  <c r="D82" i="74"/>
  <c r="E82" i="74"/>
  <c r="F82" i="74"/>
  <c r="G82" i="74"/>
  <c r="D107" i="74"/>
  <c r="E107" i="74"/>
  <c r="F107" i="74"/>
  <c r="G107" i="74"/>
  <c r="D108" i="74"/>
  <c r="E108" i="74"/>
  <c r="F108" i="74"/>
  <c r="G108" i="74"/>
  <c r="D109" i="74"/>
  <c r="E109" i="74"/>
  <c r="F109" i="74"/>
  <c r="G109" i="74"/>
  <c r="D110" i="74"/>
  <c r="E110" i="74"/>
  <c r="F110" i="74"/>
  <c r="G110" i="74"/>
  <c r="D195" i="74"/>
  <c r="E195" i="74"/>
  <c r="F195" i="74"/>
  <c r="G195" i="74"/>
  <c r="D196" i="74"/>
  <c r="E196" i="74"/>
  <c r="F196" i="74"/>
  <c r="G196" i="74"/>
  <c r="D228" i="74"/>
  <c r="E228" i="74"/>
  <c r="F228" i="74"/>
  <c r="G228" i="74"/>
  <c r="D241" i="74"/>
  <c r="E241" i="74"/>
  <c r="F241" i="74"/>
  <c r="G241" i="74"/>
  <c r="D251" i="74"/>
  <c r="E251" i="74"/>
  <c r="F251" i="74"/>
  <c r="G251" i="74"/>
  <c r="H251" i="74" l="1"/>
  <c r="H241" i="74"/>
  <c r="H228" i="74"/>
  <c r="H196" i="74"/>
  <c r="H195" i="74"/>
  <c r="H110" i="74"/>
  <c r="H109" i="74"/>
  <c r="H108" i="74"/>
  <c r="H107" i="74"/>
  <c r="H82" i="74"/>
  <c r="H81" i="74"/>
  <c r="H46" i="74"/>
  <c r="H45" i="74"/>
  <c r="H44" i="74"/>
  <c r="H43" i="74"/>
  <c r="H35" i="74"/>
  <c r="H34" i="74"/>
  <c r="H14" i="74"/>
  <c r="G53" i="74"/>
  <c r="G52" i="74"/>
  <c r="G47" i="74"/>
  <c r="P30" i="45"/>
  <c r="G30" i="74" s="1"/>
  <c r="P62" i="45"/>
  <c r="G62" i="74" s="1"/>
  <c r="P78" i="45"/>
  <c r="G78" i="74" s="1"/>
  <c r="P86" i="45"/>
  <c r="G86" i="74" s="1"/>
  <c r="P94" i="45"/>
  <c r="G94" i="74" s="1"/>
  <c r="P102" i="45"/>
  <c r="G102" i="74" s="1"/>
  <c r="P118" i="45"/>
  <c r="G118" i="74" s="1"/>
  <c r="P134" i="45"/>
  <c r="P142" i="45"/>
  <c r="G142" i="74" s="1"/>
  <c r="P150" i="45"/>
  <c r="G150" i="74" s="1"/>
  <c r="P166" i="45"/>
  <c r="G166" i="74" s="1"/>
  <c r="F53" i="74"/>
  <c r="F52" i="74"/>
  <c r="F47" i="74"/>
  <c r="P199" i="43"/>
  <c r="F199" i="74" s="1"/>
  <c r="P207" i="43"/>
  <c r="F207" i="74" s="1"/>
  <c r="P215" i="43"/>
  <c r="F215" i="74" s="1"/>
  <c r="P247" i="43"/>
  <c r="F247" i="74" s="1"/>
  <c r="P249" i="43"/>
  <c r="F249" i="74" s="1"/>
  <c r="E53" i="74"/>
  <c r="E52" i="74"/>
  <c r="E47" i="74"/>
  <c r="P131" i="41"/>
  <c r="E131" i="74" s="1"/>
  <c r="P144" i="41"/>
  <c r="E144" i="74" s="1"/>
  <c r="P155" i="41"/>
  <c r="E155" i="74" s="1"/>
  <c r="P163" i="41"/>
  <c r="E163" i="74" s="1"/>
  <c r="P176" i="41"/>
  <c r="E176" i="74" s="1"/>
  <c r="P179" i="41"/>
  <c r="P211" i="41"/>
  <c r="E211" i="74" s="1"/>
  <c r="P227" i="41"/>
  <c r="E227" i="74" s="1"/>
  <c r="D53" i="74"/>
  <c r="D52" i="74"/>
  <c r="D47" i="74"/>
  <c r="P23" i="39"/>
  <c r="D23" i="74" s="1"/>
  <c r="P31" i="39"/>
  <c r="D31" i="74" s="1"/>
  <c r="P39" i="39"/>
  <c r="D39" i="74" s="1"/>
  <c r="P55" i="39"/>
  <c r="D55" i="74" s="1"/>
  <c r="P71" i="39"/>
  <c r="D71" i="74" s="1"/>
  <c r="P79" i="39"/>
  <c r="D79" i="74" s="1"/>
  <c r="P95" i="39"/>
  <c r="D95" i="74" s="1"/>
  <c r="P103" i="39"/>
  <c r="D103" i="74" s="1"/>
  <c r="P119" i="39"/>
  <c r="P135" i="39"/>
  <c r="D135" i="74" s="1"/>
  <c r="P143" i="39"/>
  <c r="D143" i="74" s="1"/>
  <c r="P151" i="39"/>
  <c r="P159" i="39"/>
  <c r="D159" i="74" s="1"/>
  <c r="P183" i="39"/>
  <c r="D183" i="74" s="1"/>
  <c r="P191" i="39"/>
  <c r="D191" i="74" s="1"/>
  <c r="H191" i="74" s="1"/>
  <c r="P199" i="39"/>
  <c r="D199" i="74" s="1"/>
  <c r="P207" i="39"/>
  <c r="D207" i="74" s="1"/>
  <c r="P215" i="39"/>
  <c r="D215" i="74" s="1"/>
  <c r="P247" i="39"/>
  <c r="D247" i="74" s="1"/>
  <c r="P10" i="41"/>
  <c r="E10" i="74" s="1"/>
  <c r="P8" i="41"/>
  <c r="P11" i="41"/>
  <c r="E11" i="74" s="1"/>
  <c r="P19" i="41"/>
  <c r="E19" i="74" s="1"/>
  <c r="P27" i="41"/>
  <c r="E27" i="74" s="1"/>
  <c r="P56" i="41"/>
  <c r="P59" i="41"/>
  <c r="E59" i="74" s="1"/>
  <c r="P64" i="41"/>
  <c r="E64" i="74" s="1"/>
  <c r="P67" i="41"/>
  <c r="E67" i="74" s="1"/>
  <c r="P83" i="41"/>
  <c r="P88" i="41"/>
  <c r="E88" i="74" s="1"/>
  <c r="P96" i="41"/>
  <c r="E96" i="74" s="1"/>
  <c r="P99" i="41"/>
  <c r="E99" i="74" s="1"/>
  <c r="P104" i="41"/>
  <c r="P115" i="41"/>
  <c r="P120" i="41"/>
  <c r="E120" i="74" s="1"/>
  <c r="P123" i="41"/>
  <c r="E123" i="74" s="1"/>
  <c r="P136" i="41"/>
  <c r="E136" i="74" s="1"/>
  <c r="P139" i="41"/>
  <c r="E139" i="74" s="1"/>
  <c r="P152" i="41"/>
  <c r="E152" i="74" s="1"/>
  <c r="P160" i="41"/>
  <c r="E160" i="74" s="1"/>
  <c r="P168" i="41"/>
  <c r="E168" i="74" s="1"/>
  <c r="P171" i="41"/>
  <c r="E171" i="74" s="1"/>
  <c r="P184" i="41"/>
  <c r="P192" i="41"/>
  <c r="E192" i="74" s="1"/>
  <c r="P203" i="41"/>
  <c r="E203" i="74" s="1"/>
  <c r="P224" i="41"/>
  <c r="E224" i="74" s="1"/>
  <c r="P235" i="41"/>
  <c r="E235" i="74" s="1"/>
  <c r="P66" i="39"/>
  <c r="D66" i="74" s="1"/>
  <c r="P74" i="39"/>
  <c r="D74" i="74" s="1"/>
  <c r="P90" i="39"/>
  <c r="D90" i="74" s="1"/>
  <c r="P98" i="39"/>
  <c r="D98" i="74" s="1"/>
  <c r="P114" i="39"/>
  <c r="D114" i="74" s="1"/>
  <c r="P122" i="39"/>
  <c r="P146" i="39"/>
  <c r="D146" i="74" s="1"/>
  <c r="P162" i="39"/>
  <c r="D162" i="74" s="1"/>
  <c r="P178" i="39"/>
  <c r="D178" i="74" s="1"/>
  <c r="P186" i="39"/>
  <c r="D186" i="74" s="1"/>
  <c r="P193" i="39"/>
  <c r="D193" i="74" s="1"/>
  <c r="H193" i="74" s="1"/>
  <c r="P202" i="39"/>
  <c r="D202" i="74" s="1"/>
  <c r="P203" i="39"/>
  <c r="D203" i="74" s="1"/>
  <c r="H203" i="74" s="1"/>
  <c r="P209" i="39"/>
  <c r="D209" i="74" s="1"/>
  <c r="P210" i="39"/>
  <c r="D210" i="74" s="1"/>
  <c r="P218" i="39"/>
  <c r="D218" i="74" s="1"/>
  <c r="P225" i="39"/>
  <c r="D225" i="74" s="1"/>
  <c r="P226" i="39"/>
  <c r="P227" i="39"/>
  <c r="D227" i="74" s="1"/>
  <c r="P242" i="39"/>
  <c r="D242" i="74" s="1"/>
  <c r="P249" i="39"/>
  <c r="D249" i="74" s="1"/>
  <c r="P250" i="39"/>
  <c r="D250" i="74" s="1"/>
  <c r="P184" i="45"/>
  <c r="P200" i="45"/>
  <c r="G200" i="74" s="1"/>
  <c r="P216" i="45"/>
  <c r="G216" i="74" s="1"/>
  <c r="P224" i="45"/>
  <c r="G224" i="74" s="1"/>
  <c r="P232" i="45"/>
  <c r="P240" i="45"/>
  <c r="G240" i="74" s="1"/>
  <c r="P252" i="39"/>
  <c r="D252" i="74" s="1"/>
  <c r="P12" i="45"/>
  <c r="G12" i="74" s="1"/>
  <c r="P20" i="45"/>
  <c r="G20" i="74" s="1"/>
  <c r="P28" i="45"/>
  <c r="G28" i="74" s="1"/>
  <c r="P68" i="45"/>
  <c r="P76" i="45"/>
  <c r="G76" i="74" s="1"/>
  <c r="P92" i="45"/>
  <c r="P100" i="45"/>
  <c r="G100" i="74" s="1"/>
  <c r="P116" i="45"/>
  <c r="G116" i="74" s="1"/>
  <c r="P124" i="45"/>
  <c r="G124" i="74" s="1"/>
  <c r="P140" i="45"/>
  <c r="G140" i="74" s="1"/>
  <c r="P156" i="45"/>
  <c r="G156" i="74" s="1"/>
  <c r="P180" i="45"/>
  <c r="G180" i="74" s="1"/>
  <c r="P188" i="45"/>
  <c r="G188" i="74" s="1"/>
  <c r="P204" i="45"/>
  <c r="P221" i="45"/>
  <c r="P227" i="45"/>
  <c r="G227" i="74" s="1"/>
  <c r="P23" i="45"/>
  <c r="G23" i="74" s="1"/>
  <c r="P31" i="45"/>
  <c r="G31" i="74" s="1"/>
  <c r="P39" i="45"/>
  <c r="G39" i="74" s="1"/>
  <c r="P55" i="45"/>
  <c r="G55" i="74" s="1"/>
  <c r="P63" i="45"/>
  <c r="G63" i="74" s="1"/>
  <c r="P71" i="45"/>
  <c r="G71" i="74" s="1"/>
  <c r="P79" i="45"/>
  <c r="G79" i="74" s="1"/>
  <c r="P87" i="45"/>
  <c r="G87" i="74" s="1"/>
  <c r="P95" i="45"/>
  <c r="G95" i="74" s="1"/>
  <c r="P103" i="45"/>
  <c r="G103" i="74" s="1"/>
  <c r="P234" i="45"/>
  <c r="G234" i="74" s="1"/>
  <c r="P242" i="45"/>
  <c r="G242" i="74" s="1"/>
  <c r="P250" i="45"/>
  <c r="G250" i="74" s="1"/>
  <c r="P181" i="45"/>
  <c r="G181" i="74" s="1"/>
  <c r="P183" i="45"/>
  <c r="G183" i="74" s="1"/>
  <c r="P189" i="45"/>
  <c r="P235" i="45"/>
  <c r="G235" i="74" s="1"/>
  <c r="P237" i="45"/>
  <c r="G237" i="74" s="1"/>
  <c r="P135" i="45"/>
  <c r="G135" i="74" s="1"/>
  <c r="P143" i="45"/>
  <c r="G143" i="74" s="1"/>
  <c r="P151" i="45"/>
  <c r="P159" i="45"/>
  <c r="G159" i="74" s="1"/>
  <c r="P167" i="45"/>
  <c r="P191" i="45"/>
  <c r="G191" i="74" s="1"/>
  <c r="P199" i="45"/>
  <c r="G199" i="74" s="1"/>
  <c r="P207" i="45"/>
  <c r="G207" i="74" s="1"/>
  <c r="P215" i="45"/>
  <c r="G215" i="74" s="1"/>
  <c r="P220" i="45"/>
  <c r="G220" i="74" s="1"/>
  <c r="P231" i="45"/>
  <c r="G231" i="74" s="1"/>
  <c r="P236" i="45"/>
  <c r="G236" i="74" s="1"/>
  <c r="P239" i="45"/>
  <c r="G239" i="74" s="1"/>
  <c r="P244" i="45"/>
  <c r="G244" i="74" s="1"/>
  <c r="P247" i="45"/>
  <c r="G247" i="74" s="1"/>
  <c r="P252" i="45"/>
  <c r="G252" i="74" s="1"/>
  <c r="P249" i="45"/>
  <c r="G249" i="74" s="1"/>
  <c r="P245" i="45"/>
  <c r="G245" i="74" s="1"/>
  <c r="P226" i="45"/>
  <c r="P225" i="45"/>
  <c r="G225" i="74" s="1"/>
  <c r="P218" i="45"/>
  <c r="G218" i="74" s="1"/>
  <c r="P217" i="45"/>
  <c r="P213" i="45"/>
  <c r="G213" i="74" s="1"/>
  <c r="P212" i="45"/>
  <c r="G212" i="74" s="1"/>
  <c r="P211" i="45"/>
  <c r="G211" i="74" s="1"/>
  <c r="P210" i="45"/>
  <c r="G210" i="74" s="1"/>
  <c r="P209" i="45"/>
  <c r="G209" i="74" s="1"/>
  <c r="P208" i="45"/>
  <c r="G208" i="74" s="1"/>
  <c r="P205" i="45"/>
  <c r="G205" i="74" s="1"/>
  <c r="P203" i="45"/>
  <c r="G203" i="74" s="1"/>
  <c r="P202" i="45"/>
  <c r="G202" i="74" s="1"/>
  <c r="P201" i="45"/>
  <c r="P194" i="45"/>
  <c r="G194" i="74" s="1"/>
  <c r="P193" i="45"/>
  <c r="G193" i="74" s="1"/>
  <c r="P192" i="45"/>
  <c r="G192" i="74" s="1"/>
  <c r="P186" i="45"/>
  <c r="G186" i="74" s="1"/>
  <c r="P185" i="45"/>
  <c r="G185" i="74" s="1"/>
  <c r="P179" i="45"/>
  <c r="P178" i="45"/>
  <c r="G178" i="74" s="1"/>
  <c r="P177" i="45"/>
  <c r="G177" i="74" s="1"/>
  <c r="P176" i="45"/>
  <c r="G176" i="74" s="1"/>
  <c r="P173" i="45"/>
  <c r="G173" i="74" s="1"/>
  <c r="P172" i="45"/>
  <c r="P171" i="45"/>
  <c r="G171" i="74" s="1"/>
  <c r="P169" i="45"/>
  <c r="G169" i="74" s="1"/>
  <c r="P168" i="45"/>
  <c r="G168" i="74" s="1"/>
  <c r="P165" i="45"/>
  <c r="G165" i="74" s="1"/>
  <c r="P164" i="45"/>
  <c r="G164" i="74" s="1"/>
  <c r="P163" i="45"/>
  <c r="G163" i="74" s="1"/>
  <c r="P162" i="45"/>
  <c r="G162" i="74" s="1"/>
  <c r="P161" i="45"/>
  <c r="G161" i="74" s="1"/>
  <c r="P160" i="45"/>
  <c r="G160" i="74" s="1"/>
  <c r="P157" i="45"/>
  <c r="P155" i="45"/>
  <c r="G155" i="74" s="1"/>
  <c r="P153" i="45"/>
  <c r="G153" i="74" s="1"/>
  <c r="P152" i="45"/>
  <c r="G152" i="74" s="1"/>
  <c r="P149" i="45"/>
  <c r="G149" i="74" s="1"/>
  <c r="P146" i="45"/>
  <c r="G146" i="74" s="1"/>
  <c r="P145" i="45"/>
  <c r="G145" i="74" s="1"/>
  <c r="P144" i="45"/>
  <c r="G144" i="74" s="1"/>
  <c r="P141" i="45"/>
  <c r="P139" i="45"/>
  <c r="G139" i="74" s="1"/>
  <c r="P136" i="45"/>
  <c r="G136" i="74" s="1"/>
  <c r="P133" i="45"/>
  <c r="G133" i="74" s="1"/>
  <c r="P131" i="45"/>
  <c r="G131" i="74" s="1"/>
  <c r="P130" i="45"/>
  <c r="G130" i="74" s="1"/>
  <c r="P129" i="45"/>
  <c r="G129" i="74" s="1"/>
  <c r="P125" i="45"/>
  <c r="G125" i="74" s="1"/>
  <c r="P123" i="45"/>
  <c r="G123" i="74" s="1"/>
  <c r="P122" i="45"/>
  <c r="P121" i="45"/>
  <c r="G121" i="74" s="1"/>
  <c r="P120" i="45"/>
  <c r="G120" i="74" s="1"/>
  <c r="P119" i="45"/>
  <c r="P115" i="45"/>
  <c r="P114" i="45"/>
  <c r="G114" i="74" s="1"/>
  <c r="P113" i="45"/>
  <c r="G113" i="74" s="1"/>
  <c r="P105" i="45"/>
  <c r="G105" i="74" s="1"/>
  <c r="P104" i="45"/>
  <c r="P99" i="45"/>
  <c r="G99" i="74" s="1"/>
  <c r="P98" i="45"/>
  <c r="G98" i="74" s="1"/>
  <c r="P97" i="45"/>
  <c r="G97" i="74" s="1"/>
  <c r="P96" i="45"/>
  <c r="G96" i="74" s="1"/>
  <c r="P93" i="45"/>
  <c r="G93" i="74" s="1"/>
  <c r="P91" i="45"/>
  <c r="G91" i="74" s="1"/>
  <c r="P90" i="45"/>
  <c r="G90" i="74" s="1"/>
  <c r="P88" i="45"/>
  <c r="G88" i="74" s="1"/>
  <c r="P85" i="45"/>
  <c r="G85" i="74" s="1"/>
  <c r="P84" i="45"/>
  <c r="G84" i="74" s="1"/>
  <c r="P83" i="45"/>
  <c r="P77" i="45"/>
  <c r="G77" i="74" s="1"/>
  <c r="P75" i="45"/>
  <c r="G75" i="74" s="1"/>
  <c r="P74" i="45"/>
  <c r="G74" i="74" s="1"/>
  <c r="P73" i="45"/>
  <c r="P72" i="45"/>
  <c r="G72" i="74" s="1"/>
  <c r="P69" i="45"/>
  <c r="G69" i="74" s="1"/>
  <c r="P67" i="45"/>
  <c r="G67" i="74" s="1"/>
  <c r="P66" i="45"/>
  <c r="G66" i="74" s="1"/>
  <c r="P65" i="45"/>
  <c r="G65" i="74" s="1"/>
  <c r="P64" i="45"/>
  <c r="G64" i="74" s="1"/>
  <c r="P60" i="45"/>
  <c r="G60" i="74" s="1"/>
  <c r="P59" i="45"/>
  <c r="G59" i="74" s="1"/>
  <c r="P58" i="45"/>
  <c r="G58" i="74" s="1"/>
  <c r="P57" i="45"/>
  <c r="G57" i="74" s="1"/>
  <c r="P56" i="45"/>
  <c r="P54" i="45"/>
  <c r="G54" i="74" s="1"/>
  <c r="P51" i="45"/>
  <c r="G51" i="74" s="1"/>
  <c r="P50" i="45"/>
  <c r="G50" i="74" s="1"/>
  <c r="P49" i="45"/>
  <c r="G49" i="74" s="1"/>
  <c r="P48" i="45"/>
  <c r="G48" i="74" s="1"/>
  <c r="P42" i="45"/>
  <c r="G42" i="74" s="1"/>
  <c r="P41" i="45"/>
  <c r="G41" i="74" s="1"/>
  <c r="P40" i="45"/>
  <c r="G40" i="74" s="1"/>
  <c r="P38" i="45"/>
  <c r="G38" i="74" s="1"/>
  <c r="P37" i="45"/>
  <c r="G37" i="74" s="1"/>
  <c r="P33" i="45"/>
  <c r="G33" i="74" s="1"/>
  <c r="P32" i="45"/>
  <c r="G32" i="74" s="1"/>
  <c r="P27" i="45"/>
  <c r="G27" i="74" s="1"/>
  <c r="P26" i="45"/>
  <c r="G26" i="74" s="1"/>
  <c r="P25" i="45"/>
  <c r="P22" i="45"/>
  <c r="G22" i="74" s="1"/>
  <c r="P21" i="45"/>
  <c r="G21" i="74" s="1"/>
  <c r="P19" i="45"/>
  <c r="G19" i="74" s="1"/>
  <c r="P18" i="45"/>
  <c r="P17" i="45"/>
  <c r="G17" i="74" s="1"/>
  <c r="P13" i="45"/>
  <c r="G13" i="74" s="1"/>
  <c r="P11" i="45"/>
  <c r="G11" i="74" s="1"/>
  <c r="P10" i="45"/>
  <c r="G10" i="74" s="1"/>
  <c r="P9" i="45"/>
  <c r="G9" i="74" s="1"/>
  <c r="P8" i="45"/>
  <c r="P68" i="43"/>
  <c r="P84" i="43"/>
  <c r="F84" i="74" s="1"/>
  <c r="P116" i="43"/>
  <c r="F116" i="74" s="1"/>
  <c r="P172" i="43"/>
  <c r="P204" i="43"/>
  <c r="P12" i="43"/>
  <c r="F12" i="74" s="1"/>
  <c r="P20" i="43"/>
  <c r="F20" i="74" s="1"/>
  <c r="P28" i="43"/>
  <c r="F28" i="74" s="1"/>
  <c r="P60" i="43"/>
  <c r="F60" i="74" s="1"/>
  <c r="P76" i="43"/>
  <c r="F76" i="74" s="1"/>
  <c r="P92" i="43"/>
  <c r="P100" i="43"/>
  <c r="F100" i="74" s="1"/>
  <c r="P140" i="43"/>
  <c r="F140" i="74" s="1"/>
  <c r="P156" i="43"/>
  <c r="F156" i="74" s="1"/>
  <c r="P164" i="43"/>
  <c r="F164" i="74" s="1"/>
  <c r="P240" i="43"/>
  <c r="F240" i="74" s="1"/>
  <c r="P173" i="43"/>
  <c r="F173" i="74" s="1"/>
  <c r="P213" i="43"/>
  <c r="F213" i="74" s="1"/>
  <c r="P221" i="43"/>
  <c r="P237" i="43"/>
  <c r="F237" i="74" s="1"/>
  <c r="P224" i="43"/>
  <c r="F224" i="74" s="1"/>
  <c r="P151" i="43"/>
  <c r="P232" i="43"/>
  <c r="P216" i="43"/>
  <c r="F216" i="74" s="1"/>
  <c r="P226" i="43"/>
  <c r="P174" i="43"/>
  <c r="F174" i="74" s="1"/>
  <c r="P235" i="43"/>
  <c r="F235" i="74" s="1"/>
  <c r="P134" i="43"/>
  <c r="P135" i="43"/>
  <c r="F135" i="74" s="1"/>
  <c r="P142" i="43"/>
  <c r="F142" i="74" s="1"/>
  <c r="P143" i="43"/>
  <c r="F143" i="74" s="1"/>
  <c r="P150" i="43"/>
  <c r="F150" i="74" s="1"/>
  <c r="P159" i="43"/>
  <c r="F159" i="74" s="1"/>
  <c r="P166" i="43"/>
  <c r="F166" i="74" s="1"/>
  <c r="P167" i="43"/>
  <c r="P183" i="43"/>
  <c r="F183" i="74" s="1"/>
  <c r="P188" i="43"/>
  <c r="F188" i="74" s="1"/>
  <c r="P191" i="43"/>
  <c r="F191" i="74" s="1"/>
  <c r="P212" i="43"/>
  <c r="F212" i="74" s="1"/>
  <c r="P220" i="43"/>
  <c r="F220" i="74" s="1"/>
  <c r="P222" i="43"/>
  <c r="F222" i="74" s="1"/>
  <c r="P234" i="43"/>
  <c r="F234" i="74" s="1"/>
  <c r="P236" i="43"/>
  <c r="F236" i="74" s="1"/>
  <c r="P244" i="43"/>
  <c r="F244" i="74" s="1"/>
  <c r="P250" i="43"/>
  <c r="F250" i="74" s="1"/>
  <c r="P252" i="43"/>
  <c r="F252" i="74" s="1"/>
  <c r="P245" i="43"/>
  <c r="F245" i="74" s="1"/>
  <c r="P242" i="43"/>
  <c r="F242" i="74" s="1"/>
  <c r="P227" i="43"/>
  <c r="F227" i="74" s="1"/>
  <c r="P225" i="43"/>
  <c r="F225" i="74" s="1"/>
  <c r="P218" i="43"/>
  <c r="F218" i="74" s="1"/>
  <c r="P217" i="43"/>
  <c r="P211" i="43"/>
  <c r="F211" i="74" s="1"/>
  <c r="P210" i="43"/>
  <c r="F210" i="74" s="1"/>
  <c r="P209" i="43"/>
  <c r="F209" i="74" s="1"/>
  <c r="P208" i="43"/>
  <c r="F208" i="74" s="1"/>
  <c r="P205" i="43"/>
  <c r="F205" i="74" s="1"/>
  <c r="P203" i="43"/>
  <c r="F203" i="74" s="1"/>
  <c r="P202" i="43"/>
  <c r="F202" i="74" s="1"/>
  <c r="P201" i="43"/>
  <c r="P200" i="43"/>
  <c r="F200" i="74" s="1"/>
  <c r="P194" i="43"/>
  <c r="F194" i="74" s="1"/>
  <c r="P193" i="43"/>
  <c r="F193" i="74" s="1"/>
  <c r="P192" i="43"/>
  <c r="F192" i="74" s="1"/>
  <c r="P189" i="43"/>
  <c r="P186" i="43"/>
  <c r="F186" i="74" s="1"/>
  <c r="P185" i="43"/>
  <c r="F185" i="74" s="1"/>
  <c r="P184" i="43"/>
  <c r="P181" i="43"/>
  <c r="F181" i="74" s="1"/>
  <c r="P180" i="43"/>
  <c r="F180" i="74" s="1"/>
  <c r="P179" i="43"/>
  <c r="P178" i="43"/>
  <c r="F178" i="74" s="1"/>
  <c r="P177" i="43"/>
  <c r="F177" i="74" s="1"/>
  <c r="P176" i="43"/>
  <c r="F176" i="74" s="1"/>
  <c r="P171" i="43"/>
  <c r="F171" i="74" s="1"/>
  <c r="P169" i="43"/>
  <c r="F169" i="74" s="1"/>
  <c r="P168" i="43"/>
  <c r="F168" i="74" s="1"/>
  <c r="P165" i="43"/>
  <c r="F165" i="74" s="1"/>
  <c r="P163" i="43"/>
  <c r="F163" i="74" s="1"/>
  <c r="P162" i="43"/>
  <c r="F162" i="74" s="1"/>
  <c r="P161" i="43"/>
  <c r="F161" i="74" s="1"/>
  <c r="P160" i="43"/>
  <c r="F160" i="74" s="1"/>
  <c r="P157" i="43"/>
  <c r="P155" i="43"/>
  <c r="F155" i="74" s="1"/>
  <c r="P153" i="43"/>
  <c r="F153" i="74" s="1"/>
  <c r="P152" i="43"/>
  <c r="F152" i="74" s="1"/>
  <c r="P149" i="43"/>
  <c r="F149" i="74" s="1"/>
  <c r="P146" i="43"/>
  <c r="F146" i="74" s="1"/>
  <c r="P145" i="43"/>
  <c r="F145" i="74" s="1"/>
  <c r="P144" i="43"/>
  <c r="F144" i="74" s="1"/>
  <c r="P141" i="43"/>
  <c r="P139" i="43"/>
  <c r="F139" i="74" s="1"/>
  <c r="P136" i="43"/>
  <c r="F136" i="74" s="1"/>
  <c r="P133" i="43"/>
  <c r="F133" i="74" s="1"/>
  <c r="P131" i="43"/>
  <c r="F131" i="74" s="1"/>
  <c r="P130" i="43"/>
  <c r="F130" i="74" s="1"/>
  <c r="P129" i="43"/>
  <c r="F129" i="74" s="1"/>
  <c r="P125" i="43"/>
  <c r="F125" i="74" s="1"/>
  <c r="P124" i="43"/>
  <c r="F124" i="74" s="1"/>
  <c r="P123" i="43"/>
  <c r="F123" i="74" s="1"/>
  <c r="P122" i="43"/>
  <c r="P121" i="43"/>
  <c r="F121" i="74" s="1"/>
  <c r="P120" i="43"/>
  <c r="F120" i="74" s="1"/>
  <c r="P119" i="43"/>
  <c r="P118" i="43"/>
  <c r="F118" i="74" s="1"/>
  <c r="P115" i="43"/>
  <c r="P114" i="43"/>
  <c r="F114" i="74" s="1"/>
  <c r="P113" i="43"/>
  <c r="F113" i="74" s="1"/>
  <c r="P105" i="43"/>
  <c r="F105" i="74" s="1"/>
  <c r="P104" i="43"/>
  <c r="P103" i="43"/>
  <c r="F103" i="74" s="1"/>
  <c r="P102" i="43"/>
  <c r="F102" i="74" s="1"/>
  <c r="P99" i="43"/>
  <c r="F99" i="74" s="1"/>
  <c r="P98" i="43"/>
  <c r="F98" i="74" s="1"/>
  <c r="P97" i="43"/>
  <c r="F97" i="74" s="1"/>
  <c r="P96" i="43"/>
  <c r="F96" i="74" s="1"/>
  <c r="P95" i="43"/>
  <c r="F95" i="74" s="1"/>
  <c r="P94" i="43"/>
  <c r="F94" i="74" s="1"/>
  <c r="P93" i="43"/>
  <c r="F93" i="74" s="1"/>
  <c r="P91" i="43"/>
  <c r="F91" i="74" s="1"/>
  <c r="P90" i="43"/>
  <c r="F90" i="74" s="1"/>
  <c r="P88" i="43"/>
  <c r="F88" i="74" s="1"/>
  <c r="P87" i="43"/>
  <c r="F87" i="74" s="1"/>
  <c r="P86" i="43"/>
  <c r="F86" i="74" s="1"/>
  <c r="P85" i="43"/>
  <c r="F85" i="74" s="1"/>
  <c r="P83" i="43"/>
  <c r="P79" i="43"/>
  <c r="F79" i="74" s="1"/>
  <c r="P78" i="43"/>
  <c r="F78" i="74" s="1"/>
  <c r="P77" i="43"/>
  <c r="F77" i="74" s="1"/>
  <c r="P75" i="43"/>
  <c r="F75" i="74" s="1"/>
  <c r="P74" i="43"/>
  <c r="F74" i="74" s="1"/>
  <c r="P73" i="43"/>
  <c r="P72" i="43"/>
  <c r="F72" i="74" s="1"/>
  <c r="P71" i="43"/>
  <c r="F71" i="74" s="1"/>
  <c r="P69" i="43"/>
  <c r="F69" i="74" s="1"/>
  <c r="P67" i="43"/>
  <c r="F67" i="74" s="1"/>
  <c r="P66" i="43"/>
  <c r="F66" i="74" s="1"/>
  <c r="P65" i="43"/>
  <c r="F65" i="74" s="1"/>
  <c r="P64" i="43"/>
  <c r="F64" i="74" s="1"/>
  <c r="P63" i="43"/>
  <c r="F63" i="74" s="1"/>
  <c r="P62" i="43"/>
  <c r="F62" i="74" s="1"/>
  <c r="P59" i="43"/>
  <c r="F59" i="74" s="1"/>
  <c r="P58" i="43"/>
  <c r="F58" i="74" s="1"/>
  <c r="P57" i="43"/>
  <c r="F57" i="74" s="1"/>
  <c r="P56" i="43"/>
  <c r="P55" i="43"/>
  <c r="F55" i="74" s="1"/>
  <c r="P54" i="43"/>
  <c r="F54" i="74" s="1"/>
  <c r="P51" i="43"/>
  <c r="F51" i="74" s="1"/>
  <c r="P50" i="43"/>
  <c r="F50" i="74" s="1"/>
  <c r="P49" i="43"/>
  <c r="F49" i="74" s="1"/>
  <c r="P48" i="43"/>
  <c r="F48" i="74" s="1"/>
  <c r="P42" i="43"/>
  <c r="F42" i="74" s="1"/>
  <c r="P41" i="43"/>
  <c r="F41" i="74" s="1"/>
  <c r="P40" i="43"/>
  <c r="F40" i="74" s="1"/>
  <c r="P39" i="43"/>
  <c r="F39" i="74" s="1"/>
  <c r="P38" i="43"/>
  <c r="F38" i="74" s="1"/>
  <c r="P37" i="43"/>
  <c r="F37" i="74" s="1"/>
  <c r="P33" i="43"/>
  <c r="F33" i="74" s="1"/>
  <c r="P32" i="43"/>
  <c r="F32" i="74" s="1"/>
  <c r="P31" i="43"/>
  <c r="F31" i="74" s="1"/>
  <c r="P30" i="43"/>
  <c r="F30" i="74" s="1"/>
  <c r="P27" i="43"/>
  <c r="F27" i="74" s="1"/>
  <c r="P26" i="43"/>
  <c r="F26" i="74" s="1"/>
  <c r="P25" i="43"/>
  <c r="P23" i="43"/>
  <c r="F23" i="74" s="1"/>
  <c r="P22" i="43"/>
  <c r="F22" i="74" s="1"/>
  <c r="P21" i="43"/>
  <c r="F21" i="74" s="1"/>
  <c r="P19" i="43"/>
  <c r="F19" i="74" s="1"/>
  <c r="P18" i="43"/>
  <c r="P17" i="43"/>
  <c r="F17" i="74" s="1"/>
  <c r="P13" i="43"/>
  <c r="F13" i="74" s="1"/>
  <c r="P11" i="43"/>
  <c r="F11" i="74" s="1"/>
  <c r="P10" i="43"/>
  <c r="F10" i="74" s="1"/>
  <c r="P9" i="43"/>
  <c r="F9" i="74" s="1"/>
  <c r="P8" i="43"/>
  <c r="P232" i="41"/>
  <c r="P216" i="41"/>
  <c r="E216" i="74" s="1"/>
  <c r="P200" i="41"/>
  <c r="E200" i="74" s="1"/>
  <c r="P91" i="41"/>
  <c r="E91" i="74" s="1"/>
  <c r="P75" i="41"/>
  <c r="E75" i="74" s="1"/>
  <c r="P51" i="41"/>
  <c r="E51" i="74" s="1"/>
  <c r="P48" i="41"/>
  <c r="E48" i="74" s="1"/>
  <c r="P235" i="39"/>
  <c r="D235" i="74" s="1"/>
  <c r="P236" i="39"/>
  <c r="D236" i="74" s="1"/>
  <c r="P244" i="39"/>
  <c r="D244" i="74" s="1"/>
  <c r="P166" i="39"/>
  <c r="D166" i="74" s="1"/>
  <c r="P28" i="39"/>
  <c r="D28" i="74" s="1"/>
  <c r="P60" i="39"/>
  <c r="D60" i="74" s="1"/>
  <c r="P68" i="39"/>
  <c r="P84" i="39"/>
  <c r="D84" i="74" s="1"/>
  <c r="P116" i="39"/>
  <c r="D116" i="74" s="1"/>
  <c r="P124" i="39"/>
  <c r="D124" i="74" s="1"/>
  <c r="P134" i="39"/>
  <c r="P204" i="39"/>
  <c r="P205" i="39"/>
  <c r="D205" i="74" s="1"/>
  <c r="P212" i="39"/>
  <c r="D212" i="74" s="1"/>
  <c r="P213" i="39"/>
  <c r="D213" i="74" s="1"/>
  <c r="P220" i="39"/>
  <c r="D220" i="74" s="1"/>
  <c r="P142" i="39"/>
  <c r="D142" i="74" s="1"/>
  <c r="P150" i="39"/>
  <c r="D150" i="74" s="1"/>
  <c r="P173" i="39"/>
  <c r="D173" i="74" s="1"/>
  <c r="P174" i="39"/>
  <c r="D174" i="74" s="1"/>
  <c r="P190" i="39"/>
  <c r="D190" i="74" s="1"/>
  <c r="P221" i="39"/>
  <c r="P222" i="39"/>
  <c r="D222" i="74" s="1"/>
  <c r="P237" i="39"/>
  <c r="D237" i="74" s="1"/>
  <c r="P245" i="39"/>
  <c r="D245" i="74" s="1"/>
  <c r="P240" i="39"/>
  <c r="D240" i="74" s="1"/>
  <c r="P234" i="39"/>
  <c r="D234" i="74" s="1"/>
  <c r="P232" i="39"/>
  <c r="P224" i="39"/>
  <c r="D224" i="74" s="1"/>
  <c r="P217" i="39"/>
  <c r="P216" i="39"/>
  <c r="D216" i="74" s="1"/>
  <c r="P211" i="39"/>
  <c r="D211" i="74" s="1"/>
  <c r="P208" i="39"/>
  <c r="D208" i="74" s="1"/>
  <c r="P201" i="39"/>
  <c r="P200" i="39"/>
  <c r="D200" i="74" s="1"/>
  <c r="P194" i="39"/>
  <c r="D194" i="74" s="1"/>
  <c r="P192" i="39"/>
  <c r="D192" i="74" s="1"/>
  <c r="P189" i="39"/>
  <c r="P188" i="39"/>
  <c r="D188" i="74" s="1"/>
  <c r="P185" i="39"/>
  <c r="D185" i="74" s="1"/>
  <c r="P184" i="39"/>
  <c r="P181" i="39"/>
  <c r="D181" i="74" s="1"/>
  <c r="P180" i="39"/>
  <c r="D180" i="74" s="1"/>
  <c r="H180" i="74" s="1"/>
  <c r="P179" i="39"/>
  <c r="P177" i="39"/>
  <c r="D177" i="74" s="1"/>
  <c r="P176" i="39"/>
  <c r="D176" i="74" s="1"/>
  <c r="P172" i="39"/>
  <c r="P171" i="39"/>
  <c r="D171" i="74" s="1"/>
  <c r="P169" i="39"/>
  <c r="D169" i="74" s="1"/>
  <c r="P168" i="39"/>
  <c r="D168" i="74" s="1"/>
  <c r="P165" i="39"/>
  <c r="D165" i="74" s="1"/>
  <c r="P164" i="39"/>
  <c r="D164" i="74" s="1"/>
  <c r="P163" i="39"/>
  <c r="D163" i="74" s="1"/>
  <c r="P161" i="39"/>
  <c r="D161" i="74" s="1"/>
  <c r="P160" i="39"/>
  <c r="D160" i="74" s="1"/>
  <c r="P157" i="39"/>
  <c r="P156" i="39"/>
  <c r="D156" i="74" s="1"/>
  <c r="P155" i="39"/>
  <c r="D155" i="74" s="1"/>
  <c r="P153" i="39"/>
  <c r="D153" i="74" s="1"/>
  <c r="P152" i="39"/>
  <c r="D152" i="74" s="1"/>
  <c r="P149" i="39"/>
  <c r="D149" i="74" s="1"/>
  <c r="H149" i="74" s="1"/>
  <c r="P145" i="39"/>
  <c r="D145" i="74" s="1"/>
  <c r="P144" i="39"/>
  <c r="D144" i="74" s="1"/>
  <c r="P141" i="39"/>
  <c r="P140" i="39"/>
  <c r="D140" i="74" s="1"/>
  <c r="P139" i="39"/>
  <c r="D139" i="74" s="1"/>
  <c r="P136" i="39"/>
  <c r="D136" i="74" s="1"/>
  <c r="P133" i="39"/>
  <c r="D133" i="74" s="1"/>
  <c r="P131" i="39"/>
  <c r="D131" i="74" s="1"/>
  <c r="P130" i="39"/>
  <c r="D130" i="74" s="1"/>
  <c r="P129" i="39"/>
  <c r="D129" i="74" s="1"/>
  <c r="P125" i="39"/>
  <c r="D125" i="74" s="1"/>
  <c r="P123" i="39"/>
  <c r="D123" i="74" s="1"/>
  <c r="P121" i="39"/>
  <c r="D121" i="74" s="1"/>
  <c r="P120" i="39"/>
  <c r="D120" i="74" s="1"/>
  <c r="P118" i="39"/>
  <c r="D118" i="74" s="1"/>
  <c r="P115" i="39"/>
  <c r="P113" i="39"/>
  <c r="D113" i="74" s="1"/>
  <c r="P105" i="39"/>
  <c r="D105" i="74" s="1"/>
  <c r="P104" i="39"/>
  <c r="P102" i="39"/>
  <c r="D102" i="74" s="1"/>
  <c r="P100" i="39"/>
  <c r="D100" i="74" s="1"/>
  <c r="P99" i="39"/>
  <c r="D99" i="74" s="1"/>
  <c r="H99" i="74" s="1"/>
  <c r="P97" i="39"/>
  <c r="D97" i="74" s="1"/>
  <c r="P96" i="39"/>
  <c r="D96" i="74" s="1"/>
  <c r="P94" i="39"/>
  <c r="D94" i="74" s="1"/>
  <c r="P93" i="39"/>
  <c r="D93" i="74" s="1"/>
  <c r="P92" i="39"/>
  <c r="P91" i="39"/>
  <c r="D91" i="74" s="1"/>
  <c r="P88" i="39"/>
  <c r="D88" i="74" s="1"/>
  <c r="P87" i="39"/>
  <c r="D87" i="74" s="1"/>
  <c r="P86" i="39"/>
  <c r="D86" i="74" s="1"/>
  <c r="P85" i="39"/>
  <c r="D85" i="74" s="1"/>
  <c r="P83" i="39"/>
  <c r="P78" i="39"/>
  <c r="D78" i="74" s="1"/>
  <c r="P77" i="39"/>
  <c r="D77" i="74" s="1"/>
  <c r="P76" i="39"/>
  <c r="D76" i="74" s="1"/>
  <c r="P75" i="39"/>
  <c r="D75" i="74" s="1"/>
  <c r="P73" i="39"/>
  <c r="P72" i="39"/>
  <c r="D72" i="74" s="1"/>
  <c r="P69" i="39"/>
  <c r="D69" i="74" s="1"/>
  <c r="P67" i="39"/>
  <c r="D67" i="74" s="1"/>
  <c r="P65" i="39"/>
  <c r="D65" i="74" s="1"/>
  <c r="P64" i="39"/>
  <c r="D64" i="74" s="1"/>
  <c r="P63" i="39"/>
  <c r="D63" i="74" s="1"/>
  <c r="P62" i="39"/>
  <c r="D62" i="74" s="1"/>
  <c r="P59" i="39"/>
  <c r="D59" i="74" s="1"/>
  <c r="P58" i="39"/>
  <c r="D58" i="74" s="1"/>
  <c r="P57" i="39"/>
  <c r="D57" i="74" s="1"/>
  <c r="P56" i="39"/>
  <c r="P54" i="39"/>
  <c r="D54" i="74" s="1"/>
  <c r="P51" i="39"/>
  <c r="D51" i="74" s="1"/>
  <c r="P50" i="39"/>
  <c r="D50" i="74" s="1"/>
  <c r="P49" i="39"/>
  <c r="D49" i="74" s="1"/>
  <c r="P48" i="39"/>
  <c r="D48" i="74" s="1"/>
  <c r="P42" i="39"/>
  <c r="D42" i="74" s="1"/>
  <c r="P41" i="39"/>
  <c r="D41" i="74" s="1"/>
  <c r="P40" i="39"/>
  <c r="D40" i="74" s="1"/>
  <c r="P38" i="39"/>
  <c r="D38" i="74" s="1"/>
  <c r="P37" i="39"/>
  <c r="D37" i="74" s="1"/>
  <c r="P33" i="39"/>
  <c r="D33" i="74" s="1"/>
  <c r="P32" i="39"/>
  <c r="D32" i="74" s="1"/>
  <c r="H32" i="74" s="1"/>
  <c r="P30" i="39"/>
  <c r="D30" i="74" s="1"/>
  <c r="P27" i="39"/>
  <c r="D27" i="74" s="1"/>
  <c r="P26" i="39"/>
  <c r="D26" i="74" s="1"/>
  <c r="P25" i="39"/>
  <c r="P22" i="39"/>
  <c r="D22" i="74" s="1"/>
  <c r="P21" i="39"/>
  <c r="D21" i="74" s="1"/>
  <c r="P20" i="39"/>
  <c r="D20" i="74" s="1"/>
  <c r="P19" i="39"/>
  <c r="D19" i="74" s="1"/>
  <c r="P18" i="39"/>
  <c r="P17" i="39"/>
  <c r="D17" i="74" s="1"/>
  <c r="P13" i="39"/>
  <c r="D13" i="74" s="1"/>
  <c r="P12" i="39"/>
  <c r="D12" i="74" s="1"/>
  <c r="P11" i="39"/>
  <c r="D11" i="74" s="1"/>
  <c r="P10" i="39"/>
  <c r="D10" i="74" s="1"/>
  <c r="P9" i="39"/>
  <c r="D9" i="74" s="1"/>
  <c r="P8" i="39"/>
  <c r="D15" i="17"/>
  <c r="D16" i="17" s="1"/>
  <c r="E15" i="17"/>
  <c r="F15" i="17"/>
  <c r="F16" i="17" s="1"/>
  <c r="G15" i="17"/>
  <c r="H15" i="17"/>
  <c r="H16" i="17" s="1"/>
  <c r="H253" i="17" s="1"/>
  <c r="I15" i="17"/>
  <c r="I16" i="17" s="1"/>
  <c r="J15" i="17"/>
  <c r="K15" i="17"/>
  <c r="L15" i="17"/>
  <c r="M15" i="17"/>
  <c r="N15" i="17"/>
  <c r="O15" i="17"/>
  <c r="P15" i="17"/>
  <c r="P16" i="17" s="1"/>
  <c r="E16" i="17"/>
  <c r="G16" i="17"/>
  <c r="J16" i="17"/>
  <c r="K16" i="17"/>
  <c r="L16" i="17"/>
  <c r="M16" i="17"/>
  <c r="N16" i="17"/>
  <c r="O16" i="17"/>
  <c r="P13" i="17"/>
  <c r="P9" i="17"/>
  <c r="P8" i="17"/>
  <c r="P252" i="17"/>
  <c r="P250" i="17"/>
  <c r="P249" i="17"/>
  <c r="P247" i="17"/>
  <c r="P246" i="17"/>
  <c r="P245" i="17"/>
  <c r="P244" i="17"/>
  <c r="P242" i="17"/>
  <c r="P240" i="17"/>
  <c r="P239" i="17"/>
  <c r="P238" i="17"/>
  <c r="P237" i="17"/>
  <c r="P236" i="17"/>
  <c r="P235" i="17"/>
  <c r="P234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P232" i="17"/>
  <c r="P233" i="17" s="1"/>
  <c r="P231" i="17"/>
  <c r="P230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P227" i="17"/>
  <c r="P226" i="17"/>
  <c r="P225" i="17"/>
  <c r="P224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P222" i="17"/>
  <c r="P221" i="17"/>
  <c r="P220" i="17"/>
  <c r="P219" i="17"/>
  <c r="P243" i="17" s="1"/>
  <c r="O219" i="17"/>
  <c r="O243" i="17" s="1"/>
  <c r="N219" i="17"/>
  <c r="N243" i="17" s="1"/>
  <c r="N248" i="17" s="1"/>
  <c r="M219" i="17"/>
  <c r="M243" i="17" s="1"/>
  <c r="L219" i="17"/>
  <c r="L243" i="17" s="1"/>
  <c r="K219" i="17"/>
  <c r="K243" i="17" s="1"/>
  <c r="K248" i="17" s="1"/>
  <c r="J219" i="17"/>
  <c r="J243" i="17" s="1"/>
  <c r="J248" i="17" s="1"/>
  <c r="I219" i="17"/>
  <c r="I243" i="17" s="1"/>
  <c r="I248" i="17" s="1"/>
  <c r="H219" i="17"/>
  <c r="H243" i="17" s="1"/>
  <c r="H248" i="17" s="1"/>
  <c r="G219" i="17"/>
  <c r="G243" i="17" s="1"/>
  <c r="F219" i="17"/>
  <c r="F243" i="17" s="1"/>
  <c r="F248" i="17" s="1"/>
  <c r="E219" i="17"/>
  <c r="E243" i="17" s="1"/>
  <c r="D219" i="17"/>
  <c r="D243" i="17" s="1"/>
  <c r="P218" i="17"/>
  <c r="P217" i="17"/>
  <c r="P216" i="17"/>
  <c r="P215" i="17"/>
  <c r="K214" i="17"/>
  <c r="I214" i="17"/>
  <c r="H214" i="17"/>
  <c r="P213" i="17"/>
  <c r="P212" i="17"/>
  <c r="P211" i="17"/>
  <c r="P210" i="17"/>
  <c r="P214" i="17" s="1"/>
  <c r="P209" i="17"/>
  <c r="P208" i="17"/>
  <c r="P207" i="17"/>
  <c r="P206" i="17"/>
  <c r="O206" i="17"/>
  <c r="O214" i="17" s="1"/>
  <c r="N206" i="17"/>
  <c r="N214" i="17" s="1"/>
  <c r="M206" i="17"/>
  <c r="M214" i="17" s="1"/>
  <c r="L206" i="17"/>
  <c r="L214" i="17" s="1"/>
  <c r="K206" i="17"/>
  <c r="J206" i="17"/>
  <c r="J214" i="17" s="1"/>
  <c r="I206" i="17"/>
  <c r="H206" i="17"/>
  <c r="G206" i="17"/>
  <c r="G214" i="17" s="1"/>
  <c r="F206" i="17"/>
  <c r="F214" i="17" s="1"/>
  <c r="E206" i="17"/>
  <c r="E214" i="17" s="1"/>
  <c r="D206" i="17"/>
  <c r="D214" i="17" s="1"/>
  <c r="P205" i="17"/>
  <c r="P204" i="17"/>
  <c r="P203" i="17"/>
  <c r="P202" i="17"/>
  <c r="P201" i="17"/>
  <c r="P200" i="17"/>
  <c r="P199" i="17"/>
  <c r="H198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P194" i="17"/>
  <c r="P193" i="17"/>
  <c r="P192" i="17"/>
  <c r="P197" i="17" s="1"/>
  <c r="P191" i="17"/>
  <c r="P190" i="17"/>
  <c r="P189" i="17"/>
  <c r="P188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P186" i="17"/>
  <c r="P185" i="17"/>
  <c r="P184" i="17"/>
  <c r="P187" i="17" s="1"/>
  <c r="P183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P181" i="17"/>
  <c r="P180" i="17"/>
  <c r="P179" i="17"/>
  <c r="P182" i="17" s="1"/>
  <c r="P178" i="17"/>
  <c r="P177" i="17"/>
  <c r="P176" i="17"/>
  <c r="O175" i="17"/>
  <c r="N175" i="17"/>
  <c r="M175" i="17"/>
  <c r="L175" i="17"/>
  <c r="K175" i="17"/>
  <c r="K198" i="17" s="1"/>
  <c r="J175" i="17"/>
  <c r="I175" i="17"/>
  <c r="H175" i="17"/>
  <c r="G175" i="17"/>
  <c r="F175" i="17"/>
  <c r="E175" i="17"/>
  <c r="D175" i="17"/>
  <c r="P174" i="17"/>
  <c r="P173" i="17"/>
  <c r="P172" i="17"/>
  <c r="P175" i="17" s="1"/>
  <c r="P171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P169" i="17"/>
  <c r="P168" i="17"/>
  <c r="P167" i="17"/>
  <c r="P170" i="17" s="1"/>
  <c r="P166" i="17"/>
  <c r="P165" i="17"/>
  <c r="P164" i="17"/>
  <c r="P163" i="17"/>
  <c r="P162" i="17"/>
  <c r="P161" i="17"/>
  <c r="P160" i="17"/>
  <c r="P159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P157" i="17"/>
  <c r="P158" i="17" s="1"/>
  <c r="P156" i="17"/>
  <c r="P155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P153" i="17"/>
  <c r="P152" i="17"/>
  <c r="P151" i="17"/>
  <c r="P154" i="17" s="1"/>
  <c r="P150" i="17"/>
  <c r="P149" i="17"/>
  <c r="O148" i="17"/>
  <c r="O198" i="17" s="1"/>
  <c r="N148" i="17"/>
  <c r="N198" i="17" s="1"/>
  <c r="M148" i="17"/>
  <c r="M198" i="17" s="1"/>
  <c r="L148" i="17"/>
  <c r="L198" i="17" s="1"/>
  <c r="K148" i="17"/>
  <c r="J148" i="17"/>
  <c r="J198" i="17" s="1"/>
  <c r="I148" i="17"/>
  <c r="I198" i="17" s="1"/>
  <c r="H148" i="17"/>
  <c r="G148" i="17"/>
  <c r="G198" i="17" s="1"/>
  <c r="F148" i="17"/>
  <c r="F198" i="17" s="1"/>
  <c r="E148" i="17"/>
  <c r="E198" i="17" s="1"/>
  <c r="D148" i="17"/>
  <c r="D198" i="17" s="1"/>
  <c r="P146" i="17"/>
  <c r="P145" i="17"/>
  <c r="P144" i="17"/>
  <c r="P143" i="17"/>
  <c r="P142" i="17"/>
  <c r="P141" i="17"/>
  <c r="P148" i="17" s="1"/>
  <c r="P198" i="17" s="1"/>
  <c r="P140" i="17"/>
  <c r="P139" i="17"/>
  <c r="O137" i="17"/>
  <c r="N137" i="17"/>
  <c r="M137" i="17"/>
  <c r="L137" i="17"/>
  <c r="K137" i="17"/>
  <c r="J137" i="17"/>
  <c r="I137" i="17"/>
  <c r="I138" i="17" s="1"/>
  <c r="H137" i="17"/>
  <c r="G137" i="17"/>
  <c r="F137" i="17"/>
  <c r="E137" i="17"/>
  <c r="D137" i="17"/>
  <c r="P136" i="17"/>
  <c r="P137" i="17" s="1"/>
  <c r="P138" i="17" s="1"/>
  <c r="P135" i="17"/>
  <c r="P134" i="17"/>
  <c r="P133" i="17"/>
  <c r="P131" i="17"/>
  <c r="P130" i="17"/>
  <c r="P129" i="17"/>
  <c r="O128" i="17"/>
  <c r="O132" i="17" s="1"/>
  <c r="N128" i="17"/>
  <c r="N132" i="17" s="1"/>
  <c r="N138" i="17" s="1"/>
  <c r="M128" i="17"/>
  <c r="M132" i="17" s="1"/>
  <c r="M138" i="17" s="1"/>
  <c r="L128" i="17"/>
  <c r="L132" i="17" s="1"/>
  <c r="K128" i="17"/>
  <c r="K132" i="17" s="1"/>
  <c r="K138" i="17" s="1"/>
  <c r="J128" i="17"/>
  <c r="J132" i="17" s="1"/>
  <c r="J138" i="17" s="1"/>
  <c r="I128" i="17"/>
  <c r="I132" i="17" s="1"/>
  <c r="H128" i="17"/>
  <c r="H132" i="17" s="1"/>
  <c r="H138" i="17" s="1"/>
  <c r="G128" i="17"/>
  <c r="G132" i="17" s="1"/>
  <c r="F128" i="17"/>
  <c r="F132" i="17" s="1"/>
  <c r="F138" i="17" s="1"/>
  <c r="E128" i="17"/>
  <c r="E132" i="17" s="1"/>
  <c r="E138" i="17" s="1"/>
  <c r="D128" i="17"/>
  <c r="D132" i="17" s="1"/>
  <c r="P127" i="17"/>
  <c r="P126" i="17"/>
  <c r="P125" i="17"/>
  <c r="P124" i="17"/>
  <c r="P123" i="17"/>
  <c r="P122" i="17"/>
  <c r="P128" i="17" s="1"/>
  <c r="P132" i="17" s="1"/>
  <c r="P121" i="17"/>
  <c r="P120" i="17"/>
  <c r="P119" i="17"/>
  <c r="P118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P116" i="17"/>
  <c r="P117" i="17" s="1"/>
  <c r="P115" i="17"/>
  <c r="P114" i="17"/>
  <c r="P113" i="17"/>
  <c r="L112" i="17"/>
  <c r="D112" i="17"/>
  <c r="P106" i="17"/>
  <c r="O106" i="17"/>
  <c r="N106" i="17"/>
  <c r="N111" i="17" s="1"/>
  <c r="M106" i="17"/>
  <c r="L106" i="17"/>
  <c r="K106" i="17"/>
  <c r="J106" i="17"/>
  <c r="J111" i="17" s="1"/>
  <c r="I106" i="17"/>
  <c r="H106" i="17"/>
  <c r="H111" i="17" s="1"/>
  <c r="G106" i="17"/>
  <c r="F106" i="17"/>
  <c r="F111" i="17" s="1"/>
  <c r="E106" i="17"/>
  <c r="D106" i="17"/>
  <c r="P105" i="17"/>
  <c r="P104" i="17"/>
  <c r="P103" i="17"/>
  <c r="P102" i="17"/>
  <c r="O101" i="17"/>
  <c r="N101" i="17"/>
  <c r="M101" i="17"/>
  <c r="M111" i="17" s="1"/>
  <c r="L101" i="17"/>
  <c r="K101" i="17"/>
  <c r="J101" i="17"/>
  <c r="I101" i="17"/>
  <c r="H101" i="17"/>
  <c r="G101" i="17"/>
  <c r="F101" i="17"/>
  <c r="E101" i="17"/>
  <c r="E111" i="17" s="1"/>
  <c r="D101" i="17"/>
  <c r="P100" i="17"/>
  <c r="P99" i="17"/>
  <c r="P98" i="17"/>
  <c r="P97" i="17"/>
  <c r="P96" i="17"/>
  <c r="P95" i="17"/>
  <c r="P94" i="17"/>
  <c r="P93" i="17"/>
  <c r="P92" i="17"/>
  <c r="P101" i="17" s="1"/>
  <c r="P91" i="17"/>
  <c r="P90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P88" i="17"/>
  <c r="P87" i="17"/>
  <c r="P86" i="17"/>
  <c r="P85" i="17"/>
  <c r="P84" i="17"/>
  <c r="P89" i="17" s="1"/>
  <c r="P83" i="17"/>
  <c r="O80" i="17"/>
  <c r="O111" i="17" s="1"/>
  <c r="N80" i="17"/>
  <c r="M80" i="17"/>
  <c r="L80" i="17"/>
  <c r="K80" i="17"/>
  <c r="J80" i="17"/>
  <c r="I80" i="17"/>
  <c r="H80" i="17"/>
  <c r="G80" i="17"/>
  <c r="G111" i="17" s="1"/>
  <c r="F80" i="17"/>
  <c r="E80" i="17"/>
  <c r="D80" i="17"/>
  <c r="P79" i="17"/>
  <c r="P78" i="17"/>
  <c r="P77" i="17"/>
  <c r="P76" i="17"/>
  <c r="P75" i="17"/>
  <c r="P74" i="17"/>
  <c r="P80" i="17" s="1"/>
  <c r="P73" i="17"/>
  <c r="P72" i="17"/>
  <c r="P71" i="17"/>
  <c r="P70" i="17"/>
  <c r="O70" i="17"/>
  <c r="N70" i="17"/>
  <c r="M70" i="17"/>
  <c r="L70" i="17"/>
  <c r="L111" i="17" s="1"/>
  <c r="K70" i="17"/>
  <c r="J70" i="17"/>
  <c r="I70" i="17"/>
  <c r="H70" i="17"/>
  <c r="G70" i="17"/>
  <c r="F70" i="17"/>
  <c r="E70" i="17"/>
  <c r="D70" i="17"/>
  <c r="D111" i="17" s="1"/>
  <c r="P69" i="17"/>
  <c r="P68" i="17"/>
  <c r="P67" i="17"/>
  <c r="P66" i="17"/>
  <c r="P65" i="17"/>
  <c r="P64" i="17"/>
  <c r="P63" i="17"/>
  <c r="P62" i="17"/>
  <c r="O61" i="17"/>
  <c r="N61" i="17"/>
  <c r="M61" i="17"/>
  <c r="L61" i="17"/>
  <c r="K61" i="17"/>
  <c r="K111" i="17" s="1"/>
  <c r="J61" i="17"/>
  <c r="I61" i="17"/>
  <c r="I111" i="17" s="1"/>
  <c r="H61" i="17"/>
  <c r="G61" i="17"/>
  <c r="F61" i="17"/>
  <c r="E61" i="17"/>
  <c r="D61" i="17"/>
  <c r="P60" i="17"/>
  <c r="P59" i="17"/>
  <c r="P58" i="17"/>
  <c r="P57" i="17"/>
  <c r="P56" i="17"/>
  <c r="P61" i="17" s="1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O36" i="17"/>
  <c r="O112" i="17" s="1"/>
  <c r="N36" i="17"/>
  <c r="N112" i="17" s="1"/>
  <c r="L36" i="17"/>
  <c r="J36" i="17"/>
  <c r="J112" i="17" s="1"/>
  <c r="I36" i="17"/>
  <c r="I112" i="17" s="1"/>
  <c r="G36" i="17"/>
  <c r="G112" i="17" s="1"/>
  <c r="F36" i="17"/>
  <c r="F112" i="17" s="1"/>
  <c r="D36" i="17"/>
  <c r="P33" i="17"/>
  <c r="P32" i="17"/>
  <c r="P31" i="17"/>
  <c r="P30" i="17"/>
  <c r="O29" i="17"/>
  <c r="N29" i="17"/>
  <c r="M29" i="17"/>
  <c r="M36" i="17" s="1"/>
  <c r="M112" i="17" s="1"/>
  <c r="L29" i="17"/>
  <c r="K29" i="17"/>
  <c r="J29" i="17"/>
  <c r="I29" i="17"/>
  <c r="H29" i="17"/>
  <c r="G29" i="17"/>
  <c r="F29" i="17"/>
  <c r="E29" i="17"/>
  <c r="E36" i="17" s="1"/>
  <c r="E112" i="17" s="1"/>
  <c r="D29" i="17"/>
  <c r="P28" i="17"/>
  <c r="P27" i="17"/>
  <c r="P26" i="17"/>
  <c r="P25" i="17"/>
  <c r="P29" i="17" s="1"/>
  <c r="O24" i="17"/>
  <c r="N24" i="17"/>
  <c r="M24" i="17"/>
  <c r="L24" i="17"/>
  <c r="K24" i="17"/>
  <c r="K36" i="17" s="1"/>
  <c r="K112" i="17" s="1"/>
  <c r="J24" i="17"/>
  <c r="I24" i="17"/>
  <c r="H24" i="17"/>
  <c r="H36" i="17" s="1"/>
  <c r="H112" i="17" s="1"/>
  <c r="G24" i="17"/>
  <c r="F24" i="17"/>
  <c r="E24" i="17"/>
  <c r="D24" i="17"/>
  <c r="P23" i="17"/>
  <c r="P22" i="17"/>
  <c r="P21" i="17"/>
  <c r="P20" i="17"/>
  <c r="P24" i="17" s="1"/>
  <c r="P19" i="17"/>
  <c r="P18" i="17"/>
  <c r="P17" i="17"/>
  <c r="P12" i="17"/>
  <c r="P11" i="17"/>
  <c r="P10" i="17"/>
  <c r="C6" i="10"/>
  <c r="G61" i="74" l="1"/>
  <c r="G214" i="74"/>
  <c r="G170" i="74"/>
  <c r="F223" i="74"/>
  <c r="F101" i="74"/>
  <c r="F80" i="74"/>
  <c r="F214" i="74"/>
  <c r="D197" i="74"/>
  <c r="H197" i="74" s="1"/>
  <c r="D229" i="74"/>
  <c r="D214" i="74"/>
  <c r="H214" i="74" s="1"/>
  <c r="G101" i="74"/>
  <c r="G154" i="74"/>
  <c r="F154" i="74"/>
  <c r="H11" i="74"/>
  <c r="H131" i="74"/>
  <c r="D101" i="74"/>
  <c r="D61" i="74"/>
  <c r="D89" i="74"/>
  <c r="H96" i="74"/>
  <c r="H216" i="74"/>
  <c r="G204" i="74"/>
  <c r="G206" i="74"/>
  <c r="G92" i="74"/>
  <c r="G232" i="74"/>
  <c r="G233" i="74"/>
  <c r="G18" i="74"/>
  <c r="G172" i="74"/>
  <c r="G226" i="74"/>
  <c r="G229" i="74"/>
  <c r="G151" i="74"/>
  <c r="G115" i="74"/>
  <c r="G68" i="74"/>
  <c r="G70" i="74"/>
  <c r="G83" i="74"/>
  <c r="G89" i="74"/>
  <c r="G119" i="74"/>
  <c r="G134" i="74"/>
  <c r="G56" i="74"/>
  <c r="G201" i="74"/>
  <c r="G184" i="74"/>
  <c r="G187" i="74"/>
  <c r="G8" i="74"/>
  <c r="G25" i="74"/>
  <c r="G29" i="74"/>
  <c r="G104" i="74"/>
  <c r="G122" i="74"/>
  <c r="G179" i="74"/>
  <c r="G217" i="74"/>
  <c r="G189" i="74"/>
  <c r="G73" i="74"/>
  <c r="G141" i="74"/>
  <c r="G157" i="74"/>
  <c r="G158" i="74"/>
  <c r="G167" i="74"/>
  <c r="G221" i="74"/>
  <c r="F115" i="74"/>
  <c r="F92" i="74"/>
  <c r="F18" i="74"/>
  <c r="F56" i="74"/>
  <c r="F189" i="74"/>
  <c r="F226" i="74"/>
  <c r="F68" i="74"/>
  <c r="F141" i="74"/>
  <c r="F221" i="74"/>
  <c r="F119" i="74"/>
  <c r="F157" i="74"/>
  <c r="F167" i="74"/>
  <c r="F8" i="74"/>
  <c r="F179" i="74"/>
  <c r="F232" i="74"/>
  <c r="H64" i="74"/>
  <c r="H171" i="74"/>
  <c r="F83" i="74"/>
  <c r="F89" i="74"/>
  <c r="F104" i="74"/>
  <c r="F151" i="74"/>
  <c r="F122" i="74"/>
  <c r="F204" i="74"/>
  <c r="F206" i="74"/>
  <c r="F25" i="74"/>
  <c r="F73" i="74"/>
  <c r="F184" i="74"/>
  <c r="F201" i="74"/>
  <c r="F217" i="74"/>
  <c r="F134" i="74"/>
  <c r="F172" i="74"/>
  <c r="F175" i="74"/>
  <c r="H163" i="74"/>
  <c r="E115" i="74"/>
  <c r="E56" i="74"/>
  <c r="E232" i="74"/>
  <c r="E83" i="74"/>
  <c r="E8" i="74"/>
  <c r="E104" i="74"/>
  <c r="E184" i="74"/>
  <c r="E179" i="74"/>
  <c r="D217" i="74"/>
  <c r="D115" i="74"/>
  <c r="D83" i="74"/>
  <c r="D221" i="74"/>
  <c r="D223" i="74"/>
  <c r="D179" i="74"/>
  <c r="H179" i="74" s="1"/>
  <c r="D182" i="74"/>
  <c r="H182" i="74" s="1"/>
  <c r="D232" i="74"/>
  <c r="D204" i="74"/>
  <c r="D226" i="74"/>
  <c r="D119" i="74"/>
  <c r="D56" i="74"/>
  <c r="D18" i="74"/>
  <c r="D73" i="74"/>
  <c r="D134" i="74"/>
  <c r="D184" i="74"/>
  <c r="D201" i="74"/>
  <c r="D92" i="74"/>
  <c r="D104" i="74"/>
  <c r="D141" i="74"/>
  <c r="D157" i="74"/>
  <c r="D122" i="74"/>
  <c r="D8" i="74"/>
  <c r="D172" i="74"/>
  <c r="D68" i="74"/>
  <c r="D151" i="74"/>
  <c r="D25" i="74"/>
  <c r="D29" i="74"/>
  <c r="D189" i="74"/>
  <c r="H27" i="74"/>
  <c r="H19" i="74"/>
  <c r="H139" i="74"/>
  <c r="H155" i="74"/>
  <c r="G117" i="74"/>
  <c r="G182" i="74"/>
  <c r="H47" i="74"/>
  <c r="H88" i="74"/>
  <c r="H144" i="74"/>
  <c r="H160" i="74"/>
  <c r="F61" i="74"/>
  <c r="F117" i="74"/>
  <c r="F170" i="74"/>
  <c r="F182" i="74"/>
  <c r="F229" i="74"/>
  <c r="H224" i="74"/>
  <c r="H200" i="74"/>
  <c r="H168" i="74"/>
  <c r="F158" i="74"/>
  <c r="F187" i="74"/>
  <c r="F29" i="74"/>
  <c r="H176" i="74"/>
  <c r="H152" i="74"/>
  <c r="H48" i="74"/>
  <c r="H59" i="74"/>
  <c r="H136" i="74"/>
  <c r="H52" i="74"/>
  <c r="H227" i="74"/>
  <c r="H91" i="74"/>
  <c r="H10" i="74"/>
  <c r="H51" i="74"/>
  <c r="H211" i="74"/>
  <c r="E182" i="74"/>
  <c r="H192" i="74"/>
  <c r="H67" i="74"/>
  <c r="H120" i="74"/>
  <c r="H75" i="74"/>
  <c r="H123" i="74"/>
  <c r="H235" i="74"/>
  <c r="H53" i="74"/>
  <c r="D187" i="74"/>
  <c r="D175" i="74"/>
  <c r="D158" i="74"/>
  <c r="D148" i="74"/>
  <c r="D70" i="74"/>
  <c r="D80" i="74"/>
  <c r="D117" i="74"/>
  <c r="D154" i="74"/>
  <c r="D206" i="74"/>
  <c r="P240" i="41"/>
  <c r="E240" i="74" s="1"/>
  <c r="H240" i="74" s="1"/>
  <c r="P208" i="41"/>
  <c r="E208" i="74" s="1"/>
  <c r="H208" i="74" s="1"/>
  <c r="P249" i="41"/>
  <c r="E249" i="74" s="1"/>
  <c r="H249" i="74" s="1"/>
  <c r="P225" i="41"/>
  <c r="E225" i="74" s="1"/>
  <c r="H225" i="74" s="1"/>
  <c r="P217" i="41"/>
  <c r="P209" i="41"/>
  <c r="E209" i="74" s="1"/>
  <c r="H209" i="74" s="1"/>
  <c r="P201" i="41"/>
  <c r="P193" i="41"/>
  <c r="E193" i="74" s="1"/>
  <c r="P185" i="41"/>
  <c r="E185" i="74" s="1"/>
  <c r="H185" i="74" s="1"/>
  <c r="P177" i="41"/>
  <c r="E177" i="74" s="1"/>
  <c r="H177" i="74" s="1"/>
  <c r="P169" i="41"/>
  <c r="E169" i="74" s="1"/>
  <c r="H169" i="74" s="1"/>
  <c r="P161" i="41"/>
  <c r="E161" i="74" s="1"/>
  <c r="H161" i="74" s="1"/>
  <c r="P153" i="41"/>
  <c r="E153" i="74" s="1"/>
  <c r="H153" i="74" s="1"/>
  <c r="P145" i="41"/>
  <c r="E145" i="74" s="1"/>
  <c r="H145" i="74" s="1"/>
  <c r="P129" i="41"/>
  <c r="E129" i="74" s="1"/>
  <c r="H129" i="74" s="1"/>
  <c r="P121" i="41"/>
  <c r="E121" i="74" s="1"/>
  <c r="H121" i="74" s="1"/>
  <c r="P113" i="41"/>
  <c r="E113" i="74" s="1"/>
  <c r="H113" i="74" s="1"/>
  <c r="P105" i="41"/>
  <c r="E105" i="74" s="1"/>
  <c r="H105" i="74" s="1"/>
  <c r="P97" i="41"/>
  <c r="E97" i="74" s="1"/>
  <c r="H97" i="74" s="1"/>
  <c r="P73" i="41"/>
  <c r="P65" i="41"/>
  <c r="E65" i="74" s="1"/>
  <c r="H65" i="74" s="1"/>
  <c r="P57" i="41"/>
  <c r="P49" i="41"/>
  <c r="E49" i="74" s="1"/>
  <c r="H49" i="74" s="1"/>
  <c r="P41" i="41"/>
  <c r="E41" i="74" s="1"/>
  <c r="H41" i="74" s="1"/>
  <c r="P33" i="41"/>
  <c r="E33" i="74" s="1"/>
  <c r="H33" i="74" s="1"/>
  <c r="P25" i="41"/>
  <c r="P17" i="41"/>
  <c r="E17" i="74" s="1"/>
  <c r="H17" i="74" s="1"/>
  <c r="P9" i="41"/>
  <c r="E9" i="74" s="1"/>
  <c r="H9" i="74" s="1"/>
  <c r="P32" i="41"/>
  <c r="E32" i="74" s="1"/>
  <c r="P247" i="41"/>
  <c r="E247" i="74" s="1"/>
  <c r="H247" i="74" s="1"/>
  <c r="P215" i="41"/>
  <c r="E215" i="74" s="1"/>
  <c r="H215" i="74" s="1"/>
  <c r="P207" i="41"/>
  <c r="E207" i="74" s="1"/>
  <c r="H207" i="74" s="1"/>
  <c r="P199" i="41"/>
  <c r="E199" i="74" s="1"/>
  <c r="H199" i="74" s="1"/>
  <c r="P191" i="41"/>
  <c r="E191" i="74" s="1"/>
  <c r="P183" i="41"/>
  <c r="E183" i="74" s="1"/>
  <c r="H183" i="74" s="1"/>
  <c r="P167" i="41"/>
  <c r="P143" i="41"/>
  <c r="E143" i="74" s="1"/>
  <c r="H143" i="74" s="1"/>
  <c r="P135" i="41"/>
  <c r="E135" i="74" s="1"/>
  <c r="H135" i="74" s="1"/>
  <c r="P119" i="41"/>
  <c r="P103" i="41"/>
  <c r="E103" i="74" s="1"/>
  <c r="H103" i="74" s="1"/>
  <c r="P95" i="41"/>
  <c r="E95" i="74" s="1"/>
  <c r="H95" i="74" s="1"/>
  <c r="P87" i="41"/>
  <c r="E87" i="74" s="1"/>
  <c r="H87" i="74" s="1"/>
  <c r="P79" i="41"/>
  <c r="E79" i="74" s="1"/>
  <c r="H79" i="74" s="1"/>
  <c r="P71" i="41"/>
  <c r="E71" i="74" s="1"/>
  <c r="H71" i="74" s="1"/>
  <c r="P63" i="41"/>
  <c r="E63" i="74" s="1"/>
  <c r="H63" i="74" s="1"/>
  <c r="P55" i="41"/>
  <c r="E55" i="74" s="1"/>
  <c r="H55" i="74" s="1"/>
  <c r="P39" i="41"/>
  <c r="E39" i="74" s="1"/>
  <c r="H39" i="74" s="1"/>
  <c r="P31" i="41"/>
  <c r="E31" i="74" s="1"/>
  <c r="H31" i="74" s="1"/>
  <c r="P23" i="41"/>
  <c r="E23" i="74" s="1"/>
  <c r="H23" i="74" s="1"/>
  <c r="P72" i="41"/>
  <c r="E72" i="74" s="1"/>
  <c r="H72" i="74" s="1"/>
  <c r="P40" i="41"/>
  <c r="E40" i="74" s="1"/>
  <c r="H40" i="74" s="1"/>
  <c r="P246" i="41"/>
  <c r="E246" i="74" s="1"/>
  <c r="P174" i="41"/>
  <c r="E174" i="74" s="1"/>
  <c r="P166" i="41"/>
  <c r="E166" i="74" s="1"/>
  <c r="H166" i="74" s="1"/>
  <c r="P150" i="41"/>
  <c r="E150" i="74" s="1"/>
  <c r="H150" i="74" s="1"/>
  <c r="P142" i="41"/>
  <c r="E142" i="74" s="1"/>
  <c r="H142" i="74" s="1"/>
  <c r="P134" i="41"/>
  <c r="P118" i="41"/>
  <c r="E118" i="74" s="1"/>
  <c r="H118" i="74" s="1"/>
  <c r="P102" i="41"/>
  <c r="E102" i="74" s="1"/>
  <c r="H102" i="74" s="1"/>
  <c r="P94" i="41"/>
  <c r="E94" i="74" s="1"/>
  <c r="H94" i="74" s="1"/>
  <c r="P86" i="41"/>
  <c r="E86" i="74" s="1"/>
  <c r="H86" i="74" s="1"/>
  <c r="P78" i="41"/>
  <c r="E78" i="74" s="1"/>
  <c r="H78" i="74" s="1"/>
  <c r="P62" i="41"/>
  <c r="E62" i="74" s="1"/>
  <c r="H62" i="74" s="1"/>
  <c r="P54" i="41"/>
  <c r="E54" i="74" s="1"/>
  <c r="H54" i="74" s="1"/>
  <c r="P38" i="41"/>
  <c r="E38" i="74" s="1"/>
  <c r="H38" i="74" s="1"/>
  <c r="P30" i="41"/>
  <c r="E30" i="74" s="1"/>
  <c r="H30" i="74" s="1"/>
  <c r="P22" i="41"/>
  <c r="E22" i="74" s="1"/>
  <c r="H22" i="74" s="1"/>
  <c r="P245" i="41"/>
  <c r="E245" i="74" s="1"/>
  <c r="H245" i="74" s="1"/>
  <c r="P237" i="41"/>
  <c r="E237" i="74" s="1"/>
  <c r="H237" i="74" s="1"/>
  <c r="P221" i="41"/>
  <c r="P213" i="41"/>
  <c r="E213" i="74" s="1"/>
  <c r="H213" i="74" s="1"/>
  <c r="P205" i="41"/>
  <c r="E205" i="74" s="1"/>
  <c r="H205" i="74" s="1"/>
  <c r="P189" i="41"/>
  <c r="P181" i="41"/>
  <c r="E181" i="74" s="1"/>
  <c r="H181" i="74" s="1"/>
  <c r="P173" i="41"/>
  <c r="E173" i="74" s="1"/>
  <c r="H173" i="74" s="1"/>
  <c r="P165" i="41"/>
  <c r="E165" i="74" s="1"/>
  <c r="H165" i="74" s="1"/>
  <c r="P157" i="41"/>
  <c r="P149" i="41"/>
  <c r="E149" i="74" s="1"/>
  <c r="P141" i="41"/>
  <c r="P133" i="41"/>
  <c r="E133" i="74" s="1"/>
  <c r="H133" i="74" s="1"/>
  <c r="P125" i="41"/>
  <c r="E125" i="74" s="1"/>
  <c r="H125" i="74" s="1"/>
  <c r="P93" i="41"/>
  <c r="E93" i="74" s="1"/>
  <c r="H93" i="74" s="1"/>
  <c r="P85" i="41"/>
  <c r="E85" i="74" s="1"/>
  <c r="H85" i="74" s="1"/>
  <c r="P77" i="41"/>
  <c r="E77" i="74" s="1"/>
  <c r="H77" i="74" s="1"/>
  <c r="P69" i="41"/>
  <c r="E69" i="74" s="1"/>
  <c r="H69" i="74" s="1"/>
  <c r="P37" i="41"/>
  <c r="E37" i="74" s="1"/>
  <c r="H37" i="74" s="1"/>
  <c r="P21" i="41"/>
  <c r="E21" i="74" s="1"/>
  <c r="H21" i="74" s="1"/>
  <c r="P13" i="41"/>
  <c r="E13" i="74" s="1"/>
  <c r="H13" i="74" s="1"/>
  <c r="P252" i="41"/>
  <c r="E252" i="74" s="1"/>
  <c r="H252" i="74" s="1"/>
  <c r="P244" i="41"/>
  <c r="E244" i="74" s="1"/>
  <c r="H244" i="74" s="1"/>
  <c r="P236" i="41"/>
  <c r="E236" i="74" s="1"/>
  <c r="H236" i="74" s="1"/>
  <c r="P220" i="41"/>
  <c r="E220" i="74" s="1"/>
  <c r="H220" i="74" s="1"/>
  <c r="P212" i="41"/>
  <c r="E212" i="74" s="1"/>
  <c r="H212" i="74" s="1"/>
  <c r="P204" i="41"/>
  <c r="P188" i="41"/>
  <c r="E188" i="74" s="1"/>
  <c r="H188" i="74" s="1"/>
  <c r="P180" i="41"/>
  <c r="E180" i="74" s="1"/>
  <c r="P172" i="41"/>
  <c r="P164" i="41"/>
  <c r="E164" i="74" s="1"/>
  <c r="H164" i="74" s="1"/>
  <c r="P156" i="41"/>
  <c r="E156" i="74" s="1"/>
  <c r="H156" i="74" s="1"/>
  <c r="P140" i="41"/>
  <c r="E140" i="74" s="1"/>
  <c r="H140" i="74" s="1"/>
  <c r="P124" i="41"/>
  <c r="E124" i="74" s="1"/>
  <c r="H124" i="74" s="1"/>
  <c r="P116" i="41"/>
  <c r="E116" i="74" s="1"/>
  <c r="H116" i="74" s="1"/>
  <c r="P100" i="41"/>
  <c r="E100" i="74" s="1"/>
  <c r="H100" i="74" s="1"/>
  <c r="P92" i="41"/>
  <c r="P84" i="41"/>
  <c r="E84" i="74" s="1"/>
  <c r="H84" i="74" s="1"/>
  <c r="P76" i="41"/>
  <c r="E76" i="74" s="1"/>
  <c r="H76" i="74" s="1"/>
  <c r="P68" i="41"/>
  <c r="P60" i="41"/>
  <c r="E60" i="74" s="1"/>
  <c r="H60" i="74" s="1"/>
  <c r="P28" i="41"/>
  <c r="E28" i="74" s="1"/>
  <c r="H28" i="74" s="1"/>
  <c r="P20" i="41"/>
  <c r="E20" i="74" s="1"/>
  <c r="H20" i="74" s="1"/>
  <c r="P12" i="41"/>
  <c r="E12" i="74" s="1"/>
  <c r="H12" i="74" s="1"/>
  <c r="P250" i="41"/>
  <c r="E250" i="74" s="1"/>
  <c r="H250" i="74" s="1"/>
  <c r="P242" i="41"/>
  <c r="E242" i="74" s="1"/>
  <c r="H242" i="74" s="1"/>
  <c r="P234" i="41"/>
  <c r="E234" i="74" s="1"/>
  <c r="H234" i="74" s="1"/>
  <c r="P226" i="41"/>
  <c r="P218" i="41"/>
  <c r="E218" i="74" s="1"/>
  <c r="H218" i="74" s="1"/>
  <c r="P210" i="41"/>
  <c r="E210" i="74" s="1"/>
  <c r="H210" i="74" s="1"/>
  <c r="P202" i="41"/>
  <c r="E202" i="74" s="1"/>
  <c r="H202" i="74" s="1"/>
  <c r="P194" i="41"/>
  <c r="E194" i="74" s="1"/>
  <c r="H194" i="74" s="1"/>
  <c r="P186" i="41"/>
  <c r="E186" i="74" s="1"/>
  <c r="H186" i="74" s="1"/>
  <c r="P178" i="41"/>
  <c r="E178" i="74" s="1"/>
  <c r="H178" i="74" s="1"/>
  <c r="P162" i="41"/>
  <c r="E162" i="74" s="1"/>
  <c r="H162" i="74" s="1"/>
  <c r="P146" i="41"/>
  <c r="E146" i="74" s="1"/>
  <c r="H146" i="74" s="1"/>
  <c r="P130" i="41"/>
  <c r="E130" i="74" s="1"/>
  <c r="H130" i="74" s="1"/>
  <c r="P122" i="41"/>
  <c r="P114" i="41"/>
  <c r="E114" i="74" s="1"/>
  <c r="H114" i="74" s="1"/>
  <c r="P98" i="41"/>
  <c r="E98" i="74" s="1"/>
  <c r="H98" i="74" s="1"/>
  <c r="P90" i="41"/>
  <c r="E90" i="74" s="1"/>
  <c r="H90" i="74" s="1"/>
  <c r="P74" i="41"/>
  <c r="E74" i="74" s="1"/>
  <c r="H74" i="74" s="1"/>
  <c r="P66" i="41"/>
  <c r="E66" i="74" s="1"/>
  <c r="H66" i="74" s="1"/>
  <c r="P58" i="41"/>
  <c r="E58" i="74" s="1"/>
  <c r="H58" i="74" s="1"/>
  <c r="P50" i="41"/>
  <c r="E50" i="74" s="1"/>
  <c r="H50" i="74" s="1"/>
  <c r="P42" i="41"/>
  <c r="E42" i="74" s="1"/>
  <c r="H42" i="74" s="1"/>
  <c r="P26" i="41"/>
  <c r="E26" i="74" s="1"/>
  <c r="H26" i="74" s="1"/>
  <c r="P18" i="41"/>
  <c r="P190" i="45"/>
  <c r="G190" i="74" s="1"/>
  <c r="P222" i="45"/>
  <c r="G222" i="74" s="1"/>
  <c r="P238" i="45"/>
  <c r="G238" i="74" s="1"/>
  <c r="P246" i="45"/>
  <c r="G246" i="74" s="1"/>
  <c r="P174" i="45"/>
  <c r="G174" i="74" s="1"/>
  <c r="P230" i="45"/>
  <c r="G230" i="74" s="1"/>
  <c r="P126" i="45"/>
  <c r="G126" i="74" s="1"/>
  <c r="P127" i="45"/>
  <c r="G127" i="74" s="1"/>
  <c r="P230" i="43"/>
  <c r="F230" i="74" s="1"/>
  <c r="P190" i="43"/>
  <c r="F190" i="74" s="1"/>
  <c r="P239" i="43"/>
  <c r="F239" i="74" s="1"/>
  <c r="P238" i="43"/>
  <c r="F238" i="74" s="1"/>
  <c r="P231" i="43"/>
  <c r="F231" i="74" s="1"/>
  <c r="P127" i="43"/>
  <c r="F127" i="74" s="1"/>
  <c r="P246" i="43"/>
  <c r="F246" i="74" s="1"/>
  <c r="P126" i="43"/>
  <c r="F126" i="74" s="1"/>
  <c r="P190" i="41"/>
  <c r="E190" i="74" s="1"/>
  <c r="P151" i="41"/>
  <c r="P159" i="41"/>
  <c r="E159" i="74" s="1"/>
  <c r="H159" i="74" s="1"/>
  <c r="P231" i="41"/>
  <c r="E231" i="74" s="1"/>
  <c r="P230" i="41"/>
  <c r="E230" i="74" s="1"/>
  <c r="P126" i="41"/>
  <c r="E126" i="74" s="1"/>
  <c r="P239" i="41"/>
  <c r="E239" i="74" s="1"/>
  <c r="P127" i="41"/>
  <c r="E127" i="74" s="1"/>
  <c r="P238" i="41"/>
  <c r="E238" i="74" s="1"/>
  <c r="P222" i="41"/>
  <c r="E222" i="74" s="1"/>
  <c r="P239" i="39"/>
  <c r="D239" i="74" s="1"/>
  <c r="H239" i="74" s="1"/>
  <c r="P231" i="39"/>
  <c r="P230" i="39"/>
  <c r="D230" i="74" s="1"/>
  <c r="P246" i="39"/>
  <c r="D246" i="74" s="1"/>
  <c r="P238" i="39"/>
  <c r="D238" i="74" s="1"/>
  <c r="P126" i="39"/>
  <c r="D126" i="74" s="1"/>
  <c r="P167" i="39"/>
  <c r="P127" i="39"/>
  <c r="D127" i="74" s="1"/>
  <c r="I253" i="17"/>
  <c r="E248" i="17"/>
  <c r="E253" i="17" s="1"/>
  <c r="M248" i="17"/>
  <c r="K253" i="17"/>
  <c r="G248" i="17"/>
  <c r="O248" i="17"/>
  <c r="P36" i="17"/>
  <c r="P112" i="17" s="1"/>
  <c r="P248" i="17"/>
  <c r="J253" i="17"/>
  <c r="D138" i="17"/>
  <c r="L138" i="17"/>
  <c r="L253" i="17" s="1"/>
  <c r="F253" i="17"/>
  <c r="N253" i="17"/>
  <c r="D253" i="17"/>
  <c r="M253" i="17"/>
  <c r="P111" i="17"/>
  <c r="P253" i="17"/>
  <c r="G138" i="17"/>
  <c r="G253" i="17" s="1"/>
  <c r="O138" i="17"/>
  <c r="O253" i="17" s="1"/>
  <c r="D248" i="17"/>
  <c r="L248" i="17"/>
  <c r="G80" i="74" l="1"/>
  <c r="E197" i="74"/>
  <c r="E223" i="74"/>
  <c r="E158" i="74"/>
  <c r="H158" i="74" s="1"/>
  <c r="F70" i="74"/>
  <c r="F233" i="74"/>
  <c r="E89" i="74"/>
  <c r="H89" i="74" s="1"/>
  <c r="E233" i="74"/>
  <c r="E214" i="74"/>
  <c r="E187" i="74"/>
  <c r="H187" i="74" s="1"/>
  <c r="H83" i="74"/>
  <c r="G111" i="74"/>
  <c r="H104" i="74"/>
  <c r="H184" i="74"/>
  <c r="H8" i="74"/>
  <c r="H232" i="74"/>
  <c r="F111" i="74"/>
  <c r="H56" i="74"/>
  <c r="H115" i="74"/>
  <c r="H127" i="74"/>
  <c r="D106" i="74"/>
  <c r="H174" i="74"/>
  <c r="G219" i="74"/>
  <c r="G148" i="74"/>
  <c r="G137" i="74"/>
  <c r="H222" i="74"/>
  <c r="G24" i="74"/>
  <c r="G106" i="74"/>
  <c r="G15" i="74"/>
  <c r="F148" i="74"/>
  <c r="H190" i="74"/>
  <c r="F106" i="74"/>
  <c r="F219" i="74"/>
  <c r="F137" i="74"/>
  <c r="F24" i="74"/>
  <c r="F15" i="74"/>
  <c r="H230" i="74"/>
  <c r="H246" i="74"/>
  <c r="E25" i="74"/>
  <c r="H25" i="74" s="1"/>
  <c r="E29" i="74"/>
  <c r="H29" i="74" s="1"/>
  <c r="E189" i="74"/>
  <c r="H189" i="74" s="1"/>
  <c r="H126" i="74"/>
  <c r="E18" i="74"/>
  <c r="H18" i="74" s="1"/>
  <c r="E141" i="74"/>
  <c r="H141" i="74" s="1"/>
  <c r="E119" i="74"/>
  <c r="H119" i="74" s="1"/>
  <c r="E201" i="74"/>
  <c r="H201" i="74" s="1"/>
  <c r="E172" i="74"/>
  <c r="H172" i="74" s="1"/>
  <c r="E175" i="74"/>
  <c r="E204" i="74"/>
  <c r="H204" i="74" s="1"/>
  <c r="E206" i="74"/>
  <c r="H206" i="74" s="1"/>
  <c r="E221" i="74"/>
  <c r="H221" i="74" s="1"/>
  <c r="E57" i="74"/>
  <c r="H57" i="74" s="1"/>
  <c r="E61" i="74"/>
  <c r="H61" i="74" s="1"/>
  <c r="E92" i="74"/>
  <c r="H92" i="74" s="1"/>
  <c r="E101" i="74"/>
  <c r="H101" i="74" s="1"/>
  <c r="E106" i="74"/>
  <c r="H238" i="74"/>
  <c r="E122" i="74"/>
  <c r="H122" i="74" s="1"/>
  <c r="E128" i="74"/>
  <c r="E157" i="74"/>
  <c r="H157" i="74" s="1"/>
  <c r="E217" i="74"/>
  <c r="H217" i="74" s="1"/>
  <c r="E151" i="74"/>
  <c r="H151" i="74" s="1"/>
  <c r="E154" i="74"/>
  <c r="H154" i="74" s="1"/>
  <c r="E167" i="74"/>
  <c r="E170" i="74"/>
  <c r="E73" i="74"/>
  <c r="H73" i="74" s="1"/>
  <c r="E80" i="74"/>
  <c r="H80" i="74" s="1"/>
  <c r="E134" i="74"/>
  <c r="H134" i="74" s="1"/>
  <c r="E226" i="74"/>
  <c r="H226" i="74" s="1"/>
  <c r="E229" i="74"/>
  <c r="H229" i="74" s="1"/>
  <c r="E68" i="74"/>
  <c r="H68" i="74" s="1"/>
  <c r="E70" i="74"/>
  <c r="H70" i="74" s="1"/>
  <c r="E117" i="74"/>
  <c r="H117" i="74" s="1"/>
  <c r="D167" i="74"/>
  <c r="D170" i="74"/>
  <c r="D137" i="74"/>
  <c r="D24" i="74"/>
  <c r="D15" i="74"/>
  <c r="D111" i="74"/>
  <c r="D231" i="74"/>
  <c r="H231" i="74" s="1"/>
  <c r="D233" i="74"/>
  <c r="D219" i="74"/>
  <c r="G175" i="74" l="1"/>
  <c r="E111" i="74"/>
  <c r="H111" i="74" s="1"/>
  <c r="G197" i="74"/>
  <c r="G223" i="74"/>
  <c r="H223" i="74" s="1"/>
  <c r="F197" i="74"/>
  <c r="E138" i="74"/>
  <c r="H233" i="74"/>
  <c r="F198" i="74"/>
  <c r="H175" i="74"/>
  <c r="G36" i="74"/>
  <c r="G112" i="74"/>
  <c r="G16" i="74"/>
  <c r="G128" i="74"/>
  <c r="H106" i="74"/>
  <c r="F36" i="74"/>
  <c r="F112" i="74"/>
  <c r="F128" i="74"/>
  <c r="F16" i="74"/>
  <c r="F243" i="74"/>
  <c r="F248" i="74"/>
  <c r="H167" i="74"/>
  <c r="E132" i="74"/>
  <c r="E148" i="74"/>
  <c r="H148" i="74" s="1"/>
  <c r="E219" i="74"/>
  <c r="H219" i="74" s="1"/>
  <c r="E24" i="74"/>
  <c r="H24" i="74" s="1"/>
  <c r="H170" i="74"/>
  <c r="E137" i="74"/>
  <c r="H137" i="74" s="1"/>
  <c r="E15" i="74"/>
  <c r="H15" i="74" s="1"/>
  <c r="D198" i="74"/>
  <c r="H198" i="74" s="1"/>
  <c r="D36" i="74"/>
  <c r="D112" i="74"/>
  <c r="D128" i="74"/>
  <c r="D16" i="74"/>
  <c r="D243" i="74"/>
  <c r="D248" i="74"/>
  <c r="H248" i="74" s="1"/>
  <c r="H128" i="74" l="1"/>
  <c r="G198" i="74"/>
  <c r="E198" i="74"/>
  <c r="G132" i="74"/>
  <c r="G243" i="74"/>
  <c r="G248" i="74"/>
  <c r="F132" i="74"/>
  <c r="E243" i="74"/>
  <c r="E248" i="74"/>
  <c r="E16" i="74"/>
  <c r="H16" i="74" s="1"/>
  <c r="E36" i="74"/>
  <c r="H36" i="74" s="1"/>
  <c r="E112" i="74"/>
  <c r="H112" i="74" s="1"/>
  <c r="D132" i="74"/>
  <c r="H243" i="74" l="1"/>
  <c r="G138" i="74"/>
  <c r="G253" i="74"/>
  <c r="H132" i="74"/>
  <c r="F138" i="74"/>
  <c r="F253" i="74"/>
  <c r="E253" i="74"/>
  <c r="D138" i="74"/>
  <c r="D253" i="74"/>
  <c r="H253" i="74" s="1"/>
  <c r="H138" i="74" l="1"/>
</calcChain>
</file>

<file path=xl/sharedStrings.xml><?xml version="1.0" encoding="utf-8"?>
<sst xmlns="http://schemas.openxmlformats.org/spreadsheetml/2006/main" count="3935" uniqueCount="472">
  <si>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</si>
  <si>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</si>
  <si>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</si>
  <si>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</si>
  <si>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</si>
  <si>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</si>
  <si>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</si>
  <si>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</si>
  <si>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\\10.8.0.35\rpa$\Accounting\FINANCE GGI\Income Statement\Backup Macro\Bahan\Tarikan JDE\Januari'24.csv</t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</si>
  <si>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</si>
  <si>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</si>
  <si>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</si>
  <si>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</si>
  <si>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</si>
  <si>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</si>
  <si>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</si>
  <si>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</si>
  <si>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</si>
  <si>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</si>
  <si>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</si>
  <si>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</si>
  <si>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</si>
  <si>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</si>
  <si>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</si>
  <si>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</si>
  <si>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</si>
  <si>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</si>
  <si>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</si>
  <si>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</si>
  <si>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</si>
  <si>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</si>
  <si>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</si>
  <si>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</si>
  <si>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</si>
  <si>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</si>
  <si>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</si>
  <si>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</si>
  <si>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</si>
  <si>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</si>
  <si>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</si>
  <si>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</si>
  <si>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</si>
  <si>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510000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</si>
  <si>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</si>
  <si>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</si>
  <si>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</si>
  <si>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</si>
  <si>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</si>
  <si>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</si>
  <si>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</si>
  <si>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</si>
  <si>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</si>
  <si>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</si>
  <si>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</si>
  <si>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</si>
  <si>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</si>
  <si>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</si>
  <si>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</si>
  <si>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</si>
  <si>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</si>
  <si>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</si>
  <si>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</si>
  <si>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</si>
  <si>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</si>
  <si>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</si>
  <si>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</si>
  <si>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</si>
  <si>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</si>
  <si>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</si>
  <si>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</si>
  <si>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</si>
  <si>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</si>
  <si>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</si>
  <si>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</si>
  <si>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</si>
  <si>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</si>
  <si>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</si>
  <si>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</si>
  <si>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</si>
  <si>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</si>
  <si>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</si>
  <si>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</si>
  <si>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</si>
  <si>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</si>
  <si>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</si>
  <si>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</si>
  <si>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</si>
  <si>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</si>
  <si>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</si>
  <si>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</si>
  <si>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</si>
  <si>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</si>
  <si>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</si>
  <si>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</si>
  <si>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</si>
  <si>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</si>
  <si>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</si>
  <si>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</si>
  <si>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</si>
  <si>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</si>
  <si>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</si>
  <si>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</si>
  <si>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</si>
  <si>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</si>
  <si>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</si>
  <si>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</si>
  <si>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</si>
  <si>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</si>
  <si>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</si>
  <si>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</si>
  <si>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</si>
  <si>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</si>
  <si>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</si>
  <si>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</si>
  <si>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</si>
  <si>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</si>
  <si>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</si>
  <si>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</si>
  <si>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</si>
  <si>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</si>
  <si>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</si>
  <si>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</si>
  <si>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</si>
  <si>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</si>
  <si>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</si>
  <si>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</si>
  <si>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</si>
  <si>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</si>
  <si>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</si>
  <si>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</si>
  <si>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</si>
  <si>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</si>
  <si>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</si>
  <si>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</si>
  <si>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</si>
  <si>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</si>
  <si>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</si>
  <si>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</si>
  <si>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</si>
  <si>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</si>
  <si>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</si>
  <si>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</si>
  <si>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</si>
  <si>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</si>
  <si>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</si>
  <si>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</si>
  <si>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</si>
  <si>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</si>
  <si>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</si>
  <si>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</si>
  <si>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</si>
  <si>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</si>
  <si>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</si>
  <si>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</si>
  <si>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</si>
  <si>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</si>
  <si>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</si>
  <si>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</si>
  <si>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</si>
  <si>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</si>
  <si>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</si>
  <si>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</si>
  <si>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</si>
  <si>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</si>
  <si>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</si>
  <si>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</si>
  <si>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</si>
  <si>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</si>
  <si>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</si>
  <si>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</si>
  <si>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</si>
  <si>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</si>
  <si>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</si>
  <si>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</si>
  <si>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</si>
  <si>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</si>
  <si>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</si>
  <si>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</si>
  <si>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</si>
  <si>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</si>
  <si>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</si>
  <si>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</si>
  <si>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</si>
  <si>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</si>
  <si>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</si>
  <si>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</si>
  <si>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</si>
  <si>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</si>
  <si>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</si>
  <si>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</si>
  <si>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</si>
  <si>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</si>
  <si>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</si>
  <si>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</si>
  <si>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</si>
  <si>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</si>
  <si>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</si>
  <si>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</si>
  <si>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</si>
  <si>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</si>
  <si>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</si>
  <si>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</si>
  <si>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</si>
  <si>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</si>
  <si>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</si>
  <si>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</si>
  <si>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</si>
  <si>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</si>
  <si>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</si>
  <si>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</si>
  <si>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</si>
  <si>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</si>
  <si>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</si>
  <si>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</si>
  <si>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</si>
  <si>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</si>
  <si>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</si>
  <si>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</si>
  <si>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</si>
  <si>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</si>
  <si>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</si>
  <si>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</si>
  <si>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</si>
  <si>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</si>
  <si>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</si>
  <si>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</si>
  <si>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</si>
  <si>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</si>
  <si>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</si>
  <si>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</si>
  <si>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</si>
  <si>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</si>
  <si>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</si>
  <si>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</si>
  <si>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</si>
  <si>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</si>
  <si>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</si>
  <si>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</si>
  <si>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</si>
  <si>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</si>
  <si>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</si>
  <si>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</si>
  <si>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</si>
  <si>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</si>
  <si>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</si>
  <si>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</si>
  <si>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</si>
  <si>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</si>
  <si>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</si>
  <si>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</si>
  <si>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</si>
  <si>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</si>
  <si>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</si>
  <si>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</si>
  <si>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</si>
  <si>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</si>
  <si>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</si>
  <si>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</si>
  <si>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</si>
  <si>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</si>
  <si>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</si>
  <si>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</si>
  <si>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</si>
  <si>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</si>
  <si>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</si>
  <si>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</si>
  <si>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</si>
  <si>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</si>
  <si>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</si>
  <si>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</si>
  <si>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</si>
  <si>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</si>
  <si>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</si>
  <si>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</si>
  <si>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</si>
  <si>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</si>
  <si>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</si>
  <si>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</si>
  <si>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</si>
  <si>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</si>
  <si>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</si>
  <si>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</si>
  <si>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</si>
  <si>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</si>
  <si>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</si>
  <si>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</si>
  <si>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</si>
  <si>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</si>
  <si>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</si>
  <si>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</si>
  <si>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</si>
  <si>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</si>
  <si>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</si>
  <si>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</si>
  <si>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</si>
  <si>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</si>
  <si>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</si>
  <si>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</si>
  <si>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</si>
  <si>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</si>
  <si>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</si>
  <si>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</si>
  <si>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</si>
  <si>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</si>
  <si>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</si>
  <si>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</si>
  <si>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</si>
  <si>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</si>
  <si>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</si>
  <si>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</si>
  <si>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</si>
  <si>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</si>
  <si>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</si>
  <si>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</si>
  <si>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</si>
  <si>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</si>
  <si>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</si>
  <si>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</si>
  <si>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</si>
  <si>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</si>
  <si>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</si>
  <si>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</si>
  <si>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</si>
  <si>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</si>
  <si>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</si>
  <si>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</si>
  <si>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</si>
  <si>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</si>
  <si>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</si>
  <si>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</si>
  <si>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</si>
  <si>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</si>
  <si>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</si>
  <si>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</si>
  <si>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</si>
  <si>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</si>
  <si>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</si>
  <si>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</si>
  <si>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</si>
  <si>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</si>
  <si>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</si>
  <si>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</si>
  <si>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</si>
  <si>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</si>
  <si>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</si>
  <si>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</si>
  <si>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</si>
  <si>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</si>
  <si>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</si>
  <si>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</si>
  <si>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</si>
  <si>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</si>
  <si>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</si>
  <si>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</si>
  <si>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</si>
  <si>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</si>
  <si>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</si>
  <si>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</si>
  <si>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</si>
  <si>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</si>
  <si>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</si>
  <si>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</si>
  <si>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</si>
  <si>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</si>
  <si>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</si>
  <si>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</si>
  <si>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</si>
  <si>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</si>
  <si>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</si>
  <si>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</si>
  <si>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</si>
  <si>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</si>
  <si>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</si>
  <si>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</si>
  <si>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</si>
  <si>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</si>
  <si>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</si>
  <si>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</si>
  <si>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</si>
  <si>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</si>
  <si>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</si>
  <si>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</si>
  <si>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</si>
  <si>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</si>
  <si>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</si>
  <si>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</si>
  <si>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</si>
  <si>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</si>
  <si>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</si>
  <si>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</si>
  <si>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</si>
  <si>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</si>
  <si>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</si>
  <si>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</si>
  <si>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</si>
  <si>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</si>
  <si>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</si>
  <si>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</si>
  <si>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</si>
  <si>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</si>
  <si>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</si>
  <si>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</si>
  <si>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</si>
  <si>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</si>
  <si>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</si>
  <si>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</si>
  <si>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</si>
  <si>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</si>
  <si>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</si>
  <si>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</si>
  <si>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</si>
  <si>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</si>
  <si>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</si>
  <si>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</si>
  <si>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</t>
  </si>
  <si>
    <t>GISTEX GARMENT INDONESIA</t>
  </si>
  <si>
    <t>CILEUNYI</t>
  </si>
  <si>
    <t>MAJALENGKA 2</t>
  </si>
  <si>
    <t>MAJALENGKA 1</t>
  </si>
  <si>
    <t>BANJARNEGARA</t>
  </si>
  <si>
    <t>BANDUNG,   DESEMBER 2023</t>
  </si>
  <si>
    <t>PT. GISTEX GARMEN INDONESIA</t>
  </si>
  <si>
    <t>( JOHNNY SCHEPPER )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</si>
  <si>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</si>
  <si>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</si>
  <si>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</si>
  <si>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</si>
  <si>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</si>
  <si>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</si>
  <si>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</si>
  <si>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</si>
  <si>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</si>
  <si>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</si>
  <si>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</si>
  <si>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</si>
  <si>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</si>
  <si>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</si>
  <si>
    <t/>
  </si>
  <si>
    <t>PERIODE : MMMM  YYYY ( IN USD )</t>
  </si>
  <si>
    <t>2024</t>
  </si>
  <si>
    <t>PERIODE : JANUARY - DECEMBER 2024 ( IN USD )</t>
  </si>
  <si>
    <t>PERIODE : MARCH 2024 ( IN USD )</t>
  </si>
  <si>
    <t xml:space="preserve">   VARIANCES IN HOUSE ACTUA</t>
  </si>
  <si>
    <t xml:space="preserve">    VAR. MKT PORTION - MATE</t>
  </si>
  <si>
    <t xml:space="preserve">    VAR. MKT PORTION - LABO</t>
  </si>
  <si>
    <t xml:space="preserve">    ANNUAL INCENTIVE ALLOWAN</t>
  </si>
  <si>
    <t xml:space="preserve">   RAW MATERIAL &amp; FREIGHT EX</t>
  </si>
  <si>
    <t xml:space="preserve">   MAINTENANCE &amp; REPAIR EXPE</t>
  </si>
  <si>
    <t xml:space="preserve">    DEPR. EXP. GEN &amp; BOILER</t>
  </si>
  <si>
    <t xml:space="preserve">    DEPR. EXP. ELECTRICAL IN</t>
  </si>
  <si>
    <t xml:space="preserve">    DEPR. EXP. PLANT EQUIP.</t>
  </si>
  <si>
    <t xml:space="preserve">    PEMAKAIAN GENERAL MATERIAL</t>
  </si>
  <si>
    <t xml:space="preserve">   DIRECT MFG COST ALLOCATIO</t>
  </si>
  <si>
    <t xml:space="preserve"> GENERAL &amp; ADM EXPENSES</t>
  </si>
  <si>
    <t xml:space="preserve">   ANNUAL INCENTIVE ALLOW.</t>
  </si>
  <si>
    <t xml:space="preserve">  OFFICER'S TRANSPORT</t>
  </si>
  <si>
    <t xml:space="preserve">   DEPR. EXP. OFFICE EQUIP.</t>
  </si>
  <si>
    <t xml:space="preserve">   DIF. DEPR.EXP. MGM - FIS</t>
  </si>
  <si>
    <t xml:space="preserve">   GAIN/LOSS ON SELLING ASSETS</t>
  </si>
  <si>
    <t xml:space="preserve">    G/L ON SELLING ASSETS</t>
  </si>
  <si>
    <t xml:space="preserve">    CASH PROCEED CLEAR. ASSET</t>
  </si>
  <si>
    <t xml:space="preserve">    INTEREST EXP OF DOMESTIC</t>
  </si>
  <si>
    <t xml:space="preserve">   DIFF. BALANCE ALLOCATION</t>
  </si>
  <si>
    <t xml:space="preserve">    DIFF. BLNC ALLOC. LABOR</t>
  </si>
  <si>
    <t xml:space="preserve">    DIFF. BLNC ALLOC. O/H MF</t>
  </si>
  <si>
    <t xml:space="preserve">   DOUBTFUL A/R EXPENSES</t>
  </si>
  <si>
    <t xml:space="preserve">   DOUBTFUL INVENTORY EXP.</t>
  </si>
  <si>
    <t xml:space="preserve">  CLEARING ACC. CASH/BANK</t>
  </si>
  <si>
    <t xml:space="preserve">  CLEARING ACC. OTHERS</t>
  </si>
  <si>
    <t xml:space="preserve">  SUSPENSE ACC. DEDUCTION</t>
  </si>
  <si>
    <t>January</t>
  </si>
  <si>
    <t>PERIODE : JANUARY 2024 ( IN USD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</si>
</sst>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3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</font>
    <font>
      <sz val="12"/>
      <color indexed="18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  <font>
      <b/>
      <u/>
      <sz val="12"/>
      <color indexed="12"/>
      <name val="Lucida Sans Unicode"/>
      <family val="2"/>
    </font>
    <font>
      <b/>
      <i/>
      <u/>
      <sz val="12"/>
      <color indexed="12"/>
      <name val="Lucida Sans Unicode"/>
      <family val="2"/>
    </font>
    <font>
      <sz val="12"/>
      <color indexed="12"/>
      <name val="Lucida Sans Unicode"/>
      <family val="2"/>
    </font>
    <font>
      <b/>
      <i/>
      <sz val="12"/>
      <color indexed="12"/>
      <name val="Lucida Sans Unicode"/>
      <family val="2"/>
    </font>
    <font>
      <sz val="12"/>
      <color indexed="10"/>
      <name val="Lucida Sans Unicode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A3E7FF"/>
        <bgColor indexed="64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24" fillId="0" borderId="0" applyFill="0" applyBorder="0" applyAlignment="0" applyProtection="0"/>
    <xf numFmtId="43" fontId="26" fillId="0" borderId="0" applyFont="0" applyFill="0" applyBorder="0" applyAlignment="0" applyProtection="0"/>
  </cellStyleXfs>
  <cellXfs count="105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0" fontId="16" fillId="0" borderId="0" xfId="4" applyFont="1" applyAlignment="1">
      <alignment horizontal="center"/>
    </xf>
    <xf numFmtId="0" fontId="23" fillId="0" borderId="0" xfId="4" applyFont="1"/>
    <xf numFmtId="164" fontId="25" fillId="0" borderId="0" xfId="6" applyFont="1" applyFill="1" applyBorder="1" applyAlignment="1" applyProtection="1">
      <alignment horizontal="center"/>
    </xf>
    <xf numFmtId="0" fontId="13" fillId="0" borderId="0" xfId="2" applyAlignment="1">
      <alignment horizontal="center"/>
    </xf>
    <xf numFmtId="39" fontId="16" fillId="0" borderId="13" xfId="4" applyNumberFormat="1" applyFont="1" applyBorder="1" applyAlignment="1">
      <alignment horizontal="center"/>
    </xf>
    <xf numFmtId="0" fontId="16" fillId="0" borderId="13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39" fontId="16" fillId="5" borderId="10" xfId="4" applyNumberFormat="1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left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0" fontId="21" fillId="7" borderId="10" xfId="4" applyFont="1" applyFill="1" applyBorder="1" applyAlignment="1">
      <alignment horizontal="left"/>
    </xf>
    <xf numFmtId="39" fontId="16" fillId="7" borderId="10" xfId="4" applyNumberFormat="1" applyFont="1" applyFill="1" applyBorder="1" applyAlignment="1">
      <alignment horizontal="center" vertical="center"/>
    </xf>
    <xf numFmtId="39" fontId="16" fillId="8" borderId="10" xfId="4" applyNumberFormat="1" applyFont="1" applyFill="1" applyBorder="1" applyAlignment="1">
      <alignment horizontal="center" vertical="center"/>
    </xf>
    <xf numFmtId="0" fontId="21" fillId="8" borderId="10" xfId="4" applyFont="1" applyFill="1" applyBorder="1" applyAlignment="1">
      <alignment horizontal="left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0" fontId="16" fillId="7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1" borderId="12" xfId="0" applyFill="1" applyBorder="1"/>
    <xf numFmtId="0" fontId="28" fillId="11" borderId="12" xfId="0" applyFont="1" applyFill="1" applyBorder="1"/>
    <xf numFmtId="43" fontId="29" fillId="0" borderId="10" xfId="7" applyFont="1" applyBorder="1"/>
    <xf numFmtId="43" fontId="29" fillId="8" borderId="10" xfId="7" applyFont="1" applyFill="1" applyBorder="1"/>
    <xf numFmtId="43" fontId="30" fillId="7" borderId="10" xfId="7" applyFont="1" applyFill="1" applyBorder="1"/>
    <xf numFmtId="43" fontId="30" fillId="8" borderId="10" xfId="7" applyFont="1" applyFill="1" applyBorder="1"/>
    <xf numFmtId="0" fontId="19" fillId="0" borderId="18" xfId="4" applyFont="1" applyBorder="1" applyAlignment="1">
      <alignment horizontal="left"/>
    </xf>
    <xf numFmtId="0" fontId="20" fillId="0" borderId="18" xfId="4" applyFont="1" applyBorder="1" applyAlignment="1">
      <alignment horizontal="left"/>
    </xf>
    <xf numFmtId="0" fontId="16" fillId="0" borderId="18" xfId="4" applyFont="1" applyBorder="1" applyAlignment="1">
      <alignment horizontal="left"/>
    </xf>
    <xf numFmtId="0" fontId="21" fillId="8" borderId="18" xfId="4" applyFont="1" applyFill="1" applyBorder="1" applyAlignment="1">
      <alignment horizontal="left"/>
    </xf>
    <xf numFmtId="39" fontId="16" fillId="12" borderId="10" xfId="4" applyNumberFormat="1" applyFont="1" applyFill="1" applyBorder="1" applyAlignment="1">
      <alignment horizontal="center" vertical="center"/>
    </xf>
    <xf numFmtId="0" fontId="21" fillId="12" borderId="10" xfId="4" applyFont="1" applyFill="1" applyBorder="1" applyAlignment="1">
      <alignment horizontal="left"/>
    </xf>
    <xf numFmtId="43" fontId="29" fillId="12" borderId="10" xfId="7" applyFont="1" applyFill="1" applyBorder="1"/>
    <xf numFmtId="43" fontId="27" fillId="13" borderId="15" xfId="7" applyFont="1" applyFill="1" applyBorder="1" applyAlignment="1">
      <alignment vertical="center"/>
    </xf>
    <xf numFmtId="39" fontId="16" fillId="13" borderId="13" xfId="4" applyNumberFormat="1" applyFont="1" applyFill="1" applyBorder="1" applyAlignment="1">
      <alignment horizontal="center"/>
    </xf>
    <xf numFmtId="0" fontId="16" fillId="13" borderId="17" xfId="4" applyFont="1" applyFill="1" applyBorder="1" applyAlignment="1">
      <alignment horizontal="left"/>
    </xf>
    <xf numFmtId="43" fontId="29" fillId="13" borderId="16" xfId="7" applyFont="1" applyFill="1" applyBorder="1"/>
    <xf numFmtId="43" fontId="29" fillId="13" borderId="13" xfId="7" applyFont="1" applyFill="1" applyBorder="1"/>
    <xf numFmtId="43" fontId="30" fillId="5" borderId="10" xfId="7" applyFont="1" applyFill="1" applyBorder="1"/>
    <xf numFmtId="0" fontId="21" fillId="5" borderId="18" xfId="4" applyFont="1" applyFill="1" applyBorder="1" applyAlignment="1">
      <alignment horizontal="left"/>
    </xf>
    <xf numFmtId="43" fontId="29" fillId="5" borderId="10" xfId="7" applyFont="1" applyFill="1" applyBorder="1"/>
    <xf numFmtId="43" fontId="30" fillId="6" borderId="10" xfId="7" applyFont="1" applyFill="1" applyBorder="1"/>
    <xf numFmtId="0" fontId="15" fillId="0" borderId="0" xfId="3" applyFont="1"/>
    <xf numFmtId="0" fontId="17" fillId="0" borderId="0" xfId="3" applyFont="1"/>
    <xf numFmtId="0" fontId="31" fillId="0" borderId="0" xfId="2" applyFont="1"/>
    <xf numFmtId="0" fontId="31" fillId="0" borderId="0" xfId="2" applyFont="1" applyAlignment="1">
      <alignment horizontal="center"/>
    </xf>
    <xf numFmtId="0" fontId="32" fillId="0" borderId="0" xfId="4" applyFont="1"/>
    <xf numFmtId="0" fontId="18" fillId="11" borderId="9" xfId="4" applyFont="1" applyFill="1" applyBorder="1" applyAlignment="1">
      <alignment horizontal="center" vertical="center"/>
    </xf>
    <xf numFmtId="39" fontId="16" fillId="0" borderId="21" xfId="4" applyNumberFormat="1" applyFont="1" applyBorder="1" applyAlignment="1">
      <alignment horizontal="center"/>
    </xf>
    <xf numFmtId="43" fontId="27" fillId="13" borderId="22" xfId="7" applyFont="1" applyFill="1" applyBorder="1" applyAlignment="1">
      <alignment vertical="center"/>
    </xf>
    <xf numFmtId="43" fontId="27" fillId="13" borderId="23" xfId="7" applyFont="1" applyFill="1" applyBorder="1" applyAlignment="1">
      <alignment vertical="center"/>
    </xf>
    <xf numFmtId="43" fontId="27" fillId="13" borderId="14" xfId="7" applyFont="1" applyFill="1" applyBorder="1" applyAlignment="1">
      <alignment vertical="center"/>
    </xf>
    <xf numFmtId="0" fontId="18" fillId="11" borderId="11" xfId="4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0" fontId="27" fillId="3" borderId="19" xfId="0" applyFont="1" applyFill="1" applyBorder="1" applyAlignment="1">
      <alignment horizontal="center" vertical="center"/>
    </xf>
    <xf numFmtId="0" fontId="27" fillId="3" borderId="20" xfId="0" applyFont="1" applyFill="1" applyBorder="1" applyAlignment="1">
      <alignment horizontal="center" vertical="center"/>
    </xf>
    <xf numFmtId="0" fontId="33" fillId="0" borderId="10" xfId="4" applyFont="1" applyBorder="1" applyAlignment="1">
      <alignment horizontal="left"/>
    </xf>
    <xf numFmtId="0" fontId="34" fillId="0" borderId="10" xfId="4" applyFont="1" applyBorder="1" applyAlignment="1">
      <alignment horizontal="left"/>
    </xf>
    <xf numFmtId="0" fontId="35" fillId="0" borderId="10" xfId="4" applyFont="1" applyBorder="1" applyAlignment="1">
      <alignment horizontal="left"/>
    </xf>
    <xf numFmtId="0" fontId="36" fillId="0" borderId="10" xfId="4" applyFont="1" applyBorder="1" applyAlignment="1">
      <alignment horizontal="left"/>
    </xf>
    <xf numFmtId="0" fontId="37" fillId="0" borderId="10" xfId="4" applyFont="1" applyBorder="1" applyAlignment="1">
      <alignment horizontal="left"/>
    </xf>
    <xf numFmtId="0" fontId="27" fillId="3" borderId="24" xfId="0" applyFont="1" applyFill="1" applyBorder="1" applyAlignment="1">
      <alignment horizontal="center" vertical="center"/>
    </xf>
    <xf numFmtId="0" fontId="27" fillId="3" borderId="25" xfId="0" applyFont="1" applyFill="1" applyBorder="1" applyAlignment="1">
      <alignment horizontal="center" vertical="center"/>
    </xf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82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A3E7FF"/>
      <color rgb="FFA9D5F0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2827683</xdr:colOff>
      <xdr:row>2</xdr:row>
      <xdr:rowOff>1</xdr:rowOff>
    </xdr:from>
    <xdr:to>
      <xdr:col>4</xdr:col>
      <xdr:colOff>2162175</xdr:colOff>
      <xdr:row>7</xdr:row>
      <xdr:rowOff>76201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808883" y="485776"/>
          <a:ext cx="2839692" cy="876300"/>
          <a:chOff x="7206983" y="238170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6983" y="238170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Backup%20Macro/Bahan/Tarikan%20JDE/Januari'24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36"/>
  <sheetViews>
    <sheetView workbookViewId="0">
      <pane ySplit="5" topLeftCell="A24" activePane="bottomLeft" state="frozen"/>
      <selection pane="bottomLeft" activeCell="C33" sqref="C33"/>
    </sheetView>
  </sheetViews>
  <sheetFormatPr defaultRowHeight="15"/>
  <cols>
    <col min="1" max="1" width="35.42578125" bestFit="1" customWidth="1"/>
    <col min="2" max="2" width="30.28515625" bestFit="1" customWidth="1"/>
    <col min="3" max="3" width="29.7109375" customWidth="1"/>
  </cols>
  <sheetData>
    <row r="5" spans="1:3">
      <c r="A5" s="55" t="s">
        <v>423</v>
      </c>
      <c r="B5" s="55" t="s">
        <v>424</v>
      </c>
      <c r="C5" s="56" t="s">
        <v>425</v>
      </c>
    </row>
    <row r="6" spans="1:3">
      <c r="A6" t="s">
        <v>41</v>
      </c>
      <c r="B6" t="s">
        <v>32</v>
      </c>
      <c r="C6" t="str">
        <f>SUBSTITUTE(SUBSTITUTE(SUBSTITUTE(SUBSTITUTE(B6,".",""),",",""),"-","")," ","")</f>
        <v>SALESLOCALMARKET</v>
      </c>
    </row>
    <row r="7" spans="1:3">
      <c r="A7" t="s">
        <v>50</v>
      </c>
      <c r="B7" t="s">
        <v>426</v>
      </c>
      <c r="C7" t="str">
        <f t="shared" ref="C7:C36" si="0">SUBSTITUTE(SUBSTITUTE(SUBSTITUTE(SUBSTITUTE(B7,".",""),",",""),"-","")," ","")</f>
        <v>COGSEXPORTMATER</v>
      </c>
    </row>
    <row r="8" spans="1:3">
      <c r="A8" t="s">
        <v>60</v>
      </c>
      <c r="B8" t="s">
        <v>435</v>
      </c>
      <c r="C8" t="str">
        <f t="shared" si="0"/>
        <v>COGSLOCALMATERI</v>
      </c>
    </row>
    <row r="9" spans="1:3">
      <c r="A9" t="s">
        <v>84</v>
      </c>
      <c r="B9" t="s">
        <v>442</v>
      </c>
      <c r="C9" t="str">
        <f t="shared" si="0"/>
        <v>VARIANCESINHOUSEACTUA</v>
      </c>
    </row>
    <row r="10" spans="1:3">
      <c r="A10" t="s">
        <v>97</v>
      </c>
      <c r="B10" t="s">
        <v>443</v>
      </c>
      <c r="C10" t="str">
        <f t="shared" si="0"/>
        <v>VARMKTPORTIONMATE</v>
      </c>
    </row>
    <row r="11" spans="1:3">
      <c r="A11" t="s">
        <v>99</v>
      </c>
      <c r="B11" t="s">
        <v>444</v>
      </c>
      <c r="C11" t="str">
        <f t="shared" si="0"/>
        <v>VARMKTPORTIONLABO</v>
      </c>
    </row>
    <row r="12" spans="1:3">
      <c r="A12" t="s">
        <v>110</v>
      </c>
      <c r="B12" t="s">
        <v>445</v>
      </c>
      <c r="C12" t="str">
        <f t="shared" si="0"/>
        <v>ANNUALINCENTIVEALLOWAN</v>
      </c>
    </row>
    <row r="13" spans="1:3">
      <c r="A13" t="s">
        <v>126</v>
      </c>
      <c r="B13" t="s">
        <v>446</v>
      </c>
      <c r="C13" t="str">
        <f t="shared" si="0"/>
        <v>RAWMATERIAL&amp;FREIGHTEX</v>
      </c>
    </row>
    <row r="14" spans="1:3">
      <c r="A14" t="s">
        <v>135</v>
      </c>
      <c r="B14" t="s">
        <v>447</v>
      </c>
      <c r="C14" t="str">
        <f t="shared" si="0"/>
        <v>MAINTENANCE&amp;REPAIREXPE</v>
      </c>
    </row>
    <row r="15" spans="1:3">
      <c r="A15" t="s">
        <v>156</v>
      </c>
      <c r="B15" t="s">
        <v>448</v>
      </c>
      <c r="C15" t="str">
        <f t="shared" si="0"/>
        <v>DEPREXPGEN&amp;BOILER</v>
      </c>
    </row>
    <row r="16" spans="1:3">
      <c r="A16" t="s">
        <v>158</v>
      </c>
      <c r="B16" t="s">
        <v>449</v>
      </c>
      <c r="C16" t="str">
        <f t="shared" si="0"/>
        <v>DEPREXPELECTRICALIN</v>
      </c>
    </row>
    <row r="17" spans="1:3">
      <c r="A17" t="s">
        <v>162</v>
      </c>
      <c r="B17" t="s">
        <v>450</v>
      </c>
      <c r="C17" t="str">
        <f t="shared" si="0"/>
        <v>DEPREXPPLANTEQUIP</v>
      </c>
    </row>
    <row r="18" spans="1:3">
      <c r="A18" t="s">
        <v>184</v>
      </c>
      <c r="B18" t="s">
        <v>451</v>
      </c>
      <c r="C18" t="str">
        <f t="shared" si="0"/>
        <v>PEMAKAIANGENERALMATERIAL</v>
      </c>
    </row>
    <row r="19" spans="1:3">
      <c r="A19" t="s">
        <v>185</v>
      </c>
      <c r="B19" t="s">
        <v>452</v>
      </c>
      <c r="C19" t="str">
        <f t="shared" si="0"/>
        <v>DIRECTMFGCOSTALLOCATIO</v>
      </c>
    </row>
    <row r="20" spans="1:3">
      <c r="A20" t="s">
        <v>241</v>
      </c>
      <c r="B20" t="s">
        <v>453</v>
      </c>
      <c r="C20" t="str">
        <f t="shared" si="0"/>
        <v>GENERAL&amp;ADMEXPENSES</v>
      </c>
    </row>
    <row r="21" spans="1:3">
      <c r="A21" t="s">
        <v>248</v>
      </c>
      <c r="B21" t="s">
        <v>454</v>
      </c>
      <c r="C21" t="str">
        <f t="shared" si="0"/>
        <v>ANNUALINCENTIVEALLOW</v>
      </c>
    </row>
    <row r="22" spans="1:3">
      <c r="A22" t="s">
        <v>272</v>
      </c>
      <c r="B22" t="s">
        <v>455</v>
      </c>
      <c r="C22" t="str">
        <f t="shared" si="0"/>
        <v>OFFICER'STRANSPORT</v>
      </c>
    </row>
    <row r="23" spans="1:3">
      <c r="A23" t="s">
        <v>294</v>
      </c>
      <c r="B23" t="s">
        <v>456</v>
      </c>
      <c r="C23" t="str">
        <f t="shared" si="0"/>
        <v>DEPREXPOFFICEEQUIP</v>
      </c>
    </row>
    <row r="24" spans="1:3">
      <c r="A24" t="s">
        <v>298</v>
      </c>
      <c r="B24" t="s">
        <v>457</v>
      </c>
      <c r="C24" t="str">
        <f t="shared" si="0"/>
        <v>DIFDEPREXPMGMFIS</v>
      </c>
    </row>
    <row r="25" spans="1:3">
      <c r="A25" t="s">
        <v>458</v>
      </c>
      <c r="B25" t="s">
        <v>337</v>
      </c>
      <c r="C25" t="str">
        <f t="shared" si="0"/>
        <v>GAIN/LOSSONSELLINGASSET</v>
      </c>
    </row>
    <row r="26" spans="1:3">
      <c r="A26" t="s">
        <v>339</v>
      </c>
      <c r="B26" t="s">
        <v>459</v>
      </c>
      <c r="C26" t="str">
        <f t="shared" si="0"/>
        <v>G/LONSELLINGASSETS</v>
      </c>
    </row>
    <row r="27" spans="1:3">
      <c r="A27" t="s">
        <v>341</v>
      </c>
      <c r="B27" t="s">
        <v>460</v>
      </c>
      <c r="C27" t="str">
        <f t="shared" si="0"/>
        <v>CASHPROCEEDCLEARASSET</v>
      </c>
    </row>
    <row r="28" spans="1:3">
      <c r="A28" t="s">
        <v>361</v>
      </c>
      <c r="B28" t="s">
        <v>461</v>
      </c>
      <c r="C28" t="str">
        <f t="shared" si="0"/>
        <v>INTERESTEXPOFDOMESTIC</v>
      </c>
    </row>
    <row r="29" spans="1:3">
      <c r="A29" t="s">
        <v>378</v>
      </c>
      <c r="B29" t="s">
        <v>462</v>
      </c>
      <c r="C29" t="str">
        <f t="shared" si="0"/>
        <v>DIFFBALANCEALLOCATION</v>
      </c>
    </row>
    <row r="30" spans="1:3">
      <c r="A30" t="s">
        <v>380</v>
      </c>
      <c r="B30" t="s">
        <v>463</v>
      </c>
      <c r="C30" t="str">
        <f t="shared" si="0"/>
        <v>DIFFBLNCALLOCLABOR</v>
      </c>
    </row>
    <row r="31" spans="1:3">
      <c r="A31" t="s">
        <v>382</v>
      </c>
      <c r="B31" t="s">
        <v>464</v>
      </c>
      <c r="C31" t="str">
        <f t="shared" si="0"/>
        <v>DIFFBLNCALLOCO/HMF</v>
      </c>
    </row>
    <row r="32" spans="1:3">
      <c r="A32" t="s">
        <v>389</v>
      </c>
      <c r="B32" t="s">
        <v>465</v>
      </c>
      <c r="C32" t="str">
        <f t="shared" si="0"/>
        <v>DOUBTFULA/REXPENSES</v>
      </c>
    </row>
    <row r="33" spans="1:3">
      <c r="A33" t="s">
        <v>391</v>
      </c>
      <c r="B33" t="s">
        <v>466</v>
      </c>
      <c r="C33" t="str">
        <f t="shared" si="0"/>
        <v>DOUBTFULINVENTORYEXP</v>
      </c>
    </row>
    <row r="34" spans="1:3">
      <c r="A34" t="s">
        <v>402</v>
      </c>
      <c r="B34" t="s">
        <v>467</v>
      </c>
      <c r="C34" t="str">
        <f t="shared" si="0"/>
        <v>CLEARINGACCCASH/BANK</v>
      </c>
    </row>
    <row r="35" spans="1:3">
      <c r="A35" t="s">
        <v>404</v>
      </c>
      <c r="B35" t="s">
        <v>468</v>
      </c>
      <c r="C35" t="str">
        <f t="shared" si="0"/>
        <v>CLEARINGACCOTHERS</v>
      </c>
    </row>
    <row r="36" spans="1:3">
      <c r="A36" t="s">
        <v>406</v>
      </c>
      <c r="B36" t="s">
        <v>469</v>
      </c>
      <c r="C36" t="str">
        <f t="shared" si="0"/>
        <v>SUSPENSEACCDEDUCTION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I11" sqref="I11"/>
    </sheetView>
  </sheetViews>
  <sheetFormatPr defaultRowHeight="15"/>
  <cols>
    <col min="6" max="6" width="17.5703125" bestFit="1" customWidth="1"/>
  </cols>
  <sheetData>
    <row r="4" spans="6:7">
      <c r="F4" t="s">
        <v>427</v>
      </c>
    </row>
    <row r="5" spans="6:7">
      <c r="F5" t="s">
        <v>436</v>
      </c>
      <c r="G5" t="s">
        <v>432</v>
      </c>
    </row>
    <row r="6" spans="6:7">
      <c r="F6" t="s">
        <v>428</v>
      </c>
      <c r="G6" t="b">
        <v>0</v>
      </c>
    </row>
    <row r="7" spans="6:7">
      <c r="F7" t="s">
        <v>429</v>
      </c>
      <c r="G7" t="b">
        <v>0</v>
      </c>
    </row>
    <row r="8" spans="6:7">
      <c r="F8" t="s">
        <v>430</v>
      </c>
      <c r="G8" t="b">
        <v>0</v>
      </c>
    </row>
    <row r="9" spans="6:7">
      <c r="F9" t="s">
        <v>431</v>
      </c>
      <c r="G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zoomScale="70" zoomScaleNormal="70" workbookViewId="0">
      <pane xSplit="3" ySplit="5" topLeftCell="D244" activePane="bottomRight" state="frozen"/>
      <selection pane="topRight" activeCell="D1" sqref="D1"/>
      <selection pane="bottomLeft" activeCell="A6" sqref="A6"/>
      <selection pane="bottomRight" activeCell="C252" sqref="C252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22"/>
      <c r="R6" s="18"/>
    </row>
    <row r="7" spans="1:19" ht="17.45" customHeight="1">
      <c r="B7" s="24"/>
      <c r="C7" s="62" t="s">
        <v>28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>
        <v>0</v>
      </c>
      <c r="Q14" s="22"/>
      <c r="R14" s="30"/>
      <c r="S14" s="22"/>
    </row>
    <row r="15" spans="1:19" ht="17.45" customHeight="1">
      <c r="A15" s="81" t="s">
        <v>434</v>
      </c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A16" s="81" t="s">
        <v>434</v>
      </c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1:19" ht="17.45" customHeight="1">
      <c r="B17" s="29"/>
      <c r="C17" s="61" t="s">
        <v>45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>
        <f t="shared" ref="P17:P23" si="3">D17+E17+F17+G17+H17+I17+J17+K17+L17+M17+N17+O17</f>
        <v>0</v>
      </c>
      <c r="Q17" s="22"/>
      <c r="R17" s="30"/>
      <c r="S17" s="22"/>
    </row>
    <row r="18" spans="1:19" ht="17.45" customHeight="1">
      <c r="B18" s="29"/>
      <c r="C18" s="62" t="s">
        <v>46</v>
      </c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>
        <f t="shared" si="3"/>
        <v>0</v>
      </c>
      <c r="Q18" s="22"/>
      <c r="R18" s="30"/>
      <c r="S18" s="22"/>
    </row>
    <row r="19" spans="1:19" ht="17.45" customHeight="1">
      <c r="B19" s="29" t="s">
        <v>47</v>
      </c>
      <c r="C19" s="63" t="s">
        <v>48</v>
      </c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>
        <f t="shared" si="3"/>
        <v>0</v>
      </c>
      <c r="Q19" s="22"/>
      <c r="R19" s="30"/>
      <c r="S19" s="22"/>
    </row>
    <row r="20" spans="1:19" ht="17.45" customHeight="1">
      <c r="B20" s="29" t="s">
        <v>49</v>
      </c>
      <c r="C20" s="25" t="s">
        <v>50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>
        <f t="shared" si="3"/>
        <v>0</v>
      </c>
      <c r="Q20" s="22"/>
      <c r="R20" s="30"/>
      <c r="S20" s="22"/>
    </row>
    <row r="21" spans="1:19" ht="17.45" customHeight="1">
      <c r="B21" s="29"/>
      <c r="C21" s="25" t="s">
        <v>51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>
        <f t="shared" si="3"/>
        <v>0</v>
      </c>
      <c r="Q21" s="22"/>
      <c r="R21" s="30"/>
      <c r="S21" s="22"/>
    </row>
    <row r="22" spans="1:19" ht="17.45" customHeight="1">
      <c r="B22" s="29" t="s">
        <v>52</v>
      </c>
      <c r="C22" s="25" t="s">
        <v>53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>
        <f t="shared" si="3"/>
        <v>0</v>
      </c>
      <c r="Q22" s="22"/>
      <c r="R22" s="30"/>
      <c r="S22" s="22"/>
    </row>
    <row r="23" spans="1:19" ht="17.45" customHeight="1">
      <c r="B23" s="29" t="s">
        <v>54</v>
      </c>
      <c r="C23" s="25" t="s">
        <v>55</v>
      </c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>
        <f t="shared" si="3"/>
        <v>0</v>
      </c>
      <c r="Q23" s="22"/>
      <c r="R23" s="30"/>
      <c r="S23" s="22"/>
    </row>
    <row r="24" spans="1:19" ht="17.45" customHeight="1">
      <c r="A24" s="81" t="s">
        <v>434</v>
      </c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0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0</v>
      </c>
      <c r="Q24" s="22"/>
      <c r="R24" s="30"/>
      <c r="S24" s="22"/>
    </row>
    <row r="25" spans="1:19" ht="17.45" customHeight="1">
      <c r="B25" s="29" t="s">
        <v>57</v>
      </c>
      <c r="C25" s="25" t="s">
        <v>58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>
        <f>D25+E25+F25+G25+H25+I25+J25+K25+L25+M25+N25+O25</f>
        <v>0</v>
      </c>
      <c r="Q25" s="22"/>
      <c r="R25" s="30"/>
      <c r="S25" s="22"/>
    </row>
    <row r="26" spans="1:19" ht="17.45" customHeight="1">
      <c r="B26" s="29" t="s">
        <v>59</v>
      </c>
      <c r="C26" s="25" t="s">
        <v>60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>
        <f>D26+E26+F26+G26+H26+I26+J26+K26+L26+M26+N26+O26</f>
        <v>0</v>
      </c>
      <c r="Q26" s="22"/>
      <c r="R26" s="30"/>
      <c r="S26" s="22"/>
    </row>
    <row r="27" spans="1:19" ht="17.45" customHeight="1">
      <c r="B27" s="29" t="s">
        <v>61</v>
      </c>
      <c r="C27" s="25" t="s">
        <v>62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>
        <f>D27+E27+F27+G27+H27+I27+J27+K27+L27+M27+N27+O27</f>
        <v>0</v>
      </c>
      <c r="Q27" s="22"/>
      <c r="R27" s="30"/>
      <c r="S27" s="22"/>
    </row>
    <row r="28" spans="1:19" ht="17.45" customHeight="1">
      <c r="B28" s="29" t="s">
        <v>63</v>
      </c>
      <c r="C28" s="25" t="s">
        <v>64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>
        <f>D28+E28+F28+G28+H28+I28+J28+K28+L28+M28+N28+O28</f>
        <v>0</v>
      </c>
      <c r="Q28" s="22"/>
      <c r="R28" s="30"/>
      <c r="S28" s="22"/>
    </row>
    <row r="29" spans="1:19" ht="17.45" customHeight="1">
      <c r="A29" s="81" t="s">
        <v>434</v>
      </c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1:19" ht="17.45" customHeight="1">
      <c r="B30" s="29" t="s">
        <v>66</v>
      </c>
      <c r="C30" s="25" t="s">
        <v>67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>
        <f>D30+E30+F30+G30+H30+I30+J30+K30+L30+M30+N30+O30</f>
        <v>0</v>
      </c>
      <c r="Q30" s="22"/>
      <c r="R30" s="30"/>
      <c r="S30" s="22"/>
    </row>
    <row r="31" spans="1:19" ht="17.45" customHeight="1">
      <c r="B31" s="29" t="s">
        <v>68</v>
      </c>
      <c r="C31" s="25" t="s">
        <v>69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>
        <f>D31+E31+F31+G31+H31+I31+J31+K31+L31+M31+N31+O31</f>
        <v>0</v>
      </c>
      <c r="Q31" s="22"/>
      <c r="R31" s="30"/>
      <c r="S31" s="22"/>
    </row>
    <row r="32" spans="1:19" ht="17.45" customHeight="1">
      <c r="B32" s="29" t="s">
        <v>70</v>
      </c>
      <c r="C32" s="25" t="s">
        <v>71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>
        <f>D32+E32+F32+G32+H32+I32+J32+K32+L32+M32+N32+O32</f>
        <v>0</v>
      </c>
      <c r="Q32" s="22"/>
      <c r="R32" s="30"/>
      <c r="S32" s="22"/>
    </row>
    <row r="33" spans="1:19" ht="17.45" customHeight="1">
      <c r="B33" s="29" t="s">
        <v>72</v>
      </c>
      <c r="C33" s="25" t="s">
        <v>73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>
        <f>D33+E33+F33+G33+H33+I33+J33+K33+L33+M33+N33+O33</f>
        <v>0</v>
      </c>
      <c r="Q33" s="22"/>
      <c r="R33" s="30"/>
      <c r="S33" s="22"/>
    </row>
    <row r="34" spans="1:19" ht="17.45" customHeight="1">
      <c r="A34" s="81" t="s">
        <v>434</v>
      </c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1:19" ht="17.45" customHeight="1">
      <c r="A35" s="81" t="s">
        <v>434</v>
      </c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1:19" ht="17.45" customHeight="1">
      <c r="A36" s="81" t="s">
        <v>434</v>
      </c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0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0</v>
      </c>
      <c r="Q36" s="22"/>
      <c r="R36" s="30"/>
      <c r="S36" s="22"/>
    </row>
    <row r="37" spans="1:19" ht="17.45" customHeight="1">
      <c r="B37" s="29"/>
      <c r="C37" s="31" t="s">
        <v>79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>
        <f t="shared" ref="P37:P42" si="7">D37+E37+F37+G37+H37+I37+J37+K37+L37+M37+N37+O37</f>
        <v>0</v>
      </c>
      <c r="Q37" s="22"/>
      <c r="R37" s="30"/>
      <c r="S37" s="22"/>
    </row>
    <row r="38" spans="1:19" ht="17.45" customHeight="1">
      <c r="B38" s="29" t="s">
        <v>80</v>
      </c>
      <c r="C38" s="28" t="s">
        <v>81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>
        <f t="shared" si="7"/>
        <v>0</v>
      </c>
      <c r="Q38" s="22"/>
      <c r="R38" s="30"/>
      <c r="S38" s="22"/>
    </row>
    <row r="39" spans="1:19" ht="17.45" customHeight="1">
      <c r="B39" s="29" t="s">
        <v>82</v>
      </c>
      <c r="C39" s="25" t="s">
        <v>83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>
        <f t="shared" si="7"/>
        <v>0</v>
      </c>
      <c r="Q39" s="22"/>
      <c r="R39" s="30"/>
      <c r="S39" s="22"/>
    </row>
    <row r="40" spans="1:19" ht="17.45" customHeight="1">
      <c r="B40" s="29"/>
      <c r="C40" s="28" t="s">
        <v>84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>
        <f t="shared" si="7"/>
        <v>0</v>
      </c>
      <c r="Q40" s="22"/>
      <c r="R40" s="30"/>
      <c r="S40" s="22"/>
    </row>
    <row r="41" spans="1:19" ht="17.45" customHeight="1">
      <c r="B41" s="29" t="s">
        <v>85</v>
      </c>
      <c r="C41" s="25" t="s">
        <v>86</v>
      </c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>
        <f t="shared" si="7"/>
        <v>0</v>
      </c>
      <c r="Q41" s="22"/>
      <c r="R41" s="30"/>
      <c r="S41" s="22"/>
    </row>
    <row r="42" spans="1:19" ht="17.45" customHeight="1">
      <c r="B42" s="29" t="s">
        <v>87</v>
      </c>
      <c r="C42" s="25" t="s">
        <v>88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>
        <f t="shared" si="7"/>
        <v>0</v>
      </c>
      <c r="Q42" s="22"/>
      <c r="R42" s="30"/>
      <c r="S42" s="22"/>
    </row>
    <row r="43" spans="1:19" ht="17.45" customHeight="1">
      <c r="B43" s="29"/>
      <c r="C43" s="25" t="s">
        <v>89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>
        <v>0</v>
      </c>
      <c r="Q43" s="22"/>
      <c r="R43" s="30"/>
      <c r="S43" s="22"/>
    </row>
    <row r="44" spans="1:19" ht="17.45" customHeight="1">
      <c r="B44" s="29" t="s">
        <v>90</v>
      </c>
      <c r="C44" s="25" t="s">
        <v>91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>
        <v>0</v>
      </c>
      <c r="Q44" s="22"/>
      <c r="R44" s="30"/>
      <c r="S44" s="22"/>
    </row>
    <row r="45" spans="1:19" ht="17.45" customHeight="1">
      <c r="B45" s="29"/>
      <c r="C45" s="25" t="s">
        <v>92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>
        <v>0</v>
      </c>
      <c r="Q45" s="22"/>
      <c r="R45" s="30"/>
      <c r="S45" s="22"/>
    </row>
    <row r="46" spans="1:19" ht="17.45" customHeight="1">
      <c r="B46" s="29"/>
      <c r="C46" s="25" t="s">
        <v>93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>
        <v>0</v>
      </c>
      <c r="Q46" s="22"/>
      <c r="R46" s="30"/>
      <c r="S46" s="22"/>
    </row>
    <row r="47" spans="1:19" ht="17.45" customHeight="1">
      <c r="A47" s="81" t="s">
        <v>434</v>
      </c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1:19" ht="17.45" customHeight="1">
      <c r="B48" s="29"/>
      <c r="C48" s="28" t="s">
        <v>95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>
        <f>D48+E48+F48+G48+H48+I48+J48+K48+L48+M48+N48+O48</f>
        <v>0</v>
      </c>
      <c r="Q48" s="22"/>
      <c r="R48" s="30"/>
      <c r="S48" s="22"/>
    </row>
    <row r="49" spans="1:19" ht="17.45" customHeight="1">
      <c r="B49" s="29" t="s">
        <v>96</v>
      </c>
      <c r="C49" s="25" t="s">
        <v>97</v>
      </c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>
        <f>D49+E49+F49+G49+H49+I49+J49+K49+L49+M49+N49+O49</f>
        <v>0</v>
      </c>
      <c r="Q49" s="22"/>
      <c r="R49" s="30"/>
      <c r="S49" s="22"/>
    </row>
    <row r="50" spans="1:19" ht="17.45" customHeight="1">
      <c r="B50" s="29" t="s">
        <v>98</v>
      </c>
      <c r="C50" s="25" t="s">
        <v>99</v>
      </c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>
        <f>D50+E50+F50+G50+H50+I50+J50+K50+L50+M50+N50+O50</f>
        <v>0</v>
      </c>
      <c r="Q50" s="22"/>
      <c r="R50" s="30"/>
      <c r="S50" s="22"/>
    </row>
    <row r="51" spans="1:19" ht="17.45" customHeight="1">
      <c r="B51" s="29" t="s">
        <v>100</v>
      </c>
      <c r="C51" s="25" t="s">
        <v>101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>
        <f>D51+E51+F51+G51+H51+I51+J51+K51+L51+M51+N51+O51</f>
        <v>0</v>
      </c>
      <c r="Q51" s="22"/>
      <c r="R51" s="30"/>
      <c r="S51" s="22"/>
    </row>
    <row r="52" spans="1:19" ht="17.45" customHeight="1">
      <c r="A52" s="81" t="s">
        <v>434</v>
      </c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1:19" ht="17.45" customHeight="1">
      <c r="A53" s="81" t="s">
        <v>434</v>
      </c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1:19" ht="17.45" customHeight="1">
      <c r="B54" s="29"/>
      <c r="C54" s="27" t="s">
        <v>105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>
        <f t="shared" ref="P54:P60" si="8">D54+E54+F54+G54+H54+I54+J54+K54+L54+M54+N54+O54</f>
        <v>0</v>
      </c>
      <c r="Q54" s="22"/>
      <c r="R54" s="30"/>
      <c r="S54" s="22"/>
    </row>
    <row r="55" spans="1:19" ht="17.45" customHeight="1">
      <c r="B55" s="29"/>
      <c r="C55" s="28" t="s">
        <v>106</v>
      </c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>
        <f t="shared" si="8"/>
        <v>0</v>
      </c>
      <c r="Q55" s="22"/>
      <c r="R55" s="30"/>
      <c r="S55" s="22"/>
    </row>
    <row r="56" spans="1:19" ht="17.45" customHeight="1">
      <c r="B56" s="29" t="s">
        <v>107</v>
      </c>
      <c r="C56" s="25" t="s">
        <v>108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>
        <f t="shared" si="8"/>
        <v>0</v>
      </c>
      <c r="Q56" s="22"/>
      <c r="R56" s="30"/>
      <c r="S56" s="22"/>
    </row>
    <row r="57" spans="1:19" ht="17.45" customHeight="1">
      <c r="B57" s="29" t="s">
        <v>109</v>
      </c>
      <c r="C57" s="25" t="s">
        <v>110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>
        <f t="shared" si="8"/>
        <v>0</v>
      </c>
      <c r="Q57" s="22"/>
      <c r="R57" s="30"/>
      <c r="S57" s="22"/>
    </row>
    <row r="58" spans="1:19" ht="17.45" customHeight="1">
      <c r="B58" s="29" t="s">
        <v>111</v>
      </c>
      <c r="C58" s="25" t="s">
        <v>112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>
        <f t="shared" si="8"/>
        <v>0</v>
      </c>
      <c r="Q58" s="22"/>
      <c r="R58" s="30"/>
      <c r="S58" s="22"/>
    </row>
    <row r="59" spans="1:19" ht="17.45" customHeight="1">
      <c r="B59" s="29" t="s">
        <v>113</v>
      </c>
      <c r="C59" s="25" t="s">
        <v>114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>
        <f t="shared" si="8"/>
        <v>0</v>
      </c>
      <c r="Q59" s="22"/>
      <c r="R59" s="30"/>
      <c r="S59" s="22"/>
    </row>
    <row r="60" spans="1:19" ht="17.45" customHeight="1">
      <c r="B60" s="29" t="s">
        <v>115</v>
      </c>
      <c r="C60" s="25" t="s">
        <v>116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>
        <f t="shared" si="8"/>
        <v>0</v>
      </c>
      <c r="Q60" s="22"/>
      <c r="R60" s="30"/>
      <c r="S60" s="22"/>
    </row>
    <row r="61" spans="1:19" ht="17.45" customHeight="1">
      <c r="A61" s="81" t="s">
        <v>434</v>
      </c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0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0</v>
      </c>
      <c r="Q61" s="22"/>
      <c r="R61" s="30"/>
      <c r="S61" s="22"/>
    </row>
    <row r="62" spans="1:19" ht="17.45" customHeight="1">
      <c r="B62" s="29" t="s">
        <v>118</v>
      </c>
      <c r="C62" s="25" t="s">
        <v>119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>
        <f t="shared" ref="P62:P69" si="10">D62+E62+F62+G62+H62+I62+J62+K62+L62+M62+N62+O62</f>
        <v>0</v>
      </c>
      <c r="Q62" s="22"/>
      <c r="R62" s="30"/>
      <c r="S62" s="22"/>
    </row>
    <row r="63" spans="1:19" ht="17.45" customHeight="1">
      <c r="B63" s="29" t="s">
        <v>120</v>
      </c>
      <c r="C63" s="25" t="s">
        <v>121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>
        <f t="shared" si="10"/>
        <v>0</v>
      </c>
      <c r="Q63" s="22"/>
      <c r="R63" s="30"/>
      <c r="S63" s="22"/>
    </row>
    <row r="64" spans="1:19" ht="17.45" customHeight="1">
      <c r="B64" s="29" t="s">
        <v>122</v>
      </c>
      <c r="C64" s="25" t="s">
        <v>123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>
        <f t="shared" si="10"/>
        <v>0</v>
      </c>
      <c r="Q64" s="22"/>
      <c r="R64" s="30"/>
      <c r="S64" s="22"/>
    </row>
    <row r="65" spans="1:19" ht="17.45" customHeight="1">
      <c r="B65" s="29" t="s">
        <v>124</v>
      </c>
      <c r="C65" s="25" t="s">
        <v>125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>
        <f t="shared" si="10"/>
        <v>0</v>
      </c>
      <c r="Q65" s="22"/>
      <c r="R65" s="30"/>
      <c r="S65" s="22"/>
    </row>
    <row r="66" spans="1:19" ht="17.45" customHeight="1">
      <c r="B66" s="29"/>
      <c r="C66" s="28" t="s">
        <v>126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>
        <f t="shared" si="10"/>
        <v>0</v>
      </c>
      <c r="Q66" s="22"/>
      <c r="R66" s="30"/>
      <c r="S66" s="22"/>
    </row>
    <row r="67" spans="1:19" ht="17.45" customHeight="1">
      <c r="B67" s="29" t="s">
        <v>127</v>
      </c>
      <c r="C67" s="25" t="s">
        <v>128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>
        <f t="shared" si="10"/>
        <v>0</v>
      </c>
      <c r="Q67" s="22"/>
      <c r="R67" s="30"/>
      <c r="S67" s="22"/>
    </row>
    <row r="68" spans="1:19" ht="17.45" customHeight="1">
      <c r="B68" s="29" t="s">
        <v>129</v>
      </c>
      <c r="C68" s="25" t="s">
        <v>130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>
        <f t="shared" si="10"/>
        <v>0</v>
      </c>
      <c r="Q68" s="22"/>
      <c r="R68" s="30"/>
      <c r="S68" s="22"/>
    </row>
    <row r="69" spans="1:19" ht="17.45" customHeight="1">
      <c r="B69" s="29"/>
      <c r="C69" s="25" t="s">
        <v>131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>
        <f t="shared" si="10"/>
        <v>0</v>
      </c>
      <c r="Q69" s="22"/>
      <c r="R69" s="30"/>
      <c r="S69" s="22"/>
    </row>
    <row r="70" spans="1:19" ht="17.45" customHeight="1">
      <c r="A70" s="81" t="s">
        <v>434</v>
      </c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1:19" ht="17.45" customHeight="1">
      <c r="B71" s="29" t="s">
        <v>133</v>
      </c>
      <c r="C71" s="25" t="s">
        <v>134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>
        <f t="shared" ref="P71:P79" si="12">D71+E71+F71+G71+H71+I71+J71+K71+L71+M71+N71+O71</f>
        <v>0</v>
      </c>
      <c r="Q71" s="22"/>
      <c r="R71" s="30"/>
      <c r="S71" s="22"/>
    </row>
    <row r="72" spans="1:19" ht="17.45" customHeight="1">
      <c r="B72" s="29"/>
      <c r="C72" s="28" t="s">
        <v>135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>
        <f t="shared" si="12"/>
        <v>0</v>
      </c>
      <c r="Q72" s="22"/>
      <c r="R72" s="30"/>
      <c r="S72" s="22"/>
    </row>
    <row r="73" spans="1:19" ht="17.45" customHeight="1">
      <c r="B73" s="29" t="s">
        <v>136</v>
      </c>
      <c r="C73" s="25" t="s">
        <v>137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>
        <f t="shared" si="12"/>
        <v>0</v>
      </c>
      <c r="Q73" s="22"/>
      <c r="R73" s="30"/>
      <c r="S73" s="22"/>
    </row>
    <row r="74" spans="1:19" ht="17.45" customHeight="1">
      <c r="B74" s="29" t="s">
        <v>138</v>
      </c>
      <c r="C74" s="25" t="s">
        <v>139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>
        <f t="shared" si="12"/>
        <v>0</v>
      </c>
      <c r="Q74" s="22"/>
      <c r="R74" s="30"/>
      <c r="S74" s="22"/>
    </row>
    <row r="75" spans="1:19" ht="17.45" customHeight="1">
      <c r="B75" s="29" t="s">
        <v>140</v>
      </c>
      <c r="C75" s="25" t="s">
        <v>141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>
        <f t="shared" si="12"/>
        <v>0</v>
      </c>
      <c r="Q75" s="22"/>
      <c r="R75" s="30"/>
      <c r="S75" s="22"/>
    </row>
    <row r="76" spans="1:19" ht="17.45" customHeight="1">
      <c r="B76" s="29" t="s">
        <v>142</v>
      </c>
      <c r="C76" s="25" t="s">
        <v>143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>
        <f t="shared" si="12"/>
        <v>0</v>
      </c>
      <c r="Q76" s="22"/>
      <c r="R76" s="30"/>
      <c r="S76" s="22"/>
    </row>
    <row r="77" spans="1:19" ht="17.45" customHeight="1">
      <c r="B77" s="29" t="s">
        <v>144</v>
      </c>
      <c r="C77" s="25" t="s">
        <v>145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>
        <f t="shared" si="12"/>
        <v>0</v>
      </c>
      <c r="Q77" s="22"/>
      <c r="R77" s="30"/>
      <c r="S77" s="22"/>
    </row>
    <row r="78" spans="1:19" ht="17.45" customHeight="1">
      <c r="B78" s="29"/>
      <c r="C78" s="25" t="s">
        <v>146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>
        <f t="shared" si="12"/>
        <v>0</v>
      </c>
      <c r="Q78" s="22"/>
      <c r="R78" s="30"/>
      <c r="S78" s="22"/>
    </row>
    <row r="79" spans="1:19" ht="17.45" customHeight="1">
      <c r="B79" s="29"/>
      <c r="C79" s="25" t="s">
        <v>147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>
        <f t="shared" si="12"/>
        <v>0</v>
      </c>
      <c r="Q79" s="22"/>
      <c r="R79" s="30"/>
      <c r="S79" s="22"/>
    </row>
    <row r="80" spans="1:19" ht="17.45" customHeight="1">
      <c r="A80" s="81" t="s">
        <v>434</v>
      </c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0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0</v>
      </c>
      <c r="Q80" s="22"/>
      <c r="R80" s="30"/>
      <c r="S80" s="22"/>
    </row>
    <row r="81" spans="1:19" ht="17.45" customHeight="1">
      <c r="B81" s="29"/>
      <c r="C81" s="28" t="s">
        <v>149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>
        <v>0</v>
      </c>
      <c r="Q81" s="22"/>
      <c r="R81" s="30"/>
      <c r="S81" s="22"/>
    </row>
    <row r="82" spans="1:19" ht="17.45" customHeight="1">
      <c r="B82" s="29"/>
      <c r="C82" s="25" t="s">
        <v>150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>
        <v>0</v>
      </c>
      <c r="Q82" s="22"/>
      <c r="R82" s="30"/>
      <c r="S82" s="22"/>
    </row>
    <row r="83" spans="1:19" ht="17.45" customHeight="1">
      <c r="B83" s="29" t="s">
        <v>151</v>
      </c>
      <c r="C83" s="25" t="s">
        <v>152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>
        <f t="shared" ref="P83:P88" si="14">D83+E83+F83+G83+H83+I83+J83+K83+L83+M83+N83+O83</f>
        <v>0</v>
      </c>
      <c r="Q83" s="22"/>
      <c r="R83" s="30"/>
      <c r="S83" s="22"/>
    </row>
    <row r="84" spans="1:19" ht="17.45" customHeight="1">
      <c r="B84" s="29" t="s">
        <v>153</v>
      </c>
      <c r="C84" s="25" t="s">
        <v>154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>
        <f t="shared" si="14"/>
        <v>0</v>
      </c>
      <c r="Q84" s="22"/>
      <c r="R84" s="30"/>
      <c r="S84" s="22"/>
    </row>
    <row r="85" spans="1:19" ht="17.45" customHeight="1">
      <c r="B85" s="29" t="s">
        <v>155</v>
      </c>
      <c r="C85" s="25" t="s">
        <v>156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>
        <f t="shared" si="14"/>
        <v>0</v>
      </c>
      <c r="Q85" s="22"/>
      <c r="R85" s="30"/>
      <c r="S85" s="22"/>
    </row>
    <row r="86" spans="1:19" ht="17.45" customHeight="1">
      <c r="B86" s="29" t="s">
        <v>157</v>
      </c>
      <c r="C86" s="25" t="s">
        <v>158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>
        <f t="shared" si="14"/>
        <v>0</v>
      </c>
      <c r="Q86" s="22"/>
      <c r="R86" s="30"/>
      <c r="S86" s="22"/>
    </row>
    <row r="87" spans="1:19" ht="17.45" customHeight="1">
      <c r="B87" s="29" t="s">
        <v>159</v>
      </c>
      <c r="C87" s="25" t="s">
        <v>160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>
        <f t="shared" si="14"/>
        <v>0</v>
      </c>
      <c r="Q87" s="22"/>
      <c r="R87" s="30"/>
      <c r="S87" s="22"/>
    </row>
    <row r="88" spans="1:19" ht="17.45" customHeight="1">
      <c r="B88" s="29" t="s">
        <v>161</v>
      </c>
      <c r="C88" s="25" t="s">
        <v>162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>
        <f t="shared" si="14"/>
        <v>0</v>
      </c>
      <c r="Q88" s="22"/>
      <c r="R88" s="30"/>
      <c r="S88" s="22"/>
    </row>
    <row r="89" spans="1:19" ht="17.45" customHeight="1">
      <c r="A89" s="81" t="s">
        <v>434</v>
      </c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0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0</v>
      </c>
      <c r="Q89" s="22"/>
      <c r="R89" s="30"/>
      <c r="S89" s="22"/>
    </row>
    <row r="90" spans="1:19" ht="17.45" customHeight="1">
      <c r="B90" s="29" t="s">
        <v>164</v>
      </c>
      <c r="C90" s="25" t="s">
        <v>165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>
        <f t="shared" ref="P90:P100" si="16">D90+E90+F90+G90+H90+I90+J90+K90+L90+M90+N90+O90</f>
        <v>0</v>
      </c>
      <c r="Q90" s="22"/>
      <c r="R90" s="30"/>
      <c r="S90" s="22"/>
    </row>
    <row r="91" spans="1:19" ht="17.45" customHeight="1">
      <c r="B91" s="29" t="s">
        <v>166</v>
      </c>
      <c r="C91" s="25" t="s">
        <v>167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>
        <f t="shared" si="16"/>
        <v>0</v>
      </c>
      <c r="Q91" s="22"/>
      <c r="R91" s="30"/>
      <c r="S91" s="22"/>
    </row>
    <row r="92" spans="1:19" ht="17.45" customHeight="1">
      <c r="B92" s="29" t="s">
        <v>168</v>
      </c>
      <c r="C92" s="25" t="s">
        <v>169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>
        <f t="shared" si="16"/>
        <v>0</v>
      </c>
      <c r="Q92" s="22"/>
      <c r="R92" s="30"/>
      <c r="S92" s="22"/>
    </row>
    <row r="93" spans="1:19" ht="17.45" customHeight="1">
      <c r="B93" s="29" t="s">
        <v>170</v>
      </c>
      <c r="C93" s="25" t="s">
        <v>171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>
        <f t="shared" si="16"/>
        <v>0</v>
      </c>
      <c r="Q93" s="22"/>
      <c r="R93" s="30"/>
      <c r="S93" s="22"/>
    </row>
    <row r="94" spans="1:19" ht="17.45" customHeight="1">
      <c r="B94" s="29" t="s">
        <v>172</v>
      </c>
      <c r="C94" s="25" t="s">
        <v>173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>
        <f t="shared" si="16"/>
        <v>0</v>
      </c>
      <c r="Q94" s="22"/>
      <c r="R94" s="30"/>
      <c r="S94" s="22"/>
    </row>
    <row r="95" spans="1:19" ht="17.45" customHeight="1">
      <c r="B95" s="29" t="s">
        <v>174</v>
      </c>
      <c r="C95" s="25" t="s">
        <v>175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>
        <f t="shared" si="16"/>
        <v>0</v>
      </c>
      <c r="Q95" s="22"/>
      <c r="R95" s="30"/>
      <c r="S95" s="22"/>
    </row>
    <row r="96" spans="1:19" ht="17.45" customHeight="1">
      <c r="B96" s="29" t="s">
        <v>176</v>
      </c>
      <c r="C96" s="25" t="s">
        <v>177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>
        <f t="shared" si="16"/>
        <v>0</v>
      </c>
      <c r="Q96" s="22"/>
      <c r="R96" s="30"/>
      <c r="S96" s="22"/>
    </row>
    <row r="97" spans="1:19" ht="17.45" customHeight="1">
      <c r="B97" s="29" t="s">
        <v>178</v>
      </c>
      <c r="C97" s="25" t="s">
        <v>179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>
        <f t="shared" si="16"/>
        <v>0</v>
      </c>
      <c r="Q97" s="22"/>
      <c r="R97" s="30"/>
      <c r="S97" s="22"/>
    </row>
    <row r="98" spans="1:19" ht="17.45" customHeight="1">
      <c r="B98" s="29" t="s">
        <v>180</v>
      </c>
      <c r="C98" s="25" t="s">
        <v>181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>
        <f t="shared" si="16"/>
        <v>0</v>
      </c>
      <c r="Q98" s="22"/>
      <c r="R98" s="30"/>
      <c r="S98" s="22"/>
    </row>
    <row r="99" spans="1:19" ht="17.45" customHeight="1">
      <c r="B99" s="29" t="s">
        <v>182</v>
      </c>
      <c r="C99" s="25" t="s">
        <v>183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>
        <f t="shared" si="16"/>
        <v>0</v>
      </c>
      <c r="Q99" s="22"/>
      <c r="R99" s="30"/>
      <c r="S99" s="22"/>
    </row>
    <row r="100" spans="1:19" ht="17.45" customHeight="1">
      <c r="B100" s="32">
        <v>631180</v>
      </c>
      <c r="C100" s="25" t="s">
        <v>184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>
        <f t="shared" si="16"/>
        <v>0</v>
      </c>
      <c r="Q100" s="22"/>
      <c r="R100" s="30"/>
      <c r="S100" s="22"/>
    </row>
    <row r="101" spans="1:19" ht="17.45" customHeight="1">
      <c r="A101" s="81" t="s">
        <v>434</v>
      </c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0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0</v>
      </c>
      <c r="Q101" s="22"/>
      <c r="R101" s="30"/>
      <c r="S101" s="22"/>
    </row>
    <row r="102" spans="1:19" ht="17.45" customHeight="1">
      <c r="B102" s="29"/>
      <c r="C102" s="28" t="s">
        <v>185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>
        <f>D102+E102+F102+G102+H102+I102+J102+K102+L102+M102+N102+O102</f>
        <v>0</v>
      </c>
      <c r="Q102" s="22"/>
      <c r="R102" s="30"/>
      <c r="S102" s="22"/>
    </row>
    <row r="103" spans="1:19" ht="17.45" customHeight="1">
      <c r="B103" s="29" t="s">
        <v>186</v>
      </c>
      <c r="C103" s="25" t="s">
        <v>187</v>
      </c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>
        <f>D103+E103+F103+G103+H103+I103+J103+K103+L103+M103+N103+O103</f>
        <v>0</v>
      </c>
      <c r="Q103" s="22"/>
      <c r="R103" s="30"/>
      <c r="S103" s="22"/>
    </row>
    <row r="104" spans="1:19" ht="17.45" customHeight="1">
      <c r="B104" s="29" t="s">
        <v>188</v>
      </c>
      <c r="C104" s="25" t="s">
        <v>189</v>
      </c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>
        <f>D104+E104+F104+G104+H104+I104+J104+K104+L104+M104+N104+O104</f>
        <v>0</v>
      </c>
      <c r="Q104" s="22"/>
      <c r="R104" s="30"/>
      <c r="S104" s="22"/>
    </row>
    <row r="105" spans="1:19" ht="17.45" customHeight="1">
      <c r="B105" s="29" t="s">
        <v>190</v>
      </c>
      <c r="C105" s="25" t="s">
        <v>191</v>
      </c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>
        <f>D105+E105+F105+G105+H105+I105+J105+K105+L105+M105+N105+O105</f>
        <v>0</v>
      </c>
      <c r="Q105" s="22"/>
      <c r="R105" s="30"/>
      <c r="S105" s="22"/>
    </row>
    <row r="106" spans="1:19" ht="17.45" customHeight="1">
      <c r="A106" s="81" t="s">
        <v>434</v>
      </c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0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0</v>
      </c>
      <c r="Q106" s="22"/>
      <c r="R106" s="30"/>
      <c r="S106" s="22"/>
    </row>
    <row r="107" spans="1:19" ht="17.45" customHeight="1">
      <c r="B107" s="29"/>
      <c r="C107" s="28" t="s">
        <v>193</v>
      </c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>
        <v>0</v>
      </c>
      <c r="Q107" s="22"/>
      <c r="R107" s="30"/>
      <c r="S107" s="22"/>
    </row>
    <row r="108" spans="1:19" ht="17.45" customHeight="1">
      <c r="B108" s="29"/>
      <c r="C108" s="25" t="s">
        <v>194</v>
      </c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>
        <v>0</v>
      </c>
      <c r="Q108" s="22"/>
      <c r="R108" s="30"/>
      <c r="S108" s="22"/>
    </row>
    <row r="109" spans="1:19" ht="17.45" customHeight="1">
      <c r="B109" s="29"/>
      <c r="C109" s="25" t="s">
        <v>195</v>
      </c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>
        <v>0</v>
      </c>
      <c r="Q109" s="22"/>
      <c r="R109" s="30"/>
      <c r="S109" s="22"/>
    </row>
    <row r="110" spans="1:19" ht="17.45" customHeight="1">
      <c r="B110" s="29"/>
      <c r="C110" s="33" t="s">
        <v>196</v>
      </c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>
        <v>0</v>
      </c>
      <c r="Q110" s="22"/>
      <c r="R110" s="30"/>
      <c r="S110" s="22"/>
    </row>
    <row r="111" spans="1:19" ht="17.45" customHeight="1">
      <c r="A111" s="81" t="s">
        <v>434</v>
      </c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1:19" ht="17.45" customHeight="1">
      <c r="A112" s="81" t="s">
        <v>434</v>
      </c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0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0</v>
      </c>
      <c r="Q112" s="22"/>
      <c r="R112" s="30"/>
      <c r="S112" s="22"/>
    </row>
    <row r="113" spans="1:19" ht="17.45" customHeight="1">
      <c r="B113" s="29"/>
      <c r="C113" s="27" t="s">
        <v>200</v>
      </c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>
        <f>D113+E113+F113+G113+H113+I113+J113+K113+L113+M113+N113+O113</f>
        <v>0</v>
      </c>
      <c r="Q113" s="22"/>
      <c r="R113" s="30"/>
      <c r="S113" s="22"/>
    </row>
    <row r="114" spans="1:19" ht="17.45" customHeight="1">
      <c r="B114" s="29"/>
      <c r="C114" s="28" t="s">
        <v>201</v>
      </c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>
        <f>D114+E114+F114+G114+H114+I114+J114+K114+L114+M114+N114+O114</f>
        <v>0</v>
      </c>
      <c r="Q114" s="22"/>
      <c r="R114" s="30"/>
      <c r="S114" s="22"/>
    </row>
    <row r="115" spans="1:19" ht="17.45" customHeight="1">
      <c r="B115" s="29" t="s">
        <v>202</v>
      </c>
      <c r="C115" s="25" t="s">
        <v>203</v>
      </c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>
        <f>D115+E115+F115+G115+H115+I115+J115+K115+L115+M115+N115+O115</f>
        <v>0</v>
      </c>
      <c r="Q115" s="22"/>
      <c r="R115" s="30"/>
      <c r="S115" s="22"/>
    </row>
    <row r="116" spans="1:19" ht="17.45" customHeight="1">
      <c r="B116" s="29" t="s">
        <v>204</v>
      </c>
      <c r="C116" s="25" t="s">
        <v>205</v>
      </c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>
        <f>D116+E116+F116+G116+H116+I116+J116+K116+L116+M116+N116+O116</f>
        <v>0</v>
      </c>
      <c r="Q116" s="22"/>
      <c r="R116" s="30"/>
      <c r="S116" s="22"/>
    </row>
    <row r="117" spans="1:19" ht="17.45" customHeight="1">
      <c r="A117" s="81" t="s">
        <v>434</v>
      </c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1:19" ht="17.45" customHeight="1">
      <c r="B118" s="29"/>
      <c r="C118" s="28" t="s">
        <v>207</v>
      </c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1:19" ht="17.45" customHeight="1">
      <c r="B119" s="29" t="s">
        <v>208</v>
      </c>
      <c r="C119" s="25" t="s">
        <v>209</v>
      </c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>
        <f t="shared" si="22"/>
        <v>0</v>
      </c>
      <c r="Q119" s="22"/>
      <c r="R119" s="30"/>
      <c r="S119" s="22"/>
    </row>
    <row r="120" spans="1:19" ht="17.45" customHeight="1">
      <c r="B120" s="29" t="s">
        <v>210</v>
      </c>
      <c r="C120" s="25" t="s">
        <v>211</v>
      </c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>
        <f t="shared" si="22"/>
        <v>0</v>
      </c>
      <c r="Q120" s="22"/>
      <c r="R120" s="30"/>
      <c r="S120" s="22"/>
    </row>
    <row r="121" spans="1:19" ht="17.45" customHeight="1">
      <c r="B121" s="29"/>
      <c r="C121" s="33" t="s">
        <v>212</v>
      </c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>
        <f t="shared" si="22"/>
        <v>0</v>
      </c>
      <c r="Q121" s="22"/>
      <c r="R121" s="30"/>
      <c r="S121" s="22"/>
    </row>
    <row r="122" spans="1:19" ht="17.45" customHeight="1">
      <c r="B122" s="29" t="s">
        <v>213</v>
      </c>
      <c r="C122" s="25" t="s">
        <v>214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>
        <f t="shared" si="22"/>
        <v>0</v>
      </c>
      <c r="Q122" s="22"/>
      <c r="R122" s="30"/>
      <c r="S122" s="22"/>
    </row>
    <row r="123" spans="1:19" ht="17.45" customHeight="1">
      <c r="B123" s="29" t="s">
        <v>215</v>
      </c>
      <c r="C123" s="25" t="s">
        <v>216</v>
      </c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>
        <f t="shared" si="22"/>
        <v>0</v>
      </c>
      <c r="Q123" s="22"/>
      <c r="R123" s="30"/>
      <c r="S123" s="22"/>
    </row>
    <row r="124" spans="1:19" ht="17.45" customHeight="1">
      <c r="B124" s="29" t="s">
        <v>217</v>
      </c>
      <c r="C124" s="25" t="s">
        <v>218</v>
      </c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>
        <f t="shared" si="22"/>
        <v>0</v>
      </c>
      <c r="Q124" s="22"/>
      <c r="R124" s="30"/>
      <c r="S124" s="22"/>
    </row>
    <row r="125" spans="1:19" ht="17.45" customHeight="1">
      <c r="B125" s="29" t="s">
        <v>219</v>
      </c>
      <c r="C125" s="25" t="s">
        <v>220</v>
      </c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>
        <f t="shared" si="22"/>
        <v>0</v>
      </c>
      <c r="Q125" s="22"/>
      <c r="R125" s="30"/>
      <c r="S125" s="22"/>
    </row>
    <row r="126" spans="1:19" ht="17.45" customHeight="1">
      <c r="B126" s="29" t="s">
        <v>221</v>
      </c>
      <c r="C126" s="25" t="s">
        <v>222</v>
      </c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>
        <f t="shared" si="22"/>
        <v>0</v>
      </c>
      <c r="Q126" s="22"/>
      <c r="R126" s="30"/>
      <c r="S126" s="22"/>
    </row>
    <row r="127" spans="1:19" ht="17.45" customHeight="1">
      <c r="B127" s="29" t="s">
        <v>223</v>
      </c>
      <c r="C127" s="25" t="s">
        <v>224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>
        <f t="shared" si="22"/>
        <v>0</v>
      </c>
      <c r="Q127" s="22"/>
      <c r="R127" s="30"/>
      <c r="S127" s="22"/>
    </row>
    <row r="128" spans="1:19" ht="17.45" customHeight="1">
      <c r="A128" s="81" t="s">
        <v>434</v>
      </c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1:19" ht="17.45" customHeight="1">
      <c r="B129" s="29" t="s">
        <v>226</v>
      </c>
      <c r="C129" s="25" t="s">
        <v>227</v>
      </c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>
        <f>D129+E129+F129+G129+H129+I129+J129+K129+L129+M129+N129+O129</f>
        <v>0</v>
      </c>
      <c r="Q129" s="22"/>
      <c r="R129" s="30"/>
      <c r="S129" s="22"/>
    </row>
    <row r="130" spans="1:19" ht="17.45" customHeight="1">
      <c r="B130" s="29" t="s">
        <v>228</v>
      </c>
      <c r="C130" s="25" t="s">
        <v>229</v>
      </c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>
        <f>D130+E130+F130+G130+H130+I130+J130+K130+L130+M130+N130+O130</f>
        <v>0</v>
      </c>
      <c r="Q130" s="22"/>
      <c r="R130" s="30"/>
      <c r="S130" s="22"/>
    </row>
    <row r="131" spans="1:19" ht="17.45" customHeight="1">
      <c r="B131" s="29" t="s">
        <v>230</v>
      </c>
      <c r="C131" s="25" t="s">
        <v>231</v>
      </c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>
        <f>D131+E131+F131+G131+H131+I131+J131+K131+L131+M131+N131+O131</f>
        <v>0</v>
      </c>
      <c r="Q131" s="22"/>
      <c r="R131" s="30"/>
      <c r="S131" s="22"/>
    </row>
    <row r="132" spans="1:19" ht="17.45" customHeight="1">
      <c r="A132" s="81" t="s">
        <v>434</v>
      </c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1:19" ht="17.45" customHeight="1">
      <c r="B133" s="29"/>
      <c r="C133" s="33" t="s">
        <v>233</v>
      </c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>
        <f>D133+E133+F133+G133+H133+I133+J133+K133+L133+M133+N133+O133</f>
        <v>0</v>
      </c>
      <c r="Q133" s="22"/>
      <c r="R133" s="30"/>
      <c r="S133" s="22"/>
    </row>
    <row r="134" spans="1:19" ht="17.45" customHeight="1">
      <c r="B134" s="29" t="s">
        <v>234</v>
      </c>
      <c r="C134" s="25" t="s">
        <v>40</v>
      </c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>
        <f>D134+E134+F134+G134+H134+I134+J134+K134+L134+M134+N134+O134</f>
        <v>0</v>
      </c>
      <c r="Q134" s="22"/>
      <c r="R134" s="30"/>
      <c r="S134" s="22"/>
    </row>
    <row r="135" spans="1:19" ht="17.45" customHeight="1">
      <c r="B135" s="29" t="s">
        <v>235</v>
      </c>
      <c r="C135" s="25" t="s">
        <v>236</v>
      </c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>
        <f>D135+E135+F135+G135+H135+I135+J135+K135+L135+M135+N135+O135</f>
        <v>0</v>
      </c>
      <c r="Q135" s="22"/>
      <c r="R135" s="30"/>
      <c r="S135" s="22"/>
    </row>
    <row r="136" spans="1:19" ht="17.45" customHeight="1">
      <c r="B136" s="29" t="s">
        <v>237</v>
      </c>
      <c r="C136" s="25" t="s">
        <v>238</v>
      </c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>
        <f>D136+E136+F136+G136+H136+I136+J136+K136+L136+M136+N136+O136</f>
        <v>0</v>
      </c>
      <c r="Q136" s="22"/>
      <c r="R136" s="30"/>
      <c r="S136" s="22"/>
    </row>
    <row r="137" spans="1:19" ht="17.45" customHeight="1">
      <c r="A137" s="81" t="s">
        <v>434</v>
      </c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1:19" ht="17.45" customHeight="1">
      <c r="A138" s="81" t="s">
        <v>434</v>
      </c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1:19" ht="17.45" customHeight="1">
      <c r="B139" s="29"/>
      <c r="C139" s="27" t="s">
        <v>241</v>
      </c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1:19" ht="17.45" customHeight="1">
      <c r="B140" s="29"/>
      <c r="C140" s="28" t="s">
        <v>242</v>
      </c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>
        <f t="shared" si="27"/>
        <v>0</v>
      </c>
      <c r="Q140" s="22"/>
      <c r="R140" s="30"/>
      <c r="S140" s="22"/>
    </row>
    <row r="141" spans="1:19" ht="17.45" customHeight="1">
      <c r="B141" s="29" t="s">
        <v>243</v>
      </c>
      <c r="C141" s="25" t="s">
        <v>244</v>
      </c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>
        <f t="shared" si="27"/>
        <v>0</v>
      </c>
      <c r="Q141" s="22"/>
      <c r="R141" s="30"/>
      <c r="S141" s="22"/>
    </row>
    <row r="142" spans="1:19" ht="17.45" customHeight="1">
      <c r="B142" s="29" t="s">
        <v>245</v>
      </c>
      <c r="C142" s="25" t="s">
        <v>246</v>
      </c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>
        <f t="shared" si="27"/>
        <v>0</v>
      </c>
      <c r="Q142" s="22"/>
      <c r="R142" s="30"/>
      <c r="S142" s="22"/>
    </row>
    <row r="143" spans="1:19" ht="17.45" customHeight="1">
      <c r="B143" s="29" t="s">
        <v>247</v>
      </c>
      <c r="C143" s="25" t="s">
        <v>248</v>
      </c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>
        <f t="shared" si="27"/>
        <v>0</v>
      </c>
      <c r="Q143" s="22"/>
      <c r="R143" s="30"/>
      <c r="S143" s="22"/>
    </row>
    <row r="144" spans="1:19" ht="17.45" customHeight="1">
      <c r="B144" s="29" t="s">
        <v>249</v>
      </c>
      <c r="C144" s="25" t="s">
        <v>119</v>
      </c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>
        <f t="shared" si="27"/>
        <v>0</v>
      </c>
      <c r="Q144" s="22"/>
      <c r="R144" s="30"/>
      <c r="S144" s="22"/>
    </row>
    <row r="145" spans="1:19" ht="17.45" customHeight="1">
      <c r="B145" s="29" t="s">
        <v>250</v>
      </c>
      <c r="C145" s="25" t="s">
        <v>251</v>
      </c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>
        <f t="shared" si="27"/>
        <v>0</v>
      </c>
      <c r="Q145" s="22"/>
      <c r="R145" s="30"/>
      <c r="S145" s="22"/>
    </row>
    <row r="146" spans="1:19" ht="17.45" customHeight="1">
      <c r="B146" s="29" t="s">
        <v>252</v>
      </c>
      <c r="C146" s="25" t="s">
        <v>253</v>
      </c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>
        <f t="shared" si="27"/>
        <v>0</v>
      </c>
      <c r="Q146" s="22"/>
      <c r="R146" s="30"/>
      <c r="S146" s="22"/>
    </row>
    <row r="147" spans="1:19" ht="17.45" customHeight="1">
      <c r="B147" s="29"/>
      <c r="C147" s="25" t="s">
        <v>254</v>
      </c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 t="s">
        <v>0</v>
      </c>
      <c r="Q147" s="22"/>
      <c r="R147" s="30"/>
      <c r="S147" s="22"/>
    </row>
    <row r="148" spans="1:19" ht="17.45" customHeight="1">
      <c r="A148" s="81" t="s">
        <v>434</v>
      </c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0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0</v>
      </c>
      <c r="Q148" s="22"/>
      <c r="R148" s="30"/>
      <c r="S148" s="22"/>
    </row>
    <row r="149" spans="1:19" ht="17.45" customHeight="1">
      <c r="B149" s="29"/>
      <c r="C149" s="27" t="s">
        <v>256</v>
      </c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>
        <f>D149+E149+F149+G149+H149+I149+J149+K149+L149+M149+N149+O149</f>
        <v>0</v>
      </c>
      <c r="Q149" s="22"/>
      <c r="R149" s="30"/>
      <c r="S149" s="22"/>
    </row>
    <row r="150" spans="1:19" ht="17.45" customHeight="1">
      <c r="B150" s="29" t="s">
        <v>257</v>
      </c>
      <c r="C150" s="25" t="s">
        <v>258</v>
      </c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>
        <f>D150+E150+F150+G150+H150+I150+J150+K150+L150+M150+N150+O150</f>
        <v>0</v>
      </c>
      <c r="Q150" s="22"/>
      <c r="R150" s="30"/>
      <c r="S150" s="22"/>
    </row>
    <row r="151" spans="1:19" ht="17.45" customHeight="1">
      <c r="B151" s="29" t="s">
        <v>259</v>
      </c>
      <c r="C151" s="25" t="s">
        <v>260</v>
      </c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>
        <f>D151+E151+F151+G151+H151+I151+J151+K151+L151+M151+N151+O151</f>
        <v>0</v>
      </c>
      <c r="Q151" s="22"/>
      <c r="R151" s="30"/>
      <c r="S151" s="22"/>
    </row>
    <row r="152" spans="1:19" ht="17.45" customHeight="1">
      <c r="B152" s="29" t="s">
        <v>261</v>
      </c>
      <c r="C152" s="25" t="s">
        <v>262</v>
      </c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>
        <f>D152+E152+F152+G152+H152+I152+J152+K152+L152+M152+N152+O152</f>
        <v>0</v>
      </c>
      <c r="Q152" s="22"/>
      <c r="R152" s="30"/>
      <c r="S152" s="22"/>
    </row>
    <row r="153" spans="1:19" ht="17.45" customHeight="1">
      <c r="B153" s="29" t="s">
        <v>263</v>
      </c>
      <c r="C153" s="25" t="s">
        <v>264</v>
      </c>
      <c r="D153" s="57">
        <v>0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>
        <f>D153+E153+F153+G153+H153+I153+J153+K153+L153+M153+N153+O153</f>
        <v>0</v>
      </c>
      <c r="Q153" s="22"/>
      <c r="R153" s="30"/>
      <c r="S153" s="22"/>
    </row>
    <row r="154" spans="1:19" ht="17.45" customHeight="1">
      <c r="A154" s="81" t="s">
        <v>434</v>
      </c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1:19" ht="17.45" customHeight="1">
      <c r="B155" s="29"/>
      <c r="C155" s="27" t="s">
        <v>266</v>
      </c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>
        <f>D155+E155+F155+G155+H155+I155+J155+K155+L155+M155+N155+O155</f>
        <v>0</v>
      </c>
      <c r="Q155" s="22"/>
      <c r="R155" s="30"/>
      <c r="S155" s="22"/>
    </row>
    <row r="156" spans="1:19" ht="17.45" customHeight="1">
      <c r="B156" s="29" t="s">
        <v>267</v>
      </c>
      <c r="C156" s="25" t="s">
        <v>268</v>
      </c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>
        <f>D156+E156+F156+G156+H156+I156+J156+K156+L156+M156+N156+O156</f>
        <v>0</v>
      </c>
      <c r="Q156" s="22"/>
      <c r="R156" s="30"/>
      <c r="S156" s="22"/>
    </row>
    <row r="157" spans="1:19" ht="17.45" customHeight="1">
      <c r="B157" s="29" t="s">
        <v>269</v>
      </c>
      <c r="C157" s="25" t="s">
        <v>125</v>
      </c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>
        <f>D157+E157+F157+G157+H157+I157+J157+K157+L157+M157+N157+O157</f>
        <v>0</v>
      </c>
      <c r="Q157" s="22"/>
      <c r="R157" s="30"/>
      <c r="S157" s="22"/>
    </row>
    <row r="158" spans="1:19" ht="17.45" customHeight="1">
      <c r="A158" s="81" t="s">
        <v>434</v>
      </c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1:19" ht="17.45" customHeight="1">
      <c r="B159" s="29" t="s">
        <v>271</v>
      </c>
      <c r="C159" s="25" t="s">
        <v>272</v>
      </c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1:19" ht="17.45" customHeight="1">
      <c r="B160" s="29" t="s">
        <v>273</v>
      </c>
      <c r="C160" s="25" t="s">
        <v>274</v>
      </c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>
        <f t="shared" si="31"/>
        <v>0</v>
      </c>
      <c r="Q160" s="22"/>
      <c r="R160" s="30"/>
      <c r="S160" s="22"/>
    </row>
    <row r="161" spans="1:19" ht="17.45" customHeight="1">
      <c r="B161" s="29"/>
      <c r="C161" s="25" t="s">
        <v>275</v>
      </c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>
        <f t="shared" si="31"/>
        <v>0</v>
      </c>
      <c r="Q161" s="22"/>
      <c r="R161" s="30"/>
      <c r="S161" s="22"/>
    </row>
    <row r="162" spans="1:19" ht="17.45" customHeight="1">
      <c r="B162" s="29" t="s">
        <v>276</v>
      </c>
      <c r="C162" s="25" t="s">
        <v>277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>
        <f t="shared" si="31"/>
        <v>0</v>
      </c>
      <c r="Q162" s="22"/>
      <c r="R162" s="30"/>
      <c r="S162" s="22"/>
    </row>
    <row r="163" spans="1:19" ht="17.45" customHeight="1">
      <c r="B163" s="29" t="s">
        <v>278</v>
      </c>
      <c r="C163" s="25" t="s">
        <v>279</v>
      </c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>
        <f t="shared" si="31"/>
        <v>0</v>
      </c>
      <c r="Q163" s="22"/>
      <c r="R163" s="30"/>
      <c r="S163" s="22"/>
    </row>
    <row r="164" spans="1:19" ht="17.45" customHeight="1">
      <c r="B164" s="29" t="s">
        <v>280</v>
      </c>
      <c r="C164" s="25" t="s">
        <v>281</v>
      </c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>
        <f t="shared" si="31"/>
        <v>0</v>
      </c>
      <c r="Q164" s="22"/>
      <c r="R164" s="30"/>
      <c r="S164" s="22"/>
    </row>
    <row r="165" spans="1:19" ht="17.45" customHeight="1">
      <c r="B165" s="29" t="s">
        <v>282</v>
      </c>
      <c r="C165" s="25" t="s">
        <v>283</v>
      </c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>
        <f t="shared" si="31"/>
        <v>0</v>
      </c>
      <c r="Q165" s="22"/>
      <c r="R165" s="30"/>
      <c r="S165" s="22"/>
    </row>
    <row r="166" spans="1:19" ht="17.45" customHeight="1">
      <c r="B166" s="29"/>
      <c r="C166" s="27" t="s">
        <v>284</v>
      </c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>
        <f t="shared" si="31"/>
        <v>0</v>
      </c>
      <c r="Q166" s="22"/>
      <c r="R166" s="30"/>
      <c r="S166" s="22"/>
    </row>
    <row r="167" spans="1:19" ht="17.45" customHeight="1">
      <c r="B167" s="29" t="s">
        <v>285</v>
      </c>
      <c r="C167" s="25" t="s">
        <v>286</v>
      </c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>
        <f t="shared" si="31"/>
        <v>0</v>
      </c>
      <c r="Q167" s="22"/>
      <c r="R167" s="30"/>
      <c r="S167" s="22"/>
    </row>
    <row r="168" spans="1:19" ht="17.45" customHeight="1">
      <c r="B168" s="29" t="s">
        <v>287</v>
      </c>
      <c r="C168" s="25" t="s">
        <v>288</v>
      </c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>
        <f t="shared" si="31"/>
        <v>0</v>
      </c>
      <c r="Q168" s="22"/>
      <c r="R168" s="30"/>
      <c r="S168" s="22"/>
    </row>
    <row r="169" spans="1:19" ht="17.45" customHeight="1">
      <c r="B169" s="29" t="s">
        <v>289</v>
      </c>
      <c r="C169" s="25" t="s">
        <v>290</v>
      </c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>
        <f t="shared" si="31"/>
        <v>0</v>
      </c>
      <c r="Q169" s="22"/>
      <c r="R169" s="30"/>
      <c r="S169" s="22"/>
    </row>
    <row r="170" spans="1:19" ht="17.45" customHeight="1">
      <c r="A170" s="81" t="s">
        <v>434</v>
      </c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0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0</v>
      </c>
      <c r="Q170" s="22"/>
      <c r="R170" s="30"/>
      <c r="S170" s="22"/>
    </row>
    <row r="171" spans="1:19" ht="17.45" customHeight="1">
      <c r="B171" s="29"/>
      <c r="C171" s="27" t="s">
        <v>292</v>
      </c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>
        <f>D171+E171+F171+G171+H171+I171+J171+K171+L171+M171+N171+O171</f>
        <v>0</v>
      </c>
      <c r="Q171" s="22"/>
      <c r="R171" s="30"/>
      <c r="S171" s="22"/>
    </row>
    <row r="172" spans="1:19" ht="17.45" customHeight="1">
      <c r="B172" s="29" t="s">
        <v>293</v>
      </c>
      <c r="C172" s="25" t="s">
        <v>294</v>
      </c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>
        <f>D172+E172+F172+G172+H172+I172+J172+K172+L172+M172+N172+O172</f>
        <v>0</v>
      </c>
      <c r="Q172" s="22"/>
      <c r="R172" s="30"/>
      <c r="S172" s="22"/>
    </row>
    <row r="173" spans="1:19" ht="17.45" customHeight="1">
      <c r="B173" s="29" t="s">
        <v>295</v>
      </c>
      <c r="C173" s="25" t="s">
        <v>296</v>
      </c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>
        <f>D173+E173+F173+G173+H173+I173+J173+K173+L173+M173+N173+O173</f>
        <v>0</v>
      </c>
      <c r="Q173" s="22"/>
      <c r="R173" s="30"/>
      <c r="S173" s="22"/>
    </row>
    <row r="174" spans="1:19" ht="17.45" customHeight="1">
      <c r="B174" s="29" t="s">
        <v>297</v>
      </c>
      <c r="C174" s="25" t="s">
        <v>298</v>
      </c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>
        <f>D174+E174+F174+G174+H174+I174+J174+K174+L174+M174+N174+O174</f>
        <v>0</v>
      </c>
      <c r="Q174" s="22"/>
      <c r="R174" s="30"/>
      <c r="S174" s="22"/>
    </row>
    <row r="175" spans="1:19" ht="17.45" customHeight="1">
      <c r="A175" s="81" t="s">
        <v>434</v>
      </c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0</v>
      </c>
      <c r="Q175" s="22"/>
      <c r="R175" s="30"/>
      <c r="S175" s="22"/>
    </row>
    <row r="176" spans="1:19" ht="17.45" customHeight="1">
      <c r="B176" s="29" t="s">
        <v>300</v>
      </c>
      <c r="C176" s="25" t="s">
        <v>301</v>
      </c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>
        <f t="shared" ref="P176:P181" si="34">D176+E176+F176+G176+H176+I176+J176+K176+L176+M176+N176+O176</f>
        <v>0</v>
      </c>
      <c r="Q176" s="22"/>
      <c r="R176" s="30"/>
      <c r="S176" s="22"/>
    </row>
    <row r="177" spans="1:19" ht="17.45" customHeight="1">
      <c r="B177" s="29" t="s">
        <v>302</v>
      </c>
      <c r="C177" s="25" t="s">
        <v>303</v>
      </c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>
        <f t="shared" si="34"/>
        <v>0</v>
      </c>
      <c r="Q177" s="22"/>
      <c r="R177" s="30"/>
      <c r="S177" s="22"/>
    </row>
    <row r="178" spans="1:19" ht="17.45" customHeight="1">
      <c r="B178" s="29"/>
      <c r="C178" s="27" t="s">
        <v>304</v>
      </c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>
        <f t="shared" si="34"/>
        <v>0</v>
      </c>
      <c r="Q178" s="22"/>
      <c r="R178" s="30"/>
      <c r="S178" s="22"/>
    </row>
    <row r="179" spans="1:19" ht="17.45" customHeight="1">
      <c r="B179" s="29" t="s">
        <v>305</v>
      </c>
      <c r="C179" s="25" t="s">
        <v>306</v>
      </c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>
        <f t="shared" si="34"/>
        <v>0</v>
      </c>
      <c r="Q179" s="22"/>
      <c r="R179" s="30"/>
      <c r="S179" s="22"/>
    </row>
    <row r="180" spans="1:19" ht="17.45" customHeight="1">
      <c r="B180" s="29" t="s">
        <v>307</v>
      </c>
      <c r="C180" s="25" t="s">
        <v>308</v>
      </c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>
        <f t="shared" si="34"/>
        <v>0</v>
      </c>
      <c r="Q180" s="22"/>
      <c r="R180" s="30"/>
      <c r="S180" s="22"/>
    </row>
    <row r="181" spans="1:19" ht="17.45" customHeight="1">
      <c r="B181" s="29"/>
      <c r="C181" s="25" t="s">
        <v>309</v>
      </c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>
        <f t="shared" si="34"/>
        <v>0</v>
      </c>
      <c r="Q181" s="22"/>
      <c r="R181" s="30"/>
      <c r="S181" s="22"/>
    </row>
    <row r="182" spans="1:19" ht="17.45" customHeight="1">
      <c r="A182" s="81" t="s">
        <v>434</v>
      </c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>
        <f>SUM(P179:P181)</f>
        <v>0</v>
      </c>
      <c r="Q182" s="22"/>
      <c r="R182" s="30"/>
      <c r="S182" s="22"/>
    </row>
    <row r="183" spans="1:19" ht="17.45" customHeight="1">
      <c r="B183" s="29"/>
      <c r="C183" s="27" t="s">
        <v>311</v>
      </c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>
        <f>D183+E183+F183+G183+H183+I183+J183+K183+L183+M183+N183+O183</f>
        <v>0</v>
      </c>
      <c r="Q183" s="22"/>
      <c r="R183" s="30"/>
      <c r="S183" s="22"/>
    </row>
    <row r="184" spans="1:19" ht="17.45" customHeight="1">
      <c r="B184" s="29" t="s">
        <v>312</v>
      </c>
      <c r="C184" s="25" t="s">
        <v>167</v>
      </c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>
        <f>D184+E184+F184+G184+H184+I184+J184+K184+L184+M184+N184+O184</f>
        <v>0</v>
      </c>
      <c r="Q184" s="22"/>
      <c r="R184" s="30"/>
      <c r="S184" s="22"/>
    </row>
    <row r="185" spans="1:19" ht="17.45" customHeight="1">
      <c r="B185" s="29"/>
      <c r="C185" s="25" t="s">
        <v>313</v>
      </c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>
        <f>D185+E185+F185+G185+H185+I185+J185+K185+L185+M185+N185+O185</f>
        <v>0</v>
      </c>
      <c r="Q185" s="22"/>
      <c r="R185" s="30"/>
      <c r="S185" s="22"/>
    </row>
    <row r="186" spans="1:19" ht="17.45" customHeight="1">
      <c r="B186" s="29" t="s">
        <v>314</v>
      </c>
      <c r="C186" s="25" t="s">
        <v>315</v>
      </c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>
        <f>D186+E186+F186+G186+H186+I186+J186+K186+L186+M186+N186+O186</f>
        <v>0</v>
      </c>
      <c r="Q186" s="22"/>
      <c r="R186" s="30"/>
      <c r="S186" s="22"/>
    </row>
    <row r="187" spans="1:19" ht="17.45" customHeight="1">
      <c r="A187" s="81" t="s">
        <v>434</v>
      </c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1:19" ht="17.45" customHeight="1">
      <c r="B188" s="29" t="s">
        <v>317</v>
      </c>
      <c r="C188" s="27" t="s">
        <v>318</v>
      </c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1:19" ht="17.45" customHeight="1">
      <c r="B189" s="29" t="s">
        <v>319</v>
      </c>
      <c r="C189" s="25" t="s">
        <v>320</v>
      </c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>
        <f t="shared" si="37"/>
        <v>0</v>
      </c>
      <c r="Q189" s="22"/>
      <c r="R189" s="30"/>
      <c r="S189" s="22"/>
    </row>
    <row r="190" spans="1:19" ht="17.45" customHeight="1">
      <c r="B190" s="29" t="s">
        <v>321</v>
      </c>
      <c r="C190" s="25" t="s">
        <v>322</v>
      </c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>
        <f t="shared" si="37"/>
        <v>0</v>
      </c>
      <c r="Q190" s="22"/>
      <c r="R190" s="30"/>
      <c r="S190" s="22"/>
    </row>
    <row r="191" spans="1:19" ht="17.45" customHeight="1">
      <c r="B191" s="29">
        <v>816130</v>
      </c>
      <c r="C191" s="25" t="s">
        <v>323</v>
      </c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>
        <f t="shared" si="37"/>
        <v>0</v>
      </c>
      <c r="Q191" s="22"/>
      <c r="R191" s="30"/>
      <c r="S191" s="22"/>
    </row>
    <row r="192" spans="1:19" ht="17.45" customHeight="1">
      <c r="B192" s="29" t="s">
        <v>324</v>
      </c>
      <c r="C192" s="25" t="s">
        <v>325</v>
      </c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>
        <f t="shared" si="37"/>
        <v>0</v>
      </c>
      <c r="Q192" s="22"/>
      <c r="R192" s="30"/>
      <c r="S192" s="22"/>
    </row>
    <row r="193" spans="1:19" ht="17.45" customHeight="1">
      <c r="B193" s="29" t="s">
        <v>326</v>
      </c>
      <c r="C193" s="25" t="s">
        <v>327</v>
      </c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>
        <f t="shared" si="37"/>
        <v>0</v>
      </c>
      <c r="Q193" s="22"/>
      <c r="R193" s="30"/>
      <c r="S193" s="22"/>
    </row>
    <row r="194" spans="1:19" ht="17.45" customHeight="1">
      <c r="B194" s="29"/>
      <c r="C194" s="25" t="s">
        <v>328</v>
      </c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>
        <f t="shared" si="37"/>
        <v>0</v>
      </c>
      <c r="Q194" s="22"/>
      <c r="R194" s="30"/>
      <c r="S194" s="22"/>
    </row>
    <row r="195" spans="1:19" ht="17.45" customHeight="1">
      <c r="B195" s="29"/>
      <c r="C195" s="25" t="s">
        <v>329</v>
      </c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>
        <v>0</v>
      </c>
      <c r="Q195" s="22"/>
      <c r="R195" s="30"/>
      <c r="S195" s="22"/>
    </row>
    <row r="196" spans="1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>
        <v>0</v>
      </c>
      <c r="Q196" s="22"/>
      <c r="R196" s="30"/>
      <c r="S196" s="22"/>
    </row>
    <row r="197" spans="1:19" ht="17.45" customHeight="1">
      <c r="A197" s="81" t="s">
        <v>434</v>
      </c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>
        <f t="shared" si="38"/>
        <v>0</v>
      </c>
      <c r="Q197" s="22"/>
      <c r="R197" s="30"/>
      <c r="S197" s="22"/>
    </row>
    <row r="198" spans="1:19" ht="17.45" customHeight="1">
      <c r="A198" s="81" t="s">
        <v>434</v>
      </c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0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>
        <f t="shared" si="39"/>
        <v>0</v>
      </c>
      <c r="Q198" s="22"/>
      <c r="R198" s="30"/>
      <c r="S198" s="22"/>
    </row>
    <row r="199" spans="1:19" ht="17.45" customHeight="1">
      <c r="B199" s="29"/>
      <c r="C199" s="27" t="s">
        <v>331</v>
      </c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1:19" ht="17.45" customHeight="1">
      <c r="B200" s="29"/>
      <c r="C200" s="27" t="s">
        <v>332</v>
      </c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>
        <f t="shared" si="40"/>
        <v>0</v>
      </c>
      <c r="Q200" s="22"/>
      <c r="R200" s="30"/>
      <c r="S200" s="22"/>
    </row>
    <row r="201" spans="1:19" ht="17.45" customHeight="1">
      <c r="B201" s="29" t="s">
        <v>333</v>
      </c>
      <c r="C201" s="25" t="s">
        <v>334</v>
      </c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>
        <f t="shared" si="40"/>
        <v>0</v>
      </c>
      <c r="Q201" s="22"/>
      <c r="R201" s="30"/>
      <c r="S201" s="22"/>
    </row>
    <row r="202" spans="1:19" ht="17.45" customHeight="1">
      <c r="B202" s="29" t="s">
        <v>335</v>
      </c>
      <c r="C202" s="25" t="s">
        <v>336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>
        <f t="shared" si="40"/>
        <v>0</v>
      </c>
      <c r="Q202" s="22"/>
      <c r="R202" s="30"/>
      <c r="S202" s="22"/>
    </row>
    <row r="203" spans="1:19" ht="17.45" customHeight="1">
      <c r="B203" s="29"/>
      <c r="C203" s="27" t="s">
        <v>337</v>
      </c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>
        <f t="shared" si="40"/>
        <v>0</v>
      </c>
      <c r="Q203" s="22"/>
      <c r="R203" s="30"/>
      <c r="S203" s="22"/>
    </row>
    <row r="204" spans="1:19" ht="17.45" customHeight="1">
      <c r="B204" s="29" t="s">
        <v>338</v>
      </c>
      <c r="C204" s="25" t="s">
        <v>339</v>
      </c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>
        <f t="shared" si="40"/>
        <v>0</v>
      </c>
      <c r="Q204" s="22"/>
      <c r="R204" s="30"/>
      <c r="S204" s="22"/>
    </row>
    <row r="205" spans="1:19" ht="17.45" customHeight="1">
      <c r="B205" s="29" t="s">
        <v>340</v>
      </c>
      <c r="C205" s="25" t="s">
        <v>341</v>
      </c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>
        <f t="shared" si="40"/>
        <v>0</v>
      </c>
      <c r="Q205" s="22"/>
      <c r="R205" s="30"/>
      <c r="S205" s="22"/>
    </row>
    <row r="206" spans="1:19" ht="17.45" customHeight="1">
      <c r="A206" s="81" t="s">
        <v>434</v>
      </c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1:19" ht="17.45" customHeight="1">
      <c r="B207" s="29" t="s">
        <v>343</v>
      </c>
      <c r="C207" s="25" t="s">
        <v>344</v>
      </c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1:19" ht="17.45" customHeight="1">
      <c r="B208" s="29" t="s">
        <v>345</v>
      </c>
      <c r="C208" s="25" t="s">
        <v>346</v>
      </c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>
        <f t="shared" si="42"/>
        <v>0</v>
      </c>
      <c r="Q208" s="22"/>
      <c r="R208" s="30"/>
      <c r="S208" s="22"/>
    </row>
    <row r="209" spans="1:19" ht="17.45" customHeight="1">
      <c r="B209" s="29" t="s">
        <v>347</v>
      </c>
      <c r="C209" s="25" t="s">
        <v>348</v>
      </c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>
        <f t="shared" si="42"/>
        <v>0</v>
      </c>
      <c r="Q209" s="22"/>
      <c r="R209" s="30"/>
      <c r="S209" s="22"/>
    </row>
    <row r="210" spans="1:19" ht="17.45" customHeight="1">
      <c r="B210" s="29"/>
      <c r="C210" s="25" t="s">
        <v>349</v>
      </c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>
        <f t="shared" si="42"/>
        <v>0</v>
      </c>
      <c r="Q210" s="22"/>
      <c r="R210" s="30"/>
      <c r="S210" s="22"/>
    </row>
    <row r="211" spans="1:19" ht="17.45" customHeight="1">
      <c r="B211" s="29" t="s">
        <v>350</v>
      </c>
      <c r="C211" s="25" t="s">
        <v>351</v>
      </c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>
        <f t="shared" si="42"/>
        <v>0</v>
      </c>
      <c r="Q211" s="22"/>
      <c r="R211" s="30"/>
      <c r="S211" s="22"/>
    </row>
    <row r="212" spans="1:19" ht="17.45" customHeight="1">
      <c r="B212" s="29"/>
      <c r="C212" s="25" t="s">
        <v>352</v>
      </c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>
        <f t="shared" si="42"/>
        <v>0</v>
      </c>
      <c r="Q212" s="22"/>
      <c r="R212" s="30"/>
      <c r="S212" s="22"/>
    </row>
    <row r="213" spans="1:19" ht="17.45" customHeight="1">
      <c r="B213" s="29" t="s">
        <v>353</v>
      </c>
      <c r="C213" s="25" t="s">
        <v>354</v>
      </c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>
        <f t="shared" si="42"/>
        <v>0</v>
      </c>
      <c r="Q213" s="22"/>
      <c r="R213" s="30"/>
      <c r="S213" s="22"/>
    </row>
    <row r="214" spans="1:19" ht="17.45" customHeight="1">
      <c r="A214" s="81" t="s">
        <v>434</v>
      </c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>
        <f>SUM(P201:P213)</f>
        <v>0</v>
      </c>
      <c r="Q214" s="22"/>
      <c r="R214" s="30"/>
      <c r="S214" s="22"/>
    </row>
    <row r="215" spans="1:19" ht="17.45" customHeight="1">
      <c r="B215" s="29"/>
      <c r="C215" s="27" t="s">
        <v>356</v>
      </c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>
        <f>D215+E215+F215+G215+H215+I215+J215+K215+L215+M215+N215+O215</f>
        <v>0</v>
      </c>
      <c r="Q215" s="22"/>
      <c r="R215" s="30"/>
      <c r="S215" s="22"/>
    </row>
    <row r="216" spans="1:19" ht="17.45" customHeight="1">
      <c r="B216" s="29"/>
      <c r="C216" s="28" t="s">
        <v>357</v>
      </c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>
        <f>D216+E216+F216+G216+H216+I216+J216+K216+L216+M216+N216+O216</f>
        <v>0</v>
      </c>
      <c r="Q216" s="22"/>
      <c r="R216" s="30"/>
      <c r="S216" s="22"/>
    </row>
    <row r="217" spans="1:19" ht="17.45" customHeight="1">
      <c r="B217" s="29" t="s">
        <v>358</v>
      </c>
      <c r="C217" s="25" t="s">
        <v>359</v>
      </c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>
        <f>D217+E217+F217+G217+H217+I217+J217+K217+L217+M217+N217+O217</f>
        <v>0</v>
      </c>
      <c r="Q217" s="22"/>
      <c r="R217" s="30"/>
      <c r="S217" s="22"/>
    </row>
    <row r="218" spans="1:19" ht="17.45" customHeight="1">
      <c r="B218" s="29" t="s">
        <v>360</v>
      </c>
      <c r="C218" s="25" t="s">
        <v>361</v>
      </c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>
        <f>D218+E218+F218+G218+H218+I218+J218+K218+L218+M218+N218+O218</f>
        <v>0</v>
      </c>
      <c r="Q218" s="22"/>
      <c r="R218" s="30"/>
      <c r="S218" s="22"/>
    </row>
    <row r="219" spans="1:19" ht="17.45" customHeight="1">
      <c r="A219" s="81" t="s">
        <v>434</v>
      </c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1:19" ht="17.45" customHeight="1">
      <c r="B220" s="29"/>
      <c r="C220" s="27" t="s">
        <v>363</v>
      </c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>
        <f>D220+E220+F220+G220+H220+I220+J220+K220+L220+M220+N220+O220</f>
        <v>0</v>
      </c>
      <c r="Q220" s="22"/>
      <c r="R220" s="30"/>
      <c r="S220" s="22"/>
    </row>
    <row r="221" spans="1:19" ht="17.45" customHeight="1">
      <c r="B221" s="29" t="s">
        <v>364</v>
      </c>
      <c r="C221" s="25" t="s">
        <v>365</v>
      </c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>
        <f>D221+E221+F221+G221+H221+I221+J221+K221+L221+M221+N221+O221</f>
        <v>0</v>
      </c>
      <c r="Q221" s="22"/>
      <c r="R221" s="30"/>
      <c r="S221" s="22"/>
    </row>
    <row r="222" spans="1:19" ht="17.45" customHeight="1">
      <c r="B222" s="29" t="s">
        <v>366</v>
      </c>
      <c r="C222" s="25" t="s">
        <v>367</v>
      </c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>
        <f>D222+E222+F222+G222+H222+I222+J222+K222+L222+M222+N222+O222</f>
        <v>0</v>
      </c>
      <c r="Q222" s="22"/>
      <c r="R222" s="30"/>
      <c r="S222" s="22"/>
    </row>
    <row r="223" spans="1:19" ht="17.45" customHeight="1">
      <c r="A223" s="81" t="s">
        <v>434</v>
      </c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0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0</v>
      </c>
      <c r="Q223" s="22"/>
      <c r="R223" s="30"/>
      <c r="S223" s="22"/>
    </row>
    <row r="224" spans="1:19" ht="17.45" customHeight="1">
      <c r="B224" s="29" t="s">
        <v>369</v>
      </c>
      <c r="C224" s="25" t="s">
        <v>370</v>
      </c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>
        <f>D224+E224+F224+G224+H224+I224+J224+K224+L224+M224+N224+O224</f>
        <v>0</v>
      </c>
      <c r="Q224" s="22"/>
      <c r="R224" s="30"/>
      <c r="S224" s="22"/>
    </row>
    <row r="225" spans="1:19" ht="17.45" customHeight="1">
      <c r="B225" s="29"/>
      <c r="C225" s="27" t="s">
        <v>371</v>
      </c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>
        <f>D225+E225+F225+G225+H225+I225+J225+K225+L225+M225+N225+O225</f>
        <v>0</v>
      </c>
      <c r="Q225" s="22"/>
      <c r="R225" s="30"/>
      <c r="S225" s="22"/>
    </row>
    <row r="226" spans="1:19" ht="17.45" customHeight="1">
      <c r="B226" s="29" t="s">
        <v>372</v>
      </c>
      <c r="C226" s="25" t="s">
        <v>373</v>
      </c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>
        <f>D226+E226+F226+G226+H226+I226+J226+K226+L226+M226+N226+O226</f>
        <v>0</v>
      </c>
      <c r="Q226" s="22"/>
      <c r="R226" s="30"/>
      <c r="S226" s="22"/>
    </row>
    <row r="227" spans="1:19" ht="17.45" customHeight="1">
      <c r="B227" s="29" t="s">
        <v>374</v>
      </c>
      <c r="C227" s="25" t="s">
        <v>375</v>
      </c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>
        <f>D227+E227+F227+G227+H227+I227+J227+K227+L227+M227+N227+O227</f>
        <v>0</v>
      </c>
      <c r="Q227" s="22"/>
      <c r="R227" s="30"/>
      <c r="S227" s="22"/>
    </row>
    <row r="228" spans="1:19" ht="17.45" customHeight="1">
      <c r="B228" s="29"/>
      <c r="C228" s="25" t="s">
        <v>376</v>
      </c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>
        <v>0</v>
      </c>
      <c r="Q228" s="22"/>
      <c r="R228" s="30"/>
      <c r="S228" s="22"/>
    </row>
    <row r="229" spans="1:19" ht="17.45" customHeight="1">
      <c r="A229" s="81" t="s">
        <v>434</v>
      </c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0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</v>
      </c>
      <c r="Q229" s="22"/>
      <c r="R229" s="30"/>
      <c r="S229" s="22"/>
    </row>
    <row r="230" spans="1:19" ht="17.45" customHeight="1">
      <c r="B230" s="29"/>
      <c r="C230" s="27" t="s">
        <v>378</v>
      </c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>
        <f>D230+E230+F230+G230+H230+I230+J230+K230+L230+M230+N230+O230</f>
        <v>0</v>
      </c>
      <c r="Q230" s="22"/>
      <c r="R230" s="30"/>
      <c r="S230" s="22"/>
    </row>
    <row r="231" spans="1:19" ht="17.45" customHeight="1">
      <c r="B231" s="29" t="s">
        <v>379</v>
      </c>
      <c r="C231" s="25" t="s">
        <v>380</v>
      </c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>
        <f>D231+E231+F231+G231+H231+I231+J231+K231+L231+M231+N231+O231</f>
        <v>0</v>
      </c>
      <c r="Q231" s="22"/>
      <c r="R231" s="30"/>
      <c r="S231" s="22"/>
    </row>
    <row r="232" spans="1:19" ht="17.45" customHeight="1">
      <c r="B232" s="29" t="s">
        <v>381</v>
      </c>
      <c r="C232" s="25" t="s">
        <v>382</v>
      </c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>
        <f>D232+E232+F232+G232+H232+I232+J232+K232+L232+M232+N232+O232</f>
        <v>0</v>
      </c>
      <c r="Q232" s="22"/>
      <c r="R232" s="30"/>
      <c r="S232" s="22"/>
    </row>
    <row r="233" spans="1:19" ht="17.45" customHeight="1">
      <c r="A233" s="81" t="s">
        <v>434</v>
      </c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1:19" ht="17.45" customHeight="1">
      <c r="B234" s="29" t="s">
        <v>384</v>
      </c>
      <c r="C234" s="25" t="s">
        <v>385</v>
      </c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1:19" ht="17.45" customHeight="1">
      <c r="B235" s="29" t="s">
        <v>386</v>
      </c>
      <c r="C235" s="25" t="s">
        <v>387</v>
      </c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>
        <f t="shared" si="48"/>
        <v>0</v>
      </c>
      <c r="Q235" s="22"/>
      <c r="R235" s="30"/>
      <c r="S235" s="22"/>
    </row>
    <row r="236" spans="1:19" ht="17.45" customHeight="1">
      <c r="B236" s="29" t="s">
        <v>388</v>
      </c>
      <c r="C236" s="25" t="s">
        <v>389</v>
      </c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>
        <f t="shared" si="48"/>
        <v>0</v>
      </c>
      <c r="Q236" s="22"/>
      <c r="R236" s="30"/>
      <c r="S236" s="22"/>
    </row>
    <row r="237" spans="1:19" ht="17.45" customHeight="1">
      <c r="B237" s="29" t="s">
        <v>390</v>
      </c>
      <c r="C237" s="25" t="s">
        <v>391</v>
      </c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>
        <f t="shared" si="48"/>
        <v>0</v>
      </c>
      <c r="Q237" s="22"/>
      <c r="R237" s="30"/>
      <c r="S237" s="22"/>
    </row>
    <row r="238" spans="1:19" ht="17.45" customHeight="1">
      <c r="B238" s="29" t="s">
        <v>392</v>
      </c>
      <c r="C238" s="25" t="s">
        <v>393</v>
      </c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>
        <f t="shared" si="48"/>
        <v>0</v>
      </c>
      <c r="Q238" s="22"/>
      <c r="R238" s="30"/>
      <c r="S238" s="22"/>
    </row>
    <row r="239" spans="1:19" ht="17.45" customHeight="1">
      <c r="B239" s="29"/>
      <c r="C239" s="25" t="s">
        <v>394</v>
      </c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>
        <f t="shared" si="48"/>
        <v>0</v>
      </c>
      <c r="Q239" s="22"/>
      <c r="R239" s="30"/>
      <c r="S239" s="22"/>
    </row>
    <row r="240" spans="1:19" ht="17.45" customHeight="1">
      <c r="B240" s="29" t="s">
        <v>395</v>
      </c>
      <c r="C240" s="25" t="s">
        <v>351</v>
      </c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>
        <f t="shared" si="48"/>
        <v>0</v>
      </c>
      <c r="Q240" s="22"/>
      <c r="R240" s="30"/>
      <c r="S240" s="22"/>
    </row>
    <row r="241" spans="1:19" ht="17.45" customHeight="1">
      <c r="B241" s="29"/>
      <c r="C241" s="25" t="s">
        <v>396</v>
      </c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>
        <v>0</v>
      </c>
      <c r="Q241" s="22"/>
      <c r="R241" s="30"/>
      <c r="S241" s="22"/>
    </row>
    <row r="242" spans="1:19" ht="17.45" customHeight="1">
      <c r="B242" s="29" t="s">
        <v>397</v>
      </c>
      <c r="C242" s="25" t="s">
        <v>354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>
        <f>D242+E242+F242+G242+H242+I242+J242+K242+L242+M242+N242+O242</f>
        <v>0</v>
      </c>
      <c r="Q242" s="22"/>
      <c r="R242" s="30"/>
      <c r="S242" s="22"/>
    </row>
    <row r="243" spans="1:19" ht="17.45" customHeight="1">
      <c r="A243" s="81" t="s">
        <v>434</v>
      </c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>
        <f t="shared" si="49"/>
        <v>0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0</v>
      </c>
      <c r="Q243" s="22"/>
      <c r="R243" s="30"/>
      <c r="S243" s="22"/>
    </row>
    <row r="244" spans="1:19" ht="17.45" customHeight="1">
      <c r="B244" s="29" t="s">
        <v>399</v>
      </c>
      <c r="C244" s="25" t="s">
        <v>400</v>
      </c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>
        <f>D244+E244+F244+G244+H244+I244+J244+K244+L244+M244+N244+O244</f>
        <v>0</v>
      </c>
      <c r="Q244" s="22"/>
      <c r="R244" s="30"/>
      <c r="S244" s="22"/>
    </row>
    <row r="245" spans="1:19" ht="17.45" customHeight="1">
      <c r="B245" s="29" t="s">
        <v>401</v>
      </c>
      <c r="C245" s="25" t="s">
        <v>402</v>
      </c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>
        <f>D245+E245+F245+G245+H245+I245+J245+K245+L245+M245+N245+O245</f>
        <v>0</v>
      </c>
      <c r="Q245" s="22"/>
      <c r="R245" s="30"/>
      <c r="S245" s="22"/>
    </row>
    <row r="246" spans="1:19" ht="17.45" customHeight="1">
      <c r="B246" s="29" t="s">
        <v>403</v>
      </c>
      <c r="C246" s="25" t="s">
        <v>404</v>
      </c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>
        <f>D246+E246+F246+G246+H246+I246+J246+K246+L246+M246+N246+O246</f>
        <v>0</v>
      </c>
      <c r="Q246" s="22"/>
      <c r="R246" s="30"/>
      <c r="S246" s="22"/>
    </row>
    <row r="247" spans="1:19" ht="17.45" customHeight="1">
      <c r="B247" s="29" t="s">
        <v>405</v>
      </c>
      <c r="C247" s="25" t="s">
        <v>406</v>
      </c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>
        <f>D247+E247+F247+G247+H247+I247+J247+K247+L247+M247+N247+O247</f>
        <v>0</v>
      </c>
      <c r="Q247" s="22"/>
      <c r="R247" s="30"/>
      <c r="S247" s="22"/>
    </row>
    <row r="248" spans="1:19" ht="17.45" customHeight="1">
      <c r="A248" s="81" t="s">
        <v>434</v>
      </c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>
        <f t="shared" si="50"/>
        <v>0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>
        <f>P243+P214</f>
        <v>0</v>
      </c>
      <c r="Q248" s="22"/>
      <c r="R248" s="30"/>
      <c r="S248" s="22"/>
    </row>
    <row r="249" spans="1:19" ht="17.45" customHeight="1">
      <c r="B249" s="29" t="s">
        <v>408</v>
      </c>
      <c r="C249" s="25" t="s">
        <v>409</v>
      </c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>
        <f>D249+E249+F249+G249+H249+I249+J249+K249+L249+M249+N249+O249</f>
        <v>0</v>
      </c>
      <c r="Q249" s="22"/>
      <c r="R249" s="30"/>
      <c r="S249" s="22"/>
    </row>
    <row r="250" spans="1:19" ht="17.45" customHeight="1">
      <c r="B250" s="29" t="s">
        <v>410</v>
      </c>
      <c r="C250" s="25" t="s">
        <v>411</v>
      </c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>
        <f>D250+E250+F250+G250+H250+I250+J250+K250+L250+M250+N250+O250</f>
        <v>0</v>
      </c>
      <c r="Q250" s="22"/>
      <c r="R250" s="30"/>
      <c r="S250" s="22"/>
    </row>
    <row r="251" spans="1:19" ht="17.45" customHeight="1">
      <c r="B251" s="29"/>
      <c r="C251" s="25" t="s">
        <v>412</v>
      </c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>
        <v>0</v>
      </c>
      <c r="Q251" s="22"/>
      <c r="R251" s="30"/>
      <c r="S251" s="22"/>
    </row>
    <row r="252" spans="1:19" ht="17.45" customHeight="1">
      <c r="B252" s="24"/>
      <c r="C252" s="25" t="s">
        <v>409</v>
      </c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>
        <f>D252+E252+F252+G252+H252+I252+J252+K252+L252+M252+N252+O252</f>
        <v>0</v>
      </c>
      <c r="Q252" s="22"/>
      <c r="R252" s="30"/>
      <c r="S252" s="22"/>
    </row>
    <row r="253" spans="1:19" ht="24.95" customHeight="1">
      <c r="A253" s="81" t="s">
        <v>434</v>
      </c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>
        <f t="shared" si="51"/>
        <v>0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>
        <f>P16-P36-P138-P198-P248</f>
        <v>0</v>
      </c>
      <c r="Q253" s="22"/>
      <c r="R253" s="30"/>
      <c r="S253" s="22"/>
    </row>
    <row r="254" spans="1:19" ht="17.45" customHeight="1">
      <c r="B254" s="20"/>
      <c r="Q254" s="22"/>
      <c r="R254" s="30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824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C5D-1FAC-462E-BA6B-17826579FDD8}">
  <sheetPr codeName="Sheet29">
    <pageSetUpPr fitToPage="1"/>
  </sheetPr>
  <dimension ref="B1:H9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438</v>
      </c>
    </row>
    <row r="4" spans="2:8" ht="18.75">
      <c r="B4" s="95" t="s">
        <v>12</v>
      </c>
      <c r="C4" s="95" t="s">
        <v>13</v>
      </c>
      <c r="D4" s="96" t="s">
        <v>415</v>
      </c>
      <c r="E4" s="96"/>
      <c r="F4" s="96"/>
      <c r="G4" s="96"/>
      <c r="H4" s="97"/>
    </row>
    <row r="5" spans="2:8" ht="24" customHeight="1">
      <c r="B5" s="95"/>
      <c r="C5" s="95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83"/>
      <c r="C8" s="25"/>
      <c r="D8" s="26"/>
      <c r="E8" s="26"/>
      <c r="F8" s="26"/>
      <c r="G8" s="26"/>
      <c r="H8" s="26"/>
    </row>
    <row r="9" spans="2:8" ht="18.75">
      <c r="B9" s="84"/>
      <c r="C9" s="85" t="s">
        <v>413</v>
      </c>
      <c r="D9" s="86"/>
      <c r="E9" s="86"/>
      <c r="F9" s="86"/>
      <c r="G9" s="86"/>
      <c r="H9" s="8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tabSelected="1" zoomScaleNormal="100" workbookViewId="0">
      <selection activeCell="C10" sqref="C10:F10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92" t="s">
        <v>5</v>
      </c>
      <c r="D1" s="92"/>
      <c r="E1" s="92"/>
      <c r="F1" s="92"/>
      <c r="G1" s="1"/>
    </row>
    <row r="2" spans="1:8" ht="26.25" customHeight="1">
      <c r="C2" s="89" t="s">
        <v>6</v>
      </c>
      <c r="D2" s="89"/>
      <c r="E2" s="89"/>
      <c r="F2" s="89"/>
      <c r="G2" s="2" t="s">
        <v>0</v>
      </c>
    </row>
    <row r="3" spans="1:8" ht="12" customHeight="1">
      <c r="C3" s="90"/>
      <c r="D3" s="90"/>
      <c r="E3" s="90"/>
      <c r="F3" s="90"/>
      <c r="G3" s="2"/>
    </row>
    <row r="4" spans="1:8" ht="12" customHeight="1">
      <c r="C4" s="90"/>
      <c r="D4" s="90"/>
      <c r="E4" s="90"/>
      <c r="F4" s="90"/>
      <c r="G4" s="2"/>
    </row>
    <row r="5" spans="1:8" ht="18" customHeight="1">
      <c r="B5" s="3"/>
      <c r="C5" s="90"/>
      <c r="D5" s="90"/>
      <c r="E5" s="90"/>
      <c r="F5" s="90"/>
      <c r="G5" s="4"/>
    </row>
    <row r="6" spans="1:8" ht="3" customHeight="1">
      <c r="A6" s="16"/>
      <c r="C6" s="90"/>
      <c r="D6" s="90"/>
      <c r="E6" s="90"/>
      <c r="F6" s="90"/>
      <c r="H6" s="16"/>
    </row>
    <row r="7" spans="1:8" ht="18" customHeight="1">
      <c r="B7" s="5"/>
      <c r="C7" s="90"/>
      <c r="D7" s="90"/>
      <c r="E7" s="90"/>
      <c r="F7" s="90"/>
      <c r="G7" s="6"/>
    </row>
    <row r="8" spans="1:8" ht="12" customHeight="1">
      <c r="C8" s="90"/>
      <c r="D8" s="90"/>
      <c r="E8" s="90"/>
      <c r="F8" s="90"/>
      <c r="G8" s="2"/>
    </row>
    <row r="9" spans="1:8" ht="6.75" customHeight="1">
      <c r="A9" s="93"/>
      <c r="B9" s="93"/>
      <c r="C9" s="91"/>
      <c r="D9" s="91"/>
      <c r="E9" s="91"/>
      <c r="F9" s="91"/>
      <c r="G9" s="2"/>
    </row>
    <row r="10" spans="1:8" ht="18" customHeight="1">
      <c r="A10" s="93"/>
      <c r="B10" s="93"/>
      <c r="C10" s="94" t="s">
        <v>4</v>
      </c>
      <c r="D10" s="94"/>
      <c r="E10" s="94"/>
      <c r="F10" s="94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9</v>
      </c>
      <c r="D12" s="2"/>
      <c r="E12" s="17" t="s">
        <v>470</v>
      </c>
      <c r="F12" s="17" t="s">
        <v>439</v>
      </c>
      <c r="G12" s="2" t="s">
        <v>0</v>
      </c>
    </row>
    <row r="13" spans="1:8">
      <c r="C13" s="11" t="s">
        <v>7</v>
      </c>
      <c r="D13" s="2"/>
      <c r="E13" s="10" t="s">
        <v>8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88"/>
      <c r="D17" s="88"/>
      <c r="E17" s="88"/>
      <c r="F17" s="88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r:id="rId5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C4ED-CC05-4BDE-A3FE-E489FF66DF8C}">
  <sheetPr codeName="Sheet11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8554687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826982.18</v>
      </c>
      <c r="E8" s="57">
        <v>0</v>
      </c>
      <c r="F8" s="57">
        <v>826982.18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1653964.36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14591.23</v>
      </c>
      <c r="E11" s="57">
        <v>0</v>
      </c>
      <c r="F11" s="57">
        <v>14591.23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29182.46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841573.41</v>
      </c>
      <c r="E15" s="73">
        <f t="shared" si="1"/>
        <v>0</v>
      </c>
      <c r="F15" s="73">
        <f t="shared" si="1"/>
        <v>841573.41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1683146.82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841573.41</v>
      </c>
      <c r="E16" s="60">
        <f t="shared" si="2"/>
        <v>0</v>
      </c>
      <c r="F16" s="60">
        <f t="shared" si="2"/>
        <v>841573.41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1683146.82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2043009.97</v>
      </c>
      <c r="E19" s="57">
        <v>0</v>
      </c>
      <c r="F19" s="57">
        <v>2043009.97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4086019.94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2043009.97</v>
      </c>
      <c r="E21" s="57">
        <v>0</v>
      </c>
      <c r="F21" s="57">
        <v>2043009.97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4086019.94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4086019.94</v>
      </c>
      <c r="E24" s="59">
        <f t="shared" si="4"/>
        <v>0</v>
      </c>
      <c r="F24" s="59">
        <f t="shared" si="4"/>
        <v>4086019.94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8172039.8799999999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4086019.94</v>
      </c>
      <c r="E36" s="59">
        <f t="shared" si="6"/>
        <v>0</v>
      </c>
      <c r="F36" s="59">
        <f t="shared" si="6"/>
        <v>4086019.94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8172039.8799999999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35993.43</v>
      </c>
      <c r="E56" s="57">
        <v>0</v>
      </c>
      <c r="F56" s="57">
        <v>35993.43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71986.86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2700</v>
      </c>
      <c r="E57" s="57">
        <v>0</v>
      </c>
      <c r="F57" s="57">
        <v>2700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5400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2417.17</v>
      </c>
      <c r="E58" s="57">
        <v>0</v>
      </c>
      <c r="F58" s="57">
        <v>2417.17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4834.34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2255.6</v>
      </c>
      <c r="E60" s="57">
        <v>0</v>
      </c>
      <c r="F60" s="57">
        <v>2255.6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4511.2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43366.2</v>
      </c>
      <c r="E61" s="59">
        <f t="shared" si="9"/>
        <v>0</v>
      </c>
      <c r="F61" s="59">
        <f t="shared" si="9"/>
        <v>43366.2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86732.4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164.52</v>
      </c>
      <c r="E62" s="57">
        <v>0</v>
      </c>
      <c r="F62" s="57">
        <v>164.52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329.04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164.36</v>
      </c>
      <c r="E63" s="57">
        <v>0</v>
      </c>
      <c r="F63" s="57">
        <v>164.36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328.72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82.93</v>
      </c>
      <c r="E65" s="57">
        <v>0</v>
      </c>
      <c r="F65" s="57">
        <v>82.93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165.86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11300.68</v>
      </c>
      <c r="E69" s="57">
        <v>0</v>
      </c>
      <c r="F69" s="57">
        <v>11300.68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22601.360000000001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11300.68</v>
      </c>
      <c r="E70" s="59">
        <f t="shared" si="11"/>
        <v>0</v>
      </c>
      <c r="F70" s="59">
        <f t="shared" si="11"/>
        <v>11300.68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22601.360000000001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166255.09</v>
      </c>
      <c r="E71" s="57">
        <v>0</v>
      </c>
      <c r="F71" s="57">
        <v>166255.09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332510.18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1397.6</v>
      </c>
      <c r="E73" s="57">
        <v>0</v>
      </c>
      <c r="F73" s="57">
        <v>1397.6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2795.2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168.4</v>
      </c>
      <c r="E74" s="57">
        <v>0</v>
      </c>
      <c r="F74" s="57">
        <v>168.4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336.8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1566</v>
      </c>
      <c r="E80" s="59">
        <f t="shared" si="13"/>
        <v>0</v>
      </c>
      <c r="F80" s="59">
        <f t="shared" si="13"/>
        <v>1566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3132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3253.47</v>
      </c>
      <c r="E83" s="57">
        <v>0</v>
      </c>
      <c r="F83" s="57">
        <v>3253.47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6506.94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11533.96</v>
      </c>
      <c r="E84" s="57">
        <v>0</v>
      </c>
      <c r="F84" s="57">
        <v>11533.96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23067.919999999998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545.99</v>
      </c>
      <c r="E85" s="57">
        <v>0</v>
      </c>
      <c r="F85" s="57">
        <v>545.99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1091.98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795.2</v>
      </c>
      <c r="E88" s="57">
        <v>0</v>
      </c>
      <c r="F88" s="57">
        <v>795.2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1590.4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16128.619999999999</v>
      </c>
      <c r="E89" s="59">
        <f t="shared" si="15"/>
        <v>0</v>
      </c>
      <c r="F89" s="59">
        <f t="shared" si="15"/>
        <v>16128.619999999999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32257.239999999998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999.88</v>
      </c>
      <c r="E90" s="57">
        <v>0</v>
      </c>
      <c r="F90" s="57">
        <v>999.88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1999.76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1388.61</v>
      </c>
      <c r="E91" s="57">
        <v>0</v>
      </c>
      <c r="F91" s="57">
        <v>1388.61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2777.22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2830.65</v>
      </c>
      <c r="E92" s="57">
        <v>0</v>
      </c>
      <c r="F92" s="57">
        <v>2830.65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5661.3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143.99</v>
      </c>
      <c r="E93" s="57">
        <v>0</v>
      </c>
      <c r="F93" s="57">
        <v>143.99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287.98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2.4900000000000002</v>
      </c>
      <c r="E97" s="57">
        <v>0</v>
      </c>
      <c r="F97" s="57">
        <v>2.4900000000000002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4.9800000000000004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793.17</v>
      </c>
      <c r="E100" s="57">
        <v>0</v>
      </c>
      <c r="F100" s="57">
        <v>793.17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1586.34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3770.3</v>
      </c>
      <c r="E101" s="59">
        <f t="shared" si="17"/>
        <v>0</v>
      </c>
      <c r="F101" s="59">
        <f t="shared" si="17"/>
        <v>3770.3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7540.6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-43366.2</v>
      </c>
      <c r="E104" s="57">
        <v>0</v>
      </c>
      <c r="F104" s="57">
        <v>-43366.2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-86732.4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-201820.99</v>
      </c>
      <c r="E105" s="57">
        <v>0</v>
      </c>
      <c r="F105" s="57">
        <v>-201820.99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-403641.98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-245187.19</v>
      </c>
      <c r="E106" s="59">
        <f t="shared" si="18"/>
        <v>0</v>
      </c>
      <c r="F106" s="59">
        <f t="shared" si="18"/>
        <v>-245187.19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-490374.38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-3.637978807091713E-11</v>
      </c>
      <c r="E111" s="73">
        <f t="shared" si="19"/>
        <v>0</v>
      </c>
      <c r="F111" s="73">
        <f t="shared" si="19"/>
        <v>-3.637978807091713E-11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-7.2759576141834259E-11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4086019.94</v>
      </c>
      <c r="E112" s="59">
        <f t="shared" si="20"/>
        <v>0</v>
      </c>
      <c r="F112" s="59">
        <f t="shared" si="20"/>
        <v>4086019.94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8172039.8799999999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66.099999999999994</v>
      </c>
      <c r="E116" s="57">
        <v>0</v>
      </c>
      <c r="F116" s="57">
        <v>66.099999999999994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132.19999999999999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66.099999999999994</v>
      </c>
      <c r="E117" s="59">
        <f t="shared" ref="E117:O117" si="21">E116</f>
        <v>0</v>
      </c>
      <c r="F117" s="59">
        <f t="shared" si="21"/>
        <v>66.099999999999994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132.19999999999999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5152.54</v>
      </c>
      <c r="E119" s="57">
        <v>0</v>
      </c>
      <c r="F119" s="57">
        <v>5152.54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10305.08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279.98</v>
      </c>
      <c r="E122" s="57">
        <v>0</v>
      </c>
      <c r="F122" s="57">
        <v>279.98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559.96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382.99</v>
      </c>
      <c r="E123" s="57">
        <v>0</v>
      </c>
      <c r="F123" s="57">
        <v>382.99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765.98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125</v>
      </c>
      <c r="E126" s="57">
        <v>0</v>
      </c>
      <c r="F126" s="57">
        <v>125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250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787.97</v>
      </c>
      <c r="E128" s="59">
        <f t="shared" si="23"/>
        <v>0</v>
      </c>
      <c r="F128" s="59">
        <f t="shared" si="23"/>
        <v>787.97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1575.94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5630.98</v>
      </c>
      <c r="E129" s="57">
        <v>0</v>
      </c>
      <c r="F129" s="57">
        <v>5630.98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11261.96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40.39</v>
      </c>
      <c r="E130" s="57">
        <v>0</v>
      </c>
      <c r="F130" s="57">
        <v>40.39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80.78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11611.88</v>
      </c>
      <c r="E132" s="59">
        <f t="shared" si="24"/>
        <v>0</v>
      </c>
      <c r="F132" s="59">
        <f t="shared" si="24"/>
        <v>11611.88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23223.759999999998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1019.2</v>
      </c>
      <c r="E135" s="57">
        <v>0</v>
      </c>
      <c r="F135" s="57">
        <v>1019.2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2038.4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1899.15</v>
      </c>
      <c r="E136" s="57">
        <v>0</v>
      </c>
      <c r="F136" s="57">
        <v>1899.15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3798.3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2918.3500000000004</v>
      </c>
      <c r="E137" s="75">
        <f t="shared" si="25"/>
        <v>0</v>
      </c>
      <c r="F137" s="75">
        <f t="shared" si="25"/>
        <v>2918.3500000000004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5836.7000000000007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14596.33</v>
      </c>
      <c r="E138" s="59">
        <f t="shared" si="26"/>
        <v>0</v>
      </c>
      <c r="F138" s="59">
        <f t="shared" si="26"/>
        <v>14596.33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29192.66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42720.01</v>
      </c>
      <c r="E141" s="57">
        <v>0</v>
      </c>
      <c r="F141" s="57">
        <v>42720.01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85440.02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2417.17</v>
      </c>
      <c r="E142" s="57">
        <v>0</v>
      </c>
      <c r="F142" s="57">
        <v>2417.17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4834.34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2000</v>
      </c>
      <c r="E143" s="57">
        <v>0</v>
      </c>
      <c r="F143" s="57">
        <v>2000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164.52</v>
      </c>
      <c r="E144" s="57">
        <v>0</v>
      </c>
      <c r="F144" s="57">
        <v>164.52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329.04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2255.6</v>
      </c>
      <c r="E146" s="57">
        <v>0</v>
      </c>
      <c r="F146" s="57">
        <v>2255.6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4511.2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49557.299999999996</v>
      </c>
      <c r="E148" s="59">
        <f t="shared" si="28"/>
        <v>0</v>
      </c>
      <c r="F148" s="59">
        <f t="shared" si="28"/>
        <v>49557.299999999996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99114.599999999991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118.19</v>
      </c>
      <c r="E151" s="57">
        <v>0</v>
      </c>
      <c r="F151" s="57">
        <v>118.19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236.38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471.06</v>
      </c>
      <c r="E153" s="57">
        <v>0</v>
      </c>
      <c r="F153" s="57">
        <v>471.06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942.12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589.25</v>
      </c>
      <c r="E154" s="59">
        <f t="shared" si="29"/>
        <v>0</v>
      </c>
      <c r="F154" s="59">
        <f t="shared" si="29"/>
        <v>589.25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1178.5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82.93</v>
      </c>
      <c r="E157" s="57">
        <v>0</v>
      </c>
      <c r="F157" s="57">
        <v>82.93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165.86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82.93</v>
      </c>
      <c r="E158" s="59">
        <f t="shared" ref="E158:P158" si="30">E157+E156</f>
        <v>0</v>
      </c>
      <c r="F158" s="59">
        <f t="shared" si="30"/>
        <v>82.93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165.86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2428.92</v>
      </c>
      <c r="E159" s="57">
        <v>0</v>
      </c>
      <c r="F159" s="57">
        <v>2428.92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4857.84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743.73</v>
      </c>
      <c r="E161" s="57">
        <v>0</v>
      </c>
      <c r="F161" s="57">
        <v>743.73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1487.46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161.93</v>
      </c>
      <c r="E163" s="57">
        <v>0</v>
      </c>
      <c r="F163" s="57">
        <v>161.93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323.86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573.72</v>
      </c>
      <c r="E164" s="57">
        <v>0</v>
      </c>
      <c r="F164" s="57">
        <v>573.72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1147.44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161.93</v>
      </c>
      <c r="E165" s="57">
        <v>0</v>
      </c>
      <c r="F165" s="57">
        <v>161.93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323.86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124.14</v>
      </c>
      <c r="E167" s="57">
        <v>0</v>
      </c>
      <c r="F167" s="57">
        <v>124.14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248.28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124.14</v>
      </c>
      <c r="E170" s="59">
        <f t="shared" si="32"/>
        <v>0</v>
      </c>
      <c r="F170" s="59">
        <f t="shared" si="32"/>
        <v>124.14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248.28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1368.25</v>
      </c>
      <c r="E172" s="57">
        <v>0</v>
      </c>
      <c r="F172" s="57">
        <v>1368.25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2736.5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1368.25</v>
      </c>
      <c r="E175" s="59">
        <f t="shared" si="33"/>
        <v>0</v>
      </c>
      <c r="F175" s="59">
        <f t="shared" si="33"/>
        <v>1368.25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2736.5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4004.44</v>
      </c>
      <c r="E176" s="57">
        <v>0</v>
      </c>
      <c r="F176" s="57">
        <v>4004.44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8008.88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1089.1300000000001</v>
      </c>
      <c r="E177" s="57">
        <v>0</v>
      </c>
      <c r="F177" s="57">
        <v>1089.1300000000001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2178.2600000000002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1388.61</v>
      </c>
      <c r="E184" s="57">
        <v>0</v>
      </c>
      <c r="F184" s="57">
        <v>1388.61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2777.22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764.4</v>
      </c>
      <c r="E185" s="57">
        <v>0</v>
      </c>
      <c r="F185" s="57">
        <v>764.4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1528.8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2153.0099999999998</v>
      </c>
      <c r="E187" s="59">
        <f t="shared" si="36"/>
        <v>0</v>
      </c>
      <c r="F187" s="59">
        <f t="shared" si="36"/>
        <v>2153.0099999999998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4306.0199999999995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1318.26</v>
      </c>
      <c r="E189" s="57">
        <v>0</v>
      </c>
      <c r="F189" s="57">
        <v>1318.26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2636.52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6626.07</v>
      </c>
      <c r="E190" s="57">
        <v>0</v>
      </c>
      <c r="F190" s="57">
        <v>6626.07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13252.14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7944.33</v>
      </c>
      <c r="E197" s="76">
        <f t="shared" si="38"/>
        <v>0</v>
      </c>
      <c r="F197" s="76">
        <f t="shared" si="38"/>
        <v>7944.33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67810.36</v>
      </c>
      <c r="E198" s="60">
        <f t="shared" si="39"/>
        <v>0</v>
      </c>
      <c r="F198" s="60">
        <f t="shared" si="39"/>
        <v>67810.36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0.9</v>
      </c>
      <c r="E209" s="57">
        <v>0</v>
      </c>
      <c r="F209" s="57">
        <v>0.9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1.8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-166.73</v>
      </c>
      <c r="E210" s="57">
        <v>0</v>
      </c>
      <c r="F210" s="57">
        <v>-166.73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-333.46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12411.61</v>
      </c>
      <c r="E212" s="57">
        <v>0</v>
      </c>
      <c r="F212" s="57">
        <v>12411.61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24823.22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-3.15</v>
      </c>
      <c r="E213" s="57">
        <v>0</v>
      </c>
      <c r="F213" s="57">
        <v>-3.15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-6.3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12242.630000000001</v>
      </c>
      <c r="E214" s="60">
        <f t="shared" si="43"/>
        <v>0</v>
      </c>
      <c r="F214" s="60">
        <f t="shared" si="43"/>
        <v>12242.630000000001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23268.65</v>
      </c>
      <c r="E218" s="57">
        <v>0</v>
      </c>
      <c r="F218" s="57">
        <v>23268.65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46537.3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23268.65</v>
      </c>
      <c r="E219" s="60">
        <f t="shared" si="44"/>
        <v>0</v>
      </c>
      <c r="F219" s="60">
        <f t="shared" si="44"/>
        <v>23268.65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46537.3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19464.14</v>
      </c>
      <c r="E221" s="57">
        <v>0</v>
      </c>
      <c r="F221" s="57">
        <v>19464.14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38928.28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4188.62</v>
      </c>
      <c r="E222" s="57">
        <v>0</v>
      </c>
      <c r="F222" s="57">
        <v>4188.62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8377.24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23652.76</v>
      </c>
      <c r="E223" s="60">
        <f t="shared" si="45"/>
        <v>0</v>
      </c>
      <c r="F223" s="60">
        <f t="shared" si="45"/>
        <v>23652.76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47305.52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-17681.47</v>
      </c>
      <c r="E224" s="57">
        <v>0</v>
      </c>
      <c r="F224" s="57">
        <v>-17681.47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-35362.94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1661.84</v>
      </c>
      <c r="E226" s="57">
        <v>0</v>
      </c>
      <c r="F226" s="57">
        <v>1661.84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3323.68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1661.84</v>
      </c>
      <c r="E229" s="60">
        <f t="shared" si="46"/>
        <v>0</v>
      </c>
      <c r="F229" s="60">
        <f t="shared" si="46"/>
        <v>1661.84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3323.68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127.95</v>
      </c>
      <c r="E235" s="57">
        <v>0</v>
      </c>
      <c r="F235" s="57">
        <v>127.95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255.9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-3.15</v>
      </c>
      <c r="E242" s="57">
        <v>0</v>
      </c>
      <c r="F242" s="57">
        <v>-3.15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-6.3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31026.58</v>
      </c>
      <c r="E243" s="60">
        <f t="shared" si="49"/>
        <v>0</v>
      </c>
      <c r="F243" s="60">
        <f t="shared" si="49"/>
        <v>31026.58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62053.16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43269.210000000006</v>
      </c>
      <c r="E248" s="60">
        <f t="shared" si="50"/>
        <v>0</v>
      </c>
      <c r="F248" s="60">
        <f t="shared" si="50"/>
        <v>43269.210000000006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-3370122.4299999997</v>
      </c>
      <c r="E253" s="68">
        <f t="shared" si="51"/>
        <v>0</v>
      </c>
      <c r="F253" s="68">
        <f t="shared" si="51"/>
        <v>-3370122.4299999997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823" priority="329" operator="containsText" text="NOT FOUND">
      <formula>NOT(ISERROR(SEARCH("NOT FOUND",D5)))</formula>
    </cfRule>
  </conditionalFormatting>
  <conditionalFormatting sqref="D15:P15">
    <cfRule type="containsText" dxfId="163" priority="41" operator="containsText" text="NOT FOUND">
      <formula>NOT(ISERROR(SEARCH("NOT FOUND",D15)))</formula>
    </cfRule>
  </conditionalFormatting>
  <conditionalFormatting sqref="D16:P16">
    <cfRule type="containsText" dxfId="162" priority="40" operator="containsText" text="NOT FOUND">
      <formula>NOT(ISERROR(SEARCH("NOT FOUND",D16)))</formula>
    </cfRule>
  </conditionalFormatting>
  <conditionalFormatting sqref="D24:P24">
    <cfRule type="containsText" dxfId="161" priority="39" operator="containsText" text="NOT FOUND">
      <formula>NOT(ISERROR(SEARCH("NOT FOUND",D24)))</formula>
    </cfRule>
  </conditionalFormatting>
  <conditionalFormatting sqref="D29:P29">
    <cfRule type="containsText" dxfId="160" priority="38" operator="containsText" text="NOT FOUND">
      <formula>NOT(ISERROR(SEARCH("NOT FOUND",D29)))</formula>
    </cfRule>
  </conditionalFormatting>
  <conditionalFormatting sqref="D34:P34">
    <cfRule type="containsText" dxfId="159" priority="37" operator="containsText" text="NOT FOUND">
      <formula>NOT(ISERROR(SEARCH("NOT FOUND",D34)))</formula>
    </cfRule>
  </conditionalFormatting>
  <conditionalFormatting sqref="D35:P35">
    <cfRule type="containsText" dxfId="158" priority="36" operator="containsText" text="NOT FOUND">
      <formula>NOT(ISERROR(SEARCH("NOT FOUND",D35)))</formula>
    </cfRule>
  </conditionalFormatting>
  <conditionalFormatting sqref="D36:P36">
    <cfRule type="containsText" dxfId="157" priority="35" operator="containsText" text="NOT FOUND">
      <formula>NOT(ISERROR(SEARCH("NOT FOUND",D36)))</formula>
    </cfRule>
  </conditionalFormatting>
  <conditionalFormatting sqref="D47:P47">
    <cfRule type="containsText" dxfId="156" priority="34" operator="containsText" text="NOT FOUND">
      <formula>NOT(ISERROR(SEARCH("NOT FOUND",D47)))</formula>
    </cfRule>
  </conditionalFormatting>
  <conditionalFormatting sqref="D52:P52">
    <cfRule type="containsText" dxfId="155" priority="33" operator="containsText" text="NOT FOUND">
      <formula>NOT(ISERROR(SEARCH("NOT FOUND",D52)))</formula>
    </cfRule>
  </conditionalFormatting>
  <conditionalFormatting sqref="D53:P53">
    <cfRule type="containsText" dxfId="154" priority="32" operator="containsText" text="NOT FOUND">
      <formula>NOT(ISERROR(SEARCH("NOT FOUND",D53)))</formula>
    </cfRule>
  </conditionalFormatting>
  <conditionalFormatting sqref="D61:P61">
    <cfRule type="containsText" dxfId="153" priority="31" operator="containsText" text="NOT FOUND">
      <formula>NOT(ISERROR(SEARCH("NOT FOUND",D61)))</formula>
    </cfRule>
  </conditionalFormatting>
  <conditionalFormatting sqref="D70:P70">
    <cfRule type="containsText" dxfId="152" priority="30" operator="containsText" text="NOT FOUND">
      <formula>NOT(ISERROR(SEARCH("NOT FOUND",D70)))</formula>
    </cfRule>
  </conditionalFormatting>
  <conditionalFormatting sqref="D80:P80">
    <cfRule type="containsText" dxfId="151" priority="29" operator="containsText" text="NOT FOUND">
      <formula>NOT(ISERROR(SEARCH("NOT FOUND",D80)))</formula>
    </cfRule>
  </conditionalFormatting>
  <conditionalFormatting sqref="D89:P89">
    <cfRule type="containsText" dxfId="150" priority="28" operator="containsText" text="NOT FOUND">
      <formula>NOT(ISERROR(SEARCH("NOT FOUND",D89)))</formula>
    </cfRule>
  </conditionalFormatting>
  <conditionalFormatting sqref="D101:P101">
    <cfRule type="containsText" dxfId="149" priority="27" operator="containsText" text="NOT FOUND">
      <formula>NOT(ISERROR(SEARCH("NOT FOUND",D101)))</formula>
    </cfRule>
  </conditionalFormatting>
  <conditionalFormatting sqref="D106:P106">
    <cfRule type="containsText" dxfId="148" priority="26" operator="containsText" text="NOT FOUND">
      <formula>NOT(ISERROR(SEARCH("NOT FOUND",D106)))</formula>
    </cfRule>
  </conditionalFormatting>
  <conditionalFormatting sqref="D111:P111">
    <cfRule type="containsText" dxfId="147" priority="25" operator="containsText" text="NOT FOUND">
      <formula>NOT(ISERROR(SEARCH("NOT FOUND",D111)))</formula>
    </cfRule>
  </conditionalFormatting>
  <conditionalFormatting sqref="D112:P112">
    <cfRule type="containsText" dxfId="146" priority="24" operator="containsText" text="NOT FOUND">
      <formula>NOT(ISERROR(SEARCH("NOT FOUND",D112)))</formula>
    </cfRule>
  </conditionalFormatting>
  <conditionalFormatting sqref="D117:P117">
    <cfRule type="containsText" dxfId="145" priority="23" operator="containsText" text="NOT FOUND">
      <formula>NOT(ISERROR(SEARCH("NOT FOUND",D117)))</formula>
    </cfRule>
  </conditionalFormatting>
  <conditionalFormatting sqref="D128:P128">
    <cfRule type="containsText" dxfId="144" priority="22" operator="containsText" text="NOT FOUND">
      <formula>NOT(ISERROR(SEARCH("NOT FOUND",D128)))</formula>
    </cfRule>
  </conditionalFormatting>
  <conditionalFormatting sqref="D132:P132">
    <cfRule type="containsText" dxfId="143" priority="21" operator="containsText" text="NOT FOUND">
      <formula>NOT(ISERROR(SEARCH("NOT FOUND",D132)))</formula>
    </cfRule>
  </conditionalFormatting>
  <conditionalFormatting sqref="D137:P137">
    <cfRule type="containsText" dxfId="142" priority="20" operator="containsText" text="NOT FOUND">
      <formula>NOT(ISERROR(SEARCH("NOT FOUND",D137)))</formula>
    </cfRule>
  </conditionalFormatting>
  <conditionalFormatting sqref="D138:P138">
    <cfRule type="containsText" dxfId="141" priority="19" operator="containsText" text="NOT FOUND">
      <formula>NOT(ISERROR(SEARCH("NOT FOUND",D138)))</formula>
    </cfRule>
  </conditionalFormatting>
  <conditionalFormatting sqref="D148:P148">
    <cfRule type="containsText" dxfId="140" priority="18" operator="containsText" text="NOT FOUND">
      <formula>NOT(ISERROR(SEARCH("NOT FOUND",D148)))</formula>
    </cfRule>
  </conditionalFormatting>
  <conditionalFormatting sqref="D154:P154">
    <cfRule type="containsText" dxfId="139" priority="17" operator="containsText" text="NOT FOUND">
      <formula>NOT(ISERROR(SEARCH("NOT FOUND",D154)))</formula>
    </cfRule>
  </conditionalFormatting>
  <conditionalFormatting sqref="D158:P158">
    <cfRule type="containsText" dxfId="138" priority="16" operator="containsText" text="NOT FOUND">
      <formula>NOT(ISERROR(SEARCH("NOT FOUND",D158)))</formula>
    </cfRule>
  </conditionalFormatting>
  <conditionalFormatting sqref="D170:P170">
    <cfRule type="containsText" dxfId="137" priority="15" operator="containsText" text="NOT FOUND">
      <formula>NOT(ISERROR(SEARCH("NOT FOUND",D170)))</formula>
    </cfRule>
  </conditionalFormatting>
  <conditionalFormatting sqref="D175:P175">
    <cfRule type="containsText" dxfId="136" priority="14" operator="containsText" text="NOT FOUND">
      <formula>NOT(ISERROR(SEARCH("NOT FOUND",D175)))</formula>
    </cfRule>
  </conditionalFormatting>
  <conditionalFormatting sqref="D182:P182">
    <cfRule type="containsText" dxfId="135" priority="13" operator="containsText" text="NOT FOUND">
      <formula>NOT(ISERROR(SEARCH("NOT FOUND",D182)))</formula>
    </cfRule>
  </conditionalFormatting>
  <conditionalFormatting sqref="D187:P187">
    <cfRule type="containsText" dxfId="134" priority="12" operator="containsText" text="NOT FOUND">
      <formula>NOT(ISERROR(SEARCH("NOT FOUND",D187)))</formula>
    </cfRule>
  </conditionalFormatting>
  <conditionalFormatting sqref="D197:P197">
    <cfRule type="containsText" dxfId="133" priority="11" operator="containsText" text="NOT FOUND">
      <formula>NOT(ISERROR(SEARCH("NOT FOUND",D197)))</formula>
    </cfRule>
  </conditionalFormatting>
  <conditionalFormatting sqref="D198:P198">
    <cfRule type="containsText" dxfId="132" priority="10" operator="containsText" text="NOT FOUND">
      <formula>NOT(ISERROR(SEARCH("NOT FOUND",D198)))</formula>
    </cfRule>
  </conditionalFormatting>
  <conditionalFormatting sqref="D206:P206">
    <cfRule type="containsText" dxfId="131" priority="9" operator="containsText" text="NOT FOUND">
      <formula>NOT(ISERROR(SEARCH("NOT FOUND",D206)))</formula>
    </cfRule>
  </conditionalFormatting>
  <conditionalFormatting sqref="D214:P214">
    <cfRule type="containsText" dxfId="130" priority="8" operator="containsText" text="NOT FOUND">
      <formula>NOT(ISERROR(SEARCH("NOT FOUND",D214)))</formula>
    </cfRule>
  </conditionalFormatting>
  <conditionalFormatting sqref="D219:P219">
    <cfRule type="containsText" dxfId="129" priority="7" operator="containsText" text="NOT FOUND">
      <formula>NOT(ISERROR(SEARCH("NOT FOUND",D219)))</formula>
    </cfRule>
  </conditionalFormatting>
  <conditionalFormatting sqref="D223:P223">
    <cfRule type="containsText" dxfId="128" priority="6" operator="containsText" text="NOT FOUND">
      <formula>NOT(ISERROR(SEARCH("NOT FOUND",D223)))</formula>
    </cfRule>
  </conditionalFormatting>
  <conditionalFormatting sqref="D229:P229">
    <cfRule type="containsText" dxfId="127" priority="5" operator="containsText" text="NOT FOUND">
      <formula>NOT(ISERROR(SEARCH("NOT FOUND",D229)))</formula>
    </cfRule>
  </conditionalFormatting>
  <conditionalFormatting sqref="D233:P233">
    <cfRule type="containsText" dxfId="126" priority="4" operator="containsText" text="NOT FOUND">
      <formula>NOT(ISERROR(SEARCH("NOT FOUND",D233)))</formula>
    </cfRule>
  </conditionalFormatting>
  <conditionalFormatting sqref="D243:P243">
    <cfRule type="containsText" dxfId="125" priority="3" operator="containsText" text="NOT FOUND">
      <formula>NOT(ISERROR(SEARCH("NOT FOUND",D243)))</formula>
    </cfRule>
  </conditionalFormatting>
  <conditionalFormatting sqref="D248:P248">
    <cfRule type="containsText" dxfId="124" priority="2" operator="containsText" text="NOT FOUND">
      <formula>NOT(ISERROR(SEARCH("NOT FOUND",D248)))</formula>
    </cfRule>
  </conditionalFormatting>
  <conditionalFormatting sqref="D253:P253">
    <cfRule type="containsText" dxfId="123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1204-1CB8-44B0-9BF8-A01E0B66332E}">
  <sheetPr codeName="Sheet12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64610.97</v>
      </c>
      <c r="E9" s="57">
        <v>0</v>
      </c>
      <c r="F9" s="57">
        <v>64610.97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129221.94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174.73</v>
      </c>
      <c r="E11" s="57">
        <v>0</v>
      </c>
      <c r="F11" s="57">
        <v>174.73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349.46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64610.97</v>
      </c>
      <c r="E14" s="57">
        <v>0</v>
      </c>
      <c r="F14" s="57">
        <v>64610.97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64785.700000000004</v>
      </c>
      <c r="E15" s="73">
        <f t="shared" si="1"/>
        <v>0</v>
      </c>
      <c r="F15" s="73">
        <f t="shared" si="1"/>
        <v>64785.700000000004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129571.40000000001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64785.700000000004</v>
      </c>
      <c r="E16" s="60">
        <f t="shared" si="2"/>
        <v>0</v>
      </c>
      <c r="F16" s="60">
        <f t="shared" si="2"/>
        <v>64785.700000000004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129571.40000000001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133632.25</v>
      </c>
      <c r="E19" s="57">
        <v>0</v>
      </c>
      <c r="F19" s="57">
        <v>133632.25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267264.5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133632.25</v>
      </c>
      <c r="E21" s="57">
        <v>0</v>
      </c>
      <c r="F21" s="57">
        <v>133632.25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267264.5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267264.5</v>
      </c>
      <c r="E24" s="59">
        <f t="shared" si="4"/>
        <v>0</v>
      </c>
      <c r="F24" s="59">
        <f t="shared" si="4"/>
        <v>267264.5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534529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267264.5</v>
      </c>
      <c r="E36" s="59">
        <f t="shared" si="6"/>
        <v>0</v>
      </c>
      <c r="F36" s="59">
        <f t="shared" si="6"/>
        <v>267264.5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534529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75992.78</v>
      </c>
      <c r="E56" s="57">
        <v>0</v>
      </c>
      <c r="F56" s="57">
        <v>75992.78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151985.56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6300</v>
      </c>
      <c r="E57" s="57">
        <v>0</v>
      </c>
      <c r="F57" s="57">
        <v>6300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12600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3339.64</v>
      </c>
      <c r="E58" s="57">
        <v>0</v>
      </c>
      <c r="F58" s="57">
        <v>3339.64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6679.28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5218.54</v>
      </c>
      <c r="E60" s="57">
        <v>0</v>
      </c>
      <c r="F60" s="57">
        <v>5218.54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10437.08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90850.959999999992</v>
      </c>
      <c r="E61" s="59">
        <f t="shared" si="9"/>
        <v>0</v>
      </c>
      <c r="F61" s="59">
        <f t="shared" si="9"/>
        <v>90850.959999999992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181701.91999999998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1945.66</v>
      </c>
      <c r="E62" s="57">
        <v>0</v>
      </c>
      <c r="F62" s="57">
        <v>1945.66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3891.32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2628.16</v>
      </c>
      <c r="E63" s="57">
        <v>0</v>
      </c>
      <c r="F63" s="57">
        <v>2628.16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5256.32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696.27</v>
      </c>
      <c r="E69" s="57">
        <v>0</v>
      </c>
      <c r="F69" s="57">
        <v>696.27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1392.54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696.27</v>
      </c>
      <c r="E70" s="59">
        <f t="shared" si="11"/>
        <v>0</v>
      </c>
      <c r="F70" s="59">
        <f t="shared" si="11"/>
        <v>696.27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1392.54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16264.25</v>
      </c>
      <c r="E71" s="57">
        <v>0</v>
      </c>
      <c r="F71" s="57">
        <v>16264.25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32528.5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651.69000000000005</v>
      </c>
      <c r="E73" s="57">
        <v>0</v>
      </c>
      <c r="F73" s="57">
        <v>651.69000000000005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1303.3800000000001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0</v>
      </c>
      <c r="E74" s="57">
        <v>0</v>
      </c>
      <c r="F74" s="57">
        <v>0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0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230.75</v>
      </c>
      <c r="E75" s="57">
        <v>0</v>
      </c>
      <c r="F75" s="57">
        <v>230.75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461.5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882.44</v>
      </c>
      <c r="E80" s="59">
        <f t="shared" si="13"/>
        <v>0</v>
      </c>
      <c r="F80" s="59">
        <f t="shared" si="13"/>
        <v>882.44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1764.88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83.95</v>
      </c>
      <c r="E83" s="57">
        <v>0</v>
      </c>
      <c r="F83" s="57">
        <v>83.95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167.9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4204.03</v>
      </c>
      <c r="E84" s="57">
        <v>0</v>
      </c>
      <c r="F84" s="57">
        <v>4204.03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8408.06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62.45</v>
      </c>
      <c r="E85" s="57">
        <v>0</v>
      </c>
      <c r="F85" s="57">
        <v>62.45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124.9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3342.38</v>
      </c>
      <c r="E88" s="57">
        <v>0</v>
      </c>
      <c r="F88" s="57">
        <v>3342.38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6684.76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7692.8099999999995</v>
      </c>
      <c r="E89" s="59">
        <f t="shared" si="15"/>
        <v>0</v>
      </c>
      <c r="F89" s="59">
        <f t="shared" si="15"/>
        <v>7692.8099999999995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15385.619999999999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3155.07</v>
      </c>
      <c r="E92" s="57">
        <v>0</v>
      </c>
      <c r="F92" s="57">
        <v>3155.07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6310.14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9078.94</v>
      </c>
      <c r="E93" s="57">
        <v>0</v>
      </c>
      <c r="F93" s="57">
        <v>9078.94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18157.88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437.69</v>
      </c>
      <c r="E100" s="57">
        <v>0</v>
      </c>
      <c r="F100" s="57">
        <v>437.69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875.38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12671.7</v>
      </c>
      <c r="E101" s="59">
        <f t="shared" si="17"/>
        <v>0</v>
      </c>
      <c r="F101" s="59">
        <f t="shared" si="17"/>
        <v>12671.7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25343.4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-90850.96</v>
      </c>
      <c r="E104" s="57">
        <v>0</v>
      </c>
      <c r="F104" s="57">
        <v>-90850.96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-181701.92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-42781.29</v>
      </c>
      <c r="E105" s="57">
        <v>0</v>
      </c>
      <c r="F105" s="57">
        <v>-42781.29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-85562.58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-133632.25</v>
      </c>
      <c r="E106" s="59">
        <f t="shared" si="18"/>
        <v>0</v>
      </c>
      <c r="F106" s="59">
        <f t="shared" si="18"/>
        <v>-133632.25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-267264.5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267264.5</v>
      </c>
      <c r="E112" s="59">
        <f t="shared" si="20"/>
        <v>0</v>
      </c>
      <c r="F112" s="59">
        <f t="shared" si="20"/>
        <v>267264.5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534529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232.07</v>
      </c>
      <c r="E116" s="57">
        <v>0</v>
      </c>
      <c r="F116" s="57">
        <v>232.07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464.14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232.07</v>
      </c>
      <c r="E117" s="59">
        <f t="shared" ref="E117:O117" si="21">E116</f>
        <v>0</v>
      </c>
      <c r="F117" s="59">
        <f t="shared" si="21"/>
        <v>232.07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464.14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774.01</v>
      </c>
      <c r="E119" s="57">
        <v>0</v>
      </c>
      <c r="F119" s="57">
        <v>774.01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1548.02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21.99</v>
      </c>
      <c r="E129" s="57">
        <v>0</v>
      </c>
      <c r="F129" s="57">
        <v>21.99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43.98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796</v>
      </c>
      <c r="E132" s="59">
        <f t="shared" si="24"/>
        <v>0</v>
      </c>
      <c r="F132" s="59">
        <f t="shared" si="24"/>
        <v>796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1592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1028.07</v>
      </c>
      <c r="E138" s="59">
        <f t="shared" si="26"/>
        <v>0</v>
      </c>
      <c r="F138" s="59">
        <f t="shared" si="26"/>
        <v>1028.07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2056.14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13556.96</v>
      </c>
      <c r="E141" s="57">
        <v>0</v>
      </c>
      <c r="F141" s="57">
        <v>13556.96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27113.919999999998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3339.64</v>
      </c>
      <c r="E142" s="57">
        <v>0</v>
      </c>
      <c r="F142" s="57">
        <v>3339.64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6679.28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600</v>
      </c>
      <c r="E143" s="57">
        <v>0</v>
      </c>
      <c r="F143" s="57">
        <v>600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1200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1945.66</v>
      </c>
      <c r="E144" s="57">
        <v>0</v>
      </c>
      <c r="F144" s="57">
        <v>1945.66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3891.32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5218.54</v>
      </c>
      <c r="E146" s="57">
        <v>0</v>
      </c>
      <c r="F146" s="57">
        <v>5218.54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10437.08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24660.799999999999</v>
      </c>
      <c r="E148" s="59">
        <f t="shared" si="28"/>
        <v>0</v>
      </c>
      <c r="F148" s="59">
        <f t="shared" si="28"/>
        <v>24660.799999999999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49321.599999999999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93.91</v>
      </c>
      <c r="E164" s="57">
        <v>0</v>
      </c>
      <c r="F164" s="57">
        <v>93.91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187.82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29.15</v>
      </c>
      <c r="E165" s="57">
        <v>0</v>
      </c>
      <c r="F165" s="57">
        <v>29.15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58.3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449.84</v>
      </c>
      <c r="E167" s="57">
        <v>0</v>
      </c>
      <c r="F167" s="57">
        <v>449.84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899.68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449.84</v>
      </c>
      <c r="E170" s="59">
        <f t="shared" si="32"/>
        <v>0</v>
      </c>
      <c r="F170" s="59">
        <f t="shared" si="32"/>
        <v>449.84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899.68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495.25</v>
      </c>
      <c r="E172" s="57">
        <v>0</v>
      </c>
      <c r="F172" s="57">
        <v>495.25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990.5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495.25</v>
      </c>
      <c r="E175" s="59">
        <f t="shared" si="33"/>
        <v>0</v>
      </c>
      <c r="F175" s="59">
        <f t="shared" si="33"/>
        <v>495.25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990.5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5112.1400000000003</v>
      </c>
      <c r="E176" s="57">
        <v>0</v>
      </c>
      <c r="F176" s="57">
        <v>5112.1400000000003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10224.280000000001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81.05</v>
      </c>
      <c r="E177" s="57">
        <v>0</v>
      </c>
      <c r="F177" s="57">
        <v>81.05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162.1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30922.14</v>
      </c>
      <c r="E198" s="60">
        <f t="shared" si="39"/>
        <v>0</v>
      </c>
      <c r="F198" s="60">
        <f t="shared" si="39"/>
        <v>30922.14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-3.56</v>
      </c>
      <c r="E213" s="57">
        <v>0</v>
      </c>
      <c r="F213" s="57">
        <v>-3.56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-7.12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-3.56</v>
      </c>
      <c r="E214" s="60">
        <f t="shared" si="43"/>
        <v>0</v>
      </c>
      <c r="F214" s="60">
        <f t="shared" si="43"/>
        <v>-3.56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48.96</v>
      </c>
      <c r="E222" s="57">
        <v>0</v>
      </c>
      <c r="F222" s="57">
        <v>48.96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97.92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48.96</v>
      </c>
      <c r="E223" s="60">
        <f t="shared" si="45"/>
        <v>0</v>
      </c>
      <c r="F223" s="60">
        <f t="shared" si="45"/>
        <v>48.96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97.92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564.32000000000005</v>
      </c>
      <c r="E226" s="57">
        <v>0</v>
      </c>
      <c r="F226" s="57">
        <v>564.32000000000005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1128.6400000000001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564.32000000000005</v>
      </c>
      <c r="E229" s="60">
        <f t="shared" si="46"/>
        <v>0</v>
      </c>
      <c r="F229" s="60">
        <f t="shared" si="46"/>
        <v>564.32000000000005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1128.6400000000001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526.42999999999995</v>
      </c>
      <c r="E235" s="57">
        <v>0</v>
      </c>
      <c r="F235" s="57">
        <v>526.42999999999995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1052.8599999999999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-3.56</v>
      </c>
      <c r="E242" s="57">
        <v>0</v>
      </c>
      <c r="F242" s="57">
        <v>-3.56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-7.12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1136.1500000000001</v>
      </c>
      <c r="E243" s="60">
        <f t="shared" si="49"/>
        <v>0</v>
      </c>
      <c r="F243" s="60">
        <f t="shared" si="49"/>
        <v>1136.1500000000001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2272.3000000000002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1132.5900000000001</v>
      </c>
      <c r="E248" s="60">
        <f t="shared" si="50"/>
        <v>0</v>
      </c>
      <c r="F248" s="60">
        <f t="shared" si="50"/>
        <v>1132.5900000000001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-235561.60000000001</v>
      </c>
      <c r="E253" s="68">
        <f t="shared" si="51"/>
        <v>0</v>
      </c>
      <c r="F253" s="68">
        <f t="shared" si="51"/>
        <v>-235561.60000000001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781" priority="288" operator="containsText" text="NOT FOUND">
      <formula>NOT(ISERROR(SEARCH("NOT FOUND",D5)))</formula>
    </cfRule>
  </conditionalFormatting>
  <conditionalFormatting sqref="D15:P15">
    <cfRule type="containsText" dxfId="122" priority="41" operator="containsText" text="NOT FOUND">
      <formula>NOT(ISERROR(SEARCH("NOT FOUND",D15)))</formula>
    </cfRule>
  </conditionalFormatting>
  <conditionalFormatting sqref="D16:P16">
    <cfRule type="containsText" dxfId="121" priority="40" operator="containsText" text="NOT FOUND">
      <formula>NOT(ISERROR(SEARCH("NOT FOUND",D16)))</formula>
    </cfRule>
  </conditionalFormatting>
  <conditionalFormatting sqref="D24:P24">
    <cfRule type="containsText" dxfId="120" priority="39" operator="containsText" text="NOT FOUND">
      <formula>NOT(ISERROR(SEARCH("NOT FOUND",D24)))</formula>
    </cfRule>
  </conditionalFormatting>
  <conditionalFormatting sqref="D29:P29">
    <cfRule type="containsText" dxfId="119" priority="38" operator="containsText" text="NOT FOUND">
      <formula>NOT(ISERROR(SEARCH("NOT FOUND",D29)))</formula>
    </cfRule>
  </conditionalFormatting>
  <conditionalFormatting sqref="D34:P34">
    <cfRule type="containsText" dxfId="118" priority="37" operator="containsText" text="NOT FOUND">
      <formula>NOT(ISERROR(SEARCH("NOT FOUND",D34)))</formula>
    </cfRule>
  </conditionalFormatting>
  <conditionalFormatting sqref="D35:P35">
    <cfRule type="containsText" dxfId="117" priority="36" operator="containsText" text="NOT FOUND">
      <formula>NOT(ISERROR(SEARCH("NOT FOUND",D35)))</formula>
    </cfRule>
  </conditionalFormatting>
  <conditionalFormatting sqref="D36:P36">
    <cfRule type="containsText" dxfId="116" priority="35" operator="containsText" text="NOT FOUND">
      <formula>NOT(ISERROR(SEARCH("NOT FOUND",D36)))</formula>
    </cfRule>
  </conditionalFormatting>
  <conditionalFormatting sqref="D47:P47">
    <cfRule type="containsText" dxfId="115" priority="34" operator="containsText" text="NOT FOUND">
      <formula>NOT(ISERROR(SEARCH("NOT FOUND",D47)))</formula>
    </cfRule>
  </conditionalFormatting>
  <conditionalFormatting sqref="D52:P52">
    <cfRule type="containsText" dxfId="114" priority="33" operator="containsText" text="NOT FOUND">
      <formula>NOT(ISERROR(SEARCH("NOT FOUND",D52)))</formula>
    </cfRule>
  </conditionalFormatting>
  <conditionalFormatting sqref="D53:P53">
    <cfRule type="containsText" dxfId="113" priority="32" operator="containsText" text="NOT FOUND">
      <formula>NOT(ISERROR(SEARCH("NOT FOUND",D53)))</formula>
    </cfRule>
  </conditionalFormatting>
  <conditionalFormatting sqref="D61:P61">
    <cfRule type="containsText" dxfId="112" priority="31" operator="containsText" text="NOT FOUND">
      <formula>NOT(ISERROR(SEARCH("NOT FOUND",D61)))</formula>
    </cfRule>
  </conditionalFormatting>
  <conditionalFormatting sqref="D70:P70">
    <cfRule type="containsText" dxfId="111" priority="30" operator="containsText" text="NOT FOUND">
      <formula>NOT(ISERROR(SEARCH("NOT FOUND",D70)))</formula>
    </cfRule>
  </conditionalFormatting>
  <conditionalFormatting sqref="D80:P80">
    <cfRule type="containsText" dxfId="110" priority="29" operator="containsText" text="NOT FOUND">
      <formula>NOT(ISERROR(SEARCH("NOT FOUND",D80)))</formula>
    </cfRule>
  </conditionalFormatting>
  <conditionalFormatting sqref="D89:P89">
    <cfRule type="containsText" dxfId="109" priority="28" operator="containsText" text="NOT FOUND">
      <formula>NOT(ISERROR(SEARCH("NOT FOUND",D89)))</formula>
    </cfRule>
  </conditionalFormatting>
  <conditionalFormatting sqref="D101:P101">
    <cfRule type="containsText" dxfId="108" priority="27" operator="containsText" text="NOT FOUND">
      <formula>NOT(ISERROR(SEARCH("NOT FOUND",D101)))</formula>
    </cfRule>
  </conditionalFormatting>
  <conditionalFormatting sqref="D106:P106">
    <cfRule type="containsText" dxfId="107" priority="26" operator="containsText" text="NOT FOUND">
      <formula>NOT(ISERROR(SEARCH("NOT FOUND",D106)))</formula>
    </cfRule>
  </conditionalFormatting>
  <conditionalFormatting sqref="D111:P111">
    <cfRule type="containsText" dxfId="106" priority="25" operator="containsText" text="NOT FOUND">
      <formula>NOT(ISERROR(SEARCH("NOT FOUND",D111)))</formula>
    </cfRule>
  </conditionalFormatting>
  <conditionalFormatting sqref="D112:P112">
    <cfRule type="containsText" dxfId="105" priority="24" operator="containsText" text="NOT FOUND">
      <formula>NOT(ISERROR(SEARCH("NOT FOUND",D112)))</formula>
    </cfRule>
  </conditionalFormatting>
  <conditionalFormatting sqref="D117:P117">
    <cfRule type="containsText" dxfId="104" priority="23" operator="containsText" text="NOT FOUND">
      <formula>NOT(ISERROR(SEARCH("NOT FOUND",D117)))</formula>
    </cfRule>
  </conditionalFormatting>
  <conditionalFormatting sqref="D128:P128">
    <cfRule type="containsText" dxfId="103" priority="22" operator="containsText" text="NOT FOUND">
      <formula>NOT(ISERROR(SEARCH("NOT FOUND",D128)))</formula>
    </cfRule>
  </conditionalFormatting>
  <conditionalFormatting sqref="D132:P132">
    <cfRule type="containsText" dxfId="102" priority="21" operator="containsText" text="NOT FOUND">
      <formula>NOT(ISERROR(SEARCH("NOT FOUND",D132)))</formula>
    </cfRule>
  </conditionalFormatting>
  <conditionalFormatting sqref="D137:P137">
    <cfRule type="containsText" dxfId="101" priority="20" operator="containsText" text="NOT FOUND">
      <formula>NOT(ISERROR(SEARCH("NOT FOUND",D137)))</formula>
    </cfRule>
  </conditionalFormatting>
  <conditionalFormatting sqref="D138:P138">
    <cfRule type="containsText" dxfId="100" priority="19" operator="containsText" text="NOT FOUND">
      <formula>NOT(ISERROR(SEARCH("NOT FOUND",D138)))</formula>
    </cfRule>
  </conditionalFormatting>
  <conditionalFormatting sqref="D148:P148">
    <cfRule type="containsText" dxfId="99" priority="18" operator="containsText" text="NOT FOUND">
      <formula>NOT(ISERROR(SEARCH("NOT FOUND",D148)))</formula>
    </cfRule>
  </conditionalFormatting>
  <conditionalFormatting sqref="D154:P154">
    <cfRule type="containsText" dxfId="98" priority="17" operator="containsText" text="NOT FOUND">
      <formula>NOT(ISERROR(SEARCH("NOT FOUND",D154)))</formula>
    </cfRule>
  </conditionalFormatting>
  <conditionalFormatting sqref="D158:P158">
    <cfRule type="containsText" dxfId="97" priority="16" operator="containsText" text="NOT FOUND">
      <formula>NOT(ISERROR(SEARCH("NOT FOUND",D158)))</formula>
    </cfRule>
  </conditionalFormatting>
  <conditionalFormatting sqref="D170:P170">
    <cfRule type="containsText" dxfId="96" priority="15" operator="containsText" text="NOT FOUND">
      <formula>NOT(ISERROR(SEARCH("NOT FOUND",D170)))</formula>
    </cfRule>
  </conditionalFormatting>
  <conditionalFormatting sqref="D175:P175">
    <cfRule type="containsText" dxfId="95" priority="14" operator="containsText" text="NOT FOUND">
      <formula>NOT(ISERROR(SEARCH("NOT FOUND",D175)))</formula>
    </cfRule>
  </conditionalFormatting>
  <conditionalFormatting sqref="D182:P182">
    <cfRule type="containsText" dxfId="94" priority="13" operator="containsText" text="NOT FOUND">
      <formula>NOT(ISERROR(SEARCH("NOT FOUND",D182)))</formula>
    </cfRule>
  </conditionalFormatting>
  <conditionalFormatting sqref="D187:P187">
    <cfRule type="containsText" dxfId="93" priority="12" operator="containsText" text="NOT FOUND">
      <formula>NOT(ISERROR(SEARCH("NOT FOUND",D187)))</formula>
    </cfRule>
  </conditionalFormatting>
  <conditionalFormatting sqref="D197:P197">
    <cfRule type="containsText" dxfId="92" priority="11" operator="containsText" text="NOT FOUND">
      <formula>NOT(ISERROR(SEARCH("NOT FOUND",D197)))</formula>
    </cfRule>
  </conditionalFormatting>
  <conditionalFormatting sqref="D198:P198">
    <cfRule type="containsText" dxfId="91" priority="10" operator="containsText" text="NOT FOUND">
      <formula>NOT(ISERROR(SEARCH("NOT FOUND",D198)))</formula>
    </cfRule>
  </conditionalFormatting>
  <conditionalFormatting sqref="D206:P206">
    <cfRule type="containsText" dxfId="90" priority="9" operator="containsText" text="NOT FOUND">
      <formula>NOT(ISERROR(SEARCH("NOT FOUND",D206)))</formula>
    </cfRule>
  </conditionalFormatting>
  <conditionalFormatting sqref="D214:P214">
    <cfRule type="containsText" dxfId="89" priority="8" operator="containsText" text="NOT FOUND">
      <formula>NOT(ISERROR(SEARCH("NOT FOUND",D214)))</formula>
    </cfRule>
  </conditionalFormatting>
  <conditionalFormatting sqref="D219:P219">
    <cfRule type="containsText" dxfId="88" priority="7" operator="containsText" text="NOT FOUND">
      <formula>NOT(ISERROR(SEARCH("NOT FOUND",D219)))</formula>
    </cfRule>
  </conditionalFormatting>
  <conditionalFormatting sqref="D223:P223">
    <cfRule type="containsText" dxfId="87" priority="6" operator="containsText" text="NOT FOUND">
      <formula>NOT(ISERROR(SEARCH("NOT FOUND",D223)))</formula>
    </cfRule>
  </conditionalFormatting>
  <conditionalFormatting sqref="D229:P229">
    <cfRule type="containsText" dxfId="86" priority="5" operator="containsText" text="NOT FOUND">
      <formula>NOT(ISERROR(SEARCH("NOT FOUND",D229)))</formula>
    </cfRule>
  </conditionalFormatting>
  <conditionalFormatting sqref="D233:P233">
    <cfRule type="containsText" dxfId="85" priority="4" operator="containsText" text="NOT FOUND">
      <formula>NOT(ISERROR(SEARCH("NOT FOUND",D233)))</formula>
    </cfRule>
  </conditionalFormatting>
  <conditionalFormatting sqref="D243:P243">
    <cfRule type="containsText" dxfId="84" priority="3" operator="containsText" text="NOT FOUND">
      <formula>NOT(ISERROR(SEARCH("NOT FOUND",D243)))</formula>
    </cfRule>
  </conditionalFormatting>
  <conditionalFormatting sqref="D248:P248">
    <cfRule type="containsText" dxfId="83" priority="2" operator="containsText" text="NOT FOUND">
      <formula>NOT(ISERROR(SEARCH("NOT FOUND",D248)))</formula>
    </cfRule>
  </conditionalFormatting>
  <conditionalFormatting sqref="D253:P253">
    <cfRule type="containsText" dxfId="82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BB6A-C6D6-441D-9928-2F55D2FB3C39}">
  <sheetPr codeName="Sheet13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1875436.21</v>
      </c>
      <c r="E8" s="57">
        <v>0</v>
      </c>
      <c r="F8" s="57">
        <v>1875436.21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3750872.42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325.07</v>
      </c>
      <c r="E11" s="57">
        <v>0</v>
      </c>
      <c r="F11" s="57">
        <v>325.07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650.14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1875761.28</v>
      </c>
      <c r="E15" s="73">
        <f t="shared" si="1"/>
        <v>0</v>
      </c>
      <c r="F15" s="73">
        <f t="shared" si="1"/>
        <v>1875761.28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3751522.56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1875761.28</v>
      </c>
      <c r="E16" s="60">
        <f t="shared" si="2"/>
        <v>0</v>
      </c>
      <c r="F16" s="60">
        <f t="shared" si="2"/>
        <v>1875761.28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3751522.56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201740.12</v>
      </c>
      <c r="E19" s="57">
        <v>0</v>
      </c>
      <c r="F19" s="57">
        <v>201740.12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403480.24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201740.12</v>
      </c>
      <c r="E21" s="57">
        <v>0</v>
      </c>
      <c r="F21" s="57">
        <v>201740.12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403480.24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403480.24</v>
      </c>
      <c r="E24" s="59">
        <f t="shared" si="4"/>
        <v>0</v>
      </c>
      <c r="F24" s="59">
        <f t="shared" si="4"/>
        <v>403480.24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806960.48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403480.24</v>
      </c>
      <c r="E36" s="59">
        <f t="shared" si="6"/>
        <v>0</v>
      </c>
      <c r="F36" s="59">
        <f t="shared" si="6"/>
        <v>403480.24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806960.48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95685.68</v>
      </c>
      <c r="E56" s="57">
        <v>0</v>
      </c>
      <c r="F56" s="57">
        <v>95685.68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191371.36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8000</v>
      </c>
      <c r="E57" s="57">
        <v>0</v>
      </c>
      <c r="F57" s="57">
        <v>8000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16000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3659.95</v>
      </c>
      <c r="E58" s="57">
        <v>0</v>
      </c>
      <c r="F58" s="57">
        <v>3659.95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7319.9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5916.26</v>
      </c>
      <c r="E60" s="57">
        <v>0</v>
      </c>
      <c r="F60" s="57">
        <v>5916.26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11832.52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113261.88999999998</v>
      </c>
      <c r="E61" s="59">
        <f t="shared" si="9"/>
        <v>0</v>
      </c>
      <c r="F61" s="59">
        <f t="shared" si="9"/>
        <v>113261.88999999998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226523.77999999997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2738.66</v>
      </c>
      <c r="E62" s="57">
        <v>0</v>
      </c>
      <c r="F62" s="57">
        <v>2738.66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5477.32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596.98</v>
      </c>
      <c r="E63" s="57">
        <v>0</v>
      </c>
      <c r="F63" s="57">
        <v>596.98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1193.96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13063.65</v>
      </c>
      <c r="E69" s="57">
        <v>0</v>
      </c>
      <c r="F69" s="57">
        <v>13063.65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26127.3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13063.65</v>
      </c>
      <c r="E70" s="59">
        <f t="shared" si="11"/>
        <v>0</v>
      </c>
      <c r="F70" s="59">
        <f t="shared" si="11"/>
        <v>13063.65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26127.3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32651.71</v>
      </c>
      <c r="E71" s="57">
        <v>0</v>
      </c>
      <c r="F71" s="57">
        <v>32651.71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65303.42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547.73</v>
      </c>
      <c r="E73" s="57">
        <v>0</v>
      </c>
      <c r="F73" s="57">
        <v>547.73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1095.46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398.33</v>
      </c>
      <c r="E74" s="57">
        <v>0</v>
      </c>
      <c r="F74" s="57">
        <v>398.33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796.66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192.76</v>
      </c>
      <c r="E75" s="57">
        <v>0</v>
      </c>
      <c r="F75" s="57">
        <v>192.76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385.52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310.89999999999998</v>
      </c>
      <c r="E78" s="57">
        <v>0</v>
      </c>
      <c r="F78" s="57">
        <v>310.89999999999998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621.79999999999995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1449.7199999999998</v>
      </c>
      <c r="E80" s="59">
        <f t="shared" si="13"/>
        <v>0</v>
      </c>
      <c r="F80" s="59">
        <f t="shared" si="13"/>
        <v>1449.7199999999998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2899.4399999999996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8736.06</v>
      </c>
      <c r="E83" s="57">
        <v>0</v>
      </c>
      <c r="F83" s="57">
        <v>8736.06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17472.12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14841.76</v>
      </c>
      <c r="E84" s="57">
        <v>0</v>
      </c>
      <c r="F84" s="57">
        <v>14841.76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29683.52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2029.98</v>
      </c>
      <c r="E85" s="57">
        <v>0</v>
      </c>
      <c r="F85" s="57">
        <v>2029.98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4059.96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13.98</v>
      </c>
      <c r="E86" s="57">
        <v>0</v>
      </c>
      <c r="F86" s="57">
        <v>13.98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27.96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685.41</v>
      </c>
      <c r="E88" s="57">
        <v>0</v>
      </c>
      <c r="F88" s="57">
        <v>685.41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1370.82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26307.19</v>
      </c>
      <c r="E89" s="59">
        <f t="shared" si="15"/>
        <v>0</v>
      </c>
      <c r="F89" s="59">
        <f t="shared" si="15"/>
        <v>26307.19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52614.38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1456.81</v>
      </c>
      <c r="E90" s="57">
        <v>0</v>
      </c>
      <c r="F90" s="57">
        <v>1456.81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2913.62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4873.75</v>
      </c>
      <c r="E92" s="57">
        <v>0</v>
      </c>
      <c r="F92" s="57">
        <v>4873.75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9747.5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4396.43</v>
      </c>
      <c r="E93" s="57">
        <v>0</v>
      </c>
      <c r="F93" s="57">
        <v>4396.43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8792.86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29.02</v>
      </c>
      <c r="E96" s="57">
        <v>0</v>
      </c>
      <c r="F96" s="57">
        <v>29.02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58.04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914.31</v>
      </c>
      <c r="E100" s="57">
        <v>0</v>
      </c>
      <c r="F100" s="57">
        <v>914.31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1828.62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10213.51</v>
      </c>
      <c r="E101" s="59">
        <f t="shared" si="17"/>
        <v>0</v>
      </c>
      <c r="F101" s="59">
        <f t="shared" si="17"/>
        <v>10213.51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20427.02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-113261.89</v>
      </c>
      <c r="E104" s="57">
        <v>0</v>
      </c>
      <c r="F104" s="57">
        <v>-113261.89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-226523.78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-88478.23</v>
      </c>
      <c r="E105" s="57">
        <v>0</v>
      </c>
      <c r="F105" s="57">
        <v>-88478.23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-176956.46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-201740.12</v>
      </c>
      <c r="E106" s="59">
        <f t="shared" si="18"/>
        <v>0</v>
      </c>
      <c r="F106" s="59">
        <f t="shared" si="18"/>
        <v>-201740.12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-403480.24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-1.4551915228366852E-11</v>
      </c>
      <c r="E111" s="73">
        <f t="shared" si="19"/>
        <v>0</v>
      </c>
      <c r="F111" s="73">
        <f t="shared" si="19"/>
        <v>-1.4551915228366852E-11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-2.9103830456733704E-11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403480.24</v>
      </c>
      <c r="E112" s="59">
        <f t="shared" si="20"/>
        <v>0</v>
      </c>
      <c r="F112" s="59">
        <f t="shared" si="20"/>
        <v>403480.24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806960.48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5960.11</v>
      </c>
      <c r="E129" s="57">
        <v>0</v>
      </c>
      <c r="F129" s="57">
        <v>5960.11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11920.22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1338.82</v>
      </c>
      <c r="E130" s="57">
        <v>0</v>
      </c>
      <c r="F130" s="57">
        <v>1338.82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2677.64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7298.9299999999994</v>
      </c>
      <c r="E132" s="59">
        <f t="shared" si="24"/>
        <v>0</v>
      </c>
      <c r="F132" s="59">
        <f t="shared" si="24"/>
        <v>7298.9299999999994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14597.859999999999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7298.9299999999994</v>
      </c>
      <c r="E138" s="59">
        <f t="shared" si="26"/>
        <v>0</v>
      </c>
      <c r="F138" s="59">
        <f t="shared" si="26"/>
        <v>7298.9299999999994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14597.859999999999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5618.18</v>
      </c>
      <c r="E141" s="57">
        <v>0</v>
      </c>
      <c r="F141" s="57">
        <v>5618.18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11236.36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3659.95</v>
      </c>
      <c r="E142" s="57">
        <v>0</v>
      </c>
      <c r="F142" s="57">
        <v>3659.95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7319.9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2738.66</v>
      </c>
      <c r="E144" s="57">
        <v>0</v>
      </c>
      <c r="F144" s="57">
        <v>2738.66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5477.32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5916.26</v>
      </c>
      <c r="E146" s="57">
        <v>0</v>
      </c>
      <c r="F146" s="57">
        <v>5916.26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11832.52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18133.050000000003</v>
      </c>
      <c r="E148" s="59">
        <f t="shared" si="28"/>
        <v>0</v>
      </c>
      <c r="F148" s="59">
        <f t="shared" si="28"/>
        <v>18133.050000000003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36266.100000000006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291.47000000000003</v>
      </c>
      <c r="E153" s="57">
        <v>0</v>
      </c>
      <c r="F153" s="57">
        <v>291.47000000000003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582.94000000000005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291.47000000000003</v>
      </c>
      <c r="E154" s="59">
        <f t="shared" si="29"/>
        <v>0</v>
      </c>
      <c r="F154" s="59">
        <f t="shared" si="29"/>
        <v>291.47000000000003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582.94000000000005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433.97</v>
      </c>
      <c r="E159" s="57">
        <v>0</v>
      </c>
      <c r="F159" s="57">
        <v>433.97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867.94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259.08</v>
      </c>
      <c r="E163" s="57">
        <v>0</v>
      </c>
      <c r="F163" s="57">
        <v>259.08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518.16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1484.55</v>
      </c>
      <c r="E164" s="57">
        <v>0</v>
      </c>
      <c r="F164" s="57">
        <v>1484.55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2969.1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6.48</v>
      </c>
      <c r="E165" s="57">
        <v>0</v>
      </c>
      <c r="F165" s="57">
        <v>6.48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12.96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213.75</v>
      </c>
      <c r="E167" s="57">
        <v>0</v>
      </c>
      <c r="F167" s="57">
        <v>213.75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427.5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213.75</v>
      </c>
      <c r="E170" s="59">
        <f t="shared" si="32"/>
        <v>0</v>
      </c>
      <c r="F170" s="59">
        <f t="shared" si="32"/>
        <v>213.75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427.5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412.47</v>
      </c>
      <c r="E172" s="57">
        <v>0</v>
      </c>
      <c r="F172" s="57">
        <v>412.47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824.94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412.47</v>
      </c>
      <c r="E175" s="59">
        <f t="shared" si="33"/>
        <v>0</v>
      </c>
      <c r="F175" s="59">
        <f t="shared" si="33"/>
        <v>412.47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824.94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4069.69</v>
      </c>
      <c r="E176" s="57">
        <v>0</v>
      </c>
      <c r="F176" s="57">
        <v>4069.69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8139.38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298.58</v>
      </c>
      <c r="E177" s="57">
        <v>0</v>
      </c>
      <c r="F177" s="57">
        <v>298.58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597.16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625.49</v>
      </c>
      <c r="E189" s="57">
        <v>0</v>
      </c>
      <c r="F189" s="57">
        <v>625.49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1250.98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625.49</v>
      </c>
      <c r="E197" s="76">
        <f t="shared" si="38"/>
        <v>0</v>
      </c>
      <c r="F197" s="76">
        <f t="shared" si="38"/>
        <v>625.49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25794.610000000008</v>
      </c>
      <c r="E198" s="60">
        <f t="shared" si="39"/>
        <v>0</v>
      </c>
      <c r="F198" s="60">
        <f t="shared" si="39"/>
        <v>25794.610000000008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5.43</v>
      </c>
      <c r="E209" s="57">
        <v>0</v>
      </c>
      <c r="F209" s="57">
        <v>5.43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10.86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-0.01</v>
      </c>
      <c r="E213" s="57">
        <v>0</v>
      </c>
      <c r="F213" s="57">
        <v>-0.01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-0.02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5.42</v>
      </c>
      <c r="E214" s="60">
        <f t="shared" si="43"/>
        <v>0</v>
      </c>
      <c r="F214" s="60">
        <f t="shared" si="43"/>
        <v>5.42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814.13</v>
      </c>
      <c r="E222" s="57">
        <v>0</v>
      </c>
      <c r="F222" s="57">
        <v>814.13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1628.26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814.13</v>
      </c>
      <c r="E223" s="60">
        <f t="shared" si="45"/>
        <v>0</v>
      </c>
      <c r="F223" s="60">
        <f t="shared" si="45"/>
        <v>814.13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1628.26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200.53</v>
      </c>
      <c r="E226" s="57">
        <v>0</v>
      </c>
      <c r="F226" s="57">
        <v>200.53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401.06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200.53</v>
      </c>
      <c r="E229" s="60">
        <f t="shared" si="46"/>
        <v>0</v>
      </c>
      <c r="F229" s="60">
        <f t="shared" si="46"/>
        <v>200.53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401.06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318.19</v>
      </c>
      <c r="E235" s="57">
        <v>0</v>
      </c>
      <c r="F235" s="57">
        <v>318.19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636.38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-0.01</v>
      </c>
      <c r="E242" s="57">
        <v>0</v>
      </c>
      <c r="F242" s="57">
        <v>-0.01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-0.02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1332.84</v>
      </c>
      <c r="E243" s="60">
        <f t="shared" si="49"/>
        <v>0</v>
      </c>
      <c r="F243" s="60">
        <f t="shared" si="49"/>
        <v>1332.84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2665.68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1338.26</v>
      </c>
      <c r="E248" s="60">
        <f t="shared" si="50"/>
        <v>0</v>
      </c>
      <c r="F248" s="60">
        <f t="shared" si="50"/>
        <v>1338.26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1437849.24</v>
      </c>
      <c r="E253" s="68">
        <f t="shared" si="51"/>
        <v>0</v>
      </c>
      <c r="F253" s="68">
        <f t="shared" si="51"/>
        <v>1437849.24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739" priority="288" operator="containsText" text="NOT FOUND">
      <formula>NOT(ISERROR(SEARCH("NOT FOUND",D5)))</formula>
    </cfRule>
  </conditionalFormatting>
  <conditionalFormatting sqref="D15:P15">
    <cfRule type="containsText" dxfId="81" priority="41" operator="containsText" text="NOT FOUND">
      <formula>NOT(ISERROR(SEARCH("NOT FOUND",D15)))</formula>
    </cfRule>
  </conditionalFormatting>
  <conditionalFormatting sqref="D16:P16">
    <cfRule type="containsText" dxfId="80" priority="40" operator="containsText" text="NOT FOUND">
      <formula>NOT(ISERROR(SEARCH("NOT FOUND",D16)))</formula>
    </cfRule>
  </conditionalFormatting>
  <conditionalFormatting sqref="D24:P24">
    <cfRule type="containsText" dxfId="79" priority="39" operator="containsText" text="NOT FOUND">
      <formula>NOT(ISERROR(SEARCH("NOT FOUND",D24)))</formula>
    </cfRule>
  </conditionalFormatting>
  <conditionalFormatting sqref="D29:P29">
    <cfRule type="containsText" dxfId="78" priority="38" operator="containsText" text="NOT FOUND">
      <formula>NOT(ISERROR(SEARCH("NOT FOUND",D29)))</formula>
    </cfRule>
  </conditionalFormatting>
  <conditionalFormatting sqref="D34:P34">
    <cfRule type="containsText" dxfId="77" priority="37" operator="containsText" text="NOT FOUND">
      <formula>NOT(ISERROR(SEARCH("NOT FOUND",D34)))</formula>
    </cfRule>
  </conditionalFormatting>
  <conditionalFormatting sqref="D35:P35">
    <cfRule type="containsText" dxfId="76" priority="36" operator="containsText" text="NOT FOUND">
      <formula>NOT(ISERROR(SEARCH("NOT FOUND",D35)))</formula>
    </cfRule>
  </conditionalFormatting>
  <conditionalFormatting sqref="D36:P36">
    <cfRule type="containsText" dxfId="75" priority="35" operator="containsText" text="NOT FOUND">
      <formula>NOT(ISERROR(SEARCH("NOT FOUND",D36)))</formula>
    </cfRule>
  </conditionalFormatting>
  <conditionalFormatting sqref="D47:P47">
    <cfRule type="containsText" dxfId="74" priority="34" operator="containsText" text="NOT FOUND">
      <formula>NOT(ISERROR(SEARCH("NOT FOUND",D47)))</formula>
    </cfRule>
  </conditionalFormatting>
  <conditionalFormatting sqref="D52:P52">
    <cfRule type="containsText" dxfId="73" priority="33" operator="containsText" text="NOT FOUND">
      <formula>NOT(ISERROR(SEARCH("NOT FOUND",D52)))</formula>
    </cfRule>
  </conditionalFormatting>
  <conditionalFormatting sqref="D53:P53">
    <cfRule type="containsText" dxfId="72" priority="32" operator="containsText" text="NOT FOUND">
      <formula>NOT(ISERROR(SEARCH("NOT FOUND",D53)))</formula>
    </cfRule>
  </conditionalFormatting>
  <conditionalFormatting sqref="D61:P61">
    <cfRule type="containsText" dxfId="71" priority="31" operator="containsText" text="NOT FOUND">
      <formula>NOT(ISERROR(SEARCH("NOT FOUND",D61)))</formula>
    </cfRule>
  </conditionalFormatting>
  <conditionalFormatting sqref="D70:P70">
    <cfRule type="containsText" dxfId="70" priority="30" operator="containsText" text="NOT FOUND">
      <formula>NOT(ISERROR(SEARCH("NOT FOUND",D70)))</formula>
    </cfRule>
  </conditionalFormatting>
  <conditionalFormatting sqref="D80:P80">
    <cfRule type="containsText" dxfId="69" priority="29" operator="containsText" text="NOT FOUND">
      <formula>NOT(ISERROR(SEARCH("NOT FOUND",D80)))</formula>
    </cfRule>
  </conditionalFormatting>
  <conditionalFormatting sqref="D89:P89">
    <cfRule type="containsText" dxfId="68" priority="28" operator="containsText" text="NOT FOUND">
      <formula>NOT(ISERROR(SEARCH("NOT FOUND",D89)))</formula>
    </cfRule>
  </conditionalFormatting>
  <conditionalFormatting sqref="D101:P101">
    <cfRule type="containsText" dxfId="67" priority="27" operator="containsText" text="NOT FOUND">
      <formula>NOT(ISERROR(SEARCH("NOT FOUND",D101)))</formula>
    </cfRule>
  </conditionalFormatting>
  <conditionalFormatting sqref="D106:P106">
    <cfRule type="containsText" dxfId="66" priority="26" operator="containsText" text="NOT FOUND">
      <formula>NOT(ISERROR(SEARCH("NOT FOUND",D106)))</formula>
    </cfRule>
  </conditionalFormatting>
  <conditionalFormatting sqref="D111:P111">
    <cfRule type="containsText" dxfId="65" priority="25" operator="containsText" text="NOT FOUND">
      <formula>NOT(ISERROR(SEARCH("NOT FOUND",D111)))</formula>
    </cfRule>
  </conditionalFormatting>
  <conditionalFormatting sqref="D112:P112">
    <cfRule type="containsText" dxfId="64" priority="24" operator="containsText" text="NOT FOUND">
      <formula>NOT(ISERROR(SEARCH("NOT FOUND",D112)))</formula>
    </cfRule>
  </conditionalFormatting>
  <conditionalFormatting sqref="D117:P117">
    <cfRule type="containsText" dxfId="63" priority="23" operator="containsText" text="NOT FOUND">
      <formula>NOT(ISERROR(SEARCH("NOT FOUND",D117)))</formula>
    </cfRule>
  </conditionalFormatting>
  <conditionalFormatting sqref="D128:P128">
    <cfRule type="containsText" dxfId="62" priority="22" operator="containsText" text="NOT FOUND">
      <formula>NOT(ISERROR(SEARCH("NOT FOUND",D128)))</formula>
    </cfRule>
  </conditionalFormatting>
  <conditionalFormatting sqref="D132:P132">
    <cfRule type="containsText" dxfId="61" priority="21" operator="containsText" text="NOT FOUND">
      <formula>NOT(ISERROR(SEARCH("NOT FOUND",D132)))</formula>
    </cfRule>
  </conditionalFormatting>
  <conditionalFormatting sqref="D137:P137">
    <cfRule type="containsText" dxfId="60" priority="20" operator="containsText" text="NOT FOUND">
      <formula>NOT(ISERROR(SEARCH("NOT FOUND",D137)))</formula>
    </cfRule>
  </conditionalFormatting>
  <conditionalFormatting sqref="D138:P138">
    <cfRule type="containsText" dxfId="59" priority="19" operator="containsText" text="NOT FOUND">
      <formula>NOT(ISERROR(SEARCH("NOT FOUND",D138)))</formula>
    </cfRule>
  </conditionalFormatting>
  <conditionalFormatting sqref="D148:P148">
    <cfRule type="containsText" dxfId="58" priority="18" operator="containsText" text="NOT FOUND">
      <formula>NOT(ISERROR(SEARCH("NOT FOUND",D148)))</formula>
    </cfRule>
  </conditionalFormatting>
  <conditionalFormatting sqref="D154:P154">
    <cfRule type="containsText" dxfId="57" priority="17" operator="containsText" text="NOT FOUND">
      <formula>NOT(ISERROR(SEARCH("NOT FOUND",D154)))</formula>
    </cfRule>
  </conditionalFormatting>
  <conditionalFormatting sqref="D158:P158">
    <cfRule type="containsText" dxfId="56" priority="16" operator="containsText" text="NOT FOUND">
      <formula>NOT(ISERROR(SEARCH("NOT FOUND",D158)))</formula>
    </cfRule>
  </conditionalFormatting>
  <conditionalFormatting sqref="D170:P170">
    <cfRule type="containsText" dxfId="55" priority="15" operator="containsText" text="NOT FOUND">
      <formula>NOT(ISERROR(SEARCH("NOT FOUND",D170)))</formula>
    </cfRule>
  </conditionalFormatting>
  <conditionalFormatting sqref="D175:P175">
    <cfRule type="containsText" dxfId="54" priority="14" operator="containsText" text="NOT FOUND">
      <formula>NOT(ISERROR(SEARCH("NOT FOUND",D175)))</formula>
    </cfRule>
  </conditionalFormatting>
  <conditionalFormatting sqref="D182:P182">
    <cfRule type="containsText" dxfId="53" priority="13" operator="containsText" text="NOT FOUND">
      <formula>NOT(ISERROR(SEARCH("NOT FOUND",D182)))</formula>
    </cfRule>
  </conditionalFormatting>
  <conditionalFormatting sqref="D187:P187">
    <cfRule type="containsText" dxfId="52" priority="12" operator="containsText" text="NOT FOUND">
      <formula>NOT(ISERROR(SEARCH("NOT FOUND",D187)))</formula>
    </cfRule>
  </conditionalFormatting>
  <conditionalFormatting sqref="D197:P197">
    <cfRule type="containsText" dxfId="51" priority="11" operator="containsText" text="NOT FOUND">
      <formula>NOT(ISERROR(SEARCH("NOT FOUND",D197)))</formula>
    </cfRule>
  </conditionalFormatting>
  <conditionalFormatting sqref="D198:P198">
    <cfRule type="containsText" dxfId="50" priority="10" operator="containsText" text="NOT FOUND">
      <formula>NOT(ISERROR(SEARCH("NOT FOUND",D198)))</formula>
    </cfRule>
  </conditionalFormatting>
  <conditionalFormatting sqref="D206:P206">
    <cfRule type="containsText" dxfId="49" priority="9" operator="containsText" text="NOT FOUND">
      <formula>NOT(ISERROR(SEARCH("NOT FOUND",D206)))</formula>
    </cfRule>
  </conditionalFormatting>
  <conditionalFormatting sqref="D214:P214">
    <cfRule type="containsText" dxfId="48" priority="8" operator="containsText" text="NOT FOUND">
      <formula>NOT(ISERROR(SEARCH("NOT FOUND",D214)))</formula>
    </cfRule>
  </conditionalFormatting>
  <conditionalFormatting sqref="D219:P219">
    <cfRule type="containsText" dxfId="47" priority="7" operator="containsText" text="NOT FOUND">
      <formula>NOT(ISERROR(SEARCH("NOT FOUND",D219)))</formula>
    </cfRule>
  </conditionalFormatting>
  <conditionalFormatting sqref="D223:P223">
    <cfRule type="containsText" dxfId="46" priority="6" operator="containsText" text="NOT FOUND">
      <formula>NOT(ISERROR(SEARCH("NOT FOUND",D223)))</formula>
    </cfRule>
  </conditionalFormatting>
  <conditionalFormatting sqref="D229:P229">
    <cfRule type="containsText" dxfId="45" priority="5" operator="containsText" text="NOT FOUND">
      <formula>NOT(ISERROR(SEARCH("NOT FOUND",D229)))</formula>
    </cfRule>
  </conditionalFormatting>
  <conditionalFormatting sqref="D233:P233">
    <cfRule type="containsText" dxfId="44" priority="4" operator="containsText" text="NOT FOUND">
      <formula>NOT(ISERROR(SEARCH("NOT FOUND",D233)))</formula>
    </cfRule>
  </conditionalFormatting>
  <conditionalFormatting sqref="D243:P243">
    <cfRule type="containsText" dxfId="43" priority="3" operator="containsText" text="NOT FOUND">
      <formula>NOT(ISERROR(SEARCH("NOT FOUND",D243)))</formula>
    </cfRule>
  </conditionalFormatting>
  <conditionalFormatting sqref="D248:P248">
    <cfRule type="containsText" dxfId="42" priority="2" operator="containsText" text="NOT FOUND">
      <formula>NOT(ISERROR(SEARCH("NOT FOUND",D248)))</formula>
    </cfRule>
  </conditionalFormatting>
  <conditionalFormatting sqref="D253:P253">
    <cfRule type="containsText" dxfId="41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2E87-4B3E-4187-9491-DE0A03AAC531}">
  <sheetPr codeName="Sheet14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0</v>
      </c>
      <c r="E11" s="57">
        <v>0</v>
      </c>
      <c r="F11" s="57">
        <v>0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68848.56</v>
      </c>
      <c r="E19" s="57">
        <v>0</v>
      </c>
      <c r="F19" s="57">
        <v>68848.56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137697.12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68848.56</v>
      </c>
      <c r="E21" s="57">
        <v>0</v>
      </c>
      <c r="F21" s="57">
        <v>68848.56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137697.12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137697.12</v>
      </c>
      <c r="E24" s="59">
        <f t="shared" si="4"/>
        <v>0</v>
      </c>
      <c r="F24" s="59">
        <f t="shared" si="4"/>
        <v>137697.12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275394.24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137697.12</v>
      </c>
      <c r="E36" s="59">
        <f t="shared" si="6"/>
        <v>0</v>
      </c>
      <c r="F36" s="59">
        <f t="shared" si="6"/>
        <v>137697.12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275394.24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47159.67</v>
      </c>
      <c r="E56" s="57">
        <v>0</v>
      </c>
      <c r="F56" s="57">
        <v>47159.67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94319.34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3600</v>
      </c>
      <c r="E57" s="57">
        <v>0</v>
      </c>
      <c r="F57" s="57">
        <v>3600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7200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1763.9</v>
      </c>
      <c r="E58" s="57">
        <v>0</v>
      </c>
      <c r="F58" s="57">
        <v>1763.9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3527.8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2784.61</v>
      </c>
      <c r="E60" s="57">
        <v>0</v>
      </c>
      <c r="F60" s="57">
        <v>2784.61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5569.22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55308.18</v>
      </c>
      <c r="E61" s="59">
        <f t="shared" si="9"/>
        <v>0</v>
      </c>
      <c r="F61" s="59">
        <f t="shared" si="9"/>
        <v>55308.18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110616.36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0</v>
      </c>
      <c r="E62" s="57">
        <v>0</v>
      </c>
      <c r="F62" s="57">
        <v>0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0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49.54</v>
      </c>
      <c r="E63" s="57">
        <v>0</v>
      </c>
      <c r="F63" s="57">
        <v>49.54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99.08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21.54</v>
      </c>
      <c r="E65" s="57">
        <v>0</v>
      </c>
      <c r="F65" s="57">
        <v>21.54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43.08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0</v>
      </c>
      <c r="E69" s="57">
        <v>0</v>
      </c>
      <c r="F69" s="57">
        <v>0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0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0</v>
      </c>
      <c r="E71" s="57">
        <v>0</v>
      </c>
      <c r="F71" s="57">
        <v>0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0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98.45</v>
      </c>
      <c r="E73" s="57">
        <v>0</v>
      </c>
      <c r="F73" s="57">
        <v>98.45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196.9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84.2</v>
      </c>
      <c r="E74" s="57">
        <v>0</v>
      </c>
      <c r="F74" s="57">
        <v>84.2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168.4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182.65</v>
      </c>
      <c r="E80" s="59">
        <f t="shared" si="13"/>
        <v>0</v>
      </c>
      <c r="F80" s="59">
        <f t="shared" si="13"/>
        <v>182.65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365.3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0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1279.56</v>
      </c>
      <c r="E84" s="57">
        <v>0</v>
      </c>
      <c r="F84" s="57">
        <v>1279.56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2559.12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82.44</v>
      </c>
      <c r="E85" s="57">
        <v>0</v>
      </c>
      <c r="F85" s="57">
        <v>82.44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164.88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792.09</v>
      </c>
      <c r="E86" s="57">
        <v>0</v>
      </c>
      <c r="F86" s="57">
        <v>792.09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1584.18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258.5</v>
      </c>
      <c r="E87" s="57">
        <v>0</v>
      </c>
      <c r="F87" s="57">
        <v>258.5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517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588.49</v>
      </c>
      <c r="E88" s="57">
        <v>0</v>
      </c>
      <c r="F88" s="57">
        <v>588.49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1176.98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3001.08</v>
      </c>
      <c r="E89" s="59">
        <f t="shared" si="15"/>
        <v>0</v>
      </c>
      <c r="F89" s="59">
        <f t="shared" si="15"/>
        <v>3001.08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6002.16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4235.2299999999996</v>
      </c>
      <c r="E91" s="57">
        <v>0</v>
      </c>
      <c r="F91" s="57">
        <v>4235.2299999999996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8470.4599999999991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1117.8399999999999</v>
      </c>
      <c r="E92" s="57">
        <v>0</v>
      </c>
      <c r="F92" s="57">
        <v>1117.8399999999999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2235.6799999999998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4384.3999999999996</v>
      </c>
      <c r="E93" s="57">
        <v>0</v>
      </c>
      <c r="F93" s="57">
        <v>4384.3999999999996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8768.7999999999993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548.1</v>
      </c>
      <c r="E100" s="57">
        <v>0</v>
      </c>
      <c r="F100" s="57">
        <v>548.1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1096.2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6050.34</v>
      </c>
      <c r="E101" s="59">
        <f t="shared" si="17"/>
        <v>0</v>
      </c>
      <c r="F101" s="59">
        <f t="shared" si="17"/>
        <v>6050.34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12100.68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-55308.18</v>
      </c>
      <c r="E104" s="57">
        <v>0</v>
      </c>
      <c r="F104" s="57">
        <v>-55308.18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-110616.36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-13540.38</v>
      </c>
      <c r="E105" s="57">
        <v>0</v>
      </c>
      <c r="F105" s="57">
        <v>-13540.38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-27080.76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-68848.56</v>
      </c>
      <c r="E106" s="59">
        <f t="shared" si="18"/>
        <v>0</v>
      </c>
      <c r="F106" s="59">
        <f t="shared" si="18"/>
        <v>-68848.56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-137697.12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137697.12</v>
      </c>
      <c r="E112" s="59">
        <f t="shared" si="20"/>
        <v>0</v>
      </c>
      <c r="F112" s="59">
        <f t="shared" si="20"/>
        <v>137697.12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275394.24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0</v>
      </c>
      <c r="E129" s="57">
        <v>0</v>
      </c>
      <c r="F129" s="57">
        <v>0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0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3138.24</v>
      </c>
      <c r="E141" s="57">
        <v>0</v>
      </c>
      <c r="F141" s="57">
        <v>3138.24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6276.48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1763.9</v>
      </c>
      <c r="E142" s="57">
        <v>0</v>
      </c>
      <c r="F142" s="57">
        <v>1763.9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3527.8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0</v>
      </c>
      <c r="E144" s="57">
        <v>0</v>
      </c>
      <c r="F144" s="57">
        <v>0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0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2784.61</v>
      </c>
      <c r="E146" s="57">
        <v>0</v>
      </c>
      <c r="F146" s="57">
        <v>2784.61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5569.22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7886.75</v>
      </c>
      <c r="E148" s="59">
        <f t="shared" si="28"/>
        <v>0</v>
      </c>
      <c r="F148" s="59">
        <f t="shared" si="28"/>
        <v>7886.75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15773.5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21.54</v>
      </c>
      <c r="E157" s="57">
        <v>0</v>
      </c>
      <c r="F157" s="57">
        <v>21.54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43.08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21.54</v>
      </c>
      <c r="E158" s="59">
        <f t="shared" ref="E158:P158" si="30">E157+E156</f>
        <v>0</v>
      </c>
      <c r="F158" s="59">
        <f t="shared" si="30"/>
        <v>21.54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43.08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9.33</v>
      </c>
      <c r="E164" s="57">
        <v>0</v>
      </c>
      <c r="F164" s="57">
        <v>9.33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18.66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3.24</v>
      </c>
      <c r="E165" s="57">
        <v>0</v>
      </c>
      <c r="F165" s="57">
        <v>3.24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6.48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110.11</v>
      </c>
      <c r="E167" s="57">
        <v>0</v>
      </c>
      <c r="F167" s="57">
        <v>110.11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220.22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110.11</v>
      </c>
      <c r="E170" s="59">
        <f t="shared" si="32"/>
        <v>0</v>
      </c>
      <c r="F170" s="59">
        <f t="shared" si="32"/>
        <v>110.11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220.22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422.57</v>
      </c>
      <c r="E172" s="57">
        <v>0</v>
      </c>
      <c r="F172" s="57">
        <v>422.57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845.14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422.57</v>
      </c>
      <c r="E175" s="59">
        <f t="shared" si="33"/>
        <v>0</v>
      </c>
      <c r="F175" s="59">
        <f t="shared" si="33"/>
        <v>422.57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845.14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5254.84</v>
      </c>
      <c r="E176" s="57">
        <v>0</v>
      </c>
      <c r="F176" s="57">
        <v>5254.84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10509.68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21.26</v>
      </c>
      <c r="E177" s="57">
        <v>0</v>
      </c>
      <c r="F177" s="57">
        <v>21.26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42.52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4235.2299999999996</v>
      </c>
      <c r="E184" s="57">
        <v>0</v>
      </c>
      <c r="F184" s="57">
        <v>4235.2299999999996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8470.4599999999991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4235.2299999999996</v>
      </c>
      <c r="E187" s="59">
        <f t="shared" si="36"/>
        <v>0</v>
      </c>
      <c r="F187" s="59">
        <f t="shared" si="36"/>
        <v>4235.2299999999996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8470.4599999999991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17964.87</v>
      </c>
      <c r="E198" s="60">
        <f t="shared" si="39"/>
        <v>0</v>
      </c>
      <c r="F198" s="60">
        <f t="shared" si="39"/>
        <v>17964.87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0</v>
      </c>
      <c r="E213" s="57">
        <v>0</v>
      </c>
      <c r="F213" s="57">
        <v>0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0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13.52</v>
      </c>
      <c r="E222" s="57">
        <v>0</v>
      </c>
      <c r="F222" s="57">
        <v>13.52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27.04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13.52</v>
      </c>
      <c r="E223" s="60">
        <f t="shared" si="45"/>
        <v>0</v>
      </c>
      <c r="F223" s="60">
        <f t="shared" si="45"/>
        <v>13.52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27.04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0.46</v>
      </c>
      <c r="E226" s="57">
        <v>0</v>
      </c>
      <c r="F226" s="57">
        <v>0.46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0.92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0.46</v>
      </c>
      <c r="E229" s="60">
        <f t="shared" si="46"/>
        <v>0</v>
      </c>
      <c r="F229" s="60">
        <f t="shared" si="46"/>
        <v>0.46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0.92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23.29</v>
      </c>
      <c r="E235" s="57">
        <v>0</v>
      </c>
      <c r="F235" s="57">
        <v>23.29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46.58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0</v>
      </c>
      <c r="E242" s="57">
        <v>0</v>
      </c>
      <c r="F242" s="57">
        <v>0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0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37.269999999999996</v>
      </c>
      <c r="E243" s="60">
        <f t="shared" si="49"/>
        <v>0</v>
      </c>
      <c r="F243" s="60">
        <f t="shared" si="49"/>
        <v>37.269999999999996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74.539999999999992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37.269999999999996</v>
      </c>
      <c r="E248" s="60">
        <f t="shared" si="50"/>
        <v>0</v>
      </c>
      <c r="F248" s="60">
        <f t="shared" si="50"/>
        <v>37.269999999999996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-155699.25999999998</v>
      </c>
      <c r="E253" s="68">
        <f t="shared" si="51"/>
        <v>0</v>
      </c>
      <c r="F253" s="68">
        <f t="shared" si="51"/>
        <v>-155699.25999999998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697" priority="288" operator="containsText" text="NOT FOUND">
      <formula>NOT(ISERROR(SEARCH("NOT FOUND",D5)))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61921-57F5-4F6C-8589-FBB327F5DF8B}">
  <sheetPr codeName="Sheet32">
    <pageSetUpPr fitToPage="1"/>
  </sheetPr>
  <dimension ref="B1:H264"/>
  <sheetViews>
    <sheetView zoomScale="70" zoomScaleNormal="70" workbookViewId="0">
      <pane ySplit="5" topLeftCell="A6" activePane="bottomLeft" state="frozen"/>
      <selection pane="bottomLeft" activeCell="F15" sqref="F15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440</v>
      </c>
    </row>
    <row r="4" spans="2:8" ht="18.75">
      <c r="B4" s="103" t="s">
        <v>12</v>
      </c>
      <c r="C4" s="103" t="s">
        <v>13</v>
      </c>
      <c r="D4" s="96" t="s">
        <v>415</v>
      </c>
      <c r="E4" s="96"/>
      <c r="F4" s="96"/>
      <c r="G4" s="96"/>
      <c r="H4" s="97"/>
    </row>
    <row r="5" spans="2:8" ht="24" customHeight="1">
      <c r="B5" s="104"/>
      <c r="C5" s="104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45" customHeight="1">
      <c r="B6" s="24"/>
      <c r="C6" s="27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8" t="s">
        <v>28</v>
      </c>
      <c r="D7" s="26"/>
      <c r="E7" s="26"/>
      <c r="F7" s="26"/>
      <c r="G7" s="26"/>
      <c r="H7" s="26"/>
    </row>
    <row r="8" spans="2:8">
      <c r="B8" s="29" t="s">
        <v>29</v>
      </c>
      <c r="C8" s="25" t="s">
        <v>30</v>
      </c>
      <c r="D8" s="26">
        <f>CLN!P8</f>
        <v>1653964.36</v>
      </c>
      <c r="E8" s="26">
        <f>'MJK2'!P8</f>
        <v>0</v>
      </c>
      <c r="F8" s="26">
        <f>'MJK1'!P8</f>
        <v>3750872.42</v>
      </c>
      <c r="G8" s="26">
        <f>BJR!P8</f>
        <v>0</v>
      </c>
      <c r="H8" s="26">
        <f t="shared" ref="H8:H70" si="0">SUM(D8:G8)</f>
        <v>5404836.7800000003</v>
      </c>
    </row>
    <row r="9" spans="2:8">
      <c r="B9" s="29" t="s">
        <v>31</v>
      </c>
      <c r="C9" s="25" t="s">
        <v>32</v>
      </c>
      <c r="D9" s="26">
        <f>CLN!P9</f>
        <v>0</v>
      </c>
      <c r="E9" s="26">
        <f>'MJK2'!P9</f>
        <v>129221.94</v>
      </c>
      <c r="F9" s="26">
        <f>'MJK1'!P9</f>
        <v>0</v>
      </c>
      <c r="G9" s="26">
        <f>BJR!P9</f>
        <v>0</v>
      </c>
      <c r="H9" s="26">
        <f t="shared" si="0"/>
        <v>129221.94</v>
      </c>
    </row>
    <row r="10" spans="2:8">
      <c r="B10" s="29" t="s">
        <v>33</v>
      </c>
      <c r="C10" s="25" t="s">
        <v>34</v>
      </c>
      <c r="D10" s="26">
        <f>CLN!P10</f>
        <v>0</v>
      </c>
      <c r="E10" s="26">
        <f>'MJK2'!P10</f>
        <v>0</v>
      </c>
      <c r="F10" s="26">
        <f>'MJK1'!P10</f>
        <v>0</v>
      </c>
      <c r="G10" s="26">
        <f>BJR!P10</f>
        <v>0</v>
      </c>
      <c r="H10" s="26">
        <f t="shared" si="0"/>
        <v>0</v>
      </c>
    </row>
    <row r="11" spans="2:8">
      <c r="B11" s="29" t="s">
        <v>35</v>
      </c>
      <c r="C11" s="25" t="s">
        <v>36</v>
      </c>
      <c r="D11" s="26">
        <f>CLN!P11</f>
        <v>29182.46</v>
      </c>
      <c r="E11" s="26">
        <f>'MJK2'!P11</f>
        <v>349.46</v>
      </c>
      <c r="F11" s="26">
        <f>'MJK1'!P11</f>
        <v>650.14</v>
      </c>
      <c r="G11" s="26">
        <f>BJR!P11</f>
        <v>0</v>
      </c>
      <c r="H11" s="26">
        <f t="shared" si="0"/>
        <v>30182.059999999998</v>
      </c>
    </row>
    <row r="12" spans="2:8">
      <c r="B12" s="29" t="s">
        <v>37</v>
      </c>
      <c r="C12" s="25" t="s">
        <v>38</v>
      </c>
      <c r="D12" s="26">
        <f>CLN!P12</f>
        <v>0</v>
      </c>
      <c r="E12" s="26">
        <f>'MJK2'!P12</f>
        <v>0</v>
      </c>
      <c r="F12" s="26">
        <f>'MJK1'!P12</f>
        <v>0</v>
      </c>
      <c r="G12" s="26">
        <f>BJR!P12</f>
        <v>0</v>
      </c>
      <c r="H12" s="26">
        <f t="shared" si="0"/>
        <v>0</v>
      </c>
    </row>
    <row r="13" spans="2:8">
      <c r="B13" s="29" t="s">
        <v>39</v>
      </c>
      <c r="C13" s="25" t="s">
        <v>40</v>
      </c>
      <c r="D13" s="26">
        <f>CLN!P13</f>
        <v>0</v>
      </c>
      <c r="E13" s="26">
        <f>'MJK2'!P13</f>
        <v>0</v>
      </c>
      <c r="F13" s="26">
        <f>'MJK1'!P13</f>
        <v>0</v>
      </c>
      <c r="G13" s="26">
        <f>BJR!P13</f>
        <v>0</v>
      </c>
      <c r="H13" s="26">
        <f t="shared" si="0"/>
        <v>0</v>
      </c>
    </row>
    <row r="14" spans="2:8">
      <c r="B14" s="29"/>
      <c r="C14" s="25" t="s">
        <v>41</v>
      </c>
      <c r="D14" s="26">
        <f>CLN!P14</f>
        <v>0</v>
      </c>
      <c r="E14" s="26">
        <f>'MJK2'!P14</f>
        <v>0</v>
      </c>
      <c r="F14" s="26">
        <f>'MJK1'!P14</f>
        <v>0</v>
      </c>
      <c r="G14" s="26">
        <f>BJR!P14</f>
        <v>0</v>
      </c>
      <c r="H14" s="26">
        <f t="shared" si="0"/>
        <v>0</v>
      </c>
    </row>
    <row r="15" spans="2:8">
      <c r="B15" s="29" t="s">
        <v>42</v>
      </c>
      <c r="C15" s="33" t="s">
        <v>28</v>
      </c>
      <c r="D15" s="26">
        <f>CLN!P15</f>
        <v>1683146.82</v>
      </c>
      <c r="E15" s="26">
        <f>'MJK2'!P15</f>
        <v>129571.40000000001</v>
      </c>
      <c r="F15" s="26">
        <f>'MJK1'!P15</f>
        <v>3751522.56</v>
      </c>
      <c r="G15" s="26">
        <f>BJR!P15</f>
        <v>0</v>
      </c>
      <c r="H15" s="26">
        <f t="shared" si="0"/>
        <v>5564240.7800000003</v>
      </c>
    </row>
    <row r="16" spans="2:8">
      <c r="B16" s="29" t="s">
        <v>43</v>
      </c>
      <c r="C16" s="33" t="s">
        <v>44</v>
      </c>
      <c r="D16" s="26">
        <f>CLN!P16</f>
        <v>1683146.82</v>
      </c>
      <c r="E16" s="26">
        <f>'MJK2'!P16</f>
        <v>129571.40000000001</v>
      </c>
      <c r="F16" s="26">
        <f>'MJK1'!P16</f>
        <v>3751522.56</v>
      </c>
      <c r="G16" s="26">
        <f>BJR!P16</f>
        <v>0</v>
      </c>
      <c r="H16" s="26">
        <f t="shared" si="0"/>
        <v>5564240.7800000003</v>
      </c>
    </row>
    <row r="17" spans="2:8">
      <c r="B17" s="29"/>
      <c r="C17" s="27" t="s">
        <v>45</v>
      </c>
      <c r="D17" s="26">
        <f>CLN!P17</f>
        <v>0</v>
      </c>
      <c r="E17" s="26">
        <f>'MJK2'!P17</f>
        <v>0</v>
      </c>
      <c r="F17" s="26">
        <f>'MJK1'!P17</f>
        <v>0</v>
      </c>
      <c r="G17" s="26">
        <f>BJR!P17</f>
        <v>0</v>
      </c>
      <c r="H17" s="26">
        <f t="shared" si="0"/>
        <v>0</v>
      </c>
    </row>
    <row r="18" spans="2:8">
      <c r="B18" s="29"/>
      <c r="C18" s="28" t="s">
        <v>46</v>
      </c>
      <c r="D18" s="26">
        <f>CLN!P18</f>
        <v>0</v>
      </c>
      <c r="E18" s="26">
        <f>'MJK2'!P18</f>
        <v>0</v>
      </c>
      <c r="F18" s="26">
        <f>'MJK1'!P18</f>
        <v>0</v>
      </c>
      <c r="G18" s="26">
        <f>BJR!P18</f>
        <v>0</v>
      </c>
      <c r="H18" s="26">
        <f t="shared" si="0"/>
        <v>0</v>
      </c>
    </row>
    <row r="19" spans="2:8">
      <c r="B19" s="29" t="s">
        <v>47</v>
      </c>
      <c r="C19" s="25" t="s">
        <v>48</v>
      </c>
      <c r="D19" s="26">
        <f>CLN!P19</f>
        <v>4086019.94</v>
      </c>
      <c r="E19" s="26">
        <f>'MJK2'!P19</f>
        <v>267264.5</v>
      </c>
      <c r="F19" s="26">
        <f>'MJK1'!P19</f>
        <v>403480.24</v>
      </c>
      <c r="G19" s="26">
        <f>BJR!P19</f>
        <v>137697.12</v>
      </c>
      <c r="H19" s="26">
        <f t="shared" si="0"/>
        <v>4894461.8</v>
      </c>
    </row>
    <row r="20" spans="2:8">
      <c r="B20" s="29" t="s">
        <v>49</v>
      </c>
      <c r="C20" s="25" t="s">
        <v>50</v>
      </c>
      <c r="D20" s="26">
        <f>CLN!P20</f>
        <v>0</v>
      </c>
      <c r="E20" s="26">
        <f>'MJK2'!P20</f>
        <v>0</v>
      </c>
      <c r="F20" s="26">
        <f>'MJK1'!P20</f>
        <v>0</v>
      </c>
      <c r="G20" s="26">
        <f>BJR!P20</f>
        <v>0</v>
      </c>
      <c r="H20" s="26">
        <f t="shared" si="0"/>
        <v>0</v>
      </c>
    </row>
    <row r="21" spans="2:8">
      <c r="B21" s="29"/>
      <c r="C21" s="25" t="s">
        <v>51</v>
      </c>
      <c r="D21" s="26">
        <f>CLN!P21</f>
        <v>4086019.94</v>
      </c>
      <c r="E21" s="26">
        <f>'MJK2'!P21</f>
        <v>267264.5</v>
      </c>
      <c r="F21" s="26">
        <f>'MJK1'!P21</f>
        <v>403480.24</v>
      </c>
      <c r="G21" s="26">
        <f>BJR!P21</f>
        <v>137697.12</v>
      </c>
      <c r="H21" s="26">
        <f t="shared" si="0"/>
        <v>4894461.8</v>
      </c>
    </row>
    <row r="22" spans="2:8">
      <c r="B22" s="29" t="s">
        <v>52</v>
      </c>
      <c r="C22" s="25" t="s">
        <v>53</v>
      </c>
      <c r="D22" s="26">
        <f>CLN!P22</f>
        <v>0</v>
      </c>
      <c r="E22" s="26">
        <f>'MJK2'!P22</f>
        <v>0</v>
      </c>
      <c r="F22" s="26">
        <f>'MJK1'!P22</f>
        <v>0</v>
      </c>
      <c r="G22" s="26">
        <f>BJR!P22</f>
        <v>0</v>
      </c>
      <c r="H22" s="26">
        <f t="shared" si="0"/>
        <v>0</v>
      </c>
    </row>
    <row r="23" spans="2:8">
      <c r="B23" s="29" t="s">
        <v>54</v>
      </c>
      <c r="C23" s="25" t="s">
        <v>55</v>
      </c>
      <c r="D23" s="26">
        <f>CLN!P23</f>
        <v>0</v>
      </c>
      <c r="E23" s="26">
        <f>'MJK2'!P23</f>
        <v>0</v>
      </c>
      <c r="F23" s="26">
        <f>'MJK1'!P23</f>
        <v>0</v>
      </c>
      <c r="G23" s="26">
        <f>BJR!P23</f>
        <v>0</v>
      </c>
      <c r="H23" s="26">
        <f t="shared" si="0"/>
        <v>0</v>
      </c>
    </row>
    <row r="24" spans="2:8">
      <c r="B24" s="29"/>
      <c r="C24" s="33" t="s">
        <v>56</v>
      </c>
      <c r="D24" s="26">
        <f>CLN!P24</f>
        <v>8172039.8799999999</v>
      </c>
      <c r="E24" s="26">
        <f>'MJK2'!P24</f>
        <v>534529</v>
      </c>
      <c r="F24" s="26">
        <f>'MJK1'!P24</f>
        <v>806960.48</v>
      </c>
      <c r="G24" s="26">
        <f>BJR!P24</f>
        <v>275394.24</v>
      </c>
      <c r="H24" s="26">
        <f t="shared" si="0"/>
        <v>9788923.5999999996</v>
      </c>
    </row>
    <row r="25" spans="2:8">
      <c r="B25" s="29" t="s">
        <v>57</v>
      </c>
      <c r="C25" s="25" t="s">
        <v>58</v>
      </c>
      <c r="D25" s="26">
        <f>CLN!P25</f>
        <v>0</v>
      </c>
      <c r="E25" s="26">
        <f>'MJK2'!P25</f>
        <v>0</v>
      </c>
      <c r="F25" s="26">
        <f>'MJK1'!P25</f>
        <v>0</v>
      </c>
      <c r="G25" s="26">
        <f>BJR!P25</f>
        <v>0</v>
      </c>
      <c r="H25" s="26">
        <f t="shared" si="0"/>
        <v>0</v>
      </c>
    </row>
    <row r="26" spans="2:8">
      <c r="B26" s="29" t="s">
        <v>59</v>
      </c>
      <c r="C26" s="25" t="s">
        <v>60</v>
      </c>
      <c r="D26" s="26">
        <f>CLN!P26</f>
        <v>0</v>
      </c>
      <c r="E26" s="26">
        <f>'MJK2'!P26</f>
        <v>0</v>
      </c>
      <c r="F26" s="26">
        <f>'MJK1'!P26</f>
        <v>0</v>
      </c>
      <c r="G26" s="26">
        <f>BJR!P26</f>
        <v>0</v>
      </c>
      <c r="H26" s="26">
        <f t="shared" si="0"/>
        <v>0</v>
      </c>
    </row>
    <row r="27" spans="2:8">
      <c r="B27" s="29" t="s">
        <v>61</v>
      </c>
      <c r="C27" s="25" t="s">
        <v>62</v>
      </c>
      <c r="D27" s="26">
        <f>CLN!P27</f>
        <v>0</v>
      </c>
      <c r="E27" s="26">
        <f>'MJK2'!P27</f>
        <v>0</v>
      </c>
      <c r="F27" s="26">
        <f>'MJK1'!P27</f>
        <v>0</v>
      </c>
      <c r="G27" s="26">
        <f>BJR!P27</f>
        <v>0</v>
      </c>
      <c r="H27" s="26">
        <f t="shared" si="0"/>
        <v>0</v>
      </c>
    </row>
    <row r="28" spans="2:8">
      <c r="B28" s="29" t="s">
        <v>63</v>
      </c>
      <c r="C28" s="25" t="s">
        <v>64</v>
      </c>
      <c r="D28" s="26">
        <f>CLN!P28</f>
        <v>0</v>
      </c>
      <c r="E28" s="26">
        <f>'MJK2'!P28</f>
        <v>0</v>
      </c>
      <c r="F28" s="26">
        <f>'MJK1'!P28</f>
        <v>0</v>
      </c>
      <c r="G28" s="26">
        <f>BJR!P28</f>
        <v>0</v>
      </c>
      <c r="H28" s="26">
        <f t="shared" si="0"/>
        <v>0</v>
      </c>
    </row>
    <row r="29" spans="2:8">
      <c r="B29" s="29"/>
      <c r="C29" s="33" t="s">
        <v>65</v>
      </c>
      <c r="D29" s="26">
        <f>CLN!P29</f>
        <v>0</v>
      </c>
      <c r="E29" s="26">
        <f>'MJK2'!P29</f>
        <v>0</v>
      </c>
      <c r="F29" s="26">
        <f>'MJK1'!P29</f>
        <v>0</v>
      </c>
      <c r="G29" s="26">
        <f>BJR!P29</f>
        <v>0</v>
      </c>
      <c r="H29" s="26">
        <f t="shared" si="0"/>
        <v>0</v>
      </c>
    </row>
    <row r="30" spans="2:8">
      <c r="B30" s="29" t="s">
        <v>66</v>
      </c>
      <c r="C30" s="25" t="s">
        <v>67</v>
      </c>
      <c r="D30" s="26">
        <f>CLN!P30</f>
        <v>0</v>
      </c>
      <c r="E30" s="26">
        <f>'MJK2'!P30</f>
        <v>0</v>
      </c>
      <c r="F30" s="26">
        <f>'MJK1'!P30</f>
        <v>0</v>
      </c>
      <c r="G30" s="26">
        <f>BJR!P30</f>
        <v>0</v>
      </c>
      <c r="H30" s="26">
        <f t="shared" si="0"/>
        <v>0</v>
      </c>
    </row>
    <row r="31" spans="2:8">
      <c r="B31" s="29" t="s">
        <v>68</v>
      </c>
      <c r="C31" s="25" t="s">
        <v>69</v>
      </c>
      <c r="D31" s="26">
        <f>CLN!P31</f>
        <v>0</v>
      </c>
      <c r="E31" s="26">
        <f>'MJK2'!P31</f>
        <v>0</v>
      </c>
      <c r="F31" s="26">
        <f>'MJK1'!P31</f>
        <v>0</v>
      </c>
      <c r="G31" s="26">
        <f>BJR!P31</f>
        <v>0</v>
      </c>
      <c r="H31" s="26">
        <f t="shared" si="0"/>
        <v>0</v>
      </c>
    </row>
    <row r="32" spans="2:8">
      <c r="B32" s="29" t="s">
        <v>70</v>
      </c>
      <c r="C32" s="25" t="s">
        <v>71</v>
      </c>
      <c r="D32" s="26" t="e">
        <f>CLN!P32</f>
        <v>#VALUE!</v>
      </c>
      <c r="E32" s="26" t="e">
        <f>'MJK2'!P32</f>
        <v>#VALUE!</v>
      </c>
      <c r="F32" s="26" t="e">
        <f>'MJK1'!P32</f>
        <v>#VALUE!</v>
      </c>
      <c r="G32" s="26" t="e">
        <f>BJR!P32</f>
        <v>#VALUE!</v>
      </c>
      <c r="H32" s="26" t="e">
        <f t="shared" si="0"/>
        <v>#VALUE!</v>
      </c>
    </row>
    <row r="33" spans="2:8">
      <c r="B33" s="29" t="s">
        <v>72</v>
      </c>
      <c r="C33" s="25" t="s">
        <v>73</v>
      </c>
      <c r="D33" s="26">
        <f>CLN!P33</f>
        <v>0</v>
      </c>
      <c r="E33" s="26">
        <f>'MJK2'!P33</f>
        <v>0</v>
      </c>
      <c r="F33" s="26">
        <f>'MJK1'!P33</f>
        <v>0</v>
      </c>
      <c r="G33" s="26">
        <f>BJR!P33</f>
        <v>0</v>
      </c>
      <c r="H33" s="26">
        <f t="shared" si="0"/>
        <v>0</v>
      </c>
    </row>
    <row r="34" spans="2:8">
      <c r="B34" s="29"/>
      <c r="C34" s="33" t="s">
        <v>74</v>
      </c>
      <c r="D34" s="26">
        <f>CLN!P34</f>
        <v>0</v>
      </c>
      <c r="E34" s="26">
        <f>'MJK2'!P34</f>
        <v>0</v>
      </c>
      <c r="F34" s="26">
        <f>'MJK1'!P34</f>
        <v>0</v>
      </c>
      <c r="G34" s="26">
        <f>BJR!P34</f>
        <v>0</v>
      </c>
      <c r="H34" s="26">
        <f t="shared" si="0"/>
        <v>0</v>
      </c>
    </row>
    <row r="35" spans="2:8">
      <c r="B35" s="29" t="s">
        <v>75</v>
      </c>
      <c r="C35" s="33" t="s">
        <v>76</v>
      </c>
      <c r="D35" s="26">
        <f>CLN!P35</f>
        <v>0</v>
      </c>
      <c r="E35" s="26">
        <f>'MJK2'!P35</f>
        <v>0</v>
      </c>
      <c r="F35" s="26">
        <f>'MJK1'!P35</f>
        <v>0</v>
      </c>
      <c r="G35" s="26">
        <f>BJR!P35</f>
        <v>0</v>
      </c>
      <c r="H35" s="26">
        <f t="shared" si="0"/>
        <v>0</v>
      </c>
    </row>
    <row r="36" spans="2:8">
      <c r="B36" s="29" t="s">
        <v>77</v>
      </c>
      <c r="C36" s="33" t="s">
        <v>78</v>
      </c>
      <c r="D36" s="26">
        <f>CLN!P36</f>
        <v>8172039.8799999999</v>
      </c>
      <c r="E36" s="26">
        <f>'MJK2'!P36</f>
        <v>534529</v>
      </c>
      <c r="F36" s="26">
        <f>'MJK1'!P36</f>
        <v>806960.48</v>
      </c>
      <c r="G36" s="26">
        <f>BJR!P36</f>
        <v>275394.24</v>
      </c>
      <c r="H36" s="26">
        <f t="shared" si="0"/>
        <v>9788923.5999999996</v>
      </c>
    </row>
    <row r="37" spans="2:8">
      <c r="B37" s="29"/>
      <c r="C37" s="31" t="s">
        <v>79</v>
      </c>
      <c r="D37" s="26">
        <f>CLN!P37</f>
        <v>0</v>
      </c>
      <c r="E37" s="26">
        <f>'MJK2'!P37</f>
        <v>0</v>
      </c>
      <c r="F37" s="26">
        <f>'MJK1'!P37</f>
        <v>0</v>
      </c>
      <c r="G37" s="26">
        <f>BJR!P37</f>
        <v>0</v>
      </c>
      <c r="H37" s="26">
        <f t="shared" si="0"/>
        <v>0</v>
      </c>
    </row>
    <row r="38" spans="2:8">
      <c r="B38" s="29" t="s">
        <v>80</v>
      </c>
      <c r="C38" s="28" t="s">
        <v>81</v>
      </c>
      <c r="D38" s="26">
        <f>CLN!P38</f>
        <v>0</v>
      </c>
      <c r="E38" s="26">
        <f>'MJK2'!P38</f>
        <v>0</v>
      </c>
      <c r="F38" s="26">
        <f>'MJK1'!P38</f>
        <v>0</v>
      </c>
      <c r="G38" s="26">
        <f>BJR!P38</f>
        <v>0</v>
      </c>
      <c r="H38" s="26">
        <f t="shared" si="0"/>
        <v>0</v>
      </c>
    </row>
    <row r="39" spans="2:8">
      <c r="B39" s="29" t="s">
        <v>82</v>
      </c>
      <c r="C39" s="25" t="s">
        <v>83</v>
      </c>
      <c r="D39" s="26">
        <f>CLN!P39</f>
        <v>0</v>
      </c>
      <c r="E39" s="26">
        <f>'MJK2'!P39</f>
        <v>0</v>
      </c>
      <c r="F39" s="26">
        <f>'MJK1'!P39</f>
        <v>0</v>
      </c>
      <c r="G39" s="26">
        <f>BJR!P39</f>
        <v>0</v>
      </c>
      <c r="H39" s="26">
        <f t="shared" si="0"/>
        <v>0</v>
      </c>
    </row>
    <row r="40" spans="2:8">
      <c r="B40" s="29"/>
      <c r="C40" s="28" t="s">
        <v>84</v>
      </c>
      <c r="D40" s="26">
        <f>CLN!P40</f>
        <v>0</v>
      </c>
      <c r="E40" s="26">
        <f>'MJK2'!P40</f>
        <v>0</v>
      </c>
      <c r="F40" s="26">
        <f>'MJK1'!P40</f>
        <v>0</v>
      </c>
      <c r="G40" s="26">
        <f>BJR!P40</f>
        <v>0</v>
      </c>
      <c r="H40" s="26">
        <f t="shared" si="0"/>
        <v>0</v>
      </c>
    </row>
    <row r="41" spans="2:8">
      <c r="B41" s="29" t="s">
        <v>85</v>
      </c>
      <c r="C41" s="25" t="s">
        <v>86</v>
      </c>
      <c r="D41" s="26">
        <f>CLN!P41</f>
        <v>0</v>
      </c>
      <c r="E41" s="26">
        <f>'MJK2'!P41</f>
        <v>0</v>
      </c>
      <c r="F41" s="26">
        <f>'MJK1'!P41</f>
        <v>0</v>
      </c>
      <c r="G41" s="26">
        <f>BJR!P41</f>
        <v>0</v>
      </c>
      <c r="H41" s="26">
        <f t="shared" si="0"/>
        <v>0</v>
      </c>
    </row>
    <row r="42" spans="2:8">
      <c r="B42" s="29" t="s">
        <v>87</v>
      </c>
      <c r="C42" s="25" t="s">
        <v>88</v>
      </c>
      <c r="D42" s="26">
        <f>CLN!P42</f>
        <v>0</v>
      </c>
      <c r="E42" s="26">
        <f>'MJK2'!P42</f>
        <v>0</v>
      </c>
      <c r="F42" s="26">
        <f>'MJK1'!P42</f>
        <v>0</v>
      </c>
      <c r="G42" s="26">
        <f>BJR!P42</f>
        <v>0</v>
      </c>
      <c r="H42" s="26">
        <f t="shared" si="0"/>
        <v>0</v>
      </c>
    </row>
    <row r="43" spans="2:8">
      <c r="B43" s="29"/>
      <c r="C43" s="25" t="s">
        <v>89</v>
      </c>
      <c r="D43" s="26">
        <f>CLN!P43</f>
        <v>0</v>
      </c>
      <c r="E43" s="26">
        <f>'MJK2'!P43</f>
        <v>0</v>
      </c>
      <c r="F43" s="26">
        <f>'MJK1'!P43</f>
        <v>0</v>
      </c>
      <c r="G43" s="26">
        <f>BJR!P43</f>
        <v>0</v>
      </c>
      <c r="H43" s="26">
        <f t="shared" si="0"/>
        <v>0</v>
      </c>
    </row>
    <row r="44" spans="2:8">
      <c r="B44" s="29" t="s">
        <v>90</v>
      </c>
      <c r="C44" s="25" t="s">
        <v>91</v>
      </c>
      <c r="D44" s="26">
        <f>CLN!P44</f>
        <v>0</v>
      </c>
      <c r="E44" s="26">
        <f>'MJK2'!P44</f>
        <v>0</v>
      </c>
      <c r="F44" s="26">
        <f>'MJK1'!P44</f>
        <v>0</v>
      </c>
      <c r="G44" s="26">
        <f>BJR!P44</f>
        <v>0</v>
      </c>
      <c r="H44" s="26">
        <f t="shared" si="0"/>
        <v>0</v>
      </c>
    </row>
    <row r="45" spans="2:8">
      <c r="B45" s="29"/>
      <c r="C45" s="25" t="s">
        <v>92</v>
      </c>
      <c r="D45" s="26">
        <f>CLN!P45</f>
        <v>0</v>
      </c>
      <c r="E45" s="26">
        <f>'MJK2'!P45</f>
        <v>0</v>
      </c>
      <c r="F45" s="26">
        <f>'MJK1'!P45</f>
        <v>0</v>
      </c>
      <c r="G45" s="26">
        <f>BJR!P45</f>
        <v>0</v>
      </c>
      <c r="H45" s="26">
        <f t="shared" si="0"/>
        <v>0</v>
      </c>
    </row>
    <row r="46" spans="2:8">
      <c r="B46" s="29"/>
      <c r="C46" s="25" t="s">
        <v>93</v>
      </c>
      <c r="D46" s="26">
        <f>CLN!P46</f>
        <v>0</v>
      </c>
      <c r="E46" s="26">
        <f>'MJK2'!P46</f>
        <v>0</v>
      </c>
      <c r="F46" s="26">
        <f>'MJK1'!P46</f>
        <v>0</v>
      </c>
      <c r="G46" s="26">
        <f>BJR!P46</f>
        <v>0</v>
      </c>
      <c r="H46" s="26">
        <f t="shared" si="0"/>
        <v>0</v>
      </c>
    </row>
    <row r="47" spans="2:8">
      <c r="B47" s="29" t="s">
        <v>94</v>
      </c>
      <c r="C47" s="33" t="s">
        <v>84</v>
      </c>
      <c r="D47" s="26">
        <f>CLN!P47</f>
        <v>0</v>
      </c>
      <c r="E47" s="26">
        <f>'MJK2'!P47</f>
        <v>0</v>
      </c>
      <c r="F47" s="26">
        <f>'MJK1'!P47</f>
        <v>0</v>
      </c>
      <c r="G47" s="26">
        <f>BJR!P47</f>
        <v>0</v>
      </c>
      <c r="H47" s="26">
        <f t="shared" si="0"/>
        <v>0</v>
      </c>
    </row>
    <row r="48" spans="2:8">
      <c r="B48" s="29"/>
      <c r="C48" s="28" t="s">
        <v>95</v>
      </c>
      <c r="D48" s="26">
        <f>CLN!P48</f>
        <v>0</v>
      </c>
      <c r="E48" s="26">
        <f>'MJK2'!P48</f>
        <v>0</v>
      </c>
      <c r="F48" s="26">
        <f>'MJK1'!P48</f>
        <v>0</v>
      </c>
      <c r="G48" s="26">
        <f>BJR!P48</f>
        <v>0</v>
      </c>
      <c r="H48" s="26">
        <f t="shared" si="0"/>
        <v>0</v>
      </c>
    </row>
    <row r="49" spans="2:8">
      <c r="B49" s="29" t="s">
        <v>96</v>
      </c>
      <c r="C49" s="25" t="s">
        <v>97</v>
      </c>
      <c r="D49" s="26">
        <f>CLN!P49</f>
        <v>0</v>
      </c>
      <c r="E49" s="26">
        <f>'MJK2'!P49</f>
        <v>0</v>
      </c>
      <c r="F49" s="26">
        <f>'MJK1'!P49</f>
        <v>0</v>
      </c>
      <c r="G49" s="26">
        <f>BJR!P49</f>
        <v>0</v>
      </c>
      <c r="H49" s="26">
        <f t="shared" si="0"/>
        <v>0</v>
      </c>
    </row>
    <row r="50" spans="2:8">
      <c r="B50" s="29" t="s">
        <v>98</v>
      </c>
      <c r="C50" s="25" t="s">
        <v>99</v>
      </c>
      <c r="D50" s="26">
        <f>CLN!P50</f>
        <v>0</v>
      </c>
      <c r="E50" s="26">
        <f>'MJK2'!P50</f>
        <v>0</v>
      </c>
      <c r="F50" s="26">
        <f>'MJK1'!P50</f>
        <v>0</v>
      </c>
      <c r="G50" s="26">
        <f>BJR!P50</f>
        <v>0</v>
      </c>
      <c r="H50" s="26">
        <f t="shared" si="0"/>
        <v>0</v>
      </c>
    </row>
    <row r="51" spans="2:8">
      <c r="B51" s="29" t="s">
        <v>100</v>
      </c>
      <c r="C51" s="25" t="s">
        <v>101</v>
      </c>
      <c r="D51" s="26">
        <f>CLN!P51</f>
        <v>0</v>
      </c>
      <c r="E51" s="26">
        <f>'MJK2'!P51</f>
        <v>0</v>
      </c>
      <c r="F51" s="26">
        <f>'MJK1'!P51</f>
        <v>0</v>
      </c>
      <c r="G51" s="26">
        <f>BJR!P51</f>
        <v>0</v>
      </c>
      <c r="H51" s="26">
        <f t="shared" si="0"/>
        <v>0</v>
      </c>
    </row>
    <row r="52" spans="2:8">
      <c r="B52" s="29" t="s">
        <v>102</v>
      </c>
      <c r="C52" s="33" t="s">
        <v>95</v>
      </c>
      <c r="D52" s="26">
        <f>CLN!P52</f>
        <v>0</v>
      </c>
      <c r="E52" s="26">
        <f>'MJK2'!P52</f>
        <v>0</v>
      </c>
      <c r="F52" s="26">
        <f>'MJK1'!P52</f>
        <v>0</v>
      </c>
      <c r="G52" s="26">
        <f>BJR!P52</f>
        <v>0</v>
      </c>
      <c r="H52" s="26">
        <f t="shared" si="0"/>
        <v>0</v>
      </c>
    </row>
    <row r="53" spans="2:8">
      <c r="B53" s="29" t="s">
        <v>103</v>
      </c>
      <c r="C53" s="33" t="s">
        <v>104</v>
      </c>
      <c r="D53" s="26">
        <f>CLN!P53</f>
        <v>0</v>
      </c>
      <c r="E53" s="26">
        <f>'MJK2'!P53</f>
        <v>0</v>
      </c>
      <c r="F53" s="26">
        <f>'MJK1'!P53</f>
        <v>0</v>
      </c>
      <c r="G53" s="26">
        <f>BJR!P53</f>
        <v>0</v>
      </c>
      <c r="H53" s="26">
        <f t="shared" si="0"/>
        <v>0</v>
      </c>
    </row>
    <row r="54" spans="2:8">
      <c r="B54" s="29"/>
      <c r="C54" s="98" t="s">
        <v>105</v>
      </c>
      <c r="D54" s="26">
        <f>CLN!P54</f>
        <v>0</v>
      </c>
      <c r="E54" s="26">
        <f>'MJK2'!P54</f>
        <v>0</v>
      </c>
      <c r="F54" s="26">
        <f>'MJK1'!P54</f>
        <v>0</v>
      </c>
      <c r="G54" s="26">
        <f>BJR!P54</f>
        <v>0</v>
      </c>
      <c r="H54" s="26">
        <f t="shared" si="0"/>
        <v>0</v>
      </c>
    </row>
    <row r="55" spans="2:8">
      <c r="B55" s="29"/>
      <c r="C55" s="99" t="s">
        <v>106</v>
      </c>
      <c r="D55" s="26">
        <f>CLN!P55</f>
        <v>0</v>
      </c>
      <c r="E55" s="26">
        <f>'MJK2'!P55</f>
        <v>0</v>
      </c>
      <c r="F55" s="26">
        <f>'MJK1'!P55</f>
        <v>0</v>
      </c>
      <c r="G55" s="26">
        <f>BJR!P55</f>
        <v>0</v>
      </c>
      <c r="H55" s="26">
        <f t="shared" si="0"/>
        <v>0</v>
      </c>
    </row>
    <row r="56" spans="2:8">
      <c r="B56" s="29" t="s">
        <v>107</v>
      </c>
      <c r="C56" s="100" t="s">
        <v>108</v>
      </c>
      <c r="D56" s="26">
        <f>CLN!P56</f>
        <v>71986.86</v>
      </c>
      <c r="E56" s="26">
        <f>'MJK2'!P56</f>
        <v>151985.56</v>
      </c>
      <c r="F56" s="26">
        <f>'MJK1'!P56</f>
        <v>191371.36</v>
      </c>
      <c r="G56" s="26">
        <f>BJR!P56</f>
        <v>94319.34</v>
      </c>
      <c r="H56" s="26">
        <f t="shared" si="0"/>
        <v>509663.12</v>
      </c>
    </row>
    <row r="57" spans="2:8">
      <c r="B57" s="29" t="s">
        <v>109</v>
      </c>
      <c r="C57" s="100" t="s">
        <v>110</v>
      </c>
      <c r="D57" s="26">
        <f>CLN!P57</f>
        <v>5400</v>
      </c>
      <c r="E57" s="26">
        <f>'MJK2'!P57</f>
        <v>12600</v>
      </c>
      <c r="F57" s="26">
        <f>'MJK1'!P57</f>
        <v>16000</v>
      </c>
      <c r="G57" s="26">
        <f>BJR!P57</f>
        <v>7200</v>
      </c>
      <c r="H57" s="26">
        <f t="shared" si="0"/>
        <v>41200</v>
      </c>
    </row>
    <row r="58" spans="2:8">
      <c r="B58" s="29" t="s">
        <v>111</v>
      </c>
      <c r="C58" s="100" t="s">
        <v>112</v>
      </c>
      <c r="D58" s="26">
        <f>CLN!P58</f>
        <v>4834.34</v>
      </c>
      <c r="E58" s="26">
        <f>'MJK2'!P58</f>
        <v>6679.28</v>
      </c>
      <c r="F58" s="26">
        <f>'MJK1'!P58</f>
        <v>7319.9</v>
      </c>
      <c r="G58" s="26">
        <f>BJR!P58</f>
        <v>3527.8</v>
      </c>
      <c r="H58" s="26">
        <f t="shared" si="0"/>
        <v>22361.319999999996</v>
      </c>
    </row>
    <row r="59" spans="2:8">
      <c r="B59" s="29" t="s">
        <v>113</v>
      </c>
      <c r="C59" s="100" t="s">
        <v>114</v>
      </c>
      <c r="D59" s="26">
        <f>CLN!P59</f>
        <v>0</v>
      </c>
      <c r="E59" s="26">
        <f>'MJK2'!P59</f>
        <v>0</v>
      </c>
      <c r="F59" s="26">
        <f>'MJK1'!P59</f>
        <v>0</v>
      </c>
      <c r="G59" s="26">
        <f>BJR!P59</f>
        <v>0</v>
      </c>
      <c r="H59" s="26">
        <f t="shared" si="0"/>
        <v>0</v>
      </c>
    </row>
    <row r="60" spans="2:8">
      <c r="B60" s="29" t="s">
        <v>115</v>
      </c>
      <c r="C60" s="100" t="s">
        <v>116</v>
      </c>
      <c r="D60" s="26">
        <f>CLN!P60</f>
        <v>4511.2</v>
      </c>
      <c r="E60" s="26">
        <f>'MJK2'!P60</f>
        <v>10437.08</v>
      </c>
      <c r="F60" s="26">
        <f>'MJK1'!P60</f>
        <v>11832.52</v>
      </c>
      <c r="G60" s="26">
        <f>BJR!P60</f>
        <v>5569.22</v>
      </c>
      <c r="H60" s="26">
        <f t="shared" si="0"/>
        <v>32350.02</v>
      </c>
    </row>
    <row r="61" spans="2:8">
      <c r="B61" s="29" t="s">
        <v>117</v>
      </c>
      <c r="C61" s="101" t="s">
        <v>106</v>
      </c>
      <c r="D61" s="26">
        <f>CLN!P61</f>
        <v>86732.4</v>
      </c>
      <c r="E61" s="26">
        <f>'MJK2'!P61</f>
        <v>181701.91999999998</v>
      </c>
      <c r="F61" s="26">
        <f>'MJK1'!P61</f>
        <v>226523.77999999997</v>
      </c>
      <c r="G61" s="26">
        <f>BJR!P61</f>
        <v>110616.36</v>
      </c>
      <c r="H61" s="26">
        <f t="shared" si="0"/>
        <v>605574.46</v>
      </c>
    </row>
    <row r="62" spans="2:8">
      <c r="B62" s="29" t="s">
        <v>118</v>
      </c>
      <c r="C62" s="100" t="s">
        <v>119</v>
      </c>
      <c r="D62" s="26">
        <f>CLN!P62</f>
        <v>329.04</v>
      </c>
      <c r="E62" s="26">
        <f>'MJK2'!P62</f>
        <v>3891.32</v>
      </c>
      <c r="F62" s="26">
        <f>'MJK1'!P62</f>
        <v>5477.32</v>
      </c>
      <c r="G62" s="26">
        <f>BJR!P62</f>
        <v>0</v>
      </c>
      <c r="H62" s="26">
        <f t="shared" si="0"/>
        <v>9697.68</v>
      </c>
    </row>
    <row r="63" spans="2:8">
      <c r="B63" s="29" t="s">
        <v>120</v>
      </c>
      <c r="C63" s="100" t="s">
        <v>121</v>
      </c>
      <c r="D63" s="26">
        <f>CLN!P63</f>
        <v>328.72</v>
      </c>
      <c r="E63" s="26">
        <f>'MJK2'!P63</f>
        <v>5256.32</v>
      </c>
      <c r="F63" s="26">
        <f>'MJK1'!P63</f>
        <v>1193.96</v>
      </c>
      <c r="G63" s="26">
        <f>BJR!P63</f>
        <v>99.08</v>
      </c>
      <c r="H63" s="26">
        <f t="shared" si="0"/>
        <v>6878.08</v>
      </c>
    </row>
    <row r="64" spans="2:8">
      <c r="B64" s="29" t="s">
        <v>122</v>
      </c>
      <c r="C64" s="100" t="s">
        <v>123</v>
      </c>
      <c r="D64" s="26">
        <f>CLN!P64</f>
        <v>0</v>
      </c>
      <c r="E64" s="26">
        <f>'MJK2'!P64</f>
        <v>0</v>
      </c>
      <c r="F64" s="26">
        <f>'MJK1'!P64</f>
        <v>0</v>
      </c>
      <c r="G64" s="26">
        <f>BJR!P64</f>
        <v>0</v>
      </c>
      <c r="H64" s="26">
        <f t="shared" si="0"/>
        <v>0</v>
      </c>
    </row>
    <row r="65" spans="2:8">
      <c r="B65" s="29" t="s">
        <v>124</v>
      </c>
      <c r="C65" s="100" t="s">
        <v>125</v>
      </c>
      <c r="D65" s="26">
        <f>CLN!P65</f>
        <v>165.86</v>
      </c>
      <c r="E65" s="26">
        <f>'MJK2'!P65</f>
        <v>0</v>
      </c>
      <c r="F65" s="26">
        <f>'MJK1'!P65</f>
        <v>0</v>
      </c>
      <c r="G65" s="26">
        <f>BJR!P65</f>
        <v>43.08</v>
      </c>
      <c r="H65" s="26">
        <f t="shared" si="0"/>
        <v>208.94</v>
      </c>
    </row>
    <row r="66" spans="2:8">
      <c r="B66" s="29"/>
      <c r="C66" s="99" t="s">
        <v>126</v>
      </c>
      <c r="D66" s="26">
        <f>CLN!P66</f>
        <v>0</v>
      </c>
      <c r="E66" s="26">
        <f>'MJK2'!P66</f>
        <v>0</v>
      </c>
      <c r="F66" s="26">
        <f>'MJK1'!P66</f>
        <v>0</v>
      </c>
      <c r="G66" s="26">
        <f>BJR!P66</f>
        <v>0</v>
      </c>
      <c r="H66" s="26">
        <f t="shared" si="0"/>
        <v>0</v>
      </c>
    </row>
    <row r="67" spans="2:8">
      <c r="B67" s="29" t="s">
        <v>127</v>
      </c>
      <c r="C67" s="100" t="s">
        <v>128</v>
      </c>
      <c r="D67" s="26">
        <f>CLN!P67</f>
        <v>0</v>
      </c>
      <c r="E67" s="26">
        <f>'MJK2'!P67</f>
        <v>0</v>
      </c>
      <c r="F67" s="26">
        <f>'MJK1'!P67</f>
        <v>0</v>
      </c>
      <c r="G67" s="26">
        <f>BJR!P67</f>
        <v>0</v>
      </c>
      <c r="H67" s="26">
        <f t="shared" si="0"/>
        <v>0</v>
      </c>
    </row>
    <row r="68" spans="2:8">
      <c r="B68" s="29" t="s">
        <v>129</v>
      </c>
      <c r="C68" s="100" t="s">
        <v>130</v>
      </c>
      <c r="D68" s="26">
        <f>CLN!P68</f>
        <v>0</v>
      </c>
      <c r="E68" s="26">
        <f>'MJK2'!P68</f>
        <v>0</v>
      </c>
      <c r="F68" s="26">
        <f>'MJK1'!P68</f>
        <v>0</v>
      </c>
      <c r="G68" s="26">
        <f>BJR!P68</f>
        <v>0</v>
      </c>
      <c r="H68" s="26">
        <f t="shared" si="0"/>
        <v>0</v>
      </c>
    </row>
    <row r="69" spans="2:8">
      <c r="B69" s="29"/>
      <c r="C69" s="100" t="s">
        <v>131</v>
      </c>
      <c r="D69" s="26">
        <f>CLN!P69</f>
        <v>22601.360000000001</v>
      </c>
      <c r="E69" s="26">
        <f>'MJK2'!P69</f>
        <v>1392.54</v>
      </c>
      <c r="F69" s="26">
        <f>'MJK1'!P69</f>
        <v>26127.3</v>
      </c>
      <c r="G69" s="26">
        <f>BJR!P69</f>
        <v>0</v>
      </c>
      <c r="H69" s="26">
        <f t="shared" si="0"/>
        <v>50121.2</v>
      </c>
    </row>
    <row r="70" spans="2:8">
      <c r="B70" s="29" t="s">
        <v>132</v>
      </c>
      <c r="C70" s="101" t="s">
        <v>126</v>
      </c>
      <c r="D70" s="26">
        <f>CLN!P70</f>
        <v>22601.360000000001</v>
      </c>
      <c r="E70" s="26">
        <f>'MJK2'!P70</f>
        <v>1392.54</v>
      </c>
      <c r="F70" s="26">
        <f>'MJK1'!P70</f>
        <v>26127.3</v>
      </c>
      <c r="G70" s="26">
        <f>BJR!P70</f>
        <v>0</v>
      </c>
      <c r="H70" s="26">
        <f t="shared" si="0"/>
        <v>50121.2</v>
      </c>
    </row>
    <row r="71" spans="2:8">
      <c r="B71" s="29" t="s">
        <v>133</v>
      </c>
      <c r="C71" s="100" t="s">
        <v>134</v>
      </c>
      <c r="D71" s="26">
        <f>CLN!P71</f>
        <v>332510.18</v>
      </c>
      <c r="E71" s="26">
        <f>'MJK2'!P71</f>
        <v>32528.5</v>
      </c>
      <c r="F71" s="26">
        <f>'MJK1'!P71</f>
        <v>65303.42</v>
      </c>
      <c r="G71" s="26">
        <f>BJR!P71</f>
        <v>0</v>
      </c>
      <c r="H71" s="26">
        <f t="shared" ref="H71:H134" si="1">SUM(D71:G71)</f>
        <v>430342.1</v>
      </c>
    </row>
    <row r="72" spans="2:8">
      <c r="B72" s="29"/>
      <c r="C72" s="99" t="s">
        <v>135</v>
      </c>
      <c r="D72" s="26">
        <f>CLN!P72</f>
        <v>0</v>
      </c>
      <c r="E72" s="26">
        <f>'MJK2'!P72</f>
        <v>0</v>
      </c>
      <c r="F72" s="26">
        <f>'MJK1'!P72</f>
        <v>0</v>
      </c>
      <c r="G72" s="26">
        <f>BJR!P72</f>
        <v>0</v>
      </c>
      <c r="H72" s="26">
        <f t="shared" si="1"/>
        <v>0</v>
      </c>
    </row>
    <row r="73" spans="2:8">
      <c r="B73" s="29" t="s">
        <v>136</v>
      </c>
      <c r="C73" s="100" t="s">
        <v>137</v>
      </c>
      <c r="D73" s="26">
        <f>CLN!P73</f>
        <v>2795.2</v>
      </c>
      <c r="E73" s="26">
        <f>'MJK2'!P73</f>
        <v>1303.3800000000001</v>
      </c>
      <c r="F73" s="26">
        <f>'MJK1'!P73</f>
        <v>1095.46</v>
      </c>
      <c r="G73" s="26">
        <f>BJR!P73</f>
        <v>196.9</v>
      </c>
      <c r="H73" s="26">
        <f t="shared" si="1"/>
        <v>5390.94</v>
      </c>
    </row>
    <row r="74" spans="2:8">
      <c r="B74" s="29" t="s">
        <v>138</v>
      </c>
      <c r="C74" s="100" t="s">
        <v>139</v>
      </c>
      <c r="D74" s="26">
        <f>CLN!P74</f>
        <v>336.8</v>
      </c>
      <c r="E74" s="26">
        <f>'MJK2'!P74</f>
        <v>0</v>
      </c>
      <c r="F74" s="26">
        <f>'MJK1'!P74</f>
        <v>796.66</v>
      </c>
      <c r="G74" s="26">
        <f>BJR!P74</f>
        <v>168.4</v>
      </c>
      <c r="H74" s="26">
        <f t="shared" si="1"/>
        <v>1301.8600000000001</v>
      </c>
    </row>
    <row r="75" spans="2:8">
      <c r="B75" s="29" t="s">
        <v>140</v>
      </c>
      <c r="C75" s="100" t="s">
        <v>141</v>
      </c>
      <c r="D75" s="26">
        <f>CLN!P75</f>
        <v>0</v>
      </c>
      <c r="E75" s="26">
        <f>'MJK2'!P75</f>
        <v>461.5</v>
      </c>
      <c r="F75" s="26">
        <f>'MJK1'!P75</f>
        <v>385.52</v>
      </c>
      <c r="G75" s="26">
        <f>BJR!P75</f>
        <v>0</v>
      </c>
      <c r="H75" s="26">
        <f t="shared" si="1"/>
        <v>847.02</v>
      </c>
    </row>
    <row r="76" spans="2:8">
      <c r="B76" s="29" t="s">
        <v>142</v>
      </c>
      <c r="C76" s="100" t="s">
        <v>143</v>
      </c>
      <c r="D76" s="26">
        <f>CLN!P76</f>
        <v>0</v>
      </c>
      <c r="E76" s="26">
        <f>'MJK2'!P76</f>
        <v>0</v>
      </c>
      <c r="F76" s="26">
        <f>'MJK1'!P76</f>
        <v>0</v>
      </c>
      <c r="G76" s="26">
        <f>BJR!P76</f>
        <v>0</v>
      </c>
      <c r="H76" s="26">
        <f t="shared" si="1"/>
        <v>0</v>
      </c>
    </row>
    <row r="77" spans="2:8">
      <c r="B77" s="29" t="s">
        <v>144</v>
      </c>
      <c r="C77" s="100" t="s">
        <v>145</v>
      </c>
      <c r="D77" s="26">
        <f>CLN!P77</f>
        <v>0</v>
      </c>
      <c r="E77" s="26">
        <f>'MJK2'!P77</f>
        <v>0</v>
      </c>
      <c r="F77" s="26">
        <f>'MJK1'!P77</f>
        <v>0</v>
      </c>
      <c r="G77" s="26">
        <f>BJR!P77</f>
        <v>0</v>
      </c>
      <c r="H77" s="26">
        <f t="shared" si="1"/>
        <v>0</v>
      </c>
    </row>
    <row r="78" spans="2:8">
      <c r="B78" s="29"/>
      <c r="C78" s="100" t="s">
        <v>146</v>
      </c>
      <c r="D78" s="26">
        <f>CLN!P78</f>
        <v>0</v>
      </c>
      <c r="E78" s="26">
        <f>'MJK2'!P78</f>
        <v>0</v>
      </c>
      <c r="F78" s="26">
        <f>'MJK1'!P78</f>
        <v>621.79999999999995</v>
      </c>
      <c r="G78" s="26">
        <f>BJR!P78</f>
        <v>0</v>
      </c>
      <c r="H78" s="26">
        <f t="shared" si="1"/>
        <v>621.79999999999995</v>
      </c>
    </row>
    <row r="79" spans="2:8">
      <c r="B79" s="29"/>
      <c r="C79" s="100" t="s">
        <v>147</v>
      </c>
      <c r="D79" s="26">
        <f>CLN!P79</f>
        <v>0</v>
      </c>
      <c r="E79" s="26">
        <f>'MJK2'!P79</f>
        <v>0</v>
      </c>
      <c r="F79" s="26">
        <f>'MJK1'!P79</f>
        <v>0</v>
      </c>
      <c r="G79" s="26">
        <f>BJR!P79</f>
        <v>0</v>
      </c>
      <c r="H79" s="26">
        <f t="shared" si="1"/>
        <v>0</v>
      </c>
    </row>
    <row r="80" spans="2:8">
      <c r="B80" s="29" t="s">
        <v>148</v>
      </c>
      <c r="C80" s="101" t="s">
        <v>135</v>
      </c>
      <c r="D80" s="26">
        <f>CLN!P80</f>
        <v>3132</v>
      </c>
      <c r="E80" s="26">
        <f>'MJK2'!P80</f>
        <v>1764.88</v>
      </c>
      <c r="F80" s="26">
        <f>'MJK1'!P80</f>
        <v>2899.4399999999996</v>
      </c>
      <c r="G80" s="26">
        <f>BJR!P80</f>
        <v>365.3</v>
      </c>
      <c r="H80" s="26">
        <f t="shared" si="1"/>
        <v>8161.62</v>
      </c>
    </row>
    <row r="81" spans="2:8">
      <c r="B81" s="29"/>
      <c r="C81" s="99" t="s">
        <v>149</v>
      </c>
      <c r="D81" s="26">
        <f>CLN!P81</f>
        <v>0</v>
      </c>
      <c r="E81" s="26">
        <f>'MJK2'!P81</f>
        <v>0</v>
      </c>
      <c r="F81" s="26">
        <f>'MJK1'!P81</f>
        <v>0</v>
      </c>
      <c r="G81" s="26">
        <f>BJR!P81</f>
        <v>0</v>
      </c>
      <c r="H81" s="26">
        <f t="shared" si="1"/>
        <v>0</v>
      </c>
    </row>
    <row r="82" spans="2:8">
      <c r="B82" s="29"/>
      <c r="C82" s="100" t="s">
        <v>150</v>
      </c>
      <c r="D82" s="26">
        <f>CLN!P82</f>
        <v>0</v>
      </c>
      <c r="E82" s="26">
        <f>'MJK2'!P82</f>
        <v>0</v>
      </c>
      <c r="F82" s="26">
        <f>'MJK1'!P82</f>
        <v>0</v>
      </c>
      <c r="G82" s="26">
        <f>BJR!P82</f>
        <v>0</v>
      </c>
      <c r="H82" s="26">
        <f t="shared" si="1"/>
        <v>0</v>
      </c>
    </row>
    <row r="83" spans="2:8">
      <c r="B83" s="29" t="s">
        <v>151</v>
      </c>
      <c r="C83" s="100" t="s">
        <v>152</v>
      </c>
      <c r="D83" s="26">
        <f>CLN!P83</f>
        <v>6506.94</v>
      </c>
      <c r="E83" s="26">
        <f>'MJK2'!P83</f>
        <v>167.9</v>
      </c>
      <c r="F83" s="26">
        <f>'MJK1'!P83</f>
        <v>17472.12</v>
      </c>
      <c r="G83" s="26">
        <f>BJR!P83</f>
        <v>0</v>
      </c>
      <c r="H83" s="26">
        <f t="shared" si="1"/>
        <v>24146.959999999999</v>
      </c>
    </row>
    <row r="84" spans="2:8">
      <c r="B84" s="29" t="s">
        <v>153</v>
      </c>
      <c r="C84" s="100" t="s">
        <v>154</v>
      </c>
      <c r="D84" s="26">
        <f>CLN!P84</f>
        <v>23067.919999999998</v>
      </c>
      <c r="E84" s="26">
        <f>'MJK2'!P84</f>
        <v>8408.06</v>
      </c>
      <c r="F84" s="26">
        <f>'MJK1'!P84</f>
        <v>29683.52</v>
      </c>
      <c r="G84" s="26">
        <f>BJR!P84</f>
        <v>2559.12</v>
      </c>
      <c r="H84" s="26">
        <f t="shared" si="1"/>
        <v>63718.62</v>
      </c>
    </row>
    <row r="85" spans="2:8">
      <c r="B85" s="29" t="s">
        <v>155</v>
      </c>
      <c r="C85" s="100" t="s">
        <v>156</v>
      </c>
      <c r="D85" s="26">
        <f>CLN!P85</f>
        <v>1091.98</v>
      </c>
      <c r="E85" s="26">
        <f>'MJK2'!P85</f>
        <v>124.9</v>
      </c>
      <c r="F85" s="26">
        <f>'MJK1'!P85</f>
        <v>4059.96</v>
      </c>
      <c r="G85" s="26">
        <f>BJR!P85</f>
        <v>164.88</v>
      </c>
      <c r="H85" s="26">
        <f t="shared" si="1"/>
        <v>5441.72</v>
      </c>
    </row>
    <row r="86" spans="2:8">
      <c r="B86" s="29" t="s">
        <v>157</v>
      </c>
      <c r="C86" s="100" t="s">
        <v>158</v>
      </c>
      <c r="D86" s="26">
        <f>CLN!P86</f>
        <v>0</v>
      </c>
      <c r="E86" s="26">
        <f>'MJK2'!P86</f>
        <v>0</v>
      </c>
      <c r="F86" s="26">
        <f>'MJK1'!P86</f>
        <v>27.96</v>
      </c>
      <c r="G86" s="26">
        <f>BJR!P86</f>
        <v>1584.18</v>
      </c>
      <c r="H86" s="26">
        <f t="shared" si="1"/>
        <v>1612.14</v>
      </c>
    </row>
    <row r="87" spans="2:8">
      <c r="B87" s="29" t="s">
        <v>159</v>
      </c>
      <c r="C87" s="100" t="s">
        <v>160</v>
      </c>
      <c r="D87" s="26">
        <f>CLN!P87</f>
        <v>0</v>
      </c>
      <c r="E87" s="26">
        <f>'MJK2'!P87</f>
        <v>0</v>
      </c>
      <c r="F87" s="26">
        <f>'MJK1'!P87</f>
        <v>0</v>
      </c>
      <c r="G87" s="26">
        <f>BJR!P87</f>
        <v>517</v>
      </c>
      <c r="H87" s="26">
        <f t="shared" si="1"/>
        <v>517</v>
      </c>
    </row>
    <row r="88" spans="2:8">
      <c r="B88" s="29" t="s">
        <v>161</v>
      </c>
      <c r="C88" s="100" t="s">
        <v>162</v>
      </c>
      <c r="D88" s="26">
        <f>CLN!P88</f>
        <v>1590.4</v>
      </c>
      <c r="E88" s="26">
        <f>'MJK2'!P88</f>
        <v>6684.76</v>
      </c>
      <c r="F88" s="26">
        <f>'MJK1'!P88</f>
        <v>1370.82</v>
      </c>
      <c r="G88" s="26">
        <f>BJR!P88</f>
        <v>1176.98</v>
      </c>
      <c r="H88" s="26">
        <f t="shared" si="1"/>
        <v>10822.96</v>
      </c>
    </row>
    <row r="89" spans="2:8">
      <c r="B89" s="29" t="s">
        <v>163</v>
      </c>
      <c r="C89" s="101" t="s">
        <v>149</v>
      </c>
      <c r="D89" s="26">
        <f>CLN!P89</f>
        <v>32257.239999999998</v>
      </c>
      <c r="E89" s="26">
        <f>'MJK2'!P89</f>
        <v>15385.619999999999</v>
      </c>
      <c r="F89" s="26">
        <f>'MJK1'!P89</f>
        <v>52614.38</v>
      </c>
      <c r="G89" s="26">
        <f>BJR!P89</f>
        <v>6002.16</v>
      </c>
      <c r="H89" s="26">
        <f t="shared" si="1"/>
        <v>106259.4</v>
      </c>
    </row>
    <row r="90" spans="2:8">
      <c r="B90" s="29" t="s">
        <v>164</v>
      </c>
      <c r="C90" s="100" t="s">
        <v>165</v>
      </c>
      <c r="D90" s="26">
        <f>CLN!P90</f>
        <v>1999.76</v>
      </c>
      <c r="E90" s="26">
        <f>'MJK2'!P90</f>
        <v>0</v>
      </c>
      <c r="F90" s="26">
        <f>'MJK1'!P90</f>
        <v>2913.62</v>
      </c>
      <c r="G90" s="26">
        <f>BJR!P90</f>
        <v>0</v>
      </c>
      <c r="H90" s="26">
        <f t="shared" si="1"/>
        <v>4913.38</v>
      </c>
    </row>
    <row r="91" spans="2:8">
      <c r="B91" s="29" t="s">
        <v>166</v>
      </c>
      <c r="C91" s="100" t="s">
        <v>167</v>
      </c>
      <c r="D91" s="26">
        <f>CLN!P91</f>
        <v>2777.22</v>
      </c>
      <c r="E91" s="26">
        <f>'MJK2'!P91</f>
        <v>0</v>
      </c>
      <c r="F91" s="26">
        <f>'MJK1'!P91</f>
        <v>0</v>
      </c>
      <c r="G91" s="26">
        <f>BJR!P91</f>
        <v>8470.4599999999991</v>
      </c>
      <c r="H91" s="26">
        <f t="shared" si="1"/>
        <v>11247.679999999998</v>
      </c>
    </row>
    <row r="92" spans="2:8">
      <c r="B92" s="29" t="s">
        <v>168</v>
      </c>
      <c r="C92" s="100" t="s">
        <v>169</v>
      </c>
      <c r="D92" s="26">
        <f>CLN!P92</f>
        <v>5661.3</v>
      </c>
      <c r="E92" s="26">
        <f>'MJK2'!P92</f>
        <v>6310.14</v>
      </c>
      <c r="F92" s="26">
        <f>'MJK1'!P92</f>
        <v>9747.5</v>
      </c>
      <c r="G92" s="26">
        <f>BJR!P92</f>
        <v>2235.6799999999998</v>
      </c>
      <c r="H92" s="26">
        <f t="shared" si="1"/>
        <v>23954.620000000003</v>
      </c>
    </row>
    <row r="93" spans="2:8">
      <c r="B93" s="29" t="s">
        <v>170</v>
      </c>
      <c r="C93" s="100" t="s">
        <v>171</v>
      </c>
      <c r="D93" s="26">
        <f>CLN!P93</f>
        <v>287.98</v>
      </c>
      <c r="E93" s="26">
        <f>'MJK2'!P93</f>
        <v>18157.88</v>
      </c>
      <c r="F93" s="26">
        <f>'MJK1'!P93</f>
        <v>8792.86</v>
      </c>
      <c r="G93" s="26">
        <f>BJR!P93</f>
        <v>8768.7999999999993</v>
      </c>
      <c r="H93" s="26">
        <f t="shared" si="1"/>
        <v>36007.520000000004</v>
      </c>
    </row>
    <row r="94" spans="2:8">
      <c r="B94" s="29" t="s">
        <v>172</v>
      </c>
      <c r="C94" s="100" t="s">
        <v>173</v>
      </c>
      <c r="D94" s="26">
        <f>CLN!P94</f>
        <v>0</v>
      </c>
      <c r="E94" s="26">
        <f>'MJK2'!P94</f>
        <v>0</v>
      </c>
      <c r="F94" s="26">
        <f>'MJK1'!P94</f>
        <v>0</v>
      </c>
      <c r="G94" s="26">
        <f>BJR!P94</f>
        <v>0</v>
      </c>
      <c r="H94" s="26">
        <f t="shared" si="1"/>
        <v>0</v>
      </c>
    </row>
    <row r="95" spans="2:8">
      <c r="B95" s="29" t="s">
        <v>174</v>
      </c>
      <c r="C95" s="100" t="s">
        <v>175</v>
      </c>
      <c r="D95" s="26">
        <f>CLN!P95</f>
        <v>0</v>
      </c>
      <c r="E95" s="26">
        <f>'MJK2'!P95</f>
        <v>0</v>
      </c>
      <c r="F95" s="26">
        <f>'MJK1'!P95</f>
        <v>0</v>
      </c>
      <c r="G95" s="26">
        <f>BJR!P95</f>
        <v>0</v>
      </c>
      <c r="H95" s="26">
        <f t="shared" si="1"/>
        <v>0</v>
      </c>
    </row>
    <row r="96" spans="2:8">
      <c r="B96" s="29" t="s">
        <v>176</v>
      </c>
      <c r="C96" s="100" t="s">
        <v>177</v>
      </c>
      <c r="D96" s="26">
        <f>CLN!P96</f>
        <v>0</v>
      </c>
      <c r="E96" s="26">
        <f>'MJK2'!P96</f>
        <v>0</v>
      </c>
      <c r="F96" s="26">
        <f>'MJK1'!P96</f>
        <v>58.04</v>
      </c>
      <c r="G96" s="26">
        <f>BJR!P96</f>
        <v>0</v>
      </c>
      <c r="H96" s="26">
        <f t="shared" si="1"/>
        <v>58.04</v>
      </c>
    </row>
    <row r="97" spans="2:8">
      <c r="B97" s="29" t="s">
        <v>178</v>
      </c>
      <c r="C97" s="100" t="s">
        <v>179</v>
      </c>
      <c r="D97" s="26">
        <f>CLN!P97</f>
        <v>4.9800000000000004</v>
      </c>
      <c r="E97" s="26">
        <f>'MJK2'!P97</f>
        <v>0</v>
      </c>
      <c r="F97" s="26">
        <f>'MJK1'!P97</f>
        <v>0</v>
      </c>
      <c r="G97" s="26">
        <f>BJR!P97</f>
        <v>0</v>
      </c>
      <c r="H97" s="26">
        <f t="shared" si="1"/>
        <v>4.9800000000000004</v>
      </c>
    </row>
    <row r="98" spans="2:8">
      <c r="B98" s="29" t="s">
        <v>180</v>
      </c>
      <c r="C98" s="100" t="s">
        <v>181</v>
      </c>
      <c r="D98" s="26">
        <f>CLN!P98</f>
        <v>0</v>
      </c>
      <c r="E98" s="26">
        <f>'MJK2'!P98</f>
        <v>0</v>
      </c>
      <c r="F98" s="26">
        <f>'MJK1'!P98</f>
        <v>0</v>
      </c>
      <c r="G98" s="26">
        <f>BJR!P98</f>
        <v>0</v>
      </c>
      <c r="H98" s="26">
        <f t="shared" si="1"/>
        <v>0</v>
      </c>
    </row>
    <row r="99" spans="2:8">
      <c r="B99" s="29" t="s">
        <v>182</v>
      </c>
      <c r="C99" s="100" t="s">
        <v>183</v>
      </c>
      <c r="D99" s="26">
        <f>CLN!P99</f>
        <v>0</v>
      </c>
      <c r="E99" s="26">
        <f>'MJK2'!P99</f>
        <v>0</v>
      </c>
      <c r="F99" s="26">
        <f>'MJK1'!P99</f>
        <v>0</v>
      </c>
      <c r="G99" s="26">
        <f>BJR!P99</f>
        <v>0</v>
      </c>
      <c r="H99" s="26">
        <f t="shared" si="1"/>
        <v>0</v>
      </c>
    </row>
    <row r="100" spans="2:8">
      <c r="B100" s="32">
        <v>631180</v>
      </c>
      <c r="C100" s="100" t="s">
        <v>184</v>
      </c>
      <c r="D100" s="26">
        <f>CLN!P100</f>
        <v>1586.34</v>
      </c>
      <c r="E100" s="26">
        <f>'MJK2'!P100</f>
        <v>875.38</v>
      </c>
      <c r="F100" s="26">
        <f>'MJK1'!P100</f>
        <v>1828.62</v>
      </c>
      <c r="G100" s="26">
        <f>BJR!P100</f>
        <v>1096.2</v>
      </c>
      <c r="H100" s="26">
        <f t="shared" si="1"/>
        <v>5386.54</v>
      </c>
    </row>
    <row r="101" spans="2:8">
      <c r="B101" s="29" t="s">
        <v>168</v>
      </c>
      <c r="C101" s="100" t="s">
        <v>169</v>
      </c>
      <c r="D101" s="26">
        <f>CLN!P101</f>
        <v>7540.6</v>
      </c>
      <c r="E101" s="26">
        <f>'MJK2'!P101</f>
        <v>25343.4</v>
      </c>
      <c r="F101" s="26">
        <f>'MJK1'!P101</f>
        <v>20427.02</v>
      </c>
      <c r="G101" s="26">
        <f>BJR!P101</f>
        <v>12100.68</v>
      </c>
      <c r="H101" s="26">
        <f t="shared" si="1"/>
        <v>65411.700000000004</v>
      </c>
    </row>
    <row r="102" spans="2:8">
      <c r="B102" s="29"/>
      <c r="C102" s="99" t="s">
        <v>185</v>
      </c>
      <c r="D102" s="26">
        <f>CLN!P102</f>
        <v>0</v>
      </c>
      <c r="E102" s="26">
        <f>'MJK2'!P102</f>
        <v>0</v>
      </c>
      <c r="F102" s="26">
        <f>'MJK1'!P102</f>
        <v>0</v>
      </c>
      <c r="G102" s="26">
        <f>BJR!P102</f>
        <v>0</v>
      </c>
      <c r="H102" s="26">
        <f t="shared" si="1"/>
        <v>0</v>
      </c>
    </row>
    <row r="103" spans="2:8">
      <c r="B103" s="29" t="s">
        <v>186</v>
      </c>
      <c r="C103" s="100" t="s">
        <v>187</v>
      </c>
      <c r="D103" s="26">
        <f>CLN!P103</f>
        <v>0</v>
      </c>
      <c r="E103" s="26">
        <f>'MJK2'!P103</f>
        <v>0</v>
      </c>
      <c r="F103" s="26">
        <f>'MJK1'!P103</f>
        <v>0</v>
      </c>
      <c r="G103" s="26">
        <f>BJR!P103</f>
        <v>0</v>
      </c>
      <c r="H103" s="26">
        <f t="shared" si="1"/>
        <v>0</v>
      </c>
    </row>
    <row r="104" spans="2:8">
      <c r="B104" s="29" t="s">
        <v>188</v>
      </c>
      <c r="C104" s="100" t="s">
        <v>189</v>
      </c>
      <c r="D104" s="26">
        <f>CLN!P104</f>
        <v>-86732.4</v>
      </c>
      <c r="E104" s="26">
        <f>'MJK2'!P104</f>
        <v>-181701.92</v>
      </c>
      <c r="F104" s="26">
        <f>'MJK1'!P104</f>
        <v>-226523.78</v>
      </c>
      <c r="G104" s="26">
        <f>BJR!P104</f>
        <v>-110616.36</v>
      </c>
      <c r="H104" s="26">
        <f t="shared" si="1"/>
        <v>-605574.46</v>
      </c>
    </row>
    <row r="105" spans="2:8">
      <c r="B105" s="29" t="s">
        <v>190</v>
      </c>
      <c r="C105" s="100" t="s">
        <v>191</v>
      </c>
      <c r="D105" s="26">
        <f>CLN!P105</f>
        <v>-403641.98</v>
      </c>
      <c r="E105" s="26">
        <f>'MJK2'!P105</f>
        <v>-85562.58</v>
      </c>
      <c r="F105" s="26">
        <f>'MJK1'!P105</f>
        <v>-176956.46</v>
      </c>
      <c r="G105" s="26">
        <f>BJR!P105</f>
        <v>-27080.76</v>
      </c>
      <c r="H105" s="26">
        <f t="shared" si="1"/>
        <v>-693241.78</v>
      </c>
    </row>
    <row r="106" spans="2:8">
      <c r="B106" s="29" t="s">
        <v>192</v>
      </c>
      <c r="C106" s="101" t="s">
        <v>185</v>
      </c>
      <c r="D106" s="26">
        <f>CLN!P106</f>
        <v>-490374.38</v>
      </c>
      <c r="E106" s="26">
        <f>'MJK2'!P106</f>
        <v>-267264.5</v>
      </c>
      <c r="F106" s="26">
        <f>'MJK1'!P106</f>
        <v>-403480.24</v>
      </c>
      <c r="G106" s="26">
        <f>BJR!P106</f>
        <v>-137697.12</v>
      </c>
      <c r="H106" s="26">
        <f t="shared" si="1"/>
        <v>-1298816.2400000002</v>
      </c>
    </row>
    <row r="107" spans="2:8">
      <c r="B107" s="29"/>
      <c r="C107" s="99" t="s">
        <v>193</v>
      </c>
      <c r="D107" s="26">
        <f>CLN!P107</f>
        <v>0</v>
      </c>
      <c r="E107" s="26">
        <f>'MJK2'!P107</f>
        <v>0</v>
      </c>
      <c r="F107" s="26">
        <f>'MJK1'!P107</f>
        <v>0</v>
      </c>
      <c r="G107" s="26">
        <f>BJR!P107</f>
        <v>0</v>
      </c>
      <c r="H107" s="26">
        <f t="shared" si="1"/>
        <v>0</v>
      </c>
    </row>
    <row r="108" spans="2:8">
      <c r="B108" s="29"/>
      <c r="C108" s="100" t="s">
        <v>194</v>
      </c>
      <c r="D108" s="26">
        <f>CLN!P108</f>
        <v>0</v>
      </c>
      <c r="E108" s="26">
        <f>'MJK2'!P108</f>
        <v>0</v>
      </c>
      <c r="F108" s="26">
        <f>'MJK1'!P108</f>
        <v>0</v>
      </c>
      <c r="G108" s="26">
        <f>BJR!P108</f>
        <v>0</v>
      </c>
      <c r="H108" s="26">
        <f t="shared" si="1"/>
        <v>0</v>
      </c>
    </row>
    <row r="109" spans="2:8">
      <c r="B109" s="29"/>
      <c r="C109" s="100" t="s">
        <v>195</v>
      </c>
      <c r="D109" s="26">
        <f>CLN!P109</f>
        <v>0</v>
      </c>
      <c r="E109" s="26">
        <f>'MJK2'!P109</f>
        <v>0</v>
      </c>
      <c r="F109" s="26">
        <f>'MJK1'!P109</f>
        <v>0</v>
      </c>
      <c r="G109" s="26">
        <f>BJR!P109</f>
        <v>0</v>
      </c>
      <c r="H109" s="26">
        <f t="shared" si="1"/>
        <v>0</v>
      </c>
    </row>
    <row r="110" spans="2:8">
      <c r="B110" s="29"/>
      <c r="C110" s="100" t="s">
        <v>196</v>
      </c>
      <c r="D110" s="26">
        <f>CLN!P110</f>
        <v>0</v>
      </c>
      <c r="E110" s="26">
        <f>'MJK2'!P110</f>
        <v>0</v>
      </c>
      <c r="F110" s="26">
        <f>'MJK1'!P110</f>
        <v>0</v>
      </c>
      <c r="G110" s="26">
        <f>BJR!P110</f>
        <v>0</v>
      </c>
      <c r="H110" s="26">
        <f t="shared" si="1"/>
        <v>0</v>
      </c>
    </row>
    <row r="111" spans="2:8">
      <c r="B111" s="29" t="s">
        <v>197</v>
      </c>
      <c r="C111" s="101" t="s">
        <v>105</v>
      </c>
      <c r="D111" s="26">
        <f>CLN!P111</f>
        <v>-7.2759576141834259E-11</v>
      </c>
      <c r="E111" s="26">
        <f>'MJK2'!P111</f>
        <v>0</v>
      </c>
      <c r="F111" s="26">
        <f>'MJK1'!P111</f>
        <v>-2.9103830456733704E-11</v>
      </c>
      <c r="G111" s="26">
        <f>BJR!P111</f>
        <v>0</v>
      </c>
      <c r="H111" s="26">
        <f t="shared" si="1"/>
        <v>-1.0186340659856796E-10</v>
      </c>
    </row>
    <row r="112" spans="2:8">
      <c r="B112" s="29" t="s">
        <v>198</v>
      </c>
      <c r="C112" s="33" t="s">
        <v>199</v>
      </c>
      <c r="D112" s="26">
        <f>CLN!P112</f>
        <v>8172039.8799999999</v>
      </c>
      <c r="E112" s="26">
        <f>'MJK2'!P112</f>
        <v>534529</v>
      </c>
      <c r="F112" s="26">
        <f>'MJK1'!P112</f>
        <v>806960.48</v>
      </c>
      <c r="G112" s="26">
        <f>BJR!P112</f>
        <v>275394.24</v>
      </c>
      <c r="H112" s="26">
        <f t="shared" si="1"/>
        <v>9788923.5999999996</v>
      </c>
    </row>
    <row r="113" spans="2:8">
      <c r="B113" s="29"/>
      <c r="C113" s="27" t="s">
        <v>200</v>
      </c>
      <c r="D113" s="26">
        <f>CLN!P113</f>
        <v>0</v>
      </c>
      <c r="E113" s="26">
        <f>'MJK2'!P113</f>
        <v>0</v>
      </c>
      <c r="F113" s="26">
        <f>'MJK1'!P113</f>
        <v>0</v>
      </c>
      <c r="G113" s="26">
        <f>BJR!P113</f>
        <v>0</v>
      </c>
      <c r="H113" s="26">
        <f t="shared" si="1"/>
        <v>0</v>
      </c>
    </row>
    <row r="114" spans="2:8">
      <c r="B114" s="29"/>
      <c r="C114" s="28" t="s">
        <v>201</v>
      </c>
      <c r="D114" s="26">
        <f>CLN!P114</f>
        <v>0</v>
      </c>
      <c r="E114" s="26">
        <f>'MJK2'!P114</f>
        <v>0</v>
      </c>
      <c r="F114" s="26">
        <f>'MJK1'!P114</f>
        <v>0</v>
      </c>
      <c r="G114" s="26">
        <f>BJR!P114</f>
        <v>0</v>
      </c>
      <c r="H114" s="26">
        <f t="shared" si="1"/>
        <v>0</v>
      </c>
    </row>
    <row r="115" spans="2:8">
      <c r="B115" s="29" t="s">
        <v>202</v>
      </c>
      <c r="C115" s="25" t="s">
        <v>203</v>
      </c>
      <c r="D115" s="26">
        <f>CLN!P115</f>
        <v>0</v>
      </c>
      <c r="E115" s="26">
        <f>'MJK2'!P115</f>
        <v>0</v>
      </c>
      <c r="F115" s="26">
        <f>'MJK1'!P115</f>
        <v>0</v>
      </c>
      <c r="G115" s="26">
        <f>BJR!P115</f>
        <v>0</v>
      </c>
      <c r="H115" s="26">
        <f t="shared" si="1"/>
        <v>0</v>
      </c>
    </row>
    <row r="116" spans="2:8">
      <c r="B116" s="29" t="s">
        <v>204</v>
      </c>
      <c r="C116" s="25" t="s">
        <v>205</v>
      </c>
      <c r="D116" s="26">
        <f>CLN!P116</f>
        <v>132.19999999999999</v>
      </c>
      <c r="E116" s="26">
        <f>'MJK2'!P116</f>
        <v>464.14</v>
      </c>
      <c r="F116" s="26">
        <f>'MJK1'!P116</f>
        <v>0</v>
      </c>
      <c r="G116" s="26">
        <f>BJR!P116</f>
        <v>0</v>
      </c>
      <c r="H116" s="26">
        <f t="shared" si="1"/>
        <v>596.33999999999992</v>
      </c>
    </row>
    <row r="117" spans="2:8">
      <c r="B117" s="29" t="s">
        <v>206</v>
      </c>
      <c r="C117" s="33" t="s">
        <v>201</v>
      </c>
      <c r="D117" s="26">
        <f>CLN!P117</f>
        <v>132.19999999999999</v>
      </c>
      <c r="E117" s="26">
        <f>'MJK2'!P117</f>
        <v>464.14</v>
      </c>
      <c r="F117" s="26">
        <f>'MJK1'!P117</f>
        <v>0</v>
      </c>
      <c r="G117" s="26">
        <f>BJR!P117</f>
        <v>0</v>
      </c>
      <c r="H117" s="26">
        <f t="shared" si="1"/>
        <v>596.33999999999992</v>
      </c>
    </row>
    <row r="118" spans="2:8">
      <c r="B118" s="29"/>
      <c r="C118" s="28" t="s">
        <v>207</v>
      </c>
      <c r="D118" s="26">
        <f>CLN!P118</f>
        <v>0</v>
      </c>
      <c r="E118" s="26">
        <f>'MJK2'!P118</f>
        <v>0</v>
      </c>
      <c r="F118" s="26">
        <f>'MJK1'!P118</f>
        <v>0</v>
      </c>
      <c r="G118" s="26">
        <f>BJR!P118</f>
        <v>0</v>
      </c>
      <c r="H118" s="26">
        <f t="shared" si="1"/>
        <v>0</v>
      </c>
    </row>
    <row r="119" spans="2:8">
      <c r="B119" s="29" t="s">
        <v>208</v>
      </c>
      <c r="C119" s="25" t="s">
        <v>209</v>
      </c>
      <c r="D119" s="26">
        <f>CLN!P119</f>
        <v>10305.08</v>
      </c>
      <c r="E119" s="26">
        <f>'MJK2'!P119</f>
        <v>1548.02</v>
      </c>
      <c r="F119" s="26">
        <f>'MJK1'!P119</f>
        <v>0</v>
      </c>
      <c r="G119" s="26">
        <f>BJR!P119</f>
        <v>0</v>
      </c>
      <c r="H119" s="26">
        <f t="shared" si="1"/>
        <v>11853.1</v>
      </c>
    </row>
    <row r="120" spans="2:8">
      <c r="B120" s="29" t="s">
        <v>210</v>
      </c>
      <c r="C120" s="25" t="s">
        <v>211</v>
      </c>
      <c r="D120" s="26">
        <f>CLN!P120</f>
        <v>0</v>
      </c>
      <c r="E120" s="26">
        <f>'MJK2'!P120</f>
        <v>0</v>
      </c>
      <c r="F120" s="26">
        <f>'MJK1'!P120</f>
        <v>0</v>
      </c>
      <c r="G120" s="26">
        <f>BJR!P120</f>
        <v>0</v>
      </c>
      <c r="H120" s="26">
        <f t="shared" si="1"/>
        <v>0</v>
      </c>
    </row>
    <row r="121" spans="2:8">
      <c r="B121" s="29"/>
      <c r="C121" s="33" t="s">
        <v>212</v>
      </c>
      <c r="D121" s="26">
        <f>CLN!P121</f>
        <v>0</v>
      </c>
      <c r="E121" s="26">
        <f>'MJK2'!P121</f>
        <v>0</v>
      </c>
      <c r="F121" s="26">
        <f>'MJK1'!P121</f>
        <v>0</v>
      </c>
      <c r="G121" s="26">
        <f>BJR!P121</f>
        <v>0</v>
      </c>
      <c r="H121" s="26">
        <f t="shared" si="1"/>
        <v>0</v>
      </c>
    </row>
    <row r="122" spans="2:8">
      <c r="B122" s="29" t="s">
        <v>213</v>
      </c>
      <c r="C122" s="25" t="s">
        <v>214</v>
      </c>
      <c r="D122" s="26">
        <f>CLN!P122</f>
        <v>559.96</v>
      </c>
      <c r="E122" s="26">
        <f>'MJK2'!P122</f>
        <v>0</v>
      </c>
      <c r="F122" s="26">
        <f>'MJK1'!P122</f>
        <v>0</v>
      </c>
      <c r="G122" s="26">
        <f>BJR!P122</f>
        <v>0</v>
      </c>
      <c r="H122" s="26">
        <f t="shared" si="1"/>
        <v>559.96</v>
      </c>
    </row>
    <row r="123" spans="2:8">
      <c r="B123" s="29" t="s">
        <v>215</v>
      </c>
      <c r="C123" s="25" t="s">
        <v>216</v>
      </c>
      <c r="D123" s="26">
        <f>CLN!P123</f>
        <v>765.98</v>
      </c>
      <c r="E123" s="26">
        <f>'MJK2'!P123</f>
        <v>0</v>
      </c>
      <c r="F123" s="26">
        <f>'MJK1'!P123</f>
        <v>0</v>
      </c>
      <c r="G123" s="26">
        <f>BJR!P123</f>
        <v>0</v>
      </c>
      <c r="H123" s="26">
        <f t="shared" si="1"/>
        <v>765.98</v>
      </c>
    </row>
    <row r="124" spans="2:8">
      <c r="B124" s="29" t="s">
        <v>217</v>
      </c>
      <c r="C124" s="25" t="s">
        <v>218</v>
      </c>
      <c r="D124" s="26">
        <f>CLN!P124</f>
        <v>0</v>
      </c>
      <c r="E124" s="26">
        <f>'MJK2'!P124</f>
        <v>0</v>
      </c>
      <c r="F124" s="26">
        <f>'MJK1'!P124</f>
        <v>0</v>
      </c>
      <c r="G124" s="26">
        <f>BJR!P124</f>
        <v>0</v>
      </c>
      <c r="H124" s="26">
        <f t="shared" si="1"/>
        <v>0</v>
      </c>
    </row>
    <row r="125" spans="2:8">
      <c r="B125" s="29" t="s">
        <v>219</v>
      </c>
      <c r="C125" s="25" t="s">
        <v>220</v>
      </c>
      <c r="D125" s="26">
        <f>CLN!P125</f>
        <v>0</v>
      </c>
      <c r="E125" s="26">
        <f>'MJK2'!P125</f>
        <v>0</v>
      </c>
      <c r="F125" s="26">
        <f>'MJK1'!P125</f>
        <v>0</v>
      </c>
      <c r="G125" s="26">
        <f>BJR!P125</f>
        <v>0</v>
      </c>
      <c r="H125" s="26">
        <f t="shared" si="1"/>
        <v>0</v>
      </c>
    </row>
    <row r="126" spans="2:8">
      <c r="B126" s="29" t="s">
        <v>221</v>
      </c>
      <c r="C126" s="25" t="s">
        <v>222</v>
      </c>
      <c r="D126" s="26">
        <f>CLN!P126</f>
        <v>250</v>
      </c>
      <c r="E126" s="26">
        <f>'MJK2'!P126</f>
        <v>0</v>
      </c>
      <c r="F126" s="26">
        <f>'MJK1'!P126</f>
        <v>0</v>
      </c>
      <c r="G126" s="26">
        <f>BJR!P126</f>
        <v>0</v>
      </c>
      <c r="H126" s="26">
        <f t="shared" si="1"/>
        <v>250</v>
      </c>
    </row>
    <row r="127" spans="2:8">
      <c r="B127" s="29" t="s">
        <v>223</v>
      </c>
      <c r="C127" s="25" t="s">
        <v>224</v>
      </c>
      <c r="D127" s="26">
        <f>CLN!P127</f>
        <v>0</v>
      </c>
      <c r="E127" s="26">
        <f>'MJK2'!P127</f>
        <v>0</v>
      </c>
      <c r="F127" s="26">
        <f>'MJK1'!P127</f>
        <v>0</v>
      </c>
      <c r="G127" s="26">
        <f>BJR!P127</f>
        <v>0</v>
      </c>
      <c r="H127" s="26">
        <f t="shared" si="1"/>
        <v>0</v>
      </c>
    </row>
    <row r="128" spans="2:8">
      <c r="B128" s="29" t="s">
        <v>225</v>
      </c>
      <c r="C128" s="33" t="s">
        <v>212</v>
      </c>
      <c r="D128" s="26">
        <f>CLN!P128</f>
        <v>1575.94</v>
      </c>
      <c r="E128" s="26">
        <f>'MJK2'!P128</f>
        <v>0</v>
      </c>
      <c r="F128" s="26">
        <f>'MJK1'!P128</f>
        <v>0</v>
      </c>
      <c r="G128" s="26">
        <f>BJR!P128</f>
        <v>0</v>
      </c>
      <c r="H128" s="26">
        <f t="shared" si="1"/>
        <v>1575.94</v>
      </c>
    </row>
    <row r="129" spans="2:8">
      <c r="B129" s="29" t="s">
        <v>226</v>
      </c>
      <c r="C129" s="25" t="s">
        <v>227</v>
      </c>
      <c r="D129" s="26">
        <f>CLN!P129</f>
        <v>11261.96</v>
      </c>
      <c r="E129" s="26">
        <f>'MJK2'!P129</f>
        <v>43.98</v>
      </c>
      <c r="F129" s="26">
        <f>'MJK1'!P129</f>
        <v>11920.22</v>
      </c>
      <c r="G129" s="26">
        <f>BJR!P129</f>
        <v>0</v>
      </c>
      <c r="H129" s="26">
        <f t="shared" si="1"/>
        <v>23226.159999999996</v>
      </c>
    </row>
    <row r="130" spans="2:8">
      <c r="B130" s="29" t="s">
        <v>228</v>
      </c>
      <c r="C130" s="25" t="s">
        <v>229</v>
      </c>
      <c r="D130" s="26">
        <f>CLN!P130</f>
        <v>80.78</v>
      </c>
      <c r="E130" s="26">
        <f>'MJK2'!P130</f>
        <v>0</v>
      </c>
      <c r="F130" s="26">
        <f>'MJK1'!P130</f>
        <v>2677.64</v>
      </c>
      <c r="G130" s="26">
        <f>BJR!P130</f>
        <v>0</v>
      </c>
      <c r="H130" s="26">
        <f t="shared" si="1"/>
        <v>2758.42</v>
      </c>
    </row>
    <row r="131" spans="2:8">
      <c r="B131" s="29" t="s">
        <v>230</v>
      </c>
      <c r="C131" s="25" t="s">
        <v>231</v>
      </c>
      <c r="D131" s="26">
        <f>CLN!P131</f>
        <v>0</v>
      </c>
      <c r="E131" s="26">
        <f>'MJK2'!P131</f>
        <v>0</v>
      </c>
      <c r="F131" s="26">
        <f>'MJK1'!P131</f>
        <v>0</v>
      </c>
      <c r="G131" s="26">
        <f>BJR!P131</f>
        <v>0</v>
      </c>
      <c r="H131" s="26">
        <f t="shared" si="1"/>
        <v>0</v>
      </c>
    </row>
    <row r="132" spans="2:8">
      <c r="B132" s="29" t="s">
        <v>232</v>
      </c>
      <c r="C132" s="33" t="s">
        <v>207</v>
      </c>
      <c r="D132" s="26">
        <f>CLN!P132</f>
        <v>23223.759999999998</v>
      </c>
      <c r="E132" s="26">
        <f>'MJK2'!P132</f>
        <v>1592</v>
      </c>
      <c r="F132" s="26">
        <f>'MJK1'!P132</f>
        <v>14597.859999999999</v>
      </c>
      <c r="G132" s="26">
        <f>BJR!P132</f>
        <v>0</v>
      </c>
      <c r="H132" s="26">
        <f t="shared" si="1"/>
        <v>39413.619999999995</v>
      </c>
    </row>
    <row r="133" spans="2:8">
      <c r="B133" s="29"/>
      <c r="C133" s="33" t="s">
        <v>233</v>
      </c>
      <c r="D133" s="26">
        <f>CLN!P133</f>
        <v>0</v>
      </c>
      <c r="E133" s="26">
        <f>'MJK2'!P133</f>
        <v>0</v>
      </c>
      <c r="F133" s="26">
        <f>'MJK1'!P133</f>
        <v>0</v>
      </c>
      <c r="G133" s="26">
        <f>BJR!P133</f>
        <v>0</v>
      </c>
      <c r="H133" s="26">
        <f t="shared" si="1"/>
        <v>0</v>
      </c>
    </row>
    <row r="134" spans="2:8">
      <c r="B134" s="29" t="s">
        <v>234</v>
      </c>
      <c r="C134" s="25" t="s">
        <v>40</v>
      </c>
      <c r="D134" s="26">
        <f>CLN!P134</f>
        <v>0</v>
      </c>
      <c r="E134" s="26">
        <f>'MJK2'!P134</f>
        <v>0</v>
      </c>
      <c r="F134" s="26">
        <f>'MJK1'!P134</f>
        <v>0</v>
      </c>
      <c r="G134" s="26">
        <f>BJR!P134</f>
        <v>0</v>
      </c>
      <c r="H134" s="26">
        <f t="shared" si="1"/>
        <v>0</v>
      </c>
    </row>
    <row r="135" spans="2:8">
      <c r="B135" s="29" t="s">
        <v>235</v>
      </c>
      <c r="C135" s="25" t="s">
        <v>236</v>
      </c>
      <c r="D135" s="26">
        <f>CLN!P135</f>
        <v>2038.4</v>
      </c>
      <c r="E135" s="26">
        <f>'MJK2'!P135</f>
        <v>0</v>
      </c>
      <c r="F135" s="26">
        <f>'MJK1'!P135</f>
        <v>0</v>
      </c>
      <c r="G135" s="26">
        <f>BJR!P135</f>
        <v>0</v>
      </c>
      <c r="H135" s="26">
        <f t="shared" ref="H135:H198" si="2">SUM(D135:G135)</f>
        <v>2038.4</v>
      </c>
    </row>
    <row r="136" spans="2:8">
      <c r="B136" s="29" t="s">
        <v>237</v>
      </c>
      <c r="C136" s="25" t="s">
        <v>238</v>
      </c>
      <c r="D136" s="26">
        <f>CLN!P136</f>
        <v>3798.3</v>
      </c>
      <c r="E136" s="26">
        <f>'MJK2'!P136</f>
        <v>0</v>
      </c>
      <c r="F136" s="26">
        <f>'MJK1'!P136</f>
        <v>0</v>
      </c>
      <c r="G136" s="26">
        <f>BJR!P136</f>
        <v>0</v>
      </c>
      <c r="H136" s="26">
        <f t="shared" si="2"/>
        <v>3798.3</v>
      </c>
    </row>
    <row r="137" spans="2:8">
      <c r="B137" s="29" t="s">
        <v>239</v>
      </c>
      <c r="C137" s="33" t="s">
        <v>233</v>
      </c>
      <c r="D137" s="26">
        <f>CLN!P137</f>
        <v>5836.7000000000007</v>
      </c>
      <c r="E137" s="26">
        <f>'MJK2'!P137</f>
        <v>0</v>
      </c>
      <c r="F137" s="26">
        <f>'MJK1'!P137</f>
        <v>0</v>
      </c>
      <c r="G137" s="26">
        <f>BJR!P137</f>
        <v>0</v>
      </c>
      <c r="H137" s="26">
        <f t="shared" si="2"/>
        <v>5836.7000000000007</v>
      </c>
    </row>
    <row r="138" spans="2:8">
      <c r="B138" s="29" t="s">
        <v>240</v>
      </c>
      <c r="C138" s="33" t="s">
        <v>200</v>
      </c>
      <c r="D138" s="26">
        <f>CLN!P138</f>
        <v>29192.66</v>
      </c>
      <c r="E138" s="26">
        <f>'MJK2'!P138</f>
        <v>2056.14</v>
      </c>
      <c r="F138" s="26">
        <f>'MJK1'!P138</f>
        <v>14597.859999999999</v>
      </c>
      <c r="G138" s="26">
        <f>BJR!P138</f>
        <v>0</v>
      </c>
      <c r="H138" s="26">
        <f t="shared" si="2"/>
        <v>45846.659999999996</v>
      </c>
    </row>
    <row r="139" spans="2:8">
      <c r="B139" s="29"/>
      <c r="C139" s="27" t="s">
        <v>241</v>
      </c>
      <c r="D139" s="26">
        <f>CLN!P139</f>
        <v>0</v>
      </c>
      <c r="E139" s="26">
        <f>'MJK2'!P139</f>
        <v>0</v>
      </c>
      <c r="F139" s="26">
        <f>'MJK1'!P139</f>
        <v>0</v>
      </c>
      <c r="G139" s="26">
        <f>BJR!P139</f>
        <v>0</v>
      </c>
      <c r="H139" s="26">
        <f t="shared" si="2"/>
        <v>0</v>
      </c>
    </row>
    <row r="140" spans="2:8">
      <c r="B140" s="29"/>
      <c r="C140" s="28" t="s">
        <v>242</v>
      </c>
      <c r="D140" s="26">
        <f>CLN!P140</f>
        <v>0</v>
      </c>
      <c r="E140" s="26">
        <f>'MJK2'!P140</f>
        <v>0</v>
      </c>
      <c r="F140" s="26">
        <f>'MJK1'!P140</f>
        <v>0</v>
      </c>
      <c r="G140" s="26">
        <f>BJR!P140</f>
        <v>0</v>
      </c>
      <c r="H140" s="26">
        <f t="shared" si="2"/>
        <v>0</v>
      </c>
    </row>
    <row r="141" spans="2:8">
      <c r="B141" s="29" t="s">
        <v>243</v>
      </c>
      <c r="C141" s="25" t="s">
        <v>244</v>
      </c>
      <c r="D141" s="26">
        <f>CLN!P141</f>
        <v>85440.02</v>
      </c>
      <c r="E141" s="26">
        <f>'MJK2'!P141</f>
        <v>27113.919999999998</v>
      </c>
      <c r="F141" s="26">
        <f>'MJK1'!P141</f>
        <v>11236.36</v>
      </c>
      <c r="G141" s="26">
        <f>BJR!P141</f>
        <v>6276.48</v>
      </c>
      <c r="H141" s="26">
        <f t="shared" si="2"/>
        <v>130066.78</v>
      </c>
    </row>
    <row r="142" spans="2:8">
      <c r="B142" s="29" t="s">
        <v>245</v>
      </c>
      <c r="C142" s="25" t="s">
        <v>246</v>
      </c>
      <c r="D142" s="26">
        <f>CLN!P142</f>
        <v>4834.34</v>
      </c>
      <c r="E142" s="26">
        <f>'MJK2'!P142</f>
        <v>6679.28</v>
      </c>
      <c r="F142" s="26">
        <f>'MJK1'!P142</f>
        <v>7319.9</v>
      </c>
      <c r="G142" s="26">
        <f>BJR!P142</f>
        <v>3527.8</v>
      </c>
      <c r="H142" s="26">
        <f t="shared" si="2"/>
        <v>22361.319999999996</v>
      </c>
    </row>
    <row r="143" spans="2:8">
      <c r="B143" s="29" t="s">
        <v>247</v>
      </c>
      <c r="C143" s="25" t="s">
        <v>248</v>
      </c>
      <c r="D143" s="26">
        <f>CLN!P143</f>
        <v>4000</v>
      </c>
      <c r="E143" s="26">
        <f>'MJK2'!P143</f>
        <v>1200</v>
      </c>
      <c r="F143" s="26">
        <f>'MJK1'!P143</f>
        <v>400</v>
      </c>
      <c r="G143" s="26">
        <f>BJR!P143</f>
        <v>400</v>
      </c>
      <c r="H143" s="26">
        <f t="shared" si="2"/>
        <v>6000</v>
      </c>
    </row>
    <row r="144" spans="2:8">
      <c r="B144" s="29" t="s">
        <v>249</v>
      </c>
      <c r="C144" s="25" t="s">
        <v>119</v>
      </c>
      <c r="D144" s="26">
        <f>CLN!P144</f>
        <v>329.04</v>
      </c>
      <c r="E144" s="26">
        <f>'MJK2'!P144</f>
        <v>3891.32</v>
      </c>
      <c r="F144" s="26">
        <f>'MJK1'!P144</f>
        <v>5477.32</v>
      </c>
      <c r="G144" s="26">
        <f>BJR!P144</f>
        <v>0</v>
      </c>
      <c r="H144" s="26">
        <f t="shared" si="2"/>
        <v>9697.68</v>
      </c>
    </row>
    <row r="145" spans="2:8">
      <c r="B145" s="29" t="s">
        <v>250</v>
      </c>
      <c r="C145" s="25" t="s">
        <v>251</v>
      </c>
      <c r="D145" s="26">
        <f>CLN!P145</f>
        <v>0</v>
      </c>
      <c r="E145" s="26">
        <f>'MJK2'!P145</f>
        <v>0</v>
      </c>
      <c r="F145" s="26">
        <f>'MJK1'!P145</f>
        <v>0</v>
      </c>
      <c r="G145" s="26">
        <f>BJR!P145</f>
        <v>0</v>
      </c>
      <c r="H145" s="26">
        <f t="shared" si="2"/>
        <v>0</v>
      </c>
    </row>
    <row r="146" spans="2:8">
      <c r="B146" s="29" t="s">
        <v>252</v>
      </c>
      <c r="C146" s="25" t="s">
        <v>253</v>
      </c>
      <c r="D146" s="26">
        <f>CLN!P146</f>
        <v>4511.2</v>
      </c>
      <c r="E146" s="26">
        <f>'MJK2'!P146</f>
        <v>10437.08</v>
      </c>
      <c r="F146" s="26">
        <f>'MJK1'!P146</f>
        <v>11832.52</v>
      </c>
      <c r="G146" s="26">
        <f>BJR!P146</f>
        <v>5569.22</v>
      </c>
      <c r="H146" s="26">
        <f t="shared" si="2"/>
        <v>32350.02</v>
      </c>
    </row>
    <row r="147" spans="2:8">
      <c r="B147" s="29"/>
      <c r="C147" s="25" t="s">
        <v>254</v>
      </c>
      <c r="D147" s="26"/>
      <c r="E147" s="26"/>
      <c r="F147" s="26"/>
      <c r="G147" s="26"/>
      <c r="H147" s="26"/>
    </row>
    <row r="148" spans="2:8">
      <c r="B148" s="29" t="s">
        <v>255</v>
      </c>
      <c r="C148" s="33" t="s">
        <v>242</v>
      </c>
      <c r="D148" s="26">
        <f>CLN!P148</f>
        <v>99114.599999999991</v>
      </c>
      <c r="E148" s="26">
        <f>'MJK2'!P148</f>
        <v>49321.599999999999</v>
      </c>
      <c r="F148" s="26">
        <f>'MJK1'!P148</f>
        <v>36266.100000000006</v>
      </c>
      <c r="G148" s="26">
        <f>BJR!P148</f>
        <v>15773.5</v>
      </c>
      <c r="H148" s="26">
        <f t="shared" si="2"/>
        <v>200475.8</v>
      </c>
    </row>
    <row r="149" spans="2:8">
      <c r="B149" s="29"/>
      <c r="C149" s="27" t="s">
        <v>256</v>
      </c>
      <c r="D149" s="26" t="e">
        <f>CLN!P149</f>
        <v>#VALUE!</v>
      </c>
      <c r="E149" s="26" t="e">
        <f>'MJK2'!P149</f>
        <v>#VALUE!</v>
      </c>
      <c r="F149" s="26" t="e">
        <f>'MJK1'!P149</f>
        <v>#VALUE!</v>
      </c>
      <c r="G149" s="26" t="e">
        <f>BJR!P149</f>
        <v>#VALUE!</v>
      </c>
      <c r="H149" s="26" t="e">
        <f t="shared" si="2"/>
        <v>#VALUE!</v>
      </c>
    </row>
    <row r="150" spans="2:8">
      <c r="B150" s="29" t="s">
        <v>257</v>
      </c>
      <c r="C150" s="25" t="s">
        <v>258</v>
      </c>
      <c r="D150" s="26">
        <f>CLN!P150</f>
        <v>0</v>
      </c>
      <c r="E150" s="26">
        <f>'MJK2'!P150</f>
        <v>0</v>
      </c>
      <c r="F150" s="26">
        <f>'MJK1'!P150</f>
        <v>0</v>
      </c>
      <c r="G150" s="26">
        <f>BJR!P150</f>
        <v>0</v>
      </c>
      <c r="H150" s="26">
        <f t="shared" si="2"/>
        <v>0</v>
      </c>
    </row>
    <row r="151" spans="2:8">
      <c r="B151" s="29" t="s">
        <v>259</v>
      </c>
      <c r="C151" s="25" t="s">
        <v>260</v>
      </c>
      <c r="D151" s="26">
        <f>CLN!P151</f>
        <v>236.38</v>
      </c>
      <c r="E151" s="26">
        <f>'MJK2'!P151</f>
        <v>0</v>
      </c>
      <c r="F151" s="26">
        <f>'MJK1'!P151</f>
        <v>0</v>
      </c>
      <c r="G151" s="26">
        <f>BJR!P151</f>
        <v>0</v>
      </c>
      <c r="H151" s="26">
        <f t="shared" si="2"/>
        <v>236.38</v>
      </c>
    </row>
    <row r="152" spans="2:8">
      <c r="B152" s="29" t="s">
        <v>261</v>
      </c>
      <c r="C152" s="25" t="s">
        <v>262</v>
      </c>
      <c r="D152" s="26">
        <f>CLN!P152</f>
        <v>0</v>
      </c>
      <c r="E152" s="26">
        <f>'MJK2'!P152</f>
        <v>0</v>
      </c>
      <c r="F152" s="26">
        <f>'MJK1'!P152</f>
        <v>0</v>
      </c>
      <c r="G152" s="26">
        <f>BJR!P152</f>
        <v>0</v>
      </c>
      <c r="H152" s="26">
        <f t="shared" si="2"/>
        <v>0</v>
      </c>
    </row>
    <row r="153" spans="2:8">
      <c r="B153" s="29" t="s">
        <v>263</v>
      </c>
      <c r="C153" s="25" t="s">
        <v>264</v>
      </c>
      <c r="D153" s="26">
        <f>CLN!P153</f>
        <v>942.12</v>
      </c>
      <c r="E153" s="26">
        <f>'MJK2'!P153</f>
        <v>0</v>
      </c>
      <c r="F153" s="26">
        <f>'MJK1'!P153</f>
        <v>582.94000000000005</v>
      </c>
      <c r="G153" s="26">
        <f>BJR!P153</f>
        <v>0</v>
      </c>
      <c r="H153" s="26">
        <f t="shared" si="2"/>
        <v>1525.06</v>
      </c>
    </row>
    <row r="154" spans="2:8">
      <c r="B154" s="29" t="s">
        <v>265</v>
      </c>
      <c r="C154" s="33" t="s">
        <v>256</v>
      </c>
      <c r="D154" s="26">
        <f>CLN!P154</f>
        <v>1178.5</v>
      </c>
      <c r="E154" s="26">
        <f>'MJK2'!P154</f>
        <v>0</v>
      </c>
      <c r="F154" s="26">
        <f>'MJK1'!P154</f>
        <v>582.94000000000005</v>
      </c>
      <c r="G154" s="26">
        <f>BJR!P154</f>
        <v>0</v>
      </c>
      <c r="H154" s="26">
        <f t="shared" si="2"/>
        <v>1761.44</v>
      </c>
    </row>
    <row r="155" spans="2:8">
      <c r="B155" s="29"/>
      <c r="C155" s="27" t="s">
        <v>266</v>
      </c>
      <c r="D155" s="26">
        <f>CLN!P155</f>
        <v>0</v>
      </c>
      <c r="E155" s="26">
        <f>'MJK2'!P155</f>
        <v>0</v>
      </c>
      <c r="F155" s="26">
        <f>'MJK1'!P155</f>
        <v>0</v>
      </c>
      <c r="G155" s="26">
        <f>BJR!P155</f>
        <v>0</v>
      </c>
      <c r="H155" s="26">
        <f t="shared" si="2"/>
        <v>0</v>
      </c>
    </row>
    <row r="156" spans="2:8">
      <c r="B156" s="29" t="s">
        <v>267</v>
      </c>
      <c r="C156" s="25" t="s">
        <v>268</v>
      </c>
      <c r="D156" s="26">
        <f>CLN!P156</f>
        <v>0</v>
      </c>
      <c r="E156" s="26">
        <f>'MJK2'!P156</f>
        <v>0</v>
      </c>
      <c r="F156" s="26">
        <f>'MJK1'!P156</f>
        <v>0</v>
      </c>
      <c r="G156" s="26">
        <f>BJR!P156</f>
        <v>0</v>
      </c>
      <c r="H156" s="26">
        <f t="shared" si="2"/>
        <v>0</v>
      </c>
    </row>
    <row r="157" spans="2:8">
      <c r="B157" s="29" t="s">
        <v>269</v>
      </c>
      <c r="C157" s="25" t="s">
        <v>125</v>
      </c>
      <c r="D157" s="26">
        <f>CLN!P157</f>
        <v>165.86</v>
      </c>
      <c r="E157" s="26">
        <f>'MJK2'!P157</f>
        <v>0</v>
      </c>
      <c r="F157" s="26">
        <f>'MJK1'!P157</f>
        <v>0</v>
      </c>
      <c r="G157" s="26">
        <f>BJR!P157</f>
        <v>43.08</v>
      </c>
      <c r="H157" s="26">
        <f t="shared" si="2"/>
        <v>208.94</v>
      </c>
    </row>
    <row r="158" spans="2:8">
      <c r="B158" s="29" t="s">
        <v>270</v>
      </c>
      <c r="C158" s="33" t="s">
        <v>266</v>
      </c>
      <c r="D158" s="26">
        <f>CLN!P158</f>
        <v>165.86</v>
      </c>
      <c r="E158" s="26">
        <f>'MJK2'!P158</f>
        <v>0</v>
      </c>
      <c r="F158" s="26">
        <f>'MJK1'!P158</f>
        <v>0</v>
      </c>
      <c r="G158" s="26">
        <f>BJR!P158</f>
        <v>43.08</v>
      </c>
      <c r="H158" s="26">
        <f t="shared" si="2"/>
        <v>208.94</v>
      </c>
    </row>
    <row r="159" spans="2:8">
      <c r="B159" s="29" t="s">
        <v>271</v>
      </c>
      <c r="C159" s="25" t="s">
        <v>272</v>
      </c>
      <c r="D159" s="26">
        <f>CLN!P159</f>
        <v>4857.84</v>
      </c>
      <c r="E159" s="26">
        <f>'MJK2'!P159</f>
        <v>0</v>
      </c>
      <c r="F159" s="26">
        <f>'MJK1'!P159</f>
        <v>867.94</v>
      </c>
      <c r="G159" s="26">
        <f>BJR!P159</f>
        <v>0</v>
      </c>
      <c r="H159" s="26">
        <f t="shared" si="2"/>
        <v>5725.7800000000007</v>
      </c>
    </row>
    <row r="160" spans="2:8">
      <c r="B160" s="29" t="s">
        <v>273</v>
      </c>
      <c r="C160" s="25" t="s">
        <v>274</v>
      </c>
      <c r="D160" s="26">
        <f>CLN!P160</f>
        <v>0</v>
      </c>
      <c r="E160" s="26">
        <f>'MJK2'!P160</f>
        <v>0</v>
      </c>
      <c r="F160" s="26">
        <f>'MJK1'!P160</f>
        <v>0</v>
      </c>
      <c r="G160" s="26">
        <f>BJR!P160</f>
        <v>0</v>
      </c>
      <c r="H160" s="26">
        <f t="shared" si="2"/>
        <v>0</v>
      </c>
    </row>
    <row r="161" spans="2:8">
      <c r="B161" s="29"/>
      <c r="C161" s="25" t="s">
        <v>275</v>
      </c>
      <c r="D161" s="26">
        <f>CLN!P161</f>
        <v>1487.46</v>
      </c>
      <c r="E161" s="26">
        <f>'MJK2'!P161</f>
        <v>0</v>
      </c>
      <c r="F161" s="26">
        <f>'MJK1'!P161</f>
        <v>0</v>
      </c>
      <c r="G161" s="26">
        <f>BJR!P161</f>
        <v>0</v>
      </c>
      <c r="H161" s="26">
        <f t="shared" si="2"/>
        <v>1487.46</v>
      </c>
    </row>
    <row r="162" spans="2:8">
      <c r="B162" s="29" t="s">
        <v>276</v>
      </c>
      <c r="C162" s="25" t="s">
        <v>277</v>
      </c>
      <c r="D162" s="26">
        <f>CLN!P162</f>
        <v>0</v>
      </c>
      <c r="E162" s="26">
        <f>'MJK2'!P162</f>
        <v>0</v>
      </c>
      <c r="F162" s="26">
        <f>'MJK1'!P162</f>
        <v>0</v>
      </c>
      <c r="G162" s="26">
        <f>BJR!P162</f>
        <v>0</v>
      </c>
      <c r="H162" s="26">
        <f t="shared" si="2"/>
        <v>0</v>
      </c>
    </row>
    <row r="163" spans="2:8">
      <c r="B163" s="29" t="s">
        <v>278</v>
      </c>
      <c r="C163" s="25" t="s">
        <v>279</v>
      </c>
      <c r="D163" s="26">
        <f>CLN!P163</f>
        <v>323.86</v>
      </c>
      <c r="E163" s="26">
        <f>'MJK2'!P163</f>
        <v>0</v>
      </c>
      <c r="F163" s="26">
        <f>'MJK1'!P163</f>
        <v>518.16</v>
      </c>
      <c r="G163" s="26">
        <f>BJR!P163</f>
        <v>0</v>
      </c>
      <c r="H163" s="26">
        <f t="shared" si="2"/>
        <v>842.02</v>
      </c>
    </row>
    <row r="164" spans="2:8">
      <c r="B164" s="29" t="s">
        <v>280</v>
      </c>
      <c r="C164" s="25" t="s">
        <v>281</v>
      </c>
      <c r="D164" s="26">
        <f>CLN!P164</f>
        <v>1147.44</v>
      </c>
      <c r="E164" s="26">
        <f>'MJK2'!P164</f>
        <v>187.82</v>
      </c>
      <c r="F164" s="26">
        <f>'MJK1'!P164</f>
        <v>2969.1</v>
      </c>
      <c r="G164" s="26">
        <f>BJR!P164</f>
        <v>18.66</v>
      </c>
      <c r="H164" s="26">
        <f t="shared" si="2"/>
        <v>4323.0199999999995</v>
      </c>
    </row>
    <row r="165" spans="2:8">
      <c r="B165" s="29" t="s">
        <v>282</v>
      </c>
      <c r="C165" s="25" t="s">
        <v>283</v>
      </c>
      <c r="D165" s="26">
        <f>CLN!P165</f>
        <v>323.86</v>
      </c>
      <c r="E165" s="26">
        <f>'MJK2'!P165</f>
        <v>58.3</v>
      </c>
      <c r="F165" s="26">
        <f>'MJK1'!P165</f>
        <v>12.96</v>
      </c>
      <c r="G165" s="26">
        <f>BJR!P165</f>
        <v>6.48</v>
      </c>
      <c r="H165" s="26">
        <f t="shared" si="2"/>
        <v>401.6</v>
      </c>
    </row>
    <row r="166" spans="2:8">
      <c r="B166" s="29"/>
      <c r="C166" s="27" t="s">
        <v>284</v>
      </c>
      <c r="D166" s="26">
        <f>CLN!P166</f>
        <v>0</v>
      </c>
      <c r="E166" s="26">
        <f>'MJK2'!P166</f>
        <v>0</v>
      </c>
      <c r="F166" s="26">
        <f>'MJK1'!P166</f>
        <v>0</v>
      </c>
      <c r="G166" s="26">
        <f>BJR!P166</f>
        <v>0</v>
      </c>
      <c r="H166" s="26">
        <f t="shared" si="2"/>
        <v>0</v>
      </c>
    </row>
    <row r="167" spans="2:8">
      <c r="B167" s="29" t="s">
        <v>285</v>
      </c>
      <c r="C167" s="25" t="s">
        <v>286</v>
      </c>
      <c r="D167" s="26">
        <f>CLN!P167</f>
        <v>248.28</v>
      </c>
      <c r="E167" s="26">
        <f>'MJK2'!P167</f>
        <v>899.68</v>
      </c>
      <c r="F167" s="26">
        <f>'MJK1'!P167</f>
        <v>427.5</v>
      </c>
      <c r="G167" s="26">
        <f>BJR!P167</f>
        <v>220.22</v>
      </c>
      <c r="H167" s="26">
        <f t="shared" si="2"/>
        <v>1795.68</v>
      </c>
    </row>
    <row r="168" spans="2:8">
      <c r="B168" s="29" t="s">
        <v>287</v>
      </c>
      <c r="C168" s="25" t="s">
        <v>288</v>
      </c>
      <c r="D168" s="26">
        <f>CLN!P168</f>
        <v>0</v>
      </c>
      <c r="E168" s="26">
        <f>'MJK2'!P168</f>
        <v>0</v>
      </c>
      <c r="F168" s="26">
        <f>'MJK1'!P168</f>
        <v>0</v>
      </c>
      <c r="G168" s="26">
        <f>BJR!P168</f>
        <v>0</v>
      </c>
      <c r="H168" s="26">
        <f t="shared" si="2"/>
        <v>0</v>
      </c>
    </row>
    <row r="169" spans="2:8">
      <c r="B169" s="29" t="s">
        <v>289</v>
      </c>
      <c r="C169" s="25" t="s">
        <v>290</v>
      </c>
      <c r="D169" s="26">
        <f>CLN!P169</f>
        <v>0</v>
      </c>
      <c r="E169" s="26">
        <f>'MJK2'!P169</f>
        <v>0</v>
      </c>
      <c r="F169" s="26">
        <f>'MJK1'!P169</f>
        <v>0</v>
      </c>
      <c r="G169" s="26">
        <f>BJR!P169</f>
        <v>0</v>
      </c>
      <c r="H169" s="26">
        <f t="shared" si="2"/>
        <v>0</v>
      </c>
    </row>
    <row r="170" spans="2:8">
      <c r="B170" s="29" t="s">
        <v>291</v>
      </c>
      <c r="C170" s="33" t="s">
        <v>284</v>
      </c>
      <c r="D170" s="26">
        <f>CLN!P170</f>
        <v>248.28</v>
      </c>
      <c r="E170" s="26">
        <f>'MJK2'!P170</f>
        <v>899.68</v>
      </c>
      <c r="F170" s="26">
        <f>'MJK1'!P170</f>
        <v>427.5</v>
      </c>
      <c r="G170" s="26">
        <f>BJR!P170</f>
        <v>220.22</v>
      </c>
      <c r="H170" s="26">
        <f t="shared" si="2"/>
        <v>1795.68</v>
      </c>
    </row>
    <row r="171" spans="2:8">
      <c r="B171" s="29"/>
      <c r="C171" s="27" t="s">
        <v>292</v>
      </c>
      <c r="D171" s="26">
        <f>CLN!P171</f>
        <v>0</v>
      </c>
      <c r="E171" s="26">
        <f>'MJK2'!P171</f>
        <v>0</v>
      </c>
      <c r="F171" s="26">
        <f>'MJK1'!P171</f>
        <v>0</v>
      </c>
      <c r="G171" s="26">
        <f>BJR!P171</f>
        <v>0</v>
      </c>
      <c r="H171" s="26">
        <f t="shared" si="2"/>
        <v>0</v>
      </c>
    </row>
    <row r="172" spans="2:8">
      <c r="B172" s="29" t="s">
        <v>293</v>
      </c>
      <c r="C172" s="25" t="s">
        <v>294</v>
      </c>
      <c r="D172" s="26">
        <f>CLN!P172</f>
        <v>2736.5</v>
      </c>
      <c r="E172" s="26">
        <f>'MJK2'!P172</f>
        <v>990.5</v>
      </c>
      <c r="F172" s="26">
        <f>'MJK1'!P172</f>
        <v>824.94</v>
      </c>
      <c r="G172" s="26">
        <f>BJR!P172</f>
        <v>845.14</v>
      </c>
      <c r="H172" s="26">
        <f t="shared" si="2"/>
        <v>5397.0800000000008</v>
      </c>
    </row>
    <row r="173" spans="2:8">
      <c r="B173" s="29" t="s">
        <v>295</v>
      </c>
      <c r="C173" s="25" t="s">
        <v>296</v>
      </c>
      <c r="D173" s="26">
        <f>CLN!P173</f>
        <v>0</v>
      </c>
      <c r="E173" s="26">
        <f>'MJK2'!P173</f>
        <v>0</v>
      </c>
      <c r="F173" s="26">
        <f>'MJK1'!P173</f>
        <v>0</v>
      </c>
      <c r="G173" s="26">
        <f>BJR!P173</f>
        <v>0</v>
      </c>
      <c r="H173" s="26">
        <f t="shared" si="2"/>
        <v>0</v>
      </c>
    </row>
    <row r="174" spans="2:8">
      <c r="B174" s="29" t="s">
        <v>297</v>
      </c>
      <c r="C174" s="25" t="s">
        <v>298</v>
      </c>
      <c r="D174" s="26">
        <f>CLN!P174</f>
        <v>0</v>
      </c>
      <c r="E174" s="26">
        <f>'MJK2'!P174</f>
        <v>0</v>
      </c>
      <c r="F174" s="26">
        <f>'MJK1'!P174</f>
        <v>0</v>
      </c>
      <c r="G174" s="26">
        <f>BJR!P174</f>
        <v>0</v>
      </c>
      <c r="H174" s="26">
        <f t="shared" si="2"/>
        <v>0</v>
      </c>
    </row>
    <row r="175" spans="2:8">
      <c r="B175" s="29" t="s">
        <v>299</v>
      </c>
      <c r="C175" s="33" t="s">
        <v>292</v>
      </c>
      <c r="D175" s="26">
        <f>CLN!P175</f>
        <v>2736.5</v>
      </c>
      <c r="E175" s="26">
        <f>'MJK2'!P175</f>
        <v>990.5</v>
      </c>
      <c r="F175" s="26">
        <f>'MJK1'!P175</f>
        <v>824.94</v>
      </c>
      <c r="G175" s="26">
        <f>BJR!P175</f>
        <v>845.14</v>
      </c>
      <c r="H175" s="26">
        <f t="shared" si="2"/>
        <v>5397.0800000000008</v>
      </c>
    </row>
    <row r="176" spans="2:8">
      <c r="B176" s="29" t="s">
        <v>300</v>
      </c>
      <c r="C176" s="25" t="s">
        <v>301</v>
      </c>
      <c r="D176" s="26">
        <f>CLN!P176</f>
        <v>8008.88</v>
      </c>
      <c r="E176" s="26">
        <f>'MJK2'!P176</f>
        <v>10224.280000000001</v>
      </c>
      <c r="F176" s="26">
        <f>'MJK1'!P176</f>
        <v>8139.38</v>
      </c>
      <c r="G176" s="26">
        <f>BJR!P176</f>
        <v>10509.68</v>
      </c>
      <c r="H176" s="26">
        <f t="shared" si="2"/>
        <v>36882.22</v>
      </c>
    </row>
    <row r="177" spans="2:8">
      <c r="B177" s="29" t="s">
        <v>302</v>
      </c>
      <c r="C177" s="25" t="s">
        <v>303</v>
      </c>
      <c r="D177" s="26">
        <f>CLN!P177</f>
        <v>2178.2600000000002</v>
      </c>
      <c r="E177" s="26">
        <f>'MJK2'!P177</f>
        <v>162.1</v>
      </c>
      <c r="F177" s="26">
        <f>'MJK1'!P177</f>
        <v>597.16</v>
      </c>
      <c r="G177" s="26">
        <f>BJR!P177</f>
        <v>42.52</v>
      </c>
      <c r="H177" s="26">
        <f t="shared" si="2"/>
        <v>2980.04</v>
      </c>
    </row>
    <row r="178" spans="2:8">
      <c r="B178" s="29"/>
      <c r="C178" s="27" t="s">
        <v>304</v>
      </c>
      <c r="D178" s="26">
        <f>CLN!P178</f>
        <v>0</v>
      </c>
      <c r="E178" s="26">
        <f>'MJK2'!P178</f>
        <v>0</v>
      </c>
      <c r="F178" s="26">
        <f>'MJK1'!P178</f>
        <v>0</v>
      </c>
      <c r="G178" s="26">
        <f>BJR!P178</f>
        <v>0</v>
      </c>
      <c r="H178" s="26">
        <f t="shared" si="2"/>
        <v>0</v>
      </c>
    </row>
    <row r="179" spans="2:8">
      <c r="B179" s="29" t="s">
        <v>305</v>
      </c>
      <c r="C179" s="25" t="s">
        <v>306</v>
      </c>
      <c r="D179" s="26" t="e">
        <f>CLN!P179</f>
        <v>#VALUE!</v>
      </c>
      <c r="E179" s="26" t="e">
        <f>'MJK2'!P179</f>
        <v>#VALUE!</v>
      </c>
      <c r="F179" s="26" t="e">
        <f>'MJK1'!P179</f>
        <v>#VALUE!</v>
      </c>
      <c r="G179" s="26" t="e">
        <f>BJR!P179</f>
        <v>#VALUE!</v>
      </c>
      <c r="H179" s="26" t="e">
        <f t="shared" si="2"/>
        <v>#VALUE!</v>
      </c>
    </row>
    <row r="180" spans="2:8">
      <c r="B180" s="29" t="s">
        <v>307</v>
      </c>
      <c r="C180" s="25" t="s">
        <v>308</v>
      </c>
      <c r="D180" s="26" t="e">
        <f>CLN!P180</f>
        <v>#VALUE!</v>
      </c>
      <c r="E180" s="26" t="e">
        <f>'MJK2'!P180</f>
        <v>#VALUE!</v>
      </c>
      <c r="F180" s="26" t="e">
        <f>'MJK1'!P180</f>
        <v>#VALUE!</v>
      </c>
      <c r="G180" s="26" t="e">
        <f>BJR!P180</f>
        <v>#VALUE!</v>
      </c>
      <c r="H180" s="26" t="e">
        <f t="shared" si="2"/>
        <v>#VALUE!</v>
      </c>
    </row>
    <row r="181" spans="2:8">
      <c r="B181" s="29"/>
      <c r="C181" s="25" t="s">
        <v>309</v>
      </c>
      <c r="D181" s="26">
        <f>CLN!P181</f>
        <v>0</v>
      </c>
      <c r="E181" s="26">
        <f>'MJK2'!P181</f>
        <v>0</v>
      </c>
      <c r="F181" s="26">
        <f>'MJK1'!P181</f>
        <v>0</v>
      </c>
      <c r="G181" s="26">
        <f>BJR!P181</f>
        <v>0</v>
      </c>
      <c r="H181" s="26">
        <f t="shared" si="2"/>
        <v>0</v>
      </c>
    </row>
    <row r="182" spans="2:8">
      <c r="B182" s="29" t="s">
        <v>310</v>
      </c>
      <c r="C182" s="33" t="s">
        <v>304</v>
      </c>
      <c r="D182" s="26" t="e">
        <f>CLN!P182</f>
        <v>#VALUE!</v>
      </c>
      <c r="E182" s="26" t="e">
        <f>'MJK2'!P182</f>
        <v>#VALUE!</v>
      </c>
      <c r="F182" s="26" t="e">
        <f>'MJK1'!P182</f>
        <v>#VALUE!</v>
      </c>
      <c r="G182" s="26" t="e">
        <f>BJR!P182</f>
        <v>#VALUE!</v>
      </c>
      <c r="H182" s="26" t="e">
        <f t="shared" si="2"/>
        <v>#VALUE!</v>
      </c>
    </row>
    <row r="183" spans="2:8">
      <c r="B183" s="29"/>
      <c r="C183" s="27" t="s">
        <v>311</v>
      </c>
      <c r="D183" s="26">
        <f>CLN!P183</f>
        <v>0</v>
      </c>
      <c r="E183" s="26">
        <f>'MJK2'!P183</f>
        <v>0</v>
      </c>
      <c r="F183" s="26">
        <f>'MJK1'!P183</f>
        <v>0</v>
      </c>
      <c r="G183" s="26">
        <f>BJR!P183</f>
        <v>0</v>
      </c>
      <c r="H183" s="26">
        <f t="shared" si="2"/>
        <v>0</v>
      </c>
    </row>
    <row r="184" spans="2:8">
      <c r="B184" s="29" t="s">
        <v>312</v>
      </c>
      <c r="C184" s="25" t="s">
        <v>167</v>
      </c>
      <c r="D184" s="26">
        <f>CLN!P184</f>
        <v>2777.22</v>
      </c>
      <c r="E184" s="26">
        <f>'MJK2'!P184</f>
        <v>0</v>
      </c>
      <c r="F184" s="26">
        <f>'MJK1'!P184</f>
        <v>0</v>
      </c>
      <c r="G184" s="26">
        <f>BJR!P184</f>
        <v>8470.4599999999991</v>
      </c>
      <c r="H184" s="26">
        <f t="shared" si="2"/>
        <v>11247.679999999998</v>
      </c>
    </row>
    <row r="185" spans="2:8">
      <c r="B185" s="29"/>
      <c r="C185" s="25" t="s">
        <v>313</v>
      </c>
      <c r="D185" s="26">
        <f>CLN!P185</f>
        <v>1528.8</v>
      </c>
      <c r="E185" s="26">
        <f>'MJK2'!P185</f>
        <v>0</v>
      </c>
      <c r="F185" s="26">
        <f>'MJK1'!P185</f>
        <v>0</v>
      </c>
      <c r="G185" s="26">
        <f>BJR!P185</f>
        <v>0</v>
      </c>
      <c r="H185" s="26">
        <f t="shared" si="2"/>
        <v>1528.8</v>
      </c>
    </row>
    <row r="186" spans="2:8">
      <c r="B186" s="29" t="s">
        <v>314</v>
      </c>
      <c r="C186" s="25" t="s">
        <v>315</v>
      </c>
      <c r="D186" s="26">
        <f>CLN!P186</f>
        <v>0</v>
      </c>
      <c r="E186" s="26">
        <f>'MJK2'!P186</f>
        <v>0</v>
      </c>
      <c r="F186" s="26">
        <f>'MJK1'!P186</f>
        <v>0</v>
      </c>
      <c r="G186" s="26">
        <f>BJR!P186</f>
        <v>0</v>
      </c>
      <c r="H186" s="26">
        <f t="shared" si="2"/>
        <v>0</v>
      </c>
    </row>
    <row r="187" spans="2:8">
      <c r="B187" s="29" t="s">
        <v>316</v>
      </c>
      <c r="C187" s="33" t="s">
        <v>311</v>
      </c>
      <c r="D187" s="26">
        <f>CLN!P187</f>
        <v>4306.0199999999995</v>
      </c>
      <c r="E187" s="26">
        <f>'MJK2'!P187</f>
        <v>0</v>
      </c>
      <c r="F187" s="26">
        <f>'MJK1'!P187</f>
        <v>0</v>
      </c>
      <c r="G187" s="26">
        <f>BJR!P187</f>
        <v>8470.4599999999991</v>
      </c>
      <c r="H187" s="26">
        <f t="shared" si="2"/>
        <v>12776.48</v>
      </c>
    </row>
    <row r="188" spans="2:8">
      <c r="B188" s="29" t="s">
        <v>317</v>
      </c>
      <c r="C188" s="27" t="s">
        <v>318</v>
      </c>
      <c r="D188" s="26">
        <f>CLN!P188</f>
        <v>0</v>
      </c>
      <c r="E188" s="26">
        <f>'MJK2'!P188</f>
        <v>0</v>
      </c>
      <c r="F188" s="26">
        <f>'MJK1'!P188</f>
        <v>0</v>
      </c>
      <c r="G188" s="26">
        <f>BJR!P188</f>
        <v>0</v>
      </c>
      <c r="H188" s="26">
        <f t="shared" si="2"/>
        <v>0</v>
      </c>
    </row>
    <row r="189" spans="2:8">
      <c r="B189" s="29" t="s">
        <v>319</v>
      </c>
      <c r="C189" s="25" t="s">
        <v>320</v>
      </c>
      <c r="D189" s="26">
        <f>CLN!P189</f>
        <v>2636.52</v>
      </c>
      <c r="E189" s="26">
        <f>'MJK2'!P189</f>
        <v>0</v>
      </c>
      <c r="F189" s="26">
        <f>'MJK1'!P189</f>
        <v>1250.98</v>
      </c>
      <c r="G189" s="26">
        <f>BJR!P189</f>
        <v>0</v>
      </c>
      <c r="H189" s="26">
        <f t="shared" si="2"/>
        <v>3887.5</v>
      </c>
    </row>
    <row r="190" spans="2:8">
      <c r="B190" s="29" t="s">
        <v>321</v>
      </c>
      <c r="C190" s="25" t="s">
        <v>322</v>
      </c>
      <c r="D190" s="26">
        <f>CLN!P190</f>
        <v>13252.14</v>
      </c>
      <c r="E190" s="26">
        <f>'MJK2'!P190</f>
        <v>0</v>
      </c>
      <c r="F190" s="26">
        <f>'MJK1'!P190</f>
        <v>0</v>
      </c>
      <c r="G190" s="26">
        <f>BJR!P190</f>
        <v>0</v>
      </c>
      <c r="H190" s="26">
        <f t="shared" si="2"/>
        <v>13252.14</v>
      </c>
    </row>
    <row r="191" spans="2:8">
      <c r="B191" s="29">
        <v>816130</v>
      </c>
      <c r="C191" s="25" t="s">
        <v>323</v>
      </c>
      <c r="D191" s="26" t="e">
        <f>CLN!P191</f>
        <v>#VALUE!</v>
      </c>
      <c r="E191" s="26" t="e">
        <f>'MJK2'!P191</f>
        <v>#VALUE!</v>
      </c>
      <c r="F191" s="26" t="e">
        <f>'MJK1'!P191</f>
        <v>#VALUE!</v>
      </c>
      <c r="G191" s="26" t="e">
        <f>BJR!P191</f>
        <v>#VALUE!</v>
      </c>
      <c r="H191" s="26" t="e">
        <f t="shared" si="2"/>
        <v>#VALUE!</v>
      </c>
    </row>
    <row r="192" spans="2:8">
      <c r="B192" s="29" t="s">
        <v>324</v>
      </c>
      <c r="C192" s="25" t="s">
        <v>325</v>
      </c>
      <c r="D192" s="26">
        <f>CLN!P192</f>
        <v>0</v>
      </c>
      <c r="E192" s="26">
        <f>'MJK2'!P192</f>
        <v>0</v>
      </c>
      <c r="F192" s="26">
        <f>'MJK1'!P192</f>
        <v>0</v>
      </c>
      <c r="G192" s="26">
        <f>BJR!P192</f>
        <v>0</v>
      </c>
      <c r="H192" s="26">
        <f t="shared" si="2"/>
        <v>0</v>
      </c>
    </row>
    <row r="193" spans="2:8">
      <c r="B193" s="29" t="s">
        <v>326</v>
      </c>
      <c r="C193" s="102" t="s">
        <v>327</v>
      </c>
      <c r="D193" s="26" t="e">
        <f>CLN!P193</f>
        <v>#VALUE!</v>
      </c>
      <c r="E193" s="26" t="e">
        <f>'MJK2'!P193</f>
        <v>#VALUE!</v>
      </c>
      <c r="F193" s="26" t="e">
        <f>'MJK1'!P193</f>
        <v>#VALUE!</v>
      </c>
      <c r="G193" s="26" t="e">
        <f>BJR!P193</f>
        <v>#VALUE!</v>
      </c>
      <c r="H193" s="26" t="e">
        <f t="shared" si="2"/>
        <v>#VALUE!</v>
      </c>
    </row>
    <row r="194" spans="2:8">
      <c r="B194" s="29"/>
      <c r="C194" s="25" t="s">
        <v>328</v>
      </c>
      <c r="D194" s="26">
        <f>CLN!P194</f>
        <v>0</v>
      </c>
      <c r="E194" s="26">
        <f>'MJK2'!P194</f>
        <v>0</v>
      </c>
      <c r="F194" s="26">
        <f>'MJK1'!P194</f>
        <v>0</v>
      </c>
      <c r="G194" s="26">
        <f>BJR!P194</f>
        <v>0</v>
      </c>
      <c r="H194" s="26">
        <f t="shared" si="2"/>
        <v>0</v>
      </c>
    </row>
    <row r="195" spans="2:8">
      <c r="B195" s="29"/>
      <c r="C195" s="25" t="s">
        <v>329</v>
      </c>
      <c r="D195" s="26">
        <f>CLN!P195</f>
        <v>0</v>
      </c>
      <c r="E195" s="26">
        <f>'MJK2'!P195</f>
        <v>0</v>
      </c>
      <c r="F195" s="26">
        <f>'MJK1'!P195</f>
        <v>0</v>
      </c>
      <c r="G195" s="26">
        <f>BJR!P195</f>
        <v>0</v>
      </c>
      <c r="H195" s="26">
        <f t="shared" si="2"/>
        <v>0</v>
      </c>
    </row>
    <row r="196" spans="2:8">
      <c r="B196" s="29"/>
      <c r="C196" s="25"/>
      <c r="D196" s="26">
        <f>CLN!P196</f>
        <v>0</v>
      </c>
      <c r="E196" s="26">
        <f>'MJK2'!P196</f>
        <v>0</v>
      </c>
      <c r="F196" s="26">
        <f>'MJK1'!P196</f>
        <v>0</v>
      </c>
      <c r="G196" s="26">
        <f>BJR!P196</f>
        <v>0</v>
      </c>
      <c r="H196" s="26">
        <f t="shared" si="2"/>
        <v>0</v>
      </c>
    </row>
    <row r="197" spans="2:8">
      <c r="B197" s="29" t="s">
        <v>317</v>
      </c>
      <c r="C197" s="33" t="s">
        <v>318</v>
      </c>
      <c r="D197" s="26" t="e">
        <f>CLN!P197</f>
        <v>#VALUE!</v>
      </c>
      <c r="E197" s="26" t="e">
        <f>'MJK2'!P197</f>
        <v>#VALUE!</v>
      </c>
      <c r="F197" s="26" t="e">
        <f>'MJK1'!P197</f>
        <v>#VALUE!</v>
      </c>
      <c r="G197" s="26" t="e">
        <f>BJR!P197</f>
        <v>#VALUE!</v>
      </c>
      <c r="H197" s="26" t="e">
        <f t="shared" si="2"/>
        <v>#VALUE!</v>
      </c>
    </row>
    <row r="198" spans="2:8">
      <c r="B198" s="29" t="s">
        <v>330</v>
      </c>
      <c r="C198" s="33" t="s">
        <v>241</v>
      </c>
      <c r="D198" s="26" t="e">
        <f>CLN!P198</f>
        <v>#VALUE!</v>
      </c>
      <c r="E198" s="26" t="e">
        <f>'MJK2'!P198</f>
        <v>#VALUE!</v>
      </c>
      <c r="F198" s="26" t="e">
        <f>'MJK1'!P198</f>
        <v>#VALUE!</v>
      </c>
      <c r="G198" s="26" t="e">
        <f>BJR!P198</f>
        <v>#VALUE!</v>
      </c>
      <c r="H198" s="26" t="e">
        <f t="shared" si="2"/>
        <v>#VALUE!</v>
      </c>
    </row>
    <row r="199" spans="2:8">
      <c r="B199" s="29"/>
      <c r="C199" s="27" t="s">
        <v>331</v>
      </c>
      <c r="D199" s="26">
        <f>CLN!P199</f>
        <v>0</v>
      </c>
      <c r="E199" s="26">
        <f>'MJK2'!P199</f>
        <v>0</v>
      </c>
      <c r="F199" s="26">
        <f>'MJK1'!P199</f>
        <v>0</v>
      </c>
      <c r="G199" s="26">
        <f>BJR!P199</f>
        <v>0</v>
      </c>
      <c r="H199" s="26">
        <f t="shared" ref="H199:H251" si="3">SUM(D199:G199)</f>
        <v>0</v>
      </c>
    </row>
    <row r="200" spans="2:8">
      <c r="B200" s="29"/>
      <c r="C200" s="27" t="s">
        <v>332</v>
      </c>
      <c r="D200" s="26">
        <f>CLN!P200</f>
        <v>0</v>
      </c>
      <c r="E200" s="26">
        <f>'MJK2'!P200</f>
        <v>0</v>
      </c>
      <c r="F200" s="26">
        <f>'MJK1'!P200</f>
        <v>0</v>
      </c>
      <c r="G200" s="26">
        <f>BJR!P200</f>
        <v>0</v>
      </c>
      <c r="H200" s="26">
        <f t="shared" si="3"/>
        <v>0</v>
      </c>
    </row>
    <row r="201" spans="2:8">
      <c r="B201" s="29" t="s">
        <v>333</v>
      </c>
      <c r="C201" s="25" t="s">
        <v>334</v>
      </c>
      <c r="D201" s="26">
        <f>CLN!P201</f>
        <v>0</v>
      </c>
      <c r="E201" s="26">
        <f>'MJK2'!P201</f>
        <v>0</v>
      </c>
      <c r="F201" s="26">
        <f>'MJK1'!P201</f>
        <v>0</v>
      </c>
      <c r="G201" s="26">
        <f>BJR!P201</f>
        <v>0</v>
      </c>
      <c r="H201" s="26">
        <f t="shared" si="3"/>
        <v>0</v>
      </c>
    </row>
    <row r="202" spans="2:8">
      <c r="B202" s="29" t="s">
        <v>335</v>
      </c>
      <c r="C202" s="25" t="s">
        <v>336</v>
      </c>
      <c r="D202" s="26">
        <f>CLN!P202</f>
        <v>0</v>
      </c>
      <c r="E202" s="26">
        <f>'MJK2'!P202</f>
        <v>0</v>
      </c>
      <c r="F202" s="26">
        <f>'MJK1'!P202</f>
        <v>0</v>
      </c>
      <c r="G202" s="26">
        <f>BJR!P202</f>
        <v>0</v>
      </c>
      <c r="H202" s="26">
        <f t="shared" si="3"/>
        <v>0</v>
      </c>
    </row>
    <row r="203" spans="2:8">
      <c r="B203" s="29"/>
      <c r="C203" s="27" t="s">
        <v>337</v>
      </c>
      <c r="D203" s="26" t="e">
        <f>CLN!P203</f>
        <v>#VALUE!</v>
      </c>
      <c r="E203" s="26" t="e">
        <f>'MJK2'!P203</f>
        <v>#VALUE!</v>
      </c>
      <c r="F203" s="26" t="e">
        <f>'MJK1'!P203</f>
        <v>#VALUE!</v>
      </c>
      <c r="G203" s="26" t="e">
        <f>BJR!P203</f>
        <v>#VALUE!</v>
      </c>
      <c r="H203" s="26" t="e">
        <f t="shared" si="3"/>
        <v>#VALUE!</v>
      </c>
    </row>
    <row r="204" spans="2:8">
      <c r="B204" s="29" t="s">
        <v>338</v>
      </c>
      <c r="C204" s="25" t="s">
        <v>339</v>
      </c>
      <c r="D204" s="26">
        <f>CLN!P204</f>
        <v>0</v>
      </c>
      <c r="E204" s="26">
        <f>'MJK2'!P204</f>
        <v>0</v>
      </c>
      <c r="F204" s="26">
        <f>'MJK1'!P204</f>
        <v>0</v>
      </c>
      <c r="G204" s="26">
        <f>BJR!P204</f>
        <v>0</v>
      </c>
      <c r="H204" s="26">
        <f t="shared" si="3"/>
        <v>0</v>
      </c>
    </row>
    <row r="205" spans="2:8">
      <c r="B205" s="29" t="s">
        <v>340</v>
      </c>
      <c r="C205" s="25" t="s">
        <v>341</v>
      </c>
      <c r="D205" s="26">
        <f>CLN!P205</f>
        <v>0</v>
      </c>
      <c r="E205" s="26">
        <f>'MJK2'!P205</f>
        <v>0</v>
      </c>
      <c r="F205" s="26">
        <f>'MJK1'!P205</f>
        <v>0</v>
      </c>
      <c r="G205" s="26">
        <f>BJR!P205</f>
        <v>0</v>
      </c>
      <c r="H205" s="26">
        <f t="shared" si="3"/>
        <v>0</v>
      </c>
    </row>
    <row r="206" spans="2:8">
      <c r="B206" s="29" t="s">
        <v>342</v>
      </c>
      <c r="C206" s="33" t="s">
        <v>337</v>
      </c>
      <c r="D206" s="26">
        <f>CLN!P206</f>
        <v>0</v>
      </c>
      <c r="E206" s="26">
        <f>'MJK2'!P206</f>
        <v>0</v>
      </c>
      <c r="F206" s="26">
        <f>'MJK1'!P206</f>
        <v>0</v>
      </c>
      <c r="G206" s="26">
        <f>BJR!P206</f>
        <v>0</v>
      </c>
      <c r="H206" s="26">
        <f t="shared" si="3"/>
        <v>0</v>
      </c>
    </row>
    <row r="207" spans="2:8">
      <c r="B207" s="29" t="s">
        <v>343</v>
      </c>
      <c r="C207" s="25" t="s">
        <v>344</v>
      </c>
      <c r="D207" s="26">
        <f>CLN!P207</f>
        <v>0</v>
      </c>
      <c r="E207" s="26">
        <f>'MJK2'!P207</f>
        <v>0</v>
      </c>
      <c r="F207" s="26">
        <f>'MJK1'!P207</f>
        <v>0</v>
      </c>
      <c r="G207" s="26">
        <f>BJR!P207</f>
        <v>0</v>
      </c>
      <c r="H207" s="26">
        <f t="shared" si="3"/>
        <v>0</v>
      </c>
    </row>
    <row r="208" spans="2:8">
      <c r="B208" s="29" t="s">
        <v>345</v>
      </c>
      <c r="C208" s="25" t="s">
        <v>346</v>
      </c>
      <c r="D208" s="26">
        <f>CLN!P208</f>
        <v>0</v>
      </c>
      <c r="E208" s="26">
        <f>'MJK2'!P208</f>
        <v>0</v>
      </c>
      <c r="F208" s="26">
        <f>'MJK1'!P208</f>
        <v>0</v>
      </c>
      <c r="G208" s="26">
        <f>BJR!P208</f>
        <v>0</v>
      </c>
      <c r="H208" s="26">
        <f t="shared" si="3"/>
        <v>0</v>
      </c>
    </row>
    <row r="209" spans="2:8">
      <c r="B209" s="29" t="s">
        <v>347</v>
      </c>
      <c r="C209" s="25" t="s">
        <v>348</v>
      </c>
      <c r="D209" s="26">
        <f>CLN!P209</f>
        <v>1.8</v>
      </c>
      <c r="E209" s="26">
        <f>'MJK2'!P209</f>
        <v>0</v>
      </c>
      <c r="F209" s="26">
        <f>'MJK1'!P209</f>
        <v>10.86</v>
      </c>
      <c r="G209" s="26">
        <f>BJR!P209</f>
        <v>0</v>
      </c>
      <c r="H209" s="26">
        <f t="shared" si="3"/>
        <v>12.66</v>
      </c>
    </row>
    <row r="210" spans="2:8">
      <c r="B210" s="29"/>
      <c r="C210" s="25" t="s">
        <v>349</v>
      </c>
      <c r="D210" s="26">
        <f>CLN!P210</f>
        <v>-333.46</v>
      </c>
      <c r="E210" s="26">
        <f>'MJK2'!P210</f>
        <v>0</v>
      </c>
      <c r="F210" s="26">
        <f>'MJK1'!P210</f>
        <v>0</v>
      </c>
      <c r="G210" s="26">
        <f>BJR!P210</f>
        <v>0</v>
      </c>
      <c r="H210" s="26">
        <f t="shared" si="3"/>
        <v>-333.46</v>
      </c>
    </row>
    <row r="211" spans="2:8">
      <c r="B211" s="29" t="s">
        <v>350</v>
      </c>
      <c r="C211" s="25" t="s">
        <v>351</v>
      </c>
      <c r="D211" s="26">
        <f>CLN!P211</f>
        <v>0</v>
      </c>
      <c r="E211" s="26">
        <f>'MJK2'!P211</f>
        <v>0</v>
      </c>
      <c r="F211" s="26">
        <f>'MJK1'!P211</f>
        <v>0</v>
      </c>
      <c r="G211" s="26">
        <f>BJR!P211</f>
        <v>0</v>
      </c>
      <c r="H211" s="26">
        <f t="shared" si="3"/>
        <v>0</v>
      </c>
    </row>
    <row r="212" spans="2:8">
      <c r="B212" s="29"/>
      <c r="C212" s="25" t="s">
        <v>352</v>
      </c>
      <c r="D212" s="26">
        <f>CLN!P212</f>
        <v>24823.22</v>
      </c>
      <c r="E212" s="26">
        <f>'MJK2'!P212</f>
        <v>0</v>
      </c>
      <c r="F212" s="26">
        <f>'MJK1'!P212</f>
        <v>0</v>
      </c>
      <c r="G212" s="26">
        <f>BJR!P212</f>
        <v>0</v>
      </c>
      <c r="H212" s="26">
        <f t="shared" si="3"/>
        <v>24823.22</v>
      </c>
    </row>
    <row r="213" spans="2:8">
      <c r="B213" s="29" t="s">
        <v>353</v>
      </c>
      <c r="C213" s="25" t="s">
        <v>354</v>
      </c>
      <c r="D213" s="26">
        <f>CLN!P213</f>
        <v>-6.3</v>
      </c>
      <c r="E213" s="26">
        <f>'MJK2'!P213</f>
        <v>-7.12</v>
      </c>
      <c r="F213" s="26">
        <f>'MJK1'!P213</f>
        <v>-0.02</v>
      </c>
      <c r="G213" s="26">
        <f>BJR!P213</f>
        <v>0</v>
      </c>
      <c r="H213" s="26">
        <f t="shared" si="3"/>
        <v>-13.44</v>
      </c>
    </row>
    <row r="214" spans="2:8">
      <c r="B214" s="29" t="s">
        <v>355</v>
      </c>
      <c r="C214" s="33" t="s">
        <v>332</v>
      </c>
      <c r="D214" s="26" t="e">
        <f>CLN!P214</f>
        <v>#VALUE!</v>
      </c>
      <c r="E214" s="26" t="e">
        <f>'MJK2'!P214</f>
        <v>#VALUE!</v>
      </c>
      <c r="F214" s="26" t="e">
        <f>'MJK1'!P214</f>
        <v>#VALUE!</v>
      </c>
      <c r="G214" s="26" t="e">
        <f>BJR!P214</f>
        <v>#VALUE!</v>
      </c>
      <c r="H214" s="26" t="e">
        <f t="shared" si="3"/>
        <v>#VALUE!</v>
      </c>
    </row>
    <row r="215" spans="2:8">
      <c r="B215" s="29"/>
      <c r="C215" s="27" t="s">
        <v>356</v>
      </c>
      <c r="D215" s="26">
        <f>CLN!P215</f>
        <v>0</v>
      </c>
      <c r="E215" s="26">
        <f>'MJK2'!P215</f>
        <v>0</v>
      </c>
      <c r="F215" s="26">
        <f>'MJK1'!P215</f>
        <v>0</v>
      </c>
      <c r="G215" s="26">
        <f>BJR!P215</f>
        <v>0</v>
      </c>
      <c r="H215" s="26">
        <f t="shared" si="3"/>
        <v>0</v>
      </c>
    </row>
    <row r="216" spans="2:8">
      <c r="B216" s="29"/>
      <c r="C216" s="28" t="s">
        <v>357</v>
      </c>
      <c r="D216" s="26">
        <f>CLN!P216</f>
        <v>0</v>
      </c>
      <c r="E216" s="26">
        <f>'MJK2'!P216</f>
        <v>0</v>
      </c>
      <c r="F216" s="26">
        <f>'MJK1'!P216</f>
        <v>0</v>
      </c>
      <c r="G216" s="26">
        <f>BJR!P216</f>
        <v>0</v>
      </c>
      <c r="H216" s="26">
        <f t="shared" si="3"/>
        <v>0</v>
      </c>
    </row>
    <row r="217" spans="2:8">
      <c r="B217" s="29" t="s">
        <v>358</v>
      </c>
      <c r="C217" s="25" t="s">
        <v>359</v>
      </c>
      <c r="D217" s="26">
        <f>CLN!P217</f>
        <v>0</v>
      </c>
      <c r="E217" s="26">
        <f>'MJK2'!P217</f>
        <v>0</v>
      </c>
      <c r="F217" s="26">
        <f>'MJK1'!P217</f>
        <v>0</v>
      </c>
      <c r="G217" s="26">
        <f>BJR!P217</f>
        <v>0</v>
      </c>
      <c r="H217" s="26">
        <f t="shared" si="3"/>
        <v>0</v>
      </c>
    </row>
    <row r="218" spans="2:8">
      <c r="B218" s="29" t="s">
        <v>360</v>
      </c>
      <c r="C218" s="25" t="s">
        <v>361</v>
      </c>
      <c r="D218" s="26">
        <f>CLN!P218</f>
        <v>46537.3</v>
      </c>
      <c r="E218" s="26">
        <f>'MJK2'!P218</f>
        <v>0</v>
      </c>
      <c r="F218" s="26">
        <f>'MJK1'!P218</f>
        <v>0</v>
      </c>
      <c r="G218" s="26">
        <f>BJR!P218</f>
        <v>0</v>
      </c>
      <c r="H218" s="26">
        <f t="shared" si="3"/>
        <v>46537.3</v>
      </c>
    </row>
    <row r="219" spans="2:8">
      <c r="B219" s="29" t="s">
        <v>362</v>
      </c>
      <c r="C219" s="33" t="s">
        <v>357</v>
      </c>
      <c r="D219" s="26">
        <f>CLN!P219</f>
        <v>46537.3</v>
      </c>
      <c r="E219" s="26">
        <f>'MJK2'!P219</f>
        <v>0</v>
      </c>
      <c r="F219" s="26">
        <f>'MJK1'!P219</f>
        <v>0</v>
      </c>
      <c r="G219" s="26">
        <f>BJR!P219</f>
        <v>0</v>
      </c>
      <c r="H219" s="26">
        <f t="shared" si="3"/>
        <v>46537.3</v>
      </c>
    </row>
    <row r="220" spans="2:8">
      <c r="B220" s="29"/>
      <c r="C220" s="27" t="s">
        <v>363</v>
      </c>
      <c r="D220" s="26">
        <f>CLN!P220</f>
        <v>0</v>
      </c>
      <c r="E220" s="26">
        <f>'MJK2'!P220</f>
        <v>0</v>
      </c>
      <c r="F220" s="26">
        <f>'MJK1'!P220</f>
        <v>0</v>
      </c>
      <c r="G220" s="26">
        <f>BJR!P220</f>
        <v>0</v>
      </c>
      <c r="H220" s="26">
        <f t="shared" si="3"/>
        <v>0</v>
      </c>
    </row>
    <row r="221" spans="2:8">
      <c r="B221" s="29" t="s">
        <v>364</v>
      </c>
      <c r="C221" s="25" t="s">
        <v>365</v>
      </c>
      <c r="D221" s="26">
        <f>CLN!P221</f>
        <v>38928.28</v>
      </c>
      <c r="E221" s="26">
        <f>'MJK2'!P221</f>
        <v>0</v>
      </c>
      <c r="F221" s="26">
        <f>'MJK1'!P221</f>
        <v>0</v>
      </c>
      <c r="G221" s="26">
        <f>BJR!P221</f>
        <v>0</v>
      </c>
      <c r="H221" s="26">
        <f t="shared" si="3"/>
        <v>38928.28</v>
      </c>
    </row>
    <row r="222" spans="2:8">
      <c r="B222" s="29" t="s">
        <v>366</v>
      </c>
      <c r="C222" s="25" t="s">
        <v>367</v>
      </c>
      <c r="D222" s="26">
        <f>CLN!P222</f>
        <v>8377.24</v>
      </c>
      <c r="E222" s="26">
        <f>'MJK2'!P222</f>
        <v>97.92</v>
      </c>
      <c r="F222" s="26">
        <f>'MJK1'!P222</f>
        <v>1628.26</v>
      </c>
      <c r="G222" s="26">
        <f>BJR!P222</f>
        <v>27.04</v>
      </c>
      <c r="H222" s="26">
        <f t="shared" si="3"/>
        <v>10130.460000000001</v>
      </c>
    </row>
    <row r="223" spans="2:8">
      <c r="B223" s="29" t="s">
        <v>368</v>
      </c>
      <c r="C223" s="33" t="s">
        <v>363</v>
      </c>
      <c r="D223" s="26">
        <f>CLN!P223</f>
        <v>47305.52</v>
      </c>
      <c r="E223" s="26">
        <f>'MJK2'!P223</f>
        <v>97.92</v>
      </c>
      <c r="F223" s="26">
        <f>'MJK1'!P223</f>
        <v>1628.26</v>
      </c>
      <c r="G223" s="26">
        <f>BJR!P223</f>
        <v>27.04</v>
      </c>
      <c r="H223" s="26">
        <f t="shared" si="3"/>
        <v>49058.74</v>
      </c>
    </row>
    <row r="224" spans="2:8">
      <c r="B224" s="29" t="s">
        <v>369</v>
      </c>
      <c r="C224" s="25" t="s">
        <v>370</v>
      </c>
      <c r="D224" s="26">
        <f>CLN!P224</f>
        <v>-35362.94</v>
      </c>
      <c r="E224" s="26">
        <f>'MJK2'!P224</f>
        <v>0</v>
      </c>
      <c r="F224" s="26">
        <f>'MJK1'!P224</f>
        <v>0</v>
      </c>
      <c r="G224" s="26">
        <f>BJR!P224</f>
        <v>0</v>
      </c>
      <c r="H224" s="26">
        <f t="shared" si="3"/>
        <v>-35362.94</v>
      </c>
    </row>
    <row r="225" spans="2:8">
      <c r="B225" s="29"/>
      <c r="C225" s="27" t="s">
        <v>371</v>
      </c>
      <c r="D225" s="26">
        <f>CLN!P225</f>
        <v>0</v>
      </c>
      <c r="E225" s="26">
        <f>'MJK2'!P225</f>
        <v>0</v>
      </c>
      <c r="F225" s="26">
        <f>'MJK1'!P225</f>
        <v>0</v>
      </c>
      <c r="G225" s="26">
        <f>BJR!P225</f>
        <v>0</v>
      </c>
      <c r="H225" s="26">
        <f t="shared" si="3"/>
        <v>0</v>
      </c>
    </row>
    <row r="226" spans="2:8">
      <c r="B226" s="29" t="s">
        <v>372</v>
      </c>
      <c r="C226" s="25" t="s">
        <v>373</v>
      </c>
      <c r="D226" s="26">
        <f>CLN!P226</f>
        <v>3323.68</v>
      </c>
      <c r="E226" s="26">
        <f>'MJK2'!P226</f>
        <v>1128.6400000000001</v>
      </c>
      <c r="F226" s="26">
        <f>'MJK1'!P226</f>
        <v>401.06</v>
      </c>
      <c r="G226" s="26">
        <f>BJR!P226</f>
        <v>0.92</v>
      </c>
      <c r="H226" s="26">
        <f t="shared" si="3"/>
        <v>4854.3</v>
      </c>
    </row>
    <row r="227" spans="2:8">
      <c r="B227" s="29" t="s">
        <v>374</v>
      </c>
      <c r="C227" s="25" t="s">
        <v>375</v>
      </c>
      <c r="D227" s="26">
        <f>CLN!P227</f>
        <v>0</v>
      </c>
      <c r="E227" s="26">
        <f>'MJK2'!P227</f>
        <v>0</v>
      </c>
      <c r="F227" s="26">
        <f>'MJK1'!P227</f>
        <v>0</v>
      </c>
      <c r="G227" s="26">
        <f>BJR!P227</f>
        <v>0</v>
      </c>
      <c r="H227" s="26">
        <f t="shared" si="3"/>
        <v>0</v>
      </c>
    </row>
    <row r="228" spans="2:8">
      <c r="B228" s="29"/>
      <c r="C228" s="25" t="s">
        <v>376</v>
      </c>
      <c r="D228" s="26">
        <f>CLN!P228</f>
        <v>0</v>
      </c>
      <c r="E228" s="26">
        <f>'MJK2'!P228</f>
        <v>0</v>
      </c>
      <c r="F228" s="26">
        <f>'MJK1'!P228</f>
        <v>0</v>
      </c>
      <c r="G228" s="26">
        <f>BJR!P228</f>
        <v>0</v>
      </c>
      <c r="H228" s="26">
        <f t="shared" si="3"/>
        <v>0</v>
      </c>
    </row>
    <row r="229" spans="2:8">
      <c r="B229" s="29" t="s">
        <v>377</v>
      </c>
      <c r="C229" s="33" t="s">
        <v>371</v>
      </c>
      <c r="D229" s="26">
        <f>CLN!P229</f>
        <v>3323.68</v>
      </c>
      <c r="E229" s="26">
        <f>'MJK2'!P229</f>
        <v>1128.6400000000001</v>
      </c>
      <c r="F229" s="26">
        <f>'MJK1'!P229</f>
        <v>401.06</v>
      </c>
      <c r="G229" s="26">
        <f>BJR!P229</f>
        <v>0.92</v>
      </c>
      <c r="H229" s="26">
        <f t="shared" si="3"/>
        <v>4854.3</v>
      </c>
    </row>
    <row r="230" spans="2:8">
      <c r="B230" s="29"/>
      <c r="C230" s="27" t="s">
        <v>378</v>
      </c>
      <c r="D230" s="26">
        <f>CLN!P230</f>
        <v>0</v>
      </c>
      <c r="E230" s="26">
        <f>'MJK2'!P230</f>
        <v>0</v>
      </c>
      <c r="F230" s="26">
        <f>'MJK1'!P230</f>
        <v>0</v>
      </c>
      <c r="G230" s="26">
        <f>BJR!P230</f>
        <v>0</v>
      </c>
      <c r="H230" s="26">
        <f t="shared" si="3"/>
        <v>0</v>
      </c>
    </row>
    <row r="231" spans="2:8">
      <c r="B231" s="29" t="s">
        <v>379</v>
      </c>
      <c r="C231" s="25" t="s">
        <v>380</v>
      </c>
      <c r="D231" s="26">
        <f>CLN!P231</f>
        <v>0</v>
      </c>
      <c r="E231" s="26">
        <f>'MJK2'!P231</f>
        <v>0</v>
      </c>
      <c r="F231" s="26">
        <f>'MJK1'!P231</f>
        <v>0</v>
      </c>
      <c r="G231" s="26">
        <f>BJR!P231</f>
        <v>0</v>
      </c>
      <c r="H231" s="26">
        <f t="shared" si="3"/>
        <v>0</v>
      </c>
    </row>
    <row r="232" spans="2:8">
      <c r="B232" s="29" t="s">
        <v>381</v>
      </c>
      <c r="C232" s="25" t="s">
        <v>382</v>
      </c>
      <c r="D232" s="26">
        <f>CLN!P232</f>
        <v>0</v>
      </c>
      <c r="E232" s="26">
        <f>'MJK2'!P232</f>
        <v>0</v>
      </c>
      <c r="F232" s="26">
        <f>'MJK1'!P232</f>
        <v>0</v>
      </c>
      <c r="G232" s="26">
        <f>BJR!P232</f>
        <v>0</v>
      </c>
      <c r="H232" s="26">
        <f t="shared" si="3"/>
        <v>0</v>
      </c>
    </row>
    <row r="233" spans="2:8">
      <c r="B233" s="29" t="s">
        <v>383</v>
      </c>
      <c r="C233" s="33" t="s">
        <v>378</v>
      </c>
      <c r="D233" s="26">
        <f>CLN!P233</f>
        <v>0</v>
      </c>
      <c r="E233" s="26">
        <f>'MJK2'!P233</f>
        <v>0</v>
      </c>
      <c r="F233" s="26">
        <f>'MJK1'!P233</f>
        <v>0</v>
      </c>
      <c r="G233" s="26">
        <f>BJR!P233</f>
        <v>0</v>
      </c>
      <c r="H233" s="26">
        <f t="shared" si="3"/>
        <v>0</v>
      </c>
    </row>
    <row r="234" spans="2:8">
      <c r="B234" s="29" t="s">
        <v>384</v>
      </c>
      <c r="C234" s="25" t="s">
        <v>385</v>
      </c>
      <c r="D234" s="26">
        <f>CLN!P234</f>
        <v>0</v>
      </c>
      <c r="E234" s="26">
        <f>'MJK2'!P234</f>
        <v>0</v>
      </c>
      <c r="F234" s="26">
        <f>'MJK1'!P234</f>
        <v>0</v>
      </c>
      <c r="G234" s="26">
        <f>BJR!P234</f>
        <v>0</v>
      </c>
      <c r="H234" s="26">
        <f t="shared" si="3"/>
        <v>0</v>
      </c>
    </row>
    <row r="235" spans="2:8">
      <c r="B235" s="29" t="s">
        <v>386</v>
      </c>
      <c r="C235" s="25" t="s">
        <v>387</v>
      </c>
      <c r="D235" s="26">
        <f>CLN!P235</f>
        <v>255.9</v>
      </c>
      <c r="E235" s="26">
        <f>'MJK2'!P235</f>
        <v>1052.8599999999999</v>
      </c>
      <c r="F235" s="26">
        <f>'MJK1'!P235</f>
        <v>636.38</v>
      </c>
      <c r="G235" s="26">
        <f>BJR!P235</f>
        <v>46.58</v>
      </c>
      <c r="H235" s="26">
        <f t="shared" si="3"/>
        <v>1991.7199999999998</v>
      </c>
    </row>
    <row r="236" spans="2:8">
      <c r="B236" s="29" t="s">
        <v>388</v>
      </c>
      <c r="C236" s="25" t="s">
        <v>389</v>
      </c>
      <c r="D236" s="26">
        <f>CLN!P236</f>
        <v>0</v>
      </c>
      <c r="E236" s="26">
        <f>'MJK2'!P236</f>
        <v>0</v>
      </c>
      <c r="F236" s="26">
        <f>'MJK1'!P236</f>
        <v>0</v>
      </c>
      <c r="G236" s="26">
        <f>BJR!P236</f>
        <v>0</v>
      </c>
      <c r="H236" s="26">
        <f t="shared" si="3"/>
        <v>0</v>
      </c>
    </row>
    <row r="237" spans="2:8">
      <c r="B237" s="29" t="s">
        <v>390</v>
      </c>
      <c r="C237" s="25" t="s">
        <v>391</v>
      </c>
      <c r="D237" s="26">
        <f>CLN!P237</f>
        <v>0</v>
      </c>
      <c r="E237" s="26">
        <f>'MJK2'!P237</f>
        <v>0</v>
      </c>
      <c r="F237" s="26">
        <f>'MJK1'!P237</f>
        <v>0</v>
      </c>
      <c r="G237" s="26">
        <f>BJR!P237</f>
        <v>0</v>
      </c>
      <c r="H237" s="26">
        <f t="shared" si="3"/>
        <v>0</v>
      </c>
    </row>
    <row r="238" spans="2:8">
      <c r="B238" s="29" t="s">
        <v>392</v>
      </c>
      <c r="C238" s="25" t="s">
        <v>393</v>
      </c>
      <c r="D238" s="26">
        <f>CLN!P238</f>
        <v>0</v>
      </c>
      <c r="E238" s="26">
        <f>'MJK2'!P238</f>
        <v>0</v>
      </c>
      <c r="F238" s="26">
        <f>'MJK1'!P238</f>
        <v>0</v>
      </c>
      <c r="G238" s="26">
        <f>BJR!P238</f>
        <v>0</v>
      </c>
      <c r="H238" s="26">
        <f t="shared" si="3"/>
        <v>0</v>
      </c>
    </row>
    <row r="239" spans="2:8">
      <c r="B239" s="29"/>
      <c r="C239" s="25" t="s">
        <v>394</v>
      </c>
      <c r="D239" s="26" t="e">
        <f>CLN!P239</f>
        <v>#VALUE!</v>
      </c>
      <c r="E239" s="26" t="e">
        <f>'MJK2'!P239</f>
        <v>#VALUE!</v>
      </c>
      <c r="F239" s="26" t="e">
        <f>'MJK1'!P239</f>
        <v>#VALUE!</v>
      </c>
      <c r="G239" s="26" t="e">
        <f>BJR!P239</f>
        <v>#VALUE!</v>
      </c>
      <c r="H239" s="26" t="e">
        <f t="shared" si="3"/>
        <v>#VALUE!</v>
      </c>
    </row>
    <row r="240" spans="2:8">
      <c r="B240" s="29" t="s">
        <v>395</v>
      </c>
      <c r="C240" s="25" t="s">
        <v>351</v>
      </c>
      <c r="D240" s="26">
        <f>CLN!P240</f>
        <v>0</v>
      </c>
      <c r="E240" s="26">
        <f>'MJK2'!P240</f>
        <v>0</v>
      </c>
      <c r="F240" s="26">
        <f>'MJK1'!P240</f>
        <v>0</v>
      </c>
      <c r="G240" s="26">
        <f>BJR!P240</f>
        <v>0</v>
      </c>
      <c r="H240" s="26">
        <f t="shared" si="3"/>
        <v>0</v>
      </c>
    </row>
    <row r="241" spans="2:8">
      <c r="B241" s="29"/>
      <c r="C241" s="25" t="s">
        <v>396</v>
      </c>
      <c r="D241" s="26">
        <f>CLN!P241</f>
        <v>0</v>
      </c>
      <c r="E241" s="26">
        <f>'MJK2'!P241</f>
        <v>0</v>
      </c>
      <c r="F241" s="26">
        <f>'MJK1'!P241</f>
        <v>0</v>
      </c>
      <c r="G241" s="26">
        <f>BJR!P241</f>
        <v>0</v>
      </c>
      <c r="H241" s="26">
        <f t="shared" si="3"/>
        <v>0</v>
      </c>
    </row>
    <row r="242" spans="2:8">
      <c r="B242" s="29" t="s">
        <v>397</v>
      </c>
      <c r="C242" s="25" t="s">
        <v>354</v>
      </c>
      <c r="D242" s="26">
        <f>CLN!P242</f>
        <v>-6.3</v>
      </c>
      <c r="E242" s="26">
        <f>'MJK2'!P242</f>
        <v>-7.12</v>
      </c>
      <c r="F242" s="26">
        <f>'MJK1'!P242</f>
        <v>-0.02</v>
      </c>
      <c r="G242" s="26">
        <f>BJR!P242</f>
        <v>0</v>
      </c>
      <c r="H242" s="26">
        <f t="shared" si="3"/>
        <v>-13.44</v>
      </c>
    </row>
    <row r="243" spans="2:8">
      <c r="B243" s="29" t="s">
        <v>398</v>
      </c>
      <c r="C243" s="33" t="s">
        <v>356</v>
      </c>
      <c r="D243" s="26">
        <f>CLN!P243</f>
        <v>62053.16</v>
      </c>
      <c r="E243" s="26">
        <f>'MJK2'!P243</f>
        <v>2272.3000000000002</v>
      </c>
      <c r="F243" s="26">
        <f>'MJK1'!P243</f>
        <v>2665.68</v>
      </c>
      <c r="G243" s="26">
        <f>BJR!P243</f>
        <v>74.539999999999992</v>
      </c>
      <c r="H243" s="26">
        <f t="shared" si="3"/>
        <v>67065.679999999993</v>
      </c>
    </row>
    <row r="244" spans="2:8">
      <c r="B244" s="29" t="s">
        <v>399</v>
      </c>
      <c r="C244" s="25" t="s">
        <v>400</v>
      </c>
      <c r="D244" s="26">
        <f>CLN!P244</f>
        <v>0</v>
      </c>
      <c r="E244" s="26">
        <f>'MJK2'!P244</f>
        <v>0</v>
      </c>
      <c r="F244" s="26">
        <f>'MJK1'!P244</f>
        <v>0</v>
      </c>
      <c r="G244" s="26">
        <f>BJR!P244</f>
        <v>0</v>
      </c>
      <c r="H244" s="26">
        <f t="shared" si="3"/>
        <v>0</v>
      </c>
    </row>
    <row r="245" spans="2:8">
      <c r="B245" s="29" t="s">
        <v>401</v>
      </c>
      <c r="C245" s="25" t="s">
        <v>402</v>
      </c>
      <c r="D245" s="26">
        <f>CLN!P245</f>
        <v>0</v>
      </c>
      <c r="E245" s="26">
        <f>'MJK2'!P245</f>
        <v>0</v>
      </c>
      <c r="F245" s="26">
        <f>'MJK1'!P245</f>
        <v>0</v>
      </c>
      <c r="G245" s="26">
        <f>BJR!P245</f>
        <v>0</v>
      </c>
      <c r="H245" s="26">
        <f t="shared" si="3"/>
        <v>0</v>
      </c>
    </row>
    <row r="246" spans="2:8">
      <c r="B246" s="29" t="s">
        <v>403</v>
      </c>
      <c r="C246" s="25" t="s">
        <v>404</v>
      </c>
      <c r="D246" s="26">
        <f>CLN!P246</f>
        <v>0</v>
      </c>
      <c r="E246" s="26">
        <f>'MJK2'!P246</f>
        <v>0</v>
      </c>
      <c r="F246" s="26">
        <f>'MJK1'!P246</f>
        <v>0</v>
      </c>
      <c r="G246" s="26">
        <f>BJR!P246</f>
        <v>0</v>
      </c>
      <c r="H246" s="26">
        <f t="shared" si="3"/>
        <v>0</v>
      </c>
    </row>
    <row r="247" spans="2:8">
      <c r="B247" s="29" t="s">
        <v>405</v>
      </c>
      <c r="C247" s="25" t="s">
        <v>406</v>
      </c>
      <c r="D247" s="26">
        <f>CLN!P247</f>
        <v>0</v>
      </c>
      <c r="E247" s="26">
        <f>'MJK2'!P247</f>
        <v>0</v>
      </c>
      <c r="F247" s="26">
        <f>'MJK1'!P247</f>
        <v>0</v>
      </c>
      <c r="G247" s="26">
        <f>BJR!P247</f>
        <v>0</v>
      </c>
      <c r="H247" s="26">
        <f t="shared" si="3"/>
        <v>0</v>
      </c>
    </row>
    <row r="248" spans="2:8">
      <c r="B248" s="29" t="s">
        <v>407</v>
      </c>
      <c r="C248" s="33" t="s">
        <v>331</v>
      </c>
      <c r="D248" s="26" t="e">
        <f>CLN!P248</f>
        <v>#VALUE!</v>
      </c>
      <c r="E248" s="26" t="e">
        <f>'MJK2'!P248</f>
        <v>#VALUE!</v>
      </c>
      <c r="F248" s="26" t="e">
        <f>'MJK1'!P248</f>
        <v>#VALUE!</v>
      </c>
      <c r="G248" s="26" t="e">
        <f>BJR!P248</f>
        <v>#VALUE!</v>
      </c>
      <c r="H248" s="26" t="e">
        <f t="shared" si="3"/>
        <v>#VALUE!</v>
      </c>
    </row>
    <row r="249" spans="2:8">
      <c r="B249" s="29" t="s">
        <v>408</v>
      </c>
      <c r="C249" s="25" t="s">
        <v>409</v>
      </c>
      <c r="D249" s="26">
        <f>CLN!P249</f>
        <v>0</v>
      </c>
      <c r="E249" s="26">
        <f>'MJK2'!P249</f>
        <v>0</v>
      </c>
      <c r="F249" s="26">
        <f>'MJK1'!P249</f>
        <v>0</v>
      </c>
      <c r="G249" s="26">
        <f>BJR!P249</f>
        <v>0</v>
      </c>
      <c r="H249" s="26">
        <f t="shared" si="3"/>
        <v>0</v>
      </c>
    </row>
    <row r="250" spans="2:8">
      <c r="B250" s="29" t="s">
        <v>410</v>
      </c>
      <c r="C250" s="25" t="s">
        <v>411</v>
      </c>
      <c r="D250" s="26">
        <f>CLN!P250</f>
        <v>0</v>
      </c>
      <c r="E250" s="26">
        <f>'MJK2'!P250</f>
        <v>0</v>
      </c>
      <c r="F250" s="26">
        <f>'MJK1'!P250</f>
        <v>0</v>
      </c>
      <c r="G250" s="26">
        <f>BJR!P250</f>
        <v>0</v>
      </c>
      <c r="H250" s="26">
        <f t="shared" si="3"/>
        <v>0</v>
      </c>
    </row>
    <row r="251" spans="2:8">
      <c r="B251" s="29"/>
      <c r="C251" s="25" t="s">
        <v>412</v>
      </c>
      <c r="D251" s="26">
        <f>CLN!P251</f>
        <v>0</v>
      </c>
      <c r="E251" s="26">
        <f>'MJK2'!P251</f>
        <v>0</v>
      </c>
      <c r="F251" s="26">
        <f>'MJK1'!P251</f>
        <v>0</v>
      </c>
      <c r="G251" s="26">
        <f>BJR!P251</f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f>CLN!P252</f>
        <v>0</v>
      </c>
      <c r="E252" s="26">
        <f>'MJK2'!P252</f>
        <v>0</v>
      </c>
      <c r="F252" s="26">
        <f>'MJK1'!P252</f>
        <v>0</v>
      </c>
      <c r="G252" s="26">
        <f>BJR!P252</f>
        <v>0</v>
      </c>
      <c r="H252" s="26">
        <f t="shared" ref="H252:H253" si="4">SUM(D252:G252)</f>
        <v>0</v>
      </c>
    </row>
    <row r="253" spans="2:8" ht="18.75">
      <c r="B253" s="84"/>
      <c r="C253" s="85" t="s">
        <v>413</v>
      </c>
      <c r="D253" s="84" t="e">
        <f>CLN!P253</f>
        <v>#VALUE!</v>
      </c>
      <c r="E253" s="84" t="e">
        <f>'MJK2'!P253</f>
        <v>#VALUE!</v>
      </c>
      <c r="F253" s="84" t="e">
        <f>'MJK1'!P253</f>
        <v>#VALUE!</v>
      </c>
      <c r="G253" s="84" t="e">
        <f>BJR!P253</f>
        <v>#VALUE!</v>
      </c>
      <c r="H253" s="86" t="e">
        <f t="shared" si="4"/>
        <v>#VALUE!</v>
      </c>
    </row>
    <row r="256" spans="2:8">
      <c r="D256" s="36" t="s">
        <v>420</v>
      </c>
    </row>
    <row r="257" spans="4:4">
      <c r="D257" s="36" t="s">
        <v>421</v>
      </c>
    </row>
    <row r="264" spans="4:4">
      <c r="D264" s="36" t="s">
        <v>422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78514-726A-44A2-B60B-EFE34DE4CE8B}">
  <sheetPr codeName="Sheet30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441</v>
      </c>
    </row>
    <row r="4" spans="2:8" ht="18.75">
      <c r="B4" s="95" t="s">
        <v>12</v>
      </c>
      <c r="C4" s="95" t="s">
        <v>13</v>
      </c>
      <c r="D4" s="96" t="s">
        <v>415</v>
      </c>
      <c r="E4" s="96"/>
      <c r="F4" s="96"/>
      <c r="G4" s="96"/>
      <c r="H4" s="97"/>
    </row>
    <row r="5" spans="2:8" ht="24" customHeight="1">
      <c r="B5" s="95"/>
      <c r="C5" s="95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5" t="s">
        <v>28</v>
      </c>
      <c r="D7" s="26" t="s">
        <v>437</v>
      </c>
      <c r="E7" s="26" t="s">
        <v>437</v>
      </c>
      <c r="F7" s="26" t="s">
        <v>437</v>
      </c>
      <c r="G7" s="26" t="s">
        <v>437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433</v>
      </c>
      <c r="E32" s="26" t="s">
        <v>433</v>
      </c>
      <c r="F32" s="26" t="s">
        <v>433</v>
      </c>
      <c r="G32" s="26" t="s">
        <v>433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157</v>
      </c>
      <c r="C86" s="25" t="s">
        <v>158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163</v>
      </c>
      <c r="C89" s="25" t="s">
        <v>149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168</v>
      </c>
      <c r="C101" s="25" t="s">
        <v>169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185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256</v>
      </c>
      <c r="D149" s="26" t="s">
        <v>433</v>
      </c>
      <c r="E149" s="26" t="s">
        <v>433</v>
      </c>
      <c r="F149" s="26" t="s">
        <v>433</v>
      </c>
      <c r="G149" s="26" t="s">
        <v>433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433</v>
      </c>
      <c r="E179" s="26" t="s">
        <v>433</v>
      </c>
      <c r="F179" s="26" t="s">
        <v>433</v>
      </c>
      <c r="G179" s="26" t="s">
        <v>433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433</v>
      </c>
      <c r="E180" s="26" t="s">
        <v>433</v>
      </c>
      <c r="F180" s="26" t="s">
        <v>433</v>
      </c>
      <c r="G180" s="26" t="s">
        <v>433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433</v>
      </c>
      <c r="E191" s="26" t="s">
        <v>433</v>
      </c>
      <c r="F191" s="26" t="s">
        <v>433</v>
      </c>
      <c r="G191" s="26" t="s">
        <v>433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433</v>
      </c>
      <c r="E193" s="26" t="s">
        <v>433</v>
      </c>
      <c r="F193" s="26" t="s">
        <v>433</v>
      </c>
      <c r="G193" s="26" t="s">
        <v>433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6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433</v>
      </c>
      <c r="E203" s="26" t="s">
        <v>433</v>
      </c>
      <c r="F203" s="26" t="s">
        <v>433</v>
      </c>
      <c r="G203" s="26" t="s">
        <v>433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362</v>
      </c>
      <c r="C219" s="25" t="s">
        <v>357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433</v>
      </c>
      <c r="E239" s="26" t="s">
        <v>433</v>
      </c>
      <c r="F239" s="26" t="s">
        <v>433</v>
      </c>
      <c r="G239" s="26" t="s">
        <v>433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413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865A-9B9F-44E6-840D-86970ADD166A}">
  <sheetPr codeName="Sheet31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471</v>
      </c>
    </row>
    <row r="4" spans="2:8" ht="18.75">
      <c r="B4" s="95" t="s">
        <v>12</v>
      </c>
      <c r="C4" s="95" t="s">
        <v>13</v>
      </c>
      <c r="D4" s="96" t="s">
        <v>415</v>
      </c>
      <c r="E4" s="96"/>
      <c r="F4" s="96"/>
      <c r="G4" s="96"/>
      <c r="H4" s="97"/>
    </row>
    <row r="5" spans="2:8" ht="24" customHeight="1">
      <c r="B5" s="95"/>
      <c r="C5" s="95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5" t="s">
        <v>28</v>
      </c>
      <c r="D7" s="26" t="s">
        <v>437</v>
      </c>
      <c r="E7" s="26" t="s">
        <v>437</v>
      </c>
      <c r="F7" s="26" t="s">
        <v>437</v>
      </c>
      <c r="G7" s="26" t="s">
        <v>437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433</v>
      </c>
      <c r="E32" s="26" t="s">
        <v>433</v>
      </c>
      <c r="F32" s="26" t="s">
        <v>433</v>
      </c>
      <c r="G32" s="26" t="s">
        <v>433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157</v>
      </c>
      <c r="C86" s="25" t="s">
        <v>158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163</v>
      </c>
      <c r="C89" s="25" t="s">
        <v>149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168</v>
      </c>
      <c r="C101" s="25" t="s">
        <v>169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185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256</v>
      </c>
      <c r="D149" s="26" t="s">
        <v>433</v>
      </c>
      <c r="E149" s="26" t="s">
        <v>433</v>
      </c>
      <c r="F149" s="26" t="s">
        <v>433</v>
      </c>
      <c r="G149" s="26" t="s">
        <v>433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433</v>
      </c>
      <c r="E179" s="26" t="s">
        <v>433</v>
      </c>
      <c r="F179" s="26" t="s">
        <v>433</v>
      </c>
      <c r="G179" s="26" t="s">
        <v>433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433</v>
      </c>
      <c r="E180" s="26" t="s">
        <v>433</v>
      </c>
      <c r="F180" s="26" t="s">
        <v>433</v>
      </c>
      <c r="G180" s="26" t="s">
        <v>433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433</v>
      </c>
      <c r="E191" s="26" t="s">
        <v>433</v>
      </c>
      <c r="F191" s="26" t="s">
        <v>433</v>
      </c>
      <c r="G191" s="26" t="s">
        <v>433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433</v>
      </c>
      <c r="E193" s="26" t="s">
        <v>433</v>
      </c>
      <c r="F193" s="26" t="s">
        <v>433</v>
      </c>
      <c r="G193" s="26" t="s">
        <v>433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6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433</v>
      </c>
      <c r="E203" s="26" t="s">
        <v>433</v>
      </c>
      <c r="F203" s="26" t="s">
        <v>433</v>
      </c>
      <c r="G203" s="26" t="s">
        <v>433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362</v>
      </c>
      <c r="C219" s="25" t="s">
        <v>357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433</v>
      </c>
      <c r="E239" s="26" t="s">
        <v>433</v>
      </c>
      <c r="F239" s="26" t="s">
        <v>433</v>
      </c>
      <c r="G239" s="26" t="s">
        <v>433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413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Ref_CostCat</vt:lpstr>
      <vt:lpstr>Cache_Option</vt:lpstr>
      <vt:lpstr>Temp_PerBranch1</vt:lpstr>
      <vt:lpstr>Temp_PerBulan</vt:lpstr>
      <vt:lpstr>(MENU)</vt:lpstr>
      <vt:lpstr>CLN</vt:lpstr>
      <vt:lpstr>MJK2</vt:lpstr>
      <vt:lpstr>MJK1</vt:lpstr>
      <vt:lpstr>BJR</vt:lpstr>
      <vt:lpstr>JAN-DEC</vt:lpstr>
      <vt:lpstr>3. MAR</vt:lpstr>
      <vt:lpstr>1. JAN</vt:lpstr>
      <vt:lpstr>'1. JAN'!Print_Area</vt:lpstr>
      <vt:lpstr>'3. MAR'!Print_Area</vt:lpstr>
      <vt:lpstr>BJR!Print_Area</vt:lpstr>
      <vt:lpstr>CLN!Print_Area</vt:lpstr>
      <vt:lpstr>'JAN-DEC'!Print_Area</vt:lpstr>
      <vt:lpstr>'MJK1'!Print_Area</vt:lpstr>
      <vt:lpstr>'MJK2'!Print_Area</vt:lpstr>
      <vt:lpstr>Temp_PerBranch1!Print_Area</vt:lpstr>
      <vt:lpstr>Temp_PerBulan!Print_Area</vt:lpstr>
      <vt:lpstr>'1. JAN'!Print_Titles</vt:lpstr>
      <vt:lpstr>'3. MAR'!Print_Titles</vt:lpstr>
      <vt:lpstr>BJR!Print_Titles</vt:lpstr>
      <vt:lpstr>CLN!Print_Titles</vt:lpstr>
      <vt:lpstr>'JAN-DEC'!Print_Titles</vt:lpstr>
      <vt:lpstr>'MJK1'!Print_Titles</vt:lpstr>
      <vt:lpstr>'MJK2'!Print_Titles</vt:lpstr>
      <vt:lpstr>Temp_PerBranch1!Print_Titles</vt:lpstr>
      <vt:lpstr>Temp_PerBulan!Print_Titles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2024-03-12T07:12:44Z</dcterms:modified>
</cp:coreProperties>
</file>