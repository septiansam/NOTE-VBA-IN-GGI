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Accounting\FINANCE GGI\Income Statement\Macro\.Backup macro yg lama\New folder (7)\"/>
    </mc:Choice>
  </mc:AlternateContent>
  <xr:revisionPtr revIDLastSave="0" documentId="13_ncr:1_{ED2822BE-9D1C-453E-9839-D23D452829D5}" xr6:coauthVersionLast="47" xr6:coauthVersionMax="47" xr10:uidLastSave="{00000000-0000-0000-0000-000000000000}"/>
  <bookViews>
    <workbookView xWindow="-120" yWindow="-120" windowWidth="20640" windowHeight="11160" firstSheet="5" activeTab="5" xr2:uid="{2CCE3C95-2940-4053-8BE7-2A6EFE1350AC}"/>
  </bookViews>
  <sheets>
    <sheet name="Ref_CostCat" sheetId="10" state="hidden" r:id="rId1"/>
    <sheet name="Cache_Option" sheetId="15" state="hidden" r:id="rId2"/>
    <sheet name="Temp_PerBranch1" sheetId="17" state="hidden" r:id="rId3"/>
    <sheet name="Temp_PerBulan" sheetId="46" state="hidden" r:id="rId4"/>
    <sheet name="(MENU)" sheetId="2" r:id="rId5"/>
    <sheet name="CLN" sheetId="39" r:id="rId6"/>
    <sheet name="MJK2" sheetId="41" r:id="rId7"/>
    <sheet name="MJK1" sheetId="43" r:id="rId8"/>
    <sheet name="BJR" sheetId="45" r:id="rId9"/>
    <sheet name="JAN-DEC" sheetId="74" r:id="rId10"/>
    <sheet name="1. JAN" sheetId="79" r:id="rId11"/>
    <sheet name="3. MAR" sheetId="77" r:id="rId12"/>
    <sheet name="7. JUL" sheetId="83" r:id="rId13"/>
    <sheet name="8. AUG" sheetId="84" r:id="rId14"/>
  </sheets>
  <definedNames>
    <definedName name="Excel_BuiltIn_Print_Area_1">#REF!</definedName>
    <definedName name="Excel_BuiltIn_Print_Area_10">#REF!</definedName>
    <definedName name="Excel_BuiltIn_Print_Area_11">#REF!</definedName>
    <definedName name="Excel_BuiltIn_Print_Area_12">#REF!</definedName>
    <definedName name="Excel_BuiltIn_Print_Area_13">#REF!</definedName>
    <definedName name="Excel_BuiltIn_Print_Area_6">#REF!</definedName>
    <definedName name="Excel_BuiltIn_Print_Area_7">#REF!</definedName>
    <definedName name="Excel_BuiltIn_Print_Area_8">#REF!</definedName>
    <definedName name="Excel_BuiltIn_Print_Area_9">#REF!</definedName>
    <definedName name="Excel_BuiltIn_Print_Titles_10" localSheetId="10">#REF!</definedName>
    <definedName name="Excel_BuiltIn_Print_Titles_10" localSheetId="11">#REF!</definedName>
    <definedName name="Excel_BuiltIn_Print_Titles_10" localSheetId="12">#REF!</definedName>
    <definedName name="Excel_BuiltIn_Print_Titles_10" localSheetId="13">#REF!</definedName>
    <definedName name="Excel_BuiltIn_Print_Titles_10" localSheetId="9">#REF!</definedName>
    <definedName name="Excel_BuiltIn_Print_Titles_10" localSheetId="3">#REF!</definedName>
    <definedName name="Excel_BuiltIn_Print_Titles_10">#REF!</definedName>
    <definedName name="Excel_BuiltIn_Print_Titles_11" localSheetId="10">#REF!</definedName>
    <definedName name="Excel_BuiltIn_Print_Titles_11" localSheetId="11">#REF!</definedName>
    <definedName name="Excel_BuiltIn_Print_Titles_11" localSheetId="12">#REF!</definedName>
    <definedName name="Excel_BuiltIn_Print_Titles_11" localSheetId="13">#REF!</definedName>
    <definedName name="Excel_BuiltIn_Print_Titles_11" localSheetId="9">#REF!</definedName>
    <definedName name="Excel_BuiltIn_Print_Titles_11" localSheetId="3">#REF!</definedName>
    <definedName name="Excel_BuiltIn_Print_Titles_11">#REF!</definedName>
    <definedName name="Excel_BuiltIn_Print_Titles_12" localSheetId="10">#REF!</definedName>
    <definedName name="Excel_BuiltIn_Print_Titles_12" localSheetId="11">#REF!</definedName>
    <definedName name="Excel_BuiltIn_Print_Titles_12" localSheetId="12">#REF!</definedName>
    <definedName name="Excel_BuiltIn_Print_Titles_12" localSheetId="13">#REF!</definedName>
    <definedName name="Excel_BuiltIn_Print_Titles_12" localSheetId="9">#REF!</definedName>
    <definedName name="Excel_BuiltIn_Print_Titles_12" localSheetId="3">#REF!</definedName>
    <definedName name="Excel_BuiltIn_Print_Titles_12">#REF!</definedName>
    <definedName name="Excel_BuiltIn_Print_Titles_13" localSheetId="10">#REF!</definedName>
    <definedName name="Excel_BuiltIn_Print_Titles_13" localSheetId="11">#REF!</definedName>
    <definedName name="Excel_BuiltIn_Print_Titles_13" localSheetId="12">#REF!</definedName>
    <definedName name="Excel_BuiltIn_Print_Titles_13" localSheetId="13">#REF!</definedName>
    <definedName name="Excel_BuiltIn_Print_Titles_13" localSheetId="9">#REF!</definedName>
    <definedName name="Excel_BuiltIn_Print_Titles_13" localSheetId="3">#REF!</definedName>
    <definedName name="Excel_BuiltIn_Print_Titles_13">#REF!</definedName>
    <definedName name="Excel_BuiltIn_Print_Titles_6" localSheetId="10">#REF!</definedName>
    <definedName name="Excel_BuiltIn_Print_Titles_6" localSheetId="11">#REF!</definedName>
    <definedName name="Excel_BuiltIn_Print_Titles_6" localSheetId="12">#REF!</definedName>
    <definedName name="Excel_BuiltIn_Print_Titles_6" localSheetId="13">#REF!</definedName>
    <definedName name="Excel_BuiltIn_Print_Titles_6" localSheetId="9">#REF!</definedName>
    <definedName name="Excel_BuiltIn_Print_Titles_6" localSheetId="3">#REF!</definedName>
    <definedName name="Excel_BuiltIn_Print_Titles_6">#REF!</definedName>
    <definedName name="Excel_BuiltIn_Print_Titles_7" localSheetId="10">#REF!</definedName>
    <definedName name="Excel_BuiltIn_Print_Titles_7" localSheetId="11">#REF!</definedName>
    <definedName name="Excel_BuiltIn_Print_Titles_7" localSheetId="12">#REF!</definedName>
    <definedName name="Excel_BuiltIn_Print_Titles_7" localSheetId="13">#REF!</definedName>
    <definedName name="Excel_BuiltIn_Print_Titles_7" localSheetId="9">#REF!</definedName>
    <definedName name="Excel_BuiltIn_Print_Titles_7" localSheetId="3">#REF!</definedName>
    <definedName name="Excel_BuiltIn_Print_Titles_7">#REF!</definedName>
    <definedName name="Excel_BuiltIn_Print_Titles_8" localSheetId="10">#REF!</definedName>
    <definedName name="Excel_BuiltIn_Print_Titles_8" localSheetId="11">#REF!</definedName>
    <definedName name="Excel_BuiltIn_Print_Titles_8" localSheetId="12">#REF!</definedName>
    <definedName name="Excel_BuiltIn_Print_Titles_8" localSheetId="13">#REF!</definedName>
    <definedName name="Excel_BuiltIn_Print_Titles_8" localSheetId="9">#REF!</definedName>
    <definedName name="Excel_BuiltIn_Print_Titles_8" localSheetId="3">#REF!</definedName>
    <definedName name="Excel_BuiltIn_Print_Titles_8">#REF!</definedName>
    <definedName name="Excel_BuiltIn_Print_Titles_9" localSheetId="10">#REF!</definedName>
    <definedName name="Excel_BuiltIn_Print_Titles_9" localSheetId="11">#REF!</definedName>
    <definedName name="Excel_BuiltIn_Print_Titles_9" localSheetId="12">#REF!</definedName>
    <definedName name="Excel_BuiltIn_Print_Titles_9" localSheetId="13">#REF!</definedName>
    <definedName name="Excel_BuiltIn_Print_Titles_9" localSheetId="9">#REF!</definedName>
    <definedName name="Excel_BuiltIn_Print_Titles_9" localSheetId="3">#REF!</definedName>
    <definedName name="Excel_BuiltIn_Print_Titles_9">#REF!</definedName>
    <definedName name="_xlnm.Print_Area" localSheetId="10">'1. JAN'!$C$1:$H$5</definedName>
    <definedName name="_xlnm.Print_Area" localSheetId="11">'3. MAR'!$C$1:$H$5</definedName>
    <definedName name="_xlnm.Print_Area" localSheetId="12">'7. JUL'!$C$1:$H$5</definedName>
    <definedName name="_xlnm.Print_Area" localSheetId="13">'8. AUG'!$C$1:$H$5</definedName>
    <definedName name="_xlnm.Print_Area" localSheetId="8">BJR!$C$1:$P$255</definedName>
    <definedName name="_xlnm.Print_Area" localSheetId="5">CLN!$C$1:$P$255</definedName>
    <definedName name="_xlnm.Print_Area" localSheetId="9">'JAN-DEC'!$C$1:$H$5</definedName>
    <definedName name="_xlnm.Print_Area" localSheetId="7">'MJK1'!$C$1:$P$255</definedName>
    <definedName name="_xlnm.Print_Area" localSheetId="6">'MJK2'!$C$1:$P$255</definedName>
    <definedName name="_xlnm.Print_Area" localSheetId="2">Temp_PerBranch1!$C$1:$P$255</definedName>
    <definedName name="_xlnm.Print_Area" localSheetId="3">Temp_PerBulan!$C$1:$H$5</definedName>
    <definedName name="_xlnm.Print_Titles" localSheetId="10">'1. JAN'!$1:$4</definedName>
    <definedName name="_xlnm.Print_Titles" localSheetId="11">'3. MAR'!$1:$4</definedName>
    <definedName name="_xlnm.Print_Titles" localSheetId="12">'7. JUL'!$1:$4</definedName>
    <definedName name="_xlnm.Print_Titles" localSheetId="13">'8. AUG'!$1:$4</definedName>
    <definedName name="_xlnm.Print_Titles" localSheetId="8">BJR!$1:$4</definedName>
    <definedName name="_xlnm.Print_Titles" localSheetId="5">CLN!$1:$4</definedName>
    <definedName name="_xlnm.Print_Titles" localSheetId="9">'JAN-DEC'!$1:$4</definedName>
    <definedName name="_xlnm.Print_Titles" localSheetId="7">'MJK1'!$1:$4</definedName>
    <definedName name="_xlnm.Print_Titles" localSheetId="6">'MJK2'!$1:$4</definedName>
    <definedName name="_xlnm.Print_Titles" localSheetId="2">Temp_PerBranch1!$1:$4</definedName>
    <definedName name="_xlnm.Print_Titles" localSheetId="3">Temp_PerBulan!$1:$4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84" l="1"/>
  <c r="H9" i="84"/>
  <c r="H10" i="84"/>
  <c r="H11" i="84"/>
  <c r="H12" i="84"/>
  <c r="H13" i="84"/>
  <c r="H14" i="84"/>
  <c r="H15" i="84"/>
  <c r="H16" i="84"/>
  <c r="H17" i="84"/>
  <c r="H18" i="84"/>
  <c r="H19" i="84"/>
  <c r="H20" i="84"/>
  <c r="H21" i="84"/>
  <c r="H22" i="84"/>
  <c r="H23" i="84"/>
  <c r="H24" i="84"/>
  <c r="H25" i="84"/>
  <c r="H26" i="84"/>
  <c r="H27" i="84"/>
  <c r="H28" i="84"/>
  <c r="H29" i="84"/>
  <c r="H30" i="84"/>
  <c r="H31" i="84"/>
  <c r="H32" i="84"/>
  <c r="H33" i="84"/>
  <c r="H34" i="84"/>
  <c r="H35" i="84"/>
  <c r="H36" i="84"/>
  <c r="H37" i="84"/>
  <c r="H38" i="84"/>
  <c r="H39" i="84"/>
  <c r="H40" i="84"/>
  <c r="H41" i="84"/>
  <c r="H42" i="84"/>
  <c r="H43" i="84"/>
  <c r="H44" i="84"/>
  <c r="H45" i="84"/>
  <c r="H46" i="84"/>
  <c r="H47" i="84"/>
  <c r="H48" i="84"/>
  <c r="H49" i="84"/>
  <c r="H50" i="84"/>
  <c r="H51" i="84"/>
  <c r="H52" i="84"/>
  <c r="H53" i="84"/>
  <c r="H54" i="84"/>
  <c r="H55" i="84"/>
  <c r="H56" i="84"/>
  <c r="H57" i="84"/>
  <c r="H58" i="84"/>
  <c r="H59" i="84"/>
  <c r="H60" i="84"/>
  <c r="H61" i="84"/>
  <c r="H62" i="84"/>
  <c r="H63" i="84"/>
  <c r="H64" i="84"/>
  <c r="H65" i="84"/>
  <c r="H66" i="84"/>
  <c r="H67" i="84"/>
  <c r="H68" i="84"/>
  <c r="H69" i="84"/>
  <c r="H70" i="84"/>
  <c r="H71" i="84"/>
  <c r="H72" i="84"/>
  <c r="H73" i="84"/>
  <c r="H74" i="84"/>
  <c r="H75" i="84"/>
  <c r="H76" i="84"/>
  <c r="H77" i="84"/>
  <c r="H78" i="84"/>
  <c r="H79" i="84"/>
  <c r="H80" i="84"/>
  <c r="H81" i="84"/>
  <c r="H82" i="84"/>
  <c r="H83" i="84"/>
  <c r="H84" i="84"/>
  <c r="H85" i="84"/>
  <c r="H86" i="84"/>
  <c r="H87" i="84"/>
  <c r="H88" i="84"/>
  <c r="H89" i="84"/>
  <c r="H90" i="84"/>
  <c r="H91" i="84"/>
  <c r="H92" i="84"/>
  <c r="H93" i="84"/>
  <c r="H94" i="84"/>
  <c r="H95" i="84"/>
  <c r="H96" i="84"/>
  <c r="H97" i="84"/>
  <c r="H98" i="84"/>
  <c r="H99" i="84"/>
  <c r="H100" i="84"/>
  <c r="H101" i="84"/>
  <c r="H102" i="84"/>
  <c r="H103" i="84"/>
  <c r="H104" i="84"/>
  <c r="H105" i="84"/>
  <c r="H106" i="84"/>
  <c r="H107" i="84"/>
  <c r="H108" i="84"/>
  <c r="H109" i="84"/>
  <c r="H110" i="84"/>
  <c r="H111" i="84"/>
  <c r="H112" i="84"/>
  <c r="H113" i="84"/>
  <c r="H114" i="84"/>
  <c r="H115" i="84"/>
  <c r="H116" i="84"/>
  <c r="H117" i="84"/>
  <c r="H118" i="84"/>
  <c r="H119" i="84"/>
  <c r="H120" i="84"/>
  <c r="H121" i="84"/>
  <c r="H122" i="84"/>
  <c r="H123" i="84"/>
  <c r="H124" i="84"/>
  <c r="H125" i="84"/>
  <c r="H126" i="84"/>
  <c r="H127" i="84"/>
  <c r="H128" i="84"/>
  <c r="H129" i="84"/>
  <c r="H130" i="84"/>
  <c r="H131" i="84"/>
  <c r="H132" i="84"/>
  <c r="H133" i="84"/>
  <c r="H134" i="84"/>
  <c r="H135" i="84"/>
  <c r="H136" i="84"/>
  <c r="H137" i="84"/>
  <c r="H138" i="84"/>
  <c r="H139" i="84"/>
  <c r="H140" i="84"/>
  <c r="H141" i="84"/>
  <c r="H142" i="84"/>
  <c r="H143" i="84"/>
  <c r="H144" i="84"/>
  <c r="H145" i="84"/>
  <c r="H146" i="84"/>
  <c r="H147" i="84"/>
  <c r="H148" i="84"/>
  <c r="H149" i="84"/>
  <c r="H150" i="84"/>
  <c r="H151" i="84"/>
  <c r="H152" i="84"/>
  <c r="H153" i="84"/>
  <c r="H154" i="84"/>
  <c r="H155" i="84"/>
  <c r="H156" i="84"/>
  <c r="H157" i="84"/>
  <c r="H158" i="84"/>
  <c r="H159" i="84"/>
  <c r="H160" i="84"/>
  <c r="H161" i="84"/>
  <c r="H162" i="84"/>
  <c r="H163" i="84"/>
  <c r="H164" i="84"/>
  <c r="H165" i="84"/>
  <c r="H166" i="84"/>
  <c r="H167" i="84"/>
  <c r="H168" i="84"/>
  <c r="H169" i="84"/>
  <c r="H170" i="84"/>
  <c r="H171" i="84"/>
  <c r="H172" i="84"/>
  <c r="H173" i="84"/>
  <c r="H174" i="84"/>
  <c r="H175" i="84"/>
  <c r="H176" i="84"/>
  <c r="H177" i="84"/>
  <c r="H178" i="84"/>
  <c r="H179" i="84"/>
  <c r="H180" i="84"/>
  <c r="H181" i="84"/>
  <c r="H182" i="84"/>
  <c r="H183" i="84"/>
  <c r="H184" i="84"/>
  <c r="H185" i="84"/>
  <c r="H186" i="84"/>
  <c r="H187" i="84"/>
  <c r="H188" i="84"/>
  <c r="H189" i="84"/>
  <c r="H190" i="84"/>
  <c r="H191" i="84"/>
  <c r="H192" i="84"/>
  <c r="H193" i="84"/>
  <c r="H194" i="84"/>
  <c r="H195" i="84"/>
  <c r="H196" i="84"/>
  <c r="H197" i="84"/>
  <c r="H198" i="84"/>
  <c r="H199" i="84"/>
  <c r="H200" i="84"/>
  <c r="H201" i="84"/>
  <c r="H202" i="84"/>
  <c r="H203" i="84"/>
  <c r="H204" i="84"/>
  <c r="H205" i="84"/>
  <c r="H206" i="84"/>
  <c r="H207" i="84"/>
  <c r="H208" i="84"/>
  <c r="H209" i="84"/>
  <c r="H210" i="84"/>
  <c r="H211" i="84"/>
  <c r="H212" i="84"/>
  <c r="H213" i="84"/>
  <c r="H214" i="84"/>
  <c r="H215" i="84"/>
  <c r="H216" i="84"/>
  <c r="H217" i="84"/>
  <c r="H218" i="84"/>
  <c r="H219" i="84"/>
  <c r="H220" i="84"/>
  <c r="H221" i="84"/>
  <c r="H222" i="84"/>
  <c r="H223" i="84"/>
  <c r="H224" i="84"/>
  <c r="H225" i="84"/>
  <c r="H226" i="84"/>
  <c r="H227" i="84"/>
  <c r="H228" i="84"/>
  <c r="H229" i="84"/>
  <c r="H230" i="84"/>
  <c r="H231" i="84"/>
  <c r="H232" i="84"/>
  <c r="H233" i="84"/>
  <c r="H234" i="84"/>
  <c r="H235" i="84"/>
  <c r="H236" i="84"/>
  <c r="H237" i="84"/>
  <c r="H238" i="84"/>
  <c r="H239" i="84"/>
  <c r="H240" i="84"/>
  <c r="H241" i="84"/>
  <c r="H242" i="84"/>
  <c r="H243" i="84"/>
  <c r="H244" i="84"/>
  <c r="H245" i="84"/>
  <c r="H246" i="84"/>
  <c r="H247" i="84"/>
  <c r="H248" i="84"/>
  <c r="H249" i="84"/>
  <c r="H250" i="84"/>
  <c r="H251" i="84"/>
  <c r="H252" i="84"/>
  <c r="H253" i="84"/>
  <c r="I253" i="45"/>
  <c r="P248" i="45"/>
  <c r="O248" i="45"/>
  <c r="N248" i="45"/>
  <c r="M248" i="45"/>
  <c r="L248" i="45"/>
  <c r="K248" i="45"/>
  <c r="J248" i="45"/>
  <c r="I248" i="45"/>
  <c r="H248" i="45"/>
  <c r="G248" i="45"/>
  <c r="F248" i="45"/>
  <c r="E248" i="45"/>
  <c r="D248" i="45"/>
  <c r="P243" i="45"/>
  <c r="O243" i="45"/>
  <c r="N243" i="45"/>
  <c r="M243" i="45"/>
  <c r="L243" i="45"/>
  <c r="K243" i="45"/>
  <c r="J243" i="45"/>
  <c r="I243" i="45"/>
  <c r="H243" i="45"/>
  <c r="G243" i="45"/>
  <c r="F243" i="45"/>
  <c r="E243" i="45"/>
  <c r="D243" i="45"/>
  <c r="P233" i="45"/>
  <c r="O233" i="45"/>
  <c r="N233" i="45"/>
  <c r="M233" i="45"/>
  <c r="L233" i="45"/>
  <c r="K233" i="45"/>
  <c r="J233" i="45"/>
  <c r="I233" i="45"/>
  <c r="H233" i="45"/>
  <c r="G233" i="45"/>
  <c r="F233" i="45"/>
  <c r="E233" i="45"/>
  <c r="D233" i="45"/>
  <c r="P229" i="45"/>
  <c r="O229" i="45"/>
  <c r="N229" i="45"/>
  <c r="M229" i="45"/>
  <c r="L229" i="45"/>
  <c r="K229" i="45"/>
  <c r="J229" i="45"/>
  <c r="I229" i="45"/>
  <c r="H229" i="45"/>
  <c r="G229" i="45"/>
  <c r="F229" i="45"/>
  <c r="E229" i="45"/>
  <c r="D229" i="45"/>
  <c r="P223" i="45"/>
  <c r="O223" i="45"/>
  <c r="N223" i="45"/>
  <c r="M223" i="45"/>
  <c r="L223" i="45"/>
  <c r="K223" i="45"/>
  <c r="J223" i="45"/>
  <c r="I223" i="45"/>
  <c r="H223" i="45"/>
  <c r="G223" i="45"/>
  <c r="F223" i="45"/>
  <c r="E223" i="45"/>
  <c r="D223" i="45"/>
  <c r="P219" i="45"/>
  <c r="O219" i="45"/>
  <c r="N219" i="45"/>
  <c r="M219" i="45"/>
  <c r="L219" i="45"/>
  <c r="K219" i="45"/>
  <c r="J219" i="45"/>
  <c r="I219" i="45"/>
  <c r="H219" i="45"/>
  <c r="G219" i="45"/>
  <c r="F219" i="45"/>
  <c r="E219" i="45"/>
  <c r="D219" i="45"/>
  <c r="P214" i="45"/>
  <c r="O214" i="45"/>
  <c r="N214" i="45"/>
  <c r="M214" i="45"/>
  <c r="L214" i="45"/>
  <c r="K214" i="45"/>
  <c r="J214" i="45"/>
  <c r="I214" i="45"/>
  <c r="H214" i="45"/>
  <c r="G214" i="45"/>
  <c r="F214" i="45"/>
  <c r="E214" i="45"/>
  <c r="D214" i="45"/>
  <c r="P206" i="45"/>
  <c r="O206" i="45"/>
  <c r="N206" i="45"/>
  <c r="M206" i="45"/>
  <c r="L206" i="45"/>
  <c r="K206" i="45"/>
  <c r="J206" i="45"/>
  <c r="I206" i="45"/>
  <c r="H206" i="45"/>
  <c r="G206" i="45"/>
  <c r="F206" i="45"/>
  <c r="E206" i="45"/>
  <c r="D206" i="45"/>
  <c r="N198" i="45"/>
  <c r="N253" i="45" s="1"/>
  <c r="M198" i="45"/>
  <c r="M253" i="45" s="1"/>
  <c r="I198" i="45"/>
  <c r="F198" i="45"/>
  <c r="F253" i="45" s="1"/>
  <c r="E198" i="45"/>
  <c r="E253" i="45" s="1"/>
  <c r="P197" i="45"/>
  <c r="P198" i="45" s="1"/>
  <c r="P253" i="45" s="1"/>
  <c r="O197" i="45"/>
  <c r="O198" i="45" s="1"/>
  <c r="O253" i="45" s="1"/>
  <c r="N197" i="45"/>
  <c r="M197" i="45"/>
  <c r="L197" i="45"/>
  <c r="L198" i="45" s="1"/>
  <c r="L253" i="45" s="1"/>
  <c r="K197" i="45"/>
  <c r="K198" i="45" s="1"/>
  <c r="K253" i="45" s="1"/>
  <c r="J197" i="45"/>
  <c r="J198" i="45" s="1"/>
  <c r="J253" i="45" s="1"/>
  <c r="I197" i="45"/>
  <c r="H197" i="45"/>
  <c r="H198" i="45" s="1"/>
  <c r="H253" i="45" s="1"/>
  <c r="G197" i="45"/>
  <c r="G198" i="45" s="1"/>
  <c r="G253" i="45" s="1"/>
  <c r="F197" i="45"/>
  <c r="E197" i="45"/>
  <c r="D197" i="45"/>
  <c r="D198" i="45" s="1"/>
  <c r="D253" i="45" s="1"/>
  <c r="P187" i="45"/>
  <c r="O187" i="45"/>
  <c r="N187" i="45"/>
  <c r="M187" i="45"/>
  <c r="L187" i="45"/>
  <c r="K187" i="45"/>
  <c r="J187" i="45"/>
  <c r="I187" i="45"/>
  <c r="H187" i="45"/>
  <c r="G187" i="45"/>
  <c r="F187" i="45"/>
  <c r="E187" i="45"/>
  <c r="D187" i="45"/>
  <c r="P182" i="45"/>
  <c r="O182" i="45"/>
  <c r="N182" i="45"/>
  <c r="M182" i="45"/>
  <c r="L182" i="45"/>
  <c r="K182" i="45"/>
  <c r="J182" i="45"/>
  <c r="I182" i="45"/>
  <c r="H182" i="45"/>
  <c r="G182" i="45"/>
  <c r="F182" i="45"/>
  <c r="E182" i="45"/>
  <c r="D182" i="45"/>
  <c r="P175" i="45"/>
  <c r="O175" i="45"/>
  <c r="N175" i="45"/>
  <c r="M175" i="45"/>
  <c r="L175" i="45"/>
  <c r="K175" i="45"/>
  <c r="J175" i="45"/>
  <c r="I175" i="45"/>
  <c r="H175" i="45"/>
  <c r="G175" i="45"/>
  <c r="F175" i="45"/>
  <c r="E175" i="45"/>
  <c r="D175" i="45"/>
  <c r="P170" i="45"/>
  <c r="O170" i="45"/>
  <c r="N170" i="45"/>
  <c r="M170" i="45"/>
  <c r="L170" i="45"/>
  <c r="K170" i="45"/>
  <c r="J170" i="45"/>
  <c r="I170" i="45"/>
  <c r="H170" i="45"/>
  <c r="G170" i="45"/>
  <c r="F170" i="45"/>
  <c r="E170" i="45"/>
  <c r="D170" i="45"/>
  <c r="P158" i="45"/>
  <c r="O158" i="45"/>
  <c r="N158" i="45"/>
  <c r="M158" i="45"/>
  <c r="L158" i="45"/>
  <c r="K158" i="45"/>
  <c r="J158" i="45"/>
  <c r="I158" i="45"/>
  <c r="H158" i="45"/>
  <c r="G158" i="45"/>
  <c r="F158" i="45"/>
  <c r="E158" i="45"/>
  <c r="D158" i="45"/>
  <c r="P154" i="45"/>
  <c r="O154" i="45"/>
  <c r="N154" i="45"/>
  <c r="M154" i="45"/>
  <c r="L154" i="45"/>
  <c r="K154" i="45"/>
  <c r="J154" i="45"/>
  <c r="I154" i="45"/>
  <c r="H154" i="45"/>
  <c r="G154" i="45"/>
  <c r="F154" i="45"/>
  <c r="E154" i="45"/>
  <c r="D154" i="45"/>
  <c r="P148" i="45"/>
  <c r="O148" i="45"/>
  <c r="N148" i="45"/>
  <c r="M148" i="45"/>
  <c r="L148" i="45"/>
  <c r="K148" i="45"/>
  <c r="J148" i="45"/>
  <c r="I148" i="45"/>
  <c r="H148" i="45"/>
  <c r="G148" i="45"/>
  <c r="F148" i="45"/>
  <c r="E148" i="45"/>
  <c r="D148" i="45"/>
  <c r="P138" i="45"/>
  <c r="O138" i="45"/>
  <c r="N138" i="45"/>
  <c r="M138" i="45"/>
  <c r="L138" i="45"/>
  <c r="K138" i="45"/>
  <c r="J138" i="45"/>
  <c r="I138" i="45"/>
  <c r="H138" i="45"/>
  <c r="G138" i="45"/>
  <c r="F138" i="45"/>
  <c r="E138" i="45"/>
  <c r="D138" i="45"/>
  <c r="P137" i="45"/>
  <c r="O137" i="45"/>
  <c r="N137" i="45"/>
  <c r="M137" i="45"/>
  <c r="L137" i="45"/>
  <c r="K137" i="45"/>
  <c r="J137" i="45"/>
  <c r="I137" i="45"/>
  <c r="H137" i="45"/>
  <c r="G137" i="45"/>
  <c r="F137" i="45"/>
  <c r="E137" i="45"/>
  <c r="D137" i="45"/>
  <c r="P132" i="45"/>
  <c r="O132" i="45"/>
  <c r="N132" i="45"/>
  <c r="M132" i="45"/>
  <c r="L132" i="45"/>
  <c r="K132" i="45"/>
  <c r="J132" i="45"/>
  <c r="I132" i="45"/>
  <c r="H132" i="45"/>
  <c r="G132" i="45"/>
  <c r="F132" i="45"/>
  <c r="E132" i="45"/>
  <c r="D132" i="45"/>
  <c r="P128" i="45"/>
  <c r="O128" i="45"/>
  <c r="N128" i="45"/>
  <c r="M128" i="45"/>
  <c r="L128" i="45"/>
  <c r="K128" i="45"/>
  <c r="J128" i="45"/>
  <c r="I128" i="45"/>
  <c r="H128" i="45"/>
  <c r="G128" i="45"/>
  <c r="F128" i="45"/>
  <c r="E128" i="45"/>
  <c r="D128" i="45"/>
  <c r="P117" i="45"/>
  <c r="O117" i="45"/>
  <c r="N117" i="45"/>
  <c r="M117" i="45"/>
  <c r="L117" i="45"/>
  <c r="K117" i="45"/>
  <c r="J117" i="45"/>
  <c r="I117" i="45"/>
  <c r="H117" i="45"/>
  <c r="G117" i="45"/>
  <c r="F117" i="45"/>
  <c r="E117" i="45"/>
  <c r="D117" i="45"/>
  <c r="P112" i="45"/>
  <c r="O112" i="45"/>
  <c r="N112" i="45"/>
  <c r="M112" i="45"/>
  <c r="L112" i="45"/>
  <c r="K112" i="45"/>
  <c r="J112" i="45"/>
  <c r="I112" i="45"/>
  <c r="H112" i="45"/>
  <c r="G112" i="45"/>
  <c r="F112" i="45"/>
  <c r="E112" i="45"/>
  <c r="D112" i="45"/>
  <c r="P111" i="45"/>
  <c r="O111" i="45"/>
  <c r="N111" i="45"/>
  <c r="M111" i="45"/>
  <c r="L111" i="45"/>
  <c r="K111" i="45"/>
  <c r="J111" i="45"/>
  <c r="I111" i="45"/>
  <c r="H111" i="45"/>
  <c r="G111" i="45"/>
  <c r="F111" i="45"/>
  <c r="E111" i="45"/>
  <c r="D111" i="45"/>
  <c r="P106" i="45"/>
  <c r="O106" i="45"/>
  <c r="N106" i="45"/>
  <c r="M106" i="45"/>
  <c r="L106" i="45"/>
  <c r="K106" i="45"/>
  <c r="J106" i="45"/>
  <c r="I106" i="45"/>
  <c r="H106" i="45"/>
  <c r="G106" i="45"/>
  <c r="F106" i="45"/>
  <c r="E106" i="45"/>
  <c r="D106" i="45"/>
  <c r="P101" i="45"/>
  <c r="O101" i="45"/>
  <c r="N101" i="45"/>
  <c r="M101" i="45"/>
  <c r="L101" i="45"/>
  <c r="K101" i="45"/>
  <c r="J101" i="45"/>
  <c r="I101" i="45"/>
  <c r="H101" i="45"/>
  <c r="G101" i="45"/>
  <c r="F101" i="45"/>
  <c r="E101" i="45"/>
  <c r="D101" i="45"/>
  <c r="P89" i="45"/>
  <c r="O89" i="45"/>
  <c r="N89" i="45"/>
  <c r="M89" i="45"/>
  <c r="L89" i="45"/>
  <c r="K89" i="45"/>
  <c r="J89" i="45"/>
  <c r="I89" i="45"/>
  <c r="H89" i="45"/>
  <c r="G89" i="45"/>
  <c r="F89" i="45"/>
  <c r="E89" i="45"/>
  <c r="D89" i="45"/>
  <c r="P80" i="45"/>
  <c r="O80" i="45"/>
  <c r="N80" i="45"/>
  <c r="M80" i="45"/>
  <c r="L80" i="45"/>
  <c r="K80" i="45"/>
  <c r="J80" i="45"/>
  <c r="I80" i="45"/>
  <c r="H80" i="45"/>
  <c r="G80" i="45"/>
  <c r="F80" i="45"/>
  <c r="E80" i="45"/>
  <c r="D80" i="45"/>
  <c r="P70" i="45"/>
  <c r="O70" i="45"/>
  <c r="N70" i="45"/>
  <c r="M70" i="45"/>
  <c r="L70" i="45"/>
  <c r="K70" i="45"/>
  <c r="J70" i="45"/>
  <c r="I70" i="45"/>
  <c r="H70" i="45"/>
  <c r="G70" i="45"/>
  <c r="F70" i="45"/>
  <c r="E70" i="45"/>
  <c r="D70" i="45"/>
  <c r="P61" i="45"/>
  <c r="O61" i="45"/>
  <c r="N61" i="45"/>
  <c r="M61" i="45"/>
  <c r="L61" i="45"/>
  <c r="K61" i="45"/>
  <c r="J61" i="45"/>
  <c r="I61" i="45"/>
  <c r="H61" i="45"/>
  <c r="G61" i="45"/>
  <c r="F61" i="45"/>
  <c r="E61" i="45"/>
  <c r="D61" i="45"/>
  <c r="P53" i="45"/>
  <c r="P52" i="45"/>
  <c r="P47" i="45"/>
  <c r="P36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P23" i="45"/>
  <c r="P31" i="45"/>
  <c r="P55" i="45"/>
  <c r="P71" i="45"/>
  <c r="P79" i="45"/>
  <c r="P87" i="45"/>
  <c r="P95" i="45"/>
  <c r="P119" i="45"/>
  <c r="P127" i="45"/>
  <c r="P135" i="45"/>
  <c r="P151" i="45"/>
  <c r="P159" i="45"/>
  <c r="P167" i="45"/>
  <c r="P183" i="45"/>
  <c r="P191" i="45"/>
  <c r="P207" i="45"/>
  <c r="P215" i="45"/>
  <c r="P239" i="45"/>
  <c r="P247" i="45"/>
  <c r="P248" i="43"/>
  <c r="O248" i="43"/>
  <c r="N248" i="43"/>
  <c r="M248" i="43"/>
  <c r="L248" i="43"/>
  <c r="K248" i="43"/>
  <c r="J248" i="43"/>
  <c r="I248" i="43"/>
  <c r="H248" i="43"/>
  <c r="G248" i="43"/>
  <c r="F248" i="43"/>
  <c r="E248" i="43"/>
  <c r="D248" i="43"/>
  <c r="P243" i="43"/>
  <c r="O243" i="43"/>
  <c r="N243" i="43"/>
  <c r="M243" i="43"/>
  <c r="L243" i="43"/>
  <c r="K243" i="43"/>
  <c r="J243" i="43"/>
  <c r="I243" i="43"/>
  <c r="H243" i="43"/>
  <c r="G243" i="43"/>
  <c r="F243" i="43"/>
  <c r="E243" i="43"/>
  <c r="D243" i="43"/>
  <c r="P233" i="43"/>
  <c r="O233" i="43"/>
  <c r="N233" i="43"/>
  <c r="M233" i="43"/>
  <c r="L233" i="43"/>
  <c r="K233" i="43"/>
  <c r="J233" i="43"/>
  <c r="I233" i="43"/>
  <c r="H233" i="43"/>
  <c r="G233" i="43"/>
  <c r="F233" i="43"/>
  <c r="E233" i="43"/>
  <c r="D233" i="43"/>
  <c r="P229" i="43"/>
  <c r="O229" i="43"/>
  <c r="N229" i="43"/>
  <c r="M229" i="43"/>
  <c r="L229" i="43"/>
  <c r="K229" i="43"/>
  <c r="J229" i="43"/>
  <c r="I229" i="43"/>
  <c r="H229" i="43"/>
  <c r="G229" i="43"/>
  <c r="F229" i="43"/>
  <c r="E229" i="43"/>
  <c r="D229" i="43"/>
  <c r="P223" i="43"/>
  <c r="O223" i="43"/>
  <c r="N223" i="43"/>
  <c r="M223" i="43"/>
  <c r="L223" i="43"/>
  <c r="K223" i="43"/>
  <c r="J223" i="43"/>
  <c r="I223" i="43"/>
  <c r="H223" i="43"/>
  <c r="G223" i="43"/>
  <c r="F223" i="43"/>
  <c r="E223" i="43"/>
  <c r="D223" i="43"/>
  <c r="P219" i="43"/>
  <c r="O219" i="43"/>
  <c r="N219" i="43"/>
  <c r="M219" i="43"/>
  <c r="L219" i="43"/>
  <c r="K219" i="43"/>
  <c r="J219" i="43"/>
  <c r="I219" i="43"/>
  <c r="H219" i="43"/>
  <c r="G219" i="43"/>
  <c r="F219" i="43"/>
  <c r="E219" i="43"/>
  <c r="D219" i="43"/>
  <c r="P214" i="43"/>
  <c r="O214" i="43"/>
  <c r="N214" i="43"/>
  <c r="M214" i="43"/>
  <c r="L214" i="43"/>
  <c r="K214" i="43"/>
  <c r="J214" i="43"/>
  <c r="I214" i="43"/>
  <c r="H214" i="43"/>
  <c r="G214" i="43"/>
  <c r="F214" i="43"/>
  <c r="E214" i="43"/>
  <c r="D214" i="43"/>
  <c r="P206" i="43"/>
  <c r="O206" i="43"/>
  <c r="N206" i="43"/>
  <c r="M206" i="43"/>
  <c r="L206" i="43"/>
  <c r="K206" i="43"/>
  <c r="J206" i="43"/>
  <c r="I206" i="43"/>
  <c r="H206" i="43"/>
  <c r="G206" i="43"/>
  <c r="F206" i="43"/>
  <c r="E206" i="43"/>
  <c r="D206" i="43"/>
  <c r="N198" i="43"/>
  <c r="N253" i="43" s="1"/>
  <c r="F198" i="43"/>
  <c r="F253" i="43" s="1"/>
  <c r="P197" i="43"/>
  <c r="P198" i="43" s="1"/>
  <c r="P253" i="43" s="1"/>
  <c r="O197" i="43"/>
  <c r="O198" i="43" s="1"/>
  <c r="O253" i="43" s="1"/>
  <c r="N197" i="43"/>
  <c r="M197" i="43"/>
  <c r="M198" i="43" s="1"/>
  <c r="M253" i="43" s="1"/>
  <c r="L197" i="43"/>
  <c r="L198" i="43" s="1"/>
  <c r="L253" i="43" s="1"/>
  <c r="K197" i="43"/>
  <c r="K198" i="43" s="1"/>
  <c r="K253" i="43" s="1"/>
  <c r="J197" i="43"/>
  <c r="J198" i="43" s="1"/>
  <c r="J253" i="43" s="1"/>
  <c r="I197" i="43"/>
  <c r="I198" i="43" s="1"/>
  <c r="I253" i="43" s="1"/>
  <c r="H197" i="43"/>
  <c r="H198" i="43" s="1"/>
  <c r="H253" i="43" s="1"/>
  <c r="G197" i="43"/>
  <c r="G198" i="43" s="1"/>
  <c r="G253" i="43" s="1"/>
  <c r="F197" i="43"/>
  <c r="E197" i="43"/>
  <c r="E198" i="43" s="1"/>
  <c r="E253" i="43" s="1"/>
  <c r="D197" i="43"/>
  <c r="D198" i="43" s="1"/>
  <c r="D253" i="43" s="1"/>
  <c r="P187" i="43"/>
  <c r="O187" i="43"/>
  <c r="N187" i="43"/>
  <c r="M187" i="43"/>
  <c r="L187" i="43"/>
  <c r="K187" i="43"/>
  <c r="J187" i="43"/>
  <c r="I187" i="43"/>
  <c r="H187" i="43"/>
  <c r="G187" i="43"/>
  <c r="F187" i="43"/>
  <c r="E187" i="43"/>
  <c r="D187" i="43"/>
  <c r="P182" i="43"/>
  <c r="O182" i="43"/>
  <c r="N182" i="43"/>
  <c r="M182" i="43"/>
  <c r="L182" i="43"/>
  <c r="K182" i="43"/>
  <c r="J182" i="43"/>
  <c r="I182" i="43"/>
  <c r="H182" i="43"/>
  <c r="G182" i="43"/>
  <c r="F182" i="43"/>
  <c r="E182" i="43"/>
  <c r="D182" i="43"/>
  <c r="P175" i="43"/>
  <c r="O175" i="43"/>
  <c r="N175" i="43"/>
  <c r="M175" i="43"/>
  <c r="L175" i="43"/>
  <c r="K175" i="43"/>
  <c r="J175" i="43"/>
  <c r="I175" i="43"/>
  <c r="H175" i="43"/>
  <c r="G175" i="43"/>
  <c r="F175" i="43"/>
  <c r="E175" i="43"/>
  <c r="D175" i="43"/>
  <c r="P170" i="43"/>
  <c r="O170" i="43"/>
  <c r="N170" i="43"/>
  <c r="M170" i="43"/>
  <c r="L170" i="43"/>
  <c r="K170" i="43"/>
  <c r="J170" i="43"/>
  <c r="I170" i="43"/>
  <c r="H170" i="43"/>
  <c r="G170" i="43"/>
  <c r="F170" i="43"/>
  <c r="E170" i="43"/>
  <c r="D170" i="43"/>
  <c r="P158" i="43"/>
  <c r="O158" i="43"/>
  <c r="N158" i="43"/>
  <c r="M158" i="43"/>
  <c r="L158" i="43"/>
  <c r="K158" i="43"/>
  <c r="J158" i="43"/>
  <c r="I158" i="43"/>
  <c r="H158" i="43"/>
  <c r="G158" i="43"/>
  <c r="F158" i="43"/>
  <c r="E158" i="43"/>
  <c r="D158" i="43"/>
  <c r="P154" i="43"/>
  <c r="O154" i="43"/>
  <c r="N154" i="43"/>
  <c r="M154" i="43"/>
  <c r="L154" i="43"/>
  <c r="K154" i="43"/>
  <c r="J154" i="43"/>
  <c r="I154" i="43"/>
  <c r="H154" i="43"/>
  <c r="G154" i="43"/>
  <c r="F154" i="43"/>
  <c r="E154" i="43"/>
  <c r="D154" i="43"/>
  <c r="P148" i="43"/>
  <c r="O148" i="43"/>
  <c r="N148" i="43"/>
  <c r="M148" i="43"/>
  <c r="L148" i="43"/>
  <c r="K148" i="43"/>
  <c r="J148" i="43"/>
  <c r="I148" i="43"/>
  <c r="H148" i="43"/>
  <c r="G148" i="43"/>
  <c r="F148" i="43"/>
  <c r="E148" i="43"/>
  <c r="D148" i="43"/>
  <c r="P138" i="43"/>
  <c r="O138" i="43"/>
  <c r="N138" i="43"/>
  <c r="M138" i="43"/>
  <c r="L138" i="43"/>
  <c r="K138" i="43"/>
  <c r="J138" i="43"/>
  <c r="I138" i="43"/>
  <c r="H138" i="43"/>
  <c r="G138" i="43"/>
  <c r="F138" i="43"/>
  <c r="E138" i="43"/>
  <c r="D138" i="43"/>
  <c r="P137" i="43"/>
  <c r="O137" i="43"/>
  <c r="N137" i="43"/>
  <c r="M137" i="43"/>
  <c r="L137" i="43"/>
  <c r="K137" i="43"/>
  <c r="J137" i="43"/>
  <c r="I137" i="43"/>
  <c r="H137" i="43"/>
  <c r="G137" i="43"/>
  <c r="F137" i="43"/>
  <c r="E137" i="43"/>
  <c r="D137" i="43"/>
  <c r="P132" i="43"/>
  <c r="O132" i="43"/>
  <c r="N132" i="43"/>
  <c r="M132" i="43"/>
  <c r="L132" i="43"/>
  <c r="K132" i="43"/>
  <c r="J132" i="43"/>
  <c r="I132" i="43"/>
  <c r="H132" i="43"/>
  <c r="G132" i="43"/>
  <c r="F132" i="43"/>
  <c r="E132" i="43"/>
  <c r="D132" i="43"/>
  <c r="P128" i="43"/>
  <c r="O128" i="43"/>
  <c r="N128" i="43"/>
  <c r="M128" i="43"/>
  <c r="L128" i="43"/>
  <c r="K128" i="43"/>
  <c r="J128" i="43"/>
  <c r="I128" i="43"/>
  <c r="H128" i="43"/>
  <c r="G128" i="43"/>
  <c r="F128" i="43"/>
  <c r="E128" i="43"/>
  <c r="D128" i="43"/>
  <c r="P117" i="43"/>
  <c r="O117" i="43"/>
  <c r="N117" i="43"/>
  <c r="M117" i="43"/>
  <c r="L117" i="43"/>
  <c r="K117" i="43"/>
  <c r="J117" i="43"/>
  <c r="I117" i="43"/>
  <c r="H117" i="43"/>
  <c r="G117" i="43"/>
  <c r="F117" i="43"/>
  <c r="E117" i="43"/>
  <c r="D117" i="43"/>
  <c r="P112" i="43"/>
  <c r="O112" i="43"/>
  <c r="N112" i="43"/>
  <c r="M112" i="43"/>
  <c r="L112" i="43"/>
  <c r="K112" i="43"/>
  <c r="J112" i="43"/>
  <c r="I112" i="43"/>
  <c r="H112" i="43"/>
  <c r="G112" i="43"/>
  <c r="F112" i="43"/>
  <c r="E112" i="43"/>
  <c r="D112" i="43"/>
  <c r="P111" i="43"/>
  <c r="O111" i="43"/>
  <c r="N111" i="43"/>
  <c r="M111" i="43"/>
  <c r="L111" i="43"/>
  <c r="K111" i="43"/>
  <c r="J111" i="43"/>
  <c r="I111" i="43"/>
  <c r="H111" i="43"/>
  <c r="G111" i="43"/>
  <c r="F111" i="43"/>
  <c r="E111" i="43"/>
  <c r="D111" i="43"/>
  <c r="P106" i="43"/>
  <c r="O106" i="43"/>
  <c r="N106" i="43"/>
  <c r="M106" i="43"/>
  <c r="L106" i="43"/>
  <c r="K106" i="43"/>
  <c r="J106" i="43"/>
  <c r="I106" i="43"/>
  <c r="H106" i="43"/>
  <c r="G106" i="43"/>
  <c r="F106" i="43"/>
  <c r="E106" i="43"/>
  <c r="D106" i="43"/>
  <c r="P101" i="43"/>
  <c r="O101" i="43"/>
  <c r="N101" i="43"/>
  <c r="M101" i="43"/>
  <c r="L101" i="43"/>
  <c r="K101" i="43"/>
  <c r="J101" i="43"/>
  <c r="I101" i="43"/>
  <c r="H101" i="43"/>
  <c r="G101" i="43"/>
  <c r="F101" i="43"/>
  <c r="E101" i="43"/>
  <c r="D101" i="43"/>
  <c r="P89" i="43"/>
  <c r="O89" i="43"/>
  <c r="N89" i="43"/>
  <c r="M89" i="43"/>
  <c r="L89" i="43"/>
  <c r="K89" i="43"/>
  <c r="J89" i="43"/>
  <c r="I89" i="43"/>
  <c r="H89" i="43"/>
  <c r="G89" i="43"/>
  <c r="F89" i="43"/>
  <c r="E89" i="43"/>
  <c r="D89" i="43"/>
  <c r="P80" i="43"/>
  <c r="O80" i="43"/>
  <c r="N80" i="43"/>
  <c r="M80" i="43"/>
  <c r="L80" i="43"/>
  <c r="K80" i="43"/>
  <c r="J80" i="43"/>
  <c r="I80" i="43"/>
  <c r="H80" i="43"/>
  <c r="G80" i="43"/>
  <c r="F80" i="43"/>
  <c r="E80" i="43"/>
  <c r="D80" i="43"/>
  <c r="P70" i="43"/>
  <c r="O70" i="43"/>
  <c r="N70" i="43"/>
  <c r="M70" i="43"/>
  <c r="L70" i="43"/>
  <c r="K70" i="43"/>
  <c r="J70" i="43"/>
  <c r="I70" i="43"/>
  <c r="H70" i="43"/>
  <c r="G70" i="43"/>
  <c r="F70" i="43"/>
  <c r="E70" i="43"/>
  <c r="D70" i="43"/>
  <c r="P61" i="43"/>
  <c r="O61" i="43"/>
  <c r="N61" i="43"/>
  <c r="M61" i="43"/>
  <c r="L61" i="43"/>
  <c r="K61" i="43"/>
  <c r="J61" i="43"/>
  <c r="I61" i="43"/>
  <c r="H61" i="43"/>
  <c r="G61" i="43"/>
  <c r="F61" i="43"/>
  <c r="E61" i="43"/>
  <c r="D61" i="43"/>
  <c r="P53" i="43"/>
  <c r="P52" i="43"/>
  <c r="P47" i="43"/>
  <c r="P36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P38" i="43"/>
  <c r="P54" i="43"/>
  <c r="P62" i="43"/>
  <c r="P78" i="43"/>
  <c r="P86" i="43"/>
  <c r="P94" i="43"/>
  <c r="P102" i="43"/>
  <c r="P118" i="43"/>
  <c r="P126" i="43"/>
  <c r="P134" i="43"/>
  <c r="P142" i="43"/>
  <c r="P150" i="43"/>
  <c r="P166" i="43"/>
  <c r="P174" i="43"/>
  <c r="P190" i="43"/>
  <c r="P222" i="43"/>
  <c r="P230" i="43"/>
  <c r="P238" i="43"/>
  <c r="P240" i="43"/>
  <c r="P246" i="43"/>
  <c r="P248" i="41"/>
  <c r="O248" i="41"/>
  <c r="N248" i="41"/>
  <c r="M248" i="41"/>
  <c r="L248" i="41"/>
  <c r="K248" i="41"/>
  <c r="J248" i="41"/>
  <c r="I248" i="41"/>
  <c r="H248" i="41"/>
  <c r="G248" i="41"/>
  <c r="F248" i="41"/>
  <c r="E248" i="41"/>
  <c r="D248" i="41"/>
  <c r="P243" i="41"/>
  <c r="O243" i="41"/>
  <c r="N243" i="41"/>
  <c r="M243" i="41"/>
  <c r="L243" i="41"/>
  <c r="K243" i="41"/>
  <c r="J243" i="41"/>
  <c r="I243" i="41"/>
  <c r="H243" i="41"/>
  <c r="G243" i="41"/>
  <c r="F243" i="41"/>
  <c r="E243" i="41"/>
  <c r="D243" i="41"/>
  <c r="P233" i="41"/>
  <c r="O233" i="41"/>
  <c r="N233" i="41"/>
  <c r="M233" i="41"/>
  <c r="L233" i="41"/>
  <c r="K233" i="41"/>
  <c r="J233" i="41"/>
  <c r="I233" i="41"/>
  <c r="H233" i="41"/>
  <c r="G233" i="41"/>
  <c r="F233" i="41"/>
  <c r="E233" i="41"/>
  <c r="D233" i="41"/>
  <c r="P229" i="41"/>
  <c r="O229" i="41"/>
  <c r="N229" i="41"/>
  <c r="M229" i="41"/>
  <c r="L229" i="41"/>
  <c r="K229" i="41"/>
  <c r="J229" i="41"/>
  <c r="I229" i="41"/>
  <c r="H229" i="41"/>
  <c r="G229" i="41"/>
  <c r="F229" i="41"/>
  <c r="E229" i="41"/>
  <c r="D229" i="41"/>
  <c r="P223" i="41"/>
  <c r="O223" i="41"/>
  <c r="N223" i="41"/>
  <c r="M223" i="41"/>
  <c r="L223" i="41"/>
  <c r="K223" i="41"/>
  <c r="J223" i="41"/>
  <c r="I223" i="41"/>
  <c r="H223" i="41"/>
  <c r="G223" i="41"/>
  <c r="F223" i="41"/>
  <c r="E223" i="41"/>
  <c r="D223" i="41"/>
  <c r="P219" i="41"/>
  <c r="O219" i="41"/>
  <c r="N219" i="41"/>
  <c r="M219" i="41"/>
  <c r="L219" i="41"/>
  <c r="K219" i="41"/>
  <c r="J219" i="41"/>
  <c r="I219" i="41"/>
  <c r="H219" i="41"/>
  <c r="G219" i="41"/>
  <c r="F219" i="41"/>
  <c r="E219" i="41"/>
  <c r="D219" i="41"/>
  <c r="P214" i="41"/>
  <c r="O214" i="41"/>
  <c r="N214" i="41"/>
  <c r="M214" i="41"/>
  <c r="L214" i="41"/>
  <c r="K214" i="41"/>
  <c r="J214" i="41"/>
  <c r="I214" i="41"/>
  <c r="H214" i="41"/>
  <c r="G214" i="41"/>
  <c r="F214" i="41"/>
  <c r="E214" i="41"/>
  <c r="D214" i="41"/>
  <c r="P206" i="41"/>
  <c r="O206" i="41"/>
  <c r="N206" i="41"/>
  <c r="M206" i="41"/>
  <c r="L206" i="41"/>
  <c r="K206" i="41"/>
  <c r="J206" i="41"/>
  <c r="I206" i="41"/>
  <c r="H206" i="41"/>
  <c r="G206" i="41"/>
  <c r="F206" i="41"/>
  <c r="E206" i="41"/>
  <c r="D206" i="41"/>
  <c r="O198" i="41"/>
  <c r="O253" i="41" s="1"/>
  <c r="G198" i="41"/>
  <c r="G253" i="41" s="1"/>
  <c r="P197" i="41"/>
  <c r="P198" i="41" s="1"/>
  <c r="P253" i="41" s="1"/>
  <c r="O197" i="41"/>
  <c r="N197" i="41"/>
  <c r="N198" i="41" s="1"/>
  <c r="N253" i="41" s="1"/>
  <c r="M197" i="41"/>
  <c r="M198" i="41" s="1"/>
  <c r="M253" i="41" s="1"/>
  <c r="L197" i="41"/>
  <c r="L198" i="41" s="1"/>
  <c r="L253" i="41" s="1"/>
  <c r="K197" i="41"/>
  <c r="K198" i="41" s="1"/>
  <c r="K253" i="41" s="1"/>
  <c r="J197" i="41"/>
  <c r="J198" i="41" s="1"/>
  <c r="J253" i="41" s="1"/>
  <c r="I197" i="41"/>
  <c r="I198" i="41" s="1"/>
  <c r="I253" i="41" s="1"/>
  <c r="H197" i="41"/>
  <c r="H198" i="41" s="1"/>
  <c r="H253" i="41" s="1"/>
  <c r="G197" i="41"/>
  <c r="F197" i="41"/>
  <c r="F198" i="41" s="1"/>
  <c r="F253" i="41" s="1"/>
  <c r="E197" i="41"/>
  <c r="E198" i="41" s="1"/>
  <c r="E253" i="41" s="1"/>
  <c r="D197" i="41"/>
  <c r="D198" i="41" s="1"/>
  <c r="D253" i="41" s="1"/>
  <c r="P187" i="41"/>
  <c r="O187" i="41"/>
  <c r="N187" i="41"/>
  <c r="M187" i="41"/>
  <c r="L187" i="41"/>
  <c r="K187" i="41"/>
  <c r="J187" i="41"/>
  <c r="I187" i="41"/>
  <c r="H187" i="41"/>
  <c r="G187" i="41"/>
  <c r="F187" i="41"/>
  <c r="E187" i="41"/>
  <c r="D187" i="41"/>
  <c r="P182" i="41"/>
  <c r="O182" i="41"/>
  <c r="N182" i="41"/>
  <c r="M182" i="41"/>
  <c r="L182" i="41"/>
  <c r="K182" i="41"/>
  <c r="J182" i="41"/>
  <c r="I182" i="41"/>
  <c r="H182" i="41"/>
  <c r="G182" i="41"/>
  <c r="F182" i="41"/>
  <c r="E182" i="41"/>
  <c r="D182" i="41"/>
  <c r="P175" i="41"/>
  <c r="O175" i="41"/>
  <c r="N175" i="41"/>
  <c r="M175" i="41"/>
  <c r="L175" i="41"/>
  <c r="K175" i="41"/>
  <c r="J175" i="41"/>
  <c r="I175" i="41"/>
  <c r="H175" i="41"/>
  <c r="G175" i="41"/>
  <c r="F175" i="41"/>
  <c r="E175" i="41"/>
  <c r="D175" i="41"/>
  <c r="P170" i="41"/>
  <c r="O170" i="41"/>
  <c r="N170" i="41"/>
  <c r="M170" i="41"/>
  <c r="L170" i="41"/>
  <c r="K170" i="41"/>
  <c r="J170" i="41"/>
  <c r="I170" i="41"/>
  <c r="H170" i="41"/>
  <c r="G170" i="41"/>
  <c r="F170" i="41"/>
  <c r="E170" i="41"/>
  <c r="D170" i="41"/>
  <c r="P158" i="41"/>
  <c r="O158" i="41"/>
  <c r="N158" i="41"/>
  <c r="M158" i="41"/>
  <c r="L158" i="41"/>
  <c r="K158" i="41"/>
  <c r="J158" i="41"/>
  <c r="I158" i="41"/>
  <c r="H158" i="41"/>
  <c r="G158" i="41"/>
  <c r="F158" i="41"/>
  <c r="E158" i="41"/>
  <c r="D158" i="41"/>
  <c r="P154" i="41"/>
  <c r="O154" i="41"/>
  <c r="N154" i="41"/>
  <c r="M154" i="41"/>
  <c r="L154" i="41"/>
  <c r="K154" i="41"/>
  <c r="J154" i="41"/>
  <c r="I154" i="41"/>
  <c r="H154" i="41"/>
  <c r="G154" i="41"/>
  <c r="F154" i="41"/>
  <c r="E154" i="41"/>
  <c r="D154" i="41"/>
  <c r="P148" i="41"/>
  <c r="O148" i="41"/>
  <c r="N148" i="41"/>
  <c r="M148" i="41"/>
  <c r="L148" i="41"/>
  <c r="K148" i="41"/>
  <c r="J148" i="41"/>
  <c r="I148" i="41"/>
  <c r="H148" i="41"/>
  <c r="G148" i="41"/>
  <c r="F148" i="41"/>
  <c r="E148" i="41"/>
  <c r="D148" i="41"/>
  <c r="P138" i="41"/>
  <c r="O138" i="41"/>
  <c r="N138" i="41"/>
  <c r="M138" i="41"/>
  <c r="L138" i="41"/>
  <c r="K138" i="41"/>
  <c r="J138" i="41"/>
  <c r="I138" i="41"/>
  <c r="H138" i="41"/>
  <c r="G138" i="41"/>
  <c r="F138" i="41"/>
  <c r="E138" i="41"/>
  <c r="D138" i="41"/>
  <c r="P137" i="41"/>
  <c r="O137" i="41"/>
  <c r="N137" i="41"/>
  <c r="M137" i="41"/>
  <c r="L137" i="41"/>
  <c r="K137" i="41"/>
  <c r="J137" i="41"/>
  <c r="I137" i="41"/>
  <c r="H137" i="41"/>
  <c r="G137" i="41"/>
  <c r="F137" i="41"/>
  <c r="E137" i="41"/>
  <c r="D137" i="41"/>
  <c r="P132" i="41"/>
  <c r="O132" i="41"/>
  <c r="N132" i="41"/>
  <c r="M132" i="41"/>
  <c r="L132" i="41"/>
  <c r="K132" i="41"/>
  <c r="J132" i="41"/>
  <c r="I132" i="41"/>
  <c r="H132" i="41"/>
  <c r="G132" i="41"/>
  <c r="F132" i="41"/>
  <c r="E132" i="41"/>
  <c r="D132" i="41"/>
  <c r="P128" i="41"/>
  <c r="O128" i="41"/>
  <c r="N128" i="41"/>
  <c r="M128" i="41"/>
  <c r="L128" i="41"/>
  <c r="K128" i="41"/>
  <c r="J128" i="41"/>
  <c r="I128" i="41"/>
  <c r="H128" i="41"/>
  <c r="G128" i="41"/>
  <c r="F128" i="41"/>
  <c r="E128" i="41"/>
  <c r="D128" i="41"/>
  <c r="P117" i="41"/>
  <c r="O117" i="41"/>
  <c r="N117" i="41"/>
  <c r="M117" i="41"/>
  <c r="L117" i="41"/>
  <c r="K117" i="41"/>
  <c r="J117" i="41"/>
  <c r="I117" i="41"/>
  <c r="H117" i="41"/>
  <c r="G117" i="41"/>
  <c r="F117" i="41"/>
  <c r="E117" i="41"/>
  <c r="D117" i="41"/>
  <c r="P112" i="41"/>
  <c r="O112" i="41"/>
  <c r="N112" i="41"/>
  <c r="M112" i="41"/>
  <c r="L112" i="41"/>
  <c r="K112" i="41"/>
  <c r="J112" i="41"/>
  <c r="I112" i="41"/>
  <c r="H112" i="41"/>
  <c r="G112" i="41"/>
  <c r="F112" i="41"/>
  <c r="E112" i="41"/>
  <c r="D112" i="41"/>
  <c r="P111" i="41"/>
  <c r="O111" i="41"/>
  <c r="N111" i="41"/>
  <c r="M111" i="41"/>
  <c r="L111" i="41"/>
  <c r="K111" i="41"/>
  <c r="J111" i="41"/>
  <c r="I111" i="41"/>
  <c r="H111" i="41"/>
  <c r="G111" i="41"/>
  <c r="F111" i="41"/>
  <c r="E111" i="41"/>
  <c r="D111" i="41"/>
  <c r="P106" i="41"/>
  <c r="O106" i="41"/>
  <c r="N106" i="41"/>
  <c r="M106" i="41"/>
  <c r="L106" i="41"/>
  <c r="K106" i="41"/>
  <c r="J106" i="41"/>
  <c r="I106" i="41"/>
  <c r="H106" i="41"/>
  <c r="G106" i="41"/>
  <c r="F106" i="41"/>
  <c r="E106" i="41"/>
  <c r="D106" i="41"/>
  <c r="P101" i="41"/>
  <c r="O101" i="41"/>
  <c r="N101" i="41"/>
  <c r="M101" i="41"/>
  <c r="L101" i="41"/>
  <c r="K101" i="41"/>
  <c r="J101" i="41"/>
  <c r="I101" i="41"/>
  <c r="H101" i="41"/>
  <c r="G101" i="41"/>
  <c r="F101" i="41"/>
  <c r="E101" i="41"/>
  <c r="D101" i="41"/>
  <c r="P89" i="41"/>
  <c r="O89" i="41"/>
  <c r="N89" i="41"/>
  <c r="M89" i="41"/>
  <c r="L89" i="41"/>
  <c r="K89" i="41"/>
  <c r="J89" i="41"/>
  <c r="I89" i="41"/>
  <c r="H89" i="41"/>
  <c r="G89" i="41"/>
  <c r="F89" i="41"/>
  <c r="E89" i="41"/>
  <c r="D89" i="41"/>
  <c r="P80" i="41"/>
  <c r="O80" i="41"/>
  <c r="N80" i="41"/>
  <c r="M80" i="41"/>
  <c r="L80" i="41"/>
  <c r="K80" i="41"/>
  <c r="J80" i="41"/>
  <c r="I80" i="41"/>
  <c r="H80" i="41"/>
  <c r="G80" i="41"/>
  <c r="F80" i="41"/>
  <c r="E80" i="41"/>
  <c r="D80" i="41"/>
  <c r="P70" i="41"/>
  <c r="O70" i="41"/>
  <c r="N70" i="41"/>
  <c r="M70" i="41"/>
  <c r="L70" i="41"/>
  <c r="K70" i="41"/>
  <c r="J70" i="41"/>
  <c r="I70" i="41"/>
  <c r="H70" i="41"/>
  <c r="G70" i="41"/>
  <c r="F70" i="41"/>
  <c r="E70" i="41"/>
  <c r="D70" i="41"/>
  <c r="P61" i="41"/>
  <c r="O61" i="41"/>
  <c r="N61" i="41"/>
  <c r="M61" i="41"/>
  <c r="L61" i="41"/>
  <c r="K61" i="41"/>
  <c r="J61" i="41"/>
  <c r="I61" i="41"/>
  <c r="H61" i="41"/>
  <c r="G61" i="41"/>
  <c r="F61" i="41"/>
  <c r="E61" i="41"/>
  <c r="D61" i="41"/>
  <c r="P53" i="41"/>
  <c r="P52" i="41"/>
  <c r="P47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P248" i="39"/>
  <c r="O248" i="39"/>
  <c r="N248" i="39"/>
  <c r="M248" i="39"/>
  <c r="L248" i="39"/>
  <c r="K248" i="39"/>
  <c r="J248" i="39"/>
  <c r="I248" i="39"/>
  <c r="H248" i="39"/>
  <c r="G248" i="39"/>
  <c r="F248" i="39"/>
  <c r="E248" i="39"/>
  <c r="D248" i="39"/>
  <c r="P243" i="39"/>
  <c r="O243" i="39"/>
  <c r="N243" i="39"/>
  <c r="M243" i="39"/>
  <c r="L243" i="39"/>
  <c r="K243" i="39"/>
  <c r="J243" i="39"/>
  <c r="I243" i="39"/>
  <c r="H243" i="39"/>
  <c r="G243" i="39"/>
  <c r="F243" i="39"/>
  <c r="E243" i="39"/>
  <c r="D243" i="39"/>
  <c r="P233" i="39"/>
  <c r="O233" i="39"/>
  <c r="N233" i="39"/>
  <c r="M233" i="39"/>
  <c r="L233" i="39"/>
  <c r="K233" i="39"/>
  <c r="J233" i="39"/>
  <c r="I233" i="39"/>
  <c r="H233" i="39"/>
  <c r="G233" i="39"/>
  <c r="F233" i="39"/>
  <c r="E233" i="39"/>
  <c r="D233" i="39"/>
  <c r="P229" i="39"/>
  <c r="O229" i="39"/>
  <c r="N229" i="39"/>
  <c r="M229" i="39"/>
  <c r="L229" i="39"/>
  <c r="K229" i="39"/>
  <c r="J229" i="39"/>
  <c r="I229" i="39"/>
  <c r="H229" i="39"/>
  <c r="G229" i="39"/>
  <c r="F229" i="39"/>
  <c r="E229" i="39"/>
  <c r="D229" i="39"/>
  <c r="P223" i="39"/>
  <c r="O223" i="39"/>
  <c r="N223" i="39"/>
  <c r="M223" i="39"/>
  <c r="L223" i="39"/>
  <c r="K223" i="39"/>
  <c r="J223" i="39"/>
  <c r="I223" i="39"/>
  <c r="H223" i="39"/>
  <c r="G223" i="39"/>
  <c r="F223" i="39"/>
  <c r="E223" i="39"/>
  <c r="D223" i="39"/>
  <c r="P219" i="39"/>
  <c r="O219" i="39"/>
  <c r="N219" i="39"/>
  <c r="M219" i="39"/>
  <c r="L219" i="39"/>
  <c r="K219" i="39"/>
  <c r="J219" i="39"/>
  <c r="I219" i="39"/>
  <c r="H219" i="39"/>
  <c r="G219" i="39"/>
  <c r="F219" i="39"/>
  <c r="E219" i="39"/>
  <c r="D219" i="39"/>
  <c r="P214" i="39"/>
  <c r="O214" i="39"/>
  <c r="N214" i="39"/>
  <c r="M214" i="39"/>
  <c r="L214" i="39"/>
  <c r="K214" i="39"/>
  <c r="J214" i="39"/>
  <c r="I214" i="39"/>
  <c r="H214" i="39"/>
  <c r="G214" i="39"/>
  <c r="F214" i="39"/>
  <c r="E214" i="39"/>
  <c r="D214" i="39"/>
  <c r="P206" i="39"/>
  <c r="O206" i="39"/>
  <c r="N206" i="39"/>
  <c r="M206" i="39"/>
  <c r="L206" i="39"/>
  <c r="K206" i="39"/>
  <c r="J206" i="39"/>
  <c r="I206" i="39"/>
  <c r="H206" i="39"/>
  <c r="G206" i="39"/>
  <c r="F206" i="39"/>
  <c r="E206" i="39"/>
  <c r="D206" i="39"/>
  <c r="O198" i="39"/>
  <c r="O253" i="39" s="1"/>
  <c r="G198" i="39"/>
  <c r="G253" i="39" s="1"/>
  <c r="P197" i="39"/>
  <c r="P198" i="39" s="1"/>
  <c r="P253" i="39" s="1"/>
  <c r="O197" i="39"/>
  <c r="N197" i="39"/>
  <c r="N198" i="39" s="1"/>
  <c r="N253" i="39" s="1"/>
  <c r="M197" i="39"/>
  <c r="M198" i="39" s="1"/>
  <c r="M253" i="39" s="1"/>
  <c r="L197" i="39"/>
  <c r="L198" i="39" s="1"/>
  <c r="L253" i="39" s="1"/>
  <c r="K197" i="39"/>
  <c r="K198" i="39" s="1"/>
  <c r="K253" i="39" s="1"/>
  <c r="J197" i="39"/>
  <c r="J198" i="39" s="1"/>
  <c r="J253" i="39" s="1"/>
  <c r="I197" i="39"/>
  <c r="I198" i="39" s="1"/>
  <c r="I253" i="39" s="1"/>
  <c r="H197" i="39"/>
  <c r="H198" i="39" s="1"/>
  <c r="H253" i="39" s="1"/>
  <c r="G197" i="39"/>
  <c r="F197" i="39"/>
  <c r="F198" i="39" s="1"/>
  <c r="F253" i="39" s="1"/>
  <c r="E197" i="39"/>
  <c r="E198" i="39" s="1"/>
  <c r="E253" i="39" s="1"/>
  <c r="D197" i="39"/>
  <c r="D198" i="39" s="1"/>
  <c r="D253" i="39" s="1"/>
  <c r="P187" i="39"/>
  <c r="O187" i="39"/>
  <c r="N187" i="39"/>
  <c r="M187" i="39"/>
  <c r="L187" i="39"/>
  <c r="K187" i="39"/>
  <c r="J187" i="39"/>
  <c r="I187" i="39"/>
  <c r="H187" i="39"/>
  <c r="G187" i="39"/>
  <c r="F187" i="39"/>
  <c r="E187" i="39"/>
  <c r="D187" i="39"/>
  <c r="P182" i="39"/>
  <c r="O182" i="39"/>
  <c r="N182" i="39"/>
  <c r="M182" i="39"/>
  <c r="L182" i="39"/>
  <c r="K182" i="39"/>
  <c r="J182" i="39"/>
  <c r="I182" i="39"/>
  <c r="H182" i="39"/>
  <c r="G182" i="39"/>
  <c r="F182" i="39"/>
  <c r="E182" i="39"/>
  <c r="D182" i="39"/>
  <c r="P175" i="39"/>
  <c r="O175" i="39"/>
  <c r="N175" i="39"/>
  <c r="M175" i="39"/>
  <c r="L175" i="39"/>
  <c r="K175" i="39"/>
  <c r="J175" i="39"/>
  <c r="I175" i="39"/>
  <c r="H175" i="39"/>
  <c r="G175" i="39"/>
  <c r="F175" i="39"/>
  <c r="E175" i="39"/>
  <c r="D175" i="39"/>
  <c r="P170" i="39"/>
  <c r="O170" i="39"/>
  <c r="N170" i="39"/>
  <c r="M170" i="39"/>
  <c r="L170" i="39"/>
  <c r="K170" i="39"/>
  <c r="J170" i="39"/>
  <c r="I170" i="39"/>
  <c r="H170" i="39"/>
  <c r="G170" i="39"/>
  <c r="F170" i="39"/>
  <c r="E170" i="39"/>
  <c r="D170" i="39"/>
  <c r="P158" i="39"/>
  <c r="O158" i="39"/>
  <c r="N158" i="39"/>
  <c r="M158" i="39"/>
  <c r="L158" i="39"/>
  <c r="K158" i="39"/>
  <c r="J158" i="39"/>
  <c r="I158" i="39"/>
  <c r="H158" i="39"/>
  <c r="G158" i="39"/>
  <c r="F158" i="39"/>
  <c r="E158" i="39"/>
  <c r="D158" i="39"/>
  <c r="P154" i="39"/>
  <c r="O154" i="39"/>
  <c r="N154" i="39"/>
  <c r="M154" i="39"/>
  <c r="L154" i="39"/>
  <c r="K154" i="39"/>
  <c r="J154" i="39"/>
  <c r="I154" i="39"/>
  <c r="H154" i="39"/>
  <c r="G154" i="39"/>
  <c r="F154" i="39"/>
  <c r="E154" i="39"/>
  <c r="D154" i="39"/>
  <c r="P148" i="39"/>
  <c r="O148" i="39"/>
  <c r="N148" i="39"/>
  <c r="M148" i="39"/>
  <c r="L148" i="39"/>
  <c r="K148" i="39"/>
  <c r="J148" i="39"/>
  <c r="I148" i="39"/>
  <c r="H148" i="39"/>
  <c r="G148" i="39"/>
  <c r="F148" i="39"/>
  <c r="E148" i="39"/>
  <c r="D148" i="39"/>
  <c r="P138" i="39"/>
  <c r="O138" i="39"/>
  <c r="N138" i="39"/>
  <c r="M138" i="39"/>
  <c r="L138" i="39"/>
  <c r="K138" i="39"/>
  <c r="J138" i="39"/>
  <c r="I138" i="39"/>
  <c r="H138" i="39"/>
  <c r="G138" i="39"/>
  <c r="F138" i="39"/>
  <c r="E138" i="39"/>
  <c r="D138" i="39"/>
  <c r="P137" i="39"/>
  <c r="O137" i="39"/>
  <c r="N137" i="39"/>
  <c r="M137" i="39"/>
  <c r="L137" i="39"/>
  <c r="K137" i="39"/>
  <c r="J137" i="39"/>
  <c r="I137" i="39"/>
  <c r="H137" i="39"/>
  <c r="G137" i="39"/>
  <c r="F137" i="39"/>
  <c r="E137" i="39"/>
  <c r="D137" i="39"/>
  <c r="P132" i="39"/>
  <c r="O132" i="39"/>
  <c r="N132" i="39"/>
  <c r="M132" i="39"/>
  <c r="L132" i="39"/>
  <c r="K132" i="39"/>
  <c r="J132" i="39"/>
  <c r="I132" i="39"/>
  <c r="H132" i="39"/>
  <c r="G132" i="39"/>
  <c r="F132" i="39"/>
  <c r="E132" i="39"/>
  <c r="D132" i="39"/>
  <c r="P128" i="39"/>
  <c r="O128" i="39"/>
  <c r="N128" i="39"/>
  <c r="M128" i="39"/>
  <c r="L128" i="39"/>
  <c r="K128" i="39"/>
  <c r="J128" i="39"/>
  <c r="I128" i="39"/>
  <c r="H128" i="39"/>
  <c r="G128" i="39"/>
  <c r="F128" i="39"/>
  <c r="E128" i="39"/>
  <c r="D128" i="39"/>
  <c r="P117" i="39"/>
  <c r="O117" i="39"/>
  <c r="N117" i="39"/>
  <c r="M117" i="39"/>
  <c r="L117" i="39"/>
  <c r="K117" i="39"/>
  <c r="J117" i="39"/>
  <c r="I117" i="39"/>
  <c r="H117" i="39"/>
  <c r="G117" i="39"/>
  <c r="F117" i="39"/>
  <c r="E117" i="39"/>
  <c r="D117" i="39"/>
  <c r="P112" i="39"/>
  <c r="O112" i="39"/>
  <c r="N112" i="39"/>
  <c r="M112" i="39"/>
  <c r="L112" i="39"/>
  <c r="K112" i="39"/>
  <c r="J112" i="39"/>
  <c r="I112" i="39"/>
  <c r="H112" i="39"/>
  <c r="G112" i="39"/>
  <c r="F112" i="39"/>
  <c r="E112" i="39"/>
  <c r="D112" i="39"/>
  <c r="P111" i="39"/>
  <c r="O111" i="39"/>
  <c r="N111" i="39"/>
  <c r="M111" i="39"/>
  <c r="L111" i="39"/>
  <c r="K111" i="39"/>
  <c r="J111" i="39"/>
  <c r="I111" i="39"/>
  <c r="H111" i="39"/>
  <c r="G111" i="39"/>
  <c r="F111" i="39"/>
  <c r="E111" i="39"/>
  <c r="D111" i="39"/>
  <c r="P106" i="39"/>
  <c r="O106" i="39"/>
  <c r="N106" i="39"/>
  <c r="M106" i="39"/>
  <c r="L106" i="39"/>
  <c r="K106" i="39"/>
  <c r="J106" i="39"/>
  <c r="I106" i="39"/>
  <c r="H106" i="39"/>
  <c r="G106" i="39"/>
  <c r="F106" i="39"/>
  <c r="E106" i="39"/>
  <c r="D106" i="39"/>
  <c r="P101" i="39"/>
  <c r="O101" i="39"/>
  <c r="N101" i="39"/>
  <c r="M101" i="39"/>
  <c r="L101" i="39"/>
  <c r="K101" i="39"/>
  <c r="J101" i="39"/>
  <c r="I101" i="39"/>
  <c r="H101" i="39"/>
  <c r="G101" i="39"/>
  <c r="F101" i="39"/>
  <c r="E101" i="39"/>
  <c r="D101" i="39"/>
  <c r="P89" i="39"/>
  <c r="O89" i="39"/>
  <c r="N89" i="39"/>
  <c r="M89" i="39"/>
  <c r="L89" i="39"/>
  <c r="K89" i="39"/>
  <c r="J89" i="39"/>
  <c r="I89" i="39"/>
  <c r="H89" i="39"/>
  <c r="G89" i="39"/>
  <c r="F89" i="39"/>
  <c r="E89" i="39"/>
  <c r="D89" i="39"/>
  <c r="P80" i="39"/>
  <c r="O80" i="39"/>
  <c r="N80" i="39"/>
  <c r="M80" i="39"/>
  <c r="L80" i="39"/>
  <c r="K80" i="39"/>
  <c r="J80" i="39"/>
  <c r="I80" i="39"/>
  <c r="H80" i="39"/>
  <c r="G80" i="39"/>
  <c r="F80" i="39"/>
  <c r="E80" i="39"/>
  <c r="D80" i="39"/>
  <c r="P70" i="39"/>
  <c r="O70" i="39"/>
  <c r="N70" i="39"/>
  <c r="M70" i="39"/>
  <c r="L70" i="39"/>
  <c r="K70" i="39"/>
  <c r="J70" i="39"/>
  <c r="I70" i="39"/>
  <c r="H70" i="39"/>
  <c r="G70" i="39"/>
  <c r="F70" i="39"/>
  <c r="E70" i="39"/>
  <c r="D70" i="39"/>
  <c r="P61" i="39"/>
  <c r="O61" i="39"/>
  <c r="N61" i="39"/>
  <c r="M61" i="39"/>
  <c r="L61" i="39"/>
  <c r="K61" i="39"/>
  <c r="J61" i="39"/>
  <c r="I61" i="39"/>
  <c r="H61" i="39"/>
  <c r="G61" i="39"/>
  <c r="F61" i="39"/>
  <c r="E61" i="39"/>
  <c r="D61" i="39"/>
  <c r="P53" i="39"/>
  <c r="P52" i="39"/>
  <c r="P47" i="39"/>
  <c r="P36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H8" i="83"/>
  <c r="H9" i="83"/>
  <c r="H10" i="83"/>
  <c r="H11" i="83"/>
  <c r="H12" i="83"/>
  <c r="H13" i="83"/>
  <c r="H14" i="83"/>
  <c r="H15" i="83"/>
  <c r="H16" i="83"/>
  <c r="H17" i="83"/>
  <c r="H18" i="83"/>
  <c r="H19" i="83"/>
  <c r="H20" i="83"/>
  <c r="H21" i="83"/>
  <c r="H22" i="83"/>
  <c r="H23" i="83"/>
  <c r="H24" i="83"/>
  <c r="H25" i="83"/>
  <c r="H26" i="83"/>
  <c r="H27" i="83"/>
  <c r="H28" i="83"/>
  <c r="H29" i="83"/>
  <c r="H30" i="83"/>
  <c r="H31" i="83"/>
  <c r="H32" i="83"/>
  <c r="H33" i="83"/>
  <c r="H34" i="83"/>
  <c r="H35" i="83"/>
  <c r="H36" i="83"/>
  <c r="H37" i="83"/>
  <c r="H38" i="83"/>
  <c r="H39" i="83"/>
  <c r="H40" i="83"/>
  <c r="H41" i="83"/>
  <c r="H42" i="83"/>
  <c r="H43" i="83"/>
  <c r="H44" i="83"/>
  <c r="H45" i="83"/>
  <c r="H46" i="83"/>
  <c r="H47" i="83"/>
  <c r="H48" i="83"/>
  <c r="H49" i="83"/>
  <c r="H50" i="83"/>
  <c r="H51" i="83"/>
  <c r="H52" i="83"/>
  <c r="H53" i="83"/>
  <c r="H54" i="83"/>
  <c r="H55" i="83"/>
  <c r="H56" i="83"/>
  <c r="H57" i="83"/>
  <c r="H58" i="83"/>
  <c r="H59" i="83"/>
  <c r="H60" i="83"/>
  <c r="H61" i="83"/>
  <c r="H62" i="83"/>
  <c r="H63" i="83"/>
  <c r="H64" i="83"/>
  <c r="H65" i="83"/>
  <c r="H66" i="83"/>
  <c r="H67" i="83"/>
  <c r="H68" i="83"/>
  <c r="H69" i="83"/>
  <c r="H70" i="83"/>
  <c r="H71" i="83"/>
  <c r="H72" i="83"/>
  <c r="H73" i="83"/>
  <c r="H74" i="83"/>
  <c r="H75" i="83"/>
  <c r="H76" i="83"/>
  <c r="H77" i="83"/>
  <c r="H78" i="83"/>
  <c r="H79" i="83"/>
  <c r="H80" i="83"/>
  <c r="H81" i="83"/>
  <c r="H82" i="83"/>
  <c r="H83" i="83"/>
  <c r="H84" i="83"/>
  <c r="H85" i="83"/>
  <c r="H86" i="83"/>
  <c r="H87" i="83"/>
  <c r="H88" i="83"/>
  <c r="H89" i="83"/>
  <c r="H90" i="83"/>
  <c r="H91" i="83"/>
  <c r="H92" i="83"/>
  <c r="H93" i="83"/>
  <c r="H94" i="83"/>
  <c r="H95" i="83"/>
  <c r="H96" i="83"/>
  <c r="H97" i="83"/>
  <c r="H98" i="83"/>
  <c r="H99" i="83"/>
  <c r="H100" i="83"/>
  <c r="H101" i="83"/>
  <c r="H102" i="83"/>
  <c r="H103" i="83"/>
  <c r="H104" i="83"/>
  <c r="H105" i="83"/>
  <c r="H106" i="83"/>
  <c r="H107" i="83"/>
  <c r="H108" i="83"/>
  <c r="H109" i="83"/>
  <c r="H110" i="83"/>
  <c r="H111" i="83"/>
  <c r="H112" i="83"/>
  <c r="H113" i="83"/>
  <c r="H114" i="83"/>
  <c r="H115" i="83"/>
  <c r="H116" i="83"/>
  <c r="H117" i="83"/>
  <c r="H118" i="83"/>
  <c r="H119" i="83"/>
  <c r="H120" i="83"/>
  <c r="H121" i="83"/>
  <c r="H122" i="83"/>
  <c r="H123" i="83"/>
  <c r="H124" i="83"/>
  <c r="H125" i="83"/>
  <c r="H126" i="83"/>
  <c r="H127" i="83"/>
  <c r="H128" i="83"/>
  <c r="H129" i="83"/>
  <c r="H130" i="83"/>
  <c r="H131" i="83"/>
  <c r="H132" i="83"/>
  <c r="H133" i="83"/>
  <c r="H134" i="83"/>
  <c r="H135" i="83"/>
  <c r="H136" i="83"/>
  <c r="H137" i="83"/>
  <c r="H138" i="83"/>
  <c r="H139" i="83"/>
  <c r="H140" i="83"/>
  <c r="H141" i="83"/>
  <c r="H142" i="83"/>
  <c r="H143" i="83"/>
  <c r="H144" i="83"/>
  <c r="H145" i="83"/>
  <c r="H146" i="83"/>
  <c r="H147" i="83"/>
  <c r="H148" i="83"/>
  <c r="H149" i="83"/>
  <c r="H150" i="83"/>
  <c r="H151" i="83"/>
  <c r="H152" i="83"/>
  <c r="H153" i="83"/>
  <c r="H154" i="83"/>
  <c r="H155" i="83"/>
  <c r="H156" i="83"/>
  <c r="H157" i="83"/>
  <c r="H158" i="83"/>
  <c r="H159" i="83"/>
  <c r="H160" i="83"/>
  <c r="H161" i="83"/>
  <c r="H162" i="83"/>
  <c r="H163" i="83"/>
  <c r="H164" i="83"/>
  <c r="H165" i="83"/>
  <c r="H166" i="83"/>
  <c r="H167" i="83"/>
  <c r="H168" i="83"/>
  <c r="H169" i="83"/>
  <c r="H170" i="83"/>
  <c r="H171" i="83"/>
  <c r="H172" i="83"/>
  <c r="H173" i="83"/>
  <c r="H174" i="83"/>
  <c r="H175" i="83"/>
  <c r="H176" i="83"/>
  <c r="H177" i="83"/>
  <c r="H178" i="83"/>
  <c r="H179" i="83"/>
  <c r="H180" i="83"/>
  <c r="H181" i="83"/>
  <c r="H182" i="83"/>
  <c r="H183" i="83"/>
  <c r="H184" i="83"/>
  <c r="H185" i="83"/>
  <c r="H186" i="83"/>
  <c r="H187" i="83"/>
  <c r="H188" i="83"/>
  <c r="H189" i="83"/>
  <c r="H190" i="83"/>
  <c r="H191" i="83"/>
  <c r="H192" i="83"/>
  <c r="H193" i="83"/>
  <c r="H194" i="83"/>
  <c r="H195" i="83"/>
  <c r="H196" i="83"/>
  <c r="H197" i="83"/>
  <c r="H198" i="83"/>
  <c r="H199" i="83"/>
  <c r="H200" i="83"/>
  <c r="H201" i="83"/>
  <c r="H202" i="83"/>
  <c r="H203" i="83"/>
  <c r="H204" i="83"/>
  <c r="H205" i="83"/>
  <c r="H206" i="83"/>
  <c r="H207" i="83"/>
  <c r="H208" i="83"/>
  <c r="H209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2" i="83"/>
  <c r="H223" i="83"/>
  <c r="H224" i="83"/>
  <c r="H225" i="83"/>
  <c r="H226" i="83"/>
  <c r="H227" i="83"/>
  <c r="H228" i="83"/>
  <c r="H229" i="83"/>
  <c r="H230" i="83"/>
  <c r="H231" i="83"/>
  <c r="H232" i="83"/>
  <c r="H233" i="83"/>
  <c r="H234" i="83"/>
  <c r="H235" i="83"/>
  <c r="H236" i="83"/>
  <c r="H237" i="83"/>
  <c r="H238" i="83"/>
  <c r="H239" i="83"/>
  <c r="H240" i="83"/>
  <c r="H241" i="83"/>
  <c r="H242" i="83"/>
  <c r="H243" i="83"/>
  <c r="H244" i="83"/>
  <c r="H245" i="83"/>
  <c r="H246" i="83"/>
  <c r="H247" i="83"/>
  <c r="H248" i="83"/>
  <c r="H249" i="83"/>
  <c r="H250" i="83"/>
  <c r="H251" i="83"/>
  <c r="H252" i="83"/>
  <c r="H253" i="83"/>
  <c r="P86" i="45"/>
  <c r="P102" i="45"/>
  <c r="P118" i="45"/>
  <c r="P126" i="45"/>
  <c r="P134" i="45"/>
  <c r="P142" i="45"/>
  <c r="P150" i="45"/>
  <c r="P166" i="45"/>
  <c r="P174" i="45"/>
  <c r="P190" i="45"/>
  <c r="P222" i="45"/>
  <c r="P230" i="45"/>
  <c r="P238" i="45"/>
  <c r="P246" i="45"/>
  <c r="P239" i="39"/>
  <c r="P252" i="45"/>
  <c r="P250" i="45"/>
  <c r="P249" i="45"/>
  <c r="P245" i="45"/>
  <c r="P244" i="45"/>
  <c r="P242" i="45"/>
  <c r="P240" i="45"/>
  <c r="P237" i="45"/>
  <c r="P236" i="45"/>
  <c r="P235" i="45"/>
  <c r="P234" i="45"/>
  <c r="P232" i="45"/>
  <c r="P231" i="45"/>
  <c r="P227" i="45"/>
  <c r="P226" i="45"/>
  <c r="P225" i="45"/>
  <c r="P224" i="45"/>
  <c r="P221" i="45"/>
  <c r="P220" i="45"/>
  <c r="P218" i="45"/>
  <c r="P217" i="45"/>
  <c r="P216" i="45"/>
  <c r="P213" i="45"/>
  <c r="P212" i="45"/>
  <c r="P211" i="45"/>
  <c r="P210" i="45"/>
  <c r="P209" i="45"/>
  <c r="P208" i="45"/>
  <c r="P205" i="45"/>
  <c r="P204" i="45"/>
  <c r="P203" i="45"/>
  <c r="P202" i="45"/>
  <c r="P201" i="45"/>
  <c r="P200" i="45"/>
  <c r="P199" i="45"/>
  <c r="P194" i="45"/>
  <c r="P193" i="45"/>
  <c r="P192" i="45"/>
  <c r="P189" i="45"/>
  <c r="P188" i="45"/>
  <c r="P186" i="45"/>
  <c r="P185" i="45"/>
  <c r="P184" i="45"/>
  <c r="P181" i="45"/>
  <c r="P180" i="45"/>
  <c r="P179" i="45"/>
  <c r="P178" i="45"/>
  <c r="P177" i="45"/>
  <c r="P176" i="45"/>
  <c r="P173" i="45"/>
  <c r="P172" i="45"/>
  <c r="P171" i="45"/>
  <c r="P169" i="45"/>
  <c r="P168" i="45"/>
  <c r="P165" i="45"/>
  <c r="P164" i="45"/>
  <c r="P163" i="45"/>
  <c r="P162" i="45"/>
  <c r="P161" i="45"/>
  <c r="P160" i="45"/>
  <c r="P157" i="45"/>
  <c r="P156" i="45"/>
  <c r="P155" i="45"/>
  <c r="P153" i="45"/>
  <c r="P152" i="45"/>
  <c r="P149" i="45"/>
  <c r="P146" i="45"/>
  <c r="P145" i="45"/>
  <c r="P144" i="45"/>
  <c r="P143" i="45"/>
  <c r="P141" i="45"/>
  <c r="P140" i="45"/>
  <c r="P139" i="45"/>
  <c r="P136" i="45"/>
  <c r="P133" i="45"/>
  <c r="P131" i="45"/>
  <c r="P130" i="45"/>
  <c r="P129" i="45"/>
  <c r="P125" i="45"/>
  <c r="P124" i="45"/>
  <c r="P123" i="45"/>
  <c r="P122" i="45"/>
  <c r="P121" i="45"/>
  <c r="P120" i="45"/>
  <c r="P116" i="45"/>
  <c r="P115" i="45"/>
  <c r="P114" i="45"/>
  <c r="P113" i="45"/>
  <c r="P105" i="45"/>
  <c r="P104" i="45"/>
  <c r="P103" i="45"/>
  <c r="P100" i="45"/>
  <c r="P99" i="45"/>
  <c r="P98" i="45"/>
  <c r="P97" i="45"/>
  <c r="P96" i="45"/>
  <c r="P94" i="45"/>
  <c r="P93" i="45"/>
  <c r="P92" i="45"/>
  <c r="P91" i="45"/>
  <c r="P90" i="45"/>
  <c r="P88" i="45"/>
  <c r="P85" i="45"/>
  <c r="P84" i="45"/>
  <c r="P83" i="45"/>
  <c r="P78" i="45"/>
  <c r="P77" i="45"/>
  <c r="P76" i="45"/>
  <c r="P75" i="45"/>
  <c r="P74" i="45"/>
  <c r="P73" i="45"/>
  <c r="P72" i="45"/>
  <c r="P69" i="45"/>
  <c r="P68" i="45"/>
  <c r="P67" i="45"/>
  <c r="P66" i="45"/>
  <c r="P65" i="45"/>
  <c r="P64" i="45"/>
  <c r="P63" i="45"/>
  <c r="P62" i="45"/>
  <c r="P60" i="45"/>
  <c r="P59" i="45"/>
  <c r="P58" i="45"/>
  <c r="P57" i="45"/>
  <c r="P56" i="45"/>
  <c r="P54" i="45"/>
  <c r="P51" i="45"/>
  <c r="P50" i="45"/>
  <c r="P49" i="45"/>
  <c r="P48" i="45"/>
  <c r="P42" i="45"/>
  <c r="P41" i="45"/>
  <c r="P40" i="45"/>
  <c r="P39" i="45"/>
  <c r="P38" i="45"/>
  <c r="P37" i="45"/>
  <c r="P33" i="45"/>
  <c r="P32" i="45"/>
  <c r="P30" i="45"/>
  <c r="P28" i="45"/>
  <c r="P27" i="45"/>
  <c r="P26" i="45"/>
  <c r="P25" i="45"/>
  <c r="P22" i="45"/>
  <c r="P21" i="45"/>
  <c r="P20" i="45"/>
  <c r="P19" i="45"/>
  <c r="P18" i="45"/>
  <c r="P17" i="45"/>
  <c r="P13" i="45"/>
  <c r="P12" i="45"/>
  <c r="P11" i="45"/>
  <c r="P10" i="45"/>
  <c r="P9" i="45"/>
  <c r="P8" i="45"/>
  <c r="P252" i="43"/>
  <c r="P250" i="43"/>
  <c r="P249" i="43"/>
  <c r="P247" i="43"/>
  <c r="P245" i="43"/>
  <c r="P244" i="43"/>
  <c r="P242" i="43"/>
  <c r="P239" i="43"/>
  <c r="P237" i="43"/>
  <c r="P236" i="43"/>
  <c r="P235" i="43"/>
  <c r="P234" i="43"/>
  <c r="P232" i="43"/>
  <c r="P231" i="43"/>
  <c r="P227" i="43"/>
  <c r="P226" i="43"/>
  <c r="P225" i="43"/>
  <c r="P224" i="43"/>
  <c r="P221" i="43"/>
  <c r="P220" i="43"/>
  <c r="P218" i="43"/>
  <c r="P217" i="43"/>
  <c r="P216" i="43"/>
  <c r="P215" i="43"/>
  <c r="P213" i="43"/>
  <c r="P212" i="43"/>
  <c r="P211" i="43"/>
  <c r="P210" i="43"/>
  <c r="P209" i="43"/>
  <c r="P208" i="43"/>
  <c r="P207" i="43"/>
  <c r="P205" i="43"/>
  <c r="P204" i="43"/>
  <c r="P203" i="43"/>
  <c r="P202" i="43"/>
  <c r="P201" i="43"/>
  <c r="P200" i="43"/>
  <c r="P199" i="43"/>
  <c r="P194" i="43"/>
  <c r="P193" i="43"/>
  <c r="P192" i="43"/>
  <c r="P191" i="43"/>
  <c r="P189" i="43"/>
  <c r="P188" i="43"/>
  <c r="P186" i="43"/>
  <c r="P185" i="43"/>
  <c r="P184" i="43"/>
  <c r="P183" i="43"/>
  <c r="P181" i="43"/>
  <c r="P180" i="43"/>
  <c r="P179" i="43"/>
  <c r="P178" i="43"/>
  <c r="P177" i="43"/>
  <c r="P176" i="43"/>
  <c r="P173" i="43"/>
  <c r="P172" i="43"/>
  <c r="P171" i="43"/>
  <c r="P169" i="43"/>
  <c r="P168" i="43"/>
  <c r="P167" i="43"/>
  <c r="P165" i="43"/>
  <c r="P164" i="43"/>
  <c r="P163" i="43"/>
  <c r="P162" i="43"/>
  <c r="P161" i="43"/>
  <c r="P160" i="43"/>
  <c r="P159" i="43"/>
  <c r="P157" i="43"/>
  <c r="P156" i="43"/>
  <c r="P155" i="43"/>
  <c r="P153" i="43"/>
  <c r="P152" i="43"/>
  <c r="P151" i="43"/>
  <c r="P149" i="43"/>
  <c r="P146" i="43"/>
  <c r="P145" i="43"/>
  <c r="P144" i="43"/>
  <c r="P143" i="43"/>
  <c r="P141" i="43"/>
  <c r="P140" i="43"/>
  <c r="P139" i="43"/>
  <c r="P136" i="43"/>
  <c r="P135" i="43"/>
  <c r="P133" i="43"/>
  <c r="P131" i="43"/>
  <c r="P130" i="43"/>
  <c r="P129" i="43"/>
  <c r="P127" i="43"/>
  <c r="P125" i="43"/>
  <c r="P124" i="43"/>
  <c r="P123" i="43"/>
  <c r="P122" i="43"/>
  <c r="P121" i="43"/>
  <c r="P120" i="43"/>
  <c r="P119" i="43"/>
  <c r="P116" i="43"/>
  <c r="P115" i="43"/>
  <c r="P114" i="43"/>
  <c r="P113" i="43"/>
  <c r="P105" i="43"/>
  <c r="P104" i="43"/>
  <c r="P103" i="43"/>
  <c r="P100" i="43"/>
  <c r="P99" i="43"/>
  <c r="P98" i="43"/>
  <c r="P97" i="43"/>
  <c r="P96" i="43"/>
  <c r="P95" i="43"/>
  <c r="P93" i="43"/>
  <c r="P92" i="43"/>
  <c r="P91" i="43"/>
  <c r="P90" i="43"/>
  <c r="P88" i="43"/>
  <c r="P87" i="43"/>
  <c r="P85" i="43"/>
  <c r="P84" i="43"/>
  <c r="P83" i="43"/>
  <c r="P79" i="43"/>
  <c r="P77" i="43"/>
  <c r="P76" i="43"/>
  <c r="P75" i="43"/>
  <c r="P74" i="43"/>
  <c r="P73" i="43"/>
  <c r="P72" i="43"/>
  <c r="P71" i="43"/>
  <c r="P69" i="43"/>
  <c r="P68" i="43"/>
  <c r="P67" i="43"/>
  <c r="P66" i="43"/>
  <c r="P65" i="43"/>
  <c r="P64" i="43"/>
  <c r="P63" i="43"/>
  <c r="P60" i="43"/>
  <c r="P59" i="43"/>
  <c r="P58" i="43"/>
  <c r="P57" i="43"/>
  <c r="P56" i="43"/>
  <c r="P55" i="43"/>
  <c r="P51" i="43"/>
  <c r="P50" i="43"/>
  <c r="P49" i="43"/>
  <c r="P48" i="43"/>
  <c r="P42" i="43"/>
  <c r="P41" i="43"/>
  <c r="P40" i="43"/>
  <c r="P39" i="43"/>
  <c r="P37" i="43"/>
  <c r="P33" i="43"/>
  <c r="P32" i="43"/>
  <c r="P31" i="43"/>
  <c r="P30" i="43"/>
  <c r="P28" i="43"/>
  <c r="P27" i="43"/>
  <c r="P26" i="43"/>
  <c r="P25" i="43"/>
  <c r="P23" i="43"/>
  <c r="P22" i="43"/>
  <c r="P21" i="43"/>
  <c r="P20" i="43"/>
  <c r="P19" i="43"/>
  <c r="P18" i="43"/>
  <c r="P17" i="43"/>
  <c r="P13" i="43"/>
  <c r="P12" i="43"/>
  <c r="P11" i="43"/>
  <c r="P10" i="43"/>
  <c r="P9" i="43"/>
  <c r="P8" i="43"/>
  <c r="P239" i="41"/>
  <c r="P203" i="41"/>
  <c r="P193" i="41"/>
  <c r="P191" i="41"/>
  <c r="P180" i="41"/>
  <c r="P179" i="41"/>
  <c r="P169" i="41"/>
  <c r="P160" i="41"/>
  <c r="P153" i="41"/>
  <c r="P152" i="41"/>
  <c r="P151" i="41"/>
  <c r="P150" i="41"/>
  <c r="P149" i="41"/>
  <c r="P32" i="41"/>
  <c r="P203" i="39"/>
  <c r="P193" i="39"/>
  <c r="P191" i="39"/>
  <c r="P180" i="39"/>
  <c r="P179" i="39"/>
  <c r="P169" i="39"/>
  <c r="P160" i="39"/>
  <c r="P32" i="39"/>
  <c r="K253" i="17"/>
  <c r="L253" i="17"/>
  <c r="M253" i="17"/>
  <c r="N253" i="17"/>
  <c r="O253" i="17"/>
  <c r="P253" i="17"/>
  <c r="P252" i="17"/>
  <c r="P250" i="17"/>
  <c r="P249" i="17"/>
  <c r="P248" i="17"/>
  <c r="P247" i="17"/>
  <c r="P246" i="17"/>
  <c r="P245" i="17"/>
  <c r="P244" i="17"/>
  <c r="P243" i="17"/>
  <c r="P242" i="17"/>
  <c r="P240" i="17"/>
  <c r="P239" i="17"/>
  <c r="P238" i="17"/>
  <c r="P237" i="17"/>
  <c r="P236" i="17"/>
  <c r="P235" i="17"/>
  <c r="P234" i="17"/>
  <c r="P233" i="17"/>
  <c r="P232" i="17"/>
  <c r="P231" i="17"/>
  <c r="P230" i="17"/>
  <c r="P229" i="17"/>
  <c r="P227" i="17"/>
  <c r="P226" i="17"/>
  <c r="P225" i="17"/>
  <c r="P224" i="17"/>
  <c r="P223" i="17"/>
  <c r="P222" i="17"/>
  <c r="P221" i="17"/>
  <c r="P220" i="17"/>
  <c r="P219" i="17"/>
  <c r="P218" i="17"/>
  <c r="P217" i="17"/>
  <c r="P216" i="17"/>
  <c r="P215" i="17"/>
  <c r="P214" i="17"/>
  <c r="P213" i="17"/>
  <c r="P212" i="17"/>
  <c r="P211" i="17"/>
  <c r="P210" i="17"/>
  <c r="P209" i="17"/>
  <c r="P208" i="17"/>
  <c r="P207" i="17"/>
  <c r="P206" i="17"/>
  <c r="P205" i="17"/>
  <c r="P204" i="17"/>
  <c r="P203" i="17"/>
  <c r="P202" i="17"/>
  <c r="P201" i="17"/>
  <c r="P200" i="17"/>
  <c r="P199" i="17"/>
  <c r="P198" i="17"/>
  <c r="P197" i="17"/>
  <c r="P194" i="17"/>
  <c r="P193" i="17"/>
  <c r="P192" i="17"/>
  <c r="P191" i="17"/>
  <c r="P190" i="17"/>
  <c r="P189" i="17"/>
  <c r="P188" i="17"/>
  <c r="P187" i="17"/>
  <c r="P186" i="17"/>
  <c r="P185" i="17"/>
  <c r="P184" i="17"/>
  <c r="P183" i="17"/>
  <c r="P182" i="17"/>
  <c r="P181" i="17"/>
  <c r="P180" i="17"/>
  <c r="P179" i="17"/>
  <c r="P178" i="17"/>
  <c r="P177" i="17"/>
  <c r="P176" i="17"/>
  <c r="P175" i="17"/>
  <c r="P174" i="17"/>
  <c r="P173" i="17"/>
  <c r="P172" i="17"/>
  <c r="P171" i="17"/>
  <c r="P170" i="17"/>
  <c r="P169" i="17"/>
  <c r="P168" i="17"/>
  <c r="P167" i="17"/>
  <c r="P166" i="17"/>
  <c r="P165" i="17"/>
  <c r="P164" i="17"/>
  <c r="P163" i="17"/>
  <c r="P162" i="17"/>
  <c r="P161" i="17"/>
  <c r="P160" i="17"/>
  <c r="P159" i="17"/>
  <c r="P158" i="17"/>
  <c r="P157" i="17"/>
  <c r="P156" i="17"/>
  <c r="P155" i="17"/>
  <c r="P154" i="17"/>
  <c r="P153" i="17"/>
  <c r="P152" i="17"/>
  <c r="P151" i="17"/>
  <c r="P150" i="17"/>
  <c r="P149" i="17"/>
  <c r="P148" i="17"/>
  <c r="P146" i="17"/>
  <c r="P145" i="17"/>
  <c r="P144" i="17"/>
  <c r="P143" i="17"/>
  <c r="P142" i="17"/>
  <c r="P141" i="17"/>
  <c r="P140" i="17"/>
  <c r="P139" i="17"/>
  <c r="P138" i="17"/>
  <c r="P137" i="17"/>
  <c r="P136" i="17"/>
  <c r="P135" i="17"/>
  <c r="P134" i="17"/>
  <c r="P133" i="17"/>
  <c r="P132" i="17"/>
  <c r="P131" i="17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5" i="17"/>
  <c r="P114" i="17"/>
  <c r="P113" i="17"/>
  <c r="P112" i="17"/>
  <c r="P111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4" i="17"/>
  <c r="P93" i="17"/>
  <c r="P92" i="17"/>
  <c r="P91" i="17"/>
  <c r="P90" i="17"/>
  <c r="P89" i="17"/>
  <c r="P88" i="17"/>
  <c r="P87" i="17"/>
  <c r="P86" i="17"/>
  <c r="P85" i="17"/>
  <c r="P84" i="17"/>
  <c r="P83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2" i="17"/>
  <c r="P41" i="17"/>
  <c r="P40" i="17"/>
  <c r="P39" i="17"/>
  <c r="P38" i="17"/>
  <c r="P37" i="17"/>
  <c r="P36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3" i="17"/>
  <c r="P12" i="17"/>
  <c r="P11" i="17"/>
  <c r="P10" i="17"/>
  <c r="P9" i="17"/>
  <c r="P8" i="17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H33" i="79"/>
  <c r="H34" i="79"/>
  <c r="H35" i="79"/>
  <c r="H36" i="79"/>
  <c r="H37" i="79"/>
  <c r="H38" i="79"/>
  <c r="H39" i="79"/>
  <c r="H40" i="79"/>
  <c r="H41" i="79"/>
  <c r="H42" i="79"/>
  <c r="H43" i="79"/>
  <c r="H44" i="79"/>
  <c r="H45" i="79"/>
  <c r="H46" i="79"/>
  <c r="H47" i="79"/>
  <c r="H48" i="79"/>
  <c r="H49" i="79"/>
  <c r="H50" i="79"/>
  <c r="H51" i="79"/>
  <c r="H52" i="79"/>
  <c r="H53" i="79"/>
  <c r="H54" i="79"/>
  <c r="H55" i="79"/>
  <c r="H56" i="79"/>
  <c r="H57" i="79"/>
  <c r="H58" i="79"/>
  <c r="H59" i="79"/>
  <c r="H60" i="79"/>
  <c r="H61" i="79"/>
  <c r="H62" i="79"/>
  <c r="H63" i="79"/>
  <c r="H64" i="79"/>
  <c r="H65" i="79"/>
  <c r="H66" i="79"/>
  <c r="H67" i="79"/>
  <c r="H68" i="79"/>
  <c r="H69" i="79"/>
  <c r="H70" i="79"/>
  <c r="H71" i="79"/>
  <c r="H72" i="79"/>
  <c r="H73" i="79"/>
  <c r="H74" i="79"/>
  <c r="H75" i="79"/>
  <c r="H76" i="79"/>
  <c r="H77" i="79"/>
  <c r="H78" i="79"/>
  <c r="H79" i="79"/>
  <c r="H80" i="79"/>
  <c r="H81" i="79"/>
  <c r="H82" i="79"/>
  <c r="H83" i="79"/>
  <c r="H84" i="79"/>
  <c r="H85" i="79"/>
  <c r="H86" i="79"/>
  <c r="H87" i="79"/>
  <c r="H88" i="79"/>
  <c r="H89" i="79"/>
  <c r="H90" i="79"/>
  <c r="H91" i="79"/>
  <c r="H92" i="79"/>
  <c r="H93" i="79"/>
  <c r="H94" i="79"/>
  <c r="H95" i="79"/>
  <c r="H96" i="79"/>
  <c r="H97" i="79"/>
  <c r="H98" i="79"/>
  <c r="H99" i="79"/>
  <c r="H100" i="79"/>
  <c r="H101" i="79"/>
  <c r="H102" i="79"/>
  <c r="H103" i="79"/>
  <c r="H104" i="79"/>
  <c r="H105" i="79"/>
  <c r="H106" i="79"/>
  <c r="H107" i="79"/>
  <c r="H108" i="79"/>
  <c r="H109" i="79"/>
  <c r="H110" i="79"/>
  <c r="H111" i="79"/>
  <c r="H112" i="79"/>
  <c r="H113" i="79"/>
  <c r="H114" i="79"/>
  <c r="H115" i="79"/>
  <c r="H116" i="79"/>
  <c r="H117" i="79"/>
  <c r="H118" i="79"/>
  <c r="H119" i="79"/>
  <c r="H120" i="79"/>
  <c r="H121" i="79"/>
  <c r="H122" i="79"/>
  <c r="H123" i="79"/>
  <c r="H124" i="79"/>
  <c r="H125" i="79"/>
  <c r="H126" i="79"/>
  <c r="H127" i="79"/>
  <c r="H128" i="79"/>
  <c r="H129" i="79"/>
  <c r="H130" i="79"/>
  <c r="H131" i="79"/>
  <c r="H132" i="79"/>
  <c r="H133" i="79"/>
  <c r="H134" i="79"/>
  <c r="H135" i="79"/>
  <c r="H136" i="79"/>
  <c r="H137" i="79"/>
  <c r="H138" i="79"/>
  <c r="H139" i="79"/>
  <c r="H140" i="79"/>
  <c r="H141" i="79"/>
  <c r="H142" i="79"/>
  <c r="H143" i="79"/>
  <c r="H144" i="79"/>
  <c r="H145" i="79"/>
  <c r="H146" i="79"/>
  <c r="H147" i="79"/>
  <c r="H148" i="79"/>
  <c r="H149" i="79"/>
  <c r="H150" i="79"/>
  <c r="H151" i="79"/>
  <c r="H152" i="79"/>
  <c r="H153" i="79"/>
  <c r="H154" i="79"/>
  <c r="H155" i="79"/>
  <c r="H156" i="79"/>
  <c r="H157" i="79"/>
  <c r="H158" i="79"/>
  <c r="H159" i="79"/>
  <c r="H160" i="79"/>
  <c r="H161" i="79"/>
  <c r="H162" i="79"/>
  <c r="H163" i="79"/>
  <c r="H164" i="79"/>
  <c r="H165" i="79"/>
  <c r="H166" i="79"/>
  <c r="H167" i="79"/>
  <c r="H168" i="79"/>
  <c r="H169" i="79"/>
  <c r="H170" i="79"/>
  <c r="H171" i="79"/>
  <c r="H172" i="79"/>
  <c r="H173" i="79"/>
  <c r="H174" i="79"/>
  <c r="H175" i="79"/>
  <c r="H176" i="79"/>
  <c r="H177" i="79"/>
  <c r="H178" i="79"/>
  <c r="H179" i="79"/>
  <c r="H180" i="79"/>
  <c r="H181" i="79"/>
  <c r="H182" i="79"/>
  <c r="H183" i="79"/>
  <c r="H184" i="79"/>
  <c r="H185" i="79"/>
  <c r="H186" i="79"/>
  <c r="H187" i="79"/>
  <c r="H188" i="79"/>
  <c r="H189" i="79"/>
  <c r="H190" i="79"/>
  <c r="H191" i="79"/>
  <c r="H192" i="79"/>
  <c r="H193" i="79"/>
  <c r="H194" i="79"/>
  <c r="H195" i="79"/>
  <c r="H196" i="79"/>
  <c r="H197" i="79"/>
  <c r="H198" i="79"/>
  <c r="H199" i="79"/>
  <c r="H200" i="79"/>
  <c r="H201" i="79"/>
  <c r="H202" i="79"/>
  <c r="H203" i="79"/>
  <c r="H204" i="79"/>
  <c r="H205" i="79"/>
  <c r="H206" i="79"/>
  <c r="H207" i="79"/>
  <c r="H208" i="79"/>
  <c r="H209" i="79"/>
  <c r="H210" i="79"/>
  <c r="H211" i="79"/>
  <c r="H212" i="79"/>
  <c r="H213" i="79"/>
  <c r="H214" i="79"/>
  <c r="H215" i="79"/>
  <c r="H216" i="79"/>
  <c r="H217" i="79"/>
  <c r="H218" i="79"/>
  <c r="H219" i="79"/>
  <c r="H220" i="79"/>
  <c r="H221" i="79"/>
  <c r="H222" i="79"/>
  <c r="H223" i="79"/>
  <c r="H224" i="79"/>
  <c r="H225" i="79"/>
  <c r="H226" i="79"/>
  <c r="H227" i="79"/>
  <c r="H228" i="79"/>
  <c r="H229" i="79"/>
  <c r="H230" i="79"/>
  <c r="H231" i="79"/>
  <c r="H232" i="79"/>
  <c r="H233" i="79"/>
  <c r="H234" i="79"/>
  <c r="H235" i="79"/>
  <c r="H236" i="79"/>
  <c r="H237" i="79"/>
  <c r="H238" i="79"/>
  <c r="H239" i="79"/>
  <c r="H240" i="79"/>
  <c r="H241" i="79"/>
  <c r="H242" i="79"/>
  <c r="H243" i="79"/>
  <c r="H244" i="79"/>
  <c r="H245" i="79"/>
  <c r="H246" i="79"/>
  <c r="H247" i="79"/>
  <c r="H248" i="79"/>
  <c r="H249" i="79"/>
  <c r="H250" i="79"/>
  <c r="H251" i="79"/>
  <c r="H252" i="79"/>
  <c r="H253" i="79"/>
  <c r="H8" i="77"/>
  <c r="H9" i="77"/>
  <c r="H10" i="77"/>
  <c r="H11" i="77"/>
  <c r="H12" i="77"/>
  <c r="H13" i="77"/>
  <c r="H14" i="77"/>
  <c r="H15" i="77"/>
  <c r="H16" i="77"/>
  <c r="H17" i="77"/>
  <c r="H18" i="77"/>
  <c r="H19" i="77"/>
  <c r="H20" i="77"/>
  <c r="H21" i="77"/>
  <c r="H22" i="77"/>
  <c r="H23" i="77"/>
  <c r="H24" i="77"/>
  <c r="H25" i="77"/>
  <c r="H26" i="77"/>
  <c r="H27" i="77"/>
  <c r="H28" i="77"/>
  <c r="H29" i="77"/>
  <c r="H30" i="77"/>
  <c r="H31" i="77"/>
  <c r="H32" i="77"/>
  <c r="H33" i="77"/>
  <c r="H34" i="77"/>
  <c r="H35" i="77"/>
  <c r="H36" i="77"/>
  <c r="H37" i="77"/>
  <c r="H38" i="77"/>
  <c r="H39" i="77"/>
  <c r="H40" i="77"/>
  <c r="H41" i="77"/>
  <c r="H42" i="77"/>
  <c r="H43" i="77"/>
  <c r="H44" i="77"/>
  <c r="H45" i="77"/>
  <c r="H46" i="77"/>
  <c r="H47" i="77"/>
  <c r="H48" i="77"/>
  <c r="H49" i="77"/>
  <c r="H50" i="77"/>
  <c r="H51" i="77"/>
  <c r="H52" i="77"/>
  <c r="H53" i="77"/>
  <c r="H54" i="77"/>
  <c r="H55" i="77"/>
  <c r="H56" i="77"/>
  <c r="H57" i="77"/>
  <c r="H58" i="77"/>
  <c r="H59" i="77"/>
  <c r="H60" i="77"/>
  <c r="H61" i="77"/>
  <c r="H62" i="77"/>
  <c r="H63" i="77"/>
  <c r="H64" i="77"/>
  <c r="H65" i="77"/>
  <c r="H66" i="77"/>
  <c r="H67" i="77"/>
  <c r="H68" i="77"/>
  <c r="H69" i="77"/>
  <c r="H70" i="77"/>
  <c r="H71" i="77"/>
  <c r="H72" i="77"/>
  <c r="H73" i="77"/>
  <c r="H74" i="77"/>
  <c r="H75" i="77"/>
  <c r="H76" i="77"/>
  <c r="H77" i="77"/>
  <c r="H78" i="77"/>
  <c r="H79" i="77"/>
  <c r="H80" i="77"/>
  <c r="H81" i="77"/>
  <c r="H82" i="77"/>
  <c r="H83" i="77"/>
  <c r="H84" i="77"/>
  <c r="H85" i="77"/>
  <c r="H86" i="77"/>
  <c r="H87" i="77"/>
  <c r="H88" i="77"/>
  <c r="H89" i="77"/>
  <c r="H90" i="77"/>
  <c r="H91" i="77"/>
  <c r="H92" i="77"/>
  <c r="H93" i="77"/>
  <c r="H94" i="77"/>
  <c r="H95" i="77"/>
  <c r="H96" i="77"/>
  <c r="H97" i="77"/>
  <c r="H98" i="77"/>
  <c r="H99" i="77"/>
  <c r="H100" i="77"/>
  <c r="H101" i="77"/>
  <c r="H102" i="77"/>
  <c r="H103" i="77"/>
  <c r="H104" i="77"/>
  <c r="H105" i="77"/>
  <c r="H106" i="77"/>
  <c r="H107" i="77"/>
  <c r="H108" i="77"/>
  <c r="H109" i="77"/>
  <c r="H110" i="77"/>
  <c r="H111" i="77"/>
  <c r="H112" i="77"/>
  <c r="H113" i="77"/>
  <c r="H114" i="77"/>
  <c r="H115" i="77"/>
  <c r="H116" i="77"/>
  <c r="H117" i="77"/>
  <c r="H118" i="77"/>
  <c r="H119" i="77"/>
  <c r="H120" i="77"/>
  <c r="H121" i="77"/>
  <c r="H122" i="77"/>
  <c r="H123" i="77"/>
  <c r="H124" i="77"/>
  <c r="H125" i="77"/>
  <c r="H126" i="77"/>
  <c r="H127" i="77"/>
  <c r="H128" i="77"/>
  <c r="H129" i="77"/>
  <c r="H130" i="77"/>
  <c r="H131" i="77"/>
  <c r="H132" i="77"/>
  <c r="H133" i="77"/>
  <c r="H134" i="77"/>
  <c r="H135" i="77"/>
  <c r="H136" i="77"/>
  <c r="H137" i="77"/>
  <c r="H138" i="77"/>
  <c r="H139" i="77"/>
  <c r="H140" i="77"/>
  <c r="H141" i="77"/>
  <c r="H142" i="77"/>
  <c r="H143" i="77"/>
  <c r="H144" i="77"/>
  <c r="H145" i="77"/>
  <c r="H146" i="77"/>
  <c r="H147" i="77"/>
  <c r="H148" i="77"/>
  <c r="H149" i="77"/>
  <c r="H150" i="77"/>
  <c r="H151" i="77"/>
  <c r="H152" i="77"/>
  <c r="H153" i="77"/>
  <c r="H154" i="77"/>
  <c r="H155" i="77"/>
  <c r="H156" i="77"/>
  <c r="H157" i="77"/>
  <c r="H158" i="77"/>
  <c r="H159" i="77"/>
  <c r="H160" i="77"/>
  <c r="H161" i="77"/>
  <c r="H162" i="77"/>
  <c r="H163" i="77"/>
  <c r="H164" i="77"/>
  <c r="H165" i="77"/>
  <c r="H166" i="77"/>
  <c r="H167" i="77"/>
  <c r="H168" i="77"/>
  <c r="H169" i="77"/>
  <c r="H170" i="77"/>
  <c r="H171" i="77"/>
  <c r="H172" i="77"/>
  <c r="H173" i="77"/>
  <c r="H174" i="77"/>
  <c r="H175" i="77"/>
  <c r="H176" i="77"/>
  <c r="H177" i="77"/>
  <c r="H178" i="77"/>
  <c r="H179" i="77"/>
  <c r="H180" i="77"/>
  <c r="H181" i="77"/>
  <c r="H182" i="77"/>
  <c r="H183" i="77"/>
  <c r="H184" i="77"/>
  <c r="H185" i="77"/>
  <c r="H186" i="77"/>
  <c r="H187" i="77"/>
  <c r="H188" i="77"/>
  <c r="H189" i="77"/>
  <c r="H190" i="77"/>
  <c r="H191" i="77"/>
  <c r="H192" i="77"/>
  <c r="H193" i="77"/>
  <c r="H194" i="77"/>
  <c r="H195" i="77"/>
  <c r="H196" i="77"/>
  <c r="H197" i="77"/>
  <c r="H198" i="77"/>
  <c r="H199" i="77"/>
  <c r="H200" i="77"/>
  <c r="H201" i="77"/>
  <c r="H202" i="77"/>
  <c r="H203" i="77"/>
  <c r="H204" i="77"/>
  <c r="H205" i="77"/>
  <c r="H206" i="77"/>
  <c r="H207" i="77"/>
  <c r="H208" i="77"/>
  <c r="H209" i="77"/>
  <c r="H210" i="77"/>
  <c r="H211" i="77"/>
  <c r="H212" i="77"/>
  <c r="H213" i="77"/>
  <c r="H214" i="77"/>
  <c r="H215" i="77"/>
  <c r="H216" i="77"/>
  <c r="H217" i="77"/>
  <c r="H218" i="77"/>
  <c r="H219" i="77"/>
  <c r="H220" i="77"/>
  <c r="H221" i="77"/>
  <c r="H222" i="77"/>
  <c r="H223" i="77"/>
  <c r="H224" i="77"/>
  <c r="H225" i="77"/>
  <c r="H226" i="77"/>
  <c r="H227" i="77"/>
  <c r="H228" i="77"/>
  <c r="H229" i="77"/>
  <c r="H230" i="77"/>
  <c r="H231" i="77"/>
  <c r="H232" i="77"/>
  <c r="H233" i="77"/>
  <c r="H234" i="77"/>
  <c r="H235" i="77"/>
  <c r="H236" i="77"/>
  <c r="H237" i="77"/>
  <c r="H238" i="77"/>
  <c r="H239" i="77"/>
  <c r="H240" i="77"/>
  <c r="H241" i="77"/>
  <c r="H242" i="77"/>
  <c r="H243" i="77"/>
  <c r="H244" i="77"/>
  <c r="H245" i="77"/>
  <c r="H246" i="77"/>
  <c r="H247" i="77"/>
  <c r="H248" i="77"/>
  <c r="H249" i="77"/>
  <c r="H250" i="77"/>
  <c r="H251" i="77"/>
  <c r="H252" i="77"/>
  <c r="H253" i="77"/>
  <c r="C36" i="10"/>
  <c r="C35" i="10"/>
  <c r="C34" i="10"/>
  <c r="C33" i="10"/>
  <c r="C32" i="10"/>
  <c r="C31" i="10"/>
  <c r="C30" i="10"/>
  <c r="C29" i="10"/>
  <c r="C28" i="10"/>
  <c r="C27" i="10"/>
  <c r="C26" i="10"/>
  <c r="C18" i="10"/>
  <c r="C19" i="10"/>
  <c r="C20" i="10"/>
  <c r="C21" i="10"/>
  <c r="C22" i="10"/>
  <c r="C23" i="10"/>
  <c r="C24" i="10"/>
  <c r="C25" i="10"/>
  <c r="C17" i="10"/>
  <c r="C16" i="10"/>
  <c r="C15" i="10"/>
  <c r="C14" i="10"/>
  <c r="C7" i="10"/>
  <c r="C8" i="10"/>
  <c r="C9" i="10"/>
  <c r="C10" i="10"/>
  <c r="C11" i="10"/>
  <c r="C12" i="10"/>
  <c r="C13" i="10"/>
  <c r="D14" i="74" l="1"/>
  <c r="E14" i="74"/>
  <c r="F14" i="74"/>
  <c r="G14" i="74"/>
  <c r="D34" i="74"/>
  <c r="E34" i="74"/>
  <c r="F34" i="74"/>
  <c r="G34" i="74"/>
  <c r="D35" i="74"/>
  <c r="E35" i="74"/>
  <c r="F35" i="74"/>
  <c r="G35" i="74"/>
  <c r="D43" i="74"/>
  <c r="E43" i="74"/>
  <c r="F43" i="74"/>
  <c r="G43" i="74"/>
  <c r="D44" i="74"/>
  <c r="E44" i="74"/>
  <c r="F44" i="74"/>
  <c r="G44" i="74"/>
  <c r="D45" i="74"/>
  <c r="E45" i="74"/>
  <c r="F45" i="74"/>
  <c r="G45" i="74"/>
  <c r="D46" i="74"/>
  <c r="E46" i="74"/>
  <c r="F46" i="74"/>
  <c r="G46" i="74"/>
  <c r="D81" i="74"/>
  <c r="E81" i="74"/>
  <c r="F81" i="74"/>
  <c r="G81" i="74"/>
  <c r="D82" i="74"/>
  <c r="E82" i="74"/>
  <c r="F82" i="74"/>
  <c r="G82" i="74"/>
  <c r="D107" i="74"/>
  <c r="E107" i="74"/>
  <c r="F107" i="74"/>
  <c r="G107" i="74"/>
  <c r="D108" i="74"/>
  <c r="E108" i="74"/>
  <c r="F108" i="74"/>
  <c r="G108" i="74"/>
  <c r="D109" i="74"/>
  <c r="E109" i="74"/>
  <c r="F109" i="74"/>
  <c r="G109" i="74"/>
  <c r="D110" i="74"/>
  <c r="E110" i="74"/>
  <c r="F110" i="74"/>
  <c r="G110" i="74"/>
  <c r="D195" i="74"/>
  <c r="E195" i="74"/>
  <c r="F195" i="74"/>
  <c r="G195" i="74"/>
  <c r="D196" i="74"/>
  <c r="E196" i="74"/>
  <c r="F196" i="74"/>
  <c r="G196" i="74"/>
  <c r="D228" i="74"/>
  <c r="E228" i="74"/>
  <c r="F228" i="74"/>
  <c r="G228" i="74"/>
  <c r="D241" i="74"/>
  <c r="E241" i="74"/>
  <c r="F241" i="74"/>
  <c r="G241" i="74"/>
  <c r="D251" i="74"/>
  <c r="E251" i="74"/>
  <c r="F251" i="74"/>
  <c r="G251" i="74"/>
  <c r="H251" i="74" l="1"/>
  <c r="H241" i="74"/>
  <c r="H228" i="74"/>
  <c r="H196" i="74"/>
  <c r="H195" i="74"/>
  <c r="H110" i="74"/>
  <c r="H109" i="74"/>
  <c r="H108" i="74"/>
  <c r="H107" i="74"/>
  <c r="H82" i="74"/>
  <c r="H81" i="74"/>
  <c r="H46" i="74"/>
  <c r="H45" i="74"/>
  <c r="H44" i="74"/>
  <c r="H43" i="74"/>
  <c r="H35" i="74"/>
  <c r="H34" i="74"/>
  <c r="H14" i="74"/>
  <c r="G53" i="74"/>
  <c r="G52" i="74"/>
  <c r="G47" i="74"/>
  <c r="G30" i="74"/>
  <c r="G62" i="74"/>
  <c r="G78" i="74"/>
  <c r="G86" i="74"/>
  <c r="G94" i="74"/>
  <c r="G102" i="74"/>
  <c r="G118" i="74"/>
  <c r="G142" i="74"/>
  <c r="G150" i="74"/>
  <c r="G166" i="74"/>
  <c r="F53" i="74"/>
  <c r="F52" i="74"/>
  <c r="F47" i="74"/>
  <c r="F199" i="74"/>
  <c r="F207" i="74"/>
  <c r="F215" i="74"/>
  <c r="F247" i="74"/>
  <c r="F249" i="74"/>
  <c r="E53" i="74"/>
  <c r="E52" i="74"/>
  <c r="E47" i="74"/>
  <c r="P131" i="41"/>
  <c r="E131" i="74" s="1"/>
  <c r="P144" i="41"/>
  <c r="E144" i="74" s="1"/>
  <c r="P155" i="41"/>
  <c r="E155" i="74" s="1"/>
  <c r="P163" i="41"/>
  <c r="E163" i="74" s="1"/>
  <c r="P176" i="41"/>
  <c r="E176" i="74" s="1"/>
  <c r="P211" i="41"/>
  <c r="E211" i="74" s="1"/>
  <c r="P227" i="41"/>
  <c r="E227" i="74" s="1"/>
  <c r="D53" i="74"/>
  <c r="D52" i="74"/>
  <c r="D47" i="74"/>
  <c r="P23" i="39"/>
  <c r="D23" i="74" s="1"/>
  <c r="P31" i="39"/>
  <c r="D31" i="74" s="1"/>
  <c r="P39" i="39"/>
  <c r="D39" i="74" s="1"/>
  <c r="P55" i="39"/>
  <c r="D55" i="74" s="1"/>
  <c r="P71" i="39"/>
  <c r="D71" i="74" s="1"/>
  <c r="P79" i="39"/>
  <c r="D79" i="74" s="1"/>
  <c r="P95" i="39"/>
  <c r="D95" i="74" s="1"/>
  <c r="P103" i="39"/>
  <c r="D103" i="74" s="1"/>
  <c r="P119" i="39"/>
  <c r="P135" i="39"/>
  <c r="D135" i="74" s="1"/>
  <c r="P143" i="39"/>
  <c r="D143" i="74" s="1"/>
  <c r="P151" i="39"/>
  <c r="P159" i="39"/>
  <c r="D159" i="74" s="1"/>
  <c r="P183" i="39"/>
  <c r="D183" i="74" s="1"/>
  <c r="D191" i="74"/>
  <c r="P199" i="39"/>
  <c r="D199" i="74" s="1"/>
  <c r="P207" i="39"/>
  <c r="D207" i="74" s="1"/>
  <c r="P215" i="39"/>
  <c r="D215" i="74" s="1"/>
  <c r="P247" i="39"/>
  <c r="D247" i="74" s="1"/>
  <c r="P10" i="41"/>
  <c r="E10" i="74" s="1"/>
  <c r="P8" i="41"/>
  <c r="P11" i="41"/>
  <c r="E11" i="74" s="1"/>
  <c r="P19" i="41"/>
  <c r="E19" i="74" s="1"/>
  <c r="P27" i="41"/>
  <c r="E27" i="74" s="1"/>
  <c r="P56" i="41"/>
  <c r="P59" i="41"/>
  <c r="E59" i="74" s="1"/>
  <c r="P64" i="41"/>
  <c r="E64" i="74" s="1"/>
  <c r="P67" i="41"/>
  <c r="E67" i="74" s="1"/>
  <c r="P83" i="41"/>
  <c r="P88" i="41"/>
  <c r="E88" i="74" s="1"/>
  <c r="P96" i="41"/>
  <c r="E96" i="74" s="1"/>
  <c r="P99" i="41"/>
  <c r="E99" i="74" s="1"/>
  <c r="P104" i="41"/>
  <c r="P115" i="41"/>
  <c r="P120" i="41"/>
  <c r="E120" i="74" s="1"/>
  <c r="P123" i="41"/>
  <c r="E123" i="74" s="1"/>
  <c r="P136" i="41"/>
  <c r="E136" i="74" s="1"/>
  <c r="P139" i="41"/>
  <c r="E139" i="74" s="1"/>
  <c r="E152" i="74"/>
  <c r="E160" i="74"/>
  <c r="P168" i="41"/>
  <c r="E168" i="74" s="1"/>
  <c r="P171" i="41"/>
  <c r="E171" i="74" s="1"/>
  <c r="P184" i="41"/>
  <c r="P192" i="41"/>
  <c r="E192" i="74" s="1"/>
  <c r="E203" i="74"/>
  <c r="P224" i="41"/>
  <c r="E224" i="74" s="1"/>
  <c r="P235" i="41"/>
  <c r="E235" i="74" s="1"/>
  <c r="P66" i="39"/>
  <c r="D66" i="74" s="1"/>
  <c r="P74" i="39"/>
  <c r="D74" i="74" s="1"/>
  <c r="P90" i="39"/>
  <c r="D90" i="74" s="1"/>
  <c r="P98" i="39"/>
  <c r="D98" i="74" s="1"/>
  <c r="P114" i="39"/>
  <c r="D114" i="74" s="1"/>
  <c r="P122" i="39"/>
  <c r="P146" i="39"/>
  <c r="D146" i="74" s="1"/>
  <c r="P162" i="39"/>
  <c r="D162" i="74" s="1"/>
  <c r="P178" i="39"/>
  <c r="D178" i="74" s="1"/>
  <c r="P186" i="39"/>
  <c r="D186" i="74" s="1"/>
  <c r="D193" i="74"/>
  <c r="P202" i="39"/>
  <c r="D202" i="74" s="1"/>
  <c r="D203" i="74"/>
  <c r="P209" i="39"/>
  <c r="D209" i="74" s="1"/>
  <c r="P210" i="39"/>
  <c r="D210" i="74" s="1"/>
  <c r="P218" i="39"/>
  <c r="D218" i="74" s="1"/>
  <c r="P225" i="39"/>
  <c r="D225" i="74" s="1"/>
  <c r="P226" i="39"/>
  <c r="P227" i="39"/>
  <c r="D227" i="74" s="1"/>
  <c r="P242" i="39"/>
  <c r="D242" i="74" s="1"/>
  <c r="P249" i="39"/>
  <c r="D249" i="74" s="1"/>
  <c r="P250" i="39"/>
  <c r="D250" i="74" s="1"/>
  <c r="G200" i="74"/>
  <c r="G216" i="74"/>
  <c r="G224" i="74"/>
  <c r="G240" i="74"/>
  <c r="P252" i="39"/>
  <c r="D252" i="74" s="1"/>
  <c r="G12" i="74"/>
  <c r="G20" i="74"/>
  <c r="G28" i="74"/>
  <c r="G76" i="74"/>
  <c r="G100" i="74"/>
  <c r="G116" i="74"/>
  <c r="G124" i="74"/>
  <c r="G140" i="74"/>
  <c r="G156" i="74"/>
  <c r="G180" i="74"/>
  <c r="G188" i="74"/>
  <c r="G227" i="74"/>
  <c r="G23" i="74"/>
  <c r="G31" i="74"/>
  <c r="G39" i="74"/>
  <c r="G55" i="74"/>
  <c r="G63" i="74"/>
  <c r="G71" i="74"/>
  <c r="G79" i="74"/>
  <c r="G87" i="74"/>
  <c r="G95" i="74"/>
  <c r="G103" i="74"/>
  <c r="G234" i="74"/>
  <c r="G242" i="74"/>
  <c r="G250" i="74"/>
  <c r="G181" i="74"/>
  <c r="G183" i="74"/>
  <c r="G235" i="74"/>
  <c r="G237" i="74"/>
  <c r="G135" i="74"/>
  <c r="G143" i="74"/>
  <c r="G159" i="74"/>
  <c r="G191" i="74"/>
  <c r="G199" i="74"/>
  <c r="G207" i="74"/>
  <c r="G215" i="74"/>
  <c r="G220" i="74"/>
  <c r="G231" i="74"/>
  <c r="G236" i="74"/>
  <c r="G239" i="74"/>
  <c r="G244" i="74"/>
  <c r="G247" i="74"/>
  <c r="G252" i="74"/>
  <c r="G249" i="74"/>
  <c r="G245" i="74"/>
  <c r="G225" i="74"/>
  <c r="G218" i="74"/>
  <c r="G213" i="74"/>
  <c r="G212" i="74"/>
  <c r="G211" i="74"/>
  <c r="G210" i="74"/>
  <c r="G209" i="74"/>
  <c r="G208" i="74"/>
  <c r="G205" i="74"/>
  <c r="G203" i="74"/>
  <c r="G202" i="74"/>
  <c r="G194" i="74"/>
  <c r="G193" i="74"/>
  <c r="G192" i="74"/>
  <c r="G186" i="74"/>
  <c r="G185" i="74"/>
  <c r="G178" i="74"/>
  <c r="G177" i="74"/>
  <c r="G176" i="74"/>
  <c r="G173" i="74"/>
  <c r="G171" i="74"/>
  <c r="G169" i="74"/>
  <c r="G168" i="74"/>
  <c r="G165" i="74"/>
  <c r="G164" i="74"/>
  <c r="G163" i="74"/>
  <c r="G162" i="74"/>
  <c r="G161" i="74"/>
  <c r="G160" i="74"/>
  <c r="G155" i="74"/>
  <c r="G153" i="74"/>
  <c r="G152" i="74"/>
  <c r="G149" i="74"/>
  <c r="G146" i="74"/>
  <c r="G145" i="74"/>
  <c r="G144" i="74"/>
  <c r="G139" i="74"/>
  <c r="G136" i="74"/>
  <c r="G133" i="74"/>
  <c r="G131" i="74"/>
  <c r="G130" i="74"/>
  <c r="G129" i="74"/>
  <c r="G125" i="74"/>
  <c r="G123" i="74"/>
  <c r="G121" i="74"/>
  <c r="G120" i="74"/>
  <c r="G114" i="74"/>
  <c r="G113" i="74"/>
  <c r="G105" i="74"/>
  <c r="G99" i="74"/>
  <c r="G98" i="74"/>
  <c r="G97" i="74"/>
  <c r="G96" i="74"/>
  <c r="G93" i="74"/>
  <c r="G91" i="74"/>
  <c r="G90" i="74"/>
  <c r="G88" i="74"/>
  <c r="G85" i="74"/>
  <c r="G84" i="74"/>
  <c r="G77" i="74"/>
  <c r="G75" i="74"/>
  <c r="G74" i="74"/>
  <c r="G72" i="74"/>
  <c r="G69" i="74"/>
  <c r="G67" i="74"/>
  <c r="G66" i="74"/>
  <c r="G65" i="74"/>
  <c r="G64" i="74"/>
  <c r="G60" i="74"/>
  <c r="G59" i="74"/>
  <c r="G58" i="74"/>
  <c r="G57" i="74"/>
  <c r="G54" i="74"/>
  <c r="G51" i="74"/>
  <c r="G50" i="74"/>
  <c r="G49" i="74"/>
  <c r="G48" i="74"/>
  <c r="G42" i="74"/>
  <c r="G41" i="74"/>
  <c r="G40" i="74"/>
  <c r="G38" i="74"/>
  <c r="G37" i="74"/>
  <c r="G33" i="74"/>
  <c r="G32" i="74"/>
  <c r="G27" i="74"/>
  <c r="G26" i="74"/>
  <c r="G22" i="74"/>
  <c r="G21" i="74"/>
  <c r="G19" i="74"/>
  <c r="G17" i="74"/>
  <c r="G13" i="74"/>
  <c r="G11" i="74"/>
  <c r="G10" i="74"/>
  <c r="G9" i="74"/>
  <c r="F84" i="74"/>
  <c r="F116" i="74"/>
  <c r="F12" i="74"/>
  <c r="F20" i="74"/>
  <c r="F28" i="74"/>
  <c r="F60" i="74"/>
  <c r="F76" i="74"/>
  <c r="F100" i="74"/>
  <c r="F140" i="74"/>
  <c r="F156" i="74"/>
  <c r="F164" i="74"/>
  <c r="F240" i="74"/>
  <c r="F173" i="74"/>
  <c r="F213" i="74"/>
  <c r="F237" i="74"/>
  <c r="F224" i="74"/>
  <c r="F216" i="74"/>
  <c r="F174" i="74"/>
  <c r="F235" i="74"/>
  <c r="F135" i="74"/>
  <c r="F142" i="74"/>
  <c r="F143" i="74"/>
  <c r="F150" i="74"/>
  <c r="F159" i="74"/>
  <c r="F166" i="74"/>
  <c r="F183" i="74"/>
  <c r="F188" i="74"/>
  <c r="F191" i="74"/>
  <c r="F212" i="74"/>
  <c r="F220" i="74"/>
  <c r="F222" i="74"/>
  <c r="F234" i="74"/>
  <c r="F236" i="74"/>
  <c r="F244" i="74"/>
  <c r="F250" i="74"/>
  <c r="F252" i="74"/>
  <c r="F245" i="74"/>
  <c r="F242" i="74"/>
  <c r="F227" i="74"/>
  <c r="F225" i="74"/>
  <c r="F218" i="74"/>
  <c r="F211" i="74"/>
  <c r="F210" i="74"/>
  <c r="F209" i="74"/>
  <c r="F208" i="74"/>
  <c r="F205" i="74"/>
  <c r="F203" i="74"/>
  <c r="F202" i="74"/>
  <c r="F200" i="74"/>
  <c r="F194" i="74"/>
  <c r="F193" i="74"/>
  <c r="F192" i="74"/>
  <c r="F186" i="74"/>
  <c r="F185" i="74"/>
  <c r="F181" i="74"/>
  <c r="F180" i="74"/>
  <c r="F178" i="74"/>
  <c r="F177" i="74"/>
  <c r="F176" i="74"/>
  <c r="F171" i="74"/>
  <c r="F169" i="74"/>
  <c r="F168" i="74"/>
  <c r="F165" i="74"/>
  <c r="F163" i="74"/>
  <c r="F162" i="74"/>
  <c r="F161" i="74"/>
  <c r="F160" i="74"/>
  <c r="F155" i="74"/>
  <c r="F153" i="74"/>
  <c r="F152" i="74"/>
  <c r="F149" i="74"/>
  <c r="F146" i="74"/>
  <c r="F145" i="74"/>
  <c r="F144" i="74"/>
  <c r="F139" i="74"/>
  <c r="F136" i="74"/>
  <c r="F133" i="74"/>
  <c r="F131" i="74"/>
  <c r="F130" i="74"/>
  <c r="F129" i="74"/>
  <c r="F125" i="74"/>
  <c r="F124" i="74"/>
  <c r="F123" i="74"/>
  <c r="F121" i="74"/>
  <c r="F120" i="74"/>
  <c r="F118" i="74"/>
  <c r="F114" i="74"/>
  <c r="F113" i="74"/>
  <c r="F105" i="74"/>
  <c r="F103" i="74"/>
  <c r="F102" i="74"/>
  <c r="F99" i="74"/>
  <c r="F98" i="74"/>
  <c r="F97" i="74"/>
  <c r="F96" i="74"/>
  <c r="F95" i="74"/>
  <c r="F94" i="74"/>
  <c r="F93" i="74"/>
  <c r="F91" i="74"/>
  <c r="F90" i="74"/>
  <c r="F88" i="74"/>
  <c r="F87" i="74"/>
  <c r="F86" i="74"/>
  <c r="F85" i="74"/>
  <c r="F79" i="74"/>
  <c r="F78" i="74"/>
  <c r="F77" i="74"/>
  <c r="F75" i="74"/>
  <c r="F74" i="74"/>
  <c r="F72" i="74"/>
  <c r="F71" i="74"/>
  <c r="F69" i="74"/>
  <c r="F67" i="74"/>
  <c r="F66" i="74"/>
  <c r="F65" i="74"/>
  <c r="F64" i="74"/>
  <c r="F63" i="74"/>
  <c r="F62" i="74"/>
  <c r="F59" i="74"/>
  <c r="F58" i="74"/>
  <c r="F57" i="74"/>
  <c r="F55" i="74"/>
  <c r="F54" i="74"/>
  <c r="F51" i="74"/>
  <c r="F50" i="74"/>
  <c r="F49" i="74"/>
  <c r="F48" i="74"/>
  <c r="F42" i="74"/>
  <c r="F41" i="74"/>
  <c r="F40" i="74"/>
  <c r="F39" i="74"/>
  <c r="F38" i="74"/>
  <c r="F37" i="74"/>
  <c r="F33" i="74"/>
  <c r="F32" i="74"/>
  <c r="F31" i="74"/>
  <c r="F30" i="74"/>
  <c r="F27" i="74"/>
  <c r="F26" i="74"/>
  <c r="F23" i="74"/>
  <c r="F22" i="74"/>
  <c r="F21" i="74"/>
  <c r="F19" i="74"/>
  <c r="F17" i="74"/>
  <c r="F13" i="74"/>
  <c r="F11" i="74"/>
  <c r="F10" i="74"/>
  <c r="F9" i="74"/>
  <c r="P232" i="41"/>
  <c r="P216" i="41"/>
  <c r="E216" i="74" s="1"/>
  <c r="P200" i="41"/>
  <c r="E200" i="74" s="1"/>
  <c r="P91" i="41"/>
  <c r="E91" i="74" s="1"/>
  <c r="P75" i="41"/>
  <c r="E75" i="74" s="1"/>
  <c r="P51" i="41"/>
  <c r="E51" i="74" s="1"/>
  <c r="P48" i="41"/>
  <c r="E48" i="74" s="1"/>
  <c r="P235" i="39"/>
  <c r="D235" i="74" s="1"/>
  <c r="P236" i="39"/>
  <c r="D236" i="74" s="1"/>
  <c r="P244" i="39"/>
  <c r="D244" i="74" s="1"/>
  <c r="P166" i="39"/>
  <c r="D166" i="74" s="1"/>
  <c r="P28" i="39"/>
  <c r="D28" i="74" s="1"/>
  <c r="P60" i="39"/>
  <c r="D60" i="74" s="1"/>
  <c r="P68" i="39"/>
  <c r="P84" i="39"/>
  <c r="D84" i="74" s="1"/>
  <c r="P116" i="39"/>
  <c r="D116" i="74" s="1"/>
  <c r="P124" i="39"/>
  <c r="D124" i="74" s="1"/>
  <c r="P134" i="39"/>
  <c r="P204" i="39"/>
  <c r="P205" i="39"/>
  <c r="D205" i="74" s="1"/>
  <c r="P212" i="39"/>
  <c r="D212" i="74" s="1"/>
  <c r="P213" i="39"/>
  <c r="D213" i="74" s="1"/>
  <c r="P220" i="39"/>
  <c r="D220" i="74" s="1"/>
  <c r="P142" i="39"/>
  <c r="D142" i="74" s="1"/>
  <c r="P150" i="39"/>
  <c r="D150" i="74" s="1"/>
  <c r="P173" i="39"/>
  <c r="D173" i="74" s="1"/>
  <c r="P174" i="39"/>
  <c r="D174" i="74" s="1"/>
  <c r="P190" i="39"/>
  <c r="D190" i="74" s="1"/>
  <c r="P221" i="39"/>
  <c r="P222" i="39"/>
  <c r="D222" i="74" s="1"/>
  <c r="P237" i="39"/>
  <c r="D237" i="74" s="1"/>
  <c r="P245" i="39"/>
  <c r="D245" i="74" s="1"/>
  <c r="P240" i="39"/>
  <c r="D240" i="74" s="1"/>
  <c r="P234" i="39"/>
  <c r="D234" i="74" s="1"/>
  <c r="P232" i="39"/>
  <c r="P224" i="39"/>
  <c r="D224" i="74" s="1"/>
  <c r="P217" i="39"/>
  <c r="P216" i="39"/>
  <c r="D216" i="74" s="1"/>
  <c r="P211" i="39"/>
  <c r="D211" i="74" s="1"/>
  <c r="P208" i="39"/>
  <c r="D208" i="74" s="1"/>
  <c r="P201" i="39"/>
  <c r="P200" i="39"/>
  <c r="D200" i="74" s="1"/>
  <c r="P194" i="39"/>
  <c r="D194" i="74" s="1"/>
  <c r="P192" i="39"/>
  <c r="D192" i="74" s="1"/>
  <c r="P189" i="39"/>
  <c r="P188" i="39"/>
  <c r="D188" i="74" s="1"/>
  <c r="P185" i="39"/>
  <c r="D185" i="74" s="1"/>
  <c r="P184" i="39"/>
  <c r="P181" i="39"/>
  <c r="D180" i="74"/>
  <c r="P177" i="39"/>
  <c r="D177" i="74" s="1"/>
  <c r="P176" i="39"/>
  <c r="D176" i="74" s="1"/>
  <c r="P172" i="39"/>
  <c r="P171" i="39"/>
  <c r="D171" i="74" s="1"/>
  <c r="D169" i="74"/>
  <c r="P168" i="39"/>
  <c r="D168" i="74" s="1"/>
  <c r="P165" i="39"/>
  <c r="D165" i="74" s="1"/>
  <c r="P164" i="39"/>
  <c r="D164" i="74" s="1"/>
  <c r="P163" i="39"/>
  <c r="D163" i="74" s="1"/>
  <c r="P161" i="39"/>
  <c r="D161" i="74" s="1"/>
  <c r="D160" i="74"/>
  <c r="P157" i="39"/>
  <c r="P156" i="39"/>
  <c r="D156" i="74" s="1"/>
  <c r="P155" i="39"/>
  <c r="D155" i="74" s="1"/>
  <c r="P153" i="39"/>
  <c r="D153" i="74" s="1"/>
  <c r="P152" i="39"/>
  <c r="D152" i="74" s="1"/>
  <c r="P149" i="39"/>
  <c r="D149" i="74" s="1"/>
  <c r="H149" i="74" s="1"/>
  <c r="P145" i="39"/>
  <c r="D145" i="74" s="1"/>
  <c r="P144" i="39"/>
  <c r="D144" i="74" s="1"/>
  <c r="P141" i="39"/>
  <c r="P140" i="39"/>
  <c r="D140" i="74" s="1"/>
  <c r="P139" i="39"/>
  <c r="D139" i="74" s="1"/>
  <c r="P136" i="39"/>
  <c r="D136" i="74" s="1"/>
  <c r="P133" i="39"/>
  <c r="D133" i="74" s="1"/>
  <c r="P131" i="39"/>
  <c r="D131" i="74" s="1"/>
  <c r="P130" i="39"/>
  <c r="D130" i="74" s="1"/>
  <c r="P129" i="39"/>
  <c r="D129" i="74" s="1"/>
  <c r="P125" i="39"/>
  <c r="D125" i="74" s="1"/>
  <c r="P123" i="39"/>
  <c r="D123" i="74" s="1"/>
  <c r="P121" i="39"/>
  <c r="D121" i="74" s="1"/>
  <c r="P120" i="39"/>
  <c r="D120" i="74" s="1"/>
  <c r="P118" i="39"/>
  <c r="D118" i="74" s="1"/>
  <c r="P115" i="39"/>
  <c r="P113" i="39"/>
  <c r="D113" i="74" s="1"/>
  <c r="P105" i="39"/>
  <c r="D105" i="74" s="1"/>
  <c r="P104" i="39"/>
  <c r="P102" i="39"/>
  <c r="D102" i="74" s="1"/>
  <c r="P100" i="39"/>
  <c r="D100" i="74" s="1"/>
  <c r="P99" i="39"/>
  <c r="D99" i="74" s="1"/>
  <c r="P97" i="39"/>
  <c r="D97" i="74" s="1"/>
  <c r="P96" i="39"/>
  <c r="D96" i="74" s="1"/>
  <c r="P94" i="39"/>
  <c r="D94" i="74" s="1"/>
  <c r="P93" i="39"/>
  <c r="D93" i="74" s="1"/>
  <c r="P92" i="39"/>
  <c r="P91" i="39"/>
  <c r="D91" i="74" s="1"/>
  <c r="P88" i="39"/>
  <c r="D88" i="74" s="1"/>
  <c r="P87" i="39"/>
  <c r="D87" i="74" s="1"/>
  <c r="P86" i="39"/>
  <c r="D86" i="74" s="1"/>
  <c r="P85" i="39"/>
  <c r="D85" i="74" s="1"/>
  <c r="P83" i="39"/>
  <c r="P78" i="39"/>
  <c r="D78" i="74" s="1"/>
  <c r="P77" i="39"/>
  <c r="D77" i="74" s="1"/>
  <c r="P76" i="39"/>
  <c r="D76" i="74" s="1"/>
  <c r="P75" i="39"/>
  <c r="D75" i="74" s="1"/>
  <c r="P73" i="39"/>
  <c r="P72" i="39"/>
  <c r="D72" i="74" s="1"/>
  <c r="P69" i="39"/>
  <c r="D69" i="74" s="1"/>
  <c r="P67" i="39"/>
  <c r="D67" i="74" s="1"/>
  <c r="P65" i="39"/>
  <c r="D65" i="74" s="1"/>
  <c r="P64" i="39"/>
  <c r="D64" i="74" s="1"/>
  <c r="P63" i="39"/>
  <c r="D63" i="74" s="1"/>
  <c r="P62" i="39"/>
  <c r="D62" i="74" s="1"/>
  <c r="P59" i="39"/>
  <c r="D59" i="74" s="1"/>
  <c r="P58" i="39"/>
  <c r="D58" i="74" s="1"/>
  <c r="P57" i="39"/>
  <c r="D57" i="74" s="1"/>
  <c r="P56" i="39"/>
  <c r="P54" i="39"/>
  <c r="D54" i="74" s="1"/>
  <c r="P51" i="39"/>
  <c r="D51" i="74" s="1"/>
  <c r="P50" i="39"/>
  <c r="D50" i="74" s="1"/>
  <c r="P49" i="39"/>
  <c r="D49" i="74" s="1"/>
  <c r="P48" i="39"/>
  <c r="D48" i="74" s="1"/>
  <c r="P42" i="39"/>
  <c r="D42" i="74" s="1"/>
  <c r="P41" i="39"/>
  <c r="D41" i="74" s="1"/>
  <c r="P40" i="39"/>
  <c r="D40" i="74" s="1"/>
  <c r="P38" i="39"/>
  <c r="D38" i="74" s="1"/>
  <c r="P37" i="39"/>
  <c r="D37" i="74" s="1"/>
  <c r="P33" i="39"/>
  <c r="D33" i="74" s="1"/>
  <c r="D32" i="74"/>
  <c r="P30" i="39"/>
  <c r="D30" i="74" s="1"/>
  <c r="P27" i="39"/>
  <c r="D27" i="74" s="1"/>
  <c r="P26" i="39"/>
  <c r="D26" i="74" s="1"/>
  <c r="P25" i="39"/>
  <c r="P22" i="39"/>
  <c r="D22" i="74" s="1"/>
  <c r="P21" i="39"/>
  <c r="D21" i="74" s="1"/>
  <c r="P20" i="39"/>
  <c r="D20" i="74" s="1"/>
  <c r="P19" i="39"/>
  <c r="D19" i="74" s="1"/>
  <c r="P18" i="39"/>
  <c r="P17" i="39"/>
  <c r="D17" i="74" s="1"/>
  <c r="P13" i="39"/>
  <c r="D13" i="74" s="1"/>
  <c r="P12" i="39"/>
  <c r="D12" i="74" s="1"/>
  <c r="P11" i="39"/>
  <c r="D11" i="74" s="1"/>
  <c r="P10" i="39"/>
  <c r="D10" i="74" s="1"/>
  <c r="P9" i="39"/>
  <c r="D9" i="74" s="1"/>
  <c r="P8" i="39"/>
  <c r="D15" i="17"/>
  <c r="D16" i="17" s="1"/>
  <c r="E15" i="17"/>
  <c r="F15" i="17"/>
  <c r="F16" i="17" s="1"/>
  <c r="G15" i="17"/>
  <c r="H15" i="17"/>
  <c r="H16" i="17" s="1"/>
  <c r="H253" i="17" s="1"/>
  <c r="I15" i="17"/>
  <c r="I16" i="17" s="1"/>
  <c r="J15" i="17"/>
  <c r="K15" i="17"/>
  <c r="L15" i="17"/>
  <c r="M15" i="17"/>
  <c r="N15" i="17"/>
  <c r="O15" i="17"/>
  <c r="E16" i="17"/>
  <c r="G16" i="17"/>
  <c r="J16" i="17"/>
  <c r="K16" i="17"/>
  <c r="L16" i="17"/>
  <c r="M16" i="17"/>
  <c r="N16" i="17"/>
  <c r="O16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O219" i="17"/>
  <c r="O243" i="17" s="1"/>
  <c r="N219" i="17"/>
  <c r="N243" i="17" s="1"/>
  <c r="N248" i="17" s="1"/>
  <c r="M219" i="17"/>
  <c r="M243" i="17" s="1"/>
  <c r="L219" i="17"/>
  <c r="L243" i="17" s="1"/>
  <c r="K219" i="17"/>
  <c r="K243" i="17" s="1"/>
  <c r="K248" i="17" s="1"/>
  <c r="J219" i="17"/>
  <c r="J243" i="17" s="1"/>
  <c r="J248" i="17" s="1"/>
  <c r="I219" i="17"/>
  <c r="I243" i="17" s="1"/>
  <c r="I248" i="17" s="1"/>
  <c r="H219" i="17"/>
  <c r="H243" i="17" s="1"/>
  <c r="H248" i="17" s="1"/>
  <c r="G219" i="17"/>
  <c r="G243" i="17" s="1"/>
  <c r="F219" i="17"/>
  <c r="F243" i="17" s="1"/>
  <c r="F248" i="17" s="1"/>
  <c r="E219" i="17"/>
  <c r="E243" i="17" s="1"/>
  <c r="D219" i="17"/>
  <c r="D243" i="17" s="1"/>
  <c r="K214" i="17"/>
  <c r="I214" i="17"/>
  <c r="H214" i="17"/>
  <c r="O206" i="17"/>
  <c r="O214" i="17" s="1"/>
  <c r="N206" i="17"/>
  <c r="N214" i="17" s="1"/>
  <c r="M206" i="17"/>
  <c r="M214" i="17" s="1"/>
  <c r="L206" i="17"/>
  <c r="L214" i="17" s="1"/>
  <c r="K206" i="17"/>
  <c r="J206" i="17"/>
  <c r="J214" i="17" s="1"/>
  <c r="I206" i="17"/>
  <c r="H206" i="17"/>
  <c r="G206" i="17"/>
  <c r="G214" i="17" s="1"/>
  <c r="F206" i="17"/>
  <c r="F214" i="17" s="1"/>
  <c r="E206" i="17"/>
  <c r="E214" i="17" s="1"/>
  <c r="D206" i="17"/>
  <c r="D214" i="17" s="1"/>
  <c r="H198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O175" i="17"/>
  <c r="N175" i="17"/>
  <c r="M175" i="17"/>
  <c r="L175" i="17"/>
  <c r="K175" i="17"/>
  <c r="K198" i="17" s="1"/>
  <c r="J175" i="17"/>
  <c r="I175" i="17"/>
  <c r="H175" i="17"/>
  <c r="G175" i="17"/>
  <c r="F175" i="17"/>
  <c r="E175" i="17"/>
  <c r="D175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O148" i="17"/>
  <c r="O198" i="17" s="1"/>
  <c r="N148" i="17"/>
  <c r="N198" i="17" s="1"/>
  <c r="M148" i="17"/>
  <c r="M198" i="17" s="1"/>
  <c r="L148" i="17"/>
  <c r="L198" i="17" s="1"/>
  <c r="K148" i="17"/>
  <c r="J148" i="17"/>
  <c r="J198" i="17" s="1"/>
  <c r="I148" i="17"/>
  <c r="I198" i="17" s="1"/>
  <c r="H148" i="17"/>
  <c r="G148" i="17"/>
  <c r="G198" i="17" s="1"/>
  <c r="F148" i="17"/>
  <c r="F198" i="17" s="1"/>
  <c r="E148" i="17"/>
  <c r="E198" i="17" s="1"/>
  <c r="D148" i="17"/>
  <c r="D198" i="17" s="1"/>
  <c r="O137" i="17"/>
  <c r="N137" i="17"/>
  <c r="M137" i="17"/>
  <c r="L137" i="17"/>
  <c r="K137" i="17"/>
  <c r="J137" i="17"/>
  <c r="I137" i="17"/>
  <c r="I138" i="17" s="1"/>
  <c r="H137" i="17"/>
  <c r="G137" i="17"/>
  <c r="F137" i="17"/>
  <c r="E137" i="17"/>
  <c r="D137" i="17"/>
  <c r="O128" i="17"/>
  <c r="O132" i="17" s="1"/>
  <c r="N128" i="17"/>
  <c r="N132" i="17" s="1"/>
  <c r="N138" i="17" s="1"/>
  <c r="M128" i="17"/>
  <c r="M132" i="17" s="1"/>
  <c r="M138" i="17" s="1"/>
  <c r="L128" i="17"/>
  <c r="L132" i="17" s="1"/>
  <c r="K128" i="17"/>
  <c r="K132" i="17" s="1"/>
  <c r="K138" i="17" s="1"/>
  <c r="J128" i="17"/>
  <c r="J132" i="17" s="1"/>
  <c r="J138" i="17" s="1"/>
  <c r="I128" i="17"/>
  <c r="I132" i="17" s="1"/>
  <c r="H128" i="17"/>
  <c r="H132" i="17" s="1"/>
  <c r="H138" i="17" s="1"/>
  <c r="G128" i="17"/>
  <c r="G132" i="17" s="1"/>
  <c r="F128" i="17"/>
  <c r="F132" i="17" s="1"/>
  <c r="F138" i="17" s="1"/>
  <c r="E128" i="17"/>
  <c r="E132" i="17" s="1"/>
  <c r="E138" i="17" s="1"/>
  <c r="D128" i="17"/>
  <c r="D132" i="17" s="1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L112" i="17"/>
  <c r="D112" i="17"/>
  <c r="O106" i="17"/>
  <c r="N106" i="17"/>
  <c r="N111" i="17" s="1"/>
  <c r="M106" i="17"/>
  <c r="L106" i="17"/>
  <c r="K106" i="17"/>
  <c r="J106" i="17"/>
  <c r="J111" i="17" s="1"/>
  <c r="I106" i="17"/>
  <c r="H106" i="17"/>
  <c r="H111" i="17" s="1"/>
  <c r="G106" i="17"/>
  <c r="F106" i="17"/>
  <c r="F111" i="17" s="1"/>
  <c r="E106" i="17"/>
  <c r="D106" i="17"/>
  <c r="O101" i="17"/>
  <c r="N101" i="17"/>
  <c r="M101" i="17"/>
  <c r="M111" i="17" s="1"/>
  <c r="L101" i="17"/>
  <c r="K101" i="17"/>
  <c r="J101" i="17"/>
  <c r="I101" i="17"/>
  <c r="H101" i="17"/>
  <c r="G101" i="17"/>
  <c r="F101" i="17"/>
  <c r="E101" i="17"/>
  <c r="E111" i="17" s="1"/>
  <c r="D101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O80" i="17"/>
  <c r="O111" i="17" s="1"/>
  <c r="N80" i="17"/>
  <c r="M80" i="17"/>
  <c r="L80" i="17"/>
  <c r="K80" i="17"/>
  <c r="J80" i="17"/>
  <c r="I80" i="17"/>
  <c r="H80" i="17"/>
  <c r="G80" i="17"/>
  <c r="G111" i="17" s="1"/>
  <c r="F80" i="17"/>
  <c r="E80" i="17"/>
  <c r="D80" i="17"/>
  <c r="O70" i="17"/>
  <c r="N70" i="17"/>
  <c r="M70" i="17"/>
  <c r="L70" i="17"/>
  <c r="L111" i="17" s="1"/>
  <c r="K70" i="17"/>
  <c r="J70" i="17"/>
  <c r="I70" i="17"/>
  <c r="H70" i="17"/>
  <c r="G70" i="17"/>
  <c r="F70" i="17"/>
  <c r="E70" i="17"/>
  <c r="D70" i="17"/>
  <c r="D111" i="17" s="1"/>
  <c r="O61" i="17"/>
  <c r="N61" i="17"/>
  <c r="M61" i="17"/>
  <c r="L61" i="17"/>
  <c r="K61" i="17"/>
  <c r="K111" i="17" s="1"/>
  <c r="J61" i="17"/>
  <c r="I61" i="17"/>
  <c r="I111" i="17" s="1"/>
  <c r="H61" i="17"/>
  <c r="G61" i="17"/>
  <c r="F61" i="17"/>
  <c r="E61" i="17"/>
  <c r="D61" i="17"/>
  <c r="O36" i="17"/>
  <c r="O112" i="17" s="1"/>
  <c r="N36" i="17"/>
  <c r="N112" i="17" s="1"/>
  <c r="L36" i="17"/>
  <c r="J36" i="17"/>
  <c r="J112" i="17" s="1"/>
  <c r="I36" i="17"/>
  <c r="I112" i="17" s="1"/>
  <c r="G36" i="17"/>
  <c r="G112" i="17" s="1"/>
  <c r="F36" i="17"/>
  <c r="F112" i="17" s="1"/>
  <c r="D36" i="17"/>
  <c r="O29" i="17"/>
  <c r="N29" i="17"/>
  <c r="M29" i="17"/>
  <c r="M36" i="17" s="1"/>
  <c r="M112" i="17" s="1"/>
  <c r="L29" i="17"/>
  <c r="K29" i="17"/>
  <c r="J29" i="17"/>
  <c r="I29" i="17"/>
  <c r="H29" i="17"/>
  <c r="G29" i="17"/>
  <c r="F29" i="17"/>
  <c r="E29" i="17"/>
  <c r="E36" i="17" s="1"/>
  <c r="E112" i="17" s="1"/>
  <c r="D29" i="17"/>
  <c r="O24" i="17"/>
  <c r="N24" i="17"/>
  <c r="M24" i="17"/>
  <c r="L24" i="17"/>
  <c r="K24" i="17"/>
  <c r="K36" i="17" s="1"/>
  <c r="K112" i="17" s="1"/>
  <c r="J24" i="17"/>
  <c r="I24" i="17"/>
  <c r="H24" i="17"/>
  <c r="H36" i="17" s="1"/>
  <c r="H112" i="17" s="1"/>
  <c r="G24" i="17"/>
  <c r="F24" i="17"/>
  <c r="E24" i="17"/>
  <c r="D24" i="17"/>
  <c r="C6" i="10"/>
  <c r="D80" i="74" l="1"/>
  <c r="D101" i="74"/>
  <c r="D61" i="74"/>
  <c r="D148" i="74"/>
  <c r="D175" i="74"/>
  <c r="D223" i="74"/>
  <c r="D181" i="74"/>
  <c r="D229" i="74"/>
  <c r="H99" i="74"/>
  <c r="H203" i="74"/>
  <c r="G70" i="74"/>
  <c r="G214" i="74"/>
  <c r="G170" i="74"/>
  <c r="F223" i="74"/>
  <c r="F154" i="74"/>
  <c r="D154" i="74"/>
  <c r="D197" i="74"/>
  <c r="G187" i="74"/>
  <c r="F117" i="74"/>
  <c r="G61" i="74"/>
  <c r="F101" i="74"/>
  <c r="F214" i="74"/>
  <c r="D214" i="74"/>
  <c r="G101" i="74"/>
  <c r="G154" i="74"/>
  <c r="H11" i="74"/>
  <c r="H131" i="74"/>
  <c r="H96" i="74"/>
  <c r="H216" i="74"/>
  <c r="G204" i="74"/>
  <c r="G206" i="74"/>
  <c r="G92" i="74"/>
  <c r="G232" i="74"/>
  <c r="G233" i="74"/>
  <c r="G18" i="74"/>
  <c r="G172" i="74"/>
  <c r="G226" i="74"/>
  <c r="G229" i="74"/>
  <c r="G151" i="74"/>
  <c r="G115" i="74"/>
  <c r="G68" i="74"/>
  <c r="G83" i="74"/>
  <c r="G89" i="74"/>
  <c r="G119" i="74"/>
  <c r="G134" i="74"/>
  <c r="G56" i="74"/>
  <c r="G201" i="74"/>
  <c r="G184" i="74"/>
  <c r="G8" i="74"/>
  <c r="G25" i="74"/>
  <c r="G29" i="74"/>
  <c r="G104" i="74"/>
  <c r="G122" i="74"/>
  <c r="G179" i="74"/>
  <c r="G217" i="74"/>
  <c r="G189" i="74"/>
  <c r="G73" i="74"/>
  <c r="G141" i="74"/>
  <c r="G157" i="74"/>
  <c r="G158" i="74"/>
  <c r="G167" i="74"/>
  <c r="G221" i="74"/>
  <c r="F115" i="74"/>
  <c r="F92" i="74"/>
  <c r="F18" i="74"/>
  <c r="F56" i="74"/>
  <c r="F189" i="74"/>
  <c r="F226" i="74"/>
  <c r="F68" i="74"/>
  <c r="F141" i="74"/>
  <c r="F221" i="74"/>
  <c r="F119" i="74"/>
  <c r="F157" i="74"/>
  <c r="F167" i="74"/>
  <c r="F8" i="74"/>
  <c r="F179" i="74"/>
  <c r="F232" i="74"/>
  <c r="H64" i="74"/>
  <c r="H171" i="74"/>
  <c r="F83" i="74"/>
  <c r="F89" i="74"/>
  <c r="F104" i="74"/>
  <c r="F151" i="74"/>
  <c r="F122" i="74"/>
  <c r="F204" i="74"/>
  <c r="F206" i="74"/>
  <c r="F25" i="74"/>
  <c r="F73" i="74"/>
  <c r="F184" i="74"/>
  <c r="F201" i="74"/>
  <c r="F217" i="74"/>
  <c r="F134" i="74"/>
  <c r="F172" i="74"/>
  <c r="F175" i="74"/>
  <c r="H163" i="74"/>
  <c r="E115" i="74"/>
  <c r="E56" i="74"/>
  <c r="E232" i="74"/>
  <c r="E83" i="74"/>
  <c r="E8" i="74"/>
  <c r="E104" i="74"/>
  <c r="E184" i="74"/>
  <c r="E179" i="74"/>
  <c r="D217" i="74"/>
  <c r="D115" i="74"/>
  <c r="D83" i="74"/>
  <c r="D221" i="74"/>
  <c r="D179" i="74"/>
  <c r="D182" i="74"/>
  <c r="D232" i="74"/>
  <c r="D204" i="74"/>
  <c r="D226" i="74"/>
  <c r="D119" i="74"/>
  <c r="D56" i="74"/>
  <c r="D18" i="74"/>
  <c r="D73" i="74"/>
  <c r="D134" i="74"/>
  <c r="D184" i="74"/>
  <c r="D201" i="74"/>
  <c r="D92" i="74"/>
  <c r="D104" i="74"/>
  <c r="D141" i="74"/>
  <c r="D157" i="74"/>
  <c r="D122" i="74"/>
  <c r="D8" i="74"/>
  <c r="D172" i="74"/>
  <c r="D68" i="74"/>
  <c r="D151" i="74"/>
  <c r="D25" i="74"/>
  <c r="D29" i="74"/>
  <c r="D189" i="74"/>
  <c r="H27" i="74"/>
  <c r="H19" i="74"/>
  <c r="H139" i="74"/>
  <c r="H155" i="74"/>
  <c r="G117" i="74"/>
  <c r="G182" i="74"/>
  <c r="H47" i="74"/>
  <c r="H88" i="74"/>
  <c r="H144" i="74"/>
  <c r="H160" i="74"/>
  <c r="F61" i="74"/>
  <c r="F170" i="74"/>
  <c r="F182" i="74"/>
  <c r="F229" i="74"/>
  <c r="H224" i="74"/>
  <c r="H200" i="74"/>
  <c r="H168" i="74"/>
  <c r="F158" i="74"/>
  <c r="F187" i="74"/>
  <c r="F29" i="74"/>
  <c r="H176" i="74"/>
  <c r="H152" i="74"/>
  <c r="H48" i="74"/>
  <c r="H59" i="74"/>
  <c r="H136" i="74"/>
  <c r="H52" i="74"/>
  <c r="H227" i="74"/>
  <c r="H91" i="74"/>
  <c r="H10" i="74"/>
  <c r="H51" i="74"/>
  <c r="H211" i="74"/>
  <c r="H192" i="74"/>
  <c r="H67" i="74"/>
  <c r="H120" i="74"/>
  <c r="H75" i="74"/>
  <c r="H123" i="74"/>
  <c r="H235" i="74"/>
  <c r="H53" i="74"/>
  <c r="D187" i="74"/>
  <c r="D158" i="74"/>
  <c r="D70" i="74"/>
  <c r="D117" i="74"/>
  <c r="D206" i="74"/>
  <c r="P240" i="41"/>
  <c r="E240" i="74" s="1"/>
  <c r="H240" i="74" s="1"/>
  <c r="P208" i="41"/>
  <c r="E208" i="74" s="1"/>
  <c r="H208" i="74" s="1"/>
  <c r="P249" i="41"/>
  <c r="E249" i="74" s="1"/>
  <c r="H249" i="74" s="1"/>
  <c r="P225" i="41"/>
  <c r="E225" i="74" s="1"/>
  <c r="H225" i="74" s="1"/>
  <c r="P217" i="41"/>
  <c r="P209" i="41"/>
  <c r="E209" i="74" s="1"/>
  <c r="H209" i="74" s="1"/>
  <c r="P201" i="41"/>
  <c r="E193" i="74"/>
  <c r="H193" i="74" s="1"/>
  <c r="P185" i="41"/>
  <c r="E185" i="74" s="1"/>
  <c r="H185" i="74" s="1"/>
  <c r="P177" i="41"/>
  <c r="E177" i="74" s="1"/>
  <c r="H177" i="74" s="1"/>
  <c r="E169" i="74"/>
  <c r="H169" i="74" s="1"/>
  <c r="P161" i="41"/>
  <c r="E161" i="74" s="1"/>
  <c r="H161" i="74" s="1"/>
  <c r="E153" i="74"/>
  <c r="H153" i="74" s="1"/>
  <c r="P145" i="41"/>
  <c r="E145" i="74" s="1"/>
  <c r="H145" i="74" s="1"/>
  <c r="P129" i="41"/>
  <c r="E129" i="74" s="1"/>
  <c r="H129" i="74" s="1"/>
  <c r="P121" i="41"/>
  <c r="E121" i="74" s="1"/>
  <c r="H121" i="74" s="1"/>
  <c r="P113" i="41"/>
  <c r="E113" i="74" s="1"/>
  <c r="H113" i="74" s="1"/>
  <c r="P105" i="41"/>
  <c r="E105" i="74" s="1"/>
  <c r="H105" i="74" s="1"/>
  <c r="P97" i="41"/>
  <c r="E97" i="74" s="1"/>
  <c r="H97" i="74" s="1"/>
  <c r="P73" i="41"/>
  <c r="P65" i="41"/>
  <c r="E65" i="74" s="1"/>
  <c r="H65" i="74" s="1"/>
  <c r="P57" i="41"/>
  <c r="P49" i="41"/>
  <c r="E49" i="74" s="1"/>
  <c r="H49" i="74" s="1"/>
  <c r="P41" i="41"/>
  <c r="E41" i="74" s="1"/>
  <c r="H41" i="74" s="1"/>
  <c r="P33" i="41"/>
  <c r="E33" i="74" s="1"/>
  <c r="H33" i="74" s="1"/>
  <c r="P25" i="41"/>
  <c r="P17" i="41"/>
  <c r="E17" i="74" s="1"/>
  <c r="H17" i="74" s="1"/>
  <c r="P9" i="41"/>
  <c r="E9" i="74" s="1"/>
  <c r="H9" i="74" s="1"/>
  <c r="E32" i="74"/>
  <c r="H32" i="74" s="1"/>
  <c r="P247" i="41"/>
  <c r="E247" i="74" s="1"/>
  <c r="H247" i="74" s="1"/>
  <c r="P215" i="41"/>
  <c r="E215" i="74" s="1"/>
  <c r="H215" i="74" s="1"/>
  <c r="P207" i="41"/>
  <c r="E207" i="74" s="1"/>
  <c r="H207" i="74" s="1"/>
  <c r="P199" i="41"/>
  <c r="E199" i="74" s="1"/>
  <c r="H199" i="74" s="1"/>
  <c r="E191" i="74"/>
  <c r="H191" i="74" s="1"/>
  <c r="P183" i="41"/>
  <c r="E183" i="74" s="1"/>
  <c r="H183" i="74" s="1"/>
  <c r="P167" i="41"/>
  <c r="P143" i="41"/>
  <c r="E143" i="74" s="1"/>
  <c r="H143" i="74" s="1"/>
  <c r="P135" i="41"/>
  <c r="E135" i="74" s="1"/>
  <c r="H135" i="74" s="1"/>
  <c r="P119" i="41"/>
  <c r="P103" i="41"/>
  <c r="E103" i="74" s="1"/>
  <c r="H103" i="74" s="1"/>
  <c r="P95" i="41"/>
  <c r="E95" i="74" s="1"/>
  <c r="H95" i="74" s="1"/>
  <c r="P87" i="41"/>
  <c r="E87" i="74" s="1"/>
  <c r="H87" i="74" s="1"/>
  <c r="P79" i="41"/>
  <c r="E79" i="74" s="1"/>
  <c r="H79" i="74" s="1"/>
  <c r="P71" i="41"/>
  <c r="E71" i="74" s="1"/>
  <c r="H71" i="74" s="1"/>
  <c r="P63" i="41"/>
  <c r="E63" i="74" s="1"/>
  <c r="H63" i="74" s="1"/>
  <c r="P55" i="41"/>
  <c r="E55" i="74" s="1"/>
  <c r="H55" i="74" s="1"/>
  <c r="P39" i="41"/>
  <c r="E39" i="74" s="1"/>
  <c r="H39" i="74" s="1"/>
  <c r="P31" i="41"/>
  <c r="E31" i="74" s="1"/>
  <c r="H31" i="74" s="1"/>
  <c r="P23" i="41"/>
  <c r="E23" i="74" s="1"/>
  <c r="H23" i="74" s="1"/>
  <c r="P72" i="41"/>
  <c r="E72" i="74" s="1"/>
  <c r="H72" i="74" s="1"/>
  <c r="P40" i="41"/>
  <c r="E40" i="74" s="1"/>
  <c r="H40" i="74" s="1"/>
  <c r="P246" i="41"/>
  <c r="E246" i="74" s="1"/>
  <c r="P174" i="41"/>
  <c r="E174" i="74" s="1"/>
  <c r="P166" i="41"/>
  <c r="E166" i="74" s="1"/>
  <c r="H166" i="74" s="1"/>
  <c r="E150" i="74"/>
  <c r="H150" i="74" s="1"/>
  <c r="P142" i="41"/>
  <c r="E142" i="74" s="1"/>
  <c r="H142" i="74" s="1"/>
  <c r="P134" i="41"/>
  <c r="P118" i="41"/>
  <c r="E118" i="74" s="1"/>
  <c r="H118" i="74" s="1"/>
  <c r="P102" i="41"/>
  <c r="E102" i="74" s="1"/>
  <c r="H102" i="74" s="1"/>
  <c r="P94" i="41"/>
  <c r="E94" i="74" s="1"/>
  <c r="H94" i="74" s="1"/>
  <c r="P86" i="41"/>
  <c r="E86" i="74" s="1"/>
  <c r="H86" i="74" s="1"/>
  <c r="P78" i="41"/>
  <c r="E78" i="74" s="1"/>
  <c r="H78" i="74" s="1"/>
  <c r="P62" i="41"/>
  <c r="E62" i="74" s="1"/>
  <c r="H62" i="74" s="1"/>
  <c r="P54" i="41"/>
  <c r="E54" i="74" s="1"/>
  <c r="H54" i="74" s="1"/>
  <c r="P38" i="41"/>
  <c r="E38" i="74" s="1"/>
  <c r="H38" i="74" s="1"/>
  <c r="P30" i="41"/>
  <c r="E30" i="74" s="1"/>
  <c r="H30" i="74" s="1"/>
  <c r="P22" i="41"/>
  <c r="E22" i="74" s="1"/>
  <c r="H22" i="74" s="1"/>
  <c r="P245" i="41"/>
  <c r="E245" i="74" s="1"/>
  <c r="H245" i="74" s="1"/>
  <c r="P237" i="41"/>
  <c r="E237" i="74" s="1"/>
  <c r="H237" i="74" s="1"/>
  <c r="P221" i="41"/>
  <c r="P213" i="41"/>
  <c r="E213" i="74" s="1"/>
  <c r="H213" i="74" s="1"/>
  <c r="P205" i="41"/>
  <c r="E205" i="74" s="1"/>
  <c r="H205" i="74" s="1"/>
  <c r="P189" i="41"/>
  <c r="P181" i="41"/>
  <c r="P173" i="41"/>
  <c r="E173" i="74" s="1"/>
  <c r="H173" i="74" s="1"/>
  <c r="P165" i="41"/>
  <c r="E165" i="74" s="1"/>
  <c r="H165" i="74" s="1"/>
  <c r="P157" i="41"/>
  <c r="E149" i="74"/>
  <c r="P141" i="41"/>
  <c r="P133" i="41"/>
  <c r="E133" i="74" s="1"/>
  <c r="H133" i="74" s="1"/>
  <c r="P125" i="41"/>
  <c r="E125" i="74" s="1"/>
  <c r="H125" i="74" s="1"/>
  <c r="P93" i="41"/>
  <c r="E93" i="74" s="1"/>
  <c r="H93" i="74" s="1"/>
  <c r="P85" i="41"/>
  <c r="E85" i="74" s="1"/>
  <c r="H85" i="74" s="1"/>
  <c r="P77" i="41"/>
  <c r="E77" i="74" s="1"/>
  <c r="H77" i="74" s="1"/>
  <c r="P69" i="41"/>
  <c r="E69" i="74" s="1"/>
  <c r="H69" i="74" s="1"/>
  <c r="P37" i="41"/>
  <c r="E37" i="74" s="1"/>
  <c r="H37" i="74" s="1"/>
  <c r="P21" i="41"/>
  <c r="E21" i="74" s="1"/>
  <c r="H21" i="74" s="1"/>
  <c r="P13" i="41"/>
  <c r="E13" i="74" s="1"/>
  <c r="H13" i="74" s="1"/>
  <c r="P252" i="41"/>
  <c r="E252" i="74" s="1"/>
  <c r="H252" i="74" s="1"/>
  <c r="P244" i="41"/>
  <c r="E244" i="74" s="1"/>
  <c r="H244" i="74" s="1"/>
  <c r="P236" i="41"/>
  <c r="E236" i="74" s="1"/>
  <c r="H236" i="74" s="1"/>
  <c r="P220" i="41"/>
  <c r="E220" i="74" s="1"/>
  <c r="H220" i="74" s="1"/>
  <c r="P212" i="41"/>
  <c r="E212" i="74" s="1"/>
  <c r="H212" i="74" s="1"/>
  <c r="P204" i="41"/>
  <c r="P188" i="41"/>
  <c r="E188" i="74" s="1"/>
  <c r="H188" i="74" s="1"/>
  <c r="E180" i="74"/>
  <c r="H180" i="74" s="1"/>
  <c r="P172" i="41"/>
  <c r="P164" i="41"/>
  <c r="E164" i="74" s="1"/>
  <c r="H164" i="74" s="1"/>
  <c r="P156" i="41"/>
  <c r="E156" i="74" s="1"/>
  <c r="H156" i="74" s="1"/>
  <c r="P140" i="41"/>
  <c r="E140" i="74" s="1"/>
  <c r="H140" i="74" s="1"/>
  <c r="P124" i="41"/>
  <c r="E124" i="74" s="1"/>
  <c r="H124" i="74" s="1"/>
  <c r="P116" i="41"/>
  <c r="E116" i="74" s="1"/>
  <c r="H116" i="74" s="1"/>
  <c r="P100" i="41"/>
  <c r="E100" i="74" s="1"/>
  <c r="H100" i="74" s="1"/>
  <c r="P92" i="41"/>
  <c r="P84" i="41"/>
  <c r="E84" i="74" s="1"/>
  <c r="H84" i="74" s="1"/>
  <c r="P76" i="41"/>
  <c r="E76" i="74" s="1"/>
  <c r="H76" i="74" s="1"/>
  <c r="P68" i="41"/>
  <c r="P60" i="41"/>
  <c r="E60" i="74" s="1"/>
  <c r="H60" i="74" s="1"/>
  <c r="P28" i="41"/>
  <c r="E28" i="74" s="1"/>
  <c r="H28" i="74" s="1"/>
  <c r="P20" i="41"/>
  <c r="E20" i="74" s="1"/>
  <c r="H20" i="74" s="1"/>
  <c r="P12" i="41"/>
  <c r="E12" i="74" s="1"/>
  <c r="H12" i="74" s="1"/>
  <c r="P250" i="41"/>
  <c r="E250" i="74" s="1"/>
  <c r="H250" i="74" s="1"/>
  <c r="P242" i="41"/>
  <c r="E242" i="74" s="1"/>
  <c r="H242" i="74" s="1"/>
  <c r="P234" i="41"/>
  <c r="E234" i="74" s="1"/>
  <c r="H234" i="74" s="1"/>
  <c r="P226" i="41"/>
  <c r="P218" i="41"/>
  <c r="E218" i="74" s="1"/>
  <c r="H218" i="74" s="1"/>
  <c r="P210" i="41"/>
  <c r="E210" i="74" s="1"/>
  <c r="H210" i="74" s="1"/>
  <c r="P202" i="41"/>
  <c r="E202" i="74" s="1"/>
  <c r="H202" i="74" s="1"/>
  <c r="P194" i="41"/>
  <c r="E194" i="74" s="1"/>
  <c r="H194" i="74" s="1"/>
  <c r="P186" i="41"/>
  <c r="E186" i="74" s="1"/>
  <c r="H186" i="74" s="1"/>
  <c r="P178" i="41"/>
  <c r="E178" i="74" s="1"/>
  <c r="H178" i="74" s="1"/>
  <c r="P162" i="41"/>
  <c r="E162" i="74" s="1"/>
  <c r="H162" i="74" s="1"/>
  <c r="P146" i="41"/>
  <c r="E146" i="74" s="1"/>
  <c r="H146" i="74" s="1"/>
  <c r="P130" i="41"/>
  <c r="E130" i="74" s="1"/>
  <c r="H130" i="74" s="1"/>
  <c r="P122" i="41"/>
  <c r="P114" i="41"/>
  <c r="E114" i="74" s="1"/>
  <c r="H114" i="74" s="1"/>
  <c r="P98" i="41"/>
  <c r="E98" i="74" s="1"/>
  <c r="H98" i="74" s="1"/>
  <c r="P90" i="41"/>
  <c r="E90" i="74" s="1"/>
  <c r="H90" i="74" s="1"/>
  <c r="P74" i="41"/>
  <c r="E74" i="74" s="1"/>
  <c r="H74" i="74" s="1"/>
  <c r="P66" i="41"/>
  <c r="E66" i="74" s="1"/>
  <c r="H66" i="74" s="1"/>
  <c r="P58" i="41"/>
  <c r="E58" i="74" s="1"/>
  <c r="H58" i="74" s="1"/>
  <c r="P50" i="41"/>
  <c r="E50" i="74" s="1"/>
  <c r="H50" i="74" s="1"/>
  <c r="P42" i="41"/>
  <c r="E42" i="74" s="1"/>
  <c r="H42" i="74" s="1"/>
  <c r="P26" i="41"/>
  <c r="E26" i="74" s="1"/>
  <c r="H26" i="74" s="1"/>
  <c r="P18" i="41"/>
  <c r="G190" i="74"/>
  <c r="G222" i="74"/>
  <c r="G238" i="74"/>
  <c r="G246" i="74"/>
  <c r="G174" i="74"/>
  <c r="G230" i="74"/>
  <c r="G126" i="74"/>
  <c r="G127" i="74"/>
  <c r="F230" i="74"/>
  <c r="F190" i="74"/>
  <c r="F239" i="74"/>
  <c r="F238" i="74"/>
  <c r="F231" i="74"/>
  <c r="F127" i="74"/>
  <c r="F246" i="74"/>
  <c r="F126" i="74"/>
  <c r="P190" i="41"/>
  <c r="E190" i="74" s="1"/>
  <c r="P159" i="41"/>
  <c r="E159" i="74" s="1"/>
  <c r="H159" i="74" s="1"/>
  <c r="P231" i="41"/>
  <c r="E231" i="74" s="1"/>
  <c r="P230" i="41"/>
  <c r="E230" i="74" s="1"/>
  <c r="P126" i="41"/>
  <c r="E126" i="74" s="1"/>
  <c r="E239" i="74"/>
  <c r="P127" i="41"/>
  <c r="E127" i="74" s="1"/>
  <c r="P238" i="41"/>
  <c r="E238" i="74" s="1"/>
  <c r="P222" i="41"/>
  <c r="E222" i="74" s="1"/>
  <c r="D239" i="74"/>
  <c r="P231" i="39"/>
  <c r="P230" i="39"/>
  <c r="D230" i="74" s="1"/>
  <c r="P246" i="39"/>
  <c r="D246" i="74" s="1"/>
  <c r="P238" i="39"/>
  <c r="D238" i="74" s="1"/>
  <c r="P126" i="39"/>
  <c r="D126" i="74" s="1"/>
  <c r="P167" i="39"/>
  <c r="P127" i="39"/>
  <c r="D127" i="74" s="1"/>
  <c r="I253" i="17"/>
  <c r="E248" i="17"/>
  <c r="E253" i="17" s="1"/>
  <c r="M248" i="17"/>
  <c r="G248" i="17"/>
  <c r="O248" i="17"/>
  <c r="J253" i="17"/>
  <c r="D138" i="17"/>
  <c r="L138" i="17"/>
  <c r="F253" i="17"/>
  <c r="D253" i="17"/>
  <c r="G138" i="17"/>
  <c r="G253" i="17" s="1"/>
  <c r="O138" i="17"/>
  <c r="D248" i="17"/>
  <c r="L248" i="17"/>
  <c r="E128" i="74" l="1"/>
  <c r="E158" i="74"/>
  <c r="H158" i="74" s="1"/>
  <c r="E233" i="74"/>
  <c r="E80" i="74"/>
  <c r="D111" i="74"/>
  <c r="E187" i="74"/>
  <c r="H187" i="74" s="1"/>
  <c r="E181" i="74"/>
  <c r="H181" i="74" s="1"/>
  <c r="E182" i="74"/>
  <c r="H182" i="74" s="1"/>
  <c r="E214" i="74"/>
  <c r="H214" i="74" s="1"/>
  <c r="E61" i="74"/>
  <c r="H61" i="74" s="1"/>
  <c r="D89" i="74"/>
  <c r="H239" i="74"/>
  <c r="H179" i="74"/>
  <c r="G111" i="74"/>
  <c r="E197" i="74"/>
  <c r="F80" i="74"/>
  <c r="G80" i="74"/>
  <c r="E223" i="74"/>
  <c r="F70" i="74"/>
  <c r="F233" i="74"/>
  <c r="E89" i="74"/>
  <c r="H89" i="74" s="1"/>
  <c r="H83" i="74"/>
  <c r="H104" i="74"/>
  <c r="H184" i="74"/>
  <c r="H8" i="74"/>
  <c r="H232" i="74"/>
  <c r="F111" i="74"/>
  <c r="H56" i="74"/>
  <c r="H115" i="74"/>
  <c r="H127" i="74"/>
  <c r="D106" i="74"/>
  <c r="H174" i="74"/>
  <c r="G219" i="74"/>
  <c r="G148" i="74"/>
  <c r="G137" i="74"/>
  <c r="H222" i="74"/>
  <c r="G24" i="74"/>
  <c r="G106" i="74"/>
  <c r="G15" i="74"/>
  <c r="F148" i="74"/>
  <c r="H190" i="74"/>
  <c r="F106" i="74"/>
  <c r="F219" i="74"/>
  <c r="F137" i="74"/>
  <c r="F24" i="74"/>
  <c r="F15" i="74"/>
  <c r="H230" i="74"/>
  <c r="H246" i="74"/>
  <c r="E25" i="74"/>
  <c r="H25" i="74" s="1"/>
  <c r="E29" i="74"/>
  <c r="H29" i="74" s="1"/>
  <c r="E189" i="74"/>
  <c r="H189" i="74" s="1"/>
  <c r="H126" i="74"/>
  <c r="E18" i="74"/>
  <c r="H18" i="74" s="1"/>
  <c r="E141" i="74"/>
  <c r="H141" i="74" s="1"/>
  <c r="E119" i="74"/>
  <c r="H119" i="74" s="1"/>
  <c r="E201" i="74"/>
  <c r="H201" i="74" s="1"/>
  <c r="E172" i="74"/>
  <c r="H172" i="74" s="1"/>
  <c r="E175" i="74"/>
  <c r="E204" i="74"/>
  <c r="H204" i="74" s="1"/>
  <c r="E206" i="74"/>
  <c r="H206" i="74" s="1"/>
  <c r="E221" i="74"/>
  <c r="H221" i="74" s="1"/>
  <c r="E57" i="74"/>
  <c r="H57" i="74" s="1"/>
  <c r="E92" i="74"/>
  <c r="H92" i="74" s="1"/>
  <c r="E101" i="74"/>
  <c r="H101" i="74" s="1"/>
  <c r="H238" i="74"/>
  <c r="E122" i="74"/>
  <c r="H122" i="74" s="1"/>
  <c r="E157" i="74"/>
  <c r="H157" i="74" s="1"/>
  <c r="E217" i="74"/>
  <c r="H217" i="74" s="1"/>
  <c r="E151" i="74"/>
  <c r="H151" i="74" s="1"/>
  <c r="E154" i="74"/>
  <c r="H154" i="74" s="1"/>
  <c r="E167" i="74"/>
  <c r="E170" i="74"/>
  <c r="E73" i="74"/>
  <c r="H73" i="74" s="1"/>
  <c r="E134" i="74"/>
  <c r="H134" i="74" s="1"/>
  <c r="E226" i="74"/>
  <c r="H226" i="74" s="1"/>
  <c r="E229" i="74"/>
  <c r="H229" i="74" s="1"/>
  <c r="E68" i="74"/>
  <c r="H68" i="74" s="1"/>
  <c r="E70" i="74"/>
  <c r="E117" i="74"/>
  <c r="H117" i="74" s="1"/>
  <c r="D167" i="74"/>
  <c r="D170" i="74"/>
  <c r="D137" i="74"/>
  <c r="D24" i="74"/>
  <c r="D15" i="74"/>
  <c r="D231" i="74"/>
  <c r="H231" i="74" s="1"/>
  <c r="D233" i="74"/>
  <c r="D219" i="74"/>
  <c r="E111" i="74" l="1"/>
  <c r="H111" i="74" s="1"/>
  <c r="H70" i="74"/>
  <c r="H80" i="74"/>
  <c r="E106" i="74"/>
  <c r="H106" i="74" s="1"/>
  <c r="E138" i="74"/>
  <c r="G175" i="74"/>
  <c r="H175" i="74" s="1"/>
  <c r="G197" i="74"/>
  <c r="G223" i="74"/>
  <c r="H223" i="74" s="1"/>
  <c r="F197" i="74"/>
  <c r="H233" i="74"/>
  <c r="F198" i="74"/>
  <c r="G36" i="74"/>
  <c r="G112" i="74"/>
  <c r="G16" i="74"/>
  <c r="G128" i="74"/>
  <c r="F36" i="74"/>
  <c r="F112" i="74"/>
  <c r="F128" i="74"/>
  <c r="F16" i="74"/>
  <c r="F243" i="74"/>
  <c r="F248" i="74"/>
  <c r="H167" i="74"/>
  <c r="E132" i="74"/>
  <c r="E148" i="74"/>
  <c r="H148" i="74" s="1"/>
  <c r="E219" i="74"/>
  <c r="H219" i="74" s="1"/>
  <c r="E24" i="74"/>
  <c r="H24" i="74" s="1"/>
  <c r="H170" i="74"/>
  <c r="E137" i="74"/>
  <c r="H137" i="74" s="1"/>
  <c r="E15" i="74"/>
  <c r="H15" i="74" s="1"/>
  <c r="D198" i="74"/>
  <c r="D36" i="74"/>
  <c r="D112" i="74"/>
  <c r="D128" i="74"/>
  <c r="D16" i="74"/>
  <c r="D243" i="74"/>
  <c r="D248" i="74"/>
  <c r="H197" i="74" l="1"/>
  <c r="H128" i="74"/>
  <c r="G198" i="74"/>
  <c r="E198" i="74"/>
  <c r="G132" i="74"/>
  <c r="G243" i="74"/>
  <c r="G248" i="74"/>
  <c r="F132" i="74"/>
  <c r="E243" i="74"/>
  <c r="E248" i="74"/>
  <c r="E16" i="74"/>
  <c r="H16" i="74" s="1"/>
  <c r="E36" i="74"/>
  <c r="H36" i="74" s="1"/>
  <c r="E112" i="74"/>
  <c r="H112" i="74" s="1"/>
  <c r="D132" i="74"/>
  <c r="H198" i="74" l="1"/>
  <c r="H248" i="74"/>
  <c r="H243" i="74"/>
  <c r="G138" i="74"/>
  <c r="G253" i="74"/>
  <c r="H132" i="74"/>
  <c r="F138" i="74"/>
  <c r="F253" i="74"/>
  <c r="E253" i="74"/>
  <c r="D138" i="74"/>
  <c r="D253" i="74"/>
  <c r="H253" i="74" l="1"/>
  <c r="H138" i="74"/>
</calcChain>
</file>

<file path=xl/sharedStrings.xml><?xml version="1.0" encoding="utf-8"?>
<sst xmlns="http://schemas.openxmlformats.org/spreadsheetml/2006/main" count="4973" uniqueCount="474">
  <si>
    <t>-</t>
  </si>
  <si>
    <t>•ENTITY</t>
  </si>
  <si>
    <t>•VALUE 1</t>
  </si>
  <si>
    <t>•VALUE 2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</si>
  <si>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</si>
  <si>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</si>
  <si>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</si>
  <si>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</si>
  <si>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t>PERIODE</t>
  </si>
  <si>
    <t>PT GISTEX  GARMENT INDONESIA ( CILEUNYI )</t>
  </si>
  <si>
    <t xml:space="preserve">PRODUCTION AND SALES &amp; ADMINISTRATIVE EXPENSES  </t>
  </si>
  <si>
    <t>PERKIRAAN</t>
  </si>
  <si>
    <t>PRODUCTION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</si>
  <si>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</si>
  <si>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</si>
  <si>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</si>
  <si>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</si>
  <si>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</si>
  <si>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</si>
  <si>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</si>
  <si>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</si>
  <si>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</si>
  <si>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</si>
  <si>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</si>
  <si>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</si>
  <si>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</si>
  <si>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REVENUE</t>
  </si>
  <si>
    <t xml:space="preserve"> SALES</t>
  </si>
  <si>
    <t>511000</t>
  </si>
  <si>
    <t xml:space="preserve">   SALES EXPORT MARKET</t>
  </si>
  <si>
    <t>512000</t>
  </si>
  <si>
    <t xml:space="preserve">   SALES LOCAL MARKET</t>
  </si>
  <si>
    <t>513000</t>
  </si>
  <si>
    <t xml:space="preserve">   SALES KBN MARKET</t>
  </si>
  <si>
    <t>514000</t>
  </si>
  <si>
    <t xml:space="preserve">   SALES - OTHERS</t>
  </si>
  <si>
    <t>515000</t>
  </si>
  <si>
    <t xml:space="preserve">   SALES RETURN &amp; ALWNC</t>
  </si>
  <si>
    <t>516000</t>
  </si>
  <si>
    <t xml:space="preserve">   SALES DISCOUNT</t>
  </si>
  <si>
    <t xml:space="preserve">   SALES LOCAL MARKET - RP</t>
  </si>
  <si>
    <t>510000</t>
  </si>
  <si>
    <t>500000</t>
  </si>
  <si>
    <t xml:space="preserve"> REVENUE</t>
  </si>
  <si>
    <t>COST OF REVENUE</t>
  </si>
  <si>
    <t xml:space="preserve"> COST OF GOODS SOLD</t>
  </si>
  <si>
    <t>611000</t>
  </si>
  <si>
    <t xml:space="preserve">    C.O.G.S. EXPORT MARKET</t>
  </si>
  <si>
    <t>611000.A1</t>
  </si>
  <si>
    <t xml:space="preserve">    C.O.G.S. EXPORT - MATERIAL</t>
  </si>
  <si>
    <t xml:space="preserve">    C.O.G.S. EXPORT - MARKET</t>
  </si>
  <si>
    <t>611000.B1</t>
  </si>
  <si>
    <t xml:space="preserve">    C.O.G.S. EXPORT - LABOR</t>
  </si>
  <si>
    <t>611000.B3</t>
  </si>
  <si>
    <t xml:space="preserve">    C.O.G.S. EXPOR - PROD.</t>
  </si>
  <si>
    <t xml:space="preserve">   C.O.G.S. EXPORT MARKET</t>
  </si>
  <si>
    <t>612000</t>
  </si>
  <si>
    <t xml:space="preserve">    C.O.G.S. LOCAL MARKET</t>
  </si>
  <si>
    <t>612000.A1</t>
  </si>
  <si>
    <t xml:space="preserve">    C.O.G.S. LOCAL - MATERIAL</t>
  </si>
  <si>
    <t>612000.B1</t>
  </si>
  <si>
    <t xml:space="preserve">    C.O.G.S. LOCAL - DIRECT</t>
  </si>
  <si>
    <t>612000.B3</t>
  </si>
  <si>
    <t xml:space="preserve">    C.O.G.S. LOCAL - PROD.</t>
  </si>
  <si>
    <t xml:space="preserve">   C.O.G.S. LOCAL MARKET</t>
  </si>
  <si>
    <t>613000</t>
  </si>
  <si>
    <t xml:space="preserve">    C.O.G.S. KBN MARKET</t>
  </si>
  <si>
    <t>613000.A1</t>
  </si>
  <si>
    <t xml:space="preserve">    C.O.G.S. KBN - MATERIAL</t>
  </si>
  <si>
    <t>613000.B1</t>
  </si>
  <si>
    <t xml:space="preserve">    C.O.G.S. KBN - DIRECT LABOUR</t>
  </si>
  <si>
    <t>613000.B3</t>
  </si>
  <si>
    <t xml:space="preserve">    C.O.G.S. KBN - PROD. CO</t>
  </si>
  <si>
    <t xml:space="preserve">   C.O.G.S. KBN MARKET</t>
  </si>
  <si>
    <t>614000</t>
  </si>
  <si>
    <t xml:space="preserve">   C.O.G.S. OTHERS</t>
  </si>
  <si>
    <t>610000</t>
  </si>
  <si>
    <t xml:space="preserve">  COST OF GOODS SOLD</t>
  </si>
  <si>
    <t xml:space="preserve"> VARIANCES FROM STD COST</t>
  </si>
  <si>
    <t>621100</t>
  </si>
  <si>
    <t xml:space="preserve"> COST OF REWORK</t>
  </si>
  <si>
    <t>621200</t>
  </si>
  <si>
    <t xml:space="preserve">   VARIANCES MAKLOON</t>
  </si>
  <si>
    <t xml:space="preserve">   VARIANCES IN HOUSE ACTUAL</t>
  </si>
  <si>
    <t>621300.A1</t>
  </si>
  <si>
    <t xml:space="preserve">    VAR. ACTUAL MATERIAL</t>
  </si>
  <si>
    <t>621300.B1</t>
  </si>
  <si>
    <t xml:space="preserve">    VAR. ACTUAL LABOR</t>
  </si>
  <si>
    <t xml:space="preserve">    VAR. ACTUAL SETUP LABOR</t>
  </si>
  <si>
    <t>621300.B3</t>
  </si>
  <si>
    <t xml:space="preserve">    VAR. ACTUAL DIRECT COST</t>
  </si>
  <si>
    <t xml:space="preserve">    VAR. ACT MACHINE VARIABLE</t>
  </si>
  <si>
    <t xml:space="preserve">    VAR. ACT MACHINE FIXED OH</t>
  </si>
  <si>
    <t>621300</t>
  </si>
  <si>
    <t xml:space="preserve">   VARIANCE MKT PORTION</t>
  </si>
  <si>
    <t>621400.A1</t>
  </si>
  <si>
    <t xml:space="preserve">    VAR. MKT PORTION - MATERIAL</t>
  </si>
  <si>
    <t>621400.B1</t>
  </si>
  <si>
    <t xml:space="preserve">    VAR. MKT PORTION - LABOUR</t>
  </si>
  <si>
    <t>621400.B3</t>
  </si>
  <si>
    <t xml:space="preserve">    VAR. MKT PORTION - O/H</t>
  </si>
  <si>
    <t>621400</t>
  </si>
  <si>
    <t>620000</t>
  </si>
  <si>
    <t xml:space="preserve">  VARIANCES FROM STD COST</t>
  </si>
  <si>
    <t xml:space="preserve">  DIRECT MANUFACTURING COST</t>
  </si>
  <si>
    <t xml:space="preserve">   COST OF LABOR</t>
  </si>
  <si>
    <t>630110</t>
  </si>
  <si>
    <t xml:space="preserve">    LABOR COST</t>
  </si>
  <si>
    <t>630120</t>
  </si>
  <si>
    <t xml:space="preserve">    ANNUAL INCENTIVE ALLOWANCE</t>
  </si>
  <si>
    <t>630130</t>
  </si>
  <si>
    <t xml:space="preserve">    MEDICAL ALLOWANCE</t>
  </si>
  <si>
    <t>630140</t>
  </si>
  <si>
    <t xml:space="preserve">    OTHER ALLOWANCE</t>
  </si>
  <si>
    <t>630150</t>
  </si>
  <si>
    <t xml:space="preserve">    JAMSOSTEK</t>
  </si>
  <si>
    <t>630100</t>
  </si>
  <si>
    <t>630200</t>
  </si>
  <si>
    <t xml:space="preserve">   FARE ALLOWANCE</t>
  </si>
  <si>
    <t>630300</t>
  </si>
  <si>
    <t xml:space="preserve">   FACTORY SUPPLIES EXPENSES</t>
  </si>
  <si>
    <t>630400</t>
  </si>
  <si>
    <t xml:space="preserve">   ELECTRICITY</t>
  </si>
  <si>
    <t>630450</t>
  </si>
  <si>
    <t xml:space="preserve">   WATER</t>
  </si>
  <si>
    <t xml:space="preserve">   RAW MATERIAL &amp; FREIGHT EXPENSES</t>
  </si>
  <si>
    <t>630510</t>
  </si>
  <si>
    <t xml:space="preserve">    INDIRECT RAW MAT. EXP.</t>
  </si>
  <si>
    <t>630520</t>
  </si>
  <si>
    <t xml:space="preserve">    FREIGHT EXPENSES</t>
  </si>
  <si>
    <t xml:space="preserve">    FREIGHT IN</t>
  </si>
  <si>
    <t>630500</t>
  </si>
  <si>
    <t>630600</t>
  </si>
  <si>
    <t xml:space="preserve">   VENDOR EXPENSES</t>
  </si>
  <si>
    <t xml:space="preserve">   MAINTENANCE &amp; REPAIR EXPENSES</t>
  </si>
  <si>
    <t>630710</t>
  </si>
  <si>
    <t xml:space="preserve">    MAINT. &amp; REP. BUILDING</t>
  </si>
  <si>
    <t>630720</t>
  </si>
  <si>
    <t xml:space="preserve">    MAINT. &amp; REP. MACHINERIE</t>
  </si>
  <si>
    <t>630730</t>
  </si>
  <si>
    <t xml:space="preserve">    MAINT. &amp; REP. PLANT EQUI</t>
  </si>
  <si>
    <t>630740</t>
  </si>
  <si>
    <t xml:space="preserve">    MAINT. &amp; REP. WATER INSTL.</t>
  </si>
  <si>
    <t>630750</t>
  </si>
  <si>
    <t xml:space="preserve">    MAINT. &amp; REP. GEN&amp;BOILER</t>
  </si>
  <si>
    <t xml:space="preserve">    MAINT. &amp; REP. MOTOR VEHICL</t>
  </si>
  <si>
    <t xml:space="preserve">    MAINT. &amp; REP. ELECTRICITY</t>
  </si>
  <si>
    <t>630700</t>
  </si>
  <si>
    <t xml:space="preserve">   DEPRECIATION EXPENSES</t>
  </si>
  <si>
    <t xml:space="preserve">    DEPR. EXP. LAND</t>
  </si>
  <si>
    <t>630810</t>
  </si>
  <si>
    <t xml:space="preserve">    DEPR. EXP. BUILDING</t>
  </si>
  <si>
    <t>630820</t>
  </si>
  <si>
    <t xml:space="preserve">    DEPR. EXP. MACHINERIES</t>
  </si>
  <si>
    <t>630830</t>
  </si>
  <si>
    <t xml:space="preserve">    DEPR. EXP. GENERATOR&amp;BOILER</t>
  </si>
  <si>
    <t>630840</t>
  </si>
  <si>
    <t xml:space="preserve">    DEPR. EXP. ELECTRICAL INSTALLATION</t>
  </si>
  <si>
    <t>630850</t>
  </si>
  <si>
    <t xml:space="preserve">    DEPR. EXP. WATER INSTLM</t>
  </si>
  <si>
    <t>630860</t>
  </si>
  <si>
    <t xml:space="preserve">    DEPR. EXP. PLANT EQUIPMENT</t>
  </si>
  <si>
    <t>630800</t>
  </si>
  <si>
    <t>630900</t>
  </si>
  <si>
    <t xml:space="preserve">   INSURANCE EXP. OF BUILD.&amp;</t>
  </si>
  <si>
    <t>631000</t>
  </si>
  <si>
    <t xml:space="preserve">   RENT EXPENSES BUILDING</t>
  </si>
  <si>
    <t>631100</t>
  </si>
  <si>
    <t xml:space="preserve">   OTHER PRODUCTION COST</t>
  </si>
  <si>
    <t>631110</t>
  </si>
  <si>
    <t xml:space="preserve">    PEMAKAIAN SPAREPART</t>
  </si>
  <si>
    <t>631120</t>
  </si>
  <si>
    <t xml:space="preserve">    PEMAKAIAN BATUBARA</t>
  </si>
  <si>
    <t>631130</t>
  </si>
  <si>
    <t xml:space="preserve">    PEMAKAIAN DYESTUFF</t>
  </si>
  <si>
    <t>631140</t>
  </si>
  <si>
    <t xml:space="preserve">    PMKN FUEL &amp; LUBRICANT</t>
  </si>
  <si>
    <t>631150</t>
  </si>
  <si>
    <t xml:space="preserve">    PEMAKAIAN PACKING</t>
  </si>
  <si>
    <t>631160</t>
  </si>
  <si>
    <t xml:space="preserve">    PEMAKAIAN SIZING</t>
  </si>
  <si>
    <t>631170</t>
  </si>
  <si>
    <t xml:space="preserve">    PEMAKAIAN AUXILIARY</t>
  </si>
  <si>
    <t xml:space="preserve">    PEMAKAIAN GENERAL INVENTORY</t>
  </si>
  <si>
    <t xml:space="preserve">   DIRECT MFG COST ALLOCATION</t>
  </si>
  <si>
    <t>631200.A1</t>
  </si>
  <si>
    <t xml:space="preserve">    MATERIAL COST ALLOCATION</t>
  </si>
  <si>
    <t>631200.B1</t>
  </si>
  <si>
    <t xml:space="preserve">    LABOR COST ALLOCATION</t>
  </si>
  <si>
    <t>631200.B3</t>
  </si>
  <si>
    <t xml:space="preserve">    DIRECT COST ALLOCATION</t>
  </si>
  <si>
    <t>631200</t>
  </si>
  <si>
    <t xml:space="preserve">   MNFCT OVERHEAD ALLOC.</t>
  </si>
  <si>
    <t xml:space="preserve">    MACHINE VARIABLE OVERHEAD</t>
  </si>
  <si>
    <t xml:space="preserve">    MACHINE FIXED OVERHEAD</t>
  </si>
  <si>
    <t xml:space="preserve">    MNFCT OVERHEAD ALLOC.</t>
  </si>
  <si>
    <t>630000</t>
  </si>
  <si>
    <t>600000</t>
  </si>
  <si>
    <t xml:space="preserve"> COST OF REVENUE</t>
  </si>
  <si>
    <t xml:space="preserve"> MARKETING EXPENSES</t>
  </si>
  <si>
    <t xml:space="preserve">  PROMOTION EXPENSES</t>
  </si>
  <si>
    <t>710100</t>
  </si>
  <si>
    <t xml:space="preserve">   ADVERTISING EXPENSES</t>
  </si>
  <si>
    <t>710200</t>
  </si>
  <si>
    <t xml:space="preserve">   SAMPLE EXPENSES</t>
  </si>
  <si>
    <t>710000</t>
  </si>
  <si>
    <t xml:space="preserve">  DELIVERY EXPENSES</t>
  </si>
  <si>
    <t>720100</t>
  </si>
  <si>
    <t xml:space="preserve">   TRUCKING EXPENSES</t>
  </si>
  <si>
    <t>720200</t>
  </si>
  <si>
    <t xml:space="preserve">   PORTER WAGES EXPENSES</t>
  </si>
  <si>
    <t xml:space="preserve">   FREIGHT CHARGES</t>
  </si>
  <si>
    <t>720310</t>
  </si>
  <si>
    <t xml:space="preserve">    L/C NEGO COMMISSION</t>
  </si>
  <si>
    <t>720320</t>
  </si>
  <si>
    <t xml:space="preserve">    L/C INTEREST</t>
  </si>
  <si>
    <t>720330</t>
  </si>
  <si>
    <t xml:space="preserve">    L/C BANK CHARGES</t>
  </si>
  <si>
    <t>720340</t>
  </si>
  <si>
    <t xml:space="preserve">    L/C ADVISING</t>
  </si>
  <si>
    <t>720350</t>
  </si>
  <si>
    <t xml:space="preserve">    L/C AMEND</t>
  </si>
  <si>
    <t>720360</t>
  </si>
  <si>
    <t xml:space="preserve">    L./C DEDUCTION</t>
  </si>
  <si>
    <t>720300</t>
  </si>
  <si>
    <t>720400</t>
  </si>
  <si>
    <t xml:space="preserve">   EXPEDITION / SEA FREIGHT</t>
  </si>
  <si>
    <t>720500</t>
  </si>
  <si>
    <t xml:space="preserve">   AIR FREIGHT</t>
  </si>
  <si>
    <t>720600</t>
  </si>
  <si>
    <t xml:space="preserve">   QUOTA</t>
  </si>
  <si>
    <t>720000</t>
  </si>
  <si>
    <t xml:space="preserve">  MISCELLANEOUS SELLING EXP</t>
  </si>
  <si>
    <t>730100</t>
  </si>
  <si>
    <t>730200</t>
  </si>
  <si>
    <t xml:space="preserve">   SALES COMMISSION</t>
  </si>
  <si>
    <t>730300</t>
  </si>
  <si>
    <t xml:space="preserve">   FABRIC TESTED CHARGES</t>
  </si>
  <si>
    <t>730000</t>
  </si>
  <si>
    <t>700000</t>
  </si>
  <si>
    <t xml:space="preserve"> GENERAL &amp; ADMIN. EXPENSES</t>
  </si>
  <si>
    <t xml:space="preserve">  SALARIES</t>
  </si>
  <si>
    <t>801110</t>
  </si>
  <si>
    <t xml:space="preserve">   OFFICER SALARIES</t>
  </si>
  <si>
    <t>801120</t>
  </si>
  <si>
    <t xml:space="preserve">   MEDICAL ALLOWANCE</t>
  </si>
  <si>
    <t>801130</t>
  </si>
  <si>
    <t xml:space="preserve">   ANNUAL INCENTIVE ALLOWANCE</t>
  </si>
  <si>
    <t>801140</t>
  </si>
  <si>
    <t>801150</t>
  </si>
  <si>
    <t xml:space="preserve">   OTHER ALLOWANCE</t>
  </si>
  <si>
    <t>801160</t>
  </si>
  <si>
    <t xml:space="preserve">   JAMSOSTEK</t>
  </si>
  <si>
    <t xml:space="preserve">   POST - EMPLOYMENT BENEFITS</t>
  </si>
  <si>
    <t>801100</t>
  </si>
  <si>
    <t xml:space="preserve">  POSTAGE, TELEPHONE &amp; TELEX</t>
  </si>
  <si>
    <t>802110</t>
  </si>
  <si>
    <t xml:space="preserve">   POSTAGE EXPENSES</t>
  </si>
  <si>
    <t>802120</t>
  </si>
  <si>
    <t xml:space="preserve">   TELEPHONE EXPENSES</t>
  </si>
  <si>
    <t>802130</t>
  </si>
  <si>
    <t xml:space="preserve">   TELEX EXPENSES</t>
  </si>
  <si>
    <t>802140</t>
  </si>
  <si>
    <t xml:space="preserve">   INTERNET EXPENSES</t>
  </si>
  <si>
    <t>802100</t>
  </si>
  <si>
    <t xml:space="preserve">  LIGHT &amp; WATER</t>
  </si>
  <si>
    <t>803110</t>
  </si>
  <si>
    <t xml:space="preserve">   LIGHT</t>
  </si>
  <si>
    <t>803120</t>
  </si>
  <si>
    <t>803100</t>
  </si>
  <si>
    <t>804100</t>
  </si>
  <si>
    <t xml:space="preserve">  OFFICER'S TRANSPORTATION</t>
  </si>
  <si>
    <t>805100</t>
  </si>
  <si>
    <t xml:space="preserve">  NEWSPAPER, MAGAZINE</t>
  </si>
  <si>
    <t xml:space="preserve">  PREMIUM COST</t>
  </si>
  <si>
    <t>806100</t>
  </si>
  <si>
    <t xml:space="preserve">  REPRESENTATIVE COST</t>
  </si>
  <si>
    <t>807100</t>
  </si>
  <si>
    <t xml:space="preserve">  CONTRIBUTION COST</t>
  </si>
  <si>
    <t>808100</t>
  </si>
  <si>
    <t xml:space="preserve">  FUEL FOR MOTOR VEHICLE</t>
  </si>
  <si>
    <t>809100</t>
  </si>
  <si>
    <t xml:space="preserve">  LEGAL EXPENSES</t>
  </si>
  <si>
    <t xml:space="preserve">  MAINTENANCE EXPENSES</t>
  </si>
  <si>
    <t>810110</t>
  </si>
  <si>
    <t xml:space="preserve">   MAINT. OFFICE EQUIP.</t>
  </si>
  <si>
    <t>810120</t>
  </si>
  <si>
    <t xml:space="preserve">   MAINT. MOTOR VEHICLE</t>
  </si>
  <si>
    <t>810130</t>
  </si>
  <si>
    <t xml:space="preserve">   MAINTENANCE HOUSE</t>
  </si>
  <si>
    <t>810100</t>
  </si>
  <si>
    <t xml:space="preserve">  DEPRECIATION EXPENSES</t>
  </si>
  <si>
    <t>811110</t>
  </si>
  <si>
    <t xml:space="preserve">   DEPR. EXP. OFFICE EQUIPMENT</t>
  </si>
  <si>
    <t>811120</t>
  </si>
  <si>
    <t xml:space="preserve">   DEPR. EXP. MOTOR VEHICLE</t>
  </si>
  <si>
    <t>811130</t>
  </si>
  <si>
    <t xml:space="preserve">   DIF. DEPR.EXP. MGM - FISCAL</t>
  </si>
  <si>
    <t>811100</t>
  </si>
  <si>
    <t>812100</t>
  </si>
  <si>
    <t xml:space="preserve">  BUSINESS TRIP EXPENSES</t>
  </si>
  <si>
    <t>813100</t>
  </si>
  <si>
    <t xml:space="preserve">  ENTERTAINMENT</t>
  </si>
  <si>
    <t xml:space="preserve">  TRAINING EXPENSES</t>
  </si>
  <si>
    <t>814110</t>
  </si>
  <si>
    <t xml:space="preserve">   TRAINING BY EMPLOYEE</t>
  </si>
  <si>
    <t>814120 / 30</t>
  </si>
  <si>
    <t xml:space="preserve">   TRAINING BY DEPT. </t>
  </si>
  <si>
    <t xml:space="preserve">   SCHOLARSHIP</t>
  </si>
  <si>
    <t>814100</t>
  </si>
  <si>
    <t xml:space="preserve">  RENT EXPENSES</t>
  </si>
  <si>
    <t>815110</t>
  </si>
  <si>
    <t xml:space="preserve">   RENT EXPENSES LAND</t>
  </si>
  <si>
    <t>815120</t>
  </si>
  <si>
    <t xml:space="preserve">   HOUSE RENT EXPENSES</t>
  </si>
  <si>
    <t>815100</t>
  </si>
  <si>
    <t>816100</t>
  </si>
  <si>
    <t xml:space="preserve">  OFFICE EXPENSES</t>
  </si>
  <si>
    <t>816110</t>
  </si>
  <si>
    <t xml:space="preserve">   INSURANCE EXPENSES</t>
  </si>
  <si>
    <t>816120</t>
  </si>
  <si>
    <t xml:space="preserve">   ACCOUNTING ADVISORY EXP.</t>
  </si>
  <si>
    <t xml:space="preserve">   OFFICE SUPPLIES</t>
  </si>
  <si>
    <t>816140</t>
  </si>
  <si>
    <t xml:space="preserve">   UNIFORM ALLOWANCES</t>
  </si>
  <si>
    <t>816150</t>
  </si>
  <si>
    <t xml:space="preserve">   SECURITY EXPENSE</t>
  </si>
  <si>
    <t xml:space="preserve">   IT ADVISORY EXPENSE</t>
  </si>
  <si>
    <t xml:space="preserve">   MANAGEMENT FEE</t>
  </si>
  <si>
    <t>800000</t>
  </si>
  <si>
    <t xml:space="preserve"> OTHER INCOME/EXSPENSES</t>
  </si>
  <si>
    <t xml:space="preserve">  OTHER REVENUE</t>
  </si>
  <si>
    <t>910100</t>
  </si>
  <si>
    <t xml:space="preserve">   INTEREST INCOME</t>
  </si>
  <si>
    <t>910200</t>
  </si>
  <si>
    <t xml:space="preserve">   RENT INCOME</t>
  </si>
  <si>
    <t xml:space="preserve">   GAIN/LOSS ON SELLING ASSET</t>
  </si>
  <si>
    <t>910310</t>
  </si>
  <si>
    <t xml:space="preserve">    GAIN/LOSS ON SELLING ASSET</t>
  </si>
  <si>
    <t>910320</t>
  </si>
  <si>
    <t xml:space="preserve">    CASH PROCEED CLEARING ASSET</t>
  </si>
  <si>
    <t>910300</t>
  </si>
  <si>
    <t>910400</t>
  </si>
  <si>
    <t xml:space="preserve">   REVENUE FROM WASTE/SCRAP</t>
  </si>
  <si>
    <t>910500</t>
  </si>
  <si>
    <t xml:space="preserve">   GOODS WORKED BY VENDOR</t>
  </si>
  <si>
    <t>910600</t>
  </si>
  <si>
    <t xml:space="preserve">   PURCHASE DISCOUNT</t>
  </si>
  <si>
    <t xml:space="preserve">   CLAIM</t>
  </si>
  <si>
    <t>910800</t>
  </si>
  <si>
    <t xml:space="preserve">   PRICE INCREASING</t>
  </si>
  <si>
    <t xml:space="preserve">   AMENDS/CLAIMS REVENUE</t>
  </si>
  <si>
    <t>919000</t>
  </si>
  <si>
    <t xml:space="preserve">   OTHERS</t>
  </si>
  <si>
    <t>910000</t>
  </si>
  <si>
    <t xml:space="preserve">  OTHER EXPENSES</t>
  </si>
  <si>
    <t xml:space="preserve">   INTEREST EXPENSE</t>
  </si>
  <si>
    <t>920110</t>
  </si>
  <si>
    <t xml:space="preserve">    INTEREST EXP. OF FOREIGN</t>
  </si>
  <si>
    <t>920120</t>
  </si>
  <si>
    <t xml:space="preserve">    INTEREST EXP. OF DOMESTI</t>
  </si>
  <si>
    <t>920100</t>
  </si>
  <si>
    <t xml:space="preserve">   REALIZED GAIN/LOSS</t>
  </si>
  <si>
    <t>920210</t>
  </si>
  <si>
    <t xml:space="preserve">    REALIZED GAIN/LOSS AR</t>
  </si>
  <si>
    <t>920220</t>
  </si>
  <si>
    <t xml:space="preserve">    REALIZED GAIN/LOSS AP</t>
  </si>
  <si>
    <t>920200</t>
  </si>
  <si>
    <t>920300</t>
  </si>
  <si>
    <t xml:space="preserve">   UNREALIZED GAIN/LOSS</t>
  </si>
  <si>
    <t xml:space="preserve">   BANK EXPENSES</t>
  </si>
  <si>
    <t>920410</t>
  </si>
  <si>
    <t xml:space="preserve">    BANK CHARGES</t>
  </si>
  <si>
    <t>920420</t>
  </si>
  <si>
    <t xml:space="preserve">    ADM. BANK CHARGES</t>
  </si>
  <si>
    <t xml:space="preserve">    CONTRA ACCOUNT PETTY CASH/</t>
  </si>
  <si>
    <t>920400</t>
  </si>
  <si>
    <t xml:space="preserve">   DIFFER BAL. ALOC.</t>
  </si>
  <si>
    <t>920510</t>
  </si>
  <si>
    <t xml:space="preserve">    DIFFER BAL. ALOC. LABOR</t>
  </si>
  <si>
    <t>920520</t>
  </si>
  <si>
    <t xml:space="preserve">    DIFFER BAL. ALOC. O/H MF</t>
  </si>
  <si>
    <t>920500</t>
  </si>
  <si>
    <t>920600</t>
  </si>
  <si>
    <t xml:space="preserve">   WASTE &amp; SCRAP COST</t>
  </si>
  <si>
    <t>920700</t>
  </si>
  <si>
    <t xml:space="preserve">   TAXES</t>
  </si>
  <si>
    <t>920800</t>
  </si>
  <si>
    <t xml:space="preserve">   DOUBTFUL ACT. EXP. RECEI</t>
  </si>
  <si>
    <t>920900</t>
  </si>
  <si>
    <t xml:space="preserve">   DOUBTFUL ACT. INVENTORY</t>
  </si>
  <si>
    <t>921000</t>
  </si>
  <si>
    <t xml:space="preserve">   REFAKSI STOCK OPNAME</t>
  </si>
  <si>
    <t xml:space="preserve">   COMPLETION OF V.A.T</t>
  </si>
  <si>
    <t>923000</t>
  </si>
  <si>
    <t xml:space="preserve">   PRICE CORRECTION</t>
  </si>
  <si>
    <t>929000</t>
  </si>
  <si>
    <t>920000</t>
  </si>
  <si>
    <t>951000</t>
  </si>
  <si>
    <t xml:space="preserve">  CLEARING SET UP ACCOUNT</t>
  </si>
  <si>
    <t>952000</t>
  </si>
  <si>
    <t xml:space="preserve">  CLEARING ACCOUNT CASH/BAN</t>
  </si>
  <si>
    <t>953000</t>
  </si>
  <si>
    <t xml:space="preserve">  CLEARING ACCOUNT OTHERS</t>
  </si>
  <si>
    <t>954000</t>
  </si>
  <si>
    <t xml:space="preserve">  SUSPENSE ACCOUNT DEDUCTION</t>
  </si>
  <si>
    <t>900000</t>
  </si>
  <si>
    <t>990000</t>
  </si>
  <si>
    <t xml:space="preserve"> TAX</t>
  </si>
  <si>
    <t>991000</t>
  </si>
  <si>
    <t xml:space="preserve">  INCOME TAX</t>
  </si>
  <si>
    <t xml:space="preserve">  INCOME SUMMARY</t>
  </si>
  <si>
    <t>NET INCOME (LOS) AFTER (=)</t>
  </si>
  <si>
    <t>PT GISTEX GARMENT INDONESIA</t>
  </si>
  <si>
    <t>GISTEX GARMENT INDONESIA</t>
  </si>
  <si>
    <t>CILEUNYI</t>
  </si>
  <si>
    <t>MAJALENGKA 2</t>
  </si>
  <si>
    <t>MAJALENGKA 1</t>
  </si>
  <si>
    <t>BANJARNEGARA</t>
  </si>
  <si>
    <t>BANDUNG,   DESEMBER 2023</t>
  </si>
  <si>
    <t>PT. GISTEX GARMEN INDONESIA</t>
  </si>
  <si>
    <t>( JOHNNY SCHEPPER )</t>
  </si>
  <si>
    <t>COST Category (Macro)</t>
  </si>
  <si>
    <t>COST Category (CSV)</t>
  </si>
  <si>
    <t>repairing / used</t>
  </si>
  <si>
    <t xml:space="preserve">    C.O.G.S. EXPORT - MATER</t>
  </si>
  <si>
    <t>fm_Pilih_Branch</t>
  </si>
  <si>
    <t>CLN</t>
  </si>
  <si>
    <t>MJK2</t>
  </si>
  <si>
    <t>MJK1</t>
  </si>
  <si>
    <t>BJR</t>
  </si>
  <si>
    <t>Option</t>
  </si>
  <si>
    <t>NOT FOUND</t>
  </si>
  <si>
    <t>C</t>
  </si>
  <si>
    <t xml:space="preserve">    C.O.G.S. LOCAL - MATERI</t>
  </si>
  <si>
    <t>Value/NamaSheet</t>
  </si>
  <si>
    <t/>
  </si>
  <si>
    <t>PERIODE : MMMM  YYYY ( IN USD )</t>
  </si>
  <si>
    <t>2024</t>
  </si>
  <si>
    <t>PERIODE : JANUARY - DECEMBER 2024 ( IN USD )</t>
  </si>
  <si>
    <t>PERIODE : MARCH 2024 ( IN USD )</t>
  </si>
  <si>
    <t xml:space="preserve">   VARIANCES IN HOUSE ACTUA</t>
  </si>
  <si>
    <t xml:space="preserve">    VAR. MKT PORTION - MATE</t>
  </si>
  <si>
    <t xml:space="preserve">    VAR. MKT PORTION - LABO</t>
  </si>
  <si>
    <t xml:space="preserve">    ANNUAL INCENTIVE ALLOWAN</t>
  </si>
  <si>
    <t xml:space="preserve">   RAW MATERIAL &amp; FREIGHT EX</t>
  </si>
  <si>
    <t xml:space="preserve">   MAINTENANCE &amp; REPAIR EXPE</t>
  </si>
  <si>
    <t xml:space="preserve">    DEPR. EXP. GEN &amp; BOILER</t>
  </si>
  <si>
    <t xml:space="preserve">    DEPR. EXP. ELECTRICAL IN</t>
  </si>
  <si>
    <t xml:space="preserve">    DEPR. EXP. PLANT EQUIP.</t>
  </si>
  <si>
    <t xml:space="preserve">    PEMAKAIAN GENERAL MATERIAL</t>
  </si>
  <si>
    <t xml:space="preserve">   DIRECT MFG COST ALLOCATIO</t>
  </si>
  <si>
    <t xml:space="preserve"> GENERAL &amp; ADM EXPENSES</t>
  </si>
  <si>
    <t xml:space="preserve">   ANNUAL INCENTIVE ALLOW.</t>
  </si>
  <si>
    <t xml:space="preserve">  OFFICER'S TRANSPORT</t>
  </si>
  <si>
    <t xml:space="preserve">   DEPR. EXP. OFFICE EQUIP.</t>
  </si>
  <si>
    <t xml:space="preserve">   DIF. DEPR.EXP. MGM - FIS</t>
  </si>
  <si>
    <t xml:space="preserve">   GAIN/LOSS ON SELLING ASSETS</t>
  </si>
  <si>
    <t xml:space="preserve">    G/L ON SELLING ASSETS</t>
  </si>
  <si>
    <t xml:space="preserve">    CASH PROCEED CLEAR. ASSET</t>
  </si>
  <si>
    <t xml:space="preserve">    INTEREST EXP OF DOMESTIC</t>
  </si>
  <si>
    <t xml:space="preserve">   DIFF. BALANCE ALLOCATION</t>
  </si>
  <si>
    <t xml:space="preserve">    DIFF. BLNC ALLOC. LABOR</t>
  </si>
  <si>
    <t xml:space="preserve">    DIFF. BLNC ALLOC. O/H MF</t>
  </si>
  <si>
    <t xml:space="preserve">   DOUBTFUL A/R EXPENSES</t>
  </si>
  <si>
    <t xml:space="preserve">   DOUBTFUL INVENTORY EXP.</t>
  </si>
  <si>
    <t xml:space="preserve">  CLEARING ACC. CASH/BANK</t>
  </si>
  <si>
    <t xml:space="preserve">  CLEARING ACC. OTHERS</t>
  </si>
  <si>
    <t xml:space="preserve">  SUSPENSE ACC. DEDUCTION</t>
  </si>
  <si>
    <t>PERIODE : JANUARY 2024 ( IN USD )</t>
  </si>
  <si>
    <t>PERIODE : JULY 2024 ( IN USD )</t>
  </si>
  <si>
    <t>August</t>
  </si>
  <si>
    <t>\\10.8.0.35\rpa$\Accounting\FINANCE GGI\Income Statement\Macro\Tarikan JDE - Income Statement\2024-08.csv</t>
  </si>
  <si>
    <t>PERIODE : AUGUST 2024 ( IN USD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</si>
</sst>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.00_);_(* \(#,##0.00\);_(* \-??_);_(@_)"/>
  </numFmts>
  <fonts count="38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0"/>
      <name val="Arial"/>
      <family val="2"/>
      <charset val="1"/>
    </font>
    <font>
      <sz val="12"/>
      <name val="Abadi MT Condensed Light"/>
    </font>
    <font>
      <b/>
      <sz val="20"/>
      <name val="Lucida Sans Unicode"/>
      <family val="2"/>
    </font>
    <font>
      <sz val="12"/>
      <name val="Lucida Sans Unicode"/>
      <family val="2"/>
    </font>
    <font>
      <b/>
      <sz val="14"/>
      <name val="Lucida Sans Unicode"/>
      <family val="2"/>
    </font>
    <font>
      <b/>
      <sz val="12"/>
      <name val="Lucida Sans Unicode"/>
      <family val="2"/>
    </font>
    <font>
      <b/>
      <u/>
      <sz val="12"/>
      <name val="Lucida Sans Unicode"/>
      <family val="2"/>
    </font>
    <font>
      <b/>
      <i/>
      <u/>
      <sz val="12"/>
      <name val="Lucida Sans Unicode"/>
      <family val="2"/>
    </font>
    <font>
      <b/>
      <i/>
      <sz val="12"/>
      <name val="Lucida Sans Unicode"/>
      <family val="2"/>
    </font>
    <font>
      <sz val="10"/>
      <name val="Arial"/>
    </font>
    <font>
      <sz val="12"/>
      <color indexed="18"/>
      <name val="Lucida Sans Unicode"/>
      <family val="2"/>
    </font>
    <font>
      <sz val="8"/>
      <name val="Verdana"/>
      <family val="2"/>
      <charset val="1"/>
    </font>
    <font>
      <b/>
      <sz val="12"/>
      <name val="Tahoma"/>
      <family val="2"/>
      <charset val="1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  <charset val="1"/>
    </font>
    <font>
      <sz val="12"/>
      <color rgb="FFFF0000"/>
      <name val="Lucida Sans Unicode"/>
      <family val="2"/>
    </font>
    <font>
      <b/>
      <u/>
      <sz val="12"/>
      <color indexed="12"/>
      <name val="Lucida Sans Unicode"/>
      <family val="2"/>
    </font>
    <font>
      <b/>
      <i/>
      <u/>
      <sz val="12"/>
      <color indexed="12"/>
      <name val="Lucida Sans Unicode"/>
      <family val="2"/>
    </font>
    <font>
      <sz val="12"/>
      <color indexed="12"/>
      <name val="Lucida Sans Unicode"/>
      <family val="2"/>
    </font>
    <font>
      <b/>
      <i/>
      <sz val="12"/>
      <color indexed="12"/>
      <name val="Lucida Sans Unicode"/>
      <family val="2"/>
    </font>
    <font>
      <sz val="12"/>
      <color indexed="10"/>
      <name val="Lucida Sans Unicode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A9D5F0"/>
        <bgColor indexed="26"/>
      </patternFill>
    </fill>
    <fill>
      <patternFill patternType="solid">
        <fgColor rgb="FFA9D5F0"/>
        <bgColor indexed="22"/>
      </patternFill>
    </fill>
    <fill>
      <patternFill patternType="solid">
        <fgColor rgb="FFA3E7FF"/>
        <bgColor indexed="26"/>
      </patternFill>
    </fill>
    <fill>
      <patternFill patternType="solid">
        <fgColor rgb="FFA3E7FF"/>
        <bgColor indexed="22"/>
      </patternFill>
    </fill>
    <fill>
      <patternFill patternType="solid">
        <fgColor rgb="FF81DEFF"/>
        <bgColor indexed="26"/>
      </patternFill>
    </fill>
    <fill>
      <patternFill patternType="solid">
        <fgColor rgb="FFA3E7FF"/>
        <bgColor indexed="35"/>
      </patternFill>
    </fill>
    <fill>
      <patternFill patternType="solid">
        <fgColor rgb="FFA3E7FF"/>
        <bgColor indexed="64"/>
      </patternFill>
    </fill>
    <fill>
      <patternFill patternType="solid">
        <fgColor rgb="FFFFFFCD"/>
        <bgColor indexed="26"/>
      </patternFill>
    </fill>
    <fill>
      <patternFill patternType="solid">
        <fgColor rgb="FF00608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/>
      <bottom style="hair">
        <color indexed="8"/>
      </bottom>
      <diagonal/>
    </border>
    <border>
      <left style="thin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13" fillId="0" borderId="0"/>
    <xf numFmtId="0" fontId="14" fillId="0" borderId="0"/>
    <xf numFmtId="0" fontId="14" fillId="0" borderId="0"/>
    <xf numFmtId="43" fontId="22" fillId="0" borderId="0" applyFill="0" applyBorder="0" applyAlignment="0" applyProtection="0"/>
    <xf numFmtId="164" fontId="24" fillId="0" borderId="0" applyFill="0" applyBorder="0" applyAlignment="0" applyProtection="0"/>
    <xf numFmtId="43" fontId="26" fillId="0" borderId="0" applyFont="0" applyFill="0" applyBorder="0" applyAlignment="0" applyProtection="0"/>
  </cellStyleXfs>
  <cellXfs count="105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0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10" fillId="3" borderId="7" xfId="0" applyFont="1" applyFill="1" applyBorder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2" fillId="0" borderId="0" xfId="1"/>
    <xf numFmtId="0" fontId="10" fillId="3" borderId="0" xfId="0" applyFont="1" applyFill="1" applyAlignment="1">
      <alignment horizontal="left" vertical="center"/>
    </xf>
    <xf numFmtId="1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49" fontId="0" fillId="0" borderId="0" xfId="0" applyNumberFormat="1" applyAlignment="1">
      <alignment horizontal="left" vertical="center"/>
    </xf>
    <xf numFmtId="0" fontId="13" fillId="0" borderId="0" xfId="2"/>
    <xf numFmtId="0" fontId="15" fillId="0" borderId="0" xfId="3" applyFont="1" applyAlignment="1">
      <alignment horizontal="left"/>
    </xf>
    <xf numFmtId="0" fontId="16" fillId="0" borderId="0" xfId="4" applyFont="1"/>
    <xf numFmtId="0" fontId="17" fillId="0" borderId="0" xfId="3" applyFont="1" applyAlignment="1">
      <alignment horizontal="left"/>
    </xf>
    <xf numFmtId="39" fontId="16" fillId="0" borderId="0" xfId="4" applyNumberFormat="1" applyFont="1"/>
    <xf numFmtId="0" fontId="16" fillId="0" borderId="0" xfId="3" applyFont="1" applyAlignment="1">
      <alignment horizontal="left"/>
    </xf>
    <xf numFmtId="39" fontId="16" fillId="0" borderId="10" xfId="4" applyNumberFormat="1" applyFont="1" applyBorder="1" applyAlignment="1">
      <alignment horizontal="center"/>
    </xf>
    <xf numFmtId="0" fontId="16" fillId="0" borderId="10" xfId="4" applyFont="1" applyBorder="1" applyAlignment="1">
      <alignment horizontal="left"/>
    </xf>
    <xf numFmtId="39" fontId="16" fillId="0" borderId="10" xfId="4" applyNumberFormat="1" applyFont="1" applyBorder="1"/>
    <xf numFmtId="0" fontId="19" fillId="0" borderId="10" xfId="4" applyFont="1" applyBorder="1" applyAlignment="1">
      <alignment horizontal="left"/>
    </xf>
    <xf numFmtId="0" fontId="20" fillId="0" borderId="10" xfId="4" applyFont="1" applyBorder="1" applyAlignment="1">
      <alignment horizontal="left"/>
    </xf>
    <xf numFmtId="39" fontId="16" fillId="0" borderId="10" xfId="4" applyNumberFormat="1" applyFont="1" applyBorder="1" applyAlignment="1">
      <alignment horizontal="center" vertical="center"/>
    </xf>
    <xf numFmtId="39" fontId="13" fillId="0" borderId="0" xfId="2" applyNumberFormat="1"/>
    <xf numFmtId="0" fontId="18" fillId="0" borderId="10" xfId="4" applyFont="1" applyBorder="1" applyAlignment="1">
      <alignment horizontal="left"/>
    </xf>
    <xf numFmtId="0" fontId="16" fillId="0" borderId="10" xfId="4" applyFont="1" applyBorder="1" applyAlignment="1">
      <alignment horizontal="center" vertical="center"/>
    </xf>
    <xf numFmtId="0" fontId="21" fillId="0" borderId="10" xfId="4" applyFont="1" applyBorder="1" applyAlignment="1">
      <alignment horizontal="left"/>
    </xf>
    <xf numFmtId="0" fontId="16" fillId="0" borderId="0" xfId="4" applyFont="1" applyAlignment="1">
      <alignment horizontal="center"/>
    </xf>
    <xf numFmtId="0" fontId="23" fillId="0" borderId="0" xfId="4" applyFont="1"/>
    <xf numFmtId="164" fontId="25" fillId="0" borderId="0" xfId="6" applyFont="1" applyFill="1" applyBorder="1" applyAlignment="1" applyProtection="1">
      <alignment horizontal="center"/>
    </xf>
    <xf numFmtId="0" fontId="13" fillId="0" borderId="0" xfId="2" applyAlignment="1">
      <alignment horizontal="center"/>
    </xf>
    <xf numFmtId="39" fontId="16" fillId="0" borderId="13" xfId="4" applyNumberFormat="1" applyFont="1" applyBorder="1" applyAlignment="1">
      <alignment horizontal="center"/>
    </xf>
    <xf numFmtId="0" fontId="16" fillId="0" borderId="13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39" fontId="16" fillId="5" borderId="10" xfId="4" applyNumberFormat="1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left"/>
    </xf>
    <xf numFmtId="39" fontId="16" fillId="6" borderId="10" xfId="4" applyNumberFormat="1" applyFont="1" applyFill="1" applyBorder="1" applyAlignment="1">
      <alignment horizontal="center" vertical="center"/>
    </xf>
    <xf numFmtId="0" fontId="21" fillId="6" borderId="10" xfId="4" applyFont="1" applyFill="1" applyBorder="1" applyAlignment="1">
      <alignment horizontal="left"/>
    </xf>
    <xf numFmtId="0" fontId="21" fillId="7" borderId="10" xfId="4" applyFont="1" applyFill="1" applyBorder="1" applyAlignment="1">
      <alignment horizontal="left"/>
    </xf>
    <xf numFmtId="39" fontId="16" fillId="7" borderId="10" xfId="4" applyNumberFormat="1" applyFont="1" applyFill="1" applyBorder="1" applyAlignment="1">
      <alignment horizontal="center" vertical="center"/>
    </xf>
    <xf numFmtId="39" fontId="16" fillId="8" borderId="10" xfId="4" applyNumberFormat="1" applyFont="1" applyFill="1" applyBorder="1" applyAlignment="1">
      <alignment horizontal="center" vertical="center"/>
    </xf>
    <xf numFmtId="0" fontId="21" fillId="8" borderId="10" xfId="4" applyFont="1" applyFill="1" applyBorder="1" applyAlignment="1">
      <alignment horizontal="left"/>
    </xf>
    <xf numFmtId="39" fontId="16" fillId="9" borderId="10" xfId="4" applyNumberFormat="1" applyFont="1" applyFill="1" applyBorder="1" applyAlignment="1">
      <alignment horizontal="center" vertical="center"/>
    </xf>
    <xf numFmtId="0" fontId="21" fillId="9" borderId="10" xfId="4" applyFont="1" applyFill="1" applyBorder="1" applyAlignment="1">
      <alignment horizontal="left"/>
    </xf>
    <xf numFmtId="0" fontId="16" fillId="7" borderId="10" xfId="4" applyFont="1" applyFill="1" applyBorder="1" applyAlignment="1">
      <alignment horizontal="left"/>
    </xf>
    <xf numFmtId="39" fontId="16" fillId="10" borderId="10" xfId="4" applyNumberFormat="1" applyFont="1" applyFill="1" applyBorder="1" applyAlignment="1">
      <alignment horizontal="center" vertical="center"/>
    </xf>
    <xf numFmtId="0" fontId="21" fillId="10" borderId="10" xfId="4" applyFont="1" applyFill="1" applyBorder="1" applyAlignment="1">
      <alignment horizontal="left"/>
    </xf>
    <xf numFmtId="0" fontId="18" fillId="0" borderId="0" xfId="4" applyFont="1" applyAlignment="1">
      <alignment horizontal="center" vertical="center" wrapText="1"/>
    </xf>
    <xf numFmtId="0" fontId="0" fillId="11" borderId="12" xfId="0" applyFill="1" applyBorder="1"/>
    <xf numFmtId="0" fontId="28" fillId="11" borderId="12" xfId="0" applyFont="1" applyFill="1" applyBorder="1"/>
    <xf numFmtId="43" fontId="29" fillId="0" borderId="10" xfId="7" applyFont="1" applyBorder="1"/>
    <xf numFmtId="43" fontId="29" fillId="8" borderId="10" xfId="7" applyFont="1" applyFill="1" applyBorder="1"/>
    <xf numFmtId="43" fontId="30" fillId="7" borderId="10" xfId="7" applyFont="1" applyFill="1" applyBorder="1"/>
    <xf numFmtId="43" fontId="30" fillId="8" borderId="10" xfId="7" applyFont="1" applyFill="1" applyBorder="1"/>
    <xf numFmtId="0" fontId="19" fillId="0" borderId="18" xfId="4" applyFont="1" applyBorder="1" applyAlignment="1">
      <alignment horizontal="left"/>
    </xf>
    <xf numFmtId="0" fontId="20" fillId="0" borderId="18" xfId="4" applyFont="1" applyBorder="1" applyAlignment="1">
      <alignment horizontal="left"/>
    </xf>
    <xf numFmtId="0" fontId="16" fillId="0" borderId="18" xfId="4" applyFont="1" applyBorder="1" applyAlignment="1">
      <alignment horizontal="left"/>
    </xf>
    <xf numFmtId="0" fontId="21" fillId="8" borderId="18" xfId="4" applyFont="1" applyFill="1" applyBorder="1" applyAlignment="1">
      <alignment horizontal="left"/>
    </xf>
    <xf numFmtId="39" fontId="16" fillId="12" borderId="10" xfId="4" applyNumberFormat="1" applyFont="1" applyFill="1" applyBorder="1" applyAlignment="1">
      <alignment horizontal="center" vertical="center"/>
    </xf>
    <xf numFmtId="0" fontId="21" fillId="12" borderId="10" xfId="4" applyFont="1" applyFill="1" applyBorder="1" applyAlignment="1">
      <alignment horizontal="left"/>
    </xf>
    <xf numFmtId="43" fontId="29" fillId="12" borderId="10" xfId="7" applyFont="1" applyFill="1" applyBorder="1"/>
    <xf numFmtId="43" fontId="27" fillId="13" borderId="15" xfId="7" applyFont="1" applyFill="1" applyBorder="1" applyAlignment="1">
      <alignment vertical="center"/>
    </xf>
    <xf numFmtId="39" fontId="16" fillId="13" borderId="13" xfId="4" applyNumberFormat="1" applyFont="1" applyFill="1" applyBorder="1" applyAlignment="1">
      <alignment horizontal="center"/>
    </xf>
    <xf numFmtId="0" fontId="16" fillId="13" borderId="17" xfId="4" applyFont="1" applyFill="1" applyBorder="1" applyAlignment="1">
      <alignment horizontal="left"/>
    </xf>
    <xf numFmtId="43" fontId="29" fillId="13" borderId="16" xfId="7" applyFont="1" applyFill="1" applyBorder="1"/>
    <xf numFmtId="43" fontId="29" fillId="13" borderId="13" xfId="7" applyFont="1" applyFill="1" applyBorder="1"/>
    <xf numFmtId="43" fontId="30" fillId="5" borderId="10" xfId="7" applyFont="1" applyFill="1" applyBorder="1"/>
    <xf numFmtId="0" fontId="21" fillId="5" borderId="18" xfId="4" applyFont="1" applyFill="1" applyBorder="1" applyAlignment="1">
      <alignment horizontal="left"/>
    </xf>
    <xf numFmtId="43" fontId="29" fillId="5" borderId="10" xfId="7" applyFont="1" applyFill="1" applyBorder="1"/>
    <xf numFmtId="43" fontId="30" fillId="6" borderId="10" xfId="7" applyFont="1" applyFill="1" applyBorder="1"/>
    <xf numFmtId="0" fontId="15" fillId="0" borderId="0" xfId="3" applyFont="1"/>
    <xf numFmtId="0" fontId="17" fillId="0" borderId="0" xfId="3" applyFont="1"/>
    <xf numFmtId="0" fontId="31" fillId="0" borderId="0" xfId="2" applyFont="1"/>
    <xf numFmtId="0" fontId="31" fillId="0" borderId="0" xfId="2" applyFont="1" applyAlignment="1">
      <alignment horizontal="center"/>
    </xf>
    <xf numFmtId="0" fontId="32" fillId="0" borderId="0" xfId="4" applyFont="1"/>
    <xf numFmtId="0" fontId="18" fillId="11" borderId="9" xfId="4" applyFont="1" applyFill="1" applyBorder="1" applyAlignment="1">
      <alignment horizontal="center" vertical="center"/>
    </xf>
    <xf numFmtId="39" fontId="16" fillId="0" borderId="21" xfId="4" applyNumberFormat="1" applyFont="1" applyBorder="1" applyAlignment="1">
      <alignment horizontal="center"/>
    </xf>
    <xf numFmtId="43" fontId="27" fillId="13" borderId="22" xfId="7" applyFont="1" applyFill="1" applyBorder="1" applyAlignment="1">
      <alignment vertical="center"/>
    </xf>
    <xf numFmtId="43" fontId="27" fillId="13" borderId="23" xfId="7" applyFont="1" applyFill="1" applyBorder="1" applyAlignment="1">
      <alignment vertical="center"/>
    </xf>
    <xf numFmtId="43" fontId="27" fillId="13" borderId="14" xfId="7" applyFont="1" applyFill="1" applyBorder="1" applyAlignment="1">
      <alignment vertical="center"/>
    </xf>
    <xf numFmtId="0" fontId="18" fillId="11" borderId="11" xfId="4" applyFont="1" applyFill="1" applyBorder="1" applyAlignment="1">
      <alignment horizontal="center" vertical="center"/>
    </xf>
    <xf numFmtId="0" fontId="33" fillId="0" borderId="10" xfId="4" applyFont="1" applyBorder="1" applyAlignment="1">
      <alignment horizontal="left"/>
    </xf>
    <xf numFmtId="0" fontId="34" fillId="0" borderId="10" xfId="4" applyFont="1" applyBorder="1" applyAlignment="1">
      <alignment horizontal="left"/>
    </xf>
    <xf numFmtId="0" fontId="35" fillId="0" borderId="10" xfId="4" applyFont="1" applyBorder="1" applyAlignment="1">
      <alignment horizontal="left"/>
    </xf>
    <xf numFmtId="0" fontId="36" fillId="0" borderId="10" xfId="4" applyFont="1" applyBorder="1" applyAlignment="1">
      <alignment horizontal="left"/>
    </xf>
    <xf numFmtId="0" fontId="37" fillId="0" borderId="10" xfId="4" applyFont="1" applyBorder="1" applyAlignment="1">
      <alignment horizontal="left"/>
    </xf>
    <xf numFmtId="0" fontId="27" fillId="3" borderId="12" xfId="0" applyFont="1" applyFill="1" applyBorder="1" applyAlignment="1">
      <alignment horizontal="center" vertical="center"/>
    </xf>
    <xf numFmtId="0" fontId="27" fillId="3" borderId="19" xfId="0" applyFont="1" applyFill="1" applyBorder="1" applyAlignment="1">
      <alignment horizontal="center" vertical="center"/>
    </xf>
    <xf numFmtId="0" fontId="27" fillId="3" borderId="20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27" fillId="3" borderId="24" xfId="0" applyFont="1" applyFill="1" applyBorder="1" applyAlignment="1">
      <alignment horizontal="center" vertical="center"/>
    </xf>
    <xf numFmtId="0" fontId="27" fillId="3" borderId="25" xfId="0" applyFont="1" applyFill="1" applyBorder="1" applyAlignment="1">
      <alignment horizontal="center" vertical="center"/>
    </xf>
  </cellXfs>
  <cellStyles count="8">
    <cellStyle name="Comma" xfId="7" builtinId="3"/>
    <cellStyle name="Comma 10" xfId="6" xr:uid="{03DAE640-53C4-48AC-B4E7-FEA3EB08E593}"/>
    <cellStyle name="Comma 2" xfId="5" xr:uid="{5C95D91B-545E-42FE-97BE-5F68462738AE}"/>
    <cellStyle name="Hyperlink" xfId="1" builtinId="8"/>
    <cellStyle name="Normal" xfId="0" builtinId="0"/>
    <cellStyle name="Normal 2" xfId="2" xr:uid="{C4961D43-265D-41A3-9509-C3ED693AF80C}"/>
    <cellStyle name="Normal_COSTU-05" xfId="4" xr:uid="{EF3BE21A-0649-4604-B4B6-AF755F53922B}"/>
    <cellStyle name="Normal_COSTU-07" xfId="3" xr:uid="{23AE93A9-E3EA-49BE-ACCA-62B5F292A8A8}"/>
  </cellStyles>
  <dxfs count="98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A3E7FF"/>
      <color rgb="FFA9D5F0"/>
      <color rgb="FFFFFFCD"/>
      <color rgb="FF006082"/>
      <color rgb="FFDDF6FF"/>
      <color rgb="FF009AD0"/>
      <color rgb="FF86C4EA"/>
      <color rgb="FF81DEFF"/>
      <color rgb="FF935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5</xdr:col>
      <xdr:colOff>2234839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2827683</xdr:colOff>
      <xdr:row>2</xdr:row>
      <xdr:rowOff>1</xdr:rowOff>
    </xdr:from>
    <xdr:to>
      <xdr:col>4</xdr:col>
      <xdr:colOff>2162175</xdr:colOff>
      <xdr:row>7</xdr:row>
      <xdr:rowOff>76201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808883" y="485776"/>
          <a:ext cx="2839692" cy="876300"/>
          <a:chOff x="7206983" y="238170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6983" y="238170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StartWizard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4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..\..\Tarikan%20JDE%20-%20Income%20Statement\2024-07.csv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5739-74EF-4D85-9224-21C761F38E3D}">
  <sheetPr codeName="Sheet6"/>
  <dimension ref="A5:C36"/>
  <sheetViews>
    <sheetView workbookViewId="0">
      <pane ySplit="5" topLeftCell="A24" activePane="bottomLeft" state="frozen"/>
      <selection pane="bottomLeft" activeCell="C33" sqref="C33"/>
    </sheetView>
  </sheetViews>
  <sheetFormatPr defaultRowHeight="15"/>
  <cols>
    <col min="1" max="1" width="35.42578125" bestFit="1" customWidth="1"/>
    <col min="2" max="2" width="30.28515625" bestFit="1" customWidth="1"/>
    <col min="3" max="3" width="29.7109375" customWidth="1"/>
  </cols>
  <sheetData>
    <row r="5" spans="1:3">
      <c r="A5" s="55" t="s">
        <v>422</v>
      </c>
      <c r="B5" s="55" t="s">
        <v>423</v>
      </c>
      <c r="C5" s="56" t="s">
        <v>424</v>
      </c>
    </row>
    <row r="6" spans="1:3">
      <c r="A6" t="s">
        <v>40</v>
      </c>
      <c r="B6" t="s">
        <v>31</v>
      </c>
      <c r="C6" t="str">
        <f>SUBSTITUTE(SUBSTITUTE(SUBSTITUTE(SUBSTITUTE(B6,".",""),",",""),"-","")," ","")</f>
        <v>SALESLOCALMARKET</v>
      </c>
    </row>
    <row r="7" spans="1:3">
      <c r="A7" t="s">
        <v>49</v>
      </c>
      <c r="B7" t="s">
        <v>425</v>
      </c>
      <c r="C7" t="str">
        <f t="shared" ref="C7:C36" si="0">SUBSTITUTE(SUBSTITUTE(SUBSTITUTE(SUBSTITUTE(B7,".",""),",",""),"-","")," ","")</f>
        <v>COGSEXPORTMATER</v>
      </c>
    </row>
    <row r="8" spans="1:3">
      <c r="A8" t="s">
        <v>59</v>
      </c>
      <c r="B8" t="s">
        <v>434</v>
      </c>
      <c r="C8" t="str">
        <f t="shared" si="0"/>
        <v>COGSLOCALMATERI</v>
      </c>
    </row>
    <row r="9" spans="1:3">
      <c r="A9" t="s">
        <v>83</v>
      </c>
      <c r="B9" t="s">
        <v>441</v>
      </c>
      <c r="C9" t="str">
        <f t="shared" si="0"/>
        <v>VARIANCESINHOUSEACTUA</v>
      </c>
    </row>
    <row r="10" spans="1:3">
      <c r="A10" t="s">
        <v>96</v>
      </c>
      <c r="B10" t="s">
        <v>442</v>
      </c>
      <c r="C10" t="str">
        <f t="shared" si="0"/>
        <v>VARMKTPORTIONMATE</v>
      </c>
    </row>
    <row r="11" spans="1:3">
      <c r="A11" t="s">
        <v>98</v>
      </c>
      <c r="B11" t="s">
        <v>443</v>
      </c>
      <c r="C11" t="str">
        <f t="shared" si="0"/>
        <v>VARMKTPORTIONLABO</v>
      </c>
    </row>
    <row r="12" spans="1:3">
      <c r="A12" t="s">
        <v>109</v>
      </c>
      <c r="B12" t="s">
        <v>444</v>
      </c>
      <c r="C12" t="str">
        <f t="shared" si="0"/>
        <v>ANNUALINCENTIVEALLOWAN</v>
      </c>
    </row>
    <row r="13" spans="1:3">
      <c r="A13" t="s">
        <v>125</v>
      </c>
      <c r="B13" t="s">
        <v>445</v>
      </c>
      <c r="C13" t="str">
        <f t="shared" si="0"/>
        <v>RAWMATERIAL&amp;FREIGHTEX</v>
      </c>
    </row>
    <row r="14" spans="1:3">
      <c r="A14" t="s">
        <v>134</v>
      </c>
      <c r="B14" t="s">
        <v>446</v>
      </c>
      <c r="C14" t="str">
        <f t="shared" si="0"/>
        <v>MAINTENANCE&amp;REPAIREXPE</v>
      </c>
    </row>
    <row r="15" spans="1:3">
      <c r="A15" t="s">
        <v>155</v>
      </c>
      <c r="B15" t="s">
        <v>447</v>
      </c>
      <c r="C15" t="str">
        <f t="shared" si="0"/>
        <v>DEPREXPGEN&amp;BOILER</v>
      </c>
    </row>
    <row r="16" spans="1:3">
      <c r="A16" t="s">
        <v>157</v>
      </c>
      <c r="B16" t="s">
        <v>448</v>
      </c>
      <c r="C16" t="str">
        <f t="shared" si="0"/>
        <v>DEPREXPELECTRICALIN</v>
      </c>
    </row>
    <row r="17" spans="1:3">
      <c r="A17" t="s">
        <v>161</v>
      </c>
      <c r="B17" t="s">
        <v>449</v>
      </c>
      <c r="C17" t="str">
        <f t="shared" si="0"/>
        <v>DEPREXPPLANTEQUIP</v>
      </c>
    </row>
    <row r="18" spans="1:3">
      <c r="A18" t="s">
        <v>183</v>
      </c>
      <c r="B18" t="s">
        <v>450</v>
      </c>
      <c r="C18" t="str">
        <f t="shared" si="0"/>
        <v>PEMAKAIANGENERALMATERIAL</v>
      </c>
    </row>
    <row r="19" spans="1:3">
      <c r="A19" t="s">
        <v>184</v>
      </c>
      <c r="B19" t="s">
        <v>451</v>
      </c>
      <c r="C19" t="str">
        <f t="shared" si="0"/>
        <v>DIRECTMFGCOSTALLOCATIO</v>
      </c>
    </row>
    <row r="20" spans="1:3">
      <c r="A20" t="s">
        <v>240</v>
      </c>
      <c r="B20" t="s">
        <v>452</v>
      </c>
      <c r="C20" t="str">
        <f t="shared" si="0"/>
        <v>GENERAL&amp;ADMEXPENSES</v>
      </c>
    </row>
    <row r="21" spans="1:3">
      <c r="A21" t="s">
        <v>247</v>
      </c>
      <c r="B21" t="s">
        <v>453</v>
      </c>
      <c r="C21" t="str">
        <f t="shared" si="0"/>
        <v>ANNUALINCENTIVEALLOW</v>
      </c>
    </row>
    <row r="22" spans="1:3">
      <c r="A22" t="s">
        <v>271</v>
      </c>
      <c r="B22" t="s">
        <v>454</v>
      </c>
      <c r="C22" t="str">
        <f t="shared" si="0"/>
        <v>OFFICER'STRANSPORT</v>
      </c>
    </row>
    <row r="23" spans="1:3">
      <c r="A23" t="s">
        <v>293</v>
      </c>
      <c r="B23" t="s">
        <v>455</v>
      </c>
      <c r="C23" t="str">
        <f t="shared" si="0"/>
        <v>DEPREXPOFFICEEQUIP</v>
      </c>
    </row>
    <row r="24" spans="1:3">
      <c r="A24" t="s">
        <v>297</v>
      </c>
      <c r="B24" t="s">
        <v>456</v>
      </c>
      <c r="C24" t="str">
        <f t="shared" si="0"/>
        <v>DIFDEPREXPMGMFIS</v>
      </c>
    </row>
    <row r="25" spans="1:3">
      <c r="A25" t="s">
        <v>457</v>
      </c>
      <c r="B25" t="s">
        <v>336</v>
      </c>
      <c r="C25" t="str">
        <f t="shared" si="0"/>
        <v>GAIN/LOSSONSELLINGASSET</v>
      </c>
    </row>
    <row r="26" spans="1:3">
      <c r="A26" t="s">
        <v>338</v>
      </c>
      <c r="B26" t="s">
        <v>458</v>
      </c>
      <c r="C26" t="str">
        <f t="shared" si="0"/>
        <v>G/LONSELLINGASSETS</v>
      </c>
    </row>
    <row r="27" spans="1:3">
      <c r="A27" t="s">
        <v>340</v>
      </c>
      <c r="B27" t="s">
        <v>459</v>
      </c>
      <c r="C27" t="str">
        <f t="shared" si="0"/>
        <v>CASHPROCEEDCLEARASSET</v>
      </c>
    </row>
    <row r="28" spans="1:3">
      <c r="A28" t="s">
        <v>360</v>
      </c>
      <c r="B28" t="s">
        <v>460</v>
      </c>
      <c r="C28" t="str">
        <f t="shared" si="0"/>
        <v>INTERESTEXPOFDOMESTIC</v>
      </c>
    </row>
    <row r="29" spans="1:3">
      <c r="A29" t="s">
        <v>377</v>
      </c>
      <c r="B29" t="s">
        <v>461</v>
      </c>
      <c r="C29" t="str">
        <f t="shared" si="0"/>
        <v>DIFFBALANCEALLOCATION</v>
      </c>
    </row>
    <row r="30" spans="1:3">
      <c r="A30" t="s">
        <v>379</v>
      </c>
      <c r="B30" t="s">
        <v>462</v>
      </c>
      <c r="C30" t="str">
        <f t="shared" si="0"/>
        <v>DIFFBLNCALLOCLABOR</v>
      </c>
    </row>
    <row r="31" spans="1:3">
      <c r="A31" t="s">
        <v>381</v>
      </c>
      <c r="B31" t="s">
        <v>463</v>
      </c>
      <c r="C31" t="str">
        <f t="shared" si="0"/>
        <v>DIFFBLNCALLOCO/HMF</v>
      </c>
    </row>
    <row r="32" spans="1:3">
      <c r="A32" t="s">
        <v>388</v>
      </c>
      <c r="B32" t="s">
        <v>464</v>
      </c>
      <c r="C32" t="str">
        <f t="shared" si="0"/>
        <v>DOUBTFULA/REXPENSES</v>
      </c>
    </row>
    <row r="33" spans="1:3">
      <c r="A33" t="s">
        <v>390</v>
      </c>
      <c r="B33" t="s">
        <v>465</v>
      </c>
      <c r="C33" t="str">
        <f t="shared" si="0"/>
        <v>DOUBTFULINVENTORYEXP</v>
      </c>
    </row>
    <row r="34" spans="1:3">
      <c r="A34" t="s">
        <v>401</v>
      </c>
      <c r="B34" t="s">
        <v>466</v>
      </c>
      <c r="C34" t="str">
        <f t="shared" si="0"/>
        <v>CLEARINGACCCASH/BANK</v>
      </c>
    </row>
    <row r="35" spans="1:3">
      <c r="A35" t="s">
        <v>403</v>
      </c>
      <c r="B35" t="s">
        <v>467</v>
      </c>
      <c r="C35" t="str">
        <f t="shared" si="0"/>
        <v>CLEARINGACCOTHERS</v>
      </c>
    </row>
    <row r="36" spans="1:3">
      <c r="A36" t="s">
        <v>405</v>
      </c>
      <c r="B36" t="s">
        <v>468</v>
      </c>
      <c r="C36" t="str">
        <f t="shared" si="0"/>
        <v>SUSPENSEACCDEDUCTION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59FA-A09D-4280-B630-7FCEC0832415}">
  <sheetPr codeName="Sheet9"/>
  <dimension ref="F4:G9"/>
  <sheetViews>
    <sheetView workbookViewId="0">
      <selection activeCell="C21" sqref="C21"/>
    </sheetView>
  </sheetViews>
  <sheetFormatPr defaultRowHeight="15"/>
  <cols>
    <col min="6" max="6" width="17.5703125" bestFit="1" customWidth="1"/>
  </cols>
  <sheetData>
    <row r="4" spans="6:7">
      <c r="F4" t="s">
        <v>426</v>
      </c>
    </row>
    <row r="5" spans="6:7">
      <c r="F5" t="s">
        <v>435</v>
      </c>
      <c r="G5" t="s">
        <v>431</v>
      </c>
    </row>
    <row r="6" spans="6:7">
      <c r="F6" t="s">
        <v>427</v>
      </c>
      <c r="G6" t="b">
        <v>0</v>
      </c>
    </row>
    <row r="7" spans="6:7">
      <c r="F7" t="s">
        <v>428</v>
      </c>
      <c r="G7" t="b">
        <v>0</v>
      </c>
    </row>
    <row r="8" spans="6:7">
      <c r="F8" t="s">
        <v>429</v>
      </c>
      <c r="G8" t="b">
        <v>0</v>
      </c>
    </row>
    <row r="9" spans="6:7">
      <c r="F9" t="s">
        <v>430</v>
      </c>
      <c r="G9" t="b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0F9F-28DC-45E3-A880-23F0C41633F5}">
  <sheetPr codeName="Sheet10"/>
  <dimension ref="A1:S344"/>
  <sheetViews>
    <sheetView zoomScale="70" zoomScaleNormal="70" workbookViewId="0">
      <pane xSplit="3" ySplit="5" topLeftCell="K230" activePane="bottomRight" state="frozen"/>
      <selection pane="topRight" activeCell="D1" sqref="D1"/>
      <selection pane="bottomLeft" activeCell="A6" sqref="A6"/>
      <selection pane="bottomRight" activeCell="P245" sqref="P245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9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10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20</v>
      </c>
      <c r="L4" s="40" t="s">
        <v>21</v>
      </c>
      <c r="M4" s="40" t="s">
        <v>22</v>
      </c>
      <c r="N4" s="40" t="s">
        <v>23</v>
      </c>
      <c r="O4" s="40" t="s">
        <v>24</v>
      </c>
      <c r="P4" s="40" t="s">
        <v>25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26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22"/>
      <c r="R6" s="18"/>
    </row>
    <row r="7" spans="1:19" ht="17.45" customHeight="1">
      <c r="B7" s="24"/>
      <c r="C7" s="62" t="s">
        <v>27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22"/>
      <c r="R7" s="18"/>
    </row>
    <row r="8" spans="1:19" ht="17.45" customHeight="1">
      <c r="B8" s="29" t="s">
        <v>28</v>
      </c>
      <c r="C8" s="63" t="s">
        <v>29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>
        <f>IFERROR(D8+E8+F8+G8+H8+I8+J8+K8+L8+M8+N8+O8,0)</f>
        <v>0</v>
      </c>
      <c r="Q8" s="22"/>
      <c r="R8" s="30"/>
      <c r="S8" s="22"/>
    </row>
    <row r="9" spans="1:19" ht="17.45" customHeight="1">
      <c r="B9" s="29" t="s">
        <v>30</v>
      </c>
      <c r="C9" s="63" t="s">
        <v>31</v>
      </c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>
        <f>IFERROR(D9+E9+F9+G9+H9+I9+J9+K9+L9+M9+N9+O9,0)</f>
        <v>0</v>
      </c>
      <c r="Q9" s="22"/>
      <c r="R9" s="30"/>
      <c r="S9" s="22"/>
    </row>
    <row r="10" spans="1:19" ht="17.45" customHeight="1">
      <c r="B10" s="29" t="s">
        <v>32</v>
      </c>
      <c r="C10" s="63" t="s">
        <v>33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>
        <f>IFERROR(D10+E10+F10+G10+H10+I10+J10+K10+L10+M10+N10+O10,0)</f>
        <v>0</v>
      </c>
      <c r="Q10" s="22"/>
      <c r="R10" s="30"/>
      <c r="S10" s="22"/>
    </row>
    <row r="11" spans="1:19" ht="17.45" customHeight="1">
      <c r="B11" s="29" t="s">
        <v>34</v>
      </c>
      <c r="C11" s="63" t="s">
        <v>35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>
        <f>IFERROR(D11+E11+F11+G11+H11+I11+J11+K11+L11+M11+N11+O11,0)</f>
        <v>0</v>
      </c>
      <c r="Q11" s="22"/>
      <c r="R11" s="30"/>
      <c r="S11" s="22"/>
    </row>
    <row r="12" spans="1:19" ht="17.45" customHeight="1">
      <c r="B12" s="29" t="s">
        <v>36</v>
      </c>
      <c r="C12" s="63" t="s">
        <v>37</v>
      </c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>
        <f>IFERROR(D12+E12+F12+G12+H12+I12+J12+K12+L12+M12+N12+O12,0)</f>
        <v>0</v>
      </c>
      <c r="Q12" s="22"/>
      <c r="R12" s="30"/>
      <c r="S12" s="22"/>
    </row>
    <row r="13" spans="1:19" ht="17.45" customHeight="1">
      <c r="B13" s="29" t="s">
        <v>38</v>
      </c>
      <c r="C13" s="63" t="s">
        <v>39</v>
      </c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>
        <f>IFERROR(D13+E13+F13+G13+H13+I13+J13+K13+L13+M13+N13+O13,0)</f>
        <v>0</v>
      </c>
      <c r="Q13" s="22"/>
      <c r="R13" s="30"/>
      <c r="S13" s="22"/>
    </row>
    <row r="14" spans="1:19" ht="17.45" customHeight="1">
      <c r="B14" s="29"/>
      <c r="C14" s="63" t="s">
        <v>40</v>
      </c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>
        <v>0</v>
      </c>
      <c r="Q14" s="22"/>
      <c r="R14" s="30"/>
      <c r="S14" s="22"/>
    </row>
    <row r="15" spans="1:19" ht="17.45" customHeight="1">
      <c r="A15" s="81" t="s">
        <v>433</v>
      </c>
      <c r="B15" s="41" t="s">
        <v>41</v>
      </c>
      <c r="C15" s="74" t="s">
        <v>27</v>
      </c>
      <c r="D15" s="73">
        <f t="shared" ref="D15:O15" si="0">SUM(D7:D13)</f>
        <v>0</v>
      </c>
      <c r="E15" s="73">
        <f t="shared" si="0"/>
        <v>0</v>
      </c>
      <c r="F15" s="73">
        <f t="shared" si="0"/>
        <v>0</v>
      </c>
      <c r="G15" s="73">
        <f t="shared" si="0"/>
        <v>0</v>
      </c>
      <c r="H15" s="73">
        <f t="shared" si="0"/>
        <v>0</v>
      </c>
      <c r="I15" s="73">
        <f t="shared" si="0"/>
        <v>0</v>
      </c>
      <c r="J15" s="73">
        <f t="shared" si="0"/>
        <v>0</v>
      </c>
      <c r="K15" s="73">
        <f t="shared" si="0"/>
        <v>0</v>
      </c>
      <c r="L15" s="73">
        <f t="shared" si="0"/>
        <v>0</v>
      </c>
      <c r="M15" s="73">
        <f t="shared" si="0"/>
        <v>0</v>
      </c>
      <c r="N15" s="73">
        <f t="shared" si="0"/>
        <v>0</v>
      </c>
      <c r="O15" s="73">
        <f t="shared" si="0"/>
        <v>0</v>
      </c>
      <c r="P15" s="73">
        <f>IFERROR(SUM(P7:P13),0)</f>
        <v>0</v>
      </c>
      <c r="Q15" s="22"/>
      <c r="R15" s="30"/>
      <c r="S15" s="22"/>
    </row>
    <row r="16" spans="1:19" ht="17.45" customHeight="1">
      <c r="A16" s="81" t="s">
        <v>433</v>
      </c>
      <c r="B16" s="47" t="s">
        <v>42</v>
      </c>
      <c r="C16" s="64" t="s">
        <v>43</v>
      </c>
      <c r="D16" s="60">
        <f t="shared" ref="D16:O16" si="1">D15</f>
        <v>0</v>
      </c>
      <c r="E16" s="60">
        <f t="shared" si="1"/>
        <v>0</v>
      </c>
      <c r="F16" s="60">
        <f t="shared" si="1"/>
        <v>0</v>
      </c>
      <c r="G16" s="60">
        <f t="shared" si="1"/>
        <v>0</v>
      </c>
      <c r="H16" s="60">
        <f t="shared" si="1"/>
        <v>0</v>
      </c>
      <c r="I16" s="60">
        <f t="shared" si="1"/>
        <v>0</v>
      </c>
      <c r="J16" s="60">
        <f t="shared" si="1"/>
        <v>0</v>
      </c>
      <c r="K16" s="60">
        <f t="shared" si="1"/>
        <v>0</v>
      </c>
      <c r="L16" s="60">
        <f t="shared" si="1"/>
        <v>0</v>
      </c>
      <c r="M16" s="60">
        <f t="shared" si="1"/>
        <v>0</v>
      </c>
      <c r="N16" s="60">
        <f t="shared" si="1"/>
        <v>0</v>
      </c>
      <c r="O16" s="60">
        <f t="shared" si="1"/>
        <v>0</v>
      </c>
      <c r="P16" s="60">
        <f>IFERROR(P15,0)</f>
        <v>0</v>
      </c>
      <c r="Q16" s="22"/>
      <c r="R16" s="30"/>
      <c r="S16" s="22"/>
    </row>
    <row r="17" spans="1:19" ht="17.45" customHeight="1">
      <c r="B17" s="29"/>
      <c r="C17" s="61" t="s">
        <v>44</v>
      </c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>
        <f>IFERROR(D17+E17+F17+G17+H17+I17+J17+K17+L17+M17+N17+O17,0)</f>
        <v>0</v>
      </c>
      <c r="Q17" s="22"/>
      <c r="R17" s="30"/>
      <c r="S17" s="22"/>
    </row>
    <row r="18" spans="1:19" ht="17.45" customHeight="1">
      <c r="B18" s="29"/>
      <c r="C18" s="62" t="s">
        <v>45</v>
      </c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>
        <f>IFERROR(D18+E18+F18+G18+H18+I18+J18+K18+L18+M18+N18+O18,0)</f>
        <v>0</v>
      </c>
      <c r="Q18" s="22"/>
      <c r="R18" s="30"/>
      <c r="S18" s="22"/>
    </row>
    <row r="19" spans="1:19" ht="17.45" customHeight="1">
      <c r="B19" s="29" t="s">
        <v>46</v>
      </c>
      <c r="C19" s="63" t="s">
        <v>47</v>
      </c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>
        <f>IFERROR(D19+E19+F19+G19+H19+I19+J19+K19+L19+M19+N19+O19,0)</f>
        <v>0</v>
      </c>
      <c r="Q19" s="22"/>
      <c r="R19" s="30"/>
      <c r="S19" s="22"/>
    </row>
    <row r="20" spans="1:19" ht="17.45" customHeight="1">
      <c r="B20" s="29" t="s">
        <v>48</v>
      </c>
      <c r="C20" s="25" t="s">
        <v>49</v>
      </c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>
        <f>IFERROR(D20+E20+F20+G20+H20+I20+J20+K20+L20+M20+N20+O20,0)</f>
        <v>0</v>
      </c>
      <c r="Q20" s="22"/>
      <c r="R20" s="30"/>
      <c r="S20" s="22"/>
    </row>
    <row r="21" spans="1:19" ht="17.45" customHeight="1">
      <c r="B21" s="29"/>
      <c r="C21" s="25" t="s">
        <v>50</v>
      </c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>
        <f>IFERROR(D21+E21+F21+G21+H21+I21+J21+K21+L21+M21+N21+O21,0)</f>
        <v>0</v>
      </c>
      <c r="Q21" s="22"/>
      <c r="R21" s="30"/>
      <c r="S21" s="22"/>
    </row>
    <row r="22" spans="1:19" ht="17.45" customHeight="1">
      <c r="B22" s="29" t="s">
        <v>51</v>
      </c>
      <c r="C22" s="25" t="s">
        <v>52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>
        <f>IFERROR(D22+E22+F22+G22+H22+I22+J22+K22+L22+M22+N22+O22,0)</f>
        <v>0</v>
      </c>
      <c r="Q22" s="22"/>
      <c r="R22" s="30"/>
      <c r="S22" s="22"/>
    </row>
    <row r="23" spans="1:19" ht="17.45" customHeight="1">
      <c r="B23" s="29" t="s">
        <v>53</v>
      </c>
      <c r="C23" s="25" t="s">
        <v>54</v>
      </c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>
        <f>IFERROR(D23+E23+F23+G23+H23+I23+J23+K23+L23+M23+N23+O23,0)</f>
        <v>0</v>
      </c>
      <c r="Q23" s="22"/>
      <c r="R23" s="30"/>
      <c r="S23" s="22"/>
    </row>
    <row r="24" spans="1:19" ht="17.45" customHeight="1">
      <c r="A24" s="81" t="s">
        <v>433</v>
      </c>
      <c r="B24" s="49"/>
      <c r="C24" s="50" t="s">
        <v>55</v>
      </c>
      <c r="D24" s="59">
        <f t="shared" ref="D24:O24" si="2">SUM(D18:D23)</f>
        <v>0</v>
      </c>
      <c r="E24" s="59">
        <f t="shared" si="2"/>
        <v>0</v>
      </c>
      <c r="F24" s="59">
        <f t="shared" si="2"/>
        <v>0</v>
      </c>
      <c r="G24" s="59">
        <f t="shared" si="2"/>
        <v>0</v>
      </c>
      <c r="H24" s="59">
        <f t="shared" si="2"/>
        <v>0</v>
      </c>
      <c r="I24" s="59">
        <f t="shared" si="2"/>
        <v>0</v>
      </c>
      <c r="J24" s="59">
        <f t="shared" si="2"/>
        <v>0</v>
      </c>
      <c r="K24" s="59">
        <f t="shared" si="2"/>
        <v>0</v>
      </c>
      <c r="L24" s="59">
        <f t="shared" si="2"/>
        <v>0</v>
      </c>
      <c r="M24" s="59">
        <f t="shared" si="2"/>
        <v>0</v>
      </c>
      <c r="N24" s="59">
        <f t="shared" si="2"/>
        <v>0</v>
      </c>
      <c r="O24" s="59">
        <f t="shared" si="2"/>
        <v>0</v>
      </c>
      <c r="P24" s="59">
        <f>IFERROR(SUM(P18:P23),0)</f>
        <v>0</v>
      </c>
      <c r="Q24" s="22"/>
      <c r="R24" s="30"/>
      <c r="S24" s="22"/>
    </row>
    <row r="25" spans="1:19" ht="17.45" customHeight="1">
      <c r="B25" s="29" t="s">
        <v>56</v>
      </c>
      <c r="C25" s="25" t="s">
        <v>57</v>
      </c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>
        <f>IFERROR(D25+E25+F25+G25+H25+I25+J25+K25+L25+M25+N25+O25,0)</f>
        <v>0</v>
      </c>
      <c r="Q25" s="22"/>
      <c r="R25" s="30"/>
      <c r="S25" s="22"/>
    </row>
    <row r="26" spans="1:19" ht="17.45" customHeight="1">
      <c r="B26" s="29" t="s">
        <v>58</v>
      </c>
      <c r="C26" s="25" t="s">
        <v>59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>
        <f>IFERROR(D26+E26+F26+G26+H26+I26+J26+K26+L26+M26+N26+O26,0)</f>
        <v>0</v>
      </c>
      <c r="Q26" s="22"/>
      <c r="R26" s="30"/>
      <c r="S26" s="22"/>
    </row>
    <row r="27" spans="1:19" ht="17.45" customHeight="1">
      <c r="B27" s="29" t="s">
        <v>60</v>
      </c>
      <c r="C27" s="25" t="s">
        <v>61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>
        <f>IFERROR(D27+E27+F27+G27+H27+I27+J27+K27+L27+M27+N27+O27,0)</f>
        <v>0</v>
      </c>
      <c r="Q27" s="22"/>
      <c r="R27" s="30"/>
      <c r="S27" s="22"/>
    </row>
    <row r="28" spans="1:19" ht="17.45" customHeight="1">
      <c r="B28" s="29" t="s">
        <v>62</v>
      </c>
      <c r="C28" s="25" t="s">
        <v>63</v>
      </c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>
        <f>IFERROR(D28+E28+F28+G28+H28+I28+J28+K28+L28+M28+N28+O28,0)</f>
        <v>0</v>
      </c>
      <c r="Q28" s="22"/>
      <c r="R28" s="30"/>
      <c r="S28" s="22"/>
    </row>
    <row r="29" spans="1:19" ht="17.45" customHeight="1">
      <c r="A29" s="81" t="s">
        <v>433</v>
      </c>
      <c r="B29" s="49"/>
      <c r="C29" s="50" t="s">
        <v>64</v>
      </c>
      <c r="D29" s="59">
        <f>D25</f>
        <v>0</v>
      </c>
      <c r="E29" s="59">
        <f t="shared" ref="E29:P29" si="3">E25</f>
        <v>0</v>
      </c>
      <c r="F29" s="59">
        <f t="shared" si="3"/>
        <v>0</v>
      </c>
      <c r="G29" s="59">
        <f t="shared" si="3"/>
        <v>0</v>
      </c>
      <c r="H29" s="59">
        <f t="shared" si="3"/>
        <v>0</v>
      </c>
      <c r="I29" s="59">
        <f t="shared" si="3"/>
        <v>0</v>
      </c>
      <c r="J29" s="59">
        <f t="shared" si="3"/>
        <v>0</v>
      </c>
      <c r="K29" s="59">
        <f t="shared" si="3"/>
        <v>0</v>
      </c>
      <c r="L29" s="59">
        <f t="shared" si="3"/>
        <v>0</v>
      </c>
      <c r="M29" s="59">
        <f t="shared" si="3"/>
        <v>0</v>
      </c>
      <c r="N29" s="59">
        <f t="shared" si="3"/>
        <v>0</v>
      </c>
      <c r="O29" s="59">
        <f t="shared" si="3"/>
        <v>0</v>
      </c>
      <c r="P29" s="59">
        <f>IFERROR(P25,0)</f>
        <v>0</v>
      </c>
      <c r="Q29" s="22"/>
      <c r="R29" s="30"/>
      <c r="S29" s="22"/>
    </row>
    <row r="30" spans="1:19" ht="17.45" customHeight="1">
      <c r="B30" s="29" t="s">
        <v>65</v>
      </c>
      <c r="C30" s="25" t="s">
        <v>66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>
        <f>IFERROR(D30+E30+F30+G30+H30+I30+J30+K30+L30+M30+N30+O30,0)</f>
        <v>0</v>
      </c>
      <c r="Q30" s="22"/>
      <c r="R30" s="30"/>
      <c r="S30" s="22"/>
    </row>
    <row r="31" spans="1:19" ht="17.45" customHeight="1">
      <c r="B31" s="29" t="s">
        <v>67</v>
      </c>
      <c r="C31" s="25" t="s">
        <v>68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>
        <f>IFERROR(D31+E31+F31+G31+H31+I31+J31+K31+L31+M31+N31+O31,0)</f>
        <v>0</v>
      </c>
      <c r="Q31" s="22"/>
      <c r="R31" s="30"/>
      <c r="S31" s="22"/>
    </row>
    <row r="32" spans="1:19" ht="17.45" customHeight="1">
      <c r="B32" s="29" t="s">
        <v>69</v>
      </c>
      <c r="C32" s="25" t="s">
        <v>70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>
        <f>IFERROR(D32+E32+F32+G32+H32+I32+J32+K32+L32+M32+N32+O32,0)</f>
        <v>0</v>
      </c>
      <c r="Q32" s="22"/>
      <c r="R32" s="30"/>
      <c r="S32" s="22"/>
    </row>
    <row r="33" spans="1:19" ht="17.45" customHeight="1">
      <c r="B33" s="29" t="s">
        <v>71</v>
      </c>
      <c r="C33" s="25" t="s">
        <v>72</v>
      </c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>
        <f>IFERROR(D33+E33+F33+G33+H33+I33+J33+K33+L33+M33+N33+O33,0)</f>
        <v>0</v>
      </c>
      <c r="Q33" s="22"/>
      <c r="R33" s="30"/>
      <c r="S33" s="22"/>
    </row>
    <row r="34" spans="1:19" ht="17.45" customHeight="1">
      <c r="A34" s="81" t="s">
        <v>433</v>
      </c>
      <c r="B34" s="65"/>
      <c r="C34" s="66" t="s">
        <v>73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1:19" ht="17.45" customHeight="1">
      <c r="A35" s="81" t="s">
        <v>433</v>
      </c>
      <c r="B35" s="65" t="s">
        <v>74</v>
      </c>
      <c r="C35" s="66" t="s">
        <v>75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1:19" ht="17.45" customHeight="1">
      <c r="A36" s="81" t="s">
        <v>433</v>
      </c>
      <c r="B36" s="47" t="s">
        <v>76</v>
      </c>
      <c r="C36" s="48" t="s">
        <v>77</v>
      </c>
      <c r="D36" s="59">
        <f t="shared" ref="D36:O36" si="4">D24+D29+D34+D35</f>
        <v>0</v>
      </c>
      <c r="E36" s="59">
        <f t="shared" si="4"/>
        <v>0</v>
      </c>
      <c r="F36" s="59">
        <f t="shared" si="4"/>
        <v>0</v>
      </c>
      <c r="G36" s="59">
        <f t="shared" si="4"/>
        <v>0</v>
      </c>
      <c r="H36" s="59">
        <f t="shared" si="4"/>
        <v>0</v>
      </c>
      <c r="I36" s="59">
        <f t="shared" si="4"/>
        <v>0</v>
      </c>
      <c r="J36" s="59">
        <f t="shared" si="4"/>
        <v>0</v>
      </c>
      <c r="K36" s="59">
        <f t="shared" si="4"/>
        <v>0</v>
      </c>
      <c r="L36" s="59">
        <f t="shared" si="4"/>
        <v>0</v>
      </c>
      <c r="M36" s="59">
        <f t="shared" si="4"/>
        <v>0</v>
      </c>
      <c r="N36" s="59">
        <f t="shared" si="4"/>
        <v>0</v>
      </c>
      <c r="O36" s="59">
        <f t="shared" si="4"/>
        <v>0</v>
      </c>
      <c r="P36" s="59">
        <f>IFERROR(P24+P29+P34+P35,0)</f>
        <v>0</v>
      </c>
      <c r="Q36" s="22"/>
      <c r="R36" s="30"/>
      <c r="S36" s="22"/>
    </row>
    <row r="37" spans="1:19" ht="17.45" customHeight="1">
      <c r="B37" s="29"/>
      <c r="C37" s="31" t="s">
        <v>78</v>
      </c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>
        <f>IFERROR(D37+E37+F37+G37+H37+I37+J37+K37+L37+M37+N37+O37,0)</f>
        <v>0</v>
      </c>
      <c r="Q37" s="22"/>
      <c r="R37" s="30"/>
      <c r="S37" s="22"/>
    </row>
    <row r="38" spans="1:19" ht="17.45" customHeight="1">
      <c r="B38" s="29" t="s">
        <v>79</v>
      </c>
      <c r="C38" s="28" t="s">
        <v>80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>
        <f>IFERROR(D38+E38+F38+G38+H38+I38+J38+K38+L38+M38+N38+O38,0)</f>
        <v>0</v>
      </c>
      <c r="Q38" s="22"/>
      <c r="R38" s="30"/>
      <c r="S38" s="22"/>
    </row>
    <row r="39" spans="1:19" ht="17.45" customHeight="1">
      <c r="B39" s="29" t="s">
        <v>81</v>
      </c>
      <c r="C39" s="25" t="s">
        <v>82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>
        <f>IFERROR(D39+E39+F39+G39+H39+I39+J39+K39+L39+M39+N39+O39,0)</f>
        <v>0</v>
      </c>
      <c r="Q39" s="22"/>
      <c r="R39" s="30"/>
      <c r="S39" s="22"/>
    </row>
    <row r="40" spans="1:19" ht="17.45" customHeight="1">
      <c r="B40" s="29"/>
      <c r="C40" s="28" t="s">
        <v>83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>
        <f>IFERROR(D40+E40+F40+G40+H40+I40+J40+K40+L40+M40+N40+O40,0)</f>
        <v>0</v>
      </c>
      <c r="Q40" s="22"/>
      <c r="R40" s="30"/>
      <c r="S40" s="22"/>
    </row>
    <row r="41" spans="1:19" ht="17.45" customHeight="1">
      <c r="B41" s="29" t="s">
        <v>84</v>
      </c>
      <c r="C41" s="25" t="s">
        <v>85</v>
      </c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>
        <f>IFERROR(D41+E41+F41+G41+H41+I41+J41+K41+L41+M41+N41+O41,0)</f>
        <v>0</v>
      </c>
      <c r="Q41" s="22"/>
      <c r="R41" s="30"/>
      <c r="S41" s="22"/>
    </row>
    <row r="42" spans="1:19" ht="17.45" customHeight="1">
      <c r="B42" s="29" t="s">
        <v>86</v>
      </c>
      <c r="C42" s="25" t="s">
        <v>87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>
        <f>IFERROR(D42+E42+F42+G42+H42+I42+J42+K42+L42+M42+N42+O42,0)</f>
        <v>0</v>
      </c>
      <c r="Q42" s="22"/>
      <c r="R42" s="30"/>
      <c r="S42" s="22"/>
    </row>
    <row r="43" spans="1:19" ht="17.45" customHeight="1">
      <c r="B43" s="29"/>
      <c r="C43" s="25" t="s">
        <v>88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>
        <v>0</v>
      </c>
      <c r="Q43" s="22"/>
      <c r="R43" s="30"/>
      <c r="S43" s="22"/>
    </row>
    <row r="44" spans="1:19" ht="17.45" customHeight="1">
      <c r="B44" s="29" t="s">
        <v>89</v>
      </c>
      <c r="C44" s="25" t="s">
        <v>90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>
        <v>0</v>
      </c>
      <c r="Q44" s="22"/>
      <c r="R44" s="30"/>
      <c r="S44" s="22"/>
    </row>
    <row r="45" spans="1:19" ht="17.45" customHeight="1">
      <c r="B45" s="29"/>
      <c r="C45" s="25" t="s">
        <v>91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>
        <v>0</v>
      </c>
      <c r="Q45" s="22"/>
      <c r="R45" s="30"/>
      <c r="S45" s="22"/>
    </row>
    <row r="46" spans="1:19" ht="17.45" customHeight="1">
      <c r="B46" s="29"/>
      <c r="C46" s="25" t="s">
        <v>92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>
        <v>0</v>
      </c>
      <c r="Q46" s="22"/>
      <c r="R46" s="30"/>
      <c r="S46" s="22"/>
    </row>
    <row r="47" spans="1:19" ht="17.45" customHeight="1">
      <c r="A47" s="81" t="s">
        <v>433</v>
      </c>
      <c r="B47" s="46" t="s">
        <v>93</v>
      </c>
      <c r="C47" s="45" t="s">
        <v>83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IFERROR(SUM(D47:O47),0)</f>
        <v>0</v>
      </c>
      <c r="Q47" s="22"/>
      <c r="R47" s="30"/>
      <c r="S47" s="22"/>
    </row>
    <row r="48" spans="1:19" ht="17.45" customHeight="1">
      <c r="B48" s="29"/>
      <c r="C48" s="28" t="s">
        <v>94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>
        <f>IFERROR(D48+E48+F48+G48+H48+I48+J48+K48+L48+M48+N48+O48,0)</f>
        <v>0</v>
      </c>
      <c r="Q48" s="22"/>
      <c r="R48" s="30"/>
      <c r="S48" s="22"/>
    </row>
    <row r="49" spans="1:19" ht="17.45" customHeight="1">
      <c r="B49" s="29" t="s">
        <v>95</v>
      </c>
      <c r="C49" s="25" t="s">
        <v>96</v>
      </c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>
        <f>IFERROR(D49+E49+F49+G49+H49+I49+J49+K49+L49+M49+N49+O49,0)</f>
        <v>0</v>
      </c>
      <c r="Q49" s="22"/>
      <c r="R49" s="30"/>
      <c r="S49" s="22"/>
    </row>
    <row r="50" spans="1:19" ht="17.45" customHeight="1">
      <c r="B50" s="29" t="s">
        <v>97</v>
      </c>
      <c r="C50" s="25" t="s">
        <v>98</v>
      </c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>
        <f>IFERROR(D50+E50+F50+G50+H50+I50+J50+K50+L50+M50+N50+O50,0)</f>
        <v>0</v>
      </c>
      <c r="Q50" s="22"/>
      <c r="R50" s="30"/>
      <c r="S50" s="22"/>
    </row>
    <row r="51" spans="1:19" ht="17.45" customHeight="1">
      <c r="B51" s="29" t="s">
        <v>99</v>
      </c>
      <c r="C51" s="25" t="s">
        <v>100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>
        <f>IFERROR(D51+E51+F51+G51+H51+I51+J51+K51+L51+M51+N51+O51,0)</f>
        <v>0</v>
      </c>
      <c r="Q51" s="22"/>
      <c r="R51" s="30"/>
      <c r="S51" s="22"/>
    </row>
    <row r="52" spans="1:19" ht="17.45" customHeight="1">
      <c r="A52" s="81" t="s">
        <v>433</v>
      </c>
      <c r="B52" s="65" t="s">
        <v>101</v>
      </c>
      <c r="C52" s="66" t="s">
        <v>94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IFERROR(SUM(D52:O52),0)</f>
        <v>0</v>
      </c>
      <c r="Q52" s="22"/>
      <c r="R52" s="30"/>
      <c r="S52" s="22"/>
    </row>
    <row r="53" spans="1:19" ht="17.45" customHeight="1">
      <c r="A53" s="81" t="s">
        <v>433</v>
      </c>
      <c r="B53" s="65" t="s">
        <v>102</v>
      </c>
      <c r="C53" s="66" t="s">
        <v>103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IFERROR(SUM(D53:O53),0)</f>
        <v>0</v>
      </c>
      <c r="Q53" s="22"/>
      <c r="R53" s="30"/>
      <c r="S53" s="22"/>
    </row>
    <row r="54" spans="1:19" ht="17.45" customHeight="1">
      <c r="B54" s="29"/>
      <c r="C54" s="27" t="s">
        <v>104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>
        <f>IFERROR(D54+E54+F54+G54+H54+I54+J54+K54+L54+M54+N54+O54,0)</f>
        <v>0</v>
      </c>
      <c r="Q54" s="22"/>
      <c r="R54" s="30"/>
      <c r="S54" s="22"/>
    </row>
    <row r="55" spans="1:19" ht="17.45" customHeight="1">
      <c r="B55" s="29"/>
      <c r="C55" s="28" t="s">
        <v>105</v>
      </c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>
        <f>IFERROR(D55+E55+F55+G55+H55+I55+J55+K55+L55+M55+N55+O55,0)</f>
        <v>0</v>
      </c>
      <c r="Q55" s="22"/>
      <c r="R55" s="30"/>
      <c r="S55" s="22"/>
    </row>
    <row r="56" spans="1:19" ht="17.45" customHeight="1">
      <c r="B56" s="29" t="s">
        <v>106</v>
      </c>
      <c r="C56" s="25" t="s">
        <v>107</v>
      </c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>
        <f>IFERROR(D56+E56+F56+G56+H56+I56+J56+K56+L56+M56+N56+O56,0)</f>
        <v>0</v>
      </c>
      <c r="Q56" s="22"/>
      <c r="R56" s="30"/>
      <c r="S56" s="22"/>
    </row>
    <row r="57" spans="1:19" ht="17.45" customHeight="1">
      <c r="B57" s="29" t="s">
        <v>108</v>
      </c>
      <c r="C57" s="25" t="s">
        <v>109</v>
      </c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>
        <f>IFERROR(D57+E57+F57+G57+H57+I57+J57+K57+L57+M57+N57+O57,0)</f>
        <v>0</v>
      </c>
      <c r="Q57" s="22"/>
      <c r="R57" s="30"/>
      <c r="S57" s="22"/>
    </row>
    <row r="58" spans="1:19" ht="17.45" customHeight="1">
      <c r="B58" s="29" t="s">
        <v>110</v>
      </c>
      <c r="C58" s="25" t="s">
        <v>111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>
        <f>IFERROR(D58+E58+F58+G58+H58+I58+J58+K58+L58+M58+N58+O58,0)</f>
        <v>0</v>
      </c>
      <c r="Q58" s="22"/>
      <c r="R58" s="30"/>
      <c r="S58" s="22"/>
    </row>
    <row r="59" spans="1:19" ht="17.45" customHeight="1">
      <c r="B59" s="29" t="s">
        <v>112</v>
      </c>
      <c r="C59" s="25" t="s">
        <v>113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>
        <f>IFERROR(D59+E59+F59+G59+H59+I59+J59+K59+L59+M59+N59+O59,0)</f>
        <v>0</v>
      </c>
      <c r="Q59" s="22"/>
      <c r="R59" s="30"/>
      <c r="S59" s="22"/>
    </row>
    <row r="60" spans="1:19" ht="17.45" customHeight="1">
      <c r="B60" s="29" t="s">
        <v>114</v>
      </c>
      <c r="C60" s="25" t="s">
        <v>115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>
        <f>IFERROR(D60+E60+F60+G60+H60+I60+J60+K60+L60+M60+N60+O60,0)</f>
        <v>0</v>
      </c>
      <c r="Q60" s="22"/>
      <c r="R60" s="30"/>
      <c r="S60" s="22"/>
    </row>
    <row r="61" spans="1:19" ht="17.45" customHeight="1">
      <c r="A61" s="81" t="s">
        <v>433</v>
      </c>
      <c r="B61" s="46" t="s">
        <v>116</v>
      </c>
      <c r="C61" s="45" t="s">
        <v>105</v>
      </c>
      <c r="D61" s="59">
        <f t="shared" ref="D61:O61" si="5">SUM(D56:D60)</f>
        <v>0</v>
      </c>
      <c r="E61" s="59">
        <f t="shared" si="5"/>
        <v>0</v>
      </c>
      <c r="F61" s="59">
        <f t="shared" si="5"/>
        <v>0</v>
      </c>
      <c r="G61" s="59">
        <f t="shared" si="5"/>
        <v>0</v>
      </c>
      <c r="H61" s="59">
        <f t="shared" si="5"/>
        <v>0</v>
      </c>
      <c r="I61" s="59">
        <f t="shared" si="5"/>
        <v>0</v>
      </c>
      <c r="J61" s="59">
        <f t="shared" si="5"/>
        <v>0</v>
      </c>
      <c r="K61" s="59">
        <f t="shared" si="5"/>
        <v>0</v>
      </c>
      <c r="L61" s="59">
        <f t="shared" si="5"/>
        <v>0</v>
      </c>
      <c r="M61" s="59">
        <f t="shared" si="5"/>
        <v>0</v>
      </c>
      <c r="N61" s="59">
        <f t="shared" si="5"/>
        <v>0</v>
      </c>
      <c r="O61" s="59">
        <f t="shared" si="5"/>
        <v>0</v>
      </c>
      <c r="P61" s="59">
        <f>IFERROR(SUM(P56:P60),0)</f>
        <v>0</v>
      </c>
      <c r="Q61" s="22"/>
      <c r="R61" s="30"/>
      <c r="S61" s="22"/>
    </row>
    <row r="62" spans="1:19" ht="17.45" customHeight="1">
      <c r="B62" s="29" t="s">
        <v>117</v>
      </c>
      <c r="C62" s="25" t="s">
        <v>118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>
        <f>IFERROR(D62+E62+F62+G62+H62+I62+J62+K62+L62+M62+N62+O62,0)</f>
        <v>0</v>
      </c>
      <c r="Q62" s="22"/>
      <c r="R62" s="30"/>
      <c r="S62" s="22"/>
    </row>
    <row r="63" spans="1:19" ht="17.45" customHeight="1">
      <c r="B63" s="29" t="s">
        <v>119</v>
      </c>
      <c r="C63" s="25" t="s">
        <v>120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>
        <f>IFERROR(D63+E63+F63+G63+H63+I63+J63+K63+L63+M63+N63+O63,0)</f>
        <v>0</v>
      </c>
      <c r="Q63" s="22"/>
      <c r="R63" s="30"/>
      <c r="S63" s="22"/>
    </row>
    <row r="64" spans="1:19" ht="17.45" customHeight="1">
      <c r="B64" s="29" t="s">
        <v>121</v>
      </c>
      <c r="C64" s="25" t="s">
        <v>122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>
        <f>IFERROR(D64+E64+F64+G64+H64+I64+J64+K64+L64+M64+N64+O64,0)</f>
        <v>0</v>
      </c>
      <c r="Q64" s="22"/>
      <c r="R64" s="30"/>
      <c r="S64" s="22"/>
    </row>
    <row r="65" spans="1:19" ht="17.45" customHeight="1">
      <c r="B65" s="29" t="s">
        <v>123</v>
      </c>
      <c r="C65" s="25" t="s">
        <v>124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>
        <f>IFERROR(D65+E65+F65+G65+H65+I65+J65+K65+L65+M65+N65+O65,0)</f>
        <v>0</v>
      </c>
      <c r="Q65" s="22"/>
      <c r="R65" s="30"/>
      <c r="S65" s="22"/>
    </row>
    <row r="66" spans="1:19" ht="17.45" customHeight="1">
      <c r="B66" s="29"/>
      <c r="C66" s="28" t="s">
        <v>125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>
        <f>IFERROR(D66+E66+F66+G66+H66+I66+J66+K66+L66+M66+N66+O66,0)</f>
        <v>0</v>
      </c>
      <c r="Q66" s="22"/>
      <c r="R66" s="30"/>
      <c r="S66" s="22"/>
    </row>
    <row r="67" spans="1:19" ht="17.45" customHeight="1">
      <c r="B67" s="29" t="s">
        <v>126</v>
      </c>
      <c r="C67" s="25" t="s">
        <v>127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>
        <f>IFERROR(D67+E67+F67+G67+H67+I67+J67+K67+L67+M67+N67+O67,0)</f>
        <v>0</v>
      </c>
      <c r="Q67" s="22"/>
      <c r="R67" s="30"/>
      <c r="S67" s="22"/>
    </row>
    <row r="68" spans="1:19" ht="17.45" customHeight="1">
      <c r="B68" s="29" t="s">
        <v>128</v>
      </c>
      <c r="C68" s="25" t="s">
        <v>129</v>
      </c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>
        <f>IFERROR(D68+E68+F68+G68+H68+I68+J68+K68+L68+M68+N68+O68,0)</f>
        <v>0</v>
      </c>
      <c r="Q68" s="22"/>
      <c r="R68" s="30"/>
      <c r="S68" s="22"/>
    </row>
    <row r="69" spans="1:19" ht="17.45" customHeight="1">
      <c r="B69" s="29"/>
      <c r="C69" s="25" t="s">
        <v>130</v>
      </c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>
        <f>IFERROR(D69+E69+F69+G69+H69+I69+J69+K69+L69+M69+N69+O69,0)</f>
        <v>0</v>
      </c>
      <c r="Q69" s="22"/>
      <c r="R69" s="30"/>
      <c r="S69" s="22"/>
    </row>
    <row r="70" spans="1:19" ht="17.45" customHeight="1">
      <c r="A70" s="81" t="s">
        <v>433</v>
      </c>
      <c r="B70" s="46" t="s">
        <v>131</v>
      </c>
      <c r="C70" s="45" t="s">
        <v>125</v>
      </c>
      <c r="D70" s="59">
        <f t="shared" ref="D70:O70" si="6">SUM(D68:D69)</f>
        <v>0</v>
      </c>
      <c r="E70" s="59">
        <f t="shared" si="6"/>
        <v>0</v>
      </c>
      <c r="F70" s="59">
        <f t="shared" si="6"/>
        <v>0</v>
      </c>
      <c r="G70" s="59">
        <f t="shared" si="6"/>
        <v>0</v>
      </c>
      <c r="H70" s="59">
        <f t="shared" si="6"/>
        <v>0</v>
      </c>
      <c r="I70" s="59">
        <f t="shared" si="6"/>
        <v>0</v>
      </c>
      <c r="J70" s="59">
        <f t="shared" si="6"/>
        <v>0</v>
      </c>
      <c r="K70" s="59">
        <f t="shared" si="6"/>
        <v>0</v>
      </c>
      <c r="L70" s="59">
        <f t="shared" si="6"/>
        <v>0</v>
      </c>
      <c r="M70" s="59">
        <f t="shared" si="6"/>
        <v>0</v>
      </c>
      <c r="N70" s="59">
        <f t="shared" si="6"/>
        <v>0</v>
      </c>
      <c r="O70" s="59">
        <f t="shared" si="6"/>
        <v>0</v>
      </c>
      <c r="P70" s="59">
        <f>IFERROR(SUM(P68:P69),0)</f>
        <v>0</v>
      </c>
      <c r="Q70" s="22"/>
      <c r="R70" s="30"/>
      <c r="S70" s="22"/>
    </row>
    <row r="71" spans="1:19" ht="17.45" customHeight="1">
      <c r="B71" s="29" t="s">
        <v>132</v>
      </c>
      <c r="C71" s="25" t="s">
        <v>133</v>
      </c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>
        <f>IFERROR(D71+E71+F71+G71+H71+I71+J71+K71+L71+M71+N71+O71,0)</f>
        <v>0</v>
      </c>
      <c r="Q71" s="22"/>
      <c r="R71" s="30"/>
      <c r="S71" s="22"/>
    </row>
    <row r="72" spans="1:19" ht="17.45" customHeight="1">
      <c r="B72" s="29"/>
      <c r="C72" s="28" t="s">
        <v>134</v>
      </c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>
        <f>IFERROR(D72+E72+F72+G72+H72+I72+J72+K72+L72+M72+N72+O72,0)</f>
        <v>0</v>
      </c>
      <c r="Q72" s="22"/>
      <c r="R72" s="30"/>
      <c r="S72" s="22"/>
    </row>
    <row r="73" spans="1:19" ht="17.45" customHeight="1">
      <c r="B73" s="29" t="s">
        <v>135</v>
      </c>
      <c r="C73" s="25" t="s">
        <v>136</v>
      </c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>
        <f>IFERROR(D73+E73+F73+G73+H73+I73+J73+K73+L73+M73+N73+O73,0)</f>
        <v>0</v>
      </c>
      <c r="Q73" s="22"/>
      <c r="R73" s="30"/>
      <c r="S73" s="22"/>
    </row>
    <row r="74" spans="1:19" ht="17.45" customHeight="1">
      <c r="B74" s="29" t="s">
        <v>137</v>
      </c>
      <c r="C74" s="25" t="s">
        <v>138</v>
      </c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>
        <f>IFERROR(D74+E74+F74+G74+H74+I74+J74+K74+L74+M74+N74+O74,0)</f>
        <v>0</v>
      </c>
      <c r="Q74" s="22"/>
      <c r="R74" s="30"/>
      <c r="S74" s="22"/>
    </row>
    <row r="75" spans="1:19" ht="17.45" customHeight="1">
      <c r="B75" s="29" t="s">
        <v>139</v>
      </c>
      <c r="C75" s="25" t="s">
        <v>140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>
        <f>IFERROR(D75+E75+F75+G75+H75+I75+J75+K75+L75+M75+N75+O75,0)</f>
        <v>0</v>
      </c>
      <c r="Q75" s="22"/>
      <c r="R75" s="30"/>
      <c r="S75" s="22"/>
    </row>
    <row r="76" spans="1:19" ht="17.45" customHeight="1">
      <c r="B76" s="29" t="s">
        <v>141</v>
      </c>
      <c r="C76" s="25" t="s">
        <v>142</v>
      </c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>
        <f>IFERROR(D76+E76+F76+G76+H76+I76+J76+K76+L76+M76+N76+O76,0)</f>
        <v>0</v>
      </c>
      <c r="Q76" s="22"/>
      <c r="R76" s="30"/>
      <c r="S76" s="22"/>
    </row>
    <row r="77" spans="1:19" ht="17.45" customHeight="1">
      <c r="B77" s="29" t="s">
        <v>143</v>
      </c>
      <c r="C77" s="25" t="s">
        <v>144</v>
      </c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>
        <f>IFERROR(D77+E77+F77+G77+H77+I77+J77+K77+L77+M77+N77+O77,0)</f>
        <v>0</v>
      </c>
      <c r="Q77" s="22"/>
      <c r="R77" s="30"/>
      <c r="S77" s="22"/>
    </row>
    <row r="78" spans="1:19" ht="17.45" customHeight="1">
      <c r="B78" s="29"/>
      <c r="C78" s="25" t="s">
        <v>145</v>
      </c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>
        <f>IFERROR(D78+E78+F78+G78+H78+I78+J78+K78+L78+M78+N78+O78,0)</f>
        <v>0</v>
      </c>
      <c r="Q78" s="22"/>
      <c r="R78" s="30"/>
      <c r="S78" s="22"/>
    </row>
    <row r="79" spans="1:19" ht="17.45" customHeight="1">
      <c r="B79" s="29"/>
      <c r="C79" s="25" t="s">
        <v>146</v>
      </c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>
        <f>IFERROR(D79+E79+F79+G79+H79+I79+J79+K79+L79+M79+N79+O79,0)</f>
        <v>0</v>
      </c>
      <c r="Q79" s="22"/>
      <c r="R79" s="30"/>
      <c r="S79" s="22"/>
    </row>
    <row r="80" spans="1:19" ht="17.45" customHeight="1">
      <c r="A80" s="81" t="s">
        <v>433</v>
      </c>
      <c r="B80" s="46" t="s">
        <v>147</v>
      </c>
      <c r="C80" s="45" t="s">
        <v>134</v>
      </c>
      <c r="D80" s="59">
        <f t="shared" ref="D80:O80" si="7">SUM(D73:D79)</f>
        <v>0</v>
      </c>
      <c r="E80" s="59">
        <f t="shared" si="7"/>
        <v>0</v>
      </c>
      <c r="F80" s="59">
        <f t="shared" si="7"/>
        <v>0</v>
      </c>
      <c r="G80" s="59">
        <f t="shared" si="7"/>
        <v>0</v>
      </c>
      <c r="H80" s="59">
        <f t="shared" si="7"/>
        <v>0</v>
      </c>
      <c r="I80" s="59">
        <f t="shared" si="7"/>
        <v>0</v>
      </c>
      <c r="J80" s="59">
        <f t="shared" si="7"/>
        <v>0</v>
      </c>
      <c r="K80" s="59">
        <f t="shared" si="7"/>
        <v>0</v>
      </c>
      <c r="L80" s="59">
        <f t="shared" si="7"/>
        <v>0</v>
      </c>
      <c r="M80" s="59">
        <f t="shared" si="7"/>
        <v>0</v>
      </c>
      <c r="N80" s="59">
        <f t="shared" si="7"/>
        <v>0</v>
      </c>
      <c r="O80" s="59">
        <f t="shared" si="7"/>
        <v>0</v>
      </c>
      <c r="P80" s="59">
        <f>IFERROR(SUM(P73:P79),0)</f>
        <v>0</v>
      </c>
      <c r="Q80" s="22"/>
      <c r="R80" s="30"/>
      <c r="S80" s="22"/>
    </row>
    <row r="81" spans="1:19" ht="17.45" customHeight="1">
      <c r="B81" s="29"/>
      <c r="C81" s="28" t="s">
        <v>148</v>
      </c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>
        <v>0</v>
      </c>
      <c r="Q81" s="22"/>
      <c r="R81" s="30"/>
      <c r="S81" s="22"/>
    </row>
    <row r="82" spans="1:19" ht="17.45" customHeight="1">
      <c r="B82" s="29"/>
      <c r="C82" s="25" t="s">
        <v>149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>
        <v>0</v>
      </c>
      <c r="Q82" s="22"/>
      <c r="R82" s="30"/>
      <c r="S82" s="22"/>
    </row>
    <row r="83" spans="1:19" ht="17.45" customHeight="1">
      <c r="B83" s="29" t="s">
        <v>150</v>
      </c>
      <c r="C83" s="25" t="s">
        <v>151</v>
      </c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>
        <f>IFERROR(D83+E83+F83+G83+H83+I83+J83+K83+L83+M83+N83+O83,0)</f>
        <v>0</v>
      </c>
      <c r="Q83" s="22"/>
      <c r="R83" s="30"/>
      <c r="S83" s="22"/>
    </row>
    <row r="84" spans="1:19" ht="17.45" customHeight="1">
      <c r="B84" s="29" t="s">
        <v>152</v>
      </c>
      <c r="C84" s="25" t="s">
        <v>153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>
        <f>IFERROR(D84+E84+F84+G84+H84+I84+J84+K84+L84+M84+N84+O84,0)</f>
        <v>0</v>
      </c>
      <c r="Q84" s="22"/>
      <c r="R84" s="30"/>
      <c r="S84" s="22"/>
    </row>
    <row r="85" spans="1:19" ht="17.45" customHeight="1">
      <c r="B85" s="29" t="s">
        <v>154</v>
      </c>
      <c r="C85" s="25" t="s">
        <v>155</v>
      </c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>
        <f>IFERROR(D85+E85+F85+G85+H85+I85+J85+K85+L85+M85+N85+O85,0)</f>
        <v>0</v>
      </c>
      <c r="Q85" s="22"/>
      <c r="R85" s="30"/>
      <c r="S85" s="22"/>
    </row>
    <row r="86" spans="1:19" ht="17.45" customHeight="1">
      <c r="B86" s="29" t="s">
        <v>156</v>
      </c>
      <c r="C86" s="25" t="s">
        <v>157</v>
      </c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>
        <f>IFERROR(D86+E86+F86+G86+H86+I86+J86+K86+L86+M86+N86+O86,0)</f>
        <v>0</v>
      </c>
      <c r="Q86" s="22"/>
      <c r="R86" s="30"/>
      <c r="S86" s="22"/>
    </row>
    <row r="87" spans="1:19" ht="17.45" customHeight="1">
      <c r="B87" s="29" t="s">
        <v>158</v>
      </c>
      <c r="C87" s="25" t="s">
        <v>159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>
        <f>IFERROR(D87+E87+F87+G87+H87+I87+J87+K87+L87+M87+N87+O87,0)</f>
        <v>0</v>
      </c>
      <c r="Q87" s="22"/>
      <c r="R87" s="30"/>
      <c r="S87" s="22"/>
    </row>
    <row r="88" spans="1:19" ht="17.45" customHeight="1">
      <c r="B88" s="29" t="s">
        <v>160</v>
      </c>
      <c r="C88" s="25" t="s">
        <v>161</v>
      </c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>
        <f>IFERROR(D88+E88+F88+G88+H88+I88+J88+K88+L88+M88+N88+O88,0)</f>
        <v>0</v>
      </c>
      <c r="Q88" s="22"/>
      <c r="R88" s="30"/>
      <c r="S88" s="22"/>
    </row>
    <row r="89" spans="1:19" ht="17.45" customHeight="1">
      <c r="A89" s="81" t="s">
        <v>433</v>
      </c>
      <c r="B89" s="46" t="s">
        <v>162</v>
      </c>
      <c r="C89" s="45" t="s">
        <v>148</v>
      </c>
      <c r="D89" s="59">
        <f t="shared" ref="D89:O89" si="8">SUM(D82:D88)</f>
        <v>0</v>
      </c>
      <c r="E89" s="59">
        <f t="shared" si="8"/>
        <v>0</v>
      </c>
      <c r="F89" s="59">
        <f t="shared" si="8"/>
        <v>0</v>
      </c>
      <c r="G89" s="59">
        <f t="shared" si="8"/>
        <v>0</v>
      </c>
      <c r="H89" s="59">
        <f t="shared" si="8"/>
        <v>0</v>
      </c>
      <c r="I89" s="59">
        <f t="shared" si="8"/>
        <v>0</v>
      </c>
      <c r="J89" s="59">
        <f t="shared" si="8"/>
        <v>0</v>
      </c>
      <c r="K89" s="59">
        <f t="shared" si="8"/>
        <v>0</v>
      </c>
      <c r="L89" s="59">
        <f t="shared" si="8"/>
        <v>0</v>
      </c>
      <c r="M89" s="59">
        <f t="shared" si="8"/>
        <v>0</v>
      </c>
      <c r="N89" s="59">
        <f t="shared" si="8"/>
        <v>0</v>
      </c>
      <c r="O89" s="59">
        <f t="shared" si="8"/>
        <v>0</v>
      </c>
      <c r="P89" s="59">
        <f>IFERROR(SUM(P82:P88),0)</f>
        <v>0</v>
      </c>
      <c r="Q89" s="22"/>
      <c r="R89" s="30"/>
      <c r="S89" s="22"/>
    </row>
    <row r="90" spans="1:19" ht="17.45" customHeight="1">
      <c r="B90" s="29" t="s">
        <v>163</v>
      </c>
      <c r="C90" s="25" t="s">
        <v>164</v>
      </c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>
        <f>IFERROR(D90+E90+F90+G90+H90+I90+J90+K90+L90+M90+N90+O90,0)</f>
        <v>0</v>
      </c>
      <c r="Q90" s="22"/>
      <c r="R90" s="30"/>
      <c r="S90" s="22"/>
    </row>
    <row r="91" spans="1:19" ht="17.45" customHeight="1">
      <c r="B91" s="29" t="s">
        <v>165</v>
      </c>
      <c r="C91" s="25" t="s">
        <v>166</v>
      </c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>
        <f>IFERROR(D91+E91+F91+G91+H91+I91+J91+K91+L91+M91+N91+O91,0)</f>
        <v>0</v>
      </c>
      <c r="Q91" s="22"/>
      <c r="R91" s="30"/>
      <c r="S91" s="22"/>
    </row>
    <row r="92" spans="1:19" ht="17.45" customHeight="1">
      <c r="B92" s="29" t="s">
        <v>167</v>
      </c>
      <c r="C92" s="25" t="s">
        <v>168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>
        <f>IFERROR(D92+E92+F92+G92+H92+I92+J92+K92+L92+M92+N92+O92,0)</f>
        <v>0</v>
      </c>
      <c r="Q92" s="22"/>
      <c r="R92" s="30"/>
      <c r="S92" s="22"/>
    </row>
    <row r="93" spans="1:19" ht="17.45" customHeight="1">
      <c r="B93" s="29" t="s">
        <v>169</v>
      </c>
      <c r="C93" s="25" t="s">
        <v>170</v>
      </c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>
        <f>IFERROR(D93+E93+F93+G93+H93+I93+J93+K93+L93+M93+N93+O93,0)</f>
        <v>0</v>
      </c>
      <c r="Q93" s="22"/>
      <c r="R93" s="30"/>
      <c r="S93" s="22"/>
    </row>
    <row r="94" spans="1:19" ht="17.45" customHeight="1">
      <c r="B94" s="29" t="s">
        <v>171</v>
      </c>
      <c r="C94" s="25" t="s">
        <v>172</v>
      </c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>
        <f>IFERROR(D94+E94+F94+G94+H94+I94+J94+K94+L94+M94+N94+O94,0)</f>
        <v>0</v>
      </c>
      <c r="Q94" s="22"/>
      <c r="R94" s="30"/>
      <c r="S94" s="22"/>
    </row>
    <row r="95" spans="1:19" ht="17.45" customHeight="1">
      <c r="B95" s="29" t="s">
        <v>173</v>
      </c>
      <c r="C95" s="25" t="s">
        <v>174</v>
      </c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>
        <f>IFERROR(D95+E95+F95+G95+H95+I95+J95+K95+L95+M95+N95+O95,0)</f>
        <v>0</v>
      </c>
      <c r="Q95" s="22"/>
      <c r="R95" s="30"/>
      <c r="S95" s="22"/>
    </row>
    <row r="96" spans="1:19" ht="17.45" customHeight="1">
      <c r="B96" s="29" t="s">
        <v>175</v>
      </c>
      <c r="C96" s="25" t="s">
        <v>176</v>
      </c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>
        <f>IFERROR(D96+E96+F96+G96+H96+I96+J96+K96+L96+M96+N96+O96,0)</f>
        <v>0</v>
      </c>
      <c r="Q96" s="22"/>
      <c r="R96" s="30"/>
      <c r="S96" s="22"/>
    </row>
    <row r="97" spans="1:19" ht="17.45" customHeight="1">
      <c r="B97" s="29" t="s">
        <v>177</v>
      </c>
      <c r="C97" s="25" t="s">
        <v>178</v>
      </c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>
        <f>IFERROR(D97+E97+F97+G97+H97+I97+J97+K97+L97+M97+N97+O97,0)</f>
        <v>0</v>
      </c>
      <c r="Q97" s="22"/>
      <c r="R97" s="30"/>
      <c r="S97" s="22"/>
    </row>
    <row r="98" spans="1:19" ht="17.45" customHeight="1">
      <c r="B98" s="29" t="s">
        <v>179</v>
      </c>
      <c r="C98" s="25" t="s">
        <v>180</v>
      </c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>
        <f>IFERROR(D98+E98+F98+G98+H98+I98+J98+K98+L98+M98+N98+O98,0)</f>
        <v>0</v>
      </c>
      <c r="Q98" s="22"/>
      <c r="R98" s="30"/>
      <c r="S98" s="22"/>
    </row>
    <row r="99" spans="1:19" ht="17.45" customHeight="1">
      <c r="B99" s="29" t="s">
        <v>181</v>
      </c>
      <c r="C99" s="25" t="s">
        <v>182</v>
      </c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>
        <f>IFERROR(D99+E99+F99+G99+H99+I99+J99+K99+L99+M99+N99+O99,0)</f>
        <v>0</v>
      </c>
      <c r="Q99" s="22"/>
      <c r="R99" s="30"/>
      <c r="S99" s="22"/>
    </row>
    <row r="100" spans="1:19" ht="17.45" customHeight="1">
      <c r="B100" s="32">
        <v>631180</v>
      </c>
      <c r="C100" s="25" t="s">
        <v>183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>
        <f>IFERROR(D100+E100+F100+G100+H100+I100+J100+K100+L100+M100+N100+O100,0)</f>
        <v>0</v>
      </c>
      <c r="Q100" s="22"/>
      <c r="R100" s="30"/>
      <c r="S100" s="22"/>
    </row>
    <row r="101" spans="1:19" ht="17.45" customHeight="1">
      <c r="A101" s="81" t="s">
        <v>433</v>
      </c>
      <c r="B101" s="46" t="s">
        <v>167</v>
      </c>
      <c r="C101" s="51" t="s">
        <v>168</v>
      </c>
      <c r="D101" s="59">
        <f t="shared" ref="D101:O101" si="9">SUM(D92:D100)</f>
        <v>0</v>
      </c>
      <c r="E101" s="59">
        <f t="shared" si="9"/>
        <v>0</v>
      </c>
      <c r="F101" s="59">
        <f t="shared" si="9"/>
        <v>0</v>
      </c>
      <c r="G101" s="59">
        <f t="shared" si="9"/>
        <v>0</v>
      </c>
      <c r="H101" s="59">
        <f t="shared" si="9"/>
        <v>0</v>
      </c>
      <c r="I101" s="59">
        <f t="shared" si="9"/>
        <v>0</v>
      </c>
      <c r="J101" s="59">
        <f t="shared" si="9"/>
        <v>0</v>
      </c>
      <c r="K101" s="59">
        <f t="shared" si="9"/>
        <v>0</v>
      </c>
      <c r="L101" s="59">
        <f t="shared" si="9"/>
        <v>0</v>
      </c>
      <c r="M101" s="59">
        <f t="shared" si="9"/>
        <v>0</v>
      </c>
      <c r="N101" s="59">
        <f t="shared" si="9"/>
        <v>0</v>
      </c>
      <c r="O101" s="59">
        <f t="shared" si="9"/>
        <v>0</v>
      </c>
      <c r="P101" s="59">
        <f>IFERROR(SUM(P92:P100),0)</f>
        <v>0</v>
      </c>
      <c r="Q101" s="22"/>
      <c r="R101" s="30"/>
      <c r="S101" s="22"/>
    </row>
    <row r="102" spans="1:19" ht="17.45" customHeight="1">
      <c r="B102" s="29"/>
      <c r="C102" s="28" t="s">
        <v>184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>
        <f>IFERROR(D102+E102+F102+G102+H102+I102+J102+K102+L102+M102+N102+O102,0)</f>
        <v>0</v>
      </c>
      <c r="Q102" s="22"/>
      <c r="R102" s="30"/>
      <c r="S102" s="22"/>
    </row>
    <row r="103" spans="1:19" ht="17.45" customHeight="1">
      <c r="B103" s="29" t="s">
        <v>185</v>
      </c>
      <c r="C103" s="25" t="s">
        <v>186</v>
      </c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>
        <f>IFERROR(D103+E103+F103+G103+H103+I103+J103+K103+L103+M103+N103+O103,0)</f>
        <v>0</v>
      </c>
      <c r="Q103" s="22"/>
      <c r="R103" s="30"/>
      <c r="S103" s="22"/>
    </row>
    <row r="104" spans="1:19" ht="17.45" customHeight="1">
      <c r="B104" s="29" t="s">
        <v>187</v>
      </c>
      <c r="C104" s="25" t="s">
        <v>188</v>
      </c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>
        <f>IFERROR(D104+E104+F104+G104+H104+I104+J104+K104+L104+M104+N104+O104,0)</f>
        <v>0</v>
      </c>
      <c r="Q104" s="22"/>
      <c r="R104" s="30"/>
      <c r="S104" s="22"/>
    </row>
    <row r="105" spans="1:19" ht="17.45" customHeight="1">
      <c r="B105" s="29" t="s">
        <v>189</v>
      </c>
      <c r="C105" s="25" t="s">
        <v>190</v>
      </c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>
        <f>IFERROR(D105+E105+F105+G105+H105+I105+J105+K105+L105+M105+N105+O105,0)</f>
        <v>0</v>
      </c>
      <c r="Q105" s="22"/>
      <c r="R105" s="30"/>
      <c r="S105" s="22"/>
    </row>
    <row r="106" spans="1:19" ht="17.45" customHeight="1">
      <c r="A106" s="81" t="s">
        <v>433</v>
      </c>
      <c r="B106" s="46" t="s">
        <v>191</v>
      </c>
      <c r="C106" s="45" t="s">
        <v>184</v>
      </c>
      <c r="D106" s="59">
        <f t="shared" ref="D106:O106" si="10">SUM(D104:D105)</f>
        <v>0</v>
      </c>
      <c r="E106" s="59">
        <f t="shared" si="10"/>
        <v>0</v>
      </c>
      <c r="F106" s="59">
        <f t="shared" si="10"/>
        <v>0</v>
      </c>
      <c r="G106" s="59">
        <f t="shared" si="10"/>
        <v>0</v>
      </c>
      <c r="H106" s="59">
        <f t="shared" si="10"/>
        <v>0</v>
      </c>
      <c r="I106" s="59">
        <f t="shared" si="10"/>
        <v>0</v>
      </c>
      <c r="J106" s="59">
        <f t="shared" si="10"/>
        <v>0</v>
      </c>
      <c r="K106" s="59">
        <f t="shared" si="10"/>
        <v>0</v>
      </c>
      <c r="L106" s="59">
        <f t="shared" si="10"/>
        <v>0</v>
      </c>
      <c r="M106" s="59">
        <f t="shared" si="10"/>
        <v>0</v>
      </c>
      <c r="N106" s="59">
        <f t="shared" si="10"/>
        <v>0</v>
      </c>
      <c r="O106" s="59">
        <f t="shared" si="10"/>
        <v>0</v>
      </c>
      <c r="P106" s="59">
        <f>IFERROR(SUM(P104:P105),0)</f>
        <v>0</v>
      </c>
      <c r="Q106" s="22"/>
      <c r="R106" s="30"/>
      <c r="S106" s="22"/>
    </row>
    <row r="107" spans="1:19" ht="17.45" customHeight="1">
      <c r="B107" s="29"/>
      <c r="C107" s="28" t="s">
        <v>192</v>
      </c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>
        <v>0</v>
      </c>
      <c r="Q107" s="22"/>
      <c r="R107" s="30"/>
      <c r="S107" s="22"/>
    </row>
    <row r="108" spans="1:19" ht="17.45" customHeight="1">
      <c r="B108" s="29"/>
      <c r="C108" s="25" t="s">
        <v>193</v>
      </c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>
        <v>0</v>
      </c>
      <c r="Q108" s="22"/>
      <c r="R108" s="30"/>
      <c r="S108" s="22"/>
    </row>
    <row r="109" spans="1:19" ht="17.45" customHeight="1">
      <c r="B109" s="29"/>
      <c r="C109" s="25" t="s">
        <v>194</v>
      </c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>
        <v>0</v>
      </c>
      <c r="Q109" s="22"/>
      <c r="R109" s="30"/>
      <c r="S109" s="22"/>
    </row>
    <row r="110" spans="1:19" ht="17.45" customHeight="1">
      <c r="B110" s="29"/>
      <c r="C110" s="33" t="s">
        <v>195</v>
      </c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>
        <v>0</v>
      </c>
      <c r="Q110" s="22"/>
      <c r="R110" s="30"/>
      <c r="S110" s="22"/>
    </row>
    <row r="111" spans="1:19" ht="17.45" customHeight="1">
      <c r="A111" s="81" t="s">
        <v>433</v>
      </c>
      <c r="B111" s="47" t="s">
        <v>196</v>
      </c>
      <c r="C111" s="48" t="s">
        <v>104</v>
      </c>
      <c r="D111" s="73">
        <f t="shared" ref="D111:P111" si="11">D106+D101+D91+D90+D89+D80+D71+D70+D65+D64+D63+D62+D61+D110</f>
        <v>0</v>
      </c>
      <c r="E111" s="73">
        <f t="shared" si="11"/>
        <v>0</v>
      </c>
      <c r="F111" s="73">
        <f t="shared" si="11"/>
        <v>0</v>
      </c>
      <c r="G111" s="73">
        <f t="shared" si="11"/>
        <v>0</v>
      </c>
      <c r="H111" s="73">
        <f t="shared" si="11"/>
        <v>0</v>
      </c>
      <c r="I111" s="73">
        <f t="shared" si="11"/>
        <v>0</v>
      </c>
      <c r="J111" s="73">
        <f t="shared" si="11"/>
        <v>0</v>
      </c>
      <c r="K111" s="73">
        <f t="shared" si="11"/>
        <v>0</v>
      </c>
      <c r="L111" s="73">
        <f t="shared" si="11"/>
        <v>0</v>
      </c>
      <c r="M111" s="73">
        <f t="shared" si="11"/>
        <v>0</v>
      </c>
      <c r="N111" s="73">
        <f t="shared" si="11"/>
        <v>0</v>
      </c>
      <c r="O111" s="73">
        <f t="shared" si="11"/>
        <v>0</v>
      </c>
      <c r="P111" s="73">
        <f>IFERROR(P106+P101+P91+P90+P89+P80+P71+P70+P65+P64+P63+P62+P61+P110,0)</f>
        <v>0</v>
      </c>
      <c r="Q111" s="22"/>
      <c r="R111" s="30"/>
      <c r="S111" s="22"/>
    </row>
    <row r="112" spans="1:19" ht="17.45" customHeight="1">
      <c r="A112" s="81" t="s">
        <v>433</v>
      </c>
      <c r="B112" s="52" t="s">
        <v>197</v>
      </c>
      <c r="C112" s="53" t="s">
        <v>198</v>
      </c>
      <c r="D112" s="59">
        <f t="shared" ref="D112:P112" si="12">D36</f>
        <v>0</v>
      </c>
      <c r="E112" s="59">
        <f t="shared" si="12"/>
        <v>0</v>
      </c>
      <c r="F112" s="59">
        <f t="shared" si="12"/>
        <v>0</v>
      </c>
      <c r="G112" s="59">
        <f t="shared" si="12"/>
        <v>0</v>
      </c>
      <c r="H112" s="59">
        <f t="shared" si="12"/>
        <v>0</v>
      </c>
      <c r="I112" s="59">
        <f t="shared" si="12"/>
        <v>0</v>
      </c>
      <c r="J112" s="59">
        <f t="shared" si="12"/>
        <v>0</v>
      </c>
      <c r="K112" s="59">
        <f t="shared" si="12"/>
        <v>0</v>
      </c>
      <c r="L112" s="59">
        <f t="shared" si="12"/>
        <v>0</v>
      </c>
      <c r="M112" s="59">
        <f t="shared" si="12"/>
        <v>0</v>
      </c>
      <c r="N112" s="59">
        <f t="shared" si="12"/>
        <v>0</v>
      </c>
      <c r="O112" s="59">
        <f t="shared" si="12"/>
        <v>0</v>
      </c>
      <c r="P112" s="59">
        <f>IFERROR(P36,0)</f>
        <v>0</v>
      </c>
      <c r="Q112" s="22"/>
      <c r="R112" s="30"/>
      <c r="S112" s="22"/>
    </row>
    <row r="113" spans="1:19" ht="17.45" customHeight="1">
      <c r="B113" s="29"/>
      <c r="C113" s="27" t="s">
        <v>199</v>
      </c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>
        <f>IFERROR(D113+E113+F113+G113+H113+I113+J113+K113+L113+M113+N113+O113,0)</f>
        <v>0</v>
      </c>
      <c r="Q113" s="22"/>
      <c r="R113" s="30"/>
      <c r="S113" s="22"/>
    </row>
    <row r="114" spans="1:19" ht="17.45" customHeight="1">
      <c r="B114" s="29"/>
      <c r="C114" s="28" t="s">
        <v>200</v>
      </c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>
        <f>IFERROR(D114+E114+F114+G114+H114+I114+J114+K114+L114+M114+N114+O114,0)</f>
        <v>0</v>
      </c>
      <c r="Q114" s="22"/>
      <c r="R114" s="30"/>
      <c r="S114" s="22"/>
    </row>
    <row r="115" spans="1:19" ht="17.45" customHeight="1">
      <c r="B115" s="29" t="s">
        <v>201</v>
      </c>
      <c r="C115" s="25" t="s">
        <v>202</v>
      </c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>
        <f>IFERROR(D115+E115+F115+G115+H115+I115+J115+K115+L115+M115+N115+O115,0)</f>
        <v>0</v>
      </c>
      <c r="Q115" s="22"/>
      <c r="R115" s="30"/>
      <c r="S115" s="22"/>
    </row>
    <row r="116" spans="1:19" ht="17.45" customHeight="1">
      <c r="B116" s="29" t="s">
        <v>203</v>
      </c>
      <c r="C116" s="25" t="s">
        <v>204</v>
      </c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>
        <f>IFERROR(D116+E116+F116+G116+H116+I116+J116+K116+L116+M116+N116+O116,0)</f>
        <v>0</v>
      </c>
      <c r="Q116" s="22"/>
      <c r="R116" s="30"/>
      <c r="S116" s="22"/>
    </row>
    <row r="117" spans="1:19" ht="17.45" customHeight="1">
      <c r="A117" s="81" t="s">
        <v>433</v>
      </c>
      <c r="B117" s="47" t="s">
        <v>205</v>
      </c>
      <c r="C117" s="48" t="s">
        <v>200</v>
      </c>
      <c r="D117" s="59">
        <f>D116</f>
        <v>0</v>
      </c>
      <c r="E117" s="59">
        <f t="shared" ref="E117:O117" si="13">E116</f>
        <v>0</v>
      </c>
      <c r="F117" s="59">
        <f t="shared" si="13"/>
        <v>0</v>
      </c>
      <c r="G117" s="59">
        <f t="shared" si="13"/>
        <v>0</v>
      </c>
      <c r="H117" s="59">
        <f t="shared" si="13"/>
        <v>0</v>
      </c>
      <c r="I117" s="59">
        <f t="shared" si="13"/>
        <v>0</v>
      </c>
      <c r="J117" s="59">
        <f t="shared" si="13"/>
        <v>0</v>
      </c>
      <c r="K117" s="59">
        <f t="shared" si="13"/>
        <v>0</v>
      </c>
      <c r="L117" s="59">
        <f t="shared" si="13"/>
        <v>0</v>
      </c>
      <c r="M117" s="59">
        <f t="shared" si="13"/>
        <v>0</v>
      </c>
      <c r="N117" s="59">
        <f t="shared" si="13"/>
        <v>0</v>
      </c>
      <c r="O117" s="59">
        <f t="shared" si="13"/>
        <v>0</v>
      </c>
      <c r="P117" s="59">
        <f>IFERROR(SUM(P115:P116),0)</f>
        <v>0</v>
      </c>
      <c r="Q117" s="22"/>
      <c r="R117" s="30"/>
      <c r="S117" s="22"/>
    </row>
    <row r="118" spans="1:19" ht="17.45" customHeight="1">
      <c r="B118" s="29"/>
      <c r="C118" s="28" t="s">
        <v>206</v>
      </c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>
        <f>IFERROR(D118+E118+F118+G118+H118+I118+J118+K118+L118+M118+N118+O118,0)</f>
        <v>0</v>
      </c>
      <c r="Q118" s="22"/>
      <c r="R118" s="30"/>
      <c r="S118" s="22"/>
    </row>
    <row r="119" spans="1:19" ht="17.45" customHeight="1">
      <c r="B119" s="29" t="s">
        <v>207</v>
      </c>
      <c r="C119" s="25" t="s">
        <v>208</v>
      </c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>
        <f>IFERROR(D119+E119+F119+G119+H119+I119+J119+K119+L119+M119+N119+O119,0)</f>
        <v>0</v>
      </c>
      <c r="Q119" s="22"/>
      <c r="R119" s="30"/>
      <c r="S119" s="22"/>
    </row>
    <row r="120" spans="1:19" ht="17.45" customHeight="1">
      <c r="B120" s="29" t="s">
        <v>209</v>
      </c>
      <c r="C120" s="25" t="s">
        <v>210</v>
      </c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>
        <f>IFERROR(D120+E120+F120+G120+H120+I120+J120+K120+L120+M120+N120+O120,0)</f>
        <v>0</v>
      </c>
      <c r="Q120" s="22"/>
      <c r="R120" s="30"/>
      <c r="S120" s="22"/>
    </row>
    <row r="121" spans="1:19" ht="17.45" customHeight="1">
      <c r="B121" s="29"/>
      <c r="C121" s="33" t="s">
        <v>211</v>
      </c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>
        <f>IFERROR(D121+E121+F121+G121+H121+I121+J121+K121+L121+M121+N121+O121,0)</f>
        <v>0</v>
      </c>
      <c r="Q121" s="22"/>
      <c r="R121" s="30"/>
      <c r="S121" s="22"/>
    </row>
    <row r="122" spans="1:19" ht="17.45" customHeight="1">
      <c r="B122" s="29" t="s">
        <v>212</v>
      </c>
      <c r="C122" s="25" t="s">
        <v>213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>
        <f>IFERROR(D122+E122+F122+G122+H122+I122+J122+K122+L122+M122+N122+O122,0)</f>
        <v>0</v>
      </c>
      <c r="Q122" s="22"/>
      <c r="R122" s="30"/>
      <c r="S122" s="22"/>
    </row>
    <row r="123" spans="1:19" ht="17.45" customHeight="1">
      <c r="B123" s="29" t="s">
        <v>214</v>
      </c>
      <c r="C123" s="25" t="s">
        <v>215</v>
      </c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>
        <f>IFERROR(D123+E123+F123+G123+H123+I123+J123+K123+L123+M123+N123+O123,0)</f>
        <v>0</v>
      </c>
      <c r="Q123" s="22"/>
      <c r="R123" s="30"/>
      <c r="S123" s="22"/>
    </row>
    <row r="124" spans="1:19" ht="17.45" customHeight="1">
      <c r="B124" s="29" t="s">
        <v>216</v>
      </c>
      <c r="C124" s="25" t="s">
        <v>217</v>
      </c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>
        <f>IFERROR(D124+E124+F124+G124+H124+I124+J124+K124+L124+M124+N124+O124,0)</f>
        <v>0</v>
      </c>
      <c r="Q124" s="22"/>
      <c r="R124" s="30"/>
      <c r="S124" s="22"/>
    </row>
    <row r="125" spans="1:19" ht="17.45" customHeight="1">
      <c r="B125" s="29" t="s">
        <v>218</v>
      </c>
      <c r="C125" s="25" t="s">
        <v>219</v>
      </c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>
        <f>IFERROR(D125+E125+F125+G125+H125+I125+J125+K125+L125+M125+N125+O125,0)</f>
        <v>0</v>
      </c>
      <c r="Q125" s="22"/>
      <c r="R125" s="30"/>
      <c r="S125" s="22"/>
    </row>
    <row r="126" spans="1:19" ht="17.45" customHeight="1">
      <c r="B126" s="29" t="s">
        <v>220</v>
      </c>
      <c r="C126" s="25" t="s">
        <v>221</v>
      </c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>
        <f>IFERROR(D126+E126+F126+G126+H126+I126+J126+K126+L126+M126+N126+O126,0)</f>
        <v>0</v>
      </c>
      <c r="Q126" s="22"/>
      <c r="R126" s="30"/>
      <c r="S126" s="22"/>
    </row>
    <row r="127" spans="1:19" ht="17.45" customHeight="1">
      <c r="B127" s="29" t="s">
        <v>222</v>
      </c>
      <c r="C127" s="25" t="s">
        <v>223</v>
      </c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>
        <f>IFERROR(D127+E127+F127+G127+H127+I127+J127+K127+L127+M127+N127+O127,0)</f>
        <v>0</v>
      </c>
      <c r="Q127" s="22"/>
      <c r="R127" s="30"/>
      <c r="S127" s="22"/>
    </row>
    <row r="128" spans="1:19" ht="17.45" customHeight="1">
      <c r="A128" s="81" t="s">
        <v>433</v>
      </c>
      <c r="B128" s="47" t="s">
        <v>224</v>
      </c>
      <c r="C128" s="48" t="s">
        <v>211</v>
      </c>
      <c r="D128" s="59">
        <f t="shared" ref="D128:O128" si="14">SUM(D122:D127)</f>
        <v>0</v>
      </c>
      <c r="E128" s="59">
        <f t="shared" si="14"/>
        <v>0</v>
      </c>
      <c r="F128" s="59">
        <f t="shared" si="14"/>
        <v>0</v>
      </c>
      <c r="G128" s="59">
        <f t="shared" si="14"/>
        <v>0</v>
      </c>
      <c r="H128" s="59">
        <f t="shared" si="14"/>
        <v>0</v>
      </c>
      <c r="I128" s="59">
        <f t="shared" si="14"/>
        <v>0</v>
      </c>
      <c r="J128" s="59">
        <f t="shared" si="14"/>
        <v>0</v>
      </c>
      <c r="K128" s="59">
        <f t="shared" si="14"/>
        <v>0</v>
      </c>
      <c r="L128" s="59">
        <f t="shared" si="14"/>
        <v>0</v>
      </c>
      <c r="M128" s="59">
        <f t="shared" si="14"/>
        <v>0</v>
      </c>
      <c r="N128" s="59">
        <f t="shared" si="14"/>
        <v>0</v>
      </c>
      <c r="O128" s="59">
        <f t="shared" si="14"/>
        <v>0</v>
      </c>
      <c r="P128" s="59">
        <f>IFERROR(SUM(P122:P127),0)</f>
        <v>0</v>
      </c>
      <c r="Q128" s="22"/>
      <c r="R128" s="30"/>
      <c r="S128" s="22"/>
    </row>
    <row r="129" spans="1:19" ht="17.45" customHeight="1">
      <c r="B129" s="29" t="s">
        <v>225</v>
      </c>
      <c r="C129" s="25" t="s">
        <v>226</v>
      </c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>
        <f>IFERROR(D129+E129+F129+G129+H129+I129+J129+K129+L129+M129+N129+O129,0)</f>
        <v>0</v>
      </c>
      <c r="Q129" s="22"/>
      <c r="R129" s="30"/>
      <c r="S129" s="22"/>
    </row>
    <row r="130" spans="1:19" ht="17.45" customHeight="1">
      <c r="B130" s="29" t="s">
        <v>227</v>
      </c>
      <c r="C130" s="25" t="s">
        <v>228</v>
      </c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>
        <f>IFERROR(D130+E130+F130+G130+H130+I130+J130+K130+L130+M130+N130+O130,0)</f>
        <v>0</v>
      </c>
      <c r="Q130" s="22"/>
      <c r="R130" s="30"/>
      <c r="S130" s="22"/>
    </row>
    <row r="131" spans="1:19" ht="17.45" customHeight="1">
      <c r="B131" s="29" t="s">
        <v>229</v>
      </c>
      <c r="C131" s="25" t="s">
        <v>230</v>
      </c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>
        <f>IFERROR(D131+E131+F131+G131+H131+I131+J131+K131+L131+M131+N131+O131,0)</f>
        <v>0</v>
      </c>
      <c r="Q131" s="22"/>
      <c r="R131" s="30"/>
      <c r="S131" s="22"/>
    </row>
    <row r="132" spans="1:19" ht="17.45" customHeight="1">
      <c r="A132" s="81" t="s">
        <v>433</v>
      </c>
      <c r="B132" s="47" t="s">
        <v>231</v>
      </c>
      <c r="C132" s="48" t="s">
        <v>206</v>
      </c>
      <c r="D132" s="59">
        <f t="shared" ref="D132:O132" si="15">D119+D128+D129+D130</f>
        <v>0</v>
      </c>
      <c r="E132" s="59">
        <f t="shared" si="15"/>
        <v>0</v>
      </c>
      <c r="F132" s="59">
        <f t="shared" si="15"/>
        <v>0</v>
      </c>
      <c r="G132" s="59">
        <f t="shared" si="15"/>
        <v>0</v>
      </c>
      <c r="H132" s="59">
        <f t="shared" si="15"/>
        <v>0</v>
      </c>
      <c r="I132" s="59">
        <f t="shared" si="15"/>
        <v>0</v>
      </c>
      <c r="J132" s="59">
        <f t="shared" si="15"/>
        <v>0</v>
      </c>
      <c r="K132" s="59">
        <f t="shared" si="15"/>
        <v>0</v>
      </c>
      <c r="L132" s="59">
        <f t="shared" si="15"/>
        <v>0</v>
      </c>
      <c r="M132" s="59">
        <f t="shared" si="15"/>
        <v>0</v>
      </c>
      <c r="N132" s="59">
        <f t="shared" si="15"/>
        <v>0</v>
      </c>
      <c r="O132" s="59">
        <f t="shared" si="15"/>
        <v>0</v>
      </c>
      <c r="P132" s="59">
        <f>IFERROR(P119+P128+P129+P130,0)</f>
        <v>0</v>
      </c>
      <c r="Q132" s="22"/>
      <c r="R132" s="30"/>
      <c r="S132" s="22"/>
    </row>
    <row r="133" spans="1:19" ht="17.45" customHeight="1">
      <c r="B133" s="29"/>
      <c r="C133" s="33" t="s">
        <v>232</v>
      </c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>
        <f>IFERROR(D133+E133+F133+G133+H133+I133+J133+K133+L133+M133+N133+O133,0)</f>
        <v>0</v>
      </c>
      <c r="Q133" s="22"/>
      <c r="R133" s="30"/>
      <c r="S133" s="22"/>
    </row>
    <row r="134" spans="1:19" ht="17.45" customHeight="1">
      <c r="B134" s="29" t="s">
        <v>233</v>
      </c>
      <c r="C134" s="25" t="s">
        <v>39</v>
      </c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>
        <f>IFERROR(D134+E134+F134+G134+H134+I134+J134+K134+L134+M134+N134+O134,0)</f>
        <v>0</v>
      </c>
      <c r="Q134" s="22"/>
      <c r="R134" s="30"/>
      <c r="S134" s="22"/>
    </row>
    <row r="135" spans="1:19" ht="17.45" customHeight="1">
      <c r="B135" s="29" t="s">
        <v>234</v>
      </c>
      <c r="C135" s="25" t="s">
        <v>235</v>
      </c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>
        <f>IFERROR(D135+E135+F135+G135+H135+I135+J135+K135+L135+M135+N135+O135,0)</f>
        <v>0</v>
      </c>
      <c r="Q135" s="22"/>
      <c r="R135" s="30"/>
      <c r="S135" s="22"/>
    </row>
    <row r="136" spans="1:19" ht="17.45" customHeight="1">
      <c r="B136" s="29" t="s">
        <v>236</v>
      </c>
      <c r="C136" s="25" t="s">
        <v>237</v>
      </c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>
        <f>IFERROR(D136+E136+F136+G136+H136+I136+J136+K136+L136+M136+N136+O136,0)</f>
        <v>0</v>
      </c>
      <c r="Q136" s="22"/>
      <c r="R136" s="30"/>
      <c r="S136" s="22"/>
    </row>
    <row r="137" spans="1:19" ht="17.45" customHeight="1">
      <c r="A137" s="81" t="s">
        <v>433</v>
      </c>
      <c r="B137" s="43" t="s">
        <v>238</v>
      </c>
      <c r="C137" s="44" t="s">
        <v>232</v>
      </c>
      <c r="D137" s="75">
        <f t="shared" ref="D137:O137" si="16">SUM(D134:D136)</f>
        <v>0</v>
      </c>
      <c r="E137" s="75">
        <f t="shared" si="16"/>
        <v>0</v>
      </c>
      <c r="F137" s="75">
        <f t="shared" si="16"/>
        <v>0</v>
      </c>
      <c r="G137" s="75">
        <f t="shared" si="16"/>
        <v>0</v>
      </c>
      <c r="H137" s="75">
        <f t="shared" si="16"/>
        <v>0</v>
      </c>
      <c r="I137" s="75">
        <f t="shared" si="16"/>
        <v>0</v>
      </c>
      <c r="J137" s="75">
        <f t="shared" si="16"/>
        <v>0</v>
      </c>
      <c r="K137" s="75">
        <f t="shared" si="16"/>
        <v>0</v>
      </c>
      <c r="L137" s="75">
        <f t="shared" si="16"/>
        <v>0</v>
      </c>
      <c r="M137" s="75">
        <f t="shared" si="16"/>
        <v>0</v>
      </c>
      <c r="N137" s="75">
        <f t="shared" si="16"/>
        <v>0</v>
      </c>
      <c r="O137" s="75">
        <f t="shared" si="16"/>
        <v>0</v>
      </c>
      <c r="P137" s="75">
        <f>IFERROR(SUM(P134:P136),0)</f>
        <v>0</v>
      </c>
      <c r="Q137" s="22"/>
      <c r="R137" s="30"/>
      <c r="S137" s="22"/>
    </row>
    <row r="138" spans="1:19" ht="17.45" customHeight="1">
      <c r="A138" s="81" t="s">
        <v>433</v>
      </c>
      <c r="B138" s="52" t="s">
        <v>239</v>
      </c>
      <c r="C138" s="53" t="s">
        <v>199</v>
      </c>
      <c r="D138" s="59">
        <f t="shared" ref="D138:O138" si="17">D137+D132+D117</f>
        <v>0</v>
      </c>
      <c r="E138" s="59">
        <f t="shared" si="17"/>
        <v>0</v>
      </c>
      <c r="F138" s="59">
        <f t="shared" si="17"/>
        <v>0</v>
      </c>
      <c r="G138" s="59">
        <f t="shared" si="17"/>
        <v>0</v>
      </c>
      <c r="H138" s="59">
        <f t="shared" si="17"/>
        <v>0</v>
      </c>
      <c r="I138" s="59">
        <f t="shared" si="17"/>
        <v>0</v>
      </c>
      <c r="J138" s="59">
        <f t="shared" si="17"/>
        <v>0</v>
      </c>
      <c r="K138" s="59">
        <f t="shared" si="17"/>
        <v>0</v>
      </c>
      <c r="L138" s="59">
        <f t="shared" si="17"/>
        <v>0</v>
      </c>
      <c r="M138" s="59">
        <f t="shared" si="17"/>
        <v>0</v>
      </c>
      <c r="N138" s="59">
        <f t="shared" si="17"/>
        <v>0</v>
      </c>
      <c r="O138" s="59">
        <f t="shared" si="17"/>
        <v>0</v>
      </c>
      <c r="P138" s="59">
        <f>IFERROR(P137+P132+P117,0)</f>
        <v>0</v>
      </c>
      <c r="Q138" s="22"/>
      <c r="R138" s="30"/>
      <c r="S138" s="22"/>
    </row>
    <row r="139" spans="1:19" ht="17.45" customHeight="1">
      <c r="B139" s="29"/>
      <c r="C139" s="27" t="s">
        <v>240</v>
      </c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>
        <f>IFERROR(D139+E139+F139+G139+H139+I139+J139+K139+L139+M139+N139+O139,0)</f>
        <v>0</v>
      </c>
      <c r="Q139" s="22"/>
      <c r="R139" s="30"/>
      <c r="S139" s="22"/>
    </row>
    <row r="140" spans="1:19" ht="17.45" customHeight="1">
      <c r="B140" s="29"/>
      <c r="C140" s="28" t="s">
        <v>241</v>
      </c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>
        <f>IFERROR(D140+E140+F140+G140+H140+I140+J140+K140+L140+M140+N140+O140,0)</f>
        <v>0</v>
      </c>
      <c r="Q140" s="22"/>
      <c r="R140" s="30"/>
      <c r="S140" s="22"/>
    </row>
    <row r="141" spans="1:19" ht="17.45" customHeight="1">
      <c r="B141" s="29" t="s">
        <v>242</v>
      </c>
      <c r="C141" s="25" t="s">
        <v>243</v>
      </c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>
        <f>IFERROR(D141+E141+F141+G141+H141+I141+J141+K141+L141+M141+N141+O141,0)</f>
        <v>0</v>
      </c>
      <c r="Q141" s="22"/>
      <c r="R141" s="30"/>
      <c r="S141" s="22"/>
    </row>
    <row r="142" spans="1:19" ht="17.45" customHeight="1">
      <c r="B142" s="29" t="s">
        <v>244</v>
      </c>
      <c r="C142" s="25" t="s">
        <v>245</v>
      </c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>
        <f>IFERROR(D142+E142+F142+G142+H142+I142+J142+K142+L142+M142+N142+O142,0)</f>
        <v>0</v>
      </c>
      <c r="Q142" s="22"/>
      <c r="R142" s="30"/>
      <c r="S142" s="22"/>
    </row>
    <row r="143" spans="1:19" ht="17.45" customHeight="1">
      <c r="B143" s="29" t="s">
        <v>246</v>
      </c>
      <c r="C143" s="25" t="s">
        <v>247</v>
      </c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>
        <f>IFERROR(D143+E143+F143+G143+H143+I143+J143+K143+L143+M143+N143+O143,0)</f>
        <v>0</v>
      </c>
      <c r="Q143" s="22"/>
      <c r="R143" s="30"/>
      <c r="S143" s="22"/>
    </row>
    <row r="144" spans="1:19" ht="17.45" customHeight="1">
      <c r="B144" s="29" t="s">
        <v>248</v>
      </c>
      <c r="C144" s="25" t="s">
        <v>118</v>
      </c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>
        <f>IFERROR(D144+E144+F144+G144+H144+I144+J144+K144+L144+M144+N144+O144,0)</f>
        <v>0</v>
      </c>
      <c r="Q144" s="22"/>
      <c r="R144" s="30"/>
      <c r="S144" s="22"/>
    </row>
    <row r="145" spans="1:19" ht="17.45" customHeight="1">
      <c r="B145" s="29" t="s">
        <v>249</v>
      </c>
      <c r="C145" s="25" t="s">
        <v>250</v>
      </c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>
        <f>IFERROR(D145+E145+F145+G145+H145+I145+J145+K145+L145+M145+N145+O145,0)</f>
        <v>0</v>
      </c>
      <c r="Q145" s="22"/>
      <c r="R145" s="30"/>
      <c r="S145" s="22"/>
    </row>
    <row r="146" spans="1:19" ht="17.45" customHeight="1">
      <c r="B146" s="29" t="s">
        <v>251</v>
      </c>
      <c r="C146" s="25" t="s">
        <v>252</v>
      </c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>
        <f>IFERROR(D146+E146+F146+G146+H146+I146+J146+K146+L146+M146+N146+O146,0)</f>
        <v>0</v>
      </c>
      <c r="Q146" s="22"/>
      <c r="R146" s="30"/>
      <c r="S146" s="22"/>
    </row>
    <row r="147" spans="1:19" ht="17.45" customHeight="1">
      <c r="B147" s="29"/>
      <c r="C147" s="25" t="s">
        <v>253</v>
      </c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 t="s">
        <v>0</v>
      </c>
      <c r="Q147" s="22"/>
      <c r="R147" s="30"/>
      <c r="S147" s="22"/>
    </row>
    <row r="148" spans="1:19" ht="17.45" customHeight="1">
      <c r="A148" s="81" t="s">
        <v>433</v>
      </c>
      <c r="B148" s="46" t="s">
        <v>254</v>
      </c>
      <c r="C148" s="45" t="s">
        <v>241</v>
      </c>
      <c r="D148" s="59">
        <f t="shared" ref="D148:P148" si="18">SUM(D141:D147)</f>
        <v>0</v>
      </c>
      <c r="E148" s="59">
        <f t="shared" si="18"/>
        <v>0</v>
      </c>
      <c r="F148" s="59">
        <f t="shared" si="18"/>
        <v>0</v>
      </c>
      <c r="G148" s="59">
        <f t="shared" si="18"/>
        <v>0</v>
      </c>
      <c r="H148" s="59">
        <f t="shared" si="18"/>
        <v>0</v>
      </c>
      <c r="I148" s="59">
        <f t="shared" si="18"/>
        <v>0</v>
      </c>
      <c r="J148" s="59">
        <f t="shared" si="18"/>
        <v>0</v>
      </c>
      <c r="K148" s="59">
        <f t="shared" si="18"/>
        <v>0</v>
      </c>
      <c r="L148" s="59">
        <f t="shared" si="18"/>
        <v>0</v>
      </c>
      <c r="M148" s="59">
        <f t="shared" si="18"/>
        <v>0</v>
      </c>
      <c r="N148" s="59">
        <f t="shared" si="18"/>
        <v>0</v>
      </c>
      <c r="O148" s="59">
        <f t="shared" si="18"/>
        <v>0</v>
      </c>
      <c r="P148" s="59">
        <f>IFERROR(SUM(P141:P147),0)</f>
        <v>0</v>
      </c>
      <c r="Q148" s="22"/>
      <c r="R148" s="30"/>
      <c r="S148" s="22"/>
    </row>
    <row r="149" spans="1:19" ht="17.45" customHeight="1">
      <c r="B149" s="29"/>
      <c r="C149" s="27" t="s">
        <v>255</v>
      </c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>
        <f>IFERROR(D149+E149+F149+G149+H149+I149+J149+K149+L149+M149+N149+O149,0)</f>
        <v>0</v>
      </c>
      <c r="Q149" s="22"/>
      <c r="R149" s="30"/>
      <c r="S149" s="22"/>
    </row>
    <row r="150" spans="1:19" ht="17.45" customHeight="1">
      <c r="B150" s="29" t="s">
        <v>256</v>
      </c>
      <c r="C150" s="25" t="s">
        <v>257</v>
      </c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>
        <f>IFERROR(D150+E150+F150+G150+H150+I150+J150+K150+L150+M150+N150+O150,0)</f>
        <v>0</v>
      </c>
      <c r="Q150" s="22"/>
      <c r="R150" s="30"/>
      <c r="S150" s="22"/>
    </row>
    <row r="151" spans="1:19" ht="17.45" customHeight="1">
      <c r="B151" s="29" t="s">
        <v>258</v>
      </c>
      <c r="C151" s="25" t="s">
        <v>259</v>
      </c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>
        <f>IFERROR(D151+E151+F151+G151+H151+I151+J151+K151+L151+M151+N151+O151,0)</f>
        <v>0</v>
      </c>
      <c r="Q151" s="22"/>
      <c r="R151" s="30"/>
      <c r="S151" s="22"/>
    </row>
    <row r="152" spans="1:19" ht="17.45" customHeight="1">
      <c r="B152" s="29" t="s">
        <v>260</v>
      </c>
      <c r="C152" s="25" t="s">
        <v>261</v>
      </c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>
        <f>IFERROR(D152+E152+F152+G152+H152+I152+J152+K152+L152+M152+N152+O152,0)</f>
        <v>0</v>
      </c>
      <c r="Q152" s="22"/>
      <c r="R152" s="30"/>
      <c r="S152" s="22"/>
    </row>
    <row r="153" spans="1:19" ht="17.45" customHeight="1">
      <c r="B153" s="29" t="s">
        <v>262</v>
      </c>
      <c r="C153" s="25" t="s">
        <v>263</v>
      </c>
      <c r="D153" s="57">
        <v>0</v>
      </c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>
        <f>IFERROR(D153+E153+F153+G153+H153+I153+J153+K153+L153+M153+N153+O153,0)</f>
        <v>0</v>
      </c>
      <c r="Q153" s="22"/>
      <c r="R153" s="30"/>
      <c r="S153" s="22"/>
    </row>
    <row r="154" spans="1:19" ht="17.45" customHeight="1">
      <c r="A154" s="81" t="s">
        <v>433</v>
      </c>
      <c r="B154" s="46" t="s">
        <v>264</v>
      </c>
      <c r="C154" s="45" t="s">
        <v>255</v>
      </c>
      <c r="D154" s="59">
        <f t="shared" ref="D154:O154" si="19">SUM(D151:D153)</f>
        <v>0</v>
      </c>
      <c r="E154" s="59">
        <f t="shared" si="19"/>
        <v>0</v>
      </c>
      <c r="F154" s="59">
        <f t="shared" si="19"/>
        <v>0</v>
      </c>
      <c r="G154" s="59">
        <f t="shared" si="19"/>
        <v>0</v>
      </c>
      <c r="H154" s="59">
        <f t="shared" si="19"/>
        <v>0</v>
      </c>
      <c r="I154" s="59">
        <f t="shared" si="19"/>
        <v>0</v>
      </c>
      <c r="J154" s="59">
        <f t="shared" si="19"/>
        <v>0</v>
      </c>
      <c r="K154" s="59">
        <f t="shared" si="19"/>
        <v>0</v>
      </c>
      <c r="L154" s="59">
        <f t="shared" si="19"/>
        <v>0</v>
      </c>
      <c r="M154" s="59">
        <f t="shared" si="19"/>
        <v>0</v>
      </c>
      <c r="N154" s="59">
        <f t="shared" si="19"/>
        <v>0</v>
      </c>
      <c r="O154" s="59">
        <f t="shared" si="19"/>
        <v>0</v>
      </c>
      <c r="P154" s="59">
        <f>IFERROR(SUM(P151:P153),0)</f>
        <v>0</v>
      </c>
      <c r="Q154" s="22"/>
      <c r="R154" s="30"/>
      <c r="S154" s="22"/>
    </row>
    <row r="155" spans="1:19" ht="17.45" customHeight="1">
      <c r="B155" s="29"/>
      <c r="C155" s="27" t="s">
        <v>265</v>
      </c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>
        <f>IFERROR(D155+E155+F155+G155+H155+I155+J155+K155+L155+M155+N155+O155,0)</f>
        <v>0</v>
      </c>
      <c r="Q155" s="22"/>
      <c r="R155" s="30"/>
      <c r="S155" s="22"/>
    </row>
    <row r="156" spans="1:19" ht="17.45" customHeight="1">
      <c r="B156" s="29" t="s">
        <v>266</v>
      </c>
      <c r="C156" s="25" t="s">
        <v>267</v>
      </c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>
        <f>IFERROR(D156+E156+F156+G156+H156+I156+J156+K156+L156+M156+N156+O156,0)</f>
        <v>0</v>
      </c>
      <c r="Q156" s="22"/>
      <c r="R156" s="30"/>
      <c r="S156" s="22"/>
    </row>
    <row r="157" spans="1:19" ht="17.45" customHeight="1">
      <c r="B157" s="29" t="s">
        <v>268</v>
      </c>
      <c r="C157" s="25" t="s">
        <v>124</v>
      </c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>
        <f>IFERROR(D157+E157+F157+G157+H157+I157+J157+K157+L157+M157+N157+O157,0)</f>
        <v>0</v>
      </c>
      <c r="Q157" s="22"/>
      <c r="R157" s="30"/>
      <c r="S157" s="22"/>
    </row>
    <row r="158" spans="1:19" ht="17.45" customHeight="1">
      <c r="A158" s="81" t="s">
        <v>433</v>
      </c>
      <c r="B158" s="46" t="s">
        <v>269</v>
      </c>
      <c r="C158" s="45" t="s">
        <v>265</v>
      </c>
      <c r="D158" s="59">
        <f>D157+D156</f>
        <v>0</v>
      </c>
      <c r="E158" s="59">
        <f t="shared" ref="E158:P158" si="20">E157+E156</f>
        <v>0</v>
      </c>
      <c r="F158" s="59">
        <f t="shared" si="20"/>
        <v>0</v>
      </c>
      <c r="G158" s="59">
        <f t="shared" si="20"/>
        <v>0</v>
      </c>
      <c r="H158" s="59">
        <f t="shared" si="20"/>
        <v>0</v>
      </c>
      <c r="I158" s="59">
        <f t="shared" si="20"/>
        <v>0</v>
      </c>
      <c r="J158" s="59">
        <f t="shared" si="20"/>
        <v>0</v>
      </c>
      <c r="K158" s="59">
        <f t="shared" si="20"/>
        <v>0</v>
      </c>
      <c r="L158" s="59">
        <f t="shared" si="20"/>
        <v>0</v>
      </c>
      <c r="M158" s="59">
        <f t="shared" si="20"/>
        <v>0</v>
      </c>
      <c r="N158" s="59">
        <f t="shared" si="20"/>
        <v>0</v>
      </c>
      <c r="O158" s="59">
        <f t="shared" si="20"/>
        <v>0</v>
      </c>
      <c r="P158" s="59">
        <f>IFERROR(P157+P156,0)</f>
        <v>0</v>
      </c>
      <c r="Q158" s="22"/>
      <c r="R158" s="30"/>
      <c r="S158" s="22"/>
    </row>
    <row r="159" spans="1:19" ht="17.45" customHeight="1">
      <c r="B159" s="29" t="s">
        <v>270</v>
      </c>
      <c r="C159" s="25" t="s">
        <v>271</v>
      </c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>
        <f>IFERROR(D159+E159+F159+G159+H159+I159+J159+K159+L159+M159+N159+O159,0)</f>
        <v>0</v>
      </c>
      <c r="Q159" s="22"/>
      <c r="R159" s="30"/>
      <c r="S159" s="22"/>
    </row>
    <row r="160" spans="1:19" ht="17.45" customHeight="1">
      <c r="B160" s="29" t="s">
        <v>272</v>
      </c>
      <c r="C160" s="25" t="s">
        <v>273</v>
      </c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>
        <f>IFERROR(D160+E160+F160+G160+H160+I160+J160+K160+L160+M160+N160+O160,0)</f>
        <v>0</v>
      </c>
      <c r="Q160" s="22"/>
      <c r="R160" s="30"/>
      <c r="S160" s="22"/>
    </row>
    <row r="161" spans="1:19" ht="17.45" customHeight="1">
      <c r="B161" s="29"/>
      <c r="C161" s="25" t="s">
        <v>274</v>
      </c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>
        <f>IFERROR(D161+E161+F161+G161+H161+I161+J161+K161+L161+M161+N161+O161,0)</f>
        <v>0</v>
      </c>
      <c r="Q161" s="22"/>
      <c r="R161" s="30"/>
      <c r="S161" s="22"/>
    </row>
    <row r="162" spans="1:19" ht="17.45" customHeight="1">
      <c r="B162" s="29" t="s">
        <v>275</v>
      </c>
      <c r="C162" s="25" t="s">
        <v>276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>
        <f>IFERROR(D162+E162+F162+G162+H162+I162+J162+K162+L162+M162+N162+O162,0)</f>
        <v>0</v>
      </c>
      <c r="Q162" s="22"/>
      <c r="R162" s="30"/>
      <c r="S162" s="22"/>
    </row>
    <row r="163" spans="1:19" ht="17.45" customHeight="1">
      <c r="B163" s="29" t="s">
        <v>277</v>
      </c>
      <c r="C163" s="25" t="s">
        <v>278</v>
      </c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>
        <f>IFERROR(D163+E163+F163+G163+H163+I163+J163+K163+L163+M163+N163+O163,0)</f>
        <v>0</v>
      </c>
      <c r="Q163" s="22"/>
      <c r="R163" s="30"/>
      <c r="S163" s="22"/>
    </row>
    <row r="164" spans="1:19" ht="17.45" customHeight="1">
      <c r="B164" s="29" t="s">
        <v>279</v>
      </c>
      <c r="C164" s="25" t="s">
        <v>280</v>
      </c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>
        <f>IFERROR(D164+E164+F164+G164+H164+I164+J164+K164+L164+M164+N164+O164,0)</f>
        <v>0</v>
      </c>
      <c r="Q164" s="22"/>
      <c r="R164" s="30"/>
      <c r="S164" s="22"/>
    </row>
    <row r="165" spans="1:19" ht="17.45" customHeight="1">
      <c r="B165" s="29" t="s">
        <v>281</v>
      </c>
      <c r="C165" s="25" t="s">
        <v>282</v>
      </c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>
        <f>IFERROR(D165+E165+F165+G165+H165+I165+J165+K165+L165+M165+N165+O165,0)</f>
        <v>0</v>
      </c>
      <c r="Q165" s="22"/>
      <c r="R165" s="30"/>
      <c r="S165" s="22"/>
    </row>
    <row r="166" spans="1:19" ht="17.45" customHeight="1">
      <c r="B166" s="29"/>
      <c r="C166" s="27" t="s">
        <v>283</v>
      </c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>
        <f>IFERROR(D166+E166+F166+G166+H166+I166+J166+K166+L166+M166+N166+O166,0)</f>
        <v>0</v>
      </c>
      <c r="Q166" s="22"/>
      <c r="R166" s="30"/>
      <c r="S166" s="22"/>
    </row>
    <row r="167" spans="1:19" ht="17.45" customHeight="1">
      <c r="B167" s="29" t="s">
        <v>284</v>
      </c>
      <c r="C167" s="25" t="s">
        <v>285</v>
      </c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>
        <f>IFERROR(D167+E167+F167+G167+H167+I167+J167+K167+L167+M167+N167+O167,0)</f>
        <v>0</v>
      </c>
      <c r="Q167" s="22"/>
      <c r="R167" s="30"/>
      <c r="S167" s="22"/>
    </row>
    <row r="168" spans="1:19" ht="17.45" customHeight="1">
      <c r="B168" s="29" t="s">
        <v>286</v>
      </c>
      <c r="C168" s="25" t="s">
        <v>287</v>
      </c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>
        <f>IFERROR(D168+E168+F168+G168+H168+I168+J168+K168+L168+M168+N168+O168,0)</f>
        <v>0</v>
      </c>
      <c r="Q168" s="22"/>
      <c r="R168" s="30"/>
      <c r="S168" s="22"/>
    </row>
    <row r="169" spans="1:19" ht="17.45" customHeight="1">
      <c r="B169" s="29" t="s">
        <v>288</v>
      </c>
      <c r="C169" s="25" t="s">
        <v>289</v>
      </c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>
        <f>IFERROR(D169+E169+F169+G169+H169+I169+J169+K169+L169+M169+N169+O169,0)</f>
        <v>0</v>
      </c>
      <c r="Q169" s="22"/>
      <c r="R169" s="30"/>
      <c r="S169" s="22"/>
    </row>
    <row r="170" spans="1:19" ht="17.45" customHeight="1">
      <c r="A170" s="81" t="s">
        <v>433</v>
      </c>
      <c r="B170" s="46" t="s">
        <v>290</v>
      </c>
      <c r="C170" s="45" t="s">
        <v>283</v>
      </c>
      <c r="D170" s="59">
        <f t="shared" ref="D170:O170" si="21">SUM(D167:D169)</f>
        <v>0</v>
      </c>
      <c r="E170" s="59">
        <f t="shared" si="21"/>
        <v>0</v>
      </c>
      <c r="F170" s="59">
        <f t="shared" si="21"/>
        <v>0</v>
      </c>
      <c r="G170" s="59">
        <f t="shared" si="21"/>
        <v>0</v>
      </c>
      <c r="H170" s="59">
        <f t="shared" si="21"/>
        <v>0</v>
      </c>
      <c r="I170" s="59">
        <f t="shared" si="21"/>
        <v>0</v>
      </c>
      <c r="J170" s="59">
        <f t="shared" si="21"/>
        <v>0</v>
      </c>
      <c r="K170" s="59">
        <f t="shared" si="21"/>
        <v>0</v>
      </c>
      <c r="L170" s="59">
        <f t="shared" si="21"/>
        <v>0</v>
      </c>
      <c r="M170" s="59">
        <f t="shared" si="21"/>
        <v>0</v>
      </c>
      <c r="N170" s="59">
        <f t="shared" si="21"/>
        <v>0</v>
      </c>
      <c r="O170" s="59">
        <f t="shared" si="21"/>
        <v>0</v>
      </c>
      <c r="P170" s="59">
        <f>IFERROR(SUM(P167:P169),0)</f>
        <v>0</v>
      </c>
      <c r="Q170" s="22"/>
      <c r="R170" s="30"/>
      <c r="S170" s="22"/>
    </row>
    <row r="171" spans="1:19" ht="17.45" customHeight="1">
      <c r="B171" s="29"/>
      <c r="C171" s="27" t="s">
        <v>291</v>
      </c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>
        <f>IFERROR(D171+E171+F171+G171+H171+I171+J171+K171+L171+M171+N171+O171,0)</f>
        <v>0</v>
      </c>
      <c r="Q171" s="22"/>
      <c r="R171" s="30"/>
      <c r="S171" s="22"/>
    </row>
    <row r="172" spans="1:19" ht="17.45" customHeight="1">
      <c r="B172" s="29" t="s">
        <v>292</v>
      </c>
      <c r="C172" s="25" t="s">
        <v>293</v>
      </c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>
        <f>IFERROR(D172+E172+F172+G172+H172+I172+J172+K172+L172+M172+N172+O172,0)</f>
        <v>0</v>
      </c>
      <c r="Q172" s="22"/>
      <c r="R172" s="30"/>
      <c r="S172" s="22"/>
    </row>
    <row r="173" spans="1:19" ht="17.45" customHeight="1">
      <c r="B173" s="29" t="s">
        <v>294</v>
      </c>
      <c r="C173" s="25" t="s">
        <v>295</v>
      </c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>
        <f>IFERROR(D173+E173+F173+G173+H173+I173+J173+K173+L173+M173+N173+O173,0)</f>
        <v>0</v>
      </c>
      <c r="Q173" s="22"/>
      <c r="R173" s="30"/>
      <c r="S173" s="22"/>
    </row>
    <row r="174" spans="1:19" ht="17.45" customHeight="1">
      <c r="B174" s="29" t="s">
        <v>296</v>
      </c>
      <c r="C174" s="25" t="s">
        <v>297</v>
      </c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>
        <f>IFERROR(D174+E174+F174+G174+H174+I174+J174+K174+L174+M174+N174+O174,0)</f>
        <v>0</v>
      </c>
      <c r="Q174" s="22"/>
      <c r="R174" s="30"/>
      <c r="S174" s="22"/>
    </row>
    <row r="175" spans="1:19" ht="17.45" customHeight="1">
      <c r="A175" s="81" t="s">
        <v>433</v>
      </c>
      <c r="B175" s="46" t="s">
        <v>298</v>
      </c>
      <c r="C175" s="45" t="s">
        <v>291</v>
      </c>
      <c r="D175" s="59">
        <f t="shared" ref="D175:O175" si="22">SUM(D172:D174)</f>
        <v>0</v>
      </c>
      <c r="E175" s="59">
        <f t="shared" si="22"/>
        <v>0</v>
      </c>
      <c r="F175" s="59">
        <f t="shared" si="22"/>
        <v>0</v>
      </c>
      <c r="G175" s="59">
        <f t="shared" si="22"/>
        <v>0</v>
      </c>
      <c r="H175" s="59">
        <f t="shared" si="22"/>
        <v>0</v>
      </c>
      <c r="I175" s="59">
        <f t="shared" si="22"/>
        <v>0</v>
      </c>
      <c r="J175" s="59">
        <f t="shared" si="22"/>
        <v>0</v>
      </c>
      <c r="K175" s="59">
        <f t="shared" si="22"/>
        <v>0</v>
      </c>
      <c r="L175" s="59">
        <f t="shared" si="22"/>
        <v>0</v>
      </c>
      <c r="M175" s="59">
        <f t="shared" si="22"/>
        <v>0</v>
      </c>
      <c r="N175" s="59">
        <f t="shared" si="22"/>
        <v>0</v>
      </c>
      <c r="O175" s="59">
        <f t="shared" si="22"/>
        <v>0</v>
      </c>
      <c r="P175" s="59">
        <f>IFERROR(SUM(P172:P174),0)</f>
        <v>0</v>
      </c>
      <c r="Q175" s="22"/>
      <c r="R175" s="30"/>
      <c r="S175" s="22"/>
    </row>
    <row r="176" spans="1:19" ht="17.45" customHeight="1">
      <c r="B176" s="29" t="s">
        <v>299</v>
      </c>
      <c r="C176" s="25" t="s">
        <v>300</v>
      </c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>
        <f>IFERROR(D176+E176+F176+G176+H176+I176+J176+K176+L176+M176+N176+O176,0)</f>
        <v>0</v>
      </c>
      <c r="Q176" s="22"/>
      <c r="R176" s="30"/>
      <c r="S176" s="22"/>
    </row>
    <row r="177" spans="1:19" ht="17.45" customHeight="1">
      <c r="B177" s="29" t="s">
        <v>301</v>
      </c>
      <c r="C177" s="25" t="s">
        <v>302</v>
      </c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>
        <f>IFERROR(D177+E177+F177+G177+H177+I177+J177+K177+L177+M177+N177+O177,0)</f>
        <v>0</v>
      </c>
      <c r="Q177" s="22"/>
      <c r="R177" s="30"/>
      <c r="S177" s="22"/>
    </row>
    <row r="178" spans="1:19" ht="17.45" customHeight="1">
      <c r="B178" s="29"/>
      <c r="C178" s="27" t="s">
        <v>303</v>
      </c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>
        <f>IFERROR(D178+E178+F178+G178+H178+I178+J178+K178+L178+M178+N178+O178,0)</f>
        <v>0</v>
      </c>
      <c r="Q178" s="22"/>
      <c r="R178" s="30"/>
      <c r="S178" s="22"/>
    </row>
    <row r="179" spans="1:19" ht="17.45" customHeight="1">
      <c r="B179" s="29" t="s">
        <v>304</v>
      </c>
      <c r="C179" s="25" t="s">
        <v>305</v>
      </c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>
        <f>IFERROR(D179+E179+F179+G179+H179+I179+J179+K179+L179+M179+N179+O179,0)</f>
        <v>0</v>
      </c>
      <c r="Q179" s="22"/>
      <c r="R179" s="30"/>
      <c r="S179" s="22"/>
    </row>
    <row r="180" spans="1:19" ht="17.45" customHeight="1">
      <c r="B180" s="29" t="s">
        <v>306</v>
      </c>
      <c r="C180" s="25" t="s">
        <v>307</v>
      </c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>
        <f>IFERROR(D180+E180+F180+G180+H180+I180+J180+K180+L180+M180+N180+O180,0)</f>
        <v>0</v>
      </c>
      <c r="Q180" s="22"/>
      <c r="R180" s="30"/>
      <c r="S180" s="22"/>
    </row>
    <row r="181" spans="1:19" ht="17.45" customHeight="1">
      <c r="B181" s="29"/>
      <c r="C181" s="25" t="s">
        <v>308</v>
      </c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>
        <f>IFERROR(D181+E181+F181+G181+H181+I181+J181+K181+L181+M181+N181+O181,0)</f>
        <v>0</v>
      </c>
      <c r="Q181" s="22"/>
      <c r="R181" s="30"/>
      <c r="S181" s="22"/>
    </row>
    <row r="182" spans="1:19" ht="17.45" customHeight="1">
      <c r="A182" s="81" t="s">
        <v>433</v>
      </c>
      <c r="B182" s="46" t="s">
        <v>309</v>
      </c>
      <c r="C182" s="45" t="s">
        <v>303</v>
      </c>
      <c r="D182" s="59">
        <f t="shared" ref="D182:O182" si="23">SUM(D179:D181)</f>
        <v>0</v>
      </c>
      <c r="E182" s="59">
        <f t="shared" si="23"/>
        <v>0</v>
      </c>
      <c r="F182" s="59">
        <f t="shared" si="23"/>
        <v>0</v>
      </c>
      <c r="G182" s="59">
        <f t="shared" si="23"/>
        <v>0</v>
      </c>
      <c r="H182" s="59">
        <f t="shared" si="23"/>
        <v>0</v>
      </c>
      <c r="I182" s="59">
        <f t="shared" si="23"/>
        <v>0</v>
      </c>
      <c r="J182" s="59">
        <f t="shared" si="23"/>
        <v>0</v>
      </c>
      <c r="K182" s="59">
        <f t="shared" si="23"/>
        <v>0</v>
      </c>
      <c r="L182" s="59">
        <f t="shared" si="23"/>
        <v>0</v>
      </c>
      <c r="M182" s="59">
        <f t="shared" si="23"/>
        <v>0</v>
      </c>
      <c r="N182" s="59">
        <f t="shared" si="23"/>
        <v>0</v>
      </c>
      <c r="O182" s="59">
        <f t="shared" si="23"/>
        <v>0</v>
      </c>
      <c r="P182" s="59">
        <f>IFERROR(SUM(P179:P181),0)</f>
        <v>0</v>
      </c>
      <c r="Q182" s="22"/>
      <c r="R182" s="30"/>
      <c r="S182" s="22"/>
    </row>
    <row r="183" spans="1:19" ht="17.45" customHeight="1">
      <c r="B183" s="29"/>
      <c r="C183" s="27" t="s">
        <v>310</v>
      </c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>
        <f>IFERROR(D183+E183+F183+G183+H183+I183+J183+K183+L183+M183+N183+O183,0)</f>
        <v>0</v>
      </c>
      <c r="Q183" s="22"/>
      <c r="R183" s="30"/>
      <c r="S183" s="22"/>
    </row>
    <row r="184" spans="1:19" ht="17.45" customHeight="1">
      <c r="B184" s="29" t="s">
        <v>311</v>
      </c>
      <c r="C184" s="25" t="s">
        <v>166</v>
      </c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>
        <f>IFERROR(D184+E184+F184+G184+H184+I184+J184+K184+L184+M184+N184+O184,0)</f>
        <v>0</v>
      </c>
      <c r="Q184" s="22"/>
      <c r="R184" s="30"/>
      <c r="S184" s="22"/>
    </row>
    <row r="185" spans="1:19" ht="17.45" customHeight="1">
      <c r="B185" s="29"/>
      <c r="C185" s="25" t="s">
        <v>312</v>
      </c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>
        <f>IFERROR(D185+E185+F185+G185+H185+I185+J185+K185+L185+M185+N185+O185,0)</f>
        <v>0</v>
      </c>
      <c r="Q185" s="22"/>
      <c r="R185" s="30"/>
      <c r="S185" s="22"/>
    </row>
    <row r="186" spans="1:19" ht="17.45" customHeight="1">
      <c r="B186" s="29" t="s">
        <v>313</v>
      </c>
      <c r="C186" s="25" t="s">
        <v>314</v>
      </c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>
        <f>IFERROR(D186+E186+F186+G186+H186+I186+J186+K186+L186+M186+N186+O186,0)</f>
        <v>0</v>
      </c>
      <c r="Q186" s="22"/>
      <c r="R186" s="30"/>
      <c r="S186" s="22"/>
    </row>
    <row r="187" spans="1:19" ht="17.45" customHeight="1">
      <c r="A187" s="81" t="s">
        <v>433</v>
      </c>
      <c r="B187" s="46" t="s">
        <v>315</v>
      </c>
      <c r="C187" s="45" t="s">
        <v>310</v>
      </c>
      <c r="D187" s="59">
        <f t="shared" ref="D187:P187" si="24">SUM(D184:D186)</f>
        <v>0</v>
      </c>
      <c r="E187" s="59">
        <f t="shared" si="24"/>
        <v>0</v>
      </c>
      <c r="F187" s="59">
        <f t="shared" si="24"/>
        <v>0</v>
      </c>
      <c r="G187" s="59">
        <f t="shared" si="24"/>
        <v>0</v>
      </c>
      <c r="H187" s="59">
        <f t="shared" si="24"/>
        <v>0</v>
      </c>
      <c r="I187" s="59">
        <f t="shared" si="24"/>
        <v>0</v>
      </c>
      <c r="J187" s="59">
        <f t="shared" si="24"/>
        <v>0</v>
      </c>
      <c r="K187" s="59">
        <f t="shared" si="24"/>
        <v>0</v>
      </c>
      <c r="L187" s="59">
        <f t="shared" si="24"/>
        <v>0</v>
      </c>
      <c r="M187" s="59">
        <f t="shared" si="24"/>
        <v>0</v>
      </c>
      <c r="N187" s="59">
        <f t="shared" si="24"/>
        <v>0</v>
      </c>
      <c r="O187" s="59">
        <f t="shared" si="24"/>
        <v>0</v>
      </c>
      <c r="P187" s="59">
        <f>IFERROR(SUM(P184:P186),0)</f>
        <v>0</v>
      </c>
      <c r="Q187" s="22"/>
      <c r="R187" s="30"/>
      <c r="S187" s="22"/>
    </row>
    <row r="188" spans="1:19" ht="17.45" customHeight="1">
      <c r="B188" s="29" t="s">
        <v>316</v>
      </c>
      <c r="C188" s="27" t="s">
        <v>317</v>
      </c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>
        <f>IFERROR(D188+E188+F188+G188+H188+I188+J188+K188+L188+M188+N188+O188,0)</f>
        <v>0</v>
      </c>
      <c r="Q188" s="22"/>
      <c r="R188" s="30"/>
      <c r="S188" s="22"/>
    </row>
    <row r="189" spans="1:19" ht="17.45" customHeight="1">
      <c r="B189" s="29" t="s">
        <v>318</v>
      </c>
      <c r="C189" s="25" t="s">
        <v>319</v>
      </c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>
        <f>IFERROR(D189+E189+F189+G189+H189+I189+J189+K189+L189+M189+N189+O189,0)</f>
        <v>0</v>
      </c>
      <c r="Q189" s="22"/>
      <c r="R189" s="30"/>
      <c r="S189" s="22"/>
    </row>
    <row r="190" spans="1:19" ht="17.45" customHeight="1">
      <c r="B190" s="29" t="s">
        <v>320</v>
      </c>
      <c r="C190" s="25" t="s">
        <v>321</v>
      </c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>
        <f>IFERROR(D190+E190+F190+G190+H190+I190+J190+K190+L190+M190+N190+O190,0)</f>
        <v>0</v>
      </c>
      <c r="Q190" s="22"/>
      <c r="R190" s="30"/>
      <c r="S190" s="22"/>
    </row>
    <row r="191" spans="1:19" ht="17.45" customHeight="1">
      <c r="B191" s="29">
        <v>816130</v>
      </c>
      <c r="C191" s="25" t="s">
        <v>322</v>
      </c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>
        <f>IFERROR(D191+E191+F191+G191+H191+I191+J191+K191+L191+M191+N191+O191,0)</f>
        <v>0</v>
      </c>
      <c r="Q191" s="22"/>
      <c r="R191" s="30"/>
      <c r="S191" s="22"/>
    </row>
    <row r="192" spans="1:19" ht="17.45" customHeight="1">
      <c r="B192" s="29" t="s">
        <v>323</v>
      </c>
      <c r="C192" s="25" t="s">
        <v>324</v>
      </c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>
        <f>IFERROR(D192+E192+F192+G192+H192+I192+J192+K192+L192+M192+N192+O192,0)</f>
        <v>0</v>
      </c>
      <c r="Q192" s="22"/>
      <c r="R192" s="30"/>
      <c r="S192" s="22"/>
    </row>
    <row r="193" spans="1:19" ht="17.45" customHeight="1">
      <c r="B193" s="29" t="s">
        <v>325</v>
      </c>
      <c r="C193" s="25" t="s">
        <v>326</v>
      </c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>
        <f>IFERROR(D193+E193+F193+G193+H193+I193+J193+K193+L193+M193+N193+O193,0)</f>
        <v>0</v>
      </c>
      <c r="Q193" s="22"/>
      <c r="R193" s="30"/>
      <c r="S193" s="22"/>
    </row>
    <row r="194" spans="1:19" ht="17.45" customHeight="1">
      <c r="B194" s="29"/>
      <c r="C194" s="25" t="s">
        <v>327</v>
      </c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>
        <f>IFERROR(D194+E194+F194+G194+H194+I194+J194+K194+L194+M194+N194+O194,0)</f>
        <v>0</v>
      </c>
      <c r="Q194" s="22"/>
      <c r="R194" s="30"/>
      <c r="S194" s="22"/>
    </row>
    <row r="195" spans="1:19" ht="17.45" customHeight="1">
      <c r="B195" s="29"/>
      <c r="C195" s="25" t="s">
        <v>328</v>
      </c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>
        <v>0</v>
      </c>
      <c r="Q195" s="22"/>
      <c r="R195" s="30"/>
      <c r="S195" s="22"/>
    </row>
    <row r="196" spans="1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>
        <v>0</v>
      </c>
      <c r="Q196" s="22"/>
      <c r="R196" s="30"/>
      <c r="S196" s="22"/>
    </row>
    <row r="197" spans="1:19" ht="17.45" customHeight="1">
      <c r="A197" s="81" t="s">
        <v>433</v>
      </c>
      <c r="B197" s="41" t="s">
        <v>316</v>
      </c>
      <c r="C197" s="42" t="s">
        <v>317</v>
      </c>
      <c r="D197" s="76">
        <f t="shared" ref="D197:P197" si="25">SUM(D189:D196)</f>
        <v>0</v>
      </c>
      <c r="E197" s="76">
        <f t="shared" si="25"/>
        <v>0</v>
      </c>
      <c r="F197" s="76">
        <f t="shared" si="25"/>
        <v>0</v>
      </c>
      <c r="G197" s="76">
        <f t="shared" si="25"/>
        <v>0</v>
      </c>
      <c r="H197" s="76">
        <f t="shared" si="25"/>
        <v>0</v>
      </c>
      <c r="I197" s="76">
        <f t="shared" si="25"/>
        <v>0</v>
      </c>
      <c r="J197" s="76">
        <f t="shared" si="25"/>
        <v>0</v>
      </c>
      <c r="K197" s="76">
        <f t="shared" si="25"/>
        <v>0</v>
      </c>
      <c r="L197" s="76">
        <f t="shared" si="25"/>
        <v>0</v>
      </c>
      <c r="M197" s="76">
        <f t="shared" si="25"/>
        <v>0</v>
      </c>
      <c r="N197" s="76">
        <f t="shared" si="25"/>
        <v>0</v>
      </c>
      <c r="O197" s="76">
        <f t="shared" si="25"/>
        <v>0</v>
      </c>
      <c r="P197" s="76">
        <f>IFERROR(SUM(P189:P196),0)</f>
        <v>0</v>
      </c>
      <c r="Q197" s="22"/>
      <c r="R197" s="30"/>
      <c r="S197" s="22"/>
    </row>
    <row r="198" spans="1:19" ht="17.45" customHeight="1">
      <c r="A198" s="81" t="s">
        <v>433</v>
      </c>
      <c r="B198" s="46" t="s">
        <v>329</v>
      </c>
      <c r="C198" s="45" t="s">
        <v>240</v>
      </c>
      <c r="D198" s="60">
        <f t="shared" ref="D198:P198" si="26">D148+D154+D158+D170+D175+D182+D187+D197+D163+D164+D165+D176+D177</f>
        <v>0</v>
      </c>
      <c r="E198" s="60">
        <f t="shared" si="26"/>
        <v>0</v>
      </c>
      <c r="F198" s="60">
        <f t="shared" si="26"/>
        <v>0</v>
      </c>
      <c r="G198" s="60">
        <f t="shared" si="26"/>
        <v>0</v>
      </c>
      <c r="H198" s="60">
        <f t="shared" si="26"/>
        <v>0</v>
      </c>
      <c r="I198" s="60">
        <f t="shared" si="26"/>
        <v>0</v>
      </c>
      <c r="J198" s="60">
        <f t="shared" si="26"/>
        <v>0</v>
      </c>
      <c r="K198" s="60">
        <f t="shared" si="26"/>
        <v>0</v>
      </c>
      <c r="L198" s="60">
        <f t="shared" si="26"/>
        <v>0</v>
      </c>
      <c r="M198" s="60">
        <f t="shared" si="26"/>
        <v>0</v>
      </c>
      <c r="N198" s="60">
        <f t="shared" si="26"/>
        <v>0</v>
      </c>
      <c r="O198" s="60">
        <f t="shared" si="26"/>
        <v>0</v>
      </c>
      <c r="P198" s="60">
        <f>IFERROR(P148+P154+P158+P170+P175+P182+P187+P197+P163+P164+P165+P176+P177,0)</f>
        <v>0</v>
      </c>
      <c r="Q198" s="22"/>
      <c r="R198" s="30"/>
      <c r="S198" s="22"/>
    </row>
    <row r="199" spans="1:19" ht="17.45" customHeight="1">
      <c r="B199" s="29"/>
      <c r="C199" s="27" t="s">
        <v>330</v>
      </c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>
        <f>IFERROR(D199+E199+F199+G199+H199+I199+J199+K199+L199+M199+N199+O199,0)</f>
        <v>0</v>
      </c>
      <c r="Q199" s="22"/>
      <c r="R199" s="30"/>
      <c r="S199" s="22"/>
    </row>
    <row r="200" spans="1:19" ht="17.45" customHeight="1">
      <c r="B200" s="29"/>
      <c r="C200" s="27" t="s">
        <v>331</v>
      </c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>
        <f>IFERROR(D200+E200+F200+G200+H200+I200+J200+K200+L200+M200+N200+O200,0)</f>
        <v>0</v>
      </c>
      <c r="Q200" s="22"/>
      <c r="R200" s="30"/>
      <c r="S200" s="22"/>
    </row>
    <row r="201" spans="1:19" ht="17.45" customHeight="1">
      <c r="B201" s="29" t="s">
        <v>332</v>
      </c>
      <c r="C201" s="25" t="s">
        <v>333</v>
      </c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>
        <f>IFERROR(D201+E201+F201+G201+H201+I201+J201+K201+L201+M201+N201+O201,0)</f>
        <v>0</v>
      </c>
      <c r="Q201" s="22"/>
      <c r="R201" s="30"/>
      <c r="S201" s="22"/>
    </row>
    <row r="202" spans="1:19" ht="17.45" customHeight="1">
      <c r="B202" s="29" t="s">
        <v>334</v>
      </c>
      <c r="C202" s="25" t="s">
        <v>335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>
        <f>IFERROR(D202+E202+F202+G202+H202+I202+J202+K202+L202+M202+N202+O202,0)</f>
        <v>0</v>
      </c>
      <c r="Q202" s="22"/>
      <c r="R202" s="30"/>
      <c r="S202" s="22"/>
    </row>
    <row r="203" spans="1:19" ht="17.45" customHeight="1">
      <c r="B203" s="29"/>
      <c r="C203" s="27" t="s">
        <v>336</v>
      </c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>
        <f>IFERROR(D203+E203+F203+G203+H203+I203+J203+K203+L203+M203+N203+O203,0)</f>
        <v>0</v>
      </c>
      <c r="Q203" s="22"/>
      <c r="R203" s="30"/>
      <c r="S203" s="22"/>
    </row>
    <row r="204" spans="1:19" ht="17.45" customHeight="1">
      <c r="B204" s="29" t="s">
        <v>337</v>
      </c>
      <c r="C204" s="25" t="s">
        <v>338</v>
      </c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>
        <f>IFERROR(D204+E204+F204+G204+H204+I204+J204+K204+L204+M204+N204+O204,0)</f>
        <v>0</v>
      </c>
      <c r="Q204" s="22"/>
      <c r="R204" s="30"/>
      <c r="S204" s="22"/>
    </row>
    <row r="205" spans="1:19" ht="17.45" customHeight="1">
      <c r="B205" s="29" t="s">
        <v>339</v>
      </c>
      <c r="C205" s="25" t="s">
        <v>340</v>
      </c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>
        <f>IFERROR(D205+E205+F205+G205+H205+I205+J205+K205+L205+M205+N205+O205,0)</f>
        <v>0</v>
      </c>
      <c r="Q205" s="22"/>
      <c r="R205" s="30"/>
      <c r="S205" s="22"/>
    </row>
    <row r="206" spans="1:19" ht="17.45" customHeight="1">
      <c r="A206" s="81" t="s">
        <v>433</v>
      </c>
      <c r="B206" s="46" t="s">
        <v>341</v>
      </c>
      <c r="C206" s="45" t="s">
        <v>336</v>
      </c>
      <c r="D206" s="58">
        <f>D204</f>
        <v>0</v>
      </c>
      <c r="E206" s="58">
        <f t="shared" ref="E206:P206" si="27">E204</f>
        <v>0</v>
      </c>
      <c r="F206" s="58">
        <f t="shared" si="27"/>
        <v>0</v>
      </c>
      <c r="G206" s="58">
        <f t="shared" si="27"/>
        <v>0</v>
      </c>
      <c r="H206" s="58">
        <f t="shared" si="27"/>
        <v>0</v>
      </c>
      <c r="I206" s="58">
        <f t="shared" si="27"/>
        <v>0</v>
      </c>
      <c r="J206" s="58">
        <f t="shared" si="27"/>
        <v>0</v>
      </c>
      <c r="K206" s="58">
        <f t="shared" si="27"/>
        <v>0</v>
      </c>
      <c r="L206" s="58">
        <f t="shared" si="27"/>
        <v>0</v>
      </c>
      <c r="M206" s="58">
        <f t="shared" si="27"/>
        <v>0</v>
      </c>
      <c r="N206" s="58">
        <f t="shared" si="27"/>
        <v>0</v>
      </c>
      <c r="O206" s="58">
        <f t="shared" si="27"/>
        <v>0</v>
      </c>
      <c r="P206" s="58">
        <f>IFERROR(P204,0)</f>
        <v>0</v>
      </c>
      <c r="Q206" s="22"/>
      <c r="R206" s="30"/>
      <c r="S206" s="22"/>
    </row>
    <row r="207" spans="1:19" ht="17.45" customHeight="1">
      <c r="B207" s="29" t="s">
        <v>342</v>
      </c>
      <c r="C207" s="25" t="s">
        <v>343</v>
      </c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>
        <f>IFERROR(D207+E207+F207+G207+H207+I207+J207+K207+L207+M207+N207+O207,0)</f>
        <v>0</v>
      </c>
      <c r="Q207" s="22"/>
      <c r="R207" s="30"/>
      <c r="S207" s="22"/>
    </row>
    <row r="208" spans="1:19" ht="17.45" customHeight="1">
      <c r="B208" s="29" t="s">
        <v>344</v>
      </c>
      <c r="C208" s="25" t="s">
        <v>345</v>
      </c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>
        <f>IFERROR(D208+E208+F208+G208+H208+I208+J208+K208+L208+M208+N208+O208,0)</f>
        <v>0</v>
      </c>
      <c r="Q208" s="22"/>
      <c r="R208" s="30"/>
      <c r="S208" s="22"/>
    </row>
    <row r="209" spans="1:19" ht="17.45" customHeight="1">
      <c r="B209" s="29" t="s">
        <v>346</v>
      </c>
      <c r="C209" s="25" t="s">
        <v>347</v>
      </c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>
        <f>IFERROR(D209+E209+F209+G209+H209+I209+J209+K209+L209+M209+N209+O209,0)</f>
        <v>0</v>
      </c>
      <c r="Q209" s="22"/>
      <c r="R209" s="30"/>
      <c r="S209" s="22"/>
    </row>
    <row r="210" spans="1:19" ht="17.45" customHeight="1">
      <c r="B210" s="29"/>
      <c r="C210" s="25" t="s">
        <v>348</v>
      </c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>
        <f>IFERROR(D210+E210+F210+G210+H210+I210+J210+K210+L210+M210+N210+O210,0)</f>
        <v>0</v>
      </c>
      <c r="Q210" s="22"/>
      <c r="R210" s="30"/>
      <c r="S210" s="22"/>
    </row>
    <row r="211" spans="1:19" ht="17.45" customHeight="1">
      <c r="B211" s="29" t="s">
        <v>349</v>
      </c>
      <c r="C211" s="25" t="s">
        <v>350</v>
      </c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>
        <f>IFERROR(D211+E211+F211+G211+H211+I211+J211+K211+L211+M211+N211+O211,0)</f>
        <v>0</v>
      </c>
      <c r="Q211" s="22"/>
      <c r="R211" s="30"/>
      <c r="S211" s="22"/>
    </row>
    <row r="212" spans="1:19" ht="17.45" customHeight="1">
      <c r="B212" s="29"/>
      <c r="C212" s="25" t="s">
        <v>351</v>
      </c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>
        <f>IFERROR(D212+E212+F212+G212+H212+I212+J212+K212+L212+M212+N212+O212,0)</f>
        <v>0</v>
      </c>
      <c r="Q212" s="22"/>
      <c r="R212" s="30"/>
      <c r="S212" s="22"/>
    </row>
    <row r="213" spans="1:19" ht="17.45" customHeight="1">
      <c r="B213" s="29" t="s">
        <v>352</v>
      </c>
      <c r="C213" s="25" t="s">
        <v>353</v>
      </c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>
        <f>IFERROR(D213+E213+F213+G213+H213+I213+J213+K213+L213+M213+N213+O213,0)</f>
        <v>0</v>
      </c>
      <c r="Q213" s="22"/>
      <c r="R213" s="30"/>
      <c r="S213" s="22"/>
    </row>
    <row r="214" spans="1:19" ht="17.45" customHeight="1">
      <c r="A214" s="81" t="s">
        <v>433</v>
      </c>
      <c r="B214" s="46" t="s">
        <v>354</v>
      </c>
      <c r="C214" s="45" t="s">
        <v>331</v>
      </c>
      <c r="D214" s="60">
        <f t="shared" ref="D214:O214" si="28">SUM(D201:D213)</f>
        <v>0</v>
      </c>
      <c r="E214" s="60">
        <f t="shared" si="28"/>
        <v>0</v>
      </c>
      <c r="F214" s="60">
        <f t="shared" si="28"/>
        <v>0</v>
      </c>
      <c r="G214" s="60">
        <f t="shared" si="28"/>
        <v>0</v>
      </c>
      <c r="H214" s="60">
        <f t="shared" si="28"/>
        <v>0</v>
      </c>
      <c r="I214" s="60">
        <f t="shared" si="28"/>
        <v>0</v>
      </c>
      <c r="J214" s="60">
        <f t="shared" si="28"/>
        <v>0</v>
      </c>
      <c r="K214" s="60">
        <f t="shared" si="28"/>
        <v>0</v>
      </c>
      <c r="L214" s="60">
        <f t="shared" si="28"/>
        <v>0</v>
      </c>
      <c r="M214" s="60">
        <f t="shared" si="28"/>
        <v>0</v>
      </c>
      <c r="N214" s="60">
        <f t="shared" si="28"/>
        <v>0</v>
      </c>
      <c r="O214" s="60">
        <f t="shared" si="28"/>
        <v>0</v>
      </c>
      <c r="P214" s="60">
        <f>IFERROR(SUM(P201:P213),0)</f>
        <v>0</v>
      </c>
      <c r="Q214" s="22"/>
      <c r="R214" s="30"/>
      <c r="S214" s="22"/>
    </row>
    <row r="215" spans="1:19" ht="17.45" customHeight="1">
      <c r="B215" s="29"/>
      <c r="C215" s="27" t="s">
        <v>355</v>
      </c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>
        <f>IFERROR(D215+E215+F215+G215+H215+I215+J215+K215+L215+M215+N215+O215,0)</f>
        <v>0</v>
      </c>
      <c r="Q215" s="22"/>
      <c r="R215" s="30"/>
      <c r="S215" s="22"/>
    </row>
    <row r="216" spans="1:19" ht="17.45" customHeight="1">
      <c r="B216" s="29"/>
      <c r="C216" s="28" t="s">
        <v>356</v>
      </c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>
        <f>IFERROR(D216+E216+F216+G216+H216+I216+J216+K216+L216+M216+N216+O216,0)</f>
        <v>0</v>
      </c>
      <c r="Q216" s="22"/>
      <c r="R216" s="30"/>
      <c r="S216" s="22"/>
    </row>
    <row r="217" spans="1:19" ht="17.45" customHeight="1">
      <c r="B217" s="29" t="s">
        <v>357</v>
      </c>
      <c r="C217" s="25" t="s">
        <v>358</v>
      </c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>
        <f>IFERROR(D217+E217+F217+G217+H217+I217+J217+K217+L217+M217+N217+O217,0)</f>
        <v>0</v>
      </c>
      <c r="Q217" s="22"/>
      <c r="R217" s="30"/>
      <c r="S217" s="22"/>
    </row>
    <row r="218" spans="1:19" ht="17.45" customHeight="1">
      <c r="B218" s="29" t="s">
        <v>359</v>
      </c>
      <c r="C218" s="25" t="s">
        <v>360</v>
      </c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>
        <f>IFERROR(D218+E218+F218+G218+H218+I218+J218+K218+L218+M218+N218+O218,0)</f>
        <v>0</v>
      </c>
      <c r="Q218" s="22"/>
      <c r="R218" s="30"/>
      <c r="S218" s="22"/>
    </row>
    <row r="219" spans="1:19" ht="17.45" customHeight="1">
      <c r="A219" s="81" t="s">
        <v>433</v>
      </c>
      <c r="B219" s="46" t="s">
        <v>361</v>
      </c>
      <c r="C219" s="45" t="s">
        <v>356</v>
      </c>
      <c r="D219" s="60">
        <f t="shared" ref="D219:O219" si="29">SUM(D217:D218)</f>
        <v>0</v>
      </c>
      <c r="E219" s="60">
        <f t="shared" si="29"/>
        <v>0</v>
      </c>
      <c r="F219" s="60">
        <f t="shared" si="29"/>
        <v>0</v>
      </c>
      <c r="G219" s="60">
        <f t="shared" si="29"/>
        <v>0</v>
      </c>
      <c r="H219" s="60">
        <f t="shared" si="29"/>
        <v>0</v>
      </c>
      <c r="I219" s="60">
        <f t="shared" si="29"/>
        <v>0</v>
      </c>
      <c r="J219" s="60">
        <f t="shared" si="29"/>
        <v>0</v>
      </c>
      <c r="K219" s="60">
        <f t="shared" si="29"/>
        <v>0</v>
      </c>
      <c r="L219" s="60">
        <f t="shared" si="29"/>
        <v>0</v>
      </c>
      <c r="M219" s="60">
        <f t="shared" si="29"/>
        <v>0</v>
      </c>
      <c r="N219" s="60">
        <f t="shared" si="29"/>
        <v>0</v>
      </c>
      <c r="O219" s="60">
        <f t="shared" si="29"/>
        <v>0</v>
      </c>
      <c r="P219" s="60">
        <f>IFERROR(SUM(P217:P218),0)</f>
        <v>0</v>
      </c>
      <c r="Q219" s="22"/>
      <c r="R219" s="30"/>
      <c r="S219" s="22"/>
    </row>
    <row r="220" spans="1:19" ht="17.45" customHeight="1">
      <c r="B220" s="29"/>
      <c r="C220" s="27" t="s">
        <v>362</v>
      </c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>
        <f>IFERROR(D220+E220+F220+G220+H220+I220+J220+K220+L220+M220+N220+O220,0)</f>
        <v>0</v>
      </c>
      <c r="Q220" s="22"/>
      <c r="R220" s="30"/>
      <c r="S220" s="22"/>
    </row>
    <row r="221" spans="1:19" ht="17.45" customHeight="1">
      <c r="B221" s="29" t="s">
        <v>363</v>
      </c>
      <c r="C221" s="25" t="s">
        <v>364</v>
      </c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>
        <f>IFERROR(D221+E221+F221+G221+H221+I221+J221+K221+L221+M221+N221+O221,0)</f>
        <v>0</v>
      </c>
      <c r="Q221" s="22"/>
      <c r="R221" s="30"/>
      <c r="S221" s="22"/>
    </row>
    <row r="222" spans="1:19" ht="17.45" customHeight="1">
      <c r="B222" s="29" t="s">
        <v>365</v>
      </c>
      <c r="C222" s="25" t="s">
        <v>366</v>
      </c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>
        <f>IFERROR(D222+E222+F222+G222+H222+I222+J222+K222+L222+M222+N222+O222,0)</f>
        <v>0</v>
      </c>
      <c r="Q222" s="22"/>
      <c r="R222" s="30"/>
      <c r="S222" s="22"/>
    </row>
    <row r="223" spans="1:19" ht="17.45" customHeight="1">
      <c r="A223" s="81" t="s">
        <v>433</v>
      </c>
      <c r="B223" s="46" t="s">
        <v>367</v>
      </c>
      <c r="C223" s="45" t="s">
        <v>362</v>
      </c>
      <c r="D223" s="60">
        <f t="shared" ref="D223:O223" si="30">SUM(D221:D222)</f>
        <v>0</v>
      </c>
      <c r="E223" s="60">
        <f t="shared" si="30"/>
        <v>0</v>
      </c>
      <c r="F223" s="60">
        <f t="shared" si="30"/>
        <v>0</v>
      </c>
      <c r="G223" s="60">
        <f t="shared" si="30"/>
        <v>0</v>
      </c>
      <c r="H223" s="60">
        <f t="shared" si="30"/>
        <v>0</v>
      </c>
      <c r="I223" s="60">
        <f t="shared" si="30"/>
        <v>0</v>
      </c>
      <c r="J223" s="60">
        <f t="shared" si="30"/>
        <v>0</v>
      </c>
      <c r="K223" s="60">
        <f t="shared" si="30"/>
        <v>0</v>
      </c>
      <c r="L223" s="60">
        <f t="shared" si="30"/>
        <v>0</v>
      </c>
      <c r="M223" s="60">
        <f t="shared" si="30"/>
        <v>0</v>
      </c>
      <c r="N223" s="60">
        <f t="shared" si="30"/>
        <v>0</v>
      </c>
      <c r="O223" s="60">
        <f t="shared" si="30"/>
        <v>0</v>
      </c>
      <c r="P223" s="60">
        <f>IFERROR(SUM(P221:P222),0)</f>
        <v>0</v>
      </c>
      <c r="Q223" s="22"/>
      <c r="R223" s="30"/>
      <c r="S223" s="22"/>
    </row>
    <row r="224" spans="1:19" ht="17.45" customHeight="1">
      <c r="B224" s="29" t="s">
        <v>368</v>
      </c>
      <c r="C224" s="25" t="s">
        <v>369</v>
      </c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>
        <f>IFERROR(D224+E224+F224+G224+H224+I224+J224+K224+L224+M224+N224+O224,0)</f>
        <v>0</v>
      </c>
      <c r="Q224" s="22"/>
      <c r="R224" s="30"/>
      <c r="S224" s="22"/>
    </row>
    <row r="225" spans="1:19" ht="17.45" customHeight="1">
      <c r="B225" s="29"/>
      <c r="C225" s="27" t="s">
        <v>370</v>
      </c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>
        <f>IFERROR(D225+E225+F225+G225+H225+I225+J225+K225+L225+M225+N225+O225,0)</f>
        <v>0</v>
      </c>
      <c r="Q225" s="22"/>
      <c r="R225" s="30"/>
      <c r="S225" s="22"/>
    </row>
    <row r="226" spans="1:19" ht="17.45" customHeight="1">
      <c r="B226" s="29" t="s">
        <v>371</v>
      </c>
      <c r="C226" s="25" t="s">
        <v>372</v>
      </c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>
        <f>IFERROR(D226+E226+F226+G226+H226+I226+J226+K226+L226+M226+N226+O226,0)</f>
        <v>0</v>
      </c>
      <c r="Q226" s="22"/>
      <c r="R226" s="30"/>
      <c r="S226" s="22"/>
    </row>
    <row r="227" spans="1:19" ht="17.45" customHeight="1">
      <c r="B227" s="29" t="s">
        <v>373</v>
      </c>
      <c r="C227" s="25" t="s">
        <v>374</v>
      </c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>
        <f>IFERROR(D227+E227+F227+G227+H227+I227+J227+K227+L227+M227+N227+O227,0)</f>
        <v>0</v>
      </c>
      <c r="Q227" s="22"/>
      <c r="R227" s="30"/>
      <c r="S227" s="22"/>
    </row>
    <row r="228" spans="1:19" ht="17.45" customHeight="1">
      <c r="B228" s="29"/>
      <c r="C228" s="25" t="s">
        <v>375</v>
      </c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>
        <v>0</v>
      </c>
      <c r="Q228" s="22"/>
      <c r="R228" s="30"/>
      <c r="S228" s="22"/>
    </row>
    <row r="229" spans="1:19" ht="17.45" customHeight="1">
      <c r="A229" s="81" t="s">
        <v>433</v>
      </c>
      <c r="B229" s="46" t="s">
        <v>376</v>
      </c>
      <c r="C229" s="45" t="s">
        <v>370</v>
      </c>
      <c r="D229" s="60">
        <f t="shared" ref="D229:O229" si="31">SUM(D226:D228)</f>
        <v>0</v>
      </c>
      <c r="E229" s="60">
        <f t="shared" si="31"/>
        <v>0</v>
      </c>
      <c r="F229" s="60">
        <f t="shared" si="31"/>
        <v>0</v>
      </c>
      <c r="G229" s="60">
        <f t="shared" si="31"/>
        <v>0</v>
      </c>
      <c r="H229" s="60">
        <f t="shared" si="31"/>
        <v>0</v>
      </c>
      <c r="I229" s="60">
        <f t="shared" si="31"/>
        <v>0</v>
      </c>
      <c r="J229" s="60">
        <f t="shared" si="31"/>
        <v>0</v>
      </c>
      <c r="K229" s="60">
        <f t="shared" si="31"/>
        <v>0</v>
      </c>
      <c r="L229" s="60">
        <f t="shared" si="31"/>
        <v>0</v>
      </c>
      <c r="M229" s="60">
        <f t="shared" si="31"/>
        <v>0</v>
      </c>
      <c r="N229" s="60">
        <f t="shared" si="31"/>
        <v>0</v>
      </c>
      <c r="O229" s="60">
        <f t="shared" si="31"/>
        <v>0</v>
      </c>
      <c r="P229" s="60">
        <f>IFERROR(SUM(P226:P228),0)</f>
        <v>0</v>
      </c>
      <c r="Q229" s="22"/>
      <c r="R229" s="30"/>
      <c r="S229" s="22"/>
    </row>
    <row r="230" spans="1:19" ht="17.45" customHeight="1">
      <c r="B230" s="29"/>
      <c r="C230" s="27" t="s">
        <v>377</v>
      </c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>
        <f>IFERROR(D230+E230+F230+G230+H230+I230+J230+K230+L230+M230+N230+O230,0)</f>
        <v>0</v>
      </c>
      <c r="Q230" s="22"/>
      <c r="R230" s="30"/>
      <c r="S230" s="22"/>
    </row>
    <row r="231" spans="1:19" ht="17.45" customHeight="1">
      <c r="B231" s="29" t="s">
        <v>378</v>
      </c>
      <c r="C231" s="25" t="s">
        <v>379</v>
      </c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>
        <f>IFERROR(D231+E231+F231+G231+H231+I231+J231+K231+L231+M231+N231+O231,0)</f>
        <v>0</v>
      </c>
      <c r="Q231" s="22"/>
      <c r="R231" s="30"/>
      <c r="S231" s="22"/>
    </row>
    <row r="232" spans="1:19" ht="17.45" customHeight="1">
      <c r="B232" s="29" t="s">
        <v>380</v>
      </c>
      <c r="C232" s="25" t="s">
        <v>381</v>
      </c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>
        <f>IFERROR(D232+E232+F232+G232+H232+I232+J232+K232+L232+M232+N232+O232,0)</f>
        <v>0</v>
      </c>
      <c r="Q232" s="22"/>
      <c r="R232" s="30"/>
      <c r="S232" s="22"/>
    </row>
    <row r="233" spans="1:19" ht="17.45" customHeight="1">
      <c r="A233" s="81" t="s">
        <v>433</v>
      </c>
      <c r="B233" s="46" t="s">
        <v>382</v>
      </c>
      <c r="C233" s="45" t="s">
        <v>377</v>
      </c>
      <c r="D233" s="60">
        <f>D232+D231</f>
        <v>0</v>
      </c>
      <c r="E233" s="60">
        <f t="shared" ref="E233:P233" si="32">E232+E231</f>
        <v>0</v>
      </c>
      <c r="F233" s="60">
        <f t="shared" si="32"/>
        <v>0</v>
      </c>
      <c r="G233" s="60">
        <f t="shared" si="32"/>
        <v>0</v>
      </c>
      <c r="H233" s="60">
        <f t="shared" si="32"/>
        <v>0</v>
      </c>
      <c r="I233" s="60">
        <f t="shared" si="32"/>
        <v>0</v>
      </c>
      <c r="J233" s="60">
        <f t="shared" si="32"/>
        <v>0</v>
      </c>
      <c r="K233" s="60">
        <f t="shared" si="32"/>
        <v>0</v>
      </c>
      <c r="L233" s="60">
        <f t="shared" si="32"/>
        <v>0</v>
      </c>
      <c r="M233" s="60">
        <f t="shared" si="32"/>
        <v>0</v>
      </c>
      <c r="N233" s="60">
        <f t="shared" si="32"/>
        <v>0</v>
      </c>
      <c r="O233" s="60">
        <f t="shared" si="32"/>
        <v>0</v>
      </c>
      <c r="P233" s="60">
        <f>IFERROR(P232+P231,0)</f>
        <v>0</v>
      </c>
      <c r="Q233" s="22"/>
      <c r="R233" s="30"/>
      <c r="S233" s="22"/>
    </row>
    <row r="234" spans="1:19" ht="17.45" customHeight="1">
      <c r="B234" s="29" t="s">
        <v>383</v>
      </c>
      <c r="C234" s="25" t="s">
        <v>384</v>
      </c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>
        <f>IFERROR(D234+E234+F234+G234+H234+I234+J234+K234+L234+M234+N234+O234,0)</f>
        <v>0</v>
      </c>
      <c r="Q234" s="22"/>
      <c r="R234" s="30"/>
      <c r="S234" s="22"/>
    </row>
    <row r="235" spans="1:19" ht="17.45" customHeight="1">
      <c r="B235" s="29" t="s">
        <v>385</v>
      </c>
      <c r="C235" s="25" t="s">
        <v>386</v>
      </c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>
        <f>IFERROR(D235+E235+F235+G235+H235+I235+J235+K235+L235+M235+N235+O235,0)</f>
        <v>0</v>
      </c>
      <c r="Q235" s="22"/>
      <c r="R235" s="30"/>
      <c r="S235" s="22"/>
    </row>
    <row r="236" spans="1:19" ht="17.45" customHeight="1">
      <c r="B236" s="29" t="s">
        <v>387</v>
      </c>
      <c r="C236" s="25" t="s">
        <v>388</v>
      </c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>
        <f>IFERROR(D236+E236+F236+G236+H236+I236+J236+K236+L236+M236+N236+O236,0)</f>
        <v>0</v>
      </c>
      <c r="Q236" s="22"/>
      <c r="R236" s="30"/>
      <c r="S236" s="22"/>
    </row>
    <row r="237" spans="1:19" ht="17.45" customHeight="1">
      <c r="B237" s="29" t="s">
        <v>389</v>
      </c>
      <c r="C237" s="25" t="s">
        <v>390</v>
      </c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>
        <f>IFERROR(D237+E237+F237+G237+H237+I237+J237+K237+L237+M237+N237+O237,0)</f>
        <v>0</v>
      </c>
      <c r="Q237" s="22"/>
      <c r="R237" s="30"/>
      <c r="S237" s="22"/>
    </row>
    <row r="238" spans="1:19" ht="17.45" customHeight="1">
      <c r="B238" s="29" t="s">
        <v>391</v>
      </c>
      <c r="C238" s="25" t="s">
        <v>392</v>
      </c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>
        <f>IFERROR(D238+E238+F238+G238+H238+I238+J238+K238+L238+M238+N238+O238,0)</f>
        <v>0</v>
      </c>
      <c r="Q238" s="22"/>
      <c r="R238" s="30"/>
      <c r="S238" s="22"/>
    </row>
    <row r="239" spans="1:19" ht="17.45" customHeight="1">
      <c r="B239" s="29"/>
      <c r="C239" s="25" t="s">
        <v>393</v>
      </c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>
        <f>IFERROR(D239+E239+F239+G239+H239+I239+J239+K239+L239+M239+N239+O239,0)</f>
        <v>0</v>
      </c>
      <c r="Q239" s="22"/>
      <c r="R239" s="30"/>
      <c r="S239" s="22"/>
    </row>
    <row r="240" spans="1:19" ht="17.45" customHeight="1">
      <c r="B240" s="29" t="s">
        <v>394</v>
      </c>
      <c r="C240" s="25" t="s">
        <v>350</v>
      </c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>
        <f>IFERROR(D240+E240+F240+G240+H240+I240+J240+K240+L240+M240+N240+O240,0)</f>
        <v>0</v>
      </c>
      <c r="Q240" s="22"/>
      <c r="R240" s="30"/>
      <c r="S240" s="22"/>
    </row>
    <row r="241" spans="1:19" ht="17.45" customHeight="1">
      <c r="B241" s="29"/>
      <c r="C241" s="25" t="s">
        <v>395</v>
      </c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>
        <v>0</v>
      </c>
      <c r="Q241" s="22"/>
      <c r="R241" s="30"/>
      <c r="S241" s="22"/>
    </row>
    <row r="242" spans="1:19" ht="17.45" customHeight="1">
      <c r="B242" s="29" t="s">
        <v>396</v>
      </c>
      <c r="C242" s="25" t="s">
        <v>353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>
        <f>IFERROR(D242+E242+F242+G242+H242+I242+J242+K242+L242+M242+N242+O242,0)</f>
        <v>0</v>
      </c>
      <c r="Q242" s="22"/>
      <c r="R242" s="30"/>
      <c r="S242" s="22"/>
    </row>
    <row r="243" spans="1:19" ht="17.45" customHeight="1">
      <c r="A243" s="81" t="s">
        <v>433</v>
      </c>
      <c r="B243" s="46" t="s">
        <v>397</v>
      </c>
      <c r="C243" s="45" t="s">
        <v>355</v>
      </c>
      <c r="D243" s="60">
        <f t="shared" ref="D243:O243" si="33">D219+D223+D224+D229+D234+D235+D242+D237</f>
        <v>0</v>
      </c>
      <c r="E243" s="60">
        <f t="shared" si="33"/>
        <v>0</v>
      </c>
      <c r="F243" s="60">
        <f t="shared" si="33"/>
        <v>0</v>
      </c>
      <c r="G243" s="60">
        <f t="shared" si="33"/>
        <v>0</v>
      </c>
      <c r="H243" s="60">
        <f t="shared" si="33"/>
        <v>0</v>
      </c>
      <c r="I243" s="60">
        <f t="shared" si="33"/>
        <v>0</v>
      </c>
      <c r="J243" s="60">
        <f t="shared" si="33"/>
        <v>0</v>
      </c>
      <c r="K243" s="60">
        <f t="shared" si="33"/>
        <v>0</v>
      </c>
      <c r="L243" s="60">
        <f t="shared" si="33"/>
        <v>0</v>
      </c>
      <c r="M243" s="60">
        <f t="shared" si="33"/>
        <v>0</v>
      </c>
      <c r="N243" s="60">
        <f t="shared" si="33"/>
        <v>0</v>
      </c>
      <c r="O243" s="60">
        <f t="shared" si="33"/>
        <v>0</v>
      </c>
      <c r="P243" s="60">
        <f>IFERROR(P219+P223+P224+P229+P234+P235+P242+P237,0)</f>
        <v>0</v>
      </c>
      <c r="Q243" s="22"/>
      <c r="R243" s="30"/>
      <c r="S243" s="22"/>
    </row>
    <row r="244" spans="1:19" ht="17.45" customHeight="1">
      <c r="B244" s="29" t="s">
        <v>398</v>
      </c>
      <c r="C244" s="25" t="s">
        <v>399</v>
      </c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>
        <f>IFERROR(D244+E244+F244+G244+H244+I244+J244+K244+L244+M244+N244+O244,0)</f>
        <v>0</v>
      </c>
      <c r="Q244" s="22"/>
      <c r="R244" s="30"/>
      <c r="S244" s="22"/>
    </row>
    <row r="245" spans="1:19" ht="17.45" customHeight="1">
      <c r="B245" s="29" t="s">
        <v>400</v>
      </c>
      <c r="C245" s="25" t="s">
        <v>401</v>
      </c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>
        <f>IFERROR(D245+E245+F245+G245+H245+I245+J245+K245+L245+M245+N245+O245,0)</f>
        <v>0</v>
      </c>
      <c r="Q245" s="22"/>
      <c r="R245" s="30"/>
      <c r="S245" s="22"/>
    </row>
    <row r="246" spans="1:19" ht="17.45" customHeight="1">
      <c r="B246" s="29" t="s">
        <v>402</v>
      </c>
      <c r="C246" s="25" t="s">
        <v>403</v>
      </c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>
        <f>IFERROR(D246+E246+F246+G246+H246+I246+J246+K246+L246+M246+N246+O246,0)</f>
        <v>0</v>
      </c>
      <c r="Q246" s="22"/>
      <c r="R246" s="30"/>
      <c r="S246" s="22"/>
    </row>
    <row r="247" spans="1:19" ht="17.45" customHeight="1">
      <c r="B247" s="29" t="s">
        <v>404</v>
      </c>
      <c r="C247" s="25" t="s">
        <v>405</v>
      </c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>
        <f>IFERROR(D247+E247+F247+G247+H247+I247+J247+K247+L247+M247+N247+O247,0)</f>
        <v>0</v>
      </c>
      <c r="Q247" s="22"/>
      <c r="R247" s="30"/>
      <c r="S247" s="22"/>
    </row>
    <row r="248" spans="1:19" ht="17.45" customHeight="1">
      <c r="A248" s="81" t="s">
        <v>433</v>
      </c>
      <c r="B248" s="46" t="s">
        <v>406</v>
      </c>
      <c r="C248" s="45" t="s">
        <v>330</v>
      </c>
      <c r="D248" s="60">
        <f t="shared" ref="D248:O248" si="34">D243+D214</f>
        <v>0</v>
      </c>
      <c r="E248" s="60">
        <f t="shared" si="34"/>
        <v>0</v>
      </c>
      <c r="F248" s="60">
        <f t="shared" si="34"/>
        <v>0</v>
      </c>
      <c r="G248" s="60">
        <f t="shared" si="34"/>
        <v>0</v>
      </c>
      <c r="H248" s="60">
        <f t="shared" si="34"/>
        <v>0</v>
      </c>
      <c r="I248" s="60">
        <f t="shared" si="34"/>
        <v>0</v>
      </c>
      <c r="J248" s="60">
        <f t="shared" si="34"/>
        <v>0</v>
      </c>
      <c r="K248" s="60">
        <f t="shared" si="34"/>
        <v>0</v>
      </c>
      <c r="L248" s="60">
        <f t="shared" si="34"/>
        <v>0</v>
      </c>
      <c r="M248" s="60">
        <f t="shared" si="34"/>
        <v>0</v>
      </c>
      <c r="N248" s="60">
        <f t="shared" si="34"/>
        <v>0</v>
      </c>
      <c r="O248" s="60">
        <f t="shared" si="34"/>
        <v>0</v>
      </c>
      <c r="P248" s="60">
        <f>IFERROR(P243+P214,0)</f>
        <v>0</v>
      </c>
      <c r="Q248" s="22"/>
      <c r="R248" s="30"/>
      <c r="S248" s="22"/>
    </row>
    <row r="249" spans="1:19" ht="17.45" customHeight="1">
      <c r="B249" s="29" t="s">
        <v>407</v>
      </c>
      <c r="C249" s="25" t="s">
        <v>408</v>
      </c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>
        <f>IFERROR(D249+E249+F249+G249+H249+I249+J249+K249+L249+M249+N249+O249,0)</f>
        <v>0</v>
      </c>
      <c r="Q249" s="22"/>
      <c r="R249" s="30"/>
      <c r="S249" s="22"/>
    </row>
    <row r="250" spans="1:19" ht="17.45" customHeight="1">
      <c r="B250" s="29" t="s">
        <v>409</v>
      </c>
      <c r="C250" s="25" t="s">
        <v>410</v>
      </c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>
        <f>IFERROR(D250+E250+F250+G250+H250+I250+J250+K250+L250+M250+N250+O250,0)</f>
        <v>0</v>
      </c>
      <c r="Q250" s="22"/>
      <c r="R250" s="30"/>
      <c r="S250" s="22"/>
    </row>
    <row r="251" spans="1:19" ht="17.45" customHeight="1">
      <c r="B251" s="29"/>
      <c r="C251" s="25" t="s">
        <v>411</v>
      </c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>
        <v>0</v>
      </c>
      <c r="Q251" s="22"/>
      <c r="R251" s="30"/>
      <c r="S251" s="22"/>
    </row>
    <row r="252" spans="1:19" ht="17.45" customHeight="1">
      <c r="B252" s="24"/>
      <c r="C252" s="25" t="s">
        <v>408</v>
      </c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>
        <f>IFERROR(D252+E252+F252+G252+H252+I252+J252+K252+L252+M252+N252+O252,0)</f>
        <v>0</v>
      </c>
      <c r="Q252" s="22"/>
      <c r="R252" s="30"/>
      <c r="S252" s="22"/>
    </row>
    <row r="253" spans="1:19" ht="24.95" customHeight="1">
      <c r="A253" s="81" t="s">
        <v>433</v>
      </c>
      <c r="B253" s="68"/>
      <c r="C253" s="68" t="s">
        <v>412</v>
      </c>
      <c r="D253" s="68">
        <f t="shared" ref="D253:O253" si="35">D16-D36-D138-D198-D248</f>
        <v>0</v>
      </c>
      <c r="E253" s="68">
        <f t="shared" si="35"/>
        <v>0</v>
      </c>
      <c r="F253" s="68">
        <f t="shared" si="35"/>
        <v>0</v>
      </c>
      <c r="G253" s="68">
        <f t="shared" si="35"/>
        <v>0</v>
      </c>
      <c r="H253" s="68">
        <f t="shared" si="35"/>
        <v>0</v>
      </c>
      <c r="I253" s="68">
        <f t="shared" si="35"/>
        <v>0</v>
      </c>
      <c r="J253" s="68">
        <f t="shared" si="35"/>
        <v>0</v>
      </c>
      <c r="K253" s="68">
        <f>IFERROR(K16-K36-K138-K198-K248,0)</f>
        <v>0</v>
      </c>
      <c r="L253" s="68">
        <f>IFERROR(L16-L36-L138-L198-L248,0)</f>
        <v>0</v>
      </c>
      <c r="M253" s="68">
        <f>IFERROR(M16-M36-M138-M198-M248,0)</f>
        <v>0</v>
      </c>
      <c r="N253" s="68">
        <f>IFERROR(N16-N36-N138-N198-N248,0)</f>
        <v>0</v>
      </c>
      <c r="O253" s="68">
        <f>IFERROR(O16-O36-O138-O198-O248,0)</f>
        <v>0</v>
      </c>
      <c r="P253" s="68">
        <f>IFERROR(P16-P36-P138-P198-P248,0)</f>
        <v>0</v>
      </c>
      <c r="Q253" s="22"/>
      <c r="R253" s="30"/>
      <c r="S253" s="22"/>
    </row>
    <row r="254" spans="1:19" ht="17.45" customHeight="1">
      <c r="B254" s="20"/>
      <c r="Q254" s="22"/>
      <c r="R254" s="30"/>
    </row>
    <row r="255" spans="1:19" ht="17.45" customHeight="1">
      <c r="B255" s="20"/>
      <c r="Q255" s="22"/>
      <c r="R255" s="18"/>
    </row>
    <row r="256" spans="1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253">
    <cfRule type="containsText" dxfId="988" priority="1" operator="containsText" text="NOT FOUND">
      <formula>NOT(ISERROR(SEARCH("NOT FOUND",D5)))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0AC5D-1FAC-462E-BA6B-17826579FDD8}">
  <sheetPr codeName="Sheet29">
    <pageSetUpPr fitToPage="1"/>
  </sheetPr>
  <dimension ref="B1:H9"/>
  <sheetViews>
    <sheetView zoomScale="85" zoomScaleNormal="85" workbookViewId="0">
      <pane ySplit="5" topLeftCell="A6" activePane="bottomLeft" state="frozen"/>
      <selection pane="bottomLeft" activeCell="A6" sqref="A6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437</v>
      </c>
    </row>
    <row r="4" spans="2:8" ht="18.75">
      <c r="B4" s="93" t="s">
        <v>11</v>
      </c>
      <c r="C4" s="93" t="s">
        <v>12</v>
      </c>
      <c r="D4" s="94" t="s">
        <v>414</v>
      </c>
      <c r="E4" s="94"/>
      <c r="F4" s="94"/>
      <c r="G4" s="94"/>
      <c r="H4" s="95"/>
    </row>
    <row r="5" spans="2:8" ht="24" customHeight="1">
      <c r="B5" s="93"/>
      <c r="C5" s="93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25" customHeight="1">
      <c r="B6" s="38"/>
      <c r="C6" s="39"/>
      <c r="D6" s="26"/>
      <c r="E6" s="26"/>
      <c r="F6" s="26"/>
      <c r="G6" s="26"/>
      <c r="H6" s="26"/>
    </row>
    <row r="7" spans="2:8" ht="17.45" customHeight="1">
      <c r="B7" s="24"/>
      <c r="C7" s="25"/>
      <c r="D7" s="26"/>
      <c r="E7" s="26"/>
      <c r="F7" s="26"/>
      <c r="G7" s="26"/>
      <c r="H7" s="26"/>
    </row>
    <row r="8" spans="2:8" ht="17.45" customHeight="1">
      <c r="B8" s="83"/>
      <c r="C8" s="25"/>
      <c r="D8" s="26"/>
      <c r="E8" s="26"/>
      <c r="F8" s="26"/>
      <c r="G8" s="26"/>
      <c r="H8" s="26"/>
    </row>
    <row r="9" spans="2:8" ht="18.75">
      <c r="B9" s="84"/>
      <c r="C9" s="85" t="s">
        <v>412</v>
      </c>
      <c r="D9" s="86"/>
      <c r="E9" s="86"/>
      <c r="F9" s="86"/>
      <c r="G9" s="86"/>
      <c r="H9" s="86"/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H31"/>
  <sheetViews>
    <sheetView showGridLines="0" zoomScaleNormal="100" workbookViewId="0">
      <selection activeCell="C34" sqref="C34"/>
    </sheetView>
  </sheetViews>
  <sheetFormatPr defaultRowHeight="15"/>
  <cols>
    <col min="1" max="1" width="28" customWidth="1"/>
    <col min="2" max="2" width="1.7109375" customWidth="1"/>
    <col min="3" max="3" width="49.5703125" customWidth="1"/>
    <col min="4" max="4" width="3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ht="12" customHeight="1">
      <c r="C1" s="100" t="s">
        <v>5</v>
      </c>
      <c r="D1" s="100"/>
      <c r="E1" s="100"/>
      <c r="F1" s="100"/>
      <c r="G1" s="1"/>
    </row>
    <row r="2" spans="1:8" ht="26.25" customHeight="1">
      <c r="C2" s="97" t="s">
        <v>6</v>
      </c>
      <c r="D2" s="97"/>
      <c r="E2" s="97"/>
      <c r="F2" s="97"/>
      <c r="G2" s="2" t="s">
        <v>0</v>
      </c>
    </row>
    <row r="3" spans="1:8" ht="12" customHeight="1">
      <c r="C3" s="98"/>
      <c r="D3" s="98"/>
      <c r="E3" s="98"/>
      <c r="F3" s="98"/>
      <c r="G3" s="2"/>
    </row>
    <row r="4" spans="1:8" ht="12" customHeight="1">
      <c r="C4" s="98"/>
      <c r="D4" s="98"/>
      <c r="E4" s="98"/>
      <c r="F4" s="98"/>
      <c r="G4" s="2"/>
    </row>
    <row r="5" spans="1:8" ht="18" customHeight="1">
      <c r="B5" s="3"/>
      <c r="C5" s="98"/>
      <c r="D5" s="98"/>
      <c r="E5" s="98"/>
      <c r="F5" s="98"/>
      <c r="G5" s="4"/>
    </row>
    <row r="6" spans="1:8" ht="3" customHeight="1">
      <c r="A6" s="16"/>
      <c r="C6" s="98"/>
      <c r="D6" s="98"/>
      <c r="E6" s="98"/>
      <c r="F6" s="98"/>
      <c r="H6" s="16"/>
    </row>
    <row r="7" spans="1:8" ht="18" customHeight="1">
      <c r="B7" s="5"/>
      <c r="C7" s="98"/>
      <c r="D7" s="98"/>
      <c r="E7" s="98"/>
      <c r="F7" s="98"/>
      <c r="G7" s="6"/>
    </row>
    <row r="8" spans="1:8" ht="12" customHeight="1">
      <c r="C8" s="98"/>
      <c r="D8" s="98"/>
      <c r="E8" s="98"/>
      <c r="F8" s="98"/>
      <c r="G8" s="2"/>
    </row>
    <row r="9" spans="1:8" ht="6.75" customHeight="1">
      <c r="A9" s="101"/>
      <c r="B9" s="101"/>
      <c r="C9" s="99"/>
      <c r="D9" s="99"/>
      <c r="E9" s="99"/>
      <c r="F9" s="99"/>
      <c r="G9" s="2"/>
    </row>
    <row r="10" spans="1:8" ht="18" customHeight="1">
      <c r="A10" s="101"/>
      <c r="B10" s="101"/>
      <c r="C10" s="102" t="s">
        <v>4</v>
      </c>
      <c r="D10" s="102"/>
      <c r="E10" s="102"/>
      <c r="F10" s="102"/>
      <c r="G10" s="2"/>
    </row>
    <row r="11" spans="1:8" ht="15.75">
      <c r="C11" s="7" t="s">
        <v>1</v>
      </c>
      <c r="D11" s="8"/>
      <c r="E11" s="9" t="s">
        <v>2</v>
      </c>
      <c r="F11" s="13" t="s">
        <v>3</v>
      </c>
      <c r="G11" s="2"/>
    </row>
    <row r="12" spans="1:8">
      <c r="C12" s="11" t="s">
        <v>8</v>
      </c>
      <c r="D12" s="2"/>
      <c r="E12" s="17" t="s">
        <v>471</v>
      </c>
      <c r="F12" s="17" t="s">
        <v>438</v>
      </c>
      <c r="G12" s="2" t="s">
        <v>0</v>
      </c>
    </row>
    <row r="13" spans="1:8">
      <c r="C13" s="11" t="s">
        <v>7</v>
      </c>
      <c r="D13" s="2"/>
      <c r="E13" s="10" t="s">
        <v>472</v>
      </c>
      <c r="F13" s="10" t="s">
        <v>0</v>
      </c>
      <c r="G13" s="2" t="s">
        <v>0</v>
      </c>
    </row>
    <row r="14" spans="1:8">
      <c r="C14" s="11"/>
      <c r="D14" s="2"/>
      <c r="E14" s="17"/>
      <c r="F14" s="15"/>
      <c r="G14" s="2" t="s">
        <v>0</v>
      </c>
    </row>
    <row r="15" spans="1:8">
      <c r="C15" s="11"/>
      <c r="D15" s="11"/>
      <c r="E15" s="17"/>
      <c r="F15" s="14"/>
      <c r="G15" s="2"/>
    </row>
    <row r="16" spans="1:8">
      <c r="C16" s="11"/>
      <c r="D16" s="11"/>
      <c r="E16" s="17"/>
      <c r="F16" s="12"/>
      <c r="G16" s="2"/>
    </row>
    <row r="17" spans="3:7" ht="1.5" customHeight="1">
      <c r="C17" s="96"/>
      <c r="D17" s="96"/>
      <c r="E17" s="96"/>
      <c r="F17" s="96"/>
      <c r="G17" s="2"/>
    </row>
    <row r="18" spans="3:7">
      <c r="G18" s="2"/>
    </row>
    <row r="19" spans="3:7">
      <c r="G19" s="2"/>
    </row>
    <row r="20" spans="3:7">
      <c r="G20" s="2"/>
    </row>
    <row r="21" spans="3:7">
      <c r="G21" s="2"/>
    </row>
    <row r="22" spans="3:7">
      <c r="G22" s="2"/>
    </row>
    <row r="23" spans="3:7">
      <c r="G23" s="2"/>
    </row>
    <row r="24" spans="3:7">
      <c r="G24" s="2"/>
    </row>
    <row r="25" spans="3:7">
      <c r="G25" s="2"/>
    </row>
    <row r="26" spans="3:7">
      <c r="G26" s="2"/>
    </row>
    <row r="27" spans="3:7">
      <c r="G27" s="2"/>
    </row>
    <row r="28" spans="3:7">
      <c r="G28" s="2"/>
    </row>
    <row r="29" spans="3:7">
      <c r="G29" s="2"/>
    </row>
    <row r="30" spans="3:7">
      <c r="G30" s="2"/>
    </row>
    <row r="31" spans="3:7">
      <c r="G31" s="2"/>
    </row>
  </sheetData>
  <mergeCells count="5">
    <mergeCell ref="C17:F17"/>
    <mergeCell ref="C2:F9"/>
    <mergeCell ref="C1:F1"/>
    <mergeCell ref="A9:B10"/>
    <mergeCell ref="C10:F10"/>
  </mergeCells>
  <hyperlinks>
    <hyperlink ref="E13" r:id="rId1" display="\\10.8.0.35\rpa$\Accounting\FINANCE GGI\Income Statement\Macro\Tarikan JDE - Income Statement\2024-07.csv" xr:uid="{A2761B5A-ECB9-4266-B2BC-1D671DA8590E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50" r:id="rId4" name="btn_StartWizard">
          <controlPr defaultSize="0" autoLine="0" r:id="rId5">
            <anchor moveWithCells="1">
              <from>
                <xdr:col>2</xdr:col>
                <xdr:colOff>3143250</xdr:colOff>
                <xdr:row>3</xdr:row>
                <xdr:rowOff>0</xdr:rowOff>
              </from>
              <to>
                <xdr:col>4</xdr:col>
                <xdr:colOff>1914525</xdr:colOff>
                <xdr:row>6</xdr:row>
                <xdr:rowOff>76200</xdr:rowOff>
              </to>
            </anchor>
          </controlPr>
        </control>
      </mc:Choice>
      <mc:Fallback>
        <control shapeId="2050" r:id="rId4" name="btn_StartWizar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C4ED-CC05-4BDE-A3FE-E489FF66DF8C}">
  <sheetPr codeName="Sheet11"/>
  <dimension ref="A1:S344"/>
  <sheetViews>
    <sheetView tabSelected="1"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H14" sqref="H14"/>
    </sheetView>
  </sheetViews>
  <sheetFormatPr defaultRowHeight="16.5"/>
  <cols>
    <col min="1" max="1" width="3.8554687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9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10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20</v>
      </c>
      <c r="L4" s="40" t="s">
        <v>21</v>
      </c>
      <c r="M4" s="40" t="s">
        <v>22</v>
      </c>
      <c r="N4" s="40" t="s">
        <v>23</v>
      </c>
      <c r="O4" s="40" t="s">
        <v>24</v>
      </c>
      <c r="P4" s="40" t="s">
        <v>25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26</v>
      </c>
      <c r="D6" s="57" t="s">
        <v>436</v>
      </c>
      <c r="E6" s="57" t="s">
        <v>436</v>
      </c>
      <c r="F6" s="57" t="s">
        <v>436</v>
      </c>
      <c r="G6" s="57" t="s">
        <v>436</v>
      </c>
      <c r="H6" s="57" t="s">
        <v>436</v>
      </c>
      <c r="I6" s="57" t="s">
        <v>436</v>
      </c>
      <c r="J6" s="57" t="s">
        <v>436</v>
      </c>
      <c r="K6" s="57" t="s">
        <v>436</v>
      </c>
      <c r="L6" s="57" t="s">
        <v>436</v>
      </c>
      <c r="M6" s="57" t="s">
        <v>436</v>
      </c>
      <c r="N6" s="57" t="s">
        <v>436</v>
      </c>
      <c r="O6" s="57" t="s">
        <v>436</v>
      </c>
      <c r="P6" s="57"/>
      <c r="Q6" s="22"/>
      <c r="R6" s="18"/>
    </row>
    <row r="7" spans="1:19" ht="17.45" customHeight="1">
      <c r="B7" s="24"/>
      <c r="C7" s="62" t="s">
        <v>27</v>
      </c>
      <c r="D7" s="57" t="s">
        <v>436</v>
      </c>
      <c r="E7" s="57" t="s">
        <v>436</v>
      </c>
      <c r="F7" s="57" t="s">
        <v>436</v>
      </c>
      <c r="G7" s="57" t="s">
        <v>436</v>
      </c>
      <c r="H7" s="57" t="s">
        <v>436</v>
      </c>
      <c r="I7" s="57" t="s">
        <v>436</v>
      </c>
      <c r="J7" s="57" t="s">
        <v>436</v>
      </c>
      <c r="K7" s="57" t="s">
        <v>436</v>
      </c>
      <c r="L7" s="57" t="s">
        <v>436</v>
      </c>
      <c r="M7" s="57" t="s">
        <v>436</v>
      </c>
      <c r="N7" s="57" t="s">
        <v>436</v>
      </c>
      <c r="O7" s="57" t="s">
        <v>436</v>
      </c>
      <c r="P7" s="57"/>
      <c r="Q7" s="22"/>
      <c r="R7" s="18"/>
    </row>
    <row r="8" spans="1:19" ht="17.45" customHeight="1">
      <c r="B8" s="29" t="s">
        <v>28</v>
      </c>
      <c r="C8" s="63" t="s">
        <v>29</v>
      </c>
      <c r="D8" s="57">
        <v>826982.18</v>
      </c>
      <c r="E8" s="57">
        <v>0</v>
      </c>
      <c r="F8" s="57">
        <v>826982.18</v>
      </c>
      <c r="G8" s="57">
        <v>0</v>
      </c>
      <c r="H8" s="57">
        <v>0</v>
      </c>
      <c r="I8" s="57">
        <v>0</v>
      </c>
      <c r="J8" s="57">
        <v>645505.54</v>
      </c>
      <c r="K8" s="57">
        <v>24182.68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2323652.5800000005</v>
      </c>
      <c r="Q8" s="22"/>
      <c r="R8" s="30"/>
      <c r="S8" s="22"/>
    </row>
    <row r="9" spans="1:19" ht="17.45" customHeight="1">
      <c r="B9" s="29" t="s">
        <v>30</v>
      </c>
      <c r="C9" s="63" t="s">
        <v>31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0</v>
      </c>
      <c r="Q9" s="22"/>
      <c r="R9" s="30"/>
      <c r="S9" s="22"/>
    </row>
    <row r="10" spans="1:19" ht="17.45" customHeight="1">
      <c r="B10" s="29" t="s">
        <v>32</v>
      </c>
      <c r="C10" s="63" t="s">
        <v>33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34</v>
      </c>
      <c r="C11" s="63" t="s">
        <v>35</v>
      </c>
      <c r="D11" s="57">
        <v>14591.23</v>
      </c>
      <c r="E11" s="57">
        <v>0</v>
      </c>
      <c r="F11" s="57">
        <v>14591.23</v>
      </c>
      <c r="G11" s="57">
        <v>0</v>
      </c>
      <c r="H11" s="57">
        <v>0</v>
      </c>
      <c r="I11" s="57">
        <v>0</v>
      </c>
      <c r="J11" s="57">
        <v>6683.17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35865.629999999997</v>
      </c>
      <c r="Q11" s="22"/>
      <c r="R11" s="30"/>
      <c r="S11" s="22"/>
    </row>
    <row r="12" spans="1:19" ht="17.45" customHeight="1">
      <c r="B12" s="29" t="s">
        <v>36</v>
      </c>
      <c r="C12" s="63" t="s">
        <v>37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38</v>
      </c>
      <c r="C13" s="63" t="s">
        <v>39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40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41</v>
      </c>
      <c r="C15" s="74" t="s">
        <v>27</v>
      </c>
      <c r="D15" s="73">
        <f t="shared" ref="D15:O15" si="1">SUM(D7:D13)</f>
        <v>841573.41</v>
      </c>
      <c r="E15" s="73">
        <f t="shared" si="1"/>
        <v>0</v>
      </c>
      <c r="F15" s="73">
        <f t="shared" si="1"/>
        <v>841573.41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652188.71000000008</v>
      </c>
      <c r="K15" s="73">
        <f t="shared" si="1"/>
        <v>24182.68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IFERROR(SUM(P7:P13),0)</f>
        <v>2359518.2100000004</v>
      </c>
      <c r="Q15" s="22"/>
      <c r="R15" s="30"/>
      <c r="S15" s="22"/>
    </row>
    <row r="16" spans="1:19" ht="17.45" customHeight="1">
      <c r="B16" s="47" t="s">
        <v>42</v>
      </c>
      <c r="C16" s="64" t="s">
        <v>43</v>
      </c>
      <c r="D16" s="60">
        <f t="shared" ref="D16:O16" si="2">D15</f>
        <v>841573.41</v>
      </c>
      <c r="E16" s="60">
        <f t="shared" si="2"/>
        <v>0</v>
      </c>
      <c r="F16" s="60">
        <f t="shared" si="2"/>
        <v>841573.41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652188.71000000008</v>
      </c>
      <c r="K16" s="60">
        <f t="shared" si="2"/>
        <v>24182.68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IFERROR(P15,0)</f>
        <v>2359518.2100000004</v>
      </c>
      <c r="Q16" s="22"/>
      <c r="R16" s="30"/>
      <c r="S16" s="22"/>
    </row>
    <row r="17" spans="2:19" ht="17.45" customHeight="1">
      <c r="B17" s="29"/>
      <c r="C17" s="61" t="s">
        <v>44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45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46</v>
      </c>
      <c r="C19" s="63" t="s">
        <v>47</v>
      </c>
      <c r="D19" s="57">
        <v>2043009.97</v>
      </c>
      <c r="E19" s="57">
        <v>0</v>
      </c>
      <c r="F19" s="57">
        <v>2043009.97</v>
      </c>
      <c r="G19" s="57">
        <v>0</v>
      </c>
      <c r="H19" s="57">
        <v>0</v>
      </c>
      <c r="I19" s="57">
        <v>0</v>
      </c>
      <c r="J19" s="57">
        <v>1499367.34</v>
      </c>
      <c r="K19" s="57">
        <v>13530.6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5598917.8799999999</v>
      </c>
      <c r="Q19" s="22"/>
      <c r="R19" s="30"/>
      <c r="S19" s="22"/>
    </row>
    <row r="20" spans="2:19" ht="17.45" customHeight="1">
      <c r="B20" s="29" t="s">
        <v>48</v>
      </c>
      <c r="C20" s="25" t="s">
        <v>49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50</v>
      </c>
      <c r="D21" s="57">
        <v>2043009.97</v>
      </c>
      <c r="E21" s="57">
        <v>0</v>
      </c>
      <c r="F21" s="57">
        <v>2043009.97</v>
      </c>
      <c r="G21" s="57">
        <v>0</v>
      </c>
      <c r="H21" s="57">
        <v>0</v>
      </c>
      <c r="I21" s="57">
        <v>0</v>
      </c>
      <c r="J21" s="57">
        <v>1499367.34</v>
      </c>
      <c r="K21" s="57">
        <v>13530.6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5598917.8799999999</v>
      </c>
      <c r="Q21" s="22"/>
      <c r="R21" s="30"/>
      <c r="S21" s="22"/>
    </row>
    <row r="22" spans="2:19" ht="17.45" customHeight="1">
      <c r="B22" s="29" t="s">
        <v>51</v>
      </c>
      <c r="C22" s="25" t="s">
        <v>52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53</v>
      </c>
      <c r="C23" s="25" t="s">
        <v>54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55</v>
      </c>
      <c r="D24" s="59">
        <f t="shared" ref="D24:O24" si="4">SUM(D18:D23)</f>
        <v>4086019.94</v>
      </c>
      <c r="E24" s="59">
        <f t="shared" si="4"/>
        <v>0</v>
      </c>
      <c r="F24" s="59">
        <f t="shared" si="4"/>
        <v>4086019.94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2998734.68</v>
      </c>
      <c r="K24" s="59">
        <f t="shared" si="4"/>
        <v>27061.200000000001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IFERROR(SUM(P18:P23),0)</f>
        <v>11197835.76</v>
      </c>
      <c r="Q24" s="22"/>
      <c r="R24" s="30"/>
      <c r="S24" s="22"/>
    </row>
    <row r="25" spans="2:19" ht="17.45" customHeight="1">
      <c r="B25" s="29" t="s">
        <v>56</v>
      </c>
      <c r="C25" s="25" t="s">
        <v>57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0</v>
      </c>
      <c r="Q25" s="22"/>
      <c r="R25" s="30"/>
      <c r="S25" s="22"/>
    </row>
    <row r="26" spans="2:19" ht="17.45" customHeight="1">
      <c r="B26" s="29" t="s">
        <v>58</v>
      </c>
      <c r="C26" s="25" t="s">
        <v>59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60</v>
      </c>
      <c r="C27" s="25" t="s">
        <v>61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62</v>
      </c>
      <c r="C28" s="25" t="s">
        <v>63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64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0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>IFERROR(P25,0)</f>
        <v>0</v>
      </c>
      <c r="Q29" s="22"/>
      <c r="R29" s="30"/>
      <c r="S29" s="22"/>
    </row>
    <row r="30" spans="2:19" ht="17.45" customHeight="1">
      <c r="B30" s="29" t="s">
        <v>65</v>
      </c>
      <c r="C30" s="25" t="s">
        <v>66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67</v>
      </c>
      <c r="C31" s="25" t="s">
        <v>68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69</v>
      </c>
      <c r="C32" s="25" t="s">
        <v>70</v>
      </c>
      <c r="D32" s="57" t="s">
        <v>432</v>
      </c>
      <c r="E32" s="57">
        <v>0</v>
      </c>
      <c r="F32" s="57" t="s">
        <v>432</v>
      </c>
      <c r="G32" s="57">
        <v>0</v>
      </c>
      <c r="H32" s="57">
        <v>0</v>
      </c>
      <c r="I32" s="57">
        <v>0</v>
      </c>
      <c r="J32" s="57" t="s">
        <v>432</v>
      </c>
      <c r="K32" s="57" t="s">
        <v>432</v>
      </c>
      <c r="L32" s="57">
        <v>0</v>
      </c>
      <c r="M32" s="57">
        <v>0</v>
      </c>
      <c r="N32" s="57">
        <v>0</v>
      </c>
      <c r="O32" s="57">
        <v>0</v>
      </c>
      <c r="P32" s="57">
        <f>IFERROR(D32+E32+F32+G32+H32+I32+J32+K32+L32+M32+N32+O32,0)</f>
        <v>0</v>
      </c>
      <c r="Q32" s="22"/>
      <c r="R32" s="30"/>
      <c r="S32" s="22"/>
    </row>
    <row r="33" spans="2:19" ht="17.45" customHeight="1">
      <c r="B33" s="29" t="s">
        <v>71</v>
      </c>
      <c r="C33" s="25" t="s">
        <v>72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73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74</v>
      </c>
      <c r="C35" s="66" t="s">
        <v>75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76</v>
      </c>
      <c r="C36" s="48" t="s">
        <v>77</v>
      </c>
      <c r="D36" s="59">
        <f t="shared" ref="D36:O36" si="6">D24+D29+D34+D35</f>
        <v>4086019.94</v>
      </c>
      <c r="E36" s="59">
        <f t="shared" si="6"/>
        <v>0</v>
      </c>
      <c r="F36" s="59">
        <f t="shared" si="6"/>
        <v>4086019.94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2998734.68</v>
      </c>
      <c r="K36" s="59">
        <f t="shared" si="6"/>
        <v>27061.200000000001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IFERROR(P24+P29+P34+P35,0)</f>
        <v>11197835.76</v>
      </c>
      <c r="Q36" s="22"/>
      <c r="R36" s="30"/>
      <c r="S36" s="22"/>
    </row>
    <row r="37" spans="2:19" ht="17.45" customHeight="1">
      <c r="B37" s="29"/>
      <c r="C37" s="31" t="s">
        <v>78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79</v>
      </c>
      <c r="C38" s="28" t="s">
        <v>80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81</v>
      </c>
      <c r="C39" s="25" t="s">
        <v>82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83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84</v>
      </c>
      <c r="C41" s="25" t="s">
        <v>85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86</v>
      </c>
      <c r="C42" s="25" t="s">
        <v>87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88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89</v>
      </c>
      <c r="C44" s="25" t="s">
        <v>90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91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92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93</v>
      </c>
      <c r="C47" s="45" t="s">
        <v>83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IFERROR(SUM(D47:O47),0)</f>
        <v>0</v>
      </c>
      <c r="Q47" s="22"/>
      <c r="R47" s="30"/>
      <c r="S47" s="22"/>
    </row>
    <row r="48" spans="2:19" ht="17.45" customHeight="1">
      <c r="B48" s="29"/>
      <c r="C48" s="28" t="s">
        <v>94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95</v>
      </c>
      <c r="C49" s="25" t="s">
        <v>96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97</v>
      </c>
      <c r="C50" s="25" t="s">
        <v>98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99</v>
      </c>
      <c r="C51" s="25" t="s">
        <v>100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101</v>
      </c>
      <c r="C52" s="66" t="s">
        <v>94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IFERROR(SUM(D52:O52),0)</f>
        <v>0</v>
      </c>
      <c r="Q52" s="22"/>
      <c r="R52" s="30"/>
      <c r="S52" s="22"/>
    </row>
    <row r="53" spans="2:19" ht="17.45" customHeight="1">
      <c r="B53" s="65" t="s">
        <v>102</v>
      </c>
      <c r="C53" s="66" t="s">
        <v>103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IFERROR(SUM(D53:O53),0)</f>
        <v>0</v>
      </c>
      <c r="Q53" s="22"/>
      <c r="R53" s="30"/>
      <c r="S53" s="22"/>
    </row>
    <row r="54" spans="2:19" ht="17.45" customHeight="1">
      <c r="B54" s="29"/>
      <c r="C54" s="27" t="s">
        <v>104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105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106</v>
      </c>
      <c r="C56" s="25" t="s">
        <v>107</v>
      </c>
      <c r="D56" s="57">
        <v>35993.43</v>
      </c>
      <c r="E56" s="57">
        <v>0</v>
      </c>
      <c r="F56" s="57">
        <v>35993.43</v>
      </c>
      <c r="G56" s="57">
        <v>0</v>
      </c>
      <c r="H56" s="57">
        <v>0</v>
      </c>
      <c r="I56" s="57">
        <v>0</v>
      </c>
      <c r="J56" s="57">
        <v>31820.04</v>
      </c>
      <c r="K56" s="57">
        <v>339.82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104146.72</v>
      </c>
      <c r="Q56" s="22"/>
      <c r="R56" s="30"/>
      <c r="S56" s="22"/>
    </row>
    <row r="57" spans="2:19" ht="17.45" customHeight="1">
      <c r="B57" s="29" t="s">
        <v>108</v>
      </c>
      <c r="C57" s="25" t="s">
        <v>109</v>
      </c>
      <c r="D57" s="57">
        <v>2700</v>
      </c>
      <c r="E57" s="57">
        <v>0</v>
      </c>
      <c r="F57" s="57">
        <v>2700</v>
      </c>
      <c r="G57" s="57">
        <v>0</v>
      </c>
      <c r="H57" s="57">
        <v>0</v>
      </c>
      <c r="I57" s="57">
        <v>0</v>
      </c>
      <c r="J57" s="57">
        <v>2402.6799999999998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7802.68</v>
      </c>
      <c r="Q57" s="22"/>
      <c r="R57" s="30"/>
      <c r="S57" s="22"/>
    </row>
    <row r="58" spans="2:19" ht="17.45" customHeight="1">
      <c r="B58" s="29" t="s">
        <v>110</v>
      </c>
      <c r="C58" s="25" t="s">
        <v>111</v>
      </c>
      <c r="D58" s="57">
        <v>2417.17</v>
      </c>
      <c r="E58" s="57">
        <v>0</v>
      </c>
      <c r="F58" s="57">
        <v>2417.17</v>
      </c>
      <c r="G58" s="57">
        <v>0</v>
      </c>
      <c r="H58" s="57">
        <v>0</v>
      </c>
      <c r="I58" s="57">
        <v>0</v>
      </c>
      <c r="J58" s="57">
        <v>2288.4299999999998</v>
      </c>
      <c r="K58" s="57">
        <v>2627.91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9750.68</v>
      </c>
      <c r="Q58" s="22"/>
      <c r="R58" s="30"/>
      <c r="S58" s="22"/>
    </row>
    <row r="59" spans="2:19" ht="17.45" customHeight="1">
      <c r="B59" s="29" t="s">
        <v>112</v>
      </c>
      <c r="C59" s="25" t="s">
        <v>113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114</v>
      </c>
      <c r="C60" s="25" t="s">
        <v>115</v>
      </c>
      <c r="D60" s="57">
        <v>2255.6</v>
      </c>
      <c r="E60" s="57">
        <v>0</v>
      </c>
      <c r="F60" s="57">
        <v>2255.6</v>
      </c>
      <c r="G60" s="57">
        <v>0</v>
      </c>
      <c r="H60" s="57">
        <v>0</v>
      </c>
      <c r="I60" s="57">
        <v>0</v>
      </c>
      <c r="J60" s="57">
        <v>2282.38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6793.58</v>
      </c>
      <c r="Q60" s="22"/>
      <c r="R60" s="30"/>
      <c r="S60" s="22"/>
    </row>
    <row r="61" spans="2:19" ht="17.45" customHeight="1">
      <c r="B61" s="46" t="s">
        <v>116</v>
      </c>
      <c r="C61" s="45" t="s">
        <v>105</v>
      </c>
      <c r="D61" s="59">
        <f t="shared" ref="D61:O61" si="9">SUM(D56:D60)</f>
        <v>43366.2</v>
      </c>
      <c r="E61" s="59">
        <f t="shared" si="9"/>
        <v>0</v>
      </c>
      <c r="F61" s="59">
        <f t="shared" si="9"/>
        <v>43366.2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38793.53</v>
      </c>
      <c r="K61" s="59">
        <f t="shared" si="9"/>
        <v>2967.73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IFERROR(SUM(P56:P60),0)</f>
        <v>128493.65999999999</v>
      </c>
      <c r="Q61" s="22"/>
      <c r="R61" s="30"/>
      <c r="S61" s="22"/>
    </row>
    <row r="62" spans="2:19" ht="17.45" customHeight="1">
      <c r="B62" s="29" t="s">
        <v>117</v>
      </c>
      <c r="C62" s="25" t="s">
        <v>118</v>
      </c>
      <c r="D62" s="57">
        <v>164.52</v>
      </c>
      <c r="E62" s="57">
        <v>0</v>
      </c>
      <c r="F62" s="57">
        <v>164.52</v>
      </c>
      <c r="G62" s="57">
        <v>0</v>
      </c>
      <c r="H62" s="57">
        <v>0</v>
      </c>
      <c r="I62" s="57">
        <v>0</v>
      </c>
      <c r="J62" s="57">
        <v>170.8</v>
      </c>
      <c r="K62" s="57">
        <v>69.09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568.93000000000006</v>
      </c>
      <c r="Q62" s="22"/>
      <c r="R62" s="30"/>
      <c r="S62" s="22"/>
    </row>
    <row r="63" spans="2:19" ht="17.45" customHeight="1">
      <c r="B63" s="29" t="s">
        <v>119</v>
      </c>
      <c r="C63" s="25" t="s">
        <v>120</v>
      </c>
      <c r="D63" s="57">
        <v>164.36</v>
      </c>
      <c r="E63" s="57">
        <v>0</v>
      </c>
      <c r="F63" s="57">
        <v>164.36</v>
      </c>
      <c r="G63" s="57">
        <v>0</v>
      </c>
      <c r="H63" s="57">
        <v>0</v>
      </c>
      <c r="I63" s="57">
        <v>0</v>
      </c>
      <c r="J63" s="57">
        <v>635.73</v>
      </c>
      <c r="K63" s="57">
        <v>201.72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1166.17</v>
      </c>
      <c r="Q63" s="22"/>
      <c r="R63" s="30"/>
      <c r="S63" s="22"/>
    </row>
    <row r="64" spans="2:19" ht="17.45" customHeight="1">
      <c r="B64" s="29" t="s">
        <v>121</v>
      </c>
      <c r="C64" s="25" t="s">
        <v>122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1796.7</v>
      </c>
      <c r="K64" s="57">
        <v>1807.73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3604.4300000000003</v>
      </c>
      <c r="Q64" s="22"/>
      <c r="R64" s="30"/>
      <c r="S64" s="22"/>
    </row>
    <row r="65" spans="2:19" ht="17.45" customHeight="1">
      <c r="B65" s="29" t="s">
        <v>123</v>
      </c>
      <c r="C65" s="25" t="s">
        <v>124</v>
      </c>
      <c r="D65" s="57">
        <v>82.93</v>
      </c>
      <c r="E65" s="57">
        <v>0</v>
      </c>
      <c r="F65" s="57">
        <v>82.93</v>
      </c>
      <c r="G65" s="57">
        <v>0</v>
      </c>
      <c r="H65" s="57">
        <v>0</v>
      </c>
      <c r="I65" s="57">
        <v>0</v>
      </c>
      <c r="J65" s="57">
        <v>53.15</v>
      </c>
      <c r="K65" s="57">
        <v>49.42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268.43</v>
      </c>
      <c r="Q65" s="22"/>
      <c r="R65" s="30"/>
      <c r="S65" s="22"/>
    </row>
    <row r="66" spans="2:19" ht="17.45" customHeight="1">
      <c r="B66" s="29"/>
      <c r="C66" s="28" t="s">
        <v>125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126</v>
      </c>
      <c r="C67" s="25" t="s">
        <v>127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128</v>
      </c>
      <c r="C68" s="25" t="s">
        <v>129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130</v>
      </c>
      <c r="D69" s="57">
        <v>11300.68</v>
      </c>
      <c r="E69" s="57">
        <v>0</v>
      </c>
      <c r="F69" s="57">
        <v>11300.68</v>
      </c>
      <c r="G69" s="57">
        <v>0</v>
      </c>
      <c r="H69" s="57">
        <v>0</v>
      </c>
      <c r="I69" s="57">
        <v>0</v>
      </c>
      <c r="J69" s="57">
        <v>11840.82</v>
      </c>
      <c r="K69" s="57">
        <v>4210.99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38653.17</v>
      </c>
      <c r="Q69" s="22"/>
      <c r="R69" s="30"/>
      <c r="S69" s="22"/>
    </row>
    <row r="70" spans="2:19" ht="17.45" customHeight="1">
      <c r="B70" s="46" t="s">
        <v>131</v>
      </c>
      <c r="C70" s="45" t="s">
        <v>125</v>
      </c>
      <c r="D70" s="59">
        <f t="shared" ref="D70:O70" si="11">SUM(D68:D69)</f>
        <v>11300.68</v>
      </c>
      <c r="E70" s="59">
        <f t="shared" si="11"/>
        <v>0</v>
      </c>
      <c r="F70" s="59">
        <f t="shared" si="11"/>
        <v>11300.68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11840.82</v>
      </c>
      <c r="K70" s="59">
        <f t="shared" si="11"/>
        <v>4210.99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IFERROR(SUM(P68:P69),0)</f>
        <v>38653.17</v>
      </c>
      <c r="Q70" s="22"/>
      <c r="R70" s="30"/>
      <c r="S70" s="22"/>
    </row>
    <row r="71" spans="2:19" ht="17.45" customHeight="1">
      <c r="B71" s="29" t="s">
        <v>132</v>
      </c>
      <c r="C71" s="25" t="s">
        <v>133</v>
      </c>
      <c r="D71" s="57">
        <v>166255.09</v>
      </c>
      <c r="E71" s="57">
        <v>0</v>
      </c>
      <c r="F71" s="57">
        <v>166255.09</v>
      </c>
      <c r="G71" s="57">
        <v>0</v>
      </c>
      <c r="H71" s="57">
        <v>0</v>
      </c>
      <c r="I71" s="57">
        <v>0</v>
      </c>
      <c r="J71" s="57">
        <v>192981.25</v>
      </c>
      <c r="K71" s="57">
        <v>906.16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526397.59</v>
      </c>
      <c r="Q71" s="22"/>
      <c r="R71" s="30"/>
      <c r="S71" s="22"/>
    </row>
    <row r="72" spans="2:19" ht="17.45" customHeight="1">
      <c r="B72" s="29"/>
      <c r="C72" s="28" t="s">
        <v>134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135</v>
      </c>
      <c r="C73" s="25" t="s">
        <v>136</v>
      </c>
      <c r="D73" s="57">
        <v>1397.6</v>
      </c>
      <c r="E73" s="57">
        <v>0</v>
      </c>
      <c r="F73" s="57">
        <v>1397.6</v>
      </c>
      <c r="G73" s="57">
        <v>0</v>
      </c>
      <c r="H73" s="57">
        <v>0</v>
      </c>
      <c r="I73" s="57">
        <v>0</v>
      </c>
      <c r="J73" s="57">
        <v>2091.81</v>
      </c>
      <c r="K73" s="57">
        <v>1735.54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6622.55</v>
      </c>
      <c r="Q73" s="22"/>
      <c r="R73" s="30"/>
      <c r="S73" s="22"/>
    </row>
    <row r="74" spans="2:19" ht="17.45" customHeight="1">
      <c r="B74" s="29" t="s">
        <v>137</v>
      </c>
      <c r="C74" s="25" t="s">
        <v>138</v>
      </c>
      <c r="D74" s="57">
        <v>168.4</v>
      </c>
      <c r="E74" s="57">
        <v>0</v>
      </c>
      <c r="F74" s="57">
        <v>168.4</v>
      </c>
      <c r="G74" s="57">
        <v>0</v>
      </c>
      <c r="H74" s="57">
        <v>0</v>
      </c>
      <c r="I74" s="57">
        <v>0</v>
      </c>
      <c r="J74" s="57">
        <v>-0.91</v>
      </c>
      <c r="K74" s="57">
        <v>98.2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434.09</v>
      </c>
      <c r="Q74" s="22"/>
      <c r="R74" s="30"/>
      <c r="S74" s="22"/>
    </row>
    <row r="75" spans="2:19" ht="17.45" customHeight="1">
      <c r="B75" s="29" t="s">
        <v>139</v>
      </c>
      <c r="C75" s="25" t="s">
        <v>140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-4.5599999999999996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-4.5599999999999996</v>
      </c>
      <c r="Q75" s="22"/>
      <c r="R75" s="30"/>
      <c r="S75" s="22"/>
    </row>
    <row r="76" spans="2:19" ht="17.45" customHeight="1">
      <c r="B76" s="29" t="s">
        <v>141</v>
      </c>
      <c r="C76" s="25" t="s">
        <v>142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143</v>
      </c>
      <c r="C77" s="25" t="s">
        <v>144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0</v>
      </c>
      <c r="Q77" s="22"/>
      <c r="R77" s="30"/>
      <c r="S77" s="22"/>
    </row>
    <row r="78" spans="2:19" ht="17.45" customHeight="1">
      <c r="B78" s="29"/>
      <c r="C78" s="25" t="s">
        <v>145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146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0</v>
      </c>
      <c r="Q79" s="22"/>
      <c r="R79" s="30"/>
      <c r="S79" s="22"/>
    </row>
    <row r="80" spans="2:19" ht="17.45" customHeight="1">
      <c r="B80" s="46" t="s">
        <v>147</v>
      </c>
      <c r="C80" s="45" t="s">
        <v>134</v>
      </c>
      <c r="D80" s="59">
        <f t="shared" ref="D80:O80" si="13">SUM(D73:D79)</f>
        <v>1566</v>
      </c>
      <c r="E80" s="59">
        <f t="shared" si="13"/>
        <v>0</v>
      </c>
      <c r="F80" s="59">
        <f t="shared" si="13"/>
        <v>1566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2086.34</v>
      </c>
      <c r="K80" s="59">
        <f t="shared" si="13"/>
        <v>1833.74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IFERROR(SUM(P73:P79),0)</f>
        <v>7052.08</v>
      </c>
      <c r="Q80" s="22"/>
      <c r="R80" s="30"/>
      <c r="S80" s="22"/>
    </row>
    <row r="81" spans="2:19" ht="17.45" customHeight="1">
      <c r="B81" s="29"/>
      <c r="C81" s="28" t="s">
        <v>148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149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150</v>
      </c>
      <c r="C83" s="25" t="s">
        <v>151</v>
      </c>
      <c r="D83" s="57">
        <v>3253.47</v>
      </c>
      <c r="E83" s="57">
        <v>0</v>
      </c>
      <c r="F83" s="57">
        <v>3253.47</v>
      </c>
      <c r="G83" s="57">
        <v>0</v>
      </c>
      <c r="H83" s="57">
        <v>0</v>
      </c>
      <c r="I83" s="57">
        <v>0</v>
      </c>
      <c r="J83" s="57">
        <v>3253.47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9760.41</v>
      </c>
      <c r="Q83" s="22"/>
      <c r="R83" s="30"/>
      <c r="S83" s="22"/>
    </row>
    <row r="84" spans="2:19" ht="17.45" customHeight="1">
      <c r="B84" s="29" t="s">
        <v>152</v>
      </c>
      <c r="C84" s="25" t="s">
        <v>153</v>
      </c>
      <c r="D84" s="57">
        <v>11533.96</v>
      </c>
      <c r="E84" s="57">
        <v>0</v>
      </c>
      <c r="F84" s="57">
        <v>11533.96</v>
      </c>
      <c r="G84" s="57">
        <v>0</v>
      </c>
      <c r="H84" s="57">
        <v>0</v>
      </c>
      <c r="I84" s="57">
        <v>0</v>
      </c>
      <c r="J84" s="57">
        <v>3805.54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26873.46</v>
      </c>
      <c r="Q84" s="22"/>
      <c r="R84" s="30"/>
      <c r="S84" s="22"/>
    </row>
    <row r="85" spans="2:19" ht="17.45" customHeight="1">
      <c r="B85" s="29" t="s">
        <v>154</v>
      </c>
      <c r="C85" s="25" t="s">
        <v>155</v>
      </c>
      <c r="D85" s="57">
        <v>545.99</v>
      </c>
      <c r="E85" s="57">
        <v>0</v>
      </c>
      <c r="F85" s="57">
        <v>545.99</v>
      </c>
      <c r="G85" s="57">
        <v>0</v>
      </c>
      <c r="H85" s="57">
        <v>0</v>
      </c>
      <c r="I85" s="57">
        <v>0</v>
      </c>
      <c r="J85" s="57">
        <v>545.99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1637.97</v>
      </c>
      <c r="Q85" s="22"/>
      <c r="R85" s="30"/>
      <c r="S85" s="22"/>
    </row>
    <row r="86" spans="2:19" ht="17.45" customHeight="1">
      <c r="B86" s="29" t="s">
        <v>156</v>
      </c>
      <c r="C86" s="25" t="s">
        <v>157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37.119999999999997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37.119999999999997</v>
      </c>
      <c r="Q86" s="22"/>
      <c r="R86" s="30"/>
      <c r="S86" s="22"/>
    </row>
    <row r="87" spans="2:19" ht="17.45" customHeight="1">
      <c r="B87" s="29" t="s">
        <v>158</v>
      </c>
      <c r="C87" s="25" t="s">
        <v>159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160</v>
      </c>
      <c r="C88" s="25" t="s">
        <v>161</v>
      </c>
      <c r="D88" s="57">
        <v>795.2</v>
      </c>
      <c r="E88" s="57">
        <v>0</v>
      </c>
      <c r="F88" s="57">
        <v>795.2</v>
      </c>
      <c r="G88" s="57">
        <v>0</v>
      </c>
      <c r="H88" s="57">
        <v>0</v>
      </c>
      <c r="I88" s="57">
        <v>0</v>
      </c>
      <c r="J88" s="57">
        <v>812.53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2402.9300000000003</v>
      </c>
      <c r="Q88" s="22"/>
      <c r="R88" s="30"/>
      <c r="S88" s="22"/>
    </row>
    <row r="89" spans="2:19" ht="17.45" customHeight="1">
      <c r="B89" s="46" t="s">
        <v>162</v>
      </c>
      <c r="C89" s="45" t="s">
        <v>148</v>
      </c>
      <c r="D89" s="59">
        <f t="shared" ref="D89:O89" si="15">SUM(D82:D88)</f>
        <v>16128.619999999999</v>
      </c>
      <c r="E89" s="59">
        <f t="shared" si="15"/>
        <v>0</v>
      </c>
      <c r="F89" s="59">
        <f t="shared" si="15"/>
        <v>16128.619999999999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8454.65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IFERROR(SUM(P82:P88),0)</f>
        <v>40711.89</v>
      </c>
      <c r="Q89" s="22"/>
      <c r="R89" s="30"/>
      <c r="S89" s="22"/>
    </row>
    <row r="90" spans="2:19" ht="17.45" customHeight="1">
      <c r="B90" s="29" t="s">
        <v>163</v>
      </c>
      <c r="C90" s="25" t="s">
        <v>164</v>
      </c>
      <c r="D90" s="57">
        <v>999.88</v>
      </c>
      <c r="E90" s="57">
        <v>0</v>
      </c>
      <c r="F90" s="57">
        <v>999.88</v>
      </c>
      <c r="G90" s="57">
        <v>0</v>
      </c>
      <c r="H90" s="57">
        <v>0</v>
      </c>
      <c r="I90" s="57">
        <v>0</v>
      </c>
      <c r="J90" s="57">
        <v>999.88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2999.64</v>
      </c>
      <c r="Q90" s="22"/>
      <c r="R90" s="30"/>
      <c r="S90" s="22"/>
    </row>
    <row r="91" spans="2:19" ht="17.45" customHeight="1">
      <c r="B91" s="29" t="s">
        <v>165</v>
      </c>
      <c r="C91" s="25" t="s">
        <v>166</v>
      </c>
      <c r="D91" s="57">
        <v>1388.61</v>
      </c>
      <c r="E91" s="57">
        <v>0</v>
      </c>
      <c r="F91" s="57">
        <v>1388.61</v>
      </c>
      <c r="G91" s="57">
        <v>0</v>
      </c>
      <c r="H91" s="57">
        <v>0</v>
      </c>
      <c r="I91" s="57">
        <v>0</v>
      </c>
      <c r="J91" s="57">
        <v>1388.61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4165.83</v>
      </c>
      <c r="Q91" s="22"/>
      <c r="R91" s="30"/>
      <c r="S91" s="22"/>
    </row>
    <row r="92" spans="2:19" ht="17.45" customHeight="1">
      <c r="B92" s="29" t="s">
        <v>167</v>
      </c>
      <c r="C92" s="25" t="s">
        <v>168</v>
      </c>
      <c r="D92" s="57">
        <v>2830.65</v>
      </c>
      <c r="E92" s="57">
        <v>0</v>
      </c>
      <c r="F92" s="57">
        <v>2830.65</v>
      </c>
      <c r="G92" s="57">
        <v>0</v>
      </c>
      <c r="H92" s="57">
        <v>0</v>
      </c>
      <c r="I92" s="57">
        <v>0</v>
      </c>
      <c r="J92" s="57">
        <v>3974.75</v>
      </c>
      <c r="K92" s="57">
        <v>2756.01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12392.06</v>
      </c>
      <c r="Q92" s="22"/>
      <c r="R92" s="30"/>
      <c r="S92" s="22"/>
    </row>
    <row r="93" spans="2:19" ht="17.45" customHeight="1">
      <c r="B93" s="29" t="s">
        <v>169</v>
      </c>
      <c r="C93" s="25" t="s">
        <v>170</v>
      </c>
      <c r="D93" s="57">
        <v>143.99</v>
      </c>
      <c r="E93" s="57">
        <v>0</v>
      </c>
      <c r="F93" s="57">
        <v>143.99</v>
      </c>
      <c r="G93" s="57">
        <v>0</v>
      </c>
      <c r="H93" s="57">
        <v>0</v>
      </c>
      <c r="I93" s="57">
        <v>0</v>
      </c>
      <c r="J93" s="57">
        <v>505.97</v>
      </c>
      <c r="K93" s="57">
        <v>443.53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1237.48</v>
      </c>
      <c r="Q93" s="22"/>
      <c r="R93" s="30"/>
      <c r="S93" s="22"/>
    </row>
    <row r="94" spans="2:19" ht="17.45" customHeight="1">
      <c r="B94" s="29" t="s">
        <v>171</v>
      </c>
      <c r="C94" s="25" t="s">
        <v>172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173</v>
      </c>
      <c r="C95" s="25" t="s">
        <v>174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175</v>
      </c>
      <c r="C96" s="25" t="s">
        <v>176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0</v>
      </c>
      <c r="Q96" s="22"/>
      <c r="R96" s="30"/>
      <c r="S96" s="22"/>
    </row>
    <row r="97" spans="2:19" ht="17.45" customHeight="1">
      <c r="B97" s="29" t="s">
        <v>177</v>
      </c>
      <c r="C97" s="25" t="s">
        <v>178</v>
      </c>
      <c r="D97" s="57">
        <v>2.4900000000000002</v>
      </c>
      <c r="E97" s="57">
        <v>0</v>
      </c>
      <c r="F97" s="57">
        <v>2.4900000000000002</v>
      </c>
      <c r="G97" s="57">
        <v>0</v>
      </c>
      <c r="H97" s="57">
        <v>0</v>
      </c>
      <c r="I97" s="57">
        <v>0</v>
      </c>
      <c r="J97" s="57">
        <v>18.940000000000001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23.92</v>
      </c>
      <c r="Q97" s="22"/>
      <c r="R97" s="30"/>
      <c r="S97" s="22"/>
    </row>
    <row r="98" spans="2:19" ht="17.45" customHeight="1">
      <c r="B98" s="29" t="s">
        <v>179</v>
      </c>
      <c r="C98" s="25" t="s">
        <v>180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181</v>
      </c>
      <c r="C99" s="25" t="s">
        <v>182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183</v>
      </c>
      <c r="D100" s="57">
        <v>793.17</v>
      </c>
      <c r="E100" s="57">
        <v>0</v>
      </c>
      <c r="F100" s="57">
        <v>793.17</v>
      </c>
      <c r="G100" s="57">
        <v>0</v>
      </c>
      <c r="H100" s="57">
        <v>0</v>
      </c>
      <c r="I100" s="57">
        <v>0</v>
      </c>
      <c r="J100" s="57">
        <v>475.18</v>
      </c>
      <c r="K100" s="57">
        <v>0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2061.52</v>
      </c>
      <c r="Q100" s="22"/>
      <c r="R100" s="30"/>
      <c r="S100" s="22"/>
    </row>
    <row r="101" spans="2:19" ht="17.45" customHeight="1">
      <c r="B101" s="46" t="s">
        <v>167</v>
      </c>
      <c r="C101" s="51" t="s">
        <v>168</v>
      </c>
      <c r="D101" s="59">
        <f t="shared" ref="D101:O101" si="17">SUM(D92:D100)</f>
        <v>3770.3</v>
      </c>
      <c r="E101" s="59">
        <f t="shared" si="17"/>
        <v>0</v>
      </c>
      <c r="F101" s="59">
        <f t="shared" si="17"/>
        <v>3770.3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4974.84</v>
      </c>
      <c r="K101" s="59">
        <f t="shared" si="17"/>
        <v>3199.54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IFERROR(SUM(P92:P100),0)</f>
        <v>15714.98</v>
      </c>
      <c r="Q101" s="22"/>
      <c r="R101" s="30"/>
      <c r="S101" s="22"/>
    </row>
    <row r="102" spans="2:19" ht="17.45" customHeight="1">
      <c r="B102" s="29"/>
      <c r="C102" s="28" t="s">
        <v>184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185</v>
      </c>
      <c r="C103" s="25" t="s">
        <v>186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187</v>
      </c>
      <c r="C104" s="25" t="s">
        <v>188</v>
      </c>
      <c r="D104" s="57">
        <v>-43366.2</v>
      </c>
      <c r="E104" s="57">
        <v>0</v>
      </c>
      <c r="F104" s="57">
        <v>-43366.2</v>
      </c>
      <c r="G104" s="57">
        <v>0</v>
      </c>
      <c r="H104" s="57">
        <v>0</v>
      </c>
      <c r="I104" s="57">
        <v>0</v>
      </c>
      <c r="J104" s="57">
        <v>-38793.53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-125525.93</v>
      </c>
      <c r="Q104" s="22"/>
      <c r="R104" s="30"/>
      <c r="S104" s="22"/>
    </row>
    <row r="105" spans="2:19" ht="17.45" customHeight="1">
      <c r="B105" s="29" t="s">
        <v>189</v>
      </c>
      <c r="C105" s="25" t="s">
        <v>190</v>
      </c>
      <c r="D105" s="57">
        <v>-201820.99</v>
      </c>
      <c r="E105" s="57">
        <v>0</v>
      </c>
      <c r="F105" s="57">
        <v>-201820.99</v>
      </c>
      <c r="G105" s="57">
        <v>0</v>
      </c>
      <c r="H105" s="57">
        <v>0</v>
      </c>
      <c r="I105" s="57">
        <v>0</v>
      </c>
      <c r="J105" s="57">
        <v>-225382.77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-629024.75</v>
      </c>
      <c r="Q105" s="22"/>
      <c r="R105" s="30"/>
      <c r="S105" s="22"/>
    </row>
    <row r="106" spans="2:19" ht="17.45" customHeight="1">
      <c r="B106" s="46" t="s">
        <v>191</v>
      </c>
      <c r="C106" s="45" t="s">
        <v>184</v>
      </c>
      <c r="D106" s="59">
        <f t="shared" ref="D106:O106" si="18">SUM(D104:D105)</f>
        <v>-245187.19</v>
      </c>
      <c r="E106" s="59">
        <f t="shared" si="18"/>
        <v>0</v>
      </c>
      <c r="F106" s="59">
        <f t="shared" si="18"/>
        <v>-245187.19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-264176.3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IFERROR(SUM(P104:P105),0)</f>
        <v>-754550.67999999993</v>
      </c>
      <c r="Q106" s="22"/>
      <c r="R106" s="30"/>
      <c r="S106" s="22"/>
    </row>
    <row r="107" spans="2:19" ht="17.45" customHeight="1">
      <c r="B107" s="29"/>
      <c r="C107" s="28" t="s">
        <v>192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193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194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195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196</v>
      </c>
      <c r="C111" s="48" t="s">
        <v>104</v>
      </c>
      <c r="D111" s="73">
        <f t="shared" ref="D111:P111" si="19">D106+D101+D91+D90+D89+D80+D71+D70+D65+D64+D63+D62+D61+D110</f>
        <v>-3.637978807091713E-11</v>
      </c>
      <c r="E111" s="73">
        <f t="shared" si="19"/>
        <v>0</v>
      </c>
      <c r="F111" s="73">
        <f t="shared" si="19"/>
        <v>-3.637978807091713E-11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-7.2759576141834259E-12</v>
      </c>
      <c r="K111" s="73">
        <f t="shared" si="19"/>
        <v>15246.119999999999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>IFERROR(P106+P101+P91+P90+P89+P80+P71+P70+P65+P64+P63+P62+P61+P110,0)</f>
        <v>15246.119999999937</v>
      </c>
      <c r="Q111" s="22"/>
      <c r="R111" s="30"/>
      <c r="S111" s="22"/>
    </row>
    <row r="112" spans="2:19" ht="17.45" customHeight="1">
      <c r="B112" s="52" t="s">
        <v>197</v>
      </c>
      <c r="C112" s="53" t="s">
        <v>198</v>
      </c>
      <c r="D112" s="59">
        <f t="shared" ref="D112:P112" si="20">D36</f>
        <v>4086019.94</v>
      </c>
      <c r="E112" s="59">
        <f t="shared" si="20"/>
        <v>0</v>
      </c>
      <c r="F112" s="59">
        <f t="shared" si="20"/>
        <v>4086019.94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2998734.68</v>
      </c>
      <c r="K112" s="59">
        <f t="shared" si="20"/>
        <v>27061.200000000001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>IFERROR(P36,0)</f>
        <v>11197835.76</v>
      </c>
      <c r="Q112" s="22"/>
      <c r="R112" s="30"/>
      <c r="S112" s="22"/>
    </row>
    <row r="113" spans="2:19" ht="17.45" customHeight="1">
      <c r="B113" s="29"/>
      <c r="C113" s="27" t="s">
        <v>199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200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201</v>
      </c>
      <c r="C115" s="25" t="s">
        <v>202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203</v>
      </c>
      <c r="C116" s="25" t="s">
        <v>204</v>
      </c>
      <c r="D116" s="57">
        <v>66.099999999999994</v>
      </c>
      <c r="E116" s="57">
        <v>0</v>
      </c>
      <c r="F116" s="57">
        <v>66.099999999999994</v>
      </c>
      <c r="G116" s="57">
        <v>0</v>
      </c>
      <c r="H116" s="57">
        <v>0</v>
      </c>
      <c r="I116" s="57">
        <v>0</v>
      </c>
      <c r="J116" s="57">
        <v>52.91</v>
      </c>
      <c r="K116" s="57">
        <v>25.54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210.64999999999998</v>
      </c>
      <c r="Q116" s="22"/>
      <c r="R116" s="30"/>
      <c r="S116" s="22"/>
    </row>
    <row r="117" spans="2:19" ht="17.45" customHeight="1">
      <c r="B117" s="47" t="s">
        <v>205</v>
      </c>
      <c r="C117" s="48" t="s">
        <v>200</v>
      </c>
      <c r="D117" s="59">
        <f>D116</f>
        <v>66.099999999999994</v>
      </c>
      <c r="E117" s="59">
        <f t="shared" ref="E117:O117" si="21">E116</f>
        <v>0</v>
      </c>
      <c r="F117" s="59">
        <f t="shared" si="21"/>
        <v>66.099999999999994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52.91</v>
      </c>
      <c r="K117" s="59">
        <f t="shared" si="21"/>
        <v>25.54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IFERROR(SUM(P115:P116),0)</f>
        <v>210.64999999999998</v>
      </c>
      <c r="Q117" s="22"/>
      <c r="R117" s="30"/>
      <c r="S117" s="22"/>
    </row>
    <row r="118" spans="2:19" ht="17.45" customHeight="1">
      <c r="B118" s="29"/>
      <c r="C118" s="28" t="s">
        <v>206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207</v>
      </c>
      <c r="C119" s="25" t="s">
        <v>208</v>
      </c>
      <c r="D119" s="57">
        <v>5152.54</v>
      </c>
      <c r="E119" s="57">
        <v>0</v>
      </c>
      <c r="F119" s="57">
        <v>5152.54</v>
      </c>
      <c r="G119" s="57">
        <v>0</v>
      </c>
      <c r="H119" s="57">
        <v>0</v>
      </c>
      <c r="I119" s="57">
        <v>0</v>
      </c>
      <c r="J119" s="57">
        <v>4668.29</v>
      </c>
      <c r="K119" s="57">
        <v>503.25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15476.619999999999</v>
      </c>
      <c r="Q119" s="22"/>
      <c r="R119" s="30"/>
      <c r="S119" s="22"/>
    </row>
    <row r="120" spans="2:19" ht="17.45" customHeight="1">
      <c r="B120" s="29" t="s">
        <v>209</v>
      </c>
      <c r="C120" s="25" t="s">
        <v>210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211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212</v>
      </c>
      <c r="C122" s="25" t="s">
        <v>213</v>
      </c>
      <c r="D122" s="57">
        <v>279.98</v>
      </c>
      <c r="E122" s="57">
        <v>0</v>
      </c>
      <c r="F122" s="57">
        <v>279.98</v>
      </c>
      <c r="G122" s="57">
        <v>0</v>
      </c>
      <c r="H122" s="57">
        <v>0</v>
      </c>
      <c r="I122" s="57">
        <v>0</v>
      </c>
      <c r="J122" s="57">
        <v>64.239999999999995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624.20000000000005</v>
      </c>
      <c r="Q122" s="22"/>
      <c r="R122" s="30"/>
      <c r="S122" s="22"/>
    </row>
    <row r="123" spans="2:19" ht="17.45" customHeight="1">
      <c r="B123" s="29" t="s">
        <v>214</v>
      </c>
      <c r="C123" s="25" t="s">
        <v>215</v>
      </c>
      <c r="D123" s="57">
        <v>382.99</v>
      </c>
      <c r="E123" s="57">
        <v>0</v>
      </c>
      <c r="F123" s="57">
        <v>382.99</v>
      </c>
      <c r="G123" s="57">
        <v>0</v>
      </c>
      <c r="H123" s="57">
        <v>0</v>
      </c>
      <c r="I123" s="57">
        <v>0</v>
      </c>
      <c r="J123" s="57">
        <v>529.24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1295.22</v>
      </c>
      <c r="Q123" s="22"/>
      <c r="R123" s="30"/>
      <c r="S123" s="22"/>
    </row>
    <row r="124" spans="2:19" ht="17.45" customHeight="1">
      <c r="B124" s="29" t="s">
        <v>216</v>
      </c>
      <c r="C124" s="25" t="s">
        <v>217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218</v>
      </c>
      <c r="C125" s="25" t="s">
        <v>219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50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50</v>
      </c>
      <c r="Q125" s="22"/>
      <c r="R125" s="30"/>
      <c r="S125" s="22"/>
    </row>
    <row r="126" spans="2:19" ht="17.45" customHeight="1">
      <c r="B126" s="29" t="s">
        <v>220</v>
      </c>
      <c r="C126" s="25" t="s">
        <v>221</v>
      </c>
      <c r="D126" s="57">
        <v>125</v>
      </c>
      <c r="E126" s="57">
        <v>0</v>
      </c>
      <c r="F126" s="57">
        <v>125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250</v>
      </c>
      <c r="Q126" s="22"/>
      <c r="R126" s="30"/>
      <c r="S126" s="22"/>
    </row>
    <row r="127" spans="2:19" ht="17.45" customHeight="1">
      <c r="B127" s="29" t="s">
        <v>222</v>
      </c>
      <c r="C127" s="25" t="s">
        <v>223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224</v>
      </c>
      <c r="C128" s="48" t="s">
        <v>211</v>
      </c>
      <c r="D128" s="59">
        <f t="shared" ref="D128:O128" si="23">SUM(D122:D127)</f>
        <v>787.97</v>
      </c>
      <c r="E128" s="59">
        <f t="shared" si="23"/>
        <v>0</v>
      </c>
      <c r="F128" s="59">
        <f t="shared" si="23"/>
        <v>787.97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643.48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IFERROR(SUM(P122:P127),0)</f>
        <v>2219.42</v>
      </c>
      <c r="Q128" s="22"/>
      <c r="R128" s="30"/>
      <c r="S128" s="22"/>
    </row>
    <row r="129" spans="2:19" ht="17.45" customHeight="1">
      <c r="B129" s="29" t="s">
        <v>225</v>
      </c>
      <c r="C129" s="25" t="s">
        <v>226</v>
      </c>
      <c r="D129" s="57">
        <v>5630.98</v>
      </c>
      <c r="E129" s="57">
        <v>0</v>
      </c>
      <c r="F129" s="57">
        <v>5630.98</v>
      </c>
      <c r="G129" s="57">
        <v>0</v>
      </c>
      <c r="H129" s="57">
        <v>0</v>
      </c>
      <c r="I129" s="57">
        <v>0</v>
      </c>
      <c r="J129" s="57">
        <v>5834.04</v>
      </c>
      <c r="K129" s="57">
        <v>7567.35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24663.35</v>
      </c>
      <c r="Q129" s="22"/>
      <c r="R129" s="30"/>
      <c r="S129" s="22"/>
    </row>
    <row r="130" spans="2:19" ht="17.45" customHeight="1">
      <c r="B130" s="29" t="s">
        <v>227</v>
      </c>
      <c r="C130" s="25" t="s">
        <v>228</v>
      </c>
      <c r="D130" s="57">
        <v>40.39</v>
      </c>
      <c r="E130" s="57">
        <v>0</v>
      </c>
      <c r="F130" s="57">
        <v>40.39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80.78</v>
      </c>
      <c r="Q130" s="22"/>
      <c r="R130" s="30"/>
      <c r="S130" s="22"/>
    </row>
    <row r="131" spans="2:19" ht="17.45" customHeight="1">
      <c r="B131" s="29" t="s">
        <v>229</v>
      </c>
      <c r="C131" s="25" t="s">
        <v>230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231</v>
      </c>
      <c r="C132" s="48" t="s">
        <v>206</v>
      </c>
      <c r="D132" s="59">
        <f t="shared" ref="D132:O132" si="24">D119+D128+D129+D130</f>
        <v>11611.88</v>
      </c>
      <c r="E132" s="59">
        <f t="shared" si="24"/>
        <v>0</v>
      </c>
      <c r="F132" s="59">
        <f t="shared" si="24"/>
        <v>11611.88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11145.810000000001</v>
      </c>
      <c r="K132" s="59">
        <f t="shared" si="24"/>
        <v>8070.6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IFERROR(P119+P128+P129+P130,0)</f>
        <v>42440.17</v>
      </c>
      <c r="Q132" s="22"/>
      <c r="R132" s="30"/>
      <c r="S132" s="22"/>
    </row>
    <row r="133" spans="2:19" ht="17.45" customHeight="1">
      <c r="B133" s="29"/>
      <c r="C133" s="33" t="s">
        <v>232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233</v>
      </c>
      <c r="C134" s="25" t="s">
        <v>39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234</v>
      </c>
      <c r="C135" s="25" t="s">
        <v>235</v>
      </c>
      <c r="D135" s="57">
        <v>1019.2</v>
      </c>
      <c r="E135" s="57">
        <v>0</v>
      </c>
      <c r="F135" s="57">
        <v>1019.2</v>
      </c>
      <c r="G135" s="57">
        <v>0</v>
      </c>
      <c r="H135" s="57">
        <v>0</v>
      </c>
      <c r="I135" s="57">
        <v>0</v>
      </c>
      <c r="J135" s="57">
        <v>3871.67</v>
      </c>
      <c r="K135" s="57">
        <v>6981.18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12891.25</v>
      </c>
      <c r="Q135" s="22"/>
      <c r="R135" s="30"/>
      <c r="S135" s="22"/>
    </row>
    <row r="136" spans="2:19" ht="17.45" customHeight="1">
      <c r="B136" s="29" t="s">
        <v>236</v>
      </c>
      <c r="C136" s="25" t="s">
        <v>237</v>
      </c>
      <c r="D136" s="57">
        <v>1899.15</v>
      </c>
      <c r="E136" s="57">
        <v>0</v>
      </c>
      <c r="F136" s="57">
        <v>1899.15</v>
      </c>
      <c r="G136" s="57">
        <v>0</v>
      </c>
      <c r="H136" s="57">
        <v>0</v>
      </c>
      <c r="I136" s="57">
        <v>0</v>
      </c>
      <c r="J136" s="57">
        <v>2953.83</v>
      </c>
      <c r="K136" s="57">
        <v>90.98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6843.11</v>
      </c>
      <c r="Q136" s="22"/>
      <c r="R136" s="30"/>
      <c r="S136" s="22"/>
    </row>
    <row r="137" spans="2:19" ht="17.45" customHeight="1">
      <c r="B137" s="43" t="s">
        <v>238</v>
      </c>
      <c r="C137" s="44" t="s">
        <v>232</v>
      </c>
      <c r="D137" s="75">
        <f t="shared" ref="D137:O137" si="25">SUM(D134:D136)</f>
        <v>2918.3500000000004</v>
      </c>
      <c r="E137" s="75">
        <f t="shared" si="25"/>
        <v>0</v>
      </c>
      <c r="F137" s="75">
        <f t="shared" si="25"/>
        <v>2918.3500000000004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6825.5</v>
      </c>
      <c r="K137" s="75">
        <f t="shared" si="25"/>
        <v>7072.16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IFERROR(SUM(P134:P136),0)</f>
        <v>19734.36</v>
      </c>
      <c r="Q137" s="22"/>
      <c r="R137" s="30"/>
      <c r="S137" s="22"/>
    </row>
    <row r="138" spans="2:19" ht="17.45" customHeight="1">
      <c r="B138" s="52" t="s">
        <v>239</v>
      </c>
      <c r="C138" s="53" t="s">
        <v>199</v>
      </c>
      <c r="D138" s="59">
        <f t="shared" ref="D138:O138" si="26">D137+D132+D117</f>
        <v>14596.33</v>
      </c>
      <c r="E138" s="59">
        <f t="shared" si="26"/>
        <v>0</v>
      </c>
      <c r="F138" s="59">
        <f t="shared" si="26"/>
        <v>14596.33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18024.22</v>
      </c>
      <c r="K138" s="59">
        <f t="shared" si="26"/>
        <v>15168.300000000001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IFERROR(P137+P132+P117,0)</f>
        <v>62385.18</v>
      </c>
      <c r="Q138" s="22"/>
      <c r="R138" s="30"/>
      <c r="S138" s="22"/>
    </row>
    <row r="139" spans="2:19" ht="17.45" customHeight="1">
      <c r="B139" s="29"/>
      <c r="C139" s="27" t="s">
        <v>240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241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242</v>
      </c>
      <c r="C141" s="25" t="s">
        <v>243</v>
      </c>
      <c r="D141" s="57">
        <v>42720.01</v>
      </c>
      <c r="E141" s="57">
        <v>0</v>
      </c>
      <c r="F141" s="57">
        <v>42720.01</v>
      </c>
      <c r="G141" s="57">
        <v>0</v>
      </c>
      <c r="H141" s="57">
        <v>0</v>
      </c>
      <c r="I141" s="57">
        <v>0</v>
      </c>
      <c r="J141" s="57">
        <v>38179.370000000003</v>
      </c>
      <c r="K141" s="57">
        <v>464.9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124084.29000000001</v>
      </c>
      <c r="Q141" s="22"/>
      <c r="R141" s="30"/>
      <c r="S141" s="22"/>
    </row>
    <row r="142" spans="2:19" ht="17.45" customHeight="1">
      <c r="B142" s="29" t="s">
        <v>244</v>
      </c>
      <c r="C142" s="25" t="s">
        <v>245</v>
      </c>
      <c r="D142" s="57">
        <v>2417.17</v>
      </c>
      <c r="E142" s="57">
        <v>0</v>
      </c>
      <c r="F142" s="57">
        <v>2417.17</v>
      </c>
      <c r="G142" s="57">
        <v>0</v>
      </c>
      <c r="H142" s="57">
        <v>0</v>
      </c>
      <c r="I142" s="57">
        <v>0</v>
      </c>
      <c r="J142" s="57">
        <v>2288.4299999999998</v>
      </c>
      <c r="K142" s="57">
        <v>2627.91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9750.68</v>
      </c>
      <c r="Q142" s="22"/>
      <c r="R142" s="30"/>
      <c r="S142" s="22"/>
    </row>
    <row r="143" spans="2:19" ht="17.45" customHeight="1">
      <c r="B143" s="29" t="s">
        <v>246</v>
      </c>
      <c r="C143" s="25" t="s">
        <v>247</v>
      </c>
      <c r="D143" s="57">
        <v>2000</v>
      </c>
      <c r="E143" s="57">
        <v>0</v>
      </c>
      <c r="F143" s="57">
        <v>2000</v>
      </c>
      <c r="G143" s="57">
        <v>0</v>
      </c>
      <c r="H143" s="57">
        <v>0</v>
      </c>
      <c r="I143" s="57">
        <v>0</v>
      </c>
      <c r="J143" s="57">
        <v>2002.42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6002.42</v>
      </c>
      <c r="Q143" s="22"/>
      <c r="R143" s="30"/>
      <c r="S143" s="22"/>
    </row>
    <row r="144" spans="2:19" ht="17.45" customHeight="1">
      <c r="B144" s="29" t="s">
        <v>248</v>
      </c>
      <c r="C144" s="25" t="s">
        <v>118</v>
      </c>
      <c r="D144" s="57">
        <v>164.52</v>
      </c>
      <c r="E144" s="57">
        <v>0</v>
      </c>
      <c r="F144" s="57">
        <v>164.52</v>
      </c>
      <c r="G144" s="57">
        <v>0</v>
      </c>
      <c r="H144" s="57">
        <v>0</v>
      </c>
      <c r="I144" s="57">
        <v>0</v>
      </c>
      <c r="J144" s="57">
        <v>170.8</v>
      </c>
      <c r="K144" s="57">
        <v>69.09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568.93000000000006</v>
      </c>
      <c r="Q144" s="22"/>
      <c r="R144" s="30"/>
      <c r="S144" s="22"/>
    </row>
    <row r="145" spans="2:19" ht="17.45" customHeight="1">
      <c r="B145" s="29" t="s">
        <v>249</v>
      </c>
      <c r="C145" s="25" t="s">
        <v>250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251</v>
      </c>
      <c r="C146" s="25" t="s">
        <v>252</v>
      </c>
      <c r="D146" s="57">
        <v>2255.6</v>
      </c>
      <c r="E146" s="57">
        <v>0</v>
      </c>
      <c r="F146" s="57">
        <v>2255.6</v>
      </c>
      <c r="G146" s="57">
        <v>0</v>
      </c>
      <c r="H146" s="57">
        <v>0</v>
      </c>
      <c r="I146" s="57">
        <v>0</v>
      </c>
      <c r="J146" s="57">
        <v>2282.38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6793.58</v>
      </c>
      <c r="Q146" s="22"/>
      <c r="R146" s="30"/>
      <c r="S146" s="22"/>
    </row>
    <row r="147" spans="2:19" ht="17.45" customHeight="1">
      <c r="B147" s="29"/>
      <c r="C147" s="25" t="s">
        <v>253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254</v>
      </c>
      <c r="C148" s="45" t="s">
        <v>241</v>
      </c>
      <c r="D148" s="59">
        <f t="shared" ref="D148:P148" si="28">SUM(D141:D147)</f>
        <v>49557.299999999996</v>
      </c>
      <c r="E148" s="59">
        <f t="shared" si="28"/>
        <v>0</v>
      </c>
      <c r="F148" s="59">
        <f t="shared" si="28"/>
        <v>49557.299999999996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44923.4</v>
      </c>
      <c r="K148" s="59">
        <f t="shared" si="28"/>
        <v>3161.9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>IFERROR(SUM(P141:P147),0)</f>
        <v>147199.9</v>
      </c>
      <c r="Q148" s="22"/>
      <c r="R148" s="30"/>
      <c r="S148" s="22"/>
    </row>
    <row r="149" spans="2:19" ht="17.45" customHeight="1">
      <c r="B149" s="29"/>
      <c r="C149" s="27" t="s">
        <v>255</v>
      </c>
      <c r="D149" s="57" t="s">
        <v>432</v>
      </c>
      <c r="E149" s="57">
        <v>0</v>
      </c>
      <c r="F149" s="57" t="s">
        <v>432</v>
      </c>
      <c r="G149" s="57">
        <v>0</v>
      </c>
      <c r="H149" s="57">
        <v>0</v>
      </c>
      <c r="I149" s="57">
        <v>0</v>
      </c>
      <c r="J149" s="57" t="s">
        <v>432</v>
      </c>
      <c r="K149" s="57" t="s">
        <v>432</v>
      </c>
      <c r="L149" s="57">
        <v>0</v>
      </c>
      <c r="M149" s="57">
        <v>0</v>
      </c>
      <c r="N149" s="57">
        <v>0</v>
      </c>
      <c r="O149" s="57">
        <v>0</v>
      </c>
      <c r="P149" s="57" t="e">
        <f>D149+E149+F149+G149+H149+I149+J149+K149+L149+M149+N149+O149</f>
        <v>#VALUE!</v>
      </c>
      <c r="Q149" s="22"/>
      <c r="R149" s="30"/>
      <c r="S149" s="22"/>
    </row>
    <row r="150" spans="2:19" ht="17.45" customHeight="1">
      <c r="B150" s="29" t="s">
        <v>256</v>
      </c>
      <c r="C150" s="25" t="s">
        <v>257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D150+E150+F150+G150+H150+I150+J150+K150+L150+M150+N150+O150</f>
        <v>0</v>
      </c>
      <c r="Q150" s="22"/>
      <c r="R150" s="30"/>
      <c r="S150" s="22"/>
    </row>
    <row r="151" spans="2:19" ht="17.45" customHeight="1">
      <c r="B151" s="29" t="s">
        <v>258</v>
      </c>
      <c r="C151" s="25" t="s">
        <v>259</v>
      </c>
      <c r="D151" s="57">
        <v>118.19</v>
      </c>
      <c r="E151" s="57">
        <v>0</v>
      </c>
      <c r="F151" s="57">
        <v>118.19</v>
      </c>
      <c r="G151" s="57">
        <v>0</v>
      </c>
      <c r="H151" s="57">
        <v>0</v>
      </c>
      <c r="I151" s="57">
        <v>0</v>
      </c>
      <c r="J151" s="57">
        <v>210.86</v>
      </c>
      <c r="K151" s="57">
        <v>139.24</v>
      </c>
      <c r="L151" s="57">
        <v>0</v>
      </c>
      <c r="M151" s="57">
        <v>0</v>
      </c>
      <c r="N151" s="57">
        <v>0</v>
      </c>
      <c r="O151" s="57">
        <v>0</v>
      </c>
      <c r="P151" s="57">
        <f>D151+E151+F151+G151+H151+I151+J151+K151+L151+M151+N151+O151</f>
        <v>586.48</v>
      </c>
      <c r="Q151" s="22"/>
      <c r="R151" s="30"/>
      <c r="S151" s="22"/>
    </row>
    <row r="152" spans="2:19" ht="17.45" customHeight="1">
      <c r="B152" s="29" t="s">
        <v>260</v>
      </c>
      <c r="C152" s="25" t="s">
        <v>261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D152+E152+F152+G152+H152+I152+J152+K152+L152+M152+N152+O152</f>
        <v>0</v>
      </c>
      <c r="Q152" s="22"/>
      <c r="R152" s="30"/>
      <c r="S152" s="22"/>
    </row>
    <row r="153" spans="2:19" ht="17.45" customHeight="1">
      <c r="B153" s="29" t="s">
        <v>262</v>
      </c>
      <c r="C153" s="25" t="s">
        <v>263</v>
      </c>
      <c r="D153" s="57">
        <v>471.06</v>
      </c>
      <c r="E153" s="57">
        <v>0</v>
      </c>
      <c r="F153" s="57">
        <v>471.06</v>
      </c>
      <c r="G153" s="57">
        <v>0</v>
      </c>
      <c r="H153" s="57">
        <v>0</v>
      </c>
      <c r="I153" s="57">
        <v>0</v>
      </c>
      <c r="J153" s="57">
        <v>443.62</v>
      </c>
      <c r="K153" s="57">
        <v>446.34</v>
      </c>
      <c r="L153" s="57">
        <v>0</v>
      </c>
      <c r="M153" s="57">
        <v>0</v>
      </c>
      <c r="N153" s="57">
        <v>0</v>
      </c>
      <c r="O153" s="57">
        <v>0</v>
      </c>
      <c r="P153" s="57">
        <f>D153+E153+F153+G153+H153+I153+J153+K153+L153+M153+N153+O153</f>
        <v>1832.08</v>
      </c>
      <c r="Q153" s="22"/>
      <c r="R153" s="30"/>
      <c r="S153" s="22"/>
    </row>
    <row r="154" spans="2:19" ht="17.45" customHeight="1">
      <c r="B154" s="46" t="s">
        <v>264</v>
      </c>
      <c r="C154" s="45" t="s">
        <v>255</v>
      </c>
      <c r="D154" s="59">
        <f t="shared" ref="D154:O154" si="29">SUM(D151:D153)</f>
        <v>589.25</v>
      </c>
      <c r="E154" s="59">
        <f t="shared" si="29"/>
        <v>0</v>
      </c>
      <c r="F154" s="59">
        <f t="shared" si="29"/>
        <v>589.25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654.48</v>
      </c>
      <c r="K154" s="59">
        <f t="shared" si="29"/>
        <v>585.57999999999993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IFERROR(SUM(P151:P153),0)</f>
        <v>2418.56</v>
      </c>
      <c r="Q154" s="22"/>
      <c r="R154" s="30"/>
      <c r="S154" s="22"/>
    </row>
    <row r="155" spans="2:19" ht="17.45" customHeight="1">
      <c r="B155" s="29"/>
      <c r="C155" s="27" t="s">
        <v>265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266</v>
      </c>
      <c r="C156" s="25" t="s">
        <v>267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268</v>
      </c>
      <c r="C157" s="25" t="s">
        <v>124</v>
      </c>
      <c r="D157" s="57">
        <v>82.93</v>
      </c>
      <c r="E157" s="57">
        <v>0</v>
      </c>
      <c r="F157" s="57">
        <v>82.93</v>
      </c>
      <c r="G157" s="57">
        <v>0</v>
      </c>
      <c r="H157" s="57">
        <v>0</v>
      </c>
      <c r="I157" s="57">
        <v>0</v>
      </c>
      <c r="J157" s="57">
        <v>53.15</v>
      </c>
      <c r="K157" s="57">
        <v>49.42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268.43</v>
      </c>
      <c r="Q157" s="22"/>
      <c r="R157" s="30"/>
      <c r="S157" s="22"/>
    </row>
    <row r="158" spans="2:19" ht="17.45" customHeight="1">
      <c r="B158" s="46" t="s">
        <v>269</v>
      </c>
      <c r="C158" s="45" t="s">
        <v>265</v>
      </c>
      <c r="D158" s="59">
        <f>D157+D156</f>
        <v>82.93</v>
      </c>
      <c r="E158" s="59">
        <f t="shared" ref="E158:P158" si="30">E157+E156</f>
        <v>0</v>
      </c>
      <c r="F158" s="59">
        <f t="shared" si="30"/>
        <v>82.93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53.15</v>
      </c>
      <c r="K158" s="59">
        <f t="shared" si="30"/>
        <v>49.42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>IFERROR(P157+P156,0)</f>
        <v>268.43</v>
      </c>
      <c r="Q158" s="22"/>
      <c r="R158" s="30"/>
      <c r="S158" s="22"/>
    </row>
    <row r="159" spans="2:19" ht="17.45" customHeight="1">
      <c r="B159" s="29" t="s">
        <v>270</v>
      </c>
      <c r="C159" s="25" t="s">
        <v>271</v>
      </c>
      <c r="D159" s="57">
        <v>2428.92</v>
      </c>
      <c r="E159" s="57">
        <v>0</v>
      </c>
      <c r="F159" s="57">
        <v>2428.92</v>
      </c>
      <c r="G159" s="57">
        <v>0</v>
      </c>
      <c r="H159" s="57">
        <v>0</v>
      </c>
      <c r="I159" s="57">
        <v>0</v>
      </c>
      <c r="J159" s="57">
        <v>1866.54</v>
      </c>
      <c r="K159" s="57">
        <v>2274.14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8998.52</v>
      </c>
      <c r="Q159" s="22"/>
      <c r="R159" s="30"/>
      <c r="S159" s="22"/>
    </row>
    <row r="160" spans="2:19" ht="17.45" customHeight="1">
      <c r="B160" s="29" t="s">
        <v>272</v>
      </c>
      <c r="C160" s="25" t="s">
        <v>273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 t="s">
        <v>432</v>
      </c>
      <c r="K160" s="57" t="s">
        <v>432</v>
      </c>
      <c r="L160" s="57">
        <v>0</v>
      </c>
      <c r="M160" s="57">
        <v>0</v>
      </c>
      <c r="N160" s="57">
        <v>0</v>
      </c>
      <c r="O160" s="57">
        <v>0</v>
      </c>
      <c r="P160" s="57" t="str">
        <f>IFERROR(D160+E160+F160+G160+H160+I160+J160+K160+L160+M160+N160+O160,"-")</f>
        <v>-</v>
      </c>
      <c r="Q160" s="22"/>
      <c r="R160" s="30"/>
      <c r="S160" s="22"/>
    </row>
    <row r="161" spans="2:19" ht="17.45" customHeight="1">
      <c r="B161" s="29"/>
      <c r="C161" s="25" t="s">
        <v>274</v>
      </c>
      <c r="D161" s="57">
        <v>743.73</v>
      </c>
      <c r="E161" s="57">
        <v>0</v>
      </c>
      <c r="F161" s="57">
        <v>743.73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1487.46</v>
      </c>
      <c r="Q161" s="22"/>
      <c r="R161" s="30"/>
      <c r="S161" s="22"/>
    </row>
    <row r="162" spans="2:19" ht="17.45" customHeight="1">
      <c r="B162" s="29" t="s">
        <v>275</v>
      </c>
      <c r="C162" s="25" t="s">
        <v>276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277</v>
      </c>
      <c r="C163" s="25" t="s">
        <v>278</v>
      </c>
      <c r="D163" s="57">
        <v>161.93</v>
      </c>
      <c r="E163" s="57">
        <v>0</v>
      </c>
      <c r="F163" s="57">
        <v>161.93</v>
      </c>
      <c r="G163" s="57">
        <v>0</v>
      </c>
      <c r="H163" s="57">
        <v>0</v>
      </c>
      <c r="I163" s="57">
        <v>0</v>
      </c>
      <c r="J163" s="57">
        <v>152.49</v>
      </c>
      <c r="K163" s="57">
        <v>153.43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629.78</v>
      </c>
      <c r="Q163" s="22"/>
      <c r="R163" s="30"/>
      <c r="S163" s="22"/>
    </row>
    <row r="164" spans="2:19" ht="17.45" customHeight="1">
      <c r="B164" s="29" t="s">
        <v>279</v>
      </c>
      <c r="C164" s="25" t="s">
        <v>280</v>
      </c>
      <c r="D164" s="57">
        <v>573.72</v>
      </c>
      <c r="E164" s="57">
        <v>0</v>
      </c>
      <c r="F164" s="57">
        <v>573.72</v>
      </c>
      <c r="G164" s="57">
        <v>0</v>
      </c>
      <c r="H164" s="57">
        <v>0</v>
      </c>
      <c r="I164" s="57">
        <v>0</v>
      </c>
      <c r="J164" s="57">
        <v>744.05</v>
      </c>
      <c r="K164" s="57">
        <v>777.87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2669.36</v>
      </c>
      <c r="Q164" s="22"/>
      <c r="R164" s="30"/>
      <c r="S164" s="22"/>
    </row>
    <row r="165" spans="2:19" ht="17.45" customHeight="1">
      <c r="B165" s="29" t="s">
        <v>281</v>
      </c>
      <c r="C165" s="25" t="s">
        <v>282</v>
      </c>
      <c r="D165" s="57">
        <v>161.93</v>
      </c>
      <c r="E165" s="57">
        <v>0</v>
      </c>
      <c r="F165" s="57">
        <v>161.93</v>
      </c>
      <c r="G165" s="57">
        <v>0</v>
      </c>
      <c r="H165" s="57">
        <v>0</v>
      </c>
      <c r="I165" s="57">
        <v>0</v>
      </c>
      <c r="J165" s="57">
        <v>190.57</v>
      </c>
      <c r="K165" s="57">
        <v>55.41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569.84</v>
      </c>
      <c r="Q165" s="22"/>
      <c r="R165" s="30"/>
      <c r="S165" s="22"/>
    </row>
    <row r="166" spans="2:19" ht="17.45" customHeight="1">
      <c r="B166" s="29"/>
      <c r="C166" s="27" t="s">
        <v>283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284</v>
      </c>
      <c r="C167" s="25" t="s">
        <v>285</v>
      </c>
      <c r="D167" s="57">
        <v>124.14</v>
      </c>
      <c r="E167" s="57">
        <v>0</v>
      </c>
      <c r="F167" s="57">
        <v>124.14</v>
      </c>
      <c r="G167" s="57">
        <v>0</v>
      </c>
      <c r="H167" s="57">
        <v>0</v>
      </c>
      <c r="I167" s="57">
        <v>0</v>
      </c>
      <c r="J167" s="57">
        <v>101.66</v>
      </c>
      <c r="K167" s="57">
        <v>129.91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479.85</v>
      </c>
      <c r="Q167" s="22"/>
      <c r="R167" s="30"/>
      <c r="S167" s="22"/>
    </row>
    <row r="168" spans="2:19" ht="17.45" customHeight="1">
      <c r="B168" s="29" t="s">
        <v>286</v>
      </c>
      <c r="C168" s="25" t="s">
        <v>287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288</v>
      </c>
      <c r="C169" s="25" t="s">
        <v>289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 t="s">
        <v>432</v>
      </c>
      <c r="K169" s="57" t="s">
        <v>432</v>
      </c>
      <c r="L169" s="57">
        <v>0</v>
      </c>
      <c r="M169" s="57">
        <v>0</v>
      </c>
      <c r="N169" s="57">
        <v>0</v>
      </c>
      <c r="O169" s="57">
        <v>0</v>
      </c>
      <c r="P169" s="57" t="str">
        <f>IFERROR(D169+E169+F169+G169+H169+I169+J169+K169+L169+M169+N169+O169,"-")</f>
        <v>-</v>
      </c>
      <c r="Q169" s="22"/>
      <c r="R169" s="30"/>
      <c r="S169" s="22"/>
    </row>
    <row r="170" spans="2:19" ht="17.45" customHeight="1">
      <c r="B170" s="46" t="s">
        <v>290</v>
      </c>
      <c r="C170" s="45" t="s">
        <v>283</v>
      </c>
      <c r="D170" s="59">
        <f t="shared" ref="D170:O170" si="32">SUM(D167:D169)</f>
        <v>124.14</v>
      </c>
      <c r="E170" s="59">
        <f t="shared" si="32"/>
        <v>0</v>
      </c>
      <c r="F170" s="59">
        <f t="shared" si="32"/>
        <v>124.14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101.66</v>
      </c>
      <c r="K170" s="59">
        <f t="shared" si="32"/>
        <v>129.91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IFERROR(SUM(P167:P169),0)</f>
        <v>479.85</v>
      </c>
      <c r="Q170" s="22"/>
      <c r="R170" s="30"/>
      <c r="S170" s="22"/>
    </row>
    <row r="171" spans="2:19" ht="17.45" customHeight="1">
      <c r="B171" s="29"/>
      <c r="C171" s="27" t="s">
        <v>291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292</v>
      </c>
      <c r="C172" s="25" t="s">
        <v>293</v>
      </c>
      <c r="D172" s="57">
        <v>1368.25</v>
      </c>
      <c r="E172" s="57">
        <v>0</v>
      </c>
      <c r="F172" s="57">
        <v>1368.25</v>
      </c>
      <c r="G172" s="57">
        <v>0</v>
      </c>
      <c r="H172" s="57">
        <v>0</v>
      </c>
      <c r="I172" s="57">
        <v>0</v>
      </c>
      <c r="J172" s="57">
        <v>1441.15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4177.6499999999996</v>
      </c>
      <c r="Q172" s="22"/>
      <c r="R172" s="30"/>
      <c r="S172" s="22"/>
    </row>
    <row r="173" spans="2:19" ht="17.45" customHeight="1">
      <c r="B173" s="29" t="s">
        <v>294</v>
      </c>
      <c r="C173" s="25" t="s">
        <v>295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296</v>
      </c>
      <c r="C174" s="25" t="s">
        <v>297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298</v>
      </c>
      <c r="C175" s="45" t="s">
        <v>291</v>
      </c>
      <c r="D175" s="59">
        <f t="shared" ref="D175:O175" si="33">SUM(D172:D174)</f>
        <v>1368.25</v>
      </c>
      <c r="E175" s="59">
        <f t="shared" si="33"/>
        <v>0</v>
      </c>
      <c r="F175" s="59">
        <f t="shared" si="33"/>
        <v>1368.25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1441.15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IFERROR(SUM(P172:P174),0)</f>
        <v>4177.6499999999996</v>
      </c>
      <c r="Q175" s="22"/>
      <c r="R175" s="30"/>
      <c r="S175" s="22"/>
    </row>
    <row r="176" spans="2:19" ht="17.45" customHeight="1">
      <c r="B176" s="29" t="s">
        <v>299</v>
      </c>
      <c r="C176" s="25" t="s">
        <v>300</v>
      </c>
      <c r="D176" s="57">
        <v>4004.44</v>
      </c>
      <c r="E176" s="57">
        <v>0</v>
      </c>
      <c r="F176" s="57">
        <v>4004.44</v>
      </c>
      <c r="G176" s="57">
        <v>0</v>
      </c>
      <c r="H176" s="57">
        <v>0</v>
      </c>
      <c r="I176" s="57">
        <v>0</v>
      </c>
      <c r="J176" s="57">
        <v>2730.27</v>
      </c>
      <c r="K176" s="57">
        <v>1621.09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12360.24</v>
      </c>
      <c r="Q176" s="22"/>
      <c r="R176" s="30"/>
      <c r="S176" s="22"/>
    </row>
    <row r="177" spans="2:19" ht="17.45" customHeight="1">
      <c r="B177" s="29" t="s">
        <v>301</v>
      </c>
      <c r="C177" s="25" t="s">
        <v>302</v>
      </c>
      <c r="D177" s="57">
        <v>1089.1300000000001</v>
      </c>
      <c r="E177" s="57">
        <v>0</v>
      </c>
      <c r="F177" s="57">
        <v>1089.1300000000001</v>
      </c>
      <c r="G177" s="57">
        <v>0</v>
      </c>
      <c r="H177" s="57">
        <v>0</v>
      </c>
      <c r="I177" s="57">
        <v>0</v>
      </c>
      <c r="J177" s="57">
        <v>2941.35</v>
      </c>
      <c r="K177" s="57">
        <v>2325.4499999999998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7445.06</v>
      </c>
      <c r="Q177" s="22"/>
      <c r="R177" s="30"/>
      <c r="S177" s="22"/>
    </row>
    <row r="178" spans="2:19" ht="17.45" customHeight="1">
      <c r="B178" s="29"/>
      <c r="C178" s="27" t="s">
        <v>303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304</v>
      </c>
      <c r="C179" s="25" t="s">
        <v>305</v>
      </c>
      <c r="D179" s="57" t="s">
        <v>432</v>
      </c>
      <c r="E179" s="57">
        <v>0</v>
      </c>
      <c r="F179" s="57" t="s">
        <v>432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>
        <f>IFERROR(D179+E179+F179+G179+H179+I179+J179+K179+L179+M179+N179+O179,0)</f>
        <v>0</v>
      </c>
      <c r="Q179" s="22"/>
      <c r="R179" s="30"/>
      <c r="S179" s="22"/>
    </row>
    <row r="180" spans="2:19" ht="17.45" customHeight="1">
      <c r="B180" s="29" t="s">
        <v>306</v>
      </c>
      <c r="C180" s="25" t="s">
        <v>307</v>
      </c>
      <c r="D180" s="57" t="s">
        <v>432</v>
      </c>
      <c r="E180" s="57">
        <v>0</v>
      </c>
      <c r="F180" s="57" t="s">
        <v>432</v>
      </c>
      <c r="G180" s="57">
        <v>0</v>
      </c>
      <c r="H180" s="57">
        <v>0</v>
      </c>
      <c r="I180" s="57">
        <v>0</v>
      </c>
      <c r="J180" s="57" t="s">
        <v>432</v>
      </c>
      <c r="K180" s="57" t="s">
        <v>432</v>
      </c>
      <c r="L180" s="57">
        <v>0</v>
      </c>
      <c r="M180" s="57">
        <v>0</v>
      </c>
      <c r="N180" s="57">
        <v>0</v>
      </c>
      <c r="O180" s="57">
        <v>0</v>
      </c>
      <c r="P180" s="57">
        <f>IFERROR(D180+E180+F180+G180+H180+I180+J180+K180+L180+M180+N180+O180,0)</f>
        <v>0</v>
      </c>
      <c r="Q180" s="22"/>
      <c r="R180" s="30"/>
      <c r="S180" s="22"/>
    </row>
    <row r="181" spans="2:19" ht="17.45" customHeight="1">
      <c r="B181" s="29"/>
      <c r="C181" s="25" t="s">
        <v>308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309</v>
      </c>
      <c r="C182" s="45" t="s">
        <v>303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>
        <f>IFERROR(SUM(P179:P181),0)</f>
        <v>0</v>
      </c>
      <c r="Q182" s="22"/>
      <c r="R182" s="30"/>
      <c r="S182" s="22"/>
    </row>
    <row r="183" spans="2:19" ht="17.45" customHeight="1">
      <c r="B183" s="29"/>
      <c r="C183" s="27" t="s">
        <v>310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311</v>
      </c>
      <c r="C184" s="25" t="s">
        <v>166</v>
      </c>
      <c r="D184" s="57">
        <v>1388.61</v>
      </c>
      <c r="E184" s="57">
        <v>0</v>
      </c>
      <c r="F184" s="57">
        <v>1388.61</v>
      </c>
      <c r="G184" s="57">
        <v>0</v>
      </c>
      <c r="H184" s="57">
        <v>0</v>
      </c>
      <c r="I184" s="57">
        <v>0</v>
      </c>
      <c r="J184" s="57">
        <v>1388.61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4165.83</v>
      </c>
      <c r="Q184" s="22"/>
      <c r="R184" s="30"/>
      <c r="S184" s="22"/>
    </row>
    <row r="185" spans="2:19" ht="17.45" customHeight="1">
      <c r="B185" s="29"/>
      <c r="C185" s="25" t="s">
        <v>312</v>
      </c>
      <c r="D185" s="57">
        <v>764.4</v>
      </c>
      <c r="E185" s="57">
        <v>0</v>
      </c>
      <c r="F185" s="57">
        <v>764.4</v>
      </c>
      <c r="G185" s="57">
        <v>0</v>
      </c>
      <c r="H185" s="57">
        <v>0</v>
      </c>
      <c r="I185" s="57">
        <v>0</v>
      </c>
      <c r="J185" s="57">
        <v>452.59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1981.3899999999999</v>
      </c>
      <c r="Q185" s="22"/>
      <c r="R185" s="30"/>
      <c r="S185" s="22"/>
    </row>
    <row r="186" spans="2:19" ht="17.45" customHeight="1">
      <c r="B186" s="29" t="s">
        <v>313</v>
      </c>
      <c r="C186" s="25" t="s">
        <v>314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315</v>
      </c>
      <c r="C187" s="45" t="s">
        <v>310</v>
      </c>
      <c r="D187" s="59">
        <f t="shared" ref="D187:P187" si="36">SUM(D184:D186)</f>
        <v>2153.0099999999998</v>
      </c>
      <c r="E187" s="59">
        <f t="shared" si="36"/>
        <v>0</v>
      </c>
      <c r="F187" s="59">
        <f t="shared" si="36"/>
        <v>2153.0099999999998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1841.1999999999998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>IFERROR(SUM(P184:P186),0)</f>
        <v>6147.2199999999993</v>
      </c>
      <c r="Q187" s="22"/>
      <c r="R187" s="30"/>
      <c r="S187" s="22"/>
    </row>
    <row r="188" spans="2:19" ht="17.45" customHeight="1">
      <c r="B188" s="29" t="s">
        <v>316</v>
      </c>
      <c r="C188" s="27" t="s">
        <v>317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318</v>
      </c>
      <c r="C189" s="25" t="s">
        <v>319</v>
      </c>
      <c r="D189" s="57">
        <v>1318.26</v>
      </c>
      <c r="E189" s="57">
        <v>0</v>
      </c>
      <c r="F189" s="57">
        <v>1318.26</v>
      </c>
      <c r="G189" s="57">
        <v>0</v>
      </c>
      <c r="H189" s="57">
        <v>0</v>
      </c>
      <c r="I189" s="57">
        <v>0</v>
      </c>
      <c r="J189" s="57">
        <v>1141.1400000000001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3777.66</v>
      </c>
      <c r="Q189" s="22"/>
      <c r="R189" s="30"/>
      <c r="S189" s="22"/>
    </row>
    <row r="190" spans="2:19" ht="17.45" customHeight="1">
      <c r="B190" s="29" t="s">
        <v>320</v>
      </c>
      <c r="C190" s="25" t="s">
        <v>321</v>
      </c>
      <c r="D190" s="57">
        <v>6626.07</v>
      </c>
      <c r="E190" s="57">
        <v>0</v>
      </c>
      <c r="F190" s="57">
        <v>6626.07</v>
      </c>
      <c r="G190" s="57">
        <v>0</v>
      </c>
      <c r="H190" s="57">
        <v>0</v>
      </c>
      <c r="I190" s="57">
        <v>0</v>
      </c>
      <c r="J190" s="57">
        <v>460.86</v>
      </c>
      <c r="K190" s="57">
        <v>5370.08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19083.080000000002</v>
      </c>
      <c r="Q190" s="22"/>
      <c r="R190" s="30"/>
      <c r="S190" s="22"/>
    </row>
    <row r="191" spans="2:19" ht="17.45" customHeight="1">
      <c r="B191" s="29">
        <v>816130</v>
      </c>
      <c r="C191" s="25" t="s">
        <v>322</v>
      </c>
      <c r="D191" s="57" t="s">
        <v>432</v>
      </c>
      <c r="E191" s="57">
        <v>0</v>
      </c>
      <c r="F191" s="57" t="s">
        <v>432</v>
      </c>
      <c r="G191" s="57">
        <v>0</v>
      </c>
      <c r="H191" s="57">
        <v>0</v>
      </c>
      <c r="I191" s="57">
        <v>0</v>
      </c>
      <c r="J191" s="57" t="s">
        <v>432</v>
      </c>
      <c r="K191" s="57" t="s">
        <v>432</v>
      </c>
      <c r="L191" s="57">
        <v>0</v>
      </c>
      <c r="M191" s="57">
        <v>0</v>
      </c>
      <c r="N191" s="57">
        <v>0</v>
      </c>
      <c r="O191" s="57">
        <v>0</v>
      </c>
      <c r="P191" s="57">
        <f>IFERROR(D191+E191+F191+G191+H191+I191+J191+K191+L191+M191+N191+O191,0)</f>
        <v>0</v>
      </c>
      <c r="Q191" s="22"/>
      <c r="R191" s="30"/>
      <c r="S191" s="22"/>
    </row>
    <row r="192" spans="2:19" ht="17.45" customHeight="1">
      <c r="B192" s="29" t="s">
        <v>323</v>
      </c>
      <c r="C192" s="25" t="s">
        <v>324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325</v>
      </c>
      <c r="C193" s="25" t="s">
        <v>326</v>
      </c>
      <c r="D193" s="57" t="s">
        <v>432</v>
      </c>
      <c r="E193" s="57">
        <v>0</v>
      </c>
      <c r="F193" s="57" t="s">
        <v>432</v>
      </c>
      <c r="G193" s="57">
        <v>0</v>
      </c>
      <c r="H193" s="57">
        <v>0</v>
      </c>
      <c r="I193" s="57">
        <v>0</v>
      </c>
      <c r="J193" s="57" t="s">
        <v>432</v>
      </c>
      <c r="K193" s="57" t="s">
        <v>432</v>
      </c>
      <c r="L193" s="57">
        <v>0</v>
      </c>
      <c r="M193" s="57">
        <v>0</v>
      </c>
      <c r="N193" s="57">
        <v>0</v>
      </c>
      <c r="O193" s="57">
        <v>0</v>
      </c>
      <c r="P193" s="57">
        <f>IFERROR(D193+E193+F193+G193+H193+I193+J193+K193+L193+M193+N193+O193,0)</f>
        <v>0</v>
      </c>
      <c r="Q193" s="22"/>
      <c r="R193" s="30"/>
      <c r="S193" s="22"/>
    </row>
    <row r="194" spans="2:19" ht="17.45" customHeight="1">
      <c r="B194" s="29"/>
      <c r="C194" s="25" t="s">
        <v>327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328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316</v>
      </c>
      <c r="C197" s="42" t="s">
        <v>317</v>
      </c>
      <c r="D197" s="76">
        <f t="shared" ref="D197:P197" si="38">SUM(D189:D196)</f>
        <v>7944.33</v>
      </c>
      <c r="E197" s="76">
        <f t="shared" si="38"/>
        <v>0</v>
      </c>
      <c r="F197" s="76">
        <f t="shared" si="38"/>
        <v>7944.33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1602</v>
      </c>
      <c r="K197" s="76">
        <f t="shared" si="38"/>
        <v>5370.08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>
        <f>IFERROR(SUM(P189:P196),0)</f>
        <v>22860.74</v>
      </c>
      <c r="Q197" s="22"/>
      <c r="R197" s="30"/>
      <c r="S197" s="22"/>
    </row>
    <row r="198" spans="2:19" ht="17.45" customHeight="1">
      <c r="B198" s="46" t="s">
        <v>329</v>
      </c>
      <c r="C198" s="45" t="s">
        <v>240</v>
      </c>
      <c r="D198" s="60">
        <f t="shared" ref="D198:P198" si="39">D148+D154+D158+D170+D175+D182+D187+D197+D163+D164+D165+D176+D177</f>
        <v>67810.36</v>
      </c>
      <c r="E198" s="60">
        <f t="shared" si="39"/>
        <v>0</v>
      </c>
      <c r="F198" s="60">
        <f t="shared" si="39"/>
        <v>67810.36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57375.770000000004</v>
      </c>
      <c r="K198" s="60">
        <f t="shared" si="39"/>
        <v>14230.14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>
        <f>IFERROR(P148+P154+P158+P170+P175+P182+P187+P197+P163+P164+P165+P176+P177,0)</f>
        <v>207226.62999999995</v>
      </c>
      <c r="Q198" s="22"/>
      <c r="R198" s="30"/>
      <c r="S198" s="22"/>
    </row>
    <row r="199" spans="2:19" ht="17.45" customHeight="1">
      <c r="B199" s="29"/>
      <c r="C199" s="27" t="s">
        <v>330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331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332</v>
      </c>
      <c r="C201" s="25" t="s">
        <v>333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25.38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25.38</v>
      </c>
      <c r="Q201" s="22"/>
      <c r="R201" s="30"/>
      <c r="S201" s="22"/>
    </row>
    <row r="202" spans="2:19" ht="17.45" customHeight="1">
      <c r="B202" s="29" t="s">
        <v>334</v>
      </c>
      <c r="C202" s="25" t="s">
        <v>335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336</v>
      </c>
      <c r="D203" s="57" t="s">
        <v>432</v>
      </c>
      <c r="E203" s="57">
        <v>0</v>
      </c>
      <c r="F203" s="57" t="s">
        <v>432</v>
      </c>
      <c r="G203" s="57">
        <v>0</v>
      </c>
      <c r="H203" s="57">
        <v>0</v>
      </c>
      <c r="I203" s="57">
        <v>0</v>
      </c>
      <c r="J203" s="57" t="s">
        <v>432</v>
      </c>
      <c r="K203" s="57" t="s">
        <v>432</v>
      </c>
      <c r="L203" s="57">
        <v>0</v>
      </c>
      <c r="M203" s="57">
        <v>0</v>
      </c>
      <c r="N203" s="57">
        <v>0</v>
      </c>
      <c r="O203" s="57">
        <v>0</v>
      </c>
      <c r="P203" s="57">
        <f>IFERROR(D203+E203+F203+G203+H203+I203+J203+K203+L203+M203+N203+O203,0)</f>
        <v>0</v>
      </c>
      <c r="Q203" s="22"/>
      <c r="R203" s="30"/>
      <c r="S203" s="22"/>
    </row>
    <row r="204" spans="2:19" ht="17.45" customHeight="1">
      <c r="B204" s="29" t="s">
        <v>337</v>
      </c>
      <c r="C204" s="25" t="s">
        <v>338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-30985.64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-30985.64</v>
      </c>
      <c r="Q204" s="22"/>
      <c r="R204" s="30"/>
      <c r="S204" s="22"/>
    </row>
    <row r="205" spans="2:19" ht="17.45" customHeight="1">
      <c r="B205" s="29" t="s">
        <v>339</v>
      </c>
      <c r="C205" s="25" t="s">
        <v>340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341</v>
      </c>
      <c r="C206" s="45" t="s">
        <v>336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-30985.64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>IFERROR(P204,0)</f>
        <v>-30985.64</v>
      </c>
      <c r="Q206" s="22"/>
      <c r="R206" s="30"/>
      <c r="S206" s="22"/>
    </row>
    <row r="207" spans="2:19" ht="17.45" customHeight="1">
      <c r="B207" s="29" t="s">
        <v>342</v>
      </c>
      <c r="C207" s="25" t="s">
        <v>343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344</v>
      </c>
      <c r="C208" s="25" t="s">
        <v>345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346</v>
      </c>
      <c r="C209" s="25" t="s">
        <v>347</v>
      </c>
      <c r="D209" s="57">
        <v>0.9</v>
      </c>
      <c r="E209" s="57">
        <v>0</v>
      </c>
      <c r="F209" s="57">
        <v>0.9</v>
      </c>
      <c r="G209" s="57">
        <v>0</v>
      </c>
      <c r="H209" s="57">
        <v>0</v>
      </c>
      <c r="I209" s="57">
        <v>0</v>
      </c>
      <c r="J209" s="57">
        <v>223.74</v>
      </c>
      <c r="K209" s="57">
        <v>36.76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262.3</v>
      </c>
      <c r="Q209" s="22"/>
      <c r="R209" s="30"/>
      <c r="S209" s="22"/>
    </row>
    <row r="210" spans="2:19" ht="17.45" customHeight="1">
      <c r="B210" s="29"/>
      <c r="C210" s="25" t="s">
        <v>348</v>
      </c>
      <c r="D210" s="57">
        <v>-166.73</v>
      </c>
      <c r="E210" s="57">
        <v>0</v>
      </c>
      <c r="F210" s="57">
        <v>-166.73</v>
      </c>
      <c r="G210" s="57">
        <v>0</v>
      </c>
      <c r="H210" s="57">
        <v>0</v>
      </c>
      <c r="I210" s="57">
        <v>0</v>
      </c>
      <c r="J210" s="57">
        <v>-131.57</v>
      </c>
      <c r="K210" s="57">
        <v>-51.29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-516.31999999999994</v>
      </c>
      <c r="Q210" s="22"/>
      <c r="R210" s="30"/>
      <c r="S210" s="22"/>
    </row>
    <row r="211" spans="2:19" ht="17.45" customHeight="1">
      <c r="B211" s="29" t="s">
        <v>349</v>
      </c>
      <c r="C211" s="25" t="s">
        <v>350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351</v>
      </c>
      <c r="D212" s="57">
        <v>12411.61</v>
      </c>
      <c r="E212" s="57">
        <v>0</v>
      </c>
      <c r="F212" s="57">
        <v>12411.61</v>
      </c>
      <c r="G212" s="57">
        <v>0</v>
      </c>
      <c r="H212" s="57">
        <v>0</v>
      </c>
      <c r="I212" s="57">
        <v>0</v>
      </c>
      <c r="J212" s="57">
        <v>582.88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25406.100000000002</v>
      </c>
      <c r="Q212" s="22"/>
      <c r="R212" s="30"/>
      <c r="S212" s="22"/>
    </row>
    <row r="213" spans="2:19" ht="17.45" customHeight="1">
      <c r="B213" s="29" t="s">
        <v>352</v>
      </c>
      <c r="C213" s="25" t="s">
        <v>353</v>
      </c>
      <c r="D213" s="57">
        <v>-3.15</v>
      </c>
      <c r="E213" s="57">
        <v>0</v>
      </c>
      <c r="F213" s="57">
        <v>-3.15</v>
      </c>
      <c r="G213" s="57">
        <v>0</v>
      </c>
      <c r="H213" s="57">
        <v>0</v>
      </c>
      <c r="I213" s="57">
        <v>0</v>
      </c>
      <c r="J213" s="57">
        <v>-2.37</v>
      </c>
      <c r="K213" s="57">
        <v>-3.56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-12.23</v>
      </c>
      <c r="Q213" s="22"/>
      <c r="R213" s="30"/>
      <c r="S213" s="22"/>
    </row>
    <row r="214" spans="2:19" ht="17.45" customHeight="1">
      <c r="B214" s="46" t="s">
        <v>354</v>
      </c>
      <c r="C214" s="45" t="s">
        <v>331</v>
      </c>
      <c r="D214" s="60">
        <f t="shared" ref="D214:O214" si="43">SUM(D201:D213)</f>
        <v>12242.630000000001</v>
      </c>
      <c r="E214" s="60">
        <f t="shared" si="43"/>
        <v>0</v>
      </c>
      <c r="F214" s="60">
        <f t="shared" si="43"/>
        <v>12242.630000000001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-61273.22</v>
      </c>
      <c r="K214" s="60">
        <f t="shared" si="43"/>
        <v>-18.09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>
        <f>IFERROR(SUM(P201:P213),0)</f>
        <v>-36806.049999999996</v>
      </c>
      <c r="Q214" s="22"/>
      <c r="R214" s="30"/>
      <c r="S214" s="22"/>
    </row>
    <row r="215" spans="2:19" ht="17.45" customHeight="1">
      <c r="B215" s="29"/>
      <c r="C215" s="27" t="s">
        <v>355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356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357</v>
      </c>
      <c r="C217" s="25" t="s">
        <v>358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359</v>
      </c>
      <c r="C218" s="25" t="s">
        <v>360</v>
      </c>
      <c r="D218" s="57">
        <v>23268.65</v>
      </c>
      <c r="E218" s="57">
        <v>0</v>
      </c>
      <c r="F218" s="57">
        <v>23268.65</v>
      </c>
      <c r="G218" s="57">
        <v>0</v>
      </c>
      <c r="H218" s="57">
        <v>0</v>
      </c>
      <c r="I218" s="57">
        <v>0</v>
      </c>
      <c r="J218" s="57">
        <v>26012.5</v>
      </c>
      <c r="K218" s="57">
        <v>4926.04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77475.839999999997</v>
      </c>
      <c r="Q218" s="22"/>
      <c r="R218" s="30"/>
      <c r="S218" s="22"/>
    </row>
    <row r="219" spans="2:19" ht="17.45" customHeight="1">
      <c r="B219" s="46" t="s">
        <v>361</v>
      </c>
      <c r="C219" s="45" t="s">
        <v>356</v>
      </c>
      <c r="D219" s="60">
        <f t="shared" ref="D219:O219" si="44">SUM(D217:D218)</f>
        <v>23268.65</v>
      </c>
      <c r="E219" s="60">
        <f t="shared" si="44"/>
        <v>0</v>
      </c>
      <c r="F219" s="60">
        <f t="shared" si="44"/>
        <v>23268.65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26012.5</v>
      </c>
      <c r="K219" s="60">
        <f t="shared" si="44"/>
        <v>4926.04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IFERROR(SUM(P217:P218),0)</f>
        <v>77475.839999999997</v>
      </c>
      <c r="Q219" s="22"/>
      <c r="R219" s="30"/>
      <c r="S219" s="22"/>
    </row>
    <row r="220" spans="2:19" ht="17.45" customHeight="1">
      <c r="B220" s="29"/>
      <c r="C220" s="27" t="s">
        <v>362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363</v>
      </c>
      <c r="C221" s="25" t="s">
        <v>364</v>
      </c>
      <c r="D221" s="57">
        <v>19464.14</v>
      </c>
      <c r="E221" s="57">
        <v>0</v>
      </c>
      <c r="F221" s="57">
        <v>19464.14</v>
      </c>
      <c r="G221" s="57">
        <v>0</v>
      </c>
      <c r="H221" s="57">
        <v>0</v>
      </c>
      <c r="I221" s="57">
        <v>0</v>
      </c>
      <c r="J221" s="57">
        <v>-3012.15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35916.129999999997</v>
      </c>
      <c r="Q221" s="22"/>
      <c r="R221" s="30"/>
      <c r="S221" s="22"/>
    </row>
    <row r="222" spans="2:19" ht="17.45" customHeight="1">
      <c r="B222" s="29" t="s">
        <v>365</v>
      </c>
      <c r="C222" s="25" t="s">
        <v>366</v>
      </c>
      <c r="D222" s="57">
        <v>4188.62</v>
      </c>
      <c r="E222" s="57">
        <v>0</v>
      </c>
      <c r="F222" s="57">
        <v>4188.62</v>
      </c>
      <c r="G222" s="57">
        <v>0</v>
      </c>
      <c r="H222" s="57">
        <v>0</v>
      </c>
      <c r="I222" s="57">
        <v>0</v>
      </c>
      <c r="J222" s="57">
        <v>-30.4</v>
      </c>
      <c r="K222" s="57">
        <v>116.88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8463.7199999999993</v>
      </c>
      <c r="Q222" s="22"/>
      <c r="R222" s="30"/>
      <c r="S222" s="22"/>
    </row>
    <row r="223" spans="2:19" ht="17.45" customHeight="1">
      <c r="B223" s="46" t="s">
        <v>367</v>
      </c>
      <c r="C223" s="45" t="s">
        <v>362</v>
      </c>
      <c r="D223" s="60">
        <f t="shared" ref="D223:O223" si="45">SUM(D221:D222)</f>
        <v>23652.76</v>
      </c>
      <c r="E223" s="60">
        <f t="shared" si="45"/>
        <v>0</v>
      </c>
      <c r="F223" s="60">
        <f t="shared" si="45"/>
        <v>23652.76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-3042.55</v>
      </c>
      <c r="K223" s="60">
        <f t="shared" si="45"/>
        <v>116.88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IFERROR(SUM(P221:P222),0)</f>
        <v>44379.85</v>
      </c>
      <c r="Q223" s="22"/>
      <c r="R223" s="30"/>
      <c r="S223" s="22"/>
    </row>
    <row r="224" spans="2:19" ht="17.45" customHeight="1">
      <c r="B224" s="29" t="s">
        <v>368</v>
      </c>
      <c r="C224" s="25" t="s">
        <v>369</v>
      </c>
      <c r="D224" s="57">
        <v>-17681.47</v>
      </c>
      <c r="E224" s="57">
        <v>0</v>
      </c>
      <c r="F224" s="57">
        <v>-17681.47</v>
      </c>
      <c r="G224" s="57">
        <v>0</v>
      </c>
      <c r="H224" s="57">
        <v>0</v>
      </c>
      <c r="I224" s="57">
        <v>0</v>
      </c>
      <c r="J224" s="57">
        <v>10978.23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-24384.710000000003</v>
      </c>
      <c r="Q224" s="22"/>
      <c r="R224" s="30"/>
      <c r="S224" s="22"/>
    </row>
    <row r="225" spans="2:19" ht="17.45" customHeight="1">
      <c r="B225" s="29"/>
      <c r="C225" s="27" t="s">
        <v>370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371</v>
      </c>
      <c r="C226" s="25" t="s">
        <v>372</v>
      </c>
      <c r="D226" s="57">
        <v>1661.84</v>
      </c>
      <c r="E226" s="57">
        <v>0</v>
      </c>
      <c r="F226" s="57">
        <v>1661.84</v>
      </c>
      <c r="G226" s="57">
        <v>0</v>
      </c>
      <c r="H226" s="57">
        <v>0</v>
      </c>
      <c r="I226" s="57">
        <v>0</v>
      </c>
      <c r="J226" s="57">
        <v>2620.34</v>
      </c>
      <c r="K226" s="57">
        <v>439.85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6383.8700000000008</v>
      </c>
      <c r="Q226" s="22"/>
      <c r="R226" s="30"/>
      <c r="S226" s="22"/>
    </row>
    <row r="227" spans="2:19" ht="17.45" customHeight="1">
      <c r="B227" s="29" t="s">
        <v>373</v>
      </c>
      <c r="C227" s="25" t="s">
        <v>374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375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376</v>
      </c>
      <c r="C229" s="45" t="s">
        <v>370</v>
      </c>
      <c r="D229" s="60">
        <f t="shared" ref="D229:O229" si="46">SUM(D226:D228)</f>
        <v>1661.84</v>
      </c>
      <c r="E229" s="60">
        <f t="shared" si="46"/>
        <v>0</v>
      </c>
      <c r="F229" s="60">
        <f t="shared" si="46"/>
        <v>1661.84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2620.34</v>
      </c>
      <c r="K229" s="60">
        <f t="shared" si="46"/>
        <v>439.85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IFERROR(SUM(P226:P228),0)</f>
        <v>6383.8700000000008</v>
      </c>
      <c r="Q229" s="22"/>
      <c r="R229" s="30"/>
      <c r="S229" s="22"/>
    </row>
    <row r="230" spans="2:19" ht="17.45" customHeight="1">
      <c r="B230" s="29"/>
      <c r="C230" s="27" t="s">
        <v>377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378</v>
      </c>
      <c r="C231" s="25" t="s">
        <v>379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380</v>
      </c>
      <c r="C232" s="25" t="s">
        <v>381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382</v>
      </c>
      <c r="C233" s="45" t="s">
        <v>377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>IFERROR(P232+P231,0)</f>
        <v>0</v>
      </c>
      <c r="Q233" s="22"/>
      <c r="R233" s="30"/>
      <c r="S233" s="22"/>
    </row>
    <row r="234" spans="2:19" ht="17.45" customHeight="1">
      <c r="B234" s="29" t="s">
        <v>383</v>
      </c>
      <c r="C234" s="25" t="s">
        <v>384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385</v>
      </c>
      <c r="C235" s="25" t="s">
        <v>386</v>
      </c>
      <c r="D235" s="57">
        <v>127.95</v>
      </c>
      <c r="E235" s="57">
        <v>0</v>
      </c>
      <c r="F235" s="57">
        <v>127.95</v>
      </c>
      <c r="G235" s="57">
        <v>0</v>
      </c>
      <c r="H235" s="57">
        <v>0</v>
      </c>
      <c r="I235" s="57">
        <v>0</v>
      </c>
      <c r="J235" s="57">
        <v>-860.23</v>
      </c>
      <c r="K235" s="57">
        <v>118.32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-486.01000000000005</v>
      </c>
      <c r="Q235" s="22"/>
      <c r="R235" s="30"/>
      <c r="S235" s="22"/>
    </row>
    <row r="236" spans="2:19" ht="17.45" customHeight="1">
      <c r="B236" s="29" t="s">
        <v>387</v>
      </c>
      <c r="C236" s="25" t="s">
        <v>388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389</v>
      </c>
      <c r="C237" s="25" t="s">
        <v>390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391</v>
      </c>
      <c r="C238" s="25" t="s">
        <v>392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393</v>
      </c>
      <c r="D239" s="57" t="s">
        <v>432</v>
      </c>
      <c r="E239" s="57">
        <v>0</v>
      </c>
      <c r="F239" s="57" t="s">
        <v>432</v>
      </c>
      <c r="G239" s="57">
        <v>0</v>
      </c>
      <c r="H239" s="57">
        <v>0</v>
      </c>
      <c r="I239" s="57">
        <v>0</v>
      </c>
      <c r="J239" s="57" t="s">
        <v>432</v>
      </c>
      <c r="K239" s="57" t="s">
        <v>432</v>
      </c>
      <c r="L239" s="57">
        <v>0</v>
      </c>
      <c r="M239" s="57">
        <v>0</v>
      </c>
      <c r="N239" s="57">
        <v>0</v>
      </c>
      <c r="O239" s="57">
        <v>0</v>
      </c>
      <c r="P239" s="57">
        <f>IFERROR(D239+E239+F239+G239+H239+I239+J239+K239+L239+M239+N239+O239,0)</f>
        <v>0</v>
      </c>
      <c r="Q239" s="22"/>
      <c r="R239" s="30"/>
      <c r="S239" s="22"/>
    </row>
    <row r="240" spans="2:19" ht="17.45" customHeight="1">
      <c r="B240" s="29" t="s">
        <v>394</v>
      </c>
      <c r="C240" s="25" t="s">
        <v>350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395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396</v>
      </c>
      <c r="C242" s="25" t="s">
        <v>353</v>
      </c>
      <c r="D242" s="57">
        <v>-3.15</v>
      </c>
      <c r="E242" s="57">
        <v>0</v>
      </c>
      <c r="F242" s="57">
        <v>-3.15</v>
      </c>
      <c r="G242" s="57">
        <v>0</v>
      </c>
      <c r="H242" s="57">
        <v>0</v>
      </c>
      <c r="I242" s="57">
        <v>0</v>
      </c>
      <c r="J242" s="57">
        <v>-2.37</v>
      </c>
      <c r="K242" s="57">
        <v>-3.56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-12.23</v>
      </c>
      <c r="Q242" s="22"/>
      <c r="R242" s="30"/>
      <c r="S242" s="22"/>
    </row>
    <row r="243" spans="2:19" ht="17.45" customHeight="1">
      <c r="B243" s="46" t="s">
        <v>397</v>
      </c>
      <c r="C243" s="45" t="s">
        <v>355</v>
      </c>
      <c r="D243" s="60">
        <f t="shared" ref="D243:O243" si="49">D219+D223+D224+D229+D234+D235+D242+D237</f>
        <v>31026.58</v>
      </c>
      <c r="E243" s="60">
        <f t="shared" si="49"/>
        <v>0</v>
      </c>
      <c r="F243" s="60">
        <f t="shared" si="49"/>
        <v>31026.58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35705.919999999998</v>
      </c>
      <c r="K243" s="60">
        <f t="shared" si="49"/>
        <v>5597.53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IFERROR(P219+P223+P224+P229+P234+P235+P242+P237,0)</f>
        <v>103356.61</v>
      </c>
      <c r="Q243" s="22"/>
      <c r="R243" s="30"/>
      <c r="S243" s="22"/>
    </row>
    <row r="244" spans="2:19" ht="17.45" customHeight="1">
      <c r="B244" s="29" t="s">
        <v>398</v>
      </c>
      <c r="C244" s="25" t="s">
        <v>399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400</v>
      </c>
      <c r="C245" s="25" t="s">
        <v>401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402</v>
      </c>
      <c r="C246" s="25" t="s">
        <v>403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404</v>
      </c>
      <c r="C247" s="25" t="s">
        <v>405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406</v>
      </c>
      <c r="C248" s="45" t="s">
        <v>330</v>
      </c>
      <c r="D248" s="60">
        <f t="shared" ref="D248:O248" si="50">D243+D214</f>
        <v>43269.210000000006</v>
      </c>
      <c r="E248" s="60">
        <f t="shared" si="50"/>
        <v>0</v>
      </c>
      <c r="F248" s="60">
        <f t="shared" si="50"/>
        <v>43269.210000000006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-25567.300000000003</v>
      </c>
      <c r="K248" s="60">
        <f t="shared" si="50"/>
        <v>5579.44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>
        <f>IFERROR(P243+P214,0)</f>
        <v>66550.559999999998</v>
      </c>
      <c r="Q248" s="22"/>
      <c r="R248" s="30"/>
      <c r="S248" s="22"/>
    </row>
    <row r="249" spans="2:19" ht="17.45" customHeight="1">
      <c r="B249" s="29" t="s">
        <v>407</v>
      </c>
      <c r="C249" s="25" t="s">
        <v>408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409</v>
      </c>
      <c r="C250" s="25" t="s">
        <v>410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411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408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412</v>
      </c>
      <c r="D253" s="68">
        <f t="shared" ref="D253:O253" si="51">D16-D36-D138-D198-D248</f>
        <v>-3370122.4299999997</v>
      </c>
      <c r="E253" s="68">
        <f t="shared" si="51"/>
        <v>0</v>
      </c>
      <c r="F253" s="68">
        <f t="shared" si="51"/>
        <v>-3370122.4299999997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-2396378.6600000006</v>
      </c>
      <c r="K253" s="68">
        <f>IFERROR(K16-K36-K138-K198-K248,0)</f>
        <v>-37856.400000000001</v>
      </c>
      <c r="L253" s="68">
        <f>IFERROR(L16-L36-L138-L198-L248,0)</f>
        <v>0</v>
      </c>
      <c r="M253" s="68">
        <f>IFERROR(M16-M36-M138-M198-M248,0)</f>
        <v>0</v>
      </c>
      <c r="N253" s="68">
        <f>IFERROR(N16-N36-N138-N198-N248,0)</f>
        <v>0</v>
      </c>
      <c r="O253" s="68">
        <f>IFERROR(O16-O36-O138-O198-O248,0)</f>
        <v>0</v>
      </c>
      <c r="P253" s="68">
        <f>IFERROR(P16-P36-P138-P198-P248,0)</f>
        <v>-9174479.9199999999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987" priority="534" operator="containsText" text="NOT FOUND">
      <formula>NOT(ISERROR(SEARCH("NOT FOUND",D5)))</formula>
    </cfRule>
  </conditionalFormatting>
  <conditionalFormatting sqref="D15:P15">
    <cfRule type="containsText" dxfId="163" priority="41" operator="containsText" text="NOT FOUND">
      <formula>NOT(ISERROR(SEARCH("NOT FOUND",D15)))</formula>
    </cfRule>
  </conditionalFormatting>
  <conditionalFormatting sqref="D16:P16">
    <cfRule type="containsText" dxfId="162" priority="40" operator="containsText" text="NOT FOUND">
      <formula>NOT(ISERROR(SEARCH("NOT FOUND",D16)))</formula>
    </cfRule>
  </conditionalFormatting>
  <conditionalFormatting sqref="D24:P24">
    <cfRule type="containsText" dxfId="161" priority="39" operator="containsText" text="NOT FOUND">
      <formula>NOT(ISERROR(SEARCH("NOT FOUND",D24)))</formula>
    </cfRule>
  </conditionalFormatting>
  <conditionalFormatting sqref="D29:P29">
    <cfRule type="containsText" dxfId="160" priority="38" operator="containsText" text="NOT FOUND">
      <formula>NOT(ISERROR(SEARCH("NOT FOUND",D29)))</formula>
    </cfRule>
  </conditionalFormatting>
  <conditionalFormatting sqref="D34:P34">
    <cfRule type="containsText" dxfId="159" priority="37" operator="containsText" text="NOT FOUND">
      <formula>NOT(ISERROR(SEARCH("NOT FOUND",D34)))</formula>
    </cfRule>
  </conditionalFormatting>
  <conditionalFormatting sqref="D35:P35">
    <cfRule type="containsText" dxfId="158" priority="36" operator="containsText" text="NOT FOUND">
      <formula>NOT(ISERROR(SEARCH("NOT FOUND",D35)))</formula>
    </cfRule>
  </conditionalFormatting>
  <conditionalFormatting sqref="D36:P36">
    <cfRule type="containsText" dxfId="157" priority="35" operator="containsText" text="NOT FOUND">
      <formula>NOT(ISERROR(SEARCH("NOT FOUND",D36)))</formula>
    </cfRule>
  </conditionalFormatting>
  <conditionalFormatting sqref="D47:P47">
    <cfRule type="containsText" dxfId="156" priority="34" operator="containsText" text="NOT FOUND">
      <formula>NOT(ISERROR(SEARCH("NOT FOUND",D47)))</formula>
    </cfRule>
  </conditionalFormatting>
  <conditionalFormatting sqref="D52:P52">
    <cfRule type="containsText" dxfId="155" priority="33" operator="containsText" text="NOT FOUND">
      <formula>NOT(ISERROR(SEARCH("NOT FOUND",D52)))</formula>
    </cfRule>
  </conditionalFormatting>
  <conditionalFormatting sqref="D53:P53">
    <cfRule type="containsText" dxfId="154" priority="32" operator="containsText" text="NOT FOUND">
      <formula>NOT(ISERROR(SEARCH("NOT FOUND",D53)))</formula>
    </cfRule>
  </conditionalFormatting>
  <conditionalFormatting sqref="D61:P61">
    <cfRule type="containsText" dxfId="153" priority="31" operator="containsText" text="NOT FOUND">
      <formula>NOT(ISERROR(SEARCH("NOT FOUND",D61)))</formula>
    </cfRule>
  </conditionalFormatting>
  <conditionalFormatting sqref="D70:P70">
    <cfRule type="containsText" dxfId="152" priority="30" operator="containsText" text="NOT FOUND">
      <formula>NOT(ISERROR(SEARCH("NOT FOUND",D70)))</formula>
    </cfRule>
  </conditionalFormatting>
  <conditionalFormatting sqref="D80:P80">
    <cfRule type="containsText" dxfId="151" priority="29" operator="containsText" text="NOT FOUND">
      <formula>NOT(ISERROR(SEARCH("NOT FOUND",D80)))</formula>
    </cfRule>
  </conditionalFormatting>
  <conditionalFormatting sqref="D89:P89">
    <cfRule type="containsText" dxfId="150" priority="28" operator="containsText" text="NOT FOUND">
      <formula>NOT(ISERROR(SEARCH("NOT FOUND",D89)))</formula>
    </cfRule>
  </conditionalFormatting>
  <conditionalFormatting sqref="D101:P101">
    <cfRule type="containsText" dxfId="149" priority="27" operator="containsText" text="NOT FOUND">
      <formula>NOT(ISERROR(SEARCH("NOT FOUND",D101)))</formula>
    </cfRule>
  </conditionalFormatting>
  <conditionalFormatting sqref="D106:P106">
    <cfRule type="containsText" dxfId="148" priority="26" operator="containsText" text="NOT FOUND">
      <formula>NOT(ISERROR(SEARCH("NOT FOUND",D106)))</formula>
    </cfRule>
  </conditionalFormatting>
  <conditionalFormatting sqref="D111:P111">
    <cfRule type="containsText" dxfId="147" priority="25" operator="containsText" text="NOT FOUND">
      <formula>NOT(ISERROR(SEARCH("NOT FOUND",D111)))</formula>
    </cfRule>
  </conditionalFormatting>
  <conditionalFormatting sqref="D112:P112">
    <cfRule type="containsText" dxfId="146" priority="24" operator="containsText" text="NOT FOUND">
      <formula>NOT(ISERROR(SEARCH("NOT FOUND",D112)))</formula>
    </cfRule>
  </conditionalFormatting>
  <conditionalFormatting sqref="D117:P117">
    <cfRule type="containsText" dxfId="145" priority="23" operator="containsText" text="NOT FOUND">
      <formula>NOT(ISERROR(SEARCH("NOT FOUND",D117)))</formula>
    </cfRule>
  </conditionalFormatting>
  <conditionalFormatting sqref="D128:P128">
    <cfRule type="containsText" dxfId="144" priority="22" operator="containsText" text="NOT FOUND">
      <formula>NOT(ISERROR(SEARCH("NOT FOUND",D128)))</formula>
    </cfRule>
  </conditionalFormatting>
  <conditionalFormatting sqref="D132:P132">
    <cfRule type="containsText" dxfId="143" priority="21" operator="containsText" text="NOT FOUND">
      <formula>NOT(ISERROR(SEARCH("NOT FOUND",D132)))</formula>
    </cfRule>
  </conditionalFormatting>
  <conditionalFormatting sqref="D137:P137">
    <cfRule type="containsText" dxfId="142" priority="20" operator="containsText" text="NOT FOUND">
      <formula>NOT(ISERROR(SEARCH("NOT FOUND",D137)))</formula>
    </cfRule>
  </conditionalFormatting>
  <conditionalFormatting sqref="D138:P138">
    <cfRule type="containsText" dxfId="141" priority="19" operator="containsText" text="NOT FOUND">
      <formula>NOT(ISERROR(SEARCH("NOT FOUND",D138)))</formula>
    </cfRule>
  </conditionalFormatting>
  <conditionalFormatting sqref="D148:P148">
    <cfRule type="containsText" dxfId="140" priority="18" operator="containsText" text="NOT FOUND">
      <formula>NOT(ISERROR(SEARCH("NOT FOUND",D148)))</formula>
    </cfRule>
  </conditionalFormatting>
  <conditionalFormatting sqref="D154:P154">
    <cfRule type="containsText" dxfId="139" priority="17" operator="containsText" text="NOT FOUND">
      <formula>NOT(ISERROR(SEARCH("NOT FOUND",D154)))</formula>
    </cfRule>
  </conditionalFormatting>
  <conditionalFormatting sqref="D158:P158">
    <cfRule type="containsText" dxfId="138" priority="16" operator="containsText" text="NOT FOUND">
      <formula>NOT(ISERROR(SEARCH("NOT FOUND",D158)))</formula>
    </cfRule>
  </conditionalFormatting>
  <conditionalFormatting sqref="D170:P170">
    <cfRule type="containsText" dxfId="137" priority="15" operator="containsText" text="NOT FOUND">
      <formula>NOT(ISERROR(SEARCH("NOT FOUND",D170)))</formula>
    </cfRule>
  </conditionalFormatting>
  <conditionalFormatting sqref="D175:P175">
    <cfRule type="containsText" dxfId="136" priority="14" operator="containsText" text="NOT FOUND">
      <formula>NOT(ISERROR(SEARCH("NOT FOUND",D175)))</formula>
    </cfRule>
  </conditionalFormatting>
  <conditionalFormatting sqref="D182:P182">
    <cfRule type="containsText" dxfId="135" priority="13" operator="containsText" text="NOT FOUND">
      <formula>NOT(ISERROR(SEARCH("NOT FOUND",D182)))</formula>
    </cfRule>
  </conditionalFormatting>
  <conditionalFormatting sqref="D187:P187">
    <cfRule type="containsText" dxfId="134" priority="12" operator="containsText" text="NOT FOUND">
      <formula>NOT(ISERROR(SEARCH("NOT FOUND",D187)))</formula>
    </cfRule>
  </conditionalFormatting>
  <conditionalFormatting sqref="D197:P197">
    <cfRule type="containsText" dxfId="133" priority="11" operator="containsText" text="NOT FOUND">
      <formula>NOT(ISERROR(SEARCH("NOT FOUND",D197)))</formula>
    </cfRule>
  </conditionalFormatting>
  <conditionalFormatting sqref="D198:P198">
    <cfRule type="containsText" dxfId="132" priority="10" operator="containsText" text="NOT FOUND">
      <formula>NOT(ISERROR(SEARCH("NOT FOUND",D198)))</formula>
    </cfRule>
  </conditionalFormatting>
  <conditionalFormatting sqref="D206:P206">
    <cfRule type="containsText" dxfId="131" priority="9" operator="containsText" text="NOT FOUND">
      <formula>NOT(ISERROR(SEARCH("NOT FOUND",D206)))</formula>
    </cfRule>
  </conditionalFormatting>
  <conditionalFormatting sqref="D214:P214">
    <cfRule type="containsText" dxfId="130" priority="8" operator="containsText" text="NOT FOUND">
      <formula>NOT(ISERROR(SEARCH("NOT FOUND",D214)))</formula>
    </cfRule>
  </conditionalFormatting>
  <conditionalFormatting sqref="D219:P219">
    <cfRule type="containsText" dxfId="129" priority="7" operator="containsText" text="NOT FOUND">
      <formula>NOT(ISERROR(SEARCH("NOT FOUND",D219)))</formula>
    </cfRule>
  </conditionalFormatting>
  <conditionalFormatting sqref="D223:P223">
    <cfRule type="containsText" dxfId="128" priority="6" operator="containsText" text="NOT FOUND">
      <formula>NOT(ISERROR(SEARCH("NOT FOUND",D223)))</formula>
    </cfRule>
  </conditionalFormatting>
  <conditionalFormatting sqref="D229:P229">
    <cfRule type="containsText" dxfId="127" priority="5" operator="containsText" text="NOT FOUND">
      <formula>NOT(ISERROR(SEARCH("NOT FOUND",D229)))</formula>
    </cfRule>
  </conditionalFormatting>
  <conditionalFormatting sqref="D233:P233">
    <cfRule type="containsText" dxfId="126" priority="4" operator="containsText" text="NOT FOUND">
      <formula>NOT(ISERROR(SEARCH("NOT FOUND",D233)))</formula>
    </cfRule>
  </conditionalFormatting>
  <conditionalFormatting sqref="D243:P243">
    <cfRule type="containsText" dxfId="125" priority="3" operator="containsText" text="NOT FOUND">
      <formula>NOT(ISERROR(SEARCH("NOT FOUND",D243)))</formula>
    </cfRule>
  </conditionalFormatting>
  <conditionalFormatting sqref="D248:P248">
    <cfRule type="containsText" dxfId="124" priority="2" operator="containsText" text="NOT FOUND">
      <formula>NOT(ISERROR(SEARCH("NOT FOUND",D248)))</formula>
    </cfRule>
  </conditionalFormatting>
  <conditionalFormatting sqref="D253:P253">
    <cfRule type="containsText" dxfId="123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51204-1CB8-44B0-9BF8-A01E0B66332E}">
  <sheetPr codeName="Sheet12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9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10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20</v>
      </c>
      <c r="L4" s="40" t="s">
        <v>21</v>
      </c>
      <c r="M4" s="40" t="s">
        <v>22</v>
      </c>
      <c r="N4" s="40" t="s">
        <v>23</v>
      </c>
      <c r="O4" s="40" t="s">
        <v>24</v>
      </c>
      <c r="P4" s="40" t="s">
        <v>25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26</v>
      </c>
      <c r="D6" s="57" t="s">
        <v>436</v>
      </c>
      <c r="E6" s="57" t="s">
        <v>436</v>
      </c>
      <c r="F6" s="57" t="s">
        <v>436</v>
      </c>
      <c r="G6" s="57" t="s">
        <v>436</v>
      </c>
      <c r="H6" s="57" t="s">
        <v>436</v>
      </c>
      <c r="I6" s="57" t="s">
        <v>436</v>
      </c>
      <c r="J6" s="57" t="s">
        <v>436</v>
      </c>
      <c r="K6" s="57" t="s">
        <v>436</v>
      </c>
      <c r="L6" s="57" t="s">
        <v>436</v>
      </c>
      <c r="M6" s="57" t="s">
        <v>436</v>
      </c>
      <c r="N6" s="57" t="s">
        <v>436</v>
      </c>
      <c r="O6" s="57" t="s">
        <v>436</v>
      </c>
      <c r="P6" s="57"/>
      <c r="Q6" s="22"/>
      <c r="R6" s="18"/>
    </row>
    <row r="7" spans="1:19" ht="17.45" customHeight="1">
      <c r="B7" s="24"/>
      <c r="C7" s="62" t="s">
        <v>27</v>
      </c>
      <c r="D7" s="57" t="s">
        <v>436</v>
      </c>
      <c r="E7" s="57" t="s">
        <v>436</v>
      </c>
      <c r="F7" s="57" t="s">
        <v>436</v>
      </c>
      <c r="G7" s="57" t="s">
        <v>436</v>
      </c>
      <c r="H7" s="57" t="s">
        <v>436</v>
      </c>
      <c r="I7" s="57" t="s">
        <v>436</v>
      </c>
      <c r="J7" s="57" t="s">
        <v>436</v>
      </c>
      <c r="K7" s="57" t="s">
        <v>436</v>
      </c>
      <c r="L7" s="57" t="s">
        <v>436</v>
      </c>
      <c r="M7" s="57" t="s">
        <v>436</v>
      </c>
      <c r="N7" s="57" t="s">
        <v>436</v>
      </c>
      <c r="O7" s="57" t="s">
        <v>436</v>
      </c>
      <c r="P7" s="57"/>
      <c r="Q7" s="22"/>
      <c r="R7" s="18"/>
    </row>
    <row r="8" spans="1:19" ht="17.45" customHeight="1">
      <c r="B8" s="29" t="s">
        <v>28</v>
      </c>
      <c r="C8" s="63" t="s">
        <v>29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 t="shared" ref="P8:P13" si="0">D8+E8+F8+G8+H8+I8+J8+K8+L8+M8+N8+O8</f>
        <v>0</v>
      </c>
      <c r="Q8" s="22"/>
      <c r="R8" s="30"/>
      <c r="S8" s="22"/>
    </row>
    <row r="9" spans="1:19" ht="17.45" customHeight="1">
      <c r="B9" s="29" t="s">
        <v>30</v>
      </c>
      <c r="C9" s="63" t="s">
        <v>31</v>
      </c>
      <c r="D9" s="57">
        <v>64610.97</v>
      </c>
      <c r="E9" s="57">
        <v>0</v>
      </c>
      <c r="F9" s="57">
        <v>64610.97</v>
      </c>
      <c r="G9" s="57">
        <v>0</v>
      </c>
      <c r="H9" s="57">
        <v>0</v>
      </c>
      <c r="I9" s="57">
        <v>0</v>
      </c>
      <c r="J9" s="57">
        <v>188961.27</v>
      </c>
      <c r="K9" s="57">
        <v>11206.81</v>
      </c>
      <c r="L9" s="57">
        <v>0</v>
      </c>
      <c r="M9" s="57">
        <v>0</v>
      </c>
      <c r="N9" s="57">
        <v>0</v>
      </c>
      <c r="O9" s="57">
        <v>0</v>
      </c>
      <c r="P9" s="57">
        <f t="shared" si="0"/>
        <v>329390.01999999996</v>
      </c>
      <c r="Q9" s="22"/>
      <c r="R9" s="30"/>
      <c r="S9" s="22"/>
    </row>
    <row r="10" spans="1:19" ht="17.45" customHeight="1">
      <c r="B10" s="29" t="s">
        <v>32</v>
      </c>
      <c r="C10" s="63" t="s">
        <v>33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 t="shared" si="0"/>
        <v>0</v>
      </c>
      <c r="Q10" s="22"/>
      <c r="R10" s="30"/>
      <c r="S10" s="22"/>
    </row>
    <row r="11" spans="1:19" ht="17.45" customHeight="1">
      <c r="B11" s="29" t="s">
        <v>34</v>
      </c>
      <c r="C11" s="63" t="s">
        <v>35</v>
      </c>
      <c r="D11" s="57">
        <v>174.73</v>
      </c>
      <c r="E11" s="57">
        <v>0</v>
      </c>
      <c r="F11" s="57">
        <v>174.73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 t="shared" si="0"/>
        <v>349.46</v>
      </c>
      <c r="Q11" s="22"/>
      <c r="R11" s="30"/>
      <c r="S11" s="22"/>
    </row>
    <row r="12" spans="1:19" ht="17.45" customHeight="1">
      <c r="B12" s="29" t="s">
        <v>36</v>
      </c>
      <c r="C12" s="63" t="s">
        <v>37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 t="shared" si="0"/>
        <v>0</v>
      </c>
      <c r="Q12" s="22"/>
      <c r="R12" s="30"/>
      <c r="S12" s="22"/>
    </row>
    <row r="13" spans="1:19" ht="17.45" customHeight="1">
      <c r="B13" s="29" t="s">
        <v>38</v>
      </c>
      <c r="C13" s="63" t="s">
        <v>39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 t="shared" si="0"/>
        <v>0</v>
      </c>
      <c r="Q13" s="22"/>
      <c r="R13" s="30"/>
      <c r="S13" s="22"/>
    </row>
    <row r="14" spans="1:19" ht="17.45" customHeight="1">
      <c r="B14" s="29"/>
      <c r="C14" s="63" t="s">
        <v>40</v>
      </c>
      <c r="D14" s="57">
        <v>64610.97</v>
      </c>
      <c r="E14" s="57">
        <v>0</v>
      </c>
      <c r="F14" s="57">
        <v>64610.97</v>
      </c>
      <c r="G14" s="57">
        <v>0</v>
      </c>
      <c r="H14" s="57">
        <v>0</v>
      </c>
      <c r="I14" s="57">
        <v>0</v>
      </c>
      <c r="J14" s="57">
        <v>188961.27</v>
      </c>
      <c r="K14" s="57">
        <v>11206.81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41</v>
      </c>
      <c r="C15" s="74" t="s">
        <v>27</v>
      </c>
      <c r="D15" s="73">
        <f t="shared" ref="D15:O15" si="1">SUM(D7:D13)</f>
        <v>64785.700000000004</v>
      </c>
      <c r="E15" s="73">
        <f t="shared" si="1"/>
        <v>0</v>
      </c>
      <c r="F15" s="73">
        <f t="shared" si="1"/>
        <v>64785.700000000004</v>
      </c>
      <c r="G15" s="73">
        <f t="shared" si="1"/>
        <v>0</v>
      </c>
      <c r="H15" s="73">
        <f t="shared" si="1"/>
        <v>0</v>
      </c>
      <c r="I15" s="73">
        <f t="shared" si="1"/>
        <v>0</v>
      </c>
      <c r="J15" s="73">
        <f t="shared" si="1"/>
        <v>188961.27</v>
      </c>
      <c r="K15" s="73">
        <f t="shared" si="1"/>
        <v>11206.81</v>
      </c>
      <c r="L15" s="73">
        <f t="shared" si="1"/>
        <v>0</v>
      </c>
      <c r="M15" s="73">
        <f t="shared" si="1"/>
        <v>0</v>
      </c>
      <c r="N15" s="73">
        <f t="shared" si="1"/>
        <v>0</v>
      </c>
      <c r="O15" s="73">
        <f t="shared" si="1"/>
        <v>0</v>
      </c>
      <c r="P15" s="73">
        <f>IFERROR(SUM(P7:P13),0)</f>
        <v>329739.48</v>
      </c>
      <c r="Q15" s="22"/>
      <c r="R15" s="30"/>
      <c r="S15" s="22"/>
    </row>
    <row r="16" spans="1:19" ht="17.45" customHeight="1">
      <c r="B16" s="47" t="s">
        <v>42</v>
      </c>
      <c r="C16" s="64" t="s">
        <v>43</v>
      </c>
      <c r="D16" s="60">
        <f t="shared" ref="D16:O16" si="2">D15</f>
        <v>64785.700000000004</v>
      </c>
      <c r="E16" s="60">
        <f t="shared" si="2"/>
        <v>0</v>
      </c>
      <c r="F16" s="60">
        <f t="shared" si="2"/>
        <v>64785.700000000004</v>
      </c>
      <c r="G16" s="60">
        <f t="shared" si="2"/>
        <v>0</v>
      </c>
      <c r="H16" s="60">
        <f t="shared" si="2"/>
        <v>0</v>
      </c>
      <c r="I16" s="60">
        <f t="shared" si="2"/>
        <v>0</v>
      </c>
      <c r="J16" s="60">
        <f t="shared" si="2"/>
        <v>188961.27</v>
      </c>
      <c r="K16" s="60">
        <f t="shared" si="2"/>
        <v>11206.81</v>
      </c>
      <c r="L16" s="60">
        <f t="shared" si="2"/>
        <v>0</v>
      </c>
      <c r="M16" s="60">
        <f t="shared" si="2"/>
        <v>0</v>
      </c>
      <c r="N16" s="60">
        <f t="shared" si="2"/>
        <v>0</v>
      </c>
      <c r="O16" s="60">
        <f t="shared" si="2"/>
        <v>0</v>
      </c>
      <c r="P16" s="60">
        <f>IFERROR(P15,0)</f>
        <v>329739.48</v>
      </c>
      <c r="Q16" s="22"/>
      <c r="R16" s="30"/>
      <c r="S16" s="22"/>
    </row>
    <row r="17" spans="2:19" ht="17.45" customHeight="1">
      <c r="B17" s="29"/>
      <c r="C17" s="61" t="s">
        <v>44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 t="shared" ref="P17:P23" si="3">D17+E17+F17+G17+H17+I17+J17+K17+L17+M17+N17+O17</f>
        <v>0</v>
      </c>
      <c r="Q17" s="22"/>
      <c r="R17" s="30"/>
      <c r="S17" s="22"/>
    </row>
    <row r="18" spans="2:19" ht="17.45" customHeight="1">
      <c r="B18" s="29"/>
      <c r="C18" s="62" t="s">
        <v>45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 t="shared" si="3"/>
        <v>0</v>
      </c>
      <c r="Q18" s="22"/>
      <c r="R18" s="30"/>
      <c r="S18" s="22"/>
    </row>
    <row r="19" spans="2:19" ht="17.45" customHeight="1">
      <c r="B19" s="29" t="s">
        <v>46</v>
      </c>
      <c r="C19" s="63" t="s">
        <v>47</v>
      </c>
      <c r="D19" s="57">
        <v>133632.25</v>
      </c>
      <c r="E19" s="57">
        <v>0</v>
      </c>
      <c r="F19" s="57">
        <v>133632.25</v>
      </c>
      <c r="G19" s="57">
        <v>0</v>
      </c>
      <c r="H19" s="57">
        <v>0</v>
      </c>
      <c r="I19" s="57">
        <v>0</v>
      </c>
      <c r="J19" s="57">
        <v>162955.09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 t="shared" si="3"/>
        <v>430219.58999999997</v>
      </c>
      <c r="Q19" s="22"/>
      <c r="R19" s="30"/>
      <c r="S19" s="22"/>
    </row>
    <row r="20" spans="2:19" ht="17.45" customHeight="1">
      <c r="B20" s="29" t="s">
        <v>48</v>
      </c>
      <c r="C20" s="25" t="s">
        <v>49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 t="shared" si="3"/>
        <v>0</v>
      </c>
      <c r="Q20" s="22"/>
      <c r="R20" s="30"/>
      <c r="S20" s="22"/>
    </row>
    <row r="21" spans="2:19" ht="17.45" customHeight="1">
      <c r="B21" s="29"/>
      <c r="C21" s="25" t="s">
        <v>50</v>
      </c>
      <c r="D21" s="57">
        <v>133632.25</v>
      </c>
      <c r="E21" s="57">
        <v>0</v>
      </c>
      <c r="F21" s="57">
        <v>133632.25</v>
      </c>
      <c r="G21" s="57">
        <v>0</v>
      </c>
      <c r="H21" s="57">
        <v>0</v>
      </c>
      <c r="I21" s="57">
        <v>0</v>
      </c>
      <c r="J21" s="57">
        <v>162955.09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 t="shared" si="3"/>
        <v>430219.58999999997</v>
      </c>
      <c r="Q21" s="22"/>
      <c r="R21" s="30"/>
      <c r="S21" s="22"/>
    </row>
    <row r="22" spans="2:19" ht="17.45" customHeight="1">
      <c r="B22" s="29" t="s">
        <v>51</v>
      </c>
      <c r="C22" s="25" t="s">
        <v>52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 t="shared" si="3"/>
        <v>0</v>
      </c>
      <c r="Q22" s="22"/>
      <c r="R22" s="30"/>
      <c r="S22" s="22"/>
    </row>
    <row r="23" spans="2:19" ht="17.45" customHeight="1">
      <c r="B23" s="29" t="s">
        <v>53</v>
      </c>
      <c r="C23" s="25" t="s">
        <v>54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 t="shared" si="3"/>
        <v>0</v>
      </c>
      <c r="Q23" s="22"/>
      <c r="R23" s="30"/>
      <c r="S23" s="22"/>
    </row>
    <row r="24" spans="2:19" ht="17.45" customHeight="1">
      <c r="B24" s="49"/>
      <c r="C24" s="50" t="s">
        <v>55</v>
      </c>
      <c r="D24" s="59">
        <f t="shared" ref="D24:O24" si="4">SUM(D18:D23)</f>
        <v>267264.5</v>
      </c>
      <c r="E24" s="59">
        <f t="shared" si="4"/>
        <v>0</v>
      </c>
      <c r="F24" s="59">
        <f t="shared" si="4"/>
        <v>267264.5</v>
      </c>
      <c r="G24" s="59">
        <f t="shared" si="4"/>
        <v>0</v>
      </c>
      <c r="H24" s="59">
        <f t="shared" si="4"/>
        <v>0</v>
      </c>
      <c r="I24" s="59">
        <f t="shared" si="4"/>
        <v>0</v>
      </c>
      <c r="J24" s="59">
        <f t="shared" si="4"/>
        <v>325910.18</v>
      </c>
      <c r="K24" s="59">
        <f t="shared" si="4"/>
        <v>0</v>
      </c>
      <c r="L24" s="59">
        <f t="shared" si="4"/>
        <v>0</v>
      </c>
      <c r="M24" s="59">
        <f t="shared" si="4"/>
        <v>0</v>
      </c>
      <c r="N24" s="59">
        <f t="shared" si="4"/>
        <v>0</v>
      </c>
      <c r="O24" s="59">
        <f t="shared" si="4"/>
        <v>0</v>
      </c>
      <c r="P24" s="59">
        <f>IFERROR(SUM(P18:P23),0)</f>
        <v>860439.17999999993</v>
      </c>
      <c r="Q24" s="22"/>
      <c r="R24" s="30"/>
      <c r="S24" s="22"/>
    </row>
    <row r="25" spans="2:19" ht="17.45" customHeight="1">
      <c r="B25" s="29" t="s">
        <v>56</v>
      </c>
      <c r="C25" s="25" t="s">
        <v>57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231.56</v>
      </c>
      <c r="L25" s="57">
        <v>0</v>
      </c>
      <c r="M25" s="57">
        <v>0</v>
      </c>
      <c r="N25" s="57">
        <v>0</v>
      </c>
      <c r="O25" s="57">
        <v>0</v>
      </c>
      <c r="P25" s="57">
        <f>D25+E25+F25+G25+H25+I25+J25+K25+L25+M25+N25+O25</f>
        <v>231.56</v>
      </c>
      <c r="Q25" s="22"/>
      <c r="R25" s="30"/>
      <c r="S25" s="22"/>
    </row>
    <row r="26" spans="2:19" ht="17.45" customHeight="1">
      <c r="B26" s="29" t="s">
        <v>58</v>
      </c>
      <c r="C26" s="25" t="s">
        <v>59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D26+E26+F26+G26+H26+I26+J26+K26+L26+M26+N26+O26</f>
        <v>0</v>
      </c>
      <c r="Q26" s="22"/>
      <c r="R26" s="30"/>
      <c r="S26" s="22"/>
    </row>
    <row r="27" spans="2:19" ht="17.45" customHeight="1">
      <c r="B27" s="29" t="s">
        <v>60</v>
      </c>
      <c r="C27" s="25" t="s">
        <v>61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D27+E27+F27+G27+H27+I27+J27+K27+L27+M27+N27+O27</f>
        <v>0</v>
      </c>
      <c r="Q27" s="22"/>
      <c r="R27" s="30"/>
      <c r="S27" s="22"/>
    </row>
    <row r="28" spans="2:19" ht="17.45" customHeight="1">
      <c r="B28" s="29" t="s">
        <v>62</v>
      </c>
      <c r="C28" s="25" t="s">
        <v>63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D28+E28+F28+G28+H28+I28+J28+K28+L28+M28+N28+O28</f>
        <v>0</v>
      </c>
      <c r="Q28" s="22"/>
      <c r="R28" s="30"/>
      <c r="S28" s="22"/>
    </row>
    <row r="29" spans="2:19" ht="17.45" customHeight="1">
      <c r="B29" s="49"/>
      <c r="C29" s="50" t="s">
        <v>64</v>
      </c>
      <c r="D29" s="59">
        <f>D25</f>
        <v>0</v>
      </c>
      <c r="E29" s="59">
        <f t="shared" ref="E29:P29" si="5">E25</f>
        <v>0</v>
      </c>
      <c r="F29" s="59">
        <f t="shared" si="5"/>
        <v>0</v>
      </c>
      <c r="G29" s="59">
        <f t="shared" si="5"/>
        <v>0</v>
      </c>
      <c r="H29" s="59">
        <f t="shared" si="5"/>
        <v>0</v>
      </c>
      <c r="I29" s="59">
        <f t="shared" si="5"/>
        <v>0</v>
      </c>
      <c r="J29" s="59">
        <f t="shared" si="5"/>
        <v>0</v>
      </c>
      <c r="K29" s="59">
        <f t="shared" si="5"/>
        <v>231.56</v>
      </c>
      <c r="L29" s="59">
        <f t="shared" si="5"/>
        <v>0</v>
      </c>
      <c r="M29" s="59">
        <f t="shared" si="5"/>
        <v>0</v>
      </c>
      <c r="N29" s="59">
        <f t="shared" si="5"/>
        <v>0</v>
      </c>
      <c r="O29" s="59">
        <f t="shared" si="5"/>
        <v>0</v>
      </c>
      <c r="P29" s="59">
        <f>IFERROR(P25,0)</f>
        <v>231.56</v>
      </c>
      <c r="Q29" s="22"/>
      <c r="R29" s="30"/>
      <c r="S29" s="22"/>
    </row>
    <row r="30" spans="2:19" ht="17.45" customHeight="1">
      <c r="B30" s="29" t="s">
        <v>65</v>
      </c>
      <c r="C30" s="25" t="s">
        <v>66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D30+E30+F30+G30+H30+I30+J30+K30+L30+M30+N30+O30</f>
        <v>0</v>
      </c>
      <c r="Q30" s="22"/>
      <c r="R30" s="30"/>
      <c r="S30" s="22"/>
    </row>
    <row r="31" spans="2:19" ht="17.45" customHeight="1">
      <c r="B31" s="29" t="s">
        <v>67</v>
      </c>
      <c r="C31" s="25" t="s">
        <v>68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D31+E31+F31+G31+H31+I31+J31+K31+L31+M31+N31+O31</f>
        <v>0</v>
      </c>
      <c r="Q31" s="22"/>
      <c r="R31" s="30"/>
      <c r="S31" s="22"/>
    </row>
    <row r="32" spans="2:19" ht="17.45" customHeight="1">
      <c r="B32" s="29" t="s">
        <v>69</v>
      </c>
      <c r="C32" s="25" t="s">
        <v>70</v>
      </c>
      <c r="D32" s="57" t="s">
        <v>432</v>
      </c>
      <c r="E32" s="57">
        <v>0</v>
      </c>
      <c r="F32" s="57" t="s">
        <v>432</v>
      </c>
      <c r="G32" s="57">
        <v>0</v>
      </c>
      <c r="H32" s="57">
        <v>0</v>
      </c>
      <c r="I32" s="57">
        <v>0</v>
      </c>
      <c r="J32" s="57" t="s">
        <v>432</v>
      </c>
      <c r="K32" s="57" t="s">
        <v>432</v>
      </c>
      <c r="L32" s="57">
        <v>0</v>
      </c>
      <c r="M32" s="57">
        <v>0</v>
      </c>
      <c r="N32" s="57">
        <v>0</v>
      </c>
      <c r="O32" s="57">
        <v>0</v>
      </c>
      <c r="P32" s="57">
        <f>IFERROR(D32+E32+F32+G32+H32+I32+J32+K32+L32+M32+N32+O32,0)</f>
        <v>0</v>
      </c>
      <c r="Q32" s="22"/>
      <c r="R32" s="30"/>
      <c r="S32" s="22"/>
    </row>
    <row r="33" spans="2:19" ht="17.45" customHeight="1">
      <c r="B33" s="29" t="s">
        <v>71</v>
      </c>
      <c r="C33" s="25" t="s">
        <v>72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D33+E33+F33+G33+H33+I33+J33+K33+L33+M33+N33+O33</f>
        <v>0</v>
      </c>
      <c r="Q33" s="22"/>
      <c r="R33" s="30"/>
      <c r="S33" s="22"/>
    </row>
    <row r="34" spans="2:19" ht="17.45" customHeight="1">
      <c r="B34" s="65"/>
      <c r="C34" s="66" t="s">
        <v>73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74</v>
      </c>
      <c r="C35" s="66" t="s">
        <v>75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76</v>
      </c>
      <c r="C36" s="48" t="s">
        <v>77</v>
      </c>
      <c r="D36" s="59">
        <f t="shared" ref="D36:O36" si="6">D24+D29+D34+D35</f>
        <v>267264.5</v>
      </c>
      <c r="E36" s="59">
        <f t="shared" si="6"/>
        <v>0</v>
      </c>
      <c r="F36" s="59">
        <f t="shared" si="6"/>
        <v>267264.5</v>
      </c>
      <c r="G36" s="59">
        <f t="shared" si="6"/>
        <v>0</v>
      </c>
      <c r="H36" s="59">
        <f t="shared" si="6"/>
        <v>0</v>
      </c>
      <c r="I36" s="59">
        <f t="shared" si="6"/>
        <v>0</v>
      </c>
      <c r="J36" s="59">
        <f t="shared" si="6"/>
        <v>325910.18</v>
      </c>
      <c r="K36" s="59">
        <f t="shared" si="6"/>
        <v>231.56</v>
      </c>
      <c r="L36" s="59">
        <f t="shared" si="6"/>
        <v>0</v>
      </c>
      <c r="M36" s="59">
        <f t="shared" si="6"/>
        <v>0</v>
      </c>
      <c r="N36" s="59">
        <f t="shared" si="6"/>
        <v>0</v>
      </c>
      <c r="O36" s="59">
        <f t="shared" si="6"/>
        <v>0</v>
      </c>
      <c r="P36" s="59">
        <f>IFERROR(P24+P29+P34+P35,0)</f>
        <v>860670.74</v>
      </c>
      <c r="Q36" s="22"/>
      <c r="R36" s="30"/>
      <c r="S36" s="22"/>
    </row>
    <row r="37" spans="2:19" ht="17.45" customHeight="1">
      <c r="B37" s="29"/>
      <c r="C37" s="31" t="s">
        <v>78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 t="shared" ref="P37:P42" si="7">D37+E37+F37+G37+H37+I37+J37+K37+L37+M37+N37+O37</f>
        <v>0</v>
      </c>
      <c r="Q37" s="22"/>
      <c r="R37" s="30"/>
      <c r="S37" s="22"/>
    </row>
    <row r="38" spans="2:19" ht="17.45" customHeight="1">
      <c r="B38" s="29" t="s">
        <v>79</v>
      </c>
      <c r="C38" s="28" t="s">
        <v>80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 t="shared" si="7"/>
        <v>0</v>
      </c>
      <c r="Q38" s="22"/>
      <c r="R38" s="30"/>
      <c r="S38" s="22"/>
    </row>
    <row r="39" spans="2:19" ht="17.45" customHeight="1">
      <c r="B39" s="29" t="s">
        <v>81</v>
      </c>
      <c r="C39" s="25" t="s">
        <v>82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 t="shared" si="7"/>
        <v>0</v>
      </c>
      <c r="Q39" s="22"/>
      <c r="R39" s="30"/>
      <c r="S39" s="22"/>
    </row>
    <row r="40" spans="2:19" ht="17.45" customHeight="1">
      <c r="B40" s="29"/>
      <c r="C40" s="28" t="s">
        <v>83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 t="shared" si="7"/>
        <v>0</v>
      </c>
      <c r="Q40" s="22"/>
      <c r="R40" s="30"/>
      <c r="S40" s="22"/>
    </row>
    <row r="41" spans="2:19" ht="17.45" customHeight="1">
      <c r="B41" s="29" t="s">
        <v>84</v>
      </c>
      <c r="C41" s="25" t="s">
        <v>85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 t="shared" si="7"/>
        <v>0</v>
      </c>
      <c r="Q41" s="22"/>
      <c r="R41" s="30"/>
      <c r="S41" s="22"/>
    </row>
    <row r="42" spans="2:19" ht="17.45" customHeight="1">
      <c r="B42" s="29" t="s">
        <v>86</v>
      </c>
      <c r="C42" s="25" t="s">
        <v>87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 t="shared" si="7"/>
        <v>0</v>
      </c>
      <c r="Q42" s="22"/>
      <c r="R42" s="30"/>
      <c r="S42" s="22"/>
    </row>
    <row r="43" spans="2:19" ht="17.45" customHeight="1">
      <c r="B43" s="29"/>
      <c r="C43" s="25" t="s">
        <v>88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89</v>
      </c>
      <c r="C44" s="25" t="s">
        <v>90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91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92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93</v>
      </c>
      <c r="C47" s="45" t="s">
        <v>83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IFERROR(SUM(D47:O47),0)</f>
        <v>0</v>
      </c>
      <c r="Q47" s="22"/>
      <c r="R47" s="30"/>
      <c r="S47" s="22"/>
    </row>
    <row r="48" spans="2:19" ht="17.45" customHeight="1">
      <c r="B48" s="29"/>
      <c r="C48" s="28" t="s">
        <v>94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D48+E48+F48+G48+H48+I48+J48+K48+L48+M48+N48+O48</f>
        <v>0</v>
      </c>
      <c r="Q48" s="22"/>
      <c r="R48" s="30"/>
      <c r="S48" s="22"/>
    </row>
    <row r="49" spans="2:19" ht="17.45" customHeight="1">
      <c r="B49" s="29" t="s">
        <v>95</v>
      </c>
      <c r="C49" s="25" t="s">
        <v>96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D49+E49+F49+G49+H49+I49+J49+K49+L49+M49+N49+O49</f>
        <v>0</v>
      </c>
      <c r="Q49" s="22"/>
      <c r="R49" s="30"/>
      <c r="S49" s="22"/>
    </row>
    <row r="50" spans="2:19" ht="17.45" customHeight="1">
      <c r="B50" s="29" t="s">
        <v>97</v>
      </c>
      <c r="C50" s="25" t="s">
        <v>98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D50+E50+F50+G50+H50+I50+J50+K50+L50+M50+N50+O50</f>
        <v>0</v>
      </c>
      <c r="Q50" s="22"/>
      <c r="R50" s="30"/>
      <c r="S50" s="22"/>
    </row>
    <row r="51" spans="2:19" ht="17.45" customHeight="1">
      <c r="B51" s="29" t="s">
        <v>99</v>
      </c>
      <c r="C51" s="25" t="s">
        <v>100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D51+E51+F51+G51+H51+I51+J51+K51+L51+M51+N51+O51</f>
        <v>0</v>
      </c>
      <c r="Q51" s="22"/>
      <c r="R51" s="30"/>
      <c r="S51" s="22"/>
    </row>
    <row r="52" spans="2:19" ht="17.45" customHeight="1">
      <c r="B52" s="65" t="s">
        <v>101</v>
      </c>
      <c r="C52" s="66" t="s">
        <v>94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IFERROR(SUM(D52:O52),0)</f>
        <v>0</v>
      </c>
      <c r="Q52" s="22"/>
      <c r="R52" s="30"/>
      <c r="S52" s="22"/>
    </row>
    <row r="53" spans="2:19" ht="17.45" customHeight="1">
      <c r="B53" s="65" t="s">
        <v>102</v>
      </c>
      <c r="C53" s="66" t="s">
        <v>103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IFERROR(SUM(D53:O53),0)</f>
        <v>0</v>
      </c>
      <c r="Q53" s="22"/>
      <c r="R53" s="30"/>
      <c r="S53" s="22"/>
    </row>
    <row r="54" spans="2:19" ht="17.45" customHeight="1">
      <c r="B54" s="29"/>
      <c r="C54" s="27" t="s">
        <v>104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 t="shared" ref="P54:P60" si="8">D54+E54+F54+G54+H54+I54+J54+K54+L54+M54+N54+O54</f>
        <v>0</v>
      </c>
      <c r="Q54" s="22"/>
      <c r="R54" s="30"/>
      <c r="S54" s="22"/>
    </row>
    <row r="55" spans="2:19" ht="17.45" customHeight="1">
      <c r="B55" s="29"/>
      <c r="C55" s="28" t="s">
        <v>105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 t="shared" si="8"/>
        <v>0</v>
      </c>
      <c r="Q55" s="22"/>
      <c r="R55" s="30"/>
      <c r="S55" s="22"/>
    </row>
    <row r="56" spans="2:19" ht="17.45" customHeight="1">
      <c r="B56" s="29" t="s">
        <v>106</v>
      </c>
      <c r="C56" s="25" t="s">
        <v>107</v>
      </c>
      <c r="D56" s="57">
        <v>75992.78</v>
      </c>
      <c r="E56" s="57">
        <v>0</v>
      </c>
      <c r="F56" s="57">
        <v>75992.78</v>
      </c>
      <c r="G56" s="57">
        <v>0</v>
      </c>
      <c r="H56" s="57">
        <v>0</v>
      </c>
      <c r="I56" s="57">
        <v>0</v>
      </c>
      <c r="J56" s="57">
        <v>76008.800000000003</v>
      </c>
      <c r="K56" s="57">
        <v>0</v>
      </c>
      <c r="L56" s="57">
        <v>0</v>
      </c>
      <c r="M56" s="57">
        <v>0</v>
      </c>
      <c r="N56" s="57">
        <v>0</v>
      </c>
      <c r="O56" s="57">
        <v>0</v>
      </c>
      <c r="P56" s="57">
        <f t="shared" si="8"/>
        <v>227994.36</v>
      </c>
      <c r="Q56" s="22"/>
      <c r="R56" s="30"/>
      <c r="S56" s="22"/>
    </row>
    <row r="57" spans="2:19" ht="17.45" customHeight="1">
      <c r="B57" s="29" t="s">
        <v>108</v>
      </c>
      <c r="C57" s="25" t="s">
        <v>109</v>
      </c>
      <c r="D57" s="57">
        <v>6300</v>
      </c>
      <c r="E57" s="57">
        <v>0</v>
      </c>
      <c r="F57" s="57">
        <v>6300</v>
      </c>
      <c r="G57" s="57">
        <v>0</v>
      </c>
      <c r="H57" s="57">
        <v>0</v>
      </c>
      <c r="I57" s="57">
        <v>0</v>
      </c>
      <c r="J57" s="57">
        <v>5551.63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 t="shared" si="8"/>
        <v>18151.63</v>
      </c>
      <c r="Q57" s="22"/>
      <c r="R57" s="30"/>
      <c r="S57" s="22"/>
    </row>
    <row r="58" spans="2:19" ht="17.45" customHeight="1">
      <c r="B58" s="29" t="s">
        <v>110</v>
      </c>
      <c r="C58" s="25" t="s">
        <v>111</v>
      </c>
      <c r="D58" s="57">
        <v>3339.64</v>
      </c>
      <c r="E58" s="57">
        <v>0</v>
      </c>
      <c r="F58" s="57">
        <v>3339.64</v>
      </c>
      <c r="G58" s="57">
        <v>0</v>
      </c>
      <c r="H58" s="57">
        <v>0</v>
      </c>
      <c r="I58" s="57">
        <v>0</v>
      </c>
      <c r="J58" s="57">
        <v>3409.17</v>
      </c>
      <c r="K58" s="57">
        <v>4255.07</v>
      </c>
      <c r="L58" s="57">
        <v>0</v>
      </c>
      <c r="M58" s="57">
        <v>0</v>
      </c>
      <c r="N58" s="57">
        <v>0</v>
      </c>
      <c r="O58" s="57">
        <v>0</v>
      </c>
      <c r="P58" s="57">
        <f t="shared" si="8"/>
        <v>14343.52</v>
      </c>
      <c r="Q58" s="22"/>
      <c r="R58" s="30"/>
      <c r="S58" s="22"/>
    </row>
    <row r="59" spans="2:19" ht="17.45" customHeight="1">
      <c r="B59" s="29" t="s">
        <v>112</v>
      </c>
      <c r="C59" s="25" t="s">
        <v>113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 t="shared" si="8"/>
        <v>0</v>
      </c>
      <c r="Q59" s="22"/>
      <c r="R59" s="30"/>
      <c r="S59" s="22"/>
    </row>
    <row r="60" spans="2:19" ht="17.45" customHeight="1">
      <c r="B60" s="29" t="s">
        <v>114</v>
      </c>
      <c r="C60" s="25" t="s">
        <v>115</v>
      </c>
      <c r="D60" s="57">
        <v>5218.54</v>
      </c>
      <c r="E60" s="57">
        <v>0</v>
      </c>
      <c r="F60" s="57">
        <v>5218.54</v>
      </c>
      <c r="G60" s="57">
        <v>0</v>
      </c>
      <c r="H60" s="57">
        <v>0</v>
      </c>
      <c r="I60" s="57">
        <v>0</v>
      </c>
      <c r="J60" s="57">
        <v>5483.66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 t="shared" si="8"/>
        <v>15920.74</v>
      </c>
      <c r="Q60" s="22"/>
      <c r="R60" s="30"/>
      <c r="S60" s="22"/>
    </row>
    <row r="61" spans="2:19" ht="17.45" customHeight="1">
      <c r="B61" s="46" t="s">
        <v>116</v>
      </c>
      <c r="C61" s="45" t="s">
        <v>105</v>
      </c>
      <c r="D61" s="59">
        <f t="shared" ref="D61:O61" si="9">SUM(D56:D60)</f>
        <v>90850.959999999992</v>
      </c>
      <c r="E61" s="59">
        <f t="shared" si="9"/>
        <v>0</v>
      </c>
      <c r="F61" s="59">
        <f t="shared" si="9"/>
        <v>90850.959999999992</v>
      </c>
      <c r="G61" s="59">
        <f t="shared" si="9"/>
        <v>0</v>
      </c>
      <c r="H61" s="59">
        <f t="shared" si="9"/>
        <v>0</v>
      </c>
      <c r="I61" s="59">
        <f t="shared" si="9"/>
        <v>0</v>
      </c>
      <c r="J61" s="59">
        <f t="shared" si="9"/>
        <v>90453.260000000009</v>
      </c>
      <c r="K61" s="59">
        <f t="shared" si="9"/>
        <v>4255.07</v>
      </c>
      <c r="L61" s="59">
        <f t="shared" si="9"/>
        <v>0</v>
      </c>
      <c r="M61" s="59">
        <f t="shared" si="9"/>
        <v>0</v>
      </c>
      <c r="N61" s="59">
        <f t="shared" si="9"/>
        <v>0</v>
      </c>
      <c r="O61" s="59">
        <f t="shared" si="9"/>
        <v>0</v>
      </c>
      <c r="P61" s="59">
        <f>IFERROR(SUM(P56:P60),0)</f>
        <v>276410.25</v>
      </c>
      <c r="Q61" s="22"/>
      <c r="R61" s="30"/>
      <c r="S61" s="22"/>
    </row>
    <row r="62" spans="2:19" ht="17.45" customHeight="1">
      <c r="B62" s="29" t="s">
        <v>117</v>
      </c>
      <c r="C62" s="25" t="s">
        <v>118</v>
      </c>
      <c r="D62" s="57">
        <v>1945.66</v>
      </c>
      <c r="E62" s="57">
        <v>0</v>
      </c>
      <c r="F62" s="57">
        <v>1945.66</v>
      </c>
      <c r="G62" s="57">
        <v>0</v>
      </c>
      <c r="H62" s="57">
        <v>0</v>
      </c>
      <c r="I62" s="57">
        <v>0</v>
      </c>
      <c r="J62" s="57">
        <v>2408.84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 t="shared" ref="P62:P69" si="10">D62+E62+F62+G62+H62+I62+J62+K62+L62+M62+N62+O62</f>
        <v>6300.16</v>
      </c>
      <c r="Q62" s="22"/>
      <c r="R62" s="30"/>
      <c r="S62" s="22"/>
    </row>
    <row r="63" spans="2:19" ht="17.45" customHeight="1">
      <c r="B63" s="29" t="s">
        <v>119</v>
      </c>
      <c r="C63" s="25" t="s">
        <v>120</v>
      </c>
      <c r="D63" s="57">
        <v>2628.16</v>
      </c>
      <c r="E63" s="57">
        <v>0</v>
      </c>
      <c r="F63" s="57">
        <v>2628.16</v>
      </c>
      <c r="G63" s="57">
        <v>0</v>
      </c>
      <c r="H63" s="57">
        <v>0</v>
      </c>
      <c r="I63" s="57">
        <v>0</v>
      </c>
      <c r="J63" s="57">
        <v>4462.71</v>
      </c>
      <c r="K63" s="57">
        <v>3302.62</v>
      </c>
      <c r="L63" s="57">
        <v>0</v>
      </c>
      <c r="M63" s="57">
        <v>0</v>
      </c>
      <c r="N63" s="57">
        <v>0</v>
      </c>
      <c r="O63" s="57">
        <v>0</v>
      </c>
      <c r="P63" s="57">
        <f t="shared" si="10"/>
        <v>13021.649999999998</v>
      </c>
      <c r="Q63" s="22"/>
      <c r="R63" s="30"/>
      <c r="S63" s="22"/>
    </row>
    <row r="64" spans="2:19" ht="17.45" customHeight="1">
      <c r="B64" s="29" t="s">
        <v>121</v>
      </c>
      <c r="C64" s="25" t="s">
        <v>122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4343.6099999999997</v>
      </c>
      <c r="K64" s="57">
        <v>5875.08</v>
      </c>
      <c r="L64" s="57">
        <v>0</v>
      </c>
      <c r="M64" s="57">
        <v>0</v>
      </c>
      <c r="N64" s="57">
        <v>0</v>
      </c>
      <c r="O64" s="57">
        <v>0</v>
      </c>
      <c r="P64" s="57">
        <f t="shared" si="10"/>
        <v>10218.689999999999</v>
      </c>
      <c r="Q64" s="22"/>
      <c r="R64" s="30"/>
      <c r="S64" s="22"/>
    </row>
    <row r="65" spans="2:19" ht="17.45" customHeight="1">
      <c r="B65" s="29" t="s">
        <v>123</v>
      </c>
      <c r="C65" s="25" t="s">
        <v>124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23.83</v>
      </c>
      <c r="L65" s="57">
        <v>0</v>
      </c>
      <c r="M65" s="57">
        <v>0</v>
      </c>
      <c r="N65" s="57">
        <v>0</v>
      </c>
      <c r="O65" s="57">
        <v>0</v>
      </c>
      <c r="P65" s="57">
        <f t="shared" si="10"/>
        <v>23.83</v>
      </c>
      <c r="Q65" s="22"/>
      <c r="R65" s="30"/>
      <c r="S65" s="22"/>
    </row>
    <row r="66" spans="2:19" ht="17.45" customHeight="1">
      <c r="B66" s="29"/>
      <c r="C66" s="28" t="s">
        <v>125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 t="shared" si="10"/>
        <v>0</v>
      </c>
      <c r="Q66" s="22"/>
      <c r="R66" s="30"/>
      <c r="S66" s="22"/>
    </row>
    <row r="67" spans="2:19" ht="17.45" customHeight="1">
      <c r="B67" s="29" t="s">
        <v>126</v>
      </c>
      <c r="C67" s="25" t="s">
        <v>127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 t="shared" si="10"/>
        <v>0</v>
      </c>
      <c r="Q67" s="22"/>
      <c r="R67" s="30"/>
      <c r="S67" s="22"/>
    </row>
    <row r="68" spans="2:19" ht="17.45" customHeight="1">
      <c r="B68" s="29" t="s">
        <v>128</v>
      </c>
      <c r="C68" s="25" t="s">
        <v>129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 t="shared" si="10"/>
        <v>0</v>
      </c>
      <c r="Q68" s="22"/>
      <c r="R68" s="30"/>
      <c r="S68" s="22"/>
    </row>
    <row r="69" spans="2:19" ht="17.45" customHeight="1">
      <c r="B69" s="29"/>
      <c r="C69" s="25" t="s">
        <v>130</v>
      </c>
      <c r="D69" s="57">
        <v>696.27</v>
      </c>
      <c r="E69" s="57">
        <v>0</v>
      </c>
      <c r="F69" s="57">
        <v>696.27</v>
      </c>
      <c r="G69" s="57">
        <v>0</v>
      </c>
      <c r="H69" s="57">
        <v>0</v>
      </c>
      <c r="I69" s="57">
        <v>0</v>
      </c>
      <c r="J69" s="57">
        <v>771.19</v>
      </c>
      <c r="K69" s="57">
        <v>3440.31</v>
      </c>
      <c r="L69" s="57">
        <v>0</v>
      </c>
      <c r="M69" s="57">
        <v>0</v>
      </c>
      <c r="N69" s="57">
        <v>0</v>
      </c>
      <c r="O69" s="57">
        <v>0</v>
      </c>
      <c r="P69" s="57">
        <f t="shared" si="10"/>
        <v>5604.04</v>
      </c>
      <c r="Q69" s="22"/>
      <c r="R69" s="30"/>
      <c r="S69" s="22"/>
    </row>
    <row r="70" spans="2:19" ht="17.45" customHeight="1">
      <c r="B70" s="46" t="s">
        <v>131</v>
      </c>
      <c r="C70" s="45" t="s">
        <v>125</v>
      </c>
      <c r="D70" s="59">
        <f t="shared" ref="D70:O70" si="11">SUM(D68:D69)</f>
        <v>696.27</v>
      </c>
      <c r="E70" s="59">
        <f t="shared" si="11"/>
        <v>0</v>
      </c>
      <c r="F70" s="59">
        <f t="shared" si="11"/>
        <v>696.27</v>
      </c>
      <c r="G70" s="59">
        <f t="shared" si="11"/>
        <v>0</v>
      </c>
      <c r="H70" s="59">
        <f t="shared" si="11"/>
        <v>0</v>
      </c>
      <c r="I70" s="59">
        <f t="shared" si="11"/>
        <v>0</v>
      </c>
      <c r="J70" s="59">
        <f t="shared" si="11"/>
        <v>771.19</v>
      </c>
      <c r="K70" s="59">
        <f t="shared" si="11"/>
        <v>3440.31</v>
      </c>
      <c r="L70" s="59">
        <f t="shared" si="11"/>
        <v>0</v>
      </c>
      <c r="M70" s="59">
        <f t="shared" si="11"/>
        <v>0</v>
      </c>
      <c r="N70" s="59">
        <f t="shared" si="11"/>
        <v>0</v>
      </c>
      <c r="O70" s="59">
        <f t="shared" si="11"/>
        <v>0</v>
      </c>
      <c r="P70" s="59">
        <f>IFERROR(SUM(P68:P69),0)</f>
        <v>5604.04</v>
      </c>
      <c r="Q70" s="22"/>
      <c r="R70" s="30"/>
      <c r="S70" s="22"/>
    </row>
    <row r="71" spans="2:19" ht="17.45" customHeight="1">
      <c r="B71" s="29" t="s">
        <v>132</v>
      </c>
      <c r="C71" s="25" t="s">
        <v>133</v>
      </c>
      <c r="D71" s="57">
        <v>16264.25</v>
      </c>
      <c r="E71" s="57">
        <v>0</v>
      </c>
      <c r="F71" s="57">
        <v>16264.25</v>
      </c>
      <c r="G71" s="57">
        <v>0</v>
      </c>
      <c r="H71" s="57">
        <v>0</v>
      </c>
      <c r="I71" s="57">
        <v>0</v>
      </c>
      <c r="J71" s="57">
        <v>45800.17</v>
      </c>
      <c r="K71" s="57">
        <v>19657.240000000002</v>
      </c>
      <c r="L71" s="57">
        <v>0</v>
      </c>
      <c r="M71" s="57">
        <v>0</v>
      </c>
      <c r="N71" s="57">
        <v>0</v>
      </c>
      <c r="O71" s="57">
        <v>0</v>
      </c>
      <c r="P71" s="57">
        <f t="shared" ref="P71:P79" si="12">D71+E71+F71+G71+H71+I71+J71+K71+L71+M71+N71+O71</f>
        <v>97985.91</v>
      </c>
      <c r="Q71" s="22"/>
      <c r="R71" s="30"/>
      <c r="S71" s="22"/>
    </row>
    <row r="72" spans="2:19" ht="17.45" customHeight="1">
      <c r="B72" s="29"/>
      <c r="C72" s="28" t="s">
        <v>134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 t="shared" si="12"/>
        <v>0</v>
      </c>
      <c r="Q72" s="22"/>
      <c r="R72" s="30"/>
      <c r="S72" s="22"/>
    </row>
    <row r="73" spans="2:19" ht="17.45" customHeight="1">
      <c r="B73" s="29" t="s">
        <v>135</v>
      </c>
      <c r="C73" s="25" t="s">
        <v>136</v>
      </c>
      <c r="D73" s="57">
        <v>651.69000000000005</v>
      </c>
      <c r="E73" s="57">
        <v>0</v>
      </c>
      <c r="F73" s="57">
        <v>651.69000000000005</v>
      </c>
      <c r="G73" s="57">
        <v>0</v>
      </c>
      <c r="H73" s="57">
        <v>0</v>
      </c>
      <c r="I73" s="57">
        <v>0</v>
      </c>
      <c r="J73" s="57">
        <v>1481.33</v>
      </c>
      <c r="K73" s="57">
        <v>2284.9</v>
      </c>
      <c r="L73" s="57">
        <v>0</v>
      </c>
      <c r="M73" s="57">
        <v>0</v>
      </c>
      <c r="N73" s="57">
        <v>0</v>
      </c>
      <c r="O73" s="57">
        <v>0</v>
      </c>
      <c r="P73" s="57">
        <f t="shared" si="12"/>
        <v>5069.6100000000006</v>
      </c>
      <c r="Q73" s="22"/>
      <c r="R73" s="30"/>
      <c r="S73" s="22"/>
    </row>
    <row r="74" spans="2:19" ht="17.45" customHeight="1">
      <c r="B74" s="29" t="s">
        <v>137</v>
      </c>
      <c r="C74" s="25" t="s">
        <v>138</v>
      </c>
      <c r="D74" s="57">
        <v>0</v>
      </c>
      <c r="E74" s="57">
        <v>0</v>
      </c>
      <c r="F74" s="57">
        <v>0</v>
      </c>
      <c r="G74" s="57">
        <v>0</v>
      </c>
      <c r="H74" s="57">
        <v>0</v>
      </c>
      <c r="I74" s="57">
        <v>0</v>
      </c>
      <c r="J74" s="57">
        <v>-0.7</v>
      </c>
      <c r="K74" s="57">
        <v>2088.75</v>
      </c>
      <c r="L74" s="57">
        <v>0</v>
      </c>
      <c r="M74" s="57">
        <v>0</v>
      </c>
      <c r="N74" s="57">
        <v>0</v>
      </c>
      <c r="O74" s="57">
        <v>0</v>
      </c>
      <c r="P74" s="57">
        <f t="shared" si="12"/>
        <v>2088.0500000000002</v>
      </c>
      <c r="Q74" s="22"/>
      <c r="R74" s="30"/>
      <c r="S74" s="22"/>
    </row>
    <row r="75" spans="2:19" ht="17.45" customHeight="1">
      <c r="B75" s="29" t="s">
        <v>139</v>
      </c>
      <c r="C75" s="25" t="s">
        <v>140</v>
      </c>
      <c r="D75" s="57">
        <v>230.75</v>
      </c>
      <c r="E75" s="57">
        <v>0</v>
      </c>
      <c r="F75" s="57">
        <v>230.75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 t="shared" si="12"/>
        <v>461.5</v>
      </c>
      <c r="Q75" s="22"/>
      <c r="R75" s="30"/>
      <c r="S75" s="22"/>
    </row>
    <row r="76" spans="2:19" ht="17.45" customHeight="1">
      <c r="B76" s="29" t="s">
        <v>141</v>
      </c>
      <c r="C76" s="25" t="s">
        <v>142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 t="shared" si="12"/>
        <v>0</v>
      </c>
      <c r="Q76" s="22"/>
      <c r="R76" s="30"/>
      <c r="S76" s="22"/>
    </row>
    <row r="77" spans="2:19" ht="17.45" customHeight="1">
      <c r="B77" s="29" t="s">
        <v>143</v>
      </c>
      <c r="C77" s="25" t="s">
        <v>144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-9.1300000000000008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 t="shared" si="12"/>
        <v>-9.1300000000000008</v>
      </c>
      <c r="Q77" s="22"/>
      <c r="R77" s="30"/>
      <c r="S77" s="22"/>
    </row>
    <row r="78" spans="2:19" ht="17.45" customHeight="1">
      <c r="B78" s="29"/>
      <c r="C78" s="25" t="s">
        <v>145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 t="shared" si="12"/>
        <v>0</v>
      </c>
      <c r="Q78" s="22"/>
      <c r="R78" s="30"/>
      <c r="S78" s="22"/>
    </row>
    <row r="79" spans="2:19" ht="17.45" customHeight="1">
      <c r="B79" s="29"/>
      <c r="C79" s="25" t="s">
        <v>146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1020.31</v>
      </c>
      <c r="L79" s="57">
        <v>0</v>
      </c>
      <c r="M79" s="57">
        <v>0</v>
      </c>
      <c r="N79" s="57">
        <v>0</v>
      </c>
      <c r="O79" s="57">
        <v>0</v>
      </c>
      <c r="P79" s="57">
        <f t="shared" si="12"/>
        <v>1020.31</v>
      </c>
      <c r="Q79" s="22"/>
      <c r="R79" s="30"/>
      <c r="S79" s="22"/>
    </row>
    <row r="80" spans="2:19" ht="17.45" customHeight="1">
      <c r="B80" s="46" t="s">
        <v>147</v>
      </c>
      <c r="C80" s="45" t="s">
        <v>134</v>
      </c>
      <c r="D80" s="59">
        <f t="shared" ref="D80:O80" si="13">SUM(D73:D79)</f>
        <v>882.44</v>
      </c>
      <c r="E80" s="59">
        <f t="shared" si="13"/>
        <v>0</v>
      </c>
      <c r="F80" s="59">
        <f t="shared" si="13"/>
        <v>882.44</v>
      </c>
      <c r="G80" s="59">
        <f t="shared" si="13"/>
        <v>0</v>
      </c>
      <c r="H80" s="59">
        <f t="shared" si="13"/>
        <v>0</v>
      </c>
      <c r="I80" s="59">
        <f t="shared" si="13"/>
        <v>0</v>
      </c>
      <c r="J80" s="59">
        <f t="shared" si="13"/>
        <v>1471.4999999999998</v>
      </c>
      <c r="K80" s="59">
        <f t="shared" si="13"/>
        <v>5393.9599999999991</v>
      </c>
      <c r="L80" s="59">
        <f t="shared" si="13"/>
        <v>0</v>
      </c>
      <c r="M80" s="59">
        <f t="shared" si="13"/>
        <v>0</v>
      </c>
      <c r="N80" s="59">
        <f t="shared" si="13"/>
        <v>0</v>
      </c>
      <c r="O80" s="59">
        <f t="shared" si="13"/>
        <v>0</v>
      </c>
      <c r="P80" s="59">
        <f>IFERROR(SUM(P73:P79),0)</f>
        <v>8630.34</v>
      </c>
      <c r="Q80" s="22"/>
      <c r="R80" s="30"/>
      <c r="S80" s="22"/>
    </row>
    <row r="81" spans="2:19" ht="17.45" customHeight="1">
      <c r="B81" s="29"/>
      <c r="C81" s="28" t="s">
        <v>148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149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150</v>
      </c>
      <c r="C83" s="25" t="s">
        <v>151</v>
      </c>
      <c r="D83" s="57">
        <v>83.95</v>
      </c>
      <c r="E83" s="57">
        <v>0</v>
      </c>
      <c r="F83" s="57">
        <v>83.95</v>
      </c>
      <c r="G83" s="57">
        <v>0</v>
      </c>
      <c r="H83" s="57">
        <v>0</v>
      </c>
      <c r="I83" s="57">
        <v>0</v>
      </c>
      <c r="J83" s="57">
        <v>83.95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 t="shared" ref="P83:P88" si="14">D83+E83+F83+G83+H83+I83+J83+K83+L83+M83+N83+O83</f>
        <v>251.85000000000002</v>
      </c>
      <c r="Q83" s="22"/>
      <c r="R83" s="30"/>
      <c r="S83" s="22"/>
    </row>
    <row r="84" spans="2:19" ht="17.45" customHeight="1">
      <c r="B84" s="29" t="s">
        <v>152</v>
      </c>
      <c r="C84" s="25" t="s">
        <v>153</v>
      </c>
      <c r="D84" s="57">
        <v>4204.03</v>
      </c>
      <c r="E84" s="57">
        <v>0</v>
      </c>
      <c r="F84" s="57">
        <v>4204.03</v>
      </c>
      <c r="G84" s="57">
        <v>0</v>
      </c>
      <c r="H84" s="57">
        <v>0</v>
      </c>
      <c r="I84" s="57">
        <v>0</v>
      </c>
      <c r="J84" s="57">
        <v>1913.52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 t="shared" si="14"/>
        <v>10321.58</v>
      </c>
      <c r="Q84" s="22"/>
      <c r="R84" s="30"/>
      <c r="S84" s="22"/>
    </row>
    <row r="85" spans="2:19" ht="17.45" customHeight="1">
      <c r="B85" s="29" t="s">
        <v>154</v>
      </c>
      <c r="C85" s="25" t="s">
        <v>155</v>
      </c>
      <c r="D85" s="57">
        <v>62.45</v>
      </c>
      <c r="E85" s="57">
        <v>0</v>
      </c>
      <c r="F85" s="57">
        <v>62.45</v>
      </c>
      <c r="G85" s="57">
        <v>0</v>
      </c>
      <c r="H85" s="57">
        <v>0</v>
      </c>
      <c r="I85" s="57">
        <v>0</v>
      </c>
      <c r="J85" s="57">
        <v>62.45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 t="shared" si="14"/>
        <v>187.35000000000002</v>
      </c>
      <c r="Q85" s="22"/>
      <c r="R85" s="30"/>
      <c r="S85" s="22"/>
    </row>
    <row r="86" spans="2:19" ht="17.45" customHeight="1">
      <c r="B86" s="29" t="s">
        <v>156</v>
      </c>
      <c r="C86" s="25" t="s">
        <v>157</v>
      </c>
      <c r="D86" s="57">
        <v>0</v>
      </c>
      <c r="E86" s="57">
        <v>0</v>
      </c>
      <c r="F86" s="57">
        <v>0</v>
      </c>
      <c r="G86" s="57">
        <v>0</v>
      </c>
      <c r="H86" s="57">
        <v>0</v>
      </c>
      <c r="I86" s="57">
        <v>0</v>
      </c>
      <c r="J86" s="57">
        <v>0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 t="shared" si="14"/>
        <v>0</v>
      </c>
      <c r="Q86" s="22"/>
      <c r="R86" s="30"/>
      <c r="S86" s="22"/>
    </row>
    <row r="87" spans="2:19" ht="17.45" customHeight="1">
      <c r="B87" s="29" t="s">
        <v>158</v>
      </c>
      <c r="C87" s="25" t="s">
        <v>159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 t="shared" si="14"/>
        <v>0</v>
      </c>
      <c r="Q87" s="22"/>
      <c r="R87" s="30"/>
      <c r="S87" s="22"/>
    </row>
    <row r="88" spans="2:19" ht="17.45" customHeight="1">
      <c r="B88" s="29" t="s">
        <v>160</v>
      </c>
      <c r="C88" s="25" t="s">
        <v>161</v>
      </c>
      <c r="D88" s="57">
        <v>3342.38</v>
      </c>
      <c r="E88" s="57">
        <v>0</v>
      </c>
      <c r="F88" s="57">
        <v>3342.38</v>
      </c>
      <c r="G88" s="57">
        <v>0</v>
      </c>
      <c r="H88" s="57">
        <v>0</v>
      </c>
      <c r="I88" s="57">
        <v>0</v>
      </c>
      <c r="J88" s="57">
        <v>3550.16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 t="shared" si="14"/>
        <v>10234.92</v>
      </c>
      <c r="Q88" s="22"/>
      <c r="R88" s="30"/>
      <c r="S88" s="22"/>
    </row>
    <row r="89" spans="2:19" ht="17.45" customHeight="1">
      <c r="B89" s="46" t="s">
        <v>162</v>
      </c>
      <c r="C89" s="45" t="s">
        <v>148</v>
      </c>
      <c r="D89" s="59">
        <f t="shared" ref="D89:O89" si="15">SUM(D82:D88)</f>
        <v>7692.8099999999995</v>
      </c>
      <c r="E89" s="59">
        <f t="shared" si="15"/>
        <v>0</v>
      </c>
      <c r="F89" s="59">
        <f t="shared" si="15"/>
        <v>7692.8099999999995</v>
      </c>
      <c r="G89" s="59">
        <f t="shared" si="15"/>
        <v>0</v>
      </c>
      <c r="H89" s="59">
        <f t="shared" si="15"/>
        <v>0</v>
      </c>
      <c r="I89" s="59">
        <f t="shared" si="15"/>
        <v>0</v>
      </c>
      <c r="J89" s="59">
        <f t="shared" si="15"/>
        <v>5610.08</v>
      </c>
      <c r="K89" s="59">
        <f t="shared" si="15"/>
        <v>0</v>
      </c>
      <c r="L89" s="59">
        <f t="shared" si="15"/>
        <v>0</v>
      </c>
      <c r="M89" s="59">
        <f t="shared" si="15"/>
        <v>0</v>
      </c>
      <c r="N89" s="59">
        <f t="shared" si="15"/>
        <v>0</v>
      </c>
      <c r="O89" s="59">
        <f t="shared" si="15"/>
        <v>0</v>
      </c>
      <c r="P89" s="59">
        <f>IFERROR(SUM(P82:P88),0)</f>
        <v>20995.7</v>
      </c>
      <c r="Q89" s="22"/>
      <c r="R89" s="30"/>
      <c r="S89" s="22"/>
    </row>
    <row r="90" spans="2:19" ht="17.45" customHeight="1">
      <c r="B90" s="29" t="s">
        <v>163</v>
      </c>
      <c r="C90" s="25" t="s">
        <v>164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 t="shared" ref="P90:P100" si="16">D90+E90+F90+G90+H90+I90+J90+K90+L90+M90+N90+O90</f>
        <v>0</v>
      </c>
      <c r="Q90" s="22"/>
      <c r="R90" s="30"/>
      <c r="S90" s="22"/>
    </row>
    <row r="91" spans="2:19" ht="17.45" customHeight="1">
      <c r="B91" s="29" t="s">
        <v>165</v>
      </c>
      <c r="C91" s="25" t="s">
        <v>166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 t="shared" si="16"/>
        <v>0</v>
      </c>
      <c r="Q91" s="22"/>
      <c r="R91" s="30"/>
      <c r="S91" s="22"/>
    </row>
    <row r="92" spans="2:19" ht="17.45" customHeight="1">
      <c r="B92" s="29" t="s">
        <v>167</v>
      </c>
      <c r="C92" s="25" t="s">
        <v>168</v>
      </c>
      <c r="D92" s="57">
        <v>3155.07</v>
      </c>
      <c r="E92" s="57">
        <v>0</v>
      </c>
      <c r="F92" s="57">
        <v>3155.07</v>
      </c>
      <c r="G92" s="57">
        <v>0</v>
      </c>
      <c r="H92" s="57">
        <v>0</v>
      </c>
      <c r="I92" s="57">
        <v>0</v>
      </c>
      <c r="J92" s="57">
        <v>1525.94</v>
      </c>
      <c r="K92" s="57">
        <v>3398.59</v>
      </c>
      <c r="L92" s="57">
        <v>0</v>
      </c>
      <c r="M92" s="57">
        <v>0</v>
      </c>
      <c r="N92" s="57">
        <v>0</v>
      </c>
      <c r="O92" s="57">
        <v>0</v>
      </c>
      <c r="P92" s="57">
        <f t="shared" si="16"/>
        <v>11234.67</v>
      </c>
      <c r="Q92" s="22"/>
      <c r="R92" s="30"/>
      <c r="S92" s="22"/>
    </row>
    <row r="93" spans="2:19" ht="17.45" customHeight="1">
      <c r="B93" s="29" t="s">
        <v>169</v>
      </c>
      <c r="C93" s="25" t="s">
        <v>170</v>
      </c>
      <c r="D93" s="57">
        <v>9078.94</v>
      </c>
      <c r="E93" s="57">
        <v>0</v>
      </c>
      <c r="F93" s="57">
        <v>9078.94</v>
      </c>
      <c r="G93" s="57">
        <v>0</v>
      </c>
      <c r="H93" s="57">
        <v>0</v>
      </c>
      <c r="I93" s="57">
        <v>0</v>
      </c>
      <c r="J93" s="57">
        <v>5203.84</v>
      </c>
      <c r="K93" s="57">
        <v>4968.26</v>
      </c>
      <c r="L93" s="57">
        <v>0</v>
      </c>
      <c r="M93" s="57">
        <v>0</v>
      </c>
      <c r="N93" s="57">
        <v>0</v>
      </c>
      <c r="O93" s="57">
        <v>0</v>
      </c>
      <c r="P93" s="57">
        <f t="shared" si="16"/>
        <v>28329.980000000003</v>
      </c>
      <c r="Q93" s="22"/>
      <c r="R93" s="30"/>
      <c r="S93" s="22"/>
    </row>
    <row r="94" spans="2:19" ht="17.45" customHeight="1">
      <c r="B94" s="29" t="s">
        <v>171</v>
      </c>
      <c r="C94" s="25" t="s">
        <v>172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 t="shared" si="16"/>
        <v>0</v>
      </c>
      <c r="Q94" s="22"/>
      <c r="R94" s="30"/>
      <c r="S94" s="22"/>
    </row>
    <row r="95" spans="2:19" ht="17.45" customHeight="1">
      <c r="B95" s="29" t="s">
        <v>173</v>
      </c>
      <c r="C95" s="25" t="s">
        <v>174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 t="shared" si="16"/>
        <v>0</v>
      </c>
      <c r="Q95" s="22"/>
      <c r="R95" s="30"/>
      <c r="S95" s="22"/>
    </row>
    <row r="96" spans="2:19" ht="17.45" customHeight="1">
      <c r="B96" s="29" t="s">
        <v>175</v>
      </c>
      <c r="C96" s="25" t="s">
        <v>176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475.7</v>
      </c>
      <c r="K96" s="57">
        <v>465</v>
      </c>
      <c r="L96" s="57">
        <v>0</v>
      </c>
      <c r="M96" s="57">
        <v>0</v>
      </c>
      <c r="N96" s="57">
        <v>0</v>
      </c>
      <c r="O96" s="57">
        <v>0</v>
      </c>
      <c r="P96" s="57">
        <f t="shared" si="16"/>
        <v>940.7</v>
      </c>
      <c r="Q96" s="22"/>
      <c r="R96" s="30"/>
      <c r="S96" s="22"/>
    </row>
    <row r="97" spans="2:19" ht="17.45" customHeight="1">
      <c r="B97" s="29" t="s">
        <v>177</v>
      </c>
      <c r="C97" s="25" t="s">
        <v>178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 t="shared" si="16"/>
        <v>0</v>
      </c>
      <c r="Q97" s="22"/>
      <c r="R97" s="30"/>
      <c r="S97" s="22"/>
    </row>
    <row r="98" spans="2:19" ht="17.45" customHeight="1">
      <c r="B98" s="29" t="s">
        <v>179</v>
      </c>
      <c r="C98" s="25" t="s">
        <v>180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 t="shared" si="16"/>
        <v>0</v>
      </c>
      <c r="Q98" s="22"/>
      <c r="R98" s="30"/>
      <c r="S98" s="22"/>
    </row>
    <row r="99" spans="2:19" ht="17.45" customHeight="1">
      <c r="B99" s="29" t="s">
        <v>181</v>
      </c>
      <c r="C99" s="25" t="s">
        <v>182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 t="shared" si="16"/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183</v>
      </c>
      <c r="D100" s="57">
        <v>437.69</v>
      </c>
      <c r="E100" s="57">
        <v>0</v>
      </c>
      <c r="F100" s="57">
        <v>437.69</v>
      </c>
      <c r="G100" s="57">
        <v>0</v>
      </c>
      <c r="H100" s="57">
        <v>0</v>
      </c>
      <c r="I100" s="57">
        <v>0</v>
      </c>
      <c r="J100" s="57">
        <v>428.25</v>
      </c>
      <c r="K100" s="57">
        <v>477.74</v>
      </c>
      <c r="L100" s="57">
        <v>0</v>
      </c>
      <c r="M100" s="57">
        <v>0</v>
      </c>
      <c r="N100" s="57">
        <v>0</v>
      </c>
      <c r="O100" s="57">
        <v>0</v>
      </c>
      <c r="P100" s="57">
        <f t="shared" si="16"/>
        <v>1781.3700000000001</v>
      </c>
      <c r="Q100" s="22"/>
      <c r="R100" s="30"/>
      <c r="S100" s="22"/>
    </row>
    <row r="101" spans="2:19" ht="17.45" customHeight="1">
      <c r="B101" s="46" t="s">
        <v>167</v>
      </c>
      <c r="C101" s="51" t="s">
        <v>168</v>
      </c>
      <c r="D101" s="59">
        <f t="shared" ref="D101:O101" si="17">SUM(D92:D100)</f>
        <v>12671.7</v>
      </c>
      <c r="E101" s="59">
        <f t="shared" si="17"/>
        <v>0</v>
      </c>
      <c r="F101" s="59">
        <f t="shared" si="17"/>
        <v>12671.7</v>
      </c>
      <c r="G101" s="59">
        <f t="shared" si="17"/>
        <v>0</v>
      </c>
      <c r="H101" s="59">
        <f t="shared" si="17"/>
        <v>0</v>
      </c>
      <c r="I101" s="59">
        <f t="shared" si="17"/>
        <v>0</v>
      </c>
      <c r="J101" s="59">
        <f t="shared" si="17"/>
        <v>7633.7300000000005</v>
      </c>
      <c r="K101" s="59">
        <f t="shared" si="17"/>
        <v>9309.59</v>
      </c>
      <c r="L101" s="59">
        <f t="shared" si="17"/>
        <v>0</v>
      </c>
      <c r="M101" s="59">
        <f t="shared" si="17"/>
        <v>0</v>
      </c>
      <c r="N101" s="59">
        <f t="shared" si="17"/>
        <v>0</v>
      </c>
      <c r="O101" s="59">
        <f t="shared" si="17"/>
        <v>0</v>
      </c>
      <c r="P101" s="59">
        <f>IFERROR(SUM(P92:P100),0)</f>
        <v>42286.720000000001</v>
      </c>
      <c r="Q101" s="22"/>
      <c r="R101" s="30"/>
      <c r="S101" s="22"/>
    </row>
    <row r="102" spans="2:19" ht="17.45" customHeight="1">
      <c r="B102" s="29"/>
      <c r="C102" s="28" t="s">
        <v>184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D102+E102+F102+G102+H102+I102+J102+K102+L102+M102+N102+O102</f>
        <v>0</v>
      </c>
      <c r="Q102" s="22"/>
      <c r="R102" s="30"/>
      <c r="S102" s="22"/>
    </row>
    <row r="103" spans="2:19" ht="17.45" customHeight="1">
      <c r="B103" s="29" t="s">
        <v>185</v>
      </c>
      <c r="C103" s="25" t="s">
        <v>186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D103+E103+F103+G103+H103+I103+J103+K103+L103+M103+N103+O103</f>
        <v>0</v>
      </c>
      <c r="Q103" s="22"/>
      <c r="R103" s="30"/>
      <c r="S103" s="22"/>
    </row>
    <row r="104" spans="2:19" ht="17.45" customHeight="1">
      <c r="B104" s="29" t="s">
        <v>187</v>
      </c>
      <c r="C104" s="25" t="s">
        <v>188</v>
      </c>
      <c r="D104" s="57">
        <v>-90850.96</v>
      </c>
      <c r="E104" s="57">
        <v>0</v>
      </c>
      <c r="F104" s="57">
        <v>-90850.96</v>
      </c>
      <c r="G104" s="57">
        <v>0</v>
      </c>
      <c r="H104" s="57">
        <v>0</v>
      </c>
      <c r="I104" s="57">
        <v>0</v>
      </c>
      <c r="J104" s="57">
        <v>-90453.26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D104+E104+F104+G104+H104+I104+J104+K104+L104+M104+N104+O104</f>
        <v>-272155.18</v>
      </c>
      <c r="Q104" s="22"/>
      <c r="R104" s="30"/>
      <c r="S104" s="22"/>
    </row>
    <row r="105" spans="2:19" ht="17.45" customHeight="1">
      <c r="B105" s="29" t="s">
        <v>189</v>
      </c>
      <c r="C105" s="25" t="s">
        <v>190</v>
      </c>
      <c r="D105" s="57">
        <v>-42781.29</v>
      </c>
      <c r="E105" s="57">
        <v>0</v>
      </c>
      <c r="F105" s="57">
        <v>-42781.29</v>
      </c>
      <c r="G105" s="57">
        <v>0</v>
      </c>
      <c r="H105" s="57">
        <v>0</v>
      </c>
      <c r="I105" s="57">
        <v>0</v>
      </c>
      <c r="J105" s="57">
        <v>-72501.83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D105+E105+F105+G105+H105+I105+J105+K105+L105+M105+N105+O105</f>
        <v>-158064.41</v>
      </c>
      <c r="Q105" s="22"/>
      <c r="R105" s="30"/>
      <c r="S105" s="22"/>
    </row>
    <row r="106" spans="2:19" ht="17.45" customHeight="1">
      <c r="B106" s="46" t="s">
        <v>191</v>
      </c>
      <c r="C106" s="45" t="s">
        <v>184</v>
      </c>
      <c r="D106" s="59">
        <f t="shared" ref="D106:O106" si="18">SUM(D104:D105)</f>
        <v>-133632.25</v>
      </c>
      <c r="E106" s="59">
        <f t="shared" si="18"/>
        <v>0</v>
      </c>
      <c r="F106" s="59">
        <f t="shared" si="18"/>
        <v>-133632.25</v>
      </c>
      <c r="G106" s="59">
        <f t="shared" si="18"/>
        <v>0</v>
      </c>
      <c r="H106" s="59">
        <f t="shared" si="18"/>
        <v>0</v>
      </c>
      <c r="I106" s="59">
        <f t="shared" si="18"/>
        <v>0</v>
      </c>
      <c r="J106" s="59">
        <f t="shared" si="18"/>
        <v>-162955.09</v>
      </c>
      <c r="K106" s="59">
        <f t="shared" si="18"/>
        <v>0</v>
      </c>
      <c r="L106" s="59">
        <f t="shared" si="18"/>
        <v>0</v>
      </c>
      <c r="M106" s="59">
        <f t="shared" si="18"/>
        <v>0</v>
      </c>
      <c r="N106" s="59">
        <f t="shared" si="18"/>
        <v>0</v>
      </c>
      <c r="O106" s="59">
        <f t="shared" si="18"/>
        <v>0</v>
      </c>
      <c r="P106" s="59">
        <f>IFERROR(SUM(P104:P105),0)</f>
        <v>-430219.58999999997</v>
      </c>
      <c r="Q106" s="22"/>
      <c r="R106" s="30"/>
      <c r="S106" s="22"/>
    </row>
    <row r="107" spans="2:19" ht="17.45" customHeight="1">
      <c r="B107" s="29"/>
      <c r="C107" s="28" t="s">
        <v>192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193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194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195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196</v>
      </c>
      <c r="C111" s="48" t="s">
        <v>104</v>
      </c>
      <c r="D111" s="73">
        <f t="shared" ref="D111:P111" si="19">D106+D101+D91+D90+D89+D80+D71+D70+D65+D64+D63+D62+D61+D110</f>
        <v>0</v>
      </c>
      <c r="E111" s="73">
        <f t="shared" si="19"/>
        <v>0</v>
      </c>
      <c r="F111" s="73">
        <f t="shared" si="19"/>
        <v>0</v>
      </c>
      <c r="G111" s="73">
        <f t="shared" si="19"/>
        <v>0</v>
      </c>
      <c r="H111" s="73">
        <f t="shared" si="19"/>
        <v>0</v>
      </c>
      <c r="I111" s="73">
        <f t="shared" si="19"/>
        <v>0</v>
      </c>
      <c r="J111" s="73">
        <f t="shared" si="19"/>
        <v>1.4551915228366852E-11</v>
      </c>
      <c r="K111" s="73">
        <f t="shared" si="19"/>
        <v>51257.700000000004</v>
      </c>
      <c r="L111" s="73">
        <f t="shared" si="19"/>
        <v>0</v>
      </c>
      <c r="M111" s="73">
        <f t="shared" si="19"/>
        <v>0</v>
      </c>
      <c r="N111" s="73">
        <f t="shared" si="19"/>
        <v>0</v>
      </c>
      <c r="O111" s="73">
        <f t="shared" si="19"/>
        <v>0</v>
      </c>
      <c r="P111" s="73">
        <f>IFERROR(P106+P101+P91+P90+P89+P80+P71+P70+P65+P64+P63+P62+P61+P110,0)</f>
        <v>51257.700000000041</v>
      </c>
      <c r="Q111" s="22"/>
      <c r="R111" s="30"/>
      <c r="S111" s="22"/>
    </row>
    <row r="112" spans="2:19" ht="17.45" customHeight="1">
      <c r="B112" s="52" t="s">
        <v>197</v>
      </c>
      <c r="C112" s="53" t="s">
        <v>198</v>
      </c>
      <c r="D112" s="59">
        <f t="shared" ref="D112:P112" si="20">D36</f>
        <v>267264.5</v>
      </c>
      <c r="E112" s="59">
        <f t="shared" si="20"/>
        <v>0</v>
      </c>
      <c r="F112" s="59">
        <f t="shared" si="20"/>
        <v>267264.5</v>
      </c>
      <c r="G112" s="59">
        <f t="shared" si="20"/>
        <v>0</v>
      </c>
      <c r="H112" s="59">
        <f t="shared" si="20"/>
        <v>0</v>
      </c>
      <c r="I112" s="59">
        <f t="shared" si="20"/>
        <v>0</v>
      </c>
      <c r="J112" s="59">
        <f t="shared" si="20"/>
        <v>325910.18</v>
      </c>
      <c r="K112" s="59">
        <f t="shared" si="20"/>
        <v>231.56</v>
      </c>
      <c r="L112" s="59">
        <f t="shared" si="20"/>
        <v>0</v>
      </c>
      <c r="M112" s="59">
        <f t="shared" si="20"/>
        <v>0</v>
      </c>
      <c r="N112" s="59">
        <f t="shared" si="20"/>
        <v>0</v>
      </c>
      <c r="O112" s="59">
        <f t="shared" si="20"/>
        <v>0</v>
      </c>
      <c r="P112" s="59">
        <f>IFERROR(P36,0)</f>
        <v>860670.74</v>
      </c>
      <c r="Q112" s="22"/>
      <c r="R112" s="30"/>
      <c r="S112" s="22"/>
    </row>
    <row r="113" spans="2:19" ht="17.45" customHeight="1">
      <c r="B113" s="29"/>
      <c r="C113" s="27" t="s">
        <v>199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D113+E113+F113+G113+H113+I113+J113+K113+L113+M113+N113+O113</f>
        <v>0</v>
      </c>
      <c r="Q113" s="22"/>
      <c r="R113" s="30"/>
      <c r="S113" s="22"/>
    </row>
    <row r="114" spans="2:19" ht="17.45" customHeight="1">
      <c r="B114" s="29"/>
      <c r="C114" s="28" t="s">
        <v>200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D114+E114+F114+G114+H114+I114+J114+K114+L114+M114+N114+O114</f>
        <v>0</v>
      </c>
      <c r="Q114" s="22"/>
      <c r="R114" s="30"/>
      <c r="S114" s="22"/>
    </row>
    <row r="115" spans="2:19" ht="17.45" customHeight="1">
      <c r="B115" s="29" t="s">
        <v>201</v>
      </c>
      <c r="C115" s="25" t="s">
        <v>202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D115+E115+F115+G115+H115+I115+J115+K115+L115+M115+N115+O115</f>
        <v>0</v>
      </c>
      <c r="Q115" s="22"/>
      <c r="R115" s="30"/>
      <c r="S115" s="22"/>
    </row>
    <row r="116" spans="2:19" ht="17.45" customHeight="1">
      <c r="B116" s="29" t="s">
        <v>203</v>
      </c>
      <c r="C116" s="25" t="s">
        <v>204</v>
      </c>
      <c r="D116" s="57">
        <v>232.07</v>
      </c>
      <c r="E116" s="57">
        <v>0</v>
      </c>
      <c r="F116" s="57">
        <v>232.07</v>
      </c>
      <c r="G116" s="57">
        <v>0</v>
      </c>
      <c r="H116" s="57">
        <v>0</v>
      </c>
      <c r="I116" s="57">
        <v>0</v>
      </c>
      <c r="J116" s="57">
        <v>335.4</v>
      </c>
      <c r="K116" s="57">
        <v>32.06</v>
      </c>
      <c r="L116" s="57">
        <v>0</v>
      </c>
      <c r="M116" s="57">
        <v>0</v>
      </c>
      <c r="N116" s="57">
        <v>0</v>
      </c>
      <c r="O116" s="57">
        <v>0</v>
      </c>
      <c r="P116" s="57">
        <f>D116+E116+F116+G116+H116+I116+J116+K116+L116+M116+N116+O116</f>
        <v>831.59999999999991</v>
      </c>
      <c r="Q116" s="22"/>
      <c r="R116" s="30"/>
      <c r="S116" s="22"/>
    </row>
    <row r="117" spans="2:19" ht="17.45" customHeight="1">
      <c r="B117" s="47" t="s">
        <v>205</v>
      </c>
      <c r="C117" s="48" t="s">
        <v>200</v>
      </c>
      <c r="D117" s="59">
        <f>D116</f>
        <v>232.07</v>
      </c>
      <c r="E117" s="59">
        <f t="shared" ref="E117:O117" si="21">E116</f>
        <v>0</v>
      </c>
      <c r="F117" s="59">
        <f t="shared" si="21"/>
        <v>232.07</v>
      </c>
      <c r="G117" s="59">
        <f t="shared" si="21"/>
        <v>0</v>
      </c>
      <c r="H117" s="59">
        <f t="shared" si="21"/>
        <v>0</v>
      </c>
      <c r="I117" s="59">
        <f t="shared" si="21"/>
        <v>0</v>
      </c>
      <c r="J117" s="59">
        <f t="shared" si="21"/>
        <v>335.4</v>
      </c>
      <c r="K117" s="59">
        <f t="shared" si="21"/>
        <v>32.06</v>
      </c>
      <c r="L117" s="59">
        <f t="shared" si="21"/>
        <v>0</v>
      </c>
      <c r="M117" s="59">
        <f t="shared" si="21"/>
        <v>0</v>
      </c>
      <c r="N117" s="59">
        <f t="shared" si="21"/>
        <v>0</v>
      </c>
      <c r="O117" s="59">
        <f t="shared" si="21"/>
        <v>0</v>
      </c>
      <c r="P117" s="59">
        <f>IFERROR(SUM(P115:P116),0)</f>
        <v>831.59999999999991</v>
      </c>
      <c r="Q117" s="22"/>
      <c r="R117" s="30"/>
      <c r="S117" s="22"/>
    </row>
    <row r="118" spans="2:19" ht="17.45" customHeight="1">
      <c r="B118" s="29"/>
      <c r="C118" s="28" t="s">
        <v>206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 t="shared" ref="P118:P127" si="22">D118+E118+F118+G118+H118+I118+J118+K118+L118+M118+N118+O118</f>
        <v>0</v>
      </c>
      <c r="Q118" s="22"/>
      <c r="R118" s="30"/>
      <c r="S118" s="22"/>
    </row>
    <row r="119" spans="2:19" ht="17.45" customHeight="1">
      <c r="B119" s="29" t="s">
        <v>207</v>
      </c>
      <c r="C119" s="25" t="s">
        <v>208</v>
      </c>
      <c r="D119" s="57">
        <v>774.01</v>
      </c>
      <c r="E119" s="57">
        <v>0</v>
      </c>
      <c r="F119" s="57">
        <v>774.01</v>
      </c>
      <c r="G119" s="57">
        <v>0</v>
      </c>
      <c r="H119" s="57">
        <v>0</v>
      </c>
      <c r="I119" s="57">
        <v>0</v>
      </c>
      <c r="J119" s="57">
        <v>1406.63</v>
      </c>
      <c r="K119" s="57">
        <v>155.58000000000001</v>
      </c>
      <c r="L119" s="57">
        <v>0</v>
      </c>
      <c r="M119" s="57">
        <v>0</v>
      </c>
      <c r="N119" s="57">
        <v>0</v>
      </c>
      <c r="O119" s="57">
        <v>0</v>
      </c>
      <c r="P119" s="57">
        <f t="shared" si="22"/>
        <v>3110.23</v>
      </c>
      <c r="Q119" s="22"/>
      <c r="R119" s="30"/>
      <c r="S119" s="22"/>
    </row>
    <row r="120" spans="2:19" ht="17.45" customHeight="1">
      <c r="B120" s="29" t="s">
        <v>209</v>
      </c>
      <c r="C120" s="25" t="s">
        <v>210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 t="shared" si="22"/>
        <v>0</v>
      </c>
      <c r="Q120" s="22"/>
      <c r="R120" s="30"/>
      <c r="S120" s="22"/>
    </row>
    <row r="121" spans="2:19" ht="17.45" customHeight="1">
      <c r="B121" s="29"/>
      <c r="C121" s="33" t="s">
        <v>211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 t="shared" si="22"/>
        <v>0</v>
      </c>
      <c r="Q121" s="22"/>
      <c r="R121" s="30"/>
      <c r="S121" s="22"/>
    </row>
    <row r="122" spans="2:19" ht="17.45" customHeight="1">
      <c r="B122" s="29" t="s">
        <v>212</v>
      </c>
      <c r="C122" s="25" t="s">
        <v>213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 t="shared" si="22"/>
        <v>0</v>
      </c>
      <c r="Q122" s="22"/>
      <c r="R122" s="30"/>
      <c r="S122" s="22"/>
    </row>
    <row r="123" spans="2:19" ht="17.45" customHeight="1">
      <c r="B123" s="29" t="s">
        <v>214</v>
      </c>
      <c r="C123" s="25" t="s">
        <v>215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 t="shared" si="22"/>
        <v>0</v>
      </c>
      <c r="Q123" s="22"/>
      <c r="R123" s="30"/>
      <c r="S123" s="22"/>
    </row>
    <row r="124" spans="2:19" ht="17.45" customHeight="1">
      <c r="B124" s="29" t="s">
        <v>216</v>
      </c>
      <c r="C124" s="25" t="s">
        <v>217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 t="shared" si="22"/>
        <v>0</v>
      </c>
      <c r="Q124" s="22"/>
      <c r="R124" s="30"/>
      <c r="S124" s="22"/>
    </row>
    <row r="125" spans="2:19" ht="17.45" customHeight="1">
      <c r="B125" s="29" t="s">
        <v>218</v>
      </c>
      <c r="C125" s="25" t="s">
        <v>219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 t="shared" si="22"/>
        <v>0</v>
      </c>
      <c r="Q125" s="22"/>
      <c r="R125" s="30"/>
      <c r="S125" s="22"/>
    </row>
    <row r="126" spans="2:19" ht="17.45" customHeight="1">
      <c r="B126" s="29" t="s">
        <v>220</v>
      </c>
      <c r="C126" s="25" t="s">
        <v>221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 t="shared" si="22"/>
        <v>0</v>
      </c>
      <c r="Q126" s="22"/>
      <c r="R126" s="30"/>
      <c r="S126" s="22"/>
    </row>
    <row r="127" spans="2:19" ht="17.45" customHeight="1">
      <c r="B127" s="29" t="s">
        <v>222</v>
      </c>
      <c r="C127" s="25" t="s">
        <v>223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 t="shared" si="22"/>
        <v>0</v>
      </c>
      <c r="Q127" s="22"/>
      <c r="R127" s="30"/>
      <c r="S127" s="22"/>
    </row>
    <row r="128" spans="2:19" ht="17.45" customHeight="1">
      <c r="B128" s="47" t="s">
        <v>224</v>
      </c>
      <c r="C128" s="48" t="s">
        <v>211</v>
      </c>
      <c r="D128" s="59">
        <f t="shared" ref="D128:O128" si="23">SUM(D122:D127)</f>
        <v>0</v>
      </c>
      <c r="E128" s="59">
        <f t="shared" si="23"/>
        <v>0</v>
      </c>
      <c r="F128" s="59">
        <f t="shared" si="23"/>
        <v>0</v>
      </c>
      <c r="G128" s="59">
        <f t="shared" si="23"/>
        <v>0</v>
      </c>
      <c r="H128" s="59">
        <f t="shared" si="23"/>
        <v>0</v>
      </c>
      <c r="I128" s="59">
        <f t="shared" si="23"/>
        <v>0</v>
      </c>
      <c r="J128" s="59">
        <f t="shared" si="23"/>
        <v>0</v>
      </c>
      <c r="K128" s="59">
        <f t="shared" si="23"/>
        <v>0</v>
      </c>
      <c r="L128" s="59">
        <f t="shared" si="23"/>
        <v>0</v>
      </c>
      <c r="M128" s="59">
        <f t="shared" si="23"/>
        <v>0</v>
      </c>
      <c r="N128" s="59">
        <f t="shared" si="23"/>
        <v>0</v>
      </c>
      <c r="O128" s="59">
        <f t="shared" si="23"/>
        <v>0</v>
      </c>
      <c r="P128" s="59">
        <f>IFERROR(SUM(P122:P127),0)</f>
        <v>0</v>
      </c>
      <c r="Q128" s="22"/>
      <c r="R128" s="30"/>
      <c r="S128" s="22"/>
    </row>
    <row r="129" spans="2:19" ht="17.45" customHeight="1">
      <c r="B129" s="29" t="s">
        <v>225</v>
      </c>
      <c r="C129" s="25" t="s">
        <v>226</v>
      </c>
      <c r="D129" s="57">
        <v>21.99</v>
      </c>
      <c r="E129" s="57">
        <v>0</v>
      </c>
      <c r="F129" s="57">
        <v>21.99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D129+E129+F129+G129+H129+I129+J129+K129+L129+M129+N129+O129</f>
        <v>43.98</v>
      </c>
      <c r="Q129" s="22"/>
      <c r="R129" s="30"/>
      <c r="S129" s="22"/>
    </row>
    <row r="130" spans="2:19" ht="17.45" customHeight="1">
      <c r="B130" s="29" t="s">
        <v>227</v>
      </c>
      <c r="C130" s="25" t="s">
        <v>228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D130+E130+F130+G130+H130+I130+J130+K130+L130+M130+N130+O130</f>
        <v>0</v>
      </c>
      <c r="Q130" s="22"/>
      <c r="R130" s="30"/>
      <c r="S130" s="22"/>
    </row>
    <row r="131" spans="2:19" ht="17.45" customHeight="1">
      <c r="B131" s="29" t="s">
        <v>229</v>
      </c>
      <c r="C131" s="25" t="s">
        <v>230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D131+E131+F131+G131+H131+I131+J131+K131+L131+M131+N131+O131</f>
        <v>0</v>
      </c>
      <c r="Q131" s="22"/>
      <c r="R131" s="30"/>
      <c r="S131" s="22"/>
    </row>
    <row r="132" spans="2:19" ht="17.45" customHeight="1">
      <c r="B132" s="47" t="s">
        <v>231</v>
      </c>
      <c r="C132" s="48" t="s">
        <v>206</v>
      </c>
      <c r="D132" s="59">
        <f t="shared" ref="D132:O132" si="24">D119+D128+D129+D130</f>
        <v>796</v>
      </c>
      <c r="E132" s="59">
        <f t="shared" si="24"/>
        <v>0</v>
      </c>
      <c r="F132" s="59">
        <f t="shared" si="24"/>
        <v>796</v>
      </c>
      <c r="G132" s="59">
        <f t="shared" si="24"/>
        <v>0</v>
      </c>
      <c r="H132" s="59">
        <f t="shared" si="24"/>
        <v>0</v>
      </c>
      <c r="I132" s="59">
        <f t="shared" si="24"/>
        <v>0</v>
      </c>
      <c r="J132" s="59">
        <f t="shared" si="24"/>
        <v>1406.63</v>
      </c>
      <c r="K132" s="59">
        <f t="shared" si="24"/>
        <v>155.58000000000001</v>
      </c>
      <c r="L132" s="59">
        <f t="shared" si="24"/>
        <v>0</v>
      </c>
      <c r="M132" s="59">
        <f t="shared" si="24"/>
        <v>0</v>
      </c>
      <c r="N132" s="59">
        <f t="shared" si="24"/>
        <v>0</v>
      </c>
      <c r="O132" s="59">
        <f t="shared" si="24"/>
        <v>0</v>
      </c>
      <c r="P132" s="59">
        <f>IFERROR(P119+P128+P129+P130,0)</f>
        <v>3154.21</v>
      </c>
      <c r="Q132" s="22"/>
      <c r="R132" s="30"/>
      <c r="S132" s="22"/>
    </row>
    <row r="133" spans="2:19" ht="17.45" customHeight="1">
      <c r="B133" s="29"/>
      <c r="C133" s="33" t="s">
        <v>232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D133+E133+F133+G133+H133+I133+J133+K133+L133+M133+N133+O133</f>
        <v>0</v>
      </c>
      <c r="Q133" s="22"/>
      <c r="R133" s="30"/>
      <c r="S133" s="22"/>
    </row>
    <row r="134" spans="2:19" ht="17.45" customHeight="1">
      <c r="B134" s="29" t="s">
        <v>233</v>
      </c>
      <c r="C134" s="25" t="s">
        <v>39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D134+E134+F134+G134+H134+I134+J134+K134+L134+M134+N134+O134</f>
        <v>0</v>
      </c>
      <c r="Q134" s="22"/>
      <c r="R134" s="30"/>
      <c r="S134" s="22"/>
    </row>
    <row r="135" spans="2:19" ht="17.45" customHeight="1">
      <c r="B135" s="29" t="s">
        <v>234</v>
      </c>
      <c r="C135" s="25" t="s">
        <v>235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D135+E135+F135+G135+H135+I135+J135+K135+L135+M135+N135+O135</f>
        <v>0</v>
      </c>
      <c r="Q135" s="22"/>
      <c r="R135" s="30"/>
      <c r="S135" s="22"/>
    </row>
    <row r="136" spans="2:19" ht="17.45" customHeight="1">
      <c r="B136" s="29" t="s">
        <v>236</v>
      </c>
      <c r="C136" s="25" t="s">
        <v>237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D136+E136+F136+G136+H136+I136+J136+K136+L136+M136+N136+O136</f>
        <v>0</v>
      </c>
      <c r="Q136" s="22"/>
      <c r="R136" s="30"/>
      <c r="S136" s="22"/>
    </row>
    <row r="137" spans="2:19" ht="17.45" customHeight="1">
      <c r="B137" s="43" t="s">
        <v>238</v>
      </c>
      <c r="C137" s="44" t="s">
        <v>232</v>
      </c>
      <c r="D137" s="75">
        <f t="shared" ref="D137:O137" si="25">SUM(D134:D136)</f>
        <v>0</v>
      </c>
      <c r="E137" s="75">
        <f t="shared" si="25"/>
        <v>0</v>
      </c>
      <c r="F137" s="75">
        <f t="shared" si="25"/>
        <v>0</v>
      </c>
      <c r="G137" s="75">
        <f t="shared" si="25"/>
        <v>0</v>
      </c>
      <c r="H137" s="75">
        <f t="shared" si="25"/>
        <v>0</v>
      </c>
      <c r="I137" s="75">
        <f t="shared" si="25"/>
        <v>0</v>
      </c>
      <c r="J137" s="75">
        <f t="shared" si="25"/>
        <v>0</v>
      </c>
      <c r="K137" s="75">
        <f t="shared" si="25"/>
        <v>0</v>
      </c>
      <c r="L137" s="75">
        <f t="shared" si="25"/>
        <v>0</v>
      </c>
      <c r="M137" s="75">
        <f t="shared" si="25"/>
        <v>0</v>
      </c>
      <c r="N137" s="75">
        <f t="shared" si="25"/>
        <v>0</v>
      </c>
      <c r="O137" s="75">
        <f t="shared" si="25"/>
        <v>0</v>
      </c>
      <c r="P137" s="75">
        <f>IFERROR(SUM(P134:P136),0)</f>
        <v>0</v>
      </c>
      <c r="Q137" s="22"/>
      <c r="R137" s="30"/>
      <c r="S137" s="22"/>
    </row>
    <row r="138" spans="2:19" ht="17.45" customHeight="1">
      <c r="B138" s="52" t="s">
        <v>239</v>
      </c>
      <c r="C138" s="53" t="s">
        <v>199</v>
      </c>
      <c r="D138" s="59">
        <f t="shared" ref="D138:O138" si="26">D137+D132+D117</f>
        <v>1028.07</v>
      </c>
      <c r="E138" s="59">
        <f t="shared" si="26"/>
        <v>0</v>
      </c>
      <c r="F138" s="59">
        <f t="shared" si="26"/>
        <v>1028.07</v>
      </c>
      <c r="G138" s="59">
        <f t="shared" si="26"/>
        <v>0</v>
      </c>
      <c r="H138" s="59">
        <f t="shared" si="26"/>
        <v>0</v>
      </c>
      <c r="I138" s="59">
        <f t="shared" si="26"/>
        <v>0</v>
      </c>
      <c r="J138" s="59">
        <f t="shared" si="26"/>
        <v>1742.0300000000002</v>
      </c>
      <c r="K138" s="59">
        <f t="shared" si="26"/>
        <v>187.64000000000001</v>
      </c>
      <c r="L138" s="59">
        <f t="shared" si="26"/>
        <v>0</v>
      </c>
      <c r="M138" s="59">
        <f t="shared" si="26"/>
        <v>0</v>
      </c>
      <c r="N138" s="59">
        <f t="shared" si="26"/>
        <v>0</v>
      </c>
      <c r="O138" s="59">
        <f t="shared" si="26"/>
        <v>0</v>
      </c>
      <c r="P138" s="59">
        <f>IFERROR(P137+P132+P117,0)</f>
        <v>3985.81</v>
      </c>
      <c r="Q138" s="22"/>
      <c r="R138" s="30"/>
      <c r="S138" s="22"/>
    </row>
    <row r="139" spans="2:19" ht="17.45" customHeight="1">
      <c r="B139" s="29"/>
      <c r="C139" s="27" t="s">
        <v>240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 t="shared" ref="P139:P146" si="27">D139+E139+F139+G139+H139+I139+J139+K139+L139+M139+N139+O139</f>
        <v>0</v>
      </c>
      <c r="Q139" s="22"/>
      <c r="R139" s="30"/>
      <c r="S139" s="22"/>
    </row>
    <row r="140" spans="2:19" ht="17.45" customHeight="1">
      <c r="B140" s="29"/>
      <c r="C140" s="28" t="s">
        <v>241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 t="shared" si="27"/>
        <v>0</v>
      </c>
      <c r="Q140" s="22"/>
      <c r="R140" s="30"/>
      <c r="S140" s="22"/>
    </row>
    <row r="141" spans="2:19" ht="17.45" customHeight="1">
      <c r="B141" s="29" t="s">
        <v>242</v>
      </c>
      <c r="C141" s="25" t="s">
        <v>243</v>
      </c>
      <c r="D141" s="57">
        <v>13556.96</v>
      </c>
      <c r="E141" s="57">
        <v>0</v>
      </c>
      <c r="F141" s="57">
        <v>13556.96</v>
      </c>
      <c r="G141" s="57">
        <v>0</v>
      </c>
      <c r="H141" s="57">
        <v>0</v>
      </c>
      <c r="I141" s="57">
        <v>0</v>
      </c>
      <c r="J141" s="57">
        <v>13585.94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 t="shared" si="27"/>
        <v>40699.86</v>
      </c>
      <c r="Q141" s="22"/>
      <c r="R141" s="30"/>
      <c r="S141" s="22"/>
    </row>
    <row r="142" spans="2:19" ht="17.45" customHeight="1">
      <c r="B142" s="29" t="s">
        <v>244</v>
      </c>
      <c r="C142" s="25" t="s">
        <v>245</v>
      </c>
      <c r="D142" s="57">
        <v>3339.64</v>
      </c>
      <c r="E142" s="57">
        <v>0</v>
      </c>
      <c r="F142" s="57">
        <v>3339.64</v>
      </c>
      <c r="G142" s="57">
        <v>0</v>
      </c>
      <c r="H142" s="57">
        <v>0</v>
      </c>
      <c r="I142" s="57">
        <v>0</v>
      </c>
      <c r="J142" s="57">
        <v>3409.17</v>
      </c>
      <c r="K142" s="57">
        <v>4255.07</v>
      </c>
      <c r="L142" s="57">
        <v>0</v>
      </c>
      <c r="M142" s="57">
        <v>0</v>
      </c>
      <c r="N142" s="57">
        <v>0</v>
      </c>
      <c r="O142" s="57">
        <v>0</v>
      </c>
      <c r="P142" s="57">
        <f t="shared" si="27"/>
        <v>14343.52</v>
      </c>
      <c r="Q142" s="22"/>
      <c r="R142" s="30"/>
      <c r="S142" s="22"/>
    </row>
    <row r="143" spans="2:19" ht="17.45" customHeight="1">
      <c r="B143" s="29" t="s">
        <v>246</v>
      </c>
      <c r="C143" s="25" t="s">
        <v>247</v>
      </c>
      <c r="D143" s="57">
        <v>600</v>
      </c>
      <c r="E143" s="57">
        <v>0</v>
      </c>
      <c r="F143" s="57">
        <v>600</v>
      </c>
      <c r="G143" s="57">
        <v>0</v>
      </c>
      <c r="H143" s="57">
        <v>0</v>
      </c>
      <c r="I143" s="57">
        <v>0</v>
      </c>
      <c r="J143" s="57">
        <v>961.7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 t="shared" si="27"/>
        <v>2161.6999999999998</v>
      </c>
      <c r="Q143" s="22"/>
      <c r="R143" s="30"/>
      <c r="S143" s="22"/>
    </row>
    <row r="144" spans="2:19" ht="17.45" customHeight="1">
      <c r="B144" s="29" t="s">
        <v>248</v>
      </c>
      <c r="C144" s="25" t="s">
        <v>118</v>
      </c>
      <c r="D144" s="57">
        <v>1945.66</v>
      </c>
      <c r="E144" s="57">
        <v>0</v>
      </c>
      <c r="F144" s="57">
        <v>1945.66</v>
      </c>
      <c r="G144" s="57">
        <v>0</v>
      </c>
      <c r="H144" s="57">
        <v>0</v>
      </c>
      <c r="I144" s="57">
        <v>0</v>
      </c>
      <c r="J144" s="57">
        <v>2408.84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 t="shared" si="27"/>
        <v>6300.16</v>
      </c>
      <c r="Q144" s="22"/>
      <c r="R144" s="30"/>
      <c r="S144" s="22"/>
    </row>
    <row r="145" spans="2:19" ht="17.45" customHeight="1">
      <c r="B145" s="29" t="s">
        <v>249</v>
      </c>
      <c r="C145" s="25" t="s">
        <v>250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 t="shared" si="27"/>
        <v>0</v>
      </c>
      <c r="Q145" s="22"/>
      <c r="R145" s="30"/>
      <c r="S145" s="22"/>
    </row>
    <row r="146" spans="2:19" ht="17.45" customHeight="1">
      <c r="B146" s="29" t="s">
        <v>251</v>
      </c>
      <c r="C146" s="25" t="s">
        <v>252</v>
      </c>
      <c r="D146" s="57">
        <v>5218.54</v>
      </c>
      <c r="E146" s="57">
        <v>0</v>
      </c>
      <c r="F146" s="57">
        <v>5218.54</v>
      </c>
      <c r="G146" s="57">
        <v>0</v>
      </c>
      <c r="H146" s="57">
        <v>0</v>
      </c>
      <c r="I146" s="57">
        <v>0</v>
      </c>
      <c r="J146" s="57">
        <v>5483.66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 t="shared" si="27"/>
        <v>15920.74</v>
      </c>
      <c r="Q146" s="22"/>
      <c r="R146" s="30"/>
      <c r="S146" s="22"/>
    </row>
    <row r="147" spans="2:19" ht="17.45" customHeight="1">
      <c r="B147" s="29"/>
      <c r="C147" s="25" t="s">
        <v>253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254</v>
      </c>
      <c r="C148" s="45" t="s">
        <v>241</v>
      </c>
      <c r="D148" s="59">
        <f t="shared" ref="D148:P148" si="28">SUM(D141:D147)</f>
        <v>24660.799999999999</v>
      </c>
      <c r="E148" s="59">
        <f t="shared" si="28"/>
        <v>0</v>
      </c>
      <c r="F148" s="59">
        <f t="shared" si="28"/>
        <v>24660.799999999999</v>
      </c>
      <c r="G148" s="59">
        <f t="shared" si="28"/>
        <v>0</v>
      </c>
      <c r="H148" s="59">
        <f t="shared" si="28"/>
        <v>0</v>
      </c>
      <c r="I148" s="59">
        <f t="shared" si="28"/>
        <v>0</v>
      </c>
      <c r="J148" s="59">
        <f t="shared" si="28"/>
        <v>25849.31</v>
      </c>
      <c r="K148" s="59">
        <f t="shared" si="28"/>
        <v>4255.07</v>
      </c>
      <c r="L148" s="59">
        <f t="shared" si="28"/>
        <v>0</v>
      </c>
      <c r="M148" s="59">
        <f t="shared" si="28"/>
        <v>0</v>
      </c>
      <c r="N148" s="59">
        <f t="shared" si="28"/>
        <v>0</v>
      </c>
      <c r="O148" s="59">
        <f t="shared" si="28"/>
        <v>0</v>
      </c>
      <c r="P148" s="59">
        <f>IFERROR(SUM(P141:P147),0)</f>
        <v>79425.98000000001</v>
      </c>
      <c r="Q148" s="22"/>
      <c r="R148" s="30"/>
      <c r="S148" s="22"/>
    </row>
    <row r="149" spans="2:19" ht="17.45" customHeight="1">
      <c r="B149" s="29"/>
      <c r="C149" s="27" t="s">
        <v>255</v>
      </c>
      <c r="D149" s="57" t="s">
        <v>432</v>
      </c>
      <c r="E149" s="57">
        <v>0</v>
      </c>
      <c r="F149" s="57" t="s">
        <v>432</v>
      </c>
      <c r="G149" s="57">
        <v>0</v>
      </c>
      <c r="H149" s="57">
        <v>0</v>
      </c>
      <c r="I149" s="57">
        <v>0</v>
      </c>
      <c r="J149" s="57" t="s">
        <v>432</v>
      </c>
      <c r="K149" s="57" t="s">
        <v>432</v>
      </c>
      <c r="L149" s="57">
        <v>0</v>
      </c>
      <c r="M149" s="57">
        <v>0</v>
      </c>
      <c r="N149" s="57">
        <v>0</v>
      </c>
      <c r="O149" s="57">
        <v>0</v>
      </c>
      <c r="P149" s="57">
        <f>IFERROR(D149+E149+F149+G149+H149+I149+J149+K149+L149+M149+N149+O149,0)</f>
        <v>0</v>
      </c>
      <c r="Q149" s="22"/>
      <c r="R149" s="30"/>
      <c r="S149" s="22"/>
    </row>
    <row r="150" spans="2:19" ht="17.45" customHeight="1">
      <c r="B150" s="29" t="s">
        <v>256</v>
      </c>
      <c r="C150" s="25" t="s">
        <v>257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IFERROR(D150+E150+F150+G150+H150+I150+J150+K150+L150+M150+N150+O150,0)</f>
        <v>0</v>
      </c>
      <c r="Q150" s="22"/>
      <c r="R150" s="30"/>
      <c r="S150" s="22"/>
    </row>
    <row r="151" spans="2:19" ht="17.45" customHeight="1">
      <c r="B151" s="29" t="s">
        <v>258</v>
      </c>
      <c r="C151" s="25" t="s">
        <v>259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IFERROR(D151+E151+F151+G151+H151+I151+J151+K151+L151+M151+N151+O151,0)</f>
        <v>0</v>
      </c>
      <c r="Q151" s="22"/>
      <c r="R151" s="30"/>
      <c r="S151" s="22"/>
    </row>
    <row r="152" spans="2:19" ht="17.45" customHeight="1">
      <c r="B152" s="29" t="s">
        <v>260</v>
      </c>
      <c r="C152" s="25" t="s">
        <v>261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IFERROR(D152+E152+F152+G152+H152+I152+J152+K152+L152+M152+N152+O152,0)</f>
        <v>0</v>
      </c>
      <c r="Q152" s="22"/>
      <c r="R152" s="30"/>
      <c r="S152" s="22"/>
    </row>
    <row r="153" spans="2:19" ht="17.45" customHeight="1">
      <c r="B153" s="29" t="s">
        <v>262</v>
      </c>
      <c r="C153" s="25" t="s">
        <v>263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IFERROR(D153+E153+F153+G153+H153+I153+J153+K153+L153+M153+N153+O153,0)</f>
        <v>0</v>
      </c>
      <c r="Q153" s="22"/>
      <c r="R153" s="30"/>
      <c r="S153" s="22"/>
    </row>
    <row r="154" spans="2:19" ht="17.45" customHeight="1">
      <c r="B154" s="46" t="s">
        <v>264</v>
      </c>
      <c r="C154" s="45" t="s">
        <v>255</v>
      </c>
      <c r="D154" s="59">
        <f t="shared" ref="D154:O154" si="29">SUM(D151:D153)</f>
        <v>0</v>
      </c>
      <c r="E154" s="59">
        <f t="shared" si="29"/>
        <v>0</v>
      </c>
      <c r="F154" s="59">
        <f t="shared" si="29"/>
        <v>0</v>
      </c>
      <c r="G154" s="59">
        <f t="shared" si="29"/>
        <v>0</v>
      </c>
      <c r="H154" s="59">
        <f t="shared" si="29"/>
        <v>0</v>
      </c>
      <c r="I154" s="59">
        <f t="shared" si="29"/>
        <v>0</v>
      </c>
      <c r="J154" s="59">
        <f t="shared" si="29"/>
        <v>0</v>
      </c>
      <c r="K154" s="59">
        <f t="shared" si="29"/>
        <v>0</v>
      </c>
      <c r="L154" s="59">
        <f t="shared" si="29"/>
        <v>0</v>
      </c>
      <c r="M154" s="59">
        <f t="shared" si="29"/>
        <v>0</v>
      </c>
      <c r="N154" s="59">
        <f t="shared" si="29"/>
        <v>0</v>
      </c>
      <c r="O154" s="59">
        <f t="shared" si="29"/>
        <v>0</v>
      </c>
      <c r="P154" s="59">
        <f>IFERROR(SUM(P151:P153),0)</f>
        <v>0</v>
      </c>
      <c r="Q154" s="22"/>
      <c r="R154" s="30"/>
      <c r="S154" s="22"/>
    </row>
    <row r="155" spans="2:19" ht="17.45" customHeight="1">
      <c r="B155" s="29"/>
      <c r="C155" s="27" t="s">
        <v>265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D155+E155+F155+G155+H155+I155+J155+K155+L155+M155+N155+O155</f>
        <v>0</v>
      </c>
      <c r="Q155" s="22"/>
      <c r="R155" s="30"/>
      <c r="S155" s="22"/>
    </row>
    <row r="156" spans="2:19" ht="17.45" customHeight="1">
      <c r="B156" s="29" t="s">
        <v>266</v>
      </c>
      <c r="C156" s="25" t="s">
        <v>267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D156+E156+F156+G156+H156+I156+J156+K156+L156+M156+N156+O156</f>
        <v>0</v>
      </c>
      <c r="Q156" s="22"/>
      <c r="R156" s="30"/>
      <c r="S156" s="22"/>
    </row>
    <row r="157" spans="2:19" ht="17.45" customHeight="1">
      <c r="B157" s="29" t="s">
        <v>268</v>
      </c>
      <c r="C157" s="25" t="s">
        <v>124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23.83</v>
      </c>
      <c r="L157" s="57">
        <v>0</v>
      </c>
      <c r="M157" s="57">
        <v>0</v>
      </c>
      <c r="N157" s="57">
        <v>0</v>
      </c>
      <c r="O157" s="57">
        <v>0</v>
      </c>
      <c r="P157" s="57">
        <f>D157+E157+F157+G157+H157+I157+J157+K157+L157+M157+N157+O157</f>
        <v>23.83</v>
      </c>
      <c r="Q157" s="22"/>
      <c r="R157" s="30"/>
      <c r="S157" s="22"/>
    </row>
    <row r="158" spans="2:19" ht="17.45" customHeight="1">
      <c r="B158" s="46" t="s">
        <v>269</v>
      </c>
      <c r="C158" s="45" t="s">
        <v>265</v>
      </c>
      <c r="D158" s="59">
        <f>D157+D156</f>
        <v>0</v>
      </c>
      <c r="E158" s="59">
        <f t="shared" ref="E158:P158" si="30">E157+E156</f>
        <v>0</v>
      </c>
      <c r="F158" s="59">
        <f t="shared" si="30"/>
        <v>0</v>
      </c>
      <c r="G158" s="59">
        <f t="shared" si="30"/>
        <v>0</v>
      </c>
      <c r="H158" s="59">
        <f t="shared" si="30"/>
        <v>0</v>
      </c>
      <c r="I158" s="59">
        <f t="shared" si="30"/>
        <v>0</v>
      </c>
      <c r="J158" s="59">
        <f t="shared" si="30"/>
        <v>0</v>
      </c>
      <c r="K158" s="59">
        <f t="shared" si="30"/>
        <v>23.83</v>
      </c>
      <c r="L158" s="59">
        <f t="shared" si="30"/>
        <v>0</v>
      </c>
      <c r="M158" s="59">
        <f t="shared" si="30"/>
        <v>0</v>
      </c>
      <c r="N158" s="59">
        <f t="shared" si="30"/>
        <v>0</v>
      </c>
      <c r="O158" s="59">
        <f t="shared" si="30"/>
        <v>0</v>
      </c>
      <c r="P158" s="59">
        <f>IFERROR(P157+P156,0)</f>
        <v>23.83</v>
      </c>
      <c r="Q158" s="22"/>
      <c r="R158" s="30"/>
      <c r="S158" s="22"/>
    </row>
    <row r="159" spans="2:19" ht="17.45" customHeight="1">
      <c r="B159" s="29" t="s">
        <v>270</v>
      </c>
      <c r="C159" s="25" t="s">
        <v>271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0</v>
      </c>
      <c r="K159" s="57">
        <v>0</v>
      </c>
      <c r="L159" s="57">
        <v>0</v>
      </c>
      <c r="M159" s="57">
        <v>0</v>
      </c>
      <c r="N159" s="57">
        <v>0</v>
      </c>
      <c r="O159" s="57">
        <v>0</v>
      </c>
      <c r="P159" s="57">
        <f t="shared" ref="P159:P169" si="31">D159+E159+F159+G159+H159+I159+J159+K159+L159+M159+N159+O159</f>
        <v>0</v>
      </c>
      <c r="Q159" s="22"/>
      <c r="R159" s="30"/>
      <c r="S159" s="22"/>
    </row>
    <row r="160" spans="2:19" ht="17.45" customHeight="1">
      <c r="B160" s="29" t="s">
        <v>272</v>
      </c>
      <c r="C160" s="25" t="s">
        <v>273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 t="s">
        <v>432</v>
      </c>
      <c r="K160" s="57" t="s">
        <v>432</v>
      </c>
      <c r="L160" s="57">
        <v>0</v>
      </c>
      <c r="M160" s="57">
        <v>0</v>
      </c>
      <c r="N160" s="57">
        <v>0</v>
      </c>
      <c r="O160" s="57">
        <v>0</v>
      </c>
      <c r="P160" s="57">
        <f>IFERROR(D160+E160+F160+G160+H160+I160+J160+K160+L160+M160+N160+O160,0)</f>
        <v>0</v>
      </c>
      <c r="Q160" s="22"/>
      <c r="R160" s="30"/>
      <c r="S160" s="22"/>
    </row>
    <row r="161" spans="2:19" ht="17.45" customHeight="1">
      <c r="B161" s="29"/>
      <c r="C161" s="25" t="s">
        <v>274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 t="shared" si="31"/>
        <v>0</v>
      </c>
      <c r="Q161" s="22"/>
      <c r="R161" s="30"/>
      <c r="S161" s="22"/>
    </row>
    <row r="162" spans="2:19" ht="17.45" customHeight="1">
      <c r="B162" s="29" t="s">
        <v>275</v>
      </c>
      <c r="C162" s="25" t="s">
        <v>276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 t="shared" si="31"/>
        <v>0</v>
      </c>
      <c r="Q162" s="22"/>
      <c r="R162" s="30"/>
      <c r="S162" s="22"/>
    </row>
    <row r="163" spans="2:19" ht="17.45" customHeight="1">
      <c r="B163" s="29" t="s">
        <v>277</v>
      </c>
      <c r="C163" s="25" t="s">
        <v>278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 t="shared" si="31"/>
        <v>0</v>
      </c>
      <c r="Q163" s="22"/>
      <c r="R163" s="30"/>
      <c r="S163" s="22"/>
    </row>
    <row r="164" spans="2:19" ht="17.45" customHeight="1">
      <c r="B164" s="29" t="s">
        <v>279</v>
      </c>
      <c r="C164" s="25" t="s">
        <v>280</v>
      </c>
      <c r="D164" s="57">
        <v>93.91</v>
      </c>
      <c r="E164" s="57">
        <v>0</v>
      </c>
      <c r="F164" s="57">
        <v>93.91</v>
      </c>
      <c r="G164" s="57">
        <v>0</v>
      </c>
      <c r="H164" s="57">
        <v>0</v>
      </c>
      <c r="I164" s="57">
        <v>0</v>
      </c>
      <c r="J164" s="57">
        <v>161.63999999999999</v>
      </c>
      <c r="K164" s="57">
        <v>109.25</v>
      </c>
      <c r="L164" s="57">
        <v>0</v>
      </c>
      <c r="M164" s="57">
        <v>0</v>
      </c>
      <c r="N164" s="57">
        <v>0</v>
      </c>
      <c r="O164" s="57">
        <v>0</v>
      </c>
      <c r="P164" s="57">
        <f t="shared" si="31"/>
        <v>458.71</v>
      </c>
      <c r="Q164" s="22"/>
      <c r="R164" s="30"/>
      <c r="S164" s="22"/>
    </row>
    <row r="165" spans="2:19" ht="17.45" customHeight="1">
      <c r="B165" s="29" t="s">
        <v>281</v>
      </c>
      <c r="C165" s="25" t="s">
        <v>282</v>
      </c>
      <c r="D165" s="57">
        <v>29.15</v>
      </c>
      <c r="E165" s="57">
        <v>0</v>
      </c>
      <c r="F165" s="57">
        <v>29.15</v>
      </c>
      <c r="G165" s="57">
        <v>0</v>
      </c>
      <c r="H165" s="57">
        <v>0</v>
      </c>
      <c r="I165" s="57">
        <v>0</v>
      </c>
      <c r="J165" s="57">
        <v>9.15</v>
      </c>
      <c r="K165" s="57">
        <v>18.41</v>
      </c>
      <c r="L165" s="57">
        <v>0</v>
      </c>
      <c r="M165" s="57">
        <v>0</v>
      </c>
      <c r="N165" s="57">
        <v>0</v>
      </c>
      <c r="O165" s="57">
        <v>0</v>
      </c>
      <c r="P165" s="57">
        <f t="shared" si="31"/>
        <v>85.86</v>
      </c>
      <c r="Q165" s="22"/>
      <c r="R165" s="30"/>
      <c r="S165" s="22"/>
    </row>
    <row r="166" spans="2:19" ht="17.45" customHeight="1">
      <c r="B166" s="29"/>
      <c r="C166" s="27" t="s">
        <v>283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 t="shared" si="31"/>
        <v>0</v>
      </c>
      <c r="Q166" s="22"/>
      <c r="R166" s="30"/>
      <c r="S166" s="22"/>
    </row>
    <row r="167" spans="2:19" ht="17.45" customHeight="1">
      <c r="B167" s="29" t="s">
        <v>284</v>
      </c>
      <c r="C167" s="25" t="s">
        <v>285</v>
      </c>
      <c r="D167" s="57">
        <v>449.84</v>
      </c>
      <c r="E167" s="57">
        <v>0</v>
      </c>
      <c r="F167" s="57">
        <v>449.84</v>
      </c>
      <c r="G167" s="57">
        <v>0</v>
      </c>
      <c r="H167" s="57">
        <v>0</v>
      </c>
      <c r="I167" s="57">
        <v>0</v>
      </c>
      <c r="J167" s="57">
        <v>134.19999999999999</v>
      </c>
      <c r="K167" s="57">
        <v>234.75</v>
      </c>
      <c r="L167" s="57">
        <v>0</v>
      </c>
      <c r="M167" s="57">
        <v>0</v>
      </c>
      <c r="N167" s="57">
        <v>0</v>
      </c>
      <c r="O167" s="57">
        <v>0</v>
      </c>
      <c r="P167" s="57">
        <f t="shared" si="31"/>
        <v>1268.6299999999999</v>
      </c>
      <c r="Q167" s="22"/>
      <c r="R167" s="30"/>
      <c r="S167" s="22"/>
    </row>
    <row r="168" spans="2:19" ht="17.45" customHeight="1">
      <c r="B168" s="29" t="s">
        <v>286</v>
      </c>
      <c r="C168" s="25" t="s">
        <v>287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 t="shared" si="31"/>
        <v>0</v>
      </c>
      <c r="Q168" s="22"/>
      <c r="R168" s="30"/>
      <c r="S168" s="22"/>
    </row>
    <row r="169" spans="2:19" ht="17.45" customHeight="1">
      <c r="B169" s="29" t="s">
        <v>288</v>
      </c>
      <c r="C169" s="25" t="s">
        <v>289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 t="s">
        <v>432</v>
      </c>
      <c r="K169" s="57" t="s">
        <v>432</v>
      </c>
      <c r="L169" s="57">
        <v>0</v>
      </c>
      <c r="M169" s="57">
        <v>0</v>
      </c>
      <c r="N169" s="57">
        <v>0</v>
      </c>
      <c r="O169" s="57">
        <v>0</v>
      </c>
      <c r="P169" s="57">
        <f>IFERROR(D169+E169+F169+G169+H169+I169+J169+K169+L169+M169+N169+O169,0)</f>
        <v>0</v>
      </c>
      <c r="Q169" s="22"/>
      <c r="R169" s="30"/>
      <c r="S169" s="22"/>
    </row>
    <row r="170" spans="2:19" ht="17.45" customHeight="1">
      <c r="B170" s="46" t="s">
        <v>290</v>
      </c>
      <c r="C170" s="45" t="s">
        <v>283</v>
      </c>
      <c r="D170" s="59">
        <f t="shared" ref="D170:O170" si="32">SUM(D167:D169)</f>
        <v>449.84</v>
      </c>
      <c r="E170" s="59">
        <f t="shared" si="32"/>
        <v>0</v>
      </c>
      <c r="F170" s="59">
        <f t="shared" si="32"/>
        <v>449.84</v>
      </c>
      <c r="G170" s="59">
        <f t="shared" si="32"/>
        <v>0</v>
      </c>
      <c r="H170" s="59">
        <f t="shared" si="32"/>
        <v>0</v>
      </c>
      <c r="I170" s="59">
        <f t="shared" si="32"/>
        <v>0</v>
      </c>
      <c r="J170" s="59">
        <f t="shared" si="32"/>
        <v>134.19999999999999</v>
      </c>
      <c r="K170" s="59">
        <f t="shared" si="32"/>
        <v>234.75</v>
      </c>
      <c r="L170" s="59">
        <f t="shared" si="32"/>
        <v>0</v>
      </c>
      <c r="M170" s="59">
        <f t="shared" si="32"/>
        <v>0</v>
      </c>
      <c r="N170" s="59">
        <f t="shared" si="32"/>
        <v>0</v>
      </c>
      <c r="O170" s="59">
        <f t="shared" si="32"/>
        <v>0</v>
      </c>
      <c r="P170" s="59">
        <f>IFERROR(SUM(P167:P169),0)</f>
        <v>1268.6299999999999</v>
      </c>
      <c r="Q170" s="22"/>
      <c r="R170" s="30"/>
      <c r="S170" s="22"/>
    </row>
    <row r="171" spans="2:19" ht="17.45" customHeight="1">
      <c r="B171" s="29"/>
      <c r="C171" s="27" t="s">
        <v>291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D171+E171+F171+G171+H171+I171+J171+K171+L171+M171+N171+O171</f>
        <v>0</v>
      </c>
      <c r="Q171" s="22"/>
      <c r="R171" s="30"/>
      <c r="S171" s="22"/>
    </row>
    <row r="172" spans="2:19" ht="17.45" customHeight="1">
      <c r="B172" s="29" t="s">
        <v>292</v>
      </c>
      <c r="C172" s="25" t="s">
        <v>293</v>
      </c>
      <c r="D172" s="57">
        <v>495.25</v>
      </c>
      <c r="E172" s="57">
        <v>0</v>
      </c>
      <c r="F172" s="57">
        <v>495.25</v>
      </c>
      <c r="G172" s="57">
        <v>0</v>
      </c>
      <c r="H172" s="57">
        <v>0</v>
      </c>
      <c r="I172" s="57">
        <v>0</v>
      </c>
      <c r="J172" s="57">
        <v>699.13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D172+E172+F172+G172+H172+I172+J172+K172+L172+M172+N172+O172</f>
        <v>1689.63</v>
      </c>
      <c r="Q172" s="22"/>
      <c r="R172" s="30"/>
      <c r="S172" s="22"/>
    </row>
    <row r="173" spans="2:19" ht="17.45" customHeight="1">
      <c r="B173" s="29" t="s">
        <v>294</v>
      </c>
      <c r="C173" s="25" t="s">
        <v>295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D173+E173+F173+G173+H173+I173+J173+K173+L173+M173+N173+O173</f>
        <v>0</v>
      </c>
      <c r="Q173" s="22"/>
      <c r="R173" s="30"/>
      <c r="S173" s="22"/>
    </row>
    <row r="174" spans="2:19" ht="17.45" customHeight="1">
      <c r="B174" s="29" t="s">
        <v>296</v>
      </c>
      <c r="C174" s="25" t="s">
        <v>297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D174+E174+F174+G174+H174+I174+J174+K174+L174+M174+N174+O174</f>
        <v>0</v>
      </c>
      <c r="Q174" s="22"/>
      <c r="R174" s="30"/>
      <c r="S174" s="22"/>
    </row>
    <row r="175" spans="2:19" ht="17.45" customHeight="1">
      <c r="B175" s="46" t="s">
        <v>298</v>
      </c>
      <c r="C175" s="45" t="s">
        <v>291</v>
      </c>
      <c r="D175" s="59">
        <f t="shared" ref="D175:O175" si="33">SUM(D172:D174)</f>
        <v>495.25</v>
      </c>
      <c r="E175" s="59">
        <f t="shared" si="33"/>
        <v>0</v>
      </c>
      <c r="F175" s="59">
        <f t="shared" si="33"/>
        <v>495.25</v>
      </c>
      <c r="G175" s="59">
        <f t="shared" si="33"/>
        <v>0</v>
      </c>
      <c r="H175" s="59">
        <f t="shared" si="33"/>
        <v>0</v>
      </c>
      <c r="I175" s="59">
        <f t="shared" si="33"/>
        <v>0</v>
      </c>
      <c r="J175" s="59">
        <f t="shared" si="33"/>
        <v>699.13</v>
      </c>
      <c r="K175" s="59">
        <f t="shared" si="33"/>
        <v>0</v>
      </c>
      <c r="L175" s="59">
        <f t="shared" si="33"/>
        <v>0</v>
      </c>
      <c r="M175" s="59">
        <f t="shared" si="33"/>
        <v>0</v>
      </c>
      <c r="N175" s="59">
        <f t="shared" si="33"/>
        <v>0</v>
      </c>
      <c r="O175" s="59">
        <f t="shared" si="33"/>
        <v>0</v>
      </c>
      <c r="P175" s="59">
        <f>IFERROR(SUM(P172:P174),0)</f>
        <v>1689.63</v>
      </c>
      <c r="Q175" s="22"/>
      <c r="R175" s="30"/>
      <c r="S175" s="22"/>
    </row>
    <row r="176" spans="2:19" ht="17.45" customHeight="1">
      <c r="B176" s="29" t="s">
        <v>299</v>
      </c>
      <c r="C176" s="25" t="s">
        <v>300</v>
      </c>
      <c r="D176" s="57">
        <v>5112.1400000000003</v>
      </c>
      <c r="E176" s="57">
        <v>0</v>
      </c>
      <c r="F176" s="57">
        <v>5112.1400000000003</v>
      </c>
      <c r="G176" s="57">
        <v>0</v>
      </c>
      <c r="H176" s="57">
        <v>0</v>
      </c>
      <c r="I176" s="57">
        <v>0</v>
      </c>
      <c r="J176" s="57">
        <v>5729.6</v>
      </c>
      <c r="K176" s="57">
        <v>2640.18</v>
      </c>
      <c r="L176" s="57">
        <v>0</v>
      </c>
      <c r="M176" s="57">
        <v>0</v>
      </c>
      <c r="N176" s="57">
        <v>0</v>
      </c>
      <c r="O176" s="57">
        <v>0</v>
      </c>
      <c r="P176" s="57">
        <f t="shared" ref="P176:P181" si="34">D176+E176+F176+G176+H176+I176+J176+K176+L176+M176+N176+O176</f>
        <v>18594.060000000001</v>
      </c>
      <c r="Q176" s="22"/>
      <c r="R176" s="30"/>
      <c r="S176" s="22"/>
    </row>
    <row r="177" spans="2:19" ht="17.45" customHeight="1">
      <c r="B177" s="29" t="s">
        <v>301</v>
      </c>
      <c r="C177" s="25" t="s">
        <v>302</v>
      </c>
      <c r="D177" s="57">
        <v>81.05</v>
      </c>
      <c r="E177" s="57">
        <v>0</v>
      </c>
      <c r="F177" s="57">
        <v>81.05</v>
      </c>
      <c r="G177" s="57">
        <v>0</v>
      </c>
      <c r="H177" s="57">
        <v>0</v>
      </c>
      <c r="I177" s="57">
        <v>0</v>
      </c>
      <c r="J177" s="57">
        <v>79.349999999999994</v>
      </c>
      <c r="K177" s="57">
        <v>502.21</v>
      </c>
      <c r="L177" s="57">
        <v>0</v>
      </c>
      <c r="M177" s="57">
        <v>0</v>
      </c>
      <c r="N177" s="57">
        <v>0</v>
      </c>
      <c r="O177" s="57">
        <v>0</v>
      </c>
      <c r="P177" s="57">
        <f t="shared" si="34"/>
        <v>743.66</v>
      </c>
      <c r="Q177" s="22"/>
      <c r="R177" s="30"/>
      <c r="S177" s="22"/>
    </row>
    <row r="178" spans="2:19" ht="17.45" customHeight="1">
      <c r="B178" s="29"/>
      <c r="C178" s="27" t="s">
        <v>303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 t="shared" si="34"/>
        <v>0</v>
      </c>
      <c r="Q178" s="22"/>
      <c r="R178" s="30"/>
      <c r="S178" s="22"/>
    </row>
    <row r="179" spans="2:19" ht="17.45" customHeight="1">
      <c r="B179" s="29" t="s">
        <v>304</v>
      </c>
      <c r="C179" s="25" t="s">
        <v>305</v>
      </c>
      <c r="D179" s="57" t="s">
        <v>432</v>
      </c>
      <c r="E179" s="57">
        <v>0</v>
      </c>
      <c r="F179" s="57" t="s">
        <v>432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>
        <f>IFERROR(D179+E179+F179+G179+H179+I179+J179+K179+L179+M179+N179+O179,0)</f>
        <v>0</v>
      </c>
      <c r="Q179" s="22"/>
      <c r="R179" s="30"/>
      <c r="S179" s="22"/>
    </row>
    <row r="180" spans="2:19" ht="17.45" customHeight="1">
      <c r="B180" s="29" t="s">
        <v>306</v>
      </c>
      <c r="C180" s="25" t="s">
        <v>307</v>
      </c>
      <c r="D180" s="57" t="s">
        <v>432</v>
      </c>
      <c r="E180" s="57">
        <v>0</v>
      </c>
      <c r="F180" s="57" t="s">
        <v>432</v>
      </c>
      <c r="G180" s="57">
        <v>0</v>
      </c>
      <c r="H180" s="57">
        <v>0</v>
      </c>
      <c r="I180" s="57">
        <v>0</v>
      </c>
      <c r="J180" s="57" t="s">
        <v>432</v>
      </c>
      <c r="K180" s="57" t="s">
        <v>432</v>
      </c>
      <c r="L180" s="57">
        <v>0</v>
      </c>
      <c r="M180" s="57">
        <v>0</v>
      </c>
      <c r="N180" s="57">
        <v>0</v>
      </c>
      <c r="O180" s="57">
        <v>0</v>
      </c>
      <c r="P180" s="57">
        <f>IFERROR(D180+E180+F180+G180+H180+I180+J180+K180+L180+M180+N180+O180,0)</f>
        <v>0</v>
      </c>
      <c r="Q180" s="22"/>
      <c r="R180" s="30"/>
      <c r="S180" s="22"/>
    </row>
    <row r="181" spans="2:19" ht="17.45" customHeight="1">
      <c r="B181" s="29"/>
      <c r="C181" s="25" t="s">
        <v>308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 t="shared" si="34"/>
        <v>0</v>
      </c>
      <c r="Q181" s="22"/>
      <c r="R181" s="30"/>
      <c r="S181" s="22"/>
    </row>
    <row r="182" spans="2:19" ht="17.45" customHeight="1">
      <c r="B182" s="46" t="s">
        <v>309</v>
      </c>
      <c r="C182" s="45" t="s">
        <v>303</v>
      </c>
      <c r="D182" s="59">
        <f t="shared" ref="D182:O182" si="35">SUM(D179:D181)</f>
        <v>0</v>
      </c>
      <c r="E182" s="59">
        <f t="shared" si="35"/>
        <v>0</v>
      </c>
      <c r="F182" s="59">
        <f t="shared" si="35"/>
        <v>0</v>
      </c>
      <c r="G182" s="59">
        <f t="shared" si="35"/>
        <v>0</v>
      </c>
      <c r="H182" s="59">
        <f t="shared" si="35"/>
        <v>0</v>
      </c>
      <c r="I182" s="59">
        <f t="shared" si="35"/>
        <v>0</v>
      </c>
      <c r="J182" s="59">
        <f t="shared" si="35"/>
        <v>0</v>
      </c>
      <c r="K182" s="59">
        <f t="shared" si="35"/>
        <v>0</v>
      </c>
      <c r="L182" s="59">
        <f t="shared" si="35"/>
        <v>0</v>
      </c>
      <c r="M182" s="59">
        <f t="shared" si="35"/>
        <v>0</v>
      </c>
      <c r="N182" s="59">
        <f t="shared" si="35"/>
        <v>0</v>
      </c>
      <c r="O182" s="59">
        <f t="shared" si="35"/>
        <v>0</v>
      </c>
      <c r="P182" s="59">
        <f>IFERROR(SUM(P179:P181),0)</f>
        <v>0</v>
      </c>
      <c r="Q182" s="22"/>
      <c r="R182" s="30"/>
      <c r="S182" s="22"/>
    </row>
    <row r="183" spans="2:19" ht="17.45" customHeight="1">
      <c r="B183" s="29"/>
      <c r="C183" s="27" t="s">
        <v>310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D183+E183+F183+G183+H183+I183+J183+K183+L183+M183+N183+O183</f>
        <v>0</v>
      </c>
      <c r="Q183" s="22"/>
      <c r="R183" s="30"/>
      <c r="S183" s="22"/>
    </row>
    <row r="184" spans="2:19" ht="17.45" customHeight="1">
      <c r="B184" s="29" t="s">
        <v>311</v>
      </c>
      <c r="C184" s="25" t="s">
        <v>166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D184+E184+F184+G184+H184+I184+J184+K184+L184+M184+N184+O184</f>
        <v>0</v>
      </c>
      <c r="Q184" s="22"/>
      <c r="R184" s="30"/>
      <c r="S184" s="22"/>
    </row>
    <row r="185" spans="2:19" ht="17.45" customHeight="1">
      <c r="B185" s="29"/>
      <c r="C185" s="25" t="s">
        <v>312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D185+E185+F185+G185+H185+I185+J185+K185+L185+M185+N185+O185</f>
        <v>0</v>
      </c>
      <c r="Q185" s="22"/>
      <c r="R185" s="30"/>
      <c r="S185" s="22"/>
    </row>
    <row r="186" spans="2:19" ht="17.45" customHeight="1">
      <c r="B186" s="29" t="s">
        <v>313</v>
      </c>
      <c r="C186" s="25" t="s">
        <v>314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D186+E186+F186+G186+H186+I186+J186+K186+L186+M186+N186+O186</f>
        <v>0</v>
      </c>
      <c r="Q186" s="22"/>
      <c r="R186" s="30"/>
      <c r="S186" s="22"/>
    </row>
    <row r="187" spans="2:19" ht="17.45" customHeight="1">
      <c r="B187" s="46" t="s">
        <v>315</v>
      </c>
      <c r="C187" s="45" t="s">
        <v>310</v>
      </c>
      <c r="D187" s="59">
        <f t="shared" ref="D187:P187" si="36">SUM(D184:D186)</f>
        <v>0</v>
      </c>
      <c r="E187" s="59">
        <f t="shared" si="36"/>
        <v>0</v>
      </c>
      <c r="F187" s="59">
        <f t="shared" si="36"/>
        <v>0</v>
      </c>
      <c r="G187" s="59">
        <f t="shared" si="36"/>
        <v>0</v>
      </c>
      <c r="H187" s="59">
        <f t="shared" si="36"/>
        <v>0</v>
      </c>
      <c r="I187" s="59">
        <f t="shared" si="36"/>
        <v>0</v>
      </c>
      <c r="J187" s="59">
        <f t="shared" si="36"/>
        <v>0</v>
      </c>
      <c r="K187" s="59">
        <f t="shared" si="36"/>
        <v>0</v>
      </c>
      <c r="L187" s="59">
        <f t="shared" si="36"/>
        <v>0</v>
      </c>
      <c r="M187" s="59">
        <f t="shared" si="36"/>
        <v>0</v>
      </c>
      <c r="N187" s="59">
        <f t="shared" si="36"/>
        <v>0</v>
      </c>
      <c r="O187" s="59">
        <f t="shared" si="36"/>
        <v>0</v>
      </c>
      <c r="P187" s="59">
        <f>IFERROR(SUM(P184:P186),0)</f>
        <v>0</v>
      </c>
      <c r="Q187" s="22"/>
      <c r="R187" s="30"/>
      <c r="S187" s="22"/>
    </row>
    <row r="188" spans="2:19" ht="17.45" customHeight="1">
      <c r="B188" s="29" t="s">
        <v>316</v>
      </c>
      <c r="C188" s="27" t="s">
        <v>317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 t="shared" ref="P188:P194" si="37">D188+E188+F188+G188+H188+I188+J188+K188+L188+M188+N188+O188</f>
        <v>0</v>
      </c>
      <c r="Q188" s="22"/>
      <c r="R188" s="30"/>
      <c r="S188" s="22"/>
    </row>
    <row r="189" spans="2:19" ht="17.45" customHeight="1">
      <c r="B189" s="29" t="s">
        <v>318</v>
      </c>
      <c r="C189" s="25" t="s">
        <v>319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 t="shared" si="37"/>
        <v>0</v>
      </c>
      <c r="Q189" s="22"/>
      <c r="R189" s="30"/>
      <c r="S189" s="22"/>
    </row>
    <row r="190" spans="2:19" ht="17.45" customHeight="1">
      <c r="B190" s="29" t="s">
        <v>320</v>
      </c>
      <c r="C190" s="25" t="s">
        <v>321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 t="shared" si="37"/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322</v>
      </c>
      <c r="D191" s="57" t="s">
        <v>432</v>
      </c>
      <c r="E191" s="57">
        <v>0</v>
      </c>
      <c r="F191" s="57" t="s">
        <v>432</v>
      </c>
      <c r="G191" s="57">
        <v>0</v>
      </c>
      <c r="H191" s="57">
        <v>0</v>
      </c>
      <c r="I191" s="57">
        <v>0</v>
      </c>
      <c r="J191" s="57" t="s">
        <v>432</v>
      </c>
      <c r="K191" s="57" t="s">
        <v>432</v>
      </c>
      <c r="L191" s="57">
        <v>0</v>
      </c>
      <c r="M191" s="57">
        <v>0</v>
      </c>
      <c r="N191" s="57">
        <v>0</v>
      </c>
      <c r="O191" s="57">
        <v>0</v>
      </c>
      <c r="P191" s="57">
        <f>IFERROR(D191+E191+F191+G191+H191+I191+J191+K191+L191+M191+N191+O191,0)</f>
        <v>0</v>
      </c>
      <c r="Q191" s="22"/>
      <c r="R191" s="30"/>
      <c r="S191" s="22"/>
    </row>
    <row r="192" spans="2:19" ht="17.45" customHeight="1">
      <c r="B192" s="29" t="s">
        <v>323</v>
      </c>
      <c r="C192" s="25" t="s">
        <v>324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 t="shared" si="37"/>
        <v>0</v>
      </c>
      <c r="Q192" s="22"/>
      <c r="R192" s="30"/>
      <c r="S192" s="22"/>
    </row>
    <row r="193" spans="2:19" ht="17.45" customHeight="1">
      <c r="B193" s="29" t="s">
        <v>325</v>
      </c>
      <c r="C193" s="25" t="s">
        <v>326</v>
      </c>
      <c r="D193" s="57" t="s">
        <v>432</v>
      </c>
      <c r="E193" s="57">
        <v>0</v>
      </c>
      <c r="F193" s="57" t="s">
        <v>432</v>
      </c>
      <c r="G193" s="57">
        <v>0</v>
      </c>
      <c r="H193" s="57">
        <v>0</v>
      </c>
      <c r="I193" s="57">
        <v>0</v>
      </c>
      <c r="J193" s="57" t="s">
        <v>432</v>
      </c>
      <c r="K193" s="57" t="s">
        <v>432</v>
      </c>
      <c r="L193" s="57">
        <v>0</v>
      </c>
      <c r="M193" s="57">
        <v>0</v>
      </c>
      <c r="N193" s="57">
        <v>0</v>
      </c>
      <c r="O193" s="57">
        <v>0</v>
      </c>
      <c r="P193" s="57">
        <f>IFERROR(D193+E193+F193+G193+H193+I193+J193+K193+L193+M193+N193+O193,0)</f>
        <v>0</v>
      </c>
      <c r="Q193" s="22"/>
      <c r="R193" s="30"/>
      <c r="S193" s="22"/>
    </row>
    <row r="194" spans="2:19" ht="17.45" customHeight="1">
      <c r="B194" s="29"/>
      <c r="C194" s="25" t="s">
        <v>327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 t="shared" si="37"/>
        <v>0</v>
      </c>
      <c r="Q194" s="22"/>
      <c r="R194" s="30"/>
      <c r="S194" s="22"/>
    </row>
    <row r="195" spans="2:19" ht="17.45" customHeight="1">
      <c r="B195" s="29"/>
      <c r="C195" s="25" t="s">
        <v>328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316</v>
      </c>
      <c r="C197" s="42" t="s">
        <v>317</v>
      </c>
      <c r="D197" s="76">
        <f t="shared" ref="D197:P197" si="38">SUM(D189:D196)</f>
        <v>0</v>
      </c>
      <c r="E197" s="76">
        <f t="shared" si="38"/>
        <v>0</v>
      </c>
      <c r="F197" s="76">
        <f t="shared" si="38"/>
        <v>0</v>
      </c>
      <c r="G197" s="76">
        <f t="shared" si="38"/>
        <v>0</v>
      </c>
      <c r="H197" s="76">
        <f t="shared" si="38"/>
        <v>0</v>
      </c>
      <c r="I197" s="76">
        <f t="shared" si="38"/>
        <v>0</v>
      </c>
      <c r="J197" s="76">
        <f t="shared" si="38"/>
        <v>0</v>
      </c>
      <c r="K197" s="76">
        <f t="shared" si="38"/>
        <v>0</v>
      </c>
      <c r="L197" s="76">
        <f t="shared" si="38"/>
        <v>0</v>
      </c>
      <c r="M197" s="76">
        <f t="shared" si="38"/>
        <v>0</v>
      </c>
      <c r="N197" s="76">
        <f t="shared" si="38"/>
        <v>0</v>
      </c>
      <c r="O197" s="76">
        <f t="shared" si="38"/>
        <v>0</v>
      </c>
      <c r="P197" s="76">
        <f>IFERROR(SUM(P189:P196),0)</f>
        <v>0</v>
      </c>
      <c r="Q197" s="22"/>
      <c r="R197" s="30"/>
      <c r="S197" s="22"/>
    </row>
    <row r="198" spans="2:19" ht="17.45" customHeight="1">
      <c r="B198" s="46" t="s">
        <v>329</v>
      </c>
      <c r="C198" s="45" t="s">
        <v>240</v>
      </c>
      <c r="D198" s="60">
        <f t="shared" ref="D198:P198" si="39">D148+D154+D158+D170+D175+D182+D187+D197+D163+D164+D165+D176+D177</f>
        <v>30922.14</v>
      </c>
      <c r="E198" s="60">
        <f t="shared" si="39"/>
        <v>0</v>
      </c>
      <c r="F198" s="60">
        <f t="shared" si="39"/>
        <v>30922.14</v>
      </c>
      <c r="G198" s="60">
        <f t="shared" si="39"/>
        <v>0</v>
      </c>
      <c r="H198" s="60">
        <f t="shared" si="39"/>
        <v>0</v>
      </c>
      <c r="I198" s="60">
        <f t="shared" si="39"/>
        <v>0</v>
      </c>
      <c r="J198" s="60">
        <f t="shared" si="39"/>
        <v>32662.380000000005</v>
      </c>
      <c r="K198" s="60">
        <f t="shared" si="39"/>
        <v>7783.7</v>
      </c>
      <c r="L198" s="60">
        <f t="shared" si="39"/>
        <v>0</v>
      </c>
      <c r="M198" s="60">
        <f t="shared" si="39"/>
        <v>0</v>
      </c>
      <c r="N198" s="60">
        <f t="shared" si="39"/>
        <v>0</v>
      </c>
      <c r="O198" s="60">
        <f t="shared" si="39"/>
        <v>0</v>
      </c>
      <c r="P198" s="60">
        <f>IFERROR(P148+P154+P158+P170+P175+P182+P187+P197+P163+P164+P165+P176+P177,0)</f>
        <v>102290.36000000003</v>
      </c>
      <c r="Q198" s="22"/>
      <c r="R198" s="30"/>
      <c r="S198" s="22"/>
    </row>
    <row r="199" spans="2:19" ht="17.45" customHeight="1">
      <c r="B199" s="29"/>
      <c r="C199" s="27" t="s">
        <v>330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 t="shared" ref="P199:P205" si="40">D199+E199+F199+G199+H199+I199+J199+K199+L199+M199+N199+O199</f>
        <v>0</v>
      </c>
      <c r="Q199" s="22"/>
      <c r="R199" s="30"/>
      <c r="S199" s="22"/>
    </row>
    <row r="200" spans="2:19" ht="17.45" customHeight="1">
      <c r="B200" s="29"/>
      <c r="C200" s="27" t="s">
        <v>331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 t="shared" si="40"/>
        <v>0</v>
      </c>
      <c r="Q200" s="22"/>
      <c r="R200" s="30"/>
      <c r="S200" s="22"/>
    </row>
    <row r="201" spans="2:19" ht="17.45" customHeight="1">
      <c r="B201" s="29" t="s">
        <v>332</v>
      </c>
      <c r="C201" s="25" t="s">
        <v>333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 t="shared" si="40"/>
        <v>0</v>
      </c>
      <c r="Q201" s="22"/>
      <c r="R201" s="30"/>
      <c r="S201" s="22"/>
    </row>
    <row r="202" spans="2:19" ht="17.45" customHeight="1">
      <c r="B202" s="29" t="s">
        <v>334</v>
      </c>
      <c r="C202" s="25" t="s">
        <v>335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 t="shared" si="40"/>
        <v>0</v>
      </c>
      <c r="Q202" s="22"/>
      <c r="R202" s="30"/>
      <c r="S202" s="22"/>
    </row>
    <row r="203" spans="2:19" ht="17.45" customHeight="1">
      <c r="B203" s="29"/>
      <c r="C203" s="27" t="s">
        <v>336</v>
      </c>
      <c r="D203" s="57" t="s">
        <v>432</v>
      </c>
      <c r="E203" s="57">
        <v>0</v>
      </c>
      <c r="F203" s="57" t="s">
        <v>432</v>
      </c>
      <c r="G203" s="57">
        <v>0</v>
      </c>
      <c r="H203" s="57">
        <v>0</v>
      </c>
      <c r="I203" s="57">
        <v>0</v>
      </c>
      <c r="J203" s="57" t="s">
        <v>432</v>
      </c>
      <c r="K203" s="57" t="s">
        <v>432</v>
      </c>
      <c r="L203" s="57">
        <v>0</v>
      </c>
      <c r="M203" s="57">
        <v>0</v>
      </c>
      <c r="N203" s="57">
        <v>0</v>
      </c>
      <c r="O203" s="57">
        <v>0</v>
      </c>
      <c r="P203" s="57">
        <f>IFERROR(D203+E203+F203+G203+H203+I203+J203+K203+L203+M203+N203+O203,0)</f>
        <v>0</v>
      </c>
      <c r="Q203" s="22"/>
      <c r="R203" s="30"/>
      <c r="S203" s="22"/>
    </row>
    <row r="204" spans="2:19" ht="17.45" customHeight="1">
      <c r="B204" s="29" t="s">
        <v>337</v>
      </c>
      <c r="C204" s="25" t="s">
        <v>338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 t="shared" si="40"/>
        <v>0</v>
      </c>
      <c r="Q204" s="22"/>
      <c r="R204" s="30"/>
      <c r="S204" s="22"/>
    </row>
    <row r="205" spans="2:19" ht="17.45" customHeight="1">
      <c r="B205" s="29" t="s">
        <v>339</v>
      </c>
      <c r="C205" s="25" t="s">
        <v>340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 t="shared" si="40"/>
        <v>0</v>
      </c>
      <c r="Q205" s="22"/>
      <c r="R205" s="30"/>
      <c r="S205" s="22"/>
    </row>
    <row r="206" spans="2:19" ht="17.45" customHeight="1">
      <c r="B206" s="46" t="s">
        <v>341</v>
      </c>
      <c r="C206" s="45" t="s">
        <v>336</v>
      </c>
      <c r="D206" s="58">
        <f>D204</f>
        <v>0</v>
      </c>
      <c r="E206" s="58">
        <f t="shared" ref="E206:P206" si="41">E204</f>
        <v>0</v>
      </c>
      <c r="F206" s="58">
        <f t="shared" si="41"/>
        <v>0</v>
      </c>
      <c r="G206" s="58">
        <f t="shared" si="41"/>
        <v>0</v>
      </c>
      <c r="H206" s="58">
        <f t="shared" si="41"/>
        <v>0</v>
      </c>
      <c r="I206" s="58">
        <f t="shared" si="41"/>
        <v>0</v>
      </c>
      <c r="J206" s="58">
        <f t="shared" si="41"/>
        <v>0</v>
      </c>
      <c r="K206" s="58">
        <f t="shared" si="41"/>
        <v>0</v>
      </c>
      <c r="L206" s="58">
        <f t="shared" si="41"/>
        <v>0</v>
      </c>
      <c r="M206" s="58">
        <f t="shared" si="41"/>
        <v>0</v>
      </c>
      <c r="N206" s="58">
        <f t="shared" si="41"/>
        <v>0</v>
      </c>
      <c r="O206" s="58">
        <f t="shared" si="41"/>
        <v>0</v>
      </c>
      <c r="P206" s="58">
        <f>IFERROR(P204,0)</f>
        <v>0</v>
      </c>
      <c r="Q206" s="22"/>
      <c r="R206" s="30"/>
      <c r="S206" s="22"/>
    </row>
    <row r="207" spans="2:19" ht="17.45" customHeight="1">
      <c r="B207" s="29" t="s">
        <v>342</v>
      </c>
      <c r="C207" s="25" t="s">
        <v>343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 t="shared" ref="P207:P213" si="42">D207+E207+F207+G207+H207+I207+J207+K207+L207+M207+N207+O207</f>
        <v>0</v>
      </c>
      <c r="Q207" s="22"/>
      <c r="R207" s="30"/>
      <c r="S207" s="22"/>
    </row>
    <row r="208" spans="2:19" ht="17.45" customHeight="1">
      <c r="B208" s="29" t="s">
        <v>344</v>
      </c>
      <c r="C208" s="25" t="s">
        <v>345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 t="shared" si="42"/>
        <v>0</v>
      </c>
      <c r="Q208" s="22"/>
      <c r="R208" s="30"/>
      <c r="S208" s="22"/>
    </row>
    <row r="209" spans="2:19" ht="17.45" customHeight="1">
      <c r="B209" s="29" t="s">
        <v>346</v>
      </c>
      <c r="C209" s="25" t="s">
        <v>347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22.45</v>
      </c>
      <c r="L209" s="57">
        <v>0</v>
      </c>
      <c r="M209" s="57">
        <v>0</v>
      </c>
      <c r="N209" s="57">
        <v>0</v>
      </c>
      <c r="O209" s="57">
        <v>0</v>
      </c>
      <c r="P209" s="57">
        <f t="shared" si="42"/>
        <v>22.45</v>
      </c>
      <c r="Q209" s="22"/>
      <c r="R209" s="30"/>
      <c r="S209" s="22"/>
    </row>
    <row r="210" spans="2:19" ht="17.45" customHeight="1">
      <c r="B210" s="29"/>
      <c r="C210" s="25" t="s">
        <v>348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 t="shared" si="42"/>
        <v>0</v>
      </c>
      <c r="Q210" s="22"/>
      <c r="R210" s="30"/>
      <c r="S210" s="22"/>
    </row>
    <row r="211" spans="2:19" ht="17.45" customHeight="1">
      <c r="B211" s="29" t="s">
        <v>349</v>
      </c>
      <c r="C211" s="25" t="s">
        <v>350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 t="shared" si="42"/>
        <v>0</v>
      </c>
      <c r="Q211" s="22"/>
      <c r="R211" s="30"/>
      <c r="S211" s="22"/>
    </row>
    <row r="212" spans="2:19" ht="17.45" customHeight="1">
      <c r="B212" s="29"/>
      <c r="C212" s="25" t="s">
        <v>351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 t="shared" si="42"/>
        <v>0</v>
      </c>
      <c r="Q212" s="22"/>
      <c r="R212" s="30"/>
      <c r="S212" s="22"/>
    </row>
    <row r="213" spans="2:19" ht="17.45" customHeight="1">
      <c r="B213" s="29" t="s">
        <v>352</v>
      </c>
      <c r="C213" s="25" t="s">
        <v>353</v>
      </c>
      <c r="D213" s="57">
        <v>-3.56</v>
      </c>
      <c r="E213" s="57">
        <v>0</v>
      </c>
      <c r="F213" s="57">
        <v>-3.56</v>
      </c>
      <c r="G213" s="57">
        <v>0</v>
      </c>
      <c r="H213" s="57">
        <v>0</v>
      </c>
      <c r="I213" s="57">
        <v>0</v>
      </c>
      <c r="J213" s="57">
        <v>-35.19</v>
      </c>
      <c r="K213" s="57">
        <v>-309.31</v>
      </c>
      <c r="L213" s="57">
        <v>0</v>
      </c>
      <c r="M213" s="57">
        <v>0</v>
      </c>
      <c r="N213" s="57">
        <v>0</v>
      </c>
      <c r="O213" s="57">
        <v>0</v>
      </c>
      <c r="P213" s="57">
        <f t="shared" si="42"/>
        <v>-351.62</v>
      </c>
      <c r="Q213" s="22"/>
      <c r="R213" s="30"/>
      <c r="S213" s="22"/>
    </row>
    <row r="214" spans="2:19" ht="17.45" customHeight="1">
      <c r="B214" s="46" t="s">
        <v>354</v>
      </c>
      <c r="C214" s="45" t="s">
        <v>331</v>
      </c>
      <c r="D214" s="60">
        <f t="shared" ref="D214:O214" si="43">SUM(D201:D213)</f>
        <v>-3.56</v>
      </c>
      <c r="E214" s="60">
        <f t="shared" si="43"/>
        <v>0</v>
      </c>
      <c r="F214" s="60">
        <f t="shared" si="43"/>
        <v>-3.56</v>
      </c>
      <c r="G214" s="60">
        <f t="shared" si="43"/>
        <v>0</v>
      </c>
      <c r="H214" s="60">
        <f t="shared" si="43"/>
        <v>0</v>
      </c>
      <c r="I214" s="60">
        <f t="shared" si="43"/>
        <v>0</v>
      </c>
      <c r="J214" s="60">
        <f t="shared" si="43"/>
        <v>-35.19</v>
      </c>
      <c r="K214" s="60">
        <f t="shared" si="43"/>
        <v>-286.86</v>
      </c>
      <c r="L214" s="60">
        <f t="shared" si="43"/>
        <v>0</v>
      </c>
      <c r="M214" s="60">
        <f t="shared" si="43"/>
        <v>0</v>
      </c>
      <c r="N214" s="60">
        <f t="shared" si="43"/>
        <v>0</v>
      </c>
      <c r="O214" s="60">
        <f t="shared" si="43"/>
        <v>0</v>
      </c>
      <c r="P214" s="60">
        <f>IFERROR(SUM(P201:P213),0)</f>
        <v>-329.17</v>
      </c>
      <c r="Q214" s="22"/>
      <c r="R214" s="30"/>
      <c r="S214" s="22"/>
    </row>
    <row r="215" spans="2:19" ht="17.45" customHeight="1">
      <c r="B215" s="29"/>
      <c r="C215" s="27" t="s">
        <v>355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D215+E215+F215+G215+H215+I215+J215+K215+L215+M215+N215+O215</f>
        <v>0</v>
      </c>
      <c r="Q215" s="22"/>
      <c r="R215" s="30"/>
      <c r="S215" s="22"/>
    </row>
    <row r="216" spans="2:19" ht="17.45" customHeight="1">
      <c r="B216" s="29"/>
      <c r="C216" s="28" t="s">
        <v>356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D216+E216+F216+G216+H216+I216+J216+K216+L216+M216+N216+O216</f>
        <v>0</v>
      </c>
      <c r="Q216" s="22"/>
      <c r="R216" s="30"/>
      <c r="S216" s="22"/>
    </row>
    <row r="217" spans="2:19" ht="17.45" customHeight="1">
      <c r="B217" s="29" t="s">
        <v>357</v>
      </c>
      <c r="C217" s="25" t="s">
        <v>358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D217+E217+F217+G217+H217+I217+J217+K217+L217+M217+N217+O217</f>
        <v>0</v>
      </c>
      <c r="Q217" s="22"/>
      <c r="R217" s="30"/>
      <c r="S217" s="22"/>
    </row>
    <row r="218" spans="2:19" ht="17.45" customHeight="1">
      <c r="B218" s="29" t="s">
        <v>359</v>
      </c>
      <c r="C218" s="25" t="s">
        <v>360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D218+E218+F218+G218+H218+I218+J218+K218+L218+M218+N218+O218</f>
        <v>0</v>
      </c>
      <c r="Q218" s="22"/>
      <c r="R218" s="30"/>
      <c r="S218" s="22"/>
    </row>
    <row r="219" spans="2:19" ht="17.45" customHeight="1">
      <c r="B219" s="46" t="s">
        <v>361</v>
      </c>
      <c r="C219" s="45" t="s">
        <v>356</v>
      </c>
      <c r="D219" s="60">
        <f t="shared" ref="D219:O219" si="44">SUM(D217:D218)</f>
        <v>0</v>
      </c>
      <c r="E219" s="60">
        <f t="shared" si="44"/>
        <v>0</v>
      </c>
      <c r="F219" s="60">
        <f t="shared" si="44"/>
        <v>0</v>
      </c>
      <c r="G219" s="60">
        <f t="shared" si="44"/>
        <v>0</v>
      </c>
      <c r="H219" s="60">
        <f t="shared" si="44"/>
        <v>0</v>
      </c>
      <c r="I219" s="60">
        <f t="shared" si="44"/>
        <v>0</v>
      </c>
      <c r="J219" s="60">
        <f t="shared" si="44"/>
        <v>0</v>
      </c>
      <c r="K219" s="60">
        <f t="shared" si="44"/>
        <v>0</v>
      </c>
      <c r="L219" s="60">
        <f t="shared" si="44"/>
        <v>0</v>
      </c>
      <c r="M219" s="60">
        <f t="shared" si="44"/>
        <v>0</v>
      </c>
      <c r="N219" s="60">
        <f t="shared" si="44"/>
        <v>0</v>
      </c>
      <c r="O219" s="60">
        <f t="shared" si="44"/>
        <v>0</v>
      </c>
      <c r="P219" s="60">
        <f>IFERROR(SUM(P217:P218),0)</f>
        <v>0</v>
      </c>
      <c r="Q219" s="22"/>
      <c r="R219" s="30"/>
      <c r="S219" s="22"/>
    </row>
    <row r="220" spans="2:19" ht="17.45" customHeight="1">
      <c r="B220" s="29"/>
      <c r="C220" s="27" t="s">
        <v>362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D220+E220+F220+G220+H220+I220+J220+K220+L220+M220+N220+O220</f>
        <v>0</v>
      </c>
      <c r="Q220" s="22"/>
      <c r="R220" s="30"/>
      <c r="S220" s="22"/>
    </row>
    <row r="221" spans="2:19" ht="17.45" customHeight="1">
      <c r="B221" s="29" t="s">
        <v>363</v>
      </c>
      <c r="C221" s="25" t="s">
        <v>364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D221+E221+F221+G221+H221+I221+J221+K221+L221+M221+N221+O221</f>
        <v>0</v>
      </c>
      <c r="Q221" s="22"/>
      <c r="R221" s="30"/>
      <c r="S221" s="22"/>
    </row>
    <row r="222" spans="2:19" ht="17.45" customHeight="1">
      <c r="B222" s="29" t="s">
        <v>365</v>
      </c>
      <c r="C222" s="25" t="s">
        <v>366</v>
      </c>
      <c r="D222" s="57">
        <v>48.96</v>
      </c>
      <c r="E222" s="57">
        <v>0</v>
      </c>
      <c r="F222" s="57">
        <v>48.96</v>
      </c>
      <c r="G222" s="57">
        <v>0</v>
      </c>
      <c r="H222" s="57">
        <v>0</v>
      </c>
      <c r="I222" s="57">
        <v>0</v>
      </c>
      <c r="J222" s="57">
        <v>-415.67</v>
      </c>
      <c r="K222" s="57">
        <v>68.319999999999993</v>
      </c>
      <c r="L222" s="57">
        <v>0</v>
      </c>
      <c r="M222" s="57">
        <v>0</v>
      </c>
      <c r="N222" s="57">
        <v>0</v>
      </c>
      <c r="O222" s="57">
        <v>0</v>
      </c>
      <c r="P222" s="57">
        <f>D222+E222+F222+G222+H222+I222+J222+K222+L222+M222+N222+O222</f>
        <v>-249.43</v>
      </c>
      <c r="Q222" s="22"/>
      <c r="R222" s="30"/>
      <c r="S222" s="22"/>
    </row>
    <row r="223" spans="2:19" ht="17.45" customHeight="1">
      <c r="B223" s="46" t="s">
        <v>367</v>
      </c>
      <c r="C223" s="45" t="s">
        <v>362</v>
      </c>
      <c r="D223" s="60">
        <f t="shared" ref="D223:O223" si="45">SUM(D221:D222)</f>
        <v>48.96</v>
      </c>
      <c r="E223" s="60">
        <f t="shared" si="45"/>
        <v>0</v>
      </c>
      <c r="F223" s="60">
        <f t="shared" si="45"/>
        <v>48.96</v>
      </c>
      <c r="G223" s="60">
        <f t="shared" si="45"/>
        <v>0</v>
      </c>
      <c r="H223" s="60">
        <f t="shared" si="45"/>
        <v>0</v>
      </c>
      <c r="I223" s="60">
        <f t="shared" si="45"/>
        <v>0</v>
      </c>
      <c r="J223" s="60">
        <f t="shared" si="45"/>
        <v>-415.67</v>
      </c>
      <c r="K223" s="60">
        <f t="shared" si="45"/>
        <v>68.319999999999993</v>
      </c>
      <c r="L223" s="60">
        <f t="shared" si="45"/>
        <v>0</v>
      </c>
      <c r="M223" s="60">
        <f t="shared" si="45"/>
        <v>0</v>
      </c>
      <c r="N223" s="60">
        <f t="shared" si="45"/>
        <v>0</v>
      </c>
      <c r="O223" s="60">
        <f t="shared" si="45"/>
        <v>0</v>
      </c>
      <c r="P223" s="60">
        <f>IFERROR(SUM(P221:P222),0)</f>
        <v>-249.43</v>
      </c>
      <c r="Q223" s="22"/>
      <c r="R223" s="30"/>
      <c r="S223" s="22"/>
    </row>
    <row r="224" spans="2:19" ht="17.45" customHeight="1">
      <c r="B224" s="29" t="s">
        <v>368</v>
      </c>
      <c r="C224" s="25" t="s">
        <v>369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D224+E224+F224+G224+H224+I224+J224+K224+L224+M224+N224+O224</f>
        <v>0</v>
      </c>
      <c r="Q224" s="22"/>
      <c r="R224" s="30"/>
      <c r="S224" s="22"/>
    </row>
    <row r="225" spans="2:19" ht="17.45" customHeight="1">
      <c r="B225" s="29"/>
      <c r="C225" s="27" t="s">
        <v>370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D225+E225+F225+G225+H225+I225+J225+K225+L225+M225+N225+O225</f>
        <v>0</v>
      </c>
      <c r="Q225" s="22"/>
      <c r="R225" s="30"/>
      <c r="S225" s="22"/>
    </row>
    <row r="226" spans="2:19" ht="17.45" customHeight="1">
      <c r="B226" s="29" t="s">
        <v>371</v>
      </c>
      <c r="C226" s="25" t="s">
        <v>372</v>
      </c>
      <c r="D226" s="57">
        <v>564.32000000000005</v>
      </c>
      <c r="E226" s="57">
        <v>0</v>
      </c>
      <c r="F226" s="57">
        <v>564.32000000000005</v>
      </c>
      <c r="G226" s="57">
        <v>0</v>
      </c>
      <c r="H226" s="57">
        <v>0</v>
      </c>
      <c r="I226" s="57">
        <v>0</v>
      </c>
      <c r="J226" s="57">
        <v>0.21</v>
      </c>
      <c r="K226" s="57">
        <v>0.21</v>
      </c>
      <c r="L226" s="57">
        <v>0</v>
      </c>
      <c r="M226" s="57">
        <v>0</v>
      </c>
      <c r="N226" s="57">
        <v>0</v>
      </c>
      <c r="O226" s="57">
        <v>0</v>
      </c>
      <c r="P226" s="57">
        <f>D226+E226+F226+G226+H226+I226+J226+K226+L226+M226+N226+O226</f>
        <v>1129.0600000000002</v>
      </c>
      <c r="Q226" s="22"/>
      <c r="R226" s="30"/>
      <c r="S226" s="22"/>
    </row>
    <row r="227" spans="2:19" ht="17.45" customHeight="1">
      <c r="B227" s="29" t="s">
        <v>373</v>
      </c>
      <c r="C227" s="25" t="s">
        <v>374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D227+E227+F227+G227+H227+I227+J227+K227+L227+M227+N227+O227</f>
        <v>0</v>
      </c>
      <c r="Q227" s="22"/>
      <c r="R227" s="30"/>
      <c r="S227" s="22"/>
    </row>
    <row r="228" spans="2:19" ht="17.45" customHeight="1">
      <c r="B228" s="29"/>
      <c r="C228" s="25" t="s">
        <v>375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376</v>
      </c>
      <c r="C229" s="45" t="s">
        <v>370</v>
      </c>
      <c r="D229" s="60">
        <f t="shared" ref="D229:O229" si="46">SUM(D226:D228)</f>
        <v>564.32000000000005</v>
      </c>
      <c r="E229" s="60">
        <f t="shared" si="46"/>
        <v>0</v>
      </c>
      <c r="F229" s="60">
        <f t="shared" si="46"/>
        <v>564.32000000000005</v>
      </c>
      <c r="G229" s="60">
        <f t="shared" si="46"/>
        <v>0</v>
      </c>
      <c r="H229" s="60">
        <f t="shared" si="46"/>
        <v>0</v>
      </c>
      <c r="I229" s="60">
        <f t="shared" si="46"/>
        <v>0</v>
      </c>
      <c r="J229" s="60">
        <f t="shared" si="46"/>
        <v>0.21</v>
      </c>
      <c r="K229" s="60">
        <f t="shared" si="46"/>
        <v>0.21</v>
      </c>
      <c r="L229" s="60">
        <f t="shared" si="46"/>
        <v>0</v>
      </c>
      <c r="M229" s="60">
        <f t="shared" si="46"/>
        <v>0</v>
      </c>
      <c r="N229" s="60">
        <f t="shared" si="46"/>
        <v>0</v>
      </c>
      <c r="O229" s="60">
        <f t="shared" si="46"/>
        <v>0</v>
      </c>
      <c r="P229" s="60">
        <f>IFERROR(SUM(P226:P228),0)</f>
        <v>1129.0600000000002</v>
      </c>
      <c r="Q229" s="22"/>
      <c r="R229" s="30"/>
      <c r="S229" s="22"/>
    </row>
    <row r="230" spans="2:19" ht="17.45" customHeight="1">
      <c r="B230" s="29"/>
      <c r="C230" s="27" t="s">
        <v>377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D230+E230+F230+G230+H230+I230+J230+K230+L230+M230+N230+O230</f>
        <v>0</v>
      </c>
      <c r="Q230" s="22"/>
      <c r="R230" s="30"/>
      <c r="S230" s="22"/>
    </row>
    <row r="231" spans="2:19" ht="17.45" customHeight="1">
      <c r="B231" s="29" t="s">
        <v>378</v>
      </c>
      <c r="C231" s="25" t="s">
        <v>379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D231+E231+F231+G231+H231+I231+J231+K231+L231+M231+N231+O231</f>
        <v>0</v>
      </c>
      <c r="Q231" s="22"/>
      <c r="R231" s="30"/>
      <c r="S231" s="22"/>
    </row>
    <row r="232" spans="2:19" ht="17.45" customHeight="1">
      <c r="B232" s="29" t="s">
        <v>380</v>
      </c>
      <c r="C232" s="25" t="s">
        <v>381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D232+E232+F232+G232+H232+I232+J232+K232+L232+M232+N232+O232</f>
        <v>0</v>
      </c>
      <c r="Q232" s="22"/>
      <c r="R232" s="30"/>
      <c r="S232" s="22"/>
    </row>
    <row r="233" spans="2:19" ht="17.45" customHeight="1">
      <c r="B233" s="46" t="s">
        <v>382</v>
      </c>
      <c r="C233" s="45" t="s">
        <v>377</v>
      </c>
      <c r="D233" s="60">
        <f>D232+D231</f>
        <v>0</v>
      </c>
      <c r="E233" s="60">
        <f t="shared" ref="E233:P233" si="47">E232+E231</f>
        <v>0</v>
      </c>
      <c r="F233" s="60">
        <f t="shared" si="47"/>
        <v>0</v>
      </c>
      <c r="G233" s="60">
        <f t="shared" si="47"/>
        <v>0</v>
      </c>
      <c r="H233" s="60">
        <f t="shared" si="47"/>
        <v>0</v>
      </c>
      <c r="I233" s="60">
        <f t="shared" si="47"/>
        <v>0</v>
      </c>
      <c r="J233" s="60">
        <f t="shared" si="47"/>
        <v>0</v>
      </c>
      <c r="K233" s="60">
        <f t="shared" si="47"/>
        <v>0</v>
      </c>
      <c r="L233" s="60">
        <f t="shared" si="47"/>
        <v>0</v>
      </c>
      <c r="M233" s="60">
        <f t="shared" si="47"/>
        <v>0</v>
      </c>
      <c r="N233" s="60">
        <f t="shared" si="47"/>
        <v>0</v>
      </c>
      <c r="O233" s="60">
        <f t="shared" si="47"/>
        <v>0</v>
      </c>
      <c r="P233" s="60">
        <f>IFERROR(P232+P231,0)</f>
        <v>0</v>
      </c>
      <c r="Q233" s="22"/>
      <c r="R233" s="30"/>
      <c r="S233" s="22"/>
    </row>
    <row r="234" spans="2:19" ht="17.45" customHeight="1">
      <c r="B234" s="29" t="s">
        <v>383</v>
      </c>
      <c r="C234" s="25" t="s">
        <v>384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 t="shared" ref="P234:P240" si="48">D234+E234+F234+G234+H234+I234+J234+K234+L234+M234+N234+O234</f>
        <v>0</v>
      </c>
      <c r="Q234" s="22"/>
      <c r="R234" s="30"/>
      <c r="S234" s="22"/>
    </row>
    <row r="235" spans="2:19" ht="17.45" customHeight="1">
      <c r="B235" s="29" t="s">
        <v>385</v>
      </c>
      <c r="C235" s="25" t="s">
        <v>386</v>
      </c>
      <c r="D235" s="57">
        <v>526.42999999999995</v>
      </c>
      <c r="E235" s="57">
        <v>0</v>
      </c>
      <c r="F235" s="57">
        <v>526.42999999999995</v>
      </c>
      <c r="G235" s="57">
        <v>0</v>
      </c>
      <c r="H235" s="57">
        <v>0</v>
      </c>
      <c r="I235" s="57">
        <v>0</v>
      </c>
      <c r="J235" s="57">
        <v>883.81</v>
      </c>
      <c r="K235" s="57">
        <v>77.52</v>
      </c>
      <c r="L235" s="57">
        <v>0</v>
      </c>
      <c r="M235" s="57">
        <v>0</v>
      </c>
      <c r="N235" s="57">
        <v>0</v>
      </c>
      <c r="O235" s="57">
        <v>0</v>
      </c>
      <c r="P235" s="57">
        <f t="shared" si="48"/>
        <v>2014.1899999999998</v>
      </c>
      <c r="Q235" s="22"/>
      <c r="R235" s="30"/>
      <c r="S235" s="22"/>
    </row>
    <row r="236" spans="2:19" ht="17.45" customHeight="1">
      <c r="B236" s="29" t="s">
        <v>387</v>
      </c>
      <c r="C236" s="25" t="s">
        <v>388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 t="shared" si="48"/>
        <v>0</v>
      </c>
      <c r="Q236" s="22"/>
      <c r="R236" s="30"/>
      <c r="S236" s="22"/>
    </row>
    <row r="237" spans="2:19" ht="17.45" customHeight="1">
      <c r="B237" s="29" t="s">
        <v>389</v>
      </c>
      <c r="C237" s="25" t="s">
        <v>390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 t="shared" si="48"/>
        <v>0</v>
      </c>
      <c r="Q237" s="22"/>
      <c r="R237" s="30"/>
      <c r="S237" s="22"/>
    </row>
    <row r="238" spans="2:19" ht="17.45" customHeight="1">
      <c r="B238" s="29" t="s">
        <v>391</v>
      </c>
      <c r="C238" s="25" t="s">
        <v>392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 t="shared" si="48"/>
        <v>0</v>
      </c>
      <c r="Q238" s="22"/>
      <c r="R238" s="30"/>
      <c r="S238" s="22"/>
    </row>
    <row r="239" spans="2:19" ht="17.45" customHeight="1">
      <c r="B239" s="29"/>
      <c r="C239" s="25" t="s">
        <v>393</v>
      </c>
      <c r="D239" s="57" t="s">
        <v>432</v>
      </c>
      <c r="E239" s="57">
        <v>0</v>
      </c>
      <c r="F239" s="57" t="s">
        <v>432</v>
      </c>
      <c r="G239" s="57">
        <v>0</v>
      </c>
      <c r="H239" s="57">
        <v>0</v>
      </c>
      <c r="I239" s="57">
        <v>0</v>
      </c>
      <c r="J239" s="57" t="s">
        <v>432</v>
      </c>
      <c r="K239" s="57" t="s">
        <v>432</v>
      </c>
      <c r="L239" s="57">
        <v>0</v>
      </c>
      <c r="M239" s="57">
        <v>0</v>
      </c>
      <c r="N239" s="57">
        <v>0</v>
      </c>
      <c r="O239" s="57">
        <v>0</v>
      </c>
      <c r="P239" s="57">
        <f>IFERROR(D239+E239+F239+G239+H239+I239+J239+K239+L239+M239+N239+O239,0)</f>
        <v>0</v>
      </c>
      <c r="Q239" s="22"/>
      <c r="R239" s="30"/>
      <c r="S239" s="22"/>
    </row>
    <row r="240" spans="2:19" ht="17.45" customHeight="1">
      <c r="B240" s="29" t="s">
        <v>394</v>
      </c>
      <c r="C240" s="25" t="s">
        <v>350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 t="shared" si="48"/>
        <v>0</v>
      </c>
      <c r="Q240" s="22"/>
      <c r="R240" s="30"/>
      <c r="S240" s="22"/>
    </row>
    <row r="241" spans="2:19" ht="17.45" customHeight="1">
      <c r="B241" s="29"/>
      <c r="C241" s="25" t="s">
        <v>395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396</v>
      </c>
      <c r="C242" s="25" t="s">
        <v>353</v>
      </c>
      <c r="D242" s="57">
        <v>-3.56</v>
      </c>
      <c r="E242" s="57">
        <v>0</v>
      </c>
      <c r="F242" s="57">
        <v>-3.56</v>
      </c>
      <c r="G242" s="57">
        <v>0</v>
      </c>
      <c r="H242" s="57">
        <v>0</v>
      </c>
      <c r="I242" s="57">
        <v>0</v>
      </c>
      <c r="J242" s="57">
        <v>-35.19</v>
      </c>
      <c r="K242" s="57">
        <v>-309.31</v>
      </c>
      <c r="L242" s="57">
        <v>0</v>
      </c>
      <c r="M242" s="57">
        <v>0</v>
      </c>
      <c r="N242" s="57">
        <v>0</v>
      </c>
      <c r="O242" s="57">
        <v>0</v>
      </c>
      <c r="P242" s="57">
        <f>D242+E242+F242+G242+H242+I242+J242+K242+L242+M242+N242+O242</f>
        <v>-351.62</v>
      </c>
      <c r="Q242" s="22"/>
      <c r="R242" s="30"/>
      <c r="S242" s="22"/>
    </row>
    <row r="243" spans="2:19" ht="17.45" customHeight="1">
      <c r="B243" s="46" t="s">
        <v>397</v>
      </c>
      <c r="C243" s="45" t="s">
        <v>355</v>
      </c>
      <c r="D243" s="60">
        <f t="shared" ref="D243:O243" si="49">D219+D223+D224+D229+D234+D235+D242+D237</f>
        <v>1136.1500000000001</v>
      </c>
      <c r="E243" s="60">
        <f t="shared" si="49"/>
        <v>0</v>
      </c>
      <c r="F243" s="60">
        <f t="shared" si="49"/>
        <v>1136.1500000000001</v>
      </c>
      <c r="G243" s="60">
        <f t="shared" si="49"/>
        <v>0</v>
      </c>
      <c r="H243" s="60">
        <f t="shared" si="49"/>
        <v>0</v>
      </c>
      <c r="I243" s="60">
        <f t="shared" si="49"/>
        <v>0</v>
      </c>
      <c r="J243" s="60">
        <f t="shared" si="49"/>
        <v>433.15999999999991</v>
      </c>
      <c r="K243" s="60">
        <f t="shared" si="49"/>
        <v>-163.26000000000002</v>
      </c>
      <c r="L243" s="60">
        <f t="shared" si="49"/>
        <v>0</v>
      </c>
      <c r="M243" s="60">
        <f t="shared" si="49"/>
        <v>0</v>
      </c>
      <c r="N243" s="60">
        <f t="shared" si="49"/>
        <v>0</v>
      </c>
      <c r="O243" s="60">
        <f t="shared" si="49"/>
        <v>0</v>
      </c>
      <c r="P243" s="60">
        <f>IFERROR(P219+P223+P224+P229+P234+P235+P242+P237,0)</f>
        <v>2542.1999999999998</v>
      </c>
      <c r="Q243" s="22"/>
      <c r="R243" s="30"/>
      <c r="S243" s="22"/>
    </row>
    <row r="244" spans="2:19" ht="17.45" customHeight="1">
      <c r="B244" s="29" t="s">
        <v>398</v>
      </c>
      <c r="C244" s="25" t="s">
        <v>399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D244+E244+F244+G244+H244+I244+J244+K244+L244+M244+N244+O244</f>
        <v>0</v>
      </c>
      <c r="Q244" s="22"/>
      <c r="R244" s="30"/>
      <c r="S244" s="22"/>
    </row>
    <row r="245" spans="2:19" ht="17.45" customHeight="1">
      <c r="B245" s="29" t="s">
        <v>400</v>
      </c>
      <c r="C245" s="25" t="s">
        <v>401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D245+E245+F245+G245+H245+I245+J245+K245+L245+M245+N245+O245</f>
        <v>0</v>
      </c>
      <c r="Q245" s="22"/>
      <c r="R245" s="30"/>
      <c r="S245" s="22"/>
    </row>
    <row r="246" spans="2:19" ht="17.45" customHeight="1">
      <c r="B246" s="29" t="s">
        <v>402</v>
      </c>
      <c r="C246" s="25" t="s">
        <v>403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D246+E246+F246+G246+H246+I246+J246+K246+L246+M246+N246+O246</f>
        <v>0</v>
      </c>
      <c r="Q246" s="22"/>
      <c r="R246" s="30"/>
      <c r="S246" s="22"/>
    </row>
    <row r="247" spans="2:19" ht="17.45" customHeight="1">
      <c r="B247" s="29" t="s">
        <v>404</v>
      </c>
      <c r="C247" s="25" t="s">
        <v>405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D247+E247+F247+G247+H247+I247+J247+K247+L247+M247+N247+O247</f>
        <v>0</v>
      </c>
      <c r="Q247" s="22"/>
      <c r="R247" s="30"/>
      <c r="S247" s="22"/>
    </row>
    <row r="248" spans="2:19" ht="17.45" customHeight="1">
      <c r="B248" s="46" t="s">
        <v>406</v>
      </c>
      <c r="C248" s="45" t="s">
        <v>330</v>
      </c>
      <c r="D248" s="60">
        <f t="shared" ref="D248:O248" si="50">D243+D214</f>
        <v>1132.5900000000001</v>
      </c>
      <c r="E248" s="60">
        <f t="shared" si="50"/>
        <v>0</v>
      </c>
      <c r="F248" s="60">
        <f t="shared" si="50"/>
        <v>1132.5900000000001</v>
      </c>
      <c r="G248" s="60">
        <f t="shared" si="50"/>
        <v>0</v>
      </c>
      <c r="H248" s="60">
        <f t="shared" si="50"/>
        <v>0</v>
      </c>
      <c r="I248" s="60">
        <f t="shared" si="50"/>
        <v>0</v>
      </c>
      <c r="J248" s="60">
        <f t="shared" si="50"/>
        <v>397.96999999999991</v>
      </c>
      <c r="K248" s="60">
        <f t="shared" si="50"/>
        <v>-450.12</v>
      </c>
      <c r="L248" s="60">
        <f t="shared" si="50"/>
        <v>0</v>
      </c>
      <c r="M248" s="60">
        <f t="shared" si="50"/>
        <v>0</v>
      </c>
      <c r="N248" s="60">
        <f t="shared" si="50"/>
        <v>0</v>
      </c>
      <c r="O248" s="60">
        <f t="shared" si="50"/>
        <v>0</v>
      </c>
      <c r="P248" s="60">
        <f>IFERROR(P243+P214,0)</f>
        <v>2213.0299999999997</v>
      </c>
      <c r="Q248" s="22"/>
      <c r="R248" s="30"/>
      <c r="S248" s="22"/>
    </row>
    <row r="249" spans="2:19" ht="17.45" customHeight="1">
      <c r="B249" s="29" t="s">
        <v>407</v>
      </c>
      <c r="C249" s="25" t="s">
        <v>408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D249+E249+F249+G249+H249+I249+J249+K249+L249+M249+N249+O249</f>
        <v>0</v>
      </c>
      <c r="Q249" s="22"/>
      <c r="R249" s="30"/>
      <c r="S249" s="22"/>
    </row>
    <row r="250" spans="2:19" ht="17.45" customHeight="1">
      <c r="B250" s="29" t="s">
        <v>409</v>
      </c>
      <c r="C250" s="25" t="s">
        <v>410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D250+E250+F250+G250+H250+I250+J250+K250+L250+M250+N250+O250</f>
        <v>0</v>
      </c>
      <c r="Q250" s="22"/>
      <c r="R250" s="30"/>
      <c r="S250" s="22"/>
    </row>
    <row r="251" spans="2:19" ht="17.45" customHeight="1">
      <c r="B251" s="29"/>
      <c r="C251" s="25" t="s">
        <v>411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408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D252+E252+F252+G252+H252+I252+J252+K252+L252+M252+N252+O252</f>
        <v>0</v>
      </c>
      <c r="Q252" s="22"/>
      <c r="R252" s="30"/>
      <c r="S252" s="22"/>
    </row>
    <row r="253" spans="2:19" ht="24.95" customHeight="1">
      <c r="B253" s="68"/>
      <c r="C253" s="68" t="s">
        <v>412</v>
      </c>
      <c r="D253" s="68">
        <f t="shared" ref="D253:O253" si="51">D16-D36-D138-D198-D248</f>
        <v>-235561.60000000001</v>
      </c>
      <c r="E253" s="68">
        <f t="shared" si="51"/>
        <v>0</v>
      </c>
      <c r="F253" s="68">
        <f t="shared" si="51"/>
        <v>-235561.60000000001</v>
      </c>
      <c r="G253" s="68">
        <f t="shared" si="51"/>
        <v>0</v>
      </c>
      <c r="H253" s="68">
        <f t="shared" si="51"/>
        <v>0</v>
      </c>
      <c r="I253" s="68">
        <f t="shared" si="51"/>
        <v>0</v>
      </c>
      <c r="J253" s="68">
        <f t="shared" si="51"/>
        <v>-171751.29</v>
      </c>
      <c r="K253" s="68">
        <f>IFERROR(K16-K36-K138-K198-K248,0)</f>
        <v>3454.0300000000007</v>
      </c>
      <c r="L253" s="68">
        <f>IFERROR(L16-L36-L138-L198-L248,0)</f>
        <v>0</v>
      </c>
      <c r="M253" s="68">
        <f>IFERROR(M16-M36-M138-M198-M248,0)</f>
        <v>0</v>
      </c>
      <c r="N253" s="68">
        <f>IFERROR(N16-N36-N138-N198-N248,0)</f>
        <v>0</v>
      </c>
      <c r="O253" s="68">
        <f>IFERROR(O16-O36-O138-O198-O248,0)</f>
        <v>0</v>
      </c>
      <c r="P253" s="68">
        <f>IFERROR(P16-P36-P138-P198-P248,0)</f>
        <v>-639420.46000000008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945" priority="493" operator="containsText" text="NOT FOUND">
      <formula>NOT(ISERROR(SEARCH("NOT FOUND",D5)))</formula>
    </cfRule>
  </conditionalFormatting>
  <conditionalFormatting sqref="D15:P15">
    <cfRule type="containsText" dxfId="122" priority="41" operator="containsText" text="NOT FOUND">
      <formula>NOT(ISERROR(SEARCH("NOT FOUND",D15)))</formula>
    </cfRule>
  </conditionalFormatting>
  <conditionalFormatting sqref="D16:P16">
    <cfRule type="containsText" dxfId="121" priority="40" operator="containsText" text="NOT FOUND">
      <formula>NOT(ISERROR(SEARCH("NOT FOUND",D16)))</formula>
    </cfRule>
  </conditionalFormatting>
  <conditionalFormatting sqref="D24:P24">
    <cfRule type="containsText" dxfId="120" priority="39" operator="containsText" text="NOT FOUND">
      <formula>NOT(ISERROR(SEARCH("NOT FOUND",D24)))</formula>
    </cfRule>
  </conditionalFormatting>
  <conditionalFormatting sqref="D29:P29">
    <cfRule type="containsText" dxfId="119" priority="38" operator="containsText" text="NOT FOUND">
      <formula>NOT(ISERROR(SEARCH("NOT FOUND",D29)))</formula>
    </cfRule>
  </conditionalFormatting>
  <conditionalFormatting sqref="D34:P34">
    <cfRule type="containsText" dxfId="118" priority="37" operator="containsText" text="NOT FOUND">
      <formula>NOT(ISERROR(SEARCH("NOT FOUND",D34)))</formula>
    </cfRule>
  </conditionalFormatting>
  <conditionalFormatting sqref="D35:P35">
    <cfRule type="containsText" dxfId="117" priority="36" operator="containsText" text="NOT FOUND">
      <formula>NOT(ISERROR(SEARCH("NOT FOUND",D35)))</formula>
    </cfRule>
  </conditionalFormatting>
  <conditionalFormatting sqref="D36:P36">
    <cfRule type="containsText" dxfId="116" priority="35" operator="containsText" text="NOT FOUND">
      <formula>NOT(ISERROR(SEARCH("NOT FOUND",D36)))</formula>
    </cfRule>
  </conditionalFormatting>
  <conditionalFormatting sqref="D47:P47">
    <cfRule type="containsText" dxfId="115" priority="34" operator="containsText" text="NOT FOUND">
      <formula>NOT(ISERROR(SEARCH("NOT FOUND",D47)))</formula>
    </cfRule>
  </conditionalFormatting>
  <conditionalFormatting sqref="D52:P52">
    <cfRule type="containsText" dxfId="114" priority="33" operator="containsText" text="NOT FOUND">
      <formula>NOT(ISERROR(SEARCH("NOT FOUND",D52)))</formula>
    </cfRule>
  </conditionalFormatting>
  <conditionalFormatting sqref="D53:P53">
    <cfRule type="containsText" dxfId="113" priority="32" operator="containsText" text="NOT FOUND">
      <formula>NOT(ISERROR(SEARCH("NOT FOUND",D53)))</formula>
    </cfRule>
  </conditionalFormatting>
  <conditionalFormatting sqref="D61:P61">
    <cfRule type="containsText" dxfId="112" priority="31" operator="containsText" text="NOT FOUND">
      <formula>NOT(ISERROR(SEARCH("NOT FOUND",D61)))</formula>
    </cfRule>
  </conditionalFormatting>
  <conditionalFormatting sqref="D70:P70">
    <cfRule type="containsText" dxfId="111" priority="30" operator="containsText" text="NOT FOUND">
      <formula>NOT(ISERROR(SEARCH("NOT FOUND",D70)))</formula>
    </cfRule>
  </conditionalFormatting>
  <conditionalFormatting sqref="D80:P80">
    <cfRule type="containsText" dxfId="110" priority="29" operator="containsText" text="NOT FOUND">
      <formula>NOT(ISERROR(SEARCH("NOT FOUND",D80)))</formula>
    </cfRule>
  </conditionalFormatting>
  <conditionalFormatting sqref="D89:P89">
    <cfRule type="containsText" dxfId="109" priority="28" operator="containsText" text="NOT FOUND">
      <formula>NOT(ISERROR(SEARCH("NOT FOUND",D89)))</formula>
    </cfRule>
  </conditionalFormatting>
  <conditionalFormatting sqref="D101:P101">
    <cfRule type="containsText" dxfId="108" priority="27" operator="containsText" text="NOT FOUND">
      <formula>NOT(ISERROR(SEARCH("NOT FOUND",D101)))</formula>
    </cfRule>
  </conditionalFormatting>
  <conditionalFormatting sqref="D106:P106">
    <cfRule type="containsText" dxfId="107" priority="26" operator="containsText" text="NOT FOUND">
      <formula>NOT(ISERROR(SEARCH("NOT FOUND",D106)))</formula>
    </cfRule>
  </conditionalFormatting>
  <conditionalFormatting sqref="D111:P111">
    <cfRule type="containsText" dxfId="106" priority="25" operator="containsText" text="NOT FOUND">
      <formula>NOT(ISERROR(SEARCH("NOT FOUND",D111)))</formula>
    </cfRule>
  </conditionalFormatting>
  <conditionalFormatting sqref="D112:P112">
    <cfRule type="containsText" dxfId="105" priority="24" operator="containsText" text="NOT FOUND">
      <formula>NOT(ISERROR(SEARCH("NOT FOUND",D112)))</formula>
    </cfRule>
  </conditionalFormatting>
  <conditionalFormatting sqref="D117:P117">
    <cfRule type="containsText" dxfId="104" priority="23" operator="containsText" text="NOT FOUND">
      <formula>NOT(ISERROR(SEARCH("NOT FOUND",D117)))</formula>
    </cfRule>
  </conditionalFormatting>
  <conditionalFormatting sqref="D128:P128">
    <cfRule type="containsText" dxfId="103" priority="22" operator="containsText" text="NOT FOUND">
      <formula>NOT(ISERROR(SEARCH("NOT FOUND",D128)))</formula>
    </cfRule>
  </conditionalFormatting>
  <conditionalFormatting sqref="D132:P132">
    <cfRule type="containsText" dxfId="102" priority="21" operator="containsText" text="NOT FOUND">
      <formula>NOT(ISERROR(SEARCH("NOT FOUND",D132)))</formula>
    </cfRule>
  </conditionalFormatting>
  <conditionalFormatting sqref="D137:P137">
    <cfRule type="containsText" dxfId="101" priority="20" operator="containsText" text="NOT FOUND">
      <formula>NOT(ISERROR(SEARCH("NOT FOUND",D137)))</formula>
    </cfRule>
  </conditionalFormatting>
  <conditionalFormatting sqref="D138:P138">
    <cfRule type="containsText" dxfId="100" priority="19" operator="containsText" text="NOT FOUND">
      <formula>NOT(ISERROR(SEARCH("NOT FOUND",D138)))</formula>
    </cfRule>
  </conditionalFormatting>
  <conditionalFormatting sqref="D148:P148">
    <cfRule type="containsText" dxfId="99" priority="18" operator="containsText" text="NOT FOUND">
      <formula>NOT(ISERROR(SEARCH("NOT FOUND",D148)))</formula>
    </cfRule>
  </conditionalFormatting>
  <conditionalFormatting sqref="D154:P154">
    <cfRule type="containsText" dxfId="98" priority="17" operator="containsText" text="NOT FOUND">
      <formula>NOT(ISERROR(SEARCH("NOT FOUND",D154)))</formula>
    </cfRule>
  </conditionalFormatting>
  <conditionalFormatting sqref="D158:P158">
    <cfRule type="containsText" dxfId="97" priority="16" operator="containsText" text="NOT FOUND">
      <formula>NOT(ISERROR(SEARCH("NOT FOUND",D158)))</formula>
    </cfRule>
  </conditionalFormatting>
  <conditionalFormatting sqref="D170:P170">
    <cfRule type="containsText" dxfId="96" priority="15" operator="containsText" text="NOT FOUND">
      <formula>NOT(ISERROR(SEARCH("NOT FOUND",D170)))</formula>
    </cfRule>
  </conditionalFormatting>
  <conditionalFormatting sqref="D175:P175">
    <cfRule type="containsText" dxfId="95" priority="14" operator="containsText" text="NOT FOUND">
      <formula>NOT(ISERROR(SEARCH("NOT FOUND",D175)))</formula>
    </cfRule>
  </conditionalFormatting>
  <conditionalFormatting sqref="D182:P182">
    <cfRule type="containsText" dxfId="94" priority="13" operator="containsText" text="NOT FOUND">
      <formula>NOT(ISERROR(SEARCH("NOT FOUND",D182)))</formula>
    </cfRule>
  </conditionalFormatting>
  <conditionalFormatting sqref="D187:P187">
    <cfRule type="containsText" dxfId="93" priority="12" operator="containsText" text="NOT FOUND">
      <formula>NOT(ISERROR(SEARCH("NOT FOUND",D187)))</formula>
    </cfRule>
  </conditionalFormatting>
  <conditionalFormatting sqref="D197:P197">
    <cfRule type="containsText" dxfId="92" priority="11" operator="containsText" text="NOT FOUND">
      <formula>NOT(ISERROR(SEARCH("NOT FOUND",D197)))</formula>
    </cfRule>
  </conditionalFormatting>
  <conditionalFormatting sqref="D198:P198">
    <cfRule type="containsText" dxfId="91" priority="10" operator="containsText" text="NOT FOUND">
      <formula>NOT(ISERROR(SEARCH("NOT FOUND",D198)))</formula>
    </cfRule>
  </conditionalFormatting>
  <conditionalFormatting sqref="D206:P206">
    <cfRule type="containsText" dxfId="90" priority="9" operator="containsText" text="NOT FOUND">
      <formula>NOT(ISERROR(SEARCH("NOT FOUND",D206)))</formula>
    </cfRule>
  </conditionalFormatting>
  <conditionalFormatting sqref="D214:P214">
    <cfRule type="containsText" dxfId="89" priority="8" operator="containsText" text="NOT FOUND">
      <formula>NOT(ISERROR(SEARCH("NOT FOUND",D214)))</formula>
    </cfRule>
  </conditionalFormatting>
  <conditionalFormatting sqref="D219:P219">
    <cfRule type="containsText" dxfId="88" priority="7" operator="containsText" text="NOT FOUND">
      <formula>NOT(ISERROR(SEARCH("NOT FOUND",D219)))</formula>
    </cfRule>
  </conditionalFormatting>
  <conditionalFormatting sqref="D223:P223">
    <cfRule type="containsText" dxfId="87" priority="6" operator="containsText" text="NOT FOUND">
      <formula>NOT(ISERROR(SEARCH("NOT FOUND",D223)))</formula>
    </cfRule>
  </conditionalFormatting>
  <conditionalFormatting sqref="D229:P229">
    <cfRule type="containsText" dxfId="86" priority="5" operator="containsText" text="NOT FOUND">
      <formula>NOT(ISERROR(SEARCH("NOT FOUND",D229)))</formula>
    </cfRule>
  </conditionalFormatting>
  <conditionalFormatting sqref="D233:P233">
    <cfRule type="containsText" dxfId="85" priority="4" operator="containsText" text="NOT FOUND">
      <formula>NOT(ISERROR(SEARCH("NOT FOUND",D233)))</formula>
    </cfRule>
  </conditionalFormatting>
  <conditionalFormatting sqref="D243:P243">
    <cfRule type="containsText" dxfId="84" priority="3" operator="containsText" text="NOT FOUND">
      <formula>NOT(ISERROR(SEARCH("NOT FOUND",D243)))</formula>
    </cfRule>
  </conditionalFormatting>
  <conditionalFormatting sqref="D248:P248">
    <cfRule type="containsText" dxfId="83" priority="2" operator="containsText" text="NOT FOUND">
      <formula>NOT(ISERROR(SEARCH("NOT FOUND",D248)))</formula>
    </cfRule>
  </conditionalFormatting>
  <conditionalFormatting sqref="D253:P253">
    <cfRule type="containsText" dxfId="82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BB6A-C6D6-441D-9928-2F55D2FB3C39}">
  <sheetPr codeName="Sheet13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9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10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20</v>
      </c>
      <c r="L4" s="40" t="s">
        <v>21</v>
      </c>
      <c r="M4" s="40" t="s">
        <v>22</v>
      </c>
      <c r="N4" s="40" t="s">
        <v>23</v>
      </c>
      <c r="O4" s="40" t="s">
        <v>24</v>
      </c>
      <c r="P4" s="40" t="s">
        <v>25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26</v>
      </c>
      <c r="D6" s="57" t="s">
        <v>436</v>
      </c>
      <c r="E6" s="57" t="s">
        <v>436</v>
      </c>
      <c r="F6" s="57" t="s">
        <v>436</v>
      </c>
      <c r="G6" s="57" t="s">
        <v>436</v>
      </c>
      <c r="H6" s="57" t="s">
        <v>436</v>
      </c>
      <c r="I6" s="57" t="s">
        <v>436</v>
      </c>
      <c r="J6" s="57" t="s">
        <v>436</v>
      </c>
      <c r="K6" s="57" t="s">
        <v>436</v>
      </c>
      <c r="L6" s="57" t="s">
        <v>436</v>
      </c>
      <c r="M6" s="57" t="s">
        <v>436</v>
      </c>
      <c r="N6" s="57" t="s">
        <v>436</v>
      </c>
      <c r="O6" s="57" t="s">
        <v>436</v>
      </c>
      <c r="P6" s="57"/>
      <c r="Q6" s="22"/>
      <c r="R6" s="18"/>
    </row>
    <row r="7" spans="1:19" ht="17.45" customHeight="1">
      <c r="B7" s="24"/>
      <c r="C7" s="62" t="s">
        <v>27</v>
      </c>
      <c r="D7" s="57" t="s">
        <v>436</v>
      </c>
      <c r="E7" s="57" t="s">
        <v>436</v>
      </c>
      <c r="F7" s="57" t="s">
        <v>436</v>
      </c>
      <c r="G7" s="57" t="s">
        <v>436</v>
      </c>
      <c r="H7" s="57" t="s">
        <v>436</v>
      </c>
      <c r="I7" s="57" t="s">
        <v>436</v>
      </c>
      <c r="J7" s="57" t="s">
        <v>436</v>
      </c>
      <c r="K7" s="57" t="s">
        <v>436</v>
      </c>
      <c r="L7" s="57" t="s">
        <v>436</v>
      </c>
      <c r="M7" s="57" t="s">
        <v>436</v>
      </c>
      <c r="N7" s="57" t="s">
        <v>436</v>
      </c>
      <c r="O7" s="57" t="s">
        <v>436</v>
      </c>
      <c r="P7" s="57"/>
      <c r="Q7" s="22"/>
      <c r="R7" s="18"/>
    </row>
    <row r="8" spans="1:19" ht="17.45" customHeight="1">
      <c r="B8" s="29" t="s">
        <v>28</v>
      </c>
      <c r="C8" s="63" t="s">
        <v>29</v>
      </c>
      <c r="D8" s="57">
        <v>1875436.21</v>
      </c>
      <c r="E8" s="57">
        <v>0</v>
      </c>
      <c r="F8" s="57">
        <v>1875436.21</v>
      </c>
      <c r="G8" s="57">
        <v>0</v>
      </c>
      <c r="H8" s="57">
        <v>0</v>
      </c>
      <c r="I8" s="57">
        <v>0</v>
      </c>
      <c r="J8" s="57">
        <v>1447004.77</v>
      </c>
      <c r="K8" s="57">
        <v>604148.57999999996</v>
      </c>
      <c r="L8" s="57">
        <v>0</v>
      </c>
      <c r="M8" s="57">
        <v>0</v>
      </c>
      <c r="N8" s="57">
        <v>0</v>
      </c>
      <c r="O8" s="57">
        <v>0</v>
      </c>
      <c r="P8" s="57">
        <f>IFERROR(D8+E8+F8+G8+H8+I8+J8+K8+L8+M8+N8+O8,0)</f>
        <v>5802025.7699999996</v>
      </c>
      <c r="Q8" s="22"/>
      <c r="R8" s="30"/>
      <c r="S8" s="22"/>
    </row>
    <row r="9" spans="1:19" ht="17.45" customHeight="1">
      <c r="B9" s="29" t="s">
        <v>30</v>
      </c>
      <c r="C9" s="63" t="s">
        <v>31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>IFERROR(D9+E9+F9+G9+H9+I9+J9+K9+L9+M9+N9+O9,0)</f>
        <v>0</v>
      </c>
      <c r="Q9" s="22"/>
      <c r="R9" s="30"/>
      <c r="S9" s="22"/>
    </row>
    <row r="10" spans="1:19" ht="17.45" customHeight="1">
      <c r="B10" s="29" t="s">
        <v>32</v>
      </c>
      <c r="C10" s="63" t="s">
        <v>33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>IFERROR(D10+E10+F10+G10+H10+I10+J10+K10+L10+M10+N10+O10,0)</f>
        <v>0</v>
      </c>
      <c r="Q10" s="22"/>
      <c r="R10" s="30"/>
      <c r="S10" s="22"/>
    </row>
    <row r="11" spans="1:19" ht="17.45" customHeight="1">
      <c r="B11" s="29" t="s">
        <v>34</v>
      </c>
      <c r="C11" s="63" t="s">
        <v>35</v>
      </c>
      <c r="D11" s="57">
        <v>325.07</v>
      </c>
      <c r="E11" s="57">
        <v>0</v>
      </c>
      <c r="F11" s="57">
        <v>325.07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>IFERROR(D11+E11+F11+G11+H11+I11+J11+K11+L11+M11+N11+O11,0)</f>
        <v>650.14</v>
      </c>
      <c r="Q11" s="22"/>
      <c r="R11" s="30"/>
      <c r="S11" s="22"/>
    </row>
    <row r="12" spans="1:19" ht="17.45" customHeight="1">
      <c r="B12" s="29" t="s">
        <v>36</v>
      </c>
      <c r="C12" s="63" t="s">
        <v>37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>IFERROR(D12+E12+F12+G12+H12+I12+J12+K12+L12+M12+N12+O12,0)</f>
        <v>0</v>
      </c>
      <c r="Q12" s="22"/>
      <c r="R12" s="30"/>
      <c r="S12" s="22"/>
    </row>
    <row r="13" spans="1:19" ht="17.45" customHeight="1">
      <c r="B13" s="29" t="s">
        <v>38</v>
      </c>
      <c r="C13" s="63" t="s">
        <v>39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>IFERROR(D13+E13+F13+G13+H13+I13+J13+K13+L13+M13+N13+O13,0)</f>
        <v>0</v>
      </c>
      <c r="Q13" s="22"/>
      <c r="R13" s="30"/>
      <c r="S13" s="22"/>
    </row>
    <row r="14" spans="1:19" ht="17.45" customHeight="1">
      <c r="B14" s="29"/>
      <c r="C14" s="63" t="s">
        <v>40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41</v>
      </c>
      <c r="C15" s="74" t="s">
        <v>27</v>
      </c>
      <c r="D15" s="73">
        <f t="shared" ref="D15:O15" si="0">SUM(D7:D13)</f>
        <v>1875761.28</v>
      </c>
      <c r="E15" s="73">
        <f t="shared" si="0"/>
        <v>0</v>
      </c>
      <c r="F15" s="73">
        <f t="shared" si="0"/>
        <v>1875761.28</v>
      </c>
      <c r="G15" s="73">
        <f t="shared" si="0"/>
        <v>0</v>
      </c>
      <c r="H15" s="73">
        <f t="shared" si="0"/>
        <v>0</v>
      </c>
      <c r="I15" s="73">
        <f t="shared" si="0"/>
        <v>0</v>
      </c>
      <c r="J15" s="73">
        <f t="shared" si="0"/>
        <v>1447004.77</v>
      </c>
      <c r="K15" s="73">
        <f t="shared" si="0"/>
        <v>604148.57999999996</v>
      </c>
      <c r="L15" s="73">
        <f t="shared" si="0"/>
        <v>0</v>
      </c>
      <c r="M15" s="73">
        <f t="shared" si="0"/>
        <v>0</v>
      </c>
      <c r="N15" s="73">
        <f t="shared" si="0"/>
        <v>0</v>
      </c>
      <c r="O15" s="73">
        <f t="shared" si="0"/>
        <v>0</v>
      </c>
      <c r="P15" s="73">
        <f>IFERROR(SUM(P7:P13),0)</f>
        <v>5802675.9099999992</v>
      </c>
      <c r="Q15" s="22"/>
      <c r="R15" s="30"/>
      <c r="S15" s="22"/>
    </row>
    <row r="16" spans="1:19" ht="17.45" customHeight="1">
      <c r="B16" s="47" t="s">
        <v>42</v>
      </c>
      <c r="C16" s="64" t="s">
        <v>43</v>
      </c>
      <c r="D16" s="60">
        <f t="shared" ref="D16:O16" si="1">D15</f>
        <v>1875761.28</v>
      </c>
      <c r="E16" s="60">
        <f t="shared" si="1"/>
        <v>0</v>
      </c>
      <c r="F16" s="60">
        <f t="shared" si="1"/>
        <v>1875761.28</v>
      </c>
      <c r="G16" s="60">
        <f t="shared" si="1"/>
        <v>0</v>
      </c>
      <c r="H16" s="60">
        <f t="shared" si="1"/>
        <v>0</v>
      </c>
      <c r="I16" s="60">
        <f t="shared" si="1"/>
        <v>0</v>
      </c>
      <c r="J16" s="60">
        <f t="shared" si="1"/>
        <v>1447004.77</v>
      </c>
      <c r="K16" s="60">
        <f t="shared" si="1"/>
        <v>604148.57999999996</v>
      </c>
      <c r="L16" s="60">
        <f t="shared" si="1"/>
        <v>0</v>
      </c>
      <c r="M16" s="60">
        <f t="shared" si="1"/>
        <v>0</v>
      </c>
      <c r="N16" s="60">
        <f t="shared" si="1"/>
        <v>0</v>
      </c>
      <c r="O16" s="60">
        <f t="shared" si="1"/>
        <v>0</v>
      </c>
      <c r="P16" s="60">
        <f>IFERROR(P15,0)</f>
        <v>5802675.9099999992</v>
      </c>
      <c r="Q16" s="22"/>
      <c r="R16" s="30"/>
      <c r="S16" s="22"/>
    </row>
    <row r="17" spans="2:19" ht="17.45" customHeight="1">
      <c r="B17" s="29"/>
      <c r="C17" s="61" t="s">
        <v>44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>IFERROR(D17+E17+F17+G17+H17+I17+J17+K17+L17+M17+N17+O17,0)</f>
        <v>0</v>
      </c>
      <c r="Q17" s="22"/>
      <c r="R17" s="30"/>
      <c r="S17" s="22"/>
    </row>
    <row r="18" spans="2:19" ht="17.45" customHeight="1">
      <c r="B18" s="29"/>
      <c r="C18" s="62" t="s">
        <v>45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>IFERROR(D18+E18+F18+G18+H18+I18+J18+K18+L18+M18+N18+O18,0)</f>
        <v>0</v>
      </c>
      <c r="Q18" s="22"/>
      <c r="R18" s="30"/>
      <c r="S18" s="22"/>
    </row>
    <row r="19" spans="2:19" ht="17.45" customHeight="1">
      <c r="B19" s="29" t="s">
        <v>46</v>
      </c>
      <c r="C19" s="63" t="s">
        <v>47</v>
      </c>
      <c r="D19" s="57">
        <v>201740.12</v>
      </c>
      <c r="E19" s="57">
        <v>0</v>
      </c>
      <c r="F19" s="57">
        <v>201740.12</v>
      </c>
      <c r="G19" s="57">
        <v>0</v>
      </c>
      <c r="H19" s="57">
        <v>0</v>
      </c>
      <c r="I19" s="57">
        <v>0</v>
      </c>
      <c r="J19" s="57">
        <v>181789.52</v>
      </c>
      <c r="K19" s="57">
        <v>340689.6</v>
      </c>
      <c r="L19" s="57">
        <v>0</v>
      </c>
      <c r="M19" s="57">
        <v>0</v>
      </c>
      <c r="N19" s="57">
        <v>0</v>
      </c>
      <c r="O19" s="57">
        <v>0</v>
      </c>
      <c r="P19" s="57">
        <f>IFERROR(D19+E19+F19+G19+H19+I19+J19+K19+L19+M19+N19+O19,0)</f>
        <v>925959.36</v>
      </c>
      <c r="Q19" s="22"/>
      <c r="R19" s="30"/>
      <c r="S19" s="22"/>
    </row>
    <row r="20" spans="2:19" ht="17.45" customHeight="1">
      <c r="B20" s="29" t="s">
        <v>48</v>
      </c>
      <c r="C20" s="25" t="s">
        <v>49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>IFERROR(D20+E20+F20+G20+H20+I20+J20+K20+L20+M20+N20+O20,0)</f>
        <v>0</v>
      </c>
      <c r="Q20" s="22"/>
      <c r="R20" s="30"/>
      <c r="S20" s="22"/>
    </row>
    <row r="21" spans="2:19" ht="17.45" customHeight="1">
      <c r="B21" s="29"/>
      <c r="C21" s="25" t="s">
        <v>50</v>
      </c>
      <c r="D21" s="57">
        <v>201740.12</v>
      </c>
      <c r="E21" s="57">
        <v>0</v>
      </c>
      <c r="F21" s="57">
        <v>201740.12</v>
      </c>
      <c r="G21" s="57">
        <v>0</v>
      </c>
      <c r="H21" s="57">
        <v>0</v>
      </c>
      <c r="I21" s="57">
        <v>0</v>
      </c>
      <c r="J21" s="57">
        <v>181789.52</v>
      </c>
      <c r="K21" s="57">
        <v>340689.6</v>
      </c>
      <c r="L21" s="57">
        <v>0</v>
      </c>
      <c r="M21" s="57">
        <v>0</v>
      </c>
      <c r="N21" s="57">
        <v>0</v>
      </c>
      <c r="O21" s="57">
        <v>0</v>
      </c>
      <c r="P21" s="57">
        <f>IFERROR(D21+E21+F21+G21+H21+I21+J21+K21+L21+M21+N21+O21,0)</f>
        <v>925959.36</v>
      </c>
      <c r="Q21" s="22"/>
      <c r="R21" s="30"/>
      <c r="S21" s="22"/>
    </row>
    <row r="22" spans="2:19" ht="17.45" customHeight="1">
      <c r="B22" s="29" t="s">
        <v>51</v>
      </c>
      <c r="C22" s="25" t="s">
        <v>52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>IFERROR(D22+E22+F22+G22+H22+I22+J22+K22+L22+M22+N22+O22,0)</f>
        <v>0</v>
      </c>
      <c r="Q22" s="22"/>
      <c r="R22" s="30"/>
      <c r="S22" s="22"/>
    </row>
    <row r="23" spans="2:19" ht="17.45" customHeight="1">
      <c r="B23" s="29" t="s">
        <v>53</v>
      </c>
      <c r="C23" s="25" t="s">
        <v>54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>IFERROR(D23+E23+F23+G23+H23+I23+J23+K23+L23+M23+N23+O23,0)</f>
        <v>0</v>
      </c>
      <c r="Q23" s="22"/>
      <c r="R23" s="30"/>
      <c r="S23" s="22"/>
    </row>
    <row r="24" spans="2:19" ht="17.45" customHeight="1">
      <c r="B24" s="49"/>
      <c r="C24" s="50" t="s">
        <v>55</v>
      </c>
      <c r="D24" s="59">
        <f t="shared" ref="D24:O24" si="2">SUM(D18:D23)</f>
        <v>403480.24</v>
      </c>
      <c r="E24" s="59">
        <f t="shared" si="2"/>
        <v>0</v>
      </c>
      <c r="F24" s="59">
        <f t="shared" si="2"/>
        <v>403480.24</v>
      </c>
      <c r="G24" s="59">
        <f t="shared" si="2"/>
        <v>0</v>
      </c>
      <c r="H24" s="59">
        <f t="shared" si="2"/>
        <v>0</v>
      </c>
      <c r="I24" s="59">
        <f t="shared" si="2"/>
        <v>0</v>
      </c>
      <c r="J24" s="59">
        <f t="shared" si="2"/>
        <v>363579.04</v>
      </c>
      <c r="K24" s="59">
        <f t="shared" si="2"/>
        <v>681379.2</v>
      </c>
      <c r="L24" s="59">
        <f t="shared" si="2"/>
        <v>0</v>
      </c>
      <c r="M24" s="59">
        <f t="shared" si="2"/>
        <v>0</v>
      </c>
      <c r="N24" s="59">
        <f t="shared" si="2"/>
        <v>0</v>
      </c>
      <c r="O24" s="59">
        <f t="shared" si="2"/>
        <v>0</v>
      </c>
      <c r="P24" s="59">
        <f>IFERROR(SUM(P18:P23),0)</f>
        <v>1851918.72</v>
      </c>
      <c r="Q24" s="22"/>
      <c r="R24" s="30"/>
      <c r="S24" s="22"/>
    </row>
    <row r="25" spans="2:19" ht="17.45" customHeight="1">
      <c r="B25" s="29" t="s">
        <v>56</v>
      </c>
      <c r="C25" s="25" t="s">
        <v>57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IFERROR(D25+E25+F25+G25+H25+I25+J25+K25+L25+M25+N25+O25,0)</f>
        <v>0</v>
      </c>
      <c r="Q25" s="22"/>
      <c r="R25" s="30"/>
      <c r="S25" s="22"/>
    </row>
    <row r="26" spans="2:19" ht="17.45" customHeight="1">
      <c r="B26" s="29" t="s">
        <v>58</v>
      </c>
      <c r="C26" s="25" t="s">
        <v>59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IFERROR(D26+E26+F26+G26+H26+I26+J26+K26+L26+M26+N26+O26,0)</f>
        <v>0</v>
      </c>
      <c r="Q26" s="22"/>
      <c r="R26" s="30"/>
      <c r="S26" s="22"/>
    </row>
    <row r="27" spans="2:19" ht="17.45" customHeight="1">
      <c r="B27" s="29" t="s">
        <v>60</v>
      </c>
      <c r="C27" s="25" t="s">
        <v>61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IFERROR(D27+E27+F27+G27+H27+I27+J27+K27+L27+M27+N27+O27,0)</f>
        <v>0</v>
      </c>
      <c r="Q27" s="22"/>
      <c r="R27" s="30"/>
      <c r="S27" s="22"/>
    </row>
    <row r="28" spans="2:19" ht="17.45" customHeight="1">
      <c r="B28" s="29" t="s">
        <v>62</v>
      </c>
      <c r="C28" s="25" t="s">
        <v>63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IFERROR(D28+E28+F28+G28+H28+I28+J28+K28+L28+M28+N28+O28,0)</f>
        <v>0</v>
      </c>
      <c r="Q28" s="22"/>
      <c r="R28" s="30"/>
      <c r="S28" s="22"/>
    </row>
    <row r="29" spans="2:19" ht="17.45" customHeight="1">
      <c r="B29" s="49"/>
      <c r="C29" s="50" t="s">
        <v>64</v>
      </c>
      <c r="D29" s="59">
        <f>D25</f>
        <v>0</v>
      </c>
      <c r="E29" s="59">
        <f t="shared" ref="E29:P29" si="3">E25</f>
        <v>0</v>
      </c>
      <c r="F29" s="59">
        <f t="shared" si="3"/>
        <v>0</v>
      </c>
      <c r="G29" s="59">
        <f t="shared" si="3"/>
        <v>0</v>
      </c>
      <c r="H29" s="59">
        <f t="shared" si="3"/>
        <v>0</v>
      </c>
      <c r="I29" s="59">
        <f t="shared" si="3"/>
        <v>0</v>
      </c>
      <c r="J29" s="59">
        <f t="shared" si="3"/>
        <v>0</v>
      </c>
      <c r="K29" s="59">
        <f t="shared" si="3"/>
        <v>0</v>
      </c>
      <c r="L29" s="59">
        <f t="shared" si="3"/>
        <v>0</v>
      </c>
      <c r="M29" s="59">
        <f t="shared" si="3"/>
        <v>0</v>
      </c>
      <c r="N29" s="59">
        <f t="shared" si="3"/>
        <v>0</v>
      </c>
      <c r="O29" s="59">
        <f t="shared" si="3"/>
        <v>0</v>
      </c>
      <c r="P29" s="59">
        <f>IFERROR(P25,0)</f>
        <v>0</v>
      </c>
      <c r="Q29" s="22"/>
      <c r="R29" s="30"/>
      <c r="S29" s="22"/>
    </row>
    <row r="30" spans="2:19" ht="17.45" customHeight="1">
      <c r="B30" s="29" t="s">
        <v>65</v>
      </c>
      <c r="C30" s="25" t="s">
        <v>66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IFERROR(D30+E30+F30+G30+H30+I30+J30+K30+L30+M30+N30+O30,0)</f>
        <v>0</v>
      </c>
      <c r="Q30" s="22"/>
      <c r="R30" s="30"/>
      <c r="S30" s="22"/>
    </row>
    <row r="31" spans="2:19" ht="17.45" customHeight="1">
      <c r="B31" s="29" t="s">
        <v>67</v>
      </c>
      <c r="C31" s="25" t="s">
        <v>68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IFERROR(D31+E31+F31+G31+H31+I31+J31+K31+L31+M31+N31+O31,0)</f>
        <v>0</v>
      </c>
      <c r="Q31" s="22"/>
      <c r="R31" s="30"/>
      <c r="S31" s="22"/>
    </row>
    <row r="32" spans="2:19" ht="17.45" customHeight="1">
      <c r="B32" s="29" t="s">
        <v>69</v>
      </c>
      <c r="C32" s="25" t="s">
        <v>70</v>
      </c>
      <c r="D32" s="57" t="s">
        <v>432</v>
      </c>
      <c r="E32" s="57">
        <v>0</v>
      </c>
      <c r="F32" s="57" t="s">
        <v>432</v>
      </c>
      <c r="G32" s="57">
        <v>0</v>
      </c>
      <c r="H32" s="57">
        <v>0</v>
      </c>
      <c r="I32" s="57">
        <v>0</v>
      </c>
      <c r="J32" s="57" t="s">
        <v>432</v>
      </c>
      <c r="K32" s="57" t="s">
        <v>432</v>
      </c>
      <c r="L32" s="57">
        <v>0</v>
      </c>
      <c r="M32" s="57">
        <v>0</v>
      </c>
      <c r="N32" s="57">
        <v>0</v>
      </c>
      <c r="O32" s="57">
        <v>0</v>
      </c>
      <c r="P32" s="57">
        <f>IFERROR(IFERROR(D32+E32+F32+G32+H32+I32+J32+K32+L32+M32+N32+O32,0),0)</f>
        <v>0</v>
      </c>
      <c r="Q32" s="22"/>
      <c r="R32" s="30"/>
      <c r="S32" s="22"/>
    </row>
    <row r="33" spans="2:19" ht="17.45" customHeight="1">
      <c r="B33" s="29" t="s">
        <v>71</v>
      </c>
      <c r="C33" s="25" t="s">
        <v>72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IFERROR(D33+E33+F33+G33+H33+I33+J33+K33+L33+M33+N33+O33,0)</f>
        <v>0</v>
      </c>
      <c r="Q33" s="22"/>
      <c r="R33" s="30"/>
      <c r="S33" s="22"/>
    </row>
    <row r="34" spans="2:19" ht="17.45" customHeight="1">
      <c r="B34" s="65"/>
      <c r="C34" s="66" t="s">
        <v>73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74</v>
      </c>
      <c r="C35" s="66" t="s">
        <v>75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76</v>
      </c>
      <c r="C36" s="48" t="s">
        <v>77</v>
      </c>
      <c r="D36" s="59">
        <f t="shared" ref="D36:O36" si="4">D24+D29+D34+D35</f>
        <v>403480.24</v>
      </c>
      <c r="E36" s="59">
        <f t="shared" si="4"/>
        <v>0</v>
      </c>
      <c r="F36" s="59">
        <f t="shared" si="4"/>
        <v>403480.24</v>
      </c>
      <c r="G36" s="59">
        <f t="shared" si="4"/>
        <v>0</v>
      </c>
      <c r="H36" s="59">
        <f t="shared" si="4"/>
        <v>0</v>
      </c>
      <c r="I36" s="59">
        <f t="shared" si="4"/>
        <v>0</v>
      </c>
      <c r="J36" s="59">
        <f t="shared" si="4"/>
        <v>363579.04</v>
      </c>
      <c r="K36" s="59">
        <f t="shared" si="4"/>
        <v>681379.2</v>
      </c>
      <c r="L36" s="59">
        <f t="shared" si="4"/>
        <v>0</v>
      </c>
      <c r="M36" s="59">
        <f t="shared" si="4"/>
        <v>0</v>
      </c>
      <c r="N36" s="59">
        <f t="shared" si="4"/>
        <v>0</v>
      </c>
      <c r="O36" s="59">
        <f t="shared" si="4"/>
        <v>0</v>
      </c>
      <c r="P36" s="59">
        <f>IFERROR(P24+P29+P34+P35,0)</f>
        <v>1851918.72</v>
      </c>
      <c r="Q36" s="22"/>
      <c r="R36" s="30"/>
      <c r="S36" s="22"/>
    </row>
    <row r="37" spans="2:19" ht="17.45" customHeight="1">
      <c r="B37" s="29"/>
      <c r="C37" s="31" t="s">
        <v>78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>IFERROR(D37+E37+F37+G37+H37+I37+J37+K37+L37+M37+N37+O37,0)</f>
        <v>0</v>
      </c>
      <c r="Q37" s="22"/>
      <c r="R37" s="30"/>
      <c r="S37" s="22"/>
    </row>
    <row r="38" spans="2:19" ht="17.45" customHeight="1">
      <c r="B38" s="29" t="s">
        <v>79</v>
      </c>
      <c r="C38" s="28" t="s">
        <v>80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>IFERROR(D38+E38+F38+G38+H38+I38+J38+K38+L38+M38+N38+O38,0)</f>
        <v>0</v>
      </c>
      <c r="Q38" s="22"/>
      <c r="R38" s="30"/>
      <c r="S38" s="22"/>
    </row>
    <row r="39" spans="2:19" ht="17.45" customHeight="1">
      <c r="B39" s="29" t="s">
        <v>81</v>
      </c>
      <c r="C39" s="25" t="s">
        <v>82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>IFERROR(D39+E39+F39+G39+H39+I39+J39+K39+L39+M39+N39+O39,0)</f>
        <v>0</v>
      </c>
      <c r="Q39" s="22"/>
      <c r="R39" s="30"/>
      <c r="S39" s="22"/>
    </row>
    <row r="40" spans="2:19" ht="17.45" customHeight="1">
      <c r="B40" s="29"/>
      <c r="C40" s="28" t="s">
        <v>83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>IFERROR(D40+E40+F40+G40+H40+I40+J40+K40+L40+M40+N40+O40,0)</f>
        <v>0</v>
      </c>
      <c r="Q40" s="22"/>
      <c r="R40" s="30"/>
      <c r="S40" s="22"/>
    </row>
    <row r="41" spans="2:19" ht="17.45" customHeight="1">
      <c r="B41" s="29" t="s">
        <v>84</v>
      </c>
      <c r="C41" s="25" t="s">
        <v>85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>IFERROR(D41+E41+F41+G41+H41+I41+J41+K41+L41+M41+N41+O41,0)</f>
        <v>0</v>
      </c>
      <c r="Q41" s="22"/>
      <c r="R41" s="30"/>
      <c r="S41" s="22"/>
    </row>
    <row r="42" spans="2:19" ht="17.45" customHeight="1">
      <c r="B42" s="29" t="s">
        <v>86</v>
      </c>
      <c r="C42" s="25" t="s">
        <v>87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>IFERROR(D42+E42+F42+G42+H42+I42+J42+K42+L42+M42+N42+O42,0)</f>
        <v>0</v>
      </c>
      <c r="Q42" s="22"/>
      <c r="R42" s="30"/>
      <c r="S42" s="22"/>
    </row>
    <row r="43" spans="2:19" ht="17.45" customHeight="1">
      <c r="B43" s="29"/>
      <c r="C43" s="25" t="s">
        <v>88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89</v>
      </c>
      <c r="C44" s="25" t="s">
        <v>90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91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92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93</v>
      </c>
      <c r="C47" s="45" t="s">
        <v>83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IFERROR(SUM(D47:O47),0)</f>
        <v>0</v>
      </c>
      <c r="Q47" s="22"/>
      <c r="R47" s="30"/>
      <c r="S47" s="22"/>
    </row>
    <row r="48" spans="2:19" ht="17.45" customHeight="1">
      <c r="B48" s="29"/>
      <c r="C48" s="28" t="s">
        <v>94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IFERROR(D48+E48+F48+G48+H48+I48+J48+K48+L48+M48+N48+O48,0)</f>
        <v>0</v>
      </c>
      <c r="Q48" s="22"/>
      <c r="R48" s="30"/>
      <c r="S48" s="22"/>
    </row>
    <row r="49" spans="2:19" ht="17.45" customHeight="1">
      <c r="B49" s="29" t="s">
        <v>95</v>
      </c>
      <c r="C49" s="25" t="s">
        <v>96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IFERROR(D49+E49+F49+G49+H49+I49+J49+K49+L49+M49+N49+O49,0)</f>
        <v>0</v>
      </c>
      <c r="Q49" s="22"/>
      <c r="R49" s="30"/>
      <c r="S49" s="22"/>
    </row>
    <row r="50" spans="2:19" ht="17.45" customHeight="1">
      <c r="B50" s="29" t="s">
        <v>97</v>
      </c>
      <c r="C50" s="25" t="s">
        <v>98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IFERROR(D50+E50+F50+G50+H50+I50+J50+K50+L50+M50+N50+O50,0)</f>
        <v>0</v>
      </c>
      <c r="Q50" s="22"/>
      <c r="R50" s="30"/>
      <c r="S50" s="22"/>
    </row>
    <row r="51" spans="2:19" ht="17.45" customHeight="1">
      <c r="B51" s="29" t="s">
        <v>99</v>
      </c>
      <c r="C51" s="25" t="s">
        <v>100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IFERROR(D51+E51+F51+G51+H51+I51+J51+K51+L51+M51+N51+O51,0)</f>
        <v>0</v>
      </c>
      <c r="Q51" s="22"/>
      <c r="R51" s="30"/>
      <c r="S51" s="22"/>
    </row>
    <row r="52" spans="2:19" ht="17.45" customHeight="1">
      <c r="B52" s="65" t="s">
        <v>101</v>
      </c>
      <c r="C52" s="66" t="s">
        <v>94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IFERROR(SUM(D52:O52),0)</f>
        <v>0</v>
      </c>
      <c r="Q52" s="22"/>
      <c r="R52" s="30"/>
      <c r="S52" s="22"/>
    </row>
    <row r="53" spans="2:19" ht="17.45" customHeight="1">
      <c r="B53" s="65" t="s">
        <v>102</v>
      </c>
      <c r="C53" s="66" t="s">
        <v>103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IFERROR(SUM(D53:O53),0)</f>
        <v>0</v>
      </c>
      <c r="Q53" s="22"/>
      <c r="R53" s="30"/>
      <c r="S53" s="22"/>
    </row>
    <row r="54" spans="2:19" ht="17.45" customHeight="1">
      <c r="B54" s="29"/>
      <c r="C54" s="27" t="s">
        <v>104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>IFERROR(D54+E54+F54+G54+H54+I54+J54+K54+L54+M54+N54+O54,0)</f>
        <v>0</v>
      </c>
      <c r="Q54" s="22"/>
      <c r="R54" s="30"/>
      <c r="S54" s="22"/>
    </row>
    <row r="55" spans="2:19" ht="17.45" customHeight="1">
      <c r="B55" s="29"/>
      <c r="C55" s="28" t="s">
        <v>105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>IFERROR(D55+E55+F55+G55+H55+I55+J55+K55+L55+M55+N55+O55,0)</f>
        <v>0</v>
      </c>
      <c r="Q55" s="22"/>
      <c r="R55" s="30"/>
      <c r="S55" s="22"/>
    </row>
    <row r="56" spans="2:19" ht="17.45" customHeight="1">
      <c r="B56" s="29" t="s">
        <v>106</v>
      </c>
      <c r="C56" s="25" t="s">
        <v>107</v>
      </c>
      <c r="D56" s="57">
        <v>95685.68</v>
      </c>
      <c r="E56" s="57">
        <v>0</v>
      </c>
      <c r="F56" s="57">
        <v>95685.68</v>
      </c>
      <c r="G56" s="57">
        <v>0</v>
      </c>
      <c r="H56" s="57">
        <v>0</v>
      </c>
      <c r="I56" s="57">
        <v>0</v>
      </c>
      <c r="J56" s="57">
        <v>99082.1</v>
      </c>
      <c r="K56" s="57">
        <v>358.16</v>
      </c>
      <c r="L56" s="57">
        <v>0</v>
      </c>
      <c r="M56" s="57">
        <v>0</v>
      </c>
      <c r="N56" s="57">
        <v>0</v>
      </c>
      <c r="O56" s="57">
        <v>0</v>
      </c>
      <c r="P56" s="57">
        <f>IFERROR(D56+E56+F56+G56+H56+I56+J56+K56+L56+M56+N56+O56,0)</f>
        <v>290811.61999999994</v>
      </c>
      <c r="Q56" s="22"/>
      <c r="R56" s="30"/>
      <c r="S56" s="22"/>
    </row>
    <row r="57" spans="2:19" ht="17.45" customHeight="1">
      <c r="B57" s="29" t="s">
        <v>108</v>
      </c>
      <c r="C57" s="25" t="s">
        <v>109</v>
      </c>
      <c r="D57" s="57">
        <v>8000</v>
      </c>
      <c r="E57" s="57">
        <v>0</v>
      </c>
      <c r="F57" s="57">
        <v>8000</v>
      </c>
      <c r="G57" s="57">
        <v>0</v>
      </c>
      <c r="H57" s="57">
        <v>0</v>
      </c>
      <c r="I57" s="57">
        <v>0</v>
      </c>
      <c r="J57" s="57">
        <v>7015.62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>IFERROR(D57+E57+F57+G57+H57+I57+J57+K57+L57+M57+N57+O57,0)</f>
        <v>23015.62</v>
      </c>
      <c r="Q57" s="22"/>
      <c r="R57" s="30"/>
      <c r="S57" s="22"/>
    </row>
    <row r="58" spans="2:19" ht="17.45" customHeight="1">
      <c r="B58" s="29" t="s">
        <v>110</v>
      </c>
      <c r="C58" s="25" t="s">
        <v>111</v>
      </c>
      <c r="D58" s="57">
        <v>3659.95</v>
      </c>
      <c r="E58" s="57">
        <v>0</v>
      </c>
      <c r="F58" s="57">
        <v>3659.95</v>
      </c>
      <c r="G58" s="57">
        <v>0</v>
      </c>
      <c r="H58" s="57">
        <v>0</v>
      </c>
      <c r="I58" s="57">
        <v>0</v>
      </c>
      <c r="J58" s="57">
        <v>3673.55</v>
      </c>
      <c r="K58" s="57">
        <v>4688.76</v>
      </c>
      <c r="L58" s="57">
        <v>0</v>
      </c>
      <c r="M58" s="57">
        <v>0</v>
      </c>
      <c r="N58" s="57">
        <v>0</v>
      </c>
      <c r="O58" s="57">
        <v>0</v>
      </c>
      <c r="P58" s="57">
        <f>IFERROR(D58+E58+F58+G58+H58+I58+J58+K58+L58+M58+N58+O58,0)</f>
        <v>15682.210000000001</v>
      </c>
      <c r="Q58" s="22"/>
      <c r="R58" s="30"/>
      <c r="S58" s="22"/>
    </row>
    <row r="59" spans="2:19" ht="17.45" customHeight="1">
      <c r="B59" s="29" t="s">
        <v>112</v>
      </c>
      <c r="C59" s="25" t="s">
        <v>113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>IFERROR(D59+E59+F59+G59+H59+I59+J59+K59+L59+M59+N59+O59,0)</f>
        <v>0</v>
      </c>
      <c r="Q59" s="22"/>
      <c r="R59" s="30"/>
      <c r="S59" s="22"/>
    </row>
    <row r="60" spans="2:19" ht="17.45" customHeight="1">
      <c r="B60" s="29" t="s">
        <v>114</v>
      </c>
      <c r="C60" s="25" t="s">
        <v>115</v>
      </c>
      <c r="D60" s="57">
        <v>5916.26</v>
      </c>
      <c r="E60" s="57">
        <v>0</v>
      </c>
      <c r="F60" s="57">
        <v>5916.26</v>
      </c>
      <c r="G60" s="57">
        <v>0</v>
      </c>
      <c r="H60" s="57">
        <v>0</v>
      </c>
      <c r="I60" s="57">
        <v>0</v>
      </c>
      <c r="J60" s="57">
        <v>6183.55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>IFERROR(D60+E60+F60+G60+H60+I60+J60+K60+L60+M60+N60+O60,0)</f>
        <v>18016.07</v>
      </c>
      <c r="Q60" s="22"/>
      <c r="R60" s="30"/>
      <c r="S60" s="22"/>
    </row>
    <row r="61" spans="2:19" ht="17.45" customHeight="1">
      <c r="B61" s="46" t="s">
        <v>116</v>
      </c>
      <c r="C61" s="45" t="s">
        <v>105</v>
      </c>
      <c r="D61" s="59">
        <f t="shared" ref="D61:O61" si="5">SUM(D56:D60)</f>
        <v>113261.88999999998</v>
      </c>
      <c r="E61" s="59">
        <f t="shared" si="5"/>
        <v>0</v>
      </c>
      <c r="F61" s="59">
        <f t="shared" si="5"/>
        <v>113261.88999999998</v>
      </c>
      <c r="G61" s="59">
        <f t="shared" si="5"/>
        <v>0</v>
      </c>
      <c r="H61" s="59">
        <f t="shared" si="5"/>
        <v>0</v>
      </c>
      <c r="I61" s="59">
        <f t="shared" si="5"/>
        <v>0</v>
      </c>
      <c r="J61" s="59">
        <f t="shared" si="5"/>
        <v>115954.82</v>
      </c>
      <c r="K61" s="59">
        <f t="shared" si="5"/>
        <v>5046.92</v>
      </c>
      <c r="L61" s="59">
        <f t="shared" si="5"/>
        <v>0</v>
      </c>
      <c r="M61" s="59">
        <f t="shared" si="5"/>
        <v>0</v>
      </c>
      <c r="N61" s="59">
        <f t="shared" si="5"/>
        <v>0</v>
      </c>
      <c r="O61" s="59">
        <f t="shared" si="5"/>
        <v>0</v>
      </c>
      <c r="P61" s="59">
        <f>IFERROR(SUM(P56:P60),0)</f>
        <v>347525.51999999996</v>
      </c>
      <c r="Q61" s="22"/>
      <c r="R61" s="30"/>
      <c r="S61" s="22"/>
    </row>
    <row r="62" spans="2:19" ht="17.45" customHeight="1">
      <c r="B62" s="29" t="s">
        <v>117</v>
      </c>
      <c r="C62" s="25" t="s">
        <v>118</v>
      </c>
      <c r="D62" s="57">
        <v>2738.66</v>
      </c>
      <c r="E62" s="57">
        <v>0</v>
      </c>
      <c r="F62" s="57">
        <v>2738.66</v>
      </c>
      <c r="G62" s="57">
        <v>0</v>
      </c>
      <c r="H62" s="57">
        <v>0</v>
      </c>
      <c r="I62" s="57">
        <v>0</v>
      </c>
      <c r="J62" s="57">
        <v>3452.84</v>
      </c>
      <c r="K62" s="57">
        <v>239.69</v>
      </c>
      <c r="L62" s="57">
        <v>0</v>
      </c>
      <c r="M62" s="57">
        <v>0</v>
      </c>
      <c r="N62" s="57">
        <v>0</v>
      </c>
      <c r="O62" s="57">
        <v>0</v>
      </c>
      <c r="P62" s="57">
        <f>IFERROR(D62+E62+F62+G62+H62+I62+J62+K62+L62+M62+N62+O62,0)</f>
        <v>9169.85</v>
      </c>
      <c r="Q62" s="22"/>
      <c r="R62" s="30"/>
      <c r="S62" s="22"/>
    </row>
    <row r="63" spans="2:19" ht="17.45" customHeight="1">
      <c r="B63" s="29" t="s">
        <v>119</v>
      </c>
      <c r="C63" s="25" t="s">
        <v>120</v>
      </c>
      <c r="D63" s="57">
        <v>596.98</v>
      </c>
      <c r="E63" s="57">
        <v>0</v>
      </c>
      <c r="F63" s="57">
        <v>596.98</v>
      </c>
      <c r="G63" s="57">
        <v>0</v>
      </c>
      <c r="H63" s="57">
        <v>0</v>
      </c>
      <c r="I63" s="57">
        <v>0</v>
      </c>
      <c r="J63" s="57">
        <v>1632.69</v>
      </c>
      <c r="K63" s="57">
        <v>705.47</v>
      </c>
      <c r="L63" s="57">
        <v>0</v>
      </c>
      <c r="M63" s="57">
        <v>0</v>
      </c>
      <c r="N63" s="57">
        <v>0</v>
      </c>
      <c r="O63" s="57">
        <v>0</v>
      </c>
      <c r="P63" s="57">
        <f>IFERROR(D63+E63+F63+G63+H63+I63+J63+K63+L63+M63+N63+O63,0)</f>
        <v>3532.12</v>
      </c>
      <c r="Q63" s="22"/>
      <c r="R63" s="30"/>
      <c r="S63" s="22"/>
    </row>
    <row r="64" spans="2:19" ht="17.45" customHeight="1">
      <c r="B64" s="29" t="s">
        <v>121</v>
      </c>
      <c r="C64" s="25" t="s">
        <v>122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4827.6099999999997</v>
      </c>
      <c r="K64" s="57">
        <v>5777.94</v>
      </c>
      <c r="L64" s="57">
        <v>0</v>
      </c>
      <c r="M64" s="57">
        <v>0</v>
      </c>
      <c r="N64" s="57">
        <v>0</v>
      </c>
      <c r="O64" s="57">
        <v>0</v>
      </c>
      <c r="P64" s="57">
        <f>IFERROR(D64+E64+F64+G64+H64+I64+J64+K64+L64+M64+N64+O64,0)</f>
        <v>10605.55</v>
      </c>
      <c r="Q64" s="22"/>
      <c r="R64" s="30"/>
      <c r="S64" s="22"/>
    </row>
    <row r="65" spans="2:19" ht="17.45" customHeight="1">
      <c r="B65" s="29" t="s">
        <v>123</v>
      </c>
      <c r="C65" s="25" t="s">
        <v>124</v>
      </c>
      <c r="D65" s="57">
        <v>0</v>
      </c>
      <c r="E65" s="57">
        <v>0</v>
      </c>
      <c r="F65" s="57">
        <v>0</v>
      </c>
      <c r="G65" s="57">
        <v>0</v>
      </c>
      <c r="H65" s="57">
        <v>0</v>
      </c>
      <c r="I65" s="57">
        <v>0</v>
      </c>
      <c r="J65" s="57">
        <v>0</v>
      </c>
      <c r="K65" s="57">
        <v>27.58</v>
      </c>
      <c r="L65" s="57">
        <v>0</v>
      </c>
      <c r="M65" s="57">
        <v>0</v>
      </c>
      <c r="N65" s="57">
        <v>0</v>
      </c>
      <c r="O65" s="57">
        <v>0</v>
      </c>
      <c r="P65" s="57">
        <f>IFERROR(D65+E65+F65+G65+H65+I65+J65+K65+L65+M65+N65+O65,0)</f>
        <v>27.58</v>
      </c>
      <c r="Q65" s="22"/>
      <c r="R65" s="30"/>
      <c r="S65" s="22"/>
    </row>
    <row r="66" spans="2:19" ht="17.45" customHeight="1">
      <c r="B66" s="29"/>
      <c r="C66" s="28" t="s">
        <v>125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>IFERROR(D66+E66+F66+G66+H66+I66+J66+K66+L66+M66+N66+O66,0)</f>
        <v>0</v>
      </c>
      <c r="Q66" s="22"/>
      <c r="R66" s="30"/>
      <c r="S66" s="22"/>
    </row>
    <row r="67" spans="2:19" ht="17.45" customHeight="1">
      <c r="B67" s="29" t="s">
        <v>126</v>
      </c>
      <c r="C67" s="25" t="s">
        <v>127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>IFERROR(D67+E67+F67+G67+H67+I67+J67+K67+L67+M67+N67+O67,0)</f>
        <v>0</v>
      </c>
      <c r="Q67" s="22"/>
      <c r="R67" s="30"/>
      <c r="S67" s="22"/>
    </row>
    <row r="68" spans="2:19" ht="17.45" customHeight="1">
      <c r="B68" s="29" t="s">
        <v>128</v>
      </c>
      <c r="C68" s="25" t="s">
        <v>129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>IFERROR(D68+E68+F68+G68+H68+I68+J68+K68+L68+M68+N68+O68,0)</f>
        <v>0</v>
      </c>
      <c r="Q68" s="22"/>
      <c r="R68" s="30"/>
      <c r="S68" s="22"/>
    </row>
    <row r="69" spans="2:19" ht="17.45" customHeight="1">
      <c r="B69" s="29"/>
      <c r="C69" s="25" t="s">
        <v>130</v>
      </c>
      <c r="D69" s="57">
        <v>13063.65</v>
      </c>
      <c r="E69" s="57">
        <v>0</v>
      </c>
      <c r="F69" s="57">
        <v>13063.65</v>
      </c>
      <c r="G69" s="57">
        <v>0</v>
      </c>
      <c r="H69" s="57">
        <v>0</v>
      </c>
      <c r="I69" s="57">
        <v>0</v>
      </c>
      <c r="J69" s="57">
        <v>10955.69</v>
      </c>
      <c r="K69" s="57">
        <v>12978.37</v>
      </c>
      <c r="L69" s="57">
        <v>0</v>
      </c>
      <c r="M69" s="57">
        <v>0</v>
      </c>
      <c r="N69" s="57">
        <v>0</v>
      </c>
      <c r="O69" s="57">
        <v>0</v>
      </c>
      <c r="P69" s="57">
        <f>IFERROR(D69+E69+F69+G69+H69+I69+J69+K69+L69+M69+N69+O69,0)</f>
        <v>50061.36</v>
      </c>
      <c r="Q69" s="22"/>
      <c r="R69" s="30"/>
      <c r="S69" s="22"/>
    </row>
    <row r="70" spans="2:19" ht="17.45" customHeight="1">
      <c r="B70" s="46" t="s">
        <v>131</v>
      </c>
      <c r="C70" s="45" t="s">
        <v>125</v>
      </c>
      <c r="D70" s="59">
        <f t="shared" ref="D70:O70" si="6">SUM(D68:D69)</f>
        <v>13063.65</v>
      </c>
      <c r="E70" s="59">
        <f t="shared" si="6"/>
        <v>0</v>
      </c>
      <c r="F70" s="59">
        <f t="shared" si="6"/>
        <v>13063.65</v>
      </c>
      <c r="G70" s="59">
        <f t="shared" si="6"/>
        <v>0</v>
      </c>
      <c r="H70" s="59">
        <f t="shared" si="6"/>
        <v>0</v>
      </c>
      <c r="I70" s="59">
        <f t="shared" si="6"/>
        <v>0</v>
      </c>
      <c r="J70" s="59">
        <f t="shared" si="6"/>
        <v>10955.69</v>
      </c>
      <c r="K70" s="59">
        <f t="shared" si="6"/>
        <v>12978.37</v>
      </c>
      <c r="L70" s="59">
        <f t="shared" si="6"/>
        <v>0</v>
      </c>
      <c r="M70" s="59">
        <f t="shared" si="6"/>
        <v>0</v>
      </c>
      <c r="N70" s="59">
        <f t="shared" si="6"/>
        <v>0</v>
      </c>
      <c r="O70" s="59">
        <f t="shared" si="6"/>
        <v>0</v>
      </c>
      <c r="P70" s="59">
        <f>IFERROR(SUM(P68:P69),0)</f>
        <v>50061.36</v>
      </c>
      <c r="Q70" s="22"/>
      <c r="R70" s="30"/>
      <c r="S70" s="22"/>
    </row>
    <row r="71" spans="2:19" ht="17.45" customHeight="1">
      <c r="B71" s="29" t="s">
        <v>132</v>
      </c>
      <c r="C71" s="25" t="s">
        <v>133</v>
      </c>
      <c r="D71" s="57">
        <v>32651.71</v>
      </c>
      <c r="E71" s="57">
        <v>0</v>
      </c>
      <c r="F71" s="57">
        <v>32651.71</v>
      </c>
      <c r="G71" s="57">
        <v>0</v>
      </c>
      <c r="H71" s="57">
        <v>0</v>
      </c>
      <c r="I71" s="57">
        <v>0</v>
      </c>
      <c r="J71" s="57">
        <v>10920.26</v>
      </c>
      <c r="K71" s="57">
        <v>3178.9</v>
      </c>
      <c r="L71" s="57">
        <v>0</v>
      </c>
      <c r="M71" s="57">
        <v>0</v>
      </c>
      <c r="N71" s="57">
        <v>0</v>
      </c>
      <c r="O71" s="57">
        <v>0</v>
      </c>
      <c r="P71" s="57">
        <f>IFERROR(D71+E71+F71+G71+H71+I71+J71+K71+L71+M71+N71+O71,0)</f>
        <v>79402.579999999987</v>
      </c>
      <c r="Q71" s="22"/>
      <c r="R71" s="30"/>
      <c r="S71" s="22"/>
    </row>
    <row r="72" spans="2:19" ht="17.45" customHeight="1">
      <c r="B72" s="29"/>
      <c r="C72" s="28" t="s">
        <v>134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>IFERROR(D72+E72+F72+G72+H72+I72+J72+K72+L72+M72+N72+O72,0)</f>
        <v>0</v>
      </c>
      <c r="Q72" s="22"/>
      <c r="R72" s="30"/>
      <c r="S72" s="22"/>
    </row>
    <row r="73" spans="2:19" ht="17.45" customHeight="1">
      <c r="B73" s="29" t="s">
        <v>135</v>
      </c>
      <c r="C73" s="25" t="s">
        <v>136</v>
      </c>
      <c r="D73" s="57">
        <v>547.73</v>
      </c>
      <c r="E73" s="57">
        <v>0</v>
      </c>
      <c r="F73" s="57">
        <v>547.73</v>
      </c>
      <c r="G73" s="57">
        <v>0</v>
      </c>
      <c r="H73" s="57">
        <v>0</v>
      </c>
      <c r="I73" s="57">
        <v>0</v>
      </c>
      <c r="J73" s="57">
        <v>3891.41</v>
      </c>
      <c r="K73" s="57">
        <v>86.09</v>
      </c>
      <c r="L73" s="57">
        <v>0</v>
      </c>
      <c r="M73" s="57">
        <v>0</v>
      </c>
      <c r="N73" s="57">
        <v>0</v>
      </c>
      <c r="O73" s="57">
        <v>0</v>
      </c>
      <c r="P73" s="57">
        <f>IFERROR(D73+E73+F73+G73+H73+I73+J73+K73+L73+M73+N73+O73,0)</f>
        <v>5072.96</v>
      </c>
      <c r="Q73" s="22"/>
      <c r="R73" s="30"/>
      <c r="S73" s="22"/>
    </row>
    <row r="74" spans="2:19" ht="17.45" customHeight="1">
      <c r="B74" s="29" t="s">
        <v>137</v>
      </c>
      <c r="C74" s="25" t="s">
        <v>138</v>
      </c>
      <c r="D74" s="57">
        <v>398.33</v>
      </c>
      <c r="E74" s="57">
        <v>0</v>
      </c>
      <c r="F74" s="57">
        <v>398.33</v>
      </c>
      <c r="G74" s="57">
        <v>0</v>
      </c>
      <c r="H74" s="57">
        <v>0</v>
      </c>
      <c r="I74" s="57">
        <v>0</v>
      </c>
      <c r="J74" s="57">
        <v>557.20000000000005</v>
      </c>
      <c r="K74" s="57">
        <v>138.09</v>
      </c>
      <c r="L74" s="57">
        <v>0</v>
      </c>
      <c r="M74" s="57">
        <v>0</v>
      </c>
      <c r="N74" s="57">
        <v>0</v>
      </c>
      <c r="O74" s="57">
        <v>0</v>
      </c>
      <c r="P74" s="57">
        <f>IFERROR(D74+E74+F74+G74+H74+I74+J74+K74+L74+M74+N74+O74,0)</f>
        <v>1491.95</v>
      </c>
      <c r="Q74" s="22"/>
      <c r="R74" s="30"/>
      <c r="S74" s="22"/>
    </row>
    <row r="75" spans="2:19" ht="17.45" customHeight="1">
      <c r="B75" s="29" t="s">
        <v>139</v>
      </c>
      <c r="C75" s="25" t="s">
        <v>140</v>
      </c>
      <c r="D75" s="57">
        <v>192.76</v>
      </c>
      <c r="E75" s="57">
        <v>0</v>
      </c>
      <c r="F75" s="57">
        <v>192.76</v>
      </c>
      <c r="G75" s="57">
        <v>0</v>
      </c>
      <c r="H75" s="57">
        <v>0</v>
      </c>
      <c r="I75" s="57">
        <v>0</v>
      </c>
      <c r="J75" s="57">
        <v>-6.01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>IFERROR(D75+E75+F75+G75+H75+I75+J75+K75+L75+M75+N75+O75,0)</f>
        <v>379.51</v>
      </c>
      <c r="Q75" s="22"/>
      <c r="R75" s="30"/>
      <c r="S75" s="22"/>
    </row>
    <row r="76" spans="2:19" ht="17.45" customHeight="1">
      <c r="B76" s="29" t="s">
        <v>141</v>
      </c>
      <c r="C76" s="25" t="s">
        <v>142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>IFERROR(D76+E76+F76+G76+H76+I76+J76+K76+L76+M76+N76+O76,0)</f>
        <v>0</v>
      </c>
      <c r="Q76" s="22"/>
      <c r="R76" s="30"/>
      <c r="S76" s="22"/>
    </row>
    <row r="77" spans="2:19" ht="17.45" customHeight="1">
      <c r="B77" s="29" t="s">
        <v>143</v>
      </c>
      <c r="C77" s="25" t="s">
        <v>144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>IFERROR(D77+E77+F77+G77+H77+I77+J77+K77+L77+M77+N77+O77,0)</f>
        <v>0</v>
      </c>
      <c r="Q77" s="22"/>
      <c r="R77" s="30"/>
      <c r="S77" s="22"/>
    </row>
    <row r="78" spans="2:19" ht="17.45" customHeight="1">
      <c r="B78" s="29"/>
      <c r="C78" s="25" t="s">
        <v>145</v>
      </c>
      <c r="D78" s="57">
        <v>310.89999999999998</v>
      </c>
      <c r="E78" s="57">
        <v>0</v>
      </c>
      <c r="F78" s="57">
        <v>310.89999999999998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>IFERROR(D78+E78+F78+G78+H78+I78+J78+K78+L78+M78+N78+O78,0)</f>
        <v>621.79999999999995</v>
      </c>
      <c r="Q78" s="22"/>
      <c r="R78" s="30"/>
      <c r="S78" s="22"/>
    </row>
    <row r="79" spans="2:19" ht="17.45" customHeight="1">
      <c r="B79" s="29"/>
      <c r="C79" s="25" t="s">
        <v>146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>IFERROR(D79+E79+F79+G79+H79+I79+J79+K79+L79+M79+N79+O79,0)</f>
        <v>0</v>
      </c>
      <c r="Q79" s="22"/>
      <c r="R79" s="30"/>
      <c r="S79" s="22"/>
    </row>
    <row r="80" spans="2:19" ht="17.45" customHeight="1">
      <c r="B80" s="46" t="s">
        <v>147</v>
      </c>
      <c r="C80" s="45" t="s">
        <v>134</v>
      </c>
      <c r="D80" s="59">
        <f t="shared" ref="D80:O80" si="7">SUM(D73:D79)</f>
        <v>1449.7199999999998</v>
      </c>
      <c r="E80" s="59">
        <f t="shared" si="7"/>
        <v>0</v>
      </c>
      <c r="F80" s="59">
        <f t="shared" si="7"/>
        <v>1449.7199999999998</v>
      </c>
      <c r="G80" s="59">
        <f t="shared" si="7"/>
        <v>0</v>
      </c>
      <c r="H80" s="59">
        <f t="shared" si="7"/>
        <v>0</v>
      </c>
      <c r="I80" s="59">
        <f t="shared" si="7"/>
        <v>0</v>
      </c>
      <c r="J80" s="59">
        <f t="shared" si="7"/>
        <v>4442.5999999999995</v>
      </c>
      <c r="K80" s="59">
        <f t="shared" si="7"/>
        <v>224.18</v>
      </c>
      <c r="L80" s="59">
        <f t="shared" si="7"/>
        <v>0</v>
      </c>
      <c r="M80" s="59">
        <f t="shared" si="7"/>
        <v>0</v>
      </c>
      <c r="N80" s="59">
        <f t="shared" si="7"/>
        <v>0</v>
      </c>
      <c r="O80" s="59">
        <f t="shared" si="7"/>
        <v>0</v>
      </c>
      <c r="P80" s="59">
        <f>IFERROR(SUM(P73:P79),0)</f>
        <v>7566.22</v>
      </c>
      <c r="Q80" s="22"/>
      <c r="R80" s="30"/>
      <c r="S80" s="22"/>
    </row>
    <row r="81" spans="2:19" ht="17.45" customHeight="1">
      <c r="B81" s="29"/>
      <c r="C81" s="28" t="s">
        <v>148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149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150</v>
      </c>
      <c r="C83" s="25" t="s">
        <v>151</v>
      </c>
      <c r="D83" s="57">
        <v>8736.06</v>
      </c>
      <c r="E83" s="57">
        <v>0</v>
      </c>
      <c r="F83" s="57">
        <v>8736.06</v>
      </c>
      <c r="G83" s="57">
        <v>0</v>
      </c>
      <c r="H83" s="57">
        <v>0</v>
      </c>
      <c r="I83" s="57">
        <v>0</v>
      </c>
      <c r="J83" s="57">
        <v>8736.06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>IFERROR(D83+E83+F83+G83+H83+I83+J83+K83+L83+M83+N83+O83,0)</f>
        <v>26208.18</v>
      </c>
      <c r="Q83" s="22"/>
      <c r="R83" s="30"/>
      <c r="S83" s="22"/>
    </row>
    <row r="84" spans="2:19" ht="17.45" customHeight="1">
      <c r="B84" s="29" t="s">
        <v>152</v>
      </c>
      <c r="C84" s="25" t="s">
        <v>153</v>
      </c>
      <c r="D84" s="57">
        <v>14841.76</v>
      </c>
      <c r="E84" s="57">
        <v>0</v>
      </c>
      <c r="F84" s="57">
        <v>14841.76</v>
      </c>
      <c r="G84" s="57">
        <v>0</v>
      </c>
      <c r="H84" s="57">
        <v>0</v>
      </c>
      <c r="I84" s="57">
        <v>0</v>
      </c>
      <c r="J84" s="57">
        <v>5887.53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>IFERROR(D84+E84+F84+G84+H84+I84+J84+K84+L84+M84+N84+O84,0)</f>
        <v>35571.050000000003</v>
      </c>
      <c r="Q84" s="22"/>
      <c r="R84" s="30"/>
      <c r="S84" s="22"/>
    </row>
    <row r="85" spans="2:19" ht="17.45" customHeight="1">
      <c r="B85" s="29" t="s">
        <v>154</v>
      </c>
      <c r="C85" s="25" t="s">
        <v>155</v>
      </c>
      <c r="D85" s="57">
        <v>2029.98</v>
      </c>
      <c r="E85" s="57">
        <v>0</v>
      </c>
      <c r="F85" s="57">
        <v>2029.98</v>
      </c>
      <c r="G85" s="57">
        <v>0</v>
      </c>
      <c r="H85" s="57">
        <v>0</v>
      </c>
      <c r="I85" s="57">
        <v>0</v>
      </c>
      <c r="J85" s="57">
        <v>568.72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>IFERROR(D85+E85+F85+G85+H85+I85+J85+K85+L85+M85+N85+O85,0)</f>
        <v>4628.68</v>
      </c>
      <c r="Q85" s="22"/>
      <c r="R85" s="30"/>
      <c r="S85" s="22"/>
    </row>
    <row r="86" spans="2:19" ht="17.45" customHeight="1">
      <c r="B86" s="29" t="s">
        <v>156</v>
      </c>
      <c r="C86" s="25" t="s">
        <v>157</v>
      </c>
      <c r="D86" s="57">
        <v>13.98</v>
      </c>
      <c r="E86" s="57">
        <v>0</v>
      </c>
      <c r="F86" s="57">
        <v>13.98</v>
      </c>
      <c r="G86" s="57">
        <v>0</v>
      </c>
      <c r="H86" s="57">
        <v>0</v>
      </c>
      <c r="I86" s="57">
        <v>0</v>
      </c>
      <c r="J86" s="57">
        <v>13.98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>IFERROR(D86+E86+F86+G86+H86+I86+J86+K86+L86+M86+N86+O86,0)</f>
        <v>41.94</v>
      </c>
      <c r="Q86" s="22"/>
      <c r="R86" s="30"/>
      <c r="S86" s="22"/>
    </row>
    <row r="87" spans="2:19" ht="17.45" customHeight="1">
      <c r="B87" s="29" t="s">
        <v>158</v>
      </c>
      <c r="C87" s="25" t="s">
        <v>159</v>
      </c>
      <c r="D87" s="57">
        <v>0</v>
      </c>
      <c r="E87" s="57">
        <v>0</v>
      </c>
      <c r="F87" s="57">
        <v>0</v>
      </c>
      <c r="G87" s="57">
        <v>0</v>
      </c>
      <c r="H87" s="57">
        <v>0</v>
      </c>
      <c r="I87" s="57">
        <v>0</v>
      </c>
      <c r="J87" s="57">
        <v>0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>IFERROR(D87+E87+F87+G87+H87+I87+J87+K87+L87+M87+N87+O87,0)</f>
        <v>0</v>
      </c>
      <c r="Q87" s="22"/>
      <c r="R87" s="30"/>
      <c r="S87" s="22"/>
    </row>
    <row r="88" spans="2:19" ht="17.45" customHeight="1">
      <c r="B88" s="29" t="s">
        <v>160</v>
      </c>
      <c r="C88" s="25" t="s">
        <v>161</v>
      </c>
      <c r="D88" s="57">
        <v>685.41</v>
      </c>
      <c r="E88" s="57">
        <v>0</v>
      </c>
      <c r="F88" s="57">
        <v>685.41</v>
      </c>
      <c r="G88" s="57">
        <v>0</v>
      </c>
      <c r="H88" s="57">
        <v>0</v>
      </c>
      <c r="I88" s="57">
        <v>0</v>
      </c>
      <c r="J88" s="57">
        <v>875.35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>IFERROR(D88+E88+F88+G88+H88+I88+J88+K88+L88+M88+N88+O88,0)</f>
        <v>2246.17</v>
      </c>
      <c r="Q88" s="22"/>
      <c r="R88" s="30"/>
      <c r="S88" s="22"/>
    </row>
    <row r="89" spans="2:19" ht="17.45" customHeight="1">
      <c r="B89" s="46" t="s">
        <v>162</v>
      </c>
      <c r="C89" s="45" t="s">
        <v>148</v>
      </c>
      <c r="D89" s="59">
        <f t="shared" ref="D89:O89" si="8">SUM(D82:D88)</f>
        <v>26307.19</v>
      </c>
      <c r="E89" s="59">
        <f t="shared" si="8"/>
        <v>0</v>
      </c>
      <c r="F89" s="59">
        <f t="shared" si="8"/>
        <v>26307.19</v>
      </c>
      <c r="G89" s="59">
        <f t="shared" si="8"/>
        <v>0</v>
      </c>
      <c r="H89" s="59">
        <f t="shared" si="8"/>
        <v>0</v>
      </c>
      <c r="I89" s="59">
        <f t="shared" si="8"/>
        <v>0</v>
      </c>
      <c r="J89" s="59">
        <f t="shared" si="8"/>
        <v>16081.64</v>
      </c>
      <c r="K89" s="59">
        <f t="shared" si="8"/>
        <v>0</v>
      </c>
      <c r="L89" s="59">
        <f t="shared" si="8"/>
        <v>0</v>
      </c>
      <c r="M89" s="59">
        <f t="shared" si="8"/>
        <v>0</v>
      </c>
      <c r="N89" s="59">
        <f t="shared" si="8"/>
        <v>0</v>
      </c>
      <c r="O89" s="59">
        <f t="shared" si="8"/>
        <v>0</v>
      </c>
      <c r="P89" s="59">
        <f>IFERROR(SUM(P82:P88),0)</f>
        <v>68696.02</v>
      </c>
      <c r="Q89" s="22"/>
      <c r="R89" s="30"/>
      <c r="S89" s="22"/>
    </row>
    <row r="90" spans="2:19" ht="17.45" customHeight="1">
      <c r="B90" s="29" t="s">
        <v>163</v>
      </c>
      <c r="C90" s="25" t="s">
        <v>164</v>
      </c>
      <c r="D90" s="57">
        <v>1456.81</v>
      </c>
      <c r="E90" s="57">
        <v>0</v>
      </c>
      <c r="F90" s="57">
        <v>1456.81</v>
      </c>
      <c r="G90" s="57">
        <v>0</v>
      </c>
      <c r="H90" s="57">
        <v>0</v>
      </c>
      <c r="I90" s="57">
        <v>0</v>
      </c>
      <c r="J90" s="57">
        <v>1456.81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>IFERROR(D90+E90+F90+G90+H90+I90+J90+K90+L90+M90+N90+O90,0)</f>
        <v>4370.43</v>
      </c>
      <c r="Q90" s="22"/>
      <c r="R90" s="30"/>
      <c r="S90" s="22"/>
    </row>
    <row r="91" spans="2:19" ht="17.45" customHeight="1">
      <c r="B91" s="29" t="s">
        <v>165</v>
      </c>
      <c r="C91" s="25" t="s">
        <v>166</v>
      </c>
      <c r="D91" s="57">
        <v>0</v>
      </c>
      <c r="E91" s="57">
        <v>0</v>
      </c>
      <c r="F91" s="57">
        <v>0</v>
      </c>
      <c r="G91" s="57">
        <v>0</v>
      </c>
      <c r="H91" s="57">
        <v>0</v>
      </c>
      <c r="I91" s="57">
        <v>0</v>
      </c>
      <c r="J91" s="57">
        <v>0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>IFERROR(D91+E91+F91+G91+H91+I91+J91+K91+L91+M91+N91+O91,0)</f>
        <v>0</v>
      </c>
      <c r="Q91" s="22"/>
      <c r="R91" s="30"/>
      <c r="S91" s="22"/>
    </row>
    <row r="92" spans="2:19" ht="17.45" customHeight="1">
      <c r="B92" s="29" t="s">
        <v>167</v>
      </c>
      <c r="C92" s="25" t="s">
        <v>168</v>
      </c>
      <c r="D92" s="57">
        <v>4873.75</v>
      </c>
      <c r="E92" s="57">
        <v>0</v>
      </c>
      <c r="F92" s="57">
        <v>4873.75</v>
      </c>
      <c r="G92" s="57">
        <v>0</v>
      </c>
      <c r="H92" s="57">
        <v>0</v>
      </c>
      <c r="I92" s="57">
        <v>0</v>
      </c>
      <c r="J92" s="57">
        <v>2511.71</v>
      </c>
      <c r="K92" s="57">
        <v>1982.2</v>
      </c>
      <c r="L92" s="57">
        <v>0</v>
      </c>
      <c r="M92" s="57">
        <v>0</v>
      </c>
      <c r="N92" s="57">
        <v>0</v>
      </c>
      <c r="O92" s="57">
        <v>0</v>
      </c>
      <c r="P92" s="57">
        <f>IFERROR(D92+E92+F92+G92+H92+I92+J92+K92+L92+M92+N92+O92,0)</f>
        <v>14241.41</v>
      </c>
      <c r="Q92" s="22"/>
      <c r="R92" s="30"/>
      <c r="S92" s="22"/>
    </row>
    <row r="93" spans="2:19" ht="17.45" customHeight="1">
      <c r="B93" s="29" t="s">
        <v>169</v>
      </c>
      <c r="C93" s="25" t="s">
        <v>170</v>
      </c>
      <c r="D93" s="57">
        <v>4396.43</v>
      </c>
      <c r="E93" s="57">
        <v>0</v>
      </c>
      <c r="F93" s="57">
        <v>4396.43</v>
      </c>
      <c r="G93" s="57">
        <v>0</v>
      </c>
      <c r="H93" s="57">
        <v>0</v>
      </c>
      <c r="I93" s="57">
        <v>0</v>
      </c>
      <c r="J93" s="57">
        <v>7834.02</v>
      </c>
      <c r="K93" s="57">
        <v>9468.86</v>
      </c>
      <c r="L93" s="57">
        <v>0</v>
      </c>
      <c r="M93" s="57">
        <v>0</v>
      </c>
      <c r="N93" s="57">
        <v>0</v>
      </c>
      <c r="O93" s="57">
        <v>0</v>
      </c>
      <c r="P93" s="57">
        <f>IFERROR(D93+E93+F93+G93+H93+I93+J93+K93+L93+M93+N93+O93,0)</f>
        <v>26095.74</v>
      </c>
      <c r="Q93" s="22"/>
      <c r="R93" s="30"/>
      <c r="S93" s="22"/>
    </row>
    <row r="94" spans="2:19" ht="17.45" customHeight="1">
      <c r="B94" s="29" t="s">
        <v>171</v>
      </c>
      <c r="C94" s="25" t="s">
        <v>172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>IFERROR(D94+E94+F94+G94+H94+I94+J94+K94+L94+M94+N94+O94,0)</f>
        <v>0</v>
      </c>
      <c r="Q94" s="22"/>
      <c r="R94" s="30"/>
      <c r="S94" s="22"/>
    </row>
    <row r="95" spans="2:19" ht="17.45" customHeight="1">
      <c r="B95" s="29" t="s">
        <v>173</v>
      </c>
      <c r="C95" s="25" t="s">
        <v>174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>IFERROR(D95+E95+F95+G95+H95+I95+J95+K95+L95+M95+N95+O95,0)</f>
        <v>0</v>
      </c>
      <c r="Q95" s="22"/>
      <c r="R95" s="30"/>
      <c r="S95" s="22"/>
    </row>
    <row r="96" spans="2:19" ht="17.45" customHeight="1">
      <c r="B96" s="29" t="s">
        <v>175</v>
      </c>
      <c r="C96" s="25" t="s">
        <v>176</v>
      </c>
      <c r="D96" s="57">
        <v>29.02</v>
      </c>
      <c r="E96" s="57">
        <v>0</v>
      </c>
      <c r="F96" s="57">
        <v>29.02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>IFERROR(D96+E96+F96+G96+H96+I96+J96+K96+L96+M96+N96+O96,0)</f>
        <v>58.04</v>
      </c>
      <c r="Q96" s="22"/>
      <c r="R96" s="30"/>
      <c r="S96" s="22"/>
    </row>
    <row r="97" spans="2:19" ht="17.45" customHeight="1">
      <c r="B97" s="29" t="s">
        <v>177</v>
      </c>
      <c r="C97" s="25" t="s">
        <v>178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0.31</v>
      </c>
      <c r="L97" s="57">
        <v>0</v>
      </c>
      <c r="M97" s="57">
        <v>0</v>
      </c>
      <c r="N97" s="57">
        <v>0</v>
      </c>
      <c r="O97" s="57">
        <v>0</v>
      </c>
      <c r="P97" s="57">
        <f>IFERROR(D97+E97+F97+G97+H97+I97+J97+K97+L97+M97+N97+O97,0)</f>
        <v>0.31</v>
      </c>
      <c r="Q97" s="22"/>
      <c r="R97" s="30"/>
      <c r="S97" s="22"/>
    </row>
    <row r="98" spans="2:19" ht="17.45" customHeight="1">
      <c r="B98" s="29" t="s">
        <v>179</v>
      </c>
      <c r="C98" s="25" t="s">
        <v>180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>IFERROR(D98+E98+F98+G98+H98+I98+J98+K98+L98+M98+N98+O98,0)</f>
        <v>0</v>
      </c>
      <c r="Q98" s="22"/>
      <c r="R98" s="30"/>
      <c r="S98" s="22"/>
    </row>
    <row r="99" spans="2:19" ht="17.45" customHeight="1">
      <c r="B99" s="29" t="s">
        <v>181</v>
      </c>
      <c r="C99" s="25" t="s">
        <v>182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>IFERROR(D99+E99+F99+G99+H99+I99+J99+K99+L99+M99+N99+O99,0)</f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183</v>
      </c>
      <c r="D100" s="57">
        <v>914.31</v>
      </c>
      <c r="E100" s="57">
        <v>0</v>
      </c>
      <c r="F100" s="57">
        <v>914.31</v>
      </c>
      <c r="G100" s="57">
        <v>0</v>
      </c>
      <c r="H100" s="57">
        <v>0</v>
      </c>
      <c r="I100" s="57">
        <v>0</v>
      </c>
      <c r="J100" s="57">
        <v>1718.83</v>
      </c>
      <c r="K100" s="57">
        <v>1030.8499999999999</v>
      </c>
      <c r="L100" s="57">
        <v>0</v>
      </c>
      <c r="M100" s="57">
        <v>0</v>
      </c>
      <c r="N100" s="57">
        <v>0</v>
      </c>
      <c r="O100" s="57">
        <v>0</v>
      </c>
      <c r="P100" s="57">
        <f>IFERROR(D100+E100+F100+G100+H100+I100+J100+K100+L100+M100+N100+O100,0)</f>
        <v>4578.2999999999993</v>
      </c>
      <c r="Q100" s="22"/>
      <c r="R100" s="30"/>
      <c r="S100" s="22"/>
    </row>
    <row r="101" spans="2:19" ht="17.45" customHeight="1">
      <c r="B101" s="46" t="s">
        <v>167</v>
      </c>
      <c r="C101" s="51" t="s">
        <v>168</v>
      </c>
      <c r="D101" s="59">
        <f t="shared" ref="D101:O101" si="9">SUM(D92:D100)</f>
        <v>10213.51</v>
      </c>
      <c r="E101" s="59">
        <f t="shared" si="9"/>
        <v>0</v>
      </c>
      <c r="F101" s="59">
        <f t="shared" si="9"/>
        <v>10213.51</v>
      </c>
      <c r="G101" s="59">
        <f t="shared" si="9"/>
        <v>0</v>
      </c>
      <c r="H101" s="59">
        <f t="shared" si="9"/>
        <v>0</v>
      </c>
      <c r="I101" s="59">
        <f t="shared" si="9"/>
        <v>0</v>
      </c>
      <c r="J101" s="59">
        <f t="shared" si="9"/>
        <v>12064.56</v>
      </c>
      <c r="K101" s="59">
        <f t="shared" si="9"/>
        <v>12482.220000000001</v>
      </c>
      <c r="L101" s="59">
        <f t="shared" si="9"/>
        <v>0</v>
      </c>
      <c r="M101" s="59">
        <f t="shared" si="9"/>
        <v>0</v>
      </c>
      <c r="N101" s="59">
        <f t="shared" si="9"/>
        <v>0</v>
      </c>
      <c r="O101" s="59">
        <f t="shared" si="9"/>
        <v>0</v>
      </c>
      <c r="P101" s="59">
        <f>IFERROR(SUM(P92:P100),0)</f>
        <v>44973.8</v>
      </c>
      <c r="Q101" s="22"/>
      <c r="R101" s="30"/>
      <c r="S101" s="22"/>
    </row>
    <row r="102" spans="2:19" ht="17.45" customHeight="1">
      <c r="B102" s="29"/>
      <c r="C102" s="28" t="s">
        <v>184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IFERROR(D102+E102+F102+G102+H102+I102+J102+K102+L102+M102+N102+O102,0)</f>
        <v>0</v>
      </c>
      <c r="Q102" s="22"/>
      <c r="R102" s="30"/>
      <c r="S102" s="22"/>
    </row>
    <row r="103" spans="2:19" ht="17.45" customHeight="1">
      <c r="B103" s="29" t="s">
        <v>185</v>
      </c>
      <c r="C103" s="25" t="s">
        <v>186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IFERROR(D103+E103+F103+G103+H103+I103+J103+K103+L103+M103+N103+O103,0)</f>
        <v>0</v>
      </c>
      <c r="Q103" s="22"/>
      <c r="R103" s="30"/>
      <c r="S103" s="22"/>
    </row>
    <row r="104" spans="2:19" ht="17.45" customHeight="1">
      <c r="B104" s="29" t="s">
        <v>187</v>
      </c>
      <c r="C104" s="25" t="s">
        <v>188</v>
      </c>
      <c r="D104" s="57">
        <v>-113261.89</v>
      </c>
      <c r="E104" s="57">
        <v>0</v>
      </c>
      <c r="F104" s="57">
        <v>-113261.89</v>
      </c>
      <c r="G104" s="57">
        <v>0</v>
      </c>
      <c r="H104" s="57">
        <v>0</v>
      </c>
      <c r="I104" s="57">
        <v>0</v>
      </c>
      <c r="J104" s="57">
        <v>-115954.82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IFERROR(D104+E104+F104+G104+H104+I104+J104+K104+L104+M104+N104+O104,0)</f>
        <v>-342478.6</v>
      </c>
      <c r="Q104" s="22"/>
      <c r="R104" s="30"/>
      <c r="S104" s="22"/>
    </row>
    <row r="105" spans="2:19" ht="17.45" customHeight="1">
      <c r="B105" s="29" t="s">
        <v>189</v>
      </c>
      <c r="C105" s="25" t="s">
        <v>190</v>
      </c>
      <c r="D105" s="57">
        <v>-88478.23</v>
      </c>
      <c r="E105" s="57">
        <v>0</v>
      </c>
      <c r="F105" s="57">
        <v>-88478.23</v>
      </c>
      <c r="G105" s="57">
        <v>0</v>
      </c>
      <c r="H105" s="57">
        <v>0</v>
      </c>
      <c r="I105" s="57">
        <v>0</v>
      </c>
      <c r="J105" s="57">
        <v>-65834.7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IFERROR(D105+E105+F105+G105+H105+I105+J105+K105+L105+M105+N105+O105,0)</f>
        <v>-242791.15999999997</v>
      </c>
      <c r="Q105" s="22"/>
      <c r="R105" s="30"/>
      <c r="S105" s="22"/>
    </row>
    <row r="106" spans="2:19" ht="17.45" customHeight="1">
      <c r="B106" s="46" t="s">
        <v>191</v>
      </c>
      <c r="C106" s="45" t="s">
        <v>184</v>
      </c>
      <c r="D106" s="59">
        <f t="shared" ref="D106:O106" si="10">SUM(D104:D105)</f>
        <v>-201740.12</v>
      </c>
      <c r="E106" s="59">
        <f t="shared" si="10"/>
        <v>0</v>
      </c>
      <c r="F106" s="59">
        <f t="shared" si="10"/>
        <v>-201740.12</v>
      </c>
      <c r="G106" s="59">
        <f t="shared" si="10"/>
        <v>0</v>
      </c>
      <c r="H106" s="59">
        <f t="shared" si="10"/>
        <v>0</v>
      </c>
      <c r="I106" s="59">
        <f t="shared" si="10"/>
        <v>0</v>
      </c>
      <c r="J106" s="59">
        <f t="shared" si="10"/>
        <v>-181789.52000000002</v>
      </c>
      <c r="K106" s="59">
        <f t="shared" si="10"/>
        <v>0</v>
      </c>
      <c r="L106" s="59">
        <f t="shared" si="10"/>
        <v>0</v>
      </c>
      <c r="M106" s="59">
        <f t="shared" si="10"/>
        <v>0</v>
      </c>
      <c r="N106" s="59">
        <f t="shared" si="10"/>
        <v>0</v>
      </c>
      <c r="O106" s="59">
        <f t="shared" si="10"/>
        <v>0</v>
      </c>
      <c r="P106" s="59">
        <f>IFERROR(SUM(P104:P105),0)</f>
        <v>-585269.76000000001</v>
      </c>
      <c r="Q106" s="22"/>
      <c r="R106" s="30"/>
      <c r="S106" s="22"/>
    </row>
    <row r="107" spans="2:19" ht="17.45" customHeight="1">
      <c r="B107" s="29"/>
      <c r="C107" s="28" t="s">
        <v>192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193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194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195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196</v>
      </c>
      <c r="C111" s="48" t="s">
        <v>104</v>
      </c>
      <c r="D111" s="73">
        <f t="shared" ref="D111:P111" si="11">D106+D101+D91+D90+D89+D80+D71+D70+D65+D64+D63+D62+D61+D110</f>
        <v>-1.4551915228366852E-11</v>
      </c>
      <c r="E111" s="73">
        <f t="shared" si="11"/>
        <v>0</v>
      </c>
      <c r="F111" s="73">
        <f t="shared" si="11"/>
        <v>-1.4551915228366852E-11</v>
      </c>
      <c r="G111" s="73">
        <f t="shared" si="11"/>
        <v>0</v>
      </c>
      <c r="H111" s="73">
        <f t="shared" si="11"/>
        <v>0</v>
      </c>
      <c r="I111" s="73">
        <f t="shared" si="11"/>
        <v>0</v>
      </c>
      <c r="J111" s="73">
        <f t="shared" si="11"/>
        <v>1.4551915228366852E-11</v>
      </c>
      <c r="K111" s="73">
        <f t="shared" si="11"/>
        <v>40661.270000000004</v>
      </c>
      <c r="L111" s="73">
        <f t="shared" si="11"/>
        <v>0</v>
      </c>
      <c r="M111" s="73">
        <f t="shared" si="11"/>
        <v>0</v>
      </c>
      <c r="N111" s="73">
        <f t="shared" si="11"/>
        <v>0</v>
      </c>
      <c r="O111" s="73">
        <f t="shared" si="11"/>
        <v>0</v>
      </c>
      <c r="P111" s="73">
        <f>IFERROR(P106+P101+P91+P90+P89+P80+P71+P70+P65+P64+P63+P62+P61+P110,0)</f>
        <v>40661.26999999996</v>
      </c>
      <c r="Q111" s="22"/>
      <c r="R111" s="30"/>
      <c r="S111" s="22"/>
    </row>
    <row r="112" spans="2:19" ht="17.45" customHeight="1">
      <c r="B112" s="52" t="s">
        <v>197</v>
      </c>
      <c r="C112" s="53" t="s">
        <v>198</v>
      </c>
      <c r="D112" s="59">
        <f t="shared" ref="D112:P112" si="12">D36</f>
        <v>403480.24</v>
      </c>
      <c r="E112" s="59">
        <f t="shared" si="12"/>
        <v>0</v>
      </c>
      <c r="F112" s="59">
        <f t="shared" si="12"/>
        <v>403480.24</v>
      </c>
      <c r="G112" s="59">
        <f t="shared" si="12"/>
        <v>0</v>
      </c>
      <c r="H112" s="59">
        <f t="shared" si="12"/>
        <v>0</v>
      </c>
      <c r="I112" s="59">
        <f t="shared" si="12"/>
        <v>0</v>
      </c>
      <c r="J112" s="59">
        <f t="shared" si="12"/>
        <v>363579.04</v>
      </c>
      <c r="K112" s="59">
        <f t="shared" si="12"/>
        <v>681379.2</v>
      </c>
      <c r="L112" s="59">
        <f t="shared" si="12"/>
        <v>0</v>
      </c>
      <c r="M112" s="59">
        <f t="shared" si="12"/>
        <v>0</v>
      </c>
      <c r="N112" s="59">
        <f t="shared" si="12"/>
        <v>0</v>
      </c>
      <c r="O112" s="59">
        <f t="shared" si="12"/>
        <v>0</v>
      </c>
      <c r="P112" s="59">
        <f>IFERROR(P36,0)</f>
        <v>1851918.72</v>
      </c>
      <c r="Q112" s="22"/>
      <c r="R112" s="30"/>
      <c r="S112" s="22"/>
    </row>
    <row r="113" spans="2:19" ht="17.45" customHeight="1">
      <c r="B113" s="29"/>
      <c r="C113" s="27" t="s">
        <v>199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IFERROR(D113+E113+F113+G113+H113+I113+J113+K113+L113+M113+N113+O113,0)</f>
        <v>0</v>
      </c>
      <c r="Q113" s="22"/>
      <c r="R113" s="30"/>
      <c r="S113" s="22"/>
    </row>
    <row r="114" spans="2:19" ht="17.45" customHeight="1">
      <c r="B114" s="29"/>
      <c r="C114" s="28" t="s">
        <v>200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IFERROR(D114+E114+F114+G114+H114+I114+J114+K114+L114+M114+N114+O114,0)</f>
        <v>0</v>
      </c>
      <c r="Q114" s="22"/>
      <c r="R114" s="30"/>
      <c r="S114" s="22"/>
    </row>
    <row r="115" spans="2:19" ht="17.45" customHeight="1">
      <c r="B115" s="29" t="s">
        <v>201</v>
      </c>
      <c r="C115" s="25" t="s">
        <v>202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IFERROR(D115+E115+F115+G115+H115+I115+J115+K115+L115+M115+N115+O115,0)</f>
        <v>0</v>
      </c>
      <c r="Q115" s="22"/>
      <c r="R115" s="30"/>
      <c r="S115" s="22"/>
    </row>
    <row r="116" spans="2:19" ht="17.45" customHeight="1">
      <c r="B116" s="29" t="s">
        <v>203</v>
      </c>
      <c r="C116" s="25" t="s">
        <v>204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IFERROR(D116+E116+F116+G116+H116+I116+J116+K116+L116+M116+N116+O116,0)</f>
        <v>0</v>
      </c>
      <c r="Q116" s="22"/>
      <c r="R116" s="30"/>
      <c r="S116" s="22"/>
    </row>
    <row r="117" spans="2:19" ht="17.45" customHeight="1">
      <c r="B117" s="47" t="s">
        <v>205</v>
      </c>
      <c r="C117" s="48" t="s">
        <v>200</v>
      </c>
      <c r="D117" s="59">
        <f>D116</f>
        <v>0</v>
      </c>
      <c r="E117" s="59">
        <f t="shared" ref="E117:O117" si="13">E116</f>
        <v>0</v>
      </c>
      <c r="F117" s="59">
        <f t="shared" si="13"/>
        <v>0</v>
      </c>
      <c r="G117" s="59">
        <f t="shared" si="13"/>
        <v>0</v>
      </c>
      <c r="H117" s="59">
        <f t="shared" si="13"/>
        <v>0</v>
      </c>
      <c r="I117" s="59">
        <f t="shared" si="13"/>
        <v>0</v>
      </c>
      <c r="J117" s="59">
        <f t="shared" si="13"/>
        <v>0</v>
      </c>
      <c r="K117" s="59">
        <f t="shared" si="13"/>
        <v>0</v>
      </c>
      <c r="L117" s="59">
        <f t="shared" si="13"/>
        <v>0</v>
      </c>
      <c r="M117" s="59">
        <f t="shared" si="13"/>
        <v>0</v>
      </c>
      <c r="N117" s="59">
        <f t="shared" si="13"/>
        <v>0</v>
      </c>
      <c r="O117" s="59">
        <f t="shared" si="13"/>
        <v>0</v>
      </c>
      <c r="P117" s="59">
        <f>IFERROR(SUM(P115:P116),0)</f>
        <v>0</v>
      </c>
      <c r="Q117" s="22"/>
      <c r="R117" s="30"/>
      <c r="S117" s="22"/>
    </row>
    <row r="118" spans="2:19" ht="17.45" customHeight="1">
      <c r="B118" s="29"/>
      <c r="C118" s="28" t="s">
        <v>206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>IFERROR(D118+E118+F118+G118+H118+I118+J118+K118+L118+M118+N118+O118,0)</f>
        <v>0</v>
      </c>
      <c r="Q118" s="22"/>
      <c r="R118" s="30"/>
      <c r="S118" s="22"/>
    </row>
    <row r="119" spans="2:19" ht="17.45" customHeight="1">
      <c r="B119" s="29" t="s">
        <v>207</v>
      </c>
      <c r="C119" s="25" t="s">
        <v>208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1430.17</v>
      </c>
      <c r="K119" s="57">
        <v>1339.33</v>
      </c>
      <c r="L119" s="57">
        <v>0</v>
      </c>
      <c r="M119" s="57">
        <v>0</v>
      </c>
      <c r="N119" s="57">
        <v>0</v>
      </c>
      <c r="O119" s="57">
        <v>0</v>
      </c>
      <c r="P119" s="57">
        <f>IFERROR(D119+E119+F119+G119+H119+I119+J119+K119+L119+M119+N119+O119,0)</f>
        <v>2769.5</v>
      </c>
      <c r="Q119" s="22"/>
      <c r="R119" s="30"/>
      <c r="S119" s="22"/>
    </row>
    <row r="120" spans="2:19" ht="17.45" customHeight="1">
      <c r="B120" s="29" t="s">
        <v>209</v>
      </c>
      <c r="C120" s="25" t="s">
        <v>210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>IFERROR(D120+E120+F120+G120+H120+I120+J120+K120+L120+M120+N120+O120,0)</f>
        <v>0</v>
      </c>
      <c r="Q120" s="22"/>
      <c r="R120" s="30"/>
      <c r="S120" s="22"/>
    </row>
    <row r="121" spans="2:19" ht="17.45" customHeight="1">
      <c r="B121" s="29"/>
      <c r="C121" s="33" t="s">
        <v>211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>IFERROR(D121+E121+F121+G121+H121+I121+J121+K121+L121+M121+N121+O121,0)</f>
        <v>0</v>
      </c>
      <c r="Q121" s="22"/>
      <c r="R121" s="30"/>
      <c r="S121" s="22"/>
    </row>
    <row r="122" spans="2:19" ht="17.45" customHeight="1">
      <c r="B122" s="29" t="s">
        <v>212</v>
      </c>
      <c r="C122" s="25" t="s">
        <v>213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>IFERROR(D122+E122+F122+G122+H122+I122+J122+K122+L122+M122+N122+O122,0)</f>
        <v>0</v>
      </c>
      <c r="Q122" s="22"/>
      <c r="R122" s="30"/>
      <c r="S122" s="22"/>
    </row>
    <row r="123" spans="2:19" ht="17.45" customHeight="1">
      <c r="B123" s="29" t="s">
        <v>214</v>
      </c>
      <c r="C123" s="25" t="s">
        <v>215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>IFERROR(D123+E123+F123+G123+H123+I123+J123+K123+L123+M123+N123+O123,0)</f>
        <v>0</v>
      </c>
      <c r="Q123" s="22"/>
      <c r="R123" s="30"/>
      <c r="S123" s="22"/>
    </row>
    <row r="124" spans="2:19" ht="17.45" customHeight="1">
      <c r="B124" s="29" t="s">
        <v>216</v>
      </c>
      <c r="C124" s="25" t="s">
        <v>217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>IFERROR(D124+E124+F124+G124+H124+I124+J124+K124+L124+M124+N124+O124,0)</f>
        <v>0</v>
      </c>
      <c r="Q124" s="22"/>
      <c r="R124" s="30"/>
      <c r="S124" s="22"/>
    </row>
    <row r="125" spans="2:19" ht="17.45" customHeight="1">
      <c r="B125" s="29" t="s">
        <v>218</v>
      </c>
      <c r="C125" s="25" t="s">
        <v>219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>IFERROR(D125+E125+F125+G125+H125+I125+J125+K125+L125+M125+N125+O125,0)</f>
        <v>0</v>
      </c>
      <c r="Q125" s="22"/>
      <c r="R125" s="30"/>
      <c r="S125" s="22"/>
    </row>
    <row r="126" spans="2:19" ht="17.45" customHeight="1">
      <c r="B126" s="29" t="s">
        <v>220</v>
      </c>
      <c r="C126" s="25" t="s">
        <v>221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>IFERROR(D126+E126+F126+G126+H126+I126+J126+K126+L126+M126+N126+O126,0)</f>
        <v>0</v>
      </c>
      <c r="Q126" s="22"/>
      <c r="R126" s="30"/>
      <c r="S126" s="22"/>
    </row>
    <row r="127" spans="2:19" ht="17.45" customHeight="1">
      <c r="B127" s="29" t="s">
        <v>222</v>
      </c>
      <c r="C127" s="25" t="s">
        <v>223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>IFERROR(D127+E127+F127+G127+H127+I127+J127+K127+L127+M127+N127+O127,0)</f>
        <v>0</v>
      </c>
      <c r="Q127" s="22"/>
      <c r="R127" s="30"/>
      <c r="S127" s="22"/>
    </row>
    <row r="128" spans="2:19" ht="17.45" customHeight="1">
      <c r="B128" s="47" t="s">
        <v>224</v>
      </c>
      <c r="C128" s="48" t="s">
        <v>211</v>
      </c>
      <c r="D128" s="59">
        <f t="shared" ref="D128:O128" si="14">SUM(D122:D127)</f>
        <v>0</v>
      </c>
      <c r="E128" s="59">
        <f t="shared" si="14"/>
        <v>0</v>
      </c>
      <c r="F128" s="59">
        <f t="shared" si="14"/>
        <v>0</v>
      </c>
      <c r="G128" s="59">
        <f t="shared" si="14"/>
        <v>0</v>
      </c>
      <c r="H128" s="59">
        <f t="shared" si="14"/>
        <v>0</v>
      </c>
      <c r="I128" s="59">
        <f t="shared" si="14"/>
        <v>0</v>
      </c>
      <c r="J128" s="59">
        <f t="shared" si="14"/>
        <v>0</v>
      </c>
      <c r="K128" s="59">
        <f t="shared" si="14"/>
        <v>0</v>
      </c>
      <c r="L128" s="59">
        <f t="shared" si="14"/>
        <v>0</v>
      </c>
      <c r="M128" s="59">
        <f t="shared" si="14"/>
        <v>0</v>
      </c>
      <c r="N128" s="59">
        <f t="shared" si="14"/>
        <v>0</v>
      </c>
      <c r="O128" s="59">
        <f t="shared" si="14"/>
        <v>0</v>
      </c>
      <c r="P128" s="59">
        <f>IFERROR(SUM(P122:P127),0)</f>
        <v>0</v>
      </c>
      <c r="Q128" s="22"/>
      <c r="R128" s="30"/>
      <c r="S128" s="22"/>
    </row>
    <row r="129" spans="2:19" ht="17.45" customHeight="1">
      <c r="B129" s="29" t="s">
        <v>225</v>
      </c>
      <c r="C129" s="25" t="s">
        <v>226</v>
      </c>
      <c r="D129" s="57">
        <v>5960.11</v>
      </c>
      <c r="E129" s="57">
        <v>0</v>
      </c>
      <c r="F129" s="57">
        <v>5960.11</v>
      </c>
      <c r="G129" s="57">
        <v>0</v>
      </c>
      <c r="H129" s="57">
        <v>0</v>
      </c>
      <c r="I129" s="57">
        <v>0</v>
      </c>
      <c r="J129" s="57">
        <v>6143.88</v>
      </c>
      <c r="K129" s="57">
        <v>6835.43</v>
      </c>
      <c r="L129" s="57">
        <v>0</v>
      </c>
      <c r="M129" s="57">
        <v>0</v>
      </c>
      <c r="N129" s="57">
        <v>0</v>
      </c>
      <c r="O129" s="57">
        <v>0</v>
      </c>
      <c r="P129" s="57">
        <f>IFERROR(D129+E129+F129+G129+H129+I129+J129+K129+L129+M129+N129+O129,0)</f>
        <v>24899.53</v>
      </c>
      <c r="Q129" s="22"/>
      <c r="R129" s="30"/>
      <c r="S129" s="22"/>
    </row>
    <row r="130" spans="2:19" ht="17.45" customHeight="1">
      <c r="B130" s="29" t="s">
        <v>227</v>
      </c>
      <c r="C130" s="25" t="s">
        <v>228</v>
      </c>
      <c r="D130" s="57">
        <v>1338.82</v>
      </c>
      <c r="E130" s="57">
        <v>0</v>
      </c>
      <c r="F130" s="57">
        <v>1338.82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IFERROR(D130+E130+F130+G130+H130+I130+J130+K130+L130+M130+N130+O130,0)</f>
        <v>2677.64</v>
      </c>
      <c r="Q130" s="22"/>
      <c r="R130" s="30"/>
      <c r="S130" s="22"/>
    </row>
    <row r="131" spans="2:19" ht="17.45" customHeight="1">
      <c r="B131" s="29" t="s">
        <v>229</v>
      </c>
      <c r="C131" s="25" t="s">
        <v>230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IFERROR(D131+E131+F131+G131+H131+I131+J131+K131+L131+M131+N131+O131,0)</f>
        <v>0</v>
      </c>
      <c r="Q131" s="22"/>
      <c r="R131" s="30"/>
      <c r="S131" s="22"/>
    </row>
    <row r="132" spans="2:19" ht="17.45" customHeight="1">
      <c r="B132" s="47" t="s">
        <v>231</v>
      </c>
      <c r="C132" s="48" t="s">
        <v>206</v>
      </c>
      <c r="D132" s="59">
        <f t="shared" ref="D132:O132" si="15">D119+D128+D129+D130</f>
        <v>7298.9299999999994</v>
      </c>
      <c r="E132" s="59">
        <f t="shared" si="15"/>
        <v>0</v>
      </c>
      <c r="F132" s="59">
        <f t="shared" si="15"/>
        <v>7298.9299999999994</v>
      </c>
      <c r="G132" s="59">
        <f t="shared" si="15"/>
        <v>0</v>
      </c>
      <c r="H132" s="59">
        <f t="shared" si="15"/>
        <v>0</v>
      </c>
      <c r="I132" s="59">
        <f t="shared" si="15"/>
        <v>0</v>
      </c>
      <c r="J132" s="59">
        <f t="shared" si="15"/>
        <v>7574.05</v>
      </c>
      <c r="K132" s="59">
        <f t="shared" si="15"/>
        <v>8174.76</v>
      </c>
      <c r="L132" s="59">
        <f t="shared" si="15"/>
        <v>0</v>
      </c>
      <c r="M132" s="59">
        <f t="shared" si="15"/>
        <v>0</v>
      </c>
      <c r="N132" s="59">
        <f t="shared" si="15"/>
        <v>0</v>
      </c>
      <c r="O132" s="59">
        <f t="shared" si="15"/>
        <v>0</v>
      </c>
      <c r="P132" s="59">
        <f>IFERROR(P119+P128+P129+P130,0)</f>
        <v>30346.67</v>
      </c>
      <c r="Q132" s="22"/>
      <c r="R132" s="30"/>
      <c r="S132" s="22"/>
    </row>
    <row r="133" spans="2:19" ht="17.45" customHeight="1">
      <c r="B133" s="29"/>
      <c r="C133" s="33" t="s">
        <v>232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IFERROR(D133+E133+F133+G133+H133+I133+J133+K133+L133+M133+N133+O133,0)</f>
        <v>0</v>
      </c>
      <c r="Q133" s="22"/>
      <c r="R133" s="30"/>
      <c r="S133" s="22"/>
    </row>
    <row r="134" spans="2:19" ht="17.45" customHeight="1">
      <c r="B134" s="29" t="s">
        <v>233</v>
      </c>
      <c r="C134" s="25" t="s">
        <v>39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IFERROR(D134+E134+F134+G134+H134+I134+J134+K134+L134+M134+N134+O134,0)</f>
        <v>0</v>
      </c>
      <c r="Q134" s="22"/>
      <c r="R134" s="30"/>
      <c r="S134" s="22"/>
    </row>
    <row r="135" spans="2:19" ht="17.45" customHeight="1">
      <c r="B135" s="29" t="s">
        <v>234</v>
      </c>
      <c r="C135" s="25" t="s">
        <v>235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IFERROR(D135+E135+F135+G135+H135+I135+J135+K135+L135+M135+N135+O135,0)</f>
        <v>0</v>
      </c>
      <c r="Q135" s="22"/>
      <c r="R135" s="30"/>
      <c r="S135" s="22"/>
    </row>
    <row r="136" spans="2:19" ht="17.45" customHeight="1">
      <c r="B136" s="29" t="s">
        <v>236</v>
      </c>
      <c r="C136" s="25" t="s">
        <v>237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-78.44</v>
      </c>
      <c r="L136" s="57">
        <v>0</v>
      </c>
      <c r="M136" s="57">
        <v>0</v>
      </c>
      <c r="N136" s="57">
        <v>0</v>
      </c>
      <c r="O136" s="57">
        <v>0</v>
      </c>
      <c r="P136" s="57">
        <f>IFERROR(D136+E136+F136+G136+H136+I136+J136+K136+L136+M136+N136+O136,0)</f>
        <v>-78.44</v>
      </c>
      <c r="Q136" s="22"/>
      <c r="R136" s="30"/>
      <c r="S136" s="22"/>
    </row>
    <row r="137" spans="2:19" ht="17.45" customHeight="1">
      <c r="B137" s="43" t="s">
        <v>238</v>
      </c>
      <c r="C137" s="44" t="s">
        <v>232</v>
      </c>
      <c r="D137" s="75">
        <f t="shared" ref="D137:O137" si="16">SUM(D134:D136)</f>
        <v>0</v>
      </c>
      <c r="E137" s="75">
        <f t="shared" si="16"/>
        <v>0</v>
      </c>
      <c r="F137" s="75">
        <f t="shared" si="16"/>
        <v>0</v>
      </c>
      <c r="G137" s="75">
        <f t="shared" si="16"/>
        <v>0</v>
      </c>
      <c r="H137" s="75">
        <f t="shared" si="16"/>
        <v>0</v>
      </c>
      <c r="I137" s="75">
        <f t="shared" si="16"/>
        <v>0</v>
      </c>
      <c r="J137" s="75">
        <f t="shared" si="16"/>
        <v>0</v>
      </c>
      <c r="K137" s="75">
        <f t="shared" si="16"/>
        <v>-78.44</v>
      </c>
      <c r="L137" s="75">
        <f t="shared" si="16"/>
        <v>0</v>
      </c>
      <c r="M137" s="75">
        <f t="shared" si="16"/>
        <v>0</v>
      </c>
      <c r="N137" s="75">
        <f t="shared" si="16"/>
        <v>0</v>
      </c>
      <c r="O137" s="75">
        <f t="shared" si="16"/>
        <v>0</v>
      </c>
      <c r="P137" s="75">
        <f>IFERROR(SUM(P134:P136),0)</f>
        <v>-78.44</v>
      </c>
      <c r="Q137" s="22"/>
      <c r="R137" s="30"/>
      <c r="S137" s="22"/>
    </row>
    <row r="138" spans="2:19" ht="17.45" customHeight="1">
      <c r="B138" s="52" t="s">
        <v>239</v>
      </c>
      <c r="C138" s="53" t="s">
        <v>199</v>
      </c>
      <c r="D138" s="59">
        <f t="shared" ref="D138:O138" si="17">D137+D132+D117</f>
        <v>7298.9299999999994</v>
      </c>
      <c r="E138" s="59">
        <f t="shared" si="17"/>
        <v>0</v>
      </c>
      <c r="F138" s="59">
        <f t="shared" si="17"/>
        <v>7298.9299999999994</v>
      </c>
      <c r="G138" s="59">
        <f t="shared" si="17"/>
        <v>0</v>
      </c>
      <c r="H138" s="59">
        <f t="shared" si="17"/>
        <v>0</v>
      </c>
      <c r="I138" s="59">
        <f t="shared" si="17"/>
        <v>0</v>
      </c>
      <c r="J138" s="59">
        <f t="shared" si="17"/>
        <v>7574.05</v>
      </c>
      <c r="K138" s="59">
        <f t="shared" si="17"/>
        <v>8096.3200000000006</v>
      </c>
      <c r="L138" s="59">
        <f t="shared" si="17"/>
        <v>0</v>
      </c>
      <c r="M138" s="59">
        <f t="shared" si="17"/>
        <v>0</v>
      </c>
      <c r="N138" s="59">
        <f t="shared" si="17"/>
        <v>0</v>
      </c>
      <c r="O138" s="59">
        <f t="shared" si="17"/>
        <v>0</v>
      </c>
      <c r="P138" s="59">
        <f>IFERROR(P137+P132+P117,0)</f>
        <v>30268.23</v>
      </c>
      <c r="Q138" s="22"/>
      <c r="R138" s="30"/>
      <c r="S138" s="22"/>
    </row>
    <row r="139" spans="2:19" ht="17.45" customHeight="1">
      <c r="B139" s="29"/>
      <c r="C139" s="27" t="s">
        <v>240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>IFERROR(D139+E139+F139+G139+H139+I139+J139+K139+L139+M139+N139+O139,0)</f>
        <v>0</v>
      </c>
      <c r="Q139" s="22"/>
      <c r="R139" s="30"/>
      <c r="S139" s="22"/>
    </row>
    <row r="140" spans="2:19" ht="17.45" customHeight="1">
      <c r="B140" s="29"/>
      <c r="C140" s="28" t="s">
        <v>241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>IFERROR(D140+E140+F140+G140+H140+I140+J140+K140+L140+M140+N140+O140,0)</f>
        <v>0</v>
      </c>
      <c r="Q140" s="22"/>
      <c r="R140" s="30"/>
      <c r="S140" s="22"/>
    </row>
    <row r="141" spans="2:19" ht="17.45" customHeight="1">
      <c r="B141" s="29" t="s">
        <v>242</v>
      </c>
      <c r="C141" s="25" t="s">
        <v>243</v>
      </c>
      <c r="D141" s="57">
        <v>5618.18</v>
      </c>
      <c r="E141" s="57">
        <v>0</v>
      </c>
      <c r="F141" s="57">
        <v>5618.18</v>
      </c>
      <c r="G141" s="57">
        <v>0</v>
      </c>
      <c r="H141" s="57">
        <v>0</v>
      </c>
      <c r="I141" s="57">
        <v>0</v>
      </c>
      <c r="J141" s="57">
        <v>5894.06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>IFERROR(D141+E141+F141+G141+H141+I141+J141+K141+L141+M141+N141+O141,0)</f>
        <v>17130.420000000002</v>
      </c>
      <c r="Q141" s="22"/>
      <c r="R141" s="30"/>
      <c r="S141" s="22"/>
    </row>
    <row r="142" spans="2:19" ht="17.45" customHeight="1">
      <c r="B142" s="29" t="s">
        <v>244</v>
      </c>
      <c r="C142" s="25" t="s">
        <v>245</v>
      </c>
      <c r="D142" s="57">
        <v>3659.95</v>
      </c>
      <c r="E142" s="57">
        <v>0</v>
      </c>
      <c r="F142" s="57">
        <v>3659.95</v>
      </c>
      <c r="G142" s="57">
        <v>0</v>
      </c>
      <c r="H142" s="57">
        <v>0</v>
      </c>
      <c r="I142" s="57">
        <v>0</v>
      </c>
      <c r="J142" s="57">
        <v>3673.55</v>
      </c>
      <c r="K142" s="57">
        <v>4688.76</v>
      </c>
      <c r="L142" s="57">
        <v>0</v>
      </c>
      <c r="M142" s="57">
        <v>0</v>
      </c>
      <c r="N142" s="57">
        <v>0</v>
      </c>
      <c r="O142" s="57">
        <v>0</v>
      </c>
      <c r="P142" s="57">
        <f>IFERROR(D142+E142+F142+G142+H142+I142+J142+K142+L142+M142+N142+O142,0)</f>
        <v>15682.210000000001</v>
      </c>
      <c r="Q142" s="22"/>
      <c r="R142" s="30"/>
      <c r="S142" s="22"/>
    </row>
    <row r="143" spans="2:19" ht="17.45" customHeight="1">
      <c r="B143" s="29" t="s">
        <v>246</v>
      </c>
      <c r="C143" s="25" t="s">
        <v>247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405.15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>IFERROR(D143+E143+F143+G143+H143+I143+J143+K143+L143+M143+N143+O143,0)</f>
        <v>805.15</v>
      </c>
      <c r="Q143" s="22"/>
      <c r="R143" s="30"/>
      <c r="S143" s="22"/>
    </row>
    <row r="144" spans="2:19" ht="17.45" customHeight="1">
      <c r="B144" s="29" t="s">
        <v>248</v>
      </c>
      <c r="C144" s="25" t="s">
        <v>118</v>
      </c>
      <c r="D144" s="57">
        <v>2738.66</v>
      </c>
      <c r="E144" s="57">
        <v>0</v>
      </c>
      <c r="F144" s="57">
        <v>2738.66</v>
      </c>
      <c r="G144" s="57">
        <v>0</v>
      </c>
      <c r="H144" s="57">
        <v>0</v>
      </c>
      <c r="I144" s="57">
        <v>0</v>
      </c>
      <c r="J144" s="57">
        <v>3452.84</v>
      </c>
      <c r="K144" s="57">
        <v>239.69</v>
      </c>
      <c r="L144" s="57">
        <v>0</v>
      </c>
      <c r="M144" s="57">
        <v>0</v>
      </c>
      <c r="N144" s="57">
        <v>0</v>
      </c>
      <c r="O144" s="57">
        <v>0</v>
      </c>
      <c r="P144" s="57">
        <f>IFERROR(D144+E144+F144+G144+H144+I144+J144+K144+L144+M144+N144+O144,0)</f>
        <v>9169.85</v>
      </c>
      <c r="Q144" s="22"/>
      <c r="R144" s="30"/>
      <c r="S144" s="22"/>
    </row>
    <row r="145" spans="2:19" ht="17.45" customHeight="1">
      <c r="B145" s="29" t="s">
        <v>249</v>
      </c>
      <c r="C145" s="25" t="s">
        <v>250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>IFERROR(D145+E145+F145+G145+H145+I145+J145+K145+L145+M145+N145+O145,0)</f>
        <v>0</v>
      </c>
      <c r="Q145" s="22"/>
      <c r="R145" s="30"/>
      <c r="S145" s="22"/>
    </row>
    <row r="146" spans="2:19" ht="17.45" customHeight="1">
      <c r="B146" s="29" t="s">
        <v>251</v>
      </c>
      <c r="C146" s="25" t="s">
        <v>252</v>
      </c>
      <c r="D146" s="57">
        <v>5916.26</v>
      </c>
      <c r="E146" s="57">
        <v>0</v>
      </c>
      <c r="F146" s="57">
        <v>5916.26</v>
      </c>
      <c r="G146" s="57">
        <v>0</v>
      </c>
      <c r="H146" s="57">
        <v>0</v>
      </c>
      <c r="I146" s="57">
        <v>0</v>
      </c>
      <c r="J146" s="57">
        <v>6183.55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>IFERROR(D146+E146+F146+G146+H146+I146+J146+K146+L146+M146+N146+O146,0)</f>
        <v>18016.07</v>
      </c>
      <c r="Q146" s="22"/>
      <c r="R146" s="30"/>
      <c r="S146" s="22"/>
    </row>
    <row r="147" spans="2:19" ht="17.45" customHeight="1">
      <c r="B147" s="29"/>
      <c r="C147" s="25" t="s">
        <v>253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254</v>
      </c>
      <c r="C148" s="45" t="s">
        <v>241</v>
      </c>
      <c r="D148" s="59">
        <f t="shared" ref="D148:P148" si="18">SUM(D141:D147)</f>
        <v>18133.050000000003</v>
      </c>
      <c r="E148" s="59">
        <f t="shared" si="18"/>
        <v>0</v>
      </c>
      <c r="F148" s="59">
        <f t="shared" si="18"/>
        <v>18133.050000000003</v>
      </c>
      <c r="G148" s="59">
        <f t="shared" si="18"/>
        <v>0</v>
      </c>
      <c r="H148" s="59">
        <f t="shared" si="18"/>
        <v>0</v>
      </c>
      <c r="I148" s="59">
        <f t="shared" si="18"/>
        <v>0</v>
      </c>
      <c r="J148" s="59">
        <f t="shared" si="18"/>
        <v>19609.150000000001</v>
      </c>
      <c r="K148" s="59">
        <f t="shared" si="18"/>
        <v>4928.45</v>
      </c>
      <c r="L148" s="59">
        <f t="shared" si="18"/>
        <v>0</v>
      </c>
      <c r="M148" s="59">
        <f t="shared" si="18"/>
        <v>0</v>
      </c>
      <c r="N148" s="59">
        <f t="shared" si="18"/>
        <v>0</v>
      </c>
      <c r="O148" s="59">
        <f t="shared" si="18"/>
        <v>0</v>
      </c>
      <c r="P148" s="59">
        <f>IFERROR(SUM(P141:P147),0)</f>
        <v>60803.700000000004</v>
      </c>
      <c r="Q148" s="22"/>
      <c r="R148" s="30"/>
      <c r="S148" s="22"/>
    </row>
    <row r="149" spans="2:19" ht="17.45" customHeight="1">
      <c r="B149" s="29"/>
      <c r="C149" s="27" t="s">
        <v>255</v>
      </c>
      <c r="D149" s="57" t="s">
        <v>432</v>
      </c>
      <c r="E149" s="57">
        <v>0</v>
      </c>
      <c r="F149" s="57" t="s">
        <v>432</v>
      </c>
      <c r="G149" s="57">
        <v>0</v>
      </c>
      <c r="H149" s="57">
        <v>0</v>
      </c>
      <c r="I149" s="57">
        <v>0</v>
      </c>
      <c r="J149" s="57" t="s">
        <v>432</v>
      </c>
      <c r="K149" s="57" t="s">
        <v>432</v>
      </c>
      <c r="L149" s="57">
        <v>0</v>
      </c>
      <c r="M149" s="57">
        <v>0</v>
      </c>
      <c r="N149" s="57">
        <v>0</v>
      </c>
      <c r="O149" s="57">
        <v>0</v>
      </c>
      <c r="P149" s="57">
        <f>IFERROR(IFERROR(D149+E149+F149+G149+H149+I149+J149+K149+L149+M149+N149+O149,0),0)</f>
        <v>0</v>
      </c>
      <c r="Q149" s="22"/>
      <c r="R149" s="30"/>
      <c r="S149" s="22"/>
    </row>
    <row r="150" spans="2:19" ht="17.45" customHeight="1">
      <c r="B150" s="29" t="s">
        <v>256</v>
      </c>
      <c r="C150" s="25" t="s">
        <v>257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IFERROR(D150+E150+F150+G150+H150+I150+J150+K150+L150+M150+N150+O150,0)</f>
        <v>0</v>
      </c>
      <c r="Q150" s="22"/>
      <c r="R150" s="30"/>
      <c r="S150" s="22"/>
    </row>
    <row r="151" spans="2:19" ht="17.45" customHeight="1">
      <c r="B151" s="29" t="s">
        <v>258</v>
      </c>
      <c r="C151" s="25" t="s">
        <v>259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IFERROR(D151+E151+F151+G151+H151+I151+J151+K151+L151+M151+N151+O151,0)</f>
        <v>0</v>
      </c>
      <c r="Q151" s="22"/>
      <c r="R151" s="30"/>
      <c r="S151" s="22"/>
    </row>
    <row r="152" spans="2:19" ht="17.45" customHeight="1">
      <c r="B152" s="29" t="s">
        <v>260</v>
      </c>
      <c r="C152" s="25" t="s">
        <v>261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IFERROR(D152+E152+F152+G152+H152+I152+J152+K152+L152+M152+N152+O152,0)</f>
        <v>0</v>
      </c>
      <c r="Q152" s="22"/>
      <c r="R152" s="30"/>
      <c r="S152" s="22"/>
    </row>
    <row r="153" spans="2:19" ht="17.45" customHeight="1">
      <c r="B153" s="29" t="s">
        <v>262</v>
      </c>
      <c r="C153" s="25" t="s">
        <v>263</v>
      </c>
      <c r="D153" s="57">
        <v>291.47000000000003</v>
      </c>
      <c r="E153" s="57">
        <v>0</v>
      </c>
      <c r="F153" s="57">
        <v>291.47000000000003</v>
      </c>
      <c r="G153" s="57">
        <v>0</v>
      </c>
      <c r="H153" s="57">
        <v>0</v>
      </c>
      <c r="I153" s="57">
        <v>0</v>
      </c>
      <c r="J153" s="57">
        <v>1415.15</v>
      </c>
      <c r="K153" s="57">
        <v>675.1</v>
      </c>
      <c r="L153" s="57">
        <v>0</v>
      </c>
      <c r="M153" s="57">
        <v>0</v>
      </c>
      <c r="N153" s="57">
        <v>0</v>
      </c>
      <c r="O153" s="57">
        <v>0</v>
      </c>
      <c r="P153" s="57">
        <f>IFERROR(D153+E153+F153+G153+H153+I153+J153+K153+L153+M153+N153+O153,0)</f>
        <v>2673.19</v>
      </c>
      <c r="Q153" s="22"/>
      <c r="R153" s="30"/>
      <c r="S153" s="22"/>
    </row>
    <row r="154" spans="2:19" ht="17.45" customHeight="1">
      <c r="B154" s="46" t="s">
        <v>264</v>
      </c>
      <c r="C154" s="45" t="s">
        <v>255</v>
      </c>
      <c r="D154" s="59">
        <f t="shared" ref="D154:O154" si="19">SUM(D151:D153)</f>
        <v>291.47000000000003</v>
      </c>
      <c r="E154" s="59">
        <f t="shared" si="19"/>
        <v>0</v>
      </c>
      <c r="F154" s="59">
        <f t="shared" si="19"/>
        <v>291.47000000000003</v>
      </c>
      <c r="G154" s="59">
        <f t="shared" si="19"/>
        <v>0</v>
      </c>
      <c r="H154" s="59">
        <f t="shared" si="19"/>
        <v>0</v>
      </c>
      <c r="I154" s="59">
        <f t="shared" si="19"/>
        <v>0</v>
      </c>
      <c r="J154" s="59">
        <f t="shared" si="19"/>
        <v>1415.15</v>
      </c>
      <c r="K154" s="59">
        <f t="shared" si="19"/>
        <v>675.1</v>
      </c>
      <c r="L154" s="59">
        <f t="shared" si="19"/>
        <v>0</v>
      </c>
      <c r="M154" s="59">
        <f t="shared" si="19"/>
        <v>0</v>
      </c>
      <c r="N154" s="59">
        <f t="shared" si="19"/>
        <v>0</v>
      </c>
      <c r="O154" s="59">
        <f t="shared" si="19"/>
        <v>0</v>
      </c>
      <c r="P154" s="59">
        <f>IFERROR(SUM(P151:P153),0)</f>
        <v>2673.19</v>
      </c>
      <c r="Q154" s="22"/>
      <c r="R154" s="30"/>
      <c r="S154" s="22"/>
    </row>
    <row r="155" spans="2:19" ht="17.45" customHeight="1">
      <c r="B155" s="29"/>
      <c r="C155" s="27" t="s">
        <v>265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IFERROR(D155+E155+F155+G155+H155+I155+J155+K155+L155+M155+N155+O155,0)</f>
        <v>0</v>
      </c>
      <c r="Q155" s="22"/>
      <c r="R155" s="30"/>
      <c r="S155" s="22"/>
    </row>
    <row r="156" spans="2:19" ht="17.45" customHeight="1">
      <c r="B156" s="29" t="s">
        <v>266</v>
      </c>
      <c r="C156" s="25" t="s">
        <v>267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IFERROR(D156+E156+F156+G156+H156+I156+J156+K156+L156+M156+N156+O156,0)</f>
        <v>0</v>
      </c>
      <c r="Q156" s="22"/>
      <c r="R156" s="30"/>
      <c r="S156" s="22"/>
    </row>
    <row r="157" spans="2:19" ht="17.45" customHeight="1">
      <c r="B157" s="29" t="s">
        <v>268</v>
      </c>
      <c r="C157" s="25" t="s">
        <v>124</v>
      </c>
      <c r="D157" s="57">
        <v>0</v>
      </c>
      <c r="E157" s="57">
        <v>0</v>
      </c>
      <c r="F157" s="57">
        <v>0</v>
      </c>
      <c r="G157" s="57">
        <v>0</v>
      </c>
      <c r="H157" s="57">
        <v>0</v>
      </c>
      <c r="I157" s="57">
        <v>0</v>
      </c>
      <c r="J157" s="57">
        <v>0</v>
      </c>
      <c r="K157" s="57">
        <v>27.58</v>
      </c>
      <c r="L157" s="57">
        <v>0</v>
      </c>
      <c r="M157" s="57">
        <v>0</v>
      </c>
      <c r="N157" s="57">
        <v>0</v>
      </c>
      <c r="O157" s="57">
        <v>0</v>
      </c>
      <c r="P157" s="57">
        <f>IFERROR(D157+E157+F157+G157+H157+I157+J157+K157+L157+M157+N157+O157,0)</f>
        <v>27.58</v>
      </c>
      <c r="Q157" s="22"/>
      <c r="R157" s="30"/>
      <c r="S157" s="22"/>
    </row>
    <row r="158" spans="2:19" ht="17.45" customHeight="1">
      <c r="B158" s="46" t="s">
        <v>269</v>
      </c>
      <c r="C158" s="45" t="s">
        <v>265</v>
      </c>
      <c r="D158" s="59">
        <f>D157+D156</f>
        <v>0</v>
      </c>
      <c r="E158" s="59">
        <f t="shared" ref="E158:P158" si="20">E157+E156</f>
        <v>0</v>
      </c>
      <c r="F158" s="59">
        <f t="shared" si="20"/>
        <v>0</v>
      </c>
      <c r="G158" s="59">
        <f t="shared" si="20"/>
        <v>0</v>
      </c>
      <c r="H158" s="59">
        <f t="shared" si="20"/>
        <v>0</v>
      </c>
      <c r="I158" s="59">
        <f t="shared" si="20"/>
        <v>0</v>
      </c>
      <c r="J158" s="59">
        <f t="shared" si="20"/>
        <v>0</v>
      </c>
      <c r="K158" s="59">
        <f t="shared" si="20"/>
        <v>27.58</v>
      </c>
      <c r="L158" s="59">
        <f t="shared" si="20"/>
        <v>0</v>
      </c>
      <c r="M158" s="59">
        <f t="shared" si="20"/>
        <v>0</v>
      </c>
      <c r="N158" s="59">
        <f t="shared" si="20"/>
        <v>0</v>
      </c>
      <c r="O158" s="59">
        <f t="shared" si="20"/>
        <v>0</v>
      </c>
      <c r="P158" s="59">
        <f>IFERROR(P157+P156,0)</f>
        <v>27.58</v>
      </c>
      <c r="Q158" s="22"/>
      <c r="R158" s="30"/>
      <c r="S158" s="22"/>
    </row>
    <row r="159" spans="2:19" ht="17.45" customHeight="1">
      <c r="B159" s="29" t="s">
        <v>270</v>
      </c>
      <c r="C159" s="25" t="s">
        <v>271</v>
      </c>
      <c r="D159" s="57">
        <v>433.97</v>
      </c>
      <c r="E159" s="57">
        <v>0</v>
      </c>
      <c r="F159" s="57">
        <v>433.97</v>
      </c>
      <c r="G159" s="57">
        <v>0</v>
      </c>
      <c r="H159" s="57">
        <v>0</v>
      </c>
      <c r="I159" s="57">
        <v>0</v>
      </c>
      <c r="J159" s="57">
        <v>1266.32</v>
      </c>
      <c r="K159" s="57">
        <v>1274.08</v>
      </c>
      <c r="L159" s="57">
        <v>0</v>
      </c>
      <c r="M159" s="57">
        <v>0</v>
      </c>
      <c r="N159" s="57">
        <v>0</v>
      </c>
      <c r="O159" s="57">
        <v>0</v>
      </c>
      <c r="P159" s="57">
        <f>IFERROR(D159+E159+F159+G159+H159+I159+J159+K159+L159+M159+N159+O159,0)</f>
        <v>3408.34</v>
      </c>
      <c r="Q159" s="22"/>
      <c r="R159" s="30"/>
      <c r="S159" s="22"/>
    </row>
    <row r="160" spans="2:19" ht="17.45" customHeight="1">
      <c r="B160" s="29" t="s">
        <v>272</v>
      </c>
      <c r="C160" s="25" t="s">
        <v>273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 t="s">
        <v>432</v>
      </c>
      <c r="K160" s="57" t="s">
        <v>432</v>
      </c>
      <c r="L160" s="57">
        <v>0</v>
      </c>
      <c r="M160" s="57">
        <v>0</v>
      </c>
      <c r="N160" s="57">
        <v>0</v>
      </c>
      <c r="O160" s="57">
        <v>0</v>
      </c>
      <c r="P160" s="57">
        <f>IFERROR(IFERROR(D160+E160+F160+G160+H160+I160+J160+K160+L160+M160+N160+O160,0),0)</f>
        <v>0</v>
      </c>
      <c r="Q160" s="22"/>
      <c r="R160" s="30"/>
      <c r="S160" s="22"/>
    </row>
    <row r="161" spans="2:19" ht="17.45" customHeight="1">
      <c r="B161" s="29"/>
      <c r="C161" s="25" t="s">
        <v>274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>IFERROR(D161+E161+F161+G161+H161+I161+J161+K161+L161+M161+N161+O161,0)</f>
        <v>0</v>
      </c>
      <c r="Q161" s="22"/>
      <c r="R161" s="30"/>
      <c r="S161" s="22"/>
    </row>
    <row r="162" spans="2:19" ht="17.45" customHeight="1">
      <c r="B162" s="29" t="s">
        <v>275</v>
      </c>
      <c r="C162" s="25" t="s">
        <v>276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>IFERROR(D162+E162+F162+G162+H162+I162+J162+K162+L162+M162+N162+O162,0)</f>
        <v>0</v>
      </c>
      <c r="Q162" s="22"/>
      <c r="R162" s="30"/>
      <c r="S162" s="22"/>
    </row>
    <row r="163" spans="2:19" ht="17.45" customHeight="1">
      <c r="B163" s="29" t="s">
        <v>277</v>
      </c>
      <c r="C163" s="25" t="s">
        <v>278</v>
      </c>
      <c r="D163" s="57">
        <v>259.08</v>
      </c>
      <c r="E163" s="57">
        <v>0</v>
      </c>
      <c r="F163" s="57">
        <v>259.08</v>
      </c>
      <c r="G163" s="57">
        <v>0</v>
      </c>
      <c r="H163" s="57">
        <v>0</v>
      </c>
      <c r="I163" s="57">
        <v>0</v>
      </c>
      <c r="J163" s="57">
        <v>4803.59</v>
      </c>
      <c r="K163" s="57">
        <v>61.37</v>
      </c>
      <c r="L163" s="57">
        <v>0</v>
      </c>
      <c r="M163" s="57">
        <v>0</v>
      </c>
      <c r="N163" s="57">
        <v>0</v>
      </c>
      <c r="O163" s="57">
        <v>0</v>
      </c>
      <c r="P163" s="57">
        <f>IFERROR(D163+E163+F163+G163+H163+I163+J163+K163+L163+M163+N163+O163,0)</f>
        <v>5383.12</v>
      </c>
      <c r="Q163" s="22"/>
      <c r="R163" s="30"/>
      <c r="S163" s="22"/>
    </row>
    <row r="164" spans="2:19" ht="17.45" customHeight="1">
      <c r="B164" s="29" t="s">
        <v>279</v>
      </c>
      <c r="C164" s="25" t="s">
        <v>280</v>
      </c>
      <c r="D164" s="57">
        <v>1484.55</v>
      </c>
      <c r="E164" s="57">
        <v>0</v>
      </c>
      <c r="F164" s="57">
        <v>1484.55</v>
      </c>
      <c r="G164" s="57">
        <v>0</v>
      </c>
      <c r="H164" s="57">
        <v>0</v>
      </c>
      <c r="I164" s="57">
        <v>0</v>
      </c>
      <c r="J164" s="57">
        <v>2078.21</v>
      </c>
      <c r="K164" s="57">
        <v>1493.87</v>
      </c>
      <c r="L164" s="57">
        <v>0</v>
      </c>
      <c r="M164" s="57">
        <v>0</v>
      </c>
      <c r="N164" s="57">
        <v>0</v>
      </c>
      <c r="O164" s="57">
        <v>0</v>
      </c>
      <c r="P164" s="57">
        <f>IFERROR(D164+E164+F164+G164+H164+I164+J164+K164+L164+M164+N164+O164,0)</f>
        <v>6541.1799999999994</v>
      </c>
      <c r="Q164" s="22"/>
      <c r="R164" s="30"/>
      <c r="S164" s="22"/>
    </row>
    <row r="165" spans="2:19" ht="17.45" customHeight="1">
      <c r="B165" s="29" t="s">
        <v>281</v>
      </c>
      <c r="C165" s="25" t="s">
        <v>282</v>
      </c>
      <c r="D165" s="57">
        <v>6.48</v>
      </c>
      <c r="E165" s="57">
        <v>0</v>
      </c>
      <c r="F165" s="57">
        <v>6.48</v>
      </c>
      <c r="G165" s="57">
        <v>0</v>
      </c>
      <c r="H165" s="57">
        <v>0</v>
      </c>
      <c r="I165" s="57">
        <v>0</v>
      </c>
      <c r="J165" s="57">
        <v>6.1</v>
      </c>
      <c r="K165" s="57">
        <v>5663.18</v>
      </c>
      <c r="L165" s="57">
        <v>0</v>
      </c>
      <c r="M165" s="57">
        <v>0</v>
      </c>
      <c r="N165" s="57">
        <v>0</v>
      </c>
      <c r="O165" s="57">
        <v>0</v>
      </c>
      <c r="P165" s="57">
        <f>IFERROR(D165+E165+F165+G165+H165+I165+J165+K165+L165+M165+N165+O165,0)</f>
        <v>5682.2400000000007</v>
      </c>
      <c r="Q165" s="22"/>
      <c r="R165" s="30"/>
      <c r="S165" s="22"/>
    </row>
    <row r="166" spans="2:19" ht="17.45" customHeight="1">
      <c r="B166" s="29"/>
      <c r="C166" s="27" t="s">
        <v>283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>IFERROR(D166+E166+F166+G166+H166+I166+J166+K166+L166+M166+N166+O166,0)</f>
        <v>0</v>
      </c>
      <c r="Q166" s="22"/>
      <c r="R166" s="30"/>
      <c r="S166" s="22"/>
    </row>
    <row r="167" spans="2:19" ht="17.45" customHeight="1">
      <c r="B167" s="29" t="s">
        <v>284</v>
      </c>
      <c r="C167" s="25" t="s">
        <v>285</v>
      </c>
      <c r="D167" s="57">
        <v>213.75</v>
      </c>
      <c r="E167" s="57">
        <v>0</v>
      </c>
      <c r="F167" s="57">
        <v>213.75</v>
      </c>
      <c r="G167" s="57">
        <v>0</v>
      </c>
      <c r="H167" s="57">
        <v>0</v>
      </c>
      <c r="I167" s="57">
        <v>0</v>
      </c>
      <c r="J167" s="57">
        <v>134.19999999999999</v>
      </c>
      <c r="K167" s="57">
        <v>193.32</v>
      </c>
      <c r="L167" s="57">
        <v>0</v>
      </c>
      <c r="M167" s="57">
        <v>0</v>
      </c>
      <c r="N167" s="57">
        <v>0</v>
      </c>
      <c r="O167" s="57">
        <v>0</v>
      </c>
      <c r="P167" s="57">
        <f>IFERROR(D167+E167+F167+G167+H167+I167+J167+K167+L167+M167+N167+O167,0)</f>
        <v>755.02</v>
      </c>
      <c r="Q167" s="22"/>
      <c r="R167" s="30"/>
      <c r="S167" s="22"/>
    </row>
    <row r="168" spans="2:19" ht="17.45" customHeight="1">
      <c r="B168" s="29" t="s">
        <v>286</v>
      </c>
      <c r="C168" s="25" t="s">
        <v>287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>IFERROR(D168+E168+F168+G168+H168+I168+J168+K168+L168+M168+N168+O168,0)</f>
        <v>0</v>
      </c>
      <c r="Q168" s="22"/>
      <c r="R168" s="30"/>
      <c r="S168" s="22"/>
    </row>
    <row r="169" spans="2:19" ht="17.45" customHeight="1">
      <c r="B169" s="29" t="s">
        <v>288</v>
      </c>
      <c r="C169" s="25" t="s">
        <v>289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 t="s">
        <v>432</v>
      </c>
      <c r="K169" s="57" t="s">
        <v>432</v>
      </c>
      <c r="L169" s="57">
        <v>0</v>
      </c>
      <c r="M169" s="57">
        <v>0</v>
      </c>
      <c r="N169" s="57">
        <v>0</v>
      </c>
      <c r="O169" s="57">
        <v>0</v>
      </c>
      <c r="P169" s="57">
        <f>IFERROR(IFERROR(D169+E169+F169+G169+H169+I169+J169+K169+L169+M169+N169+O169,0),0)</f>
        <v>0</v>
      </c>
      <c r="Q169" s="22"/>
      <c r="R169" s="30"/>
      <c r="S169" s="22"/>
    </row>
    <row r="170" spans="2:19" ht="17.45" customHeight="1">
      <c r="B170" s="46" t="s">
        <v>290</v>
      </c>
      <c r="C170" s="45" t="s">
        <v>283</v>
      </c>
      <c r="D170" s="59">
        <f t="shared" ref="D170:O170" si="21">SUM(D167:D169)</f>
        <v>213.75</v>
      </c>
      <c r="E170" s="59">
        <f t="shared" si="21"/>
        <v>0</v>
      </c>
      <c r="F170" s="59">
        <f t="shared" si="21"/>
        <v>213.75</v>
      </c>
      <c r="G170" s="59">
        <f t="shared" si="21"/>
        <v>0</v>
      </c>
      <c r="H170" s="59">
        <f t="shared" si="21"/>
        <v>0</v>
      </c>
      <c r="I170" s="59">
        <f t="shared" si="21"/>
        <v>0</v>
      </c>
      <c r="J170" s="59">
        <f t="shared" si="21"/>
        <v>134.19999999999999</v>
      </c>
      <c r="K170" s="59">
        <f t="shared" si="21"/>
        <v>193.32</v>
      </c>
      <c r="L170" s="59">
        <f t="shared" si="21"/>
        <v>0</v>
      </c>
      <c r="M170" s="59">
        <f t="shared" si="21"/>
        <v>0</v>
      </c>
      <c r="N170" s="59">
        <f t="shared" si="21"/>
        <v>0</v>
      </c>
      <c r="O170" s="59">
        <f t="shared" si="21"/>
        <v>0</v>
      </c>
      <c r="P170" s="59">
        <f>IFERROR(SUM(P167:P169),0)</f>
        <v>755.02</v>
      </c>
      <c r="Q170" s="22"/>
      <c r="R170" s="30"/>
      <c r="S170" s="22"/>
    </row>
    <row r="171" spans="2:19" ht="17.45" customHeight="1">
      <c r="B171" s="29"/>
      <c r="C171" s="27" t="s">
        <v>291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IFERROR(D171+E171+F171+G171+H171+I171+J171+K171+L171+M171+N171+O171,0)</f>
        <v>0</v>
      </c>
      <c r="Q171" s="22"/>
      <c r="R171" s="30"/>
      <c r="S171" s="22"/>
    </row>
    <row r="172" spans="2:19" ht="17.45" customHeight="1">
      <c r="B172" s="29" t="s">
        <v>292</v>
      </c>
      <c r="C172" s="25" t="s">
        <v>293</v>
      </c>
      <c r="D172" s="57">
        <v>412.47</v>
      </c>
      <c r="E172" s="57">
        <v>0</v>
      </c>
      <c r="F172" s="57">
        <v>412.47</v>
      </c>
      <c r="G172" s="57">
        <v>0</v>
      </c>
      <c r="H172" s="57">
        <v>0</v>
      </c>
      <c r="I172" s="57">
        <v>0</v>
      </c>
      <c r="J172" s="57">
        <v>476.29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IFERROR(D172+E172+F172+G172+H172+I172+J172+K172+L172+M172+N172+O172,0)</f>
        <v>1301.23</v>
      </c>
      <c r="Q172" s="22"/>
      <c r="R172" s="30"/>
      <c r="S172" s="22"/>
    </row>
    <row r="173" spans="2:19" ht="17.45" customHeight="1">
      <c r="B173" s="29" t="s">
        <v>294</v>
      </c>
      <c r="C173" s="25" t="s">
        <v>295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IFERROR(D173+E173+F173+G173+H173+I173+J173+K173+L173+M173+N173+O173,0)</f>
        <v>0</v>
      </c>
      <c r="Q173" s="22"/>
      <c r="R173" s="30"/>
      <c r="S173" s="22"/>
    </row>
    <row r="174" spans="2:19" ht="17.45" customHeight="1">
      <c r="B174" s="29" t="s">
        <v>296</v>
      </c>
      <c r="C174" s="25" t="s">
        <v>297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IFERROR(D174+E174+F174+G174+H174+I174+J174+K174+L174+M174+N174+O174,0)</f>
        <v>0</v>
      </c>
      <c r="Q174" s="22"/>
      <c r="R174" s="30"/>
      <c r="S174" s="22"/>
    </row>
    <row r="175" spans="2:19" ht="17.45" customHeight="1">
      <c r="B175" s="46" t="s">
        <v>298</v>
      </c>
      <c r="C175" s="45" t="s">
        <v>291</v>
      </c>
      <c r="D175" s="59">
        <f t="shared" ref="D175:O175" si="22">SUM(D172:D174)</f>
        <v>412.47</v>
      </c>
      <c r="E175" s="59">
        <f t="shared" si="22"/>
        <v>0</v>
      </c>
      <c r="F175" s="59">
        <f t="shared" si="22"/>
        <v>412.47</v>
      </c>
      <c r="G175" s="59">
        <f t="shared" si="22"/>
        <v>0</v>
      </c>
      <c r="H175" s="59">
        <f t="shared" si="22"/>
        <v>0</v>
      </c>
      <c r="I175" s="59">
        <f t="shared" si="22"/>
        <v>0</v>
      </c>
      <c r="J175" s="59">
        <f t="shared" si="22"/>
        <v>476.29</v>
      </c>
      <c r="K175" s="59">
        <f t="shared" si="22"/>
        <v>0</v>
      </c>
      <c r="L175" s="59">
        <f t="shared" si="22"/>
        <v>0</v>
      </c>
      <c r="M175" s="59">
        <f t="shared" si="22"/>
        <v>0</v>
      </c>
      <c r="N175" s="59">
        <f t="shared" si="22"/>
        <v>0</v>
      </c>
      <c r="O175" s="59">
        <f t="shared" si="22"/>
        <v>0</v>
      </c>
      <c r="P175" s="59">
        <f>IFERROR(SUM(P172:P174),0)</f>
        <v>1301.23</v>
      </c>
      <c r="Q175" s="22"/>
      <c r="R175" s="30"/>
      <c r="S175" s="22"/>
    </row>
    <row r="176" spans="2:19" ht="17.45" customHeight="1">
      <c r="B176" s="29" t="s">
        <v>299</v>
      </c>
      <c r="C176" s="25" t="s">
        <v>300</v>
      </c>
      <c r="D176" s="57">
        <v>4069.69</v>
      </c>
      <c r="E176" s="57">
        <v>0</v>
      </c>
      <c r="F176" s="57">
        <v>4069.69</v>
      </c>
      <c r="G176" s="57">
        <v>0</v>
      </c>
      <c r="H176" s="57">
        <v>0</v>
      </c>
      <c r="I176" s="57">
        <v>0</v>
      </c>
      <c r="J176" s="57">
        <v>4181.84</v>
      </c>
      <c r="K176" s="57">
        <v>1933.29</v>
      </c>
      <c r="L176" s="57">
        <v>0</v>
      </c>
      <c r="M176" s="57">
        <v>0</v>
      </c>
      <c r="N176" s="57">
        <v>0</v>
      </c>
      <c r="O176" s="57">
        <v>0</v>
      </c>
      <c r="P176" s="57">
        <f>IFERROR(D176+E176+F176+G176+H176+I176+J176+K176+L176+M176+N176+O176,0)</f>
        <v>14254.510000000002</v>
      </c>
      <c r="Q176" s="22"/>
      <c r="R176" s="30"/>
      <c r="S176" s="22"/>
    </row>
    <row r="177" spans="2:19" ht="17.45" customHeight="1">
      <c r="B177" s="29" t="s">
        <v>301</v>
      </c>
      <c r="C177" s="25" t="s">
        <v>302</v>
      </c>
      <c r="D177" s="57">
        <v>298.58</v>
      </c>
      <c r="E177" s="57">
        <v>0</v>
      </c>
      <c r="F177" s="57">
        <v>298.58</v>
      </c>
      <c r="G177" s="57">
        <v>0</v>
      </c>
      <c r="H177" s="57">
        <v>0</v>
      </c>
      <c r="I177" s="57">
        <v>0</v>
      </c>
      <c r="J177" s="57">
        <v>326.72000000000003</v>
      </c>
      <c r="K177" s="57">
        <v>498</v>
      </c>
      <c r="L177" s="57">
        <v>0</v>
      </c>
      <c r="M177" s="57">
        <v>0</v>
      </c>
      <c r="N177" s="57">
        <v>0</v>
      </c>
      <c r="O177" s="57">
        <v>0</v>
      </c>
      <c r="P177" s="57">
        <f>IFERROR(D177+E177+F177+G177+H177+I177+J177+K177+L177+M177+N177+O177,0)</f>
        <v>1421.88</v>
      </c>
      <c r="Q177" s="22"/>
      <c r="R177" s="30"/>
      <c r="S177" s="22"/>
    </row>
    <row r="178" spans="2:19" ht="17.45" customHeight="1">
      <c r="B178" s="29"/>
      <c r="C178" s="27" t="s">
        <v>303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>IFERROR(D178+E178+F178+G178+H178+I178+J178+K178+L178+M178+N178+O178,0)</f>
        <v>0</v>
      </c>
      <c r="Q178" s="22"/>
      <c r="R178" s="30"/>
      <c r="S178" s="22"/>
    </row>
    <row r="179" spans="2:19" ht="17.45" customHeight="1">
      <c r="B179" s="29" t="s">
        <v>304</v>
      </c>
      <c r="C179" s="25" t="s">
        <v>305</v>
      </c>
      <c r="D179" s="57" t="s">
        <v>432</v>
      </c>
      <c r="E179" s="57">
        <v>0</v>
      </c>
      <c r="F179" s="57" t="s">
        <v>432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>
        <f>IFERROR(IFERROR(D179+E179+F179+G179+H179+I179+J179+K179+L179+M179+N179+O179,0),0)</f>
        <v>0</v>
      </c>
      <c r="Q179" s="22"/>
      <c r="R179" s="30"/>
      <c r="S179" s="22"/>
    </row>
    <row r="180" spans="2:19" ht="17.45" customHeight="1">
      <c r="B180" s="29" t="s">
        <v>306</v>
      </c>
      <c r="C180" s="25" t="s">
        <v>307</v>
      </c>
      <c r="D180" s="57" t="s">
        <v>432</v>
      </c>
      <c r="E180" s="57">
        <v>0</v>
      </c>
      <c r="F180" s="57" t="s">
        <v>432</v>
      </c>
      <c r="G180" s="57">
        <v>0</v>
      </c>
      <c r="H180" s="57">
        <v>0</v>
      </c>
      <c r="I180" s="57">
        <v>0</v>
      </c>
      <c r="J180" s="57" t="s">
        <v>432</v>
      </c>
      <c r="K180" s="57" t="s">
        <v>432</v>
      </c>
      <c r="L180" s="57">
        <v>0</v>
      </c>
      <c r="M180" s="57">
        <v>0</v>
      </c>
      <c r="N180" s="57">
        <v>0</v>
      </c>
      <c r="O180" s="57">
        <v>0</v>
      </c>
      <c r="P180" s="57">
        <f>IFERROR(IFERROR(D180+E180+F180+G180+H180+I180+J180+K180+L180+M180+N180+O180,0),0)</f>
        <v>0</v>
      </c>
      <c r="Q180" s="22"/>
      <c r="R180" s="30"/>
      <c r="S180" s="22"/>
    </row>
    <row r="181" spans="2:19" ht="17.45" customHeight="1">
      <c r="B181" s="29"/>
      <c r="C181" s="25" t="s">
        <v>308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>IFERROR(D181+E181+F181+G181+H181+I181+J181+K181+L181+M181+N181+O181,0)</f>
        <v>0</v>
      </c>
      <c r="Q181" s="22"/>
      <c r="R181" s="30"/>
      <c r="S181" s="22"/>
    </row>
    <row r="182" spans="2:19" ht="17.45" customHeight="1">
      <c r="B182" s="46" t="s">
        <v>309</v>
      </c>
      <c r="C182" s="45" t="s">
        <v>303</v>
      </c>
      <c r="D182" s="59">
        <f t="shared" ref="D182:O182" si="23">SUM(D179:D181)</f>
        <v>0</v>
      </c>
      <c r="E182" s="59">
        <f t="shared" si="23"/>
        <v>0</v>
      </c>
      <c r="F182" s="59">
        <f t="shared" si="23"/>
        <v>0</v>
      </c>
      <c r="G182" s="59">
        <f t="shared" si="23"/>
        <v>0</v>
      </c>
      <c r="H182" s="59">
        <f t="shared" si="23"/>
        <v>0</v>
      </c>
      <c r="I182" s="59">
        <f t="shared" si="23"/>
        <v>0</v>
      </c>
      <c r="J182" s="59">
        <f t="shared" si="23"/>
        <v>0</v>
      </c>
      <c r="K182" s="59">
        <f t="shared" si="23"/>
        <v>0</v>
      </c>
      <c r="L182" s="59">
        <f t="shared" si="23"/>
        <v>0</v>
      </c>
      <c r="M182" s="59">
        <f t="shared" si="23"/>
        <v>0</v>
      </c>
      <c r="N182" s="59">
        <f t="shared" si="23"/>
        <v>0</v>
      </c>
      <c r="O182" s="59">
        <f t="shared" si="23"/>
        <v>0</v>
      </c>
      <c r="P182" s="59">
        <f>IFERROR(SUM(P179:P181),0)</f>
        <v>0</v>
      </c>
      <c r="Q182" s="22"/>
      <c r="R182" s="30"/>
      <c r="S182" s="22"/>
    </row>
    <row r="183" spans="2:19" ht="17.45" customHeight="1">
      <c r="B183" s="29"/>
      <c r="C183" s="27" t="s">
        <v>310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IFERROR(D183+E183+F183+G183+H183+I183+J183+K183+L183+M183+N183+O183,0)</f>
        <v>0</v>
      </c>
      <c r="Q183" s="22"/>
      <c r="R183" s="30"/>
      <c r="S183" s="22"/>
    </row>
    <row r="184" spans="2:19" ht="17.45" customHeight="1">
      <c r="B184" s="29" t="s">
        <v>311</v>
      </c>
      <c r="C184" s="25" t="s">
        <v>166</v>
      </c>
      <c r="D184" s="57">
        <v>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0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IFERROR(D184+E184+F184+G184+H184+I184+J184+K184+L184+M184+N184+O184,0)</f>
        <v>0</v>
      </c>
      <c r="Q184" s="22"/>
      <c r="R184" s="30"/>
      <c r="S184" s="22"/>
    </row>
    <row r="185" spans="2:19" ht="17.45" customHeight="1">
      <c r="B185" s="29"/>
      <c r="C185" s="25" t="s">
        <v>312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IFERROR(D185+E185+F185+G185+H185+I185+J185+K185+L185+M185+N185+O185,0)</f>
        <v>0</v>
      </c>
      <c r="Q185" s="22"/>
      <c r="R185" s="30"/>
      <c r="S185" s="22"/>
    </row>
    <row r="186" spans="2:19" ht="17.45" customHeight="1">
      <c r="B186" s="29" t="s">
        <v>313</v>
      </c>
      <c r="C186" s="25" t="s">
        <v>314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IFERROR(D186+E186+F186+G186+H186+I186+J186+K186+L186+M186+N186+O186,0)</f>
        <v>0</v>
      </c>
      <c r="Q186" s="22"/>
      <c r="R186" s="30"/>
      <c r="S186" s="22"/>
    </row>
    <row r="187" spans="2:19" ht="17.45" customHeight="1">
      <c r="B187" s="46" t="s">
        <v>315</v>
      </c>
      <c r="C187" s="45" t="s">
        <v>310</v>
      </c>
      <c r="D187" s="59">
        <f t="shared" ref="D187:P187" si="24">SUM(D184:D186)</f>
        <v>0</v>
      </c>
      <c r="E187" s="59">
        <f t="shared" si="24"/>
        <v>0</v>
      </c>
      <c r="F187" s="59">
        <f t="shared" si="24"/>
        <v>0</v>
      </c>
      <c r="G187" s="59">
        <f t="shared" si="24"/>
        <v>0</v>
      </c>
      <c r="H187" s="59">
        <f t="shared" si="24"/>
        <v>0</v>
      </c>
      <c r="I187" s="59">
        <f t="shared" si="24"/>
        <v>0</v>
      </c>
      <c r="J187" s="59">
        <f t="shared" si="24"/>
        <v>0</v>
      </c>
      <c r="K187" s="59">
        <f t="shared" si="24"/>
        <v>0</v>
      </c>
      <c r="L187" s="59">
        <f t="shared" si="24"/>
        <v>0</v>
      </c>
      <c r="M187" s="59">
        <f t="shared" si="24"/>
        <v>0</v>
      </c>
      <c r="N187" s="59">
        <f t="shared" si="24"/>
        <v>0</v>
      </c>
      <c r="O187" s="59">
        <f t="shared" si="24"/>
        <v>0</v>
      </c>
      <c r="P187" s="59">
        <f>IFERROR(SUM(P184:P186),0)</f>
        <v>0</v>
      </c>
      <c r="Q187" s="22"/>
      <c r="R187" s="30"/>
      <c r="S187" s="22"/>
    </row>
    <row r="188" spans="2:19" ht="17.45" customHeight="1">
      <c r="B188" s="29" t="s">
        <v>316</v>
      </c>
      <c r="C188" s="27" t="s">
        <v>317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>IFERROR(D188+E188+F188+G188+H188+I188+J188+K188+L188+M188+N188+O188,0)</f>
        <v>0</v>
      </c>
      <c r="Q188" s="22"/>
      <c r="R188" s="30"/>
      <c r="S188" s="22"/>
    </row>
    <row r="189" spans="2:19" ht="17.45" customHeight="1">
      <c r="B189" s="29" t="s">
        <v>318</v>
      </c>
      <c r="C189" s="25" t="s">
        <v>319</v>
      </c>
      <c r="D189" s="57">
        <v>625.49</v>
      </c>
      <c r="E189" s="57">
        <v>0</v>
      </c>
      <c r="F189" s="57">
        <v>625.49</v>
      </c>
      <c r="G189" s="57">
        <v>0</v>
      </c>
      <c r="H189" s="57">
        <v>0</v>
      </c>
      <c r="I189" s="57">
        <v>0</v>
      </c>
      <c r="J189" s="57">
        <v>343.29</v>
      </c>
      <c r="K189" s="57">
        <v>471.77</v>
      </c>
      <c r="L189" s="57">
        <v>0</v>
      </c>
      <c r="M189" s="57">
        <v>0</v>
      </c>
      <c r="N189" s="57">
        <v>0</v>
      </c>
      <c r="O189" s="57">
        <v>0</v>
      </c>
      <c r="P189" s="57">
        <f>IFERROR(D189+E189+F189+G189+H189+I189+J189+K189+L189+M189+N189+O189,0)</f>
        <v>2066.04</v>
      </c>
      <c r="Q189" s="22"/>
      <c r="R189" s="30"/>
      <c r="S189" s="22"/>
    </row>
    <row r="190" spans="2:19" ht="17.45" customHeight="1">
      <c r="B190" s="29" t="s">
        <v>320</v>
      </c>
      <c r="C190" s="25" t="s">
        <v>321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>IFERROR(D190+E190+F190+G190+H190+I190+J190+K190+L190+M190+N190+O190,0)</f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322</v>
      </c>
      <c r="D191" s="57" t="s">
        <v>432</v>
      </c>
      <c r="E191" s="57">
        <v>0</v>
      </c>
      <c r="F191" s="57" t="s">
        <v>432</v>
      </c>
      <c r="G191" s="57">
        <v>0</v>
      </c>
      <c r="H191" s="57">
        <v>0</v>
      </c>
      <c r="I191" s="57">
        <v>0</v>
      </c>
      <c r="J191" s="57" t="s">
        <v>432</v>
      </c>
      <c r="K191" s="57" t="s">
        <v>432</v>
      </c>
      <c r="L191" s="57">
        <v>0</v>
      </c>
      <c r="M191" s="57">
        <v>0</v>
      </c>
      <c r="N191" s="57">
        <v>0</v>
      </c>
      <c r="O191" s="57">
        <v>0</v>
      </c>
      <c r="P191" s="57">
        <f>IFERROR(IFERROR(D191+E191+F191+G191+H191+I191+J191+K191+L191+M191+N191+O191,0),0)</f>
        <v>0</v>
      </c>
      <c r="Q191" s="22"/>
      <c r="R191" s="30"/>
      <c r="S191" s="22"/>
    </row>
    <row r="192" spans="2:19" ht="17.45" customHeight="1">
      <c r="B192" s="29" t="s">
        <v>323</v>
      </c>
      <c r="C192" s="25" t="s">
        <v>324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>IFERROR(IFERROR(D192+E192+F192+G192+H192+I192+J192+K192+L192+M192+N192+O192,0),0)</f>
        <v>0</v>
      </c>
      <c r="Q192" s="22"/>
      <c r="R192" s="30"/>
      <c r="S192" s="22"/>
    </row>
    <row r="193" spans="2:19" ht="17.45" customHeight="1">
      <c r="B193" s="29" t="s">
        <v>325</v>
      </c>
      <c r="C193" s="25" t="s">
        <v>326</v>
      </c>
      <c r="D193" s="57" t="s">
        <v>432</v>
      </c>
      <c r="E193" s="57">
        <v>0</v>
      </c>
      <c r="F193" s="57" t="s">
        <v>432</v>
      </c>
      <c r="G193" s="57">
        <v>0</v>
      </c>
      <c r="H193" s="57">
        <v>0</v>
      </c>
      <c r="I193" s="57">
        <v>0</v>
      </c>
      <c r="J193" s="57" t="s">
        <v>432</v>
      </c>
      <c r="K193" s="57" t="s">
        <v>432</v>
      </c>
      <c r="L193" s="57">
        <v>0</v>
      </c>
      <c r="M193" s="57">
        <v>0</v>
      </c>
      <c r="N193" s="57">
        <v>0</v>
      </c>
      <c r="O193" s="57">
        <v>0</v>
      </c>
      <c r="P193" s="57">
        <f>IFERROR(IFERROR(D193+E193+F193+G193+H193+I193+J193+K193+L193+M193+N193+O193,0),0)</f>
        <v>0</v>
      </c>
      <c r="Q193" s="22"/>
      <c r="R193" s="30"/>
      <c r="S193" s="22"/>
    </row>
    <row r="194" spans="2:19" ht="17.45" customHeight="1">
      <c r="B194" s="29"/>
      <c r="C194" s="25" t="s">
        <v>327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>IFERROR(IFERROR(D194+E194+F194+G194+H194+I194+J194+K194+L194+M194+N194+O194,0),0)</f>
        <v>0</v>
      </c>
      <c r="Q194" s="22"/>
      <c r="R194" s="30"/>
      <c r="S194" s="22"/>
    </row>
    <row r="195" spans="2:19" ht="17.45" customHeight="1">
      <c r="B195" s="29"/>
      <c r="C195" s="25" t="s">
        <v>328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316</v>
      </c>
      <c r="C197" s="42" t="s">
        <v>317</v>
      </c>
      <c r="D197" s="76">
        <f t="shared" ref="D197:P197" si="25">SUM(D189:D196)</f>
        <v>625.49</v>
      </c>
      <c r="E197" s="76">
        <f t="shared" si="25"/>
        <v>0</v>
      </c>
      <c r="F197" s="76">
        <f t="shared" si="25"/>
        <v>625.49</v>
      </c>
      <c r="G197" s="76">
        <f t="shared" si="25"/>
        <v>0</v>
      </c>
      <c r="H197" s="76">
        <f t="shared" si="25"/>
        <v>0</v>
      </c>
      <c r="I197" s="76">
        <f t="shared" si="25"/>
        <v>0</v>
      </c>
      <c r="J197" s="76">
        <f t="shared" si="25"/>
        <v>343.29</v>
      </c>
      <c r="K197" s="76">
        <f t="shared" si="25"/>
        <v>471.77</v>
      </c>
      <c r="L197" s="76">
        <f t="shared" si="25"/>
        <v>0</v>
      </c>
      <c r="M197" s="76">
        <f t="shared" si="25"/>
        <v>0</v>
      </c>
      <c r="N197" s="76">
        <f t="shared" si="25"/>
        <v>0</v>
      </c>
      <c r="O197" s="76">
        <f t="shared" si="25"/>
        <v>0</v>
      </c>
      <c r="P197" s="76">
        <f>IFERROR(SUM(P189:P196),0)</f>
        <v>2066.04</v>
      </c>
      <c r="Q197" s="22"/>
      <c r="R197" s="30"/>
      <c r="S197" s="22"/>
    </row>
    <row r="198" spans="2:19" ht="17.45" customHeight="1">
      <c r="B198" s="46" t="s">
        <v>329</v>
      </c>
      <c r="C198" s="45" t="s">
        <v>240</v>
      </c>
      <c r="D198" s="60">
        <f t="shared" ref="D198:P198" si="26">D148+D154+D158+D170+D175+D182+D187+D197+D163+D164+D165+D176+D177</f>
        <v>25794.610000000008</v>
      </c>
      <c r="E198" s="60">
        <f t="shared" si="26"/>
        <v>0</v>
      </c>
      <c r="F198" s="60">
        <f t="shared" si="26"/>
        <v>25794.610000000008</v>
      </c>
      <c r="G198" s="60">
        <f t="shared" si="26"/>
        <v>0</v>
      </c>
      <c r="H198" s="60">
        <f t="shared" si="26"/>
        <v>0</v>
      </c>
      <c r="I198" s="60">
        <f t="shared" si="26"/>
        <v>0</v>
      </c>
      <c r="J198" s="60">
        <f t="shared" si="26"/>
        <v>33374.540000000008</v>
      </c>
      <c r="K198" s="60">
        <f t="shared" si="26"/>
        <v>15945.93</v>
      </c>
      <c r="L198" s="60">
        <f t="shared" si="26"/>
        <v>0</v>
      </c>
      <c r="M198" s="60">
        <f t="shared" si="26"/>
        <v>0</v>
      </c>
      <c r="N198" s="60">
        <f t="shared" si="26"/>
        <v>0</v>
      </c>
      <c r="O198" s="60">
        <f t="shared" si="26"/>
        <v>0</v>
      </c>
      <c r="P198" s="60">
        <f>IFERROR(P148+P154+P158+P170+P175+P182+P187+P197+P163+P164+P165+P176+P177,0)</f>
        <v>100909.69</v>
      </c>
      <c r="Q198" s="22"/>
      <c r="R198" s="30"/>
      <c r="S198" s="22"/>
    </row>
    <row r="199" spans="2:19" ht="17.45" customHeight="1">
      <c r="B199" s="29"/>
      <c r="C199" s="27" t="s">
        <v>330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>IFERROR(D199+E199+F199+G199+H199+I199+J199+K199+L199+M199+N199+O199,0)</f>
        <v>0</v>
      </c>
      <c r="Q199" s="22"/>
      <c r="R199" s="30"/>
      <c r="S199" s="22"/>
    </row>
    <row r="200" spans="2:19" ht="17.45" customHeight="1">
      <c r="B200" s="29"/>
      <c r="C200" s="27" t="s">
        <v>331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>IFERROR(D200+E200+F200+G200+H200+I200+J200+K200+L200+M200+N200+O200,0)</f>
        <v>0</v>
      </c>
      <c r="Q200" s="22"/>
      <c r="R200" s="30"/>
      <c r="S200" s="22"/>
    </row>
    <row r="201" spans="2:19" ht="17.45" customHeight="1">
      <c r="B201" s="29" t="s">
        <v>332</v>
      </c>
      <c r="C201" s="25" t="s">
        <v>333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>IFERROR(D201+E201+F201+G201+H201+I201+J201+K201+L201+M201+N201+O201,0)</f>
        <v>0</v>
      </c>
      <c r="Q201" s="22"/>
      <c r="R201" s="30"/>
      <c r="S201" s="22"/>
    </row>
    <row r="202" spans="2:19" ht="17.45" customHeight="1">
      <c r="B202" s="29" t="s">
        <v>334</v>
      </c>
      <c r="C202" s="25" t="s">
        <v>335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>IFERROR(D202+E202+F202+G202+H202+I202+J202+K202+L202+M202+N202+O202,0)</f>
        <v>0</v>
      </c>
      <c r="Q202" s="22"/>
      <c r="R202" s="30"/>
      <c r="S202" s="22"/>
    </row>
    <row r="203" spans="2:19" ht="17.45" customHeight="1">
      <c r="B203" s="29"/>
      <c r="C203" s="27" t="s">
        <v>336</v>
      </c>
      <c r="D203" s="57" t="s">
        <v>432</v>
      </c>
      <c r="E203" s="57">
        <v>0</v>
      </c>
      <c r="F203" s="57" t="s">
        <v>432</v>
      </c>
      <c r="G203" s="57">
        <v>0</v>
      </c>
      <c r="H203" s="57">
        <v>0</v>
      </c>
      <c r="I203" s="57">
        <v>0</v>
      </c>
      <c r="J203" s="57" t="s">
        <v>432</v>
      </c>
      <c r="K203" s="57" t="s">
        <v>432</v>
      </c>
      <c r="L203" s="57">
        <v>0</v>
      </c>
      <c r="M203" s="57">
        <v>0</v>
      </c>
      <c r="N203" s="57">
        <v>0</v>
      </c>
      <c r="O203" s="57">
        <v>0</v>
      </c>
      <c r="P203" s="57">
        <f>IFERROR(D203+E203+F203+G203+H203+I203+J203+K203+L203+M203+N203+O203,0)</f>
        <v>0</v>
      </c>
      <c r="Q203" s="22"/>
      <c r="R203" s="30"/>
      <c r="S203" s="22"/>
    </row>
    <row r="204" spans="2:19" ht="17.45" customHeight="1">
      <c r="B204" s="29" t="s">
        <v>337</v>
      </c>
      <c r="C204" s="25" t="s">
        <v>338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>IFERROR(D204+E204+F204+G204+H204+I204+J204+K204+L204+M204+N204+O204,0)</f>
        <v>0</v>
      </c>
      <c r="Q204" s="22"/>
      <c r="R204" s="30"/>
      <c r="S204" s="22"/>
    </row>
    <row r="205" spans="2:19" ht="17.45" customHeight="1">
      <c r="B205" s="29" t="s">
        <v>339</v>
      </c>
      <c r="C205" s="25" t="s">
        <v>340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>IFERROR(D205+E205+F205+G205+H205+I205+J205+K205+L205+M205+N205+O205,0)</f>
        <v>0</v>
      </c>
      <c r="Q205" s="22"/>
      <c r="R205" s="30"/>
      <c r="S205" s="22"/>
    </row>
    <row r="206" spans="2:19" ht="17.45" customHeight="1">
      <c r="B206" s="46" t="s">
        <v>341</v>
      </c>
      <c r="C206" s="45" t="s">
        <v>336</v>
      </c>
      <c r="D206" s="58">
        <f>D204</f>
        <v>0</v>
      </c>
      <c r="E206" s="58">
        <f t="shared" ref="E206:P206" si="27">E204</f>
        <v>0</v>
      </c>
      <c r="F206" s="58">
        <f t="shared" si="27"/>
        <v>0</v>
      </c>
      <c r="G206" s="58">
        <f t="shared" si="27"/>
        <v>0</v>
      </c>
      <c r="H206" s="58">
        <f t="shared" si="27"/>
        <v>0</v>
      </c>
      <c r="I206" s="58">
        <f t="shared" si="27"/>
        <v>0</v>
      </c>
      <c r="J206" s="58">
        <f t="shared" si="27"/>
        <v>0</v>
      </c>
      <c r="K206" s="58">
        <f t="shared" si="27"/>
        <v>0</v>
      </c>
      <c r="L206" s="58">
        <f t="shared" si="27"/>
        <v>0</v>
      </c>
      <c r="M206" s="58">
        <f t="shared" si="27"/>
        <v>0</v>
      </c>
      <c r="N206" s="58">
        <f t="shared" si="27"/>
        <v>0</v>
      </c>
      <c r="O206" s="58">
        <f t="shared" si="27"/>
        <v>0</v>
      </c>
      <c r="P206" s="58">
        <f>IFERROR(P204,0)</f>
        <v>0</v>
      </c>
      <c r="Q206" s="22"/>
      <c r="R206" s="30"/>
      <c r="S206" s="22"/>
    </row>
    <row r="207" spans="2:19" ht="17.45" customHeight="1">
      <c r="B207" s="29" t="s">
        <v>342</v>
      </c>
      <c r="C207" s="25" t="s">
        <v>343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>IFERROR(D207+E207+F207+G207+H207+I207+J207+K207+L207+M207+N207+O207,0)</f>
        <v>0</v>
      </c>
      <c r="Q207" s="22"/>
      <c r="R207" s="30"/>
      <c r="S207" s="22"/>
    </row>
    <row r="208" spans="2:19" ht="17.45" customHeight="1">
      <c r="B208" s="29" t="s">
        <v>344</v>
      </c>
      <c r="C208" s="25" t="s">
        <v>345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>IFERROR(D208+E208+F208+G208+H208+I208+J208+K208+L208+M208+N208+O208,0)</f>
        <v>0</v>
      </c>
      <c r="Q208" s="22"/>
      <c r="R208" s="30"/>
      <c r="S208" s="22"/>
    </row>
    <row r="209" spans="2:19" ht="17.45" customHeight="1">
      <c r="B209" s="29" t="s">
        <v>346</v>
      </c>
      <c r="C209" s="25" t="s">
        <v>347</v>
      </c>
      <c r="D209" s="57">
        <v>5.43</v>
      </c>
      <c r="E209" s="57">
        <v>0</v>
      </c>
      <c r="F209" s="57">
        <v>5.43</v>
      </c>
      <c r="G209" s="57">
        <v>0</v>
      </c>
      <c r="H209" s="57">
        <v>0</v>
      </c>
      <c r="I209" s="57">
        <v>0</v>
      </c>
      <c r="J209" s="57">
        <v>700.65</v>
      </c>
      <c r="K209" s="57">
        <v>10985.2</v>
      </c>
      <c r="L209" s="57">
        <v>0</v>
      </c>
      <c r="M209" s="57">
        <v>0</v>
      </c>
      <c r="N209" s="57">
        <v>0</v>
      </c>
      <c r="O209" s="57">
        <v>0</v>
      </c>
      <c r="P209" s="57">
        <f>IFERROR(D209+E209+F209+G209+H209+I209+J209+K209+L209+M209+N209+O209,0)</f>
        <v>11696.710000000001</v>
      </c>
      <c r="Q209" s="22"/>
      <c r="R209" s="30"/>
      <c r="S209" s="22"/>
    </row>
    <row r="210" spans="2:19" ht="17.45" customHeight="1">
      <c r="B210" s="29"/>
      <c r="C210" s="25" t="s">
        <v>348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>IFERROR(D210+E210+F210+G210+H210+I210+J210+K210+L210+M210+N210+O210,0)</f>
        <v>0</v>
      </c>
      <c r="Q210" s="22"/>
      <c r="R210" s="30"/>
      <c r="S210" s="22"/>
    </row>
    <row r="211" spans="2:19" ht="17.45" customHeight="1">
      <c r="B211" s="29" t="s">
        <v>349</v>
      </c>
      <c r="C211" s="25" t="s">
        <v>350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>IFERROR(D211+E211+F211+G211+H211+I211+J211+K211+L211+M211+N211+O211,0)</f>
        <v>0</v>
      </c>
      <c r="Q211" s="22"/>
      <c r="R211" s="30"/>
      <c r="S211" s="22"/>
    </row>
    <row r="212" spans="2:19" ht="17.45" customHeight="1">
      <c r="B212" s="29"/>
      <c r="C212" s="25" t="s">
        <v>351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>IFERROR(D212+E212+F212+G212+H212+I212+J212+K212+L212+M212+N212+O212,0)</f>
        <v>0</v>
      </c>
      <c r="Q212" s="22"/>
      <c r="R212" s="30"/>
      <c r="S212" s="22"/>
    </row>
    <row r="213" spans="2:19" ht="17.45" customHeight="1">
      <c r="B213" s="29" t="s">
        <v>352</v>
      </c>
      <c r="C213" s="25" t="s">
        <v>353</v>
      </c>
      <c r="D213" s="57">
        <v>-0.01</v>
      </c>
      <c r="E213" s="57">
        <v>0</v>
      </c>
      <c r="F213" s="57">
        <v>-0.01</v>
      </c>
      <c r="G213" s="57">
        <v>0</v>
      </c>
      <c r="H213" s="57">
        <v>0</v>
      </c>
      <c r="I213" s="57">
        <v>0</v>
      </c>
      <c r="J213" s="57">
        <v>-48.13</v>
      </c>
      <c r="K213" s="57">
        <v>-10.1</v>
      </c>
      <c r="L213" s="57">
        <v>0</v>
      </c>
      <c r="M213" s="57">
        <v>0</v>
      </c>
      <c r="N213" s="57">
        <v>0</v>
      </c>
      <c r="O213" s="57">
        <v>0</v>
      </c>
      <c r="P213" s="57">
        <f>IFERROR(D213+E213+F213+G213+H213+I213+J213+K213+L213+M213+N213+O213,0)</f>
        <v>-58.250000000000007</v>
      </c>
      <c r="Q213" s="22"/>
      <c r="R213" s="30"/>
      <c r="S213" s="22"/>
    </row>
    <row r="214" spans="2:19" ht="17.45" customHeight="1">
      <c r="B214" s="46" t="s">
        <v>354</v>
      </c>
      <c r="C214" s="45" t="s">
        <v>331</v>
      </c>
      <c r="D214" s="60">
        <f t="shared" ref="D214:O214" si="28">SUM(D201:D213)</f>
        <v>5.42</v>
      </c>
      <c r="E214" s="60">
        <f t="shared" si="28"/>
        <v>0</v>
      </c>
      <c r="F214" s="60">
        <f t="shared" si="28"/>
        <v>5.42</v>
      </c>
      <c r="G214" s="60">
        <f t="shared" si="28"/>
        <v>0</v>
      </c>
      <c r="H214" s="60">
        <f t="shared" si="28"/>
        <v>0</v>
      </c>
      <c r="I214" s="60">
        <f t="shared" si="28"/>
        <v>0</v>
      </c>
      <c r="J214" s="60">
        <f t="shared" si="28"/>
        <v>652.52</v>
      </c>
      <c r="K214" s="60">
        <f t="shared" si="28"/>
        <v>10975.1</v>
      </c>
      <c r="L214" s="60">
        <f t="shared" si="28"/>
        <v>0</v>
      </c>
      <c r="M214" s="60">
        <f t="shared" si="28"/>
        <v>0</v>
      </c>
      <c r="N214" s="60">
        <f t="shared" si="28"/>
        <v>0</v>
      </c>
      <c r="O214" s="60">
        <f t="shared" si="28"/>
        <v>0</v>
      </c>
      <c r="P214" s="60">
        <f>IFERROR(SUM(P201:P213),0)</f>
        <v>11638.460000000001</v>
      </c>
      <c r="Q214" s="22"/>
      <c r="R214" s="30"/>
      <c r="S214" s="22"/>
    </row>
    <row r="215" spans="2:19" ht="17.45" customHeight="1">
      <c r="B215" s="29"/>
      <c r="C215" s="27" t="s">
        <v>355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IFERROR(D215+E215+F215+G215+H215+I215+J215+K215+L215+M215+N215+O215,0)</f>
        <v>0</v>
      </c>
      <c r="Q215" s="22"/>
      <c r="R215" s="30"/>
      <c r="S215" s="22"/>
    </row>
    <row r="216" spans="2:19" ht="17.45" customHeight="1">
      <c r="B216" s="29"/>
      <c r="C216" s="28" t="s">
        <v>356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IFERROR(D216+E216+F216+G216+H216+I216+J216+K216+L216+M216+N216+O216,0)</f>
        <v>0</v>
      </c>
      <c r="Q216" s="22"/>
      <c r="R216" s="30"/>
      <c r="S216" s="22"/>
    </row>
    <row r="217" spans="2:19" ht="17.45" customHeight="1">
      <c r="B217" s="29" t="s">
        <v>357</v>
      </c>
      <c r="C217" s="25" t="s">
        <v>358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IFERROR(D217+E217+F217+G217+H217+I217+J217+K217+L217+M217+N217+O217,0)</f>
        <v>0</v>
      </c>
      <c r="Q217" s="22"/>
      <c r="R217" s="30"/>
      <c r="S217" s="22"/>
    </row>
    <row r="218" spans="2:19" ht="17.45" customHeight="1">
      <c r="B218" s="29" t="s">
        <v>359</v>
      </c>
      <c r="C218" s="25" t="s">
        <v>360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IFERROR(D218+E218+F218+G218+H218+I218+J218+K218+L218+M218+N218+O218,0)</f>
        <v>0</v>
      </c>
      <c r="Q218" s="22"/>
      <c r="R218" s="30"/>
      <c r="S218" s="22"/>
    </row>
    <row r="219" spans="2:19" ht="17.45" customHeight="1">
      <c r="B219" s="46" t="s">
        <v>361</v>
      </c>
      <c r="C219" s="45" t="s">
        <v>356</v>
      </c>
      <c r="D219" s="60">
        <f t="shared" ref="D219:O219" si="29">SUM(D217:D218)</f>
        <v>0</v>
      </c>
      <c r="E219" s="60">
        <f t="shared" si="29"/>
        <v>0</v>
      </c>
      <c r="F219" s="60">
        <f t="shared" si="29"/>
        <v>0</v>
      </c>
      <c r="G219" s="60">
        <f t="shared" si="29"/>
        <v>0</v>
      </c>
      <c r="H219" s="60">
        <f t="shared" si="29"/>
        <v>0</v>
      </c>
      <c r="I219" s="60">
        <f t="shared" si="29"/>
        <v>0</v>
      </c>
      <c r="J219" s="60">
        <f t="shared" si="29"/>
        <v>0</v>
      </c>
      <c r="K219" s="60">
        <f t="shared" si="29"/>
        <v>0</v>
      </c>
      <c r="L219" s="60">
        <f t="shared" si="29"/>
        <v>0</v>
      </c>
      <c r="M219" s="60">
        <f t="shared" si="29"/>
        <v>0</v>
      </c>
      <c r="N219" s="60">
        <f t="shared" si="29"/>
        <v>0</v>
      </c>
      <c r="O219" s="60">
        <f t="shared" si="29"/>
        <v>0</v>
      </c>
      <c r="P219" s="60">
        <f>IFERROR(SUM(P217:P218),0)</f>
        <v>0</v>
      </c>
      <c r="Q219" s="22"/>
      <c r="R219" s="30"/>
      <c r="S219" s="22"/>
    </row>
    <row r="220" spans="2:19" ht="17.45" customHeight="1">
      <c r="B220" s="29"/>
      <c r="C220" s="27" t="s">
        <v>362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IFERROR(D220+E220+F220+G220+H220+I220+J220+K220+L220+M220+N220+O220,0)</f>
        <v>0</v>
      </c>
      <c r="Q220" s="22"/>
      <c r="R220" s="30"/>
      <c r="S220" s="22"/>
    </row>
    <row r="221" spans="2:19" ht="17.45" customHeight="1">
      <c r="B221" s="29" t="s">
        <v>363</v>
      </c>
      <c r="C221" s="25" t="s">
        <v>364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IFERROR(D221+E221+F221+G221+H221+I221+J221+K221+L221+M221+N221+O221,0)</f>
        <v>0</v>
      </c>
      <c r="Q221" s="22"/>
      <c r="R221" s="30"/>
      <c r="S221" s="22"/>
    </row>
    <row r="222" spans="2:19" ht="17.45" customHeight="1">
      <c r="B222" s="29" t="s">
        <v>365</v>
      </c>
      <c r="C222" s="25" t="s">
        <v>366</v>
      </c>
      <c r="D222" s="57">
        <v>814.13</v>
      </c>
      <c r="E222" s="57">
        <v>0</v>
      </c>
      <c r="F222" s="57">
        <v>814.13</v>
      </c>
      <c r="G222" s="57">
        <v>0</v>
      </c>
      <c r="H222" s="57">
        <v>0</v>
      </c>
      <c r="I222" s="57">
        <v>0</v>
      </c>
      <c r="J222" s="57">
        <v>-15297.86</v>
      </c>
      <c r="K222" s="57">
        <v>-6272.08</v>
      </c>
      <c r="L222" s="57">
        <v>0</v>
      </c>
      <c r="M222" s="57">
        <v>0</v>
      </c>
      <c r="N222" s="57">
        <v>0</v>
      </c>
      <c r="O222" s="57">
        <v>0</v>
      </c>
      <c r="P222" s="57">
        <f>IFERROR(D222+E222+F222+G222+H222+I222+J222+K222+L222+M222+N222+O222,0)</f>
        <v>-19941.68</v>
      </c>
      <c r="Q222" s="22"/>
      <c r="R222" s="30"/>
      <c r="S222" s="22"/>
    </row>
    <row r="223" spans="2:19" ht="17.45" customHeight="1">
      <c r="B223" s="46" t="s">
        <v>367</v>
      </c>
      <c r="C223" s="45" t="s">
        <v>362</v>
      </c>
      <c r="D223" s="60">
        <f t="shared" ref="D223:O223" si="30">SUM(D221:D222)</f>
        <v>814.13</v>
      </c>
      <c r="E223" s="60">
        <f t="shared" si="30"/>
        <v>0</v>
      </c>
      <c r="F223" s="60">
        <f t="shared" si="30"/>
        <v>814.13</v>
      </c>
      <c r="G223" s="60">
        <f t="shared" si="30"/>
        <v>0</v>
      </c>
      <c r="H223" s="60">
        <f t="shared" si="30"/>
        <v>0</v>
      </c>
      <c r="I223" s="60">
        <f t="shared" si="30"/>
        <v>0</v>
      </c>
      <c r="J223" s="60">
        <f t="shared" si="30"/>
        <v>-15297.86</v>
      </c>
      <c r="K223" s="60">
        <f t="shared" si="30"/>
        <v>-6272.08</v>
      </c>
      <c r="L223" s="60">
        <f t="shared" si="30"/>
        <v>0</v>
      </c>
      <c r="M223" s="60">
        <f t="shared" si="30"/>
        <v>0</v>
      </c>
      <c r="N223" s="60">
        <f t="shared" si="30"/>
        <v>0</v>
      </c>
      <c r="O223" s="60">
        <f t="shared" si="30"/>
        <v>0</v>
      </c>
      <c r="P223" s="60">
        <f>IFERROR(SUM(P221:P222),0)</f>
        <v>-19941.68</v>
      </c>
      <c r="Q223" s="22"/>
      <c r="R223" s="30"/>
      <c r="S223" s="22"/>
    </row>
    <row r="224" spans="2:19" ht="17.45" customHeight="1">
      <c r="B224" s="29" t="s">
        <v>368</v>
      </c>
      <c r="C224" s="25" t="s">
        <v>369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IFERROR(D224+E224+F224+G224+H224+I224+J224+K224+L224+M224+N224+O224,0)</f>
        <v>0</v>
      </c>
      <c r="Q224" s="22"/>
      <c r="R224" s="30"/>
      <c r="S224" s="22"/>
    </row>
    <row r="225" spans="2:19" ht="17.45" customHeight="1">
      <c r="B225" s="29"/>
      <c r="C225" s="27" t="s">
        <v>370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IFERROR(D225+E225+F225+G225+H225+I225+J225+K225+L225+M225+N225+O225,0)</f>
        <v>0</v>
      </c>
      <c r="Q225" s="22"/>
      <c r="R225" s="30"/>
      <c r="S225" s="22"/>
    </row>
    <row r="226" spans="2:19" ht="17.45" customHeight="1">
      <c r="B226" s="29" t="s">
        <v>371</v>
      </c>
      <c r="C226" s="25" t="s">
        <v>372</v>
      </c>
      <c r="D226" s="57">
        <v>200.53</v>
      </c>
      <c r="E226" s="57">
        <v>0</v>
      </c>
      <c r="F226" s="57">
        <v>200.53</v>
      </c>
      <c r="G226" s="57">
        <v>0</v>
      </c>
      <c r="H226" s="57">
        <v>0</v>
      </c>
      <c r="I226" s="57">
        <v>0</v>
      </c>
      <c r="J226" s="57">
        <v>0.21</v>
      </c>
      <c r="K226" s="57">
        <v>0.21</v>
      </c>
      <c r="L226" s="57">
        <v>0</v>
      </c>
      <c r="M226" s="57">
        <v>0</v>
      </c>
      <c r="N226" s="57">
        <v>0</v>
      </c>
      <c r="O226" s="57">
        <v>0</v>
      </c>
      <c r="P226" s="57">
        <f>IFERROR(D226+E226+F226+G226+H226+I226+J226+K226+L226+M226+N226+O226,0)</f>
        <v>401.47999999999996</v>
      </c>
      <c r="Q226" s="22"/>
      <c r="R226" s="30"/>
      <c r="S226" s="22"/>
    </row>
    <row r="227" spans="2:19" ht="17.45" customHeight="1">
      <c r="B227" s="29" t="s">
        <v>373</v>
      </c>
      <c r="C227" s="25" t="s">
        <v>374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IFERROR(D227+E227+F227+G227+H227+I227+J227+K227+L227+M227+N227+O227,0)</f>
        <v>0</v>
      </c>
      <c r="Q227" s="22"/>
      <c r="R227" s="30"/>
      <c r="S227" s="22"/>
    </row>
    <row r="228" spans="2:19" ht="17.45" customHeight="1">
      <c r="B228" s="29"/>
      <c r="C228" s="25" t="s">
        <v>375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376</v>
      </c>
      <c r="C229" s="45" t="s">
        <v>370</v>
      </c>
      <c r="D229" s="60">
        <f t="shared" ref="D229:O229" si="31">SUM(D226:D228)</f>
        <v>200.53</v>
      </c>
      <c r="E229" s="60">
        <f t="shared" si="31"/>
        <v>0</v>
      </c>
      <c r="F229" s="60">
        <f t="shared" si="31"/>
        <v>200.53</v>
      </c>
      <c r="G229" s="60">
        <f t="shared" si="31"/>
        <v>0</v>
      </c>
      <c r="H229" s="60">
        <f t="shared" si="31"/>
        <v>0</v>
      </c>
      <c r="I229" s="60">
        <f t="shared" si="31"/>
        <v>0</v>
      </c>
      <c r="J229" s="60">
        <f t="shared" si="31"/>
        <v>0.21</v>
      </c>
      <c r="K229" s="60">
        <f t="shared" si="31"/>
        <v>0.21</v>
      </c>
      <c r="L229" s="60">
        <f t="shared" si="31"/>
        <v>0</v>
      </c>
      <c r="M229" s="60">
        <f t="shared" si="31"/>
        <v>0</v>
      </c>
      <c r="N229" s="60">
        <f t="shared" si="31"/>
        <v>0</v>
      </c>
      <c r="O229" s="60">
        <f t="shared" si="31"/>
        <v>0</v>
      </c>
      <c r="P229" s="60">
        <f>IFERROR(SUM(P226:P228),0)</f>
        <v>401.47999999999996</v>
      </c>
      <c r="Q229" s="22"/>
      <c r="R229" s="30"/>
      <c r="S229" s="22"/>
    </row>
    <row r="230" spans="2:19" ht="17.45" customHeight="1">
      <c r="B230" s="29"/>
      <c r="C230" s="27" t="s">
        <v>377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IFERROR(D230+E230+F230+G230+H230+I230+J230+K230+L230+M230+N230+O230,0)</f>
        <v>0</v>
      </c>
      <c r="Q230" s="22"/>
      <c r="R230" s="30"/>
      <c r="S230" s="22"/>
    </row>
    <row r="231" spans="2:19" ht="17.45" customHeight="1">
      <c r="B231" s="29" t="s">
        <v>378</v>
      </c>
      <c r="C231" s="25" t="s">
        <v>379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IFERROR(D231+E231+F231+G231+H231+I231+J231+K231+L231+M231+N231+O231,0)</f>
        <v>0</v>
      </c>
      <c r="Q231" s="22"/>
      <c r="R231" s="30"/>
      <c r="S231" s="22"/>
    </row>
    <row r="232" spans="2:19" ht="17.45" customHeight="1">
      <c r="B232" s="29" t="s">
        <v>380</v>
      </c>
      <c r="C232" s="25" t="s">
        <v>381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IFERROR(D232+E232+F232+G232+H232+I232+J232+K232+L232+M232+N232+O232,0)</f>
        <v>0</v>
      </c>
      <c r="Q232" s="22"/>
      <c r="R232" s="30"/>
      <c r="S232" s="22"/>
    </row>
    <row r="233" spans="2:19" ht="17.45" customHeight="1">
      <c r="B233" s="46" t="s">
        <v>382</v>
      </c>
      <c r="C233" s="45" t="s">
        <v>377</v>
      </c>
      <c r="D233" s="60">
        <f>D232+D231</f>
        <v>0</v>
      </c>
      <c r="E233" s="60">
        <f t="shared" ref="E233:P233" si="32">E232+E231</f>
        <v>0</v>
      </c>
      <c r="F233" s="60">
        <f t="shared" si="32"/>
        <v>0</v>
      </c>
      <c r="G233" s="60">
        <f t="shared" si="32"/>
        <v>0</v>
      </c>
      <c r="H233" s="60">
        <f t="shared" si="32"/>
        <v>0</v>
      </c>
      <c r="I233" s="60">
        <f t="shared" si="32"/>
        <v>0</v>
      </c>
      <c r="J233" s="60">
        <f t="shared" si="32"/>
        <v>0</v>
      </c>
      <c r="K233" s="60">
        <f t="shared" si="32"/>
        <v>0</v>
      </c>
      <c r="L233" s="60">
        <f t="shared" si="32"/>
        <v>0</v>
      </c>
      <c r="M233" s="60">
        <f t="shared" si="32"/>
        <v>0</v>
      </c>
      <c r="N233" s="60">
        <f t="shared" si="32"/>
        <v>0</v>
      </c>
      <c r="O233" s="60">
        <f t="shared" si="32"/>
        <v>0</v>
      </c>
      <c r="P233" s="60">
        <f>IFERROR(P232+P231,0)</f>
        <v>0</v>
      </c>
      <c r="Q233" s="22"/>
      <c r="R233" s="30"/>
      <c r="S233" s="22"/>
    </row>
    <row r="234" spans="2:19" ht="17.45" customHeight="1">
      <c r="B234" s="29" t="s">
        <v>383</v>
      </c>
      <c r="C234" s="25" t="s">
        <v>384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>IFERROR(D234+E234+F234+G234+H234+I234+J234+K234+L234+M234+N234+O234,0)</f>
        <v>0</v>
      </c>
      <c r="Q234" s="22"/>
      <c r="R234" s="30"/>
      <c r="S234" s="22"/>
    </row>
    <row r="235" spans="2:19" ht="17.45" customHeight="1">
      <c r="B235" s="29" t="s">
        <v>385</v>
      </c>
      <c r="C235" s="25" t="s">
        <v>386</v>
      </c>
      <c r="D235" s="57">
        <v>318.19</v>
      </c>
      <c r="E235" s="57">
        <v>0</v>
      </c>
      <c r="F235" s="57">
        <v>318.19</v>
      </c>
      <c r="G235" s="57">
        <v>0</v>
      </c>
      <c r="H235" s="57">
        <v>0</v>
      </c>
      <c r="I235" s="57">
        <v>0</v>
      </c>
      <c r="J235" s="57">
        <v>199.7</v>
      </c>
      <c r="K235" s="57">
        <v>266.31</v>
      </c>
      <c r="L235" s="57">
        <v>0</v>
      </c>
      <c r="M235" s="57">
        <v>0</v>
      </c>
      <c r="N235" s="57">
        <v>0</v>
      </c>
      <c r="O235" s="57">
        <v>0</v>
      </c>
      <c r="P235" s="57">
        <f>IFERROR(D235+E235+F235+G235+H235+I235+J235+K235+L235+M235+N235+O235,0)</f>
        <v>1102.3899999999999</v>
      </c>
      <c r="Q235" s="22"/>
      <c r="R235" s="30"/>
      <c r="S235" s="22"/>
    </row>
    <row r="236" spans="2:19" ht="17.45" customHeight="1">
      <c r="B236" s="29" t="s">
        <v>387</v>
      </c>
      <c r="C236" s="25" t="s">
        <v>388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>IFERROR(D236+E236+F236+G236+H236+I236+J236+K236+L236+M236+N236+O236,0)</f>
        <v>0</v>
      </c>
      <c r="Q236" s="22"/>
      <c r="R236" s="30"/>
      <c r="S236" s="22"/>
    </row>
    <row r="237" spans="2:19" ht="17.45" customHeight="1">
      <c r="B237" s="29" t="s">
        <v>389</v>
      </c>
      <c r="C237" s="25" t="s">
        <v>390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-14.16</v>
      </c>
      <c r="L237" s="57">
        <v>0</v>
      </c>
      <c r="M237" s="57">
        <v>0</v>
      </c>
      <c r="N237" s="57">
        <v>0</v>
      </c>
      <c r="O237" s="57">
        <v>0</v>
      </c>
      <c r="P237" s="57">
        <f>IFERROR(D237+E237+F237+G237+H237+I237+J237+K237+L237+M237+N237+O237,0)</f>
        <v>-14.16</v>
      </c>
      <c r="Q237" s="22"/>
      <c r="R237" s="30"/>
      <c r="S237" s="22"/>
    </row>
    <row r="238" spans="2:19" ht="17.45" customHeight="1">
      <c r="B238" s="29" t="s">
        <v>391</v>
      </c>
      <c r="C238" s="25" t="s">
        <v>392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>IFERROR(D238+E238+F238+G238+H238+I238+J238+K238+L238+M238+N238+O238,0)</f>
        <v>0</v>
      </c>
      <c r="Q238" s="22"/>
      <c r="R238" s="30"/>
      <c r="S238" s="22"/>
    </row>
    <row r="239" spans="2:19" ht="17.45" customHeight="1">
      <c r="B239" s="29"/>
      <c r="C239" s="25" t="s">
        <v>393</v>
      </c>
      <c r="D239" s="57" t="s">
        <v>432</v>
      </c>
      <c r="E239" s="57">
        <v>0</v>
      </c>
      <c r="F239" s="57" t="s">
        <v>432</v>
      </c>
      <c r="G239" s="57">
        <v>0</v>
      </c>
      <c r="H239" s="57">
        <v>0</v>
      </c>
      <c r="I239" s="57">
        <v>0</v>
      </c>
      <c r="J239" s="57" t="s">
        <v>432</v>
      </c>
      <c r="K239" s="57" t="s">
        <v>432</v>
      </c>
      <c r="L239" s="57">
        <v>0</v>
      </c>
      <c r="M239" s="57">
        <v>0</v>
      </c>
      <c r="N239" s="57">
        <v>0</v>
      </c>
      <c r="O239" s="57">
        <v>0</v>
      </c>
      <c r="P239" s="57">
        <f>IFERROR(D239+E239+F239+G239+H239+I239+J239+K239+L239+M239+N239+O239,0)</f>
        <v>0</v>
      </c>
      <c r="Q239" s="22"/>
      <c r="R239" s="30"/>
      <c r="S239" s="22"/>
    </row>
    <row r="240" spans="2:19" ht="17.45" customHeight="1">
      <c r="B240" s="29" t="s">
        <v>394</v>
      </c>
      <c r="C240" s="25" t="s">
        <v>350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>IFERROR(D240+E240+F240+G240+H240+I240+J240+K240+L240+M240+N240+O240,0)</f>
        <v>0</v>
      </c>
      <c r="Q240" s="22"/>
      <c r="R240" s="30"/>
      <c r="S240" s="22"/>
    </row>
    <row r="241" spans="2:19" ht="17.45" customHeight="1">
      <c r="B241" s="29"/>
      <c r="C241" s="25" t="s">
        <v>395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396</v>
      </c>
      <c r="C242" s="25" t="s">
        <v>353</v>
      </c>
      <c r="D242" s="57">
        <v>-0.01</v>
      </c>
      <c r="E242" s="57">
        <v>0</v>
      </c>
      <c r="F242" s="57">
        <v>-0.01</v>
      </c>
      <c r="G242" s="57">
        <v>0</v>
      </c>
      <c r="H242" s="57">
        <v>0</v>
      </c>
      <c r="I242" s="57">
        <v>0</v>
      </c>
      <c r="J242" s="57">
        <v>-48.13</v>
      </c>
      <c r="K242" s="57">
        <v>-10.1</v>
      </c>
      <c r="L242" s="57">
        <v>0</v>
      </c>
      <c r="M242" s="57">
        <v>0</v>
      </c>
      <c r="N242" s="57">
        <v>0</v>
      </c>
      <c r="O242" s="57">
        <v>0</v>
      </c>
      <c r="P242" s="57">
        <f>IFERROR(D242+E242+F242+G242+H242+I242+J242+K242+L242+M242+N242+O242,0)</f>
        <v>-58.250000000000007</v>
      </c>
      <c r="Q242" s="22"/>
      <c r="R242" s="30"/>
      <c r="S242" s="22"/>
    </row>
    <row r="243" spans="2:19" ht="17.45" customHeight="1">
      <c r="B243" s="46" t="s">
        <v>397</v>
      </c>
      <c r="C243" s="45" t="s">
        <v>355</v>
      </c>
      <c r="D243" s="60">
        <f t="shared" ref="D243:O243" si="33">D219+D223+D224+D229+D234+D235+D242+D237</f>
        <v>1332.84</v>
      </c>
      <c r="E243" s="60">
        <f t="shared" si="33"/>
        <v>0</v>
      </c>
      <c r="F243" s="60">
        <f t="shared" si="33"/>
        <v>1332.84</v>
      </c>
      <c r="G243" s="60">
        <f t="shared" si="33"/>
        <v>0</v>
      </c>
      <c r="H243" s="60">
        <f t="shared" si="33"/>
        <v>0</v>
      </c>
      <c r="I243" s="60">
        <f t="shared" si="33"/>
        <v>0</v>
      </c>
      <c r="J243" s="60">
        <f t="shared" si="33"/>
        <v>-15146.08</v>
      </c>
      <c r="K243" s="60">
        <f t="shared" si="33"/>
        <v>-6029.82</v>
      </c>
      <c r="L243" s="60">
        <f t="shared" si="33"/>
        <v>0</v>
      </c>
      <c r="M243" s="60">
        <f t="shared" si="33"/>
        <v>0</v>
      </c>
      <c r="N243" s="60">
        <f t="shared" si="33"/>
        <v>0</v>
      </c>
      <c r="O243" s="60">
        <f t="shared" si="33"/>
        <v>0</v>
      </c>
      <c r="P243" s="60">
        <f>IFERROR(P219+P223+P224+P229+P234+P235+P242+P237,0)</f>
        <v>-18510.22</v>
      </c>
      <c r="Q243" s="22"/>
      <c r="R243" s="30"/>
      <c r="S243" s="22"/>
    </row>
    <row r="244" spans="2:19" ht="17.45" customHeight="1">
      <c r="B244" s="29" t="s">
        <v>398</v>
      </c>
      <c r="C244" s="25" t="s">
        <v>399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IFERROR(D244+E244+F244+G244+H244+I244+J244+K244+L244+M244+N244+O244,0)</f>
        <v>0</v>
      </c>
      <c r="Q244" s="22"/>
      <c r="R244" s="30"/>
      <c r="S244" s="22"/>
    </row>
    <row r="245" spans="2:19" ht="17.45" customHeight="1">
      <c r="B245" s="29" t="s">
        <v>400</v>
      </c>
      <c r="C245" s="25" t="s">
        <v>401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IFERROR(D245+E245+F245+G245+H245+I245+J245+K245+L245+M245+N245+O245,0)</f>
        <v>0</v>
      </c>
      <c r="Q245" s="22"/>
      <c r="R245" s="30"/>
      <c r="S245" s="22"/>
    </row>
    <row r="246" spans="2:19" ht="17.45" customHeight="1">
      <c r="B246" s="29" t="s">
        <v>402</v>
      </c>
      <c r="C246" s="25" t="s">
        <v>403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IFERROR(D246+E246+F246+G246+H246+I246+J246+K246+L246+M246+N246+O246,0)</f>
        <v>0</v>
      </c>
      <c r="Q246" s="22"/>
      <c r="R246" s="30"/>
      <c r="S246" s="22"/>
    </row>
    <row r="247" spans="2:19" ht="17.45" customHeight="1">
      <c r="B247" s="29" t="s">
        <v>404</v>
      </c>
      <c r="C247" s="25" t="s">
        <v>405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IFERROR(D247+E247+F247+G247+H247+I247+J247+K247+L247+M247+N247+O247,0)</f>
        <v>0</v>
      </c>
      <c r="Q247" s="22"/>
      <c r="R247" s="30"/>
      <c r="S247" s="22"/>
    </row>
    <row r="248" spans="2:19" ht="17.45" customHeight="1">
      <c r="B248" s="46" t="s">
        <v>406</v>
      </c>
      <c r="C248" s="45" t="s">
        <v>330</v>
      </c>
      <c r="D248" s="60">
        <f t="shared" ref="D248:O248" si="34">D243+D214</f>
        <v>1338.26</v>
      </c>
      <c r="E248" s="60">
        <f t="shared" si="34"/>
        <v>0</v>
      </c>
      <c r="F248" s="60">
        <f t="shared" si="34"/>
        <v>1338.26</v>
      </c>
      <c r="G248" s="60">
        <f t="shared" si="34"/>
        <v>0</v>
      </c>
      <c r="H248" s="60">
        <f t="shared" si="34"/>
        <v>0</v>
      </c>
      <c r="I248" s="60">
        <f t="shared" si="34"/>
        <v>0</v>
      </c>
      <c r="J248" s="60">
        <f t="shared" si="34"/>
        <v>-14493.56</v>
      </c>
      <c r="K248" s="60">
        <f t="shared" si="34"/>
        <v>4945.2800000000007</v>
      </c>
      <c r="L248" s="60">
        <f t="shared" si="34"/>
        <v>0</v>
      </c>
      <c r="M248" s="60">
        <f t="shared" si="34"/>
        <v>0</v>
      </c>
      <c r="N248" s="60">
        <f t="shared" si="34"/>
        <v>0</v>
      </c>
      <c r="O248" s="60">
        <f t="shared" si="34"/>
        <v>0</v>
      </c>
      <c r="P248" s="60">
        <f>IFERROR(P243+P214,0)</f>
        <v>-6871.76</v>
      </c>
      <c r="Q248" s="22"/>
      <c r="R248" s="30"/>
      <c r="S248" s="22"/>
    </row>
    <row r="249" spans="2:19" ht="17.45" customHeight="1">
      <c r="B249" s="29" t="s">
        <v>407</v>
      </c>
      <c r="C249" s="25" t="s">
        <v>408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IFERROR(D249+E249+F249+G249+H249+I249+J249+K249+L249+M249+N249+O249,0)</f>
        <v>0</v>
      </c>
      <c r="Q249" s="22"/>
      <c r="R249" s="30"/>
      <c r="S249" s="22"/>
    </row>
    <row r="250" spans="2:19" ht="17.45" customHeight="1">
      <c r="B250" s="29" t="s">
        <v>409</v>
      </c>
      <c r="C250" s="25" t="s">
        <v>410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IFERROR(D250+E250+F250+G250+H250+I250+J250+K250+L250+M250+N250+O250,0)</f>
        <v>0</v>
      </c>
      <c r="Q250" s="22"/>
      <c r="R250" s="30"/>
      <c r="S250" s="22"/>
    </row>
    <row r="251" spans="2:19" ht="17.45" customHeight="1">
      <c r="B251" s="29"/>
      <c r="C251" s="25" t="s">
        <v>411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408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IFERROR(D252+E252+F252+G252+H252+I252+J252+K252+L252+M252+N252+O252,0)</f>
        <v>0</v>
      </c>
      <c r="Q252" s="22"/>
      <c r="R252" s="30"/>
      <c r="S252" s="22"/>
    </row>
    <row r="253" spans="2:19" ht="24.95" customHeight="1">
      <c r="B253" s="68"/>
      <c r="C253" s="68" t="s">
        <v>412</v>
      </c>
      <c r="D253" s="68">
        <f t="shared" ref="D253:O253" si="35">D16-D36-D138-D198-D248</f>
        <v>1437849.24</v>
      </c>
      <c r="E253" s="68">
        <f t="shared" si="35"/>
        <v>0</v>
      </c>
      <c r="F253" s="68">
        <f t="shared" si="35"/>
        <v>1437849.24</v>
      </c>
      <c r="G253" s="68">
        <f t="shared" si="35"/>
        <v>0</v>
      </c>
      <c r="H253" s="68">
        <f t="shared" si="35"/>
        <v>0</v>
      </c>
      <c r="I253" s="68">
        <f t="shared" si="35"/>
        <v>0</v>
      </c>
      <c r="J253" s="68">
        <f t="shared" si="35"/>
        <v>1056970.7</v>
      </c>
      <c r="K253" s="68">
        <f>IFERROR(K16-K36-K138-K198-K248,0)</f>
        <v>-106218.15</v>
      </c>
      <c r="L253" s="68">
        <f>IFERROR(L16-L36-L138-L198-L248,0)</f>
        <v>0</v>
      </c>
      <c r="M253" s="68">
        <f>IFERROR(M16-M36-M138-M198-M248,0)</f>
        <v>0</v>
      </c>
      <c r="N253" s="68">
        <f>IFERROR(N16-N36-N138-N198-N248,0)</f>
        <v>0</v>
      </c>
      <c r="O253" s="68">
        <f>IFERROR(O16-O36-O138-O198-O248,0)</f>
        <v>0</v>
      </c>
      <c r="P253" s="68">
        <f>IFERROR(P16-P36-P138-P198-P248,0)</f>
        <v>3826451.0299999993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903" priority="493" operator="containsText" text="NOT FOUND">
      <formula>NOT(ISERROR(SEARCH("NOT FOUND",D5)))</formula>
    </cfRule>
  </conditionalFormatting>
  <conditionalFormatting sqref="D15:P15">
    <cfRule type="containsText" dxfId="81" priority="41" operator="containsText" text="NOT FOUND">
      <formula>NOT(ISERROR(SEARCH("NOT FOUND",D15)))</formula>
    </cfRule>
  </conditionalFormatting>
  <conditionalFormatting sqref="D16:P16">
    <cfRule type="containsText" dxfId="80" priority="40" operator="containsText" text="NOT FOUND">
      <formula>NOT(ISERROR(SEARCH("NOT FOUND",D16)))</formula>
    </cfRule>
  </conditionalFormatting>
  <conditionalFormatting sqref="D24:P24">
    <cfRule type="containsText" dxfId="79" priority="39" operator="containsText" text="NOT FOUND">
      <formula>NOT(ISERROR(SEARCH("NOT FOUND",D24)))</formula>
    </cfRule>
  </conditionalFormatting>
  <conditionalFormatting sqref="D29:P29">
    <cfRule type="containsText" dxfId="78" priority="38" operator="containsText" text="NOT FOUND">
      <formula>NOT(ISERROR(SEARCH("NOT FOUND",D29)))</formula>
    </cfRule>
  </conditionalFormatting>
  <conditionalFormatting sqref="D34:P34">
    <cfRule type="containsText" dxfId="77" priority="37" operator="containsText" text="NOT FOUND">
      <formula>NOT(ISERROR(SEARCH("NOT FOUND",D34)))</formula>
    </cfRule>
  </conditionalFormatting>
  <conditionalFormatting sqref="D35:P35">
    <cfRule type="containsText" dxfId="76" priority="36" operator="containsText" text="NOT FOUND">
      <formula>NOT(ISERROR(SEARCH("NOT FOUND",D35)))</formula>
    </cfRule>
  </conditionalFormatting>
  <conditionalFormatting sqref="D36:P36">
    <cfRule type="containsText" dxfId="75" priority="35" operator="containsText" text="NOT FOUND">
      <formula>NOT(ISERROR(SEARCH("NOT FOUND",D36)))</formula>
    </cfRule>
  </conditionalFormatting>
  <conditionalFormatting sqref="D47:P47">
    <cfRule type="containsText" dxfId="74" priority="34" operator="containsText" text="NOT FOUND">
      <formula>NOT(ISERROR(SEARCH("NOT FOUND",D47)))</formula>
    </cfRule>
  </conditionalFormatting>
  <conditionalFormatting sqref="D52:P52">
    <cfRule type="containsText" dxfId="73" priority="33" operator="containsText" text="NOT FOUND">
      <formula>NOT(ISERROR(SEARCH("NOT FOUND",D52)))</formula>
    </cfRule>
  </conditionalFormatting>
  <conditionalFormatting sqref="D53:P53">
    <cfRule type="containsText" dxfId="72" priority="32" operator="containsText" text="NOT FOUND">
      <formula>NOT(ISERROR(SEARCH("NOT FOUND",D53)))</formula>
    </cfRule>
  </conditionalFormatting>
  <conditionalFormatting sqref="D61:P61">
    <cfRule type="containsText" dxfId="71" priority="31" operator="containsText" text="NOT FOUND">
      <formula>NOT(ISERROR(SEARCH("NOT FOUND",D61)))</formula>
    </cfRule>
  </conditionalFormatting>
  <conditionalFormatting sqref="D70:P70">
    <cfRule type="containsText" dxfId="70" priority="30" operator="containsText" text="NOT FOUND">
      <formula>NOT(ISERROR(SEARCH("NOT FOUND",D70)))</formula>
    </cfRule>
  </conditionalFormatting>
  <conditionalFormatting sqref="D80:P80">
    <cfRule type="containsText" dxfId="69" priority="29" operator="containsText" text="NOT FOUND">
      <formula>NOT(ISERROR(SEARCH("NOT FOUND",D80)))</formula>
    </cfRule>
  </conditionalFormatting>
  <conditionalFormatting sqref="D89:P89">
    <cfRule type="containsText" dxfId="68" priority="28" operator="containsText" text="NOT FOUND">
      <formula>NOT(ISERROR(SEARCH("NOT FOUND",D89)))</formula>
    </cfRule>
  </conditionalFormatting>
  <conditionalFormatting sqref="D101:P101">
    <cfRule type="containsText" dxfId="67" priority="27" operator="containsText" text="NOT FOUND">
      <formula>NOT(ISERROR(SEARCH("NOT FOUND",D101)))</formula>
    </cfRule>
  </conditionalFormatting>
  <conditionalFormatting sqref="D106:P106">
    <cfRule type="containsText" dxfId="66" priority="26" operator="containsText" text="NOT FOUND">
      <formula>NOT(ISERROR(SEARCH("NOT FOUND",D106)))</formula>
    </cfRule>
  </conditionalFormatting>
  <conditionalFormatting sqref="D111:P111">
    <cfRule type="containsText" dxfId="65" priority="25" operator="containsText" text="NOT FOUND">
      <formula>NOT(ISERROR(SEARCH("NOT FOUND",D111)))</formula>
    </cfRule>
  </conditionalFormatting>
  <conditionalFormatting sqref="D112:P112">
    <cfRule type="containsText" dxfId="64" priority="24" operator="containsText" text="NOT FOUND">
      <formula>NOT(ISERROR(SEARCH("NOT FOUND",D112)))</formula>
    </cfRule>
  </conditionalFormatting>
  <conditionalFormatting sqref="D117:P117">
    <cfRule type="containsText" dxfId="63" priority="23" operator="containsText" text="NOT FOUND">
      <formula>NOT(ISERROR(SEARCH("NOT FOUND",D117)))</formula>
    </cfRule>
  </conditionalFormatting>
  <conditionalFormatting sqref="D128:P128">
    <cfRule type="containsText" dxfId="62" priority="22" operator="containsText" text="NOT FOUND">
      <formula>NOT(ISERROR(SEARCH("NOT FOUND",D128)))</formula>
    </cfRule>
  </conditionalFormatting>
  <conditionalFormatting sqref="D132:P132">
    <cfRule type="containsText" dxfId="61" priority="21" operator="containsText" text="NOT FOUND">
      <formula>NOT(ISERROR(SEARCH("NOT FOUND",D132)))</formula>
    </cfRule>
  </conditionalFormatting>
  <conditionalFormatting sqref="D137:P137">
    <cfRule type="containsText" dxfId="60" priority="20" operator="containsText" text="NOT FOUND">
      <formula>NOT(ISERROR(SEARCH("NOT FOUND",D137)))</formula>
    </cfRule>
  </conditionalFormatting>
  <conditionalFormatting sqref="D138:P138">
    <cfRule type="containsText" dxfId="59" priority="19" operator="containsText" text="NOT FOUND">
      <formula>NOT(ISERROR(SEARCH("NOT FOUND",D138)))</formula>
    </cfRule>
  </conditionalFormatting>
  <conditionalFormatting sqref="D148:P148">
    <cfRule type="containsText" dxfId="58" priority="18" operator="containsText" text="NOT FOUND">
      <formula>NOT(ISERROR(SEARCH("NOT FOUND",D148)))</formula>
    </cfRule>
  </conditionalFormatting>
  <conditionalFormatting sqref="D154:P154">
    <cfRule type="containsText" dxfId="57" priority="17" operator="containsText" text="NOT FOUND">
      <formula>NOT(ISERROR(SEARCH("NOT FOUND",D154)))</formula>
    </cfRule>
  </conditionalFormatting>
  <conditionalFormatting sqref="D158:P158">
    <cfRule type="containsText" dxfId="56" priority="16" operator="containsText" text="NOT FOUND">
      <formula>NOT(ISERROR(SEARCH("NOT FOUND",D158)))</formula>
    </cfRule>
  </conditionalFormatting>
  <conditionalFormatting sqref="D170:P170">
    <cfRule type="containsText" dxfId="55" priority="15" operator="containsText" text="NOT FOUND">
      <formula>NOT(ISERROR(SEARCH("NOT FOUND",D170)))</formula>
    </cfRule>
  </conditionalFormatting>
  <conditionalFormatting sqref="D175:P175">
    <cfRule type="containsText" dxfId="54" priority="14" operator="containsText" text="NOT FOUND">
      <formula>NOT(ISERROR(SEARCH("NOT FOUND",D175)))</formula>
    </cfRule>
  </conditionalFormatting>
  <conditionalFormatting sqref="D182:P182">
    <cfRule type="containsText" dxfId="53" priority="13" operator="containsText" text="NOT FOUND">
      <formula>NOT(ISERROR(SEARCH("NOT FOUND",D182)))</formula>
    </cfRule>
  </conditionalFormatting>
  <conditionalFormatting sqref="D187:P187">
    <cfRule type="containsText" dxfId="52" priority="12" operator="containsText" text="NOT FOUND">
      <formula>NOT(ISERROR(SEARCH("NOT FOUND",D187)))</formula>
    </cfRule>
  </conditionalFormatting>
  <conditionalFormatting sqref="D197:P197">
    <cfRule type="containsText" dxfId="51" priority="11" operator="containsText" text="NOT FOUND">
      <formula>NOT(ISERROR(SEARCH("NOT FOUND",D197)))</formula>
    </cfRule>
  </conditionalFormatting>
  <conditionalFormatting sqref="D198:P198">
    <cfRule type="containsText" dxfId="50" priority="10" operator="containsText" text="NOT FOUND">
      <formula>NOT(ISERROR(SEARCH("NOT FOUND",D198)))</formula>
    </cfRule>
  </conditionalFormatting>
  <conditionalFormatting sqref="D206:P206">
    <cfRule type="containsText" dxfId="49" priority="9" operator="containsText" text="NOT FOUND">
      <formula>NOT(ISERROR(SEARCH("NOT FOUND",D206)))</formula>
    </cfRule>
  </conditionalFormatting>
  <conditionalFormatting sqref="D214:P214">
    <cfRule type="containsText" dxfId="48" priority="8" operator="containsText" text="NOT FOUND">
      <formula>NOT(ISERROR(SEARCH("NOT FOUND",D214)))</formula>
    </cfRule>
  </conditionalFormatting>
  <conditionalFormatting sqref="D219:P219">
    <cfRule type="containsText" dxfId="47" priority="7" operator="containsText" text="NOT FOUND">
      <formula>NOT(ISERROR(SEARCH("NOT FOUND",D219)))</formula>
    </cfRule>
  </conditionalFormatting>
  <conditionalFormatting sqref="D223:P223">
    <cfRule type="containsText" dxfId="46" priority="6" operator="containsText" text="NOT FOUND">
      <formula>NOT(ISERROR(SEARCH("NOT FOUND",D223)))</formula>
    </cfRule>
  </conditionalFormatting>
  <conditionalFormatting sqref="D229:P229">
    <cfRule type="containsText" dxfId="45" priority="5" operator="containsText" text="NOT FOUND">
      <formula>NOT(ISERROR(SEARCH("NOT FOUND",D229)))</formula>
    </cfRule>
  </conditionalFormatting>
  <conditionalFormatting sqref="D233:P233">
    <cfRule type="containsText" dxfId="44" priority="4" operator="containsText" text="NOT FOUND">
      <formula>NOT(ISERROR(SEARCH("NOT FOUND",D233)))</formula>
    </cfRule>
  </conditionalFormatting>
  <conditionalFormatting sqref="D243:P243">
    <cfRule type="containsText" dxfId="43" priority="3" operator="containsText" text="NOT FOUND">
      <formula>NOT(ISERROR(SEARCH("NOT FOUND",D243)))</formula>
    </cfRule>
  </conditionalFormatting>
  <conditionalFormatting sqref="D248:P248">
    <cfRule type="containsText" dxfId="42" priority="2" operator="containsText" text="NOT FOUND">
      <formula>NOT(ISERROR(SEARCH("NOT FOUND",D248)))</formula>
    </cfRule>
  </conditionalFormatting>
  <conditionalFormatting sqref="D253:P253">
    <cfRule type="containsText" dxfId="41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2E87-4B3E-4187-9491-DE0A03AAC531}">
  <sheetPr codeName="Sheet14"/>
  <dimension ref="A1:S344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C6" sqref="C6"/>
    </sheetView>
  </sheetViews>
  <sheetFormatPr defaultRowHeight="16.5"/>
  <cols>
    <col min="1" max="1" width="3.5703125" style="81" customWidth="1"/>
    <col min="2" max="2" width="19.85546875" style="34" customWidth="1"/>
    <col min="3" max="3" width="52" style="20" bestFit="1" customWidth="1"/>
    <col min="4" max="4" width="29.5703125" style="20" customWidth="1"/>
    <col min="5" max="5" width="22.42578125" style="20" customWidth="1"/>
    <col min="6" max="6" width="22.28515625" style="20" customWidth="1"/>
    <col min="7" max="10" width="21.7109375" style="20" customWidth="1"/>
    <col min="11" max="11" width="18.28515625" style="20" customWidth="1"/>
    <col min="12" max="12" width="21.28515625" style="20" customWidth="1"/>
    <col min="13" max="13" width="19.7109375" style="20" customWidth="1"/>
    <col min="14" max="15" width="21.7109375" style="20" customWidth="1"/>
    <col min="16" max="17" width="23.7109375" style="20" customWidth="1"/>
    <col min="18" max="18" width="31" style="20" bestFit="1" customWidth="1"/>
    <col min="19" max="19" width="13" style="20" customWidth="1"/>
    <col min="20" max="26" width="9.140625" style="20" customWidth="1"/>
    <col min="27" max="27" width="27.85546875" style="20" customWidth="1"/>
    <col min="28" max="28" width="26.28515625" style="20" bestFit="1" customWidth="1"/>
    <col min="29" max="257" width="9.140625" style="20"/>
    <col min="258" max="258" width="5.7109375" style="20" customWidth="1"/>
    <col min="259" max="259" width="19.85546875" style="20" customWidth="1"/>
    <col min="260" max="260" width="39.42578125" style="20" customWidth="1"/>
    <col min="261" max="261" width="22" style="20" customWidth="1"/>
    <col min="262" max="262" width="22.42578125" style="20" customWidth="1"/>
    <col min="263" max="263" width="22.28515625" style="20" customWidth="1"/>
    <col min="264" max="267" width="21.7109375" style="20" customWidth="1"/>
    <col min="268" max="268" width="18.28515625" style="20" customWidth="1"/>
    <col min="269" max="269" width="21.28515625" style="20" customWidth="1"/>
    <col min="270" max="270" width="19.7109375" style="20" customWidth="1"/>
    <col min="271" max="272" width="21.7109375" style="20" customWidth="1"/>
    <col min="273" max="273" width="23.7109375" style="20" customWidth="1"/>
    <col min="274" max="274" width="20.7109375" style="20" customWidth="1"/>
    <col min="275" max="275" width="13" style="20" bestFit="1" customWidth="1"/>
    <col min="276" max="513" width="9.140625" style="20"/>
    <col min="514" max="514" width="5.7109375" style="20" customWidth="1"/>
    <col min="515" max="515" width="19.85546875" style="20" customWidth="1"/>
    <col min="516" max="516" width="39.42578125" style="20" customWidth="1"/>
    <col min="517" max="517" width="22" style="20" customWidth="1"/>
    <col min="518" max="518" width="22.42578125" style="20" customWidth="1"/>
    <col min="519" max="519" width="22.28515625" style="20" customWidth="1"/>
    <col min="520" max="523" width="21.7109375" style="20" customWidth="1"/>
    <col min="524" max="524" width="18.28515625" style="20" customWidth="1"/>
    <col min="525" max="525" width="21.28515625" style="20" customWidth="1"/>
    <col min="526" max="526" width="19.7109375" style="20" customWidth="1"/>
    <col min="527" max="528" width="21.7109375" style="20" customWidth="1"/>
    <col min="529" max="529" width="23.7109375" style="20" customWidth="1"/>
    <col min="530" max="530" width="20.7109375" style="20" customWidth="1"/>
    <col min="531" max="531" width="13" style="20" bestFit="1" customWidth="1"/>
    <col min="532" max="769" width="9.140625" style="20"/>
    <col min="770" max="770" width="5.7109375" style="20" customWidth="1"/>
    <col min="771" max="771" width="19.85546875" style="20" customWidth="1"/>
    <col min="772" max="772" width="39.42578125" style="20" customWidth="1"/>
    <col min="773" max="773" width="22" style="20" customWidth="1"/>
    <col min="774" max="774" width="22.42578125" style="20" customWidth="1"/>
    <col min="775" max="775" width="22.28515625" style="20" customWidth="1"/>
    <col min="776" max="779" width="21.7109375" style="20" customWidth="1"/>
    <col min="780" max="780" width="18.28515625" style="20" customWidth="1"/>
    <col min="781" max="781" width="21.28515625" style="20" customWidth="1"/>
    <col min="782" max="782" width="19.7109375" style="20" customWidth="1"/>
    <col min="783" max="784" width="21.7109375" style="20" customWidth="1"/>
    <col min="785" max="785" width="23.7109375" style="20" customWidth="1"/>
    <col min="786" max="786" width="20.7109375" style="20" customWidth="1"/>
    <col min="787" max="787" width="13" style="20" bestFit="1" customWidth="1"/>
    <col min="788" max="1025" width="9.140625" style="20"/>
    <col min="1026" max="1026" width="5.7109375" style="20" customWidth="1"/>
    <col min="1027" max="1027" width="19.85546875" style="20" customWidth="1"/>
    <col min="1028" max="1028" width="39.42578125" style="20" customWidth="1"/>
    <col min="1029" max="1029" width="22" style="20" customWidth="1"/>
    <col min="1030" max="1030" width="22.42578125" style="20" customWidth="1"/>
    <col min="1031" max="1031" width="22.28515625" style="20" customWidth="1"/>
    <col min="1032" max="1035" width="21.7109375" style="20" customWidth="1"/>
    <col min="1036" max="1036" width="18.28515625" style="20" customWidth="1"/>
    <col min="1037" max="1037" width="21.28515625" style="20" customWidth="1"/>
    <col min="1038" max="1038" width="19.7109375" style="20" customWidth="1"/>
    <col min="1039" max="1040" width="21.7109375" style="20" customWidth="1"/>
    <col min="1041" max="1041" width="23.7109375" style="20" customWidth="1"/>
    <col min="1042" max="1042" width="20.7109375" style="20" customWidth="1"/>
    <col min="1043" max="1043" width="13" style="20" bestFit="1" customWidth="1"/>
    <col min="1044" max="1281" width="9.140625" style="20"/>
    <col min="1282" max="1282" width="5.7109375" style="20" customWidth="1"/>
    <col min="1283" max="1283" width="19.85546875" style="20" customWidth="1"/>
    <col min="1284" max="1284" width="39.42578125" style="20" customWidth="1"/>
    <col min="1285" max="1285" width="22" style="20" customWidth="1"/>
    <col min="1286" max="1286" width="22.42578125" style="20" customWidth="1"/>
    <col min="1287" max="1287" width="22.28515625" style="20" customWidth="1"/>
    <col min="1288" max="1291" width="21.7109375" style="20" customWidth="1"/>
    <col min="1292" max="1292" width="18.28515625" style="20" customWidth="1"/>
    <col min="1293" max="1293" width="21.28515625" style="20" customWidth="1"/>
    <col min="1294" max="1294" width="19.7109375" style="20" customWidth="1"/>
    <col min="1295" max="1296" width="21.7109375" style="20" customWidth="1"/>
    <col min="1297" max="1297" width="23.7109375" style="20" customWidth="1"/>
    <col min="1298" max="1298" width="20.7109375" style="20" customWidth="1"/>
    <col min="1299" max="1299" width="13" style="20" bestFit="1" customWidth="1"/>
    <col min="1300" max="1537" width="9.140625" style="20"/>
    <col min="1538" max="1538" width="5.7109375" style="20" customWidth="1"/>
    <col min="1539" max="1539" width="19.85546875" style="20" customWidth="1"/>
    <col min="1540" max="1540" width="39.42578125" style="20" customWidth="1"/>
    <col min="1541" max="1541" width="22" style="20" customWidth="1"/>
    <col min="1542" max="1542" width="22.42578125" style="20" customWidth="1"/>
    <col min="1543" max="1543" width="22.28515625" style="20" customWidth="1"/>
    <col min="1544" max="1547" width="21.7109375" style="20" customWidth="1"/>
    <col min="1548" max="1548" width="18.28515625" style="20" customWidth="1"/>
    <col min="1549" max="1549" width="21.28515625" style="20" customWidth="1"/>
    <col min="1550" max="1550" width="19.7109375" style="20" customWidth="1"/>
    <col min="1551" max="1552" width="21.7109375" style="20" customWidth="1"/>
    <col min="1553" max="1553" width="23.7109375" style="20" customWidth="1"/>
    <col min="1554" max="1554" width="20.7109375" style="20" customWidth="1"/>
    <col min="1555" max="1555" width="13" style="20" bestFit="1" customWidth="1"/>
    <col min="1556" max="1793" width="9.140625" style="20"/>
    <col min="1794" max="1794" width="5.7109375" style="20" customWidth="1"/>
    <col min="1795" max="1795" width="19.85546875" style="20" customWidth="1"/>
    <col min="1796" max="1796" width="39.42578125" style="20" customWidth="1"/>
    <col min="1797" max="1797" width="22" style="20" customWidth="1"/>
    <col min="1798" max="1798" width="22.42578125" style="20" customWidth="1"/>
    <col min="1799" max="1799" width="22.28515625" style="20" customWidth="1"/>
    <col min="1800" max="1803" width="21.7109375" style="20" customWidth="1"/>
    <col min="1804" max="1804" width="18.28515625" style="20" customWidth="1"/>
    <col min="1805" max="1805" width="21.28515625" style="20" customWidth="1"/>
    <col min="1806" max="1806" width="19.7109375" style="20" customWidth="1"/>
    <col min="1807" max="1808" width="21.7109375" style="20" customWidth="1"/>
    <col min="1809" max="1809" width="23.7109375" style="20" customWidth="1"/>
    <col min="1810" max="1810" width="20.7109375" style="20" customWidth="1"/>
    <col min="1811" max="1811" width="13" style="20" bestFit="1" customWidth="1"/>
    <col min="1812" max="2049" width="9.140625" style="20"/>
    <col min="2050" max="2050" width="5.7109375" style="20" customWidth="1"/>
    <col min="2051" max="2051" width="19.85546875" style="20" customWidth="1"/>
    <col min="2052" max="2052" width="39.42578125" style="20" customWidth="1"/>
    <col min="2053" max="2053" width="22" style="20" customWidth="1"/>
    <col min="2054" max="2054" width="22.42578125" style="20" customWidth="1"/>
    <col min="2055" max="2055" width="22.28515625" style="20" customWidth="1"/>
    <col min="2056" max="2059" width="21.7109375" style="20" customWidth="1"/>
    <col min="2060" max="2060" width="18.28515625" style="20" customWidth="1"/>
    <col min="2061" max="2061" width="21.28515625" style="20" customWidth="1"/>
    <col min="2062" max="2062" width="19.7109375" style="20" customWidth="1"/>
    <col min="2063" max="2064" width="21.7109375" style="20" customWidth="1"/>
    <col min="2065" max="2065" width="23.7109375" style="20" customWidth="1"/>
    <col min="2066" max="2066" width="20.7109375" style="20" customWidth="1"/>
    <col min="2067" max="2067" width="13" style="20" bestFit="1" customWidth="1"/>
    <col min="2068" max="2305" width="9.140625" style="20"/>
    <col min="2306" max="2306" width="5.7109375" style="20" customWidth="1"/>
    <col min="2307" max="2307" width="19.85546875" style="20" customWidth="1"/>
    <col min="2308" max="2308" width="39.42578125" style="20" customWidth="1"/>
    <col min="2309" max="2309" width="22" style="20" customWidth="1"/>
    <col min="2310" max="2310" width="22.42578125" style="20" customWidth="1"/>
    <col min="2311" max="2311" width="22.28515625" style="20" customWidth="1"/>
    <col min="2312" max="2315" width="21.7109375" style="20" customWidth="1"/>
    <col min="2316" max="2316" width="18.28515625" style="20" customWidth="1"/>
    <col min="2317" max="2317" width="21.28515625" style="20" customWidth="1"/>
    <col min="2318" max="2318" width="19.7109375" style="20" customWidth="1"/>
    <col min="2319" max="2320" width="21.7109375" style="20" customWidth="1"/>
    <col min="2321" max="2321" width="23.7109375" style="20" customWidth="1"/>
    <col min="2322" max="2322" width="20.7109375" style="20" customWidth="1"/>
    <col min="2323" max="2323" width="13" style="20" bestFit="1" customWidth="1"/>
    <col min="2324" max="2561" width="9.140625" style="20"/>
    <col min="2562" max="2562" width="5.7109375" style="20" customWidth="1"/>
    <col min="2563" max="2563" width="19.85546875" style="20" customWidth="1"/>
    <col min="2564" max="2564" width="39.42578125" style="20" customWidth="1"/>
    <col min="2565" max="2565" width="22" style="20" customWidth="1"/>
    <col min="2566" max="2566" width="22.42578125" style="20" customWidth="1"/>
    <col min="2567" max="2567" width="22.28515625" style="20" customWidth="1"/>
    <col min="2568" max="2571" width="21.7109375" style="20" customWidth="1"/>
    <col min="2572" max="2572" width="18.28515625" style="20" customWidth="1"/>
    <col min="2573" max="2573" width="21.28515625" style="20" customWidth="1"/>
    <col min="2574" max="2574" width="19.7109375" style="20" customWidth="1"/>
    <col min="2575" max="2576" width="21.7109375" style="20" customWidth="1"/>
    <col min="2577" max="2577" width="23.7109375" style="20" customWidth="1"/>
    <col min="2578" max="2578" width="20.7109375" style="20" customWidth="1"/>
    <col min="2579" max="2579" width="13" style="20" bestFit="1" customWidth="1"/>
    <col min="2580" max="2817" width="9.140625" style="20"/>
    <col min="2818" max="2818" width="5.7109375" style="20" customWidth="1"/>
    <col min="2819" max="2819" width="19.85546875" style="20" customWidth="1"/>
    <col min="2820" max="2820" width="39.42578125" style="20" customWidth="1"/>
    <col min="2821" max="2821" width="22" style="20" customWidth="1"/>
    <col min="2822" max="2822" width="22.42578125" style="20" customWidth="1"/>
    <col min="2823" max="2823" width="22.28515625" style="20" customWidth="1"/>
    <col min="2824" max="2827" width="21.7109375" style="20" customWidth="1"/>
    <col min="2828" max="2828" width="18.28515625" style="20" customWidth="1"/>
    <col min="2829" max="2829" width="21.28515625" style="20" customWidth="1"/>
    <col min="2830" max="2830" width="19.7109375" style="20" customWidth="1"/>
    <col min="2831" max="2832" width="21.7109375" style="20" customWidth="1"/>
    <col min="2833" max="2833" width="23.7109375" style="20" customWidth="1"/>
    <col min="2834" max="2834" width="20.7109375" style="20" customWidth="1"/>
    <col min="2835" max="2835" width="13" style="20" bestFit="1" customWidth="1"/>
    <col min="2836" max="3073" width="9.140625" style="20"/>
    <col min="3074" max="3074" width="5.7109375" style="20" customWidth="1"/>
    <col min="3075" max="3075" width="19.85546875" style="20" customWidth="1"/>
    <col min="3076" max="3076" width="39.42578125" style="20" customWidth="1"/>
    <col min="3077" max="3077" width="22" style="20" customWidth="1"/>
    <col min="3078" max="3078" width="22.42578125" style="20" customWidth="1"/>
    <col min="3079" max="3079" width="22.28515625" style="20" customWidth="1"/>
    <col min="3080" max="3083" width="21.7109375" style="20" customWidth="1"/>
    <col min="3084" max="3084" width="18.28515625" style="20" customWidth="1"/>
    <col min="3085" max="3085" width="21.28515625" style="20" customWidth="1"/>
    <col min="3086" max="3086" width="19.7109375" style="20" customWidth="1"/>
    <col min="3087" max="3088" width="21.7109375" style="20" customWidth="1"/>
    <col min="3089" max="3089" width="23.7109375" style="20" customWidth="1"/>
    <col min="3090" max="3090" width="20.7109375" style="20" customWidth="1"/>
    <col min="3091" max="3091" width="13" style="20" bestFit="1" customWidth="1"/>
    <col min="3092" max="3329" width="9.140625" style="20"/>
    <col min="3330" max="3330" width="5.7109375" style="20" customWidth="1"/>
    <col min="3331" max="3331" width="19.85546875" style="20" customWidth="1"/>
    <col min="3332" max="3332" width="39.42578125" style="20" customWidth="1"/>
    <col min="3333" max="3333" width="22" style="20" customWidth="1"/>
    <col min="3334" max="3334" width="22.42578125" style="20" customWidth="1"/>
    <col min="3335" max="3335" width="22.28515625" style="20" customWidth="1"/>
    <col min="3336" max="3339" width="21.7109375" style="20" customWidth="1"/>
    <col min="3340" max="3340" width="18.28515625" style="20" customWidth="1"/>
    <col min="3341" max="3341" width="21.28515625" style="20" customWidth="1"/>
    <col min="3342" max="3342" width="19.7109375" style="20" customWidth="1"/>
    <col min="3343" max="3344" width="21.7109375" style="20" customWidth="1"/>
    <col min="3345" max="3345" width="23.7109375" style="20" customWidth="1"/>
    <col min="3346" max="3346" width="20.7109375" style="20" customWidth="1"/>
    <col min="3347" max="3347" width="13" style="20" bestFit="1" customWidth="1"/>
    <col min="3348" max="3585" width="9.140625" style="20"/>
    <col min="3586" max="3586" width="5.7109375" style="20" customWidth="1"/>
    <col min="3587" max="3587" width="19.85546875" style="20" customWidth="1"/>
    <col min="3588" max="3588" width="39.42578125" style="20" customWidth="1"/>
    <col min="3589" max="3589" width="22" style="20" customWidth="1"/>
    <col min="3590" max="3590" width="22.42578125" style="20" customWidth="1"/>
    <col min="3591" max="3591" width="22.28515625" style="20" customWidth="1"/>
    <col min="3592" max="3595" width="21.7109375" style="20" customWidth="1"/>
    <col min="3596" max="3596" width="18.28515625" style="20" customWidth="1"/>
    <col min="3597" max="3597" width="21.28515625" style="20" customWidth="1"/>
    <col min="3598" max="3598" width="19.7109375" style="20" customWidth="1"/>
    <col min="3599" max="3600" width="21.7109375" style="20" customWidth="1"/>
    <col min="3601" max="3601" width="23.7109375" style="20" customWidth="1"/>
    <col min="3602" max="3602" width="20.7109375" style="20" customWidth="1"/>
    <col min="3603" max="3603" width="13" style="20" bestFit="1" customWidth="1"/>
    <col min="3604" max="3841" width="9.140625" style="20"/>
    <col min="3842" max="3842" width="5.7109375" style="20" customWidth="1"/>
    <col min="3843" max="3843" width="19.85546875" style="20" customWidth="1"/>
    <col min="3844" max="3844" width="39.42578125" style="20" customWidth="1"/>
    <col min="3845" max="3845" width="22" style="20" customWidth="1"/>
    <col min="3846" max="3846" width="22.42578125" style="20" customWidth="1"/>
    <col min="3847" max="3847" width="22.28515625" style="20" customWidth="1"/>
    <col min="3848" max="3851" width="21.7109375" style="20" customWidth="1"/>
    <col min="3852" max="3852" width="18.28515625" style="20" customWidth="1"/>
    <col min="3853" max="3853" width="21.28515625" style="20" customWidth="1"/>
    <col min="3854" max="3854" width="19.7109375" style="20" customWidth="1"/>
    <col min="3855" max="3856" width="21.7109375" style="20" customWidth="1"/>
    <col min="3857" max="3857" width="23.7109375" style="20" customWidth="1"/>
    <col min="3858" max="3858" width="20.7109375" style="20" customWidth="1"/>
    <col min="3859" max="3859" width="13" style="20" bestFit="1" customWidth="1"/>
    <col min="3860" max="4097" width="9.140625" style="20"/>
    <col min="4098" max="4098" width="5.7109375" style="20" customWidth="1"/>
    <col min="4099" max="4099" width="19.85546875" style="20" customWidth="1"/>
    <col min="4100" max="4100" width="39.42578125" style="20" customWidth="1"/>
    <col min="4101" max="4101" width="22" style="20" customWidth="1"/>
    <col min="4102" max="4102" width="22.42578125" style="20" customWidth="1"/>
    <col min="4103" max="4103" width="22.28515625" style="20" customWidth="1"/>
    <col min="4104" max="4107" width="21.7109375" style="20" customWidth="1"/>
    <col min="4108" max="4108" width="18.28515625" style="20" customWidth="1"/>
    <col min="4109" max="4109" width="21.28515625" style="20" customWidth="1"/>
    <col min="4110" max="4110" width="19.7109375" style="20" customWidth="1"/>
    <col min="4111" max="4112" width="21.7109375" style="20" customWidth="1"/>
    <col min="4113" max="4113" width="23.7109375" style="20" customWidth="1"/>
    <col min="4114" max="4114" width="20.7109375" style="20" customWidth="1"/>
    <col min="4115" max="4115" width="13" style="20" bestFit="1" customWidth="1"/>
    <col min="4116" max="4353" width="9.140625" style="20"/>
    <col min="4354" max="4354" width="5.7109375" style="20" customWidth="1"/>
    <col min="4355" max="4355" width="19.85546875" style="20" customWidth="1"/>
    <col min="4356" max="4356" width="39.42578125" style="20" customWidth="1"/>
    <col min="4357" max="4357" width="22" style="20" customWidth="1"/>
    <col min="4358" max="4358" width="22.42578125" style="20" customWidth="1"/>
    <col min="4359" max="4359" width="22.28515625" style="20" customWidth="1"/>
    <col min="4360" max="4363" width="21.7109375" style="20" customWidth="1"/>
    <col min="4364" max="4364" width="18.28515625" style="20" customWidth="1"/>
    <col min="4365" max="4365" width="21.28515625" style="20" customWidth="1"/>
    <col min="4366" max="4366" width="19.7109375" style="20" customWidth="1"/>
    <col min="4367" max="4368" width="21.7109375" style="20" customWidth="1"/>
    <col min="4369" max="4369" width="23.7109375" style="20" customWidth="1"/>
    <col min="4370" max="4370" width="20.7109375" style="20" customWidth="1"/>
    <col min="4371" max="4371" width="13" style="20" bestFit="1" customWidth="1"/>
    <col min="4372" max="4609" width="9.140625" style="20"/>
    <col min="4610" max="4610" width="5.7109375" style="20" customWidth="1"/>
    <col min="4611" max="4611" width="19.85546875" style="20" customWidth="1"/>
    <col min="4612" max="4612" width="39.42578125" style="20" customWidth="1"/>
    <col min="4613" max="4613" width="22" style="20" customWidth="1"/>
    <col min="4614" max="4614" width="22.42578125" style="20" customWidth="1"/>
    <col min="4615" max="4615" width="22.28515625" style="20" customWidth="1"/>
    <col min="4616" max="4619" width="21.7109375" style="20" customWidth="1"/>
    <col min="4620" max="4620" width="18.28515625" style="20" customWidth="1"/>
    <col min="4621" max="4621" width="21.28515625" style="20" customWidth="1"/>
    <col min="4622" max="4622" width="19.7109375" style="20" customWidth="1"/>
    <col min="4623" max="4624" width="21.7109375" style="20" customWidth="1"/>
    <col min="4625" max="4625" width="23.7109375" style="20" customWidth="1"/>
    <col min="4626" max="4626" width="20.7109375" style="20" customWidth="1"/>
    <col min="4627" max="4627" width="13" style="20" bestFit="1" customWidth="1"/>
    <col min="4628" max="4865" width="9.140625" style="20"/>
    <col min="4866" max="4866" width="5.7109375" style="20" customWidth="1"/>
    <col min="4867" max="4867" width="19.85546875" style="20" customWidth="1"/>
    <col min="4868" max="4868" width="39.42578125" style="20" customWidth="1"/>
    <col min="4869" max="4869" width="22" style="20" customWidth="1"/>
    <col min="4870" max="4870" width="22.42578125" style="20" customWidth="1"/>
    <col min="4871" max="4871" width="22.28515625" style="20" customWidth="1"/>
    <col min="4872" max="4875" width="21.7109375" style="20" customWidth="1"/>
    <col min="4876" max="4876" width="18.28515625" style="20" customWidth="1"/>
    <col min="4877" max="4877" width="21.28515625" style="20" customWidth="1"/>
    <col min="4878" max="4878" width="19.7109375" style="20" customWidth="1"/>
    <col min="4879" max="4880" width="21.7109375" style="20" customWidth="1"/>
    <col min="4881" max="4881" width="23.7109375" style="20" customWidth="1"/>
    <col min="4882" max="4882" width="20.7109375" style="20" customWidth="1"/>
    <col min="4883" max="4883" width="13" style="20" bestFit="1" customWidth="1"/>
    <col min="4884" max="5121" width="9.140625" style="20"/>
    <col min="5122" max="5122" width="5.7109375" style="20" customWidth="1"/>
    <col min="5123" max="5123" width="19.85546875" style="20" customWidth="1"/>
    <col min="5124" max="5124" width="39.42578125" style="20" customWidth="1"/>
    <col min="5125" max="5125" width="22" style="20" customWidth="1"/>
    <col min="5126" max="5126" width="22.42578125" style="20" customWidth="1"/>
    <col min="5127" max="5127" width="22.28515625" style="20" customWidth="1"/>
    <col min="5128" max="5131" width="21.7109375" style="20" customWidth="1"/>
    <col min="5132" max="5132" width="18.28515625" style="20" customWidth="1"/>
    <col min="5133" max="5133" width="21.28515625" style="20" customWidth="1"/>
    <col min="5134" max="5134" width="19.7109375" style="20" customWidth="1"/>
    <col min="5135" max="5136" width="21.7109375" style="20" customWidth="1"/>
    <col min="5137" max="5137" width="23.7109375" style="20" customWidth="1"/>
    <col min="5138" max="5138" width="20.7109375" style="20" customWidth="1"/>
    <col min="5139" max="5139" width="13" style="20" bestFit="1" customWidth="1"/>
    <col min="5140" max="5377" width="9.140625" style="20"/>
    <col min="5378" max="5378" width="5.7109375" style="20" customWidth="1"/>
    <col min="5379" max="5379" width="19.85546875" style="20" customWidth="1"/>
    <col min="5380" max="5380" width="39.42578125" style="20" customWidth="1"/>
    <col min="5381" max="5381" width="22" style="20" customWidth="1"/>
    <col min="5382" max="5382" width="22.42578125" style="20" customWidth="1"/>
    <col min="5383" max="5383" width="22.28515625" style="20" customWidth="1"/>
    <col min="5384" max="5387" width="21.7109375" style="20" customWidth="1"/>
    <col min="5388" max="5388" width="18.28515625" style="20" customWidth="1"/>
    <col min="5389" max="5389" width="21.28515625" style="20" customWidth="1"/>
    <col min="5390" max="5390" width="19.7109375" style="20" customWidth="1"/>
    <col min="5391" max="5392" width="21.7109375" style="20" customWidth="1"/>
    <col min="5393" max="5393" width="23.7109375" style="20" customWidth="1"/>
    <col min="5394" max="5394" width="20.7109375" style="20" customWidth="1"/>
    <col min="5395" max="5395" width="13" style="20" bestFit="1" customWidth="1"/>
    <col min="5396" max="5633" width="9.140625" style="20"/>
    <col min="5634" max="5634" width="5.7109375" style="20" customWidth="1"/>
    <col min="5635" max="5635" width="19.85546875" style="20" customWidth="1"/>
    <col min="5636" max="5636" width="39.42578125" style="20" customWidth="1"/>
    <col min="5637" max="5637" width="22" style="20" customWidth="1"/>
    <col min="5638" max="5638" width="22.42578125" style="20" customWidth="1"/>
    <col min="5639" max="5639" width="22.28515625" style="20" customWidth="1"/>
    <col min="5640" max="5643" width="21.7109375" style="20" customWidth="1"/>
    <col min="5644" max="5644" width="18.28515625" style="20" customWidth="1"/>
    <col min="5645" max="5645" width="21.28515625" style="20" customWidth="1"/>
    <col min="5646" max="5646" width="19.7109375" style="20" customWidth="1"/>
    <col min="5647" max="5648" width="21.7109375" style="20" customWidth="1"/>
    <col min="5649" max="5649" width="23.7109375" style="20" customWidth="1"/>
    <col min="5650" max="5650" width="20.7109375" style="20" customWidth="1"/>
    <col min="5651" max="5651" width="13" style="20" bestFit="1" customWidth="1"/>
    <col min="5652" max="5889" width="9.140625" style="20"/>
    <col min="5890" max="5890" width="5.7109375" style="20" customWidth="1"/>
    <col min="5891" max="5891" width="19.85546875" style="20" customWidth="1"/>
    <col min="5892" max="5892" width="39.42578125" style="20" customWidth="1"/>
    <col min="5893" max="5893" width="22" style="20" customWidth="1"/>
    <col min="5894" max="5894" width="22.42578125" style="20" customWidth="1"/>
    <col min="5895" max="5895" width="22.28515625" style="20" customWidth="1"/>
    <col min="5896" max="5899" width="21.7109375" style="20" customWidth="1"/>
    <col min="5900" max="5900" width="18.28515625" style="20" customWidth="1"/>
    <col min="5901" max="5901" width="21.28515625" style="20" customWidth="1"/>
    <col min="5902" max="5902" width="19.7109375" style="20" customWidth="1"/>
    <col min="5903" max="5904" width="21.7109375" style="20" customWidth="1"/>
    <col min="5905" max="5905" width="23.7109375" style="20" customWidth="1"/>
    <col min="5906" max="5906" width="20.7109375" style="20" customWidth="1"/>
    <col min="5907" max="5907" width="13" style="20" bestFit="1" customWidth="1"/>
    <col min="5908" max="6145" width="9.140625" style="20"/>
    <col min="6146" max="6146" width="5.7109375" style="20" customWidth="1"/>
    <col min="6147" max="6147" width="19.85546875" style="20" customWidth="1"/>
    <col min="6148" max="6148" width="39.42578125" style="20" customWidth="1"/>
    <col min="6149" max="6149" width="22" style="20" customWidth="1"/>
    <col min="6150" max="6150" width="22.42578125" style="20" customWidth="1"/>
    <col min="6151" max="6151" width="22.28515625" style="20" customWidth="1"/>
    <col min="6152" max="6155" width="21.7109375" style="20" customWidth="1"/>
    <col min="6156" max="6156" width="18.28515625" style="20" customWidth="1"/>
    <col min="6157" max="6157" width="21.28515625" style="20" customWidth="1"/>
    <col min="6158" max="6158" width="19.7109375" style="20" customWidth="1"/>
    <col min="6159" max="6160" width="21.7109375" style="20" customWidth="1"/>
    <col min="6161" max="6161" width="23.7109375" style="20" customWidth="1"/>
    <col min="6162" max="6162" width="20.7109375" style="20" customWidth="1"/>
    <col min="6163" max="6163" width="13" style="20" bestFit="1" customWidth="1"/>
    <col min="6164" max="6401" width="9.140625" style="20"/>
    <col min="6402" max="6402" width="5.7109375" style="20" customWidth="1"/>
    <col min="6403" max="6403" width="19.85546875" style="20" customWidth="1"/>
    <col min="6404" max="6404" width="39.42578125" style="20" customWidth="1"/>
    <col min="6405" max="6405" width="22" style="20" customWidth="1"/>
    <col min="6406" max="6406" width="22.42578125" style="20" customWidth="1"/>
    <col min="6407" max="6407" width="22.28515625" style="20" customWidth="1"/>
    <col min="6408" max="6411" width="21.7109375" style="20" customWidth="1"/>
    <col min="6412" max="6412" width="18.28515625" style="20" customWidth="1"/>
    <col min="6413" max="6413" width="21.28515625" style="20" customWidth="1"/>
    <col min="6414" max="6414" width="19.7109375" style="20" customWidth="1"/>
    <col min="6415" max="6416" width="21.7109375" style="20" customWidth="1"/>
    <col min="6417" max="6417" width="23.7109375" style="20" customWidth="1"/>
    <col min="6418" max="6418" width="20.7109375" style="20" customWidth="1"/>
    <col min="6419" max="6419" width="13" style="20" bestFit="1" customWidth="1"/>
    <col min="6420" max="6657" width="9.140625" style="20"/>
    <col min="6658" max="6658" width="5.7109375" style="20" customWidth="1"/>
    <col min="6659" max="6659" width="19.85546875" style="20" customWidth="1"/>
    <col min="6660" max="6660" width="39.42578125" style="20" customWidth="1"/>
    <col min="6661" max="6661" width="22" style="20" customWidth="1"/>
    <col min="6662" max="6662" width="22.42578125" style="20" customWidth="1"/>
    <col min="6663" max="6663" width="22.28515625" style="20" customWidth="1"/>
    <col min="6664" max="6667" width="21.7109375" style="20" customWidth="1"/>
    <col min="6668" max="6668" width="18.28515625" style="20" customWidth="1"/>
    <col min="6669" max="6669" width="21.28515625" style="20" customWidth="1"/>
    <col min="6670" max="6670" width="19.7109375" style="20" customWidth="1"/>
    <col min="6671" max="6672" width="21.7109375" style="20" customWidth="1"/>
    <col min="6673" max="6673" width="23.7109375" style="20" customWidth="1"/>
    <col min="6674" max="6674" width="20.7109375" style="20" customWidth="1"/>
    <col min="6675" max="6675" width="13" style="20" bestFit="1" customWidth="1"/>
    <col min="6676" max="6913" width="9.140625" style="20"/>
    <col min="6914" max="6914" width="5.7109375" style="20" customWidth="1"/>
    <col min="6915" max="6915" width="19.85546875" style="20" customWidth="1"/>
    <col min="6916" max="6916" width="39.42578125" style="20" customWidth="1"/>
    <col min="6917" max="6917" width="22" style="20" customWidth="1"/>
    <col min="6918" max="6918" width="22.42578125" style="20" customWidth="1"/>
    <col min="6919" max="6919" width="22.28515625" style="20" customWidth="1"/>
    <col min="6920" max="6923" width="21.7109375" style="20" customWidth="1"/>
    <col min="6924" max="6924" width="18.28515625" style="20" customWidth="1"/>
    <col min="6925" max="6925" width="21.28515625" style="20" customWidth="1"/>
    <col min="6926" max="6926" width="19.7109375" style="20" customWidth="1"/>
    <col min="6927" max="6928" width="21.7109375" style="20" customWidth="1"/>
    <col min="6929" max="6929" width="23.7109375" style="20" customWidth="1"/>
    <col min="6930" max="6930" width="20.7109375" style="20" customWidth="1"/>
    <col min="6931" max="6931" width="13" style="20" bestFit="1" customWidth="1"/>
    <col min="6932" max="7169" width="9.140625" style="20"/>
    <col min="7170" max="7170" width="5.7109375" style="20" customWidth="1"/>
    <col min="7171" max="7171" width="19.85546875" style="20" customWidth="1"/>
    <col min="7172" max="7172" width="39.42578125" style="20" customWidth="1"/>
    <col min="7173" max="7173" width="22" style="20" customWidth="1"/>
    <col min="7174" max="7174" width="22.42578125" style="20" customWidth="1"/>
    <col min="7175" max="7175" width="22.28515625" style="20" customWidth="1"/>
    <col min="7176" max="7179" width="21.7109375" style="20" customWidth="1"/>
    <col min="7180" max="7180" width="18.28515625" style="20" customWidth="1"/>
    <col min="7181" max="7181" width="21.28515625" style="20" customWidth="1"/>
    <col min="7182" max="7182" width="19.7109375" style="20" customWidth="1"/>
    <col min="7183" max="7184" width="21.7109375" style="20" customWidth="1"/>
    <col min="7185" max="7185" width="23.7109375" style="20" customWidth="1"/>
    <col min="7186" max="7186" width="20.7109375" style="20" customWidth="1"/>
    <col min="7187" max="7187" width="13" style="20" bestFit="1" customWidth="1"/>
    <col min="7188" max="7425" width="9.140625" style="20"/>
    <col min="7426" max="7426" width="5.7109375" style="20" customWidth="1"/>
    <col min="7427" max="7427" width="19.85546875" style="20" customWidth="1"/>
    <col min="7428" max="7428" width="39.42578125" style="20" customWidth="1"/>
    <col min="7429" max="7429" width="22" style="20" customWidth="1"/>
    <col min="7430" max="7430" width="22.42578125" style="20" customWidth="1"/>
    <col min="7431" max="7431" width="22.28515625" style="20" customWidth="1"/>
    <col min="7432" max="7435" width="21.7109375" style="20" customWidth="1"/>
    <col min="7436" max="7436" width="18.28515625" style="20" customWidth="1"/>
    <col min="7437" max="7437" width="21.28515625" style="20" customWidth="1"/>
    <col min="7438" max="7438" width="19.7109375" style="20" customWidth="1"/>
    <col min="7439" max="7440" width="21.7109375" style="20" customWidth="1"/>
    <col min="7441" max="7441" width="23.7109375" style="20" customWidth="1"/>
    <col min="7442" max="7442" width="20.7109375" style="20" customWidth="1"/>
    <col min="7443" max="7443" width="13" style="20" bestFit="1" customWidth="1"/>
    <col min="7444" max="7681" width="9.140625" style="20"/>
    <col min="7682" max="7682" width="5.7109375" style="20" customWidth="1"/>
    <col min="7683" max="7683" width="19.85546875" style="20" customWidth="1"/>
    <col min="7684" max="7684" width="39.42578125" style="20" customWidth="1"/>
    <col min="7685" max="7685" width="22" style="20" customWidth="1"/>
    <col min="7686" max="7686" width="22.42578125" style="20" customWidth="1"/>
    <col min="7687" max="7687" width="22.28515625" style="20" customWidth="1"/>
    <col min="7688" max="7691" width="21.7109375" style="20" customWidth="1"/>
    <col min="7692" max="7692" width="18.28515625" style="20" customWidth="1"/>
    <col min="7693" max="7693" width="21.28515625" style="20" customWidth="1"/>
    <col min="7694" max="7694" width="19.7109375" style="20" customWidth="1"/>
    <col min="7695" max="7696" width="21.7109375" style="20" customWidth="1"/>
    <col min="7697" max="7697" width="23.7109375" style="20" customWidth="1"/>
    <col min="7698" max="7698" width="20.7109375" style="20" customWidth="1"/>
    <col min="7699" max="7699" width="13" style="20" bestFit="1" customWidth="1"/>
    <col min="7700" max="7937" width="9.140625" style="20"/>
    <col min="7938" max="7938" width="5.7109375" style="20" customWidth="1"/>
    <col min="7939" max="7939" width="19.85546875" style="20" customWidth="1"/>
    <col min="7940" max="7940" width="39.42578125" style="20" customWidth="1"/>
    <col min="7941" max="7941" width="22" style="20" customWidth="1"/>
    <col min="7942" max="7942" width="22.42578125" style="20" customWidth="1"/>
    <col min="7943" max="7943" width="22.28515625" style="20" customWidth="1"/>
    <col min="7944" max="7947" width="21.7109375" style="20" customWidth="1"/>
    <col min="7948" max="7948" width="18.28515625" style="20" customWidth="1"/>
    <col min="7949" max="7949" width="21.28515625" style="20" customWidth="1"/>
    <col min="7950" max="7950" width="19.7109375" style="20" customWidth="1"/>
    <col min="7951" max="7952" width="21.7109375" style="20" customWidth="1"/>
    <col min="7953" max="7953" width="23.7109375" style="20" customWidth="1"/>
    <col min="7954" max="7954" width="20.7109375" style="20" customWidth="1"/>
    <col min="7955" max="7955" width="13" style="20" bestFit="1" customWidth="1"/>
    <col min="7956" max="8193" width="9.140625" style="20"/>
    <col min="8194" max="8194" width="5.7109375" style="20" customWidth="1"/>
    <col min="8195" max="8195" width="19.85546875" style="20" customWidth="1"/>
    <col min="8196" max="8196" width="39.42578125" style="20" customWidth="1"/>
    <col min="8197" max="8197" width="22" style="20" customWidth="1"/>
    <col min="8198" max="8198" width="22.42578125" style="20" customWidth="1"/>
    <col min="8199" max="8199" width="22.28515625" style="20" customWidth="1"/>
    <col min="8200" max="8203" width="21.7109375" style="20" customWidth="1"/>
    <col min="8204" max="8204" width="18.28515625" style="20" customWidth="1"/>
    <col min="8205" max="8205" width="21.28515625" style="20" customWidth="1"/>
    <col min="8206" max="8206" width="19.7109375" style="20" customWidth="1"/>
    <col min="8207" max="8208" width="21.7109375" style="20" customWidth="1"/>
    <col min="8209" max="8209" width="23.7109375" style="20" customWidth="1"/>
    <col min="8210" max="8210" width="20.7109375" style="20" customWidth="1"/>
    <col min="8211" max="8211" width="13" style="20" bestFit="1" customWidth="1"/>
    <col min="8212" max="8449" width="9.140625" style="20"/>
    <col min="8450" max="8450" width="5.7109375" style="20" customWidth="1"/>
    <col min="8451" max="8451" width="19.85546875" style="20" customWidth="1"/>
    <col min="8452" max="8452" width="39.42578125" style="20" customWidth="1"/>
    <col min="8453" max="8453" width="22" style="20" customWidth="1"/>
    <col min="8454" max="8454" width="22.42578125" style="20" customWidth="1"/>
    <col min="8455" max="8455" width="22.28515625" style="20" customWidth="1"/>
    <col min="8456" max="8459" width="21.7109375" style="20" customWidth="1"/>
    <col min="8460" max="8460" width="18.28515625" style="20" customWidth="1"/>
    <col min="8461" max="8461" width="21.28515625" style="20" customWidth="1"/>
    <col min="8462" max="8462" width="19.7109375" style="20" customWidth="1"/>
    <col min="8463" max="8464" width="21.7109375" style="20" customWidth="1"/>
    <col min="8465" max="8465" width="23.7109375" style="20" customWidth="1"/>
    <col min="8466" max="8466" width="20.7109375" style="20" customWidth="1"/>
    <col min="8467" max="8467" width="13" style="20" bestFit="1" customWidth="1"/>
    <col min="8468" max="8705" width="9.140625" style="20"/>
    <col min="8706" max="8706" width="5.7109375" style="20" customWidth="1"/>
    <col min="8707" max="8707" width="19.85546875" style="20" customWidth="1"/>
    <col min="8708" max="8708" width="39.42578125" style="20" customWidth="1"/>
    <col min="8709" max="8709" width="22" style="20" customWidth="1"/>
    <col min="8710" max="8710" width="22.42578125" style="20" customWidth="1"/>
    <col min="8711" max="8711" width="22.28515625" style="20" customWidth="1"/>
    <col min="8712" max="8715" width="21.7109375" style="20" customWidth="1"/>
    <col min="8716" max="8716" width="18.28515625" style="20" customWidth="1"/>
    <col min="8717" max="8717" width="21.28515625" style="20" customWidth="1"/>
    <col min="8718" max="8718" width="19.7109375" style="20" customWidth="1"/>
    <col min="8719" max="8720" width="21.7109375" style="20" customWidth="1"/>
    <col min="8721" max="8721" width="23.7109375" style="20" customWidth="1"/>
    <col min="8722" max="8722" width="20.7109375" style="20" customWidth="1"/>
    <col min="8723" max="8723" width="13" style="20" bestFit="1" customWidth="1"/>
    <col min="8724" max="8961" width="9.140625" style="20"/>
    <col min="8962" max="8962" width="5.7109375" style="20" customWidth="1"/>
    <col min="8963" max="8963" width="19.85546875" style="20" customWidth="1"/>
    <col min="8964" max="8964" width="39.42578125" style="20" customWidth="1"/>
    <col min="8965" max="8965" width="22" style="20" customWidth="1"/>
    <col min="8966" max="8966" width="22.42578125" style="20" customWidth="1"/>
    <col min="8967" max="8967" width="22.28515625" style="20" customWidth="1"/>
    <col min="8968" max="8971" width="21.7109375" style="20" customWidth="1"/>
    <col min="8972" max="8972" width="18.28515625" style="20" customWidth="1"/>
    <col min="8973" max="8973" width="21.28515625" style="20" customWidth="1"/>
    <col min="8974" max="8974" width="19.7109375" style="20" customWidth="1"/>
    <col min="8975" max="8976" width="21.7109375" style="20" customWidth="1"/>
    <col min="8977" max="8977" width="23.7109375" style="20" customWidth="1"/>
    <col min="8978" max="8978" width="20.7109375" style="20" customWidth="1"/>
    <col min="8979" max="8979" width="13" style="20" bestFit="1" customWidth="1"/>
    <col min="8980" max="9217" width="9.140625" style="20"/>
    <col min="9218" max="9218" width="5.7109375" style="20" customWidth="1"/>
    <col min="9219" max="9219" width="19.85546875" style="20" customWidth="1"/>
    <col min="9220" max="9220" width="39.42578125" style="20" customWidth="1"/>
    <col min="9221" max="9221" width="22" style="20" customWidth="1"/>
    <col min="9222" max="9222" width="22.42578125" style="20" customWidth="1"/>
    <col min="9223" max="9223" width="22.28515625" style="20" customWidth="1"/>
    <col min="9224" max="9227" width="21.7109375" style="20" customWidth="1"/>
    <col min="9228" max="9228" width="18.28515625" style="20" customWidth="1"/>
    <col min="9229" max="9229" width="21.28515625" style="20" customWidth="1"/>
    <col min="9230" max="9230" width="19.7109375" style="20" customWidth="1"/>
    <col min="9231" max="9232" width="21.7109375" style="20" customWidth="1"/>
    <col min="9233" max="9233" width="23.7109375" style="20" customWidth="1"/>
    <col min="9234" max="9234" width="20.7109375" style="20" customWidth="1"/>
    <col min="9235" max="9235" width="13" style="20" bestFit="1" customWidth="1"/>
    <col min="9236" max="9473" width="9.140625" style="20"/>
    <col min="9474" max="9474" width="5.7109375" style="20" customWidth="1"/>
    <col min="9475" max="9475" width="19.85546875" style="20" customWidth="1"/>
    <col min="9476" max="9476" width="39.42578125" style="20" customWidth="1"/>
    <col min="9477" max="9477" width="22" style="20" customWidth="1"/>
    <col min="9478" max="9478" width="22.42578125" style="20" customWidth="1"/>
    <col min="9479" max="9479" width="22.28515625" style="20" customWidth="1"/>
    <col min="9480" max="9483" width="21.7109375" style="20" customWidth="1"/>
    <col min="9484" max="9484" width="18.28515625" style="20" customWidth="1"/>
    <col min="9485" max="9485" width="21.28515625" style="20" customWidth="1"/>
    <col min="9486" max="9486" width="19.7109375" style="20" customWidth="1"/>
    <col min="9487" max="9488" width="21.7109375" style="20" customWidth="1"/>
    <col min="9489" max="9489" width="23.7109375" style="20" customWidth="1"/>
    <col min="9490" max="9490" width="20.7109375" style="20" customWidth="1"/>
    <col min="9491" max="9491" width="13" style="20" bestFit="1" customWidth="1"/>
    <col min="9492" max="9729" width="9.140625" style="20"/>
    <col min="9730" max="9730" width="5.7109375" style="20" customWidth="1"/>
    <col min="9731" max="9731" width="19.85546875" style="20" customWidth="1"/>
    <col min="9732" max="9732" width="39.42578125" style="20" customWidth="1"/>
    <col min="9733" max="9733" width="22" style="20" customWidth="1"/>
    <col min="9734" max="9734" width="22.42578125" style="20" customWidth="1"/>
    <col min="9735" max="9735" width="22.28515625" style="20" customWidth="1"/>
    <col min="9736" max="9739" width="21.7109375" style="20" customWidth="1"/>
    <col min="9740" max="9740" width="18.28515625" style="20" customWidth="1"/>
    <col min="9741" max="9741" width="21.28515625" style="20" customWidth="1"/>
    <col min="9742" max="9742" width="19.7109375" style="20" customWidth="1"/>
    <col min="9743" max="9744" width="21.7109375" style="20" customWidth="1"/>
    <col min="9745" max="9745" width="23.7109375" style="20" customWidth="1"/>
    <col min="9746" max="9746" width="20.7109375" style="20" customWidth="1"/>
    <col min="9747" max="9747" width="13" style="20" bestFit="1" customWidth="1"/>
    <col min="9748" max="9985" width="9.140625" style="20"/>
    <col min="9986" max="9986" width="5.7109375" style="20" customWidth="1"/>
    <col min="9987" max="9987" width="19.85546875" style="20" customWidth="1"/>
    <col min="9988" max="9988" width="39.42578125" style="20" customWidth="1"/>
    <col min="9989" max="9989" width="22" style="20" customWidth="1"/>
    <col min="9990" max="9990" width="22.42578125" style="20" customWidth="1"/>
    <col min="9991" max="9991" width="22.28515625" style="20" customWidth="1"/>
    <col min="9992" max="9995" width="21.7109375" style="20" customWidth="1"/>
    <col min="9996" max="9996" width="18.28515625" style="20" customWidth="1"/>
    <col min="9997" max="9997" width="21.28515625" style="20" customWidth="1"/>
    <col min="9998" max="9998" width="19.7109375" style="20" customWidth="1"/>
    <col min="9999" max="10000" width="21.7109375" style="20" customWidth="1"/>
    <col min="10001" max="10001" width="23.7109375" style="20" customWidth="1"/>
    <col min="10002" max="10002" width="20.7109375" style="20" customWidth="1"/>
    <col min="10003" max="10003" width="13" style="20" bestFit="1" customWidth="1"/>
    <col min="10004" max="10241" width="9.140625" style="20"/>
    <col min="10242" max="10242" width="5.7109375" style="20" customWidth="1"/>
    <col min="10243" max="10243" width="19.85546875" style="20" customWidth="1"/>
    <col min="10244" max="10244" width="39.42578125" style="20" customWidth="1"/>
    <col min="10245" max="10245" width="22" style="20" customWidth="1"/>
    <col min="10246" max="10246" width="22.42578125" style="20" customWidth="1"/>
    <col min="10247" max="10247" width="22.28515625" style="20" customWidth="1"/>
    <col min="10248" max="10251" width="21.7109375" style="20" customWidth="1"/>
    <col min="10252" max="10252" width="18.28515625" style="20" customWidth="1"/>
    <col min="10253" max="10253" width="21.28515625" style="20" customWidth="1"/>
    <col min="10254" max="10254" width="19.7109375" style="20" customWidth="1"/>
    <col min="10255" max="10256" width="21.7109375" style="20" customWidth="1"/>
    <col min="10257" max="10257" width="23.7109375" style="20" customWidth="1"/>
    <col min="10258" max="10258" width="20.7109375" style="20" customWidth="1"/>
    <col min="10259" max="10259" width="13" style="20" bestFit="1" customWidth="1"/>
    <col min="10260" max="10497" width="9.140625" style="20"/>
    <col min="10498" max="10498" width="5.7109375" style="20" customWidth="1"/>
    <col min="10499" max="10499" width="19.85546875" style="20" customWidth="1"/>
    <col min="10500" max="10500" width="39.42578125" style="20" customWidth="1"/>
    <col min="10501" max="10501" width="22" style="20" customWidth="1"/>
    <col min="10502" max="10502" width="22.42578125" style="20" customWidth="1"/>
    <col min="10503" max="10503" width="22.28515625" style="20" customWidth="1"/>
    <col min="10504" max="10507" width="21.7109375" style="20" customWidth="1"/>
    <col min="10508" max="10508" width="18.28515625" style="20" customWidth="1"/>
    <col min="10509" max="10509" width="21.28515625" style="20" customWidth="1"/>
    <col min="10510" max="10510" width="19.7109375" style="20" customWidth="1"/>
    <col min="10511" max="10512" width="21.7109375" style="20" customWidth="1"/>
    <col min="10513" max="10513" width="23.7109375" style="20" customWidth="1"/>
    <col min="10514" max="10514" width="20.7109375" style="20" customWidth="1"/>
    <col min="10515" max="10515" width="13" style="20" bestFit="1" customWidth="1"/>
    <col min="10516" max="10753" width="9.140625" style="20"/>
    <col min="10754" max="10754" width="5.7109375" style="20" customWidth="1"/>
    <col min="10755" max="10755" width="19.85546875" style="20" customWidth="1"/>
    <col min="10756" max="10756" width="39.42578125" style="20" customWidth="1"/>
    <col min="10757" max="10757" width="22" style="20" customWidth="1"/>
    <col min="10758" max="10758" width="22.42578125" style="20" customWidth="1"/>
    <col min="10759" max="10759" width="22.28515625" style="20" customWidth="1"/>
    <col min="10760" max="10763" width="21.7109375" style="20" customWidth="1"/>
    <col min="10764" max="10764" width="18.28515625" style="20" customWidth="1"/>
    <col min="10765" max="10765" width="21.28515625" style="20" customWidth="1"/>
    <col min="10766" max="10766" width="19.7109375" style="20" customWidth="1"/>
    <col min="10767" max="10768" width="21.7109375" style="20" customWidth="1"/>
    <col min="10769" max="10769" width="23.7109375" style="20" customWidth="1"/>
    <col min="10770" max="10770" width="20.7109375" style="20" customWidth="1"/>
    <col min="10771" max="10771" width="13" style="20" bestFit="1" customWidth="1"/>
    <col min="10772" max="11009" width="9.140625" style="20"/>
    <col min="11010" max="11010" width="5.7109375" style="20" customWidth="1"/>
    <col min="11011" max="11011" width="19.85546875" style="20" customWidth="1"/>
    <col min="11012" max="11012" width="39.42578125" style="20" customWidth="1"/>
    <col min="11013" max="11013" width="22" style="20" customWidth="1"/>
    <col min="11014" max="11014" width="22.42578125" style="20" customWidth="1"/>
    <col min="11015" max="11015" width="22.28515625" style="20" customWidth="1"/>
    <col min="11016" max="11019" width="21.7109375" style="20" customWidth="1"/>
    <col min="11020" max="11020" width="18.28515625" style="20" customWidth="1"/>
    <col min="11021" max="11021" width="21.28515625" style="20" customWidth="1"/>
    <col min="11022" max="11022" width="19.7109375" style="20" customWidth="1"/>
    <col min="11023" max="11024" width="21.7109375" style="20" customWidth="1"/>
    <col min="11025" max="11025" width="23.7109375" style="20" customWidth="1"/>
    <col min="11026" max="11026" width="20.7109375" style="20" customWidth="1"/>
    <col min="11027" max="11027" width="13" style="20" bestFit="1" customWidth="1"/>
    <col min="11028" max="11265" width="9.140625" style="20"/>
    <col min="11266" max="11266" width="5.7109375" style="20" customWidth="1"/>
    <col min="11267" max="11267" width="19.85546875" style="20" customWidth="1"/>
    <col min="11268" max="11268" width="39.42578125" style="20" customWidth="1"/>
    <col min="11269" max="11269" width="22" style="20" customWidth="1"/>
    <col min="11270" max="11270" width="22.42578125" style="20" customWidth="1"/>
    <col min="11271" max="11271" width="22.28515625" style="20" customWidth="1"/>
    <col min="11272" max="11275" width="21.7109375" style="20" customWidth="1"/>
    <col min="11276" max="11276" width="18.28515625" style="20" customWidth="1"/>
    <col min="11277" max="11277" width="21.28515625" style="20" customWidth="1"/>
    <col min="11278" max="11278" width="19.7109375" style="20" customWidth="1"/>
    <col min="11279" max="11280" width="21.7109375" style="20" customWidth="1"/>
    <col min="11281" max="11281" width="23.7109375" style="20" customWidth="1"/>
    <col min="11282" max="11282" width="20.7109375" style="20" customWidth="1"/>
    <col min="11283" max="11283" width="13" style="20" bestFit="1" customWidth="1"/>
    <col min="11284" max="11521" width="9.140625" style="20"/>
    <col min="11522" max="11522" width="5.7109375" style="20" customWidth="1"/>
    <col min="11523" max="11523" width="19.85546875" style="20" customWidth="1"/>
    <col min="11524" max="11524" width="39.42578125" style="20" customWidth="1"/>
    <col min="11525" max="11525" width="22" style="20" customWidth="1"/>
    <col min="11526" max="11526" width="22.42578125" style="20" customWidth="1"/>
    <col min="11527" max="11527" width="22.28515625" style="20" customWidth="1"/>
    <col min="11528" max="11531" width="21.7109375" style="20" customWidth="1"/>
    <col min="11532" max="11532" width="18.28515625" style="20" customWidth="1"/>
    <col min="11533" max="11533" width="21.28515625" style="20" customWidth="1"/>
    <col min="11534" max="11534" width="19.7109375" style="20" customWidth="1"/>
    <col min="11535" max="11536" width="21.7109375" style="20" customWidth="1"/>
    <col min="11537" max="11537" width="23.7109375" style="20" customWidth="1"/>
    <col min="11538" max="11538" width="20.7109375" style="20" customWidth="1"/>
    <col min="11539" max="11539" width="13" style="20" bestFit="1" customWidth="1"/>
    <col min="11540" max="11777" width="9.140625" style="20"/>
    <col min="11778" max="11778" width="5.7109375" style="20" customWidth="1"/>
    <col min="11779" max="11779" width="19.85546875" style="20" customWidth="1"/>
    <col min="11780" max="11780" width="39.42578125" style="20" customWidth="1"/>
    <col min="11781" max="11781" width="22" style="20" customWidth="1"/>
    <col min="11782" max="11782" width="22.42578125" style="20" customWidth="1"/>
    <col min="11783" max="11783" width="22.28515625" style="20" customWidth="1"/>
    <col min="11784" max="11787" width="21.7109375" style="20" customWidth="1"/>
    <col min="11788" max="11788" width="18.28515625" style="20" customWidth="1"/>
    <col min="11789" max="11789" width="21.28515625" style="20" customWidth="1"/>
    <col min="11790" max="11790" width="19.7109375" style="20" customWidth="1"/>
    <col min="11791" max="11792" width="21.7109375" style="20" customWidth="1"/>
    <col min="11793" max="11793" width="23.7109375" style="20" customWidth="1"/>
    <col min="11794" max="11794" width="20.7109375" style="20" customWidth="1"/>
    <col min="11795" max="11795" width="13" style="20" bestFit="1" customWidth="1"/>
    <col min="11796" max="12033" width="9.140625" style="20"/>
    <col min="12034" max="12034" width="5.7109375" style="20" customWidth="1"/>
    <col min="12035" max="12035" width="19.85546875" style="20" customWidth="1"/>
    <col min="12036" max="12036" width="39.42578125" style="20" customWidth="1"/>
    <col min="12037" max="12037" width="22" style="20" customWidth="1"/>
    <col min="12038" max="12038" width="22.42578125" style="20" customWidth="1"/>
    <col min="12039" max="12039" width="22.28515625" style="20" customWidth="1"/>
    <col min="12040" max="12043" width="21.7109375" style="20" customWidth="1"/>
    <col min="12044" max="12044" width="18.28515625" style="20" customWidth="1"/>
    <col min="12045" max="12045" width="21.28515625" style="20" customWidth="1"/>
    <col min="12046" max="12046" width="19.7109375" style="20" customWidth="1"/>
    <col min="12047" max="12048" width="21.7109375" style="20" customWidth="1"/>
    <col min="12049" max="12049" width="23.7109375" style="20" customWidth="1"/>
    <col min="12050" max="12050" width="20.7109375" style="20" customWidth="1"/>
    <col min="12051" max="12051" width="13" style="20" bestFit="1" customWidth="1"/>
    <col min="12052" max="12289" width="9.140625" style="20"/>
    <col min="12290" max="12290" width="5.7109375" style="20" customWidth="1"/>
    <col min="12291" max="12291" width="19.85546875" style="20" customWidth="1"/>
    <col min="12292" max="12292" width="39.42578125" style="20" customWidth="1"/>
    <col min="12293" max="12293" width="22" style="20" customWidth="1"/>
    <col min="12294" max="12294" width="22.42578125" style="20" customWidth="1"/>
    <col min="12295" max="12295" width="22.28515625" style="20" customWidth="1"/>
    <col min="12296" max="12299" width="21.7109375" style="20" customWidth="1"/>
    <col min="12300" max="12300" width="18.28515625" style="20" customWidth="1"/>
    <col min="12301" max="12301" width="21.28515625" style="20" customWidth="1"/>
    <col min="12302" max="12302" width="19.7109375" style="20" customWidth="1"/>
    <col min="12303" max="12304" width="21.7109375" style="20" customWidth="1"/>
    <col min="12305" max="12305" width="23.7109375" style="20" customWidth="1"/>
    <col min="12306" max="12306" width="20.7109375" style="20" customWidth="1"/>
    <col min="12307" max="12307" width="13" style="20" bestFit="1" customWidth="1"/>
    <col min="12308" max="12545" width="9.140625" style="20"/>
    <col min="12546" max="12546" width="5.7109375" style="20" customWidth="1"/>
    <col min="12547" max="12547" width="19.85546875" style="20" customWidth="1"/>
    <col min="12548" max="12548" width="39.42578125" style="20" customWidth="1"/>
    <col min="12549" max="12549" width="22" style="20" customWidth="1"/>
    <col min="12550" max="12550" width="22.42578125" style="20" customWidth="1"/>
    <col min="12551" max="12551" width="22.28515625" style="20" customWidth="1"/>
    <col min="12552" max="12555" width="21.7109375" style="20" customWidth="1"/>
    <col min="12556" max="12556" width="18.28515625" style="20" customWidth="1"/>
    <col min="12557" max="12557" width="21.28515625" style="20" customWidth="1"/>
    <col min="12558" max="12558" width="19.7109375" style="20" customWidth="1"/>
    <col min="12559" max="12560" width="21.7109375" style="20" customWidth="1"/>
    <col min="12561" max="12561" width="23.7109375" style="20" customWidth="1"/>
    <col min="12562" max="12562" width="20.7109375" style="20" customWidth="1"/>
    <col min="12563" max="12563" width="13" style="20" bestFit="1" customWidth="1"/>
    <col min="12564" max="12801" width="9.140625" style="20"/>
    <col min="12802" max="12802" width="5.7109375" style="20" customWidth="1"/>
    <col min="12803" max="12803" width="19.85546875" style="20" customWidth="1"/>
    <col min="12804" max="12804" width="39.42578125" style="20" customWidth="1"/>
    <col min="12805" max="12805" width="22" style="20" customWidth="1"/>
    <col min="12806" max="12806" width="22.42578125" style="20" customWidth="1"/>
    <col min="12807" max="12807" width="22.28515625" style="20" customWidth="1"/>
    <col min="12808" max="12811" width="21.7109375" style="20" customWidth="1"/>
    <col min="12812" max="12812" width="18.28515625" style="20" customWidth="1"/>
    <col min="12813" max="12813" width="21.28515625" style="20" customWidth="1"/>
    <col min="12814" max="12814" width="19.7109375" style="20" customWidth="1"/>
    <col min="12815" max="12816" width="21.7109375" style="20" customWidth="1"/>
    <col min="12817" max="12817" width="23.7109375" style="20" customWidth="1"/>
    <col min="12818" max="12818" width="20.7109375" style="20" customWidth="1"/>
    <col min="12819" max="12819" width="13" style="20" bestFit="1" customWidth="1"/>
    <col min="12820" max="13057" width="9.140625" style="20"/>
    <col min="13058" max="13058" width="5.7109375" style="20" customWidth="1"/>
    <col min="13059" max="13059" width="19.85546875" style="20" customWidth="1"/>
    <col min="13060" max="13060" width="39.42578125" style="20" customWidth="1"/>
    <col min="13061" max="13061" width="22" style="20" customWidth="1"/>
    <col min="13062" max="13062" width="22.42578125" style="20" customWidth="1"/>
    <col min="13063" max="13063" width="22.28515625" style="20" customWidth="1"/>
    <col min="13064" max="13067" width="21.7109375" style="20" customWidth="1"/>
    <col min="13068" max="13068" width="18.28515625" style="20" customWidth="1"/>
    <col min="13069" max="13069" width="21.28515625" style="20" customWidth="1"/>
    <col min="13070" max="13070" width="19.7109375" style="20" customWidth="1"/>
    <col min="13071" max="13072" width="21.7109375" style="20" customWidth="1"/>
    <col min="13073" max="13073" width="23.7109375" style="20" customWidth="1"/>
    <col min="13074" max="13074" width="20.7109375" style="20" customWidth="1"/>
    <col min="13075" max="13075" width="13" style="20" bestFit="1" customWidth="1"/>
    <col min="13076" max="13313" width="9.140625" style="20"/>
    <col min="13314" max="13314" width="5.7109375" style="20" customWidth="1"/>
    <col min="13315" max="13315" width="19.85546875" style="20" customWidth="1"/>
    <col min="13316" max="13316" width="39.42578125" style="20" customWidth="1"/>
    <col min="13317" max="13317" width="22" style="20" customWidth="1"/>
    <col min="13318" max="13318" width="22.42578125" style="20" customWidth="1"/>
    <col min="13319" max="13319" width="22.28515625" style="20" customWidth="1"/>
    <col min="13320" max="13323" width="21.7109375" style="20" customWidth="1"/>
    <col min="13324" max="13324" width="18.28515625" style="20" customWidth="1"/>
    <col min="13325" max="13325" width="21.28515625" style="20" customWidth="1"/>
    <col min="13326" max="13326" width="19.7109375" style="20" customWidth="1"/>
    <col min="13327" max="13328" width="21.7109375" style="20" customWidth="1"/>
    <col min="13329" max="13329" width="23.7109375" style="20" customWidth="1"/>
    <col min="13330" max="13330" width="20.7109375" style="20" customWidth="1"/>
    <col min="13331" max="13331" width="13" style="20" bestFit="1" customWidth="1"/>
    <col min="13332" max="13569" width="9.140625" style="20"/>
    <col min="13570" max="13570" width="5.7109375" style="20" customWidth="1"/>
    <col min="13571" max="13571" width="19.85546875" style="20" customWidth="1"/>
    <col min="13572" max="13572" width="39.42578125" style="20" customWidth="1"/>
    <col min="13573" max="13573" width="22" style="20" customWidth="1"/>
    <col min="13574" max="13574" width="22.42578125" style="20" customWidth="1"/>
    <col min="13575" max="13575" width="22.28515625" style="20" customWidth="1"/>
    <col min="13576" max="13579" width="21.7109375" style="20" customWidth="1"/>
    <col min="13580" max="13580" width="18.28515625" style="20" customWidth="1"/>
    <col min="13581" max="13581" width="21.28515625" style="20" customWidth="1"/>
    <col min="13582" max="13582" width="19.7109375" style="20" customWidth="1"/>
    <col min="13583" max="13584" width="21.7109375" style="20" customWidth="1"/>
    <col min="13585" max="13585" width="23.7109375" style="20" customWidth="1"/>
    <col min="13586" max="13586" width="20.7109375" style="20" customWidth="1"/>
    <col min="13587" max="13587" width="13" style="20" bestFit="1" customWidth="1"/>
    <col min="13588" max="13825" width="9.140625" style="20"/>
    <col min="13826" max="13826" width="5.7109375" style="20" customWidth="1"/>
    <col min="13827" max="13827" width="19.85546875" style="20" customWidth="1"/>
    <col min="13828" max="13828" width="39.42578125" style="20" customWidth="1"/>
    <col min="13829" max="13829" width="22" style="20" customWidth="1"/>
    <col min="13830" max="13830" width="22.42578125" style="20" customWidth="1"/>
    <col min="13831" max="13831" width="22.28515625" style="20" customWidth="1"/>
    <col min="13832" max="13835" width="21.7109375" style="20" customWidth="1"/>
    <col min="13836" max="13836" width="18.28515625" style="20" customWidth="1"/>
    <col min="13837" max="13837" width="21.28515625" style="20" customWidth="1"/>
    <col min="13838" max="13838" width="19.7109375" style="20" customWidth="1"/>
    <col min="13839" max="13840" width="21.7109375" style="20" customWidth="1"/>
    <col min="13841" max="13841" width="23.7109375" style="20" customWidth="1"/>
    <col min="13842" max="13842" width="20.7109375" style="20" customWidth="1"/>
    <col min="13843" max="13843" width="13" style="20" bestFit="1" customWidth="1"/>
    <col min="13844" max="14081" width="9.140625" style="20"/>
    <col min="14082" max="14082" width="5.7109375" style="20" customWidth="1"/>
    <col min="14083" max="14083" width="19.85546875" style="20" customWidth="1"/>
    <col min="14084" max="14084" width="39.42578125" style="20" customWidth="1"/>
    <col min="14085" max="14085" width="22" style="20" customWidth="1"/>
    <col min="14086" max="14086" width="22.42578125" style="20" customWidth="1"/>
    <col min="14087" max="14087" width="22.28515625" style="20" customWidth="1"/>
    <col min="14088" max="14091" width="21.7109375" style="20" customWidth="1"/>
    <col min="14092" max="14092" width="18.28515625" style="20" customWidth="1"/>
    <col min="14093" max="14093" width="21.28515625" style="20" customWidth="1"/>
    <col min="14094" max="14094" width="19.7109375" style="20" customWidth="1"/>
    <col min="14095" max="14096" width="21.7109375" style="20" customWidth="1"/>
    <col min="14097" max="14097" width="23.7109375" style="20" customWidth="1"/>
    <col min="14098" max="14098" width="20.7109375" style="20" customWidth="1"/>
    <col min="14099" max="14099" width="13" style="20" bestFit="1" customWidth="1"/>
    <col min="14100" max="14337" width="9.140625" style="20"/>
    <col min="14338" max="14338" width="5.7109375" style="20" customWidth="1"/>
    <col min="14339" max="14339" width="19.85546875" style="20" customWidth="1"/>
    <col min="14340" max="14340" width="39.42578125" style="20" customWidth="1"/>
    <col min="14341" max="14341" width="22" style="20" customWidth="1"/>
    <col min="14342" max="14342" width="22.42578125" style="20" customWidth="1"/>
    <col min="14343" max="14343" width="22.28515625" style="20" customWidth="1"/>
    <col min="14344" max="14347" width="21.7109375" style="20" customWidth="1"/>
    <col min="14348" max="14348" width="18.28515625" style="20" customWidth="1"/>
    <col min="14349" max="14349" width="21.28515625" style="20" customWidth="1"/>
    <col min="14350" max="14350" width="19.7109375" style="20" customWidth="1"/>
    <col min="14351" max="14352" width="21.7109375" style="20" customWidth="1"/>
    <col min="14353" max="14353" width="23.7109375" style="20" customWidth="1"/>
    <col min="14354" max="14354" width="20.7109375" style="20" customWidth="1"/>
    <col min="14355" max="14355" width="13" style="20" bestFit="1" customWidth="1"/>
    <col min="14356" max="14593" width="9.140625" style="20"/>
    <col min="14594" max="14594" width="5.7109375" style="20" customWidth="1"/>
    <col min="14595" max="14595" width="19.85546875" style="20" customWidth="1"/>
    <col min="14596" max="14596" width="39.42578125" style="20" customWidth="1"/>
    <col min="14597" max="14597" width="22" style="20" customWidth="1"/>
    <col min="14598" max="14598" width="22.42578125" style="20" customWidth="1"/>
    <col min="14599" max="14599" width="22.28515625" style="20" customWidth="1"/>
    <col min="14600" max="14603" width="21.7109375" style="20" customWidth="1"/>
    <col min="14604" max="14604" width="18.28515625" style="20" customWidth="1"/>
    <col min="14605" max="14605" width="21.28515625" style="20" customWidth="1"/>
    <col min="14606" max="14606" width="19.7109375" style="20" customWidth="1"/>
    <col min="14607" max="14608" width="21.7109375" style="20" customWidth="1"/>
    <col min="14609" max="14609" width="23.7109375" style="20" customWidth="1"/>
    <col min="14610" max="14610" width="20.7109375" style="20" customWidth="1"/>
    <col min="14611" max="14611" width="13" style="20" bestFit="1" customWidth="1"/>
    <col min="14612" max="14849" width="9.140625" style="20"/>
    <col min="14850" max="14850" width="5.7109375" style="20" customWidth="1"/>
    <col min="14851" max="14851" width="19.85546875" style="20" customWidth="1"/>
    <col min="14852" max="14852" width="39.42578125" style="20" customWidth="1"/>
    <col min="14853" max="14853" width="22" style="20" customWidth="1"/>
    <col min="14854" max="14854" width="22.42578125" style="20" customWidth="1"/>
    <col min="14855" max="14855" width="22.28515625" style="20" customWidth="1"/>
    <col min="14856" max="14859" width="21.7109375" style="20" customWidth="1"/>
    <col min="14860" max="14860" width="18.28515625" style="20" customWidth="1"/>
    <col min="14861" max="14861" width="21.28515625" style="20" customWidth="1"/>
    <col min="14862" max="14862" width="19.7109375" style="20" customWidth="1"/>
    <col min="14863" max="14864" width="21.7109375" style="20" customWidth="1"/>
    <col min="14865" max="14865" width="23.7109375" style="20" customWidth="1"/>
    <col min="14866" max="14866" width="20.7109375" style="20" customWidth="1"/>
    <col min="14867" max="14867" width="13" style="20" bestFit="1" customWidth="1"/>
    <col min="14868" max="15105" width="9.140625" style="20"/>
    <col min="15106" max="15106" width="5.7109375" style="20" customWidth="1"/>
    <col min="15107" max="15107" width="19.85546875" style="20" customWidth="1"/>
    <col min="15108" max="15108" width="39.42578125" style="20" customWidth="1"/>
    <col min="15109" max="15109" width="22" style="20" customWidth="1"/>
    <col min="15110" max="15110" width="22.42578125" style="20" customWidth="1"/>
    <col min="15111" max="15111" width="22.28515625" style="20" customWidth="1"/>
    <col min="15112" max="15115" width="21.7109375" style="20" customWidth="1"/>
    <col min="15116" max="15116" width="18.28515625" style="20" customWidth="1"/>
    <col min="15117" max="15117" width="21.28515625" style="20" customWidth="1"/>
    <col min="15118" max="15118" width="19.7109375" style="20" customWidth="1"/>
    <col min="15119" max="15120" width="21.7109375" style="20" customWidth="1"/>
    <col min="15121" max="15121" width="23.7109375" style="20" customWidth="1"/>
    <col min="15122" max="15122" width="20.7109375" style="20" customWidth="1"/>
    <col min="15123" max="15123" width="13" style="20" bestFit="1" customWidth="1"/>
    <col min="15124" max="15361" width="9.140625" style="20"/>
    <col min="15362" max="15362" width="5.7109375" style="20" customWidth="1"/>
    <col min="15363" max="15363" width="19.85546875" style="20" customWidth="1"/>
    <col min="15364" max="15364" width="39.42578125" style="20" customWidth="1"/>
    <col min="15365" max="15365" width="22" style="20" customWidth="1"/>
    <col min="15366" max="15366" width="22.42578125" style="20" customWidth="1"/>
    <col min="15367" max="15367" width="22.28515625" style="20" customWidth="1"/>
    <col min="15368" max="15371" width="21.7109375" style="20" customWidth="1"/>
    <col min="15372" max="15372" width="18.28515625" style="20" customWidth="1"/>
    <col min="15373" max="15373" width="21.28515625" style="20" customWidth="1"/>
    <col min="15374" max="15374" width="19.7109375" style="20" customWidth="1"/>
    <col min="15375" max="15376" width="21.7109375" style="20" customWidth="1"/>
    <col min="15377" max="15377" width="23.7109375" style="20" customWidth="1"/>
    <col min="15378" max="15378" width="20.7109375" style="20" customWidth="1"/>
    <col min="15379" max="15379" width="13" style="20" bestFit="1" customWidth="1"/>
    <col min="15380" max="15617" width="9.140625" style="20"/>
    <col min="15618" max="15618" width="5.7109375" style="20" customWidth="1"/>
    <col min="15619" max="15619" width="19.85546875" style="20" customWidth="1"/>
    <col min="15620" max="15620" width="39.42578125" style="20" customWidth="1"/>
    <col min="15621" max="15621" width="22" style="20" customWidth="1"/>
    <col min="15622" max="15622" width="22.42578125" style="20" customWidth="1"/>
    <col min="15623" max="15623" width="22.28515625" style="20" customWidth="1"/>
    <col min="15624" max="15627" width="21.7109375" style="20" customWidth="1"/>
    <col min="15628" max="15628" width="18.28515625" style="20" customWidth="1"/>
    <col min="15629" max="15629" width="21.28515625" style="20" customWidth="1"/>
    <col min="15630" max="15630" width="19.7109375" style="20" customWidth="1"/>
    <col min="15631" max="15632" width="21.7109375" style="20" customWidth="1"/>
    <col min="15633" max="15633" width="23.7109375" style="20" customWidth="1"/>
    <col min="15634" max="15634" width="20.7109375" style="20" customWidth="1"/>
    <col min="15635" max="15635" width="13" style="20" bestFit="1" customWidth="1"/>
    <col min="15636" max="15873" width="9.140625" style="20"/>
    <col min="15874" max="15874" width="5.7109375" style="20" customWidth="1"/>
    <col min="15875" max="15875" width="19.85546875" style="20" customWidth="1"/>
    <col min="15876" max="15876" width="39.42578125" style="20" customWidth="1"/>
    <col min="15877" max="15877" width="22" style="20" customWidth="1"/>
    <col min="15878" max="15878" width="22.42578125" style="20" customWidth="1"/>
    <col min="15879" max="15879" width="22.28515625" style="20" customWidth="1"/>
    <col min="15880" max="15883" width="21.7109375" style="20" customWidth="1"/>
    <col min="15884" max="15884" width="18.28515625" style="20" customWidth="1"/>
    <col min="15885" max="15885" width="21.28515625" style="20" customWidth="1"/>
    <col min="15886" max="15886" width="19.7109375" style="20" customWidth="1"/>
    <col min="15887" max="15888" width="21.7109375" style="20" customWidth="1"/>
    <col min="15889" max="15889" width="23.7109375" style="20" customWidth="1"/>
    <col min="15890" max="15890" width="20.7109375" style="20" customWidth="1"/>
    <col min="15891" max="15891" width="13" style="20" bestFit="1" customWidth="1"/>
    <col min="15892" max="16129" width="9.140625" style="20"/>
    <col min="16130" max="16130" width="5.7109375" style="20" customWidth="1"/>
    <col min="16131" max="16131" width="19.85546875" style="20" customWidth="1"/>
    <col min="16132" max="16132" width="39.42578125" style="20" customWidth="1"/>
    <col min="16133" max="16133" width="22" style="20" customWidth="1"/>
    <col min="16134" max="16134" width="22.42578125" style="20" customWidth="1"/>
    <col min="16135" max="16135" width="22.28515625" style="20" customWidth="1"/>
    <col min="16136" max="16139" width="21.7109375" style="20" customWidth="1"/>
    <col min="16140" max="16140" width="18.28515625" style="20" customWidth="1"/>
    <col min="16141" max="16141" width="21.28515625" style="20" customWidth="1"/>
    <col min="16142" max="16142" width="19.7109375" style="20" customWidth="1"/>
    <col min="16143" max="16144" width="21.7109375" style="20" customWidth="1"/>
    <col min="16145" max="16145" width="23.7109375" style="20" customWidth="1"/>
    <col min="16146" max="16146" width="20.7109375" style="20" customWidth="1"/>
    <col min="16147" max="16147" width="13" style="20" bestFit="1" customWidth="1"/>
    <col min="16148" max="16384" width="9.140625" style="20"/>
  </cols>
  <sheetData>
    <row r="1" spans="1:19" ht="26.25" customHeight="1">
      <c r="A1" s="79"/>
      <c r="B1" s="18"/>
      <c r="C1" s="77" t="s">
        <v>9</v>
      </c>
      <c r="D1" s="77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9" ht="19.5" customHeight="1">
      <c r="A2" s="79"/>
      <c r="B2" s="18"/>
      <c r="C2" s="78" t="s">
        <v>10</v>
      </c>
      <c r="D2" s="78"/>
      <c r="E2" s="22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9" ht="17.45" customHeight="1">
      <c r="A3" s="79"/>
      <c r="B3" s="18"/>
      <c r="C3" s="23">
        <v>1201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9" s="34" customFormat="1" ht="24" customHeight="1">
      <c r="A4" s="80"/>
      <c r="B4" s="40" t="s">
        <v>11</v>
      </c>
      <c r="C4" s="40" t="s">
        <v>12</v>
      </c>
      <c r="D4" s="40" t="s">
        <v>13</v>
      </c>
      <c r="E4" s="40" t="s">
        <v>14</v>
      </c>
      <c r="F4" s="40" t="s">
        <v>15</v>
      </c>
      <c r="G4" s="40" t="s">
        <v>16</v>
      </c>
      <c r="H4" s="40" t="s">
        <v>17</v>
      </c>
      <c r="I4" s="40" t="s">
        <v>18</v>
      </c>
      <c r="J4" s="40" t="s">
        <v>19</v>
      </c>
      <c r="K4" s="40" t="s">
        <v>20</v>
      </c>
      <c r="L4" s="40" t="s">
        <v>21</v>
      </c>
      <c r="M4" s="40" t="s">
        <v>22</v>
      </c>
      <c r="N4" s="40" t="s">
        <v>23</v>
      </c>
      <c r="O4" s="40" t="s">
        <v>24</v>
      </c>
      <c r="P4" s="40" t="s">
        <v>25</v>
      </c>
      <c r="Q4" s="54"/>
      <c r="R4" s="37"/>
    </row>
    <row r="5" spans="1:19" ht="3" customHeight="1">
      <c r="B5" s="69"/>
      <c r="C5" s="70"/>
      <c r="D5" s="71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22"/>
      <c r="R5" s="18"/>
    </row>
    <row r="6" spans="1:19" ht="17.45" customHeight="1">
      <c r="B6" s="24"/>
      <c r="C6" s="61" t="s">
        <v>26</v>
      </c>
      <c r="D6" s="57" t="s">
        <v>436</v>
      </c>
      <c r="E6" s="57" t="s">
        <v>436</v>
      </c>
      <c r="F6" s="57" t="s">
        <v>436</v>
      </c>
      <c r="G6" s="57" t="s">
        <v>436</v>
      </c>
      <c r="H6" s="57" t="s">
        <v>436</v>
      </c>
      <c r="I6" s="57" t="s">
        <v>436</v>
      </c>
      <c r="J6" s="57" t="s">
        <v>436</v>
      </c>
      <c r="K6" s="57" t="s">
        <v>436</v>
      </c>
      <c r="L6" s="57" t="s">
        <v>436</v>
      </c>
      <c r="M6" s="57" t="s">
        <v>436</v>
      </c>
      <c r="N6" s="57" t="s">
        <v>436</v>
      </c>
      <c r="O6" s="57" t="s">
        <v>436</v>
      </c>
      <c r="P6" s="57"/>
      <c r="Q6" s="22"/>
      <c r="R6" s="18"/>
    </row>
    <row r="7" spans="1:19" ht="17.45" customHeight="1">
      <c r="B7" s="24"/>
      <c r="C7" s="62" t="s">
        <v>27</v>
      </c>
      <c r="D7" s="57" t="s">
        <v>436</v>
      </c>
      <c r="E7" s="57" t="s">
        <v>436</v>
      </c>
      <c r="F7" s="57" t="s">
        <v>436</v>
      </c>
      <c r="G7" s="57" t="s">
        <v>436</v>
      </c>
      <c r="H7" s="57" t="s">
        <v>436</v>
      </c>
      <c r="I7" s="57" t="s">
        <v>436</v>
      </c>
      <c r="J7" s="57" t="s">
        <v>436</v>
      </c>
      <c r="K7" s="57" t="s">
        <v>436</v>
      </c>
      <c r="L7" s="57" t="s">
        <v>436</v>
      </c>
      <c r="M7" s="57" t="s">
        <v>436</v>
      </c>
      <c r="N7" s="57" t="s">
        <v>436</v>
      </c>
      <c r="O7" s="57" t="s">
        <v>436</v>
      </c>
      <c r="P7" s="57"/>
      <c r="Q7" s="22"/>
      <c r="R7" s="18"/>
    </row>
    <row r="8" spans="1:19" ht="17.45" customHeight="1">
      <c r="B8" s="29" t="s">
        <v>28</v>
      </c>
      <c r="C8" s="63" t="s">
        <v>29</v>
      </c>
      <c r="D8" s="57">
        <v>0</v>
      </c>
      <c r="E8" s="57">
        <v>0</v>
      </c>
      <c r="F8" s="57">
        <v>0</v>
      </c>
      <c r="G8" s="57">
        <v>0</v>
      </c>
      <c r="H8" s="57"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f>IFERROR(D8+E8+F8+G8+H8+I8+J8+K8+L8+M8+N8+O8,0)</f>
        <v>0</v>
      </c>
      <c r="Q8" s="22"/>
      <c r="R8" s="30"/>
      <c r="S8" s="22"/>
    </row>
    <row r="9" spans="1:19" ht="17.45" customHeight="1">
      <c r="B9" s="29" t="s">
        <v>30</v>
      </c>
      <c r="C9" s="63" t="s">
        <v>31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f>IFERROR(D9+E9+F9+G9+H9+I9+J9+K9+L9+M9+N9+O9,0)</f>
        <v>0</v>
      </c>
      <c r="Q9" s="22"/>
      <c r="R9" s="30"/>
      <c r="S9" s="22"/>
    </row>
    <row r="10" spans="1:19" ht="17.45" customHeight="1">
      <c r="B10" s="29" t="s">
        <v>32</v>
      </c>
      <c r="C10" s="63" t="s">
        <v>33</v>
      </c>
      <c r="D10" s="57">
        <v>0</v>
      </c>
      <c r="E10" s="57">
        <v>0</v>
      </c>
      <c r="F10" s="57">
        <v>0</v>
      </c>
      <c r="G10" s="57">
        <v>0</v>
      </c>
      <c r="H10" s="57"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f>IFERROR(D10+E10+F10+G10+H10+I10+J10+K10+L10+M10+N10+O10,0)</f>
        <v>0</v>
      </c>
      <c r="Q10" s="22"/>
      <c r="R10" s="30"/>
      <c r="S10" s="22"/>
    </row>
    <row r="11" spans="1:19" ht="17.45" customHeight="1">
      <c r="B11" s="29" t="s">
        <v>34</v>
      </c>
      <c r="C11" s="63" t="s">
        <v>35</v>
      </c>
      <c r="D11" s="57">
        <v>0</v>
      </c>
      <c r="E11" s="57">
        <v>0</v>
      </c>
      <c r="F11" s="57">
        <v>0</v>
      </c>
      <c r="G11" s="57">
        <v>0</v>
      </c>
      <c r="H11" s="57"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f>IFERROR(D11+E11+F11+G11+H11+I11+J11+K11+L11+M11+N11+O11,0)</f>
        <v>0</v>
      </c>
      <c r="Q11" s="22"/>
      <c r="R11" s="30"/>
      <c r="S11" s="22"/>
    </row>
    <row r="12" spans="1:19" ht="17.45" customHeight="1">
      <c r="B12" s="29" t="s">
        <v>36</v>
      </c>
      <c r="C12" s="63" t="s">
        <v>37</v>
      </c>
      <c r="D12" s="57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57">
        <f>IFERROR(D12+E12+F12+G12+H12+I12+J12+K12+L12+M12+N12+O12,0)</f>
        <v>0</v>
      </c>
      <c r="Q12" s="22"/>
      <c r="R12" s="30"/>
      <c r="S12" s="22"/>
    </row>
    <row r="13" spans="1:19" ht="17.45" customHeight="1">
      <c r="B13" s="29" t="s">
        <v>38</v>
      </c>
      <c r="C13" s="63" t="s">
        <v>39</v>
      </c>
      <c r="D13" s="57">
        <v>0</v>
      </c>
      <c r="E13" s="57">
        <v>0</v>
      </c>
      <c r="F13" s="57">
        <v>0</v>
      </c>
      <c r="G13" s="57">
        <v>0</v>
      </c>
      <c r="H13" s="57">
        <v>0</v>
      </c>
      <c r="I13" s="57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57">
        <f>IFERROR(D13+E13+F13+G13+H13+I13+J13+K13+L13+M13+N13+O13,0)</f>
        <v>0</v>
      </c>
      <c r="Q13" s="22"/>
      <c r="R13" s="30"/>
      <c r="S13" s="22"/>
    </row>
    <row r="14" spans="1:19" ht="17.45" customHeight="1">
      <c r="B14" s="29"/>
      <c r="C14" s="63" t="s">
        <v>40</v>
      </c>
      <c r="D14" s="57">
        <v>0</v>
      </c>
      <c r="E14" s="57">
        <v>0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57">
        <v>0</v>
      </c>
      <c r="Q14" s="22"/>
      <c r="R14" s="30"/>
      <c r="S14" s="22"/>
    </row>
    <row r="15" spans="1:19" ht="17.45" customHeight="1">
      <c r="B15" s="41" t="s">
        <v>41</v>
      </c>
      <c r="C15" s="74" t="s">
        <v>27</v>
      </c>
      <c r="D15" s="73">
        <f t="shared" ref="D15:O15" si="0">SUM(D7:D13)</f>
        <v>0</v>
      </c>
      <c r="E15" s="73">
        <f t="shared" si="0"/>
        <v>0</v>
      </c>
      <c r="F15" s="73">
        <f t="shared" si="0"/>
        <v>0</v>
      </c>
      <c r="G15" s="73">
        <f t="shared" si="0"/>
        <v>0</v>
      </c>
      <c r="H15" s="73">
        <f t="shared" si="0"/>
        <v>0</v>
      </c>
      <c r="I15" s="73">
        <f t="shared" si="0"/>
        <v>0</v>
      </c>
      <c r="J15" s="73">
        <f t="shared" si="0"/>
        <v>0</v>
      </c>
      <c r="K15" s="73">
        <f t="shared" si="0"/>
        <v>0</v>
      </c>
      <c r="L15" s="73">
        <f t="shared" si="0"/>
        <v>0</v>
      </c>
      <c r="M15" s="73">
        <f t="shared" si="0"/>
        <v>0</v>
      </c>
      <c r="N15" s="73">
        <f t="shared" si="0"/>
        <v>0</v>
      </c>
      <c r="O15" s="73">
        <f t="shared" si="0"/>
        <v>0</v>
      </c>
      <c r="P15" s="73">
        <f>IFERROR(SUM(P7:P13),0)</f>
        <v>0</v>
      </c>
      <c r="Q15" s="22"/>
      <c r="R15" s="30"/>
      <c r="S15" s="22"/>
    </row>
    <row r="16" spans="1:19" ht="17.45" customHeight="1">
      <c r="B16" s="47" t="s">
        <v>42</v>
      </c>
      <c r="C16" s="64" t="s">
        <v>43</v>
      </c>
      <c r="D16" s="60">
        <f t="shared" ref="D16:O16" si="1">D15</f>
        <v>0</v>
      </c>
      <c r="E16" s="60">
        <f t="shared" si="1"/>
        <v>0</v>
      </c>
      <c r="F16" s="60">
        <f t="shared" si="1"/>
        <v>0</v>
      </c>
      <c r="G16" s="60">
        <f t="shared" si="1"/>
        <v>0</v>
      </c>
      <c r="H16" s="60">
        <f t="shared" si="1"/>
        <v>0</v>
      </c>
      <c r="I16" s="60">
        <f t="shared" si="1"/>
        <v>0</v>
      </c>
      <c r="J16" s="60">
        <f t="shared" si="1"/>
        <v>0</v>
      </c>
      <c r="K16" s="60">
        <f t="shared" si="1"/>
        <v>0</v>
      </c>
      <c r="L16" s="60">
        <f t="shared" si="1"/>
        <v>0</v>
      </c>
      <c r="M16" s="60">
        <f t="shared" si="1"/>
        <v>0</v>
      </c>
      <c r="N16" s="60">
        <f t="shared" si="1"/>
        <v>0</v>
      </c>
      <c r="O16" s="60">
        <f t="shared" si="1"/>
        <v>0</v>
      </c>
      <c r="P16" s="60">
        <f>IFERROR(P15,0)</f>
        <v>0</v>
      </c>
      <c r="Q16" s="22"/>
      <c r="R16" s="30"/>
      <c r="S16" s="22"/>
    </row>
    <row r="17" spans="2:19" ht="17.45" customHeight="1">
      <c r="B17" s="29"/>
      <c r="C17" s="61" t="s">
        <v>44</v>
      </c>
      <c r="D17" s="57">
        <v>0</v>
      </c>
      <c r="E17" s="57">
        <v>0</v>
      </c>
      <c r="F17" s="57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57">
        <f>IFERROR(D17+E17+F17+G17+H17+I17+J17+K17+L17+M17+N17+O17,0)</f>
        <v>0</v>
      </c>
      <c r="Q17" s="22"/>
      <c r="R17" s="30"/>
      <c r="S17" s="22"/>
    </row>
    <row r="18" spans="2:19" ht="17.45" customHeight="1">
      <c r="B18" s="29"/>
      <c r="C18" s="62" t="s">
        <v>45</v>
      </c>
      <c r="D18" s="57">
        <v>0</v>
      </c>
      <c r="E18" s="57">
        <v>0</v>
      </c>
      <c r="F18" s="57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57">
        <f>IFERROR(D18+E18+F18+G18+H18+I18+J18+K18+L18+M18+N18+O18,0)</f>
        <v>0</v>
      </c>
      <c r="Q18" s="22"/>
      <c r="R18" s="30"/>
      <c r="S18" s="22"/>
    </row>
    <row r="19" spans="2:19" ht="17.45" customHeight="1">
      <c r="B19" s="29" t="s">
        <v>46</v>
      </c>
      <c r="C19" s="63" t="s">
        <v>47</v>
      </c>
      <c r="D19" s="57">
        <v>68848.56</v>
      </c>
      <c r="E19" s="57">
        <v>0</v>
      </c>
      <c r="F19" s="57">
        <v>68848.56</v>
      </c>
      <c r="G19" s="57">
        <v>0</v>
      </c>
      <c r="H19" s="57">
        <v>0</v>
      </c>
      <c r="I19" s="57">
        <v>0</v>
      </c>
      <c r="J19" s="57">
        <v>74185.84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57">
        <f>IFERROR(D19+E19+F19+G19+H19+I19+J19+K19+L19+M19+N19+O19,0)</f>
        <v>211882.96</v>
      </c>
      <c r="Q19" s="22"/>
      <c r="R19" s="30"/>
      <c r="S19" s="22"/>
    </row>
    <row r="20" spans="2:19" ht="17.45" customHeight="1">
      <c r="B20" s="29" t="s">
        <v>48</v>
      </c>
      <c r="C20" s="25" t="s">
        <v>49</v>
      </c>
      <c r="D20" s="57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57">
        <f>IFERROR(D20+E20+F20+G20+H20+I20+J20+K20+L20+M20+N20+O20,0)</f>
        <v>0</v>
      </c>
      <c r="Q20" s="22"/>
      <c r="R20" s="30"/>
      <c r="S20" s="22"/>
    </row>
    <row r="21" spans="2:19" ht="17.45" customHeight="1">
      <c r="B21" s="29"/>
      <c r="C21" s="25" t="s">
        <v>50</v>
      </c>
      <c r="D21" s="57">
        <v>68848.56</v>
      </c>
      <c r="E21" s="57">
        <v>0</v>
      </c>
      <c r="F21" s="57">
        <v>68848.56</v>
      </c>
      <c r="G21" s="57">
        <v>0</v>
      </c>
      <c r="H21" s="57">
        <v>0</v>
      </c>
      <c r="I21" s="57">
        <v>0</v>
      </c>
      <c r="J21" s="57">
        <v>74185.84</v>
      </c>
      <c r="K21" s="57">
        <v>0</v>
      </c>
      <c r="L21" s="57">
        <v>0</v>
      </c>
      <c r="M21" s="57">
        <v>0</v>
      </c>
      <c r="N21" s="57">
        <v>0</v>
      </c>
      <c r="O21" s="57">
        <v>0</v>
      </c>
      <c r="P21" s="57">
        <f>IFERROR(D21+E21+F21+G21+H21+I21+J21+K21+L21+M21+N21+O21,0)</f>
        <v>211882.96</v>
      </c>
      <c r="Q21" s="22"/>
      <c r="R21" s="30"/>
      <c r="S21" s="22"/>
    </row>
    <row r="22" spans="2:19" ht="17.45" customHeight="1">
      <c r="B22" s="29" t="s">
        <v>51</v>
      </c>
      <c r="C22" s="25" t="s">
        <v>52</v>
      </c>
      <c r="D22" s="57">
        <v>0</v>
      </c>
      <c r="E22" s="57">
        <v>0</v>
      </c>
      <c r="F22" s="57">
        <v>0</v>
      </c>
      <c r="G22" s="57">
        <v>0</v>
      </c>
      <c r="H22" s="57">
        <v>0</v>
      </c>
      <c r="I22" s="57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57">
        <f>IFERROR(D22+E22+F22+G22+H22+I22+J22+K22+L22+M22+N22+O22,0)</f>
        <v>0</v>
      </c>
      <c r="Q22" s="22"/>
      <c r="R22" s="30"/>
      <c r="S22" s="22"/>
    </row>
    <row r="23" spans="2:19" ht="17.45" customHeight="1">
      <c r="B23" s="29" t="s">
        <v>53</v>
      </c>
      <c r="C23" s="25" t="s">
        <v>54</v>
      </c>
      <c r="D23" s="57">
        <v>0</v>
      </c>
      <c r="E23" s="57">
        <v>0</v>
      </c>
      <c r="F23" s="57">
        <v>0</v>
      </c>
      <c r="G23" s="57">
        <v>0</v>
      </c>
      <c r="H23" s="57">
        <v>0</v>
      </c>
      <c r="I23" s="57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57">
        <f>IFERROR(D23+E23+F23+G23+H23+I23+J23+K23+L23+M23+N23+O23,0)</f>
        <v>0</v>
      </c>
      <c r="Q23" s="22"/>
      <c r="R23" s="30"/>
      <c r="S23" s="22"/>
    </row>
    <row r="24" spans="2:19" ht="17.45" customHeight="1">
      <c r="B24" s="49"/>
      <c r="C24" s="50" t="s">
        <v>55</v>
      </c>
      <c r="D24" s="59">
        <f t="shared" ref="D24:O24" si="2">SUM(D18:D23)</f>
        <v>137697.12</v>
      </c>
      <c r="E24" s="59">
        <f t="shared" si="2"/>
        <v>0</v>
      </c>
      <c r="F24" s="59">
        <f t="shared" si="2"/>
        <v>137697.12</v>
      </c>
      <c r="G24" s="59">
        <f t="shared" si="2"/>
        <v>0</v>
      </c>
      <c r="H24" s="59">
        <f t="shared" si="2"/>
        <v>0</v>
      </c>
      <c r="I24" s="59">
        <f t="shared" si="2"/>
        <v>0</v>
      </c>
      <c r="J24" s="59">
        <f t="shared" si="2"/>
        <v>148371.68</v>
      </c>
      <c r="K24" s="59">
        <f t="shared" si="2"/>
        <v>0</v>
      </c>
      <c r="L24" s="59">
        <f t="shared" si="2"/>
        <v>0</v>
      </c>
      <c r="M24" s="59">
        <f t="shared" si="2"/>
        <v>0</v>
      </c>
      <c r="N24" s="59">
        <f t="shared" si="2"/>
        <v>0</v>
      </c>
      <c r="O24" s="59">
        <f t="shared" si="2"/>
        <v>0</v>
      </c>
      <c r="P24" s="59">
        <f>IFERROR(SUM(P18:P23),0)</f>
        <v>423765.92</v>
      </c>
      <c r="Q24" s="22"/>
      <c r="R24" s="30"/>
      <c r="S24" s="22"/>
    </row>
    <row r="25" spans="2:19" ht="17.45" customHeight="1">
      <c r="B25" s="29" t="s">
        <v>56</v>
      </c>
      <c r="C25" s="25" t="s">
        <v>57</v>
      </c>
      <c r="D25" s="57">
        <v>0</v>
      </c>
      <c r="E25" s="57">
        <v>0</v>
      </c>
      <c r="F25" s="57">
        <v>0</v>
      </c>
      <c r="G25" s="57">
        <v>0</v>
      </c>
      <c r="H25" s="57">
        <v>0</v>
      </c>
      <c r="I25" s="57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57">
        <f>IFERROR(D25+E25+F25+G25+H25+I25+J25+K25+L25+M25+N25+O25,0)</f>
        <v>0</v>
      </c>
      <c r="Q25" s="22"/>
      <c r="R25" s="30"/>
      <c r="S25" s="22"/>
    </row>
    <row r="26" spans="2:19" ht="17.45" customHeight="1">
      <c r="B26" s="29" t="s">
        <v>58</v>
      </c>
      <c r="C26" s="25" t="s">
        <v>59</v>
      </c>
      <c r="D26" s="57">
        <v>0</v>
      </c>
      <c r="E26" s="57">
        <v>0</v>
      </c>
      <c r="F26" s="57">
        <v>0</v>
      </c>
      <c r="G26" s="57">
        <v>0</v>
      </c>
      <c r="H26" s="57">
        <v>0</v>
      </c>
      <c r="I26" s="57">
        <v>0</v>
      </c>
      <c r="J26" s="57">
        <v>0</v>
      </c>
      <c r="K26" s="57">
        <v>0</v>
      </c>
      <c r="L26" s="57">
        <v>0</v>
      </c>
      <c r="M26" s="57">
        <v>0</v>
      </c>
      <c r="N26" s="57">
        <v>0</v>
      </c>
      <c r="O26" s="57">
        <v>0</v>
      </c>
      <c r="P26" s="57">
        <f>IFERROR(D26+E26+F26+G26+H26+I26+J26+K26+L26+M26+N26+O26,0)</f>
        <v>0</v>
      </c>
      <c r="Q26" s="22"/>
      <c r="R26" s="30"/>
      <c r="S26" s="22"/>
    </row>
    <row r="27" spans="2:19" ht="17.45" customHeight="1">
      <c r="B27" s="29" t="s">
        <v>60</v>
      </c>
      <c r="C27" s="25" t="s">
        <v>61</v>
      </c>
      <c r="D27" s="57">
        <v>0</v>
      </c>
      <c r="E27" s="57">
        <v>0</v>
      </c>
      <c r="F27" s="57">
        <v>0</v>
      </c>
      <c r="G27" s="57">
        <v>0</v>
      </c>
      <c r="H27" s="57">
        <v>0</v>
      </c>
      <c r="I27" s="57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57">
        <f>IFERROR(D27+E27+F27+G27+H27+I27+J27+K27+L27+M27+N27+O27,0)</f>
        <v>0</v>
      </c>
      <c r="Q27" s="22"/>
      <c r="R27" s="30"/>
      <c r="S27" s="22"/>
    </row>
    <row r="28" spans="2:19" ht="17.45" customHeight="1">
      <c r="B28" s="29" t="s">
        <v>62</v>
      </c>
      <c r="C28" s="25" t="s">
        <v>63</v>
      </c>
      <c r="D28" s="57">
        <v>0</v>
      </c>
      <c r="E28" s="57">
        <v>0</v>
      </c>
      <c r="F28" s="57">
        <v>0</v>
      </c>
      <c r="G28" s="57">
        <v>0</v>
      </c>
      <c r="H28" s="57">
        <v>0</v>
      </c>
      <c r="I28" s="57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57">
        <f>IFERROR(D28+E28+F28+G28+H28+I28+J28+K28+L28+M28+N28+O28,0)</f>
        <v>0</v>
      </c>
      <c r="Q28" s="22"/>
      <c r="R28" s="30"/>
      <c r="S28" s="22"/>
    </row>
    <row r="29" spans="2:19" ht="17.45" customHeight="1">
      <c r="B29" s="49"/>
      <c r="C29" s="50" t="s">
        <v>64</v>
      </c>
      <c r="D29" s="59">
        <f>D25</f>
        <v>0</v>
      </c>
      <c r="E29" s="59">
        <f t="shared" ref="E29:P29" si="3">E25</f>
        <v>0</v>
      </c>
      <c r="F29" s="59">
        <f t="shared" si="3"/>
        <v>0</v>
      </c>
      <c r="G29" s="59">
        <f t="shared" si="3"/>
        <v>0</v>
      </c>
      <c r="H29" s="59">
        <f t="shared" si="3"/>
        <v>0</v>
      </c>
      <c r="I29" s="59">
        <f t="shared" si="3"/>
        <v>0</v>
      </c>
      <c r="J29" s="59">
        <f t="shared" si="3"/>
        <v>0</v>
      </c>
      <c r="K29" s="59">
        <f t="shared" si="3"/>
        <v>0</v>
      </c>
      <c r="L29" s="59">
        <f t="shared" si="3"/>
        <v>0</v>
      </c>
      <c r="M29" s="59">
        <f t="shared" si="3"/>
        <v>0</v>
      </c>
      <c r="N29" s="59">
        <f t="shared" si="3"/>
        <v>0</v>
      </c>
      <c r="O29" s="59">
        <f t="shared" si="3"/>
        <v>0</v>
      </c>
      <c r="P29" s="59">
        <f>IFERROR(P25,0)</f>
        <v>0</v>
      </c>
      <c r="Q29" s="22"/>
      <c r="R29" s="30"/>
      <c r="S29" s="22"/>
    </row>
    <row r="30" spans="2:19" ht="17.45" customHeight="1">
      <c r="B30" s="29" t="s">
        <v>65</v>
      </c>
      <c r="C30" s="25" t="s">
        <v>66</v>
      </c>
      <c r="D30" s="57">
        <v>0</v>
      </c>
      <c r="E30" s="57">
        <v>0</v>
      </c>
      <c r="F30" s="57">
        <v>0</v>
      </c>
      <c r="G30" s="57">
        <v>0</v>
      </c>
      <c r="H30" s="57">
        <v>0</v>
      </c>
      <c r="I30" s="57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57">
        <f>IFERROR(D30+E30+F30+G30+H30+I30+J30+K30+L30+M30+N30+O30,0)</f>
        <v>0</v>
      </c>
      <c r="Q30" s="22"/>
      <c r="R30" s="30"/>
      <c r="S30" s="22"/>
    </row>
    <row r="31" spans="2:19" ht="17.45" customHeight="1">
      <c r="B31" s="29" t="s">
        <v>67</v>
      </c>
      <c r="C31" s="25" t="s">
        <v>68</v>
      </c>
      <c r="D31" s="57">
        <v>0</v>
      </c>
      <c r="E31" s="57">
        <v>0</v>
      </c>
      <c r="F31" s="57">
        <v>0</v>
      </c>
      <c r="G31" s="57">
        <v>0</v>
      </c>
      <c r="H31" s="57">
        <v>0</v>
      </c>
      <c r="I31" s="57">
        <v>0</v>
      </c>
      <c r="J31" s="57">
        <v>0</v>
      </c>
      <c r="K31" s="57">
        <v>0</v>
      </c>
      <c r="L31" s="57">
        <v>0</v>
      </c>
      <c r="M31" s="57">
        <v>0</v>
      </c>
      <c r="N31" s="57">
        <v>0</v>
      </c>
      <c r="O31" s="57">
        <v>0</v>
      </c>
      <c r="P31" s="57">
        <f>IFERROR(D31+E31+F31+G31+H31+I31+J31+K31+L31+M31+N31+O31,0)</f>
        <v>0</v>
      </c>
      <c r="Q31" s="22"/>
      <c r="R31" s="30"/>
      <c r="S31" s="22"/>
    </row>
    <row r="32" spans="2:19" ht="17.45" customHeight="1">
      <c r="B32" s="29" t="s">
        <v>69</v>
      </c>
      <c r="C32" s="25" t="s">
        <v>70</v>
      </c>
      <c r="D32" s="57" t="s">
        <v>432</v>
      </c>
      <c r="E32" s="57">
        <v>0</v>
      </c>
      <c r="F32" s="57" t="s">
        <v>432</v>
      </c>
      <c r="G32" s="57">
        <v>0</v>
      </c>
      <c r="H32" s="57">
        <v>0</v>
      </c>
      <c r="I32" s="57">
        <v>0</v>
      </c>
      <c r="J32" s="57" t="s">
        <v>432</v>
      </c>
      <c r="K32" s="57" t="s">
        <v>432</v>
      </c>
      <c r="L32" s="57">
        <v>0</v>
      </c>
      <c r="M32" s="57">
        <v>0</v>
      </c>
      <c r="N32" s="57">
        <v>0</v>
      </c>
      <c r="O32" s="57">
        <v>0</v>
      </c>
      <c r="P32" s="57">
        <f>IFERROR(D32+E32+F32+G32+H32+I32+J32+K32+L32+M32+N32+O32,0)</f>
        <v>0</v>
      </c>
      <c r="Q32" s="22"/>
      <c r="R32" s="30"/>
      <c r="S32" s="22"/>
    </row>
    <row r="33" spans="2:19" ht="17.45" customHeight="1">
      <c r="B33" s="29" t="s">
        <v>71</v>
      </c>
      <c r="C33" s="25" t="s">
        <v>72</v>
      </c>
      <c r="D33" s="57">
        <v>0</v>
      </c>
      <c r="E33" s="57">
        <v>0</v>
      </c>
      <c r="F33" s="57">
        <v>0</v>
      </c>
      <c r="G33" s="57">
        <v>0</v>
      </c>
      <c r="H33" s="57">
        <v>0</v>
      </c>
      <c r="I33" s="57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57">
        <f>IFERROR(D33+E33+F33+G33+H33+I33+J33+K33+L33+M33+N33+O33,0)</f>
        <v>0</v>
      </c>
      <c r="Q33" s="22"/>
      <c r="R33" s="30"/>
      <c r="S33" s="22"/>
    </row>
    <row r="34" spans="2:19" ht="17.45" customHeight="1">
      <c r="B34" s="65"/>
      <c r="C34" s="66" t="s">
        <v>73</v>
      </c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>
        <v>0</v>
      </c>
      <c r="Q34" s="22"/>
      <c r="R34" s="30"/>
      <c r="S34" s="22"/>
    </row>
    <row r="35" spans="2:19" ht="17.45" customHeight="1">
      <c r="B35" s="65" t="s">
        <v>74</v>
      </c>
      <c r="C35" s="66" t="s">
        <v>75</v>
      </c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>
        <v>0</v>
      </c>
      <c r="Q35" s="22"/>
      <c r="R35" s="30"/>
      <c r="S35" s="22"/>
    </row>
    <row r="36" spans="2:19" ht="17.45" customHeight="1">
      <c r="B36" s="47" t="s">
        <v>76</v>
      </c>
      <c r="C36" s="48" t="s">
        <v>77</v>
      </c>
      <c r="D36" s="59">
        <f t="shared" ref="D36:O36" si="4">D24+D29+D34+D35</f>
        <v>137697.12</v>
      </c>
      <c r="E36" s="59">
        <f t="shared" si="4"/>
        <v>0</v>
      </c>
      <c r="F36" s="59">
        <f t="shared" si="4"/>
        <v>137697.12</v>
      </c>
      <c r="G36" s="59">
        <f t="shared" si="4"/>
        <v>0</v>
      </c>
      <c r="H36" s="59">
        <f t="shared" si="4"/>
        <v>0</v>
      </c>
      <c r="I36" s="59">
        <f t="shared" si="4"/>
        <v>0</v>
      </c>
      <c r="J36" s="59">
        <f t="shared" si="4"/>
        <v>148371.68</v>
      </c>
      <c r="K36" s="59">
        <f t="shared" si="4"/>
        <v>0</v>
      </c>
      <c r="L36" s="59">
        <f t="shared" si="4"/>
        <v>0</v>
      </c>
      <c r="M36" s="59">
        <f t="shared" si="4"/>
        <v>0</v>
      </c>
      <c r="N36" s="59">
        <f t="shared" si="4"/>
        <v>0</v>
      </c>
      <c r="O36" s="59">
        <f t="shared" si="4"/>
        <v>0</v>
      </c>
      <c r="P36" s="59">
        <f>IFERROR(P24+P29+P34+P35,0)</f>
        <v>423765.92</v>
      </c>
      <c r="Q36" s="22"/>
      <c r="R36" s="30"/>
      <c r="S36" s="22"/>
    </row>
    <row r="37" spans="2:19" ht="17.45" customHeight="1">
      <c r="B37" s="29"/>
      <c r="C37" s="31" t="s">
        <v>78</v>
      </c>
      <c r="D37" s="57">
        <v>0</v>
      </c>
      <c r="E37" s="57">
        <v>0</v>
      </c>
      <c r="F37" s="57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57">
        <f>IFERROR(D37+E37+F37+G37+H37+I37+J37+K37+L37+M37+N37+O37,0)</f>
        <v>0</v>
      </c>
      <c r="Q37" s="22"/>
      <c r="R37" s="30"/>
      <c r="S37" s="22"/>
    </row>
    <row r="38" spans="2:19" ht="17.45" customHeight="1">
      <c r="B38" s="29" t="s">
        <v>79</v>
      </c>
      <c r="C38" s="28" t="s">
        <v>80</v>
      </c>
      <c r="D38" s="57">
        <v>0</v>
      </c>
      <c r="E38" s="57">
        <v>0</v>
      </c>
      <c r="F38" s="57">
        <v>0</v>
      </c>
      <c r="G38" s="57">
        <v>0</v>
      </c>
      <c r="H38" s="57">
        <v>0</v>
      </c>
      <c r="I38" s="57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57">
        <f>IFERROR(D38+E38+F38+G38+H38+I38+J38+K38+L38+M38+N38+O38,0)</f>
        <v>0</v>
      </c>
      <c r="Q38" s="22"/>
      <c r="R38" s="30"/>
      <c r="S38" s="22"/>
    </row>
    <row r="39" spans="2:19" ht="17.45" customHeight="1">
      <c r="B39" s="29" t="s">
        <v>81</v>
      </c>
      <c r="C39" s="25" t="s">
        <v>82</v>
      </c>
      <c r="D39" s="57">
        <v>0</v>
      </c>
      <c r="E39" s="57">
        <v>0</v>
      </c>
      <c r="F39" s="57">
        <v>0</v>
      </c>
      <c r="G39" s="57">
        <v>0</v>
      </c>
      <c r="H39" s="57">
        <v>0</v>
      </c>
      <c r="I39" s="57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57">
        <f>IFERROR(D39+E39+F39+G39+H39+I39+J39+K39+L39+M39+N39+O39,0)</f>
        <v>0</v>
      </c>
      <c r="Q39" s="22"/>
      <c r="R39" s="30"/>
      <c r="S39" s="22"/>
    </row>
    <row r="40" spans="2:19" ht="17.45" customHeight="1">
      <c r="B40" s="29"/>
      <c r="C40" s="28" t="s">
        <v>83</v>
      </c>
      <c r="D40" s="57">
        <v>0</v>
      </c>
      <c r="E40" s="57">
        <v>0</v>
      </c>
      <c r="F40" s="57">
        <v>0</v>
      </c>
      <c r="G40" s="57">
        <v>0</v>
      </c>
      <c r="H40" s="57">
        <v>0</v>
      </c>
      <c r="I40" s="57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57">
        <f>IFERROR(D40+E40+F40+G40+H40+I40+J40+K40+L40+M40+N40+O40,0)</f>
        <v>0</v>
      </c>
      <c r="Q40" s="22"/>
      <c r="R40" s="30"/>
      <c r="S40" s="22"/>
    </row>
    <row r="41" spans="2:19" ht="17.45" customHeight="1">
      <c r="B41" s="29" t="s">
        <v>84</v>
      </c>
      <c r="C41" s="25" t="s">
        <v>85</v>
      </c>
      <c r="D41" s="57">
        <v>0</v>
      </c>
      <c r="E41" s="57">
        <v>0</v>
      </c>
      <c r="F41" s="57">
        <v>0</v>
      </c>
      <c r="G41" s="57">
        <v>0</v>
      </c>
      <c r="H41" s="57">
        <v>0</v>
      </c>
      <c r="I41" s="57">
        <v>0</v>
      </c>
      <c r="J41" s="57">
        <v>0</v>
      </c>
      <c r="K41" s="57">
        <v>0</v>
      </c>
      <c r="L41" s="57">
        <v>0</v>
      </c>
      <c r="M41" s="57">
        <v>0</v>
      </c>
      <c r="N41" s="57">
        <v>0</v>
      </c>
      <c r="O41" s="57">
        <v>0</v>
      </c>
      <c r="P41" s="57">
        <f>IFERROR(D41+E41+F41+G41+H41+I41+J41+K41+L41+M41+N41+O41,0)</f>
        <v>0</v>
      </c>
      <c r="Q41" s="22"/>
      <c r="R41" s="30"/>
      <c r="S41" s="22"/>
    </row>
    <row r="42" spans="2:19" ht="17.45" customHeight="1">
      <c r="B42" s="29" t="s">
        <v>86</v>
      </c>
      <c r="C42" s="25" t="s">
        <v>87</v>
      </c>
      <c r="D42" s="57">
        <v>0</v>
      </c>
      <c r="E42" s="57">
        <v>0</v>
      </c>
      <c r="F42" s="57">
        <v>0</v>
      </c>
      <c r="G42" s="57">
        <v>0</v>
      </c>
      <c r="H42" s="57">
        <v>0</v>
      </c>
      <c r="I42" s="57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57">
        <f>IFERROR(D42+E42+F42+G42+H42+I42+J42+K42+L42+M42+N42+O42,0)</f>
        <v>0</v>
      </c>
      <c r="Q42" s="22"/>
      <c r="R42" s="30"/>
      <c r="S42" s="22"/>
    </row>
    <row r="43" spans="2:19" ht="17.45" customHeight="1">
      <c r="B43" s="29"/>
      <c r="C43" s="25" t="s">
        <v>88</v>
      </c>
      <c r="D43" s="57">
        <v>0</v>
      </c>
      <c r="E43" s="57">
        <v>0</v>
      </c>
      <c r="F43" s="57">
        <v>0</v>
      </c>
      <c r="G43" s="57">
        <v>0</v>
      </c>
      <c r="H43" s="57">
        <v>0</v>
      </c>
      <c r="I43" s="57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57">
        <v>0</v>
      </c>
      <c r="Q43" s="22"/>
      <c r="R43" s="30"/>
      <c r="S43" s="22"/>
    </row>
    <row r="44" spans="2:19" ht="17.45" customHeight="1">
      <c r="B44" s="29" t="s">
        <v>89</v>
      </c>
      <c r="C44" s="25" t="s">
        <v>90</v>
      </c>
      <c r="D44" s="57">
        <v>0</v>
      </c>
      <c r="E44" s="57">
        <v>0</v>
      </c>
      <c r="F44" s="57">
        <v>0</v>
      </c>
      <c r="G44" s="57">
        <v>0</v>
      </c>
      <c r="H44" s="57">
        <v>0</v>
      </c>
      <c r="I44" s="57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57">
        <v>0</v>
      </c>
      <c r="Q44" s="22"/>
      <c r="R44" s="30"/>
      <c r="S44" s="22"/>
    </row>
    <row r="45" spans="2:19" ht="17.45" customHeight="1">
      <c r="B45" s="29"/>
      <c r="C45" s="25" t="s">
        <v>91</v>
      </c>
      <c r="D45" s="57">
        <v>0</v>
      </c>
      <c r="E45" s="57">
        <v>0</v>
      </c>
      <c r="F45" s="57">
        <v>0</v>
      </c>
      <c r="G45" s="57">
        <v>0</v>
      </c>
      <c r="H45" s="57">
        <v>0</v>
      </c>
      <c r="I45" s="57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57">
        <v>0</v>
      </c>
      <c r="Q45" s="22"/>
      <c r="R45" s="30"/>
      <c r="S45" s="22"/>
    </row>
    <row r="46" spans="2:19" ht="17.45" customHeight="1">
      <c r="B46" s="29"/>
      <c r="C46" s="25" t="s">
        <v>92</v>
      </c>
      <c r="D46" s="57">
        <v>0</v>
      </c>
      <c r="E46" s="57">
        <v>0</v>
      </c>
      <c r="F46" s="57">
        <v>0</v>
      </c>
      <c r="G46" s="57">
        <v>0</v>
      </c>
      <c r="H46" s="57">
        <v>0</v>
      </c>
      <c r="I46" s="57">
        <v>0</v>
      </c>
      <c r="J46" s="57">
        <v>0</v>
      </c>
      <c r="K46" s="57">
        <v>0</v>
      </c>
      <c r="L46" s="57">
        <v>0</v>
      </c>
      <c r="M46" s="57">
        <v>0</v>
      </c>
      <c r="N46" s="57">
        <v>0</v>
      </c>
      <c r="O46" s="57">
        <v>0</v>
      </c>
      <c r="P46" s="57">
        <v>0</v>
      </c>
      <c r="Q46" s="22"/>
      <c r="R46" s="30"/>
      <c r="S46" s="22"/>
    </row>
    <row r="47" spans="2:19" ht="17.45" customHeight="1">
      <c r="B47" s="46" t="s">
        <v>93</v>
      </c>
      <c r="C47" s="45" t="s">
        <v>83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>
        <f>IFERROR(SUM(D47:O47),0)</f>
        <v>0</v>
      </c>
      <c r="Q47" s="22"/>
      <c r="R47" s="30"/>
      <c r="S47" s="22"/>
    </row>
    <row r="48" spans="2:19" ht="17.45" customHeight="1">
      <c r="B48" s="29"/>
      <c r="C48" s="28" t="s">
        <v>94</v>
      </c>
      <c r="D48" s="57">
        <v>0</v>
      </c>
      <c r="E48" s="57">
        <v>0</v>
      </c>
      <c r="F48" s="57">
        <v>0</v>
      </c>
      <c r="G48" s="57">
        <v>0</v>
      </c>
      <c r="H48" s="57">
        <v>0</v>
      </c>
      <c r="I48" s="57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57">
        <f>IFERROR(D48+E48+F48+G48+H48+I48+J48+K48+L48+M48+N48+O48,0)</f>
        <v>0</v>
      </c>
      <c r="Q48" s="22"/>
      <c r="R48" s="30"/>
      <c r="S48" s="22"/>
    </row>
    <row r="49" spans="2:19" ht="17.45" customHeight="1">
      <c r="B49" s="29" t="s">
        <v>95</v>
      </c>
      <c r="C49" s="25" t="s">
        <v>96</v>
      </c>
      <c r="D49" s="57">
        <v>0</v>
      </c>
      <c r="E49" s="57">
        <v>0</v>
      </c>
      <c r="F49" s="57">
        <v>0</v>
      </c>
      <c r="G49" s="57">
        <v>0</v>
      </c>
      <c r="H49" s="57">
        <v>0</v>
      </c>
      <c r="I49" s="57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57">
        <f>IFERROR(D49+E49+F49+G49+H49+I49+J49+K49+L49+M49+N49+O49,0)</f>
        <v>0</v>
      </c>
      <c r="Q49" s="22"/>
      <c r="R49" s="30"/>
      <c r="S49" s="22"/>
    </row>
    <row r="50" spans="2:19" ht="17.45" customHeight="1">
      <c r="B50" s="29" t="s">
        <v>97</v>
      </c>
      <c r="C50" s="25" t="s">
        <v>98</v>
      </c>
      <c r="D50" s="57">
        <v>0</v>
      </c>
      <c r="E50" s="57">
        <v>0</v>
      </c>
      <c r="F50" s="57">
        <v>0</v>
      </c>
      <c r="G50" s="57">
        <v>0</v>
      </c>
      <c r="H50" s="57">
        <v>0</v>
      </c>
      <c r="I50" s="57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57">
        <f>IFERROR(D50+E50+F50+G50+H50+I50+J50+K50+L50+M50+N50+O50,0)</f>
        <v>0</v>
      </c>
      <c r="Q50" s="22"/>
      <c r="R50" s="30"/>
      <c r="S50" s="22"/>
    </row>
    <row r="51" spans="2:19" ht="17.45" customHeight="1">
      <c r="B51" s="29" t="s">
        <v>99</v>
      </c>
      <c r="C51" s="25" t="s">
        <v>100</v>
      </c>
      <c r="D51" s="57">
        <v>0</v>
      </c>
      <c r="E51" s="57">
        <v>0</v>
      </c>
      <c r="F51" s="57">
        <v>0</v>
      </c>
      <c r="G51" s="57">
        <v>0</v>
      </c>
      <c r="H51" s="57">
        <v>0</v>
      </c>
      <c r="I51" s="57">
        <v>0</v>
      </c>
      <c r="J51" s="57">
        <v>0</v>
      </c>
      <c r="K51" s="57">
        <v>0</v>
      </c>
      <c r="L51" s="57">
        <v>0</v>
      </c>
      <c r="M51" s="57">
        <v>0</v>
      </c>
      <c r="N51" s="57">
        <v>0</v>
      </c>
      <c r="O51" s="57">
        <v>0</v>
      </c>
      <c r="P51" s="57">
        <f>IFERROR(D51+E51+F51+G51+H51+I51+J51+K51+L51+M51+N51+O51,0)</f>
        <v>0</v>
      </c>
      <c r="Q51" s="22"/>
      <c r="R51" s="30"/>
      <c r="S51" s="22"/>
    </row>
    <row r="52" spans="2:19" ht="17.45" customHeight="1">
      <c r="B52" s="65" t="s">
        <v>101</v>
      </c>
      <c r="C52" s="66" t="s">
        <v>94</v>
      </c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>
        <f>IFERROR(SUM(D52:O52),0)</f>
        <v>0</v>
      </c>
      <c r="Q52" s="22"/>
      <c r="R52" s="30"/>
      <c r="S52" s="22"/>
    </row>
    <row r="53" spans="2:19" ht="17.45" customHeight="1">
      <c r="B53" s="65" t="s">
        <v>102</v>
      </c>
      <c r="C53" s="66" t="s">
        <v>103</v>
      </c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>
        <f>IFERROR(SUM(D53:O53),0)</f>
        <v>0</v>
      </c>
      <c r="Q53" s="22"/>
      <c r="R53" s="30"/>
      <c r="S53" s="22"/>
    </row>
    <row r="54" spans="2:19" ht="17.45" customHeight="1">
      <c r="B54" s="29"/>
      <c r="C54" s="27" t="s">
        <v>104</v>
      </c>
      <c r="D54" s="57">
        <v>0</v>
      </c>
      <c r="E54" s="57">
        <v>0</v>
      </c>
      <c r="F54" s="57">
        <v>0</v>
      </c>
      <c r="G54" s="57">
        <v>0</v>
      </c>
      <c r="H54" s="57">
        <v>0</v>
      </c>
      <c r="I54" s="57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57">
        <f>IFERROR(D54+E54+F54+G54+H54+I54+J54+K54+L54+M54+N54+O54,0)</f>
        <v>0</v>
      </c>
      <c r="Q54" s="22"/>
      <c r="R54" s="30"/>
      <c r="S54" s="22"/>
    </row>
    <row r="55" spans="2:19" ht="17.45" customHeight="1">
      <c r="B55" s="29"/>
      <c r="C55" s="28" t="s">
        <v>105</v>
      </c>
      <c r="D55" s="57">
        <v>0</v>
      </c>
      <c r="E55" s="57">
        <v>0</v>
      </c>
      <c r="F55" s="57">
        <v>0</v>
      </c>
      <c r="G55" s="57">
        <v>0</v>
      </c>
      <c r="H55" s="57">
        <v>0</v>
      </c>
      <c r="I55" s="57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57">
        <f>IFERROR(D55+E55+F55+G55+H55+I55+J55+K55+L55+M55+N55+O55,0)</f>
        <v>0</v>
      </c>
      <c r="Q55" s="22"/>
      <c r="R55" s="30"/>
      <c r="S55" s="22"/>
    </row>
    <row r="56" spans="2:19" ht="17.45" customHeight="1">
      <c r="B56" s="29" t="s">
        <v>106</v>
      </c>
      <c r="C56" s="25" t="s">
        <v>107</v>
      </c>
      <c r="D56" s="57">
        <v>47159.67</v>
      </c>
      <c r="E56" s="57">
        <v>0</v>
      </c>
      <c r="F56" s="57">
        <v>47159.67</v>
      </c>
      <c r="G56" s="57">
        <v>0</v>
      </c>
      <c r="H56" s="57">
        <v>0</v>
      </c>
      <c r="I56" s="57">
        <v>0</v>
      </c>
      <c r="J56" s="57">
        <v>48122.09</v>
      </c>
      <c r="K56" s="57">
        <v>172.29</v>
      </c>
      <c r="L56" s="57">
        <v>0</v>
      </c>
      <c r="M56" s="57">
        <v>0</v>
      </c>
      <c r="N56" s="57">
        <v>0</v>
      </c>
      <c r="O56" s="57">
        <v>0</v>
      </c>
      <c r="P56" s="57">
        <f>IFERROR(D56+E56+F56+G56+H56+I56+J56+K56+L56+M56+N56+O56,0)</f>
        <v>142613.72</v>
      </c>
      <c r="Q56" s="22"/>
      <c r="R56" s="30"/>
      <c r="S56" s="22"/>
    </row>
    <row r="57" spans="2:19" ht="17.45" customHeight="1">
      <c r="B57" s="29" t="s">
        <v>108</v>
      </c>
      <c r="C57" s="25" t="s">
        <v>109</v>
      </c>
      <c r="D57" s="57">
        <v>3600</v>
      </c>
      <c r="E57" s="57">
        <v>0</v>
      </c>
      <c r="F57" s="57">
        <v>3600</v>
      </c>
      <c r="G57" s="57">
        <v>0</v>
      </c>
      <c r="H57" s="57">
        <v>0</v>
      </c>
      <c r="I57" s="57">
        <v>0</v>
      </c>
      <c r="J57" s="57">
        <v>3315.71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57">
        <f>IFERROR(D57+E57+F57+G57+H57+I57+J57+K57+L57+M57+N57+O57,0)</f>
        <v>10515.71</v>
      </c>
      <c r="Q57" s="22"/>
      <c r="R57" s="30"/>
      <c r="S57" s="22"/>
    </row>
    <row r="58" spans="2:19" ht="17.45" customHeight="1">
      <c r="B58" s="29" t="s">
        <v>110</v>
      </c>
      <c r="C58" s="25" t="s">
        <v>111</v>
      </c>
      <c r="D58" s="57">
        <v>1763.9</v>
      </c>
      <c r="E58" s="57">
        <v>0</v>
      </c>
      <c r="F58" s="57">
        <v>1763.9</v>
      </c>
      <c r="G58" s="57">
        <v>0</v>
      </c>
      <c r="H58" s="57">
        <v>0</v>
      </c>
      <c r="I58" s="57">
        <v>0</v>
      </c>
      <c r="J58" s="57">
        <v>1894.75</v>
      </c>
      <c r="K58" s="57">
        <v>2361.23</v>
      </c>
      <c r="L58" s="57">
        <v>0</v>
      </c>
      <c r="M58" s="57">
        <v>0</v>
      </c>
      <c r="N58" s="57">
        <v>0</v>
      </c>
      <c r="O58" s="57">
        <v>0</v>
      </c>
      <c r="P58" s="57">
        <f>IFERROR(D58+E58+F58+G58+H58+I58+J58+K58+L58+M58+N58+O58,0)</f>
        <v>7783.7800000000007</v>
      </c>
      <c r="Q58" s="22"/>
      <c r="R58" s="30"/>
      <c r="S58" s="22"/>
    </row>
    <row r="59" spans="2:19" ht="17.45" customHeight="1">
      <c r="B59" s="29" t="s">
        <v>112</v>
      </c>
      <c r="C59" s="25" t="s">
        <v>113</v>
      </c>
      <c r="D59" s="57">
        <v>0</v>
      </c>
      <c r="E59" s="57">
        <v>0</v>
      </c>
      <c r="F59" s="57">
        <v>0</v>
      </c>
      <c r="G59" s="57">
        <v>0</v>
      </c>
      <c r="H59" s="57">
        <v>0</v>
      </c>
      <c r="I59" s="57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f>IFERROR(D59+E59+F59+G59+H59+I59+J59+K59+L59+M59+N59+O59,0)</f>
        <v>0</v>
      </c>
      <c r="Q59" s="22"/>
      <c r="R59" s="30"/>
      <c r="S59" s="22"/>
    </row>
    <row r="60" spans="2:19" ht="17.45" customHeight="1">
      <c r="B60" s="29" t="s">
        <v>114</v>
      </c>
      <c r="C60" s="25" t="s">
        <v>115</v>
      </c>
      <c r="D60" s="57">
        <v>2784.61</v>
      </c>
      <c r="E60" s="57">
        <v>0</v>
      </c>
      <c r="F60" s="57">
        <v>2784.61</v>
      </c>
      <c r="G60" s="57">
        <v>0</v>
      </c>
      <c r="H60" s="57">
        <v>0</v>
      </c>
      <c r="I60" s="57">
        <v>0</v>
      </c>
      <c r="J60" s="57">
        <v>2903.8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57">
        <f>IFERROR(D60+E60+F60+G60+H60+I60+J60+K60+L60+M60+N60+O60,0)</f>
        <v>8473.02</v>
      </c>
      <c r="Q60" s="22"/>
      <c r="R60" s="30"/>
      <c r="S60" s="22"/>
    </row>
    <row r="61" spans="2:19" ht="17.45" customHeight="1">
      <c r="B61" s="46" t="s">
        <v>116</v>
      </c>
      <c r="C61" s="45" t="s">
        <v>105</v>
      </c>
      <c r="D61" s="59">
        <f t="shared" ref="D61:O61" si="5">SUM(D56:D60)</f>
        <v>55308.18</v>
      </c>
      <c r="E61" s="59">
        <f t="shared" si="5"/>
        <v>0</v>
      </c>
      <c r="F61" s="59">
        <f t="shared" si="5"/>
        <v>55308.18</v>
      </c>
      <c r="G61" s="59">
        <f t="shared" si="5"/>
        <v>0</v>
      </c>
      <c r="H61" s="59">
        <f t="shared" si="5"/>
        <v>0</v>
      </c>
      <c r="I61" s="59">
        <f t="shared" si="5"/>
        <v>0</v>
      </c>
      <c r="J61" s="59">
        <f t="shared" si="5"/>
        <v>56236.35</v>
      </c>
      <c r="K61" s="59">
        <f t="shared" si="5"/>
        <v>2533.52</v>
      </c>
      <c r="L61" s="59">
        <f t="shared" si="5"/>
        <v>0</v>
      </c>
      <c r="M61" s="59">
        <f t="shared" si="5"/>
        <v>0</v>
      </c>
      <c r="N61" s="59">
        <f t="shared" si="5"/>
        <v>0</v>
      </c>
      <c r="O61" s="59">
        <f t="shared" si="5"/>
        <v>0</v>
      </c>
      <c r="P61" s="59">
        <f>IFERROR(SUM(P56:P60),0)</f>
        <v>169386.22999999998</v>
      </c>
      <c r="Q61" s="22"/>
      <c r="R61" s="30"/>
      <c r="S61" s="22"/>
    </row>
    <row r="62" spans="2:19" ht="17.45" customHeight="1">
      <c r="B62" s="29" t="s">
        <v>117</v>
      </c>
      <c r="C62" s="25" t="s">
        <v>118</v>
      </c>
      <c r="D62" s="57">
        <v>0</v>
      </c>
      <c r="E62" s="57">
        <v>0</v>
      </c>
      <c r="F62" s="57">
        <v>0</v>
      </c>
      <c r="G62" s="57">
        <v>0</v>
      </c>
      <c r="H62" s="57">
        <v>0</v>
      </c>
      <c r="I62" s="57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57">
        <f>IFERROR(D62+E62+F62+G62+H62+I62+J62+K62+L62+M62+N62+O62,0)</f>
        <v>0</v>
      </c>
      <c r="Q62" s="22"/>
      <c r="R62" s="30"/>
      <c r="S62" s="22"/>
    </row>
    <row r="63" spans="2:19" ht="17.45" customHeight="1">
      <c r="B63" s="29" t="s">
        <v>119</v>
      </c>
      <c r="C63" s="25" t="s">
        <v>120</v>
      </c>
      <c r="D63" s="57">
        <v>49.54</v>
      </c>
      <c r="E63" s="57">
        <v>0</v>
      </c>
      <c r="F63" s="57">
        <v>49.54</v>
      </c>
      <c r="G63" s="57">
        <v>0</v>
      </c>
      <c r="H63" s="57">
        <v>0</v>
      </c>
      <c r="I63" s="57">
        <v>0</v>
      </c>
      <c r="J63" s="57">
        <v>184.96</v>
      </c>
      <c r="K63" s="57">
        <v>410.67</v>
      </c>
      <c r="L63" s="57">
        <v>0</v>
      </c>
      <c r="M63" s="57">
        <v>0</v>
      </c>
      <c r="N63" s="57">
        <v>0</v>
      </c>
      <c r="O63" s="57">
        <v>0</v>
      </c>
      <c r="P63" s="57">
        <f>IFERROR(D63+E63+F63+G63+H63+I63+J63+K63+L63+M63+N63+O63,0)</f>
        <v>694.71</v>
      </c>
      <c r="Q63" s="22"/>
      <c r="R63" s="30"/>
      <c r="S63" s="22"/>
    </row>
    <row r="64" spans="2:19" ht="17.45" customHeight="1">
      <c r="B64" s="29" t="s">
        <v>121</v>
      </c>
      <c r="C64" s="25" t="s">
        <v>122</v>
      </c>
      <c r="D64" s="57">
        <v>0</v>
      </c>
      <c r="E64" s="57">
        <v>0</v>
      </c>
      <c r="F64" s="57">
        <v>0</v>
      </c>
      <c r="G64" s="57">
        <v>0</v>
      </c>
      <c r="H64" s="57">
        <v>0</v>
      </c>
      <c r="I64" s="57">
        <v>0</v>
      </c>
      <c r="J64" s="57">
        <v>3146.8</v>
      </c>
      <c r="K64" s="57">
        <v>3861.83</v>
      </c>
      <c r="L64" s="57">
        <v>0</v>
      </c>
      <c r="M64" s="57">
        <v>0</v>
      </c>
      <c r="N64" s="57">
        <v>0</v>
      </c>
      <c r="O64" s="57">
        <v>0</v>
      </c>
      <c r="P64" s="57">
        <f>IFERROR(D64+E64+F64+G64+H64+I64+J64+K64+L64+M64+N64+O64,0)</f>
        <v>7008.63</v>
      </c>
      <c r="Q64" s="22"/>
      <c r="R64" s="30"/>
      <c r="S64" s="22"/>
    </row>
    <row r="65" spans="2:19" ht="17.45" customHeight="1">
      <c r="B65" s="29" t="s">
        <v>123</v>
      </c>
      <c r="C65" s="25" t="s">
        <v>124</v>
      </c>
      <c r="D65" s="57">
        <v>21.54</v>
      </c>
      <c r="E65" s="57">
        <v>0</v>
      </c>
      <c r="F65" s="57">
        <v>21.54</v>
      </c>
      <c r="G65" s="57">
        <v>0</v>
      </c>
      <c r="H65" s="57">
        <v>0</v>
      </c>
      <c r="I65" s="57">
        <v>0</v>
      </c>
      <c r="J65" s="57">
        <v>16.03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57">
        <f>IFERROR(D65+E65+F65+G65+H65+I65+J65+K65+L65+M65+N65+O65,0)</f>
        <v>59.11</v>
      </c>
      <c r="Q65" s="22"/>
      <c r="R65" s="30"/>
      <c r="S65" s="22"/>
    </row>
    <row r="66" spans="2:19" ht="17.45" customHeight="1">
      <c r="B66" s="29"/>
      <c r="C66" s="28" t="s">
        <v>125</v>
      </c>
      <c r="D66" s="57">
        <v>0</v>
      </c>
      <c r="E66" s="57">
        <v>0</v>
      </c>
      <c r="F66" s="57">
        <v>0</v>
      </c>
      <c r="G66" s="57">
        <v>0</v>
      </c>
      <c r="H66" s="57">
        <v>0</v>
      </c>
      <c r="I66" s="57">
        <v>0</v>
      </c>
      <c r="J66" s="57">
        <v>0</v>
      </c>
      <c r="K66" s="57">
        <v>0</v>
      </c>
      <c r="L66" s="57">
        <v>0</v>
      </c>
      <c r="M66" s="57">
        <v>0</v>
      </c>
      <c r="N66" s="57">
        <v>0</v>
      </c>
      <c r="O66" s="57">
        <v>0</v>
      </c>
      <c r="P66" s="57">
        <f>IFERROR(D66+E66+F66+G66+H66+I66+J66+K66+L66+M66+N66+O66,0)</f>
        <v>0</v>
      </c>
      <c r="Q66" s="22"/>
      <c r="R66" s="30"/>
      <c r="S66" s="22"/>
    </row>
    <row r="67" spans="2:19" ht="17.45" customHeight="1">
      <c r="B67" s="29" t="s">
        <v>126</v>
      </c>
      <c r="C67" s="25" t="s">
        <v>127</v>
      </c>
      <c r="D67" s="57">
        <v>0</v>
      </c>
      <c r="E67" s="57">
        <v>0</v>
      </c>
      <c r="F67" s="57">
        <v>0</v>
      </c>
      <c r="G67" s="57">
        <v>0</v>
      </c>
      <c r="H67" s="57">
        <v>0</v>
      </c>
      <c r="I67" s="57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57">
        <f>IFERROR(D67+E67+F67+G67+H67+I67+J67+K67+L67+M67+N67+O67,0)</f>
        <v>0</v>
      </c>
      <c r="Q67" s="22"/>
      <c r="R67" s="30"/>
      <c r="S67" s="22"/>
    </row>
    <row r="68" spans="2:19" ht="17.45" customHeight="1">
      <c r="B68" s="29" t="s">
        <v>128</v>
      </c>
      <c r="C68" s="25" t="s">
        <v>129</v>
      </c>
      <c r="D68" s="57">
        <v>0</v>
      </c>
      <c r="E68" s="57">
        <v>0</v>
      </c>
      <c r="F68" s="57">
        <v>0</v>
      </c>
      <c r="G68" s="57">
        <v>0</v>
      </c>
      <c r="H68" s="57">
        <v>0</v>
      </c>
      <c r="I68" s="57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57">
        <f>IFERROR(D68+E68+F68+G68+H68+I68+J68+K68+L68+M68+N68+O68,0)</f>
        <v>0</v>
      </c>
      <c r="Q68" s="22"/>
      <c r="R68" s="30"/>
      <c r="S68" s="22"/>
    </row>
    <row r="69" spans="2:19" ht="17.45" customHeight="1">
      <c r="B69" s="29"/>
      <c r="C69" s="25" t="s">
        <v>130</v>
      </c>
      <c r="D69" s="57">
        <v>0</v>
      </c>
      <c r="E69" s="57">
        <v>0</v>
      </c>
      <c r="F69" s="57">
        <v>0</v>
      </c>
      <c r="G69" s="57">
        <v>0</v>
      </c>
      <c r="H69" s="57">
        <v>0</v>
      </c>
      <c r="I69" s="57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57">
        <f>IFERROR(D69+E69+F69+G69+H69+I69+J69+K69+L69+M69+N69+O69,0)</f>
        <v>0</v>
      </c>
      <c r="Q69" s="22"/>
      <c r="R69" s="30"/>
      <c r="S69" s="22"/>
    </row>
    <row r="70" spans="2:19" ht="17.45" customHeight="1">
      <c r="B70" s="46" t="s">
        <v>131</v>
      </c>
      <c r="C70" s="45" t="s">
        <v>125</v>
      </c>
      <c r="D70" s="59">
        <f t="shared" ref="D70:O70" si="6">SUM(D68:D69)</f>
        <v>0</v>
      </c>
      <c r="E70" s="59">
        <f t="shared" si="6"/>
        <v>0</v>
      </c>
      <c r="F70" s="59">
        <f t="shared" si="6"/>
        <v>0</v>
      </c>
      <c r="G70" s="59">
        <f t="shared" si="6"/>
        <v>0</v>
      </c>
      <c r="H70" s="59">
        <f t="shared" si="6"/>
        <v>0</v>
      </c>
      <c r="I70" s="59">
        <f t="shared" si="6"/>
        <v>0</v>
      </c>
      <c r="J70" s="59">
        <f t="shared" si="6"/>
        <v>0</v>
      </c>
      <c r="K70" s="59">
        <f t="shared" si="6"/>
        <v>0</v>
      </c>
      <c r="L70" s="59">
        <f t="shared" si="6"/>
        <v>0</v>
      </c>
      <c r="M70" s="59">
        <f t="shared" si="6"/>
        <v>0</v>
      </c>
      <c r="N70" s="59">
        <f t="shared" si="6"/>
        <v>0</v>
      </c>
      <c r="O70" s="59">
        <f t="shared" si="6"/>
        <v>0</v>
      </c>
      <c r="P70" s="59">
        <f>IFERROR(SUM(P68:P69),0)</f>
        <v>0</v>
      </c>
      <c r="Q70" s="22"/>
      <c r="R70" s="30"/>
      <c r="S70" s="22"/>
    </row>
    <row r="71" spans="2:19" ht="17.45" customHeight="1">
      <c r="B71" s="29" t="s">
        <v>132</v>
      </c>
      <c r="C71" s="25" t="s">
        <v>133</v>
      </c>
      <c r="D71" s="57">
        <v>0</v>
      </c>
      <c r="E71" s="57">
        <v>0</v>
      </c>
      <c r="F71" s="57">
        <v>0</v>
      </c>
      <c r="G71" s="57">
        <v>0</v>
      </c>
      <c r="H71" s="57">
        <v>0</v>
      </c>
      <c r="I71" s="57">
        <v>0</v>
      </c>
      <c r="J71" s="57">
        <v>0</v>
      </c>
      <c r="K71" s="57">
        <v>0</v>
      </c>
      <c r="L71" s="57">
        <v>0</v>
      </c>
      <c r="M71" s="57">
        <v>0</v>
      </c>
      <c r="N71" s="57">
        <v>0</v>
      </c>
      <c r="O71" s="57">
        <v>0</v>
      </c>
      <c r="P71" s="57">
        <f>IFERROR(D71+E71+F71+G71+H71+I71+J71+K71+L71+M71+N71+O71,0)</f>
        <v>0</v>
      </c>
      <c r="Q71" s="22"/>
      <c r="R71" s="30"/>
      <c r="S71" s="22"/>
    </row>
    <row r="72" spans="2:19" ht="17.45" customHeight="1">
      <c r="B72" s="29"/>
      <c r="C72" s="28" t="s">
        <v>134</v>
      </c>
      <c r="D72" s="57">
        <v>0</v>
      </c>
      <c r="E72" s="57">
        <v>0</v>
      </c>
      <c r="F72" s="57">
        <v>0</v>
      </c>
      <c r="G72" s="57">
        <v>0</v>
      </c>
      <c r="H72" s="57">
        <v>0</v>
      </c>
      <c r="I72" s="57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57">
        <f>IFERROR(D72+E72+F72+G72+H72+I72+J72+K72+L72+M72+N72+O72,0)</f>
        <v>0</v>
      </c>
      <c r="Q72" s="22"/>
      <c r="R72" s="30"/>
      <c r="S72" s="22"/>
    </row>
    <row r="73" spans="2:19" ht="17.45" customHeight="1">
      <c r="B73" s="29" t="s">
        <v>135</v>
      </c>
      <c r="C73" s="25" t="s">
        <v>136</v>
      </c>
      <c r="D73" s="57">
        <v>98.45</v>
      </c>
      <c r="E73" s="57">
        <v>0</v>
      </c>
      <c r="F73" s="57">
        <v>98.45</v>
      </c>
      <c r="G73" s="57">
        <v>0</v>
      </c>
      <c r="H73" s="57">
        <v>0</v>
      </c>
      <c r="I73" s="57">
        <v>0</v>
      </c>
      <c r="J73" s="57">
        <v>0</v>
      </c>
      <c r="K73" s="57">
        <v>214.5</v>
      </c>
      <c r="L73" s="57">
        <v>0</v>
      </c>
      <c r="M73" s="57">
        <v>0</v>
      </c>
      <c r="N73" s="57">
        <v>0</v>
      </c>
      <c r="O73" s="57">
        <v>0</v>
      </c>
      <c r="P73" s="57">
        <f>IFERROR(D73+E73+F73+G73+H73+I73+J73+K73+L73+M73+N73+O73,0)</f>
        <v>411.4</v>
      </c>
      <c r="Q73" s="22"/>
      <c r="R73" s="30"/>
      <c r="S73" s="22"/>
    </row>
    <row r="74" spans="2:19" ht="17.45" customHeight="1">
      <c r="B74" s="29" t="s">
        <v>137</v>
      </c>
      <c r="C74" s="25" t="s">
        <v>138</v>
      </c>
      <c r="D74" s="57">
        <v>84.2</v>
      </c>
      <c r="E74" s="57">
        <v>0</v>
      </c>
      <c r="F74" s="57">
        <v>84.2</v>
      </c>
      <c r="G74" s="57">
        <v>0</v>
      </c>
      <c r="H74" s="57">
        <v>0</v>
      </c>
      <c r="I74" s="57">
        <v>0</v>
      </c>
      <c r="J74" s="57">
        <v>-1.4</v>
      </c>
      <c r="K74" s="57">
        <v>239.35</v>
      </c>
      <c r="L74" s="57">
        <v>0</v>
      </c>
      <c r="M74" s="57">
        <v>0</v>
      </c>
      <c r="N74" s="57">
        <v>0</v>
      </c>
      <c r="O74" s="57">
        <v>0</v>
      </c>
      <c r="P74" s="57">
        <f>IFERROR(D74+E74+F74+G74+H74+I74+J74+K74+L74+M74+N74+O74,0)</f>
        <v>406.35</v>
      </c>
      <c r="Q74" s="22"/>
      <c r="R74" s="30"/>
      <c r="S74" s="22"/>
    </row>
    <row r="75" spans="2:19" ht="17.45" customHeight="1">
      <c r="B75" s="29" t="s">
        <v>139</v>
      </c>
      <c r="C75" s="25" t="s">
        <v>140</v>
      </c>
      <c r="D75" s="57">
        <v>0</v>
      </c>
      <c r="E75" s="57">
        <v>0</v>
      </c>
      <c r="F75" s="57">
        <v>0</v>
      </c>
      <c r="G75" s="57">
        <v>0</v>
      </c>
      <c r="H75" s="57">
        <v>0</v>
      </c>
      <c r="I75" s="57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57">
        <f>IFERROR(D75+E75+F75+G75+H75+I75+J75+K75+L75+M75+N75+O75,0)</f>
        <v>0</v>
      </c>
      <c r="Q75" s="22"/>
      <c r="R75" s="30"/>
      <c r="S75" s="22"/>
    </row>
    <row r="76" spans="2:19" ht="17.45" customHeight="1">
      <c r="B76" s="29" t="s">
        <v>141</v>
      </c>
      <c r="C76" s="25" t="s">
        <v>142</v>
      </c>
      <c r="D76" s="57">
        <v>0</v>
      </c>
      <c r="E76" s="57">
        <v>0</v>
      </c>
      <c r="F76" s="57">
        <v>0</v>
      </c>
      <c r="G76" s="57">
        <v>0</v>
      </c>
      <c r="H76" s="57">
        <v>0</v>
      </c>
      <c r="I76" s="57">
        <v>0</v>
      </c>
      <c r="J76" s="57">
        <v>0</v>
      </c>
      <c r="K76" s="57">
        <v>0</v>
      </c>
      <c r="L76" s="57">
        <v>0</v>
      </c>
      <c r="M76" s="57">
        <v>0</v>
      </c>
      <c r="N76" s="57">
        <v>0</v>
      </c>
      <c r="O76" s="57">
        <v>0</v>
      </c>
      <c r="P76" s="57">
        <f>IFERROR(D76+E76+F76+G76+H76+I76+J76+K76+L76+M76+N76+O76,0)</f>
        <v>0</v>
      </c>
      <c r="Q76" s="22"/>
      <c r="R76" s="30"/>
      <c r="S76" s="22"/>
    </row>
    <row r="77" spans="2:19" ht="17.45" customHeight="1">
      <c r="B77" s="29" t="s">
        <v>143</v>
      </c>
      <c r="C77" s="25" t="s">
        <v>144</v>
      </c>
      <c r="D77" s="57">
        <v>0</v>
      </c>
      <c r="E77" s="57">
        <v>0</v>
      </c>
      <c r="F77" s="57">
        <v>0</v>
      </c>
      <c r="G77" s="57">
        <v>0</v>
      </c>
      <c r="H77" s="57">
        <v>0</v>
      </c>
      <c r="I77" s="57">
        <v>0</v>
      </c>
      <c r="J77" s="57">
        <v>0</v>
      </c>
      <c r="K77" s="57">
        <v>0</v>
      </c>
      <c r="L77" s="57">
        <v>0</v>
      </c>
      <c r="M77" s="57">
        <v>0</v>
      </c>
      <c r="N77" s="57">
        <v>0</v>
      </c>
      <c r="O77" s="57">
        <v>0</v>
      </c>
      <c r="P77" s="57">
        <f>IFERROR(D77+E77+F77+G77+H77+I77+J77+K77+L77+M77+N77+O77,0)</f>
        <v>0</v>
      </c>
      <c r="Q77" s="22"/>
      <c r="R77" s="30"/>
      <c r="S77" s="22"/>
    </row>
    <row r="78" spans="2:19" ht="17.45" customHeight="1">
      <c r="B78" s="29"/>
      <c r="C78" s="25" t="s">
        <v>145</v>
      </c>
      <c r="D78" s="57">
        <v>0</v>
      </c>
      <c r="E78" s="57">
        <v>0</v>
      </c>
      <c r="F78" s="57">
        <v>0</v>
      </c>
      <c r="G78" s="57">
        <v>0</v>
      </c>
      <c r="H78" s="57">
        <v>0</v>
      </c>
      <c r="I78" s="57">
        <v>0</v>
      </c>
      <c r="J78" s="57">
        <v>0</v>
      </c>
      <c r="K78" s="57">
        <v>0</v>
      </c>
      <c r="L78" s="57">
        <v>0</v>
      </c>
      <c r="M78" s="57">
        <v>0</v>
      </c>
      <c r="N78" s="57">
        <v>0</v>
      </c>
      <c r="O78" s="57">
        <v>0</v>
      </c>
      <c r="P78" s="57">
        <f>IFERROR(D78+E78+F78+G78+H78+I78+J78+K78+L78+M78+N78+O78,0)</f>
        <v>0</v>
      </c>
      <c r="Q78" s="22"/>
      <c r="R78" s="30"/>
      <c r="S78" s="22"/>
    </row>
    <row r="79" spans="2:19" ht="17.45" customHeight="1">
      <c r="B79" s="29"/>
      <c r="C79" s="25" t="s">
        <v>146</v>
      </c>
      <c r="D79" s="57">
        <v>0</v>
      </c>
      <c r="E79" s="57">
        <v>0</v>
      </c>
      <c r="F79" s="57">
        <v>0</v>
      </c>
      <c r="G79" s="57">
        <v>0</v>
      </c>
      <c r="H79" s="57">
        <v>0</v>
      </c>
      <c r="I79" s="57">
        <v>0</v>
      </c>
      <c r="J79" s="57">
        <v>0</v>
      </c>
      <c r="K79" s="57">
        <v>0</v>
      </c>
      <c r="L79" s="57">
        <v>0</v>
      </c>
      <c r="M79" s="57">
        <v>0</v>
      </c>
      <c r="N79" s="57">
        <v>0</v>
      </c>
      <c r="O79" s="57">
        <v>0</v>
      </c>
      <c r="P79" s="57">
        <f>IFERROR(D79+E79+F79+G79+H79+I79+J79+K79+L79+M79+N79+O79,0)</f>
        <v>0</v>
      </c>
      <c r="Q79" s="22"/>
      <c r="R79" s="30"/>
      <c r="S79" s="22"/>
    </row>
    <row r="80" spans="2:19" ht="17.45" customHeight="1">
      <c r="B80" s="46" t="s">
        <v>147</v>
      </c>
      <c r="C80" s="45" t="s">
        <v>134</v>
      </c>
      <c r="D80" s="59">
        <f t="shared" ref="D80:O80" si="7">SUM(D73:D79)</f>
        <v>182.65</v>
      </c>
      <c r="E80" s="59">
        <f t="shared" si="7"/>
        <v>0</v>
      </c>
      <c r="F80" s="59">
        <f t="shared" si="7"/>
        <v>182.65</v>
      </c>
      <c r="G80" s="59">
        <f t="shared" si="7"/>
        <v>0</v>
      </c>
      <c r="H80" s="59">
        <f t="shared" si="7"/>
        <v>0</v>
      </c>
      <c r="I80" s="59">
        <f t="shared" si="7"/>
        <v>0</v>
      </c>
      <c r="J80" s="59">
        <f t="shared" si="7"/>
        <v>-1.4</v>
      </c>
      <c r="K80" s="59">
        <f t="shared" si="7"/>
        <v>453.85</v>
      </c>
      <c r="L80" s="59">
        <f t="shared" si="7"/>
        <v>0</v>
      </c>
      <c r="M80" s="59">
        <f t="shared" si="7"/>
        <v>0</v>
      </c>
      <c r="N80" s="59">
        <f t="shared" si="7"/>
        <v>0</v>
      </c>
      <c r="O80" s="59">
        <f t="shared" si="7"/>
        <v>0</v>
      </c>
      <c r="P80" s="59">
        <f>IFERROR(SUM(P73:P79),0)</f>
        <v>817.75</v>
      </c>
      <c r="Q80" s="22"/>
      <c r="R80" s="30"/>
      <c r="S80" s="22"/>
    </row>
    <row r="81" spans="2:19" ht="17.45" customHeight="1">
      <c r="B81" s="29"/>
      <c r="C81" s="28" t="s">
        <v>148</v>
      </c>
      <c r="D81" s="57">
        <v>0</v>
      </c>
      <c r="E81" s="57">
        <v>0</v>
      </c>
      <c r="F81" s="57">
        <v>0</v>
      </c>
      <c r="G81" s="57">
        <v>0</v>
      </c>
      <c r="H81" s="57">
        <v>0</v>
      </c>
      <c r="I81" s="57">
        <v>0</v>
      </c>
      <c r="J81" s="57">
        <v>0</v>
      </c>
      <c r="K81" s="57">
        <v>0</v>
      </c>
      <c r="L81" s="57">
        <v>0</v>
      </c>
      <c r="M81" s="57">
        <v>0</v>
      </c>
      <c r="N81" s="57">
        <v>0</v>
      </c>
      <c r="O81" s="57">
        <v>0</v>
      </c>
      <c r="P81" s="57">
        <v>0</v>
      </c>
      <c r="Q81" s="22"/>
      <c r="R81" s="30"/>
      <c r="S81" s="22"/>
    </row>
    <row r="82" spans="2:19" ht="17.45" customHeight="1">
      <c r="B82" s="29"/>
      <c r="C82" s="25" t="s">
        <v>149</v>
      </c>
      <c r="D82" s="57">
        <v>0</v>
      </c>
      <c r="E82" s="57">
        <v>0</v>
      </c>
      <c r="F82" s="57">
        <v>0</v>
      </c>
      <c r="G82" s="57">
        <v>0</v>
      </c>
      <c r="H82" s="57">
        <v>0</v>
      </c>
      <c r="I82" s="57">
        <v>0</v>
      </c>
      <c r="J82" s="57">
        <v>0</v>
      </c>
      <c r="K82" s="57">
        <v>0</v>
      </c>
      <c r="L82" s="57">
        <v>0</v>
      </c>
      <c r="M82" s="57">
        <v>0</v>
      </c>
      <c r="N82" s="57">
        <v>0</v>
      </c>
      <c r="O82" s="57">
        <v>0</v>
      </c>
      <c r="P82" s="57">
        <v>0</v>
      </c>
      <c r="Q82" s="22"/>
      <c r="R82" s="30"/>
      <c r="S82" s="22"/>
    </row>
    <row r="83" spans="2:19" ht="17.45" customHeight="1">
      <c r="B83" s="29" t="s">
        <v>150</v>
      </c>
      <c r="C83" s="25" t="s">
        <v>151</v>
      </c>
      <c r="D83" s="57">
        <v>0</v>
      </c>
      <c r="E83" s="57">
        <v>0</v>
      </c>
      <c r="F83" s="57">
        <v>0</v>
      </c>
      <c r="G83" s="57">
        <v>0</v>
      </c>
      <c r="H83" s="57">
        <v>0</v>
      </c>
      <c r="I83" s="57">
        <v>0</v>
      </c>
      <c r="J83" s="57">
        <v>0</v>
      </c>
      <c r="K83" s="57">
        <v>0</v>
      </c>
      <c r="L83" s="57">
        <v>0</v>
      </c>
      <c r="M83" s="57">
        <v>0</v>
      </c>
      <c r="N83" s="57">
        <v>0</v>
      </c>
      <c r="O83" s="57">
        <v>0</v>
      </c>
      <c r="P83" s="57">
        <f>IFERROR(D83+E83+F83+G83+H83+I83+J83+K83+L83+M83+N83+O83,0)</f>
        <v>0</v>
      </c>
      <c r="Q83" s="22"/>
      <c r="R83" s="30"/>
      <c r="S83" s="22"/>
    </row>
    <row r="84" spans="2:19" ht="17.45" customHeight="1">
      <c r="B84" s="29" t="s">
        <v>152</v>
      </c>
      <c r="C84" s="25" t="s">
        <v>153</v>
      </c>
      <c r="D84" s="57">
        <v>1279.56</v>
      </c>
      <c r="E84" s="57">
        <v>0</v>
      </c>
      <c r="F84" s="57">
        <v>1279.56</v>
      </c>
      <c r="G84" s="57">
        <v>0</v>
      </c>
      <c r="H84" s="57">
        <v>0</v>
      </c>
      <c r="I84" s="57">
        <v>0</v>
      </c>
      <c r="J84" s="57">
        <v>1262.4000000000001</v>
      </c>
      <c r="K84" s="57">
        <v>0</v>
      </c>
      <c r="L84" s="57">
        <v>0</v>
      </c>
      <c r="M84" s="57">
        <v>0</v>
      </c>
      <c r="N84" s="57">
        <v>0</v>
      </c>
      <c r="O84" s="57">
        <v>0</v>
      </c>
      <c r="P84" s="57">
        <f>IFERROR(D84+E84+F84+G84+H84+I84+J84+K84+L84+M84+N84+O84,0)</f>
        <v>3821.52</v>
      </c>
      <c r="Q84" s="22"/>
      <c r="R84" s="30"/>
      <c r="S84" s="22"/>
    </row>
    <row r="85" spans="2:19" ht="17.45" customHeight="1">
      <c r="B85" s="29" t="s">
        <v>154</v>
      </c>
      <c r="C85" s="25" t="s">
        <v>155</v>
      </c>
      <c r="D85" s="57">
        <v>82.44</v>
      </c>
      <c r="E85" s="57">
        <v>0</v>
      </c>
      <c r="F85" s="57">
        <v>82.44</v>
      </c>
      <c r="G85" s="57">
        <v>0</v>
      </c>
      <c r="H85" s="57">
        <v>0</v>
      </c>
      <c r="I85" s="57">
        <v>0</v>
      </c>
      <c r="J85" s="57">
        <v>82.44</v>
      </c>
      <c r="K85" s="57">
        <v>0</v>
      </c>
      <c r="L85" s="57">
        <v>0</v>
      </c>
      <c r="M85" s="57">
        <v>0</v>
      </c>
      <c r="N85" s="57">
        <v>0</v>
      </c>
      <c r="O85" s="57">
        <v>0</v>
      </c>
      <c r="P85" s="57">
        <f>IFERROR(D85+E85+F85+G85+H85+I85+J85+K85+L85+M85+N85+O85,0)</f>
        <v>247.32</v>
      </c>
      <c r="Q85" s="22"/>
      <c r="R85" s="30"/>
      <c r="S85" s="22"/>
    </row>
    <row r="86" spans="2:19" ht="17.45" customHeight="1">
      <c r="B86" s="29" t="s">
        <v>156</v>
      </c>
      <c r="C86" s="25" t="s">
        <v>157</v>
      </c>
      <c r="D86" s="57">
        <v>792.09</v>
      </c>
      <c r="E86" s="57">
        <v>0</v>
      </c>
      <c r="F86" s="57">
        <v>792.09</v>
      </c>
      <c r="G86" s="57">
        <v>0</v>
      </c>
      <c r="H86" s="57">
        <v>0</v>
      </c>
      <c r="I86" s="57">
        <v>0</v>
      </c>
      <c r="J86" s="57">
        <v>792.09</v>
      </c>
      <c r="K86" s="57">
        <v>0</v>
      </c>
      <c r="L86" s="57">
        <v>0</v>
      </c>
      <c r="M86" s="57">
        <v>0</v>
      </c>
      <c r="N86" s="57">
        <v>0</v>
      </c>
      <c r="O86" s="57">
        <v>0</v>
      </c>
      <c r="P86" s="57">
        <f>IFERROR(D86+E86+F86+G86+H86+I86+J86+K86+L86+M86+N86+O86,0)</f>
        <v>2376.27</v>
      </c>
      <c r="Q86" s="22"/>
      <c r="R86" s="30"/>
      <c r="S86" s="22"/>
    </row>
    <row r="87" spans="2:19" ht="17.45" customHeight="1">
      <c r="B87" s="29" t="s">
        <v>158</v>
      </c>
      <c r="C87" s="25" t="s">
        <v>159</v>
      </c>
      <c r="D87" s="57">
        <v>258.5</v>
      </c>
      <c r="E87" s="57">
        <v>0</v>
      </c>
      <c r="F87" s="57">
        <v>258.5</v>
      </c>
      <c r="G87" s="57">
        <v>0</v>
      </c>
      <c r="H87" s="57">
        <v>0</v>
      </c>
      <c r="I87" s="57">
        <v>0</v>
      </c>
      <c r="J87" s="57">
        <v>258.5</v>
      </c>
      <c r="K87" s="57">
        <v>0</v>
      </c>
      <c r="L87" s="57">
        <v>0</v>
      </c>
      <c r="M87" s="57">
        <v>0</v>
      </c>
      <c r="N87" s="57">
        <v>0</v>
      </c>
      <c r="O87" s="57">
        <v>0</v>
      </c>
      <c r="P87" s="57">
        <f>IFERROR(D87+E87+F87+G87+H87+I87+J87+K87+L87+M87+N87+O87,0)</f>
        <v>775.5</v>
      </c>
      <c r="Q87" s="22"/>
      <c r="R87" s="30"/>
      <c r="S87" s="22"/>
    </row>
    <row r="88" spans="2:19" ht="17.45" customHeight="1">
      <c r="B88" s="29" t="s">
        <v>160</v>
      </c>
      <c r="C88" s="25" t="s">
        <v>161</v>
      </c>
      <c r="D88" s="57">
        <v>588.49</v>
      </c>
      <c r="E88" s="57">
        <v>0</v>
      </c>
      <c r="F88" s="57">
        <v>588.49</v>
      </c>
      <c r="G88" s="57">
        <v>0</v>
      </c>
      <c r="H88" s="57">
        <v>0</v>
      </c>
      <c r="I88" s="57">
        <v>0</v>
      </c>
      <c r="J88" s="57">
        <v>552.46</v>
      </c>
      <c r="K88" s="57">
        <v>0</v>
      </c>
      <c r="L88" s="57">
        <v>0</v>
      </c>
      <c r="M88" s="57">
        <v>0</v>
      </c>
      <c r="N88" s="57">
        <v>0</v>
      </c>
      <c r="O88" s="57">
        <v>0</v>
      </c>
      <c r="P88" s="57">
        <f>IFERROR(D88+E88+F88+G88+H88+I88+J88+K88+L88+M88+N88+O88,0)</f>
        <v>1729.44</v>
      </c>
      <c r="Q88" s="22"/>
      <c r="R88" s="30"/>
      <c r="S88" s="22"/>
    </row>
    <row r="89" spans="2:19" ht="17.45" customHeight="1">
      <c r="B89" s="46" t="s">
        <v>162</v>
      </c>
      <c r="C89" s="45" t="s">
        <v>148</v>
      </c>
      <c r="D89" s="59">
        <f t="shared" ref="D89:O89" si="8">SUM(D82:D88)</f>
        <v>3001.08</v>
      </c>
      <c r="E89" s="59">
        <f t="shared" si="8"/>
        <v>0</v>
      </c>
      <c r="F89" s="59">
        <f t="shared" si="8"/>
        <v>3001.08</v>
      </c>
      <c r="G89" s="59">
        <f t="shared" si="8"/>
        <v>0</v>
      </c>
      <c r="H89" s="59">
        <f t="shared" si="8"/>
        <v>0</v>
      </c>
      <c r="I89" s="59">
        <f t="shared" si="8"/>
        <v>0</v>
      </c>
      <c r="J89" s="59">
        <f t="shared" si="8"/>
        <v>2947.8900000000003</v>
      </c>
      <c r="K89" s="59">
        <f t="shared" si="8"/>
        <v>0</v>
      </c>
      <c r="L89" s="59">
        <f t="shared" si="8"/>
        <v>0</v>
      </c>
      <c r="M89" s="59">
        <f t="shared" si="8"/>
        <v>0</v>
      </c>
      <c r="N89" s="59">
        <f t="shared" si="8"/>
        <v>0</v>
      </c>
      <c r="O89" s="59">
        <f t="shared" si="8"/>
        <v>0</v>
      </c>
      <c r="P89" s="59">
        <f>IFERROR(SUM(P82:P88),0)</f>
        <v>8950.0500000000011</v>
      </c>
      <c r="Q89" s="22"/>
      <c r="R89" s="30"/>
      <c r="S89" s="22"/>
    </row>
    <row r="90" spans="2:19" ht="17.45" customHeight="1">
      <c r="B90" s="29" t="s">
        <v>163</v>
      </c>
      <c r="C90" s="25" t="s">
        <v>164</v>
      </c>
      <c r="D90" s="57">
        <v>0</v>
      </c>
      <c r="E90" s="57">
        <v>0</v>
      </c>
      <c r="F90" s="57">
        <v>0</v>
      </c>
      <c r="G90" s="57">
        <v>0</v>
      </c>
      <c r="H90" s="57">
        <v>0</v>
      </c>
      <c r="I90" s="57">
        <v>0</v>
      </c>
      <c r="J90" s="57">
        <v>0</v>
      </c>
      <c r="K90" s="57">
        <v>0</v>
      </c>
      <c r="L90" s="57">
        <v>0</v>
      </c>
      <c r="M90" s="57">
        <v>0</v>
      </c>
      <c r="N90" s="57">
        <v>0</v>
      </c>
      <c r="O90" s="57">
        <v>0</v>
      </c>
      <c r="P90" s="57">
        <f>IFERROR(D90+E90+F90+G90+H90+I90+J90+K90+L90+M90+N90+O90,0)</f>
        <v>0</v>
      </c>
      <c r="Q90" s="22"/>
      <c r="R90" s="30"/>
      <c r="S90" s="22"/>
    </row>
    <row r="91" spans="2:19" ht="17.45" customHeight="1">
      <c r="B91" s="29" t="s">
        <v>165</v>
      </c>
      <c r="C91" s="25" t="s">
        <v>166</v>
      </c>
      <c r="D91" s="57">
        <v>4235.2299999999996</v>
      </c>
      <c r="E91" s="57">
        <v>0</v>
      </c>
      <c r="F91" s="57">
        <v>4235.2299999999996</v>
      </c>
      <c r="G91" s="57">
        <v>0</v>
      </c>
      <c r="H91" s="57">
        <v>0</v>
      </c>
      <c r="I91" s="57">
        <v>0</v>
      </c>
      <c r="J91" s="57">
        <v>3815</v>
      </c>
      <c r="K91" s="57">
        <v>0</v>
      </c>
      <c r="L91" s="57">
        <v>0</v>
      </c>
      <c r="M91" s="57">
        <v>0</v>
      </c>
      <c r="N91" s="57">
        <v>0</v>
      </c>
      <c r="O91" s="57">
        <v>0</v>
      </c>
      <c r="P91" s="57">
        <f>IFERROR(D91+E91+F91+G91+H91+I91+J91+K91+L91+M91+N91+O91,0)</f>
        <v>12285.46</v>
      </c>
      <c r="Q91" s="22"/>
      <c r="R91" s="30"/>
      <c r="S91" s="22"/>
    </row>
    <row r="92" spans="2:19" ht="17.45" customHeight="1">
      <c r="B92" s="29" t="s">
        <v>167</v>
      </c>
      <c r="C92" s="25" t="s">
        <v>168</v>
      </c>
      <c r="D92" s="57">
        <v>1117.8399999999999</v>
      </c>
      <c r="E92" s="57">
        <v>0</v>
      </c>
      <c r="F92" s="57">
        <v>1117.8399999999999</v>
      </c>
      <c r="G92" s="57">
        <v>0</v>
      </c>
      <c r="H92" s="57">
        <v>0</v>
      </c>
      <c r="I92" s="57">
        <v>0</v>
      </c>
      <c r="J92" s="57">
        <v>1137.67</v>
      </c>
      <c r="K92" s="57">
        <v>1095.55</v>
      </c>
      <c r="L92" s="57">
        <v>0</v>
      </c>
      <c r="M92" s="57">
        <v>0</v>
      </c>
      <c r="N92" s="57">
        <v>0</v>
      </c>
      <c r="O92" s="57">
        <v>0</v>
      </c>
      <c r="P92" s="57">
        <f>IFERROR(D92+E92+F92+G92+H92+I92+J92+K92+L92+M92+N92+O92,0)</f>
        <v>4468.8999999999996</v>
      </c>
      <c r="Q92" s="22"/>
      <c r="R92" s="30"/>
      <c r="S92" s="22"/>
    </row>
    <row r="93" spans="2:19" ht="17.45" customHeight="1">
      <c r="B93" s="29" t="s">
        <v>169</v>
      </c>
      <c r="C93" s="25" t="s">
        <v>170</v>
      </c>
      <c r="D93" s="57">
        <v>4384.3999999999996</v>
      </c>
      <c r="E93" s="57">
        <v>0</v>
      </c>
      <c r="F93" s="57">
        <v>4384.3999999999996</v>
      </c>
      <c r="G93" s="57">
        <v>0</v>
      </c>
      <c r="H93" s="57">
        <v>0</v>
      </c>
      <c r="I93" s="57">
        <v>0</v>
      </c>
      <c r="J93" s="57">
        <v>5093.87</v>
      </c>
      <c r="K93" s="57">
        <v>3987.88</v>
      </c>
      <c r="L93" s="57">
        <v>0</v>
      </c>
      <c r="M93" s="57">
        <v>0</v>
      </c>
      <c r="N93" s="57">
        <v>0</v>
      </c>
      <c r="O93" s="57">
        <v>0</v>
      </c>
      <c r="P93" s="57">
        <f>IFERROR(D93+E93+F93+G93+H93+I93+J93+K93+L93+M93+N93+O93,0)</f>
        <v>17850.55</v>
      </c>
      <c r="Q93" s="22"/>
      <c r="R93" s="30"/>
      <c r="S93" s="22"/>
    </row>
    <row r="94" spans="2:19" ht="17.45" customHeight="1">
      <c r="B94" s="29" t="s">
        <v>171</v>
      </c>
      <c r="C94" s="25" t="s">
        <v>172</v>
      </c>
      <c r="D94" s="57">
        <v>0</v>
      </c>
      <c r="E94" s="57">
        <v>0</v>
      </c>
      <c r="F94" s="57">
        <v>0</v>
      </c>
      <c r="G94" s="57">
        <v>0</v>
      </c>
      <c r="H94" s="57">
        <v>0</v>
      </c>
      <c r="I94" s="57">
        <v>0</v>
      </c>
      <c r="J94" s="57">
        <v>0</v>
      </c>
      <c r="K94" s="57">
        <v>0</v>
      </c>
      <c r="L94" s="57">
        <v>0</v>
      </c>
      <c r="M94" s="57">
        <v>0</v>
      </c>
      <c r="N94" s="57">
        <v>0</v>
      </c>
      <c r="O94" s="57">
        <v>0</v>
      </c>
      <c r="P94" s="57">
        <f>IFERROR(D94+E94+F94+G94+H94+I94+J94+K94+L94+M94+N94+O94,0)</f>
        <v>0</v>
      </c>
      <c r="Q94" s="22"/>
      <c r="R94" s="30"/>
      <c r="S94" s="22"/>
    </row>
    <row r="95" spans="2:19" ht="17.45" customHeight="1">
      <c r="B95" s="29" t="s">
        <v>173</v>
      </c>
      <c r="C95" s="25" t="s">
        <v>174</v>
      </c>
      <c r="D95" s="57">
        <v>0</v>
      </c>
      <c r="E95" s="57">
        <v>0</v>
      </c>
      <c r="F95" s="57">
        <v>0</v>
      </c>
      <c r="G95" s="57">
        <v>0</v>
      </c>
      <c r="H95" s="57">
        <v>0</v>
      </c>
      <c r="I95" s="57">
        <v>0</v>
      </c>
      <c r="J95" s="57">
        <v>0</v>
      </c>
      <c r="K95" s="57">
        <v>0</v>
      </c>
      <c r="L95" s="57">
        <v>0</v>
      </c>
      <c r="M95" s="57">
        <v>0</v>
      </c>
      <c r="N95" s="57">
        <v>0</v>
      </c>
      <c r="O95" s="57">
        <v>0</v>
      </c>
      <c r="P95" s="57">
        <f>IFERROR(D95+E95+F95+G95+H95+I95+J95+K95+L95+M95+N95+O95,0)</f>
        <v>0</v>
      </c>
      <c r="Q95" s="22"/>
      <c r="R95" s="30"/>
      <c r="S95" s="22"/>
    </row>
    <row r="96" spans="2:19" ht="17.45" customHeight="1">
      <c r="B96" s="29" t="s">
        <v>175</v>
      </c>
      <c r="C96" s="25" t="s">
        <v>176</v>
      </c>
      <c r="D96" s="57">
        <v>0</v>
      </c>
      <c r="E96" s="57">
        <v>0</v>
      </c>
      <c r="F96" s="57">
        <v>0</v>
      </c>
      <c r="G96" s="57">
        <v>0</v>
      </c>
      <c r="H96" s="57">
        <v>0</v>
      </c>
      <c r="I96" s="57">
        <v>0</v>
      </c>
      <c r="J96" s="57">
        <v>0</v>
      </c>
      <c r="K96" s="57">
        <v>0</v>
      </c>
      <c r="L96" s="57">
        <v>0</v>
      </c>
      <c r="M96" s="57">
        <v>0</v>
      </c>
      <c r="N96" s="57">
        <v>0</v>
      </c>
      <c r="O96" s="57">
        <v>0</v>
      </c>
      <c r="P96" s="57">
        <f>IFERROR(D96+E96+F96+G96+H96+I96+J96+K96+L96+M96+N96+O96,0)</f>
        <v>0</v>
      </c>
      <c r="Q96" s="22"/>
      <c r="R96" s="30"/>
      <c r="S96" s="22"/>
    </row>
    <row r="97" spans="2:19" ht="17.45" customHeight="1">
      <c r="B97" s="29" t="s">
        <v>177</v>
      </c>
      <c r="C97" s="25" t="s">
        <v>178</v>
      </c>
      <c r="D97" s="57">
        <v>0</v>
      </c>
      <c r="E97" s="57">
        <v>0</v>
      </c>
      <c r="F97" s="57">
        <v>0</v>
      </c>
      <c r="G97" s="57">
        <v>0</v>
      </c>
      <c r="H97" s="57">
        <v>0</v>
      </c>
      <c r="I97" s="57">
        <v>0</v>
      </c>
      <c r="J97" s="57">
        <v>0</v>
      </c>
      <c r="K97" s="57">
        <v>0</v>
      </c>
      <c r="L97" s="57">
        <v>0</v>
      </c>
      <c r="M97" s="57">
        <v>0</v>
      </c>
      <c r="N97" s="57">
        <v>0</v>
      </c>
      <c r="O97" s="57">
        <v>0</v>
      </c>
      <c r="P97" s="57">
        <f>IFERROR(D97+E97+F97+G97+H97+I97+J97+K97+L97+M97+N97+O97,0)</f>
        <v>0</v>
      </c>
      <c r="Q97" s="22"/>
      <c r="R97" s="30"/>
      <c r="S97" s="22"/>
    </row>
    <row r="98" spans="2:19" ht="17.45" customHeight="1">
      <c r="B98" s="29" t="s">
        <v>179</v>
      </c>
      <c r="C98" s="25" t="s">
        <v>180</v>
      </c>
      <c r="D98" s="57">
        <v>0</v>
      </c>
      <c r="E98" s="57">
        <v>0</v>
      </c>
      <c r="F98" s="57">
        <v>0</v>
      </c>
      <c r="G98" s="57">
        <v>0</v>
      </c>
      <c r="H98" s="57">
        <v>0</v>
      </c>
      <c r="I98" s="57">
        <v>0</v>
      </c>
      <c r="J98" s="57">
        <v>0</v>
      </c>
      <c r="K98" s="57">
        <v>0</v>
      </c>
      <c r="L98" s="57">
        <v>0</v>
      </c>
      <c r="M98" s="57">
        <v>0</v>
      </c>
      <c r="N98" s="57">
        <v>0</v>
      </c>
      <c r="O98" s="57">
        <v>0</v>
      </c>
      <c r="P98" s="57">
        <f>IFERROR(D98+E98+F98+G98+H98+I98+J98+K98+L98+M98+N98+O98,0)</f>
        <v>0</v>
      </c>
      <c r="Q98" s="22"/>
      <c r="R98" s="30"/>
      <c r="S98" s="22"/>
    </row>
    <row r="99" spans="2:19" ht="17.45" customHeight="1">
      <c r="B99" s="29" t="s">
        <v>181</v>
      </c>
      <c r="C99" s="25" t="s">
        <v>182</v>
      </c>
      <c r="D99" s="57">
        <v>0</v>
      </c>
      <c r="E99" s="57">
        <v>0</v>
      </c>
      <c r="F99" s="57">
        <v>0</v>
      </c>
      <c r="G99" s="57">
        <v>0</v>
      </c>
      <c r="H99" s="57">
        <v>0</v>
      </c>
      <c r="I99" s="57">
        <v>0</v>
      </c>
      <c r="J99" s="57">
        <v>0</v>
      </c>
      <c r="K99" s="57">
        <v>0</v>
      </c>
      <c r="L99" s="57">
        <v>0</v>
      </c>
      <c r="M99" s="57">
        <v>0</v>
      </c>
      <c r="N99" s="57">
        <v>0</v>
      </c>
      <c r="O99" s="57">
        <v>0</v>
      </c>
      <c r="P99" s="57">
        <f>IFERROR(D99+E99+F99+G99+H99+I99+J99+K99+L99+M99+N99+O99,0)</f>
        <v>0</v>
      </c>
      <c r="Q99" s="22"/>
      <c r="R99" s="30"/>
      <c r="S99" s="22"/>
    </row>
    <row r="100" spans="2:19" ht="17.45" customHeight="1">
      <c r="B100" s="32">
        <v>631180</v>
      </c>
      <c r="C100" s="25" t="s">
        <v>183</v>
      </c>
      <c r="D100" s="57">
        <v>548.1</v>
      </c>
      <c r="E100" s="57">
        <v>0</v>
      </c>
      <c r="F100" s="57">
        <v>548.1</v>
      </c>
      <c r="G100" s="57">
        <v>0</v>
      </c>
      <c r="H100" s="57">
        <v>0</v>
      </c>
      <c r="I100" s="57">
        <v>0</v>
      </c>
      <c r="J100" s="57">
        <v>1608.67</v>
      </c>
      <c r="K100" s="57">
        <v>737.26</v>
      </c>
      <c r="L100" s="57">
        <v>0</v>
      </c>
      <c r="M100" s="57">
        <v>0</v>
      </c>
      <c r="N100" s="57">
        <v>0</v>
      </c>
      <c r="O100" s="57">
        <v>0</v>
      </c>
      <c r="P100" s="57">
        <f>IFERROR(D100+E100+F100+G100+H100+I100+J100+K100+L100+M100+N100+O100,0)</f>
        <v>3442.13</v>
      </c>
      <c r="Q100" s="22"/>
      <c r="R100" s="30"/>
      <c r="S100" s="22"/>
    </row>
    <row r="101" spans="2:19" ht="17.45" customHeight="1">
      <c r="B101" s="46" t="s">
        <v>167</v>
      </c>
      <c r="C101" s="51" t="s">
        <v>168</v>
      </c>
      <c r="D101" s="59">
        <f t="shared" ref="D101:O101" si="9">SUM(D92:D100)</f>
        <v>6050.34</v>
      </c>
      <c r="E101" s="59">
        <f t="shared" si="9"/>
        <v>0</v>
      </c>
      <c r="F101" s="59">
        <f t="shared" si="9"/>
        <v>6050.34</v>
      </c>
      <c r="G101" s="59">
        <f t="shared" si="9"/>
        <v>0</v>
      </c>
      <c r="H101" s="59">
        <f t="shared" si="9"/>
        <v>0</v>
      </c>
      <c r="I101" s="59">
        <f t="shared" si="9"/>
        <v>0</v>
      </c>
      <c r="J101" s="59">
        <f t="shared" si="9"/>
        <v>7840.21</v>
      </c>
      <c r="K101" s="59">
        <f t="shared" si="9"/>
        <v>5820.6900000000005</v>
      </c>
      <c r="L101" s="59">
        <f t="shared" si="9"/>
        <v>0</v>
      </c>
      <c r="M101" s="59">
        <f t="shared" si="9"/>
        <v>0</v>
      </c>
      <c r="N101" s="59">
        <f t="shared" si="9"/>
        <v>0</v>
      </c>
      <c r="O101" s="59">
        <f t="shared" si="9"/>
        <v>0</v>
      </c>
      <c r="P101" s="59">
        <f>IFERROR(SUM(P92:P100),0)</f>
        <v>25761.579999999998</v>
      </c>
      <c r="Q101" s="22"/>
      <c r="R101" s="30"/>
      <c r="S101" s="22"/>
    </row>
    <row r="102" spans="2:19" ht="17.45" customHeight="1">
      <c r="B102" s="29"/>
      <c r="C102" s="28" t="s">
        <v>184</v>
      </c>
      <c r="D102" s="57">
        <v>0</v>
      </c>
      <c r="E102" s="57">
        <v>0</v>
      </c>
      <c r="F102" s="57">
        <v>0</v>
      </c>
      <c r="G102" s="57">
        <v>0</v>
      </c>
      <c r="H102" s="57">
        <v>0</v>
      </c>
      <c r="I102" s="57">
        <v>0</v>
      </c>
      <c r="J102" s="57">
        <v>0</v>
      </c>
      <c r="K102" s="57">
        <v>0</v>
      </c>
      <c r="L102" s="57">
        <v>0</v>
      </c>
      <c r="M102" s="57">
        <v>0</v>
      </c>
      <c r="N102" s="57">
        <v>0</v>
      </c>
      <c r="O102" s="57">
        <v>0</v>
      </c>
      <c r="P102" s="57">
        <f>IFERROR(D102+E102+F102+G102+H102+I102+J102+K102+L102+M102+N102+O102,0)</f>
        <v>0</v>
      </c>
      <c r="Q102" s="22"/>
      <c r="R102" s="30"/>
      <c r="S102" s="22"/>
    </row>
    <row r="103" spans="2:19" ht="17.45" customHeight="1">
      <c r="B103" s="29" t="s">
        <v>185</v>
      </c>
      <c r="C103" s="25" t="s">
        <v>186</v>
      </c>
      <c r="D103" s="57">
        <v>0</v>
      </c>
      <c r="E103" s="57">
        <v>0</v>
      </c>
      <c r="F103" s="57">
        <v>0</v>
      </c>
      <c r="G103" s="57">
        <v>0</v>
      </c>
      <c r="H103" s="57">
        <v>0</v>
      </c>
      <c r="I103" s="57">
        <v>0</v>
      </c>
      <c r="J103" s="57">
        <v>0</v>
      </c>
      <c r="K103" s="57">
        <v>0</v>
      </c>
      <c r="L103" s="57">
        <v>0</v>
      </c>
      <c r="M103" s="57">
        <v>0</v>
      </c>
      <c r="N103" s="57">
        <v>0</v>
      </c>
      <c r="O103" s="57">
        <v>0</v>
      </c>
      <c r="P103" s="57">
        <f>IFERROR(D103+E103+F103+G103+H103+I103+J103+K103+L103+M103+N103+O103,0)</f>
        <v>0</v>
      </c>
      <c r="Q103" s="22"/>
      <c r="R103" s="30"/>
      <c r="S103" s="22"/>
    </row>
    <row r="104" spans="2:19" ht="17.45" customHeight="1">
      <c r="B104" s="29" t="s">
        <v>187</v>
      </c>
      <c r="C104" s="25" t="s">
        <v>188</v>
      </c>
      <c r="D104" s="57">
        <v>-55308.18</v>
      </c>
      <c r="E104" s="57">
        <v>0</v>
      </c>
      <c r="F104" s="57">
        <v>-55308.18</v>
      </c>
      <c r="G104" s="57">
        <v>0</v>
      </c>
      <c r="H104" s="57">
        <v>0</v>
      </c>
      <c r="I104" s="57">
        <v>0</v>
      </c>
      <c r="J104" s="57">
        <v>-56236.35</v>
      </c>
      <c r="K104" s="57">
        <v>0</v>
      </c>
      <c r="L104" s="57">
        <v>0</v>
      </c>
      <c r="M104" s="57">
        <v>0</v>
      </c>
      <c r="N104" s="57">
        <v>0</v>
      </c>
      <c r="O104" s="57">
        <v>0</v>
      </c>
      <c r="P104" s="57">
        <f>IFERROR(D104+E104+F104+G104+H104+I104+J104+K104+L104+M104+N104+O104,0)</f>
        <v>-166852.71</v>
      </c>
      <c r="Q104" s="22"/>
      <c r="R104" s="30"/>
      <c r="S104" s="22"/>
    </row>
    <row r="105" spans="2:19" ht="17.45" customHeight="1">
      <c r="B105" s="29" t="s">
        <v>189</v>
      </c>
      <c r="C105" s="25" t="s">
        <v>190</v>
      </c>
      <c r="D105" s="57">
        <v>-13540.38</v>
      </c>
      <c r="E105" s="57">
        <v>0</v>
      </c>
      <c r="F105" s="57">
        <v>-13540.38</v>
      </c>
      <c r="G105" s="57">
        <v>0</v>
      </c>
      <c r="H105" s="57">
        <v>0</v>
      </c>
      <c r="I105" s="57">
        <v>0</v>
      </c>
      <c r="J105" s="57">
        <v>-17949.490000000002</v>
      </c>
      <c r="K105" s="57">
        <v>0</v>
      </c>
      <c r="L105" s="57">
        <v>0</v>
      </c>
      <c r="M105" s="57">
        <v>0</v>
      </c>
      <c r="N105" s="57">
        <v>0</v>
      </c>
      <c r="O105" s="57">
        <v>0</v>
      </c>
      <c r="P105" s="57">
        <f>IFERROR(D105+E105+F105+G105+H105+I105+J105+K105+L105+M105+N105+O105,0)</f>
        <v>-45030.25</v>
      </c>
      <c r="Q105" s="22"/>
      <c r="R105" s="30"/>
      <c r="S105" s="22"/>
    </row>
    <row r="106" spans="2:19" ht="17.45" customHeight="1">
      <c r="B106" s="46" t="s">
        <v>191</v>
      </c>
      <c r="C106" s="45" t="s">
        <v>184</v>
      </c>
      <c r="D106" s="59">
        <f t="shared" ref="D106:O106" si="10">SUM(D104:D105)</f>
        <v>-68848.56</v>
      </c>
      <c r="E106" s="59">
        <f t="shared" si="10"/>
        <v>0</v>
      </c>
      <c r="F106" s="59">
        <f t="shared" si="10"/>
        <v>-68848.56</v>
      </c>
      <c r="G106" s="59">
        <f t="shared" si="10"/>
        <v>0</v>
      </c>
      <c r="H106" s="59">
        <f t="shared" si="10"/>
        <v>0</v>
      </c>
      <c r="I106" s="59">
        <f t="shared" si="10"/>
        <v>0</v>
      </c>
      <c r="J106" s="59">
        <f t="shared" si="10"/>
        <v>-74185.84</v>
      </c>
      <c r="K106" s="59">
        <f t="shared" si="10"/>
        <v>0</v>
      </c>
      <c r="L106" s="59">
        <f t="shared" si="10"/>
        <v>0</v>
      </c>
      <c r="M106" s="59">
        <f t="shared" si="10"/>
        <v>0</v>
      </c>
      <c r="N106" s="59">
        <f t="shared" si="10"/>
        <v>0</v>
      </c>
      <c r="O106" s="59">
        <f t="shared" si="10"/>
        <v>0</v>
      </c>
      <c r="P106" s="59">
        <f>IFERROR(SUM(P104:P105),0)</f>
        <v>-211882.96</v>
      </c>
      <c r="Q106" s="22"/>
      <c r="R106" s="30"/>
      <c r="S106" s="22"/>
    </row>
    <row r="107" spans="2:19" ht="17.45" customHeight="1">
      <c r="B107" s="29"/>
      <c r="C107" s="28" t="s">
        <v>192</v>
      </c>
      <c r="D107" s="57">
        <v>0</v>
      </c>
      <c r="E107" s="57">
        <v>0</v>
      </c>
      <c r="F107" s="57">
        <v>0</v>
      </c>
      <c r="G107" s="57">
        <v>0</v>
      </c>
      <c r="H107" s="57">
        <v>0</v>
      </c>
      <c r="I107" s="57">
        <v>0</v>
      </c>
      <c r="J107" s="57">
        <v>0</v>
      </c>
      <c r="K107" s="57">
        <v>0</v>
      </c>
      <c r="L107" s="57">
        <v>0</v>
      </c>
      <c r="M107" s="57">
        <v>0</v>
      </c>
      <c r="N107" s="57">
        <v>0</v>
      </c>
      <c r="O107" s="57">
        <v>0</v>
      </c>
      <c r="P107" s="57">
        <v>0</v>
      </c>
      <c r="Q107" s="22"/>
      <c r="R107" s="30"/>
      <c r="S107" s="22"/>
    </row>
    <row r="108" spans="2:19" ht="17.45" customHeight="1">
      <c r="B108" s="29"/>
      <c r="C108" s="25" t="s">
        <v>193</v>
      </c>
      <c r="D108" s="57">
        <v>0</v>
      </c>
      <c r="E108" s="57">
        <v>0</v>
      </c>
      <c r="F108" s="57">
        <v>0</v>
      </c>
      <c r="G108" s="57">
        <v>0</v>
      </c>
      <c r="H108" s="57">
        <v>0</v>
      </c>
      <c r="I108" s="57">
        <v>0</v>
      </c>
      <c r="J108" s="57">
        <v>0</v>
      </c>
      <c r="K108" s="57">
        <v>0</v>
      </c>
      <c r="L108" s="57">
        <v>0</v>
      </c>
      <c r="M108" s="57">
        <v>0</v>
      </c>
      <c r="N108" s="57">
        <v>0</v>
      </c>
      <c r="O108" s="57">
        <v>0</v>
      </c>
      <c r="P108" s="57">
        <v>0</v>
      </c>
      <c r="Q108" s="22"/>
      <c r="R108" s="30"/>
      <c r="S108" s="22"/>
    </row>
    <row r="109" spans="2:19" ht="17.45" customHeight="1">
      <c r="B109" s="29"/>
      <c r="C109" s="25" t="s">
        <v>194</v>
      </c>
      <c r="D109" s="57">
        <v>0</v>
      </c>
      <c r="E109" s="57">
        <v>0</v>
      </c>
      <c r="F109" s="57">
        <v>0</v>
      </c>
      <c r="G109" s="57">
        <v>0</v>
      </c>
      <c r="H109" s="57">
        <v>0</v>
      </c>
      <c r="I109" s="57">
        <v>0</v>
      </c>
      <c r="J109" s="57">
        <v>0</v>
      </c>
      <c r="K109" s="57">
        <v>0</v>
      </c>
      <c r="L109" s="57">
        <v>0</v>
      </c>
      <c r="M109" s="57">
        <v>0</v>
      </c>
      <c r="N109" s="57">
        <v>0</v>
      </c>
      <c r="O109" s="57">
        <v>0</v>
      </c>
      <c r="P109" s="57">
        <v>0</v>
      </c>
      <c r="Q109" s="22"/>
      <c r="R109" s="30"/>
      <c r="S109" s="22"/>
    </row>
    <row r="110" spans="2:19" ht="17.45" customHeight="1">
      <c r="B110" s="29"/>
      <c r="C110" s="33" t="s">
        <v>195</v>
      </c>
      <c r="D110" s="57">
        <v>0</v>
      </c>
      <c r="E110" s="57">
        <v>0</v>
      </c>
      <c r="F110" s="57">
        <v>0</v>
      </c>
      <c r="G110" s="57">
        <v>0</v>
      </c>
      <c r="H110" s="57">
        <v>0</v>
      </c>
      <c r="I110" s="57">
        <v>0</v>
      </c>
      <c r="J110" s="57">
        <v>0</v>
      </c>
      <c r="K110" s="57">
        <v>0</v>
      </c>
      <c r="L110" s="57">
        <v>0</v>
      </c>
      <c r="M110" s="57">
        <v>0</v>
      </c>
      <c r="N110" s="57">
        <v>0</v>
      </c>
      <c r="O110" s="57">
        <v>0</v>
      </c>
      <c r="P110" s="57">
        <v>0</v>
      </c>
      <c r="Q110" s="22"/>
      <c r="R110" s="30"/>
      <c r="S110" s="22"/>
    </row>
    <row r="111" spans="2:19" ht="17.45" customHeight="1">
      <c r="B111" s="47" t="s">
        <v>196</v>
      </c>
      <c r="C111" s="48" t="s">
        <v>104</v>
      </c>
      <c r="D111" s="73">
        <f t="shared" ref="D111:P111" si="11">D106+D101+D91+D90+D89+D80+D71+D70+D65+D64+D63+D62+D61+D110</f>
        <v>0</v>
      </c>
      <c r="E111" s="73">
        <f t="shared" si="11"/>
        <v>0</v>
      </c>
      <c r="F111" s="73">
        <f t="shared" si="11"/>
        <v>0</v>
      </c>
      <c r="G111" s="73">
        <f t="shared" si="11"/>
        <v>0</v>
      </c>
      <c r="H111" s="73">
        <f t="shared" si="11"/>
        <v>0</v>
      </c>
      <c r="I111" s="73">
        <f t="shared" si="11"/>
        <v>0</v>
      </c>
      <c r="J111" s="73">
        <f t="shared" si="11"/>
        <v>7.2759576141834259E-12</v>
      </c>
      <c r="K111" s="73">
        <f t="shared" si="11"/>
        <v>13080.560000000001</v>
      </c>
      <c r="L111" s="73">
        <f t="shared" si="11"/>
        <v>0</v>
      </c>
      <c r="M111" s="73">
        <f t="shared" si="11"/>
        <v>0</v>
      </c>
      <c r="N111" s="73">
        <f t="shared" si="11"/>
        <v>0</v>
      </c>
      <c r="O111" s="73">
        <f t="shared" si="11"/>
        <v>0</v>
      </c>
      <c r="P111" s="73">
        <f>IFERROR(P106+P101+P91+P90+P89+P80+P71+P70+P65+P64+P63+P62+P61+P110,0)</f>
        <v>13080.559999999939</v>
      </c>
      <c r="Q111" s="22"/>
      <c r="R111" s="30"/>
      <c r="S111" s="22"/>
    </row>
    <row r="112" spans="2:19" ht="17.45" customHeight="1">
      <c r="B112" s="52" t="s">
        <v>197</v>
      </c>
      <c r="C112" s="53" t="s">
        <v>198</v>
      </c>
      <c r="D112" s="59">
        <f t="shared" ref="D112:P112" si="12">D36</f>
        <v>137697.12</v>
      </c>
      <c r="E112" s="59">
        <f t="shared" si="12"/>
        <v>0</v>
      </c>
      <c r="F112" s="59">
        <f t="shared" si="12"/>
        <v>137697.12</v>
      </c>
      <c r="G112" s="59">
        <f t="shared" si="12"/>
        <v>0</v>
      </c>
      <c r="H112" s="59">
        <f t="shared" si="12"/>
        <v>0</v>
      </c>
      <c r="I112" s="59">
        <f t="shared" si="12"/>
        <v>0</v>
      </c>
      <c r="J112" s="59">
        <f t="shared" si="12"/>
        <v>148371.68</v>
      </c>
      <c r="K112" s="59">
        <f t="shared" si="12"/>
        <v>0</v>
      </c>
      <c r="L112" s="59">
        <f t="shared" si="12"/>
        <v>0</v>
      </c>
      <c r="M112" s="59">
        <f t="shared" si="12"/>
        <v>0</v>
      </c>
      <c r="N112" s="59">
        <f t="shared" si="12"/>
        <v>0</v>
      </c>
      <c r="O112" s="59">
        <f t="shared" si="12"/>
        <v>0</v>
      </c>
      <c r="P112" s="59">
        <f>IFERROR(P36,0)</f>
        <v>423765.92</v>
      </c>
      <c r="Q112" s="22"/>
      <c r="R112" s="30"/>
      <c r="S112" s="22"/>
    </row>
    <row r="113" spans="2:19" ht="17.45" customHeight="1">
      <c r="B113" s="29"/>
      <c r="C113" s="27" t="s">
        <v>199</v>
      </c>
      <c r="D113" s="57">
        <v>0</v>
      </c>
      <c r="E113" s="57">
        <v>0</v>
      </c>
      <c r="F113" s="57">
        <v>0</v>
      </c>
      <c r="G113" s="57">
        <v>0</v>
      </c>
      <c r="H113" s="57">
        <v>0</v>
      </c>
      <c r="I113" s="57">
        <v>0</v>
      </c>
      <c r="J113" s="57">
        <v>0</v>
      </c>
      <c r="K113" s="57">
        <v>0</v>
      </c>
      <c r="L113" s="57">
        <v>0</v>
      </c>
      <c r="M113" s="57">
        <v>0</v>
      </c>
      <c r="N113" s="57">
        <v>0</v>
      </c>
      <c r="O113" s="57">
        <v>0</v>
      </c>
      <c r="P113" s="57">
        <f>IFERROR(D113+E113+F113+G113+H113+I113+J113+K113+L113+M113+N113+O113,0)</f>
        <v>0</v>
      </c>
      <c r="Q113" s="22"/>
      <c r="R113" s="30"/>
      <c r="S113" s="22"/>
    </row>
    <row r="114" spans="2:19" ht="17.45" customHeight="1">
      <c r="B114" s="29"/>
      <c r="C114" s="28" t="s">
        <v>200</v>
      </c>
      <c r="D114" s="57">
        <v>0</v>
      </c>
      <c r="E114" s="57">
        <v>0</v>
      </c>
      <c r="F114" s="57">
        <v>0</v>
      </c>
      <c r="G114" s="57">
        <v>0</v>
      </c>
      <c r="H114" s="57">
        <v>0</v>
      </c>
      <c r="I114" s="57">
        <v>0</v>
      </c>
      <c r="J114" s="57">
        <v>0</v>
      </c>
      <c r="K114" s="57">
        <v>0</v>
      </c>
      <c r="L114" s="57">
        <v>0</v>
      </c>
      <c r="M114" s="57">
        <v>0</v>
      </c>
      <c r="N114" s="57">
        <v>0</v>
      </c>
      <c r="O114" s="57">
        <v>0</v>
      </c>
      <c r="P114" s="57">
        <f>IFERROR(D114+E114+F114+G114+H114+I114+J114+K114+L114+M114+N114+O114,0)</f>
        <v>0</v>
      </c>
      <c r="Q114" s="22"/>
      <c r="R114" s="30"/>
      <c r="S114" s="22"/>
    </row>
    <row r="115" spans="2:19" ht="17.45" customHeight="1">
      <c r="B115" s="29" t="s">
        <v>201</v>
      </c>
      <c r="C115" s="25" t="s">
        <v>202</v>
      </c>
      <c r="D115" s="57">
        <v>0</v>
      </c>
      <c r="E115" s="57">
        <v>0</v>
      </c>
      <c r="F115" s="57">
        <v>0</v>
      </c>
      <c r="G115" s="57">
        <v>0</v>
      </c>
      <c r="H115" s="57">
        <v>0</v>
      </c>
      <c r="I115" s="57">
        <v>0</v>
      </c>
      <c r="J115" s="57">
        <v>0</v>
      </c>
      <c r="K115" s="57">
        <v>0</v>
      </c>
      <c r="L115" s="57">
        <v>0</v>
      </c>
      <c r="M115" s="57">
        <v>0</v>
      </c>
      <c r="N115" s="57">
        <v>0</v>
      </c>
      <c r="O115" s="57">
        <v>0</v>
      </c>
      <c r="P115" s="57">
        <f>IFERROR(D115+E115+F115+G115+H115+I115+J115+K115+L115+M115+N115+O115,0)</f>
        <v>0</v>
      </c>
      <c r="Q115" s="22"/>
      <c r="R115" s="30"/>
      <c r="S115" s="22"/>
    </row>
    <row r="116" spans="2:19" ht="17.45" customHeight="1">
      <c r="B116" s="29" t="s">
        <v>203</v>
      </c>
      <c r="C116" s="25" t="s">
        <v>204</v>
      </c>
      <c r="D116" s="57">
        <v>0</v>
      </c>
      <c r="E116" s="57">
        <v>0</v>
      </c>
      <c r="F116" s="57">
        <v>0</v>
      </c>
      <c r="G116" s="57">
        <v>0</v>
      </c>
      <c r="H116" s="57">
        <v>0</v>
      </c>
      <c r="I116" s="57">
        <v>0</v>
      </c>
      <c r="J116" s="57">
        <v>0</v>
      </c>
      <c r="K116" s="57">
        <v>0</v>
      </c>
      <c r="L116" s="57">
        <v>0</v>
      </c>
      <c r="M116" s="57">
        <v>0</v>
      </c>
      <c r="N116" s="57">
        <v>0</v>
      </c>
      <c r="O116" s="57">
        <v>0</v>
      </c>
      <c r="P116" s="57">
        <f>IFERROR(D116+E116+F116+G116+H116+I116+J116+K116+L116+M116+N116+O116,0)</f>
        <v>0</v>
      </c>
      <c r="Q116" s="22"/>
      <c r="R116" s="30"/>
      <c r="S116" s="22"/>
    </row>
    <row r="117" spans="2:19" ht="17.45" customHeight="1">
      <c r="B117" s="47" t="s">
        <v>205</v>
      </c>
      <c r="C117" s="48" t="s">
        <v>200</v>
      </c>
      <c r="D117" s="59">
        <f>D116</f>
        <v>0</v>
      </c>
      <c r="E117" s="59">
        <f t="shared" ref="E117:O117" si="13">E116</f>
        <v>0</v>
      </c>
      <c r="F117" s="59">
        <f t="shared" si="13"/>
        <v>0</v>
      </c>
      <c r="G117" s="59">
        <f t="shared" si="13"/>
        <v>0</v>
      </c>
      <c r="H117" s="59">
        <f t="shared" si="13"/>
        <v>0</v>
      </c>
      <c r="I117" s="59">
        <f t="shared" si="13"/>
        <v>0</v>
      </c>
      <c r="J117" s="59">
        <f t="shared" si="13"/>
        <v>0</v>
      </c>
      <c r="K117" s="59">
        <f t="shared" si="13"/>
        <v>0</v>
      </c>
      <c r="L117" s="59">
        <f t="shared" si="13"/>
        <v>0</v>
      </c>
      <c r="M117" s="59">
        <f t="shared" si="13"/>
        <v>0</v>
      </c>
      <c r="N117" s="59">
        <f t="shared" si="13"/>
        <v>0</v>
      </c>
      <c r="O117" s="59">
        <f t="shared" si="13"/>
        <v>0</v>
      </c>
      <c r="P117" s="59">
        <f>IFERROR(SUM(P115:P116),0)</f>
        <v>0</v>
      </c>
      <c r="Q117" s="22"/>
      <c r="R117" s="30"/>
      <c r="S117" s="22"/>
    </row>
    <row r="118" spans="2:19" ht="17.45" customHeight="1">
      <c r="B118" s="29"/>
      <c r="C118" s="28" t="s">
        <v>206</v>
      </c>
      <c r="D118" s="57">
        <v>0</v>
      </c>
      <c r="E118" s="57">
        <v>0</v>
      </c>
      <c r="F118" s="57">
        <v>0</v>
      </c>
      <c r="G118" s="57">
        <v>0</v>
      </c>
      <c r="H118" s="57">
        <v>0</v>
      </c>
      <c r="I118" s="57">
        <v>0</v>
      </c>
      <c r="J118" s="57">
        <v>0</v>
      </c>
      <c r="K118" s="57">
        <v>0</v>
      </c>
      <c r="L118" s="57">
        <v>0</v>
      </c>
      <c r="M118" s="57">
        <v>0</v>
      </c>
      <c r="N118" s="57">
        <v>0</v>
      </c>
      <c r="O118" s="57">
        <v>0</v>
      </c>
      <c r="P118" s="57">
        <f>IFERROR(D118+E118+F118+G118+H118+I118+J118+K118+L118+M118+N118+O118,0)</f>
        <v>0</v>
      </c>
      <c r="Q118" s="22"/>
      <c r="R118" s="30"/>
      <c r="S118" s="22"/>
    </row>
    <row r="119" spans="2:19" ht="17.45" customHeight="1">
      <c r="B119" s="29" t="s">
        <v>207</v>
      </c>
      <c r="C119" s="25" t="s">
        <v>208</v>
      </c>
      <c r="D119" s="57">
        <v>0</v>
      </c>
      <c r="E119" s="57">
        <v>0</v>
      </c>
      <c r="F119" s="57">
        <v>0</v>
      </c>
      <c r="G119" s="57">
        <v>0</v>
      </c>
      <c r="H119" s="57">
        <v>0</v>
      </c>
      <c r="I119" s="57">
        <v>0</v>
      </c>
      <c r="J119" s="57">
        <v>0</v>
      </c>
      <c r="K119" s="57">
        <v>0</v>
      </c>
      <c r="L119" s="57">
        <v>0</v>
      </c>
      <c r="M119" s="57">
        <v>0</v>
      </c>
      <c r="N119" s="57">
        <v>0</v>
      </c>
      <c r="O119" s="57">
        <v>0</v>
      </c>
      <c r="P119" s="57">
        <f>IFERROR(D119+E119+F119+G119+H119+I119+J119+K119+L119+M119+N119+O119,0)</f>
        <v>0</v>
      </c>
      <c r="Q119" s="22"/>
      <c r="R119" s="30"/>
      <c r="S119" s="22"/>
    </row>
    <row r="120" spans="2:19" ht="17.45" customHeight="1">
      <c r="B120" s="29" t="s">
        <v>209</v>
      </c>
      <c r="C120" s="25" t="s">
        <v>210</v>
      </c>
      <c r="D120" s="57">
        <v>0</v>
      </c>
      <c r="E120" s="57">
        <v>0</v>
      </c>
      <c r="F120" s="57">
        <v>0</v>
      </c>
      <c r="G120" s="57">
        <v>0</v>
      </c>
      <c r="H120" s="57">
        <v>0</v>
      </c>
      <c r="I120" s="57">
        <v>0</v>
      </c>
      <c r="J120" s="57">
        <v>0</v>
      </c>
      <c r="K120" s="57">
        <v>0</v>
      </c>
      <c r="L120" s="57">
        <v>0</v>
      </c>
      <c r="M120" s="57">
        <v>0</v>
      </c>
      <c r="N120" s="57">
        <v>0</v>
      </c>
      <c r="O120" s="57">
        <v>0</v>
      </c>
      <c r="P120" s="57">
        <f>IFERROR(D120+E120+F120+G120+H120+I120+J120+K120+L120+M120+N120+O120,0)</f>
        <v>0</v>
      </c>
      <c r="Q120" s="22"/>
      <c r="R120" s="30"/>
      <c r="S120" s="22"/>
    </row>
    <row r="121" spans="2:19" ht="17.45" customHeight="1">
      <c r="B121" s="29"/>
      <c r="C121" s="33" t="s">
        <v>211</v>
      </c>
      <c r="D121" s="57">
        <v>0</v>
      </c>
      <c r="E121" s="57">
        <v>0</v>
      </c>
      <c r="F121" s="57">
        <v>0</v>
      </c>
      <c r="G121" s="57">
        <v>0</v>
      </c>
      <c r="H121" s="57">
        <v>0</v>
      </c>
      <c r="I121" s="57">
        <v>0</v>
      </c>
      <c r="J121" s="57">
        <v>0</v>
      </c>
      <c r="K121" s="57">
        <v>0</v>
      </c>
      <c r="L121" s="57">
        <v>0</v>
      </c>
      <c r="M121" s="57">
        <v>0</v>
      </c>
      <c r="N121" s="57">
        <v>0</v>
      </c>
      <c r="O121" s="57">
        <v>0</v>
      </c>
      <c r="P121" s="57">
        <f>IFERROR(D121+E121+F121+G121+H121+I121+J121+K121+L121+M121+N121+O121,0)</f>
        <v>0</v>
      </c>
      <c r="Q121" s="22"/>
      <c r="R121" s="30"/>
      <c r="S121" s="22"/>
    </row>
    <row r="122" spans="2:19" ht="17.45" customHeight="1">
      <c r="B122" s="29" t="s">
        <v>212</v>
      </c>
      <c r="C122" s="25" t="s">
        <v>213</v>
      </c>
      <c r="D122" s="57">
        <v>0</v>
      </c>
      <c r="E122" s="57">
        <v>0</v>
      </c>
      <c r="F122" s="57">
        <v>0</v>
      </c>
      <c r="G122" s="57">
        <v>0</v>
      </c>
      <c r="H122" s="57">
        <v>0</v>
      </c>
      <c r="I122" s="57">
        <v>0</v>
      </c>
      <c r="J122" s="57">
        <v>0</v>
      </c>
      <c r="K122" s="57">
        <v>0</v>
      </c>
      <c r="L122" s="57">
        <v>0</v>
      </c>
      <c r="M122" s="57">
        <v>0</v>
      </c>
      <c r="N122" s="57">
        <v>0</v>
      </c>
      <c r="O122" s="57">
        <v>0</v>
      </c>
      <c r="P122" s="57">
        <f>IFERROR(D122+E122+F122+G122+H122+I122+J122+K122+L122+M122+N122+O122,0)</f>
        <v>0</v>
      </c>
      <c r="Q122" s="22"/>
      <c r="R122" s="30"/>
      <c r="S122" s="22"/>
    </row>
    <row r="123" spans="2:19" ht="17.45" customHeight="1">
      <c r="B123" s="29" t="s">
        <v>214</v>
      </c>
      <c r="C123" s="25" t="s">
        <v>215</v>
      </c>
      <c r="D123" s="57">
        <v>0</v>
      </c>
      <c r="E123" s="57">
        <v>0</v>
      </c>
      <c r="F123" s="57">
        <v>0</v>
      </c>
      <c r="G123" s="57">
        <v>0</v>
      </c>
      <c r="H123" s="57">
        <v>0</v>
      </c>
      <c r="I123" s="57">
        <v>0</v>
      </c>
      <c r="J123" s="57">
        <v>0</v>
      </c>
      <c r="K123" s="57">
        <v>0</v>
      </c>
      <c r="L123" s="57">
        <v>0</v>
      </c>
      <c r="M123" s="57">
        <v>0</v>
      </c>
      <c r="N123" s="57">
        <v>0</v>
      </c>
      <c r="O123" s="57">
        <v>0</v>
      </c>
      <c r="P123" s="57">
        <f>IFERROR(D123+E123+F123+G123+H123+I123+J123+K123+L123+M123+N123+O123,0)</f>
        <v>0</v>
      </c>
      <c r="Q123" s="22"/>
      <c r="R123" s="30"/>
      <c r="S123" s="22"/>
    </row>
    <row r="124" spans="2:19" ht="17.45" customHeight="1">
      <c r="B124" s="29" t="s">
        <v>216</v>
      </c>
      <c r="C124" s="25" t="s">
        <v>217</v>
      </c>
      <c r="D124" s="57">
        <v>0</v>
      </c>
      <c r="E124" s="57">
        <v>0</v>
      </c>
      <c r="F124" s="57">
        <v>0</v>
      </c>
      <c r="G124" s="57">
        <v>0</v>
      </c>
      <c r="H124" s="57">
        <v>0</v>
      </c>
      <c r="I124" s="57">
        <v>0</v>
      </c>
      <c r="J124" s="57">
        <v>0</v>
      </c>
      <c r="K124" s="57">
        <v>0</v>
      </c>
      <c r="L124" s="57">
        <v>0</v>
      </c>
      <c r="M124" s="57">
        <v>0</v>
      </c>
      <c r="N124" s="57">
        <v>0</v>
      </c>
      <c r="O124" s="57">
        <v>0</v>
      </c>
      <c r="P124" s="57">
        <f>IFERROR(D124+E124+F124+G124+H124+I124+J124+K124+L124+M124+N124+O124,0)</f>
        <v>0</v>
      </c>
      <c r="Q124" s="22"/>
      <c r="R124" s="30"/>
      <c r="S124" s="22"/>
    </row>
    <row r="125" spans="2:19" ht="17.45" customHeight="1">
      <c r="B125" s="29" t="s">
        <v>218</v>
      </c>
      <c r="C125" s="25" t="s">
        <v>219</v>
      </c>
      <c r="D125" s="57">
        <v>0</v>
      </c>
      <c r="E125" s="57">
        <v>0</v>
      </c>
      <c r="F125" s="57">
        <v>0</v>
      </c>
      <c r="G125" s="57">
        <v>0</v>
      </c>
      <c r="H125" s="57">
        <v>0</v>
      </c>
      <c r="I125" s="57">
        <v>0</v>
      </c>
      <c r="J125" s="57">
        <v>0</v>
      </c>
      <c r="K125" s="57">
        <v>0</v>
      </c>
      <c r="L125" s="57">
        <v>0</v>
      </c>
      <c r="M125" s="57">
        <v>0</v>
      </c>
      <c r="N125" s="57">
        <v>0</v>
      </c>
      <c r="O125" s="57">
        <v>0</v>
      </c>
      <c r="P125" s="57">
        <f>IFERROR(D125+E125+F125+G125+H125+I125+J125+K125+L125+M125+N125+O125,0)</f>
        <v>0</v>
      </c>
      <c r="Q125" s="22"/>
      <c r="R125" s="30"/>
      <c r="S125" s="22"/>
    </row>
    <row r="126" spans="2:19" ht="17.45" customHeight="1">
      <c r="B126" s="29" t="s">
        <v>220</v>
      </c>
      <c r="C126" s="25" t="s">
        <v>221</v>
      </c>
      <c r="D126" s="57">
        <v>0</v>
      </c>
      <c r="E126" s="57">
        <v>0</v>
      </c>
      <c r="F126" s="57">
        <v>0</v>
      </c>
      <c r="G126" s="57">
        <v>0</v>
      </c>
      <c r="H126" s="57">
        <v>0</v>
      </c>
      <c r="I126" s="57">
        <v>0</v>
      </c>
      <c r="J126" s="57">
        <v>0</v>
      </c>
      <c r="K126" s="57">
        <v>0</v>
      </c>
      <c r="L126" s="57">
        <v>0</v>
      </c>
      <c r="M126" s="57">
        <v>0</v>
      </c>
      <c r="N126" s="57">
        <v>0</v>
      </c>
      <c r="O126" s="57">
        <v>0</v>
      </c>
      <c r="P126" s="57">
        <f>IFERROR(D126+E126+F126+G126+H126+I126+J126+K126+L126+M126+N126+O126,0)</f>
        <v>0</v>
      </c>
      <c r="Q126" s="22"/>
      <c r="R126" s="30"/>
      <c r="S126" s="22"/>
    </row>
    <row r="127" spans="2:19" ht="17.45" customHeight="1">
      <c r="B127" s="29" t="s">
        <v>222</v>
      </c>
      <c r="C127" s="25" t="s">
        <v>223</v>
      </c>
      <c r="D127" s="57">
        <v>0</v>
      </c>
      <c r="E127" s="57">
        <v>0</v>
      </c>
      <c r="F127" s="57">
        <v>0</v>
      </c>
      <c r="G127" s="57">
        <v>0</v>
      </c>
      <c r="H127" s="57">
        <v>0</v>
      </c>
      <c r="I127" s="57">
        <v>0</v>
      </c>
      <c r="J127" s="57">
        <v>0</v>
      </c>
      <c r="K127" s="57">
        <v>0</v>
      </c>
      <c r="L127" s="57">
        <v>0</v>
      </c>
      <c r="M127" s="57">
        <v>0</v>
      </c>
      <c r="N127" s="57">
        <v>0</v>
      </c>
      <c r="O127" s="57">
        <v>0</v>
      </c>
      <c r="P127" s="57">
        <f>IFERROR(D127+E127+F127+G127+H127+I127+J127+K127+L127+M127+N127+O127,0)</f>
        <v>0</v>
      </c>
      <c r="Q127" s="22"/>
      <c r="R127" s="30"/>
      <c r="S127" s="22"/>
    </row>
    <row r="128" spans="2:19" ht="17.45" customHeight="1">
      <c r="B128" s="47" t="s">
        <v>224</v>
      </c>
      <c r="C128" s="48" t="s">
        <v>211</v>
      </c>
      <c r="D128" s="59">
        <f t="shared" ref="D128:O128" si="14">SUM(D122:D127)</f>
        <v>0</v>
      </c>
      <c r="E128" s="59">
        <f t="shared" si="14"/>
        <v>0</v>
      </c>
      <c r="F128" s="59">
        <f t="shared" si="14"/>
        <v>0</v>
      </c>
      <c r="G128" s="59">
        <f t="shared" si="14"/>
        <v>0</v>
      </c>
      <c r="H128" s="59">
        <f t="shared" si="14"/>
        <v>0</v>
      </c>
      <c r="I128" s="59">
        <f t="shared" si="14"/>
        <v>0</v>
      </c>
      <c r="J128" s="59">
        <f t="shared" si="14"/>
        <v>0</v>
      </c>
      <c r="K128" s="59">
        <f t="shared" si="14"/>
        <v>0</v>
      </c>
      <c r="L128" s="59">
        <f t="shared" si="14"/>
        <v>0</v>
      </c>
      <c r="M128" s="59">
        <f t="shared" si="14"/>
        <v>0</v>
      </c>
      <c r="N128" s="59">
        <f t="shared" si="14"/>
        <v>0</v>
      </c>
      <c r="O128" s="59">
        <f t="shared" si="14"/>
        <v>0</v>
      </c>
      <c r="P128" s="59">
        <f>IFERROR(SUM(P122:P127),0)</f>
        <v>0</v>
      </c>
      <c r="Q128" s="22"/>
      <c r="R128" s="30"/>
      <c r="S128" s="22"/>
    </row>
    <row r="129" spans="2:19" ht="17.45" customHeight="1">
      <c r="B129" s="29" t="s">
        <v>225</v>
      </c>
      <c r="C129" s="25" t="s">
        <v>226</v>
      </c>
      <c r="D129" s="57">
        <v>0</v>
      </c>
      <c r="E129" s="57">
        <v>0</v>
      </c>
      <c r="F129" s="57">
        <v>0</v>
      </c>
      <c r="G129" s="57">
        <v>0</v>
      </c>
      <c r="H129" s="57">
        <v>0</v>
      </c>
      <c r="I129" s="57">
        <v>0</v>
      </c>
      <c r="J129" s="57">
        <v>0</v>
      </c>
      <c r="K129" s="57">
        <v>0</v>
      </c>
      <c r="L129" s="57">
        <v>0</v>
      </c>
      <c r="M129" s="57">
        <v>0</v>
      </c>
      <c r="N129" s="57">
        <v>0</v>
      </c>
      <c r="O129" s="57">
        <v>0</v>
      </c>
      <c r="P129" s="57">
        <f>IFERROR(D129+E129+F129+G129+H129+I129+J129+K129+L129+M129+N129+O129,0)</f>
        <v>0</v>
      </c>
      <c r="Q129" s="22"/>
      <c r="R129" s="30"/>
      <c r="S129" s="22"/>
    </row>
    <row r="130" spans="2:19" ht="17.45" customHeight="1">
      <c r="B130" s="29" t="s">
        <v>227</v>
      </c>
      <c r="C130" s="25" t="s">
        <v>228</v>
      </c>
      <c r="D130" s="57">
        <v>0</v>
      </c>
      <c r="E130" s="57">
        <v>0</v>
      </c>
      <c r="F130" s="57">
        <v>0</v>
      </c>
      <c r="G130" s="57">
        <v>0</v>
      </c>
      <c r="H130" s="57">
        <v>0</v>
      </c>
      <c r="I130" s="57">
        <v>0</v>
      </c>
      <c r="J130" s="57">
        <v>0</v>
      </c>
      <c r="K130" s="57">
        <v>0</v>
      </c>
      <c r="L130" s="57">
        <v>0</v>
      </c>
      <c r="M130" s="57">
        <v>0</v>
      </c>
      <c r="N130" s="57">
        <v>0</v>
      </c>
      <c r="O130" s="57">
        <v>0</v>
      </c>
      <c r="P130" s="57">
        <f>IFERROR(D130+E130+F130+G130+H130+I130+J130+K130+L130+M130+N130+O130,0)</f>
        <v>0</v>
      </c>
      <c r="Q130" s="22"/>
      <c r="R130" s="30"/>
      <c r="S130" s="22"/>
    </row>
    <row r="131" spans="2:19" ht="17.45" customHeight="1">
      <c r="B131" s="29" t="s">
        <v>229</v>
      </c>
      <c r="C131" s="25" t="s">
        <v>230</v>
      </c>
      <c r="D131" s="57">
        <v>0</v>
      </c>
      <c r="E131" s="57">
        <v>0</v>
      </c>
      <c r="F131" s="57">
        <v>0</v>
      </c>
      <c r="G131" s="57">
        <v>0</v>
      </c>
      <c r="H131" s="57">
        <v>0</v>
      </c>
      <c r="I131" s="57">
        <v>0</v>
      </c>
      <c r="J131" s="57">
        <v>0</v>
      </c>
      <c r="K131" s="57">
        <v>0</v>
      </c>
      <c r="L131" s="57">
        <v>0</v>
      </c>
      <c r="M131" s="57">
        <v>0</v>
      </c>
      <c r="N131" s="57">
        <v>0</v>
      </c>
      <c r="O131" s="57">
        <v>0</v>
      </c>
      <c r="P131" s="57">
        <f>IFERROR(D131+E131+F131+G131+H131+I131+J131+K131+L131+M131+N131+O131,0)</f>
        <v>0</v>
      </c>
      <c r="Q131" s="22"/>
      <c r="R131" s="30"/>
      <c r="S131" s="22"/>
    </row>
    <row r="132" spans="2:19" ht="17.45" customHeight="1">
      <c r="B132" s="47" t="s">
        <v>231</v>
      </c>
      <c r="C132" s="48" t="s">
        <v>206</v>
      </c>
      <c r="D132" s="59">
        <f t="shared" ref="D132:O132" si="15">D119+D128+D129+D130</f>
        <v>0</v>
      </c>
      <c r="E132" s="59">
        <f t="shared" si="15"/>
        <v>0</v>
      </c>
      <c r="F132" s="59">
        <f t="shared" si="15"/>
        <v>0</v>
      </c>
      <c r="G132" s="59">
        <f t="shared" si="15"/>
        <v>0</v>
      </c>
      <c r="H132" s="59">
        <f t="shared" si="15"/>
        <v>0</v>
      </c>
      <c r="I132" s="59">
        <f t="shared" si="15"/>
        <v>0</v>
      </c>
      <c r="J132" s="59">
        <f t="shared" si="15"/>
        <v>0</v>
      </c>
      <c r="K132" s="59">
        <f t="shared" si="15"/>
        <v>0</v>
      </c>
      <c r="L132" s="59">
        <f t="shared" si="15"/>
        <v>0</v>
      </c>
      <c r="M132" s="59">
        <f t="shared" si="15"/>
        <v>0</v>
      </c>
      <c r="N132" s="59">
        <f t="shared" si="15"/>
        <v>0</v>
      </c>
      <c r="O132" s="59">
        <f t="shared" si="15"/>
        <v>0</v>
      </c>
      <c r="P132" s="59">
        <f>IFERROR(P119+P128+P129+P130,0)</f>
        <v>0</v>
      </c>
      <c r="Q132" s="22"/>
      <c r="R132" s="30"/>
      <c r="S132" s="22"/>
    </row>
    <row r="133" spans="2:19" ht="17.45" customHeight="1">
      <c r="B133" s="29"/>
      <c r="C133" s="33" t="s">
        <v>232</v>
      </c>
      <c r="D133" s="57">
        <v>0</v>
      </c>
      <c r="E133" s="57">
        <v>0</v>
      </c>
      <c r="F133" s="57">
        <v>0</v>
      </c>
      <c r="G133" s="57">
        <v>0</v>
      </c>
      <c r="H133" s="57">
        <v>0</v>
      </c>
      <c r="I133" s="57">
        <v>0</v>
      </c>
      <c r="J133" s="57">
        <v>0</v>
      </c>
      <c r="K133" s="57">
        <v>0</v>
      </c>
      <c r="L133" s="57">
        <v>0</v>
      </c>
      <c r="M133" s="57">
        <v>0</v>
      </c>
      <c r="N133" s="57">
        <v>0</v>
      </c>
      <c r="O133" s="57">
        <v>0</v>
      </c>
      <c r="P133" s="57">
        <f>IFERROR(D133+E133+F133+G133+H133+I133+J133+K133+L133+M133+N133+O133,0)</f>
        <v>0</v>
      </c>
      <c r="Q133" s="22"/>
      <c r="R133" s="30"/>
      <c r="S133" s="22"/>
    </row>
    <row r="134" spans="2:19" ht="17.45" customHeight="1">
      <c r="B134" s="29" t="s">
        <v>233</v>
      </c>
      <c r="C134" s="25" t="s">
        <v>39</v>
      </c>
      <c r="D134" s="57">
        <v>0</v>
      </c>
      <c r="E134" s="57">
        <v>0</v>
      </c>
      <c r="F134" s="57">
        <v>0</v>
      </c>
      <c r="G134" s="57">
        <v>0</v>
      </c>
      <c r="H134" s="57">
        <v>0</v>
      </c>
      <c r="I134" s="57">
        <v>0</v>
      </c>
      <c r="J134" s="57">
        <v>0</v>
      </c>
      <c r="K134" s="57">
        <v>0</v>
      </c>
      <c r="L134" s="57">
        <v>0</v>
      </c>
      <c r="M134" s="57">
        <v>0</v>
      </c>
      <c r="N134" s="57">
        <v>0</v>
      </c>
      <c r="O134" s="57">
        <v>0</v>
      </c>
      <c r="P134" s="57">
        <f>IFERROR(D134+E134+F134+G134+H134+I134+J134+K134+L134+M134+N134+O134,0)</f>
        <v>0</v>
      </c>
      <c r="Q134" s="22"/>
      <c r="R134" s="30"/>
      <c r="S134" s="22"/>
    </row>
    <row r="135" spans="2:19" ht="17.45" customHeight="1">
      <c r="B135" s="29" t="s">
        <v>234</v>
      </c>
      <c r="C135" s="25" t="s">
        <v>235</v>
      </c>
      <c r="D135" s="57">
        <v>0</v>
      </c>
      <c r="E135" s="57">
        <v>0</v>
      </c>
      <c r="F135" s="57">
        <v>0</v>
      </c>
      <c r="G135" s="57">
        <v>0</v>
      </c>
      <c r="H135" s="57">
        <v>0</v>
      </c>
      <c r="I135" s="57">
        <v>0</v>
      </c>
      <c r="J135" s="57">
        <v>0</v>
      </c>
      <c r="K135" s="57">
        <v>0</v>
      </c>
      <c r="L135" s="57">
        <v>0</v>
      </c>
      <c r="M135" s="57">
        <v>0</v>
      </c>
      <c r="N135" s="57">
        <v>0</v>
      </c>
      <c r="O135" s="57">
        <v>0</v>
      </c>
      <c r="P135" s="57">
        <f>IFERROR(D135+E135+F135+G135+H135+I135+J135+K135+L135+M135+N135+O135,0)</f>
        <v>0</v>
      </c>
      <c r="Q135" s="22"/>
      <c r="R135" s="30"/>
      <c r="S135" s="22"/>
    </row>
    <row r="136" spans="2:19" ht="17.45" customHeight="1">
      <c r="B136" s="29" t="s">
        <v>236</v>
      </c>
      <c r="C136" s="25" t="s">
        <v>237</v>
      </c>
      <c r="D136" s="57">
        <v>0</v>
      </c>
      <c r="E136" s="57">
        <v>0</v>
      </c>
      <c r="F136" s="57">
        <v>0</v>
      </c>
      <c r="G136" s="57">
        <v>0</v>
      </c>
      <c r="H136" s="57">
        <v>0</v>
      </c>
      <c r="I136" s="57">
        <v>0</v>
      </c>
      <c r="J136" s="57">
        <v>0</v>
      </c>
      <c r="K136" s="57">
        <v>0</v>
      </c>
      <c r="L136" s="57">
        <v>0</v>
      </c>
      <c r="M136" s="57">
        <v>0</v>
      </c>
      <c r="N136" s="57">
        <v>0</v>
      </c>
      <c r="O136" s="57">
        <v>0</v>
      </c>
      <c r="P136" s="57">
        <f>IFERROR(D136+E136+F136+G136+H136+I136+J136+K136+L136+M136+N136+O136,0)</f>
        <v>0</v>
      </c>
      <c r="Q136" s="22"/>
      <c r="R136" s="30"/>
      <c r="S136" s="22"/>
    </row>
    <row r="137" spans="2:19" ht="17.45" customHeight="1">
      <c r="B137" s="43" t="s">
        <v>238</v>
      </c>
      <c r="C137" s="44" t="s">
        <v>232</v>
      </c>
      <c r="D137" s="75">
        <f t="shared" ref="D137:O137" si="16">SUM(D134:D136)</f>
        <v>0</v>
      </c>
      <c r="E137" s="75">
        <f t="shared" si="16"/>
        <v>0</v>
      </c>
      <c r="F137" s="75">
        <f t="shared" si="16"/>
        <v>0</v>
      </c>
      <c r="G137" s="75">
        <f t="shared" si="16"/>
        <v>0</v>
      </c>
      <c r="H137" s="75">
        <f t="shared" si="16"/>
        <v>0</v>
      </c>
      <c r="I137" s="75">
        <f t="shared" si="16"/>
        <v>0</v>
      </c>
      <c r="J137" s="75">
        <f t="shared" si="16"/>
        <v>0</v>
      </c>
      <c r="K137" s="75">
        <f t="shared" si="16"/>
        <v>0</v>
      </c>
      <c r="L137" s="75">
        <f t="shared" si="16"/>
        <v>0</v>
      </c>
      <c r="M137" s="75">
        <f t="shared" si="16"/>
        <v>0</v>
      </c>
      <c r="N137" s="75">
        <f t="shared" si="16"/>
        <v>0</v>
      </c>
      <c r="O137" s="75">
        <f t="shared" si="16"/>
        <v>0</v>
      </c>
      <c r="P137" s="75">
        <f>IFERROR(SUM(P134:P136),0)</f>
        <v>0</v>
      </c>
      <c r="Q137" s="22"/>
      <c r="R137" s="30"/>
      <c r="S137" s="22"/>
    </row>
    <row r="138" spans="2:19" ht="17.45" customHeight="1">
      <c r="B138" s="52" t="s">
        <v>239</v>
      </c>
      <c r="C138" s="53" t="s">
        <v>199</v>
      </c>
      <c r="D138" s="59">
        <f t="shared" ref="D138:O138" si="17">D137+D132+D117</f>
        <v>0</v>
      </c>
      <c r="E138" s="59">
        <f t="shared" si="17"/>
        <v>0</v>
      </c>
      <c r="F138" s="59">
        <f t="shared" si="17"/>
        <v>0</v>
      </c>
      <c r="G138" s="59">
        <f t="shared" si="17"/>
        <v>0</v>
      </c>
      <c r="H138" s="59">
        <f t="shared" si="17"/>
        <v>0</v>
      </c>
      <c r="I138" s="59">
        <f t="shared" si="17"/>
        <v>0</v>
      </c>
      <c r="J138" s="59">
        <f t="shared" si="17"/>
        <v>0</v>
      </c>
      <c r="K138" s="59">
        <f t="shared" si="17"/>
        <v>0</v>
      </c>
      <c r="L138" s="59">
        <f t="shared" si="17"/>
        <v>0</v>
      </c>
      <c r="M138" s="59">
        <f t="shared" si="17"/>
        <v>0</v>
      </c>
      <c r="N138" s="59">
        <f t="shared" si="17"/>
        <v>0</v>
      </c>
      <c r="O138" s="59">
        <f t="shared" si="17"/>
        <v>0</v>
      </c>
      <c r="P138" s="59">
        <f>IFERROR(P137+P132+P117,0)</f>
        <v>0</v>
      </c>
      <c r="Q138" s="22"/>
      <c r="R138" s="30"/>
      <c r="S138" s="22"/>
    </row>
    <row r="139" spans="2:19" ht="17.45" customHeight="1">
      <c r="B139" s="29"/>
      <c r="C139" s="27" t="s">
        <v>240</v>
      </c>
      <c r="D139" s="57">
        <v>0</v>
      </c>
      <c r="E139" s="57">
        <v>0</v>
      </c>
      <c r="F139" s="57">
        <v>0</v>
      </c>
      <c r="G139" s="57">
        <v>0</v>
      </c>
      <c r="H139" s="57">
        <v>0</v>
      </c>
      <c r="I139" s="57">
        <v>0</v>
      </c>
      <c r="J139" s="57">
        <v>0</v>
      </c>
      <c r="K139" s="57">
        <v>0</v>
      </c>
      <c r="L139" s="57">
        <v>0</v>
      </c>
      <c r="M139" s="57">
        <v>0</v>
      </c>
      <c r="N139" s="57">
        <v>0</v>
      </c>
      <c r="O139" s="57">
        <v>0</v>
      </c>
      <c r="P139" s="57">
        <f>IFERROR(D139+E139+F139+G139+H139+I139+J139+K139+L139+M139+N139+O139,0)</f>
        <v>0</v>
      </c>
      <c r="Q139" s="22"/>
      <c r="R139" s="30"/>
      <c r="S139" s="22"/>
    </row>
    <row r="140" spans="2:19" ht="17.45" customHeight="1">
      <c r="B140" s="29"/>
      <c r="C140" s="28" t="s">
        <v>241</v>
      </c>
      <c r="D140" s="57">
        <v>0</v>
      </c>
      <c r="E140" s="57">
        <v>0</v>
      </c>
      <c r="F140" s="57">
        <v>0</v>
      </c>
      <c r="G140" s="57">
        <v>0</v>
      </c>
      <c r="H140" s="57">
        <v>0</v>
      </c>
      <c r="I140" s="57">
        <v>0</v>
      </c>
      <c r="J140" s="57">
        <v>0</v>
      </c>
      <c r="K140" s="57">
        <v>0</v>
      </c>
      <c r="L140" s="57">
        <v>0</v>
      </c>
      <c r="M140" s="57">
        <v>0</v>
      </c>
      <c r="N140" s="57">
        <v>0</v>
      </c>
      <c r="O140" s="57">
        <v>0</v>
      </c>
      <c r="P140" s="57">
        <f>IFERROR(D140+E140+F140+G140+H140+I140+J140+K140+L140+M140+N140+O140,0)</f>
        <v>0</v>
      </c>
      <c r="Q140" s="22"/>
      <c r="R140" s="30"/>
      <c r="S140" s="22"/>
    </row>
    <row r="141" spans="2:19" ht="17.45" customHeight="1">
      <c r="B141" s="29" t="s">
        <v>242</v>
      </c>
      <c r="C141" s="25" t="s">
        <v>243</v>
      </c>
      <c r="D141" s="57">
        <v>3138.24</v>
      </c>
      <c r="E141" s="57">
        <v>0</v>
      </c>
      <c r="F141" s="57">
        <v>3138.24</v>
      </c>
      <c r="G141" s="57">
        <v>0</v>
      </c>
      <c r="H141" s="57">
        <v>0</v>
      </c>
      <c r="I141" s="57">
        <v>0</v>
      </c>
      <c r="J141" s="57">
        <v>2419.4499999999998</v>
      </c>
      <c r="K141" s="57">
        <v>0</v>
      </c>
      <c r="L141" s="57">
        <v>0</v>
      </c>
      <c r="M141" s="57">
        <v>0</v>
      </c>
      <c r="N141" s="57">
        <v>0</v>
      </c>
      <c r="O141" s="57">
        <v>0</v>
      </c>
      <c r="P141" s="57">
        <f>IFERROR(D141+E141+F141+G141+H141+I141+J141+K141+L141+M141+N141+O141,0)</f>
        <v>8695.93</v>
      </c>
      <c r="Q141" s="22"/>
      <c r="R141" s="30"/>
      <c r="S141" s="22"/>
    </row>
    <row r="142" spans="2:19" ht="17.45" customHeight="1">
      <c r="B142" s="29" t="s">
        <v>244</v>
      </c>
      <c r="C142" s="25" t="s">
        <v>245</v>
      </c>
      <c r="D142" s="57">
        <v>1763.9</v>
      </c>
      <c r="E142" s="57">
        <v>0</v>
      </c>
      <c r="F142" s="57">
        <v>1763.9</v>
      </c>
      <c r="G142" s="57">
        <v>0</v>
      </c>
      <c r="H142" s="57">
        <v>0</v>
      </c>
      <c r="I142" s="57">
        <v>0</v>
      </c>
      <c r="J142" s="57">
        <v>1894.75</v>
      </c>
      <c r="K142" s="57">
        <v>2361.23</v>
      </c>
      <c r="L142" s="57">
        <v>0</v>
      </c>
      <c r="M142" s="57">
        <v>0</v>
      </c>
      <c r="N142" s="57">
        <v>0</v>
      </c>
      <c r="O142" s="57">
        <v>0</v>
      </c>
      <c r="P142" s="57">
        <f>IFERROR(D142+E142+F142+G142+H142+I142+J142+K142+L142+M142+N142+O142,0)</f>
        <v>7783.7800000000007</v>
      </c>
      <c r="Q142" s="22"/>
      <c r="R142" s="30"/>
      <c r="S142" s="22"/>
    </row>
    <row r="143" spans="2:19" ht="17.45" customHeight="1">
      <c r="B143" s="29" t="s">
        <v>246</v>
      </c>
      <c r="C143" s="25" t="s">
        <v>247</v>
      </c>
      <c r="D143" s="57">
        <v>200</v>
      </c>
      <c r="E143" s="57">
        <v>0</v>
      </c>
      <c r="F143" s="57">
        <v>200</v>
      </c>
      <c r="G143" s="57">
        <v>0</v>
      </c>
      <c r="H143" s="57">
        <v>0</v>
      </c>
      <c r="I143" s="57">
        <v>0</v>
      </c>
      <c r="J143" s="57">
        <v>139.91</v>
      </c>
      <c r="K143" s="57">
        <v>0</v>
      </c>
      <c r="L143" s="57">
        <v>0</v>
      </c>
      <c r="M143" s="57">
        <v>0</v>
      </c>
      <c r="N143" s="57">
        <v>0</v>
      </c>
      <c r="O143" s="57">
        <v>0</v>
      </c>
      <c r="P143" s="57">
        <f>IFERROR(D143+E143+F143+G143+H143+I143+J143+K143+L143+M143+N143+O143,0)</f>
        <v>539.91</v>
      </c>
      <c r="Q143" s="22"/>
      <c r="R143" s="30"/>
      <c r="S143" s="22"/>
    </row>
    <row r="144" spans="2:19" ht="17.45" customHeight="1">
      <c r="B144" s="29" t="s">
        <v>248</v>
      </c>
      <c r="C144" s="25" t="s">
        <v>118</v>
      </c>
      <c r="D144" s="57">
        <v>0</v>
      </c>
      <c r="E144" s="57">
        <v>0</v>
      </c>
      <c r="F144" s="57">
        <v>0</v>
      </c>
      <c r="G144" s="57">
        <v>0</v>
      </c>
      <c r="H144" s="57">
        <v>0</v>
      </c>
      <c r="I144" s="57">
        <v>0</v>
      </c>
      <c r="J144" s="57">
        <v>0</v>
      </c>
      <c r="K144" s="57">
        <v>0</v>
      </c>
      <c r="L144" s="57">
        <v>0</v>
      </c>
      <c r="M144" s="57">
        <v>0</v>
      </c>
      <c r="N144" s="57">
        <v>0</v>
      </c>
      <c r="O144" s="57">
        <v>0</v>
      </c>
      <c r="P144" s="57">
        <f>IFERROR(D144+E144+F144+G144+H144+I144+J144+K144+L144+M144+N144+O144,0)</f>
        <v>0</v>
      </c>
      <c r="Q144" s="22"/>
      <c r="R144" s="30"/>
      <c r="S144" s="22"/>
    </row>
    <row r="145" spans="2:19" ht="17.45" customHeight="1">
      <c r="B145" s="29" t="s">
        <v>249</v>
      </c>
      <c r="C145" s="25" t="s">
        <v>250</v>
      </c>
      <c r="D145" s="57">
        <v>0</v>
      </c>
      <c r="E145" s="57">
        <v>0</v>
      </c>
      <c r="F145" s="57">
        <v>0</v>
      </c>
      <c r="G145" s="57">
        <v>0</v>
      </c>
      <c r="H145" s="57">
        <v>0</v>
      </c>
      <c r="I145" s="57">
        <v>0</v>
      </c>
      <c r="J145" s="57">
        <v>0</v>
      </c>
      <c r="K145" s="57">
        <v>0</v>
      </c>
      <c r="L145" s="57">
        <v>0</v>
      </c>
      <c r="M145" s="57">
        <v>0</v>
      </c>
      <c r="N145" s="57">
        <v>0</v>
      </c>
      <c r="O145" s="57">
        <v>0</v>
      </c>
      <c r="P145" s="57">
        <f>IFERROR(D145+E145+F145+G145+H145+I145+J145+K145+L145+M145+N145+O145,0)</f>
        <v>0</v>
      </c>
      <c r="Q145" s="22"/>
      <c r="R145" s="30"/>
      <c r="S145" s="22"/>
    </row>
    <row r="146" spans="2:19" ht="17.45" customHeight="1">
      <c r="B146" s="29" t="s">
        <v>251</v>
      </c>
      <c r="C146" s="25" t="s">
        <v>252</v>
      </c>
      <c r="D146" s="57">
        <v>2784.61</v>
      </c>
      <c r="E146" s="57">
        <v>0</v>
      </c>
      <c r="F146" s="57">
        <v>2784.61</v>
      </c>
      <c r="G146" s="57">
        <v>0</v>
      </c>
      <c r="H146" s="57">
        <v>0</v>
      </c>
      <c r="I146" s="57">
        <v>0</v>
      </c>
      <c r="J146" s="57">
        <v>2903.8</v>
      </c>
      <c r="K146" s="57">
        <v>0</v>
      </c>
      <c r="L146" s="57">
        <v>0</v>
      </c>
      <c r="M146" s="57">
        <v>0</v>
      </c>
      <c r="N146" s="57">
        <v>0</v>
      </c>
      <c r="O146" s="57">
        <v>0</v>
      </c>
      <c r="P146" s="57">
        <f>IFERROR(D146+E146+F146+G146+H146+I146+J146+K146+L146+M146+N146+O146,0)</f>
        <v>8473.02</v>
      </c>
      <c r="Q146" s="22"/>
      <c r="R146" s="30"/>
      <c r="S146" s="22"/>
    </row>
    <row r="147" spans="2:19" ht="17.45" customHeight="1">
      <c r="B147" s="29"/>
      <c r="C147" s="25" t="s">
        <v>253</v>
      </c>
      <c r="D147" s="57">
        <v>0</v>
      </c>
      <c r="E147" s="57">
        <v>0</v>
      </c>
      <c r="F147" s="57">
        <v>0</v>
      </c>
      <c r="G147" s="57">
        <v>0</v>
      </c>
      <c r="H147" s="57">
        <v>0</v>
      </c>
      <c r="I147" s="57">
        <v>0</v>
      </c>
      <c r="J147" s="57">
        <v>0</v>
      </c>
      <c r="K147" s="57">
        <v>0</v>
      </c>
      <c r="L147" s="57">
        <v>0</v>
      </c>
      <c r="M147" s="57">
        <v>0</v>
      </c>
      <c r="N147" s="57">
        <v>0</v>
      </c>
      <c r="O147" s="57">
        <v>0</v>
      </c>
      <c r="P147" s="57" t="s">
        <v>0</v>
      </c>
      <c r="Q147" s="22"/>
      <c r="R147" s="30"/>
      <c r="S147" s="22"/>
    </row>
    <row r="148" spans="2:19" ht="17.45" customHeight="1">
      <c r="B148" s="46" t="s">
        <v>254</v>
      </c>
      <c r="C148" s="45" t="s">
        <v>241</v>
      </c>
      <c r="D148" s="59">
        <f t="shared" ref="D148:P148" si="18">SUM(D141:D147)</f>
        <v>7886.75</v>
      </c>
      <c r="E148" s="59">
        <f t="shared" si="18"/>
        <v>0</v>
      </c>
      <c r="F148" s="59">
        <f t="shared" si="18"/>
        <v>7886.75</v>
      </c>
      <c r="G148" s="59">
        <f t="shared" si="18"/>
        <v>0</v>
      </c>
      <c r="H148" s="59">
        <f t="shared" si="18"/>
        <v>0</v>
      </c>
      <c r="I148" s="59">
        <f t="shared" si="18"/>
        <v>0</v>
      </c>
      <c r="J148" s="59">
        <f t="shared" si="18"/>
        <v>7357.91</v>
      </c>
      <c r="K148" s="59">
        <f t="shared" si="18"/>
        <v>2361.23</v>
      </c>
      <c r="L148" s="59">
        <f t="shared" si="18"/>
        <v>0</v>
      </c>
      <c r="M148" s="59">
        <f t="shared" si="18"/>
        <v>0</v>
      </c>
      <c r="N148" s="59">
        <f t="shared" si="18"/>
        <v>0</v>
      </c>
      <c r="O148" s="59">
        <f t="shared" si="18"/>
        <v>0</v>
      </c>
      <c r="P148" s="59">
        <f>IFERROR(SUM(P141:P147),0)</f>
        <v>25492.639999999999</v>
      </c>
      <c r="Q148" s="22"/>
      <c r="R148" s="30"/>
      <c r="S148" s="22"/>
    </row>
    <row r="149" spans="2:19" ht="17.45" customHeight="1">
      <c r="B149" s="29"/>
      <c r="C149" s="27" t="s">
        <v>255</v>
      </c>
      <c r="D149" s="57" t="s">
        <v>432</v>
      </c>
      <c r="E149" s="57">
        <v>0</v>
      </c>
      <c r="F149" s="57" t="s">
        <v>432</v>
      </c>
      <c r="G149" s="57">
        <v>0</v>
      </c>
      <c r="H149" s="57">
        <v>0</v>
      </c>
      <c r="I149" s="57">
        <v>0</v>
      </c>
      <c r="J149" s="57" t="s">
        <v>432</v>
      </c>
      <c r="K149" s="57" t="s">
        <v>432</v>
      </c>
      <c r="L149" s="57">
        <v>0</v>
      </c>
      <c r="M149" s="57">
        <v>0</v>
      </c>
      <c r="N149" s="57">
        <v>0</v>
      </c>
      <c r="O149" s="57">
        <v>0</v>
      </c>
      <c r="P149" s="57">
        <f>IFERROR(D149+E149+F149+G149+H149+I149+J149+K149+L149+M149+N149+O149,0)</f>
        <v>0</v>
      </c>
      <c r="Q149" s="22"/>
      <c r="R149" s="30"/>
      <c r="S149" s="22"/>
    </row>
    <row r="150" spans="2:19" ht="17.45" customHeight="1">
      <c r="B150" s="29" t="s">
        <v>256</v>
      </c>
      <c r="C150" s="25" t="s">
        <v>257</v>
      </c>
      <c r="D150" s="57">
        <v>0</v>
      </c>
      <c r="E150" s="57">
        <v>0</v>
      </c>
      <c r="F150" s="57">
        <v>0</v>
      </c>
      <c r="G150" s="57">
        <v>0</v>
      </c>
      <c r="H150" s="57">
        <v>0</v>
      </c>
      <c r="I150" s="57">
        <v>0</v>
      </c>
      <c r="J150" s="57">
        <v>0</v>
      </c>
      <c r="K150" s="57">
        <v>0</v>
      </c>
      <c r="L150" s="57">
        <v>0</v>
      </c>
      <c r="M150" s="57">
        <v>0</v>
      </c>
      <c r="N150" s="57">
        <v>0</v>
      </c>
      <c r="O150" s="57">
        <v>0</v>
      </c>
      <c r="P150" s="57">
        <f>IFERROR(D150+E150+F150+G150+H150+I150+J150+K150+L150+M150+N150+O150,0)</f>
        <v>0</v>
      </c>
      <c r="Q150" s="22"/>
      <c r="R150" s="30"/>
      <c r="S150" s="22"/>
    </row>
    <row r="151" spans="2:19" ht="17.45" customHeight="1">
      <c r="B151" s="29" t="s">
        <v>258</v>
      </c>
      <c r="C151" s="25" t="s">
        <v>259</v>
      </c>
      <c r="D151" s="57">
        <v>0</v>
      </c>
      <c r="E151" s="57">
        <v>0</v>
      </c>
      <c r="F151" s="57">
        <v>0</v>
      </c>
      <c r="G151" s="57">
        <v>0</v>
      </c>
      <c r="H151" s="57">
        <v>0</v>
      </c>
      <c r="I151" s="57">
        <v>0</v>
      </c>
      <c r="J151" s="57">
        <v>0</v>
      </c>
      <c r="K151" s="57">
        <v>0</v>
      </c>
      <c r="L151" s="57">
        <v>0</v>
      </c>
      <c r="M151" s="57">
        <v>0</v>
      </c>
      <c r="N151" s="57">
        <v>0</v>
      </c>
      <c r="O151" s="57">
        <v>0</v>
      </c>
      <c r="P151" s="57">
        <f>IFERROR(D151+E151+F151+G151+H151+I151+J151+K151+L151+M151+N151+O151,0)</f>
        <v>0</v>
      </c>
      <c r="Q151" s="22"/>
      <c r="R151" s="30"/>
      <c r="S151" s="22"/>
    </row>
    <row r="152" spans="2:19" ht="17.45" customHeight="1">
      <c r="B152" s="29" t="s">
        <v>260</v>
      </c>
      <c r="C152" s="25" t="s">
        <v>261</v>
      </c>
      <c r="D152" s="57">
        <v>0</v>
      </c>
      <c r="E152" s="57">
        <v>0</v>
      </c>
      <c r="F152" s="57">
        <v>0</v>
      </c>
      <c r="G152" s="57">
        <v>0</v>
      </c>
      <c r="H152" s="57">
        <v>0</v>
      </c>
      <c r="I152" s="57">
        <v>0</v>
      </c>
      <c r="J152" s="57">
        <v>0</v>
      </c>
      <c r="K152" s="57">
        <v>0</v>
      </c>
      <c r="L152" s="57">
        <v>0</v>
      </c>
      <c r="M152" s="57">
        <v>0</v>
      </c>
      <c r="N152" s="57">
        <v>0</v>
      </c>
      <c r="O152" s="57">
        <v>0</v>
      </c>
      <c r="P152" s="57">
        <f>IFERROR(D152+E152+F152+G152+H152+I152+J152+K152+L152+M152+N152+O152,0)</f>
        <v>0</v>
      </c>
      <c r="Q152" s="22"/>
      <c r="R152" s="30"/>
      <c r="S152" s="22"/>
    </row>
    <row r="153" spans="2:19" ht="17.45" customHeight="1">
      <c r="B153" s="29" t="s">
        <v>262</v>
      </c>
      <c r="C153" s="25" t="s">
        <v>263</v>
      </c>
      <c r="D153" s="57">
        <v>0</v>
      </c>
      <c r="E153" s="57">
        <v>0</v>
      </c>
      <c r="F153" s="57">
        <v>0</v>
      </c>
      <c r="G153" s="57">
        <v>0</v>
      </c>
      <c r="H153" s="57">
        <v>0</v>
      </c>
      <c r="I153" s="57">
        <v>0</v>
      </c>
      <c r="J153" s="57">
        <v>0</v>
      </c>
      <c r="K153" s="57">
        <v>0</v>
      </c>
      <c r="L153" s="57">
        <v>0</v>
      </c>
      <c r="M153" s="57">
        <v>0</v>
      </c>
      <c r="N153" s="57">
        <v>0</v>
      </c>
      <c r="O153" s="57">
        <v>0</v>
      </c>
      <c r="P153" s="57">
        <f>IFERROR(D153+E153+F153+G153+H153+I153+J153+K153+L153+M153+N153+O153,0)</f>
        <v>0</v>
      </c>
      <c r="Q153" s="22"/>
      <c r="R153" s="30"/>
      <c r="S153" s="22"/>
    </row>
    <row r="154" spans="2:19" ht="17.45" customHeight="1">
      <c r="B154" s="46" t="s">
        <v>264</v>
      </c>
      <c r="C154" s="45" t="s">
        <v>255</v>
      </c>
      <c r="D154" s="59">
        <f t="shared" ref="D154:O154" si="19">SUM(D151:D153)</f>
        <v>0</v>
      </c>
      <c r="E154" s="59">
        <f t="shared" si="19"/>
        <v>0</v>
      </c>
      <c r="F154" s="59">
        <f t="shared" si="19"/>
        <v>0</v>
      </c>
      <c r="G154" s="59">
        <f t="shared" si="19"/>
        <v>0</v>
      </c>
      <c r="H154" s="59">
        <f t="shared" si="19"/>
        <v>0</v>
      </c>
      <c r="I154" s="59">
        <f t="shared" si="19"/>
        <v>0</v>
      </c>
      <c r="J154" s="59">
        <f t="shared" si="19"/>
        <v>0</v>
      </c>
      <c r="K154" s="59">
        <f t="shared" si="19"/>
        <v>0</v>
      </c>
      <c r="L154" s="59">
        <f t="shared" si="19"/>
        <v>0</v>
      </c>
      <c r="M154" s="59">
        <f t="shared" si="19"/>
        <v>0</v>
      </c>
      <c r="N154" s="59">
        <f t="shared" si="19"/>
        <v>0</v>
      </c>
      <c r="O154" s="59">
        <f t="shared" si="19"/>
        <v>0</v>
      </c>
      <c r="P154" s="59">
        <f>IFERROR(SUM(P151:P153),0)</f>
        <v>0</v>
      </c>
      <c r="Q154" s="22"/>
      <c r="R154" s="30"/>
      <c r="S154" s="22"/>
    </row>
    <row r="155" spans="2:19" ht="17.45" customHeight="1">
      <c r="B155" s="29"/>
      <c r="C155" s="27" t="s">
        <v>265</v>
      </c>
      <c r="D155" s="57">
        <v>0</v>
      </c>
      <c r="E155" s="57">
        <v>0</v>
      </c>
      <c r="F155" s="57">
        <v>0</v>
      </c>
      <c r="G155" s="57">
        <v>0</v>
      </c>
      <c r="H155" s="57">
        <v>0</v>
      </c>
      <c r="I155" s="57">
        <v>0</v>
      </c>
      <c r="J155" s="57">
        <v>0</v>
      </c>
      <c r="K155" s="57">
        <v>0</v>
      </c>
      <c r="L155" s="57">
        <v>0</v>
      </c>
      <c r="M155" s="57">
        <v>0</v>
      </c>
      <c r="N155" s="57">
        <v>0</v>
      </c>
      <c r="O155" s="57">
        <v>0</v>
      </c>
      <c r="P155" s="57">
        <f>IFERROR(D155+E155+F155+G155+H155+I155+J155+K155+L155+M155+N155+O155,0)</f>
        <v>0</v>
      </c>
      <c r="Q155" s="22"/>
      <c r="R155" s="30"/>
      <c r="S155" s="22"/>
    </row>
    <row r="156" spans="2:19" ht="17.45" customHeight="1">
      <c r="B156" s="29" t="s">
        <v>266</v>
      </c>
      <c r="C156" s="25" t="s">
        <v>267</v>
      </c>
      <c r="D156" s="57">
        <v>0</v>
      </c>
      <c r="E156" s="57">
        <v>0</v>
      </c>
      <c r="F156" s="57">
        <v>0</v>
      </c>
      <c r="G156" s="57">
        <v>0</v>
      </c>
      <c r="H156" s="57">
        <v>0</v>
      </c>
      <c r="I156" s="57">
        <v>0</v>
      </c>
      <c r="J156" s="57">
        <v>0</v>
      </c>
      <c r="K156" s="57">
        <v>0</v>
      </c>
      <c r="L156" s="57">
        <v>0</v>
      </c>
      <c r="M156" s="57">
        <v>0</v>
      </c>
      <c r="N156" s="57">
        <v>0</v>
      </c>
      <c r="O156" s="57">
        <v>0</v>
      </c>
      <c r="P156" s="57">
        <f>IFERROR(D156+E156+F156+G156+H156+I156+J156+K156+L156+M156+N156+O156,0)</f>
        <v>0</v>
      </c>
      <c r="Q156" s="22"/>
      <c r="R156" s="30"/>
      <c r="S156" s="22"/>
    </row>
    <row r="157" spans="2:19" ht="17.45" customHeight="1">
      <c r="B157" s="29" t="s">
        <v>268</v>
      </c>
      <c r="C157" s="25" t="s">
        <v>124</v>
      </c>
      <c r="D157" s="57">
        <v>21.54</v>
      </c>
      <c r="E157" s="57">
        <v>0</v>
      </c>
      <c r="F157" s="57">
        <v>21.54</v>
      </c>
      <c r="G157" s="57">
        <v>0</v>
      </c>
      <c r="H157" s="57">
        <v>0</v>
      </c>
      <c r="I157" s="57">
        <v>0</v>
      </c>
      <c r="J157" s="57">
        <v>16.03</v>
      </c>
      <c r="K157" s="57">
        <v>0</v>
      </c>
      <c r="L157" s="57">
        <v>0</v>
      </c>
      <c r="M157" s="57">
        <v>0</v>
      </c>
      <c r="N157" s="57">
        <v>0</v>
      </c>
      <c r="O157" s="57">
        <v>0</v>
      </c>
      <c r="P157" s="57">
        <f>IFERROR(D157+E157+F157+G157+H157+I157+J157+K157+L157+M157+N157+O157,0)</f>
        <v>59.11</v>
      </c>
      <c r="Q157" s="22"/>
      <c r="R157" s="30"/>
      <c r="S157" s="22"/>
    </row>
    <row r="158" spans="2:19" ht="17.45" customHeight="1">
      <c r="B158" s="46" t="s">
        <v>269</v>
      </c>
      <c r="C158" s="45" t="s">
        <v>265</v>
      </c>
      <c r="D158" s="59">
        <f>D157+D156</f>
        <v>21.54</v>
      </c>
      <c r="E158" s="59">
        <f t="shared" ref="E158:P158" si="20">E157+E156</f>
        <v>0</v>
      </c>
      <c r="F158" s="59">
        <f t="shared" si="20"/>
        <v>21.54</v>
      </c>
      <c r="G158" s="59">
        <f t="shared" si="20"/>
        <v>0</v>
      </c>
      <c r="H158" s="59">
        <f t="shared" si="20"/>
        <v>0</v>
      </c>
      <c r="I158" s="59">
        <f t="shared" si="20"/>
        <v>0</v>
      </c>
      <c r="J158" s="59">
        <f t="shared" si="20"/>
        <v>16.03</v>
      </c>
      <c r="K158" s="59">
        <f t="shared" si="20"/>
        <v>0</v>
      </c>
      <c r="L158" s="59">
        <f t="shared" si="20"/>
        <v>0</v>
      </c>
      <c r="M158" s="59">
        <f t="shared" si="20"/>
        <v>0</v>
      </c>
      <c r="N158" s="59">
        <f t="shared" si="20"/>
        <v>0</v>
      </c>
      <c r="O158" s="59">
        <f t="shared" si="20"/>
        <v>0</v>
      </c>
      <c r="P158" s="59">
        <f>IFERROR(P157+P156,0)</f>
        <v>59.11</v>
      </c>
      <c r="Q158" s="22"/>
      <c r="R158" s="30"/>
      <c r="S158" s="22"/>
    </row>
    <row r="159" spans="2:19" ht="17.45" customHeight="1">
      <c r="B159" s="29" t="s">
        <v>270</v>
      </c>
      <c r="C159" s="25" t="s">
        <v>271</v>
      </c>
      <c r="D159" s="57">
        <v>0</v>
      </c>
      <c r="E159" s="57">
        <v>0</v>
      </c>
      <c r="F159" s="57">
        <v>0</v>
      </c>
      <c r="G159" s="57">
        <v>0</v>
      </c>
      <c r="H159" s="57">
        <v>0</v>
      </c>
      <c r="I159" s="57">
        <v>0</v>
      </c>
      <c r="J159" s="57">
        <v>701.48</v>
      </c>
      <c r="K159" s="57">
        <v>705.78</v>
      </c>
      <c r="L159" s="57">
        <v>0</v>
      </c>
      <c r="M159" s="57">
        <v>0</v>
      </c>
      <c r="N159" s="57">
        <v>0</v>
      </c>
      <c r="O159" s="57">
        <v>0</v>
      </c>
      <c r="P159" s="57">
        <f>IFERROR(D159+E159+F159+G159+H159+I159+J159+K159+L159+M159+N159+O159,0)</f>
        <v>1407.26</v>
      </c>
      <c r="Q159" s="22"/>
      <c r="R159" s="30"/>
      <c r="S159" s="22"/>
    </row>
    <row r="160" spans="2:19" ht="17.45" customHeight="1">
      <c r="B160" s="29" t="s">
        <v>272</v>
      </c>
      <c r="C160" s="25" t="s">
        <v>273</v>
      </c>
      <c r="D160" s="57">
        <v>0</v>
      </c>
      <c r="E160" s="57">
        <v>0</v>
      </c>
      <c r="F160" s="57">
        <v>0</v>
      </c>
      <c r="G160" s="57">
        <v>0</v>
      </c>
      <c r="H160" s="57">
        <v>0</v>
      </c>
      <c r="I160" s="57">
        <v>0</v>
      </c>
      <c r="J160" s="57" t="s">
        <v>432</v>
      </c>
      <c r="K160" s="57" t="s">
        <v>432</v>
      </c>
      <c r="L160" s="57">
        <v>0</v>
      </c>
      <c r="M160" s="57">
        <v>0</v>
      </c>
      <c r="N160" s="57">
        <v>0</v>
      </c>
      <c r="O160" s="57">
        <v>0</v>
      </c>
      <c r="P160" s="57">
        <f>IFERROR(D160+E160+F160+G160+H160+I160+J160+K160+L160+M160+N160+O160,0)</f>
        <v>0</v>
      </c>
      <c r="Q160" s="22"/>
      <c r="R160" s="30"/>
      <c r="S160" s="22"/>
    </row>
    <row r="161" spans="2:19" ht="17.45" customHeight="1">
      <c r="B161" s="29"/>
      <c r="C161" s="25" t="s">
        <v>274</v>
      </c>
      <c r="D161" s="57">
        <v>0</v>
      </c>
      <c r="E161" s="57">
        <v>0</v>
      </c>
      <c r="F161" s="57">
        <v>0</v>
      </c>
      <c r="G161" s="57">
        <v>0</v>
      </c>
      <c r="H161" s="57">
        <v>0</v>
      </c>
      <c r="I161" s="57">
        <v>0</v>
      </c>
      <c r="J161" s="57">
        <v>0</v>
      </c>
      <c r="K161" s="57">
        <v>0</v>
      </c>
      <c r="L161" s="57">
        <v>0</v>
      </c>
      <c r="M161" s="57">
        <v>0</v>
      </c>
      <c r="N161" s="57">
        <v>0</v>
      </c>
      <c r="O161" s="57">
        <v>0</v>
      </c>
      <c r="P161" s="57">
        <f>IFERROR(D161+E161+F161+G161+H161+I161+J161+K161+L161+M161+N161+O161,0)</f>
        <v>0</v>
      </c>
      <c r="Q161" s="22"/>
      <c r="R161" s="30"/>
      <c r="S161" s="22"/>
    </row>
    <row r="162" spans="2:19" ht="17.45" customHeight="1">
      <c r="B162" s="29" t="s">
        <v>275</v>
      </c>
      <c r="C162" s="25" t="s">
        <v>276</v>
      </c>
      <c r="D162" s="57">
        <v>0</v>
      </c>
      <c r="E162" s="57">
        <v>0</v>
      </c>
      <c r="F162" s="57">
        <v>0</v>
      </c>
      <c r="G162" s="57">
        <v>0</v>
      </c>
      <c r="H162" s="57">
        <v>0</v>
      </c>
      <c r="I162" s="57">
        <v>0</v>
      </c>
      <c r="J162" s="57">
        <v>0</v>
      </c>
      <c r="K162" s="57">
        <v>0</v>
      </c>
      <c r="L162" s="57">
        <v>0</v>
      </c>
      <c r="M162" s="57">
        <v>0</v>
      </c>
      <c r="N162" s="57">
        <v>0</v>
      </c>
      <c r="O162" s="57">
        <v>0</v>
      </c>
      <c r="P162" s="57">
        <f>IFERROR(D162+E162+F162+G162+H162+I162+J162+K162+L162+M162+N162+O162,0)</f>
        <v>0</v>
      </c>
      <c r="Q162" s="22"/>
      <c r="R162" s="30"/>
      <c r="S162" s="22"/>
    </row>
    <row r="163" spans="2:19" ht="17.45" customHeight="1">
      <c r="B163" s="29" t="s">
        <v>277</v>
      </c>
      <c r="C163" s="25" t="s">
        <v>278</v>
      </c>
      <c r="D163" s="57">
        <v>0</v>
      </c>
      <c r="E163" s="57">
        <v>0</v>
      </c>
      <c r="F163" s="57">
        <v>0</v>
      </c>
      <c r="G163" s="57">
        <v>0</v>
      </c>
      <c r="H163" s="57">
        <v>0</v>
      </c>
      <c r="I163" s="57">
        <v>0</v>
      </c>
      <c r="J163" s="57">
        <v>0</v>
      </c>
      <c r="K163" s="57">
        <v>0</v>
      </c>
      <c r="L163" s="57">
        <v>0</v>
      </c>
      <c r="M163" s="57">
        <v>0</v>
      </c>
      <c r="N163" s="57">
        <v>0</v>
      </c>
      <c r="O163" s="57">
        <v>0</v>
      </c>
      <c r="P163" s="57">
        <f>IFERROR(D163+E163+F163+G163+H163+I163+J163+K163+L163+M163+N163+O163,0)</f>
        <v>0</v>
      </c>
      <c r="Q163" s="22"/>
      <c r="R163" s="30"/>
      <c r="S163" s="22"/>
    </row>
    <row r="164" spans="2:19" ht="17.45" customHeight="1">
      <c r="B164" s="29" t="s">
        <v>279</v>
      </c>
      <c r="C164" s="25" t="s">
        <v>280</v>
      </c>
      <c r="D164" s="57">
        <v>9.33</v>
      </c>
      <c r="E164" s="57">
        <v>0</v>
      </c>
      <c r="F164" s="57">
        <v>9.33</v>
      </c>
      <c r="G164" s="57">
        <v>0</v>
      </c>
      <c r="H164" s="57">
        <v>0</v>
      </c>
      <c r="I164" s="57">
        <v>0</v>
      </c>
      <c r="J164" s="57">
        <v>21.19</v>
      </c>
      <c r="K164" s="57">
        <v>0</v>
      </c>
      <c r="L164" s="57">
        <v>0</v>
      </c>
      <c r="M164" s="57">
        <v>0</v>
      </c>
      <c r="N164" s="57">
        <v>0</v>
      </c>
      <c r="O164" s="57">
        <v>0</v>
      </c>
      <c r="P164" s="57">
        <f>IFERROR(D164+E164+F164+G164+H164+I164+J164+K164+L164+M164+N164+O164,0)</f>
        <v>39.85</v>
      </c>
      <c r="Q164" s="22"/>
      <c r="R164" s="30"/>
      <c r="S164" s="22"/>
    </row>
    <row r="165" spans="2:19" ht="17.45" customHeight="1">
      <c r="B165" s="29" t="s">
        <v>281</v>
      </c>
      <c r="C165" s="25" t="s">
        <v>282</v>
      </c>
      <c r="D165" s="57">
        <v>3.24</v>
      </c>
      <c r="E165" s="57">
        <v>0</v>
      </c>
      <c r="F165" s="57">
        <v>3.24</v>
      </c>
      <c r="G165" s="57">
        <v>0</v>
      </c>
      <c r="H165" s="57">
        <v>0</v>
      </c>
      <c r="I165" s="57">
        <v>0</v>
      </c>
      <c r="J165" s="57">
        <v>3.66</v>
      </c>
      <c r="K165" s="57">
        <v>0</v>
      </c>
      <c r="L165" s="57">
        <v>0</v>
      </c>
      <c r="M165" s="57">
        <v>0</v>
      </c>
      <c r="N165" s="57">
        <v>0</v>
      </c>
      <c r="O165" s="57">
        <v>0</v>
      </c>
      <c r="P165" s="57">
        <f>IFERROR(D165+E165+F165+G165+H165+I165+J165+K165+L165+M165+N165+O165,0)</f>
        <v>10.14</v>
      </c>
      <c r="Q165" s="22"/>
      <c r="R165" s="30"/>
      <c r="S165" s="22"/>
    </row>
    <row r="166" spans="2:19" ht="17.45" customHeight="1">
      <c r="B166" s="29"/>
      <c r="C166" s="27" t="s">
        <v>283</v>
      </c>
      <c r="D166" s="57">
        <v>0</v>
      </c>
      <c r="E166" s="57">
        <v>0</v>
      </c>
      <c r="F166" s="57">
        <v>0</v>
      </c>
      <c r="G166" s="57">
        <v>0</v>
      </c>
      <c r="H166" s="57">
        <v>0</v>
      </c>
      <c r="I166" s="57">
        <v>0</v>
      </c>
      <c r="J166" s="57">
        <v>0</v>
      </c>
      <c r="K166" s="57">
        <v>0</v>
      </c>
      <c r="L166" s="57">
        <v>0</v>
      </c>
      <c r="M166" s="57">
        <v>0</v>
      </c>
      <c r="N166" s="57">
        <v>0</v>
      </c>
      <c r="O166" s="57">
        <v>0</v>
      </c>
      <c r="P166" s="57">
        <f>IFERROR(D166+E166+F166+G166+H166+I166+J166+K166+L166+M166+N166+O166,0)</f>
        <v>0</v>
      </c>
      <c r="Q166" s="22"/>
      <c r="R166" s="30"/>
      <c r="S166" s="22"/>
    </row>
    <row r="167" spans="2:19" ht="17.45" customHeight="1">
      <c r="B167" s="29" t="s">
        <v>284</v>
      </c>
      <c r="C167" s="25" t="s">
        <v>285</v>
      </c>
      <c r="D167" s="57">
        <v>110.11</v>
      </c>
      <c r="E167" s="57">
        <v>0</v>
      </c>
      <c r="F167" s="57">
        <v>110.11</v>
      </c>
      <c r="G167" s="57">
        <v>0</v>
      </c>
      <c r="H167" s="57">
        <v>0</v>
      </c>
      <c r="I167" s="57">
        <v>0</v>
      </c>
      <c r="J167" s="57">
        <v>103.7</v>
      </c>
      <c r="K167" s="57">
        <v>104.33</v>
      </c>
      <c r="L167" s="57">
        <v>0</v>
      </c>
      <c r="M167" s="57">
        <v>0</v>
      </c>
      <c r="N167" s="57">
        <v>0</v>
      </c>
      <c r="O167" s="57">
        <v>0</v>
      </c>
      <c r="P167" s="57">
        <f>IFERROR(D167+E167+F167+G167+H167+I167+J167+K167+L167+M167+N167+O167,0)</f>
        <v>428.25</v>
      </c>
      <c r="Q167" s="22"/>
      <c r="R167" s="30"/>
      <c r="S167" s="22"/>
    </row>
    <row r="168" spans="2:19" ht="17.45" customHeight="1">
      <c r="B168" s="29" t="s">
        <v>286</v>
      </c>
      <c r="C168" s="25" t="s">
        <v>287</v>
      </c>
      <c r="D168" s="57">
        <v>0</v>
      </c>
      <c r="E168" s="57">
        <v>0</v>
      </c>
      <c r="F168" s="57">
        <v>0</v>
      </c>
      <c r="G168" s="57">
        <v>0</v>
      </c>
      <c r="H168" s="57">
        <v>0</v>
      </c>
      <c r="I168" s="57">
        <v>0</v>
      </c>
      <c r="J168" s="57">
        <v>0</v>
      </c>
      <c r="K168" s="57">
        <v>0</v>
      </c>
      <c r="L168" s="57">
        <v>0</v>
      </c>
      <c r="M168" s="57">
        <v>0</v>
      </c>
      <c r="N168" s="57">
        <v>0</v>
      </c>
      <c r="O168" s="57">
        <v>0</v>
      </c>
      <c r="P168" s="57">
        <f>IFERROR(D168+E168+F168+G168+H168+I168+J168+K168+L168+M168+N168+O168,0)</f>
        <v>0</v>
      </c>
      <c r="Q168" s="22"/>
      <c r="R168" s="30"/>
      <c r="S168" s="22"/>
    </row>
    <row r="169" spans="2:19" ht="17.45" customHeight="1">
      <c r="B169" s="29" t="s">
        <v>288</v>
      </c>
      <c r="C169" s="25" t="s">
        <v>289</v>
      </c>
      <c r="D169" s="57">
        <v>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 t="s">
        <v>432</v>
      </c>
      <c r="K169" s="57" t="s">
        <v>432</v>
      </c>
      <c r="L169" s="57">
        <v>0</v>
      </c>
      <c r="M169" s="57">
        <v>0</v>
      </c>
      <c r="N169" s="57">
        <v>0</v>
      </c>
      <c r="O169" s="57">
        <v>0</v>
      </c>
      <c r="P169" s="57">
        <f>IFERROR(D169+E169+F169+G169+H169+I169+J169+K169+L169+M169+N169+O169,0)</f>
        <v>0</v>
      </c>
      <c r="Q169" s="22"/>
      <c r="R169" s="30"/>
      <c r="S169" s="22"/>
    </row>
    <row r="170" spans="2:19" ht="17.45" customHeight="1">
      <c r="B170" s="46" t="s">
        <v>290</v>
      </c>
      <c r="C170" s="45" t="s">
        <v>283</v>
      </c>
      <c r="D170" s="59">
        <f t="shared" ref="D170:O170" si="21">SUM(D167:D169)</f>
        <v>110.11</v>
      </c>
      <c r="E170" s="59">
        <f t="shared" si="21"/>
        <v>0</v>
      </c>
      <c r="F170" s="59">
        <f t="shared" si="21"/>
        <v>110.11</v>
      </c>
      <c r="G170" s="59">
        <f t="shared" si="21"/>
        <v>0</v>
      </c>
      <c r="H170" s="59">
        <f t="shared" si="21"/>
        <v>0</v>
      </c>
      <c r="I170" s="59">
        <f t="shared" si="21"/>
        <v>0</v>
      </c>
      <c r="J170" s="59">
        <f t="shared" si="21"/>
        <v>103.7</v>
      </c>
      <c r="K170" s="59">
        <f t="shared" si="21"/>
        <v>104.33</v>
      </c>
      <c r="L170" s="59">
        <f t="shared" si="21"/>
        <v>0</v>
      </c>
      <c r="M170" s="59">
        <f t="shared" si="21"/>
        <v>0</v>
      </c>
      <c r="N170" s="59">
        <f t="shared" si="21"/>
        <v>0</v>
      </c>
      <c r="O170" s="59">
        <f t="shared" si="21"/>
        <v>0</v>
      </c>
      <c r="P170" s="59">
        <f>IFERROR(SUM(P167:P169),0)</f>
        <v>428.25</v>
      </c>
      <c r="Q170" s="22"/>
      <c r="R170" s="30"/>
      <c r="S170" s="22"/>
    </row>
    <row r="171" spans="2:19" ht="17.45" customHeight="1">
      <c r="B171" s="29"/>
      <c r="C171" s="27" t="s">
        <v>291</v>
      </c>
      <c r="D171" s="57">
        <v>0</v>
      </c>
      <c r="E171" s="57">
        <v>0</v>
      </c>
      <c r="F171" s="57">
        <v>0</v>
      </c>
      <c r="G171" s="57">
        <v>0</v>
      </c>
      <c r="H171" s="57">
        <v>0</v>
      </c>
      <c r="I171" s="57">
        <v>0</v>
      </c>
      <c r="J171" s="57">
        <v>0</v>
      </c>
      <c r="K171" s="57">
        <v>0</v>
      </c>
      <c r="L171" s="57">
        <v>0</v>
      </c>
      <c r="M171" s="57">
        <v>0</v>
      </c>
      <c r="N171" s="57">
        <v>0</v>
      </c>
      <c r="O171" s="57">
        <v>0</v>
      </c>
      <c r="P171" s="57">
        <f>IFERROR(D171+E171+F171+G171+H171+I171+J171+K171+L171+M171+N171+O171,0)</f>
        <v>0</v>
      </c>
      <c r="Q171" s="22"/>
      <c r="R171" s="30"/>
      <c r="S171" s="22"/>
    </row>
    <row r="172" spans="2:19" ht="17.45" customHeight="1">
      <c r="B172" s="29" t="s">
        <v>292</v>
      </c>
      <c r="C172" s="25" t="s">
        <v>293</v>
      </c>
      <c r="D172" s="57">
        <v>422.57</v>
      </c>
      <c r="E172" s="57">
        <v>0</v>
      </c>
      <c r="F172" s="57">
        <v>422.57</v>
      </c>
      <c r="G172" s="57">
        <v>0</v>
      </c>
      <c r="H172" s="57">
        <v>0</v>
      </c>
      <c r="I172" s="57">
        <v>0</v>
      </c>
      <c r="J172" s="57">
        <v>424.89</v>
      </c>
      <c r="K172" s="57">
        <v>0</v>
      </c>
      <c r="L172" s="57">
        <v>0</v>
      </c>
      <c r="M172" s="57">
        <v>0</v>
      </c>
      <c r="N172" s="57">
        <v>0</v>
      </c>
      <c r="O172" s="57">
        <v>0</v>
      </c>
      <c r="P172" s="57">
        <f>IFERROR(D172+E172+F172+G172+H172+I172+J172+K172+L172+M172+N172+O172,0)</f>
        <v>1270.03</v>
      </c>
      <c r="Q172" s="22"/>
      <c r="R172" s="30"/>
      <c r="S172" s="22"/>
    </row>
    <row r="173" spans="2:19" ht="17.45" customHeight="1">
      <c r="B173" s="29" t="s">
        <v>294</v>
      </c>
      <c r="C173" s="25" t="s">
        <v>295</v>
      </c>
      <c r="D173" s="57">
        <v>0</v>
      </c>
      <c r="E173" s="57">
        <v>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 s="57">
        <v>0</v>
      </c>
      <c r="M173" s="57">
        <v>0</v>
      </c>
      <c r="N173" s="57">
        <v>0</v>
      </c>
      <c r="O173" s="57">
        <v>0</v>
      </c>
      <c r="P173" s="57">
        <f>IFERROR(D173+E173+F173+G173+H173+I173+J173+K173+L173+M173+N173+O173,0)</f>
        <v>0</v>
      </c>
      <c r="Q173" s="22"/>
      <c r="R173" s="30"/>
      <c r="S173" s="22"/>
    </row>
    <row r="174" spans="2:19" ht="17.45" customHeight="1">
      <c r="B174" s="29" t="s">
        <v>296</v>
      </c>
      <c r="C174" s="25" t="s">
        <v>297</v>
      </c>
      <c r="D174" s="57">
        <v>0</v>
      </c>
      <c r="E174" s="57">
        <v>0</v>
      </c>
      <c r="F174" s="57">
        <v>0</v>
      </c>
      <c r="G174" s="57">
        <v>0</v>
      </c>
      <c r="H174" s="57">
        <v>0</v>
      </c>
      <c r="I174" s="57">
        <v>0</v>
      </c>
      <c r="J174" s="57">
        <v>0</v>
      </c>
      <c r="K174" s="57">
        <v>0</v>
      </c>
      <c r="L174" s="57">
        <v>0</v>
      </c>
      <c r="M174" s="57">
        <v>0</v>
      </c>
      <c r="N174" s="57">
        <v>0</v>
      </c>
      <c r="O174" s="57">
        <v>0</v>
      </c>
      <c r="P174" s="57">
        <f>IFERROR(D174+E174+F174+G174+H174+I174+J174+K174+L174+M174+N174+O174,0)</f>
        <v>0</v>
      </c>
      <c r="Q174" s="22"/>
      <c r="R174" s="30"/>
      <c r="S174" s="22"/>
    </row>
    <row r="175" spans="2:19" ht="17.45" customHeight="1">
      <c r="B175" s="46" t="s">
        <v>298</v>
      </c>
      <c r="C175" s="45" t="s">
        <v>291</v>
      </c>
      <c r="D175" s="59">
        <f t="shared" ref="D175:O175" si="22">SUM(D172:D174)</f>
        <v>422.57</v>
      </c>
      <c r="E175" s="59">
        <f t="shared" si="22"/>
        <v>0</v>
      </c>
      <c r="F175" s="59">
        <f t="shared" si="22"/>
        <v>422.57</v>
      </c>
      <c r="G175" s="59">
        <f t="shared" si="22"/>
        <v>0</v>
      </c>
      <c r="H175" s="59">
        <f t="shared" si="22"/>
        <v>0</v>
      </c>
      <c r="I175" s="59">
        <f t="shared" si="22"/>
        <v>0</v>
      </c>
      <c r="J175" s="59">
        <f t="shared" si="22"/>
        <v>424.89</v>
      </c>
      <c r="K175" s="59">
        <f t="shared" si="22"/>
        <v>0</v>
      </c>
      <c r="L175" s="59">
        <f t="shared" si="22"/>
        <v>0</v>
      </c>
      <c r="M175" s="59">
        <f t="shared" si="22"/>
        <v>0</v>
      </c>
      <c r="N175" s="59">
        <f t="shared" si="22"/>
        <v>0</v>
      </c>
      <c r="O175" s="59">
        <f t="shared" si="22"/>
        <v>0</v>
      </c>
      <c r="P175" s="59">
        <f>IFERROR(SUM(P172:P174),0)</f>
        <v>1270.03</v>
      </c>
      <c r="Q175" s="22"/>
      <c r="R175" s="30"/>
      <c r="S175" s="22"/>
    </row>
    <row r="176" spans="2:19" ht="17.45" customHeight="1">
      <c r="B176" s="29" t="s">
        <v>299</v>
      </c>
      <c r="C176" s="25" t="s">
        <v>300</v>
      </c>
      <c r="D176" s="57">
        <v>5254.84</v>
      </c>
      <c r="E176" s="57">
        <v>0</v>
      </c>
      <c r="F176" s="57">
        <v>5254.84</v>
      </c>
      <c r="G176" s="57">
        <v>0</v>
      </c>
      <c r="H176" s="57">
        <v>0</v>
      </c>
      <c r="I176" s="57">
        <v>0</v>
      </c>
      <c r="J176" s="57">
        <v>3410.38</v>
      </c>
      <c r="K176" s="57">
        <v>2032.53</v>
      </c>
      <c r="L176" s="57">
        <v>0</v>
      </c>
      <c r="M176" s="57">
        <v>0</v>
      </c>
      <c r="N176" s="57">
        <v>0</v>
      </c>
      <c r="O176" s="57">
        <v>0</v>
      </c>
      <c r="P176" s="57">
        <f>IFERROR(D176+E176+F176+G176+H176+I176+J176+K176+L176+M176+N176+O176,0)</f>
        <v>15952.590000000002</v>
      </c>
      <c r="Q176" s="22"/>
      <c r="R176" s="30"/>
      <c r="S176" s="22"/>
    </row>
    <row r="177" spans="2:19" ht="17.45" customHeight="1">
      <c r="B177" s="29" t="s">
        <v>301</v>
      </c>
      <c r="C177" s="25" t="s">
        <v>302</v>
      </c>
      <c r="D177" s="57">
        <v>21.26</v>
      </c>
      <c r="E177" s="57">
        <v>0</v>
      </c>
      <c r="F177" s="57">
        <v>21.26</v>
      </c>
      <c r="G177" s="57">
        <v>0</v>
      </c>
      <c r="H177" s="57">
        <v>0</v>
      </c>
      <c r="I177" s="57">
        <v>0</v>
      </c>
      <c r="J177" s="57">
        <v>3.72</v>
      </c>
      <c r="K177" s="57">
        <v>0</v>
      </c>
      <c r="L177" s="57">
        <v>0</v>
      </c>
      <c r="M177" s="57">
        <v>0</v>
      </c>
      <c r="N177" s="57">
        <v>0</v>
      </c>
      <c r="O177" s="57">
        <v>0</v>
      </c>
      <c r="P177" s="57">
        <f>IFERROR(D177+E177+F177+G177+H177+I177+J177+K177+L177+M177+N177+O177,0)</f>
        <v>46.24</v>
      </c>
      <c r="Q177" s="22"/>
      <c r="R177" s="30"/>
      <c r="S177" s="22"/>
    </row>
    <row r="178" spans="2:19" ht="17.45" customHeight="1">
      <c r="B178" s="29"/>
      <c r="C178" s="27" t="s">
        <v>303</v>
      </c>
      <c r="D178" s="57">
        <v>0</v>
      </c>
      <c r="E178" s="57">
        <v>0</v>
      </c>
      <c r="F178" s="57">
        <v>0</v>
      </c>
      <c r="G178" s="57">
        <v>0</v>
      </c>
      <c r="H178" s="57">
        <v>0</v>
      </c>
      <c r="I178" s="57">
        <v>0</v>
      </c>
      <c r="J178" s="57">
        <v>0</v>
      </c>
      <c r="K178" s="57">
        <v>0</v>
      </c>
      <c r="L178" s="57">
        <v>0</v>
      </c>
      <c r="M178" s="57">
        <v>0</v>
      </c>
      <c r="N178" s="57">
        <v>0</v>
      </c>
      <c r="O178" s="57">
        <v>0</v>
      </c>
      <c r="P178" s="57">
        <f>IFERROR(D178+E178+F178+G178+H178+I178+J178+K178+L178+M178+N178+O178,0)</f>
        <v>0</v>
      </c>
      <c r="Q178" s="22"/>
      <c r="R178" s="30"/>
      <c r="S178" s="22"/>
    </row>
    <row r="179" spans="2:19" ht="17.45" customHeight="1">
      <c r="B179" s="29" t="s">
        <v>304</v>
      </c>
      <c r="C179" s="25" t="s">
        <v>305</v>
      </c>
      <c r="D179" s="57" t="s">
        <v>432</v>
      </c>
      <c r="E179" s="57">
        <v>0</v>
      </c>
      <c r="F179" s="57" t="s">
        <v>432</v>
      </c>
      <c r="G179" s="57">
        <v>0</v>
      </c>
      <c r="H179" s="57">
        <v>0</v>
      </c>
      <c r="I179" s="57">
        <v>0</v>
      </c>
      <c r="J179" s="57">
        <v>0</v>
      </c>
      <c r="K179" s="57">
        <v>0</v>
      </c>
      <c r="L179" s="57">
        <v>0</v>
      </c>
      <c r="M179" s="57">
        <v>0</v>
      </c>
      <c r="N179" s="57">
        <v>0</v>
      </c>
      <c r="O179" s="57">
        <v>0</v>
      </c>
      <c r="P179" s="57">
        <f>IFERROR(D179+E179+F179+G179+H179+I179+J179+K179+L179+M179+N179+O179,0)</f>
        <v>0</v>
      </c>
      <c r="Q179" s="22"/>
      <c r="R179" s="30"/>
      <c r="S179" s="22"/>
    </row>
    <row r="180" spans="2:19" ht="17.45" customHeight="1">
      <c r="B180" s="29" t="s">
        <v>306</v>
      </c>
      <c r="C180" s="25" t="s">
        <v>307</v>
      </c>
      <c r="D180" s="57" t="s">
        <v>432</v>
      </c>
      <c r="E180" s="57">
        <v>0</v>
      </c>
      <c r="F180" s="57" t="s">
        <v>432</v>
      </c>
      <c r="G180" s="57">
        <v>0</v>
      </c>
      <c r="H180" s="57">
        <v>0</v>
      </c>
      <c r="I180" s="57">
        <v>0</v>
      </c>
      <c r="J180" s="57" t="s">
        <v>432</v>
      </c>
      <c r="K180" s="57" t="s">
        <v>432</v>
      </c>
      <c r="L180" s="57">
        <v>0</v>
      </c>
      <c r="M180" s="57">
        <v>0</v>
      </c>
      <c r="N180" s="57">
        <v>0</v>
      </c>
      <c r="O180" s="57">
        <v>0</v>
      </c>
      <c r="P180" s="57">
        <f>IFERROR(D180+E180+F180+G180+H180+I180+J180+K180+L180+M180+N180+O180,0)</f>
        <v>0</v>
      </c>
      <c r="Q180" s="22"/>
      <c r="R180" s="30"/>
      <c r="S180" s="22"/>
    </row>
    <row r="181" spans="2:19" ht="17.45" customHeight="1">
      <c r="B181" s="29"/>
      <c r="C181" s="25" t="s">
        <v>308</v>
      </c>
      <c r="D181" s="57">
        <v>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0</v>
      </c>
      <c r="K181" s="57">
        <v>0</v>
      </c>
      <c r="L181" s="57">
        <v>0</v>
      </c>
      <c r="M181" s="57">
        <v>0</v>
      </c>
      <c r="N181" s="57">
        <v>0</v>
      </c>
      <c r="O181" s="57">
        <v>0</v>
      </c>
      <c r="P181" s="57">
        <f>IFERROR(D181+E181+F181+G181+H181+I181+J181+K181+L181+M181+N181+O181,0)</f>
        <v>0</v>
      </c>
      <c r="Q181" s="22"/>
      <c r="R181" s="30"/>
      <c r="S181" s="22"/>
    </row>
    <row r="182" spans="2:19" ht="17.45" customHeight="1">
      <c r="B182" s="46" t="s">
        <v>309</v>
      </c>
      <c r="C182" s="45" t="s">
        <v>303</v>
      </c>
      <c r="D182" s="59">
        <f t="shared" ref="D182:O182" si="23">SUM(D179:D181)</f>
        <v>0</v>
      </c>
      <c r="E182" s="59">
        <f t="shared" si="23"/>
        <v>0</v>
      </c>
      <c r="F182" s="59">
        <f t="shared" si="23"/>
        <v>0</v>
      </c>
      <c r="G182" s="59">
        <f t="shared" si="23"/>
        <v>0</v>
      </c>
      <c r="H182" s="59">
        <f t="shared" si="23"/>
        <v>0</v>
      </c>
      <c r="I182" s="59">
        <f t="shared" si="23"/>
        <v>0</v>
      </c>
      <c r="J182" s="59">
        <f t="shared" si="23"/>
        <v>0</v>
      </c>
      <c r="K182" s="59">
        <f t="shared" si="23"/>
        <v>0</v>
      </c>
      <c r="L182" s="59">
        <f t="shared" si="23"/>
        <v>0</v>
      </c>
      <c r="M182" s="59">
        <f t="shared" si="23"/>
        <v>0</v>
      </c>
      <c r="N182" s="59">
        <f t="shared" si="23"/>
        <v>0</v>
      </c>
      <c r="O182" s="59">
        <f t="shared" si="23"/>
        <v>0</v>
      </c>
      <c r="P182" s="59">
        <f>IFERROR(SUM(P179:P181),0)</f>
        <v>0</v>
      </c>
      <c r="Q182" s="22"/>
      <c r="R182" s="30"/>
      <c r="S182" s="22"/>
    </row>
    <row r="183" spans="2:19" ht="17.45" customHeight="1">
      <c r="B183" s="29"/>
      <c r="C183" s="27" t="s">
        <v>310</v>
      </c>
      <c r="D183" s="57">
        <v>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 s="57">
        <v>0</v>
      </c>
      <c r="M183" s="57">
        <v>0</v>
      </c>
      <c r="N183" s="57">
        <v>0</v>
      </c>
      <c r="O183" s="57">
        <v>0</v>
      </c>
      <c r="P183" s="57">
        <f>IFERROR(D183+E183+F183+G183+H183+I183+J183+K183+L183+M183+N183+O183,0)</f>
        <v>0</v>
      </c>
      <c r="Q183" s="22"/>
      <c r="R183" s="30"/>
      <c r="S183" s="22"/>
    </row>
    <row r="184" spans="2:19" ht="17.45" customHeight="1">
      <c r="B184" s="29" t="s">
        <v>311</v>
      </c>
      <c r="C184" s="25" t="s">
        <v>166</v>
      </c>
      <c r="D184" s="57">
        <v>4235.2299999999996</v>
      </c>
      <c r="E184" s="57">
        <v>0</v>
      </c>
      <c r="F184" s="57">
        <v>4235.2299999999996</v>
      </c>
      <c r="G184" s="57">
        <v>0</v>
      </c>
      <c r="H184" s="57">
        <v>0</v>
      </c>
      <c r="I184" s="57">
        <v>0</v>
      </c>
      <c r="J184" s="57">
        <v>3815</v>
      </c>
      <c r="K184" s="57">
        <v>0</v>
      </c>
      <c r="L184" s="57">
        <v>0</v>
      </c>
      <c r="M184" s="57">
        <v>0</v>
      </c>
      <c r="N184" s="57">
        <v>0</v>
      </c>
      <c r="O184" s="57">
        <v>0</v>
      </c>
      <c r="P184" s="57">
        <f>IFERROR(D184+E184+F184+G184+H184+I184+J184+K184+L184+M184+N184+O184,0)</f>
        <v>12285.46</v>
      </c>
      <c r="Q184" s="22"/>
      <c r="R184" s="30"/>
      <c r="S184" s="22"/>
    </row>
    <row r="185" spans="2:19" ht="17.45" customHeight="1">
      <c r="B185" s="29"/>
      <c r="C185" s="25" t="s">
        <v>312</v>
      </c>
      <c r="D185" s="57">
        <v>0</v>
      </c>
      <c r="E185" s="57">
        <v>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 s="57">
        <v>0</v>
      </c>
      <c r="M185" s="57">
        <v>0</v>
      </c>
      <c r="N185" s="57">
        <v>0</v>
      </c>
      <c r="O185" s="57">
        <v>0</v>
      </c>
      <c r="P185" s="57">
        <f>IFERROR(D185+E185+F185+G185+H185+I185+J185+K185+L185+M185+N185+O185,0)</f>
        <v>0</v>
      </c>
      <c r="Q185" s="22"/>
      <c r="R185" s="30"/>
      <c r="S185" s="22"/>
    </row>
    <row r="186" spans="2:19" ht="17.45" customHeight="1">
      <c r="B186" s="29" t="s">
        <v>313</v>
      </c>
      <c r="C186" s="25" t="s">
        <v>314</v>
      </c>
      <c r="D186" s="57">
        <v>0</v>
      </c>
      <c r="E186" s="57">
        <v>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 s="57">
        <v>0</v>
      </c>
      <c r="M186" s="57">
        <v>0</v>
      </c>
      <c r="N186" s="57">
        <v>0</v>
      </c>
      <c r="O186" s="57">
        <v>0</v>
      </c>
      <c r="P186" s="57">
        <f>IFERROR(D186+E186+F186+G186+H186+I186+J186+K186+L186+M186+N186+O186,0)</f>
        <v>0</v>
      </c>
      <c r="Q186" s="22"/>
      <c r="R186" s="30"/>
      <c r="S186" s="22"/>
    </row>
    <row r="187" spans="2:19" ht="17.45" customHeight="1">
      <c r="B187" s="46" t="s">
        <v>315</v>
      </c>
      <c r="C187" s="45" t="s">
        <v>310</v>
      </c>
      <c r="D187" s="59">
        <f t="shared" ref="D187:P187" si="24">SUM(D184:D186)</f>
        <v>4235.2299999999996</v>
      </c>
      <c r="E187" s="59">
        <f t="shared" si="24"/>
        <v>0</v>
      </c>
      <c r="F187" s="59">
        <f t="shared" si="24"/>
        <v>4235.2299999999996</v>
      </c>
      <c r="G187" s="59">
        <f t="shared" si="24"/>
        <v>0</v>
      </c>
      <c r="H187" s="59">
        <f t="shared" si="24"/>
        <v>0</v>
      </c>
      <c r="I187" s="59">
        <f t="shared" si="24"/>
        <v>0</v>
      </c>
      <c r="J187" s="59">
        <f t="shared" si="24"/>
        <v>3815</v>
      </c>
      <c r="K187" s="59">
        <f t="shared" si="24"/>
        <v>0</v>
      </c>
      <c r="L187" s="59">
        <f t="shared" si="24"/>
        <v>0</v>
      </c>
      <c r="M187" s="59">
        <f t="shared" si="24"/>
        <v>0</v>
      </c>
      <c r="N187" s="59">
        <f t="shared" si="24"/>
        <v>0</v>
      </c>
      <c r="O187" s="59">
        <f t="shared" si="24"/>
        <v>0</v>
      </c>
      <c r="P187" s="59">
        <f>IFERROR(SUM(P184:P186),0)</f>
        <v>12285.46</v>
      </c>
      <c r="Q187" s="22"/>
      <c r="R187" s="30"/>
      <c r="S187" s="22"/>
    </row>
    <row r="188" spans="2:19" ht="17.45" customHeight="1">
      <c r="B188" s="29" t="s">
        <v>316</v>
      </c>
      <c r="C188" s="27" t="s">
        <v>317</v>
      </c>
      <c r="D188" s="57">
        <v>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 s="57">
        <v>0</v>
      </c>
      <c r="M188" s="57">
        <v>0</v>
      </c>
      <c r="N188" s="57">
        <v>0</v>
      </c>
      <c r="O188" s="57">
        <v>0</v>
      </c>
      <c r="P188" s="57">
        <f>IFERROR(D188+E188+F188+G188+H188+I188+J188+K188+L188+M188+N188+O188,0)</f>
        <v>0</v>
      </c>
      <c r="Q188" s="22"/>
      <c r="R188" s="30"/>
      <c r="S188" s="22"/>
    </row>
    <row r="189" spans="2:19" ht="17.45" customHeight="1">
      <c r="B189" s="29" t="s">
        <v>318</v>
      </c>
      <c r="C189" s="25" t="s">
        <v>319</v>
      </c>
      <c r="D189" s="57">
        <v>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0</v>
      </c>
      <c r="K189" s="57">
        <v>0</v>
      </c>
      <c r="L189" s="57">
        <v>0</v>
      </c>
      <c r="M189" s="57">
        <v>0</v>
      </c>
      <c r="N189" s="57">
        <v>0</v>
      </c>
      <c r="O189" s="57">
        <v>0</v>
      </c>
      <c r="P189" s="57">
        <f>IFERROR(D189+E189+F189+G189+H189+I189+J189+K189+L189+M189+N189+O189,0)</f>
        <v>0</v>
      </c>
      <c r="Q189" s="22"/>
      <c r="R189" s="30"/>
      <c r="S189" s="22"/>
    </row>
    <row r="190" spans="2:19" ht="17.45" customHeight="1">
      <c r="B190" s="29" t="s">
        <v>320</v>
      </c>
      <c r="C190" s="25" t="s">
        <v>321</v>
      </c>
      <c r="D190" s="57">
        <v>0</v>
      </c>
      <c r="E190" s="57">
        <v>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 s="57">
        <v>0</v>
      </c>
      <c r="M190" s="57">
        <v>0</v>
      </c>
      <c r="N190" s="57">
        <v>0</v>
      </c>
      <c r="O190" s="57">
        <v>0</v>
      </c>
      <c r="P190" s="57">
        <f>IFERROR(D190+E190+F190+G190+H190+I190+J190+K190+L190+M190+N190+O190,0)</f>
        <v>0</v>
      </c>
      <c r="Q190" s="22"/>
      <c r="R190" s="30"/>
      <c r="S190" s="22"/>
    </row>
    <row r="191" spans="2:19" ht="17.45" customHeight="1">
      <c r="B191" s="29">
        <v>816130</v>
      </c>
      <c r="C191" s="25" t="s">
        <v>322</v>
      </c>
      <c r="D191" s="57" t="s">
        <v>432</v>
      </c>
      <c r="E191" s="57">
        <v>0</v>
      </c>
      <c r="F191" s="57" t="s">
        <v>432</v>
      </c>
      <c r="G191" s="57">
        <v>0</v>
      </c>
      <c r="H191" s="57">
        <v>0</v>
      </c>
      <c r="I191" s="57">
        <v>0</v>
      </c>
      <c r="J191" s="57" t="s">
        <v>432</v>
      </c>
      <c r="K191" s="57" t="s">
        <v>432</v>
      </c>
      <c r="L191" s="57">
        <v>0</v>
      </c>
      <c r="M191" s="57">
        <v>0</v>
      </c>
      <c r="N191" s="57">
        <v>0</v>
      </c>
      <c r="O191" s="57">
        <v>0</v>
      </c>
      <c r="P191" s="57">
        <f>IFERROR(D191+E191+F191+G191+H191+I191+J191+K191+L191+M191+N191+O191,0)</f>
        <v>0</v>
      </c>
      <c r="Q191" s="22"/>
      <c r="R191" s="30"/>
      <c r="S191" s="22"/>
    </row>
    <row r="192" spans="2:19" ht="17.45" customHeight="1">
      <c r="B192" s="29" t="s">
        <v>323</v>
      </c>
      <c r="C192" s="25" t="s">
        <v>324</v>
      </c>
      <c r="D192" s="57">
        <v>0</v>
      </c>
      <c r="E192" s="57">
        <v>0</v>
      </c>
      <c r="F192" s="57">
        <v>0</v>
      </c>
      <c r="G192" s="57">
        <v>0</v>
      </c>
      <c r="H192" s="57">
        <v>0</v>
      </c>
      <c r="I192" s="57">
        <v>0</v>
      </c>
      <c r="J192" s="57">
        <v>0</v>
      </c>
      <c r="K192" s="57">
        <v>0</v>
      </c>
      <c r="L192" s="57">
        <v>0</v>
      </c>
      <c r="M192" s="57">
        <v>0</v>
      </c>
      <c r="N192" s="57">
        <v>0</v>
      </c>
      <c r="O192" s="57">
        <v>0</v>
      </c>
      <c r="P192" s="57">
        <f>IFERROR(D192+E192+F192+G192+H192+I192+J192+K192+L192+M192+N192+O192,0)</f>
        <v>0</v>
      </c>
      <c r="Q192" s="22"/>
      <c r="R192" s="30"/>
      <c r="S192" s="22"/>
    </row>
    <row r="193" spans="2:19" ht="17.45" customHeight="1">
      <c r="B193" s="29" t="s">
        <v>325</v>
      </c>
      <c r="C193" s="25" t="s">
        <v>326</v>
      </c>
      <c r="D193" s="57" t="s">
        <v>432</v>
      </c>
      <c r="E193" s="57">
        <v>0</v>
      </c>
      <c r="F193" s="57" t="s">
        <v>432</v>
      </c>
      <c r="G193" s="57">
        <v>0</v>
      </c>
      <c r="H193" s="57">
        <v>0</v>
      </c>
      <c r="I193" s="57">
        <v>0</v>
      </c>
      <c r="J193" s="57" t="s">
        <v>432</v>
      </c>
      <c r="K193" s="57" t="s">
        <v>432</v>
      </c>
      <c r="L193" s="57">
        <v>0</v>
      </c>
      <c r="M193" s="57">
        <v>0</v>
      </c>
      <c r="N193" s="57">
        <v>0</v>
      </c>
      <c r="O193" s="57">
        <v>0</v>
      </c>
      <c r="P193" s="57">
        <f>IFERROR(D193+E193+F193+G193+H193+I193+J193+K193+L193+M193+N193+O193,0)</f>
        <v>0</v>
      </c>
      <c r="Q193" s="22"/>
      <c r="R193" s="30"/>
      <c r="S193" s="22"/>
    </row>
    <row r="194" spans="2:19" ht="17.45" customHeight="1">
      <c r="B194" s="29"/>
      <c r="C194" s="25" t="s">
        <v>327</v>
      </c>
      <c r="D194" s="57">
        <v>0</v>
      </c>
      <c r="E194" s="57">
        <v>0</v>
      </c>
      <c r="F194" s="57">
        <v>0</v>
      </c>
      <c r="G194" s="57">
        <v>0</v>
      </c>
      <c r="H194" s="57">
        <v>0</v>
      </c>
      <c r="I194" s="57">
        <v>0</v>
      </c>
      <c r="J194" s="57">
        <v>0</v>
      </c>
      <c r="K194" s="57">
        <v>0</v>
      </c>
      <c r="L194" s="57">
        <v>0</v>
      </c>
      <c r="M194" s="57">
        <v>0</v>
      </c>
      <c r="N194" s="57">
        <v>0</v>
      </c>
      <c r="O194" s="57">
        <v>0</v>
      </c>
      <c r="P194" s="57">
        <f>IFERROR(D194+E194+F194+G194+H194+I194+J194+K194+L194+M194+N194+O194,0)</f>
        <v>0</v>
      </c>
      <c r="Q194" s="22"/>
      <c r="R194" s="30"/>
      <c r="S194" s="22"/>
    </row>
    <row r="195" spans="2:19" ht="17.45" customHeight="1">
      <c r="B195" s="29"/>
      <c r="C195" s="25" t="s">
        <v>328</v>
      </c>
      <c r="D195" s="57">
        <v>0</v>
      </c>
      <c r="E195" s="57">
        <v>0</v>
      </c>
      <c r="F195" s="57">
        <v>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 s="57">
        <v>0</v>
      </c>
      <c r="M195" s="57">
        <v>0</v>
      </c>
      <c r="N195" s="57">
        <v>0</v>
      </c>
      <c r="O195" s="57">
        <v>0</v>
      </c>
      <c r="P195" s="57">
        <v>0</v>
      </c>
      <c r="Q195" s="22"/>
      <c r="R195" s="30"/>
      <c r="S195" s="22"/>
    </row>
    <row r="196" spans="2:19" ht="17.45" customHeight="1">
      <c r="B196" s="29"/>
      <c r="C196" s="2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22"/>
      <c r="R196" s="30"/>
      <c r="S196" s="22"/>
    </row>
    <row r="197" spans="2:19" ht="17.45" customHeight="1">
      <c r="B197" s="41" t="s">
        <v>316</v>
      </c>
      <c r="C197" s="42" t="s">
        <v>317</v>
      </c>
      <c r="D197" s="76">
        <f t="shared" ref="D197:P197" si="25">SUM(D189:D196)</f>
        <v>0</v>
      </c>
      <c r="E197" s="76">
        <f t="shared" si="25"/>
        <v>0</v>
      </c>
      <c r="F197" s="76">
        <f t="shared" si="25"/>
        <v>0</v>
      </c>
      <c r="G197" s="76">
        <f t="shared" si="25"/>
        <v>0</v>
      </c>
      <c r="H197" s="76">
        <f t="shared" si="25"/>
        <v>0</v>
      </c>
      <c r="I197" s="76">
        <f t="shared" si="25"/>
        <v>0</v>
      </c>
      <c r="J197" s="76">
        <f t="shared" si="25"/>
        <v>0</v>
      </c>
      <c r="K197" s="76">
        <f t="shared" si="25"/>
        <v>0</v>
      </c>
      <c r="L197" s="76">
        <f t="shared" si="25"/>
        <v>0</v>
      </c>
      <c r="M197" s="76">
        <f t="shared" si="25"/>
        <v>0</v>
      </c>
      <c r="N197" s="76">
        <f t="shared" si="25"/>
        <v>0</v>
      </c>
      <c r="O197" s="76">
        <f t="shared" si="25"/>
        <v>0</v>
      </c>
      <c r="P197" s="76">
        <f>IFERROR(SUM(P189:P196),0)</f>
        <v>0</v>
      </c>
      <c r="Q197" s="22"/>
      <c r="R197" s="30"/>
      <c r="S197" s="22"/>
    </row>
    <row r="198" spans="2:19" ht="17.45" customHeight="1">
      <c r="B198" s="46" t="s">
        <v>329</v>
      </c>
      <c r="C198" s="45" t="s">
        <v>240</v>
      </c>
      <c r="D198" s="60">
        <f t="shared" ref="D198:P198" si="26">D148+D154+D158+D170+D175+D182+D187+D197+D163+D164+D165+D176+D177</f>
        <v>17964.87</v>
      </c>
      <c r="E198" s="60">
        <f t="shared" si="26"/>
        <v>0</v>
      </c>
      <c r="F198" s="60">
        <f t="shared" si="26"/>
        <v>17964.87</v>
      </c>
      <c r="G198" s="60">
        <f t="shared" si="26"/>
        <v>0</v>
      </c>
      <c r="H198" s="60">
        <f t="shared" si="26"/>
        <v>0</v>
      </c>
      <c r="I198" s="60">
        <f t="shared" si="26"/>
        <v>0</v>
      </c>
      <c r="J198" s="60">
        <f t="shared" si="26"/>
        <v>15156.479999999998</v>
      </c>
      <c r="K198" s="60">
        <f t="shared" si="26"/>
        <v>4498.09</v>
      </c>
      <c r="L198" s="60">
        <f t="shared" si="26"/>
        <v>0</v>
      </c>
      <c r="M198" s="60">
        <f t="shared" si="26"/>
        <v>0</v>
      </c>
      <c r="N198" s="60">
        <f t="shared" si="26"/>
        <v>0</v>
      </c>
      <c r="O198" s="60">
        <f t="shared" si="26"/>
        <v>0</v>
      </c>
      <c r="P198" s="60">
        <f>IFERROR(P148+P154+P158+P170+P175+P182+P187+P197+P163+P164+P165+P176+P177,0)</f>
        <v>55584.31</v>
      </c>
      <c r="Q198" s="22"/>
      <c r="R198" s="30"/>
      <c r="S198" s="22"/>
    </row>
    <row r="199" spans="2:19" ht="17.45" customHeight="1">
      <c r="B199" s="29"/>
      <c r="C199" s="27" t="s">
        <v>330</v>
      </c>
      <c r="D199" s="57">
        <v>0</v>
      </c>
      <c r="E199" s="57">
        <v>0</v>
      </c>
      <c r="F199" s="57">
        <v>0</v>
      </c>
      <c r="G199" s="57">
        <v>0</v>
      </c>
      <c r="H199" s="57">
        <v>0</v>
      </c>
      <c r="I199" s="57">
        <v>0</v>
      </c>
      <c r="J199" s="57">
        <v>0</v>
      </c>
      <c r="K199" s="57">
        <v>0</v>
      </c>
      <c r="L199" s="57">
        <v>0</v>
      </c>
      <c r="M199" s="57">
        <v>0</v>
      </c>
      <c r="N199" s="57">
        <v>0</v>
      </c>
      <c r="O199" s="57">
        <v>0</v>
      </c>
      <c r="P199" s="57">
        <f>IFERROR(D199+E199+F199+G199+H199+I199+J199+K199+L199+M199+N199+O199,0)</f>
        <v>0</v>
      </c>
      <c r="Q199" s="22"/>
      <c r="R199" s="30"/>
      <c r="S199" s="22"/>
    </row>
    <row r="200" spans="2:19" ht="17.45" customHeight="1">
      <c r="B200" s="29"/>
      <c r="C200" s="27" t="s">
        <v>331</v>
      </c>
      <c r="D200" s="57">
        <v>0</v>
      </c>
      <c r="E200" s="57">
        <v>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 s="57">
        <v>0</v>
      </c>
      <c r="M200" s="57">
        <v>0</v>
      </c>
      <c r="N200" s="57">
        <v>0</v>
      </c>
      <c r="O200" s="57">
        <v>0</v>
      </c>
      <c r="P200" s="57">
        <f>IFERROR(D200+E200+F200+G200+H200+I200+J200+K200+L200+M200+N200+O200,0)</f>
        <v>0</v>
      </c>
      <c r="Q200" s="22"/>
      <c r="R200" s="30"/>
      <c r="S200" s="22"/>
    </row>
    <row r="201" spans="2:19" ht="17.45" customHeight="1">
      <c r="B201" s="29" t="s">
        <v>332</v>
      </c>
      <c r="C201" s="25" t="s">
        <v>333</v>
      </c>
      <c r="D201" s="57">
        <v>0</v>
      </c>
      <c r="E201" s="57">
        <v>0</v>
      </c>
      <c r="F201" s="57">
        <v>0</v>
      </c>
      <c r="G201" s="57">
        <v>0</v>
      </c>
      <c r="H201" s="57">
        <v>0</v>
      </c>
      <c r="I201" s="57">
        <v>0</v>
      </c>
      <c r="J201" s="57">
        <v>0</v>
      </c>
      <c r="K201" s="57">
        <v>0</v>
      </c>
      <c r="L201" s="57">
        <v>0</v>
      </c>
      <c r="M201" s="57">
        <v>0</v>
      </c>
      <c r="N201" s="57">
        <v>0</v>
      </c>
      <c r="O201" s="57">
        <v>0</v>
      </c>
      <c r="P201" s="57">
        <f>IFERROR(D201+E201+F201+G201+H201+I201+J201+K201+L201+M201+N201+O201,0)</f>
        <v>0</v>
      </c>
      <c r="Q201" s="22"/>
      <c r="R201" s="30"/>
      <c r="S201" s="22"/>
    </row>
    <row r="202" spans="2:19" ht="17.45" customHeight="1">
      <c r="B202" s="29" t="s">
        <v>334</v>
      </c>
      <c r="C202" s="25" t="s">
        <v>335</v>
      </c>
      <c r="D202" s="57">
        <v>0</v>
      </c>
      <c r="E202" s="57">
        <v>0</v>
      </c>
      <c r="F202" s="57">
        <v>0</v>
      </c>
      <c r="G202" s="57">
        <v>0</v>
      </c>
      <c r="H202" s="57">
        <v>0</v>
      </c>
      <c r="I202" s="57">
        <v>0</v>
      </c>
      <c r="J202" s="57">
        <v>0</v>
      </c>
      <c r="K202" s="57">
        <v>0</v>
      </c>
      <c r="L202" s="57">
        <v>0</v>
      </c>
      <c r="M202" s="57">
        <v>0</v>
      </c>
      <c r="N202" s="57">
        <v>0</v>
      </c>
      <c r="O202" s="57">
        <v>0</v>
      </c>
      <c r="P202" s="57">
        <f>IFERROR(D202+E202+F202+G202+H202+I202+J202+K202+L202+M202+N202+O202,0)</f>
        <v>0</v>
      </c>
      <c r="Q202" s="22"/>
      <c r="R202" s="30"/>
      <c r="S202" s="22"/>
    </row>
    <row r="203" spans="2:19" ht="17.45" customHeight="1">
      <c r="B203" s="29"/>
      <c r="C203" s="27" t="s">
        <v>336</v>
      </c>
      <c r="D203" s="57" t="s">
        <v>432</v>
      </c>
      <c r="E203" s="57">
        <v>0</v>
      </c>
      <c r="F203" s="57" t="s">
        <v>432</v>
      </c>
      <c r="G203" s="57">
        <v>0</v>
      </c>
      <c r="H203" s="57">
        <v>0</v>
      </c>
      <c r="I203" s="57">
        <v>0</v>
      </c>
      <c r="J203" s="57" t="s">
        <v>432</v>
      </c>
      <c r="K203" s="57" t="s">
        <v>432</v>
      </c>
      <c r="L203" s="57">
        <v>0</v>
      </c>
      <c r="M203" s="57">
        <v>0</v>
      </c>
      <c r="N203" s="57">
        <v>0</v>
      </c>
      <c r="O203" s="57">
        <v>0</v>
      </c>
      <c r="P203" s="57">
        <f>IFERROR(D203+E203+F203+G203+H203+I203+J203+K203+L203+M203+N203+O203,0)</f>
        <v>0</v>
      </c>
      <c r="Q203" s="22"/>
      <c r="R203" s="30"/>
      <c r="S203" s="22"/>
    </row>
    <row r="204" spans="2:19" ht="17.45" customHeight="1">
      <c r="B204" s="29" t="s">
        <v>337</v>
      </c>
      <c r="C204" s="25" t="s">
        <v>338</v>
      </c>
      <c r="D204" s="57">
        <v>0</v>
      </c>
      <c r="E204" s="57">
        <v>0</v>
      </c>
      <c r="F204" s="57">
        <v>0</v>
      </c>
      <c r="G204" s="57">
        <v>0</v>
      </c>
      <c r="H204" s="57">
        <v>0</v>
      </c>
      <c r="I204" s="57">
        <v>0</v>
      </c>
      <c r="J204" s="57">
        <v>0</v>
      </c>
      <c r="K204" s="57">
        <v>0</v>
      </c>
      <c r="L204" s="57">
        <v>0</v>
      </c>
      <c r="M204" s="57">
        <v>0</v>
      </c>
      <c r="N204" s="57">
        <v>0</v>
      </c>
      <c r="O204" s="57">
        <v>0</v>
      </c>
      <c r="P204" s="57">
        <f>IFERROR(D204+E204+F204+G204+H204+I204+J204+K204+L204+M204+N204+O204,0)</f>
        <v>0</v>
      </c>
      <c r="Q204" s="22"/>
      <c r="R204" s="30"/>
      <c r="S204" s="22"/>
    </row>
    <row r="205" spans="2:19" ht="17.45" customHeight="1">
      <c r="B205" s="29" t="s">
        <v>339</v>
      </c>
      <c r="C205" s="25" t="s">
        <v>340</v>
      </c>
      <c r="D205" s="57">
        <v>0</v>
      </c>
      <c r="E205" s="57">
        <v>0</v>
      </c>
      <c r="F205" s="57">
        <v>0</v>
      </c>
      <c r="G205" s="57">
        <v>0</v>
      </c>
      <c r="H205" s="57">
        <v>0</v>
      </c>
      <c r="I205" s="57">
        <v>0</v>
      </c>
      <c r="J205" s="57">
        <v>0</v>
      </c>
      <c r="K205" s="57">
        <v>0</v>
      </c>
      <c r="L205" s="57">
        <v>0</v>
      </c>
      <c r="M205" s="57">
        <v>0</v>
      </c>
      <c r="N205" s="57">
        <v>0</v>
      </c>
      <c r="O205" s="57">
        <v>0</v>
      </c>
      <c r="P205" s="57">
        <f>IFERROR(D205+E205+F205+G205+H205+I205+J205+K205+L205+M205+N205+O205,0)</f>
        <v>0</v>
      </c>
      <c r="Q205" s="22"/>
      <c r="R205" s="30"/>
      <c r="S205" s="22"/>
    </row>
    <row r="206" spans="2:19" ht="17.45" customHeight="1">
      <c r="B206" s="46" t="s">
        <v>341</v>
      </c>
      <c r="C206" s="45" t="s">
        <v>336</v>
      </c>
      <c r="D206" s="58">
        <f>D204</f>
        <v>0</v>
      </c>
      <c r="E206" s="58">
        <f t="shared" ref="E206:P206" si="27">E204</f>
        <v>0</v>
      </c>
      <c r="F206" s="58">
        <f t="shared" si="27"/>
        <v>0</v>
      </c>
      <c r="G206" s="58">
        <f t="shared" si="27"/>
        <v>0</v>
      </c>
      <c r="H206" s="58">
        <f t="shared" si="27"/>
        <v>0</v>
      </c>
      <c r="I206" s="58">
        <f t="shared" si="27"/>
        <v>0</v>
      </c>
      <c r="J206" s="58">
        <f t="shared" si="27"/>
        <v>0</v>
      </c>
      <c r="K206" s="58">
        <f t="shared" si="27"/>
        <v>0</v>
      </c>
      <c r="L206" s="58">
        <f t="shared" si="27"/>
        <v>0</v>
      </c>
      <c r="M206" s="58">
        <f t="shared" si="27"/>
        <v>0</v>
      </c>
      <c r="N206" s="58">
        <f t="shared" si="27"/>
        <v>0</v>
      </c>
      <c r="O206" s="58">
        <f t="shared" si="27"/>
        <v>0</v>
      </c>
      <c r="P206" s="58">
        <f>IFERROR(P204,0)</f>
        <v>0</v>
      </c>
      <c r="Q206" s="22"/>
      <c r="R206" s="30"/>
      <c r="S206" s="22"/>
    </row>
    <row r="207" spans="2:19" ht="17.45" customHeight="1">
      <c r="B207" s="29" t="s">
        <v>342</v>
      </c>
      <c r="C207" s="25" t="s">
        <v>343</v>
      </c>
      <c r="D207" s="57">
        <v>0</v>
      </c>
      <c r="E207" s="57">
        <v>0</v>
      </c>
      <c r="F207" s="57">
        <v>0</v>
      </c>
      <c r="G207" s="57">
        <v>0</v>
      </c>
      <c r="H207" s="57">
        <v>0</v>
      </c>
      <c r="I207" s="57">
        <v>0</v>
      </c>
      <c r="J207" s="57">
        <v>0</v>
      </c>
      <c r="K207" s="57">
        <v>0</v>
      </c>
      <c r="L207" s="57">
        <v>0</v>
      </c>
      <c r="M207" s="57">
        <v>0</v>
      </c>
      <c r="N207" s="57">
        <v>0</v>
      </c>
      <c r="O207" s="57">
        <v>0</v>
      </c>
      <c r="P207" s="57">
        <f>IFERROR(D207+E207+F207+G207+H207+I207+J207+K207+L207+M207+N207+O207,0)</f>
        <v>0</v>
      </c>
      <c r="Q207" s="22"/>
      <c r="R207" s="30"/>
      <c r="S207" s="22"/>
    </row>
    <row r="208" spans="2:19" ht="17.45" customHeight="1">
      <c r="B208" s="29" t="s">
        <v>344</v>
      </c>
      <c r="C208" s="25" t="s">
        <v>345</v>
      </c>
      <c r="D208" s="57">
        <v>0</v>
      </c>
      <c r="E208" s="57">
        <v>0</v>
      </c>
      <c r="F208" s="57">
        <v>0</v>
      </c>
      <c r="G208" s="57">
        <v>0</v>
      </c>
      <c r="H208" s="57">
        <v>0</v>
      </c>
      <c r="I208" s="57">
        <v>0</v>
      </c>
      <c r="J208" s="57">
        <v>0</v>
      </c>
      <c r="K208" s="57">
        <v>0</v>
      </c>
      <c r="L208" s="57">
        <v>0</v>
      </c>
      <c r="M208" s="57">
        <v>0</v>
      </c>
      <c r="N208" s="57">
        <v>0</v>
      </c>
      <c r="O208" s="57">
        <v>0</v>
      </c>
      <c r="P208" s="57">
        <f>IFERROR(D208+E208+F208+G208+H208+I208+J208+K208+L208+M208+N208+O208,0)</f>
        <v>0</v>
      </c>
      <c r="Q208" s="22"/>
      <c r="R208" s="30"/>
      <c r="S208" s="22"/>
    </row>
    <row r="209" spans="2:19" ht="17.45" customHeight="1">
      <c r="B209" s="29" t="s">
        <v>346</v>
      </c>
      <c r="C209" s="25" t="s">
        <v>347</v>
      </c>
      <c r="D209" s="57">
        <v>0</v>
      </c>
      <c r="E209" s="57">
        <v>0</v>
      </c>
      <c r="F209" s="57">
        <v>0</v>
      </c>
      <c r="G209" s="57">
        <v>0</v>
      </c>
      <c r="H209" s="57">
        <v>0</v>
      </c>
      <c r="I209" s="57">
        <v>0</v>
      </c>
      <c r="J209" s="57">
        <v>0</v>
      </c>
      <c r="K209" s="57">
        <v>0</v>
      </c>
      <c r="L209" s="57">
        <v>0</v>
      </c>
      <c r="M209" s="57">
        <v>0</v>
      </c>
      <c r="N209" s="57">
        <v>0</v>
      </c>
      <c r="O209" s="57">
        <v>0</v>
      </c>
      <c r="P209" s="57">
        <f>IFERROR(D209+E209+F209+G209+H209+I209+J209+K209+L209+M209+N209+O209,0)</f>
        <v>0</v>
      </c>
      <c r="Q209" s="22"/>
      <c r="R209" s="30"/>
      <c r="S209" s="22"/>
    </row>
    <row r="210" spans="2:19" ht="17.45" customHeight="1">
      <c r="B210" s="29"/>
      <c r="C210" s="25" t="s">
        <v>348</v>
      </c>
      <c r="D210" s="57">
        <v>0</v>
      </c>
      <c r="E210" s="57">
        <v>0</v>
      </c>
      <c r="F210" s="57">
        <v>0</v>
      </c>
      <c r="G210" s="57">
        <v>0</v>
      </c>
      <c r="H210" s="57">
        <v>0</v>
      </c>
      <c r="I210" s="57">
        <v>0</v>
      </c>
      <c r="J210" s="57">
        <v>0</v>
      </c>
      <c r="K210" s="57">
        <v>0</v>
      </c>
      <c r="L210" s="57">
        <v>0</v>
      </c>
      <c r="M210" s="57">
        <v>0</v>
      </c>
      <c r="N210" s="57">
        <v>0</v>
      </c>
      <c r="O210" s="57">
        <v>0</v>
      </c>
      <c r="P210" s="57">
        <f>IFERROR(D210+E210+F210+G210+H210+I210+J210+K210+L210+M210+N210+O210,0)</f>
        <v>0</v>
      </c>
      <c r="Q210" s="22"/>
      <c r="R210" s="30"/>
      <c r="S210" s="22"/>
    </row>
    <row r="211" spans="2:19" ht="17.45" customHeight="1">
      <c r="B211" s="29" t="s">
        <v>349</v>
      </c>
      <c r="C211" s="25" t="s">
        <v>350</v>
      </c>
      <c r="D211" s="57">
        <v>0</v>
      </c>
      <c r="E211" s="57">
        <v>0</v>
      </c>
      <c r="F211" s="57">
        <v>0</v>
      </c>
      <c r="G211" s="57">
        <v>0</v>
      </c>
      <c r="H211" s="57">
        <v>0</v>
      </c>
      <c r="I211" s="57">
        <v>0</v>
      </c>
      <c r="J211" s="57">
        <v>0</v>
      </c>
      <c r="K211" s="57">
        <v>0</v>
      </c>
      <c r="L211" s="57">
        <v>0</v>
      </c>
      <c r="M211" s="57">
        <v>0</v>
      </c>
      <c r="N211" s="57">
        <v>0</v>
      </c>
      <c r="O211" s="57">
        <v>0</v>
      </c>
      <c r="P211" s="57">
        <f>IFERROR(D211+E211+F211+G211+H211+I211+J211+K211+L211+M211+N211+O211,0)</f>
        <v>0</v>
      </c>
      <c r="Q211" s="22"/>
      <c r="R211" s="30"/>
      <c r="S211" s="22"/>
    </row>
    <row r="212" spans="2:19" ht="17.45" customHeight="1">
      <c r="B212" s="29"/>
      <c r="C212" s="25" t="s">
        <v>351</v>
      </c>
      <c r="D212" s="57">
        <v>0</v>
      </c>
      <c r="E212" s="57">
        <v>0</v>
      </c>
      <c r="F212" s="57">
        <v>0</v>
      </c>
      <c r="G212" s="57">
        <v>0</v>
      </c>
      <c r="H212" s="57">
        <v>0</v>
      </c>
      <c r="I212" s="57">
        <v>0</v>
      </c>
      <c r="J212" s="57">
        <v>0</v>
      </c>
      <c r="K212" s="57">
        <v>0</v>
      </c>
      <c r="L212" s="57">
        <v>0</v>
      </c>
      <c r="M212" s="57">
        <v>0</v>
      </c>
      <c r="N212" s="57">
        <v>0</v>
      </c>
      <c r="O212" s="57">
        <v>0</v>
      </c>
      <c r="P212" s="57">
        <f>IFERROR(D212+E212+F212+G212+H212+I212+J212+K212+L212+M212+N212+O212,0)</f>
        <v>0</v>
      </c>
      <c r="Q212" s="22"/>
      <c r="R212" s="30"/>
      <c r="S212" s="22"/>
    </row>
    <row r="213" spans="2:19" ht="17.45" customHeight="1">
      <c r="B213" s="29" t="s">
        <v>352</v>
      </c>
      <c r="C213" s="25" t="s">
        <v>353</v>
      </c>
      <c r="D213" s="57">
        <v>0</v>
      </c>
      <c r="E213" s="57">
        <v>0</v>
      </c>
      <c r="F213" s="57">
        <v>0</v>
      </c>
      <c r="G213" s="57">
        <v>0</v>
      </c>
      <c r="H213" s="57">
        <v>0</v>
      </c>
      <c r="I213" s="57">
        <v>0</v>
      </c>
      <c r="J213" s="57">
        <v>-6.59</v>
      </c>
      <c r="K213" s="57">
        <v>0</v>
      </c>
      <c r="L213" s="57">
        <v>0</v>
      </c>
      <c r="M213" s="57">
        <v>0</v>
      </c>
      <c r="N213" s="57">
        <v>0</v>
      </c>
      <c r="O213" s="57">
        <v>0</v>
      </c>
      <c r="P213" s="57">
        <f>IFERROR(D213+E213+F213+G213+H213+I213+J213+K213+L213+M213+N213+O213,0)</f>
        <v>-6.59</v>
      </c>
      <c r="Q213" s="22"/>
      <c r="R213" s="30"/>
      <c r="S213" s="22"/>
    </row>
    <row r="214" spans="2:19" ht="17.45" customHeight="1">
      <c r="B214" s="46" t="s">
        <v>354</v>
      </c>
      <c r="C214" s="45" t="s">
        <v>331</v>
      </c>
      <c r="D214" s="60">
        <f t="shared" ref="D214:O214" si="28">SUM(D201:D213)</f>
        <v>0</v>
      </c>
      <c r="E214" s="60">
        <f t="shared" si="28"/>
        <v>0</v>
      </c>
      <c r="F214" s="60">
        <f t="shared" si="28"/>
        <v>0</v>
      </c>
      <c r="G214" s="60">
        <f t="shared" si="28"/>
        <v>0</v>
      </c>
      <c r="H214" s="60">
        <f t="shared" si="28"/>
        <v>0</v>
      </c>
      <c r="I214" s="60">
        <f t="shared" si="28"/>
        <v>0</v>
      </c>
      <c r="J214" s="60">
        <f t="shared" si="28"/>
        <v>-6.59</v>
      </c>
      <c r="K214" s="60">
        <f t="shared" si="28"/>
        <v>0</v>
      </c>
      <c r="L214" s="60">
        <f t="shared" si="28"/>
        <v>0</v>
      </c>
      <c r="M214" s="60">
        <f t="shared" si="28"/>
        <v>0</v>
      </c>
      <c r="N214" s="60">
        <f t="shared" si="28"/>
        <v>0</v>
      </c>
      <c r="O214" s="60">
        <f t="shared" si="28"/>
        <v>0</v>
      </c>
      <c r="P214" s="60">
        <f>IFERROR(SUM(P201:P213),0)</f>
        <v>-6.59</v>
      </c>
      <c r="Q214" s="22"/>
      <c r="R214" s="30"/>
      <c r="S214" s="22"/>
    </row>
    <row r="215" spans="2:19" ht="17.45" customHeight="1">
      <c r="B215" s="29"/>
      <c r="C215" s="27" t="s">
        <v>355</v>
      </c>
      <c r="D215" s="57">
        <v>0</v>
      </c>
      <c r="E215" s="57">
        <v>0</v>
      </c>
      <c r="F215" s="57">
        <v>0</v>
      </c>
      <c r="G215" s="57">
        <v>0</v>
      </c>
      <c r="H215" s="57">
        <v>0</v>
      </c>
      <c r="I215" s="57">
        <v>0</v>
      </c>
      <c r="J215" s="57">
        <v>0</v>
      </c>
      <c r="K215" s="57">
        <v>0</v>
      </c>
      <c r="L215" s="57">
        <v>0</v>
      </c>
      <c r="M215" s="57">
        <v>0</v>
      </c>
      <c r="N215" s="57">
        <v>0</v>
      </c>
      <c r="O215" s="57">
        <v>0</v>
      </c>
      <c r="P215" s="57">
        <f>IFERROR(D215+E215+F215+G215+H215+I215+J215+K215+L215+M215+N215+O215,0)</f>
        <v>0</v>
      </c>
      <c r="Q215" s="22"/>
      <c r="R215" s="30"/>
      <c r="S215" s="22"/>
    </row>
    <row r="216" spans="2:19" ht="17.45" customHeight="1">
      <c r="B216" s="29"/>
      <c r="C216" s="28" t="s">
        <v>356</v>
      </c>
      <c r="D216" s="57">
        <v>0</v>
      </c>
      <c r="E216" s="57">
        <v>0</v>
      </c>
      <c r="F216" s="57">
        <v>0</v>
      </c>
      <c r="G216" s="57">
        <v>0</v>
      </c>
      <c r="H216" s="57">
        <v>0</v>
      </c>
      <c r="I216" s="57">
        <v>0</v>
      </c>
      <c r="J216" s="57">
        <v>0</v>
      </c>
      <c r="K216" s="57">
        <v>0</v>
      </c>
      <c r="L216" s="57">
        <v>0</v>
      </c>
      <c r="M216" s="57">
        <v>0</v>
      </c>
      <c r="N216" s="57">
        <v>0</v>
      </c>
      <c r="O216" s="57">
        <v>0</v>
      </c>
      <c r="P216" s="57">
        <f>IFERROR(D216+E216+F216+G216+H216+I216+J216+K216+L216+M216+N216+O216,0)</f>
        <v>0</v>
      </c>
      <c r="Q216" s="22"/>
      <c r="R216" s="30"/>
      <c r="S216" s="22"/>
    </row>
    <row r="217" spans="2:19" ht="17.45" customHeight="1">
      <c r="B217" s="29" t="s">
        <v>357</v>
      </c>
      <c r="C217" s="25" t="s">
        <v>358</v>
      </c>
      <c r="D217" s="57">
        <v>0</v>
      </c>
      <c r="E217" s="57">
        <v>0</v>
      </c>
      <c r="F217" s="57">
        <v>0</v>
      </c>
      <c r="G217" s="57">
        <v>0</v>
      </c>
      <c r="H217" s="57">
        <v>0</v>
      </c>
      <c r="I217" s="57">
        <v>0</v>
      </c>
      <c r="J217" s="57">
        <v>0</v>
      </c>
      <c r="K217" s="57">
        <v>0</v>
      </c>
      <c r="L217" s="57">
        <v>0</v>
      </c>
      <c r="M217" s="57">
        <v>0</v>
      </c>
      <c r="N217" s="57">
        <v>0</v>
      </c>
      <c r="O217" s="57">
        <v>0</v>
      </c>
      <c r="P217" s="57">
        <f>IFERROR(D217+E217+F217+G217+H217+I217+J217+K217+L217+M217+N217+O217,0)</f>
        <v>0</v>
      </c>
      <c r="Q217" s="22"/>
      <c r="R217" s="30"/>
      <c r="S217" s="22"/>
    </row>
    <row r="218" spans="2:19" ht="17.45" customHeight="1">
      <c r="B218" s="29" t="s">
        <v>359</v>
      </c>
      <c r="C218" s="25" t="s">
        <v>360</v>
      </c>
      <c r="D218" s="57">
        <v>0</v>
      </c>
      <c r="E218" s="57">
        <v>0</v>
      </c>
      <c r="F218" s="57">
        <v>0</v>
      </c>
      <c r="G218" s="57">
        <v>0</v>
      </c>
      <c r="H218" s="57">
        <v>0</v>
      </c>
      <c r="I218" s="57">
        <v>0</v>
      </c>
      <c r="J218" s="57">
        <v>0</v>
      </c>
      <c r="K218" s="57">
        <v>0</v>
      </c>
      <c r="L218" s="57">
        <v>0</v>
      </c>
      <c r="M218" s="57">
        <v>0</v>
      </c>
      <c r="N218" s="57">
        <v>0</v>
      </c>
      <c r="O218" s="57">
        <v>0</v>
      </c>
      <c r="P218" s="57">
        <f>IFERROR(D218+E218+F218+G218+H218+I218+J218+K218+L218+M218+N218+O218,0)</f>
        <v>0</v>
      </c>
      <c r="Q218" s="22"/>
      <c r="R218" s="30"/>
      <c r="S218" s="22"/>
    </row>
    <row r="219" spans="2:19" ht="17.45" customHeight="1">
      <c r="B219" s="46" t="s">
        <v>361</v>
      </c>
      <c r="C219" s="45" t="s">
        <v>356</v>
      </c>
      <c r="D219" s="60">
        <f t="shared" ref="D219:O219" si="29">SUM(D217:D218)</f>
        <v>0</v>
      </c>
      <c r="E219" s="60">
        <f t="shared" si="29"/>
        <v>0</v>
      </c>
      <c r="F219" s="60">
        <f t="shared" si="29"/>
        <v>0</v>
      </c>
      <c r="G219" s="60">
        <f t="shared" si="29"/>
        <v>0</v>
      </c>
      <c r="H219" s="60">
        <f t="shared" si="29"/>
        <v>0</v>
      </c>
      <c r="I219" s="60">
        <f t="shared" si="29"/>
        <v>0</v>
      </c>
      <c r="J219" s="60">
        <f t="shared" si="29"/>
        <v>0</v>
      </c>
      <c r="K219" s="60">
        <f t="shared" si="29"/>
        <v>0</v>
      </c>
      <c r="L219" s="60">
        <f t="shared" si="29"/>
        <v>0</v>
      </c>
      <c r="M219" s="60">
        <f t="shared" si="29"/>
        <v>0</v>
      </c>
      <c r="N219" s="60">
        <f t="shared" si="29"/>
        <v>0</v>
      </c>
      <c r="O219" s="60">
        <f t="shared" si="29"/>
        <v>0</v>
      </c>
      <c r="P219" s="60">
        <f>IFERROR(SUM(P217:P218),0)</f>
        <v>0</v>
      </c>
      <c r="Q219" s="22"/>
      <c r="R219" s="30"/>
      <c r="S219" s="22"/>
    </row>
    <row r="220" spans="2:19" ht="17.45" customHeight="1">
      <c r="B220" s="29"/>
      <c r="C220" s="27" t="s">
        <v>362</v>
      </c>
      <c r="D220" s="57">
        <v>0</v>
      </c>
      <c r="E220" s="57">
        <v>0</v>
      </c>
      <c r="F220" s="57">
        <v>0</v>
      </c>
      <c r="G220" s="57">
        <v>0</v>
      </c>
      <c r="H220" s="57">
        <v>0</v>
      </c>
      <c r="I220" s="57">
        <v>0</v>
      </c>
      <c r="J220" s="57">
        <v>0</v>
      </c>
      <c r="K220" s="57">
        <v>0</v>
      </c>
      <c r="L220" s="57">
        <v>0</v>
      </c>
      <c r="M220" s="57">
        <v>0</v>
      </c>
      <c r="N220" s="57">
        <v>0</v>
      </c>
      <c r="O220" s="57">
        <v>0</v>
      </c>
      <c r="P220" s="57">
        <f>IFERROR(D220+E220+F220+G220+H220+I220+J220+K220+L220+M220+N220+O220,0)</f>
        <v>0</v>
      </c>
      <c r="Q220" s="22"/>
      <c r="R220" s="30"/>
      <c r="S220" s="22"/>
    </row>
    <row r="221" spans="2:19" ht="17.45" customHeight="1">
      <c r="B221" s="29" t="s">
        <v>363</v>
      </c>
      <c r="C221" s="25" t="s">
        <v>364</v>
      </c>
      <c r="D221" s="57">
        <v>0</v>
      </c>
      <c r="E221" s="57">
        <v>0</v>
      </c>
      <c r="F221" s="57">
        <v>0</v>
      </c>
      <c r="G221" s="57">
        <v>0</v>
      </c>
      <c r="H221" s="57">
        <v>0</v>
      </c>
      <c r="I221" s="57">
        <v>0</v>
      </c>
      <c r="J221" s="57">
        <v>0</v>
      </c>
      <c r="K221" s="57">
        <v>0</v>
      </c>
      <c r="L221" s="57">
        <v>0</v>
      </c>
      <c r="M221" s="57">
        <v>0</v>
      </c>
      <c r="N221" s="57">
        <v>0</v>
      </c>
      <c r="O221" s="57">
        <v>0</v>
      </c>
      <c r="P221" s="57">
        <f>IFERROR(D221+E221+F221+G221+H221+I221+J221+K221+L221+M221+N221+O221,0)</f>
        <v>0</v>
      </c>
      <c r="Q221" s="22"/>
      <c r="R221" s="30"/>
      <c r="S221" s="22"/>
    </row>
    <row r="222" spans="2:19" ht="17.45" customHeight="1">
      <c r="B222" s="29" t="s">
        <v>365</v>
      </c>
      <c r="C222" s="25" t="s">
        <v>366</v>
      </c>
      <c r="D222" s="57">
        <v>13.52</v>
      </c>
      <c r="E222" s="57">
        <v>0</v>
      </c>
      <c r="F222" s="57">
        <v>13.52</v>
      </c>
      <c r="G222" s="57">
        <v>0</v>
      </c>
      <c r="H222" s="57">
        <v>0</v>
      </c>
      <c r="I222" s="57">
        <v>0</v>
      </c>
      <c r="J222" s="57">
        <v>-164.5</v>
      </c>
      <c r="K222" s="57">
        <v>10.97</v>
      </c>
      <c r="L222" s="57">
        <v>0</v>
      </c>
      <c r="M222" s="57">
        <v>0</v>
      </c>
      <c r="N222" s="57">
        <v>0</v>
      </c>
      <c r="O222" s="57">
        <v>0</v>
      </c>
      <c r="P222" s="57">
        <f>IFERROR(D222+E222+F222+G222+H222+I222+J222+K222+L222+M222+N222+O222,0)</f>
        <v>-126.49000000000001</v>
      </c>
      <c r="Q222" s="22"/>
      <c r="R222" s="30"/>
      <c r="S222" s="22"/>
    </row>
    <row r="223" spans="2:19" ht="17.45" customHeight="1">
      <c r="B223" s="46" t="s">
        <v>367</v>
      </c>
      <c r="C223" s="45" t="s">
        <v>362</v>
      </c>
      <c r="D223" s="60">
        <f t="shared" ref="D223:O223" si="30">SUM(D221:D222)</f>
        <v>13.52</v>
      </c>
      <c r="E223" s="60">
        <f t="shared" si="30"/>
        <v>0</v>
      </c>
      <c r="F223" s="60">
        <f t="shared" si="30"/>
        <v>13.52</v>
      </c>
      <c r="G223" s="60">
        <f t="shared" si="30"/>
        <v>0</v>
      </c>
      <c r="H223" s="60">
        <f t="shared" si="30"/>
        <v>0</v>
      </c>
      <c r="I223" s="60">
        <f t="shared" si="30"/>
        <v>0</v>
      </c>
      <c r="J223" s="60">
        <f t="shared" si="30"/>
        <v>-164.5</v>
      </c>
      <c r="K223" s="60">
        <f t="shared" si="30"/>
        <v>10.97</v>
      </c>
      <c r="L223" s="60">
        <f t="shared" si="30"/>
        <v>0</v>
      </c>
      <c r="M223" s="60">
        <f t="shared" si="30"/>
        <v>0</v>
      </c>
      <c r="N223" s="60">
        <f t="shared" si="30"/>
        <v>0</v>
      </c>
      <c r="O223" s="60">
        <f t="shared" si="30"/>
        <v>0</v>
      </c>
      <c r="P223" s="60">
        <f>IFERROR(SUM(P221:P222),0)</f>
        <v>-126.49000000000001</v>
      </c>
      <c r="Q223" s="22"/>
      <c r="R223" s="30"/>
      <c r="S223" s="22"/>
    </row>
    <row r="224" spans="2:19" ht="17.45" customHeight="1">
      <c r="B224" s="29" t="s">
        <v>368</v>
      </c>
      <c r="C224" s="25" t="s">
        <v>369</v>
      </c>
      <c r="D224" s="57">
        <v>0</v>
      </c>
      <c r="E224" s="57">
        <v>0</v>
      </c>
      <c r="F224" s="57">
        <v>0</v>
      </c>
      <c r="G224" s="57">
        <v>0</v>
      </c>
      <c r="H224" s="57">
        <v>0</v>
      </c>
      <c r="I224" s="57">
        <v>0</v>
      </c>
      <c r="J224" s="57">
        <v>0</v>
      </c>
      <c r="K224" s="57">
        <v>0</v>
      </c>
      <c r="L224" s="57">
        <v>0</v>
      </c>
      <c r="M224" s="57">
        <v>0</v>
      </c>
      <c r="N224" s="57">
        <v>0</v>
      </c>
      <c r="O224" s="57">
        <v>0</v>
      </c>
      <c r="P224" s="57">
        <f>IFERROR(D224+E224+F224+G224+H224+I224+J224+K224+L224+M224+N224+O224,0)</f>
        <v>0</v>
      </c>
      <c r="Q224" s="22"/>
      <c r="R224" s="30"/>
      <c r="S224" s="22"/>
    </row>
    <row r="225" spans="2:19" ht="17.45" customHeight="1">
      <c r="B225" s="29"/>
      <c r="C225" s="27" t="s">
        <v>370</v>
      </c>
      <c r="D225" s="57">
        <v>0</v>
      </c>
      <c r="E225" s="57">
        <v>0</v>
      </c>
      <c r="F225" s="57">
        <v>0</v>
      </c>
      <c r="G225" s="57">
        <v>0</v>
      </c>
      <c r="H225" s="57">
        <v>0</v>
      </c>
      <c r="I225" s="57">
        <v>0</v>
      </c>
      <c r="J225" s="57">
        <v>0</v>
      </c>
      <c r="K225" s="57">
        <v>0</v>
      </c>
      <c r="L225" s="57">
        <v>0</v>
      </c>
      <c r="M225" s="57">
        <v>0</v>
      </c>
      <c r="N225" s="57">
        <v>0</v>
      </c>
      <c r="O225" s="57">
        <v>0</v>
      </c>
      <c r="P225" s="57">
        <f>IFERROR(D225+E225+F225+G225+H225+I225+J225+K225+L225+M225+N225+O225,0)</f>
        <v>0</v>
      </c>
      <c r="Q225" s="22"/>
      <c r="R225" s="30"/>
      <c r="S225" s="22"/>
    </row>
    <row r="226" spans="2:19" ht="17.45" customHeight="1">
      <c r="B226" s="29" t="s">
        <v>371</v>
      </c>
      <c r="C226" s="25" t="s">
        <v>372</v>
      </c>
      <c r="D226" s="57">
        <v>0.46</v>
      </c>
      <c r="E226" s="57">
        <v>0</v>
      </c>
      <c r="F226" s="57">
        <v>0.46</v>
      </c>
      <c r="G226" s="57">
        <v>0</v>
      </c>
      <c r="H226" s="57">
        <v>0</v>
      </c>
      <c r="I226" s="57">
        <v>0</v>
      </c>
      <c r="J226" s="57">
        <v>0.42</v>
      </c>
      <c r="K226" s="57">
        <v>0.42</v>
      </c>
      <c r="L226" s="57">
        <v>0</v>
      </c>
      <c r="M226" s="57">
        <v>0</v>
      </c>
      <c r="N226" s="57">
        <v>0</v>
      </c>
      <c r="O226" s="57">
        <v>0</v>
      </c>
      <c r="P226" s="57">
        <f>IFERROR(D226+E226+F226+G226+H226+I226+J226+K226+L226+M226+N226+O226,0)</f>
        <v>1.76</v>
      </c>
      <c r="Q226" s="22"/>
      <c r="R226" s="30"/>
      <c r="S226" s="22"/>
    </row>
    <row r="227" spans="2:19" ht="17.45" customHeight="1">
      <c r="B227" s="29" t="s">
        <v>373</v>
      </c>
      <c r="C227" s="25" t="s">
        <v>374</v>
      </c>
      <c r="D227" s="57">
        <v>0</v>
      </c>
      <c r="E227" s="57">
        <v>0</v>
      </c>
      <c r="F227" s="57">
        <v>0</v>
      </c>
      <c r="G227" s="57">
        <v>0</v>
      </c>
      <c r="H227" s="57">
        <v>0</v>
      </c>
      <c r="I227" s="57">
        <v>0</v>
      </c>
      <c r="J227" s="57">
        <v>0</v>
      </c>
      <c r="K227" s="57">
        <v>0</v>
      </c>
      <c r="L227" s="57">
        <v>0</v>
      </c>
      <c r="M227" s="57">
        <v>0</v>
      </c>
      <c r="N227" s="57">
        <v>0</v>
      </c>
      <c r="O227" s="57">
        <v>0</v>
      </c>
      <c r="P227" s="57">
        <f>IFERROR(D227+E227+F227+G227+H227+I227+J227+K227+L227+M227+N227+O227,0)</f>
        <v>0</v>
      </c>
      <c r="Q227" s="22"/>
      <c r="R227" s="30"/>
      <c r="S227" s="22"/>
    </row>
    <row r="228" spans="2:19" ht="17.45" customHeight="1">
      <c r="B228" s="29"/>
      <c r="C228" s="25" t="s">
        <v>375</v>
      </c>
      <c r="D228" s="57">
        <v>0</v>
      </c>
      <c r="E228" s="57">
        <v>0</v>
      </c>
      <c r="F228" s="57">
        <v>0</v>
      </c>
      <c r="G228" s="57">
        <v>0</v>
      </c>
      <c r="H228" s="57">
        <v>0</v>
      </c>
      <c r="I228" s="57">
        <v>0</v>
      </c>
      <c r="J228" s="57">
        <v>0</v>
      </c>
      <c r="K228" s="57">
        <v>0</v>
      </c>
      <c r="L228" s="57">
        <v>0</v>
      </c>
      <c r="M228" s="57">
        <v>0</v>
      </c>
      <c r="N228" s="57">
        <v>0</v>
      </c>
      <c r="O228" s="57">
        <v>0</v>
      </c>
      <c r="P228" s="57">
        <v>0</v>
      </c>
      <c r="Q228" s="22"/>
      <c r="R228" s="30"/>
      <c r="S228" s="22"/>
    </row>
    <row r="229" spans="2:19" ht="17.45" customHeight="1">
      <c r="B229" s="46" t="s">
        <v>376</v>
      </c>
      <c r="C229" s="45" t="s">
        <v>370</v>
      </c>
      <c r="D229" s="60">
        <f t="shared" ref="D229:O229" si="31">SUM(D226:D228)</f>
        <v>0.46</v>
      </c>
      <c r="E229" s="60">
        <f t="shared" si="31"/>
        <v>0</v>
      </c>
      <c r="F229" s="60">
        <f t="shared" si="31"/>
        <v>0.46</v>
      </c>
      <c r="G229" s="60">
        <f t="shared" si="31"/>
        <v>0</v>
      </c>
      <c r="H229" s="60">
        <f t="shared" si="31"/>
        <v>0</v>
      </c>
      <c r="I229" s="60">
        <f t="shared" si="31"/>
        <v>0</v>
      </c>
      <c r="J229" s="60">
        <f t="shared" si="31"/>
        <v>0.42</v>
      </c>
      <c r="K229" s="60">
        <f t="shared" si="31"/>
        <v>0.42</v>
      </c>
      <c r="L229" s="60">
        <f t="shared" si="31"/>
        <v>0</v>
      </c>
      <c r="M229" s="60">
        <f t="shared" si="31"/>
        <v>0</v>
      </c>
      <c r="N229" s="60">
        <f t="shared" si="31"/>
        <v>0</v>
      </c>
      <c r="O229" s="60">
        <f t="shared" si="31"/>
        <v>0</v>
      </c>
      <c r="P229" s="60">
        <f>IFERROR(SUM(P226:P228),0)</f>
        <v>1.76</v>
      </c>
      <c r="Q229" s="22"/>
      <c r="R229" s="30"/>
      <c r="S229" s="22"/>
    </row>
    <row r="230" spans="2:19" ht="17.45" customHeight="1">
      <c r="B230" s="29"/>
      <c r="C230" s="27" t="s">
        <v>377</v>
      </c>
      <c r="D230" s="57">
        <v>0</v>
      </c>
      <c r="E230" s="57">
        <v>0</v>
      </c>
      <c r="F230" s="57">
        <v>0</v>
      </c>
      <c r="G230" s="57">
        <v>0</v>
      </c>
      <c r="H230" s="57">
        <v>0</v>
      </c>
      <c r="I230" s="57">
        <v>0</v>
      </c>
      <c r="J230" s="57">
        <v>0</v>
      </c>
      <c r="K230" s="57">
        <v>0</v>
      </c>
      <c r="L230" s="57">
        <v>0</v>
      </c>
      <c r="M230" s="57">
        <v>0</v>
      </c>
      <c r="N230" s="57">
        <v>0</v>
      </c>
      <c r="O230" s="57">
        <v>0</v>
      </c>
      <c r="P230" s="57">
        <f>IFERROR(D230+E230+F230+G230+H230+I230+J230+K230+L230+M230+N230+O230,0)</f>
        <v>0</v>
      </c>
      <c r="Q230" s="22"/>
      <c r="R230" s="30"/>
      <c r="S230" s="22"/>
    </row>
    <row r="231" spans="2:19" ht="17.45" customHeight="1">
      <c r="B231" s="29" t="s">
        <v>378</v>
      </c>
      <c r="C231" s="25" t="s">
        <v>379</v>
      </c>
      <c r="D231" s="57">
        <v>0</v>
      </c>
      <c r="E231" s="57">
        <v>0</v>
      </c>
      <c r="F231" s="57">
        <v>0</v>
      </c>
      <c r="G231" s="57">
        <v>0</v>
      </c>
      <c r="H231" s="57">
        <v>0</v>
      </c>
      <c r="I231" s="57">
        <v>0</v>
      </c>
      <c r="J231" s="57">
        <v>0</v>
      </c>
      <c r="K231" s="57">
        <v>0</v>
      </c>
      <c r="L231" s="57">
        <v>0</v>
      </c>
      <c r="M231" s="57">
        <v>0</v>
      </c>
      <c r="N231" s="57">
        <v>0</v>
      </c>
      <c r="O231" s="57">
        <v>0</v>
      </c>
      <c r="P231" s="57">
        <f>IFERROR(D231+E231+F231+G231+H231+I231+J231+K231+L231+M231+N231+O231,0)</f>
        <v>0</v>
      </c>
      <c r="Q231" s="22"/>
      <c r="R231" s="30"/>
      <c r="S231" s="22"/>
    </row>
    <row r="232" spans="2:19" ht="17.45" customHeight="1">
      <c r="B232" s="29" t="s">
        <v>380</v>
      </c>
      <c r="C232" s="25" t="s">
        <v>381</v>
      </c>
      <c r="D232" s="57">
        <v>0</v>
      </c>
      <c r="E232" s="57">
        <v>0</v>
      </c>
      <c r="F232" s="57">
        <v>0</v>
      </c>
      <c r="G232" s="57">
        <v>0</v>
      </c>
      <c r="H232" s="57">
        <v>0</v>
      </c>
      <c r="I232" s="57">
        <v>0</v>
      </c>
      <c r="J232" s="57">
        <v>0</v>
      </c>
      <c r="K232" s="57">
        <v>0</v>
      </c>
      <c r="L232" s="57">
        <v>0</v>
      </c>
      <c r="M232" s="57">
        <v>0</v>
      </c>
      <c r="N232" s="57">
        <v>0</v>
      </c>
      <c r="O232" s="57">
        <v>0</v>
      </c>
      <c r="P232" s="57">
        <f>IFERROR(D232+E232+F232+G232+H232+I232+J232+K232+L232+M232+N232+O232,0)</f>
        <v>0</v>
      </c>
      <c r="Q232" s="22"/>
      <c r="R232" s="30"/>
      <c r="S232" s="22"/>
    </row>
    <row r="233" spans="2:19" ht="17.45" customHeight="1">
      <c r="B233" s="46" t="s">
        <v>382</v>
      </c>
      <c r="C233" s="45" t="s">
        <v>377</v>
      </c>
      <c r="D233" s="60">
        <f>D232+D231</f>
        <v>0</v>
      </c>
      <c r="E233" s="60">
        <f t="shared" ref="E233:P233" si="32">E232+E231</f>
        <v>0</v>
      </c>
      <c r="F233" s="60">
        <f t="shared" si="32"/>
        <v>0</v>
      </c>
      <c r="G233" s="60">
        <f t="shared" si="32"/>
        <v>0</v>
      </c>
      <c r="H233" s="60">
        <f t="shared" si="32"/>
        <v>0</v>
      </c>
      <c r="I233" s="60">
        <f t="shared" si="32"/>
        <v>0</v>
      </c>
      <c r="J233" s="60">
        <f t="shared" si="32"/>
        <v>0</v>
      </c>
      <c r="K233" s="60">
        <f t="shared" si="32"/>
        <v>0</v>
      </c>
      <c r="L233" s="60">
        <f t="shared" si="32"/>
        <v>0</v>
      </c>
      <c r="M233" s="60">
        <f t="shared" si="32"/>
        <v>0</v>
      </c>
      <c r="N233" s="60">
        <f t="shared" si="32"/>
        <v>0</v>
      </c>
      <c r="O233" s="60">
        <f t="shared" si="32"/>
        <v>0</v>
      </c>
      <c r="P233" s="60">
        <f>IFERROR(P232+P231,0)</f>
        <v>0</v>
      </c>
      <c r="Q233" s="22"/>
      <c r="R233" s="30"/>
      <c r="S233" s="22"/>
    </row>
    <row r="234" spans="2:19" ht="17.45" customHeight="1">
      <c r="B234" s="29" t="s">
        <v>383</v>
      </c>
      <c r="C234" s="25" t="s">
        <v>384</v>
      </c>
      <c r="D234" s="57">
        <v>0</v>
      </c>
      <c r="E234" s="57">
        <v>0</v>
      </c>
      <c r="F234" s="57">
        <v>0</v>
      </c>
      <c r="G234" s="57">
        <v>0</v>
      </c>
      <c r="H234" s="57">
        <v>0</v>
      </c>
      <c r="I234" s="57">
        <v>0</v>
      </c>
      <c r="J234" s="57">
        <v>0</v>
      </c>
      <c r="K234" s="57">
        <v>0</v>
      </c>
      <c r="L234" s="57">
        <v>0</v>
      </c>
      <c r="M234" s="57">
        <v>0</v>
      </c>
      <c r="N234" s="57">
        <v>0</v>
      </c>
      <c r="O234" s="57">
        <v>0</v>
      </c>
      <c r="P234" s="57">
        <f>IFERROR(D234+E234+F234+G234+H234+I234+J234+K234+L234+M234+N234+O234,0)</f>
        <v>0</v>
      </c>
      <c r="Q234" s="22"/>
      <c r="R234" s="30"/>
      <c r="S234" s="22"/>
    </row>
    <row r="235" spans="2:19" ht="17.45" customHeight="1">
      <c r="B235" s="29" t="s">
        <v>385</v>
      </c>
      <c r="C235" s="25" t="s">
        <v>386</v>
      </c>
      <c r="D235" s="57">
        <v>23.29</v>
      </c>
      <c r="E235" s="57">
        <v>0</v>
      </c>
      <c r="F235" s="57">
        <v>23.29</v>
      </c>
      <c r="G235" s="57">
        <v>0</v>
      </c>
      <c r="H235" s="57">
        <v>0</v>
      </c>
      <c r="I235" s="57">
        <v>0</v>
      </c>
      <c r="J235" s="57">
        <v>99.46</v>
      </c>
      <c r="K235" s="57">
        <v>100.08</v>
      </c>
      <c r="L235" s="57">
        <v>0</v>
      </c>
      <c r="M235" s="57">
        <v>0</v>
      </c>
      <c r="N235" s="57">
        <v>0</v>
      </c>
      <c r="O235" s="57">
        <v>0</v>
      </c>
      <c r="P235" s="57">
        <f>IFERROR(D235+E235+F235+G235+H235+I235+J235+K235+L235+M235+N235+O235,0)</f>
        <v>246.12</v>
      </c>
      <c r="Q235" s="22"/>
      <c r="R235" s="30"/>
      <c r="S235" s="22"/>
    </row>
    <row r="236" spans="2:19" ht="17.45" customHeight="1">
      <c r="B236" s="29" t="s">
        <v>387</v>
      </c>
      <c r="C236" s="25" t="s">
        <v>388</v>
      </c>
      <c r="D236" s="57">
        <v>0</v>
      </c>
      <c r="E236" s="57">
        <v>0</v>
      </c>
      <c r="F236" s="57">
        <v>0</v>
      </c>
      <c r="G236" s="57">
        <v>0</v>
      </c>
      <c r="H236" s="57">
        <v>0</v>
      </c>
      <c r="I236" s="57">
        <v>0</v>
      </c>
      <c r="J236" s="57">
        <v>0</v>
      </c>
      <c r="K236" s="57">
        <v>0</v>
      </c>
      <c r="L236" s="57">
        <v>0</v>
      </c>
      <c r="M236" s="57">
        <v>0</v>
      </c>
      <c r="N236" s="57">
        <v>0</v>
      </c>
      <c r="O236" s="57">
        <v>0</v>
      </c>
      <c r="P236" s="57">
        <f>IFERROR(D236+E236+F236+G236+H236+I236+J236+K236+L236+M236+N236+O236,0)</f>
        <v>0</v>
      </c>
      <c r="Q236" s="22"/>
      <c r="R236" s="30"/>
      <c r="S236" s="22"/>
    </row>
    <row r="237" spans="2:19" ht="17.45" customHeight="1">
      <c r="B237" s="29" t="s">
        <v>389</v>
      </c>
      <c r="C237" s="25" t="s">
        <v>390</v>
      </c>
      <c r="D237" s="57">
        <v>0</v>
      </c>
      <c r="E237" s="57">
        <v>0</v>
      </c>
      <c r="F237" s="57">
        <v>0</v>
      </c>
      <c r="G237" s="57">
        <v>0</v>
      </c>
      <c r="H237" s="57">
        <v>0</v>
      </c>
      <c r="I237" s="57">
        <v>0</v>
      </c>
      <c r="J237" s="57">
        <v>0</v>
      </c>
      <c r="K237" s="57">
        <v>0</v>
      </c>
      <c r="L237" s="57">
        <v>0</v>
      </c>
      <c r="M237" s="57">
        <v>0</v>
      </c>
      <c r="N237" s="57">
        <v>0</v>
      </c>
      <c r="O237" s="57">
        <v>0</v>
      </c>
      <c r="P237" s="57">
        <f>IFERROR(D237+E237+F237+G237+H237+I237+J237+K237+L237+M237+N237+O237,0)</f>
        <v>0</v>
      </c>
      <c r="Q237" s="22"/>
      <c r="R237" s="30"/>
      <c r="S237" s="22"/>
    </row>
    <row r="238" spans="2:19" ht="17.45" customHeight="1">
      <c r="B238" s="29" t="s">
        <v>391</v>
      </c>
      <c r="C238" s="25" t="s">
        <v>392</v>
      </c>
      <c r="D238" s="57">
        <v>0</v>
      </c>
      <c r="E238" s="57">
        <v>0</v>
      </c>
      <c r="F238" s="57">
        <v>0</v>
      </c>
      <c r="G238" s="57">
        <v>0</v>
      </c>
      <c r="H238" s="57">
        <v>0</v>
      </c>
      <c r="I238" s="57">
        <v>0</v>
      </c>
      <c r="J238" s="57">
        <v>0</v>
      </c>
      <c r="K238" s="57">
        <v>0</v>
      </c>
      <c r="L238" s="57">
        <v>0</v>
      </c>
      <c r="M238" s="57">
        <v>0</v>
      </c>
      <c r="N238" s="57">
        <v>0</v>
      </c>
      <c r="O238" s="57">
        <v>0</v>
      </c>
      <c r="P238" s="57">
        <f>IFERROR(D238+E238+F238+G238+H238+I238+J238+K238+L238+M238+N238+O238,0)</f>
        <v>0</v>
      </c>
      <c r="Q238" s="22"/>
      <c r="R238" s="30"/>
      <c r="S238" s="22"/>
    </row>
    <row r="239" spans="2:19" ht="17.45" customHeight="1">
      <c r="B239" s="29"/>
      <c r="C239" s="25" t="s">
        <v>393</v>
      </c>
      <c r="D239" s="57" t="s">
        <v>432</v>
      </c>
      <c r="E239" s="57">
        <v>0</v>
      </c>
      <c r="F239" s="57" t="s">
        <v>432</v>
      </c>
      <c r="G239" s="57">
        <v>0</v>
      </c>
      <c r="H239" s="57">
        <v>0</v>
      </c>
      <c r="I239" s="57">
        <v>0</v>
      </c>
      <c r="J239" s="57" t="s">
        <v>432</v>
      </c>
      <c r="K239" s="57" t="s">
        <v>432</v>
      </c>
      <c r="L239" s="57">
        <v>0</v>
      </c>
      <c r="M239" s="57">
        <v>0</v>
      </c>
      <c r="N239" s="57">
        <v>0</v>
      </c>
      <c r="O239" s="57">
        <v>0</v>
      </c>
      <c r="P239" s="57">
        <f>IFERROR(D239+E239+F239+G239+H239+I239+J239+K239+L239+M239+N239+O239,0)</f>
        <v>0</v>
      </c>
      <c r="Q239" s="22"/>
      <c r="R239" s="30"/>
      <c r="S239" s="22"/>
    </row>
    <row r="240" spans="2:19" ht="17.45" customHeight="1">
      <c r="B240" s="29" t="s">
        <v>394</v>
      </c>
      <c r="C240" s="25" t="s">
        <v>350</v>
      </c>
      <c r="D240" s="57">
        <v>0</v>
      </c>
      <c r="E240" s="57">
        <v>0</v>
      </c>
      <c r="F240" s="57">
        <v>0</v>
      </c>
      <c r="G240" s="57">
        <v>0</v>
      </c>
      <c r="H240" s="57">
        <v>0</v>
      </c>
      <c r="I240" s="57">
        <v>0</v>
      </c>
      <c r="J240" s="57">
        <v>0</v>
      </c>
      <c r="K240" s="57">
        <v>0</v>
      </c>
      <c r="L240" s="57">
        <v>0</v>
      </c>
      <c r="M240" s="57">
        <v>0</v>
      </c>
      <c r="N240" s="57">
        <v>0</v>
      </c>
      <c r="O240" s="57">
        <v>0</v>
      </c>
      <c r="P240" s="57">
        <f>IFERROR(D240+E240+F240+G240+H240+I240+J240+K240+L240+M240+N240+O240,0)</f>
        <v>0</v>
      </c>
      <c r="Q240" s="22"/>
      <c r="R240" s="30"/>
      <c r="S240" s="22"/>
    </row>
    <row r="241" spans="2:19" ht="17.45" customHeight="1">
      <c r="B241" s="29"/>
      <c r="C241" s="25" t="s">
        <v>395</v>
      </c>
      <c r="D241" s="57">
        <v>0</v>
      </c>
      <c r="E241" s="57">
        <v>0</v>
      </c>
      <c r="F241" s="57">
        <v>0</v>
      </c>
      <c r="G241" s="57">
        <v>0</v>
      </c>
      <c r="H241" s="57">
        <v>0</v>
      </c>
      <c r="I241" s="57">
        <v>0</v>
      </c>
      <c r="J241" s="57">
        <v>0</v>
      </c>
      <c r="K241" s="57">
        <v>0</v>
      </c>
      <c r="L241" s="57">
        <v>0</v>
      </c>
      <c r="M241" s="57">
        <v>0</v>
      </c>
      <c r="N241" s="57">
        <v>0</v>
      </c>
      <c r="O241" s="57">
        <v>0</v>
      </c>
      <c r="P241" s="57">
        <v>0</v>
      </c>
      <c r="Q241" s="22"/>
      <c r="R241" s="30"/>
      <c r="S241" s="22"/>
    </row>
    <row r="242" spans="2:19" ht="17.45" customHeight="1">
      <c r="B242" s="29" t="s">
        <v>396</v>
      </c>
      <c r="C242" s="25" t="s">
        <v>353</v>
      </c>
      <c r="D242" s="57">
        <v>0</v>
      </c>
      <c r="E242" s="57">
        <v>0</v>
      </c>
      <c r="F242" s="57">
        <v>0</v>
      </c>
      <c r="G242" s="57">
        <v>0</v>
      </c>
      <c r="H242" s="57">
        <v>0</v>
      </c>
      <c r="I242" s="57">
        <v>0</v>
      </c>
      <c r="J242" s="57">
        <v>-6.59</v>
      </c>
      <c r="K242" s="57">
        <v>0</v>
      </c>
      <c r="L242" s="57">
        <v>0</v>
      </c>
      <c r="M242" s="57">
        <v>0</v>
      </c>
      <c r="N242" s="57">
        <v>0</v>
      </c>
      <c r="O242" s="57">
        <v>0</v>
      </c>
      <c r="P242" s="57">
        <f>IFERROR(D242+E242+F242+G242+H242+I242+J242+K242+L242+M242+N242+O242,0)</f>
        <v>-6.59</v>
      </c>
      <c r="Q242" s="22"/>
      <c r="R242" s="30"/>
      <c r="S242" s="22"/>
    </row>
    <row r="243" spans="2:19" ht="17.45" customHeight="1">
      <c r="B243" s="46" t="s">
        <v>397</v>
      </c>
      <c r="C243" s="45" t="s">
        <v>355</v>
      </c>
      <c r="D243" s="60">
        <f t="shared" ref="D243:O243" si="33">D219+D223+D224+D229+D234+D235+D242+D237</f>
        <v>37.269999999999996</v>
      </c>
      <c r="E243" s="60">
        <f t="shared" si="33"/>
        <v>0</v>
      </c>
      <c r="F243" s="60">
        <f t="shared" si="33"/>
        <v>37.269999999999996</v>
      </c>
      <c r="G243" s="60">
        <f t="shared" si="33"/>
        <v>0</v>
      </c>
      <c r="H243" s="60">
        <f t="shared" si="33"/>
        <v>0</v>
      </c>
      <c r="I243" s="60">
        <f t="shared" si="33"/>
        <v>0</v>
      </c>
      <c r="J243" s="60">
        <f t="shared" si="33"/>
        <v>-71.210000000000022</v>
      </c>
      <c r="K243" s="60">
        <f t="shared" si="33"/>
        <v>111.47</v>
      </c>
      <c r="L243" s="60">
        <f t="shared" si="33"/>
        <v>0</v>
      </c>
      <c r="M243" s="60">
        <f t="shared" si="33"/>
        <v>0</v>
      </c>
      <c r="N243" s="60">
        <f t="shared" si="33"/>
        <v>0</v>
      </c>
      <c r="O243" s="60">
        <f t="shared" si="33"/>
        <v>0</v>
      </c>
      <c r="P243" s="60">
        <f>IFERROR(P219+P223+P224+P229+P234+P235+P242+P237,0)</f>
        <v>114.8</v>
      </c>
      <c r="Q243" s="22"/>
      <c r="R243" s="30"/>
      <c r="S243" s="22"/>
    </row>
    <row r="244" spans="2:19" ht="17.45" customHeight="1">
      <c r="B244" s="29" t="s">
        <v>398</v>
      </c>
      <c r="C244" s="25" t="s">
        <v>399</v>
      </c>
      <c r="D244" s="57">
        <v>0</v>
      </c>
      <c r="E244" s="57">
        <v>0</v>
      </c>
      <c r="F244" s="57">
        <v>0</v>
      </c>
      <c r="G244" s="57">
        <v>0</v>
      </c>
      <c r="H244" s="57">
        <v>0</v>
      </c>
      <c r="I244" s="57">
        <v>0</v>
      </c>
      <c r="J244" s="57">
        <v>0</v>
      </c>
      <c r="K244" s="57">
        <v>0</v>
      </c>
      <c r="L244" s="57">
        <v>0</v>
      </c>
      <c r="M244" s="57">
        <v>0</v>
      </c>
      <c r="N244" s="57">
        <v>0</v>
      </c>
      <c r="O244" s="57">
        <v>0</v>
      </c>
      <c r="P244" s="57">
        <f>IFERROR(D244+E244+F244+G244+H244+I244+J244+K244+L244+M244+N244+O244,0)</f>
        <v>0</v>
      </c>
      <c r="Q244" s="22"/>
      <c r="R244" s="30"/>
      <c r="S244" s="22"/>
    </row>
    <row r="245" spans="2:19" ht="17.45" customHeight="1">
      <c r="B245" s="29" t="s">
        <v>400</v>
      </c>
      <c r="C245" s="25" t="s">
        <v>401</v>
      </c>
      <c r="D245" s="57">
        <v>0</v>
      </c>
      <c r="E245" s="57">
        <v>0</v>
      </c>
      <c r="F245" s="57">
        <v>0</v>
      </c>
      <c r="G245" s="57">
        <v>0</v>
      </c>
      <c r="H245" s="57">
        <v>0</v>
      </c>
      <c r="I245" s="57">
        <v>0</v>
      </c>
      <c r="J245" s="57">
        <v>0</v>
      </c>
      <c r="K245" s="57">
        <v>0</v>
      </c>
      <c r="L245" s="57">
        <v>0</v>
      </c>
      <c r="M245" s="57">
        <v>0</v>
      </c>
      <c r="N245" s="57">
        <v>0</v>
      </c>
      <c r="O245" s="57">
        <v>0</v>
      </c>
      <c r="P245" s="57">
        <f>IFERROR(D245+E245+F245+G245+H245+I245+J245+K245+L245+M245+N245+O245,0)</f>
        <v>0</v>
      </c>
      <c r="Q245" s="22"/>
      <c r="R245" s="30"/>
      <c r="S245" s="22"/>
    </row>
    <row r="246" spans="2:19" ht="17.45" customHeight="1">
      <c r="B246" s="29" t="s">
        <v>402</v>
      </c>
      <c r="C246" s="25" t="s">
        <v>403</v>
      </c>
      <c r="D246" s="57">
        <v>0</v>
      </c>
      <c r="E246" s="57">
        <v>0</v>
      </c>
      <c r="F246" s="57">
        <v>0</v>
      </c>
      <c r="G246" s="57">
        <v>0</v>
      </c>
      <c r="H246" s="57">
        <v>0</v>
      </c>
      <c r="I246" s="57">
        <v>0</v>
      </c>
      <c r="J246" s="57">
        <v>0</v>
      </c>
      <c r="K246" s="57">
        <v>0</v>
      </c>
      <c r="L246" s="57">
        <v>0</v>
      </c>
      <c r="M246" s="57">
        <v>0</v>
      </c>
      <c r="N246" s="57">
        <v>0</v>
      </c>
      <c r="O246" s="57">
        <v>0</v>
      </c>
      <c r="P246" s="57">
        <f>IFERROR(D246+E246+F246+G246+H246+I246+J246+K246+L246+M246+N246+O246,0)</f>
        <v>0</v>
      </c>
      <c r="Q246" s="22"/>
      <c r="R246" s="30"/>
      <c r="S246" s="22"/>
    </row>
    <row r="247" spans="2:19" ht="17.45" customHeight="1">
      <c r="B247" s="29" t="s">
        <v>404</v>
      </c>
      <c r="C247" s="25" t="s">
        <v>405</v>
      </c>
      <c r="D247" s="57">
        <v>0</v>
      </c>
      <c r="E247" s="57">
        <v>0</v>
      </c>
      <c r="F247" s="57">
        <v>0</v>
      </c>
      <c r="G247" s="57">
        <v>0</v>
      </c>
      <c r="H247" s="57">
        <v>0</v>
      </c>
      <c r="I247" s="57">
        <v>0</v>
      </c>
      <c r="J247" s="57">
        <v>0</v>
      </c>
      <c r="K247" s="57">
        <v>0</v>
      </c>
      <c r="L247" s="57">
        <v>0</v>
      </c>
      <c r="M247" s="57">
        <v>0</v>
      </c>
      <c r="N247" s="57">
        <v>0</v>
      </c>
      <c r="O247" s="57">
        <v>0</v>
      </c>
      <c r="P247" s="57">
        <f>IFERROR(D247+E247+F247+G247+H247+I247+J247+K247+L247+M247+N247+O247,0)</f>
        <v>0</v>
      </c>
      <c r="Q247" s="22"/>
      <c r="R247" s="30"/>
      <c r="S247" s="22"/>
    </row>
    <row r="248" spans="2:19" ht="17.45" customHeight="1">
      <c r="B248" s="46" t="s">
        <v>406</v>
      </c>
      <c r="C248" s="45" t="s">
        <v>330</v>
      </c>
      <c r="D248" s="60">
        <f t="shared" ref="D248:O248" si="34">D243+D214</f>
        <v>37.269999999999996</v>
      </c>
      <c r="E248" s="60">
        <f t="shared" si="34"/>
        <v>0</v>
      </c>
      <c r="F248" s="60">
        <f t="shared" si="34"/>
        <v>37.269999999999996</v>
      </c>
      <c r="G248" s="60">
        <f t="shared" si="34"/>
        <v>0</v>
      </c>
      <c r="H248" s="60">
        <f t="shared" si="34"/>
        <v>0</v>
      </c>
      <c r="I248" s="60">
        <f t="shared" si="34"/>
        <v>0</v>
      </c>
      <c r="J248" s="60">
        <f t="shared" si="34"/>
        <v>-77.800000000000026</v>
      </c>
      <c r="K248" s="60">
        <f t="shared" si="34"/>
        <v>111.47</v>
      </c>
      <c r="L248" s="60">
        <f t="shared" si="34"/>
        <v>0</v>
      </c>
      <c r="M248" s="60">
        <f t="shared" si="34"/>
        <v>0</v>
      </c>
      <c r="N248" s="60">
        <f t="shared" si="34"/>
        <v>0</v>
      </c>
      <c r="O248" s="60">
        <f t="shared" si="34"/>
        <v>0</v>
      </c>
      <c r="P248" s="60">
        <f>IFERROR(P243+P214,0)</f>
        <v>108.21</v>
      </c>
      <c r="Q248" s="22"/>
      <c r="R248" s="30"/>
      <c r="S248" s="22"/>
    </row>
    <row r="249" spans="2:19" ht="17.45" customHeight="1">
      <c r="B249" s="29" t="s">
        <v>407</v>
      </c>
      <c r="C249" s="25" t="s">
        <v>408</v>
      </c>
      <c r="D249" s="57">
        <v>0</v>
      </c>
      <c r="E249" s="57">
        <v>0</v>
      </c>
      <c r="F249" s="57">
        <v>0</v>
      </c>
      <c r="G249" s="57">
        <v>0</v>
      </c>
      <c r="H249" s="57">
        <v>0</v>
      </c>
      <c r="I249" s="57">
        <v>0</v>
      </c>
      <c r="J249" s="57">
        <v>0</v>
      </c>
      <c r="K249" s="57">
        <v>0</v>
      </c>
      <c r="L249" s="57">
        <v>0</v>
      </c>
      <c r="M249" s="57">
        <v>0</v>
      </c>
      <c r="N249" s="57">
        <v>0</v>
      </c>
      <c r="O249" s="57">
        <v>0</v>
      </c>
      <c r="P249" s="57">
        <f>IFERROR(D249+E249+F249+G249+H249+I249+J249+K249+L249+M249+N249+O249,0)</f>
        <v>0</v>
      </c>
      <c r="Q249" s="22"/>
      <c r="R249" s="30"/>
      <c r="S249" s="22"/>
    </row>
    <row r="250" spans="2:19" ht="17.45" customHeight="1">
      <c r="B250" s="29" t="s">
        <v>409</v>
      </c>
      <c r="C250" s="25" t="s">
        <v>410</v>
      </c>
      <c r="D250" s="57">
        <v>0</v>
      </c>
      <c r="E250" s="57">
        <v>0</v>
      </c>
      <c r="F250" s="57">
        <v>0</v>
      </c>
      <c r="G250" s="57">
        <v>0</v>
      </c>
      <c r="H250" s="57">
        <v>0</v>
      </c>
      <c r="I250" s="57">
        <v>0</v>
      </c>
      <c r="J250" s="57">
        <v>0</v>
      </c>
      <c r="K250" s="57">
        <v>0</v>
      </c>
      <c r="L250" s="57">
        <v>0</v>
      </c>
      <c r="M250" s="57">
        <v>0</v>
      </c>
      <c r="N250" s="57">
        <v>0</v>
      </c>
      <c r="O250" s="57">
        <v>0</v>
      </c>
      <c r="P250" s="57">
        <f>IFERROR(D250+E250+F250+G250+H250+I250+J250+K250+L250+M250+N250+O250,0)</f>
        <v>0</v>
      </c>
      <c r="Q250" s="22"/>
      <c r="R250" s="30"/>
      <c r="S250" s="22"/>
    </row>
    <row r="251" spans="2:19" ht="17.45" customHeight="1">
      <c r="B251" s="29"/>
      <c r="C251" s="25" t="s">
        <v>411</v>
      </c>
      <c r="D251" s="57">
        <v>0</v>
      </c>
      <c r="E251" s="57">
        <v>0</v>
      </c>
      <c r="F251" s="57">
        <v>0</v>
      </c>
      <c r="G251" s="57">
        <v>0</v>
      </c>
      <c r="H251" s="57">
        <v>0</v>
      </c>
      <c r="I251" s="57">
        <v>0</v>
      </c>
      <c r="J251" s="57">
        <v>0</v>
      </c>
      <c r="K251" s="57">
        <v>0</v>
      </c>
      <c r="L251" s="57">
        <v>0</v>
      </c>
      <c r="M251" s="57">
        <v>0</v>
      </c>
      <c r="N251" s="57">
        <v>0</v>
      </c>
      <c r="O251" s="57">
        <v>0</v>
      </c>
      <c r="P251" s="57">
        <v>0</v>
      </c>
      <c r="Q251" s="22"/>
      <c r="R251" s="30"/>
      <c r="S251" s="22"/>
    </row>
    <row r="252" spans="2:19" ht="17.45" customHeight="1">
      <c r="B252" s="24"/>
      <c r="C252" s="25" t="s">
        <v>408</v>
      </c>
      <c r="D252" s="57">
        <v>0</v>
      </c>
      <c r="E252" s="57">
        <v>0</v>
      </c>
      <c r="F252" s="57">
        <v>0</v>
      </c>
      <c r="G252" s="57">
        <v>0</v>
      </c>
      <c r="H252" s="57">
        <v>0</v>
      </c>
      <c r="I252" s="57">
        <v>0</v>
      </c>
      <c r="J252" s="57">
        <v>0</v>
      </c>
      <c r="K252" s="57">
        <v>0</v>
      </c>
      <c r="L252" s="57">
        <v>0</v>
      </c>
      <c r="M252" s="57">
        <v>0</v>
      </c>
      <c r="N252" s="57">
        <v>0</v>
      </c>
      <c r="O252" s="57">
        <v>0</v>
      </c>
      <c r="P252" s="57">
        <f>IFERROR(D252+E252+F252+G252+H252+I252+J252+K252+L252+M252+N252+O252,0)</f>
        <v>0</v>
      </c>
      <c r="Q252" s="22"/>
      <c r="R252" s="30"/>
      <c r="S252" s="22"/>
    </row>
    <row r="253" spans="2:19" ht="24.95" customHeight="1">
      <c r="B253" s="68"/>
      <c r="C253" s="68" t="s">
        <v>412</v>
      </c>
      <c r="D253" s="68">
        <f t="shared" ref="D253:O253" si="35">D16-D36-D138-D198-D248</f>
        <v>-155699.25999999998</v>
      </c>
      <c r="E253" s="68">
        <f t="shared" si="35"/>
        <v>0</v>
      </c>
      <c r="F253" s="68">
        <f t="shared" si="35"/>
        <v>-155699.25999999998</v>
      </c>
      <c r="G253" s="68">
        <f t="shared" si="35"/>
        <v>0</v>
      </c>
      <c r="H253" s="68">
        <f t="shared" si="35"/>
        <v>0</v>
      </c>
      <c r="I253" s="68">
        <f t="shared" si="35"/>
        <v>0</v>
      </c>
      <c r="J253" s="68">
        <f t="shared" si="35"/>
        <v>-163450.36000000002</v>
      </c>
      <c r="K253" s="68">
        <f>IFERROR(K16-K36-K138-K198-K248,0)</f>
        <v>-4609.5600000000004</v>
      </c>
      <c r="L253" s="68">
        <f>IFERROR(L16-L36-L138-L198-L248,0)</f>
        <v>0</v>
      </c>
      <c r="M253" s="68">
        <f>IFERROR(M16-M36-M138-M198-M248,0)</f>
        <v>0</v>
      </c>
      <c r="N253" s="68">
        <f>IFERROR(N16-N36-N138-N198-N248,0)</f>
        <v>0</v>
      </c>
      <c r="O253" s="68">
        <f>IFERROR(O16-O36-O138-O198-O248,0)</f>
        <v>0</v>
      </c>
      <c r="P253" s="68">
        <f>IFERROR(P16-P36-P138-P198-P248,0)</f>
        <v>-479458.44</v>
      </c>
      <c r="Q253" s="22"/>
      <c r="R253" s="30"/>
      <c r="S253" s="22"/>
    </row>
    <row r="254" spans="2:19" ht="17.45" customHeight="1">
      <c r="B254" s="20"/>
      <c r="Q254" s="22"/>
      <c r="R254" s="30"/>
    </row>
    <row r="255" spans="2:19" ht="17.45" customHeight="1">
      <c r="B255" s="20"/>
      <c r="Q255" s="22"/>
      <c r="R255" s="18"/>
    </row>
    <row r="256" spans="2:19">
      <c r="B256" s="20"/>
      <c r="Q256" s="22"/>
      <c r="R256" s="18"/>
    </row>
    <row r="257" spans="2:18">
      <c r="B257" s="20"/>
      <c r="Q257" s="22"/>
      <c r="R257" s="18"/>
    </row>
    <row r="258" spans="2:18">
      <c r="B258" s="20"/>
      <c r="Q258" s="22"/>
    </row>
    <row r="259" spans="2:18">
      <c r="B259" s="20"/>
      <c r="Q259" s="22"/>
    </row>
    <row r="260" spans="2:18">
      <c r="B260" s="20"/>
      <c r="Q260" s="22"/>
    </row>
    <row r="261" spans="2:18">
      <c r="B261" s="20"/>
      <c r="Q261" s="22"/>
    </row>
    <row r="262" spans="2:18">
      <c r="Q262" s="22"/>
    </row>
    <row r="263" spans="2:18">
      <c r="Q263" s="22"/>
    </row>
    <row r="264" spans="2:18"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</row>
    <row r="265" spans="2:18">
      <c r="Q265" s="22"/>
    </row>
    <row r="266" spans="2:18">
      <c r="Q266" s="22"/>
    </row>
    <row r="267" spans="2:18">
      <c r="Q267" s="22"/>
    </row>
    <row r="268" spans="2:18">
      <c r="Q268" s="22"/>
    </row>
    <row r="269" spans="2:18">
      <c r="Q269" s="22"/>
    </row>
    <row r="270" spans="2:18">
      <c r="Q270" s="22"/>
    </row>
    <row r="271" spans="2:18">
      <c r="Q271" s="22"/>
    </row>
    <row r="272" spans="2:18">
      <c r="Q272" s="22"/>
    </row>
    <row r="273" spans="17:17">
      <c r="Q273" s="22"/>
    </row>
    <row r="274" spans="17:17">
      <c r="Q274" s="22"/>
    </row>
    <row r="275" spans="17:17">
      <c r="Q275" s="22"/>
    </row>
    <row r="276" spans="17:17">
      <c r="Q276" s="22"/>
    </row>
    <row r="277" spans="17:17">
      <c r="Q277" s="22"/>
    </row>
    <row r="278" spans="17:17">
      <c r="Q278" s="22"/>
    </row>
    <row r="279" spans="17:17">
      <c r="Q279" s="22"/>
    </row>
    <row r="280" spans="17:17">
      <c r="Q280" s="22"/>
    </row>
    <row r="281" spans="17:17">
      <c r="Q281" s="22"/>
    </row>
    <row r="282" spans="17:17">
      <c r="Q282" s="22"/>
    </row>
    <row r="283" spans="17:17">
      <c r="Q283" s="22"/>
    </row>
    <row r="284" spans="17:17">
      <c r="Q284" s="22"/>
    </row>
    <row r="285" spans="17:17">
      <c r="Q285" s="22"/>
    </row>
    <row r="286" spans="17:17">
      <c r="Q286" s="22"/>
    </row>
    <row r="287" spans="17:17">
      <c r="Q287" s="22"/>
    </row>
    <row r="288" spans="17:17">
      <c r="Q288" s="22"/>
    </row>
    <row r="289" spans="17:17">
      <c r="Q289" s="22"/>
    </row>
    <row r="290" spans="17:17">
      <c r="Q290" s="22"/>
    </row>
    <row r="291" spans="17:17">
      <c r="Q291" s="22"/>
    </row>
    <row r="292" spans="17:17">
      <c r="Q292" s="22"/>
    </row>
    <row r="293" spans="17:17">
      <c r="Q293" s="22"/>
    </row>
    <row r="294" spans="17:17">
      <c r="Q294" s="22"/>
    </row>
    <row r="295" spans="17:17">
      <c r="Q295" s="22"/>
    </row>
    <row r="296" spans="17:17">
      <c r="Q296" s="22"/>
    </row>
    <row r="297" spans="17:17">
      <c r="Q297" s="22"/>
    </row>
    <row r="298" spans="17:17">
      <c r="Q298" s="22"/>
    </row>
    <row r="299" spans="17:17">
      <c r="Q299" s="22"/>
    </row>
    <row r="300" spans="17:17">
      <c r="Q300" s="22"/>
    </row>
    <row r="301" spans="17:17">
      <c r="Q301" s="22"/>
    </row>
    <row r="302" spans="17:17">
      <c r="Q302" s="22"/>
    </row>
    <row r="303" spans="17:17">
      <c r="Q303" s="22"/>
    </row>
    <row r="304" spans="17:17">
      <c r="Q304" s="22"/>
    </row>
    <row r="305" spans="17:17">
      <c r="Q305" s="22"/>
    </row>
    <row r="306" spans="17:17">
      <c r="Q306" s="22"/>
    </row>
    <row r="307" spans="17:17">
      <c r="Q307" s="22"/>
    </row>
    <row r="308" spans="17:17">
      <c r="Q308" s="22"/>
    </row>
    <row r="309" spans="17:17">
      <c r="Q309" s="22"/>
    </row>
    <row r="310" spans="17:17">
      <c r="Q310" s="22"/>
    </row>
    <row r="311" spans="17:17">
      <c r="Q311" s="22"/>
    </row>
    <row r="312" spans="17:17">
      <c r="Q312" s="22"/>
    </row>
    <row r="313" spans="17:17">
      <c r="Q313" s="22"/>
    </row>
    <row r="314" spans="17:17">
      <c r="Q314" s="22"/>
    </row>
    <row r="315" spans="17:17">
      <c r="Q315" s="22"/>
    </row>
    <row r="316" spans="17:17">
      <c r="Q316" s="22"/>
    </row>
    <row r="317" spans="17:17">
      <c r="Q317" s="22"/>
    </row>
    <row r="318" spans="17:17">
      <c r="Q318" s="22"/>
    </row>
    <row r="319" spans="17:17">
      <c r="Q319" s="22"/>
    </row>
    <row r="320" spans="17:17">
      <c r="Q320" s="22"/>
    </row>
    <row r="321" spans="17:17">
      <c r="Q321" s="22"/>
    </row>
    <row r="322" spans="17:17">
      <c r="Q322" s="22"/>
    </row>
    <row r="323" spans="17:17">
      <c r="Q323" s="22"/>
    </row>
    <row r="324" spans="17:17">
      <c r="Q324" s="22"/>
    </row>
    <row r="325" spans="17:17">
      <c r="Q325" s="22"/>
    </row>
    <row r="326" spans="17:17">
      <c r="Q326" s="22"/>
    </row>
    <row r="327" spans="17:17">
      <c r="Q327" s="22"/>
    </row>
    <row r="328" spans="17:17">
      <c r="Q328" s="22"/>
    </row>
    <row r="329" spans="17:17">
      <c r="Q329" s="22"/>
    </row>
    <row r="330" spans="17:17">
      <c r="Q330" s="22"/>
    </row>
    <row r="331" spans="17:17">
      <c r="Q331" s="22"/>
    </row>
    <row r="332" spans="17:17">
      <c r="Q332" s="22"/>
    </row>
    <row r="333" spans="17:17">
      <c r="Q333" s="22"/>
    </row>
    <row r="334" spans="17:17">
      <c r="Q334" s="22"/>
    </row>
    <row r="335" spans="17:17">
      <c r="Q335" s="22"/>
    </row>
    <row r="336" spans="17:17">
      <c r="Q336" s="22"/>
    </row>
    <row r="337" spans="17:17">
      <c r="Q337" s="22"/>
    </row>
    <row r="338" spans="17:17">
      <c r="Q338" s="22"/>
    </row>
    <row r="339" spans="17:17">
      <c r="Q339" s="22"/>
    </row>
    <row r="340" spans="17:17">
      <c r="Q340" s="22"/>
    </row>
    <row r="341" spans="17:17">
      <c r="Q341" s="22"/>
    </row>
    <row r="342" spans="17:17">
      <c r="Q342" s="22"/>
    </row>
    <row r="343" spans="17:17">
      <c r="Q343" s="22"/>
    </row>
    <row r="344" spans="17:17">
      <c r="Q344" s="22"/>
    </row>
  </sheetData>
  <conditionalFormatting sqref="D5:P14 D17:P23 D25:P28 D30:P33 D37:P46 D48:P51 D54:P60 D62:P69 D71:P79 D81:P88 D90:P100 D102:P105 D107:P110 D113:P116 D118:P127 D129:P131 D133:P136 D139:P147 D149:P153 D155:P157 D159:P169 D171:P174 D176:P181 D183:P186 D188:P196 D199:P205 D207:P213 D215:P218 D220:P222 D224:P228 D230:P232 D234:P242 D244:P247 D249:P252">
    <cfRule type="containsText" dxfId="861" priority="493" operator="containsText" text="NOT FOUND">
      <formula>NOT(ISERROR(SEARCH("NOT FOUND",D5)))</formula>
    </cfRule>
  </conditionalFormatting>
  <conditionalFormatting sqref="D15:P15">
    <cfRule type="containsText" dxfId="40" priority="41" operator="containsText" text="NOT FOUND">
      <formula>NOT(ISERROR(SEARCH("NOT FOUND",D15)))</formula>
    </cfRule>
  </conditionalFormatting>
  <conditionalFormatting sqref="D16:P16">
    <cfRule type="containsText" dxfId="39" priority="40" operator="containsText" text="NOT FOUND">
      <formula>NOT(ISERROR(SEARCH("NOT FOUND",D16)))</formula>
    </cfRule>
  </conditionalFormatting>
  <conditionalFormatting sqref="D24:P24">
    <cfRule type="containsText" dxfId="38" priority="39" operator="containsText" text="NOT FOUND">
      <formula>NOT(ISERROR(SEARCH("NOT FOUND",D24)))</formula>
    </cfRule>
  </conditionalFormatting>
  <conditionalFormatting sqref="D29:P29">
    <cfRule type="containsText" dxfId="37" priority="38" operator="containsText" text="NOT FOUND">
      <formula>NOT(ISERROR(SEARCH("NOT FOUND",D29)))</formula>
    </cfRule>
  </conditionalFormatting>
  <conditionalFormatting sqref="D34:P34">
    <cfRule type="containsText" dxfId="36" priority="37" operator="containsText" text="NOT FOUND">
      <formula>NOT(ISERROR(SEARCH("NOT FOUND",D34)))</formula>
    </cfRule>
  </conditionalFormatting>
  <conditionalFormatting sqref="D35:P35">
    <cfRule type="containsText" dxfId="35" priority="36" operator="containsText" text="NOT FOUND">
      <formula>NOT(ISERROR(SEARCH("NOT FOUND",D35)))</formula>
    </cfRule>
  </conditionalFormatting>
  <conditionalFormatting sqref="D36:P36">
    <cfRule type="containsText" dxfId="34" priority="35" operator="containsText" text="NOT FOUND">
      <formula>NOT(ISERROR(SEARCH("NOT FOUND",D36)))</formula>
    </cfRule>
  </conditionalFormatting>
  <conditionalFormatting sqref="D47:P47">
    <cfRule type="containsText" dxfId="33" priority="34" operator="containsText" text="NOT FOUND">
      <formula>NOT(ISERROR(SEARCH("NOT FOUND",D47)))</formula>
    </cfRule>
  </conditionalFormatting>
  <conditionalFormatting sqref="D52:P52">
    <cfRule type="containsText" dxfId="32" priority="33" operator="containsText" text="NOT FOUND">
      <formula>NOT(ISERROR(SEARCH("NOT FOUND",D52)))</formula>
    </cfRule>
  </conditionalFormatting>
  <conditionalFormatting sqref="D53:P53">
    <cfRule type="containsText" dxfId="31" priority="32" operator="containsText" text="NOT FOUND">
      <formula>NOT(ISERROR(SEARCH("NOT FOUND",D53)))</formula>
    </cfRule>
  </conditionalFormatting>
  <conditionalFormatting sqref="D61:P61">
    <cfRule type="containsText" dxfId="30" priority="31" operator="containsText" text="NOT FOUND">
      <formula>NOT(ISERROR(SEARCH("NOT FOUND",D61)))</formula>
    </cfRule>
  </conditionalFormatting>
  <conditionalFormatting sqref="D70:P70">
    <cfRule type="containsText" dxfId="29" priority="30" operator="containsText" text="NOT FOUND">
      <formula>NOT(ISERROR(SEARCH("NOT FOUND",D70)))</formula>
    </cfRule>
  </conditionalFormatting>
  <conditionalFormatting sqref="D80:P80">
    <cfRule type="containsText" dxfId="28" priority="29" operator="containsText" text="NOT FOUND">
      <formula>NOT(ISERROR(SEARCH("NOT FOUND",D80)))</formula>
    </cfRule>
  </conditionalFormatting>
  <conditionalFormatting sqref="D89:P89">
    <cfRule type="containsText" dxfId="27" priority="28" operator="containsText" text="NOT FOUND">
      <formula>NOT(ISERROR(SEARCH("NOT FOUND",D89)))</formula>
    </cfRule>
  </conditionalFormatting>
  <conditionalFormatting sqref="D101:P101">
    <cfRule type="containsText" dxfId="26" priority="27" operator="containsText" text="NOT FOUND">
      <formula>NOT(ISERROR(SEARCH("NOT FOUND",D101)))</formula>
    </cfRule>
  </conditionalFormatting>
  <conditionalFormatting sqref="D106:P106">
    <cfRule type="containsText" dxfId="25" priority="26" operator="containsText" text="NOT FOUND">
      <formula>NOT(ISERROR(SEARCH("NOT FOUND",D106)))</formula>
    </cfRule>
  </conditionalFormatting>
  <conditionalFormatting sqref="D111:P111">
    <cfRule type="containsText" dxfId="24" priority="25" operator="containsText" text="NOT FOUND">
      <formula>NOT(ISERROR(SEARCH("NOT FOUND",D111)))</formula>
    </cfRule>
  </conditionalFormatting>
  <conditionalFormatting sqref="D112:P112">
    <cfRule type="containsText" dxfId="23" priority="24" operator="containsText" text="NOT FOUND">
      <formula>NOT(ISERROR(SEARCH("NOT FOUND",D112)))</formula>
    </cfRule>
  </conditionalFormatting>
  <conditionalFormatting sqref="D117:P117">
    <cfRule type="containsText" dxfId="22" priority="23" operator="containsText" text="NOT FOUND">
      <formula>NOT(ISERROR(SEARCH("NOT FOUND",D117)))</formula>
    </cfRule>
  </conditionalFormatting>
  <conditionalFormatting sqref="D128:P128">
    <cfRule type="containsText" dxfId="21" priority="22" operator="containsText" text="NOT FOUND">
      <formula>NOT(ISERROR(SEARCH("NOT FOUND",D128)))</formula>
    </cfRule>
  </conditionalFormatting>
  <conditionalFormatting sqref="D132:P132">
    <cfRule type="containsText" dxfId="20" priority="21" operator="containsText" text="NOT FOUND">
      <formula>NOT(ISERROR(SEARCH("NOT FOUND",D132)))</formula>
    </cfRule>
  </conditionalFormatting>
  <conditionalFormatting sqref="D137:P137">
    <cfRule type="containsText" dxfId="19" priority="20" operator="containsText" text="NOT FOUND">
      <formula>NOT(ISERROR(SEARCH("NOT FOUND",D137)))</formula>
    </cfRule>
  </conditionalFormatting>
  <conditionalFormatting sqref="D138:P138">
    <cfRule type="containsText" dxfId="18" priority="19" operator="containsText" text="NOT FOUND">
      <formula>NOT(ISERROR(SEARCH("NOT FOUND",D138)))</formula>
    </cfRule>
  </conditionalFormatting>
  <conditionalFormatting sqref="D148:P148">
    <cfRule type="containsText" dxfId="17" priority="18" operator="containsText" text="NOT FOUND">
      <formula>NOT(ISERROR(SEARCH("NOT FOUND",D148)))</formula>
    </cfRule>
  </conditionalFormatting>
  <conditionalFormatting sqref="D154:P154">
    <cfRule type="containsText" dxfId="16" priority="17" operator="containsText" text="NOT FOUND">
      <formula>NOT(ISERROR(SEARCH("NOT FOUND",D154)))</formula>
    </cfRule>
  </conditionalFormatting>
  <conditionalFormatting sqref="D158:P158">
    <cfRule type="containsText" dxfId="15" priority="16" operator="containsText" text="NOT FOUND">
      <formula>NOT(ISERROR(SEARCH("NOT FOUND",D158)))</formula>
    </cfRule>
  </conditionalFormatting>
  <conditionalFormatting sqref="D170:P170">
    <cfRule type="containsText" dxfId="14" priority="15" operator="containsText" text="NOT FOUND">
      <formula>NOT(ISERROR(SEARCH("NOT FOUND",D170)))</formula>
    </cfRule>
  </conditionalFormatting>
  <conditionalFormatting sqref="D175:P175">
    <cfRule type="containsText" dxfId="13" priority="14" operator="containsText" text="NOT FOUND">
      <formula>NOT(ISERROR(SEARCH("NOT FOUND",D175)))</formula>
    </cfRule>
  </conditionalFormatting>
  <conditionalFormatting sqref="D182:P182">
    <cfRule type="containsText" dxfId="12" priority="13" operator="containsText" text="NOT FOUND">
      <formula>NOT(ISERROR(SEARCH("NOT FOUND",D182)))</formula>
    </cfRule>
  </conditionalFormatting>
  <conditionalFormatting sqref="D187:P187">
    <cfRule type="containsText" dxfId="11" priority="12" operator="containsText" text="NOT FOUND">
      <formula>NOT(ISERROR(SEARCH("NOT FOUND",D187)))</formula>
    </cfRule>
  </conditionalFormatting>
  <conditionalFormatting sqref="D197:P197">
    <cfRule type="containsText" dxfId="10" priority="11" operator="containsText" text="NOT FOUND">
      <formula>NOT(ISERROR(SEARCH("NOT FOUND",D197)))</formula>
    </cfRule>
  </conditionalFormatting>
  <conditionalFormatting sqref="D198:P198">
    <cfRule type="containsText" dxfId="9" priority="10" operator="containsText" text="NOT FOUND">
      <formula>NOT(ISERROR(SEARCH("NOT FOUND",D198)))</formula>
    </cfRule>
  </conditionalFormatting>
  <conditionalFormatting sqref="D206:P206">
    <cfRule type="containsText" dxfId="8" priority="9" operator="containsText" text="NOT FOUND">
      <formula>NOT(ISERROR(SEARCH("NOT FOUND",D206)))</formula>
    </cfRule>
  </conditionalFormatting>
  <conditionalFormatting sqref="D214:P214">
    <cfRule type="containsText" dxfId="7" priority="8" operator="containsText" text="NOT FOUND">
      <formula>NOT(ISERROR(SEARCH("NOT FOUND",D214)))</formula>
    </cfRule>
  </conditionalFormatting>
  <conditionalFormatting sqref="D219:P219">
    <cfRule type="containsText" dxfId="6" priority="7" operator="containsText" text="NOT FOUND">
      <formula>NOT(ISERROR(SEARCH("NOT FOUND",D219)))</formula>
    </cfRule>
  </conditionalFormatting>
  <conditionalFormatting sqref="D223:P223">
    <cfRule type="containsText" dxfId="5" priority="6" operator="containsText" text="NOT FOUND">
      <formula>NOT(ISERROR(SEARCH("NOT FOUND",D223)))</formula>
    </cfRule>
  </conditionalFormatting>
  <conditionalFormatting sqref="D229:P229">
    <cfRule type="containsText" dxfId="4" priority="5" operator="containsText" text="NOT FOUND">
      <formula>NOT(ISERROR(SEARCH("NOT FOUND",D229)))</formula>
    </cfRule>
  </conditionalFormatting>
  <conditionalFormatting sqref="D233:P233">
    <cfRule type="containsText" dxfId="3" priority="4" operator="containsText" text="NOT FOUND">
      <formula>NOT(ISERROR(SEARCH("NOT FOUND",D233)))</formula>
    </cfRule>
  </conditionalFormatting>
  <conditionalFormatting sqref="D243:P243">
    <cfRule type="containsText" dxfId="2" priority="3" operator="containsText" text="NOT FOUND">
      <formula>NOT(ISERROR(SEARCH("NOT FOUND",D243)))</formula>
    </cfRule>
  </conditionalFormatting>
  <conditionalFormatting sqref="D248:P248">
    <cfRule type="containsText" dxfId="1" priority="2" operator="containsText" text="NOT FOUND">
      <formula>NOT(ISERROR(SEARCH("NOT FOUND",D248)))</formula>
    </cfRule>
  </conditionalFormatting>
  <conditionalFormatting sqref="D253:P253">
    <cfRule type="containsText" dxfId="0" priority="1" operator="containsText" text="NOT FOUND">
      <formula>NOT(ISERROR(SEARCH("NOT FOUND",D253)))</formula>
    </cfRule>
  </conditionalFormatting>
  <printOptions horizontalCentered="1"/>
  <pageMargins left="0.59027777777777801" right="0.196527777777778" top="0.39374999999999999" bottom="0.39374999999999999" header="0.51180555555555596" footer="1.05"/>
  <pageSetup paperSize="8" scale="45" firstPageNumber="0" fitToHeight="2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61921-57F5-4F6C-8589-FBB327F5DF8B}">
  <sheetPr codeName="Sheet32">
    <pageSetUpPr fitToPage="1"/>
  </sheetPr>
  <dimension ref="B1:H264"/>
  <sheetViews>
    <sheetView zoomScale="70" zoomScaleNormal="70" workbookViewId="0">
      <pane ySplit="5" topLeftCell="A9" activePane="bottomLeft" state="frozen"/>
      <selection pane="bottomLeft" activeCell="C244" sqref="C244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439</v>
      </c>
    </row>
    <row r="4" spans="2:8" ht="18.75">
      <c r="B4" s="103" t="s">
        <v>11</v>
      </c>
      <c r="C4" s="103" t="s">
        <v>12</v>
      </c>
      <c r="D4" s="94" t="s">
        <v>414</v>
      </c>
      <c r="E4" s="94"/>
      <c r="F4" s="94"/>
      <c r="G4" s="94"/>
      <c r="H4" s="95"/>
    </row>
    <row r="5" spans="2:8" ht="24" customHeight="1">
      <c r="B5" s="104"/>
      <c r="C5" s="104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45" customHeight="1">
      <c r="B6" s="24"/>
      <c r="C6" s="27" t="s">
        <v>26</v>
      </c>
      <c r="D6" s="26" t="s">
        <v>436</v>
      </c>
      <c r="E6" s="26" t="s">
        <v>436</v>
      </c>
      <c r="F6" s="26" t="s">
        <v>436</v>
      </c>
      <c r="G6" s="26" t="s">
        <v>436</v>
      </c>
      <c r="H6" s="26"/>
    </row>
    <row r="7" spans="2:8" ht="17.45" customHeight="1">
      <c r="B7" s="24"/>
      <c r="C7" s="28" t="s">
        <v>27</v>
      </c>
      <c r="D7" s="26"/>
      <c r="E7" s="26"/>
      <c r="F7" s="26"/>
      <c r="G7" s="26"/>
      <c r="H7" s="26"/>
    </row>
    <row r="8" spans="2:8">
      <c r="B8" s="29" t="s">
        <v>28</v>
      </c>
      <c r="C8" s="25" t="s">
        <v>29</v>
      </c>
      <c r="D8" s="26">
        <f>CLN!P8</f>
        <v>2323652.5800000005</v>
      </c>
      <c r="E8" s="26">
        <f>'MJK2'!P8</f>
        <v>0</v>
      </c>
      <c r="F8" s="26">
        <f>'MJK1'!P8</f>
        <v>5802025.7699999996</v>
      </c>
      <c r="G8" s="26">
        <f>BJR!P8</f>
        <v>0</v>
      </c>
      <c r="H8" s="26">
        <f t="shared" ref="H8:H70" si="0">SUM(D8:G8)</f>
        <v>8125678.3499999996</v>
      </c>
    </row>
    <row r="9" spans="2:8">
      <c r="B9" s="29" t="s">
        <v>30</v>
      </c>
      <c r="C9" s="25" t="s">
        <v>31</v>
      </c>
      <c r="D9" s="26">
        <f>CLN!P9</f>
        <v>0</v>
      </c>
      <c r="E9" s="26">
        <f>'MJK2'!P9</f>
        <v>329390.01999999996</v>
      </c>
      <c r="F9" s="26">
        <f>'MJK1'!P9</f>
        <v>0</v>
      </c>
      <c r="G9" s="26">
        <f>BJR!P9</f>
        <v>0</v>
      </c>
      <c r="H9" s="26">
        <f t="shared" si="0"/>
        <v>329390.01999999996</v>
      </c>
    </row>
    <row r="10" spans="2:8">
      <c r="B10" s="29" t="s">
        <v>32</v>
      </c>
      <c r="C10" s="25" t="s">
        <v>33</v>
      </c>
      <c r="D10" s="26">
        <f>CLN!P10</f>
        <v>0</v>
      </c>
      <c r="E10" s="26">
        <f>'MJK2'!P10</f>
        <v>0</v>
      </c>
      <c r="F10" s="26">
        <f>'MJK1'!P10</f>
        <v>0</v>
      </c>
      <c r="G10" s="26">
        <f>BJR!P10</f>
        <v>0</v>
      </c>
      <c r="H10" s="26">
        <f t="shared" si="0"/>
        <v>0</v>
      </c>
    </row>
    <row r="11" spans="2:8">
      <c r="B11" s="29" t="s">
        <v>34</v>
      </c>
      <c r="C11" s="25" t="s">
        <v>35</v>
      </c>
      <c r="D11" s="26">
        <f>CLN!P11</f>
        <v>35865.629999999997</v>
      </c>
      <c r="E11" s="26">
        <f>'MJK2'!P11</f>
        <v>349.46</v>
      </c>
      <c r="F11" s="26">
        <f>'MJK1'!P11</f>
        <v>650.14</v>
      </c>
      <c r="G11" s="26">
        <f>BJR!P11</f>
        <v>0</v>
      </c>
      <c r="H11" s="26">
        <f t="shared" si="0"/>
        <v>36865.229999999996</v>
      </c>
    </row>
    <row r="12" spans="2:8">
      <c r="B12" s="29" t="s">
        <v>36</v>
      </c>
      <c r="C12" s="25" t="s">
        <v>37</v>
      </c>
      <c r="D12" s="26">
        <f>CLN!P12</f>
        <v>0</v>
      </c>
      <c r="E12" s="26">
        <f>'MJK2'!P12</f>
        <v>0</v>
      </c>
      <c r="F12" s="26">
        <f>'MJK1'!P12</f>
        <v>0</v>
      </c>
      <c r="G12" s="26">
        <f>BJR!P12</f>
        <v>0</v>
      </c>
      <c r="H12" s="26">
        <f t="shared" si="0"/>
        <v>0</v>
      </c>
    </row>
    <row r="13" spans="2:8">
      <c r="B13" s="29" t="s">
        <v>38</v>
      </c>
      <c r="C13" s="25" t="s">
        <v>39</v>
      </c>
      <c r="D13" s="26">
        <f>CLN!P13</f>
        <v>0</v>
      </c>
      <c r="E13" s="26">
        <f>'MJK2'!P13</f>
        <v>0</v>
      </c>
      <c r="F13" s="26">
        <f>'MJK1'!P13</f>
        <v>0</v>
      </c>
      <c r="G13" s="26">
        <f>BJR!P13</f>
        <v>0</v>
      </c>
      <c r="H13" s="26">
        <f t="shared" si="0"/>
        <v>0</v>
      </c>
    </row>
    <row r="14" spans="2:8">
      <c r="B14" s="29"/>
      <c r="C14" s="25" t="s">
        <v>40</v>
      </c>
      <c r="D14" s="26">
        <f>CLN!P14</f>
        <v>0</v>
      </c>
      <c r="E14" s="26">
        <f>'MJK2'!P14</f>
        <v>0</v>
      </c>
      <c r="F14" s="26">
        <f>'MJK1'!P14</f>
        <v>0</v>
      </c>
      <c r="G14" s="26">
        <f>BJR!P14</f>
        <v>0</v>
      </c>
      <c r="H14" s="26">
        <f t="shared" si="0"/>
        <v>0</v>
      </c>
    </row>
    <row r="15" spans="2:8">
      <c r="B15" s="29" t="s">
        <v>41</v>
      </c>
      <c r="C15" s="33" t="s">
        <v>27</v>
      </c>
      <c r="D15" s="26">
        <f>CLN!P15</f>
        <v>2359518.2100000004</v>
      </c>
      <c r="E15" s="26">
        <f>'MJK2'!P15</f>
        <v>329739.48</v>
      </c>
      <c r="F15" s="26">
        <f>'MJK1'!P15</f>
        <v>5802675.9099999992</v>
      </c>
      <c r="G15" s="26">
        <f>BJR!P15</f>
        <v>0</v>
      </c>
      <c r="H15" s="26">
        <f t="shared" si="0"/>
        <v>8491933.5999999996</v>
      </c>
    </row>
    <row r="16" spans="2:8">
      <c r="B16" s="29" t="s">
        <v>42</v>
      </c>
      <c r="C16" s="33" t="s">
        <v>43</v>
      </c>
      <c r="D16" s="26">
        <f>CLN!P16</f>
        <v>2359518.2100000004</v>
      </c>
      <c r="E16" s="26">
        <f>'MJK2'!P16</f>
        <v>329739.48</v>
      </c>
      <c r="F16" s="26">
        <f>'MJK1'!P16</f>
        <v>5802675.9099999992</v>
      </c>
      <c r="G16" s="26">
        <f>BJR!P16</f>
        <v>0</v>
      </c>
      <c r="H16" s="26">
        <f t="shared" si="0"/>
        <v>8491933.5999999996</v>
      </c>
    </row>
    <row r="17" spans="2:8">
      <c r="B17" s="29"/>
      <c r="C17" s="27" t="s">
        <v>44</v>
      </c>
      <c r="D17" s="26">
        <f>CLN!P17</f>
        <v>0</v>
      </c>
      <c r="E17" s="26">
        <f>'MJK2'!P17</f>
        <v>0</v>
      </c>
      <c r="F17" s="26">
        <f>'MJK1'!P17</f>
        <v>0</v>
      </c>
      <c r="G17" s="26">
        <f>BJR!P17</f>
        <v>0</v>
      </c>
      <c r="H17" s="26">
        <f t="shared" si="0"/>
        <v>0</v>
      </c>
    </row>
    <row r="18" spans="2:8">
      <c r="B18" s="29"/>
      <c r="C18" s="28" t="s">
        <v>45</v>
      </c>
      <c r="D18" s="26">
        <f>CLN!P18</f>
        <v>0</v>
      </c>
      <c r="E18" s="26">
        <f>'MJK2'!P18</f>
        <v>0</v>
      </c>
      <c r="F18" s="26">
        <f>'MJK1'!P18</f>
        <v>0</v>
      </c>
      <c r="G18" s="26">
        <f>BJR!P18</f>
        <v>0</v>
      </c>
      <c r="H18" s="26">
        <f t="shared" si="0"/>
        <v>0</v>
      </c>
    </row>
    <row r="19" spans="2:8">
      <c r="B19" s="29" t="s">
        <v>46</v>
      </c>
      <c r="C19" s="25" t="s">
        <v>47</v>
      </c>
      <c r="D19" s="26">
        <f>CLN!P19</f>
        <v>5598917.8799999999</v>
      </c>
      <c r="E19" s="26">
        <f>'MJK2'!P19</f>
        <v>430219.58999999997</v>
      </c>
      <c r="F19" s="26">
        <f>'MJK1'!P19</f>
        <v>925959.36</v>
      </c>
      <c r="G19" s="26">
        <f>BJR!P19</f>
        <v>211882.96</v>
      </c>
      <c r="H19" s="26">
        <f t="shared" si="0"/>
        <v>7166979.79</v>
      </c>
    </row>
    <row r="20" spans="2:8">
      <c r="B20" s="29" t="s">
        <v>48</v>
      </c>
      <c r="C20" s="25" t="s">
        <v>49</v>
      </c>
      <c r="D20" s="26">
        <f>CLN!P20</f>
        <v>0</v>
      </c>
      <c r="E20" s="26">
        <f>'MJK2'!P20</f>
        <v>0</v>
      </c>
      <c r="F20" s="26">
        <f>'MJK1'!P20</f>
        <v>0</v>
      </c>
      <c r="G20" s="26">
        <f>BJR!P20</f>
        <v>0</v>
      </c>
      <c r="H20" s="26">
        <f t="shared" si="0"/>
        <v>0</v>
      </c>
    </row>
    <row r="21" spans="2:8">
      <c r="B21" s="29"/>
      <c r="C21" s="25" t="s">
        <v>50</v>
      </c>
      <c r="D21" s="26">
        <f>CLN!P21</f>
        <v>5598917.8799999999</v>
      </c>
      <c r="E21" s="26">
        <f>'MJK2'!P21</f>
        <v>430219.58999999997</v>
      </c>
      <c r="F21" s="26">
        <f>'MJK1'!P21</f>
        <v>925959.36</v>
      </c>
      <c r="G21" s="26">
        <f>BJR!P21</f>
        <v>211882.96</v>
      </c>
      <c r="H21" s="26">
        <f t="shared" si="0"/>
        <v>7166979.79</v>
      </c>
    </row>
    <row r="22" spans="2:8">
      <c r="B22" s="29" t="s">
        <v>51</v>
      </c>
      <c r="C22" s="25" t="s">
        <v>52</v>
      </c>
      <c r="D22" s="26">
        <f>CLN!P22</f>
        <v>0</v>
      </c>
      <c r="E22" s="26">
        <f>'MJK2'!P22</f>
        <v>0</v>
      </c>
      <c r="F22" s="26">
        <f>'MJK1'!P22</f>
        <v>0</v>
      </c>
      <c r="G22" s="26">
        <f>BJR!P22</f>
        <v>0</v>
      </c>
      <c r="H22" s="26">
        <f t="shared" si="0"/>
        <v>0</v>
      </c>
    </row>
    <row r="23" spans="2:8">
      <c r="B23" s="29" t="s">
        <v>53</v>
      </c>
      <c r="C23" s="25" t="s">
        <v>54</v>
      </c>
      <c r="D23" s="26">
        <f>CLN!P23</f>
        <v>0</v>
      </c>
      <c r="E23" s="26">
        <f>'MJK2'!P23</f>
        <v>0</v>
      </c>
      <c r="F23" s="26">
        <f>'MJK1'!P23</f>
        <v>0</v>
      </c>
      <c r="G23" s="26">
        <f>BJR!P23</f>
        <v>0</v>
      </c>
      <c r="H23" s="26">
        <f t="shared" si="0"/>
        <v>0</v>
      </c>
    </row>
    <row r="24" spans="2:8">
      <c r="B24" s="29"/>
      <c r="C24" s="33" t="s">
        <v>55</v>
      </c>
      <c r="D24" s="26">
        <f>CLN!P24</f>
        <v>11197835.76</v>
      </c>
      <c r="E24" s="26">
        <f>'MJK2'!P24</f>
        <v>860439.17999999993</v>
      </c>
      <c r="F24" s="26">
        <f>'MJK1'!P24</f>
        <v>1851918.72</v>
      </c>
      <c r="G24" s="26">
        <f>BJR!P24</f>
        <v>423765.92</v>
      </c>
      <c r="H24" s="26">
        <f t="shared" si="0"/>
        <v>14333959.58</v>
      </c>
    </row>
    <row r="25" spans="2:8">
      <c r="B25" s="29" t="s">
        <v>56</v>
      </c>
      <c r="C25" s="25" t="s">
        <v>57</v>
      </c>
      <c r="D25" s="26">
        <f>CLN!P25</f>
        <v>0</v>
      </c>
      <c r="E25" s="26">
        <f>'MJK2'!P25</f>
        <v>231.56</v>
      </c>
      <c r="F25" s="26">
        <f>'MJK1'!P25</f>
        <v>0</v>
      </c>
      <c r="G25" s="26">
        <f>BJR!P25</f>
        <v>0</v>
      </c>
      <c r="H25" s="26">
        <f t="shared" si="0"/>
        <v>231.56</v>
      </c>
    </row>
    <row r="26" spans="2:8">
      <c r="B26" s="29" t="s">
        <v>58</v>
      </c>
      <c r="C26" s="25" t="s">
        <v>59</v>
      </c>
      <c r="D26" s="26">
        <f>CLN!P26</f>
        <v>0</v>
      </c>
      <c r="E26" s="26">
        <f>'MJK2'!P26</f>
        <v>0</v>
      </c>
      <c r="F26" s="26">
        <f>'MJK1'!P26</f>
        <v>0</v>
      </c>
      <c r="G26" s="26">
        <f>BJR!P26</f>
        <v>0</v>
      </c>
      <c r="H26" s="26">
        <f t="shared" si="0"/>
        <v>0</v>
      </c>
    </row>
    <row r="27" spans="2:8">
      <c r="B27" s="29" t="s">
        <v>60</v>
      </c>
      <c r="C27" s="25" t="s">
        <v>61</v>
      </c>
      <c r="D27" s="26">
        <f>CLN!P27</f>
        <v>0</v>
      </c>
      <c r="E27" s="26">
        <f>'MJK2'!P27</f>
        <v>0</v>
      </c>
      <c r="F27" s="26">
        <f>'MJK1'!P27</f>
        <v>0</v>
      </c>
      <c r="G27" s="26">
        <f>BJR!P27</f>
        <v>0</v>
      </c>
      <c r="H27" s="26">
        <f t="shared" si="0"/>
        <v>0</v>
      </c>
    </row>
    <row r="28" spans="2:8">
      <c r="B28" s="29" t="s">
        <v>62</v>
      </c>
      <c r="C28" s="25" t="s">
        <v>63</v>
      </c>
      <c r="D28" s="26">
        <f>CLN!P28</f>
        <v>0</v>
      </c>
      <c r="E28" s="26">
        <f>'MJK2'!P28</f>
        <v>0</v>
      </c>
      <c r="F28" s="26">
        <f>'MJK1'!P28</f>
        <v>0</v>
      </c>
      <c r="G28" s="26">
        <f>BJR!P28</f>
        <v>0</v>
      </c>
      <c r="H28" s="26">
        <f t="shared" si="0"/>
        <v>0</v>
      </c>
    </row>
    <row r="29" spans="2:8">
      <c r="B29" s="29"/>
      <c r="C29" s="33" t="s">
        <v>64</v>
      </c>
      <c r="D29" s="26">
        <f>CLN!P29</f>
        <v>0</v>
      </c>
      <c r="E29" s="26">
        <f>'MJK2'!P29</f>
        <v>231.56</v>
      </c>
      <c r="F29" s="26">
        <f>'MJK1'!P29</f>
        <v>0</v>
      </c>
      <c r="G29" s="26">
        <f>BJR!P29</f>
        <v>0</v>
      </c>
      <c r="H29" s="26">
        <f t="shared" si="0"/>
        <v>231.56</v>
      </c>
    </row>
    <row r="30" spans="2:8">
      <c r="B30" s="29" t="s">
        <v>65</v>
      </c>
      <c r="C30" s="25" t="s">
        <v>66</v>
      </c>
      <c r="D30" s="26">
        <f>CLN!P30</f>
        <v>0</v>
      </c>
      <c r="E30" s="26">
        <f>'MJK2'!P30</f>
        <v>0</v>
      </c>
      <c r="F30" s="26">
        <f>'MJK1'!P30</f>
        <v>0</v>
      </c>
      <c r="G30" s="26">
        <f>BJR!P30</f>
        <v>0</v>
      </c>
      <c r="H30" s="26">
        <f t="shared" si="0"/>
        <v>0</v>
      </c>
    </row>
    <row r="31" spans="2:8">
      <c r="B31" s="29" t="s">
        <v>67</v>
      </c>
      <c r="C31" s="25" t="s">
        <v>68</v>
      </c>
      <c r="D31" s="26">
        <f>CLN!P31</f>
        <v>0</v>
      </c>
      <c r="E31" s="26">
        <f>'MJK2'!P31</f>
        <v>0</v>
      </c>
      <c r="F31" s="26">
        <f>'MJK1'!P31</f>
        <v>0</v>
      </c>
      <c r="G31" s="26">
        <f>BJR!P31</f>
        <v>0</v>
      </c>
      <c r="H31" s="26">
        <f t="shared" si="0"/>
        <v>0</v>
      </c>
    </row>
    <row r="32" spans="2:8">
      <c r="B32" s="29" t="s">
        <v>69</v>
      </c>
      <c r="C32" s="25" t="s">
        <v>70</v>
      </c>
      <c r="D32" s="26">
        <f>CLN!P32</f>
        <v>0</v>
      </c>
      <c r="E32" s="26">
        <f>'MJK2'!P32</f>
        <v>0</v>
      </c>
      <c r="F32" s="26">
        <f>'MJK1'!P32</f>
        <v>0</v>
      </c>
      <c r="G32" s="26">
        <f>BJR!P32</f>
        <v>0</v>
      </c>
      <c r="H32" s="26">
        <f t="shared" si="0"/>
        <v>0</v>
      </c>
    </row>
    <row r="33" spans="2:8">
      <c r="B33" s="29" t="s">
        <v>71</v>
      </c>
      <c r="C33" s="25" t="s">
        <v>72</v>
      </c>
      <c r="D33" s="26">
        <f>CLN!P33</f>
        <v>0</v>
      </c>
      <c r="E33" s="26">
        <f>'MJK2'!P33</f>
        <v>0</v>
      </c>
      <c r="F33" s="26">
        <f>'MJK1'!P33</f>
        <v>0</v>
      </c>
      <c r="G33" s="26">
        <f>BJR!P33</f>
        <v>0</v>
      </c>
      <c r="H33" s="26">
        <f t="shared" si="0"/>
        <v>0</v>
      </c>
    </row>
    <row r="34" spans="2:8">
      <c r="B34" s="29"/>
      <c r="C34" s="33" t="s">
        <v>73</v>
      </c>
      <c r="D34" s="26">
        <f>CLN!P34</f>
        <v>0</v>
      </c>
      <c r="E34" s="26">
        <f>'MJK2'!P34</f>
        <v>0</v>
      </c>
      <c r="F34" s="26">
        <f>'MJK1'!P34</f>
        <v>0</v>
      </c>
      <c r="G34" s="26">
        <f>BJR!P34</f>
        <v>0</v>
      </c>
      <c r="H34" s="26">
        <f t="shared" si="0"/>
        <v>0</v>
      </c>
    </row>
    <row r="35" spans="2:8">
      <c r="B35" s="29" t="s">
        <v>74</v>
      </c>
      <c r="C35" s="33" t="s">
        <v>75</v>
      </c>
      <c r="D35" s="26">
        <f>CLN!P35</f>
        <v>0</v>
      </c>
      <c r="E35" s="26">
        <f>'MJK2'!P35</f>
        <v>0</v>
      </c>
      <c r="F35" s="26">
        <f>'MJK1'!P35</f>
        <v>0</v>
      </c>
      <c r="G35" s="26">
        <f>BJR!P35</f>
        <v>0</v>
      </c>
      <c r="H35" s="26">
        <f t="shared" si="0"/>
        <v>0</v>
      </c>
    </row>
    <row r="36" spans="2:8">
      <c r="B36" s="29" t="s">
        <v>76</v>
      </c>
      <c r="C36" s="33" t="s">
        <v>77</v>
      </c>
      <c r="D36" s="26">
        <f>CLN!P36</f>
        <v>11197835.76</v>
      </c>
      <c r="E36" s="26">
        <f>'MJK2'!P36</f>
        <v>860670.74</v>
      </c>
      <c r="F36" s="26">
        <f>'MJK1'!P36</f>
        <v>1851918.72</v>
      </c>
      <c r="G36" s="26">
        <f>BJR!P36</f>
        <v>423765.92</v>
      </c>
      <c r="H36" s="26">
        <f t="shared" si="0"/>
        <v>14334191.140000001</v>
      </c>
    </row>
    <row r="37" spans="2:8">
      <c r="B37" s="29"/>
      <c r="C37" s="31" t="s">
        <v>78</v>
      </c>
      <c r="D37" s="26">
        <f>CLN!P37</f>
        <v>0</v>
      </c>
      <c r="E37" s="26">
        <f>'MJK2'!P37</f>
        <v>0</v>
      </c>
      <c r="F37" s="26">
        <f>'MJK1'!P37</f>
        <v>0</v>
      </c>
      <c r="G37" s="26">
        <f>BJR!P37</f>
        <v>0</v>
      </c>
      <c r="H37" s="26">
        <f t="shared" si="0"/>
        <v>0</v>
      </c>
    </row>
    <row r="38" spans="2:8">
      <c r="B38" s="29" t="s">
        <v>79</v>
      </c>
      <c r="C38" s="28" t="s">
        <v>80</v>
      </c>
      <c r="D38" s="26">
        <f>CLN!P38</f>
        <v>0</v>
      </c>
      <c r="E38" s="26">
        <f>'MJK2'!P38</f>
        <v>0</v>
      </c>
      <c r="F38" s="26">
        <f>'MJK1'!P38</f>
        <v>0</v>
      </c>
      <c r="G38" s="26">
        <f>BJR!P38</f>
        <v>0</v>
      </c>
      <c r="H38" s="26">
        <f t="shared" si="0"/>
        <v>0</v>
      </c>
    </row>
    <row r="39" spans="2:8">
      <c r="B39" s="29" t="s">
        <v>81</v>
      </c>
      <c r="C39" s="25" t="s">
        <v>82</v>
      </c>
      <c r="D39" s="26">
        <f>CLN!P39</f>
        <v>0</v>
      </c>
      <c r="E39" s="26">
        <f>'MJK2'!P39</f>
        <v>0</v>
      </c>
      <c r="F39" s="26">
        <f>'MJK1'!P39</f>
        <v>0</v>
      </c>
      <c r="G39" s="26">
        <f>BJR!P39</f>
        <v>0</v>
      </c>
      <c r="H39" s="26">
        <f t="shared" si="0"/>
        <v>0</v>
      </c>
    </row>
    <row r="40" spans="2:8">
      <c r="B40" s="29"/>
      <c r="C40" s="28" t="s">
        <v>83</v>
      </c>
      <c r="D40" s="26">
        <f>CLN!P40</f>
        <v>0</v>
      </c>
      <c r="E40" s="26">
        <f>'MJK2'!P40</f>
        <v>0</v>
      </c>
      <c r="F40" s="26">
        <f>'MJK1'!P40</f>
        <v>0</v>
      </c>
      <c r="G40" s="26">
        <f>BJR!P40</f>
        <v>0</v>
      </c>
      <c r="H40" s="26">
        <f t="shared" si="0"/>
        <v>0</v>
      </c>
    </row>
    <row r="41" spans="2:8">
      <c r="B41" s="29" t="s">
        <v>84</v>
      </c>
      <c r="C41" s="25" t="s">
        <v>85</v>
      </c>
      <c r="D41" s="26">
        <f>CLN!P41</f>
        <v>0</v>
      </c>
      <c r="E41" s="26">
        <f>'MJK2'!P41</f>
        <v>0</v>
      </c>
      <c r="F41" s="26">
        <f>'MJK1'!P41</f>
        <v>0</v>
      </c>
      <c r="G41" s="26">
        <f>BJR!P41</f>
        <v>0</v>
      </c>
      <c r="H41" s="26">
        <f t="shared" si="0"/>
        <v>0</v>
      </c>
    </row>
    <row r="42" spans="2:8">
      <c r="B42" s="29" t="s">
        <v>86</v>
      </c>
      <c r="C42" s="25" t="s">
        <v>87</v>
      </c>
      <c r="D42" s="26">
        <f>CLN!P42</f>
        <v>0</v>
      </c>
      <c r="E42" s="26">
        <f>'MJK2'!P42</f>
        <v>0</v>
      </c>
      <c r="F42" s="26">
        <f>'MJK1'!P42</f>
        <v>0</v>
      </c>
      <c r="G42" s="26">
        <f>BJR!P42</f>
        <v>0</v>
      </c>
      <c r="H42" s="26">
        <f t="shared" si="0"/>
        <v>0</v>
      </c>
    </row>
    <row r="43" spans="2:8">
      <c r="B43" s="29"/>
      <c r="C43" s="25" t="s">
        <v>88</v>
      </c>
      <c r="D43" s="26">
        <f>CLN!P43</f>
        <v>0</v>
      </c>
      <c r="E43" s="26">
        <f>'MJK2'!P43</f>
        <v>0</v>
      </c>
      <c r="F43" s="26">
        <f>'MJK1'!P43</f>
        <v>0</v>
      </c>
      <c r="G43" s="26">
        <f>BJR!P43</f>
        <v>0</v>
      </c>
      <c r="H43" s="26">
        <f t="shared" si="0"/>
        <v>0</v>
      </c>
    </row>
    <row r="44" spans="2:8">
      <c r="B44" s="29" t="s">
        <v>89</v>
      </c>
      <c r="C44" s="25" t="s">
        <v>90</v>
      </c>
      <c r="D44" s="26">
        <f>CLN!P44</f>
        <v>0</v>
      </c>
      <c r="E44" s="26">
        <f>'MJK2'!P44</f>
        <v>0</v>
      </c>
      <c r="F44" s="26">
        <f>'MJK1'!P44</f>
        <v>0</v>
      </c>
      <c r="G44" s="26">
        <f>BJR!P44</f>
        <v>0</v>
      </c>
      <c r="H44" s="26">
        <f t="shared" si="0"/>
        <v>0</v>
      </c>
    </row>
    <row r="45" spans="2:8">
      <c r="B45" s="29"/>
      <c r="C45" s="25" t="s">
        <v>91</v>
      </c>
      <c r="D45" s="26">
        <f>CLN!P45</f>
        <v>0</v>
      </c>
      <c r="E45" s="26">
        <f>'MJK2'!P45</f>
        <v>0</v>
      </c>
      <c r="F45" s="26">
        <f>'MJK1'!P45</f>
        <v>0</v>
      </c>
      <c r="G45" s="26">
        <f>BJR!P45</f>
        <v>0</v>
      </c>
      <c r="H45" s="26">
        <f t="shared" si="0"/>
        <v>0</v>
      </c>
    </row>
    <row r="46" spans="2:8">
      <c r="B46" s="29"/>
      <c r="C46" s="25" t="s">
        <v>92</v>
      </c>
      <c r="D46" s="26">
        <f>CLN!P46</f>
        <v>0</v>
      </c>
      <c r="E46" s="26">
        <f>'MJK2'!P46</f>
        <v>0</v>
      </c>
      <c r="F46" s="26">
        <f>'MJK1'!P46</f>
        <v>0</v>
      </c>
      <c r="G46" s="26">
        <f>BJR!P46</f>
        <v>0</v>
      </c>
      <c r="H46" s="26">
        <f t="shared" si="0"/>
        <v>0</v>
      </c>
    </row>
    <row r="47" spans="2:8">
      <c r="B47" s="29" t="s">
        <v>93</v>
      </c>
      <c r="C47" s="33" t="s">
        <v>83</v>
      </c>
      <c r="D47" s="26">
        <f>CLN!P47</f>
        <v>0</v>
      </c>
      <c r="E47" s="26">
        <f>'MJK2'!P47</f>
        <v>0</v>
      </c>
      <c r="F47" s="26">
        <f>'MJK1'!P47</f>
        <v>0</v>
      </c>
      <c r="G47" s="26">
        <f>BJR!P47</f>
        <v>0</v>
      </c>
      <c r="H47" s="26">
        <f t="shared" si="0"/>
        <v>0</v>
      </c>
    </row>
    <row r="48" spans="2:8">
      <c r="B48" s="29"/>
      <c r="C48" s="28" t="s">
        <v>94</v>
      </c>
      <c r="D48" s="26">
        <f>CLN!P48</f>
        <v>0</v>
      </c>
      <c r="E48" s="26">
        <f>'MJK2'!P48</f>
        <v>0</v>
      </c>
      <c r="F48" s="26">
        <f>'MJK1'!P48</f>
        <v>0</v>
      </c>
      <c r="G48" s="26">
        <f>BJR!P48</f>
        <v>0</v>
      </c>
      <c r="H48" s="26">
        <f t="shared" si="0"/>
        <v>0</v>
      </c>
    </row>
    <row r="49" spans="2:8">
      <c r="B49" s="29" t="s">
        <v>95</v>
      </c>
      <c r="C49" s="25" t="s">
        <v>96</v>
      </c>
      <c r="D49" s="26">
        <f>CLN!P49</f>
        <v>0</v>
      </c>
      <c r="E49" s="26">
        <f>'MJK2'!P49</f>
        <v>0</v>
      </c>
      <c r="F49" s="26">
        <f>'MJK1'!P49</f>
        <v>0</v>
      </c>
      <c r="G49" s="26">
        <f>BJR!P49</f>
        <v>0</v>
      </c>
      <c r="H49" s="26">
        <f t="shared" si="0"/>
        <v>0</v>
      </c>
    </row>
    <row r="50" spans="2:8">
      <c r="B50" s="29" t="s">
        <v>97</v>
      </c>
      <c r="C50" s="25" t="s">
        <v>98</v>
      </c>
      <c r="D50" s="26">
        <f>CLN!P50</f>
        <v>0</v>
      </c>
      <c r="E50" s="26">
        <f>'MJK2'!P50</f>
        <v>0</v>
      </c>
      <c r="F50" s="26">
        <f>'MJK1'!P50</f>
        <v>0</v>
      </c>
      <c r="G50" s="26">
        <f>BJR!P50</f>
        <v>0</v>
      </c>
      <c r="H50" s="26">
        <f t="shared" si="0"/>
        <v>0</v>
      </c>
    </row>
    <row r="51" spans="2:8">
      <c r="B51" s="29" t="s">
        <v>99</v>
      </c>
      <c r="C51" s="25" t="s">
        <v>100</v>
      </c>
      <c r="D51" s="26">
        <f>CLN!P51</f>
        <v>0</v>
      </c>
      <c r="E51" s="26">
        <f>'MJK2'!P51</f>
        <v>0</v>
      </c>
      <c r="F51" s="26">
        <f>'MJK1'!P51</f>
        <v>0</v>
      </c>
      <c r="G51" s="26">
        <f>BJR!P51</f>
        <v>0</v>
      </c>
      <c r="H51" s="26">
        <f t="shared" si="0"/>
        <v>0</v>
      </c>
    </row>
    <row r="52" spans="2:8">
      <c r="B52" s="29" t="s">
        <v>101</v>
      </c>
      <c r="C52" s="33" t="s">
        <v>94</v>
      </c>
      <c r="D52" s="26">
        <f>CLN!P52</f>
        <v>0</v>
      </c>
      <c r="E52" s="26">
        <f>'MJK2'!P52</f>
        <v>0</v>
      </c>
      <c r="F52" s="26">
        <f>'MJK1'!P52</f>
        <v>0</v>
      </c>
      <c r="G52" s="26">
        <f>BJR!P52</f>
        <v>0</v>
      </c>
      <c r="H52" s="26">
        <f t="shared" si="0"/>
        <v>0</v>
      </c>
    </row>
    <row r="53" spans="2:8">
      <c r="B53" s="29" t="s">
        <v>102</v>
      </c>
      <c r="C53" s="33" t="s">
        <v>103</v>
      </c>
      <c r="D53" s="26">
        <f>CLN!P53</f>
        <v>0</v>
      </c>
      <c r="E53" s="26">
        <f>'MJK2'!P53</f>
        <v>0</v>
      </c>
      <c r="F53" s="26">
        <f>'MJK1'!P53</f>
        <v>0</v>
      </c>
      <c r="G53" s="26">
        <f>BJR!P53</f>
        <v>0</v>
      </c>
      <c r="H53" s="26">
        <f t="shared" si="0"/>
        <v>0</v>
      </c>
    </row>
    <row r="54" spans="2:8">
      <c r="B54" s="29"/>
      <c r="C54" s="88" t="s">
        <v>104</v>
      </c>
      <c r="D54" s="26">
        <f>CLN!P54</f>
        <v>0</v>
      </c>
      <c r="E54" s="26">
        <f>'MJK2'!P54</f>
        <v>0</v>
      </c>
      <c r="F54" s="26">
        <f>'MJK1'!P54</f>
        <v>0</v>
      </c>
      <c r="G54" s="26">
        <f>BJR!P54</f>
        <v>0</v>
      </c>
      <c r="H54" s="26">
        <f t="shared" si="0"/>
        <v>0</v>
      </c>
    </row>
    <row r="55" spans="2:8">
      <c r="B55" s="29"/>
      <c r="C55" s="89" t="s">
        <v>105</v>
      </c>
      <c r="D55" s="26">
        <f>CLN!P55</f>
        <v>0</v>
      </c>
      <c r="E55" s="26">
        <f>'MJK2'!P55</f>
        <v>0</v>
      </c>
      <c r="F55" s="26">
        <f>'MJK1'!P55</f>
        <v>0</v>
      </c>
      <c r="G55" s="26">
        <f>BJR!P55</f>
        <v>0</v>
      </c>
      <c r="H55" s="26">
        <f t="shared" si="0"/>
        <v>0</v>
      </c>
    </row>
    <row r="56" spans="2:8">
      <c r="B56" s="29" t="s">
        <v>106</v>
      </c>
      <c r="C56" s="90" t="s">
        <v>107</v>
      </c>
      <c r="D56" s="26">
        <f>CLN!P56</f>
        <v>104146.72</v>
      </c>
      <c r="E56" s="26">
        <f>'MJK2'!P56</f>
        <v>227994.36</v>
      </c>
      <c r="F56" s="26">
        <f>'MJK1'!P56</f>
        <v>290811.61999999994</v>
      </c>
      <c r="G56" s="26">
        <f>BJR!P56</f>
        <v>142613.72</v>
      </c>
      <c r="H56" s="26">
        <f t="shared" si="0"/>
        <v>765566.41999999993</v>
      </c>
    </row>
    <row r="57" spans="2:8">
      <c r="B57" s="29" t="s">
        <v>108</v>
      </c>
      <c r="C57" s="90" t="s">
        <v>109</v>
      </c>
      <c r="D57" s="26">
        <f>CLN!P57</f>
        <v>7802.68</v>
      </c>
      <c r="E57" s="26">
        <f>'MJK2'!P57</f>
        <v>18151.63</v>
      </c>
      <c r="F57" s="26">
        <f>'MJK1'!P57</f>
        <v>23015.62</v>
      </c>
      <c r="G57" s="26">
        <f>BJR!P57</f>
        <v>10515.71</v>
      </c>
      <c r="H57" s="26">
        <f t="shared" si="0"/>
        <v>59485.64</v>
      </c>
    </row>
    <row r="58" spans="2:8">
      <c r="B58" s="29" t="s">
        <v>110</v>
      </c>
      <c r="C58" s="90" t="s">
        <v>111</v>
      </c>
      <c r="D58" s="26">
        <f>CLN!P58</f>
        <v>9750.68</v>
      </c>
      <c r="E58" s="26">
        <f>'MJK2'!P58</f>
        <v>14343.52</v>
      </c>
      <c r="F58" s="26">
        <f>'MJK1'!P58</f>
        <v>15682.210000000001</v>
      </c>
      <c r="G58" s="26">
        <f>BJR!P58</f>
        <v>7783.7800000000007</v>
      </c>
      <c r="H58" s="26">
        <f t="shared" si="0"/>
        <v>47560.19</v>
      </c>
    </row>
    <row r="59" spans="2:8">
      <c r="B59" s="29" t="s">
        <v>112</v>
      </c>
      <c r="C59" s="90" t="s">
        <v>113</v>
      </c>
      <c r="D59" s="26">
        <f>CLN!P59</f>
        <v>0</v>
      </c>
      <c r="E59" s="26">
        <f>'MJK2'!P59</f>
        <v>0</v>
      </c>
      <c r="F59" s="26">
        <f>'MJK1'!P59</f>
        <v>0</v>
      </c>
      <c r="G59" s="26">
        <f>BJR!P59</f>
        <v>0</v>
      </c>
      <c r="H59" s="26">
        <f t="shared" si="0"/>
        <v>0</v>
      </c>
    </row>
    <row r="60" spans="2:8">
      <c r="B60" s="29" t="s">
        <v>114</v>
      </c>
      <c r="C60" s="90" t="s">
        <v>115</v>
      </c>
      <c r="D60" s="26">
        <f>CLN!P60</f>
        <v>6793.58</v>
      </c>
      <c r="E60" s="26">
        <f>'MJK2'!P60</f>
        <v>15920.74</v>
      </c>
      <c r="F60" s="26">
        <f>'MJK1'!P60</f>
        <v>18016.07</v>
      </c>
      <c r="G60" s="26">
        <f>BJR!P60</f>
        <v>8473.02</v>
      </c>
      <c r="H60" s="26">
        <f t="shared" si="0"/>
        <v>49203.41</v>
      </c>
    </row>
    <row r="61" spans="2:8">
      <c r="B61" s="29" t="s">
        <v>116</v>
      </c>
      <c r="C61" s="91" t="s">
        <v>105</v>
      </c>
      <c r="D61" s="26">
        <f>CLN!P61</f>
        <v>128493.65999999999</v>
      </c>
      <c r="E61" s="26">
        <f>'MJK2'!P61</f>
        <v>276410.25</v>
      </c>
      <c r="F61" s="26">
        <f>'MJK1'!P61</f>
        <v>347525.51999999996</v>
      </c>
      <c r="G61" s="26">
        <f>BJR!P61</f>
        <v>169386.22999999998</v>
      </c>
      <c r="H61" s="26">
        <f t="shared" si="0"/>
        <v>921815.65999999992</v>
      </c>
    </row>
    <row r="62" spans="2:8">
      <c r="B62" s="29" t="s">
        <v>117</v>
      </c>
      <c r="C62" s="90" t="s">
        <v>118</v>
      </c>
      <c r="D62" s="26">
        <f>CLN!P62</f>
        <v>568.93000000000006</v>
      </c>
      <c r="E62" s="26">
        <f>'MJK2'!P62</f>
        <v>6300.16</v>
      </c>
      <c r="F62" s="26">
        <f>'MJK1'!P62</f>
        <v>9169.85</v>
      </c>
      <c r="G62" s="26">
        <f>BJR!P62</f>
        <v>0</v>
      </c>
      <c r="H62" s="26">
        <f t="shared" si="0"/>
        <v>16038.94</v>
      </c>
    </row>
    <row r="63" spans="2:8">
      <c r="B63" s="29" t="s">
        <v>119</v>
      </c>
      <c r="C63" s="90" t="s">
        <v>120</v>
      </c>
      <c r="D63" s="26">
        <f>CLN!P63</f>
        <v>1166.17</v>
      </c>
      <c r="E63" s="26">
        <f>'MJK2'!P63</f>
        <v>13021.649999999998</v>
      </c>
      <c r="F63" s="26">
        <f>'MJK1'!P63</f>
        <v>3532.12</v>
      </c>
      <c r="G63" s="26">
        <f>BJR!P63</f>
        <v>694.71</v>
      </c>
      <c r="H63" s="26">
        <f t="shared" si="0"/>
        <v>18414.649999999998</v>
      </c>
    </row>
    <row r="64" spans="2:8">
      <c r="B64" s="29" t="s">
        <v>121</v>
      </c>
      <c r="C64" s="90" t="s">
        <v>122</v>
      </c>
      <c r="D64" s="26">
        <f>CLN!P64</f>
        <v>3604.4300000000003</v>
      </c>
      <c r="E64" s="26">
        <f>'MJK2'!P64</f>
        <v>10218.689999999999</v>
      </c>
      <c r="F64" s="26">
        <f>'MJK1'!P64</f>
        <v>10605.55</v>
      </c>
      <c r="G64" s="26">
        <f>BJR!P64</f>
        <v>7008.63</v>
      </c>
      <c r="H64" s="26">
        <f t="shared" si="0"/>
        <v>31437.3</v>
      </c>
    </row>
    <row r="65" spans="2:8">
      <c r="B65" s="29" t="s">
        <v>123</v>
      </c>
      <c r="C65" s="90" t="s">
        <v>124</v>
      </c>
      <c r="D65" s="26">
        <f>CLN!P65</f>
        <v>268.43</v>
      </c>
      <c r="E65" s="26">
        <f>'MJK2'!P65</f>
        <v>23.83</v>
      </c>
      <c r="F65" s="26">
        <f>'MJK1'!P65</f>
        <v>27.58</v>
      </c>
      <c r="G65" s="26">
        <f>BJR!P65</f>
        <v>59.11</v>
      </c>
      <c r="H65" s="26">
        <f t="shared" si="0"/>
        <v>378.95</v>
      </c>
    </row>
    <row r="66" spans="2:8">
      <c r="B66" s="29"/>
      <c r="C66" s="89" t="s">
        <v>125</v>
      </c>
      <c r="D66" s="26">
        <f>CLN!P66</f>
        <v>0</v>
      </c>
      <c r="E66" s="26">
        <f>'MJK2'!P66</f>
        <v>0</v>
      </c>
      <c r="F66" s="26">
        <f>'MJK1'!P66</f>
        <v>0</v>
      </c>
      <c r="G66" s="26">
        <f>BJR!P66</f>
        <v>0</v>
      </c>
      <c r="H66" s="26">
        <f t="shared" si="0"/>
        <v>0</v>
      </c>
    </row>
    <row r="67" spans="2:8">
      <c r="B67" s="29" t="s">
        <v>126</v>
      </c>
      <c r="C67" s="90" t="s">
        <v>127</v>
      </c>
      <c r="D67" s="26">
        <f>CLN!P67</f>
        <v>0</v>
      </c>
      <c r="E67" s="26">
        <f>'MJK2'!P67</f>
        <v>0</v>
      </c>
      <c r="F67" s="26">
        <f>'MJK1'!P67</f>
        <v>0</v>
      </c>
      <c r="G67" s="26">
        <f>BJR!P67</f>
        <v>0</v>
      </c>
      <c r="H67" s="26">
        <f t="shared" si="0"/>
        <v>0</v>
      </c>
    </row>
    <row r="68" spans="2:8">
      <c r="B68" s="29" t="s">
        <v>128</v>
      </c>
      <c r="C68" s="90" t="s">
        <v>129</v>
      </c>
      <c r="D68" s="26">
        <f>CLN!P68</f>
        <v>0</v>
      </c>
      <c r="E68" s="26">
        <f>'MJK2'!P68</f>
        <v>0</v>
      </c>
      <c r="F68" s="26">
        <f>'MJK1'!P68</f>
        <v>0</v>
      </c>
      <c r="G68" s="26">
        <f>BJR!P68</f>
        <v>0</v>
      </c>
      <c r="H68" s="26">
        <f t="shared" si="0"/>
        <v>0</v>
      </c>
    </row>
    <row r="69" spans="2:8">
      <c r="B69" s="29"/>
      <c r="C69" s="90" t="s">
        <v>130</v>
      </c>
      <c r="D69" s="26">
        <f>CLN!P69</f>
        <v>38653.17</v>
      </c>
      <c r="E69" s="26">
        <f>'MJK2'!P69</f>
        <v>5604.04</v>
      </c>
      <c r="F69" s="26">
        <f>'MJK1'!P69</f>
        <v>50061.36</v>
      </c>
      <c r="G69" s="26">
        <f>BJR!P69</f>
        <v>0</v>
      </c>
      <c r="H69" s="26">
        <f t="shared" si="0"/>
        <v>94318.57</v>
      </c>
    </row>
    <row r="70" spans="2:8">
      <c r="B70" s="29" t="s">
        <v>131</v>
      </c>
      <c r="C70" s="91" t="s">
        <v>125</v>
      </c>
      <c r="D70" s="26">
        <f>CLN!P70</f>
        <v>38653.17</v>
      </c>
      <c r="E70" s="26">
        <f>'MJK2'!P70</f>
        <v>5604.04</v>
      </c>
      <c r="F70" s="26">
        <f>'MJK1'!P70</f>
        <v>50061.36</v>
      </c>
      <c r="G70" s="26">
        <f>BJR!P70</f>
        <v>0</v>
      </c>
      <c r="H70" s="26">
        <f t="shared" si="0"/>
        <v>94318.57</v>
      </c>
    </row>
    <row r="71" spans="2:8">
      <c r="B71" s="29" t="s">
        <v>132</v>
      </c>
      <c r="C71" s="90" t="s">
        <v>133</v>
      </c>
      <c r="D71" s="26">
        <f>CLN!P71</f>
        <v>526397.59</v>
      </c>
      <c r="E71" s="26">
        <f>'MJK2'!P71</f>
        <v>97985.91</v>
      </c>
      <c r="F71" s="26">
        <f>'MJK1'!P71</f>
        <v>79402.579999999987</v>
      </c>
      <c r="G71" s="26">
        <f>BJR!P71</f>
        <v>0</v>
      </c>
      <c r="H71" s="26">
        <f t="shared" ref="H71:H134" si="1">SUM(D71:G71)</f>
        <v>703786.08</v>
      </c>
    </row>
    <row r="72" spans="2:8">
      <c r="B72" s="29"/>
      <c r="C72" s="89" t="s">
        <v>134</v>
      </c>
      <c r="D72" s="26">
        <f>CLN!P72</f>
        <v>0</v>
      </c>
      <c r="E72" s="26">
        <f>'MJK2'!P72</f>
        <v>0</v>
      </c>
      <c r="F72" s="26">
        <f>'MJK1'!P72</f>
        <v>0</v>
      </c>
      <c r="G72" s="26">
        <f>BJR!P72</f>
        <v>0</v>
      </c>
      <c r="H72" s="26">
        <f t="shared" si="1"/>
        <v>0</v>
      </c>
    </row>
    <row r="73" spans="2:8">
      <c r="B73" s="29" t="s">
        <v>135</v>
      </c>
      <c r="C73" s="90" t="s">
        <v>136</v>
      </c>
      <c r="D73" s="26">
        <f>CLN!P73</f>
        <v>6622.55</v>
      </c>
      <c r="E73" s="26">
        <f>'MJK2'!P73</f>
        <v>5069.6100000000006</v>
      </c>
      <c r="F73" s="26">
        <f>'MJK1'!P73</f>
        <v>5072.96</v>
      </c>
      <c r="G73" s="26">
        <f>BJR!P73</f>
        <v>411.4</v>
      </c>
      <c r="H73" s="26">
        <f t="shared" si="1"/>
        <v>17176.52</v>
      </c>
    </row>
    <row r="74" spans="2:8">
      <c r="B74" s="29" t="s">
        <v>137</v>
      </c>
      <c r="C74" s="90" t="s">
        <v>138</v>
      </c>
      <c r="D74" s="26">
        <f>CLN!P74</f>
        <v>434.09</v>
      </c>
      <c r="E74" s="26">
        <f>'MJK2'!P74</f>
        <v>2088.0500000000002</v>
      </c>
      <c r="F74" s="26">
        <f>'MJK1'!P74</f>
        <v>1491.95</v>
      </c>
      <c r="G74" s="26">
        <f>BJR!P74</f>
        <v>406.35</v>
      </c>
      <c r="H74" s="26">
        <f t="shared" si="1"/>
        <v>4420.4400000000005</v>
      </c>
    </row>
    <row r="75" spans="2:8">
      <c r="B75" s="29" t="s">
        <v>139</v>
      </c>
      <c r="C75" s="90" t="s">
        <v>140</v>
      </c>
      <c r="D75" s="26">
        <f>CLN!P75</f>
        <v>-4.5599999999999996</v>
      </c>
      <c r="E75" s="26">
        <f>'MJK2'!P75</f>
        <v>461.5</v>
      </c>
      <c r="F75" s="26">
        <f>'MJK1'!P75</f>
        <v>379.51</v>
      </c>
      <c r="G75" s="26">
        <f>BJR!P75</f>
        <v>0</v>
      </c>
      <c r="H75" s="26">
        <f t="shared" si="1"/>
        <v>836.45</v>
      </c>
    </row>
    <row r="76" spans="2:8">
      <c r="B76" s="29" t="s">
        <v>141</v>
      </c>
      <c r="C76" s="90" t="s">
        <v>142</v>
      </c>
      <c r="D76" s="26">
        <f>CLN!P76</f>
        <v>0</v>
      </c>
      <c r="E76" s="26">
        <f>'MJK2'!P76</f>
        <v>0</v>
      </c>
      <c r="F76" s="26">
        <f>'MJK1'!P76</f>
        <v>0</v>
      </c>
      <c r="G76" s="26">
        <f>BJR!P76</f>
        <v>0</v>
      </c>
      <c r="H76" s="26">
        <f t="shared" si="1"/>
        <v>0</v>
      </c>
    </row>
    <row r="77" spans="2:8">
      <c r="B77" s="29" t="s">
        <v>143</v>
      </c>
      <c r="C77" s="90" t="s">
        <v>144</v>
      </c>
      <c r="D77" s="26">
        <f>CLN!P77</f>
        <v>0</v>
      </c>
      <c r="E77" s="26">
        <f>'MJK2'!P77</f>
        <v>-9.1300000000000008</v>
      </c>
      <c r="F77" s="26">
        <f>'MJK1'!P77</f>
        <v>0</v>
      </c>
      <c r="G77" s="26">
        <f>BJR!P77</f>
        <v>0</v>
      </c>
      <c r="H77" s="26">
        <f t="shared" si="1"/>
        <v>-9.1300000000000008</v>
      </c>
    </row>
    <row r="78" spans="2:8">
      <c r="B78" s="29"/>
      <c r="C78" s="90" t="s">
        <v>145</v>
      </c>
      <c r="D78" s="26">
        <f>CLN!P78</f>
        <v>0</v>
      </c>
      <c r="E78" s="26">
        <f>'MJK2'!P78</f>
        <v>0</v>
      </c>
      <c r="F78" s="26">
        <f>'MJK1'!P78</f>
        <v>621.79999999999995</v>
      </c>
      <c r="G78" s="26">
        <f>BJR!P78</f>
        <v>0</v>
      </c>
      <c r="H78" s="26">
        <f t="shared" si="1"/>
        <v>621.79999999999995</v>
      </c>
    </row>
    <row r="79" spans="2:8">
      <c r="B79" s="29"/>
      <c r="C79" s="90" t="s">
        <v>146</v>
      </c>
      <c r="D79" s="26">
        <f>CLN!P79</f>
        <v>0</v>
      </c>
      <c r="E79" s="26">
        <f>'MJK2'!P79</f>
        <v>1020.31</v>
      </c>
      <c r="F79" s="26">
        <f>'MJK1'!P79</f>
        <v>0</v>
      </c>
      <c r="G79" s="26">
        <f>BJR!P79</f>
        <v>0</v>
      </c>
      <c r="H79" s="26">
        <f t="shared" si="1"/>
        <v>1020.31</v>
      </c>
    </row>
    <row r="80" spans="2:8">
      <c r="B80" s="29" t="s">
        <v>147</v>
      </c>
      <c r="C80" s="91" t="s">
        <v>134</v>
      </c>
      <c r="D80" s="26">
        <f>CLN!P80</f>
        <v>7052.08</v>
      </c>
      <c r="E80" s="26">
        <f>'MJK2'!P80</f>
        <v>8630.34</v>
      </c>
      <c r="F80" s="26">
        <f>'MJK1'!P80</f>
        <v>7566.22</v>
      </c>
      <c r="G80" s="26">
        <f>BJR!P80</f>
        <v>817.75</v>
      </c>
      <c r="H80" s="26">
        <f t="shared" si="1"/>
        <v>24066.39</v>
      </c>
    </row>
    <row r="81" spans="2:8">
      <c r="B81" s="29"/>
      <c r="C81" s="89" t="s">
        <v>148</v>
      </c>
      <c r="D81" s="26">
        <f>CLN!P81</f>
        <v>0</v>
      </c>
      <c r="E81" s="26">
        <f>'MJK2'!P81</f>
        <v>0</v>
      </c>
      <c r="F81" s="26">
        <f>'MJK1'!P81</f>
        <v>0</v>
      </c>
      <c r="G81" s="26">
        <f>BJR!P81</f>
        <v>0</v>
      </c>
      <c r="H81" s="26">
        <f t="shared" si="1"/>
        <v>0</v>
      </c>
    </row>
    <row r="82" spans="2:8">
      <c r="B82" s="29"/>
      <c r="C82" s="90" t="s">
        <v>149</v>
      </c>
      <c r="D82" s="26">
        <f>CLN!P82</f>
        <v>0</v>
      </c>
      <c r="E82" s="26">
        <f>'MJK2'!P82</f>
        <v>0</v>
      </c>
      <c r="F82" s="26">
        <f>'MJK1'!P82</f>
        <v>0</v>
      </c>
      <c r="G82" s="26">
        <f>BJR!P82</f>
        <v>0</v>
      </c>
      <c r="H82" s="26">
        <f t="shared" si="1"/>
        <v>0</v>
      </c>
    </row>
    <row r="83" spans="2:8">
      <c r="B83" s="29" t="s">
        <v>150</v>
      </c>
      <c r="C83" s="90" t="s">
        <v>151</v>
      </c>
      <c r="D83" s="26">
        <f>CLN!P83</f>
        <v>9760.41</v>
      </c>
      <c r="E83" s="26">
        <f>'MJK2'!P83</f>
        <v>251.85000000000002</v>
      </c>
      <c r="F83" s="26">
        <f>'MJK1'!P83</f>
        <v>26208.18</v>
      </c>
      <c r="G83" s="26">
        <f>BJR!P83</f>
        <v>0</v>
      </c>
      <c r="H83" s="26">
        <f t="shared" si="1"/>
        <v>36220.44</v>
      </c>
    </row>
    <row r="84" spans="2:8">
      <c r="B84" s="29" t="s">
        <v>152</v>
      </c>
      <c r="C84" s="90" t="s">
        <v>153</v>
      </c>
      <c r="D84" s="26">
        <f>CLN!P84</f>
        <v>26873.46</v>
      </c>
      <c r="E84" s="26">
        <f>'MJK2'!P84</f>
        <v>10321.58</v>
      </c>
      <c r="F84" s="26">
        <f>'MJK1'!P84</f>
        <v>35571.050000000003</v>
      </c>
      <c r="G84" s="26">
        <f>BJR!P84</f>
        <v>3821.52</v>
      </c>
      <c r="H84" s="26">
        <f t="shared" si="1"/>
        <v>76587.61</v>
      </c>
    </row>
    <row r="85" spans="2:8">
      <c r="B85" s="29" t="s">
        <v>154</v>
      </c>
      <c r="C85" s="90" t="s">
        <v>155</v>
      </c>
      <c r="D85" s="26">
        <f>CLN!P85</f>
        <v>1637.97</v>
      </c>
      <c r="E85" s="26">
        <f>'MJK2'!P85</f>
        <v>187.35000000000002</v>
      </c>
      <c r="F85" s="26">
        <f>'MJK1'!P85</f>
        <v>4628.68</v>
      </c>
      <c r="G85" s="26">
        <f>BJR!P85</f>
        <v>247.32</v>
      </c>
      <c r="H85" s="26">
        <f t="shared" si="1"/>
        <v>6701.32</v>
      </c>
    </row>
    <row r="86" spans="2:8">
      <c r="B86" s="29" t="s">
        <v>156</v>
      </c>
      <c r="C86" s="90" t="s">
        <v>157</v>
      </c>
      <c r="D86" s="26">
        <f>CLN!P86</f>
        <v>37.119999999999997</v>
      </c>
      <c r="E86" s="26">
        <f>'MJK2'!P86</f>
        <v>0</v>
      </c>
      <c r="F86" s="26">
        <f>'MJK1'!P86</f>
        <v>41.94</v>
      </c>
      <c r="G86" s="26">
        <f>BJR!P86</f>
        <v>2376.27</v>
      </c>
      <c r="H86" s="26">
        <f t="shared" si="1"/>
        <v>2455.33</v>
      </c>
    </row>
    <row r="87" spans="2:8">
      <c r="B87" s="29" t="s">
        <v>158</v>
      </c>
      <c r="C87" s="90" t="s">
        <v>159</v>
      </c>
      <c r="D87" s="26">
        <f>CLN!P87</f>
        <v>0</v>
      </c>
      <c r="E87" s="26">
        <f>'MJK2'!P87</f>
        <v>0</v>
      </c>
      <c r="F87" s="26">
        <f>'MJK1'!P87</f>
        <v>0</v>
      </c>
      <c r="G87" s="26">
        <f>BJR!P87</f>
        <v>775.5</v>
      </c>
      <c r="H87" s="26">
        <f t="shared" si="1"/>
        <v>775.5</v>
      </c>
    </row>
    <row r="88" spans="2:8">
      <c r="B88" s="29" t="s">
        <v>160</v>
      </c>
      <c r="C88" s="90" t="s">
        <v>161</v>
      </c>
      <c r="D88" s="26">
        <f>CLN!P88</f>
        <v>2402.9300000000003</v>
      </c>
      <c r="E88" s="26">
        <f>'MJK2'!P88</f>
        <v>10234.92</v>
      </c>
      <c r="F88" s="26">
        <f>'MJK1'!P88</f>
        <v>2246.17</v>
      </c>
      <c r="G88" s="26">
        <f>BJR!P88</f>
        <v>1729.44</v>
      </c>
      <c r="H88" s="26">
        <f t="shared" si="1"/>
        <v>16613.46</v>
      </c>
    </row>
    <row r="89" spans="2:8">
      <c r="B89" s="29" t="s">
        <v>162</v>
      </c>
      <c r="C89" s="91" t="s">
        <v>148</v>
      </c>
      <c r="D89" s="26">
        <f>CLN!P89</f>
        <v>40711.89</v>
      </c>
      <c r="E89" s="26">
        <f>'MJK2'!P89</f>
        <v>20995.7</v>
      </c>
      <c r="F89" s="26">
        <f>'MJK1'!P89</f>
        <v>68696.02</v>
      </c>
      <c r="G89" s="26">
        <f>BJR!P89</f>
        <v>8950.0500000000011</v>
      </c>
      <c r="H89" s="26">
        <f t="shared" si="1"/>
        <v>139353.66</v>
      </c>
    </row>
    <row r="90" spans="2:8">
      <c r="B90" s="29" t="s">
        <v>163</v>
      </c>
      <c r="C90" s="90" t="s">
        <v>164</v>
      </c>
      <c r="D90" s="26">
        <f>CLN!P90</f>
        <v>2999.64</v>
      </c>
      <c r="E90" s="26">
        <f>'MJK2'!P90</f>
        <v>0</v>
      </c>
      <c r="F90" s="26">
        <f>'MJK1'!P90</f>
        <v>4370.43</v>
      </c>
      <c r="G90" s="26">
        <f>BJR!P90</f>
        <v>0</v>
      </c>
      <c r="H90" s="26">
        <f t="shared" si="1"/>
        <v>7370.07</v>
      </c>
    </row>
    <row r="91" spans="2:8">
      <c r="B91" s="29" t="s">
        <v>165</v>
      </c>
      <c r="C91" s="90" t="s">
        <v>166</v>
      </c>
      <c r="D91" s="26">
        <f>CLN!P91</f>
        <v>4165.83</v>
      </c>
      <c r="E91" s="26">
        <f>'MJK2'!P91</f>
        <v>0</v>
      </c>
      <c r="F91" s="26">
        <f>'MJK1'!P91</f>
        <v>0</v>
      </c>
      <c r="G91" s="26">
        <f>BJR!P91</f>
        <v>12285.46</v>
      </c>
      <c r="H91" s="26">
        <f t="shared" si="1"/>
        <v>16451.29</v>
      </c>
    </row>
    <row r="92" spans="2:8">
      <c r="B92" s="29" t="s">
        <v>167</v>
      </c>
      <c r="C92" s="90" t="s">
        <v>168</v>
      </c>
      <c r="D92" s="26">
        <f>CLN!P92</f>
        <v>12392.06</v>
      </c>
      <c r="E92" s="26">
        <f>'MJK2'!P92</f>
        <v>11234.67</v>
      </c>
      <c r="F92" s="26">
        <f>'MJK1'!P92</f>
        <v>14241.41</v>
      </c>
      <c r="G92" s="26">
        <f>BJR!P92</f>
        <v>4468.8999999999996</v>
      </c>
      <c r="H92" s="26">
        <f t="shared" si="1"/>
        <v>42337.04</v>
      </c>
    </row>
    <row r="93" spans="2:8">
      <c r="B93" s="29" t="s">
        <v>169</v>
      </c>
      <c r="C93" s="90" t="s">
        <v>170</v>
      </c>
      <c r="D93" s="26">
        <f>CLN!P93</f>
        <v>1237.48</v>
      </c>
      <c r="E93" s="26">
        <f>'MJK2'!P93</f>
        <v>28329.980000000003</v>
      </c>
      <c r="F93" s="26">
        <f>'MJK1'!P93</f>
        <v>26095.74</v>
      </c>
      <c r="G93" s="26">
        <f>BJR!P93</f>
        <v>17850.55</v>
      </c>
      <c r="H93" s="26">
        <f t="shared" si="1"/>
        <v>73513.75</v>
      </c>
    </row>
    <row r="94" spans="2:8">
      <c r="B94" s="29" t="s">
        <v>171</v>
      </c>
      <c r="C94" s="90" t="s">
        <v>172</v>
      </c>
      <c r="D94" s="26">
        <f>CLN!P94</f>
        <v>0</v>
      </c>
      <c r="E94" s="26">
        <f>'MJK2'!P94</f>
        <v>0</v>
      </c>
      <c r="F94" s="26">
        <f>'MJK1'!P94</f>
        <v>0</v>
      </c>
      <c r="G94" s="26">
        <f>BJR!P94</f>
        <v>0</v>
      </c>
      <c r="H94" s="26">
        <f t="shared" si="1"/>
        <v>0</v>
      </c>
    </row>
    <row r="95" spans="2:8">
      <c r="B95" s="29" t="s">
        <v>173</v>
      </c>
      <c r="C95" s="90" t="s">
        <v>174</v>
      </c>
      <c r="D95" s="26">
        <f>CLN!P95</f>
        <v>0</v>
      </c>
      <c r="E95" s="26">
        <f>'MJK2'!P95</f>
        <v>0</v>
      </c>
      <c r="F95" s="26">
        <f>'MJK1'!P95</f>
        <v>0</v>
      </c>
      <c r="G95" s="26">
        <f>BJR!P95</f>
        <v>0</v>
      </c>
      <c r="H95" s="26">
        <f t="shared" si="1"/>
        <v>0</v>
      </c>
    </row>
    <row r="96" spans="2:8">
      <c r="B96" s="29" t="s">
        <v>175</v>
      </c>
      <c r="C96" s="90" t="s">
        <v>176</v>
      </c>
      <c r="D96" s="26">
        <f>CLN!P96</f>
        <v>0</v>
      </c>
      <c r="E96" s="26">
        <f>'MJK2'!P96</f>
        <v>940.7</v>
      </c>
      <c r="F96" s="26">
        <f>'MJK1'!P96</f>
        <v>58.04</v>
      </c>
      <c r="G96" s="26">
        <f>BJR!P96</f>
        <v>0</v>
      </c>
      <c r="H96" s="26">
        <f t="shared" si="1"/>
        <v>998.74</v>
      </c>
    </row>
    <row r="97" spans="2:8">
      <c r="B97" s="29" t="s">
        <v>177</v>
      </c>
      <c r="C97" s="90" t="s">
        <v>178</v>
      </c>
      <c r="D97" s="26">
        <f>CLN!P97</f>
        <v>23.92</v>
      </c>
      <c r="E97" s="26">
        <f>'MJK2'!P97</f>
        <v>0</v>
      </c>
      <c r="F97" s="26">
        <f>'MJK1'!P97</f>
        <v>0.31</v>
      </c>
      <c r="G97" s="26">
        <f>BJR!P97</f>
        <v>0</v>
      </c>
      <c r="H97" s="26">
        <f t="shared" si="1"/>
        <v>24.23</v>
      </c>
    </row>
    <row r="98" spans="2:8">
      <c r="B98" s="29" t="s">
        <v>179</v>
      </c>
      <c r="C98" s="90" t="s">
        <v>180</v>
      </c>
      <c r="D98" s="26">
        <f>CLN!P98</f>
        <v>0</v>
      </c>
      <c r="E98" s="26">
        <f>'MJK2'!P98</f>
        <v>0</v>
      </c>
      <c r="F98" s="26">
        <f>'MJK1'!P98</f>
        <v>0</v>
      </c>
      <c r="G98" s="26">
        <f>BJR!P98</f>
        <v>0</v>
      </c>
      <c r="H98" s="26">
        <f t="shared" si="1"/>
        <v>0</v>
      </c>
    </row>
    <row r="99" spans="2:8">
      <c r="B99" s="29" t="s">
        <v>181</v>
      </c>
      <c r="C99" s="90" t="s">
        <v>182</v>
      </c>
      <c r="D99" s="26">
        <f>CLN!P99</f>
        <v>0</v>
      </c>
      <c r="E99" s="26">
        <f>'MJK2'!P99</f>
        <v>0</v>
      </c>
      <c r="F99" s="26">
        <f>'MJK1'!P99</f>
        <v>0</v>
      </c>
      <c r="G99" s="26">
        <f>BJR!P99</f>
        <v>0</v>
      </c>
      <c r="H99" s="26">
        <f t="shared" si="1"/>
        <v>0</v>
      </c>
    </row>
    <row r="100" spans="2:8">
      <c r="B100" s="32">
        <v>631180</v>
      </c>
      <c r="C100" s="90" t="s">
        <v>183</v>
      </c>
      <c r="D100" s="26">
        <f>CLN!P100</f>
        <v>2061.52</v>
      </c>
      <c r="E100" s="26">
        <f>'MJK2'!P100</f>
        <v>1781.3700000000001</v>
      </c>
      <c r="F100" s="26">
        <f>'MJK1'!P100</f>
        <v>4578.2999999999993</v>
      </c>
      <c r="G100" s="26">
        <f>BJR!P100</f>
        <v>3442.13</v>
      </c>
      <c r="H100" s="26">
        <f t="shared" si="1"/>
        <v>11863.32</v>
      </c>
    </row>
    <row r="101" spans="2:8">
      <c r="B101" s="29" t="s">
        <v>167</v>
      </c>
      <c r="C101" s="90" t="s">
        <v>168</v>
      </c>
      <c r="D101" s="26">
        <f>CLN!P101</f>
        <v>15714.98</v>
      </c>
      <c r="E101" s="26">
        <f>'MJK2'!P101</f>
        <v>42286.720000000001</v>
      </c>
      <c r="F101" s="26">
        <f>'MJK1'!P101</f>
        <v>44973.8</v>
      </c>
      <c r="G101" s="26">
        <f>BJR!P101</f>
        <v>25761.579999999998</v>
      </c>
      <c r="H101" s="26">
        <f t="shared" si="1"/>
        <v>128737.08</v>
      </c>
    </row>
    <row r="102" spans="2:8">
      <c r="B102" s="29"/>
      <c r="C102" s="89" t="s">
        <v>184</v>
      </c>
      <c r="D102" s="26">
        <f>CLN!P102</f>
        <v>0</v>
      </c>
      <c r="E102" s="26">
        <f>'MJK2'!P102</f>
        <v>0</v>
      </c>
      <c r="F102" s="26">
        <f>'MJK1'!P102</f>
        <v>0</v>
      </c>
      <c r="G102" s="26">
        <f>BJR!P102</f>
        <v>0</v>
      </c>
      <c r="H102" s="26">
        <f t="shared" si="1"/>
        <v>0</v>
      </c>
    </row>
    <row r="103" spans="2:8">
      <c r="B103" s="29" t="s">
        <v>185</v>
      </c>
      <c r="C103" s="90" t="s">
        <v>186</v>
      </c>
      <c r="D103" s="26">
        <f>CLN!P103</f>
        <v>0</v>
      </c>
      <c r="E103" s="26">
        <f>'MJK2'!P103</f>
        <v>0</v>
      </c>
      <c r="F103" s="26">
        <f>'MJK1'!P103</f>
        <v>0</v>
      </c>
      <c r="G103" s="26">
        <f>BJR!P103</f>
        <v>0</v>
      </c>
      <c r="H103" s="26">
        <f t="shared" si="1"/>
        <v>0</v>
      </c>
    </row>
    <row r="104" spans="2:8">
      <c r="B104" s="29" t="s">
        <v>187</v>
      </c>
      <c r="C104" s="90" t="s">
        <v>188</v>
      </c>
      <c r="D104" s="26">
        <f>CLN!P104</f>
        <v>-125525.93</v>
      </c>
      <c r="E104" s="26">
        <f>'MJK2'!P104</f>
        <v>-272155.18</v>
      </c>
      <c r="F104" s="26">
        <f>'MJK1'!P104</f>
        <v>-342478.6</v>
      </c>
      <c r="G104" s="26">
        <f>BJR!P104</f>
        <v>-166852.71</v>
      </c>
      <c r="H104" s="26">
        <f t="shared" si="1"/>
        <v>-907012.41999999993</v>
      </c>
    </row>
    <row r="105" spans="2:8">
      <c r="B105" s="29" t="s">
        <v>189</v>
      </c>
      <c r="C105" s="90" t="s">
        <v>190</v>
      </c>
      <c r="D105" s="26">
        <f>CLN!P105</f>
        <v>-629024.75</v>
      </c>
      <c r="E105" s="26">
        <f>'MJK2'!P105</f>
        <v>-158064.41</v>
      </c>
      <c r="F105" s="26">
        <f>'MJK1'!P105</f>
        <v>-242791.15999999997</v>
      </c>
      <c r="G105" s="26">
        <f>BJR!P105</f>
        <v>-45030.25</v>
      </c>
      <c r="H105" s="26">
        <f t="shared" si="1"/>
        <v>-1074910.57</v>
      </c>
    </row>
    <row r="106" spans="2:8">
      <c r="B106" s="29" t="s">
        <v>191</v>
      </c>
      <c r="C106" s="91" t="s">
        <v>184</v>
      </c>
      <c r="D106" s="26">
        <f>CLN!P106</f>
        <v>-754550.67999999993</v>
      </c>
      <c r="E106" s="26">
        <f>'MJK2'!P106</f>
        <v>-430219.58999999997</v>
      </c>
      <c r="F106" s="26">
        <f>'MJK1'!P106</f>
        <v>-585269.76000000001</v>
      </c>
      <c r="G106" s="26">
        <f>BJR!P106</f>
        <v>-211882.96</v>
      </c>
      <c r="H106" s="26">
        <f t="shared" si="1"/>
        <v>-1981922.99</v>
      </c>
    </row>
    <row r="107" spans="2:8">
      <c r="B107" s="29"/>
      <c r="C107" s="89" t="s">
        <v>192</v>
      </c>
      <c r="D107" s="26">
        <f>CLN!P107</f>
        <v>0</v>
      </c>
      <c r="E107" s="26">
        <f>'MJK2'!P107</f>
        <v>0</v>
      </c>
      <c r="F107" s="26">
        <f>'MJK1'!P107</f>
        <v>0</v>
      </c>
      <c r="G107" s="26">
        <f>BJR!P107</f>
        <v>0</v>
      </c>
      <c r="H107" s="26">
        <f t="shared" si="1"/>
        <v>0</v>
      </c>
    </row>
    <row r="108" spans="2:8">
      <c r="B108" s="29"/>
      <c r="C108" s="90" t="s">
        <v>193</v>
      </c>
      <c r="D108" s="26">
        <f>CLN!P108</f>
        <v>0</v>
      </c>
      <c r="E108" s="26">
        <f>'MJK2'!P108</f>
        <v>0</v>
      </c>
      <c r="F108" s="26">
        <f>'MJK1'!P108</f>
        <v>0</v>
      </c>
      <c r="G108" s="26">
        <f>BJR!P108</f>
        <v>0</v>
      </c>
      <c r="H108" s="26">
        <f t="shared" si="1"/>
        <v>0</v>
      </c>
    </row>
    <row r="109" spans="2:8">
      <c r="B109" s="29"/>
      <c r="C109" s="90" t="s">
        <v>194</v>
      </c>
      <c r="D109" s="26">
        <f>CLN!P109</f>
        <v>0</v>
      </c>
      <c r="E109" s="26">
        <f>'MJK2'!P109</f>
        <v>0</v>
      </c>
      <c r="F109" s="26">
        <f>'MJK1'!P109</f>
        <v>0</v>
      </c>
      <c r="G109" s="26">
        <f>BJR!P109</f>
        <v>0</v>
      </c>
      <c r="H109" s="26">
        <f t="shared" si="1"/>
        <v>0</v>
      </c>
    </row>
    <row r="110" spans="2:8">
      <c r="B110" s="29"/>
      <c r="C110" s="90" t="s">
        <v>195</v>
      </c>
      <c r="D110" s="26">
        <f>CLN!P110</f>
        <v>0</v>
      </c>
      <c r="E110" s="26">
        <f>'MJK2'!P110</f>
        <v>0</v>
      </c>
      <c r="F110" s="26">
        <f>'MJK1'!P110</f>
        <v>0</v>
      </c>
      <c r="G110" s="26">
        <f>BJR!P110</f>
        <v>0</v>
      </c>
      <c r="H110" s="26">
        <f t="shared" si="1"/>
        <v>0</v>
      </c>
    </row>
    <row r="111" spans="2:8">
      <c r="B111" s="29" t="s">
        <v>196</v>
      </c>
      <c r="C111" s="91" t="s">
        <v>104</v>
      </c>
      <c r="D111" s="26">
        <f>CLN!P111</f>
        <v>15246.119999999937</v>
      </c>
      <c r="E111" s="26">
        <f>'MJK2'!P111</f>
        <v>51257.700000000041</v>
      </c>
      <c r="F111" s="26">
        <f>'MJK1'!P111</f>
        <v>40661.26999999996</v>
      </c>
      <c r="G111" s="26">
        <f>BJR!P111</f>
        <v>13080.559999999939</v>
      </c>
      <c r="H111" s="26">
        <f t="shared" si="1"/>
        <v>120245.64999999988</v>
      </c>
    </row>
    <row r="112" spans="2:8">
      <c r="B112" s="29" t="s">
        <v>197</v>
      </c>
      <c r="C112" s="33" t="s">
        <v>198</v>
      </c>
      <c r="D112" s="26">
        <f>CLN!P112</f>
        <v>11197835.76</v>
      </c>
      <c r="E112" s="26">
        <f>'MJK2'!P112</f>
        <v>860670.74</v>
      </c>
      <c r="F112" s="26">
        <f>'MJK1'!P112</f>
        <v>1851918.72</v>
      </c>
      <c r="G112" s="26">
        <f>BJR!P112</f>
        <v>423765.92</v>
      </c>
      <c r="H112" s="26">
        <f t="shared" si="1"/>
        <v>14334191.140000001</v>
      </c>
    </row>
    <row r="113" spans="2:8">
      <c r="B113" s="29"/>
      <c r="C113" s="27" t="s">
        <v>199</v>
      </c>
      <c r="D113" s="26">
        <f>CLN!P113</f>
        <v>0</v>
      </c>
      <c r="E113" s="26">
        <f>'MJK2'!P113</f>
        <v>0</v>
      </c>
      <c r="F113" s="26">
        <f>'MJK1'!P113</f>
        <v>0</v>
      </c>
      <c r="G113" s="26">
        <f>BJR!P113</f>
        <v>0</v>
      </c>
      <c r="H113" s="26">
        <f t="shared" si="1"/>
        <v>0</v>
      </c>
    </row>
    <row r="114" spans="2:8">
      <c r="B114" s="29"/>
      <c r="C114" s="28" t="s">
        <v>200</v>
      </c>
      <c r="D114" s="26">
        <f>CLN!P114</f>
        <v>0</v>
      </c>
      <c r="E114" s="26">
        <f>'MJK2'!P114</f>
        <v>0</v>
      </c>
      <c r="F114" s="26">
        <f>'MJK1'!P114</f>
        <v>0</v>
      </c>
      <c r="G114" s="26">
        <f>BJR!P114</f>
        <v>0</v>
      </c>
      <c r="H114" s="26">
        <f t="shared" si="1"/>
        <v>0</v>
      </c>
    </row>
    <row r="115" spans="2:8">
      <c r="B115" s="29" t="s">
        <v>201</v>
      </c>
      <c r="C115" s="25" t="s">
        <v>202</v>
      </c>
      <c r="D115" s="26">
        <f>CLN!P115</f>
        <v>0</v>
      </c>
      <c r="E115" s="26">
        <f>'MJK2'!P115</f>
        <v>0</v>
      </c>
      <c r="F115" s="26">
        <f>'MJK1'!P115</f>
        <v>0</v>
      </c>
      <c r="G115" s="26">
        <f>BJR!P115</f>
        <v>0</v>
      </c>
      <c r="H115" s="26">
        <f t="shared" si="1"/>
        <v>0</v>
      </c>
    </row>
    <row r="116" spans="2:8">
      <c r="B116" s="29" t="s">
        <v>203</v>
      </c>
      <c r="C116" s="25" t="s">
        <v>204</v>
      </c>
      <c r="D116" s="26">
        <f>CLN!P116</f>
        <v>210.64999999999998</v>
      </c>
      <c r="E116" s="26">
        <f>'MJK2'!P116</f>
        <v>831.59999999999991</v>
      </c>
      <c r="F116" s="26">
        <f>'MJK1'!P116</f>
        <v>0</v>
      </c>
      <c r="G116" s="26">
        <f>BJR!P116</f>
        <v>0</v>
      </c>
      <c r="H116" s="26">
        <f t="shared" si="1"/>
        <v>1042.25</v>
      </c>
    </row>
    <row r="117" spans="2:8">
      <c r="B117" s="29" t="s">
        <v>205</v>
      </c>
      <c r="C117" s="33" t="s">
        <v>200</v>
      </c>
      <c r="D117" s="26">
        <f>CLN!P117</f>
        <v>210.64999999999998</v>
      </c>
      <c r="E117" s="26">
        <f>'MJK2'!P117</f>
        <v>831.59999999999991</v>
      </c>
      <c r="F117" s="26">
        <f>'MJK1'!P117</f>
        <v>0</v>
      </c>
      <c r="G117" s="26">
        <f>BJR!P117</f>
        <v>0</v>
      </c>
      <c r="H117" s="26">
        <f t="shared" si="1"/>
        <v>1042.25</v>
      </c>
    </row>
    <row r="118" spans="2:8">
      <c r="B118" s="29"/>
      <c r="C118" s="28" t="s">
        <v>206</v>
      </c>
      <c r="D118" s="26">
        <f>CLN!P118</f>
        <v>0</v>
      </c>
      <c r="E118" s="26">
        <f>'MJK2'!P118</f>
        <v>0</v>
      </c>
      <c r="F118" s="26">
        <f>'MJK1'!P118</f>
        <v>0</v>
      </c>
      <c r="G118" s="26">
        <f>BJR!P118</f>
        <v>0</v>
      </c>
      <c r="H118" s="26">
        <f t="shared" si="1"/>
        <v>0</v>
      </c>
    </row>
    <row r="119" spans="2:8">
      <c r="B119" s="29" t="s">
        <v>207</v>
      </c>
      <c r="C119" s="25" t="s">
        <v>208</v>
      </c>
      <c r="D119" s="26">
        <f>CLN!P119</f>
        <v>15476.619999999999</v>
      </c>
      <c r="E119" s="26">
        <f>'MJK2'!P119</f>
        <v>3110.23</v>
      </c>
      <c r="F119" s="26">
        <f>'MJK1'!P119</f>
        <v>2769.5</v>
      </c>
      <c r="G119" s="26">
        <f>BJR!P119</f>
        <v>0</v>
      </c>
      <c r="H119" s="26">
        <f t="shared" si="1"/>
        <v>21356.35</v>
      </c>
    </row>
    <row r="120" spans="2:8">
      <c r="B120" s="29" t="s">
        <v>209</v>
      </c>
      <c r="C120" s="25" t="s">
        <v>210</v>
      </c>
      <c r="D120" s="26">
        <f>CLN!P120</f>
        <v>0</v>
      </c>
      <c r="E120" s="26">
        <f>'MJK2'!P120</f>
        <v>0</v>
      </c>
      <c r="F120" s="26">
        <f>'MJK1'!P120</f>
        <v>0</v>
      </c>
      <c r="G120" s="26">
        <f>BJR!P120</f>
        <v>0</v>
      </c>
      <c r="H120" s="26">
        <f t="shared" si="1"/>
        <v>0</v>
      </c>
    </row>
    <row r="121" spans="2:8">
      <c r="B121" s="29"/>
      <c r="C121" s="33" t="s">
        <v>211</v>
      </c>
      <c r="D121" s="26">
        <f>CLN!P121</f>
        <v>0</v>
      </c>
      <c r="E121" s="26">
        <f>'MJK2'!P121</f>
        <v>0</v>
      </c>
      <c r="F121" s="26">
        <f>'MJK1'!P121</f>
        <v>0</v>
      </c>
      <c r="G121" s="26">
        <f>BJR!P121</f>
        <v>0</v>
      </c>
      <c r="H121" s="26">
        <f t="shared" si="1"/>
        <v>0</v>
      </c>
    </row>
    <row r="122" spans="2:8">
      <c r="B122" s="29" t="s">
        <v>212</v>
      </c>
      <c r="C122" s="25" t="s">
        <v>213</v>
      </c>
      <c r="D122" s="26">
        <f>CLN!P122</f>
        <v>624.20000000000005</v>
      </c>
      <c r="E122" s="26">
        <f>'MJK2'!P122</f>
        <v>0</v>
      </c>
      <c r="F122" s="26">
        <f>'MJK1'!P122</f>
        <v>0</v>
      </c>
      <c r="G122" s="26">
        <f>BJR!P122</f>
        <v>0</v>
      </c>
      <c r="H122" s="26">
        <f t="shared" si="1"/>
        <v>624.20000000000005</v>
      </c>
    </row>
    <row r="123" spans="2:8">
      <c r="B123" s="29" t="s">
        <v>214</v>
      </c>
      <c r="C123" s="25" t="s">
        <v>215</v>
      </c>
      <c r="D123" s="26">
        <f>CLN!P123</f>
        <v>1295.22</v>
      </c>
      <c r="E123" s="26">
        <f>'MJK2'!P123</f>
        <v>0</v>
      </c>
      <c r="F123" s="26">
        <f>'MJK1'!P123</f>
        <v>0</v>
      </c>
      <c r="G123" s="26">
        <f>BJR!P123</f>
        <v>0</v>
      </c>
      <c r="H123" s="26">
        <f t="shared" si="1"/>
        <v>1295.22</v>
      </c>
    </row>
    <row r="124" spans="2:8">
      <c r="B124" s="29" t="s">
        <v>216</v>
      </c>
      <c r="C124" s="25" t="s">
        <v>217</v>
      </c>
      <c r="D124" s="26">
        <f>CLN!P124</f>
        <v>0</v>
      </c>
      <c r="E124" s="26">
        <f>'MJK2'!P124</f>
        <v>0</v>
      </c>
      <c r="F124" s="26">
        <f>'MJK1'!P124</f>
        <v>0</v>
      </c>
      <c r="G124" s="26">
        <f>BJR!P124</f>
        <v>0</v>
      </c>
      <c r="H124" s="26">
        <f t="shared" si="1"/>
        <v>0</v>
      </c>
    </row>
    <row r="125" spans="2:8">
      <c r="B125" s="29" t="s">
        <v>218</v>
      </c>
      <c r="C125" s="25" t="s">
        <v>219</v>
      </c>
      <c r="D125" s="26">
        <f>CLN!P125</f>
        <v>50</v>
      </c>
      <c r="E125" s="26">
        <f>'MJK2'!P125</f>
        <v>0</v>
      </c>
      <c r="F125" s="26">
        <f>'MJK1'!P125</f>
        <v>0</v>
      </c>
      <c r="G125" s="26">
        <f>BJR!P125</f>
        <v>0</v>
      </c>
      <c r="H125" s="26">
        <f t="shared" si="1"/>
        <v>50</v>
      </c>
    </row>
    <row r="126" spans="2:8">
      <c r="B126" s="29" t="s">
        <v>220</v>
      </c>
      <c r="C126" s="25" t="s">
        <v>221</v>
      </c>
      <c r="D126" s="26">
        <f>CLN!P126</f>
        <v>250</v>
      </c>
      <c r="E126" s="26">
        <f>'MJK2'!P126</f>
        <v>0</v>
      </c>
      <c r="F126" s="26">
        <f>'MJK1'!P126</f>
        <v>0</v>
      </c>
      <c r="G126" s="26">
        <f>BJR!P126</f>
        <v>0</v>
      </c>
      <c r="H126" s="26">
        <f t="shared" si="1"/>
        <v>250</v>
      </c>
    </row>
    <row r="127" spans="2:8">
      <c r="B127" s="29" t="s">
        <v>222</v>
      </c>
      <c r="C127" s="25" t="s">
        <v>223</v>
      </c>
      <c r="D127" s="26">
        <f>CLN!P127</f>
        <v>0</v>
      </c>
      <c r="E127" s="26">
        <f>'MJK2'!P127</f>
        <v>0</v>
      </c>
      <c r="F127" s="26">
        <f>'MJK1'!P127</f>
        <v>0</v>
      </c>
      <c r="G127" s="26">
        <f>BJR!P127</f>
        <v>0</v>
      </c>
      <c r="H127" s="26">
        <f t="shared" si="1"/>
        <v>0</v>
      </c>
    </row>
    <row r="128" spans="2:8">
      <c r="B128" s="29" t="s">
        <v>224</v>
      </c>
      <c r="C128" s="33" t="s">
        <v>211</v>
      </c>
      <c r="D128" s="26">
        <f>CLN!P128</f>
        <v>2219.42</v>
      </c>
      <c r="E128" s="26">
        <f>'MJK2'!P128</f>
        <v>0</v>
      </c>
      <c r="F128" s="26">
        <f>'MJK1'!P128</f>
        <v>0</v>
      </c>
      <c r="G128" s="26">
        <f>BJR!P128</f>
        <v>0</v>
      </c>
      <c r="H128" s="26">
        <f t="shared" si="1"/>
        <v>2219.42</v>
      </c>
    </row>
    <row r="129" spans="2:8">
      <c r="B129" s="29" t="s">
        <v>225</v>
      </c>
      <c r="C129" s="25" t="s">
        <v>226</v>
      </c>
      <c r="D129" s="26">
        <f>CLN!P129</f>
        <v>24663.35</v>
      </c>
      <c r="E129" s="26">
        <f>'MJK2'!P129</f>
        <v>43.98</v>
      </c>
      <c r="F129" s="26">
        <f>'MJK1'!P129</f>
        <v>24899.53</v>
      </c>
      <c r="G129" s="26">
        <f>BJR!P129</f>
        <v>0</v>
      </c>
      <c r="H129" s="26">
        <f t="shared" si="1"/>
        <v>49606.86</v>
      </c>
    </row>
    <row r="130" spans="2:8">
      <c r="B130" s="29" t="s">
        <v>227</v>
      </c>
      <c r="C130" s="25" t="s">
        <v>228</v>
      </c>
      <c r="D130" s="26">
        <f>CLN!P130</f>
        <v>80.78</v>
      </c>
      <c r="E130" s="26">
        <f>'MJK2'!P130</f>
        <v>0</v>
      </c>
      <c r="F130" s="26">
        <f>'MJK1'!P130</f>
        <v>2677.64</v>
      </c>
      <c r="G130" s="26">
        <f>BJR!P130</f>
        <v>0</v>
      </c>
      <c r="H130" s="26">
        <f t="shared" si="1"/>
        <v>2758.42</v>
      </c>
    </row>
    <row r="131" spans="2:8">
      <c r="B131" s="29" t="s">
        <v>229</v>
      </c>
      <c r="C131" s="25" t="s">
        <v>230</v>
      </c>
      <c r="D131" s="26">
        <f>CLN!P131</f>
        <v>0</v>
      </c>
      <c r="E131" s="26">
        <f>'MJK2'!P131</f>
        <v>0</v>
      </c>
      <c r="F131" s="26">
        <f>'MJK1'!P131</f>
        <v>0</v>
      </c>
      <c r="G131" s="26">
        <f>BJR!P131</f>
        <v>0</v>
      </c>
      <c r="H131" s="26">
        <f t="shared" si="1"/>
        <v>0</v>
      </c>
    </row>
    <row r="132" spans="2:8">
      <c r="B132" s="29" t="s">
        <v>231</v>
      </c>
      <c r="C132" s="33" t="s">
        <v>206</v>
      </c>
      <c r="D132" s="26">
        <f>CLN!P132</f>
        <v>42440.17</v>
      </c>
      <c r="E132" s="26">
        <f>'MJK2'!P132</f>
        <v>3154.21</v>
      </c>
      <c r="F132" s="26">
        <f>'MJK1'!P132</f>
        <v>30346.67</v>
      </c>
      <c r="G132" s="26">
        <f>BJR!P132</f>
        <v>0</v>
      </c>
      <c r="H132" s="26">
        <f t="shared" si="1"/>
        <v>75941.049999999988</v>
      </c>
    </row>
    <row r="133" spans="2:8">
      <c r="B133" s="29"/>
      <c r="C133" s="33" t="s">
        <v>232</v>
      </c>
      <c r="D133" s="26">
        <f>CLN!P133</f>
        <v>0</v>
      </c>
      <c r="E133" s="26">
        <f>'MJK2'!P133</f>
        <v>0</v>
      </c>
      <c r="F133" s="26">
        <f>'MJK1'!P133</f>
        <v>0</v>
      </c>
      <c r="G133" s="26">
        <f>BJR!P133</f>
        <v>0</v>
      </c>
      <c r="H133" s="26">
        <f t="shared" si="1"/>
        <v>0</v>
      </c>
    </row>
    <row r="134" spans="2:8">
      <c r="B134" s="29" t="s">
        <v>233</v>
      </c>
      <c r="C134" s="25" t="s">
        <v>39</v>
      </c>
      <c r="D134" s="26">
        <f>CLN!P134</f>
        <v>0</v>
      </c>
      <c r="E134" s="26">
        <f>'MJK2'!P134</f>
        <v>0</v>
      </c>
      <c r="F134" s="26">
        <f>'MJK1'!P134</f>
        <v>0</v>
      </c>
      <c r="G134" s="26">
        <f>BJR!P134</f>
        <v>0</v>
      </c>
      <c r="H134" s="26">
        <f t="shared" si="1"/>
        <v>0</v>
      </c>
    </row>
    <row r="135" spans="2:8">
      <c r="B135" s="29" t="s">
        <v>234</v>
      </c>
      <c r="C135" s="25" t="s">
        <v>235</v>
      </c>
      <c r="D135" s="26">
        <f>CLN!P135</f>
        <v>12891.25</v>
      </c>
      <c r="E135" s="26">
        <f>'MJK2'!P135</f>
        <v>0</v>
      </c>
      <c r="F135" s="26">
        <f>'MJK1'!P135</f>
        <v>0</v>
      </c>
      <c r="G135" s="26">
        <f>BJR!P135</f>
        <v>0</v>
      </c>
      <c r="H135" s="26">
        <f t="shared" ref="H135:H198" si="2">SUM(D135:G135)</f>
        <v>12891.25</v>
      </c>
    </row>
    <row r="136" spans="2:8">
      <c r="B136" s="29" t="s">
        <v>236</v>
      </c>
      <c r="C136" s="25" t="s">
        <v>237</v>
      </c>
      <c r="D136" s="26">
        <f>CLN!P136</f>
        <v>6843.11</v>
      </c>
      <c r="E136" s="26">
        <f>'MJK2'!P136</f>
        <v>0</v>
      </c>
      <c r="F136" s="26">
        <f>'MJK1'!P136</f>
        <v>-78.44</v>
      </c>
      <c r="G136" s="26">
        <f>BJR!P136</f>
        <v>0</v>
      </c>
      <c r="H136" s="26">
        <f t="shared" si="2"/>
        <v>6764.67</v>
      </c>
    </row>
    <row r="137" spans="2:8">
      <c r="B137" s="29" t="s">
        <v>238</v>
      </c>
      <c r="C137" s="33" t="s">
        <v>232</v>
      </c>
      <c r="D137" s="26">
        <f>CLN!P137</f>
        <v>19734.36</v>
      </c>
      <c r="E137" s="26">
        <f>'MJK2'!P137</f>
        <v>0</v>
      </c>
      <c r="F137" s="26">
        <f>'MJK1'!P137</f>
        <v>-78.44</v>
      </c>
      <c r="G137" s="26">
        <f>BJR!P137</f>
        <v>0</v>
      </c>
      <c r="H137" s="26">
        <f t="shared" si="2"/>
        <v>19655.920000000002</v>
      </c>
    </row>
    <row r="138" spans="2:8">
      <c r="B138" s="29" t="s">
        <v>239</v>
      </c>
      <c r="C138" s="33" t="s">
        <v>199</v>
      </c>
      <c r="D138" s="26">
        <f>CLN!P138</f>
        <v>62385.18</v>
      </c>
      <c r="E138" s="26">
        <f>'MJK2'!P138</f>
        <v>3985.81</v>
      </c>
      <c r="F138" s="26">
        <f>'MJK1'!P138</f>
        <v>30268.23</v>
      </c>
      <c r="G138" s="26">
        <f>BJR!P138</f>
        <v>0</v>
      </c>
      <c r="H138" s="26">
        <f t="shared" si="2"/>
        <v>96639.22</v>
      </c>
    </row>
    <row r="139" spans="2:8">
      <c r="B139" s="29"/>
      <c r="C139" s="27" t="s">
        <v>240</v>
      </c>
      <c r="D139" s="26">
        <f>CLN!P139</f>
        <v>0</v>
      </c>
      <c r="E139" s="26">
        <f>'MJK2'!P139</f>
        <v>0</v>
      </c>
      <c r="F139" s="26">
        <f>'MJK1'!P139</f>
        <v>0</v>
      </c>
      <c r="G139" s="26">
        <f>BJR!P139</f>
        <v>0</v>
      </c>
      <c r="H139" s="26">
        <f t="shared" si="2"/>
        <v>0</v>
      </c>
    </row>
    <row r="140" spans="2:8">
      <c r="B140" s="29"/>
      <c r="C140" s="28" t="s">
        <v>241</v>
      </c>
      <c r="D140" s="26">
        <f>CLN!P140</f>
        <v>0</v>
      </c>
      <c r="E140" s="26">
        <f>'MJK2'!P140</f>
        <v>0</v>
      </c>
      <c r="F140" s="26">
        <f>'MJK1'!P140</f>
        <v>0</v>
      </c>
      <c r="G140" s="26">
        <f>BJR!P140</f>
        <v>0</v>
      </c>
      <c r="H140" s="26">
        <f t="shared" si="2"/>
        <v>0</v>
      </c>
    </row>
    <row r="141" spans="2:8">
      <c r="B141" s="29" t="s">
        <v>242</v>
      </c>
      <c r="C141" s="25" t="s">
        <v>243</v>
      </c>
      <c r="D141" s="26">
        <f>CLN!P141</f>
        <v>124084.29000000001</v>
      </c>
      <c r="E141" s="26">
        <f>'MJK2'!P141</f>
        <v>40699.86</v>
      </c>
      <c r="F141" s="26">
        <f>'MJK1'!P141</f>
        <v>17130.420000000002</v>
      </c>
      <c r="G141" s="26">
        <f>BJR!P141</f>
        <v>8695.93</v>
      </c>
      <c r="H141" s="26">
        <f t="shared" si="2"/>
        <v>190610.50000000003</v>
      </c>
    </row>
    <row r="142" spans="2:8">
      <c r="B142" s="29" t="s">
        <v>244</v>
      </c>
      <c r="C142" s="25" t="s">
        <v>245</v>
      </c>
      <c r="D142" s="26">
        <f>CLN!P142</f>
        <v>9750.68</v>
      </c>
      <c r="E142" s="26">
        <f>'MJK2'!P142</f>
        <v>14343.52</v>
      </c>
      <c r="F142" s="26">
        <f>'MJK1'!P142</f>
        <v>15682.210000000001</v>
      </c>
      <c r="G142" s="26">
        <f>BJR!P142</f>
        <v>7783.7800000000007</v>
      </c>
      <c r="H142" s="26">
        <f t="shared" si="2"/>
        <v>47560.19</v>
      </c>
    </row>
    <row r="143" spans="2:8">
      <c r="B143" s="29" t="s">
        <v>246</v>
      </c>
      <c r="C143" s="25" t="s">
        <v>247</v>
      </c>
      <c r="D143" s="26">
        <f>CLN!P143</f>
        <v>6002.42</v>
      </c>
      <c r="E143" s="26">
        <f>'MJK2'!P143</f>
        <v>2161.6999999999998</v>
      </c>
      <c r="F143" s="26">
        <f>'MJK1'!P143</f>
        <v>805.15</v>
      </c>
      <c r="G143" s="26">
        <f>BJR!P143</f>
        <v>539.91</v>
      </c>
      <c r="H143" s="26">
        <f t="shared" si="2"/>
        <v>9509.18</v>
      </c>
    </row>
    <row r="144" spans="2:8">
      <c r="B144" s="29" t="s">
        <v>248</v>
      </c>
      <c r="C144" s="25" t="s">
        <v>118</v>
      </c>
      <c r="D144" s="26">
        <f>CLN!P144</f>
        <v>568.93000000000006</v>
      </c>
      <c r="E144" s="26">
        <f>'MJK2'!P144</f>
        <v>6300.16</v>
      </c>
      <c r="F144" s="26">
        <f>'MJK1'!P144</f>
        <v>9169.85</v>
      </c>
      <c r="G144" s="26">
        <f>BJR!P144</f>
        <v>0</v>
      </c>
      <c r="H144" s="26">
        <f t="shared" si="2"/>
        <v>16038.94</v>
      </c>
    </row>
    <row r="145" spans="2:8">
      <c r="B145" s="29" t="s">
        <v>249</v>
      </c>
      <c r="C145" s="25" t="s">
        <v>250</v>
      </c>
      <c r="D145" s="26">
        <f>CLN!P145</f>
        <v>0</v>
      </c>
      <c r="E145" s="26">
        <f>'MJK2'!P145</f>
        <v>0</v>
      </c>
      <c r="F145" s="26">
        <f>'MJK1'!P145</f>
        <v>0</v>
      </c>
      <c r="G145" s="26">
        <f>BJR!P145</f>
        <v>0</v>
      </c>
      <c r="H145" s="26">
        <f t="shared" si="2"/>
        <v>0</v>
      </c>
    </row>
    <row r="146" spans="2:8">
      <c r="B146" s="29" t="s">
        <v>251</v>
      </c>
      <c r="C146" s="25" t="s">
        <v>252</v>
      </c>
      <c r="D146" s="26">
        <f>CLN!P146</f>
        <v>6793.58</v>
      </c>
      <c r="E146" s="26">
        <f>'MJK2'!P146</f>
        <v>15920.74</v>
      </c>
      <c r="F146" s="26">
        <f>'MJK1'!P146</f>
        <v>18016.07</v>
      </c>
      <c r="G146" s="26">
        <f>BJR!P146</f>
        <v>8473.02</v>
      </c>
      <c r="H146" s="26">
        <f t="shared" si="2"/>
        <v>49203.41</v>
      </c>
    </row>
    <row r="147" spans="2:8">
      <c r="B147" s="29"/>
      <c r="C147" s="25" t="s">
        <v>253</v>
      </c>
      <c r="D147" s="26"/>
      <c r="E147" s="26"/>
      <c r="F147" s="26"/>
      <c r="G147" s="26"/>
      <c r="H147" s="26"/>
    </row>
    <row r="148" spans="2:8">
      <c r="B148" s="29" t="s">
        <v>254</v>
      </c>
      <c r="C148" s="33" t="s">
        <v>241</v>
      </c>
      <c r="D148" s="26">
        <f>CLN!P148</f>
        <v>147199.9</v>
      </c>
      <c r="E148" s="26">
        <f>'MJK2'!P148</f>
        <v>79425.98000000001</v>
      </c>
      <c r="F148" s="26">
        <f>'MJK1'!P148</f>
        <v>60803.700000000004</v>
      </c>
      <c r="G148" s="26">
        <f>BJR!P148</f>
        <v>25492.639999999999</v>
      </c>
      <c r="H148" s="26">
        <f t="shared" si="2"/>
        <v>312922.22000000003</v>
      </c>
    </row>
    <row r="149" spans="2:8">
      <c r="B149" s="29"/>
      <c r="C149" s="27" t="s">
        <v>255</v>
      </c>
      <c r="D149" s="26" t="e">
        <f>CLN!P149</f>
        <v>#VALUE!</v>
      </c>
      <c r="E149" s="26">
        <f>'MJK2'!P149</f>
        <v>0</v>
      </c>
      <c r="F149" s="26">
        <f>'MJK1'!P149</f>
        <v>0</v>
      </c>
      <c r="G149" s="26">
        <f>BJR!P149</f>
        <v>0</v>
      </c>
      <c r="H149" s="26" t="e">
        <f t="shared" si="2"/>
        <v>#VALUE!</v>
      </c>
    </row>
    <row r="150" spans="2:8">
      <c r="B150" s="29" t="s">
        <v>256</v>
      </c>
      <c r="C150" s="25" t="s">
        <v>257</v>
      </c>
      <c r="D150" s="26">
        <f>CLN!P150</f>
        <v>0</v>
      </c>
      <c r="E150" s="26">
        <f>'MJK2'!P150</f>
        <v>0</v>
      </c>
      <c r="F150" s="26">
        <f>'MJK1'!P150</f>
        <v>0</v>
      </c>
      <c r="G150" s="26">
        <f>BJR!P150</f>
        <v>0</v>
      </c>
      <c r="H150" s="26">
        <f t="shared" si="2"/>
        <v>0</v>
      </c>
    </row>
    <row r="151" spans="2:8">
      <c r="B151" s="29" t="s">
        <v>258</v>
      </c>
      <c r="C151" s="25" t="s">
        <v>259</v>
      </c>
      <c r="D151" s="26">
        <f>CLN!P151</f>
        <v>586.48</v>
      </c>
      <c r="E151" s="26">
        <f>'MJK2'!P151</f>
        <v>0</v>
      </c>
      <c r="F151" s="26">
        <f>'MJK1'!P151</f>
        <v>0</v>
      </c>
      <c r="G151" s="26">
        <f>BJR!P151</f>
        <v>0</v>
      </c>
      <c r="H151" s="26">
        <f t="shared" si="2"/>
        <v>586.48</v>
      </c>
    </row>
    <row r="152" spans="2:8">
      <c r="B152" s="29" t="s">
        <v>260</v>
      </c>
      <c r="C152" s="25" t="s">
        <v>261</v>
      </c>
      <c r="D152" s="26">
        <f>CLN!P152</f>
        <v>0</v>
      </c>
      <c r="E152" s="26">
        <f>'MJK2'!P152</f>
        <v>0</v>
      </c>
      <c r="F152" s="26">
        <f>'MJK1'!P152</f>
        <v>0</v>
      </c>
      <c r="G152" s="26">
        <f>BJR!P152</f>
        <v>0</v>
      </c>
      <c r="H152" s="26">
        <f t="shared" si="2"/>
        <v>0</v>
      </c>
    </row>
    <row r="153" spans="2:8">
      <c r="B153" s="29" t="s">
        <v>262</v>
      </c>
      <c r="C153" s="25" t="s">
        <v>263</v>
      </c>
      <c r="D153" s="26">
        <f>CLN!P153</f>
        <v>1832.08</v>
      </c>
      <c r="E153" s="26">
        <f>'MJK2'!P153</f>
        <v>0</v>
      </c>
      <c r="F153" s="26">
        <f>'MJK1'!P153</f>
        <v>2673.19</v>
      </c>
      <c r="G153" s="26">
        <f>BJR!P153</f>
        <v>0</v>
      </c>
      <c r="H153" s="26">
        <f t="shared" si="2"/>
        <v>4505.2700000000004</v>
      </c>
    </row>
    <row r="154" spans="2:8">
      <c r="B154" s="29" t="s">
        <v>264</v>
      </c>
      <c r="C154" s="33" t="s">
        <v>255</v>
      </c>
      <c r="D154" s="26">
        <f>CLN!P154</f>
        <v>2418.56</v>
      </c>
      <c r="E154" s="26">
        <f>'MJK2'!P154</f>
        <v>0</v>
      </c>
      <c r="F154" s="26">
        <f>'MJK1'!P154</f>
        <v>2673.19</v>
      </c>
      <c r="G154" s="26">
        <f>BJR!P154</f>
        <v>0</v>
      </c>
      <c r="H154" s="26">
        <f t="shared" si="2"/>
        <v>5091.75</v>
      </c>
    </row>
    <row r="155" spans="2:8">
      <c r="B155" s="29"/>
      <c r="C155" s="27" t="s">
        <v>265</v>
      </c>
      <c r="D155" s="26">
        <f>CLN!P155</f>
        <v>0</v>
      </c>
      <c r="E155" s="26">
        <f>'MJK2'!P155</f>
        <v>0</v>
      </c>
      <c r="F155" s="26">
        <f>'MJK1'!P155</f>
        <v>0</v>
      </c>
      <c r="G155" s="26">
        <f>BJR!P155</f>
        <v>0</v>
      </c>
      <c r="H155" s="26">
        <f t="shared" si="2"/>
        <v>0</v>
      </c>
    </row>
    <row r="156" spans="2:8">
      <c r="B156" s="29" t="s">
        <v>266</v>
      </c>
      <c r="C156" s="25" t="s">
        <v>267</v>
      </c>
      <c r="D156" s="26">
        <f>CLN!P156</f>
        <v>0</v>
      </c>
      <c r="E156" s="26">
        <f>'MJK2'!P156</f>
        <v>0</v>
      </c>
      <c r="F156" s="26">
        <f>'MJK1'!P156</f>
        <v>0</v>
      </c>
      <c r="G156" s="26">
        <f>BJR!P156</f>
        <v>0</v>
      </c>
      <c r="H156" s="26">
        <f t="shared" si="2"/>
        <v>0</v>
      </c>
    </row>
    <row r="157" spans="2:8">
      <c r="B157" s="29" t="s">
        <v>268</v>
      </c>
      <c r="C157" s="25" t="s">
        <v>124</v>
      </c>
      <c r="D157" s="26">
        <f>CLN!P157</f>
        <v>268.43</v>
      </c>
      <c r="E157" s="26">
        <f>'MJK2'!P157</f>
        <v>23.83</v>
      </c>
      <c r="F157" s="26">
        <f>'MJK1'!P157</f>
        <v>27.58</v>
      </c>
      <c r="G157" s="26">
        <f>BJR!P157</f>
        <v>59.11</v>
      </c>
      <c r="H157" s="26">
        <f t="shared" si="2"/>
        <v>378.95</v>
      </c>
    </row>
    <row r="158" spans="2:8">
      <c r="B158" s="29" t="s">
        <v>269</v>
      </c>
      <c r="C158" s="33" t="s">
        <v>265</v>
      </c>
      <c r="D158" s="26">
        <f>CLN!P158</f>
        <v>268.43</v>
      </c>
      <c r="E158" s="26">
        <f>'MJK2'!P158</f>
        <v>23.83</v>
      </c>
      <c r="F158" s="26">
        <f>'MJK1'!P158</f>
        <v>27.58</v>
      </c>
      <c r="G158" s="26">
        <f>BJR!P158</f>
        <v>59.11</v>
      </c>
      <c r="H158" s="26">
        <f t="shared" si="2"/>
        <v>378.95</v>
      </c>
    </row>
    <row r="159" spans="2:8">
      <c r="B159" s="29" t="s">
        <v>270</v>
      </c>
      <c r="C159" s="25" t="s">
        <v>271</v>
      </c>
      <c r="D159" s="26">
        <f>CLN!P159</f>
        <v>8998.52</v>
      </c>
      <c r="E159" s="26">
        <f>'MJK2'!P159</f>
        <v>0</v>
      </c>
      <c r="F159" s="26">
        <f>'MJK1'!P159</f>
        <v>3408.34</v>
      </c>
      <c r="G159" s="26">
        <f>BJR!P159</f>
        <v>1407.26</v>
      </c>
      <c r="H159" s="26">
        <f t="shared" si="2"/>
        <v>13814.12</v>
      </c>
    </row>
    <row r="160" spans="2:8">
      <c r="B160" s="29" t="s">
        <v>272</v>
      </c>
      <c r="C160" s="25" t="s">
        <v>273</v>
      </c>
      <c r="D160" s="26" t="str">
        <f>CLN!P160</f>
        <v>-</v>
      </c>
      <c r="E160" s="26">
        <f>'MJK2'!P160</f>
        <v>0</v>
      </c>
      <c r="F160" s="26">
        <f>'MJK1'!P160</f>
        <v>0</v>
      </c>
      <c r="G160" s="26">
        <f>BJR!P160</f>
        <v>0</v>
      </c>
      <c r="H160" s="26">
        <f t="shared" si="2"/>
        <v>0</v>
      </c>
    </row>
    <row r="161" spans="2:8">
      <c r="B161" s="29"/>
      <c r="C161" s="25" t="s">
        <v>274</v>
      </c>
      <c r="D161" s="26">
        <f>CLN!P161</f>
        <v>1487.46</v>
      </c>
      <c r="E161" s="26">
        <f>'MJK2'!P161</f>
        <v>0</v>
      </c>
      <c r="F161" s="26">
        <f>'MJK1'!P161</f>
        <v>0</v>
      </c>
      <c r="G161" s="26">
        <f>BJR!P161</f>
        <v>0</v>
      </c>
      <c r="H161" s="26">
        <f t="shared" si="2"/>
        <v>1487.46</v>
      </c>
    </row>
    <row r="162" spans="2:8">
      <c r="B162" s="29" t="s">
        <v>275</v>
      </c>
      <c r="C162" s="25" t="s">
        <v>276</v>
      </c>
      <c r="D162" s="26">
        <f>CLN!P162</f>
        <v>0</v>
      </c>
      <c r="E162" s="26">
        <f>'MJK2'!P162</f>
        <v>0</v>
      </c>
      <c r="F162" s="26">
        <f>'MJK1'!P162</f>
        <v>0</v>
      </c>
      <c r="G162" s="26">
        <f>BJR!P162</f>
        <v>0</v>
      </c>
      <c r="H162" s="26">
        <f t="shared" si="2"/>
        <v>0</v>
      </c>
    </row>
    <row r="163" spans="2:8">
      <c r="B163" s="29" t="s">
        <v>277</v>
      </c>
      <c r="C163" s="25" t="s">
        <v>278</v>
      </c>
      <c r="D163" s="26">
        <f>CLN!P163</f>
        <v>629.78</v>
      </c>
      <c r="E163" s="26">
        <f>'MJK2'!P163</f>
        <v>0</v>
      </c>
      <c r="F163" s="26">
        <f>'MJK1'!P163</f>
        <v>5383.12</v>
      </c>
      <c r="G163" s="26">
        <f>BJR!P163</f>
        <v>0</v>
      </c>
      <c r="H163" s="26">
        <f t="shared" si="2"/>
        <v>6012.9</v>
      </c>
    </row>
    <row r="164" spans="2:8">
      <c r="B164" s="29" t="s">
        <v>279</v>
      </c>
      <c r="C164" s="25" t="s">
        <v>280</v>
      </c>
      <c r="D164" s="26">
        <f>CLN!P164</f>
        <v>2669.36</v>
      </c>
      <c r="E164" s="26">
        <f>'MJK2'!P164</f>
        <v>458.71</v>
      </c>
      <c r="F164" s="26">
        <f>'MJK1'!P164</f>
        <v>6541.1799999999994</v>
      </c>
      <c r="G164" s="26">
        <f>BJR!P164</f>
        <v>39.85</v>
      </c>
      <c r="H164" s="26">
        <f t="shared" si="2"/>
        <v>9709.1</v>
      </c>
    </row>
    <row r="165" spans="2:8">
      <c r="B165" s="29" t="s">
        <v>281</v>
      </c>
      <c r="C165" s="25" t="s">
        <v>282</v>
      </c>
      <c r="D165" s="26">
        <f>CLN!P165</f>
        <v>569.84</v>
      </c>
      <c r="E165" s="26">
        <f>'MJK2'!P165</f>
        <v>85.86</v>
      </c>
      <c r="F165" s="26">
        <f>'MJK1'!P165</f>
        <v>5682.2400000000007</v>
      </c>
      <c r="G165" s="26">
        <f>BJR!P165</f>
        <v>10.14</v>
      </c>
      <c r="H165" s="26">
        <f t="shared" si="2"/>
        <v>6348.0800000000008</v>
      </c>
    </row>
    <row r="166" spans="2:8">
      <c r="B166" s="29"/>
      <c r="C166" s="27" t="s">
        <v>283</v>
      </c>
      <c r="D166" s="26">
        <f>CLN!P166</f>
        <v>0</v>
      </c>
      <c r="E166" s="26">
        <f>'MJK2'!P166</f>
        <v>0</v>
      </c>
      <c r="F166" s="26">
        <f>'MJK1'!P166</f>
        <v>0</v>
      </c>
      <c r="G166" s="26">
        <f>BJR!P166</f>
        <v>0</v>
      </c>
      <c r="H166" s="26">
        <f t="shared" si="2"/>
        <v>0</v>
      </c>
    </row>
    <row r="167" spans="2:8">
      <c r="B167" s="29" t="s">
        <v>284</v>
      </c>
      <c r="C167" s="25" t="s">
        <v>285</v>
      </c>
      <c r="D167" s="26">
        <f>CLN!P167</f>
        <v>479.85</v>
      </c>
      <c r="E167" s="26">
        <f>'MJK2'!P167</f>
        <v>1268.6299999999999</v>
      </c>
      <c r="F167" s="26">
        <f>'MJK1'!P167</f>
        <v>755.02</v>
      </c>
      <c r="G167" s="26">
        <f>BJR!P167</f>
        <v>428.25</v>
      </c>
      <c r="H167" s="26">
        <f t="shared" si="2"/>
        <v>2931.75</v>
      </c>
    </row>
    <row r="168" spans="2:8">
      <c r="B168" s="29" t="s">
        <v>286</v>
      </c>
      <c r="C168" s="25" t="s">
        <v>287</v>
      </c>
      <c r="D168" s="26">
        <f>CLN!P168</f>
        <v>0</v>
      </c>
      <c r="E168" s="26">
        <f>'MJK2'!P168</f>
        <v>0</v>
      </c>
      <c r="F168" s="26">
        <f>'MJK1'!P168</f>
        <v>0</v>
      </c>
      <c r="G168" s="26">
        <f>BJR!P168</f>
        <v>0</v>
      </c>
      <c r="H168" s="26">
        <f t="shared" si="2"/>
        <v>0</v>
      </c>
    </row>
    <row r="169" spans="2:8">
      <c r="B169" s="29" t="s">
        <v>288</v>
      </c>
      <c r="C169" s="25" t="s">
        <v>289</v>
      </c>
      <c r="D169" s="26" t="str">
        <f>CLN!P169</f>
        <v>-</v>
      </c>
      <c r="E169" s="26">
        <f>'MJK2'!P169</f>
        <v>0</v>
      </c>
      <c r="F169" s="26">
        <f>'MJK1'!P169</f>
        <v>0</v>
      </c>
      <c r="G169" s="26">
        <f>BJR!P169</f>
        <v>0</v>
      </c>
      <c r="H169" s="26">
        <f t="shared" si="2"/>
        <v>0</v>
      </c>
    </row>
    <row r="170" spans="2:8">
      <c r="B170" s="29" t="s">
        <v>290</v>
      </c>
      <c r="C170" s="33" t="s">
        <v>283</v>
      </c>
      <c r="D170" s="26">
        <f>CLN!P170</f>
        <v>479.85</v>
      </c>
      <c r="E170" s="26">
        <f>'MJK2'!P170</f>
        <v>1268.6299999999999</v>
      </c>
      <c r="F170" s="26">
        <f>'MJK1'!P170</f>
        <v>755.02</v>
      </c>
      <c r="G170" s="26">
        <f>BJR!P170</f>
        <v>428.25</v>
      </c>
      <c r="H170" s="26">
        <f t="shared" si="2"/>
        <v>2931.75</v>
      </c>
    </row>
    <row r="171" spans="2:8">
      <c r="B171" s="29"/>
      <c r="C171" s="27" t="s">
        <v>291</v>
      </c>
      <c r="D171" s="26">
        <f>CLN!P171</f>
        <v>0</v>
      </c>
      <c r="E171" s="26">
        <f>'MJK2'!P171</f>
        <v>0</v>
      </c>
      <c r="F171" s="26">
        <f>'MJK1'!P171</f>
        <v>0</v>
      </c>
      <c r="G171" s="26">
        <f>BJR!P171</f>
        <v>0</v>
      </c>
      <c r="H171" s="26">
        <f t="shared" si="2"/>
        <v>0</v>
      </c>
    </row>
    <row r="172" spans="2:8">
      <c r="B172" s="29" t="s">
        <v>292</v>
      </c>
      <c r="C172" s="25" t="s">
        <v>293</v>
      </c>
      <c r="D172" s="26">
        <f>CLN!P172</f>
        <v>4177.6499999999996</v>
      </c>
      <c r="E172" s="26">
        <f>'MJK2'!P172</f>
        <v>1689.63</v>
      </c>
      <c r="F172" s="26">
        <f>'MJK1'!P172</f>
        <v>1301.23</v>
      </c>
      <c r="G172" s="26">
        <f>BJR!P172</f>
        <v>1270.03</v>
      </c>
      <c r="H172" s="26">
        <f t="shared" si="2"/>
        <v>8438.5400000000009</v>
      </c>
    </row>
    <row r="173" spans="2:8">
      <c r="B173" s="29" t="s">
        <v>294</v>
      </c>
      <c r="C173" s="25" t="s">
        <v>295</v>
      </c>
      <c r="D173" s="26">
        <f>CLN!P173</f>
        <v>0</v>
      </c>
      <c r="E173" s="26">
        <f>'MJK2'!P173</f>
        <v>0</v>
      </c>
      <c r="F173" s="26">
        <f>'MJK1'!P173</f>
        <v>0</v>
      </c>
      <c r="G173" s="26">
        <f>BJR!P173</f>
        <v>0</v>
      </c>
      <c r="H173" s="26">
        <f t="shared" si="2"/>
        <v>0</v>
      </c>
    </row>
    <row r="174" spans="2:8">
      <c r="B174" s="29" t="s">
        <v>296</v>
      </c>
      <c r="C174" s="25" t="s">
        <v>297</v>
      </c>
      <c r="D174" s="26">
        <f>CLN!P174</f>
        <v>0</v>
      </c>
      <c r="E174" s="26">
        <f>'MJK2'!P174</f>
        <v>0</v>
      </c>
      <c r="F174" s="26">
        <f>'MJK1'!P174</f>
        <v>0</v>
      </c>
      <c r="G174" s="26">
        <f>BJR!P174</f>
        <v>0</v>
      </c>
      <c r="H174" s="26">
        <f t="shared" si="2"/>
        <v>0</v>
      </c>
    </row>
    <row r="175" spans="2:8">
      <c r="B175" s="29" t="s">
        <v>298</v>
      </c>
      <c r="C175" s="33" t="s">
        <v>291</v>
      </c>
      <c r="D175" s="26">
        <f>CLN!P175</f>
        <v>4177.6499999999996</v>
      </c>
      <c r="E175" s="26">
        <f>'MJK2'!P175</f>
        <v>1689.63</v>
      </c>
      <c r="F175" s="26">
        <f>'MJK1'!P175</f>
        <v>1301.23</v>
      </c>
      <c r="G175" s="26">
        <f>BJR!P175</f>
        <v>1270.03</v>
      </c>
      <c r="H175" s="26">
        <f t="shared" si="2"/>
        <v>8438.5400000000009</v>
      </c>
    </row>
    <row r="176" spans="2:8">
      <c r="B176" s="29" t="s">
        <v>299</v>
      </c>
      <c r="C176" s="25" t="s">
        <v>300</v>
      </c>
      <c r="D176" s="26">
        <f>CLN!P176</f>
        <v>12360.24</v>
      </c>
      <c r="E176" s="26">
        <f>'MJK2'!P176</f>
        <v>18594.060000000001</v>
      </c>
      <c r="F176" s="26">
        <f>'MJK1'!P176</f>
        <v>14254.510000000002</v>
      </c>
      <c r="G176" s="26">
        <f>BJR!P176</f>
        <v>15952.590000000002</v>
      </c>
      <c r="H176" s="26">
        <f t="shared" si="2"/>
        <v>61161.400000000009</v>
      </c>
    </row>
    <row r="177" spans="2:8">
      <c r="B177" s="29" t="s">
        <v>301</v>
      </c>
      <c r="C177" s="25" t="s">
        <v>302</v>
      </c>
      <c r="D177" s="26">
        <f>CLN!P177</f>
        <v>7445.06</v>
      </c>
      <c r="E177" s="26">
        <f>'MJK2'!P177</f>
        <v>743.66</v>
      </c>
      <c r="F177" s="26">
        <f>'MJK1'!P177</f>
        <v>1421.88</v>
      </c>
      <c r="G177" s="26">
        <f>BJR!P177</f>
        <v>46.24</v>
      </c>
      <c r="H177" s="26">
        <f t="shared" si="2"/>
        <v>9656.84</v>
      </c>
    </row>
    <row r="178" spans="2:8">
      <c r="B178" s="29"/>
      <c r="C178" s="27" t="s">
        <v>303</v>
      </c>
      <c r="D178" s="26">
        <f>CLN!P178</f>
        <v>0</v>
      </c>
      <c r="E178" s="26">
        <f>'MJK2'!P178</f>
        <v>0</v>
      </c>
      <c r="F178" s="26">
        <f>'MJK1'!P178</f>
        <v>0</v>
      </c>
      <c r="G178" s="26">
        <f>BJR!P178</f>
        <v>0</v>
      </c>
      <c r="H178" s="26">
        <f t="shared" si="2"/>
        <v>0</v>
      </c>
    </row>
    <row r="179" spans="2:8">
      <c r="B179" s="29" t="s">
        <v>304</v>
      </c>
      <c r="C179" s="25" t="s">
        <v>305</v>
      </c>
      <c r="D179" s="26">
        <f>CLN!P179</f>
        <v>0</v>
      </c>
      <c r="E179" s="26">
        <f>'MJK2'!P179</f>
        <v>0</v>
      </c>
      <c r="F179" s="26">
        <f>'MJK1'!P179</f>
        <v>0</v>
      </c>
      <c r="G179" s="26">
        <f>BJR!P179</f>
        <v>0</v>
      </c>
      <c r="H179" s="26">
        <f t="shared" si="2"/>
        <v>0</v>
      </c>
    </row>
    <row r="180" spans="2:8">
      <c r="B180" s="29" t="s">
        <v>306</v>
      </c>
      <c r="C180" s="25" t="s">
        <v>307</v>
      </c>
      <c r="D180" s="26">
        <f>CLN!P180</f>
        <v>0</v>
      </c>
      <c r="E180" s="26">
        <f>'MJK2'!P180</f>
        <v>0</v>
      </c>
      <c r="F180" s="26">
        <f>'MJK1'!P180</f>
        <v>0</v>
      </c>
      <c r="G180" s="26">
        <f>BJR!P180</f>
        <v>0</v>
      </c>
      <c r="H180" s="26">
        <f t="shared" si="2"/>
        <v>0</v>
      </c>
    </row>
    <row r="181" spans="2:8">
      <c r="B181" s="29"/>
      <c r="C181" s="25" t="s">
        <v>308</v>
      </c>
      <c r="D181" s="26">
        <f>CLN!P181</f>
        <v>0</v>
      </c>
      <c r="E181" s="26">
        <f>'MJK2'!P181</f>
        <v>0</v>
      </c>
      <c r="F181" s="26">
        <f>'MJK1'!P181</f>
        <v>0</v>
      </c>
      <c r="G181" s="26">
        <f>BJR!P181</f>
        <v>0</v>
      </c>
      <c r="H181" s="26">
        <f t="shared" si="2"/>
        <v>0</v>
      </c>
    </row>
    <row r="182" spans="2:8">
      <c r="B182" s="29" t="s">
        <v>309</v>
      </c>
      <c r="C182" s="33" t="s">
        <v>303</v>
      </c>
      <c r="D182" s="26">
        <f>CLN!P182</f>
        <v>0</v>
      </c>
      <c r="E182" s="26">
        <f>'MJK2'!P182</f>
        <v>0</v>
      </c>
      <c r="F182" s="26">
        <f>'MJK1'!P182</f>
        <v>0</v>
      </c>
      <c r="G182" s="26">
        <f>BJR!P182</f>
        <v>0</v>
      </c>
      <c r="H182" s="26">
        <f t="shared" si="2"/>
        <v>0</v>
      </c>
    </row>
    <row r="183" spans="2:8">
      <c r="B183" s="29"/>
      <c r="C183" s="27" t="s">
        <v>310</v>
      </c>
      <c r="D183" s="26">
        <f>CLN!P183</f>
        <v>0</v>
      </c>
      <c r="E183" s="26">
        <f>'MJK2'!P183</f>
        <v>0</v>
      </c>
      <c r="F183" s="26">
        <f>'MJK1'!P183</f>
        <v>0</v>
      </c>
      <c r="G183" s="26">
        <f>BJR!P183</f>
        <v>0</v>
      </c>
      <c r="H183" s="26">
        <f t="shared" si="2"/>
        <v>0</v>
      </c>
    </row>
    <row r="184" spans="2:8">
      <c r="B184" s="29" t="s">
        <v>311</v>
      </c>
      <c r="C184" s="25" t="s">
        <v>166</v>
      </c>
      <c r="D184" s="26">
        <f>CLN!P184</f>
        <v>4165.83</v>
      </c>
      <c r="E184" s="26">
        <f>'MJK2'!P184</f>
        <v>0</v>
      </c>
      <c r="F184" s="26">
        <f>'MJK1'!P184</f>
        <v>0</v>
      </c>
      <c r="G184" s="26">
        <f>BJR!P184</f>
        <v>12285.46</v>
      </c>
      <c r="H184" s="26">
        <f t="shared" si="2"/>
        <v>16451.29</v>
      </c>
    </row>
    <row r="185" spans="2:8">
      <c r="B185" s="29"/>
      <c r="C185" s="25" t="s">
        <v>312</v>
      </c>
      <c r="D185" s="26">
        <f>CLN!P185</f>
        <v>1981.3899999999999</v>
      </c>
      <c r="E185" s="26">
        <f>'MJK2'!P185</f>
        <v>0</v>
      </c>
      <c r="F185" s="26">
        <f>'MJK1'!P185</f>
        <v>0</v>
      </c>
      <c r="G185" s="26">
        <f>BJR!P185</f>
        <v>0</v>
      </c>
      <c r="H185" s="26">
        <f t="shared" si="2"/>
        <v>1981.3899999999999</v>
      </c>
    </row>
    <row r="186" spans="2:8">
      <c r="B186" s="29" t="s">
        <v>313</v>
      </c>
      <c r="C186" s="25" t="s">
        <v>314</v>
      </c>
      <c r="D186" s="26">
        <f>CLN!P186</f>
        <v>0</v>
      </c>
      <c r="E186" s="26">
        <f>'MJK2'!P186</f>
        <v>0</v>
      </c>
      <c r="F186" s="26">
        <f>'MJK1'!P186</f>
        <v>0</v>
      </c>
      <c r="G186" s="26">
        <f>BJR!P186</f>
        <v>0</v>
      </c>
      <c r="H186" s="26">
        <f t="shared" si="2"/>
        <v>0</v>
      </c>
    </row>
    <row r="187" spans="2:8">
      <c r="B187" s="29" t="s">
        <v>315</v>
      </c>
      <c r="C187" s="33" t="s">
        <v>310</v>
      </c>
      <c r="D187" s="26">
        <f>CLN!P187</f>
        <v>6147.2199999999993</v>
      </c>
      <c r="E187" s="26">
        <f>'MJK2'!P187</f>
        <v>0</v>
      </c>
      <c r="F187" s="26">
        <f>'MJK1'!P187</f>
        <v>0</v>
      </c>
      <c r="G187" s="26">
        <f>BJR!P187</f>
        <v>12285.46</v>
      </c>
      <c r="H187" s="26">
        <f t="shared" si="2"/>
        <v>18432.68</v>
      </c>
    </row>
    <row r="188" spans="2:8">
      <c r="B188" s="29" t="s">
        <v>316</v>
      </c>
      <c r="C188" s="27" t="s">
        <v>317</v>
      </c>
      <c r="D188" s="26">
        <f>CLN!P188</f>
        <v>0</v>
      </c>
      <c r="E188" s="26">
        <f>'MJK2'!P188</f>
        <v>0</v>
      </c>
      <c r="F188" s="26">
        <f>'MJK1'!P188</f>
        <v>0</v>
      </c>
      <c r="G188" s="26">
        <f>BJR!P188</f>
        <v>0</v>
      </c>
      <c r="H188" s="26">
        <f t="shared" si="2"/>
        <v>0</v>
      </c>
    </row>
    <row r="189" spans="2:8">
      <c r="B189" s="29" t="s">
        <v>318</v>
      </c>
      <c r="C189" s="25" t="s">
        <v>319</v>
      </c>
      <c r="D189" s="26">
        <f>CLN!P189</f>
        <v>3777.66</v>
      </c>
      <c r="E189" s="26">
        <f>'MJK2'!P189</f>
        <v>0</v>
      </c>
      <c r="F189" s="26">
        <f>'MJK1'!P189</f>
        <v>2066.04</v>
      </c>
      <c r="G189" s="26">
        <f>BJR!P189</f>
        <v>0</v>
      </c>
      <c r="H189" s="26">
        <f t="shared" si="2"/>
        <v>5843.7</v>
      </c>
    </row>
    <row r="190" spans="2:8">
      <c r="B190" s="29" t="s">
        <v>320</v>
      </c>
      <c r="C190" s="25" t="s">
        <v>321</v>
      </c>
      <c r="D190" s="26">
        <f>CLN!P190</f>
        <v>19083.080000000002</v>
      </c>
      <c r="E190" s="26">
        <f>'MJK2'!P190</f>
        <v>0</v>
      </c>
      <c r="F190" s="26">
        <f>'MJK1'!P190</f>
        <v>0</v>
      </c>
      <c r="G190" s="26">
        <f>BJR!P190</f>
        <v>0</v>
      </c>
      <c r="H190" s="26">
        <f t="shared" si="2"/>
        <v>19083.080000000002</v>
      </c>
    </row>
    <row r="191" spans="2:8">
      <c r="B191" s="29">
        <v>816130</v>
      </c>
      <c r="C191" s="25" t="s">
        <v>322</v>
      </c>
      <c r="D191" s="26">
        <f>CLN!P191</f>
        <v>0</v>
      </c>
      <c r="E191" s="26">
        <f>'MJK2'!P191</f>
        <v>0</v>
      </c>
      <c r="F191" s="26">
        <f>'MJK1'!P191</f>
        <v>0</v>
      </c>
      <c r="G191" s="26">
        <f>BJR!P191</f>
        <v>0</v>
      </c>
      <c r="H191" s="26">
        <f t="shared" si="2"/>
        <v>0</v>
      </c>
    </row>
    <row r="192" spans="2:8">
      <c r="B192" s="29" t="s">
        <v>323</v>
      </c>
      <c r="C192" s="25" t="s">
        <v>324</v>
      </c>
      <c r="D192" s="26">
        <f>CLN!P192</f>
        <v>0</v>
      </c>
      <c r="E192" s="26">
        <f>'MJK2'!P192</f>
        <v>0</v>
      </c>
      <c r="F192" s="26">
        <f>'MJK1'!P192</f>
        <v>0</v>
      </c>
      <c r="G192" s="26">
        <f>BJR!P192</f>
        <v>0</v>
      </c>
      <c r="H192" s="26">
        <f t="shared" si="2"/>
        <v>0</v>
      </c>
    </row>
    <row r="193" spans="2:8">
      <c r="B193" s="29" t="s">
        <v>325</v>
      </c>
      <c r="C193" s="92" t="s">
        <v>326</v>
      </c>
      <c r="D193" s="26">
        <f>CLN!P193</f>
        <v>0</v>
      </c>
      <c r="E193" s="26">
        <f>'MJK2'!P193</f>
        <v>0</v>
      </c>
      <c r="F193" s="26">
        <f>'MJK1'!P193</f>
        <v>0</v>
      </c>
      <c r="G193" s="26">
        <f>BJR!P193</f>
        <v>0</v>
      </c>
      <c r="H193" s="26">
        <f t="shared" si="2"/>
        <v>0</v>
      </c>
    </row>
    <row r="194" spans="2:8">
      <c r="B194" s="29"/>
      <c r="C194" s="25" t="s">
        <v>327</v>
      </c>
      <c r="D194" s="26">
        <f>CLN!P194</f>
        <v>0</v>
      </c>
      <c r="E194" s="26">
        <f>'MJK2'!P194</f>
        <v>0</v>
      </c>
      <c r="F194" s="26">
        <f>'MJK1'!P194</f>
        <v>0</v>
      </c>
      <c r="G194" s="26">
        <f>BJR!P194</f>
        <v>0</v>
      </c>
      <c r="H194" s="26">
        <f t="shared" si="2"/>
        <v>0</v>
      </c>
    </row>
    <row r="195" spans="2:8">
      <c r="B195" s="29"/>
      <c r="C195" s="25" t="s">
        <v>328</v>
      </c>
      <c r="D195" s="26">
        <f>CLN!P195</f>
        <v>0</v>
      </c>
      <c r="E195" s="26">
        <f>'MJK2'!P195</f>
        <v>0</v>
      </c>
      <c r="F195" s="26">
        <f>'MJK1'!P195</f>
        <v>0</v>
      </c>
      <c r="G195" s="26">
        <f>BJR!P195</f>
        <v>0</v>
      </c>
      <c r="H195" s="26">
        <f t="shared" si="2"/>
        <v>0</v>
      </c>
    </row>
    <row r="196" spans="2:8">
      <c r="B196" s="29"/>
      <c r="C196" s="25"/>
      <c r="D196" s="26">
        <f>CLN!P196</f>
        <v>0</v>
      </c>
      <c r="E196" s="26">
        <f>'MJK2'!P196</f>
        <v>0</v>
      </c>
      <c r="F196" s="26">
        <f>'MJK1'!P196</f>
        <v>0</v>
      </c>
      <c r="G196" s="26">
        <f>BJR!P196</f>
        <v>0</v>
      </c>
      <c r="H196" s="26">
        <f t="shared" si="2"/>
        <v>0</v>
      </c>
    </row>
    <row r="197" spans="2:8">
      <c r="B197" s="29" t="s">
        <v>316</v>
      </c>
      <c r="C197" s="33" t="s">
        <v>317</v>
      </c>
      <c r="D197" s="26">
        <f>CLN!P197</f>
        <v>22860.74</v>
      </c>
      <c r="E197" s="26">
        <f>'MJK2'!P197</f>
        <v>0</v>
      </c>
      <c r="F197" s="26">
        <f>'MJK1'!P197</f>
        <v>2066.04</v>
      </c>
      <c r="G197" s="26">
        <f>BJR!P197</f>
        <v>0</v>
      </c>
      <c r="H197" s="26">
        <f t="shared" si="2"/>
        <v>24926.780000000002</v>
      </c>
    </row>
    <row r="198" spans="2:8">
      <c r="B198" s="29" t="s">
        <v>329</v>
      </c>
      <c r="C198" s="33" t="s">
        <v>240</v>
      </c>
      <c r="D198" s="26">
        <f>CLN!P198</f>
        <v>207226.62999999995</v>
      </c>
      <c r="E198" s="26">
        <f>'MJK2'!P198</f>
        <v>102290.36000000003</v>
      </c>
      <c r="F198" s="26">
        <f>'MJK1'!P198</f>
        <v>100909.69</v>
      </c>
      <c r="G198" s="26">
        <f>BJR!P198</f>
        <v>55584.31</v>
      </c>
      <c r="H198" s="26">
        <f t="shared" si="2"/>
        <v>466010.99</v>
      </c>
    </row>
    <row r="199" spans="2:8">
      <c r="B199" s="29"/>
      <c r="C199" s="27" t="s">
        <v>330</v>
      </c>
      <c r="D199" s="26">
        <f>CLN!P199</f>
        <v>0</v>
      </c>
      <c r="E199" s="26">
        <f>'MJK2'!P199</f>
        <v>0</v>
      </c>
      <c r="F199" s="26">
        <f>'MJK1'!P199</f>
        <v>0</v>
      </c>
      <c r="G199" s="26">
        <f>BJR!P199</f>
        <v>0</v>
      </c>
      <c r="H199" s="26">
        <f t="shared" ref="H199:H251" si="3">SUM(D199:G199)</f>
        <v>0</v>
      </c>
    </row>
    <row r="200" spans="2:8">
      <c r="B200" s="29"/>
      <c r="C200" s="27" t="s">
        <v>331</v>
      </c>
      <c r="D200" s="26">
        <f>CLN!P200</f>
        <v>0</v>
      </c>
      <c r="E200" s="26">
        <f>'MJK2'!P200</f>
        <v>0</v>
      </c>
      <c r="F200" s="26">
        <f>'MJK1'!P200</f>
        <v>0</v>
      </c>
      <c r="G200" s="26">
        <f>BJR!P200</f>
        <v>0</v>
      </c>
      <c r="H200" s="26">
        <f t="shared" si="3"/>
        <v>0</v>
      </c>
    </row>
    <row r="201" spans="2:8">
      <c r="B201" s="29" t="s">
        <v>332</v>
      </c>
      <c r="C201" s="25" t="s">
        <v>333</v>
      </c>
      <c r="D201" s="26">
        <f>CLN!P201</f>
        <v>25.38</v>
      </c>
      <c r="E201" s="26">
        <f>'MJK2'!P201</f>
        <v>0</v>
      </c>
      <c r="F201" s="26">
        <f>'MJK1'!P201</f>
        <v>0</v>
      </c>
      <c r="G201" s="26">
        <f>BJR!P201</f>
        <v>0</v>
      </c>
      <c r="H201" s="26">
        <f t="shared" si="3"/>
        <v>25.38</v>
      </c>
    </row>
    <row r="202" spans="2:8">
      <c r="B202" s="29" t="s">
        <v>334</v>
      </c>
      <c r="C202" s="25" t="s">
        <v>335</v>
      </c>
      <c r="D202" s="26">
        <f>CLN!P202</f>
        <v>0</v>
      </c>
      <c r="E202" s="26">
        <f>'MJK2'!P202</f>
        <v>0</v>
      </c>
      <c r="F202" s="26">
        <f>'MJK1'!P202</f>
        <v>0</v>
      </c>
      <c r="G202" s="26">
        <f>BJR!P202</f>
        <v>0</v>
      </c>
      <c r="H202" s="26">
        <f t="shared" si="3"/>
        <v>0</v>
      </c>
    </row>
    <row r="203" spans="2:8">
      <c r="B203" s="29"/>
      <c r="C203" s="27" t="s">
        <v>336</v>
      </c>
      <c r="D203" s="26">
        <f>CLN!P203</f>
        <v>0</v>
      </c>
      <c r="E203" s="26">
        <f>'MJK2'!P203</f>
        <v>0</v>
      </c>
      <c r="F203" s="26">
        <f>'MJK1'!P203</f>
        <v>0</v>
      </c>
      <c r="G203" s="26">
        <f>BJR!P203</f>
        <v>0</v>
      </c>
      <c r="H203" s="26">
        <f t="shared" si="3"/>
        <v>0</v>
      </c>
    </row>
    <row r="204" spans="2:8">
      <c r="B204" s="29" t="s">
        <v>337</v>
      </c>
      <c r="C204" s="25" t="s">
        <v>338</v>
      </c>
      <c r="D204" s="26">
        <f>CLN!P204</f>
        <v>-30985.64</v>
      </c>
      <c r="E204" s="26">
        <f>'MJK2'!P204</f>
        <v>0</v>
      </c>
      <c r="F204" s="26">
        <f>'MJK1'!P204</f>
        <v>0</v>
      </c>
      <c r="G204" s="26">
        <f>BJR!P204</f>
        <v>0</v>
      </c>
      <c r="H204" s="26">
        <f t="shared" si="3"/>
        <v>-30985.64</v>
      </c>
    </row>
    <row r="205" spans="2:8">
      <c r="B205" s="29" t="s">
        <v>339</v>
      </c>
      <c r="C205" s="25" t="s">
        <v>340</v>
      </c>
      <c r="D205" s="26">
        <f>CLN!P205</f>
        <v>0</v>
      </c>
      <c r="E205" s="26">
        <f>'MJK2'!P205</f>
        <v>0</v>
      </c>
      <c r="F205" s="26">
        <f>'MJK1'!P205</f>
        <v>0</v>
      </c>
      <c r="G205" s="26">
        <f>BJR!P205</f>
        <v>0</v>
      </c>
      <c r="H205" s="26">
        <f t="shared" si="3"/>
        <v>0</v>
      </c>
    </row>
    <row r="206" spans="2:8">
      <c r="B206" s="29" t="s">
        <v>341</v>
      </c>
      <c r="C206" s="33" t="s">
        <v>336</v>
      </c>
      <c r="D206" s="26">
        <f>CLN!P206</f>
        <v>-30985.64</v>
      </c>
      <c r="E206" s="26">
        <f>'MJK2'!P206</f>
        <v>0</v>
      </c>
      <c r="F206" s="26">
        <f>'MJK1'!P206</f>
        <v>0</v>
      </c>
      <c r="G206" s="26">
        <f>BJR!P206</f>
        <v>0</v>
      </c>
      <c r="H206" s="26">
        <f t="shared" si="3"/>
        <v>-30985.64</v>
      </c>
    </row>
    <row r="207" spans="2:8">
      <c r="B207" s="29" t="s">
        <v>342</v>
      </c>
      <c r="C207" s="25" t="s">
        <v>343</v>
      </c>
      <c r="D207" s="26">
        <f>CLN!P207</f>
        <v>0</v>
      </c>
      <c r="E207" s="26">
        <f>'MJK2'!P207</f>
        <v>0</v>
      </c>
      <c r="F207" s="26">
        <f>'MJK1'!P207</f>
        <v>0</v>
      </c>
      <c r="G207" s="26">
        <f>BJR!P207</f>
        <v>0</v>
      </c>
      <c r="H207" s="26">
        <f t="shared" si="3"/>
        <v>0</v>
      </c>
    </row>
    <row r="208" spans="2:8">
      <c r="B208" s="29" t="s">
        <v>344</v>
      </c>
      <c r="C208" s="25" t="s">
        <v>345</v>
      </c>
      <c r="D208" s="26">
        <f>CLN!P208</f>
        <v>0</v>
      </c>
      <c r="E208" s="26">
        <f>'MJK2'!P208</f>
        <v>0</v>
      </c>
      <c r="F208" s="26">
        <f>'MJK1'!P208</f>
        <v>0</v>
      </c>
      <c r="G208" s="26">
        <f>BJR!P208</f>
        <v>0</v>
      </c>
      <c r="H208" s="26">
        <f t="shared" si="3"/>
        <v>0</v>
      </c>
    </row>
    <row r="209" spans="2:8">
      <c r="B209" s="29" t="s">
        <v>346</v>
      </c>
      <c r="C209" s="25" t="s">
        <v>347</v>
      </c>
      <c r="D209" s="26">
        <f>CLN!P209</f>
        <v>262.3</v>
      </c>
      <c r="E209" s="26">
        <f>'MJK2'!P209</f>
        <v>22.45</v>
      </c>
      <c r="F209" s="26">
        <f>'MJK1'!P209</f>
        <v>11696.710000000001</v>
      </c>
      <c r="G209" s="26">
        <f>BJR!P209</f>
        <v>0</v>
      </c>
      <c r="H209" s="26">
        <f t="shared" si="3"/>
        <v>11981.460000000001</v>
      </c>
    </row>
    <row r="210" spans="2:8">
      <c r="B210" s="29"/>
      <c r="C210" s="25" t="s">
        <v>348</v>
      </c>
      <c r="D210" s="26">
        <f>CLN!P210</f>
        <v>-516.31999999999994</v>
      </c>
      <c r="E210" s="26">
        <f>'MJK2'!P210</f>
        <v>0</v>
      </c>
      <c r="F210" s="26">
        <f>'MJK1'!P210</f>
        <v>0</v>
      </c>
      <c r="G210" s="26">
        <f>BJR!P210</f>
        <v>0</v>
      </c>
      <c r="H210" s="26">
        <f t="shared" si="3"/>
        <v>-516.31999999999994</v>
      </c>
    </row>
    <row r="211" spans="2:8">
      <c r="B211" s="29" t="s">
        <v>349</v>
      </c>
      <c r="C211" s="25" t="s">
        <v>350</v>
      </c>
      <c r="D211" s="26">
        <f>CLN!P211</f>
        <v>0</v>
      </c>
      <c r="E211" s="26">
        <f>'MJK2'!P211</f>
        <v>0</v>
      </c>
      <c r="F211" s="26">
        <f>'MJK1'!P211</f>
        <v>0</v>
      </c>
      <c r="G211" s="26">
        <f>BJR!P211</f>
        <v>0</v>
      </c>
      <c r="H211" s="26">
        <f t="shared" si="3"/>
        <v>0</v>
      </c>
    </row>
    <row r="212" spans="2:8">
      <c r="B212" s="29"/>
      <c r="C212" s="25" t="s">
        <v>351</v>
      </c>
      <c r="D212" s="26">
        <f>CLN!P212</f>
        <v>25406.100000000002</v>
      </c>
      <c r="E212" s="26">
        <f>'MJK2'!P212</f>
        <v>0</v>
      </c>
      <c r="F212" s="26">
        <f>'MJK1'!P212</f>
        <v>0</v>
      </c>
      <c r="G212" s="26">
        <f>BJR!P212</f>
        <v>0</v>
      </c>
      <c r="H212" s="26">
        <f t="shared" si="3"/>
        <v>25406.100000000002</v>
      </c>
    </row>
    <row r="213" spans="2:8">
      <c r="B213" s="29" t="s">
        <v>352</v>
      </c>
      <c r="C213" s="25" t="s">
        <v>353</v>
      </c>
      <c r="D213" s="26">
        <f>CLN!P213</f>
        <v>-12.23</v>
      </c>
      <c r="E213" s="26">
        <f>'MJK2'!P213</f>
        <v>-351.62</v>
      </c>
      <c r="F213" s="26">
        <f>'MJK1'!P213</f>
        <v>-58.250000000000007</v>
      </c>
      <c r="G213" s="26">
        <f>BJR!P213</f>
        <v>-6.59</v>
      </c>
      <c r="H213" s="26">
        <f t="shared" si="3"/>
        <v>-428.69</v>
      </c>
    </row>
    <row r="214" spans="2:8">
      <c r="B214" s="29" t="s">
        <v>354</v>
      </c>
      <c r="C214" s="33" t="s">
        <v>331</v>
      </c>
      <c r="D214" s="26">
        <f>CLN!P214</f>
        <v>-36806.049999999996</v>
      </c>
      <c r="E214" s="26">
        <f>'MJK2'!P214</f>
        <v>-329.17</v>
      </c>
      <c r="F214" s="26">
        <f>'MJK1'!P214</f>
        <v>11638.460000000001</v>
      </c>
      <c r="G214" s="26">
        <f>BJR!P214</f>
        <v>-6.59</v>
      </c>
      <c r="H214" s="26">
        <f t="shared" si="3"/>
        <v>-25503.349999999995</v>
      </c>
    </row>
    <row r="215" spans="2:8">
      <c r="B215" s="29"/>
      <c r="C215" s="27" t="s">
        <v>355</v>
      </c>
      <c r="D215" s="26">
        <f>CLN!P215</f>
        <v>0</v>
      </c>
      <c r="E215" s="26">
        <f>'MJK2'!P215</f>
        <v>0</v>
      </c>
      <c r="F215" s="26">
        <f>'MJK1'!P215</f>
        <v>0</v>
      </c>
      <c r="G215" s="26">
        <f>BJR!P215</f>
        <v>0</v>
      </c>
      <c r="H215" s="26">
        <f t="shared" si="3"/>
        <v>0</v>
      </c>
    </row>
    <row r="216" spans="2:8">
      <c r="B216" s="29"/>
      <c r="C216" s="28" t="s">
        <v>356</v>
      </c>
      <c r="D216" s="26">
        <f>CLN!P216</f>
        <v>0</v>
      </c>
      <c r="E216" s="26">
        <f>'MJK2'!P216</f>
        <v>0</v>
      </c>
      <c r="F216" s="26">
        <f>'MJK1'!P216</f>
        <v>0</v>
      </c>
      <c r="G216" s="26">
        <f>BJR!P216</f>
        <v>0</v>
      </c>
      <c r="H216" s="26">
        <f t="shared" si="3"/>
        <v>0</v>
      </c>
    </row>
    <row r="217" spans="2:8">
      <c r="B217" s="29" t="s">
        <v>357</v>
      </c>
      <c r="C217" s="25" t="s">
        <v>358</v>
      </c>
      <c r="D217" s="26">
        <f>CLN!P217</f>
        <v>0</v>
      </c>
      <c r="E217" s="26">
        <f>'MJK2'!P217</f>
        <v>0</v>
      </c>
      <c r="F217" s="26">
        <f>'MJK1'!P217</f>
        <v>0</v>
      </c>
      <c r="G217" s="26">
        <f>BJR!P217</f>
        <v>0</v>
      </c>
      <c r="H217" s="26">
        <f t="shared" si="3"/>
        <v>0</v>
      </c>
    </row>
    <row r="218" spans="2:8">
      <c r="B218" s="29" t="s">
        <v>359</v>
      </c>
      <c r="C218" s="25" t="s">
        <v>360</v>
      </c>
      <c r="D218" s="26">
        <f>CLN!P218</f>
        <v>77475.839999999997</v>
      </c>
      <c r="E218" s="26">
        <f>'MJK2'!P218</f>
        <v>0</v>
      </c>
      <c r="F218" s="26">
        <f>'MJK1'!P218</f>
        <v>0</v>
      </c>
      <c r="G218" s="26">
        <f>BJR!P218</f>
        <v>0</v>
      </c>
      <c r="H218" s="26">
        <f t="shared" si="3"/>
        <v>77475.839999999997</v>
      </c>
    </row>
    <row r="219" spans="2:8">
      <c r="B219" s="29" t="s">
        <v>361</v>
      </c>
      <c r="C219" s="33" t="s">
        <v>356</v>
      </c>
      <c r="D219" s="26">
        <f>CLN!P219</f>
        <v>77475.839999999997</v>
      </c>
      <c r="E219" s="26">
        <f>'MJK2'!P219</f>
        <v>0</v>
      </c>
      <c r="F219" s="26">
        <f>'MJK1'!P219</f>
        <v>0</v>
      </c>
      <c r="G219" s="26">
        <f>BJR!P219</f>
        <v>0</v>
      </c>
      <c r="H219" s="26">
        <f t="shared" si="3"/>
        <v>77475.839999999997</v>
      </c>
    </row>
    <row r="220" spans="2:8">
      <c r="B220" s="29"/>
      <c r="C220" s="27" t="s">
        <v>362</v>
      </c>
      <c r="D220" s="26">
        <f>CLN!P220</f>
        <v>0</v>
      </c>
      <c r="E220" s="26">
        <f>'MJK2'!P220</f>
        <v>0</v>
      </c>
      <c r="F220" s="26">
        <f>'MJK1'!P220</f>
        <v>0</v>
      </c>
      <c r="G220" s="26">
        <f>BJR!P220</f>
        <v>0</v>
      </c>
      <c r="H220" s="26">
        <f t="shared" si="3"/>
        <v>0</v>
      </c>
    </row>
    <row r="221" spans="2:8">
      <c r="B221" s="29" t="s">
        <v>363</v>
      </c>
      <c r="C221" s="25" t="s">
        <v>364</v>
      </c>
      <c r="D221" s="26">
        <f>CLN!P221</f>
        <v>35916.129999999997</v>
      </c>
      <c r="E221" s="26">
        <f>'MJK2'!P221</f>
        <v>0</v>
      </c>
      <c r="F221" s="26">
        <f>'MJK1'!P221</f>
        <v>0</v>
      </c>
      <c r="G221" s="26">
        <f>BJR!P221</f>
        <v>0</v>
      </c>
      <c r="H221" s="26">
        <f t="shared" si="3"/>
        <v>35916.129999999997</v>
      </c>
    </row>
    <row r="222" spans="2:8">
      <c r="B222" s="29" t="s">
        <v>365</v>
      </c>
      <c r="C222" s="25" t="s">
        <v>366</v>
      </c>
      <c r="D222" s="26">
        <f>CLN!P222</f>
        <v>8463.7199999999993</v>
      </c>
      <c r="E222" s="26">
        <f>'MJK2'!P222</f>
        <v>-249.43</v>
      </c>
      <c r="F222" s="26">
        <f>'MJK1'!P222</f>
        <v>-19941.68</v>
      </c>
      <c r="G222" s="26">
        <f>BJR!P222</f>
        <v>-126.49000000000001</v>
      </c>
      <c r="H222" s="26">
        <f t="shared" si="3"/>
        <v>-11853.880000000001</v>
      </c>
    </row>
    <row r="223" spans="2:8">
      <c r="B223" s="29" t="s">
        <v>367</v>
      </c>
      <c r="C223" s="33" t="s">
        <v>362</v>
      </c>
      <c r="D223" s="26">
        <f>CLN!P223</f>
        <v>44379.85</v>
      </c>
      <c r="E223" s="26">
        <f>'MJK2'!P223</f>
        <v>-249.43</v>
      </c>
      <c r="F223" s="26">
        <f>'MJK1'!P223</f>
        <v>-19941.68</v>
      </c>
      <c r="G223" s="26">
        <f>BJR!P223</f>
        <v>-126.49000000000001</v>
      </c>
      <c r="H223" s="26">
        <f t="shared" si="3"/>
        <v>24062.249999999996</v>
      </c>
    </row>
    <row r="224" spans="2:8">
      <c r="B224" s="29" t="s">
        <v>368</v>
      </c>
      <c r="C224" s="25" t="s">
        <v>369</v>
      </c>
      <c r="D224" s="26">
        <f>CLN!P224</f>
        <v>-24384.710000000003</v>
      </c>
      <c r="E224" s="26">
        <f>'MJK2'!P224</f>
        <v>0</v>
      </c>
      <c r="F224" s="26">
        <f>'MJK1'!P224</f>
        <v>0</v>
      </c>
      <c r="G224" s="26">
        <f>BJR!P224</f>
        <v>0</v>
      </c>
      <c r="H224" s="26">
        <f t="shared" si="3"/>
        <v>-24384.710000000003</v>
      </c>
    </row>
    <row r="225" spans="2:8">
      <c r="B225" s="29"/>
      <c r="C225" s="27" t="s">
        <v>370</v>
      </c>
      <c r="D225" s="26">
        <f>CLN!P225</f>
        <v>0</v>
      </c>
      <c r="E225" s="26">
        <f>'MJK2'!P225</f>
        <v>0</v>
      </c>
      <c r="F225" s="26">
        <f>'MJK1'!P225</f>
        <v>0</v>
      </c>
      <c r="G225" s="26">
        <f>BJR!P225</f>
        <v>0</v>
      </c>
      <c r="H225" s="26">
        <f t="shared" si="3"/>
        <v>0</v>
      </c>
    </row>
    <row r="226" spans="2:8">
      <c r="B226" s="29" t="s">
        <v>371</v>
      </c>
      <c r="C226" s="25" t="s">
        <v>372</v>
      </c>
      <c r="D226" s="26">
        <f>CLN!P226</f>
        <v>6383.8700000000008</v>
      </c>
      <c r="E226" s="26">
        <f>'MJK2'!P226</f>
        <v>1129.0600000000002</v>
      </c>
      <c r="F226" s="26">
        <f>'MJK1'!P226</f>
        <v>401.47999999999996</v>
      </c>
      <c r="G226" s="26">
        <f>BJR!P226</f>
        <v>1.76</v>
      </c>
      <c r="H226" s="26">
        <f t="shared" si="3"/>
        <v>7916.170000000001</v>
      </c>
    </row>
    <row r="227" spans="2:8">
      <c r="B227" s="29" t="s">
        <v>373</v>
      </c>
      <c r="C227" s="25" t="s">
        <v>374</v>
      </c>
      <c r="D227" s="26">
        <f>CLN!P227</f>
        <v>0</v>
      </c>
      <c r="E227" s="26">
        <f>'MJK2'!P227</f>
        <v>0</v>
      </c>
      <c r="F227" s="26">
        <f>'MJK1'!P227</f>
        <v>0</v>
      </c>
      <c r="G227" s="26">
        <f>BJR!P227</f>
        <v>0</v>
      </c>
      <c r="H227" s="26">
        <f t="shared" si="3"/>
        <v>0</v>
      </c>
    </row>
    <row r="228" spans="2:8">
      <c r="B228" s="29"/>
      <c r="C228" s="25" t="s">
        <v>375</v>
      </c>
      <c r="D228" s="26">
        <f>CLN!P228</f>
        <v>0</v>
      </c>
      <c r="E228" s="26">
        <f>'MJK2'!P228</f>
        <v>0</v>
      </c>
      <c r="F228" s="26">
        <f>'MJK1'!P228</f>
        <v>0</v>
      </c>
      <c r="G228" s="26">
        <f>BJR!P228</f>
        <v>0</v>
      </c>
      <c r="H228" s="26">
        <f t="shared" si="3"/>
        <v>0</v>
      </c>
    </row>
    <row r="229" spans="2:8">
      <c r="B229" s="29" t="s">
        <v>376</v>
      </c>
      <c r="C229" s="33" t="s">
        <v>370</v>
      </c>
      <c r="D229" s="26">
        <f>CLN!P229</f>
        <v>6383.8700000000008</v>
      </c>
      <c r="E229" s="26">
        <f>'MJK2'!P229</f>
        <v>1129.0600000000002</v>
      </c>
      <c r="F229" s="26">
        <f>'MJK1'!P229</f>
        <v>401.47999999999996</v>
      </c>
      <c r="G229" s="26">
        <f>BJR!P229</f>
        <v>1.76</v>
      </c>
      <c r="H229" s="26">
        <f t="shared" si="3"/>
        <v>7916.170000000001</v>
      </c>
    </row>
    <row r="230" spans="2:8">
      <c r="B230" s="29"/>
      <c r="C230" s="27" t="s">
        <v>377</v>
      </c>
      <c r="D230" s="26">
        <f>CLN!P230</f>
        <v>0</v>
      </c>
      <c r="E230" s="26">
        <f>'MJK2'!P230</f>
        <v>0</v>
      </c>
      <c r="F230" s="26">
        <f>'MJK1'!P230</f>
        <v>0</v>
      </c>
      <c r="G230" s="26">
        <f>BJR!P230</f>
        <v>0</v>
      </c>
      <c r="H230" s="26">
        <f t="shared" si="3"/>
        <v>0</v>
      </c>
    </row>
    <row r="231" spans="2:8">
      <c r="B231" s="29" t="s">
        <v>378</v>
      </c>
      <c r="C231" s="25" t="s">
        <v>379</v>
      </c>
      <c r="D231" s="26">
        <f>CLN!P231</f>
        <v>0</v>
      </c>
      <c r="E231" s="26">
        <f>'MJK2'!P231</f>
        <v>0</v>
      </c>
      <c r="F231" s="26">
        <f>'MJK1'!P231</f>
        <v>0</v>
      </c>
      <c r="G231" s="26">
        <f>BJR!P231</f>
        <v>0</v>
      </c>
      <c r="H231" s="26">
        <f t="shared" si="3"/>
        <v>0</v>
      </c>
    </row>
    <row r="232" spans="2:8">
      <c r="B232" s="29" t="s">
        <v>380</v>
      </c>
      <c r="C232" s="25" t="s">
        <v>381</v>
      </c>
      <c r="D232" s="26">
        <f>CLN!P232</f>
        <v>0</v>
      </c>
      <c r="E232" s="26">
        <f>'MJK2'!P232</f>
        <v>0</v>
      </c>
      <c r="F232" s="26">
        <f>'MJK1'!P232</f>
        <v>0</v>
      </c>
      <c r="G232" s="26">
        <f>BJR!P232</f>
        <v>0</v>
      </c>
      <c r="H232" s="26">
        <f t="shared" si="3"/>
        <v>0</v>
      </c>
    </row>
    <row r="233" spans="2:8">
      <c r="B233" s="29" t="s">
        <v>382</v>
      </c>
      <c r="C233" s="33" t="s">
        <v>377</v>
      </c>
      <c r="D233" s="26">
        <f>CLN!P233</f>
        <v>0</v>
      </c>
      <c r="E233" s="26">
        <f>'MJK2'!P233</f>
        <v>0</v>
      </c>
      <c r="F233" s="26">
        <f>'MJK1'!P233</f>
        <v>0</v>
      </c>
      <c r="G233" s="26">
        <f>BJR!P233</f>
        <v>0</v>
      </c>
      <c r="H233" s="26">
        <f t="shared" si="3"/>
        <v>0</v>
      </c>
    </row>
    <row r="234" spans="2:8">
      <c r="B234" s="29" t="s">
        <v>383</v>
      </c>
      <c r="C234" s="25" t="s">
        <v>384</v>
      </c>
      <c r="D234" s="26">
        <f>CLN!P234</f>
        <v>0</v>
      </c>
      <c r="E234" s="26">
        <f>'MJK2'!P234</f>
        <v>0</v>
      </c>
      <c r="F234" s="26">
        <f>'MJK1'!P234</f>
        <v>0</v>
      </c>
      <c r="G234" s="26">
        <f>BJR!P234</f>
        <v>0</v>
      </c>
      <c r="H234" s="26">
        <f t="shared" si="3"/>
        <v>0</v>
      </c>
    </row>
    <row r="235" spans="2:8">
      <c r="B235" s="29" t="s">
        <v>385</v>
      </c>
      <c r="C235" s="25" t="s">
        <v>386</v>
      </c>
      <c r="D235" s="26">
        <f>CLN!P235</f>
        <v>-486.01000000000005</v>
      </c>
      <c r="E235" s="26">
        <f>'MJK2'!P235</f>
        <v>2014.1899999999998</v>
      </c>
      <c r="F235" s="26">
        <f>'MJK1'!P235</f>
        <v>1102.3899999999999</v>
      </c>
      <c r="G235" s="26">
        <f>BJR!P235</f>
        <v>246.12</v>
      </c>
      <c r="H235" s="26">
        <f t="shared" si="3"/>
        <v>2876.6899999999996</v>
      </c>
    </row>
    <row r="236" spans="2:8">
      <c r="B236" s="29" t="s">
        <v>387</v>
      </c>
      <c r="C236" s="25" t="s">
        <v>388</v>
      </c>
      <c r="D236" s="26">
        <f>CLN!P236</f>
        <v>0</v>
      </c>
      <c r="E236" s="26">
        <f>'MJK2'!P236</f>
        <v>0</v>
      </c>
      <c r="F236" s="26">
        <f>'MJK1'!P236</f>
        <v>0</v>
      </c>
      <c r="G236" s="26">
        <f>BJR!P236</f>
        <v>0</v>
      </c>
      <c r="H236" s="26">
        <f t="shared" si="3"/>
        <v>0</v>
      </c>
    </row>
    <row r="237" spans="2:8">
      <c r="B237" s="29" t="s">
        <v>389</v>
      </c>
      <c r="C237" s="25" t="s">
        <v>390</v>
      </c>
      <c r="D237" s="26">
        <f>CLN!P237</f>
        <v>0</v>
      </c>
      <c r="E237" s="26">
        <f>'MJK2'!P237</f>
        <v>0</v>
      </c>
      <c r="F237" s="26">
        <f>'MJK1'!P237</f>
        <v>-14.16</v>
      </c>
      <c r="G237" s="26">
        <f>BJR!P237</f>
        <v>0</v>
      </c>
      <c r="H237" s="26">
        <f t="shared" si="3"/>
        <v>-14.16</v>
      </c>
    </row>
    <row r="238" spans="2:8">
      <c r="B238" s="29" t="s">
        <v>391</v>
      </c>
      <c r="C238" s="25" t="s">
        <v>392</v>
      </c>
      <c r="D238" s="26">
        <f>CLN!P238</f>
        <v>0</v>
      </c>
      <c r="E238" s="26">
        <f>'MJK2'!P238</f>
        <v>0</v>
      </c>
      <c r="F238" s="26">
        <f>'MJK1'!P238</f>
        <v>0</v>
      </c>
      <c r="G238" s="26">
        <f>BJR!P238</f>
        <v>0</v>
      </c>
      <c r="H238" s="26">
        <f t="shared" si="3"/>
        <v>0</v>
      </c>
    </row>
    <row r="239" spans="2:8">
      <c r="B239" s="29"/>
      <c r="C239" s="25" t="s">
        <v>393</v>
      </c>
      <c r="D239" s="26">
        <f>CLN!P239</f>
        <v>0</v>
      </c>
      <c r="E239" s="26">
        <f>'MJK2'!P239</f>
        <v>0</v>
      </c>
      <c r="F239" s="26">
        <f>'MJK1'!P239</f>
        <v>0</v>
      </c>
      <c r="G239" s="26">
        <f>BJR!P239</f>
        <v>0</v>
      </c>
      <c r="H239" s="26">
        <f t="shared" si="3"/>
        <v>0</v>
      </c>
    </row>
    <row r="240" spans="2:8">
      <c r="B240" s="29" t="s">
        <v>394</v>
      </c>
      <c r="C240" s="25" t="s">
        <v>350</v>
      </c>
      <c r="D240" s="26">
        <f>CLN!P240</f>
        <v>0</v>
      </c>
      <c r="E240" s="26">
        <f>'MJK2'!P240</f>
        <v>0</v>
      </c>
      <c r="F240" s="26">
        <f>'MJK1'!P240</f>
        <v>0</v>
      </c>
      <c r="G240" s="26">
        <f>BJR!P240</f>
        <v>0</v>
      </c>
      <c r="H240" s="26">
        <f t="shared" si="3"/>
        <v>0</v>
      </c>
    </row>
    <row r="241" spans="2:8">
      <c r="B241" s="29"/>
      <c r="C241" s="25" t="s">
        <v>395</v>
      </c>
      <c r="D241" s="26">
        <f>CLN!P241</f>
        <v>0</v>
      </c>
      <c r="E241" s="26">
        <f>'MJK2'!P241</f>
        <v>0</v>
      </c>
      <c r="F241" s="26">
        <f>'MJK1'!P241</f>
        <v>0</v>
      </c>
      <c r="G241" s="26">
        <f>BJR!P241</f>
        <v>0</v>
      </c>
      <c r="H241" s="26">
        <f t="shared" si="3"/>
        <v>0</v>
      </c>
    </row>
    <row r="242" spans="2:8">
      <c r="B242" s="29" t="s">
        <v>396</v>
      </c>
      <c r="C242" s="25" t="s">
        <v>353</v>
      </c>
      <c r="D242" s="26">
        <f>CLN!P242</f>
        <v>-12.23</v>
      </c>
      <c r="E242" s="26">
        <f>'MJK2'!P242</f>
        <v>-351.62</v>
      </c>
      <c r="F242" s="26">
        <f>'MJK1'!P242</f>
        <v>-58.250000000000007</v>
      </c>
      <c r="G242" s="26">
        <f>BJR!P242</f>
        <v>-6.59</v>
      </c>
      <c r="H242" s="26">
        <f t="shared" si="3"/>
        <v>-428.69</v>
      </c>
    </row>
    <row r="243" spans="2:8">
      <c r="B243" s="29" t="s">
        <v>397</v>
      </c>
      <c r="C243" s="33" t="s">
        <v>355</v>
      </c>
      <c r="D243" s="26">
        <f>CLN!P243</f>
        <v>103356.61</v>
      </c>
      <c r="E243" s="26">
        <f>'MJK2'!P243</f>
        <v>2542.1999999999998</v>
      </c>
      <c r="F243" s="26">
        <f>'MJK1'!P243</f>
        <v>-18510.22</v>
      </c>
      <c r="G243" s="26">
        <f>BJR!P243</f>
        <v>114.8</v>
      </c>
      <c r="H243" s="26">
        <f t="shared" si="3"/>
        <v>87503.39</v>
      </c>
    </row>
    <row r="244" spans="2:8">
      <c r="B244" s="29" t="s">
        <v>398</v>
      </c>
      <c r="C244" s="25" t="s">
        <v>399</v>
      </c>
      <c r="D244" s="26">
        <f>CLN!P244</f>
        <v>0</v>
      </c>
      <c r="E244" s="26">
        <f>'MJK2'!P244</f>
        <v>0</v>
      </c>
      <c r="F244" s="26">
        <f>'MJK1'!P244</f>
        <v>0</v>
      </c>
      <c r="G244" s="26">
        <f>BJR!P244</f>
        <v>0</v>
      </c>
      <c r="H244" s="26">
        <f t="shared" si="3"/>
        <v>0</v>
      </c>
    </row>
    <row r="245" spans="2:8">
      <c r="B245" s="29" t="s">
        <v>400</v>
      </c>
      <c r="C245" s="25" t="s">
        <v>401</v>
      </c>
      <c r="D245" s="26">
        <f>CLN!P245</f>
        <v>0</v>
      </c>
      <c r="E245" s="26">
        <f>'MJK2'!P245</f>
        <v>0</v>
      </c>
      <c r="F245" s="26">
        <f>'MJK1'!P245</f>
        <v>0</v>
      </c>
      <c r="G245" s="26">
        <f>BJR!P245</f>
        <v>0</v>
      </c>
      <c r="H245" s="26">
        <f t="shared" si="3"/>
        <v>0</v>
      </c>
    </row>
    <row r="246" spans="2:8">
      <c r="B246" s="29" t="s">
        <v>402</v>
      </c>
      <c r="C246" s="25" t="s">
        <v>403</v>
      </c>
      <c r="D246" s="26">
        <f>CLN!P246</f>
        <v>0</v>
      </c>
      <c r="E246" s="26">
        <f>'MJK2'!P246</f>
        <v>0</v>
      </c>
      <c r="F246" s="26">
        <f>'MJK1'!P246</f>
        <v>0</v>
      </c>
      <c r="G246" s="26">
        <f>BJR!P246</f>
        <v>0</v>
      </c>
      <c r="H246" s="26">
        <f t="shared" si="3"/>
        <v>0</v>
      </c>
    </row>
    <row r="247" spans="2:8">
      <c r="B247" s="29" t="s">
        <v>404</v>
      </c>
      <c r="C247" s="25" t="s">
        <v>405</v>
      </c>
      <c r="D247" s="26">
        <f>CLN!P247</f>
        <v>0</v>
      </c>
      <c r="E247" s="26">
        <f>'MJK2'!P247</f>
        <v>0</v>
      </c>
      <c r="F247" s="26">
        <f>'MJK1'!P247</f>
        <v>0</v>
      </c>
      <c r="G247" s="26">
        <f>BJR!P247</f>
        <v>0</v>
      </c>
      <c r="H247" s="26">
        <f t="shared" si="3"/>
        <v>0</v>
      </c>
    </row>
    <row r="248" spans="2:8">
      <c r="B248" s="29" t="s">
        <v>406</v>
      </c>
      <c r="C248" s="33" t="s">
        <v>330</v>
      </c>
      <c r="D248" s="26">
        <f>CLN!P248</f>
        <v>66550.559999999998</v>
      </c>
      <c r="E248" s="26">
        <f>'MJK2'!P248</f>
        <v>2213.0299999999997</v>
      </c>
      <c r="F248" s="26">
        <f>'MJK1'!P248</f>
        <v>-6871.76</v>
      </c>
      <c r="G248" s="26">
        <f>BJR!P248</f>
        <v>108.21</v>
      </c>
      <c r="H248" s="26">
        <f t="shared" si="3"/>
        <v>62000.039999999994</v>
      </c>
    </row>
    <row r="249" spans="2:8">
      <c r="B249" s="29" t="s">
        <v>407</v>
      </c>
      <c r="C249" s="25" t="s">
        <v>408</v>
      </c>
      <c r="D249" s="26">
        <f>CLN!P249</f>
        <v>0</v>
      </c>
      <c r="E249" s="26">
        <f>'MJK2'!P249</f>
        <v>0</v>
      </c>
      <c r="F249" s="26">
        <f>'MJK1'!P249</f>
        <v>0</v>
      </c>
      <c r="G249" s="26">
        <f>BJR!P249</f>
        <v>0</v>
      </c>
      <c r="H249" s="26">
        <f t="shared" si="3"/>
        <v>0</v>
      </c>
    </row>
    <row r="250" spans="2:8">
      <c r="B250" s="29" t="s">
        <v>409</v>
      </c>
      <c r="C250" s="25" t="s">
        <v>410</v>
      </c>
      <c r="D250" s="26">
        <f>CLN!P250</f>
        <v>0</v>
      </c>
      <c r="E250" s="26">
        <f>'MJK2'!P250</f>
        <v>0</v>
      </c>
      <c r="F250" s="26">
        <f>'MJK1'!P250</f>
        <v>0</v>
      </c>
      <c r="G250" s="26">
        <f>BJR!P250</f>
        <v>0</v>
      </c>
      <c r="H250" s="26">
        <f t="shared" si="3"/>
        <v>0</v>
      </c>
    </row>
    <row r="251" spans="2:8">
      <c r="B251" s="29"/>
      <c r="C251" s="25" t="s">
        <v>411</v>
      </c>
      <c r="D251" s="26">
        <f>CLN!P251</f>
        <v>0</v>
      </c>
      <c r="E251" s="26">
        <f>'MJK2'!P251</f>
        <v>0</v>
      </c>
      <c r="F251" s="26">
        <f>'MJK1'!P251</f>
        <v>0</v>
      </c>
      <c r="G251" s="26">
        <f>BJR!P251</f>
        <v>0</v>
      </c>
      <c r="H251" s="26">
        <f t="shared" si="3"/>
        <v>0</v>
      </c>
    </row>
    <row r="252" spans="2:8">
      <c r="B252" s="24"/>
      <c r="C252" s="25" t="s">
        <v>408</v>
      </c>
      <c r="D252" s="26">
        <f>CLN!P252</f>
        <v>0</v>
      </c>
      <c r="E252" s="26">
        <f>'MJK2'!P252</f>
        <v>0</v>
      </c>
      <c r="F252" s="26">
        <f>'MJK1'!P252</f>
        <v>0</v>
      </c>
      <c r="G252" s="26">
        <f>BJR!P252</f>
        <v>0</v>
      </c>
      <c r="H252" s="26">
        <f t="shared" ref="H252:H253" si="4">SUM(D252:G252)</f>
        <v>0</v>
      </c>
    </row>
    <row r="253" spans="2:8" ht="18.75">
      <c r="B253" s="84"/>
      <c r="C253" s="85" t="s">
        <v>412</v>
      </c>
      <c r="D253" s="84">
        <f>CLN!P253</f>
        <v>-9174479.9199999999</v>
      </c>
      <c r="E253" s="84">
        <f>'MJK2'!P253</f>
        <v>-639420.46000000008</v>
      </c>
      <c r="F253" s="84">
        <f>'MJK1'!P253</f>
        <v>3826451.0299999993</v>
      </c>
      <c r="G253" s="84">
        <f>BJR!P253</f>
        <v>-479458.44</v>
      </c>
      <c r="H253" s="86">
        <f t="shared" si="4"/>
        <v>-6466907.7900000019</v>
      </c>
    </row>
    <row r="256" spans="2:8">
      <c r="D256" s="36" t="s">
        <v>419</v>
      </c>
    </row>
    <row r="257" spans="4:4">
      <c r="D257" s="36" t="s">
        <v>420</v>
      </c>
    </row>
    <row r="264" spans="4:4">
      <c r="D264" s="36" t="s">
        <v>421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1865A-9B9F-44E6-840D-86970ADD166A}">
  <sheetPr codeName="Sheet31">
    <pageSetUpPr fitToPage="1"/>
  </sheetPr>
  <dimension ref="B1:H253"/>
  <sheetViews>
    <sheetView topLeftCell="B1" zoomScale="85" zoomScaleNormal="85" workbookViewId="0">
      <pane ySplit="5" topLeftCell="A234" activePane="bottomLeft" state="frozen"/>
      <selection pane="bottomLeft" activeCell="D8" sqref="D8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469</v>
      </c>
    </row>
    <row r="4" spans="2:8" ht="18.75">
      <c r="B4" s="93" t="s">
        <v>11</v>
      </c>
      <c r="C4" s="93" t="s">
        <v>12</v>
      </c>
      <c r="D4" s="94" t="s">
        <v>414</v>
      </c>
      <c r="E4" s="94"/>
      <c r="F4" s="94"/>
      <c r="G4" s="94"/>
      <c r="H4" s="95"/>
    </row>
    <row r="5" spans="2:8" ht="24" customHeight="1">
      <c r="B5" s="93"/>
      <c r="C5" s="93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25" customHeight="1">
      <c r="B6" s="24"/>
      <c r="C6" s="25" t="s">
        <v>26</v>
      </c>
      <c r="D6" s="26" t="s">
        <v>436</v>
      </c>
      <c r="E6" s="26" t="s">
        <v>436</v>
      </c>
      <c r="F6" s="26" t="s">
        <v>436</v>
      </c>
      <c r="G6" s="26" t="s">
        <v>436</v>
      </c>
      <c r="H6" s="26"/>
    </row>
    <row r="7" spans="2:8" ht="17.45" customHeight="1">
      <c r="B7" s="24"/>
      <c r="C7" s="25" t="s">
        <v>27</v>
      </c>
      <c r="D7" s="26" t="s">
        <v>436</v>
      </c>
      <c r="E7" s="26" t="s">
        <v>436</v>
      </c>
      <c r="F7" s="26" t="s">
        <v>436</v>
      </c>
      <c r="G7" s="26" t="s">
        <v>436</v>
      </c>
      <c r="H7" s="26"/>
    </row>
    <row r="8" spans="2:8" ht="17.45" customHeight="1">
      <c r="B8" s="24" t="s">
        <v>28</v>
      </c>
      <c r="C8" s="25" t="s">
        <v>29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30</v>
      </c>
      <c r="C9" s="25" t="s">
        <v>31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32</v>
      </c>
      <c r="C10" s="25" t="s">
        <v>33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34</v>
      </c>
      <c r="C11" s="25" t="s">
        <v>35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36</v>
      </c>
      <c r="C12" s="25" t="s">
        <v>37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38</v>
      </c>
      <c r="C13" s="25" t="s">
        <v>39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40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41</v>
      </c>
      <c r="C15" s="25" t="s">
        <v>27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42</v>
      </c>
      <c r="C16" s="25" t="s">
        <v>43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44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45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46</v>
      </c>
      <c r="C19" s="25" t="s">
        <v>47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48</v>
      </c>
      <c r="C20" s="25" t="s">
        <v>49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50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51</v>
      </c>
      <c r="C22" s="25" t="s">
        <v>52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53</v>
      </c>
      <c r="C23" s="25" t="s">
        <v>54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55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56</v>
      </c>
      <c r="C25" s="25" t="s">
        <v>57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58</v>
      </c>
      <c r="C26" s="25" t="s">
        <v>59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60</v>
      </c>
      <c r="C27" s="25" t="s">
        <v>61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62</v>
      </c>
      <c r="C28" s="25" t="s">
        <v>63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64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65</v>
      </c>
      <c r="C30" s="25" t="s">
        <v>66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67</v>
      </c>
      <c r="C31" s="25" t="s">
        <v>68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69</v>
      </c>
      <c r="C32" s="25" t="s">
        <v>70</v>
      </c>
      <c r="D32" s="26" t="s">
        <v>432</v>
      </c>
      <c r="E32" s="26" t="s">
        <v>432</v>
      </c>
      <c r="F32" s="26" t="s">
        <v>432</v>
      </c>
      <c r="G32" s="26" t="s">
        <v>432</v>
      </c>
      <c r="H32" s="26">
        <f t="shared" si="0"/>
        <v>0</v>
      </c>
    </row>
    <row r="33" spans="2:8">
      <c r="B33" s="24" t="s">
        <v>71</v>
      </c>
      <c r="C33" s="25" t="s">
        <v>72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73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74</v>
      </c>
      <c r="C35" s="25" t="s">
        <v>75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76</v>
      </c>
      <c r="C36" s="25" t="s">
        <v>77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78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79</v>
      </c>
      <c r="C38" s="25" t="s">
        <v>80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81</v>
      </c>
      <c r="C39" s="25" t="s">
        <v>82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83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84</v>
      </c>
      <c r="C41" s="25" t="s">
        <v>85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86</v>
      </c>
      <c r="C42" s="25" t="s">
        <v>87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88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89</v>
      </c>
      <c r="C44" s="25" t="s">
        <v>90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91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92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93</v>
      </c>
      <c r="C47" s="25" t="s">
        <v>83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94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95</v>
      </c>
      <c r="C49" s="25" t="s">
        <v>96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97</v>
      </c>
      <c r="C50" s="25" t="s">
        <v>98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99</v>
      </c>
      <c r="C51" s="25" t="s">
        <v>100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101</v>
      </c>
      <c r="C52" s="25" t="s">
        <v>94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102</v>
      </c>
      <c r="C53" s="25" t="s">
        <v>103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104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105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106</v>
      </c>
      <c r="C56" s="25" t="s">
        <v>107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108</v>
      </c>
      <c r="C57" s="25" t="s">
        <v>109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110</v>
      </c>
      <c r="C58" s="25" t="s">
        <v>111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112</v>
      </c>
      <c r="C59" s="25" t="s">
        <v>113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114</v>
      </c>
      <c r="C60" s="25" t="s">
        <v>115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116</v>
      </c>
      <c r="C61" s="25" t="s">
        <v>105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117</v>
      </c>
      <c r="C62" s="25" t="s">
        <v>118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119</v>
      </c>
      <c r="C63" s="25" t="s">
        <v>120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121</v>
      </c>
      <c r="C64" s="25" t="s">
        <v>122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123</v>
      </c>
      <c r="C65" s="25" t="s">
        <v>124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125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126</v>
      </c>
      <c r="C67" s="25" t="s">
        <v>127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128</v>
      </c>
      <c r="C68" s="25" t="s">
        <v>129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130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131</v>
      </c>
      <c r="C70" s="25" t="s">
        <v>125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132</v>
      </c>
      <c r="C71" s="25" t="s">
        <v>133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134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135</v>
      </c>
      <c r="C73" s="25" t="s">
        <v>136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137</v>
      </c>
      <c r="C74" s="25" t="s">
        <v>138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139</v>
      </c>
      <c r="C75" s="25" t="s">
        <v>140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141</v>
      </c>
      <c r="C76" s="25" t="s">
        <v>142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143</v>
      </c>
      <c r="C77" s="25" t="s">
        <v>144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145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146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147</v>
      </c>
      <c r="C80" s="25" t="s">
        <v>134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148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149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150</v>
      </c>
      <c r="C83" s="25" t="s">
        <v>151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152</v>
      </c>
      <c r="C84" s="25" t="s">
        <v>153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154</v>
      </c>
      <c r="C85" s="25" t="s">
        <v>155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156</v>
      </c>
      <c r="C86" s="25" t="s">
        <v>157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158</v>
      </c>
      <c r="C87" s="25" t="s">
        <v>159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160</v>
      </c>
      <c r="C88" s="25" t="s">
        <v>161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162</v>
      </c>
      <c r="C89" s="25" t="s">
        <v>148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163</v>
      </c>
      <c r="C90" s="25" t="s">
        <v>164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165</v>
      </c>
      <c r="C91" s="25" t="s">
        <v>166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167</v>
      </c>
      <c r="C92" s="25" t="s">
        <v>168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169</v>
      </c>
      <c r="C93" s="25" t="s">
        <v>170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171</v>
      </c>
      <c r="C94" s="25" t="s">
        <v>172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173</v>
      </c>
      <c r="C95" s="25" t="s">
        <v>174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175</v>
      </c>
      <c r="C96" s="25" t="s">
        <v>176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177</v>
      </c>
      <c r="C97" s="25" t="s">
        <v>178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179</v>
      </c>
      <c r="C98" s="25" t="s">
        <v>180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181</v>
      </c>
      <c r="C99" s="25" t="s">
        <v>182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183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167</v>
      </c>
      <c r="C101" s="25" t="s">
        <v>168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184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185</v>
      </c>
      <c r="C103" s="25" t="s">
        <v>186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187</v>
      </c>
      <c r="C104" s="25" t="s">
        <v>188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189</v>
      </c>
      <c r="C105" s="25" t="s">
        <v>190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191</v>
      </c>
      <c r="C106" s="25" t="s">
        <v>184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192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193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194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195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196</v>
      </c>
      <c r="C111" s="25" t="s">
        <v>104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197</v>
      </c>
      <c r="C112" s="25" t="s">
        <v>198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199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200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201</v>
      </c>
      <c r="C115" s="25" t="s">
        <v>202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203</v>
      </c>
      <c r="C116" s="25" t="s">
        <v>204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205</v>
      </c>
      <c r="C117" s="25" t="s">
        <v>200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206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207</v>
      </c>
      <c r="C119" s="25" t="s">
        <v>208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209</v>
      </c>
      <c r="C120" s="25" t="s">
        <v>210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211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212</v>
      </c>
      <c r="C122" s="25" t="s">
        <v>213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214</v>
      </c>
      <c r="C123" s="25" t="s">
        <v>215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216</v>
      </c>
      <c r="C124" s="25" t="s">
        <v>217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218</v>
      </c>
      <c r="C125" s="25" t="s">
        <v>219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220</v>
      </c>
      <c r="C126" s="25" t="s">
        <v>221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222</v>
      </c>
      <c r="C127" s="25" t="s">
        <v>223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224</v>
      </c>
      <c r="C128" s="25" t="s">
        <v>211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225</v>
      </c>
      <c r="C129" s="25" t="s">
        <v>226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227</v>
      </c>
      <c r="C130" s="25" t="s">
        <v>228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229</v>
      </c>
      <c r="C131" s="25" t="s">
        <v>230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231</v>
      </c>
      <c r="C132" s="25" t="s">
        <v>206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232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233</v>
      </c>
      <c r="C134" s="25" t="s">
        <v>39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234</v>
      </c>
      <c r="C135" s="25" t="s">
        <v>235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236</v>
      </c>
      <c r="C136" s="25" t="s">
        <v>237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238</v>
      </c>
      <c r="C137" s="25" t="s">
        <v>232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239</v>
      </c>
      <c r="C138" s="25" t="s">
        <v>199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240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241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242</v>
      </c>
      <c r="C141" s="25" t="s">
        <v>243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244</v>
      </c>
      <c r="C142" s="25" t="s">
        <v>245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246</v>
      </c>
      <c r="C143" s="25" t="s">
        <v>247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248</v>
      </c>
      <c r="C144" s="25" t="s">
        <v>118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249</v>
      </c>
      <c r="C145" s="25" t="s">
        <v>250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251</v>
      </c>
      <c r="C146" s="25" t="s">
        <v>252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253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254</v>
      </c>
      <c r="C148" s="25" t="s">
        <v>241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255</v>
      </c>
      <c r="D149" s="26" t="s">
        <v>432</v>
      </c>
      <c r="E149" s="26" t="s">
        <v>432</v>
      </c>
      <c r="F149" s="26" t="s">
        <v>432</v>
      </c>
      <c r="G149" s="26" t="s">
        <v>432</v>
      </c>
      <c r="H149" s="26">
        <f t="shared" si="2"/>
        <v>0</v>
      </c>
    </row>
    <row r="150" spans="2:8">
      <c r="B150" s="24" t="s">
        <v>256</v>
      </c>
      <c r="C150" s="25" t="s">
        <v>257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258</v>
      </c>
      <c r="C151" s="25" t="s">
        <v>259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260</v>
      </c>
      <c r="C152" s="25" t="s">
        <v>261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262</v>
      </c>
      <c r="C153" s="25" t="s">
        <v>263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264</v>
      </c>
      <c r="C154" s="25" t="s">
        <v>255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265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266</v>
      </c>
      <c r="C156" s="25" t="s">
        <v>267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268</v>
      </c>
      <c r="C157" s="25" t="s">
        <v>124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269</v>
      </c>
      <c r="C158" s="25" t="s">
        <v>265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270</v>
      </c>
      <c r="C159" s="25" t="s">
        <v>271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272</v>
      </c>
      <c r="C160" s="25" t="s">
        <v>273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274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275</v>
      </c>
      <c r="C162" s="25" t="s">
        <v>276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277</v>
      </c>
      <c r="C163" s="25" t="s">
        <v>278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279</v>
      </c>
      <c r="C164" s="25" t="s">
        <v>280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281</v>
      </c>
      <c r="C165" s="25" t="s">
        <v>282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283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284</v>
      </c>
      <c r="C167" s="25" t="s">
        <v>285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286</v>
      </c>
      <c r="C168" s="25" t="s">
        <v>287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288</v>
      </c>
      <c r="C169" s="25" t="s">
        <v>289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290</v>
      </c>
      <c r="C170" s="25" t="s">
        <v>283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291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292</v>
      </c>
      <c r="C172" s="25" t="s">
        <v>293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294</v>
      </c>
      <c r="C173" s="25" t="s">
        <v>295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296</v>
      </c>
      <c r="C174" s="25" t="s">
        <v>297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298</v>
      </c>
      <c r="C175" s="25" t="s">
        <v>291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299</v>
      </c>
      <c r="C176" s="25" t="s">
        <v>300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301</v>
      </c>
      <c r="C177" s="25" t="s">
        <v>302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303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304</v>
      </c>
      <c r="C179" s="25" t="s">
        <v>305</v>
      </c>
      <c r="D179" s="26" t="s">
        <v>432</v>
      </c>
      <c r="E179" s="26" t="s">
        <v>432</v>
      </c>
      <c r="F179" s="26" t="s">
        <v>432</v>
      </c>
      <c r="G179" s="26" t="s">
        <v>432</v>
      </c>
      <c r="H179" s="26">
        <f t="shared" si="2"/>
        <v>0</v>
      </c>
    </row>
    <row r="180" spans="2:8">
      <c r="B180" s="24" t="s">
        <v>306</v>
      </c>
      <c r="C180" s="25" t="s">
        <v>307</v>
      </c>
      <c r="D180" s="26" t="s">
        <v>432</v>
      </c>
      <c r="E180" s="26" t="s">
        <v>432</v>
      </c>
      <c r="F180" s="26" t="s">
        <v>432</v>
      </c>
      <c r="G180" s="26" t="s">
        <v>432</v>
      </c>
      <c r="H180" s="26">
        <f t="shared" si="2"/>
        <v>0</v>
      </c>
    </row>
    <row r="181" spans="2:8">
      <c r="B181" s="24"/>
      <c r="C181" s="25" t="s">
        <v>308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309</v>
      </c>
      <c r="C182" s="25" t="s">
        <v>303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310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311</v>
      </c>
      <c r="C184" s="25" t="s">
        <v>166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312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313</v>
      </c>
      <c r="C186" s="25" t="s">
        <v>314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315</v>
      </c>
      <c r="C187" s="25" t="s">
        <v>310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316</v>
      </c>
      <c r="C188" s="25" t="s">
        <v>317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318</v>
      </c>
      <c r="C189" s="25" t="s">
        <v>319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320</v>
      </c>
      <c r="C190" s="25" t="s">
        <v>321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322</v>
      </c>
      <c r="D191" s="26" t="s">
        <v>432</v>
      </c>
      <c r="E191" s="26" t="s">
        <v>432</v>
      </c>
      <c r="F191" s="26" t="s">
        <v>432</v>
      </c>
      <c r="G191" s="26" t="s">
        <v>432</v>
      </c>
      <c r="H191" s="26">
        <f t="shared" si="2"/>
        <v>0</v>
      </c>
    </row>
    <row r="192" spans="2:8">
      <c r="B192" s="24" t="s">
        <v>323</v>
      </c>
      <c r="C192" s="25" t="s">
        <v>324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325</v>
      </c>
      <c r="C193" s="25" t="s">
        <v>326</v>
      </c>
      <c r="D193" s="26" t="s">
        <v>432</v>
      </c>
      <c r="E193" s="26" t="s">
        <v>432</v>
      </c>
      <c r="F193" s="26" t="s">
        <v>432</v>
      </c>
      <c r="G193" s="26" t="s">
        <v>432</v>
      </c>
      <c r="H193" s="26">
        <f t="shared" si="2"/>
        <v>0</v>
      </c>
    </row>
    <row r="194" spans="2:8">
      <c r="B194" s="24"/>
      <c r="C194" s="25" t="s">
        <v>327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328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316</v>
      </c>
      <c r="C197" s="25" t="s">
        <v>317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329</v>
      </c>
      <c r="C198" s="25" t="s">
        <v>240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330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331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53" si="3">SUM(D200:G200)</f>
        <v>0</v>
      </c>
    </row>
    <row r="201" spans="2:8">
      <c r="B201" s="24" t="s">
        <v>332</v>
      </c>
      <c r="C201" s="25" t="s">
        <v>333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334</v>
      </c>
      <c r="C202" s="25" t="s">
        <v>335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336</v>
      </c>
      <c r="D203" s="26" t="s">
        <v>432</v>
      </c>
      <c r="E203" s="26" t="s">
        <v>432</v>
      </c>
      <c r="F203" s="26" t="s">
        <v>432</v>
      </c>
      <c r="G203" s="26" t="s">
        <v>432</v>
      </c>
      <c r="H203" s="26">
        <f t="shared" si="3"/>
        <v>0</v>
      </c>
    </row>
    <row r="204" spans="2:8">
      <c r="B204" s="24" t="s">
        <v>337</v>
      </c>
      <c r="C204" s="25" t="s">
        <v>338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339</v>
      </c>
      <c r="C205" s="25" t="s">
        <v>340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341</v>
      </c>
      <c r="C206" s="25" t="s">
        <v>336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342</v>
      </c>
      <c r="C207" s="25" t="s">
        <v>343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344</v>
      </c>
      <c r="C208" s="25" t="s">
        <v>345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346</v>
      </c>
      <c r="C209" s="25" t="s">
        <v>347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348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349</v>
      </c>
      <c r="C211" s="25" t="s">
        <v>350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351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352</v>
      </c>
      <c r="C213" s="25" t="s">
        <v>353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354</v>
      </c>
      <c r="C214" s="25" t="s">
        <v>331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355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356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357</v>
      </c>
      <c r="C217" s="25" t="s">
        <v>358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359</v>
      </c>
      <c r="C218" s="25" t="s">
        <v>360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361</v>
      </c>
      <c r="C219" s="25" t="s">
        <v>356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362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363</v>
      </c>
      <c r="C221" s="25" t="s">
        <v>364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365</v>
      </c>
      <c r="C222" s="25" t="s">
        <v>366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367</v>
      </c>
      <c r="C223" s="25" t="s">
        <v>362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368</v>
      </c>
      <c r="C224" s="25" t="s">
        <v>369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370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371</v>
      </c>
      <c r="C226" s="25" t="s">
        <v>372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373</v>
      </c>
      <c r="C227" s="25" t="s">
        <v>374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375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376</v>
      </c>
      <c r="C229" s="25" t="s">
        <v>370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377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378</v>
      </c>
      <c r="C231" s="25" t="s">
        <v>379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380</v>
      </c>
      <c r="C232" s="25" t="s">
        <v>381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382</v>
      </c>
      <c r="C233" s="25" t="s">
        <v>377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383</v>
      </c>
      <c r="C234" s="25" t="s">
        <v>384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385</v>
      </c>
      <c r="C235" s="25" t="s">
        <v>386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387</v>
      </c>
      <c r="C236" s="25" t="s">
        <v>388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389</v>
      </c>
      <c r="C237" s="25" t="s">
        <v>390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391</v>
      </c>
      <c r="C238" s="25" t="s">
        <v>392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393</v>
      </c>
      <c r="D239" s="26" t="s">
        <v>432</v>
      </c>
      <c r="E239" s="26" t="s">
        <v>432</v>
      </c>
      <c r="F239" s="26" t="s">
        <v>432</v>
      </c>
      <c r="G239" s="26" t="s">
        <v>432</v>
      </c>
      <c r="H239" s="26">
        <f t="shared" si="3"/>
        <v>0</v>
      </c>
    </row>
    <row r="240" spans="2:8">
      <c r="B240" s="24" t="s">
        <v>394</v>
      </c>
      <c r="C240" s="25" t="s">
        <v>350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395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396</v>
      </c>
      <c r="C242" s="25" t="s">
        <v>353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397</v>
      </c>
      <c r="C243" s="25" t="s">
        <v>355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398</v>
      </c>
      <c r="C244" s="25" t="s">
        <v>399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400</v>
      </c>
      <c r="C245" s="25" t="s">
        <v>401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402</v>
      </c>
      <c r="C246" s="25" t="s">
        <v>403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404</v>
      </c>
      <c r="C247" s="25" t="s">
        <v>405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406</v>
      </c>
      <c r="C248" s="25" t="s">
        <v>330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407</v>
      </c>
      <c r="C249" s="25" t="s">
        <v>408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409</v>
      </c>
      <c r="C250" s="25" t="s">
        <v>410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411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408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412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78514-726A-44A2-B60B-EFE34DE4CE8B}">
  <sheetPr codeName="Sheet30">
    <pageSetUpPr fitToPage="1"/>
  </sheetPr>
  <dimension ref="B1:H253"/>
  <sheetViews>
    <sheetView topLeftCell="B1" zoomScale="85" zoomScaleNormal="85" workbookViewId="0">
      <pane ySplit="5" topLeftCell="A240" activePane="bottomLeft" state="frozen"/>
      <selection pane="bottomLeft" activeCell="H249" sqref="H249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440</v>
      </c>
    </row>
    <row r="4" spans="2:8" ht="18.75">
      <c r="B4" s="93" t="s">
        <v>11</v>
      </c>
      <c r="C4" s="93" t="s">
        <v>12</v>
      </c>
      <c r="D4" s="94" t="s">
        <v>414</v>
      </c>
      <c r="E4" s="94"/>
      <c r="F4" s="94"/>
      <c r="G4" s="94"/>
      <c r="H4" s="95"/>
    </row>
    <row r="5" spans="2:8" ht="24" customHeight="1">
      <c r="B5" s="93"/>
      <c r="C5" s="93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25" customHeight="1">
      <c r="B6" s="24"/>
      <c r="C6" s="25" t="s">
        <v>26</v>
      </c>
      <c r="D6" s="26" t="s">
        <v>436</v>
      </c>
      <c r="E6" s="26" t="s">
        <v>436</v>
      </c>
      <c r="F6" s="26" t="s">
        <v>436</v>
      </c>
      <c r="G6" s="26" t="s">
        <v>436</v>
      </c>
      <c r="H6" s="26"/>
    </row>
    <row r="7" spans="2:8" ht="17.45" customHeight="1">
      <c r="B7" s="24"/>
      <c r="C7" s="25" t="s">
        <v>27</v>
      </c>
      <c r="D7" s="26" t="s">
        <v>436</v>
      </c>
      <c r="E7" s="26" t="s">
        <v>436</v>
      </c>
      <c r="F7" s="26" t="s">
        <v>436</v>
      </c>
      <c r="G7" s="26" t="s">
        <v>436</v>
      </c>
      <c r="H7" s="26"/>
    </row>
    <row r="8" spans="2:8" ht="17.45" customHeight="1">
      <c r="B8" s="24" t="s">
        <v>28</v>
      </c>
      <c r="C8" s="25" t="s">
        <v>29</v>
      </c>
      <c r="D8" s="26">
        <v>826982.18</v>
      </c>
      <c r="E8" s="26">
        <v>0</v>
      </c>
      <c r="F8" s="26">
        <v>1875436.21</v>
      </c>
      <c r="G8" s="26">
        <v>0</v>
      </c>
      <c r="H8" s="26">
        <f t="shared" ref="H8:H71" si="0">SUM(D8:G8)</f>
        <v>2702418.39</v>
      </c>
    </row>
    <row r="9" spans="2:8">
      <c r="B9" s="24" t="s">
        <v>30</v>
      </c>
      <c r="C9" s="25" t="s">
        <v>31</v>
      </c>
      <c r="D9" s="26">
        <v>0</v>
      </c>
      <c r="E9" s="26">
        <v>64610.97</v>
      </c>
      <c r="F9" s="26">
        <v>0</v>
      </c>
      <c r="G9" s="26">
        <v>0</v>
      </c>
      <c r="H9" s="26">
        <f t="shared" si="0"/>
        <v>64610.97</v>
      </c>
    </row>
    <row r="10" spans="2:8">
      <c r="B10" s="24" t="s">
        <v>32</v>
      </c>
      <c r="C10" s="25" t="s">
        <v>33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34</v>
      </c>
      <c r="C11" s="25" t="s">
        <v>35</v>
      </c>
      <c r="D11" s="26">
        <v>14591.23</v>
      </c>
      <c r="E11" s="26">
        <v>174.73</v>
      </c>
      <c r="F11" s="26">
        <v>325.07</v>
      </c>
      <c r="G11" s="26">
        <v>0</v>
      </c>
      <c r="H11" s="26">
        <f t="shared" si="0"/>
        <v>15091.029999999999</v>
      </c>
    </row>
    <row r="12" spans="2:8">
      <c r="B12" s="24" t="s">
        <v>36</v>
      </c>
      <c r="C12" s="25" t="s">
        <v>37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38</v>
      </c>
      <c r="C13" s="25" t="s">
        <v>39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40</v>
      </c>
      <c r="D14" s="26">
        <v>0</v>
      </c>
      <c r="E14" s="26">
        <v>64610.97</v>
      </c>
      <c r="F14" s="26">
        <v>0</v>
      </c>
      <c r="G14" s="26">
        <v>0</v>
      </c>
      <c r="H14" s="26">
        <f t="shared" si="0"/>
        <v>64610.97</v>
      </c>
    </row>
    <row r="15" spans="2:8">
      <c r="B15" s="24" t="s">
        <v>41</v>
      </c>
      <c r="C15" s="25" t="s">
        <v>27</v>
      </c>
      <c r="D15" s="26">
        <v>841573.41</v>
      </c>
      <c r="E15" s="26">
        <v>64785.700000000004</v>
      </c>
      <c r="F15" s="26">
        <v>1875761.28</v>
      </c>
      <c r="G15" s="26">
        <v>0</v>
      </c>
      <c r="H15" s="26">
        <f t="shared" si="0"/>
        <v>2782120.39</v>
      </c>
    </row>
    <row r="16" spans="2:8">
      <c r="B16" s="24" t="s">
        <v>42</v>
      </c>
      <c r="C16" s="25" t="s">
        <v>43</v>
      </c>
      <c r="D16" s="26">
        <v>841573.41</v>
      </c>
      <c r="E16" s="26">
        <v>64785.700000000004</v>
      </c>
      <c r="F16" s="26">
        <v>1875761.28</v>
      </c>
      <c r="G16" s="26">
        <v>0</v>
      </c>
      <c r="H16" s="26">
        <f t="shared" si="0"/>
        <v>2782120.39</v>
      </c>
    </row>
    <row r="17" spans="2:8">
      <c r="B17" s="24"/>
      <c r="C17" s="25" t="s">
        <v>44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45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46</v>
      </c>
      <c r="C19" s="25" t="s">
        <v>47</v>
      </c>
      <c r="D19" s="26">
        <v>2043009.97</v>
      </c>
      <c r="E19" s="26">
        <v>133632.25</v>
      </c>
      <c r="F19" s="26">
        <v>201740.12</v>
      </c>
      <c r="G19" s="26">
        <v>68848.56</v>
      </c>
      <c r="H19" s="26">
        <f t="shared" si="0"/>
        <v>2447230.9</v>
      </c>
    </row>
    <row r="20" spans="2:8">
      <c r="B20" s="24" t="s">
        <v>48</v>
      </c>
      <c r="C20" s="25" t="s">
        <v>49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50</v>
      </c>
      <c r="D21" s="26">
        <v>2043009.97</v>
      </c>
      <c r="E21" s="26">
        <v>133632.25</v>
      </c>
      <c r="F21" s="26">
        <v>201740.12</v>
      </c>
      <c r="G21" s="26">
        <v>68848.56</v>
      </c>
      <c r="H21" s="26">
        <f t="shared" si="0"/>
        <v>2447230.9</v>
      </c>
    </row>
    <row r="22" spans="2:8">
      <c r="B22" s="24" t="s">
        <v>51</v>
      </c>
      <c r="C22" s="25" t="s">
        <v>52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53</v>
      </c>
      <c r="C23" s="25" t="s">
        <v>54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55</v>
      </c>
      <c r="D24" s="26">
        <v>4086019.94</v>
      </c>
      <c r="E24" s="26">
        <v>267264.5</v>
      </c>
      <c r="F24" s="26">
        <v>403480.24</v>
      </c>
      <c r="G24" s="26">
        <v>137697.12</v>
      </c>
      <c r="H24" s="26">
        <f t="shared" si="0"/>
        <v>4894461.8</v>
      </c>
    </row>
    <row r="25" spans="2:8">
      <c r="B25" s="24" t="s">
        <v>56</v>
      </c>
      <c r="C25" s="25" t="s">
        <v>57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58</v>
      </c>
      <c r="C26" s="25" t="s">
        <v>59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60</v>
      </c>
      <c r="C27" s="25" t="s">
        <v>61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62</v>
      </c>
      <c r="C28" s="25" t="s">
        <v>63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64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65</v>
      </c>
      <c r="C30" s="25" t="s">
        <v>66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67</v>
      </c>
      <c r="C31" s="25" t="s">
        <v>68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69</v>
      </c>
      <c r="C32" s="25" t="s">
        <v>70</v>
      </c>
      <c r="D32" s="26" t="s">
        <v>432</v>
      </c>
      <c r="E32" s="26" t="s">
        <v>432</v>
      </c>
      <c r="F32" s="26" t="s">
        <v>432</v>
      </c>
      <c r="G32" s="26" t="s">
        <v>432</v>
      </c>
      <c r="H32" s="26">
        <f t="shared" si="0"/>
        <v>0</v>
      </c>
    </row>
    <row r="33" spans="2:8">
      <c r="B33" s="24" t="s">
        <v>71</v>
      </c>
      <c r="C33" s="25" t="s">
        <v>72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73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74</v>
      </c>
      <c r="C35" s="25" t="s">
        <v>75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76</v>
      </c>
      <c r="C36" s="25" t="s">
        <v>77</v>
      </c>
      <c r="D36" s="26">
        <v>4086019.94</v>
      </c>
      <c r="E36" s="26">
        <v>267264.5</v>
      </c>
      <c r="F36" s="26">
        <v>403480.24</v>
      </c>
      <c r="G36" s="26">
        <v>137697.12</v>
      </c>
      <c r="H36" s="26">
        <f t="shared" si="0"/>
        <v>4894461.8</v>
      </c>
    </row>
    <row r="37" spans="2:8">
      <c r="B37" s="24"/>
      <c r="C37" s="25" t="s">
        <v>78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79</v>
      </c>
      <c r="C38" s="25" t="s">
        <v>80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81</v>
      </c>
      <c r="C39" s="25" t="s">
        <v>82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83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84</v>
      </c>
      <c r="C41" s="25" t="s">
        <v>85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86</v>
      </c>
      <c r="C42" s="25" t="s">
        <v>87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88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89</v>
      </c>
      <c r="C44" s="25" t="s">
        <v>90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91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92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93</v>
      </c>
      <c r="C47" s="25" t="s">
        <v>83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94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95</v>
      </c>
      <c r="C49" s="25" t="s">
        <v>96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97</v>
      </c>
      <c r="C50" s="25" t="s">
        <v>98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99</v>
      </c>
      <c r="C51" s="25" t="s">
        <v>100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101</v>
      </c>
      <c r="C52" s="25" t="s">
        <v>94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102</v>
      </c>
      <c r="C53" s="25" t="s">
        <v>103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104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105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106</v>
      </c>
      <c r="C56" s="25" t="s">
        <v>107</v>
      </c>
      <c r="D56" s="26">
        <v>35993.43</v>
      </c>
      <c r="E56" s="26">
        <v>75992.78</v>
      </c>
      <c r="F56" s="26">
        <v>95685.68</v>
      </c>
      <c r="G56" s="26">
        <v>47159.67</v>
      </c>
      <c r="H56" s="26">
        <f t="shared" si="0"/>
        <v>254831.56</v>
      </c>
    </row>
    <row r="57" spans="2:8">
      <c r="B57" s="24" t="s">
        <v>108</v>
      </c>
      <c r="C57" s="25" t="s">
        <v>109</v>
      </c>
      <c r="D57" s="26">
        <v>2700</v>
      </c>
      <c r="E57" s="26">
        <v>6300</v>
      </c>
      <c r="F57" s="26">
        <v>8000</v>
      </c>
      <c r="G57" s="26">
        <v>3600</v>
      </c>
      <c r="H57" s="26">
        <f t="shared" si="0"/>
        <v>20600</v>
      </c>
    </row>
    <row r="58" spans="2:8">
      <c r="B58" s="24" t="s">
        <v>110</v>
      </c>
      <c r="C58" s="25" t="s">
        <v>111</v>
      </c>
      <c r="D58" s="26">
        <v>2417.17</v>
      </c>
      <c r="E58" s="26">
        <v>3339.64</v>
      </c>
      <c r="F58" s="26">
        <v>3659.95</v>
      </c>
      <c r="G58" s="26">
        <v>1763.9</v>
      </c>
      <c r="H58" s="26">
        <f t="shared" si="0"/>
        <v>11180.659999999998</v>
      </c>
    </row>
    <row r="59" spans="2:8">
      <c r="B59" s="24" t="s">
        <v>112</v>
      </c>
      <c r="C59" s="25" t="s">
        <v>113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114</v>
      </c>
      <c r="C60" s="25" t="s">
        <v>115</v>
      </c>
      <c r="D60" s="26">
        <v>2255.6</v>
      </c>
      <c r="E60" s="26">
        <v>5218.54</v>
      </c>
      <c r="F60" s="26">
        <v>5916.26</v>
      </c>
      <c r="G60" s="26">
        <v>2784.61</v>
      </c>
      <c r="H60" s="26">
        <f t="shared" si="0"/>
        <v>16175.01</v>
      </c>
    </row>
    <row r="61" spans="2:8">
      <c r="B61" s="24" t="s">
        <v>116</v>
      </c>
      <c r="C61" s="25" t="s">
        <v>105</v>
      </c>
      <c r="D61" s="26">
        <v>43366.2</v>
      </c>
      <c r="E61" s="26">
        <v>90850.959999999992</v>
      </c>
      <c r="F61" s="26">
        <v>113261.88999999998</v>
      </c>
      <c r="G61" s="26">
        <v>55308.18</v>
      </c>
      <c r="H61" s="26">
        <f t="shared" si="0"/>
        <v>302787.23</v>
      </c>
    </row>
    <row r="62" spans="2:8">
      <c r="B62" s="24" t="s">
        <v>117</v>
      </c>
      <c r="C62" s="25" t="s">
        <v>118</v>
      </c>
      <c r="D62" s="26">
        <v>164.52</v>
      </c>
      <c r="E62" s="26">
        <v>1945.66</v>
      </c>
      <c r="F62" s="26">
        <v>2738.66</v>
      </c>
      <c r="G62" s="26">
        <v>0</v>
      </c>
      <c r="H62" s="26">
        <f t="shared" si="0"/>
        <v>4848.84</v>
      </c>
    </row>
    <row r="63" spans="2:8">
      <c r="B63" s="24" t="s">
        <v>119</v>
      </c>
      <c r="C63" s="25" t="s">
        <v>120</v>
      </c>
      <c r="D63" s="26">
        <v>164.36</v>
      </c>
      <c r="E63" s="26">
        <v>2628.16</v>
      </c>
      <c r="F63" s="26">
        <v>596.98</v>
      </c>
      <c r="G63" s="26">
        <v>49.54</v>
      </c>
      <c r="H63" s="26">
        <f t="shared" si="0"/>
        <v>3439.04</v>
      </c>
    </row>
    <row r="64" spans="2:8">
      <c r="B64" s="24" t="s">
        <v>121</v>
      </c>
      <c r="C64" s="25" t="s">
        <v>122</v>
      </c>
      <c r="D64" s="26">
        <v>0</v>
      </c>
      <c r="E64" s="26">
        <v>0</v>
      </c>
      <c r="F64" s="26">
        <v>0</v>
      </c>
      <c r="G64" s="26">
        <v>0</v>
      </c>
      <c r="H64" s="26">
        <f t="shared" si="0"/>
        <v>0</v>
      </c>
    </row>
    <row r="65" spans="2:8">
      <c r="B65" s="24" t="s">
        <v>123</v>
      </c>
      <c r="C65" s="25" t="s">
        <v>124</v>
      </c>
      <c r="D65" s="26">
        <v>82.93</v>
      </c>
      <c r="E65" s="26">
        <v>0</v>
      </c>
      <c r="F65" s="26">
        <v>0</v>
      </c>
      <c r="G65" s="26">
        <v>21.54</v>
      </c>
      <c r="H65" s="26">
        <f t="shared" si="0"/>
        <v>104.47</v>
      </c>
    </row>
    <row r="66" spans="2:8">
      <c r="B66" s="24"/>
      <c r="C66" s="25" t="s">
        <v>125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126</v>
      </c>
      <c r="C67" s="25" t="s">
        <v>127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128</v>
      </c>
      <c r="C68" s="25" t="s">
        <v>129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130</v>
      </c>
      <c r="D69" s="26">
        <v>11300.68</v>
      </c>
      <c r="E69" s="26">
        <v>696.27</v>
      </c>
      <c r="F69" s="26">
        <v>13063.65</v>
      </c>
      <c r="G69" s="26">
        <v>0</v>
      </c>
      <c r="H69" s="26">
        <f t="shared" si="0"/>
        <v>25060.6</v>
      </c>
    </row>
    <row r="70" spans="2:8">
      <c r="B70" s="24" t="s">
        <v>131</v>
      </c>
      <c r="C70" s="25" t="s">
        <v>125</v>
      </c>
      <c r="D70" s="26">
        <v>11300.68</v>
      </c>
      <c r="E70" s="26">
        <v>696.27</v>
      </c>
      <c r="F70" s="26">
        <v>13063.65</v>
      </c>
      <c r="G70" s="26">
        <v>0</v>
      </c>
      <c r="H70" s="26">
        <f t="shared" si="0"/>
        <v>25060.6</v>
      </c>
    </row>
    <row r="71" spans="2:8">
      <c r="B71" s="24" t="s">
        <v>132</v>
      </c>
      <c r="C71" s="25" t="s">
        <v>133</v>
      </c>
      <c r="D71" s="26">
        <v>166255.09</v>
      </c>
      <c r="E71" s="26">
        <v>16264.25</v>
      </c>
      <c r="F71" s="26">
        <v>32651.71</v>
      </c>
      <c r="G71" s="26">
        <v>0</v>
      </c>
      <c r="H71" s="26">
        <f t="shared" si="0"/>
        <v>215171.05</v>
      </c>
    </row>
    <row r="72" spans="2:8">
      <c r="B72" s="24"/>
      <c r="C72" s="25" t="s">
        <v>134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135</v>
      </c>
      <c r="C73" s="25" t="s">
        <v>136</v>
      </c>
      <c r="D73" s="26">
        <v>1397.6</v>
      </c>
      <c r="E73" s="26">
        <v>651.69000000000005</v>
      </c>
      <c r="F73" s="26">
        <v>547.73</v>
      </c>
      <c r="G73" s="26">
        <v>98.45</v>
      </c>
      <c r="H73" s="26">
        <f t="shared" si="1"/>
        <v>2695.47</v>
      </c>
    </row>
    <row r="74" spans="2:8">
      <c r="B74" s="24" t="s">
        <v>137</v>
      </c>
      <c r="C74" s="25" t="s">
        <v>138</v>
      </c>
      <c r="D74" s="26">
        <v>168.4</v>
      </c>
      <c r="E74" s="26">
        <v>0</v>
      </c>
      <c r="F74" s="26">
        <v>398.33</v>
      </c>
      <c r="G74" s="26">
        <v>84.2</v>
      </c>
      <c r="H74" s="26">
        <f t="shared" si="1"/>
        <v>650.93000000000006</v>
      </c>
    </row>
    <row r="75" spans="2:8">
      <c r="B75" s="24" t="s">
        <v>139</v>
      </c>
      <c r="C75" s="25" t="s">
        <v>140</v>
      </c>
      <c r="D75" s="26">
        <v>0</v>
      </c>
      <c r="E75" s="26">
        <v>230.75</v>
      </c>
      <c r="F75" s="26">
        <v>192.76</v>
      </c>
      <c r="G75" s="26">
        <v>0</v>
      </c>
      <c r="H75" s="26">
        <f t="shared" si="1"/>
        <v>423.51</v>
      </c>
    </row>
    <row r="76" spans="2:8">
      <c r="B76" s="24" t="s">
        <v>141</v>
      </c>
      <c r="C76" s="25" t="s">
        <v>142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143</v>
      </c>
      <c r="C77" s="25" t="s">
        <v>144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145</v>
      </c>
      <c r="D78" s="26">
        <v>0</v>
      </c>
      <c r="E78" s="26">
        <v>0</v>
      </c>
      <c r="F78" s="26">
        <v>310.89999999999998</v>
      </c>
      <c r="G78" s="26">
        <v>0</v>
      </c>
      <c r="H78" s="26">
        <f t="shared" si="1"/>
        <v>310.89999999999998</v>
      </c>
    </row>
    <row r="79" spans="2:8">
      <c r="B79" s="24"/>
      <c r="C79" s="25" t="s">
        <v>146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147</v>
      </c>
      <c r="C80" s="25" t="s">
        <v>134</v>
      </c>
      <c r="D80" s="26">
        <v>1566</v>
      </c>
      <c r="E80" s="26">
        <v>882.44</v>
      </c>
      <c r="F80" s="26">
        <v>1449.7199999999998</v>
      </c>
      <c r="G80" s="26">
        <v>182.65</v>
      </c>
      <c r="H80" s="26">
        <f t="shared" si="1"/>
        <v>4080.81</v>
      </c>
    </row>
    <row r="81" spans="2:8">
      <c r="B81" s="24"/>
      <c r="C81" s="25" t="s">
        <v>148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149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150</v>
      </c>
      <c r="C83" s="25" t="s">
        <v>151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152</v>
      </c>
      <c r="C84" s="25" t="s">
        <v>153</v>
      </c>
      <c r="D84" s="26">
        <v>11533.96</v>
      </c>
      <c r="E84" s="26">
        <v>4204.03</v>
      </c>
      <c r="F84" s="26">
        <v>14841.76</v>
      </c>
      <c r="G84" s="26">
        <v>1279.56</v>
      </c>
      <c r="H84" s="26">
        <f t="shared" si="1"/>
        <v>31859.31</v>
      </c>
    </row>
    <row r="85" spans="2:8">
      <c r="B85" s="24" t="s">
        <v>154</v>
      </c>
      <c r="C85" s="25" t="s">
        <v>155</v>
      </c>
      <c r="D85" s="26">
        <v>545.99</v>
      </c>
      <c r="E85" s="26">
        <v>62.45</v>
      </c>
      <c r="F85" s="26">
        <v>2029.98</v>
      </c>
      <c r="G85" s="26">
        <v>82.44</v>
      </c>
      <c r="H85" s="26">
        <f t="shared" si="1"/>
        <v>2720.86</v>
      </c>
    </row>
    <row r="86" spans="2:8">
      <c r="B86" s="24" t="s">
        <v>156</v>
      </c>
      <c r="C86" s="25" t="s">
        <v>157</v>
      </c>
      <c r="D86" s="26">
        <v>0</v>
      </c>
      <c r="E86" s="26">
        <v>0</v>
      </c>
      <c r="F86" s="26">
        <v>13.98</v>
      </c>
      <c r="G86" s="26">
        <v>792.09</v>
      </c>
      <c r="H86" s="26">
        <f t="shared" si="1"/>
        <v>806.07</v>
      </c>
    </row>
    <row r="87" spans="2:8">
      <c r="B87" s="24" t="s">
        <v>158</v>
      </c>
      <c r="C87" s="25" t="s">
        <v>159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160</v>
      </c>
      <c r="C88" s="25" t="s">
        <v>161</v>
      </c>
      <c r="D88" s="26">
        <v>795.2</v>
      </c>
      <c r="E88" s="26">
        <v>3342.38</v>
      </c>
      <c r="F88" s="26">
        <v>685.41</v>
      </c>
      <c r="G88" s="26">
        <v>588.49</v>
      </c>
      <c r="H88" s="26">
        <f t="shared" si="1"/>
        <v>5411.48</v>
      </c>
    </row>
    <row r="89" spans="2:8">
      <c r="B89" s="24" t="s">
        <v>162</v>
      </c>
      <c r="C89" s="25" t="s">
        <v>148</v>
      </c>
      <c r="D89" s="26">
        <v>16128.619999999999</v>
      </c>
      <c r="E89" s="26">
        <v>7692.8099999999995</v>
      </c>
      <c r="F89" s="26">
        <v>26307.19</v>
      </c>
      <c r="G89" s="26">
        <v>3001.08</v>
      </c>
      <c r="H89" s="26">
        <f t="shared" si="1"/>
        <v>53129.7</v>
      </c>
    </row>
    <row r="90" spans="2:8">
      <c r="B90" s="24" t="s">
        <v>163</v>
      </c>
      <c r="C90" s="25" t="s">
        <v>164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165</v>
      </c>
      <c r="C91" s="25" t="s">
        <v>166</v>
      </c>
      <c r="D91" s="26">
        <v>1388.61</v>
      </c>
      <c r="E91" s="26">
        <v>0</v>
      </c>
      <c r="F91" s="26">
        <v>0</v>
      </c>
      <c r="G91" s="26">
        <v>4235.2299999999996</v>
      </c>
      <c r="H91" s="26">
        <f t="shared" si="1"/>
        <v>5623.8399999999992</v>
      </c>
    </row>
    <row r="92" spans="2:8">
      <c r="B92" s="24" t="s">
        <v>167</v>
      </c>
      <c r="C92" s="25" t="s">
        <v>168</v>
      </c>
      <c r="D92" s="26">
        <v>2830.65</v>
      </c>
      <c r="E92" s="26">
        <v>3155.07</v>
      </c>
      <c r="F92" s="26">
        <v>4873.75</v>
      </c>
      <c r="G92" s="26">
        <v>1117.8399999999999</v>
      </c>
      <c r="H92" s="26">
        <f t="shared" si="1"/>
        <v>11977.310000000001</v>
      </c>
    </row>
    <row r="93" spans="2:8">
      <c r="B93" s="24" t="s">
        <v>169</v>
      </c>
      <c r="C93" s="25" t="s">
        <v>170</v>
      </c>
      <c r="D93" s="26">
        <v>143.99</v>
      </c>
      <c r="E93" s="26">
        <v>9078.94</v>
      </c>
      <c r="F93" s="26">
        <v>4396.43</v>
      </c>
      <c r="G93" s="26">
        <v>4384.3999999999996</v>
      </c>
      <c r="H93" s="26">
        <f t="shared" si="1"/>
        <v>18003.760000000002</v>
      </c>
    </row>
    <row r="94" spans="2:8">
      <c r="B94" s="24" t="s">
        <v>171</v>
      </c>
      <c r="C94" s="25" t="s">
        <v>172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173</v>
      </c>
      <c r="C95" s="25" t="s">
        <v>174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175</v>
      </c>
      <c r="C96" s="25" t="s">
        <v>176</v>
      </c>
      <c r="D96" s="26">
        <v>0</v>
      </c>
      <c r="E96" s="26">
        <v>0</v>
      </c>
      <c r="F96" s="26">
        <v>29.02</v>
      </c>
      <c r="G96" s="26">
        <v>0</v>
      </c>
      <c r="H96" s="26">
        <f t="shared" si="1"/>
        <v>29.02</v>
      </c>
    </row>
    <row r="97" spans="2:8">
      <c r="B97" s="24" t="s">
        <v>177</v>
      </c>
      <c r="C97" s="25" t="s">
        <v>178</v>
      </c>
      <c r="D97" s="26">
        <v>2.4900000000000002</v>
      </c>
      <c r="E97" s="26">
        <v>0</v>
      </c>
      <c r="F97" s="26">
        <v>0</v>
      </c>
      <c r="G97" s="26">
        <v>0</v>
      </c>
      <c r="H97" s="26">
        <f t="shared" si="1"/>
        <v>2.4900000000000002</v>
      </c>
    </row>
    <row r="98" spans="2:8">
      <c r="B98" s="24" t="s">
        <v>179</v>
      </c>
      <c r="C98" s="25" t="s">
        <v>180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181</v>
      </c>
      <c r="C99" s="25" t="s">
        <v>182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183</v>
      </c>
      <c r="D100" s="26">
        <v>793.17</v>
      </c>
      <c r="E100" s="26">
        <v>437.69</v>
      </c>
      <c r="F100" s="26">
        <v>914.31</v>
      </c>
      <c r="G100" s="26">
        <v>548.1</v>
      </c>
      <c r="H100" s="26">
        <f t="shared" si="1"/>
        <v>2693.27</v>
      </c>
    </row>
    <row r="101" spans="2:8">
      <c r="B101" s="24" t="s">
        <v>167</v>
      </c>
      <c r="C101" s="25" t="s">
        <v>168</v>
      </c>
      <c r="D101" s="26">
        <v>3770.3</v>
      </c>
      <c r="E101" s="26">
        <v>12671.7</v>
      </c>
      <c r="F101" s="26">
        <v>10213.51</v>
      </c>
      <c r="G101" s="26">
        <v>6050.34</v>
      </c>
      <c r="H101" s="26">
        <f t="shared" si="1"/>
        <v>32705.850000000002</v>
      </c>
    </row>
    <row r="102" spans="2:8">
      <c r="B102" s="24"/>
      <c r="C102" s="25" t="s">
        <v>184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185</v>
      </c>
      <c r="C103" s="25" t="s">
        <v>186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187</v>
      </c>
      <c r="C104" s="25" t="s">
        <v>188</v>
      </c>
      <c r="D104" s="26">
        <v>-43366.2</v>
      </c>
      <c r="E104" s="26">
        <v>-90850.96</v>
      </c>
      <c r="F104" s="26">
        <v>-113261.89</v>
      </c>
      <c r="G104" s="26">
        <v>-55308.18</v>
      </c>
      <c r="H104" s="26">
        <f t="shared" si="1"/>
        <v>-302787.23</v>
      </c>
    </row>
    <row r="105" spans="2:8">
      <c r="B105" s="24" t="s">
        <v>189</v>
      </c>
      <c r="C105" s="25" t="s">
        <v>190</v>
      </c>
      <c r="D105" s="26">
        <v>-201820.99</v>
      </c>
      <c r="E105" s="26">
        <v>-42781.29</v>
      </c>
      <c r="F105" s="26">
        <v>-88478.23</v>
      </c>
      <c r="G105" s="26">
        <v>-13540.38</v>
      </c>
      <c r="H105" s="26">
        <f t="shared" si="1"/>
        <v>-346620.89</v>
      </c>
    </row>
    <row r="106" spans="2:8">
      <c r="B106" s="24" t="s">
        <v>191</v>
      </c>
      <c r="C106" s="25" t="s">
        <v>184</v>
      </c>
      <c r="D106" s="26">
        <v>-245187.19</v>
      </c>
      <c r="E106" s="26">
        <v>-133632.25</v>
      </c>
      <c r="F106" s="26">
        <v>-201740.12</v>
      </c>
      <c r="G106" s="26">
        <v>-68848.56</v>
      </c>
      <c r="H106" s="26">
        <f t="shared" si="1"/>
        <v>-649408.12000000011</v>
      </c>
    </row>
    <row r="107" spans="2:8">
      <c r="B107" s="24"/>
      <c r="C107" s="25" t="s">
        <v>192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193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194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195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196</v>
      </c>
      <c r="C111" s="25" t="s">
        <v>104</v>
      </c>
      <c r="D111" s="26">
        <v>-3.637978807091713E-11</v>
      </c>
      <c r="E111" s="26">
        <v>0</v>
      </c>
      <c r="F111" s="26">
        <v>-1.4551915228366852E-11</v>
      </c>
      <c r="G111" s="26">
        <v>0</v>
      </c>
      <c r="H111" s="26">
        <f t="shared" si="1"/>
        <v>-5.0931703299283981E-11</v>
      </c>
    </row>
    <row r="112" spans="2:8">
      <c r="B112" s="24" t="s">
        <v>197</v>
      </c>
      <c r="C112" s="25" t="s">
        <v>198</v>
      </c>
      <c r="D112" s="26">
        <v>4086019.94</v>
      </c>
      <c r="E112" s="26">
        <v>267264.5</v>
      </c>
      <c r="F112" s="26">
        <v>403480.24</v>
      </c>
      <c r="G112" s="26">
        <v>137697.12</v>
      </c>
      <c r="H112" s="26">
        <f t="shared" si="1"/>
        <v>4894461.8</v>
      </c>
    </row>
    <row r="113" spans="2:8">
      <c r="B113" s="24"/>
      <c r="C113" s="25" t="s">
        <v>199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200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201</v>
      </c>
      <c r="C115" s="25" t="s">
        <v>202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203</v>
      </c>
      <c r="C116" s="25" t="s">
        <v>204</v>
      </c>
      <c r="D116" s="26">
        <v>66.099999999999994</v>
      </c>
      <c r="E116" s="26">
        <v>232.07</v>
      </c>
      <c r="F116" s="26">
        <v>0</v>
      </c>
      <c r="G116" s="26">
        <v>0</v>
      </c>
      <c r="H116" s="26">
        <f t="shared" si="1"/>
        <v>298.16999999999996</v>
      </c>
    </row>
    <row r="117" spans="2:8">
      <c r="B117" s="24" t="s">
        <v>205</v>
      </c>
      <c r="C117" s="25" t="s">
        <v>200</v>
      </c>
      <c r="D117" s="26">
        <v>66.099999999999994</v>
      </c>
      <c r="E117" s="26">
        <v>232.07</v>
      </c>
      <c r="F117" s="26">
        <v>0</v>
      </c>
      <c r="G117" s="26">
        <v>0</v>
      </c>
      <c r="H117" s="26">
        <f t="shared" si="1"/>
        <v>298.16999999999996</v>
      </c>
    </row>
    <row r="118" spans="2:8">
      <c r="B118" s="24"/>
      <c r="C118" s="25" t="s">
        <v>206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207</v>
      </c>
      <c r="C119" s="25" t="s">
        <v>208</v>
      </c>
      <c r="D119" s="26">
        <v>5152.54</v>
      </c>
      <c r="E119" s="26">
        <v>774.01</v>
      </c>
      <c r="F119" s="26">
        <v>0</v>
      </c>
      <c r="G119" s="26">
        <v>0</v>
      </c>
      <c r="H119" s="26">
        <f t="shared" si="1"/>
        <v>5926.55</v>
      </c>
    </row>
    <row r="120" spans="2:8">
      <c r="B120" s="24" t="s">
        <v>209</v>
      </c>
      <c r="C120" s="25" t="s">
        <v>210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211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212</v>
      </c>
      <c r="C122" s="25" t="s">
        <v>213</v>
      </c>
      <c r="D122" s="26">
        <v>279.98</v>
      </c>
      <c r="E122" s="26">
        <v>0</v>
      </c>
      <c r="F122" s="26">
        <v>0</v>
      </c>
      <c r="G122" s="26">
        <v>0</v>
      </c>
      <c r="H122" s="26">
        <f t="shared" si="1"/>
        <v>279.98</v>
      </c>
    </row>
    <row r="123" spans="2:8">
      <c r="B123" s="24" t="s">
        <v>214</v>
      </c>
      <c r="C123" s="25" t="s">
        <v>215</v>
      </c>
      <c r="D123" s="26">
        <v>382.99</v>
      </c>
      <c r="E123" s="26">
        <v>0</v>
      </c>
      <c r="F123" s="26">
        <v>0</v>
      </c>
      <c r="G123" s="26">
        <v>0</v>
      </c>
      <c r="H123" s="26">
        <f t="shared" si="1"/>
        <v>382.99</v>
      </c>
    </row>
    <row r="124" spans="2:8">
      <c r="B124" s="24" t="s">
        <v>216</v>
      </c>
      <c r="C124" s="25" t="s">
        <v>217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218</v>
      </c>
      <c r="C125" s="25" t="s">
        <v>219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220</v>
      </c>
      <c r="C126" s="25" t="s">
        <v>221</v>
      </c>
      <c r="D126" s="26">
        <v>125</v>
      </c>
      <c r="E126" s="26">
        <v>0</v>
      </c>
      <c r="F126" s="26">
        <v>0</v>
      </c>
      <c r="G126" s="26">
        <v>0</v>
      </c>
      <c r="H126" s="26">
        <f t="shared" si="1"/>
        <v>125</v>
      </c>
    </row>
    <row r="127" spans="2:8">
      <c r="B127" s="24" t="s">
        <v>222</v>
      </c>
      <c r="C127" s="25" t="s">
        <v>223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224</v>
      </c>
      <c r="C128" s="25" t="s">
        <v>211</v>
      </c>
      <c r="D128" s="26">
        <v>787.97</v>
      </c>
      <c r="E128" s="26">
        <v>0</v>
      </c>
      <c r="F128" s="26">
        <v>0</v>
      </c>
      <c r="G128" s="26">
        <v>0</v>
      </c>
      <c r="H128" s="26">
        <f t="shared" si="1"/>
        <v>787.97</v>
      </c>
    </row>
    <row r="129" spans="2:8">
      <c r="B129" s="24" t="s">
        <v>225</v>
      </c>
      <c r="C129" s="25" t="s">
        <v>226</v>
      </c>
      <c r="D129" s="26">
        <v>5630.98</v>
      </c>
      <c r="E129" s="26">
        <v>21.99</v>
      </c>
      <c r="F129" s="26">
        <v>5960.11</v>
      </c>
      <c r="G129" s="26">
        <v>0</v>
      </c>
      <c r="H129" s="26">
        <f t="shared" si="1"/>
        <v>11613.079999999998</v>
      </c>
    </row>
    <row r="130" spans="2:8">
      <c r="B130" s="24" t="s">
        <v>227</v>
      </c>
      <c r="C130" s="25" t="s">
        <v>228</v>
      </c>
      <c r="D130" s="26">
        <v>40.39</v>
      </c>
      <c r="E130" s="26">
        <v>0</v>
      </c>
      <c r="F130" s="26">
        <v>1338.82</v>
      </c>
      <c r="G130" s="26">
        <v>0</v>
      </c>
      <c r="H130" s="26">
        <f t="shared" si="1"/>
        <v>1379.21</v>
      </c>
    </row>
    <row r="131" spans="2:8">
      <c r="B131" s="24" t="s">
        <v>229</v>
      </c>
      <c r="C131" s="25" t="s">
        <v>230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231</v>
      </c>
      <c r="C132" s="25" t="s">
        <v>206</v>
      </c>
      <c r="D132" s="26">
        <v>11611.88</v>
      </c>
      <c r="E132" s="26">
        <v>796</v>
      </c>
      <c r="F132" s="26">
        <v>7298.9299999999994</v>
      </c>
      <c r="G132" s="26">
        <v>0</v>
      </c>
      <c r="H132" s="26">
        <f t="shared" si="1"/>
        <v>19706.809999999998</v>
      </c>
    </row>
    <row r="133" spans="2:8">
      <c r="B133" s="24"/>
      <c r="C133" s="25" t="s">
        <v>232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233</v>
      </c>
      <c r="C134" s="25" t="s">
        <v>39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234</v>
      </c>
      <c r="C135" s="25" t="s">
        <v>235</v>
      </c>
      <c r="D135" s="26">
        <v>1019.2</v>
      </c>
      <c r="E135" s="26">
        <v>0</v>
      </c>
      <c r="F135" s="26">
        <v>0</v>
      </c>
      <c r="G135" s="26">
        <v>0</v>
      </c>
      <c r="H135" s="26">
        <f t="shared" si="1"/>
        <v>1019.2</v>
      </c>
    </row>
    <row r="136" spans="2:8">
      <c r="B136" s="24" t="s">
        <v>236</v>
      </c>
      <c r="C136" s="25" t="s">
        <v>237</v>
      </c>
      <c r="D136" s="26">
        <v>1899.15</v>
      </c>
      <c r="E136" s="26">
        <v>0</v>
      </c>
      <c r="F136" s="26">
        <v>0</v>
      </c>
      <c r="G136" s="26">
        <v>0</v>
      </c>
      <c r="H136" s="26">
        <f t="shared" ref="H136:H199" si="2">SUM(D136:G136)</f>
        <v>1899.15</v>
      </c>
    </row>
    <row r="137" spans="2:8">
      <c r="B137" s="24" t="s">
        <v>238</v>
      </c>
      <c r="C137" s="25" t="s">
        <v>232</v>
      </c>
      <c r="D137" s="26">
        <v>2918.3500000000004</v>
      </c>
      <c r="E137" s="26">
        <v>0</v>
      </c>
      <c r="F137" s="26">
        <v>0</v>
      </c>
      <c r="G137" s="26">
        <v>0</v>
      </c>
      <c r="H137" s="26">
        <f t="shared" si="2"/>
        <v>2918.3500000000004</v>
      </c>
    </row>
    <row r="138" spans="2:8">
      <c r="B138" s="24" t="s">
        <v>239</v>
      </c>
      <c r="C138" s="25" t="s">
        <v>199</v>
      </c>
      <c r="D138" s="26">
        <v>14596.33</v>
      </c>
      <c r="E138" s="26">
        <v>1028.07</v>
      </c>
      <c r="F138" s="26">
        <v>7298.9299999999994</v>
      </c>
      <c r="G138" s="26">
        <v>0</v>
      </c>
      <c r="H138" s="26">
        <f t="shared" si="2"/>
        <v>22923.329999999998</v>
      </c>
    </row>
    <row r="139" spans="2:8">
      <c r="B139" s="24"/>
      <c r="C139" s="25" t="s">
        <v>240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241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242</v>
      </c>
      <c r="C141" s="25" t="s">
        <v>243</v>
      </c>
      <c r="D141" s="26">
        <v>42720.01</v>
      </c>
      <c r="E141" s="26">
        <v>13556.96</v>
      </c>
      <c r="F141" s="26">
        <v>5618.18</v>
      </c>
      <c r="G141" s="26">
        <v>3138.24</v>
      </c>
      <c r="H141" s="26">
        <f t="shared" si="2"/>
        <v>65033.39</v>
      </c>
    </row>
    <row r="142" spans="2:8">
      <c r="B142" s="24" t="s">
        <v>244</v>
      </c>
      <c r="C142" s="25" t="s">
        <v>245</v>
      </c>
      <c r="D142" s="26">
        <v>2417.17</v>
      </c>
      <c r="E142" s="26">
        <v>3339.64</v>
      </c>
      <c r="F142" s="26">
        <v>3659.95</v>
      </c>
      <c r="G142" s="26">
        <v>1763.9</v>
      </c>
      <c r="H142" s="26">
        <f t="shared" si="2"/>
        <v>11180.659999999998</v>
      </c>
    </row>
    <row r="143" spans="2:8">
      <c r="B143" s="24" t="s">
        <v>246</v>
      </c>
      <c r="C143" s="25" t="s">
        <v>247</v>
      </c>
      <c r="D143" s="26">
        <v>2000</v>
      </c>
      <c r="E143" s="26">
        <v>600</v>
      </c>
      <c r="F143" s="26">
        <v>200</v>
      </c>
      <c r="G143" s="26">
        <v>200</v>
      </c>
      <c r="H143" s="26">
        <f t="shared" si="2"/>
        <v>3000</v>
      </c>
    </row>
    <row r="144" spans="2:8">
      <c r="B144" s="24" t="s">
        <v>248</v>
      </c>
      <c r="C144" s="25" t="s">
        <v>118</v>
      </c>
      <c r="D144" s="26">
        <v>164.52</v>
      </c>
      <c r="E144" s="26">
        <v>1945.66</v>
      </c>
      <c r="F144" s="26">
        <v>2738.66</v>
      </c>
      <c r="G144" s="26">
        <v>0</v>
      </c>
      <c r="H144" s="26">
        <f t="shared" si="2"/>
        <v>4848.84</v>
      </c>
    </row>
    <row r="145" spans="2:8">
      <c r="B145" s="24" t="s">
        <v>249</v>
      </c>
      <c r="C145" s="25" t="s">
        <v>250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251</v>
      </c>
      <c r="C146" s="25" t="s">
        <v>252</v>
      </c>
      <c r="D146" s="26">
        <v>2255.6</v>
      </c>
      <c r="E146" s="26">
        <v>5218.54</v>
      </c>
      <c r="F146" s="26">
        <v>5916.26</v>
      </c>
      <c r="G146" s="26">
        <v>2784.61</v>
      </c>
      <c r="H146" s="26">
        <f t="shared" si="2"/>
        <v>16175.01</v>
      </c>
    </row>
    <row r="147" spans="2:8">
      <c r="B147" s="24"/>
      <c r="C147" s="25" t="s">
        <v>253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254</v>
      </c>
      <c r="C148" s="25" t="s">
        <v>241</v>
      </c>
      <c r="D148" s="26">
        <v>49557.299999999996</v>
      </c>
      <c r="E148" s="26">
        <v>24660.799999999999</v>
      </c>
      <c r="F148" s="26">
        <v>18133.050000000003</v>
      </c>
      <c r="G148" s="26">
        <v>7886.75</v>
      </c>
      <c r="H148" s="26">
        <f t="shared" si="2"/>
        <v>100237.9</v>
      </c>
    </row>
    <row r="149" spans="2:8">
      <c r="B149" s="24"/>
      <c r="C149" s="25" t="s">
        <v>255</v>
      </c>
      <c r="D149" s="26" t="s">
        <v>432</v>
      </c>
      <c r="E149" s="26" t="s">
        <v>432</v>
      </c>
      <c r="F149" s="26" t="s">
        <v>432</v>
      </c>
      <c r="G149" s="26" t="s">
        <v>432</v>
      </c>
      <c r="H149" s="26">
        <f t="shared" si="2"/>
        <v>0</v>
      </c>
    </row>
    <row r="150" spans="2:8">
      <c r="B150" s="24" t="s">
        <v>256</v>
      </c>
      <c r="C150" s="25" t="s">
        <v>257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258</v>
      </c>
      <c r="C151" s="25" t="s">
        <v>259</v>
      </c>
      <c r="D151" s="26">
        <v>118.19</v>
      </c>
      <c r="E151" s="26">
        <v>0</v>
      </c>
      <c r="F151" s="26">
        <v>0</v>
      </c>
      <c r="G151" s="26">
        <v>0</v>
      </c>
      <c r="H151" s="26">
        <f t="shared" si="2"/>
        <v>118.19</v>
      </c>
    </row>
    <row r="152" spans="2:8">
      <c r="B152" s="24" t="s">
        <v>260</v>
      </c>
      <c r="C152" s="25" t="s">
        <v>261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262</v>
      </c>
      <c r="C153" s="25" t="s">
        <v>263</v>
      </c>
      <c r="D153" s="26">
        <v>471.06</v>
      </c>
      <c r="E153" s="26">
        <v>0</v>
      </c>
      <c r="F153" s="26">
        <v>291.47000000000003</v>
      </c>
      <c r="G153" s="26">
        <v>0</v>
      </c>
      <c r="H153" s="26">
        <f t="shared" si="2"/>
        <v>762.53</v>
      </c>
    </row>
    <row r="154" spans="2:8">
      <c r="B154" s="24" t="s">
        <v>264</v>
      </c>
      <c r="C154" s="25" t="s">
        <v>255</v>
      </c>
      <c r="D154" s="26">
        <v>589.25</v>
      </c>
      <c r="E154" s="26">
        <v>0</v>
      </c>
      <c r="F154" s="26">
        <v>291.47000000000003</v>
      </c>
      <c r="G154" s="26">
        <v>0</v>
      </c>
      <c r="H154" s="26">
        <f t="shared" si="2"/>
        <v>880.72</v>
      </c>
    </row>
    <row r="155" spans="2:8">
      <c r="B155" s="24"/>
      <c r="C155" s="25" t="s">
        <v>265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266</v>
      </c>
      <c r="C156" s="25" t="s">
        <v>267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268</v>
      </c>
      <c r="C157" s="25" t="s">
        <v>124</v>
      </c>
      <c r="D157" s="26">
        <v>82.93</v>
      </c>
      <c r="E157" s="26">
        <v>0</v>
      </c>
      <c r="F157" s="26">
        <v>0</v>
      </c>
      <c r="G157" s="26">
        <v>21.54</v>
      </c>
      <c r="H157" s="26">
        <f t="shared" si="2"/>
        <v>104.47</v>
      </c>
    </row>
    <row r="158" spans="2:8">
      <c r="B158" s="24" t="s">
        <v>269</v>
      </c>
      <c r="C158" s="25" t="s">
        <v>265</v>
      </c>
      <c r="D158" s="26">
        <v>82.93</v>
      </c>
      <c r="E158" s="26">
        <v>0</v>
      </c>
      <c r="F158" s="26">
        <v>0</v>
      </c>
      <c r="G158" s="26">
        <v>21.54</v>
      </c>
      <c r="H158" s="26">
        <f t="shared" si="2"/>
        <v>104.47</v>
      </c>
    </row>
    <row r="159" spans="2:8">
      <c r="B159" s="24" t="s">
        <v>270</v>
      </c>
      <c r="C159" s="25" t="s">
        <v>271</v>
      </c>
      <c r="D159" s="26">
        <v>2428.92</v>
      </c>
      <c r="E159" s="26">
        <v>0</v>
      </c>
      <c r="F159" s="26">
        <v>433.97</v>
      </c>
      <c r="G159" s="26">
        <v>0</v>
      </c>
      <c r="H159" s="26">
        <f t="shared" si="2"/>
        <v>2862.8900000000003</v>
      </c>
    </row>
    <row r="160" spans="2:8">
      <c r="B160" s="24" t="s">
        <v>272</v>
      </c>
      <c r="C160" s="25" t="s">
        <v>273</v>
      </c>
      <c r="D160" s="26">
        <v>0</v>
      </c>
      <c r="E160" s="26">
        <v>0</v>
      </c>
      <c r="F160" s="26">
        <v>0</v>
      </c>
      <c r="G160" s="26">
        <v>0</v>
      </c>
      <c r="H160" s="26">
        <f t="shared" si="2"/>
        <v>0</v>
      </c>
    </row>
    <row r="161" spans="2:8">
      <c r="B161" s="24"/>
      <c r="C161" s="25" t="s">
        <v>274</v>
      </c>
      <c r="D161" s="26">
        <v>743.73</v>
      </c>
      <c r="E161" s="26">
        <v>0</v>
      </c>
      <c r="F161" s="26">
        <v>0</v>
      </c>
      <c r="G161" s="26">
        <v>0</v>
      </c>
      <c r="H161" s="26">
        <f t="shared" si="2"/>
        <v>743.73</v>
      </c>
    </row>
    <row r="162" spans="2:8">
      <c r="B162" s="24" t="s">
        <v>275</v>
      </c>
      <c r="C162" s="25" t="s">
        <v>276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277</v>
      </c>
      <c r="C163" s="25" t="s">
        <v>278</v>
      </c>
      <c r="D163" s="26">
        <v>161.93</v>
      </c>
      <c r="E163" s="26">
        <v>0</v>
      </c>
      <c r="F163" s="26">
        <v>259.08</v>
      </c>
      <c r="G163" s="26">
        <v>0</v>
      </c>
      <c r="H163" s="26">
        <f t="shared" si="2"/>
        <v>421.01</v>
      </c>
    </row>
    <row r="164" spans="2:8">
      <c r="B164" s="24" t="s">
        <v>279</v>
      </c>
      <c r="C164" s="25" t="s">
        <v>280</v>
      </c>
      <c r="D164" s="26">
        <v>573.72</v>
      </c>
      <c r="E164" s="26">
        <v>93.91</v>
      </c>
      <c r="F164" s="26">
        <v>1484.55</v>
      </c>
      <c r="G164" s="26">
        <v>9.33</v>
      </c>
      <c r="H164" s="26">
        <f t="shared" si="2"/>
        <v>2161.5099999999998</v>
      </c>
    </row>
    <row r="165" spans="2:8">
      <c r="B165" s="24" t="s">
        <v>281</v>
      </c>
      <c r="C165" s="25" t="s">
        <v>282</v>
      </c>
      <c r="D165" s="26">
        <v>161.93</v>
      </c>
      <c r="E165" s="26">
        <v>29.15</v>
      </c>
      <c r="F165" s="26">
        <v>6.48</v>
      </c>
      <c r="G165" s="26">
        <v>3.24</v>
      </c>
      <c r="H165" s="26">
        <f t="shared" si="2"/>
        <v>200.8</v>
      </c>
    </row>
    <row r="166" spans="2:8">
      <c r="B166" s="24"/>
      <c r="C166" s="25" t="s">
        <v>283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284</v>
      </c>
      <c r="C167" s="25" t="s">
        <v>285</v>
      </c>
      <c r="D167" s="26">
        <v>124.14</v>
      </c>
      <c r="E167" s="26">
        <v>449.84</v>
      </c>
      <c r="F167" s="26">
        <v>213.75</v>
      </c>
      <c r="G167" s="26">
        <v>110.11</v>
      </c>
      <c r="H167" s="26">
        <f t="shared" si="2"/>
        <v>897.84</v>
      </c>
    </row>
    <row r="168" spans="2:8">
      <c r="B168" s="24" t="s">
        <v>286</v>
      </c>
      <c r="C168" s="25" t="s">
        <v>287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288</v>
      </c>
      <c r="C169" s="25" t="s">
        <v>289</v>
      </c>
      <c r="D169" s="26">
        <v>0</v>
      </c>
      <c r="E169" s="26">
        <v>0</v>
      </c>
      <c r="F169" s="26">
        <v>0</v>
      </c>
      <c r="G169" s="26">
        <v>0</v>
      </c>
      <c r="H169" s="26">
        <f t="shared" si="2"/>
        <v>0</v>
      </c>
    </row>
    <row r="170" spans="2:8">
      <c r="B170" s="24" t="s">
        <v>290</v>
      </c>
      <c r="C170" s="25" t="s">
        <v>283</v>
      </c>
      <c r="D170" s="26">
        <v>124.14</v>
      </c>
      <c r="E170" s="26">
        <v>449.84</v>
      </c>
      <c r="F170" s="26">
        <v>213.75</v>
      </c>
      <c r="G170" s="26">
        <v>110.11</v>
      </c>
      <c r="H170" s="26">
        <f t="shared" si="2"/>
        <v>897.84</v>
      </c>
    </row>
    <row r="171" spans="2:8">
      <c r="B171" s="24"/>
      <c r="C171" s="25" t="s">
        <v>291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292</v>
      </c>
      <c r="C172" s="25" t="s">
        <v>293</v>
      </c>
      <c r="D172" s="26">
        <v>1368.25</v>
      </c>
      <c r="E172" s="26">
        <v>495.25</v>
      </c>
      <c r="F172" s="26">
        <v>412.47</v>
      </c>
      <c r="G172" s="26">
        <v>422.57</v>
      </c>
      <c r="H172" s="26">
        <f t="shared" si="2"/>
        <v>2698.5400000000004</v>
      </c>
    </row>
    <row r="173" spans="2:8">
      <c r="B173" s="24" t="s">
        <v>294</v>
      </c>
      <c r="C173" s="25" t="s">
        <v>295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296</v>
      </c>
      <c r="C174" s="25" t="s">
        <v>297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298</v>
      </c>
      <c r="C175" s="25" t="s">
        <v>291</v>
      </c>
      <c r="D175" s="26">
        <v>1368.25</v>
      </c>
      <c r="E175" s="26">
        <v>495.25</v>
      </c>
      <c r="F175" s="26">
        <v>412.47</v>
      </c>
      <c r="G175" s="26">
        <v>422.57</v>
      </c>
      <c r="H175" s="26">
        <f t="shared" si="2"/>
        <v>2698.5400000000004</v>
      </c>
    </row>
    <row r="176" spans="2:8">
      <c r="B176" s="24" t="s">
        <v>299</v>
      </c>
      <c r="C176" s="25" t="s">
        <v>300</v>
      </c>
      <c r="D176" s="26">
        <v>4004.44</v>
      </c>
      <c r="E176" s="26">
        <v>5112.1400000000003</v>
      </c>
      <c r="F176" s="26">
        <v>4069.69</v>
      </c>
      <c r="G176" s="26">
        <v>5254.84</v>
      </c>
      <c r="H176" s="26">
        <f t="shared" si="2"/>
        <v>18441.11</v>
      </c>
    </row>
    <row r="177" spans="2:8">
      <c r="B177" s="24" t="s">
        <v>301</v>
      </c>
      <c r="C177" s="25" t="s">
        <v>302</v>
      </c>
      <c r="D177" s="26">
        <v>1089.1300000000001</v>
      </c>
      <c r="E177" s="26">
        <v>81.05</v>
      </c>
      <c r="F177" s="26">
        <v>298.58</v>
      </c>
      <c r="G177" s="26">
        <v>21.26</v>
      </c>
      <c r="H177" s="26">
        <f t="shared" si="2"/>
        <v>1490.02</v>
      </c>
    </row>
    <row r="178" spans="2:8">
      <c r="B178" s="24"/>
      <c r="C178" s="25" t="s">
        <v>303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304</v>
      </c>
      <c r="C179" s="25" t="s">
        <v>305</v>
      </c>
      <c r="D179" s="26" t="s">
        <v>432</v>
      </c>
      <c r="E179" s="26" t="s">
        <v>432</v>
      </c>
      <c r="F179" s="26" t="s">
        <v>432</v>
      </c>
      <c r="G179" s="26" t="s">
        <v>432</v>
      </c>
      <c r="H179" s="26">
        <f t="shared" si="2"/>
        <v>0</v>
      </c>
    </row>
    <row r="180" spans="2:8">
      <c r="B180" s="24" t="s">
        <v>306</v>
      </c>
      <c r="C180" s="25" t="s">
        <v>307</v>
      </c>
      <c r="D180" s="26" t="s">
        <v>432</v>
      </c>
      <c r="E180" s="26" t="s">
        <v>432</v>
      </c>
      <c r="F180" s="26" t="s">
        <v>432</v>
      </c>
      <c r="G180" s="26" t="s">
        <v>432</v>
      </c>
      <c r="H180" s="26">
        <f t="shared" si="2"/>
        <v>0</v>
      </c>
    </row>
    <row r="181" spans="2:8">
      <c r="B181" s="24"/>
      <c r="C181" s="25" t="s">
        <v>308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309</v>
      </c>
      <c r="C182" s="25" t="s">
        <v>303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310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311</v>
      </c>
      <c r="C184" s="25" t="s">
        <v>166</v>
      </c>
      <c r="D184" s="26">
        <v>1388.61</v>
      </c>
      <c r="E184" s="26">
        <v>0</v>
      </c>
      <c r="F184" s="26">
        <v>0</v>
      </c>
      <c r="G184" s="26">
        <v>4235.2299999999996</v>
      </c>
      <c r="H184" s="26">
        <f t="shared" si="2"/>
        <v>5623.8399999999992</v>
      </c>
    </row>
    <row r="185" spans="2:8">
      <c r="B185" s="24"/>
      <c r="C185" s="25" t="s">
        <v>312</v>
      </c>
      <c r="D185" s="26">
        <v>764.4</v>
      </c>
      <c r="E185" s="26">
        <v>0</v>
      </c>
      <c r="F185" s="26">
        <v>0</v>
      </c>
      <c r="G185" s="26">
        <v>0</v>
      </c>
      <c r="H185" s="26">
        <f t="shared" si="2"/>
        <v>764.4</v>
      </c>
    </row>
    <row r="186" spans="2:8">
      <c r="B186" s="24" t="s">
        <v>313</v>
      </c>
      <c r="C186" s="25" t="s">
        <v>314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315</v>
      </c>
      <c r="C187" s="25" t="s">
        <v>310</v>
      </c>
      <c r="D187" s="26">
        <v>2153.0099999999998</v>
      </c>
      <c r="E187" s="26">
        <v>0</v>
      </c>
      <c r="F187" s="26">
        <v>0</v>
      </c>
      <c r="G187" s="26">
        <v>4235.2299999999996</v>
      </c>
      <c r="H187" s="26">
        <f t="shared" si="2"/>
        <v>6388.24</v>
      </c>
    </row>
    <row r="188" spans="2:8">
      <c r="B188" s="24" t="s">
        <v>316</v>
      </c>
      <c r="C188" s="25" t="s">
        <v>317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318</v>
      </c>
      <c r="C189" s="25" t="s">
        <v>319</v>
      </c>
      <c r="D189" s="26">
        <v>1318.26</v>
      </c>
      <c r="E189" s="26">
        <v>0</v>
      </c>
      <c r="F189" s="26">
        <v>625.49</v>
      </c>
      <c r="G189" s="26">
        <v>0</v>
      </c>
      <c r="H189" s="26">
        <f t="shared" si="2"/>
        <v>1943.75</v>
      </c>
    </row>
    <row r="190" spans="2:8">
      <c r="B190" s="24" t="s">
        <v>320</v>
      </c>
      <c r="C190" s="25" t="s">
        <v>321</v>
      </c>
      <c r="D190" s="26">
        <v>6626.07</v>
      </c>
      <c r="E190" s="26">
        <v>0</v>
      </c>
      <c r="F190" s="26">
        <v>0</v>
      </c>
      <c r="G190" s="26">
        <v>0</v>
      </c>
      <c r="H190" s="26">
        <f t="shared" si="2"/>
        <v>6626.07</v>
      </c>
    </row>
    <row r="191" spans="2:8">
      <c r="B191" s="24">
        <v>816130</v>
      </c>
      <c r="C191" s="25" t="s">
        <v>322</v>
      </c>
      <c r="D191" s="26" t="s">
        <v>432</v>
      </c>
      <c r="E191" s="26" t="s">
        <v>432</v>
      </c>
      <c r="F191" s="26" t="s">
        <v>432</v>
      </c>
      <c r="G191" s="26" t="s">
        <v>432</v>
      </c>
      <c r="H191" s="26">
        <f t="shared" si="2"/>
        <v>0</v>
      </c>
    </row>
    <row r="192" spans="2:8">
      <c r="B192" s="24" t="s">
        <v>323</v>
      </c>
      <c r="C192" s="25" t="s">
        <v>324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325</v>
      </c>
      <c r="C193" s="25" t="s">
        <v>326</v>
      </c>
      <c r="D193" s="26" t="s">
        <v>432</v>
      </c>
      <c r="E193" s="26" t="s">
        <v>432</v>
      </c>
      <c r="F193" s="26" t="s">
        <v>432</v>
      </c>
      <c r="G193" s="26" t="s">
        <v>432</v>
      </c>
      <c r="H193" s="26">
        <f t="shared" si="2"/>
        <v>0</v>
      </c>
    </row>
    <row r="194" spans="2:8">
      <c r="B194" s="24"/>
      <c r="C194" s="25" t="s">
        <v>327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328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316</v>
      </c>
      <c r="C197" s="25" t="s">
        <v>317</v>
      </c>
      <c r="D197" s="26">
        <v>7944.33</v>
      </c>
      <c r="E197" s="26">
        <v>0</v>
      </c>
      <c r="F197" s="26">
        <v>625.49</v>
      </c>
      <c r="G197" s="26">
        <v>0</v>
      </c>
      <c r="H197" s="26">
        <f t="shared" si="2"/>
        <v>8569.82</v>
      </c>
    </row>
    <row r="198" spans="2:8">
      <c r="B198" s="24" t="s">
        <v>329</v>
      </c>
      <c r="C198" s="25" t="s">
        <v>240</v>
      </c>
      <c r="D198" s="26">
        <v>67810.36</v>
      </c>
      <c r="E198" s="26">
        <v>30922.14</v>
      </c>
      <c r="F198" s="26">
        <v>25794.610000000008</v>
      </c>
      <c r="G198" s="26">
        <v>17964.87</v>
      </c>
      <c r="H198" s="26">
        <f t="shared" si="2"/>
        <v>142491.98000000001</v>
      </c>
    </row>
    <row r="199" spans="2:8">
      <c r="B199" s="24"/>
      <c r="C199" s="25" t="s">
        <v>330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331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53" si="3">SUM(D200:G200)</f>
        <v>0</v>
      </c>
    </row>
    <row r="201" spans="2:8">
      <c r="B201" s="24" t="s">
        <v>332</v>
      </c>
      <c r="C201" s="25" t="s">
        <v>333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334</v>
      </c>
      <c r="C202" s="25" t="s">
        <v>335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336</v>
      </c>
      <c r="D203" s="26" t="s">
        <v>432</v>
      </c>
      <c r="E203" s="26" t="s">
        <v>432</v>
      </c>
      <c r="F203" s="26" t="s">
        <v>432</v>
      </c>
      <c r="G203" s="26" t="s">
        <v>432</v>
      </c>
      <c r="H203" s="26">
        <f t="shared" si="3"/>
        <v>0</v>
      </c>
    </row>
    <row r="204" spans="2:8">
      <c r="B204" s="24" t="s">
        <v>337</v>
      </c>
      <c r="C204" s="25" t="s">
        <v>338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339</v>
      </c>
      <c r="C205" s="25" t="s">
        <v>340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341</v>
      </c>
      <c r="C206" s="25" t="s">
        <v>336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342</v>
      </c>
      <c r="C207" s="25" t="s">
        <v>343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344</v>
      </c>
      <c r="C208" s="25" t="s">
        <v>345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346</v>
      </c>
      <c r="C209" s="25" t="s">
        <v>347</v>
      </c>
      <c r="D209" s="26">
        <v>0.9</v>
      </c>
      <c r="E209" s="26">
        <v>0</v>
      </c>
      <c r="F209" s="26">
        <v>5.43</v>
      </c>
      <c r="G209" s="26">
        <v>0</v>
      </c>
      <c r="H209" s="26">
        <f t="shared" si="3"/>
        <v>6.33</v>
      </c>
    </row>
    <row r="210" spans="2:8">
      <c r="B210" s="24"/>
      <c r="C210" s="25" t="s">
        <v>348</v>
      </c>
      <c r="D210" s="26">
        <v>-166.73</v>
      </c>
      <c r="E210" s="26">
        <v>0</v>
      </c>
      <c r="F210" s="26">
        <v>0</v>
      </c>
      <c r="G210" s="26">
        <v>0</v>
      </c>
      <c r="H210" s="26">
        <f t="shared" si="3"/>
        <v>-166.73</v>
      </c>
    </row>
    <row r="211" spans="2:8">
      <c r="B211" s="24" t="s">
        <v>349</v>
      </c>
      <c r="C211" s="25" t="s">
        <v>350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351</v>
      </c>
      <c r="D212" s="26">
        <v>12411.61</v>
      </c>
      <c r="E212" s="26">
        <v>0</v>
      </c>
      <c r="F212" s="26">
        <v>0</v>
      </c>
      <c r="G212" s="26">
        <v>0</v>
      </c>
      <c r="H212" s="26">
        <f t="shared" si="3"/>
        <v>12411.61</v>
      </c>
    </row>
    <row r="213" spans="2:8">
      <c r="B213" s="24" t="s">
        <v>352</v>
      </c>
      <c r="C213" s="25" t="s">
        <v>353</v>
      </c>
      <c r="D213" s="26">
        <v>-3.15</v>
      </c>
      <c r="E213" s="26">
        <v>-3.56</v>
      </c>
      <c r="F213" s="26">
        <v>-0.01</v>
      </c>
      <c r="G213" s="26">
        <v>0</v>
      </c>
      <c r="H213" s="26">
        <f t="shared" si="3"/>
        <v>-6.72</v>
      </c>
    </row>
    <row r="214" spans="2:8">
      <c r="B214" s="24" t="s">
        <v>354</v>
      </c>
      <c r="C214" s="25" t="s">
        <v>331</v>
      </c>
      <c r="D214" s="26">
        <v>12242.630000000001</v>
      </c>
      <c r="E214" s="26">
        <v>-3.56</v>
      </c>
      <c r="F214" s="26">
        <v>5.42</v>
      </c>
      <c r="G214" s="26">
        <v>0</v>
      </c>
      <c r="H214" s="26">
        <f t="shared" si="3"/>
        <v>12244.490000000002</v>
      </c>
    </row>
    <row r="215" spans="2:8">
      <c r="B215" s="24"/>
      <c r="C215" s="25" t="s">
        <v>355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356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357</v>
      </c>
      <c r="C217" s="25" t="s">
        <v>358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359</v>
      </c>
      <c r="C218" s="25" t="s">
        <v>360</v>
      </c>
      <c r="D218" s="26">
        <v>23268.65</v>
      </c>
      <c r="E218" s="26">
        <v>0</v>
      </c>
      <c r="F218" s="26">
        <v>0</v>
      </c>
      <c r="G218" s="26">
        <v>0</v>
      </c>
      <c r="H218" s="26">
        <f t="shared" si="3"/>
        <v>23268.65</v>
      </c>
    </row>
    <row r="219" spans="2:8">
      <c r="B219" s="24" t="s">
        <v>361</v>
      </c>
      <c r="C219" s="25" t="s">
        <v>356</v>
      </c>
      <c r="D219" s="26">
        <v>23268.65</v>
      </c>
      <c r="E219" s="26">
        <v>0</v>
      </c>
      <c r="F219" s="26">
        <v>0</v>
      </c>
      <c r="G219" s="26">
        <v>0</v>
      </c>
      <c r="H219" s="26">
        <f t="shared" si="3"/>
        <v>23268.65</v>
      </c>
    </row>
    <row r="220" spans="2:8">
      <c r="B220" s="24"/>
      <c r="C220" s="25" t="s">
        <v>362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363</v>
      </c>
      <c r="C221" s="25" t="s">
        <v>364</v>
      </c>
      <c r="D221" s="26">
        <v>19464.14</v>
      </c>
      <c r="E221" s="26">
        <v>0</v>
      </c>
      <c r="F221" s="26">
        <v>0</v>
      </c>
      <c r="G221" s="26">
        <v>0</v>
      </c>
      <c r="H221" s="26">
        <f t="shared" si="3"/>
        <v>19464.14</v>
      </c>
    </row>
    <row r="222" spans="2:8">
      <c r="B222" s="24" t="s">
        <v>365</v>
      </c>
      <c r="C222" s="25" t="s">
        <v>366</v>
      </c>
      <c r="D222" s="26">
        <v>4188.62</v>
      </c>
      <c r="E222" s="26">
        <v>48.96</v>
      </c>
      <c r="F222" s="26">
        <v>814.13</v>
      </c>
      <c r="G222" s="26">
        <v>13.52</v>
      </c>
      <c r="H222" s="26">
        <f t="shared" si="3"/>
        <v>5065.2300000000005</v>
      </c>
    </row>
    <row r="223" spans="2:8">
      <c r="B223" s="24" t="s">
        <v>367</v>
      </c>
      <c r="C223" s="25" t="s">
        <v>362</v>
      </c>
      <c r="D223" s="26">
        <v>23652.76</v>
      </c>
      <c r="E223" s="26">
        <v>48.96</v>
      </c>
      <c r="F223" s="26">
        <v>814.13</v>
      </c>
      <c r="G223" s="26">
        <v>13.52</v>
      </c>
      <c r="H223" s="26">
        <f t="shared" si="3"/>
        <v>24529.37</v>
      </c>
    </row>
    <row r="224" spans="2:8">
      <c r="B224" s="24" t="s">
        <v>368</v>
      </c>
      <c r="C224" s="25" t="s">
        <v>369</v>
      </c>
      <c r="D224" s="26">
        <v>-17681.47</v>
      </c>
      <c r="E224" s="26">
        <v>0</v>
      </c>
      <c r="F224" s="26">
        <v>0</v>
      </c>
      <c r="G224" s="26">
        <v>0</v>
      </c>
      <c r="H224" s="26">
        <f t="shared" si="3"/>
        <v>-17681.47</v>
      </c>
    </row>
    <row r="225" spans="2:8">
      <c r="B225" s="24"/>
      <c r="C225" s="25" t="s">
        <v>370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371</v>
      </c>
      <c r="C226" s="25" t="s">
        <v>372</v>
      </c>
      <c r="D226" s="26">
        <v>1661.84</v>
      </c>
      <c r="E226" s="26">
        <v>564.32000000000005</v>
      </c>
      <c r="F226" s="26">
        <v>200.53</v>
      </c>
      <c r="G226" s="26">
        <v>0.46</v>
      </c>
      <c r="H226" s="26">
        <f t="shared" si="3"/>
        <v>2427.15</v>
      </c>
    </row>
    <row r="227" spans="2:8">
      <c r="B227" s="24" t="s">
        <v>373</v>
      </c>
      <c r="C227" s="25" t="s">
        <v>374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375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376</v>
      </c>
      <c r="C229" s="25" t="s">
        <v>370</v>
      </c>
      <c r="D229" s="26">
        <v>1661.84</v>
      </c>
      <c r="E229" s="26">
        <v>564.32000000000005</v>
      </c>
      <c r="F229" s="26">
        <v>200.53</v>
      </c>
      <c r="G229" s="26">
        <v>0.46</v>
      </c>
      <c r="H229" s="26">
        <f t="shared" si="3"/>
        <v>2427.15</v>
      </c>
    </row>
    <row r="230" spans="2:8">
      <c r="B230" s="24"/>
      <c r="C230" s="25" t="s">
        <v>377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378</v>
      </c>
      <c r="C231" s="25" t="s">
        <v>379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380</v>
      </c>
      <c r="C232" s="25" t="s">
        <v>381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382</v>
      </c>
      <c r="C233" s="25" t="s">
        <v>377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383</v>
      </c>
      <c r="C234" s="25" t="s">
        <v>384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385</v>
      </c>
      <c r="C235" s="25" t="s">
        <v>386</v>
      </c>
      <c r="D235" s="26">
        <v>127.95</v>
      </c>
      <c r="E235" s="26">
        <v>526.42999999999995</v>
      </c>
      <c r="F235" s="26">
        <v>318.19</v>
      </c>
      <c r="G235" s="26">
        <v>23.29</v>
      </c>
      <c r="H235" s="26">
        <f t="shared" si="3"/>
        <v>995.8599999999999</v>
      </c>
    </row>
    <row r="236" spans="2:8">
      <c r="B236" s="24" t="s">
        <v>387</v>
      </c>
      <c r="C236" s="25" t="s">
        <v>388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389</v>
      </c>
      <c r="C237" s="25" t="s">
        <v>390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391</v>
      </c>
      <c r="C238" s="25" t="s">
        <v>392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393</v>
      </c>
      <c r="D239" s="26" t="s">
        <v>432</v>
      </c>
      <c r="E239" s="26" t="s">
        <v>432</v>
      </c>
      <c r="F239" s="26" t="s">
        <v>432</v>
      </c>
      <c r="G239" s="26" t="s">
        <v>432</v>
      </c>
      <c r="H239" s="26">
        <f t="shared" si="3"/>
        <v>0</v>
      </c>
    </row>
    <row r="240" spans="2:8">
      <c r="B240" s="24" t="s">
        <v>394</v>
      </c>
      <c r="C240" s="25" t="s">
        <v>350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395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396</v>
      </c>
      <c r="C242" s="25" t="s">
        <v>353</v>
      </c>
      <c r="D242" s="26">
        <v>-3.15</v>
      </c>
      <c r="E242" s="26">
        <v>-3.56</v>
      </c>
      <c r="F242" s="26">
        <v>-0.01</v>
      </c>
      <c r="G242" s="26">
        <v>0</v>
      </c>
      <c r="H242" s="26">
        <f t="shared" si="3"/>
        <v>-6.72</v>
      </c>
    </row>
    <row r="243" spans="2:8">
      <c r="B243" s="24" t="s">
        <v>397</v>
      </c>
      <c r="C243" s="25" t="s">
        <v>355</v>
      </c>
      <c r="D243" s="26">
        <v>31026.58</v>
      </c>
      <c r="E243" s="26">
        <v>1136.1500000000001</v>
      </c>
      <c r="F243" s="26">
        <v>1332.84</v>
      </c>
      <c r="G243" s="26">
        <v>37.269999999999996</v>
      </c>
      <c r="H243" s="26">
        <f t="shared" si="3"/>
        <v>33532.839999999997</v>
      </c>
    </row>
    <row r="244" spans="2:8">
      <c r="B244" s="24" t="s">
        <v>398</v>
      </c>
      <c r="C244" s="25" t="s">
        <v>399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400</v>
      </c>
      <c r="C245" s="25" t="s">
        <v>401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402</v>
      </c>
      <c r="C246" s="25" t="s">
        <v>403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404</v>
      </c>
      <c r="C247" s="25" t="s">
        <v>405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406</v>
      </c>
      <c r="C248" s="25" t="s">
        <v>330</v>
      </c>
      <c r="D248" s="26">
        <v>43269.210000000006</v>
      </c>
      <c r="E248" s="26">
        <v>1132.5900000000001</v>
      </c>
      <c r="F248" s="26">
        <v>1338.26</v>
      </c>
      <c r="G248" s="26">
        <v>37.269999999999996</v>
      </c>
      <c r="H248" s="26">
        <f t="shared" si="3"/>
        <v>45777.33</v>
      </c>
    </row>
    <row r="249" spans="2:8">
      <c r="B249" s="24" t="s">
        <v>407</v>
      </c>
      <c r="C249" s="25" t="s">
        <v>408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409</v>
      </c>
      <c r="C250" s="25" t="s">
        <v>410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411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408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412</v>
      </c>
      <c r="D253" s="86">
        <v>-3370122.4299999997</v>
      </c>
      <c r="E253" s="86">
        <v>-235561.60000000001</v>
      </c>
      <c r="F253" s="86">
        <v>1437849.24</v>
      </c>
      <c r="G253" s="86">
        <v>-155699.25999999998</v>
      </c>
      <c r="H253" s="86">
        <f t="shared" si="3"/>
        <v>-2323534.0499999998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77373-D61D-4D38-BF69-1D6716439A28}">
  <sheetPr codeName="Sheet33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10" sqref="G10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470</v>
      </c>
    </row>
    <row r="4" spans="2:8" ht="18.75">
      <c r="B4" s="93" t="s">
        <v>11</v>
      </c>
      <c r="C4" s="93" t="s">
        <v>12</v>
      </c>
      <c r="D4" s="94" t="s">
        <v>414</v>
      </c>
      <c r="E4" s="94"/>
      <c r="F4" s="94"/>
      <c r="G4" s="94"/>
      <c r="H4" s="95"/>
    </row>
    <row r="5" spans="2:8" ht="24" customHeight="1">
      <c r="B5" s="93"/>
      <c r="C5" s="93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25" customHeight="1">
      <c r="B6" s="24"/>
      <c r="C6" s="25" t="s">
        <v>26</v>
      </c>
      <c r="D6" s="26" t="s">
        <v>436</v>
      </c>
      <c r="E6" s="26" t="s">
        <v>436</v>
      </c>
      <c r="F6" s="26" t="s">
        <v>436</v>
      </c>
      <c r="G6" s="26" t="s">
        <v>436</v>
      </c>
      <c r="H6" s="26"/>
    </row>
    <row r="7" spans="2:8" ht="17.45" customHeight="1">
      <c r="B7" s="24"/>
      <c r="C7" s="25" t="s">
        <v>27</v>
      </c>
      <c r="D7" s="26" t="s">
        <v>436</v>
      </c>
      <c r="E7" s="26" t="s">
        <v>436</v>
      </c>
      <c r="F7" s="26" t="s">
        <v>436</v>
      </c>
      <c r="G7" s="26" t="s">
        <v>436</v>
      </c>
      <c r="H7" s="26"/>
    </row>
    <row r="8" spans="2:8" ht="17.45" customHeight="1">
      <c r="B8" s="24" t="s">
        <v>28</v>
      </c>
      <c r="C8" s="25" t="s">
        <v>29</v>
      </c>
      <c r="D8" s="26">
        <v>645505.54</v>
      </c>
      <c r="E8" s="26">
        <v>0</v>
      </c>
      <c r="F8" s="26">
        <v>1447004.77</v>
      </c>
      <c r="G8" s="26">
        <v>0</v>
      </c>
      <c r="H8" s="26">
        <f t="shared" ref="H8:H71" si="0">SUM(D8:G8)</f>
        <v>2092510.31</v>
      </c>
    </row>
    <row r="9" spans="2:8">
      <c r="B9" s="24" t="s">
        <v>30</v>
      </c>
      <c r="C9" s="25" t="s">
        <v>31</v>
      </c>
      <c r="D9" s="26">
        <v>0</v>
      </c>
      <c r="E9" s="26">
        <v>188961.27</v>
      </c>
      <c r="F9" s="26">
        <v>0</v>
      </c>
      <c r="G9" s="26">
        <v>0</v>
      </c>
      <c r="H9" s="26">
        <f t="shared" si="0"/>
        <v>188961.27</v>
      </c>
    </row>
    <row r="10" spans="2:8">
      <c r="B10" s="24" t="s">
        <v>32</v>
      </c>
      <c r="C10" s="25" t="s">
        <v>33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34</v>
      </c>
      <c r="C11" s="25" t="s">
        <v>35</v>
      </c>
      <c r="D11" s="26">
        <v>6683.17</v>
      </c>
      <c r="E11" s="26">
        <v>0</v>
      </c>
      <c r="F11" s="26">
        <v>0</v>
      </c>
      <c r="G11" s="26">
        <v>0</v>
      </c>
      <c r="H11" s="26">
        <f t="shared" si="0"/>
        <v>6683.17</v>
      </c>
    </row>
    <row r="12" spans="2:8">
      <c r="B12" s="24" t="s">
        <v>36</v>
      </c>
      <c r="C12" s="25" t="s">
        <v>37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38</v>
      </c>
      <c r="C13" s="25" t="s">
        <v>39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40</v>
      </c>
      <c r="D14" s="26">
        <v>0</v>
      </c>
      <c r="E14" s="26">
        <v>188961.27</v>
      </c>
      <c r="F14" s="26">
        <v>0</v>
      </c>
      <c r="G14" s="26">
        <v>0</v>
      </c>
      <c r="H14" s="26">
        <f t="shared" si="0"/>
        <v>188961.27</v>
      </c>
    </row>
    <row r="15" spans="2:8">
      <c r="B15" s="24" t="s">
        <v>41</v>
      </c>
      <c r="C15" s="25" t="s">
        <v>27</v>
      </c>
      <c r="D15" s="26">
        <v>652188.71000000008</v>
      </c>
      <c r="E15" s="26">
        <v>188961.27</v>
      </c>
      <c r="F15" s="26">
        <v>1447004.77</v>
      </c>
      <c r="G15" s="26">
        <v>0</v>
      </c>
      <c r="H15" s="26">
        <f t="shared" si="0"/>
        <v>2288154.75</v>
      </c>
    </row>
    <row r="16" spans="2:8">
      <c r="B16" s="24" t="s">
        <v>42</v>
      </c>
      <c r="C16" s="25" t="s">
        <v>43</v>
      </c>
      <c r="D16" s="26">
        <v>652188.71000000008</v>
      </c>
      <c r="E16" s="26">
        <v>188961.27</v>
      </c>
      <c r="F16" s="26">
        <v>1447004.77</v>
      </c>
      <c r="G16" s="26">
        <v>0</v>
      </c>
      <c r="H16" s="26">
        <f t="shared" si="0"/>
        <v>2288154.75</v>
      </c>
    </row>
    <row r="17" spans="2:8">
      <c r="B17" s="24"/>
      <c r="C17" s="25" t="s">
        <v>44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45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46</v>
      </c>
      <c r="C19" s="25" t="s">
        <v>47</v>
      </c>
      <c r="D19" s="26">
        <v>1499367.34</v>
      </c>
      <c r="E19" s="26">
        <v>162955.09</v>
      </c>
      <c r="F19" s="26">
        <v>181789.52</v>
      </c>
      <c r="G19" s="26">
        <v>74185.84</v>
      </c>
      <c r="H19" s="26">
        <f t="shared" si="0"/>
        <v>1918297.7900000003</v>
      </c>
    </row>
    <row r="20" spans="2:8">
      <c r="B20" s="24" t="s">
        <v>48</v>
      </c>
      <c r="C20" s="25" t="s">
        <v>49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50</v>
      </c>
      <c r="D21" s="26">
        <v>1499367.34</v>
      </c>
      <c r="E21" s="26">
        <v>162955.09</v>
      </c>
      <c r="F21" s="26">
        <v>181789.52</v>
      </c>
      <c r="G21" s="26">
        <v>74185.84</v>
      </c>
      <c r="H21" s="26">
        <f t="shared" si="0"/>
        <v>1918297.7900000003</v>
      </c>
    </row>
    <row r="22" spans="2:8">
      <c r="B22" s="24" t="s">
        <v>51</v>
      </c>
      <c r="C22" s="25" t="s">
        <v>52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53</v>
      </c>
      <c r="C23" s="25" t="s">
        <v>54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55</v>
      </c>
      <c r="D24" s="26">
        <v>2998734.68</v>
      </c>
      <c r="E24" s="26">
        <v>325910.18</v>
      </c>
      <c r="F24" s="26">
        <v>363579.04</v>
      </c>
      <c r="G24" s="26">
        <v>148371.68</v>
      </c>
      <c r="H24" s="26">
        <f t="shared" si="0"/>
        <v>3836595.5800000005</v>
      </c>
    </row>
    <row r="25" spans="2:8">
      <c r="B25" s="24" t="s">
        <v>56</v>
      </c>
      <c r="C25" s="25" t="s">
        <v>57</v>
      </c>
      <c r="D25" s="26">
        <v>0</v>
      </c>
      <c r="E25" s="26">
        <v>0</v>
      </c>
      <c r="F25" s="26">
        <v>0</v>
      </c>
      <c r="G25" s="26">
        <v>0</v>
      </c>
      <c r="H25" s="26">
        <f t="shared" si="0"/>
        <v>0</v>
      </c>
    </row>
    <row r="26" spans="2:8">
      <c r="B26" s="24" t="s">
        <v>58</v>
      </c>
      <c r="C26" s="25" t="s">
        <v>59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60</v>
      </c>
      <c r="C27" s="25" t="s">
        <v>61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62</v>
      </c>
      <c r="C28" s="25" t="s">
        <v>63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64</v>
      </c>
      <c r="D29" s="26">
        <v>0</v>
      </c>
      <c r="E29" s="26">
        <v>0</v>
      </c>
      <c r="F29" s="26">
        <v>0</v>
      </c>
      <c r="G29" s="26">
        <v>0</v>
      </c>
      <c r="H29" s="26">
        <f t="shared" si="0"/>
        <v>0</v>
      </c>
    </row>
    <row r="30" spans="2:8">
      <c r="B30" s="24" t="s">
        <v>65</v>
      </c>
      <c r="C30" s="25" t="s">
        <v>66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67</v>
      </c>
      <c r="C31" s="25" t="s">
        <v>68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69</v>
      </c>
      <c r="C32" s="25" t="s">
        <v>70</v>
      </c>
      <c r="D32" s="26" t="s">
        <v>432</v>
      </c>
      <c r="E32" s="26" t="s">
        <v>432</v>
      </c>
      <c r="F32" s="26" t="s">
        <v>432</v>
      </c>
      <c r="G32" s="26" t="s">
        <v>432</v>
      </c>
      <c r="H32" s="26">
        <f t="shared" si="0"/>
        <v>0</v>
      </c>
    </row>
    <row r="33" spans="2:8">
      <c r="B33" s="24" t="s">
        <v>71</v>
      </c>
      <c r="C33" s="25" t="s">
        <v>72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73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74</v>
      </c>
      <c r="C35" s="25" t="s">
        <v>75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76</v>
      </c>
      <c r="C36" s="25" t="s">
        <v>77</v>
      </c>
      <c r="D36" s="26">
        <v>2998734.68</v>
      </c>
      <c r="E36" s="26">
        <v>325910.18</v>
      </c>
      <c r="F36" s="26">
        <v>363579.04</v>
      </c>
      <c r="G36" s="26">
        <v>148371.68</v>
      </c>
      <c r="H36" s="26">
        <f t="shared" si="0"/>
        <v>3836595.5800000005</v>
      </c>
    </row>
    <row r="37" spans="2:8">
      <c r="B37" s="24"/>
      <c r="C37" s="25" t="s">
        <v>78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79</v>
      </c>
      <c r="C38" s="25" t="s">
        <v>80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81</v>
      </c>
      <c r="C39" s="25" t="s">
        <v>82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83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84</v>
      </c>
      <c r="C41" s="25" t="s">
        <v>85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86</v>
      </c>
      <c r="C42" s="25" t="s">
        <v>87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88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89</v>
      </c>
      <c r="C44" s="25" t="s">
        <v>90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91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92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93</v>
      </c>
      <c r="C47" s="25" t="s">
        <v>83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94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95</v>
      </c>
      <c r="C49" s="25" t="s">
        <v>96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97</v>
      </c>
      <c r="C50" s="25" t="s">
        <v>98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99</v>
      </c>
      <c r="C51" s="25" t="s">
        <v>100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101</v>
      </c>
      <c r="C52" s="25" t="s">
        <v>94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102</v>
      </c>
      <c r="C53" s="25" t="s">
        <v>103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104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105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106</v>
      </c>
      <c r="C56" s="25" t="s">
        <v>107</v>
      </c>
      <c r="D56" s="26">
        <v>31820.04</v>
      </c>
      <c r="E56" s="26">
        <v>76008.800000000003</v>
      </c>
      <c r="F56" s="26">
        <v>99082.1</v>
      </c>
      <c r="G56" s="26">
        <v>48122.09</v>
      </c>
      <c r="H56" s="26">
        <f t="shared" si="0"/>
        <v>255033.03</v>
      </c>
    </row>
    <row r="57" spans="2:8">
      <c r="B57" s="24" t="s">
        <v>108</v>
      </c>
      <c r="C57" s="25" t="s">
        <v>109</v>
      </c>
      <c r="D57" s="26">
        <v>2402.6799999999998</v>
      </c>
      <c r="E57" s="26">
        <v>5551.63</v>
      </c>
      <c r="F57" s="26">
        <v>7015.62</v>
      </c>
      <c r="G57" s="26">
        <v>3315.71</v>
      </c>
      <c r="H57" s="26">
        <f t="shared" si="0"/>
        <v>18285.64</v>
      </c>
    </row>
    <row r="58" spans="2:8">
      <c r="B58" s="24" t="s">
        <v>110</v>
      </c>
      <c r="C58" s="25" t="s">
        <v>111</v>
      </c>
      <c r="D58" s="26">
        <v>2288.4299999999998</v>
      </c>
      <c r="E58" s="26">
        <v>3409.17</v>
      </c>
      <c r="F58" s="26">
        <v>3673.55</v>
      </c>
      <c r="G58" s="26">
        <v>1894.75</v>
      </c>
      <c r="H58" s="26">
        <f t="shared" si="0"/>
        <v>11265.900000000001</v>
      </c>
    </row>
    <row r="59" spans="2:8">
      <c r="B59" s="24" t="s">
        <v>112</v>
      </c>
      <c r="C59" s="25" t="s">
        <v>113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114</v>
      </c>
      <c r="C60" s="25" t="s">
        <v>115</v>
      </c>
      <c r="D60" s="26">
        <v>2282.38</v>
      </c>
      <c r="E60" s="26">
        <v>5483.66</v>
      </c>
      <c r="F60" s="26">
        <v>6183.55</v>
      </c>
      <c r="G60" s="26">
        <v>2903.8</v>
      </c>
      <c r="H60" s="26">
        <f t="shared" si="0"/>
        <v>16853.39</v>
      </c>
    </row>
    <row r="61" spans="2:8">
      <c r="B61" s="24" t="s">
        <v>116</v>
      </c>
      <c r="C61" s="25" t="s">
        <v>105</v>
      </c>
      <c r="D61" s="26">
        <v>38793.53</v>
      </c>
      <c r="E61" s="26">
        <v>90453.260000000009</v>
      </c>
      <c r="F61" s="26">
        <v>115954.82</v>
      </c>
      <c r="G61" s="26">
        <v>56236.35</v>
      </c>
      <c r="H61" s="26">
        <f t="shared" si="0"/>
        <v>301437.96000000002</v>
      </c>
    </row>
    <row r="62" spans="2:8">
      <c r="B62" s="24" t="s">
        <v>117</v>
      </c>
      <c r="C62" s="25" t="s">
        <v>118</v>
      </c>
      <c r="D62" s="26">
        <v>170.8</v>
      </c>
      <c r="E62" s="26">
        <v>2408.84</v>
      </c>
      <c r="F62" s="26">
        <v>3452.84</v>
      </c>
      <c r="G62" s="26">
        <v>0</v>
      </c>
      <c r="H62" s="26">
        <f t="shared" si="0"/>
        <v>6032.4800000000005</v>
      </c>
    </row>
    <row r="63" spans="2:8">
      <c r="B63" s="24" t="s">
        <v>119</v>
      </c>
      <c r="C63" s="25" t="s">
        <v>120</v>
      </c>
      <c r="D63" s="26">
        <v>635.73</v>
      </c>
      <c r="E63" s="26">
        <v>4462.71</v>
      </c>
      <c r="F63" s="26">
        <v>1632.69</v>
      </c>
      <c r="G63" s="26">
        <v>184.96</v>
      </c>
      <c r="H63" s="26">
        <f t="shared" si="0"/>
        <v>6916.0900000000011</v>
      </c>
    </row>
    <row r="64" spans="2:8">
      <c r="B64" s="24" t="s">
        <v>121</v>
      </c>
      <c r="C64" s="25" t="s">
        <v>122</v>
      </c>
      <c r="D64" s="26">
        <v>1796.7</v>
      </c>
      <c r="E64" s="26">
        <v>4343.6099999999997</v>
      </c>
      <c r="F64" s="26">
        <v>4827.6099999999997</v>
      </c>
      <c r="G64" s="26">
        <v>3146.8</v>
      </c>
      <c r="H64" s="26">
        <f t="shared" si="0"/>
        <v>14114.719999999998</v>
      </c>
    </row>
    <row r="65" spans="2:8">
      <c r="B65" s="24" t="s">
        <v>123</v>
      </c>
      <c r="C65" s="25" t="s">
        <v>124</v>
      </c>
      <c r="D65" s="26">
        <v>53.15</v>
      </c>
      <c r="E65" s="26">
        <v>0</v>
      </c>
      <c r="F65" s="26">
        <v>0</v>
      </c>
      <c r="G65" s="26">
        <v>16.03</v>
      </c>
      <c r="H65" s="26">
        <f t="shared" si="0"/>
        <v>69.180000000000007</v>
      </c>
    </row>
    <row r="66" spans="2:8">
      <c r="B66" s="24"/>
      <c r="C66" s="25" t="s">
        <v>125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126</v>
      </c>
      <c r="C67" s="25" t="s">
        <v>127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128</v>
      </c>
      <c r="C68" s="25" t="s">
        <v>129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130</v>
      </c>
      <c r="D69" s="26">
        <v>11840.82</v>
      </c>
      <c r="E69" s="26">
        <v>771.19</v>
      </c>
      <c r="F69" s="26">
        <v>10955.69</v>
      </c>
      <c r="G69" s="26">
        <v>0</v>
      </c>
      <c r="H69" s="26">
        <f t="shared" si="0"/>
        <v>23567.7</v>
      </c>
    </row>
    <row r="70" spans="2:8">
      <c r="B70" s="24" t="s">
        <v>131</v>
      </c>
      <c r="C70" s="25" t="s">
        <v>125</v>
      </c>
      <c r="D70" s="26">
        <v>11840.82</v>
      </c>
      <c r="E70" s="26">
        <v>771.19</v>
      </c>
      <c r="F70" s="26">
        <v>10955.69</v>
      </c>
      <c r="G70" s="26">
        <v>0</v>
      </c>
      <c r="H70" s="26">
        <f t="shared" si="0"/>
        <v>23567.7</v>
      </c>
    </row>
    <row r="71" spans="2:8">
      <c r="B71" s="24" t="s">
        <v>132</v>
      </c>
      <c r="C71" s="25" t="s">
        <v>133</v>
      </c>
      <c r="D71" s="26">
        <v>192981.25</v>
      </c>
      <c r="E71" s="26">
        <v>45800.17</v>
      </c>
      <c r="F71" s="26">
        <v>10920.26</v>
      </c>
      <c r="G71" s="26">
        <v>0</v>
      </c>
      <c r="H71" s="26">
        <f t="shared" si="0"/>
        <v>249701.68</v>
      </c>
    </row>
    <row r="72" spans="2:8">
      <c r="B72" s="24"/>
      <c r="C72" s="25" t="s">
        <v>134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135</v>
      </c>
      <c r="C73" s="25" t="s">
        <v>136</v>
      </c>
      <c r="D73" s="26">
        <v>2091.81</v>
      </c>
      <c r="E73" s="26">
        <v>1481.33</v>
      </c>
      <c r="F73" s="26">
        <v>3891.41</v>
      </c>
      <c r="G73" s="26">
        <v>0</v>
      </c>
      <c r="H73" s="26">
        <f t="shared" si="1"/>
        <v>7464.5499999999993</v>
      </c>
    </row>
    <row r="74" spans="2:8">
      <c r="B74" s="24" t="s">
        <v>137</v>
      </c>
      <c r="C74" s="25" t="s">
        <v>138</v>
      </c>
      <c r="D74" s="26">
        <v>-0.91</v>
      </c>
      <c r="E74" s="26">
        <v>-0.7</v>
      </c>
      <c r="F74" s="26">
        <v>557.20000000000005</v>
      </c>
      <c r="G74" s="26">
        <v>-1.4</v>
      </c>
      <c r="H74" s="26">
        <f t="shared" si="1"/>
        <v>554.19000000000005</v>
      </c>
    </row>
    <row r="75" spans="2:8">
      <c r="B75" s="24" t="s">
        <v>139</v>
      </c>
      <c r="C75" s="25" t="s">
        <v>140</v>
      </c>
      <c r="D75" s="26">
        <v>-4.5599999999999996</v>
      </c>
      <c r="E75" s="26">
        <v>0</v>
      </c>
      <c r="F75" s="26">
        <v>-6.01</v>
      </c>
      <c r="G75" s="26">
        <v>0</v>
      </c>
      <c r="H75" s="26">
        <f t="shared" si="1"/>
        <v>-10.57</v>
      </c>
    </row>
    <row r="76" spans="2:8">
      <c r="B76" s="24" t="s">
        <v>141</v>
      </c>
      <c r="C76" s="25" t="s">
        <v>142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143</v>
      </c>
      <c r="C77" s="25" t="s">
        <v>144</v>
      </c>
      <c r="D77" s="26">
        <v>0</v>
      </c>
      <c r="E77" s="26">
        <v>-9.1300000000000008</v>
      </c>
      <c r="F77" s="26">
        <v>0</v>
      </c>
      <c r="G77" s="26">
        <v>0</v>
      </c>
      <c r="H77" s="26">
        <f t="shared" si="1"/>
        <v>-9.1300000000000008</v>
      </c>
    </row>
    <row r="78" spans="2:8">
      <c r="B78" s="24"/>
      <c r="C78" s="25" t="s">
        <v>145</v>
      </c>
      <c r="D78" s="26">
        <v>0</v>
      </c>
      <c r="E78" s="26">
        <v>0</v>
      </c>
      <c r="F78" s="26">
        <v>0</v>
      </c>
      <c r="G78" s="26">
        <v>0</v>
      </c>
      <c r="H78" s="26">
        <f t="shared" si="1"/>
        <v>0</v>
      </c>
    </row>
    <row r="79" spans="2:8">
      <c r="B79" s="24"/>
      <c r="C79" s="25" t="s">
        <v>146</v>
      </c>
      <c r="D79" s="26">
        <v>0</v>
      </c>
      <c r="E79" s="26">
        <v>0</v>
      </c>
      <c r="F79" s="26">
        <v>0</v>
      </c>
      <c r="G79" s="26">
        <v>0</v>
      </c>
      <c r="H79" s="26">
        <f t="shared" si="1"/>
        <v>0</v>
      </c>
    </row>
    <row r="80" spans="2:8">
      <c r="B80" s="24" t="s">
        <v>147</v>
      </c>
      <c r="C80" s="25" t="s">
        <v>134</v>
      </c>
      <c r="D80" s="26">
        <v>2086.34</v>
      </c>
      <c r="E80" s="26">
        <v>1471.4999999999998</v>
      </c>
      <c r="F80" s="26">
        <v>4442.5999999999995</v>
      </c>
      <c r="G80" s="26">
        <v>-1.4</v>
      </c>
      <c r="H80" s="26">
        <f t="shared" si="1"/>
        <v>7999.04</v>
      </c>
    </row>
    <row r="81" spans="2:8">
      <c r="B81" s="24"/>
      <c r="C81" s="25" t="s">
        <v>148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149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150</v>
      </c>
      <c r="C83" s="25" t="s">
        <v>151</v>
      </c>
      <c r="D83" s="26">
        <v>3253.47</v>
      </c>
      <c r="E83" s="26">
        <v>83.95</v>
      </c>
      <c r="F83" s="26">
        <v>8736.06</v>
      </c>
      <c r="G83" s="26">
        <v>0</v>
      </c>
      <c r="H83" s="26">
        <f t="shared" si="1"/>
        <v>12073.48</v>
      </c>
    </row>
    <row r="84" spans="2:8">
      <c r="B84" s="24" t="s">
        <v>152</v>
      </c>
      <c r="C84" s="25" t="s">
        <v>153</v>
      </c>
      <c r="D84" s="26">
        <v>3805.54</v>
      </c>
      <c r="E84" s="26">
        <v>1913.52</v>
      </c>
      <c r="F84" s="26">
        <v>5887.53</v>
      </c>
      <c r="G84" s="26">
        <v>1262.4000000000001</v>
      </c>
      <c r="H84" s="26">
        <f t="shared" si="1"/>
        <v>12868.99</v>
      </c>
    </row>
    <row r="85" spans="2:8">
      <c r="B85" s="24" t="s">
        <v>154</v>
      </c>
      <c r="C85" s="25" t="s">
        <v>155</v>
      </c>
      <c r="D85" s="26">
        <v>545.99</v>
      </c>
      <c r="E85" s="26">
        <v>62.45</v>
      </c>
      <c r="F85" s="26">
        <v>568.72</v>
      </c>
      <c r="G85" s="26">
        <v>82.44</v>
      </c>
      <c r="H85" s="26">
        <f t="shared" si="1"/>
        <v>1259.6000000000001</v>
      </c>
    </row>
    <row r="86" spans="2:8">
      <c r="B86" s="24" t="s">
        <v>156</v>
      </c>
      <c r="C86" s="25" t="s">
        <v>157</v>
      </c>
      <c r="D86" s="26">
        <v>37.119999999999997</v>
      </c>
      <c r="E86" s="26">
        <v>0</v>
      </c>
      <c r="F86" s="26">
        <v>13.98</v>
      </c>
      <c r="G86" s="26">
        <v>792.09</v>
      </c>
      <c r="H86" s="26">
        <f t="shared" si="1"/>
        <v>843.19</v>
      </c>
    </row>
    <row r="87" spans="2:8">
      <c r="B87" s="24" t="s">
        <v>158</v>
      </c>
      <c r="C87" s="25" t="s">
        <v>159</v>
      </c>
      <c r="D87" s="26">
        <v>0</v>
      </c>
      <c r="E87" s="26">
        <v>0</v>
      </c>
      <c r="F87" s="26">
        <v>0</v>
      </c>
      <c r="G87" s="26">
        <v>258.5</v>
      </c>
      <c r="H87" s="26">
        <f t="shared" si="1"/>
        <v>258.5</v>
      </c>
    </row>
    <row r="88" spans="2:8">
      <c r="B88" s="24" t="s">
        <v>160</v>
      </c>
      <c r="C88" s="25" t="s">
        <v>161</v>
      </c>
      <c r="D88" s="26">
        <v>812.53</v>
      </c>
      <c r="E88" s="26">
        <v>3550.16</v>
      </c>
      <c r="F88" s="26">
        <v>875.35</v>
      </c>
      <c r="G88" s="26">
        <v>552.46</v>
      </c>
      <c r="H88" s="26">
        <f t="shared" si="1"/>
        <v>5790.5</v>
      </c>
    </row>
    <row r="89" spans="2:8">
      <c r="B89" s="24" t="s">
        <v>162</v>
      </c>
      <c r="C89" s="25" t="s">
        <v>148</v>
      </c>
      <c r="D89" s="26">
        <v>8454.65</v>
      </c>
      <c r="E89" s="26">
        <v>5610.08</v>
      </c>
      <c r="F89" s="26">
        <v>16081.64</v>
      </c>
      <c r="G89" s="26">
        <v>2947.8900000000003</v>
      </c>
      <c r="H89" s="26">
        <f t="shared" si="1"/>
        <v>33094.26</v>
      </c>
    </row>
    <row r="90" spans="2:8">
      <c r="B90" s="24" t="s">
        <v>163</v>
      </c>
      <c r="C90" s="25" t="s">
        <v>164</v>
      </c>
      <c r="D90" s="26">
        <v>999.88</v>
      </c>
      <c r="E90" s="26">
        <v>0</v>
      </c>
      <c r="F90" s="26">
        <v>1456.81</v>
      </c>
      <c r="G90" s="26">
        <v>0</v>
      </c>
      <c r="H90" s="26">
        <f t="shared" si="1"/>
        <v>2456.69</v>
      </c>
    </row>
    <row r="91" spans="2:8">
      <c r="B91" s="24" t="s">
        <v>165</v>
      </c>
      <c r="C91" s="25" t="s">
        <v>166</v>
      </c>
      <c r="D91" s="26">
        <v>1388.61</v>
      </c>
      <c r="E91" s="26">
        <v>0</v>
      </c>
      <c r="F91" s="26">
        <v>0</v>
      </c>
      <c r="G91" s="26">
        <v>3815</v>
      </c>
      <c r="H91" s="26">
        <f t="shared" si="1"/>
        <v>5203.6099999999997</v>
      </c>
    </row>
    <row r="92" spans="2:8">
      <c r="B92" s="24" t="s">
        <v>167</v>
      </c>
      <c r="C92" s="25" t="s">
        <v>168</v>
      </c>
      <c r="D92" s="26">
        <v>3974.75</v>
      </c>
      <c r="E92" s="26">
        <v>1525.94</v>
      </c>
      <c r="F92" s="26">
        <v>2511.71</v>
      </c>
      <c r="G92" s="26">
        <v>1137.67</v>
      </c>
      <c r="H92" s="26">
        <f t="shared" si="1"/>
        <v>9150.07</v>
      </c>
    </row>
    <row r="93" spans="2:8">
      <c r="B93" s="24" t="s">
        <v>169</v>
      </c>
      <c r="C93" s="25" t="s">
        <v>170</v>
      </c>
      <c r="D93" s="26">
        <v>505.97</v>
      </c>
      <c r="E93" s="26">
        <v>5203.84</v>
      </c>
      <c r="F93" s="26">
        <v>7834.02</v>
      </c>
      <c r="G93" s="26">
        <v>5093.87</v>
      </c>
      <c r="H93" s="26">
        <f t="shared" si="1"/>
        <v>18637.7</v>
      </c>
    </row>
    <row r="94" spans="2:8">
      <c r="B94" s="24" t="s">
        <v>171</v>
      </c>
      <c r="C94" s="25" t="s">
        <v>172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173</v>
      </c>
      <c r="C95" s="25" t="s">
        <v>174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175</v>
      </c>
      <c r="C96" s="25" t="s">
        <v>176</v>
      </c>
      <c r="D96" s="26">
        <v>0</v>
      </c>
      <c r="E96" s="26">
        <v>475.7</v>
      </c>
      <c r="F96" s="26">
        <v>0</v>
      </c>
      <c r="G96" s="26">
        <v>0</v>
      </c>
      <c r="H96" s="26">
        <f t="shared" si="1"/>
        <v>475.7</v>
      </c>
    </row>
    <row r="97" spans="2:8">
      <c r="B97" s="24" t="s">
        <v>177</v>
      </c>
      <c r="C97" s="25" t="s">
        <v>178</v>
      </c>
      <c r="D97" s="26">
        <v>18.940000000000001</v>
      </c>
      <c r="E97" s="26">
        <v>0</v>
      </c>
      <c r="F97" s="26">
        <v>0</v>
      </c>
      <c r="G97" s="26">
        <v>0</v>
      </c>
      <c r="H97" s="26">
        <f t="shared" si="1"/>
        <v>18.940000000000001</v>
      </c>
    </row>
    <row r="98" spans="2:8">
      <c r="B98" s="24" t="s">
        <v>179</v>
      </c>
      <c r="C98" s="25" t="s">
        <v>180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181</v>
      </c>
      <c r="C99" s="25" t="s">
        <v>182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183</v>
      </c>
      <c r="D100" s="26">
        <v>475.18</v>
      </c>
      <c r="E100" s="26">
        <v>428.25</v>
      </c>
      <c r="F100" s="26">
        <v>1718.83</v>
      </c>
      <c r="G100" s="26">
        <v>1608.67</v>
      </c>
      <c r="H100" s="26">
        <f t="shared" si="1"/>
        <v>4230.93</v>
      </c>
    </row>
    <row r="101" spans="2:8">
      <c r="B101" s="24" t="s">
        <v>167</v>
      </c>
      <c r="C101" s="25" t="s">
        <v>168</v>
      </c>
      <c r="D101" s="26">
        <v>4974.84</v>
      </c>
      <c r="E101" s="26">
        <v>7633.7300000000005</v>
      </c>
      <c r="F101" s="26">
        <v>12064.56</v>
      </c>
      <c r="G101" s="26">
        <v>7840.21</v>
      </c>
      <c r="H101" s="26">
        <f t="shared" si="1"/>
        <v>32513.339999999997</v>
      </c>
    </row>
    <row r="102" spans="2:8">
      <c r="B102" s="24"/>
      <c r="C102" s="25" t="s">
        <v>184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185</v>
      </c>
      <c r="C103" s="25" t="s">
        <v>186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187</v>
      </c>
      <c r="C104" s="25" t="s">
        <v>188</v>
      </c>
      <c r="D104" s="26">
        <v>-38793.53</v>
      </c>
      <c r="E104" s="26">
        <v>-90453.26</v>
      </c>
      <c r="F104" s="26">
        <v>-115954.82</v>
      </c>
      <c r="G104" s="26">
        <v>-56236.35</v>
      </c>
      <c r="H104" s="26">
        <f t="shared" si="1"/>
        <v>-301437.95999999996</v>
      </c>
    </row>
    <row r="105" spans="2:8">
      <c r="B105" s="24" t="s">
        <v>189</v>
      </c>
      <c r="C105" s="25" t="s">
        <v>190</v>
      </c>
      <c r="D105" s="26">
        <v>-225382.77</v>
      </c>
      <c r="E105" s="26">
        <v>-72501.83</v>
      </c>
      <c r="F105" s="26">
        <v>-65834.7</v>
      </c>
      <c r="G105" s="26">
        <v>-17949.490000000002</v>
      </c>
      <c r="H105" s="26">
        <f t="shared" si="1"/>
        <v>-381668.79</v>
      </c>
    </row>
    <row r="106" spans="2:8">
      <c r="B106" s="24" t="s">
        <v>191</v>
      </c>
      <c r="C106" s="25" t="s">
        <v>184</v>
      </c>
      <c r="D106" s="26">
        <v>-264176.3</v>
      </c>
      <c r="E106" s="26">
        <v>-162955.09</v>
      </c>
      <c r="F106" s="26">
        <v>-181789.52000000002</v>
      </c>
      <c r="G106" s="26">
        <v>-74185.84</v>
      </c>
      <c r="H106" s="26">
        <f t="shared" si="1"/>
        <v>-683106.75</v>
      </c>
    </row>
    <row r="107" spans="2:8">
      <c r="B107" s="24"/>
      <c r="C107" s="25" t="s">
        <v>192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193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194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195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196</v>
      </c>
      <c r="C111" s="25" t="s">
        <v>104</v>
      </c>
      <c r="D111" s="26">
        <v>-7.2759576141834259E-12</v>
      </c>
      <c r="E111" s="26">
        <v>1.4551915228366852E-11</v>
      </c>
      <c r="F111" s="26">
        <v>1.4551915228366852E-11</v>
      </c>
      <c r="G111" s="26">
        <v>7.2759576141834259E-12</v>
      </c>
      <c r="H111" s="26">
        <f t="shared" si="1"/>
        <v>2.9103830456733704E-11</v>
      </c>
    </row>
    <row r="112" spans="2:8">
      <c r="B112" s="24" t="s">
        <v>197</v>
      </c>
      <c r="C112" s="25" t="s">
        <v>198</v>
      </c>
      <c r="D112" s="26">
        <v>2998734.68</v>
      </c>
      <c r="E112" s="26">
        <v>325910.18</v>
      </c>
      <c r="F112" s="26">
        <v>363579.04</v>
      </c>
      <c r="G112" s="26">
        <v>148371.68</v>
      </c>
      <c r="H112" s="26">
        <f t="shared" si="1"/>
        <v>3836595.5800000005</v>
      </c>
    </row>
    <row r="113" spans="2:8">
      <c r="B113" s="24"/>
      <c r="C113" s="25" t="s">
        <v>199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200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201</v>
      </c>
      <c r="C115" s="25" t="s">
        <v>202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203</v>
      </c>
      <c r="C116" s="25" t="s">
        <v>204</v>
      </c>
      <c r="D116" s="26">
        <v>52.91</v>
      </c>
      <c r="E116" s="26">
        <v>335.4</v>
      </c>
      <c r="F116" s="26">
        <v>0</v>
      </c>
      <c r="G116" s="26">
        <v>0</v>
      </c>
      <c r="H116" s="26">
        <f t="shared" si="1"/>
        <v>388.30999999999995</v>
      </c>
    </row>
    <row r="117" spans="2:8">
      <c r="B117" s="24" t="s">
        <v>205</v>
      </c>
      <c r="C117" s="25" t="s">
        <v>200</v>
      </c>
      <c r="D117" s="26">
        <v>52.91</v>
      </c>
      <c r="E117" s="26">
        <v>335.4</v>
      </c>
      <c r="F117" s="26">
        <v>0</v>
      </c>
      <c r="G117" s="26">
        <v>0</v>
      </c>
      <c r="H117" s="26">
        <f t="shared" si="1"/>
        <v>388.30999999999995</v>
      </c>
    </row>
    <row r="118" spans="2:8">
      <c r="B118" s="24"/>
      <c r="C118" s="25" t="s">
        <v>206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207</v>
      </c>
      <c r="C119" s="25" t="s">
        <v>208</v>
      </c>
      <c r="D119" s="26">
        <v>4668.29</v>
      </c>
      <c r="E119" s="26">
        <v>1406.63</v>
      </c>
      <c r="F119" s="26">
        <v>1430.17</v>
      </c>
      <c r="G119" s="26">
        <v>0</v>
      </c>
      <c r="H119" s="26">
        <f t="shared" si="1"/>
        <v>7505.09</v>
      </c>
    </row>
    <row r="120" spans="2:8">
      <c r="B120" s="24" t="s">
        <v>209</v>
      </c>
      <c r="C120" s="25" t="s">
        <v>210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211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212</v>
      </c>
      <c r="C122" s="25" t="s">
        <v>213</v>
      </c>
      <c r="D122" s="26">
        <v>64.239999999999995</v>
      </c>
      <c r="E122" s="26">
        <v>0</v>
      </c>
      <c r="F122" s="26">
        <v>0</v>
      </c>
      <c r="G122" s="26">
        <v>0</v>
      </c>
      <c r="H122" s="26">
        <f t="shared" si="1"/>
        <v>64.239999999999995</v>
      </c>
    </row>
    <row r="123" spans="2:8">
      <c r="B123" s="24" t="s">
        <v>214</v>
      </c>
      <c r="C123" s="25" t="s">
        <v>215</v>
      </c>
      <c r="D123" s="26">
        <v>529.24</v>
      </c>
      <c r="E123" s="26">
        <v>0</v>
      </c>
      <c r="F123" s="26">
        <v>0</v>
      </c>
      <c r="G123" s="26">
        <v>0</v>
      </c>
      <c r="H123" s="26">
        <f t="shared" si="1"/>
        <v>529.24</v>
      </c>
    </row>
    <row r="124" spans="2:8">
      <c r="B124" s="24" t="s">
        <v>216</v>
      </c>
      <c r="C124" s="25" t="s">
        <v>217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218</v>
      </c>
      <c r="C125" s="25" t="s">
        <v>219</v>
      </c>
      <c r="D125" s="26">
        <v>50</v>
      </c>
      <c r="E125" s="26">
        <v>0</v>
      </c>
      <c r="F125" s="26">
        <v>0</v>
      </c>
      <c r="G125" s="26">
        <v>0</v>
      </c>
      <c r="H125" s="26">
        <f t="shared" si="1"/>
        <v>50</v>
      </c>
    </row>
    <row r="126" spans="2:8">
      <c r="B126" s="24" t="s">
        <v>220</v>
      </c>
      <c r="C126" s="25" t="s">
        <v>221</v>
      </c>
      <c r="D126" s="26">
        <v>0</v>
      </c>
      <c r="E126" s="26">
        <v>0</v>
      </c>
      <c r="F126" s="26">
        <v>0</v>
      </c>
      <c r="G126" s="26">
        <v>0</v>
      </c>
      <c r="H126" s="26">
        <f t="shared" si="1"/>
        <v>0</v>
      </c>
    </row>
    <row r="127" spans="2:8">
      <c r="B127" s="24" t="s">
        <v>222</v>
      </c>
      <c r="C127" s="25" t="s">
        <v>223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224</v>
      </c>
      <c r="C128" s="25" t="s">
        <v>211</v>
      </c>
      <c r="D128" s="26">
        <v>643.48</v>
      </c>
      <c r="E128" s="26">
        <v>0</v>
      </c>
      <c r="F128" s="26">
        <v>0</v>
      </c>
      <c r="G128" s="26">
        <v>0</v>
      </c>
      <c r="H128" s="26">
        <f t="shared" si="1"/>
        <v>643.48</v>
      </c>
    </row>
    <row r="129" spans="2:8">
      <c r="B129" s="24" t="s">
        <v>225</v>
      </c>
      <c r="C129" s="25" t="s">
        <v>226</v>
      </c>
      <c r="D129" s="26">
        <v>5834.04</v>
      </c>
      <c r="E129" s="26">
        <v>0</v>
      </c>
      <c r="F129" s="26">
        <v>6143.88</v>
      </c>
      <c r="G129" s="26">
        <v>0</v>
      </c>
      <c r="H129" s="26">
        <f t="shared" si="1"/>
        <v>11977.92</v>
      </c>
    </row>
    <row r="130" spans="2:8">
      <c r="B130" s="24" t="s">
        <v>227</v>
      </c>
      <c r="C130" s="25" t="s">
        <v>228</v>
      </c>
      <c r="D130" s="26">
        <v>0</v>
      </c>
      <c r="E130" s="26">
        <v>0</v>
      </c>
      <c r="F130" s="26">
        <v>0</v>
      </c>
      <c r="G130" s="26">
        <v>0</v>
      </c>
      <c r="H130" s="26">
        <f t="shared" si="1"/>
        <v>0</v>
      </c>
    </row>
    <row r="131" spans="2:8">
      <c r="B131" s="24" t="s">
        <v>229</v>
      </c>
      <c r="C131" s="25" t="s">
        <v>230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231</v>
      </c>
      <c r="C132" s="25" t="s">
        <v>206</v>
      </c>
      <c r="D132" s="26">
        <v>11145.810000000001</v>
      </c>
      <c r="E132" s="26">
        <v>1406.63</v>
      </c>
      <c r="F132" s="26">
        <v>7574.05</v>
      </c>
      <c r="G132" s="26">
        <v>0</v>
      </c>
      <c r="H132" s="26">
        <f t="shared" si="1"/>
        <v>20126.490000000002</v>
      </c>
    </row>
    <row r="133" spans="2:8">
      <c r="B133" s="24"/>
      <c r="C133" s="25" t="s">
        <v>232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233</v>
      </c>
      <c r="C134" s="25" t="s">
        <v>39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234</v>
      </c>
      <c r="C135" s="25" t="s">
        <v>235</v>
      </c>
      <c r="D135" s="26">
        <v>3871.67</v>
      </c>
      <c r="E135" s="26">
        <v>0</v>
      </c>
      <c r="F135" s="26">
        <v>0</v>
      </c>
      <c r="G135" s="26">
        <v>0</v>
      </c>
      <c r="H135" s="26">
        <f t="shared" si="1"/>
        <v>3871.67</v>
      </c>
    </row>
    <row r="136" spans="2:8">
      <c r="B136" s="24" t="s">
        <v>236</v>
      </c>
      <c r="C136" s="25" t="s">
        <v>237</v>
      </c>
      <c r="D136" s="26">
        <v>2953.83</v>
      </c>
      <c r="E136" s="26">
        <v>0</v>
      </c>
      <c r="F136" s="26">
        <v>0</v>
      </c>
      <c r="G136" s="26">
        <v>0</v>
      </c>
      <c r="H136" s="26">
        <f t="shared" ref="H136:H199" si="2">SUM(D136:G136)</f>
        <v>2953.83</v>
      </c>
    </row>
    <row r="137" spans="2:8">
      <c r="B137" s="24" t="s">
        <v>238</v>
      </c>
      <c r="C137" s="25" t="s">
        <v>232</v>
      </c>
      <c r="D137" s="26">
        <v>6825.5</v>
      </c>
      <c r="E137" s="26">
        <v>0</v>
      </c>
      <c r="F137" s="26">
        <v>0</v>
      </c>
      <c r="G137" s="26">
        <v>0</v>
      </c>
      <c r="H137" s="26">
        <f t="shared" si="2"/>
        <v>6825.5</v>
      </c>
    </row>
    <row r="138" spans="2:8">
      <c r="B138" s="24" t="s">
        <v>239</v>
      </c>
      <c r="C138" s="25" t="s">
        <v>199</v>
      </c>
      <c r="D138" s="26">
        <v>18024.22</v>
      </c>
      <c r="E138" s="26">
        <v>1742.0300000000002</v>
      </c>
      <c r="F138" s="26">
        <v>7574.05</v>
      </c>
      <c r="G138" s="26">
        <v>0</v>
      </c>
      <c r="H138" s="26">
        <f t="shared" si="2"/>
        <v>27340.3</v>
      </c>
    </row>
    <row r="139" spans="2:8">
      <c r="B139" s="24"/>
      <c r="C139" s="25" t="s">
        <v>240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241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242</v>
      </c>
      <c r="C141" s="25" t="s">
        <v>243</v>
      </c>
      <c r="D141" s="26">
        <v>38179.370000000003</v>
      </c>
      <c r="E141" s="26">
        <v>13585.94</v>
      </c>
      <c r="F141" s="26">
        <v>5894.06</v>
      </c>
      <c r="G141" s="26">
        <v>2419.4499999999998</v>
      </c>
      <c r="H141" s="26">
        <f t="shared" si="2"/>
        <v>60078.82</v>
      </c>
    </row>
    <row r="142" spans="2:8">
      <c r="B142" s="24" t="s">
        <v>244</v>
      </c>
      <c r="C142" s="25" t="s">
        <v>245</v>
      </c>
      <c r="D142" s="26">
        <v>2288.4299999999998</v>
      </c>
      <c r="E142" s="26">
        <v>3409.17</v>
      </c>
      <c r="F142" s="26">
        <v>3673.55</v>
      </c>
      <c r="G142" s="26">
        <v>1894.75</v>
      </c>
      <c r="H142" s="26">
        <f t="shared" si="2"/>
        <v>11265.900000000001</v>
      </c>
    </row>
    <row r="143" spans="2:8">
      <c r="B143" s="24" t="s">
        <v>246</v>
      </c>
      <c r="C143" s="25" t="s">
        <v>247</v>
      </c>
      <c r="D143" s="26">
        <v>2002.42</v>
      </c>
      <c r="E143" s="26">
        <v>961.7</v>
      </c>
      <c r="F143" s="26">
        <v>405.15</v>
      </c>
      <c r="G143" s="26">
        <v>139.91</v>
      </c>
      <c r="H143" s="26">
        <f t="shared" si="2"/>
        <v>3509.18</v>
      </c>
    </row>
    <row r="144" spans="2:8">
      <c r="B144" s="24" t="s">
        <v>248</v>
      </c>
      <c r="C144" s="25" t="s">
        <v>118</v>
      </c>
      <c r="D144" s="26">
        <v>170.8</v>
      </c>
      <c r="E144" s="26">
        <v>2408.84</v>
      </c>
      <c r="F144" s="26">
        <v>3452.84</v>
      </c>
      <c r="G144" s="26">
        <v>0</v>
      </c>
      <c r="H144" s="26">
        <f t="shared" si="2"/>
        <v>6032.4800000000005</v>
      </c>
    </row>
    <row r="145" spans="2:8">
      <c r="B145" s="24" t="s">
        <v>249</v>
      </c>
      <c r="C145" s="25" t="s">
        <v>250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251</v>
      </c>
      <c r="C146" s="25" t="s">
        <v>252</v>
      </c>
      <c r="D146" s="26">
        <v>2282.38</v>
      </c>
      <c r="E146" s="26">
        <v>5483.66</v>
      </c>
      <c r="F146" s="26">
        <v>6183.55</v>
      </c>
      <c r="G146" s="26">
        <v>2903.8</v>
      </c>
      <c r="H146" s="26">
        <f t="shared" si="2"/>
        <v>16853.39</v>
      </c>
    </row>
    <row r="147" spans="2:8">
      <c r="B147" s="24"/>
      <c r="C147" s="25" t="s">
        <v>253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254</v>
      </c>
      <c r="C148" s="25" t="s">
        <v>241</v>
      </c>
      <c r="D148" s="26">
        <v>44923.4</v>
      </c>
      <c r="E148" s="26">
        <v>25849.31</v>
      </c>
      <c r="F148" s="26">
        <v>19609.150000000001</v>
      </c>
      <c r="G148" s="26">
        <v>7357.91</v>
      </c>
      <c r="H148" s="26">
        <f t="shared" si="2"/>
        <v>97739.770000000019</v>
      </c>
    </row>
    <row r="149" spans="2:8">
      <c r="B149" s="24"/>
      <c r="C149" s="25" t="s">
        <v>255</v>
      </c>
      <c r="D149" s="26" t="s">
        <v>432</v>
      </c>
      <c r="E149" s="26" t="s">
        <v>432</v>
      </c>
      <c r="F149" s="26" t="s">
        <v>432</v>
      </c>
      <c r="G149" s="26" t="s">
        <v>432</v>
      </c>
      <c r="H149" s="26">
        <f t="shared" si="2"/>
        <v>0</v>
      </c>
    </row>
    <row r="150" spans="2:8">
      <c r="B150" s="24" t="s">
        <v>256</v>
      </c>
      <c r="C150" s="25" t="s">
        <v>257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258</v>
      </c>
      <c r="C151" s="25" t="s">
        <v>259</v>
      </c>
      <c r="D151" s="26">
        <v>210.86</v>
      </c>
      <c r="E151" s="26">
        <v>0</v>
      </c>
      <c r="F151" s="26">
        <v>0</v>
      </c>
      <c r="G151" s="26">
        <v>0</v>
      </c>
      <c r="H151" s="26">
        <f t="shared" si="2"/>
        <v>210.86</v>
      </c>
    </row>
    <row r="152" spans="2:8">
      <c r="B152" s="24" t="s">
        <v>260</v>
      </c>
      <c r="C152" s="25" t="s">
        <v>261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262</v>
      </c>
      <c r="C153" s="25" t="s">
        <v>263</v>
      </c>
      <c r="D153" s="26">
        <v>443.62</v>
      </c>
      <c r="E153" s="26">
        <v>0</v>
      </c>
      <c r="F153" s="26">
        <v>1415.15</v>
      </c>
      <c r="G153" s="26">
        <v>0</v>
      </c>
      <c r="H153" s="26">
        <f t="shared" si="2"/>
        <v>1858.77</v>
      </c>
    </row>
    <row r="154" spans="2:8">
      <c r="B154" s="24" t="s">
        <v>264</v>
      </c>
      <c r="C154" s="25" t="s">
        <v>255</v>
      </c>
      <c r="D154" s="26">
        <v>654.48</v>
      </c>
      <c r="E154" s="26">
        <v>0</v>
      </c>
      <c r="F154" s="26">
        <v>1415.15</v>
      </c>
      <c r="G154" s="26">
        <v>0</v>
      </c>
      <c r="H154" s="26">
        <f t="shared" si="2"/>
        <v>2069.63</v>
      </c>
    </row>
    <row r="155" spans="2:8">
      <c r="B155" s="24"/>
      <c r="C155" s="25" t="s">
        <v>265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266</v>
      </c>
      <c r="C156" s="25" t="s">
        <v>267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268</v>
      </c>
      <c r="C157" s="25" t="s">
        <v>124</v>
      </c>
      <c r="D157" s="26">
        <v>53.15</v>
      </c>
      <c r="E157" s="26">
        <v>0</v>
      </c>
      <c r="F157" s="26">
        <v>0</v>
      </c>
      <c r="G157" s="26">
        <v>16.03</v>
      </c>
      <c r="H157" s="26">
        <f t="shared" si="2"/>
        <v>69.180000000000007</v>
      </c>
    </row>
    <row r="158" spans="2:8">
      <c r="B158" s="24" t="s">
        <v>269</v>
      </c>
      <c r="C158" s="25" t="s">
        <v>265</v>
      </c>
      <c r="D158" s="26">
        <v>53.15</v>
      </c>
      <c r="E158" s="26">
        <v>0</v>
      </c>
      <c r="F158" s="26">
        <v>0</v>
      </c>
      <c r="G158" s="26">
        <v>16.03</v>
      </c>
      <c r="H158" s="26">
        <f t="shared" si="2"/>
        <v>69.180000000000007</v>
      </c>
    </row>
    <row r="159" spans="2:8">
      <c r="B159" s="24" t="s">
        <v>270</v>
      </c>
      <c r="C159" s="25" t="s">
        <v>271</v>
      </c>
      <c r="D159" s="26">
        <v>1866.54</v>
      </c>
      <c r="E159" s="26">
        <v>0</v>
      </c>
      <c r="F159" s="26">
        <v>1266.32</v>
      </c>
      <c r="G159" s="26">
        <v>701.48</v>
      </c>
      <c r="H159" s="26">
        <f t="shared" si="2"/>
        <v>3834.3399999999997</v>
      </c>
    </row>
    <row r="160" spans="2:8">
      <c r="B160" s="24" t="s">
        <v>272</v>
      </c>
      <c r="C160" s="25" t="s">
        <v>273</v>
      </c>
      <c r="D160" s="26" t="s">
        <v>432</v>
      </c>
      <c r="E160" s="26" t="s">
        <v>432</v>
      </c>
      <c r="F160" s="26" t="s">
        <v>432</v>
      </c>
      <c r="G160" s="26" t="s">
        <v>432</v>
      </c>
      <c r="H160" s="26">
        <f t="shared" si="2"/>
        <v>0</v>
      </c>
    </row>
    <row r="161" spans="2:8">
      <c r="B161" s="24"/>
      <c r="C161" s="25" t="s">
        <v>274</v>
      </c>
      <c r="D161" s="26">
        <v>0</v>
      </c>
      <c r="E161" s="26">
        <v>0</v>
      </c>
      <c r="F161" s="26">
        <v>0</v>
      </c>
      <c r="G161" s="26">
        <v>0</v>
      </c>
      <c r="H161" s="26">
        <f t="shared" si="2"/>
        <v>0</v>
      </c>
    </row>
    <row r="162" spans="2:8">
      <c r="B162" s="24" t="s">
        <v>275</v>
      </c>
      <c r="C162" s="25" t="s">
        <v>276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277</v>
      </c>
      <c r="C163" s="25" t="s">
        <v>278</v>
      </c>
      <c r="D163" s="26">
        <v>152.49</v>
      </c>
      <c r="E163" s="26">
        <v>0</v>
      </c>
      <c r="F163" s="26">
        <v>4803.59</v>
      </c>
      <c r="G163" s="26">
        <v>0</v>
      </c>
      <c r="H163" s="26">
        <f t="shared" si="2"/>
        <v>4956.08</v>
      </c>
    </row>
    <row r="164" spans="2:8">
      <c r="B164" s="24" t="s">
        <v>279</v>
      </c>
      <c r="C164" s="25" t="s">
        <v>280</v>
      </c>
      <c r="D164" s="26">
        <v>744.05</v>
      </c>
      <c r="E164" s="26">
        <v>161.63999999999999</v>
      </c>
      <c r="F164" s="26">
        <v>2078.21</v>
      </c>
      <c r="G164" s="26">
        <v>21.19</v>
      </c>
      <c r="H164" s="26">
        <f t="shared" si="2"/>
        <v>3005.09</v>
      </c>
    </row>
    <row r="165" spans="2:8">
      <c r="B165" s="24" t="s">
        <v>281</v>
      </c>
      <c r="C165" s="25" t="s">
        <v>282</v>
      </c>
      <c r="D165" s="26">
        <v>190.57</v>
      </c>
      <c r="E165" s="26">
        <v>9.15</v>
      </c>
      <c r="F165" s="26">
        <v>6.1</v>
      </c>
      <c r="G165" s="26">
        <v>3.66</v>
      </c>
      <c r="H165" s="26">
        <f t="shared" si="2"/>
        <v>209.48</v>
      </c>
    </row>
    <row r="166" spans="2:8">
      <c r="B166" s="24"/>
      <c r="C166" s="25" t="s">
        <v>283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284</v>
      </c>
      <c r="C167" s="25" t="s">
        <v>285</v>
      </c>
      <c r="D167" s="26">
        <v>101.66</v>
      </c>
      <c r="E167" s="26">
        <v>134.19999999999999</v>
      </c>
      <c r="F167" s="26">
        <v>134.19999999999999</v>
      </c>
      <c r="G167" s="26">
        <v>103.7</v>
      </c>
      <c r="H167" s="26">
        <f t="shared" si="2"/>
        <v>473.75999999999993</v>
      </c>
    </row>
    <row r="168" spans="2:8">
      <c r="B168" s="24" t="s">
        <v>286</v>
      </c>
      <c r="C168" s="25" t="s">
        <v>287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288</v>
      </c>
      <c r="C169" s="25" t="s">
        <v>289</v>
      </c>
      <c r="D169" s="26" t="s">
        <v>432</v>
      </c>
      <c r="E169" s="26" t="s">
        <v>432</v>
      </c>
      <c r="F169" s="26" t="s">
        <v>432</v>
      </c>
      <c r="G169" s="26" t="s">
        <v>432</v>
      </c>
      <c r="H169" s="26">
        <f t="shared" si="2"/>
        <v>0</v>
      </c>
    </row>
    <row r="170" spans="2:8">
      <c r="B170" s="24" t="s">
        <v>290</v>
      </c>
      <c r="C170" s="25" t="s">
        <v>283</v>
      </c>
      <c r="D170" s="26">
        <v>101.66</v>
      </c>
      <c r="E170" s="26">
        <v>134.19999999999999</v>
      </c>
      <c r="F170" s="26">
        <v>134.19999999999999</v>
      </c>
      <c r="G170" s="26">
        <v>103.7</v>
      </c>
      <c r="H170" s="26">
        <f t="shared" si="2"/>
        <v>473.75999999999993</v>
      </c>
    </row>
    <row r="171" spans="2:8">
      <c r="B171" s="24"/>
      <c r="C171" s="25" t="s">
        <v>291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292</v>
      </c>
      <c r="C172" s="25" t="s">
        <v>293</v>
      </c>
      <c r="D172" s="26">
        <v>1441.15</v>
      </c>
      <c r="E172" s="26">
        <v>699.13</v>
      </c>
      <c r="F172" s="26">
        <v>476.29</v>
      </c>
      <c r="G172" s="26">
        <v>424.89</v>
      </c>
      <c r="H172" s="26">
        <f t="shared" si="2"/>
        <v>3041.46</v>
      </c>
    </row>
    <row r="173" spans="2:8">
      <c r="B173" s="24" t="s">
        <v>294</v>
      </c>
      <c r="C173" s="25" t="s">
        <v>295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296</v>
      </c>
      <c r="C174" s="25" t="s">
        <v>297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298</v>
      </c>
      <c r="C175" s="25" t="s">
        <v>291</v>
      </c>
      <c r="D175" s="26">
        <v>1441.15</v>
      </c>
      <c r="E175" s="26">
        <v>699.13</v>
      </c>
      <c r="F175" s="26">
        <v>476.29</v>
      </c>
      <c r="G175" s="26">
        <v>424.89</v>
      </c>
      <c r="H175" s="26">
        <f t="shared" si="2"/>
        <v>3041.46</v>
      </c>
    </row>
    <row r="176" spans="2:8">
      <c r="B176" s="24" t="s">
        <v>299</v>
      </c>
      <c r="C176" s="25" t="s">
        <v>300</v>
      </c>
      <c r="D176" s="26">
        <v>2730.27</v>
      </c>
      <c r="E176" s="26">
        <v>5729.6</v>
      </c>
      <c r="F176" s="26">
        <v>4181.84</v>
      </c>
      <c r="G176" s="26">
        <v>3410.38</v>
      </c>
      <c r="H176" s="26">
        <f t="shared" si="2"/>
        <v>16052.09</v>
      </c>
    </row>
    <row r="177" spans="2:8">
      <c r="B177" s="24" t="s">
        <v>301</v>
      </c>
      <c r="C177" s="25" t="s">
        <v>302</v>
      </c>
      <c r="D177" s="26">
        <v>2941.35</v>
      </c>
      <c r="E177" s="26">
        <v>79.349999999999994</v>
      </c>
      <c r="F177" s="26">
        <v>326.72000000000003</v>
      </c>
      <c r="G177" s="26">
        <v>3.72</v>
      </c>
      <c r="H177" s="26">
        <f t="shared" si="2"/>
        <v>3351.14</v>
      </c>
    </row>
    <row r="178" spans="2:8">
      <c r="B178" s="24"/>
      <c r="C178" s="25" t="s">
        <v>303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304</v>
      </c>
      <c r="C179" s="25" t="s">
        <v>305</v>
      </c>
      <c r="D179" s="26">
        <v>0</v>
      </c>
      <c r="E179" s="26">
        <v>0</v>
      </c>
      <c r="F179" s="26">
        <v>0</v>
      </c>
      <c r="G179" s="26">
        <v>0</v>
      </c>
      <c r="H179" s="26">
        <f t="shared" si="2"/>
        <v>0</v>
      </c>
    </row>
    <row r="180" spans="2:8">
      <c r="B180" s="24" t="s">
        <v>306</v>
      </c>
      <c r="C180" s="25" t="s">
        <v>307</v>
      </c>
      <c r="D180" s="26" t="s">
        <v>432</v>
      </c>
      <c r="E180" s="26" t="s">
        <v>432</v>
      </c>
      <c r="F180" s="26" t="s">
        <v>432</v>
      </c>
      <c r="G180" s="26" t="s">
        <v>432</v>
      </c>
      <c r="H180" s="26">
        <f t="shared" si="2"/>
        <v>0</v>
      </c>
    </row>
    <row r="181" spans="2:8">
      <c r="B181" s="24"/>
      <c r="C181" s="25" t="s">
        <v>308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309</v>
      </c>
      <c r="C182" s="25" t="s">
        <v>303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310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311</v>
      </c>
      <c r="C184" s="25" t="s">
        <v>166</v>
      </c>
      <c r="D184" s="26">
        <v>1388.61</v>
      </c>
      <c r="E184" s="26">
        <v>0</v>
      </c>
      <c r="F184" s="26">
        <v>0</v>
      </c>
      <c r="G184" s="26">
        <v>3815</v>
      </c>
      <c r="H184" s="26">
        <f t="shared" si="2"/>
        <v>5203.6099999999997</v>
      </c>
    </row>
    <row r="185" spans="2:8">
      <c r="B185" s="24"/>
      <c r="C185" s="25" t="s">
        <v>312</v>
      </c>
      <c r="D185" s="26">
        <v>452.59</v>
      </c>
      <c r="E185" s="26">
        <v>0</v>
      </c>
      <c r="F185" s="26">
        <v>0</v>
      </c>
      <c r="G185" s="26">
        <v>0</v>
      </c>
      <c r="H185" s="26">
        <f t="shared" si="2"/>
        <v>452.59</v>
      </c>
    </row>
    <row r="186" spans="2:8">
      <c r="B186" s="24" t="s">
        <v>313</v>
      </c>
      <c r="C186" s="25" t="s">
        <v>314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315</v>
      </c>
      <c r="C187" s="25" t="s">
        <v>310</v>
      </c>
      <c r="D187" s="26">
        <v>1841.1999999999998</v>
      </c>
      <c r="E187" s="26">
        <v>0</v>
      </c>
      <c r="F187" s="26">
        <v>0</v>
      </c>
      <c r="G187" s="26">
        <v>3815</v>
      </c>
      <c r="H187" s="26">
        <f t="shared" si="2"/>
        <v>5656.2</v>
      </c>
    </row>
    <row r="188" spans="2:8">
      <c r="B188" s="24" t="s">
        <v>316</v>
      </c>
      <c r="C188" s="25" t="s">
        <v>317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318</v>
      </c>
      <c r="C189" s="25" t="s">
        <v>319</v>
      </c>
      <c r="D189" s="26">
        <v>1141.1400000000001</v>
      </c>
      <c r="E189" s="26">
        <v>0</v>
      </c>
      <c r="F189" s="26">
        <v>343.29</v>
      </c>
      <c r="G189" s="26">
        <v>0</v>
      </c>
      <c r="H189" s="26">
        <f t="shared" si="2"/>
        <v>1484.43</v>
      </c>
    </row>
    <row r="190" spans="2:8">
      <c r="B190" s="24" t="s">
        <v>320</v>
      </c>
      <c r="C190" s="25" t="s">
        <v>321</v>
      </c>
      <c r="D190" s="26">
        <v>460.86</v>
      </c>
      <c r="E190" s="26">
        <v>0</v>
      </c>
      <c r="F190" s="26">
        <v>0</v>
      </c>
      <c r="G190" s="26">
        <v>0</v>
      </c>
      <c r="H190" s="26">
        <f t="shared" si="2"/>
        <v>460.86</v>
      </c>
    </row>
    <row r="191" spans="2:8">
      <c r="B191" s="24">
        <v>816130</v>
      </c>
      <c r="C191" s="25" t="s">
        <v>322</v>
      </c>
      <c r="D191" s="26" t="s">
        <v>432</v>
      </c>
      <c r="E191" s="26" t="s">
        <v>432</v>
      </c>
      <c r="F191" s="26" t="s">
        <v>432</v>
      </c>
      <c r="G191" s="26" t="s">
        <v>432</v>
      </c>
      <c r="H191" s="26">
        <f t="shared" si="2"/>
        <v>0</v>
      </c>
    </row>
    <row r="192" spans="2:8">
      <c r="B192" s="24" t="s">
        <v>323</v>
      </c>
      <c r="C192" s="25" t="s">
        <v>324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325</v>
      </c>
      <c r="C193" s="25" t="s">
        <v>326</v>
      </c>
      <c r="D193" s="26" t="s">
        <v>432</v>
      </c>
      <c r="E193" s="26" t="s">
        <v>432</v>
      </c>
      <c r="F193" s="26" t="s">
        <v>432</v>
      </c>
      <c r="G193" s="26" t="s">
        <v>432</v>
      </c>
      <c r="H193" s="26">
        <f t="shared" si="2"/>
        <v>0</v>
      </c>
    </row>
    <row r="194" spans="2:8">
      <c r="B194" s="24"/>
      <c r="C194" s="25" t="s">
        <v>327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328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316</v>
      </c>
      <c r="C197" s="25" t="s">
        <v>317</v>
      </c>
      <c r="D197" s="26">
        <v>1602</v>
      </c>
      <c r="E197" s="26">
        <v>0</v>
      </c>
      <c r="F197" s="26">
        <v>343.29</v>
      </c>
      <c r="G197" s="26">
        <v>0</v>
      </c>
      <c r="H197" s="26">
        <f t="shared" si="2"/>
        <v>1945.29</v>
      </c>
    </row>
    <row r="198" spans="2:8">
      <c r="B198" s="24" t="s">
        <v>329</v>
      </c>
      <c r="C198" s="25" t="s">
        <v>240</v>
      </c>
      <c r="D198" s="26">
        <v>57375.770000000004</v>
      </c>
      <c r="E198" s="26">
        <v>32662.380000000005</v>
      </c>
      <c r="F198" s="26">
        <v>33374.540000000008</v>
      </c>
      <c r="G198" s="26">
        <v>15156.479999999998</v>
      </c>
      <c r="H198" s="26">
        <f t="shared" si="2"/>
        <v>138569.17000000001</v>
      </c>
    </row>
    <row r="199" spans="2:8">
      <c r="B199" s="24"/>
      <c r="C199" s="25" t="s">
        <v>330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331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63" si="3">SUM(D200:G200)</f>
        <v>0</v>
      </c>
    </row>
    <row r="201" spans="2:8">
      <c r="B201" s="24" t="s">
        <v>332</v>
      </c>
      <c r="C201" s="25" t="s">
        <v>333</v>
      </c>
      <c r="D201" s="26">
        <v>25.38</v>
      </c>
      <c r="E201" s="26">
        <v>0</v>
      </c>
      <c r="F201" s="26">
        <v>0</v>
      </c>
      <c r="G201" s="26">
        <v>0</v>
      </c>
      <c r="H201" s="26">
        <f t="shared" si="3"/>
        <v>25.38</v>
      </c>
    </row>
    <row r="202" spans="2:8">
      <c r="B202" s="24" t="s">
        <v>334</v>
      </c>
      <c r="C202" s="25" t="s">
        <v>335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336</v>
      </c>
      <c r="D203" s="26" t="s">
        <v>432</v>
      </c>
      <c r="E203" s="26" t="s">
        <v>432</v>
      </c>
      <c r="F203" s="26" t="s">
        <v>432</v>
      </c>
      <c r="G203" s="26" t="s">
        <v>432</v>
      </c>
      <c r="H203" s="26">
        <f t="shared" si="3"/>
        <v>0</v>
      </c>
    </row>
    <row r="204" spans="2:8">
      <c r="B204" s="24" t="s">
        <v>337</v>
      </c>
      <c r="C204" s="25" t="s">
        <v>338</v>
      </c>
      <c r="D204" s="26">
        <v>-30985.64</v>
      </c>
      <c r="E204" s="26">
        <v>0</v>
      </c>
      <c r="F204" s="26">
        <v>0</v>
      </c>
      <c r="G204" s="26">
        <v>0</v>
      </c>
      <c r="H204" s="26">
        <f t="shared" si="3"/>
        <v>-30985.64</v>
      </c>
    </row>
    <row r="205" spans="2:8">
      <c r="B205" s="24" t="s">
        <v>339</v>
      </c>
      <c r="C205" s="25" t="s">
        <v>340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341</v>
      </c>
      <c r="C206" s="25" t="s">
        <v>336</v>
      </c>
      <c r="D206" s="26">
        <v>-30985.64</v>
      </c>
      <c r="E206" s="26">
        <v>0</v>
      </c>
      <c r="F206" s="26">
        <v>0</v>
      </c>
      <c r="G206" s="26">
        <v>0</v>
      </c>
      <c r="H206" s="26">
        <f t="shared" si="3"/>
        <v>-30985.64</v>
      </c>
    </row>
    <row r="207" spans="2:8">
      <c r="B207" s="24" t="s">
        <v>342</v>
      </c>
      <c r="C207" s="25" t="s">
        <v>343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344</v>
      </c>
      <c r="C208" s="25" t="s">
        <v>345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346</v>
      </c>
      <c r="C209" s="25" t="s">
        <v>347</v>
      </c>
      <c r="D209" s="26">
        <v>223.74</v>
      </c>
      <c r="E209" s="26">
        <v>0</v>
      </c>
      <c r="F209" s="26">
        <v>700.65</v>
      </c>
      <c r="G209" s="26">
        <v>0</v>
      </c>
      <c r="H209" s="26">
        <f t="shared" si="3"/>
        <v>924.39</v>
      </c>
    </row>
    <row r="210" spans="2:8">
      <c r="B210" s="24"/>
      <c r="C210" s="25" t="s">
        <v>348</v>
      </c>
      <c r="D210" s="26">
        <v>-131.57</v>
      </c>
      <c r="E210" s="26">
        <v>0</v>
      </c>
      <c r="F210" s="26">
        <v>0</v>
      </c>
      <c r="G210" s="26">
        <v>0</v>
      </c>
      <c r="H210" s="26">
        <f t="shared" si="3"/>
        <v>-131.57</v>
      </c>
    </row>
    <row r="211" spans="2:8">
      <c r="B211" s="24" t="s">
        <v>349</v>
      </c>
      <c r="C211" s="25" t="s">
        <v>350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351</v>
      </c>
      <c r="D212" s="26">
        <v>582.88</v>
      </c>
      <c r="E212" s="26">
        <v>0</v>
      </c>
      <c r="F212" s="26">
        <v>0</v>
      </c>
      <c r="G212" s="26">
        <v>0</v>
      </c>
      <c r="H212" s="26">
        <f t="shared" si="3"/>
        <v>582.88</v>
      </c>
    </row>
    <row r="213" spans="2:8">
      <c r="B213" s="24" t="s">
        <v>352</v>
      </c>
      <c r="C213" s="25" t="s">
        <v>353</v>
      </c>
      <c r="D213" s="26">
        <v>-2.37</v>
      </c>
      <c r="E213" s="26">
        <v>-35.19</v>
      </c>
      <c r="F213" s="26">
        <v>-48.13</v>
      </c>
      <c r="G213" s="26">
        <v>-6.59</v>
      </c>
      <c r="H213" s="26">
        <f t="shared" si="3"/>
        <v>-92.28</v>
      </c>
    </row>
    <row r="214" spans="2:8">
      <c r="B214" s="24" t="s">
        <v>354</v>
      </c>
      <c r="C214" s="25" t="s">
        <v>331</v>
      </c>
      <c r="D214" s="26">
        <v>-61273.22</v>
      </c>
      <c r="E214" s="26">
        <v>-35.19</v>
      </c>
      <c r="F214" s="26">
        <v>652.52</v>
      </c>
      <c r="G214" s="26">
        <v>-6.59</v>
      </c>
      <c r="H214" s="26">
        <f t="shared" si="3"/>
        <v>-60662.48</v>
      </c>
    </row>
    <row r="215" spans="2:8">
      <c r="B215" s="24"/>
      <c r="C215" s="25" t="s">
        <v>355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356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357</v>
      </c>
      <c r="C217" s="25" t="s">
        <v>358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359</v>
      </c>
      <c r="C218" s="25" t="s">
        <v>360</v>
      </c>
      <c r="D218" s="26">
        <v>26012.5</v>
      </c>
      <c r="E218" s="26">
        <v>0</v>
      </c>
      <c r="F218" s="26">
        <v>0</v>
      </c>
      <c r="G218" s="26">
        <v>0</v>
      </c>
      <c r="H218" s="26">
        <f t="shared" si="3"/>
        <v>26012.5</v>
      </c>
    </row>
    <row r="219" spans="2:8">
      <c r="B219" s="24" t="s">
        <v>361</v>
      </c>
      <c r="C219" s="25" t="s">
        <v>356</v>
      </c>
      <c r="D219" s="26">
        <v>26012.5</v>
      </c>
      <c r="E219" s="26">
        <v>0</v>
      </c>
      <c r="F219" s="26">
        <v>0</v>
      </c>
      <c r="G219" s="26">
        <v>0</v>
      </c>
      <c r="H219" s="26">
        <f t="shared" si="3"/>
        <v>26012.5</v>
      </c>
    </row>
    <row r="220" spans="2:8">
      <c r="B220" s="24"/>
      <c r="C220" s="25" t="s">
        <v>362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363</v>
      </c>
      <c r="C221" s="25" t="s">
        <v>364</v>
      </c>
      <c r="D221" s="26">
        <v>-3012.15</v>
      </c>
      <c r="E221" s="26">
        <v>0</v>
      </c>
      <c r="F221" s="26">
        <v>0</v>
      </c>
      <c r="G221" s="26">
        <v>0</v>
      </c>
      <c r="H221" s="26">
        <f t="shared" si="3"/>
        <v>-3012.15</v>
      </c>
    </row>
    <row r="222" spans="2:8">
      <c r="B222" s="24" t="s">
        <v>365</v>
      </c>
      <c r="C222" s="25" t="s">
        <v>366</v>
      </c>
      <c r="D222" s="26">
        <v>-30.4</v>
      </c>
      <c r="E222" s="26">
        <v>-415.67</v>
      </c>
      <c r="F222" s="26">
        <v>-15297.86</v>
      </c>
      <c r="G222" s="26">
        <v>-164.5</v>
      </c>
      <c r="H222" s="26">
        <f t="shared" si="3"/>
        <v>-15908.43</v>
      </c>
    </row>
    <row r="223" spans="2:8">
      <c r="B223" s="24" t="s">
        <v>367</v>
      </c>
      <c r="C223" s="25" t="s">
        <v>362</v>
      </c>
      <c r="D223" s="26">
        <v>-3042.55</v>
      </c>
      <c r="E223" s="26">
        <v>-415.67</v>
      </c>
      <c r="F223" s="26">
        <v>-15297.86</v>
      </c>
      <c r="G223" s="26">
        <v>-164.5</v>
      </c>
      <c r="H223" s="26">
        <f t="shared" si="3"/>
        <v>-18920.580000000002</v>
      </c>
    </row>
    <row r="224" spans="2:8">
      <c r="B224" s="24" t="s">
        <v>368</v>
      </c>
      <c r="C224" s="25" t="s">
        <v>369</v>
      </c>
      <c r="D224" s="26">
        <v>10978.23</v>
      </c>
      <c r="E224" s="26">
        <v>0</v>
      </c>
      <c r="F224" s="26">
        <v>0</v>
      </c>
      <c r="G224" s="26">
        <v>0</v>
      </c>
      <c r="H224" s="26">
        <f t="shared" si="3"/>
        <v>10978.23</v>
      </c>
    </row>
    <row r="225" spans="2:8">
      <c r="B225" s="24"/>
      <c r="C225" s="25" t="s">
        <v>370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371</v>
      </c>
      <c r="C226" s="25" t="s">
        <v>372</v>
      </c>
      <c r="D226" s="26">
        <v>2620.34</v>
      </c>
      <c r="E226" s="26">
        <v>0.21</v>
      </c>
      <c r="F226" s="26">
        <v>0.21</v>
      </c>
      <c r="G226" s="26">
        <v>0.42</v>
      </c>
      <c r="H226" s="26">
        <f t="shared" si="3"/>
        <v>2621.1800000000003</v>
      </c>
    </row>
    <row r="227" spans="2:8">
      <c r="B227" s="24" t="s">
        <v>373</v>
      </c>
      <c r="C227" s="25" t="s">
        <v>374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375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376</v>
      </c>
      <c r="C229" s="25" t="s">
        <v>370</v>
      </c>
      <c r="D229" s="26">
        <v>2620.34</v>
      </c>
      <c r="E229" s="26">
        <v>0.21</v>
      </c>
      <c r="F229" s="26">
        <v>0.21</v>
      </c>
      <c r="G229" s="26">
        <v>0.42</v>
      </c>
      <c r="H229" s="26">
        <f t="shared" si="3"/>
        <v>2621.1800000000003</v>
      </c>
    </row>
    <row r="230" spans="2:8">
      <c r="B230" s="24"/>
      <c r="C230" s="25" t="s">
        <v>377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378</v>
      </c>
      <c r="C231" s="25" t="s">
        <v>379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380</v>
      </c>
      <c r="C232" s="25" t="s">
        <v>381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382</v>
      </c>
      <c r="C233" s="25" t="s">
        <v>377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383</v>
      </c>
      <c r="C234" s="25" t="s">
        <v>384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385</v>
      </c>
      <c r="C235" s="25" t="s">
        <v>386</v>
      </c>
      <c r="D235" s="26">
        <v>-860.23</v>
      </c>
      <c r="E235" s="26">
        <v>883.81</v>
      </c>
      <c r="F235" s="26">
        <v>199.7</v>
      </c>
      <c r="G235" s="26">
        <v>99.46</v>
      </c>
      <c r="H235" s="26">
        <f t="shared" si="3"/>
        <v>322.7399999999999</v>
      </c>
    </row>
    <row r="236" spans="2:8">
      <c r="B236" s="24" t="s">
        <v>387</v>
      </c>
      <c r="C236" s="25" t="s">
        <v>388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389</v>
      </c>
      <c r="C237" s="25" t="s">
        <v>390</v>
      </c>
      <c r="D237" s="26">
        <v>0</v>
      </c>
      <c r="E237" s="26">
        <v>0</v>
      </c>
      <c r="F237" s="26">
        <v>0</v>
      </c>
      <c r="G237" s="26">
        <v>0</v>
      </c>
      <c r="H237" s="26">
        <f t="shared" si="3"/>
        <v>0</v>
      </c>
    </row>
    <row r="238" spans="2:8">
      <c r="B238" s="24" t="s">
        <v>391</v>
      </c>
      <c r="C238" s="25" t="s">
        <v>392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393</v>
      </c>
      <c r="D239" s="26" t="s">
        <v>432</v>
      </c>
      <c r="E239" s="26" t="s">
        <v>432</v>
      </c>
      <c r="F239" s="26" t="s">
        <v>432</v>
      </c>
      <c r="G239" s="26" t="s">
        <v>432</v>
      </c>
      <c r="H239" s="26">
        <f t="shared" si="3"/>
        <v>0</v>
      </c>
    </row>
    <row r="240" spans="2:8">
      <c r="B240" s="24" t="s">
        <v>394</v>
      </c>
      <c r="C240" s="25" t="s">
        <v>350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395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396</v>
      </c>
      <c r="C242" s="25" t="s">
        <v>353</v>
      </c>
      <c r="D242" s="26">
        <v>-2.37</v>
      </c>
      <c r="E242" s="26">
        <v>-35.19</v>
      </c>
      <c r="F242" s="26">
        <v>-48.13</v>
      </c>
      <c r="G242" s="26">
        <v>-6.59</v>
      </c>
      <c r="H242" s="26">
        <f t="shared" si="3"/>
        <v>-92.28</v>
      </c>
    </row>
    <row r="243" spans="2:8">
      <c r="B243" s="24" t="s">
        <v>397</v>
      </c>
      <c r="C243" s="25" t="s">
        <v>355</v>
      </c>
      <c r="D243" s="26">
        <v>35705.919999999998</v>
      </c>
      <c r="E243" s="26">
        <v>433.15999999999991</v>
      </c>
      <c r="F243" s="26">
        <v>-15146.08</v>
      </c>
      <c r="G243" s="26">
        <v>-71.210000000000022</v>
      </c>
      <c r="H243" s="26">
        <f t="shared" si="3"/>
        <v>20921.79</v>
      </c>
    </row>
    <row r="244" spans="2:8">
      <c r="B244" s="24" t="s">
        <v>398</v>
      </c>
      <c r="C244" s="25" t="s">
        <v>399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400</v>
      </c>
      <c r="C245" s="25" t="s">
        <v>401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402</v>
      </c>
      <c r="C246" s="25" t="s">
        <v>403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404</v>
      </c>
      <c r="C247" s="25" t="s">
        <v>405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406</v>
      </c>
      <c r="C248" s="25" t="s">
        <v>330</v>
      </c>
      <c r="D248" s="26">
        <v>-25567.300000000003</v>
      </c>
      <c r="E248" s="26">
        <v>397.96999999999991</v>
      </c>
      <c r="F248" s="26">
        <v>-14493.56</v>
      </c>
      <c r="G248" s="26">
        <v>-77.800000000000026</v>
      </c>
      <c r="H248" s="26">
        <f t="shared" si="3"/>
        <v>-39740.69</v>
      </c>
    </row>
    <row r="249" spans="2:8">
      <c r="B249" s="24" t="s">
        <v>407</v>
      </c>
      <c r="C249" s="25" t="s">
        <v>408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409</v>
      </c>
      <c r="C250" s="25" t="s">
        <v>410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411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408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412</v>
      </c>
      <c r="D253" s="86">
        <v>-2396378.6600000006</v>
      </c>
      <c r="E253" s="86">
        <v>-171751.29</v>
      </c>
      <c r="F253" s="86">
        <v>1056970.7</v>
      </c>
      <c r="G253" s="86">
        <v>-163450.36000000002</v>
      </c>
      <c r="H253" s="86">
        <f t="shared" si="3"/>
        <v>-1674609.6100000008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CACA1-0078-42EB-A6BC-5EAA994C3E65}">
  <sheetPr codeName="Sheet34">
    <pageSetUpPr fitToPage="1"/>
  </sheetPr>
  <dimension ref="B1:H253"/>
  <sheetViews>
    <sheetView zoomScale="85" zoomScaleNormal="85" workbookViewId="0">
      <pane ySplit="5" topLeftCell="A6" activePane="bottomLeft" state="frozen"/>
      <selection pane="bottomLeft" activeCell="G6" sqref="G6:G253"/>
    </sheetView>
  </sheetViews>
  <sheetFormatPr defaultColWidth="20.7109375" defaultRowHeight="16.5"/>
  <cols>
    <col min="1" max="1" width="5.7109375" style="20" customWidth="1"/>
    <col min="2" max="2" width="17.140625" style="34" customWidth="1"/>
    <col min="3" max="3" width="52" style="20" customWidth="1"/>
    <col min="4" max="7" width="21.7109375" style="20" customWidth="1"/>
    <col min="8" max="8" width="21.7109375" style="35" customWidth="1"/>
    <col min="9" max="238" width="20.7109375" style="20"/>
    <col min="239" max="239" width="5.7109375" style="20" customWidth="1"/>
    <col min="240" max="240" width="17.140625" style="20" customWidth="1"/>
    <col min="241" max="241" width="47.140625" style="20" customWidth="1"/>
    <col min="242" max="246" width="21.7109375" style="20" customWidth="1"/>
    <col min="247" max="494" width="20.7109375" style="20"/>
    <col min="495" max="495" width="5.7109375" style="20" customWidth="1"/>
    <col min="496" max="496" width="17.140625" style="20" customWidth="1"/>
    <col min="497" max="497" width="47.140625" style="20" customWidth="1"/>
    <col min="498" max="502" width="21.7109375" style="20" customWidth="1"/>
    <col min="503" max="750" width="20.7109375" style="20"/>
    <col min="751" max="751" width="5.7109375" style="20" customWidth="1"/>
    <col min="752" max="752" width="17.140625" style="20" customWidth="1"/>
    <col min="753" max="753" width="47.140625" style="20" customWidth="1"/>
    <col min="754" max="758" width="21.7109375" style="20" customWidth="1"/>
    <col min="759" max="1006" width="20.7109375" style="20"/>
    <col min="1007" max="1007" width="5.7109375" style="20" customWidth="1"/>
    <col min="1008" max="1008" width="17.140625" style="20" customWidth="1"/>
    <col min="1009" max="1009" width="47.140625" style="20" customWidth="1"/>
    <col min="1010" max="1014" width="21.7109375" style="20" customWidth="1"/>
    <col min="1015" max="1262" width="20.7109375" style="20"/>
    <col min="1263" max="1263" width="5.7109375" style="20" customWidth="1"/>
    <col min="1264" max="1264" width="17.140625" style="20" customWidth="1"/>
    <col min="1265" max="1265" width="47.140625" style="20" customWidth="1"/>
    <col min="1266" max="1270" width="21.7109375" style="20" customWidth="1"/>
    <col min="1271" max="1518" width="20.7109375" style="20"/>
    <col min="1519" max="1519" width="5.7109375" style="20" customWidth="1"/>
    <col min="1520" max="1520" width="17.140625" style="20" customWidth="1"/>
    <col min="1521" max="1521" width="47.140625" style="20" customWidth="1"/>
    <col min="1522" max="1526" width="21.7109375" style="20" customWidth="1"/>
    <col min="1527" max="1774" width="20.7109375" style="20"/>
    <col min="1775" max="1775" width="5.7109375" style="20" customWidth="1"/>
    <col min="1776" max="1776" width="17.140625" style="20" customWidth="1"/>
    <col min="1777" max="1777" width="47.140625" style="20" customWidth="1"/>
    <col min="1778" max="1782" width="21.7109375" style="20" customWidth="1"/>
    <col min="1783" max="2030" width="20.7109375" style="20"/>
    <col min="2031" max="2031" width="5.7109375" style="20" customWidth="1"/>
    <col min="2032" max="2032" width="17.140625" style="20" customWidth="1"/>
    <col min="2033" max="2033" width="47.140625" style="20" customWidth="1"/>
    <col min="2034" max="2038" width="21.7109375" style="20" customWidth="1"/>
    <col min="2039" max="2286" width="20.7109375" style="20"/>
    <col min="2287" max="2287" width="5.7109375" style="20" customWidth="1"/>
    <col min="2288" max="2288" width="17.140625" style="20" customWidth="1"/>
    <col min="2289" max="2289" width="47.140625" style="20" customWidth="1"/>
    <col min="2290" max="2294" width="21.7109375" style="20" customWidth="1"/>
    <col min="2295" max="2542" width="20.7109375" style="20"/>
    <col min="2543" max="2543" width="5.7109375" style="20" customWidth="1"/>
    <col min="2544" max="2544" width="17.140625" style="20" customWidth="1"/>
    <col min="2545" max="2545" width="47.140625" style="20" customWidth="1"/>
    <col min="2546" max="2550" width="21.7109375" style="20" customWidth="1"/>
    <col min="2551" max="2798" width="20.7109375" style="20"/>
    <col min="2799" max="2799" width="5.7109375" style="20" customWidth="1"/>
    <col min="2800" max="2800" width="17.140625" style="20" customWidth="1"/>
    <col min="2801" max="2801" width="47.140625" style="20" customWidth="1"/>
    <col min="2802" max="2806" width="21.7109375" style="20" customWidth="1"/>
    <col min="2807" max="3054" width="20.7109375" style="20"/>
    <col min="3055" max="3055" width="5.7109375" style="20" customWidth="1"/>
    <col min="3056" max="3056" width="17.140625" style="20" customWidth="1"/>
    <col min="3057" max="3057" width="47.140625" style="20" customWidth="1"/>
    <col min="3058" max="3062" width="21.7109375" style="20" customWidth="1"/>
    <col min="3063" max="3310" width="20.7109375" style="20"/>
    <col min="3311" max="3311" width="5.7109375" style="20" customWidth="1"/>
    <col min="3312" max="3312" width="17.140625" style="20" customWidth="1"/>
    <col min="3313" max="3313" width="47.140625" style="20" customWidth="1"/>
    <col min="3314" max="3318" width="21.7109375" style="20" customWidth="1"/>
    <col min="3319" max="3566" width="20.7109375" style="20"/>
    <col min="3567" max="3567" width="5.7109375" style="20" customWidth="1"/>
    <col min="3568" max="3568" width="17.140625" style="20" customWidth="1"/>
    <col min="3569" max="3569" width="47.140625" style="20" customWidth="1"/>
    <col min="3570" max="3574" width="21.7109375" style="20" customWidth="1"/>
    <col min="3575" max="3822" width="20.7109375" style="20"/>
    <col min="3823" max="3823" width="5.7109375" style="20" customWidth="1"/>
    <col min="3824" max="3824" width="17.140625" style="20" customWidth="1"/>
    <col min="3825" max="3825" width="47.140625" style="20" customWidth="1"/>
    <col min="3826" max="3830" width="21.7109375" style="20" customWidth="1"/>
    <col min="3831" max="4078" width="20.7109375" style="20"/>
    <col min="4079" max="4079" width="5.7109375" style="20" customWidth="1"/>
    <col min="4080" max="4080" width="17.140625" style="20" customWidth="1"/>
    <col min="4081" max="4081" width="47.140625" style="20" customWidth="1"/>
    <col min="4082" max="4086" width="21.7109375" style="20" customWidth="1"/>
    <col min="4087" max="4334" width="20.7109375" style="20"/>
    <col min="4335" max="4335" width="5.7109375" style="20" customWidth="1"/>
    <col min="4336" max="4336" width="17.140625" style="20" customWidth="1"/>
    <col min="4337" max="4337" width="47.140625" style="20" customWidth="1"/>
    <col min="4338" max="4342" width="21.7109375" style="20" customWidth="1"/>
    <col min="4343" max="4590" width="20.7109375" style="20"/>
    <col min="4591" max="4591" width="5.7109375" style="20" customWidth="1"/>
    <col min="4592" max="4592" width="17.140625" style="20" customWidth="1"/>
    <col min="4593" max="4593" width="47.140625" style="20" customWidth="1"/>
    <col min="4594" max="4598" width="21.7109375" style="20" customWidth="1"/>
    <col min="4599" max="4846" width="20.7109375" style="20"/>
    <col min="4847" max="4847" width="5.7109375" style="20" customWidth="1"/>
    <col min="4848" max="4848" width="17.140625" style="20" customWidth="1"/>
    <col min="4849" max="4849" width="47.140625" style="20" customWidth="1"/>
    <col min="4850" max="4854" width="21.7109375" style="20" customWidth="1"/>
    <col min="4855" max="5102" width="20.7109375" style="20"/>
    <col min="5103" max="5103" width="5.7109375" style="20" customWidth="1"/>
    <col min="5104" max="5104" width="17.140625" style="20" customWidth="1"/>
    <col min="5105" max="5105" width="47.140625" style="20" customWidth="1"/>
    <col min="5106" max="5110" width="21.7109375" style="20" customWidth="1"/>
    <col min="5111" max="5358" width="20.7109375" style="20"/>
    <col min="5359" max="5359" width="5.7109375" style="20" customWidth="1"/>
    <col min="5360" max="5360" width="17.140625" style="20" customWidth="1"/>
    <col min="5361" max="5361" width="47.140625" style="20" customWidth="1"/>
    <col min="5362" max="5366" width="21.7109375" style="20" customWidth="1"/>
    <col min="5367" max="5614" width="20.7109375" style="20"/>
    <col min="5615" max="5615" width="5.7109375" style="20" customWidth="1"/>
    <col min="5616" max="5616" width="17.140625" style="20" customWidth="1"/>
    <col min="5617" max="5617" width="47.140625" style="20" customWidth="1"/>
    <col min="5618" max="5622" width="21.7109375" style="20" customWidth="1"/>
    <col min="5623" max="5870" width="20.7109375" style="20"/>
    <col min="5871" max="5871" width="5.7109375" style="20" customWidth="1"/>
    <col min="5872" max="5872" width="17.140625" style="20" customWidth="1"/>
    <col min="5873" max="5873" width="47.140625" style="20" customWidth="1"/>
    <col min="5874" max="5878" width="21.7109375" style="20" customWidth="1"/>
    <col min="5879" max="6126" width="20.7109375" style="20"/>
    <col min="6127" max="6127" width="5.7109375" style="20" customWidth="1"/>
    <col min="6128" max="6128" width="17.140625" style="20" customWidth="1"/>
    <col min="6129" max="6129" width="47.140625" style="20" customWidth="1"/>
    <col min="6130" max="6134" width="21.7109375" style="20" customWidth="1"/>
    <col min="6135" max="6382" width="20.7109375" style="20"/>
    <col min="6383" max="6383" width="5.7109375" style="20" customWidth="1"/>
    <col min="6384" max="6384" width="17.140625" style="20" customWidth="1"/>
    <col min="6385" max="6385" width="47.140625" style="20" customWidth="1"/>
    <col min="6386" max="6390" width="21.7109375" style="20" customWidth="1"/>
    <col min="6391" max="6638" width="20.7109375" style="20"/>
    <col min="6639" max="6639" width="5.7109375" style="20" customWidth="1"/>
    <col min="6640" max="6640" width="17.140625" style="20" customWidth="1"/>
    <col min="6641" max="6641" width="47.140625" style="20" customWidth="1"/>
    <col min="6642" max="6646" width="21.7109375" style="20" customWidth="1"/>
    <col min="6647" max="6894" width="20.7109375" style="20"/>
    <col min="6895" max="6895" width="5.7109375" style="20" customWidth="1"/>
    <col min="6896" max="6896" width="17.140625" style="20" customWidth="1"/>
    <col min="6897" max="6897" width="47.140625" style="20" customWidth="1"/>
    <col min="6898" max="6902" width="21.7109375" style="20" customWidth="1"/>
    <col min="6903" max="7150" width="20.7109375" style="20"/>
    <col min="7151" max="7151" width="5.7109375" style="20" customWidth="1"/>
    <col min="7152" max="7152" width="17.140625" style="20" customWidth="1"/>
    <col min="7153" max="7153" width="47.140625" style="20" customWidth="1"/>
    <col min="7154" max="7158" width="21.7109375" style="20" customWidth="1"/>
    <col min="7159" max="7406" width="20.7109375" style="20"/>
    <col min="7407" max="7407" width="5.7109375" style="20" customWidth="1"/>
    <col min="7408" max="7408" width="17.140625" style="20" customWidth="1"/>
    <col min="7409" max="7409" width="47.140625" style="20" customWidth="1"/>
    <col min="7410" max="7414" width="21.7109375" style="20" customWidth="1"/>
    <col min="7415" max="7662" width="20.7109375" style="20"/>
    <col min="7663" max="7663" width="5.7109375" style="20" customWidth="1"/>
    <col min="7664" max="7664" width="17.140625" style="20" customWidth="1"/>
    <col min="7665" max="7665" width="47.140625" style="20" customWidth="1"/>
    <col min="7666" max="7670" width="21.7109375" style="20" customWidth="1"/>
    <col min="7671" max="7918" width="20.7109375" style="20"/>
    <col min="7919" max="7919" width="5.7109375" style="20" customWidth="1"/>
    <col min="7920" max="7920" width="17.140625" style="20" customWidth="1"/>
    <col min="7921" max="7921" width="47.140625" style="20" customWidth="1"/>
    <col min="7922" max="7926" width="21.7109375" style="20" customWidth="1"/>
    <col min="7927" max="8174" width="20.7109375" style="20"/>
    <col min="8175" max="8175" width="5.7109375" style="20" customWidth="1"/>
    <col min="8176" max="8176" width="17.140625" style="20" customWidth="1"/>
    <col min="8177" max="8177" width="47.140625" style="20" customWidth="1"/>
    <col min="8178" max="8182" width="21.7109375" style="20" customWidth="1"/>
    <col min="8183" max="8430" width="20.7109375" style="20"/>
    <col min="8431" max="8431" width="5.7109375" style="20" customWidth="1"/>
    <col min="8432" max="8432" width="17.140625" style="20" customWidth="1"/>
    <col min="8433" max="8433" width="47.140625" style="20" customWidth="1"/>
    <col min="8434" max="8438" width="21.7109375" style="20" customWidth="1"/>
    <col min="8439" max="8686" width="20.7109375" style="20"/>
    <col min="8687" max="8687" width="5.7109375" style="20" customWidth="1"/>
    <col min="8688" max="8688" width="17.140625" style="20" customWidth="1"/>
    <col min="8689" max="8689" width="47.140625" style="20" customWidth="1"/>
    <col min="8690" max="8694" width="21.7109375" style="20" customWidth="1"/>
    <col min="8695" max="8942" width="20.7109375" style="20"/>
    <col min="8943" max="8943" width="5.7109375" style="20" customWidth="1"/>
    <col min="8944" max="8944" width="17.140625" style="20" customWidth="1"/>
    <col min="8945" max="8945" width="47.140625" style="20" customWidth="1"/>
    <col min="8946" max="8950" width="21.7109375" style="20" customWidth="1"/>
    <col min="8951" max="9198" width="20.7109375" style="20"/>
    <col min="9199" max="9199" width="5.7109375" style="20" customWidth="1"/>
    <col min="9200" max="9200" width="17.140625" style="20" customWidth="1"/>
    <col min="9201" max="9201" width="47.140625" style="20" customWidth="1"/>
    <col min="9202" max="9206" width="21.7109375" style="20" customWidth="1"/>
    <col min="9207" max="9454" width="20.7109375" style="20"/>
    <col min="9455" max="9455" width="5.7109375" style="20" customWidth="1"/>
    <col min="9456" max="9456" width="17.140625" style="20" customWidth="1"/>
    <col min="9457" max="9457" width="47.140625" style="20" customWidth="1"/>
    <col min="9458" max="9462" width="21.7109375" style="20" customWidth="1"/>
    <col min="9463" max="9710" width="20.7109375" style="20"/>
    <col min="9711" max="9711" width="5.7109375" style="20" customWidth="1"/>
    <col min="9712" max="9712" width="17.140625" style="20" customWidth="1"/>
    <col min="9713" max="9713" width="47.140625" style="20" customWidth="1"/>
    <col min="9714" max="9718" width="21.7109375" style="20" customWidth="1"/>
    <col min="9719" max="9966" width="20.7109375" style="20"/>
    <col min="9967" max="9967" width="5.7109375" style="20" customWidth="1"/>
    <col min="9968" max="9968" width="17.140625" style="20" customWidth="1"/>
    <col min="9969" max="9969" width="47.140625" style="20" customWidth="1"/>
    <col min="9970" max="9974" width="21.7109375" style="20" customWidth="1"/>
    <col min="9975" max="10222" width="20.7109375" style="20"/>
    <col min="10223" max="10223" width="5.7109375" style="20" customWidth="1"/>
    <col min="10224" max="10224" width="17.140625" style="20" customWidth="1"/>
    <col min="10225" max="10225" width="47.140625" style="20" customWidth="1"/>
    <col min="10226" max="10230" width="21.7109375" style="20" customWidth="1"/>
    <col min="10231" max="10478" width="20.7109375" style="20"/>
    <col min="10479" max="10479" width="5.7109375" style="20" customWidth="1"/>
    <col min="10480" max="10480" width="17.140625" style="20" customWidth="1"/>
    <col min="10481" max="10481" width="47.140625" style="20" customWidth="1"/>
    <col min="10482" max="10486" width="21.7109375" style="20" customWidth="1"/>
    <col min="10487" max="10734" width="20.7109375" style="20"/>
    <col min="10735" max="10735" width="5.7109375" style="20" customWidth="1"/>
    <col min="10736" max="10736" width="17.140625" style="20" customWidth="1"/>
    <col min="10737" max="10737" width="47.140625" style="20" customWidth="1"/>
    <col min="10738" max="10742" width="21.7109375" style="20" customWidth="1"/>
    <col min="10743" max="10990" width="20.7109375" style="20"/>
    <col min="10991" max="10991" width="5.7109375" style="20" customWidth="1"/>
    <col min="10992" max="10992" width="17.140625" style="20" customWidth="1"/>
    <col min="10993" max="10993" width="47.140625" style="20" customWidth="1"/>
    <col min="10994" max="10998" width="21.7109375" style="20" customWidth="1"/>
    <col min="10999" max="11246" width="20.7109375" style="20"/>
    <col min="11247" max="11247" width="5.7109375" style="20" customWidth="1"/>
    <col min="11248" max="11248" width="17.140625" style="20" customWidth="1"/>
    <col min="11249" max="11249" width="47.140625" style="20" customWidth="1"/>
    <col min="11250" max="11254" width="21.7109375" style="20" customWidth="1"/>
    <col min="11255" max="11502" width="20.7109375" style="20"/>
    <col min="11503" max="11503" width="5.7109375" style="20" customWidth="1"/>
    <col min="11504" max="11504" width="17.140625" style="20" customWidth="1"/>
    <col min="11505" max="11505" width="47.140625" style="20" customWidth="1"/>
    <col min="11506" max="11510" width="21.7109375" style="20" customWidth="1"/>
    <col min="11511" max="11758" width="20.7109375" style="20"/>
    <col min="11759" max="11759" width="5.7109375" style="20" customWidth="1"/>
    <col min="11760" max="11760" width="17.140625" style="20" customWidth="1"/>
    <col min="11761" max="11761" width="47.140625" style="20" customWidth="1"/>
    <col min="11762" max="11766" width="21.7109375" style="20" customWidth="1"/>
    <col min="11767" max="12014" width="20.7109375" style="20"/>
    <col min="12015" max="12015" width="5.7109375" style="20" customWidth="1"/>
    <col min="12016" max="12016" width="17.140625" style="20" customWidth="1"/>
    <col min="12017" max="12017" width="47.140625" style="20" customWidth="1"/>
    <col min="12018" max="12022" width="21.7109375" style="20" customWidth="1"/>
    <col min="12023" max="12270" width="20.7109375" style="20"/>
    <col min="12271" max="12271" width="5.7109375" style="20" customWidth="1"/>
    <col min="12272" max="12272" width="17.140625" style="20" customWidth="1"/>
    <col min="12273" max="12273" width="47.140625" style="20" customWidth="1"/>
    <col min="12274" max="12278" width="21.7109375" style="20" customWidth="1"/>
    <col min="12279" max="12526" width="20.7109375" style="20"/>
    <col min="12527" max="12527" width="5.7109375" style="20" customWidth="1"/>
    <col min="12528" max="12528" width="17.140625" style="20" customWidth="1"/>
    <col min="12529" max="12529" width="47.140625" style="20" customWidth="1"/>
    <col min="12530" max="12534" width="21.7109375" style="20" customWidth="1"/>
    <col min="12535" max="12782" width="20.7109375" style="20"/>
    <col min="12783" max="12783" width="5.7109375" style="20" customWidth="1"/>
    <col min="12784" max="12784" width="17.140625" style="20" customWidth="1"/>
    <col min="12785" max="12785" width="47.140625" style="20" customWidth="1"/>
    <col min="12786" max="12790" width="21.7109375" style="20" customWidth="1"/>
    <col min="12791" max="13038" width="20.7109375" style="20"/>
    <col min="13039" max="13039" width="5.7109375" style="20" customWidth="1"/>
    <col min="13040" max="13040" width="17.140625" style="20" customWidth="1"/>
    <col min="13041" max="13041" width="47.140625" style="20" customWidth="1"/>
    <col min="13042" max="13046" width="21.7109375" style="20" customWidth="1"/>
    <col min="13047" max="13294" width="20.7109375" style="20"/>
    <col min="13295" max="13295" width="5.7109375" style="20" customWidth="1"/>
    <col min="13296" max="13296" width="17.140625" style="20" customWidth="1"/>
    <col min="13297" max="13297" width="47.140625" style="20" customWidth="1"/>
    <col min="13298" max="13302" width="21.7109375" style="20" customWidth="1"/>
    <col min="13303" max="13550" width="20.7109375" style="20"/>
    <col min="13551" max="13551" width="5.7109375" style="20" customWidth="1"/>
    <col min="13552" max="13552" width="17.140625" style="20" customWidth="1"/>
    <col min="13553" max="13553" width="47.140625" style="20" customWidth="1"/>
    <col min="13554" max="13558" width="21.7109375" style="20" customWidth="1"/>
    <col min="13559" max="13806" width="20.7109375" style="20"/>
    <col min="13807" max="13807" width="5.7109375" style="20" customWidth="1"/>
    <col min="13808" max="13808" width="17.140625" style="20" customWidth="1"/>
    <col min="13809" max="13809" width="47.140625" style="20" customWidth="1"/>
    <col min="13810" max="13814" width="21.7109375" style="20" customWidth="1"/>
    <col min="13815" max="14062" width="20.7109375" style="20"/>
    <col min="14063" max="14063" width="5.7109375" style="20" customWidth="1"/>
    <col min="14064" max="14064" width="17.140625" style="20" customWidth="1"/>
    <col min="14065" max="14065" width="47.140625" style="20" customWidth="1"/>
    <col min="14066" max="14070" width="21.7109375" style="20" customWidth="1"/>
    <col min="14071" max="14318" width="20.7109375" style="20"/>
    <col min="14319" max="14319" width="5.7109375" style="20" customWidth="1"/>
    <col min="14320" max="14320" width="17.140625" style="20" customWidth="1"/>
    <col min="14321" max="14321" width="47.140625" style="20" customWidth="1"/>
    <col min="14322" max="14326" width="21.7109375" style="20" customWidth="1"/>
    <col min="14327" max="14574" width="20.7109375" style="20"/>
    <col min="14575" max="14575" width="5.7109375" style="20" customWidth="1"/>
    <col min="14576" max="14576" width="17.140625" style="20" customWidth="1"/>
    <col min="14577" max="14577" width="47.140625" style="20" customWidth="1"/>
    <col min="14578" max="14582" width="21.7109375" style="20" customWidth="1"/>
    <col min="14583" max="14830" width="20.7109375" style="20"/>
    <col min="14831" max="14831" width="5.7109375" style="20" customWidth="1"/>
    <col min="14832" max="14832" width="17.140625" style="20" customWidth="1"/>
    <col min="14833" max="14833" width="47.140625" style="20" customWidth="1"/>
    <col min="14834" max="14838" width="21.7109375" style="20" customWidth="1"/>
    <col min="14839" max="15086" width="20.7109375" style="20"/>
    <col min="15087" max="15087" width="5.7109375" style="20" customWidth="1"/>
    <col min="15088" max="15088" width="17.140625" style="20" customWidth="1"/>
    <col min="15089" max="15089" width="47.140625" style="20" customWidth="1"/>
    <col min="15090" max="15094" width="21.7109375" style="20" customWidth="1"/>
    <col min="15095" max="15342" width="20.7109375" style="20"/>
    <col min="15343" max="15343" width="5.7109375" style="20" customWidth="1"/>
    <col min="15344" max="15344" width="17.140625" style="20" customWidth="1"/>
    <col min="15345" max="15345" width="47.140625" style="20" customWidth="1"/>
    <col min="15346" max="15350" width="21.7109375" style="20" customWidth="1"/>
    <col min="15351" max="15598" width="20.7109375" style="20"/>
    <col min="15599" max="15599" width="5.7109375" style="20" customWidth="1"/>
    <col min="15600" max="15600" width="17.140625" style="20" customWidth="1"/>
    <col min="15601" max="15601" width="47.140625" style="20" customWidth="1"/>
    <col min="15602" max="15606" width="21.7109375" style="20" customWidth="1"/>
    <col min="15607" max="15854" width="20.7109375" style="20"/>
    <col min="15855" max="15855" width="5.7109375" style="20" customWidth="1"/>
    <col min="15856" max="15856" width="17.140625" style="20" customWidth="1"/>
    <col min="15857" max="15857" width="47.140625" style="20" customWidth="1"/>
    <col min="15858" max="15862" width="21.7109375" style="20" customWidth="1"/>
    <col min="15863" max="16110" width="20.7109375" style="20"/>
    <col min="16111" max="16111" width="5.7109375" style="20" customWidth="1"/>
    <col min="16112" max="16112" width="17.140625" style="20" customWidth="1"/>
    <col min="16113" max="16113" width="47.140625" style="20" customWidth="1"/>
    <col min="16114" max="16118" width="21.7109375" style="20" customWidth="1"/>
    <col min="16119" max="16384" width="20.7109375" style="20"/>
  </cols>
  <sheetData>
    <row r="1" spans="2:8" ht="26.25" customHeight="1">
      <c r="C1" s="19" t="s">
        <v>413</v>
      </c>
    </row>
    <row r="2" spans="2:8" ht="19.5" customHeight="1">
      <c r="C2" s="21" t="s">
        <v>10</v>
      </c>
    </row>
    <row r="3" spans="2:8" ht="17.45" customHeight="1">
      <c r="C3" s="23" t="s">
        <v>473</v>
      </c>
    </row>
    <row r="4" spans="2:8" ht="18.75">
      <c r="B4" s="93" t="s">
        <v>11</v>
      </c>
      <c r="C4" s="93" t="s">
        <v>12</v>
      </c>
      <c r="D4" s="94" t="s">
        <v>414</v>
      </c>
      <c r="E4" s="94"/>
      <c r="F4" s="94"/>
      <c r="G4" s="94"/>
      <c r="H4" s="95"/>
    </row>
    <row r="5" spans="2:8" ht="24" customHeight="1">
      <c r="B5" s="93"/>
      <c r="C5" s="93"/>
      <c r="D5" s="87" t="s">
        <v>415</v>
      </c>
      <c r="E5" s="82" t="s">
        <v>416</v>
      </c>
      <c r="F5" s="82" t="s">
        <v>417</v>
      </c>
      <c r="G5" s="82" t="s">
        <v>418</v>
      </c>
      <c r="H5" s="40" t="s">
        <v>25</v>
      </c>
    </row>
    <row r="6" spans="2:8" ht="17.25" customHeight="1">
      <c r="B6" s="24"/>
      <c r="C6" s="25" t="s">
        <v>26</v>
      </c>
      <c r="D6" s="26" t="s">
        <v>436</v>
      </c>
      <c r="E6" s="26" t="s">
        <v>436</v>
      </c>
      <c r="F6" s="26" t="s">
        <v>436</v>
      </c>
      <c r="G6" s="26" t="s">
        <v>436</v>
      </c>
      <c r="H6" s="26"/>
    </row>
    <row r="7" spans="2:8" ht="17.45" customHeight="1">
      <c r="B7" s="24"/>
      <c r="C7" s="25" t="s">
        <v>27</v>
      </c>
      <c r="D7" s="26" t="s">
        <v>436</v>
      </c>
      <c r="E7" s="26" t="s">
        <v>436</v>
      </c>
      <c r="F7" s="26" t="s">
        <v>436</v>
      </c>
      <c r="G7" s="26" t="s">
        <v>436</v>
      </c>
      <c r="H7" s="26"/>
    </row>
    <row r="8" spans="2:8" ht="17.45" customHeight="1">
      <c r="B8" s="24" t="s">
        <v>28</v>
      </c>
      <c r="C8" s="25" t="s">
        <v>29</v>
      </c>
      <c r="D8" s="26">
        <v>24182.68</v>
      </c>
      <c r="E8" s="26">
        <v>0</v>
      </c>
      <c r="F8" s="26">
        <v>604148.57999999996</v>
      </c>
      <c r="G8" s="26">
        <v>0</v>
      </c>
      <c r="H8" s="26">
        <f t="shared" ref="H8:H71" si="0">SUM(D8:G8)</f>
        <v>628331.26</v>
      </c>
    </row>
    <row r="9" spans="2:8">
      <c r="B9" s="24" t="s">
        <v>30</v>
      </c>
      <c r="C9" s="25" t="s">
        <v>31</v>
      </c>
      <c r="D9" s="26">
        <v>0</v>
      </c>
      <c r="E9" s="26">
        <v>11206.81</v>
      </c>
      <c r="F9" s="26">
        <v>0</v>
      </c>
      <c r="G9" s="26">
        <v>0</v>
      </c>
      <c r="H9" s="26">
        <f t="shared" si="0"/>
        <v>11206.81</v>
      </c>
    </row>
    <row r="10" spans="2:8">
      <c r="B10" s="24" t="s">
        <v>32</v>
      </c>
      <c r="C10" s="25" t="s">
        <v>33</v>
      </c>
      <c r="D10" s="26">
        <v>0</v>
      </c>
      <c r="E10" s="26">
        <v>0</v>
      </c>
      <c r="F10" s="26">
        <v>0</v>
      </c>
      <c r="G10" s="26">
        <v>0</v>
      </c>
      <c r="H10" s="26">
        <f t="shared" si="0"/>
        <v>0</v>
      </c>
    </row>
    <row r="11" spans="2:8">
      <c r="B11" s="24" t="s">
        <v>34</v>
      </c>
      <c r="C11" s="25" t="s">
        <v>35</v>
      </c>
      <c r="D11" s="26">
        <v>0</v>
      </c>
      <c r="E11" s="26">
        <v>0</v>
      </c>
      <c r="F11" s="26">
        <v>0</v>
      </c>
      <c r="G11" s="26">
        <v>0</v>
      </c>
      <c r="H11" s="26">
        <f t="shared" si="0"/>
        <v>0</v>
      </c>
    </row>
    <row r="12" spans="2:8">
      <c r="B12" s="24" t="s">
        <v>36</v>
      </c>
      <c r="C12" s="25" t="s">
        <v>37</v>
      </c>
      <c r="D12" s="26">
        <v>0</v>
      </c>
      <c r="E12" s="26">
        <v>0</v>
      </c>
      <c r="F12" s="26">
        <v>0</v>
      </c>
      <c r="G12" s="26">
        <v>0</v>
      </c>
      <c r="H12" s="26">
        <f t="shared" si="0"/>
        <v>0</v>
      </c>
    </row>
    <row r="13" spans="2:8">
      <c r="B13" s="24" t="s">
        <v>38</v>
      </c>
      <c r="C13" s="25" t="s">
        <v>39</v>
      </c>
      <c r="D13" s="26">
        <v>0</v>
      </c>
      <c r="E13" s="26">
        <v>0</v>
      </c>
      <c r="F13" s="26">
        <v>0</v>
      </c>
      <c r="G13" s="26">
        <v>0</v>
      </c>
      <c r="H13" s="26">
        <f t="shared" si="0"/>
        <v>0</v>
      </c>
    </row>
    <row r="14" spans="2:8">
      <c r="B14" s="24"/>
      <c r="C14" s="25" t="s">
        <v>40</v>
      </c>
      <c r="D14" s="26">
        <v>0</v>
      </c>
      <c r="E14" s="26">
        <v>11206.81</v>
      </c>
      <c r="F14" s="26">
        <v>0</v>
      </c>
      <c r="G14" s="26">
        <v>0</v>
      </c>
      <c r="H14" s="26">
        <f t="shared" si="0"/>
        <v>11206.81</v>
      </c>
    </row>
    <row r="15" spans="2:8">
      <c r="B15" s="24" t="s">
        <v>41</v>
      </c>
      <c r="C15" s="25" t="s">
        <v>27</v>
      </c>
      <c r="D15" s="26">
        <v>24182.68</v>
      </c>
      <c r="E15" s="26">
        <v>11206.81</v>
      </c>
      <c r="F15" s="26">
        <v>604148.57999999996</v>
      </c>
      <c r="G15" s="26">
        <v>0</v>
      </c>
      <c r="H15" s="26">
        <f t="shared" si="0"/>
        <v>639538.06999999995</v>
      </c>
    </row>
    <row r="16" spans="2:8">
      <c r="B16" s="24" t="s">
        <v>42</v>
      </c>
      <c r="C16" s="25" t="s">
        <v>43</v>
      </c>
      <c r="D16" s="26">
        <v>24182.68</v>
      </c>
      <c r="E16" s="26">
        <v>11206.81</v>
      </c>
      <c r="F16" s="26">
        <v>604148.57999999996</v>
      </c>
      <c r="G16" s="26">
        <v>0</v>
      </c>
      <c r="H16" s="26">
        <f t="shared" si="0"/>
        <v>639538.06999999995</v>
      </c>
    </row>
    <row r="17" spans="2:8">
      <c r="B17" s="24"/>
      <c r="C17" s="25" t="s">
        <v>44</v>
      </c>
      <c r="D17" s="26">
        <v>0</v>
      </c>
      <c r="E17" s="26">
        <v>0</v>
      </c>
      <c r="F17" s="26">
        <v>0</v>
      </c>
      <c r="G17" s="26">
        <v>0</v>
      </c>
      <c r="H17" s="26">
        <f t="shared" si="0"/>
        <v>0</v>
      </c>
    </row>
    <row r="18" spans="2:8">
      <c r="B18" s="24"/>
      <c r="C18" s="25" t="s">
        <v>45</v>
      </c>
      <c r="D18" s="26">
        <v>0</v>
      </c>
      <c r="E18" s="26">
        <v>0</v>
      </c>
      <c r="F18" s="26">
        <v>0</v>
      </c>
      <c r="G18" s="26">
        <v>0</v>
      </c>
      <c r="H18" s="26">
        <f t="shared" si="0"/>
        <v>0</v>
      </c>
    </row>
    <row r="19" spans="2:8">
      <c r="B19" s="24" t="s">
        <v>46</v>
      </c>
      <c r="C19" s="25" t="s">
        <v>47</v>
      </c>
      <c r="D19" s="26">
        <v>13530.6</v>
      </c>
      <c r="E19" s="26">
        <v>0</v>
      </c>
      <c r="F19" s="26">
        <v>340689.6</v>
      </c>
      <c r="G19" s="26">
        <v>0</v>
      </c>
      <c r="H19" s="26">
        <f t="shared" si="0"/>
        <v>354220.19999999995</v>
      </c>
    </row>
    <row r="20" spans="2:8">
      <c r="B20" s="24" t="s">
        <v>48</v>
      </c>
      <c r="C20" s="25" t="s">
        <v>49</v>
      </c>
      <c r="D20" s="26">
        <v>0</v>
      </c>
      <c r="E20" s="26">
        <v>0</v>
      </c>
      <c r="F20" s="26">
        <v>0</v>
      </c>
      <c r="G20" s="26">
        <v>0</v>
      </c>
      <c r="H20" s="26">
        <f t="shared" si="0"/>
        <v>0</v>
      </c>
    </row>
    <row r="21" spans="2:8">
      <c r="B21" s="24"/>
      <c r="C21" s="25" t="s">
        <v>50</v>
      </c>
      <c r="D21" s="26">
        <v>13530.6</v>
      </c>
      <c r="E21" s="26">
        <v>0</v>
      </c>
      <c r="F21" s="26">
        <v>340689.6</v>
      </c>
      <c r="G21" s="26">
        <v>0</v>
      </c>
      <c r="H21" s="26">
        <f t="shared" si="0"/>
        <v>354220.19999999995</v>
      </c>
    </row>
    <row r="22" spans="2:8">
      <c r="B22" s="24" t="s">
        <v>51</v>
      </c>
      <c r="C22" s="25" t="s">
        <v>52</v>
      </c>
      <c r="D22" s="26">
        <v>0</v>
      </c>
      <c r="E22" s="26">
        <v>0</v>
      </c>
      <c r="F22" s="26">
        <v>0</v>
      </c>
      <c r="G22" s="26">
        <v>0</v>
      </c>
      <c r="H22" s="26">
        <f t="shared" si="0"/>
        <v>0</v>
      </c>
    </row>
    <row r="23" spans="2:8">
      <c r="B23" s="24" t="s">
        <v>53</v>
      </c>
      <c r="C23" s="25" t="s">
        <v>54</v>
      </c>
      <c r="D23" s="26">
        <v>0</v>
      </c>
      <c r="E23" s="26">
        <v>0</v>
      </c>
      <c r="F23" s="26">
        <v>0</v>
      </c>
      <c r="G23" s="26">
        <v>0</v>
      </c>
      <c r="H23" s="26">
        <f t="shared" si="0"/>
        <v>0</v>
      </c>
    </row>
    <row r="24" spans="2:8">
      <c r="B24" s="24"/>
      <c r="C24" s="25" t="s">
        <v>55</v>
      </c>
      <c r="D24" s="26">
        <v>27061.200000000001</v>
      </c>
      <c r="E24" s="26">
        <v>0</v>
      </c>
      <c r="F24" s="26">
        <v>681379.2</v>
      </c>
      <c r="G24" s="26">
        <v>0</v>
      </c>
      <c r="H24" s="26">
        <f t="shared" si="0"/>
        <v>708440.39999999991</v>
      </c>
    </row>
    <row r="25" spans="2:8">
      <c r="B25" s="24" t="s">
        <v>56</v>
      </c>
      <c r="C25" s="25" t="s">
        <v>57</v>
      </c>
      <c r="D25" s="26">
        <v>0</v>
      </c>
      <c r="E25" s="26">
        <v>231.56</v>
      </c>
      <c r="F25" s="26">
        <v>0</v>
      </c>
      <c r="G25" s="26">
        <v>0</v>
      </c>
      <c r="H25" s="26">
        <f t="shared" si="0"/>
        <v>231.56</v>
      </c>
    </row>
    <row r="26" spans="2:8">
      <c r="B26" s="24" t="s">
        <v>58</v>
      </c>
      <c r="C26" s="25" t="s">
        <v>59</v>
      </c>
      <c r="D26" s="26">
        <v>0</v>
      </c>
      <c r="E26" s="26">
        <v>0</v>
      </c>
      <c r="F26" s="26">
        <v>0</v>
      </c>
      <c r="G26" s="26">
        <v>0</v>
      </c>
      <c r="H26" s="26">
        <f t="shared" si="0"/>
        <v>0</v>
      </c>
    </row>
    <row r="27" spans="2:8">
      <c r="B27" s="24" t="s">
        <v>60</v>
      </c>
      <c r="C27" s="25" t="s">
        <v>61</v>
      </c>
      <c r="D27" s="26">
        <v>0</v>
      </c>
      <c r="E27" s="26">
        <v>0</v>
      </c>
      <c r="F27" s="26">
        <v>0</v>
      </c>
      <c r="G27" s="26">
        <v>0</v>
      </c>
      <c r="H27" s="26">
        <f t="shared" si="0"/>
        <v>0</v>
      </c>
    </row>
    <row r="28" spans="2:8">
      <c r="B28" s="24" t="s">
        <v>62</v>
      </c>
      <c r="C28" s="25" t="s">
        <v>63</v>
      </c>
      <c r="D28" s="26">
        <v>0</v>
      </c>
      <c r="E28" s="26">
        <v>0</v>
      </c>
      <c r="F28" s="26">
        <v>0</v>
      </c>
      <c r="G28" s="26">
        <v>0</v>
      </c>
      <c r="H28" s="26">
        <f t="shared" si="0"/>
        <v>0</v>
      </c>
    </row>
    <row r="29" spans="2:8">
      <c r="B29" s="24"/>
      <c r="C29" s="25" t="s">
        <v>64</v>
      </c>
      <c r="D29" s="26">
        <v>0</v>
      </c>
      <c r="E29" s="26">
        <v>231.56</v>
      </c>
      <c r="F29" s="26">
        <v>0</v>
      </c>
      <c r="G29" s="26">
        <v>0</v>
      </c>
      <c r="H29" s="26">
        <f t="shared" si="0"/>
        <v>231.56</v>
      </c>
    </row>
    <row r="30" spans="2:8">
      <c r="B30" s="24" t="s">
        <v>65</v>
      </c>
      <c r="C30" s="25" t="s">
        <v>66</v>
      </c>
      <c r="D30" s="26">
        <v>0</v>
      </c>
      <c r="E30" s="26">
        <v>0</v>
      </c>
      <c r="F30" s="26">
        <v>0</v>
      </c>
      <c r="G30" s="26">
        <v>0</v>
      </c>
      <c r="H30" s="26">
        <f t="shared" si="0"/>
        <v>0</v>
      </c>
    </row>
    <row r="31" spans="2:8">
      <c r="B31" s="24" t="s">
        <v>67</v>
      </c>
      <c r="C31" s="25" t="s">
        <v>68</v>
      </c>
      <c r="D31" s="26">
        <v>0</v>
      </c>
      <c r="E31" s="26">
        <v>0</v>
      </c>
      <c r="F31" s="26">
        <v>0</v>
      </c>
      <c r="G31" s="26">
        <v>0</v>
      </c>
      <c r="H31" s="26">
        <f t="shared" si="0"/>
        <v>0</v>
      </c>
    </row>
    <row r="32" spans="2:8">
      <c r="B32" s="24" t="s">
        <v>69</v>
      </c>
      <c r="C32" s="25" t="s">
        <v>70</v>
      </c>
      <c r="D32" s="26" t="s">
        <v>432</v>
      </c>
      <c r="E32" s="26" t="s">
        <v>432</v>
      </c>
      <c r="F32" s="26" t="s">
        <v>432</v>
      </c>
      <c r="G32" s="26" t="s">
        <v>432</v>
      </c>
      <c r="H32" s="26">
        <f t="shared" si="0"/>
        <v>0</v>
      </c>
    </row>
    <row r="33" spans="2:8">
      <c r="B33" s="24" t="s">
        <v>71</v>
      </c>
      <c r="C33" s="25" t="s">
        <v>72</v>
      </c>
      <c r="D33" s="26">
        <v>0</v>
      </c>
      <c r="E33" s="26">
        <v>0</v>
      </c>
      <c r="F33" s="26">
        <v>0</v>
      </c>
      <c r="G33" s="26">
        <v>0</v>
      </c>
      <c r="H33" s="26">
        <f t="shared" si="0"/>
        <v>0</v>
      </c>
    </row>
    <row r="34" spans="2:8">
      <c r="B34" s="24"/>
      <c r="C34" s="25" t="s">
        <v>73</v>
      </c>
      <c r="D34" s="26"/>
      <c r="E34" s="26"/>
      <c r="F34" s="26"/>
      <c r="G34" s="26"/>
      <c r="H34" s="26">
        <f t="shared" si="0"/>
        <v>0</v>
      </c>
    </row>
    <row r="35" spans="2:8">
      <c r="B35" s="24" t="s">
        <v>74</v>
      </c>
      <c r="C35" s="25" t="s">
        <v>75</v>
      </c>
      <c r="D35" s="26"/>
      <c r="E35" s="26"/>
      <c r="F35" s="26"/>
      <c r="G35" s="26"/>
      <c r="H35" s="26">
        <f t="shared" si="0"/>
        <v>0</v>
      </c>
    </row>
    <row r="36" spans="2:8">
      <c r="B36" s="24" t="s">
        <v>76</v>
      </c>
      <c r="C36" s="25" t="s">
        <v>77</v>
      </c>
      <c r="D36" s="26">
        <v>27061.200000000001</v>
      </c>
      <c r="E36" s="26">
        <v>231.56</v>
      </c>
      <c r="F36" s="26">
        <v>681379.2</v>
      </c>
      <c r="G36" s="26">
        <v>0</v>
      </c>
      <c r="H36" s="26">
        <f t="shared" si="0"/>
        <v>708671.96</v>
      </c>
    </row>
    <row r="37" spans="2:8">
      <c r="B37" s="24"/>
      <c r="C37" s="25" t="s">
        <v>78</v>
      </c>
      <c r="D37" s="26">
        <v>0</v>
      </c>
      <c r="E37" s="26">
        <v>0</v>
      </c>
      <c r="F37" s="26">
        <v>0</v>
      </c>
      <c r="G37" s="26">
        <v>0</v>
      </c>
      <c r="H37" s="26">
        <f t="shared" si="0"/>
        <v>0</v>
      </c>
    </row>
    <row r="38" spans="2:8">
      <c r="B38" s="24" t="s">
        <v>79</v>
      </c>
      <c r="C38" s="25" t="s">
        <v>80</v>
      </c>
      <c r="D38" s="26">
        <v>0</v>
      </c>
      <c r="E38" s="26">
        <v>0</v>
      </c>
      <c r="F38" s="26">
        <v>0</v>
      </c>
      <c r="G38" s="26">
        <v>0</v>
      </c>
      <c r="H38" s="26">
        <f t="shared" si="0"/>
        <v>0</v>
      </c>
    </row>
    <row r="39" spans="2:8">
      <c r="B39" s="24" t="s">
        <v>81</v>
      </c>
      <c r="C39" s="25" t="s">
        <v>82</v>
      </c>
      <c r="D39" s="26">
        <v>0</v>
      </c>
      <c r="E39" s="26">
        <v>0</v>
      </c>
      <c r="F39" s="26">
        <v>0</v>
      </c>
      <c r="G39" s="26">
        <v>0</v>
      </c>
      <c r="H39" s="26">
        <f t="shared" si="0"/>
        <v>0</v>
      </c>
    </row>
    <row r="40" spans="2:8">
      <c r="B40" s="24"/>
      <c r="C40" s="25" t="s">
        <v>83</v>
      </c>
      <c r="D40" s="26">
        <v>0</v>
      </c>
      <c r="E40" s="26">
        <v>0</v>
      </c>
      <c r="F40" s="26">
        <v>0</v>
      </c>
      <c r="G40" s="26">
        <v>0</v>
      </c>
      <c r="H40" s="26">
        <f t="shared" si="0"/>
        <v>0</v>
      </c>
    </row>
    <row r="41" spans="2:8">
      <c r="B41" s="24" t="s">
        <v>84</v>
      </c>
      <c r="C41" s="25" t="s">
        <v>85</v>
      </c>
      <c r="D41" s="26">
        <v>0</v>
      </c>
      <c r="E41" s="26">
        <v>0</v>
      </c>
      <c r="F41" s="26">
        <v>0</v>
      </c>
      <c r="G41" s="26">
        <v>0</v>
      </c>
      <c r="H41" s="26">
        <f t="shared" si="0"/>
        <v>0</v>
      </c>
    </row>
    <row r="42" spans="2:8">
      <c r="B42" s="24" t="s">
        <v>86</v>
      </c>
      <c r="C42" s="25" t="s">
        <v>87</v>
      </c>
      <c r="D42" s="26">
        <v>0</v>
      </c>
      <c r="E42" s="26">
        <v>0</v>
      </c>
      <c r="F42" s="26">
        <v>0</v>
      </c>
      <c r="G42" s="26">
        <v>0</v>
      </c>
      <c r="H42" s="26">
        <f t="shared" si="0"/>
        <v>0</v>
      </c>
    </row>
    <row r="43" spans="2:8">
      <c r="B43" s="24"/>
      <c r="C43" s="25" t="s">
        <v>88</v>
      </c>
      <c r="D43" s="26">
        <v>0</v>
      </c>
      <c r="E43" s="26">
        <v>0</v>
      </c>
      <c r="F43" s="26">
        <v>0</v>
      </c>
      <c r="G43" s="26">
        <v>0</v>
      </c>
      <c r="H43" s="26">
        <f t="shared" si="0"/>
        <v>0</v>
      </c>
    </row>
    <row r="44" spans="2:8">
      <c r="B44" s="24" t="s">
        <v>89</v>
      </c>
      <c r="C44" s="25" t="s">
        <v>90</v>
      </c>
      <c r="D44" s="26">
        <v>0</v>
      </c>
      <c r="E44" s="26">
        <v>0</v>
      </c>
      <c r="F44" s="26">
        <v>0</v>
      </c>
      <c r="G44" s="26">
        <v>0</v>
      </c>
      <c r="H44" s="26">
        <f t="shared" si="0"/>
        <v>0</v>
      </c>
    </row>
    <row r="45" spans="2:8">
      <c r="B45" s="24"/>
      <c r="C45" s="25" t="s">
        <v>91</v>
      </c>
      <c r="D45" s="26">
        <v>0</v>
      </c>
      <c r="E45" s="26">
        <v>0</v>
      </c>
      <c r="F45" s="26">
        <v>0</v>
      </c>
      <c r="G45" s="26">
        <v>0</v>
      </c>
      <c r="H45" s="26">
        <f t="shared" si="0"/>
        <v>0</v>
      </c>
    </row>
    <row r="46" spans="2:8">
      <c r="B46" s="24"/>
      <c r="C46" s="25" t="s">
        <v>92</v>
      </c>
      <c r="D46" s="26">
        <v>0</v>
      </c>
      <c r="E46" s="26">
        <v>0</v>
      </c>
      <c r="F46" s="26">
        <v>0</v>
      </c>
      <c r="G46" s="26">
        <v>0</v>
      </c>
      <c r="H46" s="26">
        <f t="shared" si="0"/>
        <v>0</v>
      </c>
    </row>
    <row r="47" spans="2:8">
      <c r="B47" s="24" t="s">
        <v>93</v>
      </c>
      <c r="C47" s="25" t="s">
        <v>83</v>
      </c>
      <c r="D47" s="26"/>
      <c r="E47" s="26"/>
      <c r="F47" s="26"/>
      <c r="G47" s="26"/>
      <c r="H47" s="26">
        <f t="shared" si="0"/>
        <v>0</v>
      </c>
    </row>
    <row r="48" spans="2:8">
      <c r="B48" s="24"/>
      <c r="C48" s="25" t="s">
        <v>94</v>
      </c>
      <c r="D48" s="26">
        <v>0</v>
      </c>
      <c r="E48" s="26">
        <v>0</v>
      </c>
      <c r="F48" s="26">
        <v>0</v>
      </c>
      <c r="G48" s="26">
        <v>0</v>
      </c>
      <c r="H48" s="26">
        <f t="shared" si="0"/>
        <v>0</v>
      </c>
    </row>
    <row r="49" spans="2:8">
      <c r="B49" s="24" t="s">
        <v>95</v>
      </c>
      <c r="C49" s="25" t="s">
        <v>96</v>
      </c>
      <c r="D49" s="26">
        <v>0</v>
      </c>
      <c r="E49" s="26">
        <v>0</v>
      </c>
      <c r="F49" s="26">
        <v>0</v>
      </c>
      <c r="G49" s="26">
        <v>0</v>
      </c>
      <c r="H49" s="26">
        <f t="shared" si="0"/>
        <v>0</v>
      </c>
    </row>
    <row r="50" spans="2:8">
      <c r="B50" s="24" t="s">
        <v>97</v>
      </c>
      <c r="C50" s="25" t="s">
        <v>98</v>
      </c>
      <c r="D50" s="26">
        <v>0</v>
      </c>
      <c r="E50" s="26">
        <v>0</v>
      </c>
      <c r="F50" s="26">
        <v>0</v>
      </c>
      <c r="G50" s="26">
        <v>0</v>
      </c>
      <c r="H50" s="26">
        <f t="shared" si="0"/>
        <v>0</v>
      </c>
    </row>
    <row r="51" spans="2:8">
      <c r="B51" s="24" t="s">
        <v>99</v>
      </c>
      <c r="C51" s="25" t="s">
        <v>100</v>
      </c>
      <c r="D51" s="26">
        <v>0</v>
      </c>
      <c r="E51" s="26">
        <v>0</v>
      </c>
      <c r="F51" s="26">
        <v>0</v>
      </c>
      <c r="G51" s="26">
        <v>0</v>
      </c>
      <c r="H51" s="26">
        <f t="shared" si="0"/>
        <v>0</v>
      </c>
    </row>
    <row r="52" spans="2:8">
      <c r="B52" s="24" t="s">
        <v>101</v>
      </c>
      <c r="C52" s="25" t="s">
        <v>94</v>
      </c>
      <c r="D52" s="26"/>
      <c r="E52" s="26"/>
      <c r="F52" s="26"/>
      <c r="G52" s="26"/>
      <c r="H52" s="26">
        <f t="shared" si="0"/>
        <v>0</v>
      </c>
    </row>
    <row r="53" spans="2:8">
      <c r="B53" s="24" t="s">
        <v>102</v>
      </c>
      <c r="C53" s="25" t="s">
        <v>103</v>
      </c>
      <c r="D53" s="26"/>
      <c r="E53" s="26"/>
      <c r="F53" s="26"/>
      <c r="G53" s="26"/>
      <c r="H53" s="26">
        <f t="shared" si="0"/>
        <v>0</v>
      </c>
    </row>
    <row r="54" spans="2:8">
      <c r="B54" s="24"/>
      <c r="C54" s="25" t="s">
        <v>104</v>
      </c>
      <c r="D54" s="26">
        <v>0</v>
      </c>
      <c r="E54" s="26">
        <v>0</v>
      </c>
      <c r="F54" s="26">
        <v>0</v>
      </c>
      <c r="G54" s="26">
        <v>0</v>
      </c>
      <c r="H54" s="26">
        <f t="shared" si="0"/>
        <v>0</v>
      </c>
    </row>
    <row r="55" spans="2:8">
      <c r="B55" s="24"/>
      <c r="C55" s="25" t="s">
        <v>105</v>
      </c>
      <c r="D55" s="26">
        <v>0</v>
      </c>
      <c r="E55" s="26">
        <v>0</v>
      </c>
      <c r="F55" s="26">
        <v>0</v>
      </c>
      <c r="G55" s="26">
        <v>0</v>
      </c>
      <c r="H55" s="26">
        <f t="shared" si="0"/>
        <v>0</v>
      </c>
    </row>
    <row r="56" spans="2:8">
      <c r="B56" s="24" t="s">
        <v>106</v>
      </c>
      <c r="C56" s="25" t="s">
        <v>107</v>
      </c>
      <c r="D56" s="26">
        <v>339.82</v>
      </c>
      <c r="E56" s="26">
        <v>0</v>
      </c>
      <c r="F56" s="26">
        <v>358.16</v>
      </c>
      <c r="G56" s="26">
        <v>172.29</v>
      </c>
      <c r="H56" s="26">
        <f t="shared" si="0"/>
        <v>870.27</v>
      </c>
    </row>
    <row r="57" spans="2:8">
      <c r="B57" s="24" t="s">
        <v>108</v>
      </c>
      <c r="C57" s="25" t="s">
        <v>109</v>
      </c>
      <c r="D57" s="26">
        <v>0</v>
      </c>
      <c r="E57" s="26">
        <v>0</v>
      </c>
      <c r="F57" s="26">
        <v>0</v>
      </c>
      <c r="G57" s="26">
        <v>0</v>
      </c>
      <c r="H57" s="26">
        <f t="shared" si="0"/>
        <v>0</v>
      </c>
    </row>
    <row r="58" spans="2:8">
      <c r="B58" s="24" t="s">
        <v>110</v>
      </c>
      <c r="C58" s="25" t="s">
        <v>111</v>
      </c>
      <c r="D58" s="26">
        <v>2627.91</v>
      </c>
      <c r="E58" s="26">
        <v>4255.07</v>
      </c>
      <c r="F58" s="26">
        <v>4688.76</v>
      </c>
      <c r="G58" s="26">
        <v>2361.23</v>
      </c>
      <c r="H58" s="26">
        <f t="shared" si="0"/>
        <v>13932.97</v>
      </c>
    </row>
    <row r="59" spans="2:8">
      <c r="B59" s="24" t="s">
        <v>112</v>
      </c>
      <c r="C59" s="25" t="s">
        <v>113</v>
      </c>
      <c r="D59" s="26">
        <v>0</v>
      </c>
      <c r="E59" s="26">
        <v>0</v>
      </c>
      <c r="F59" s="26">
        <v>0</v>
      </c>
      <c r="G59" s="26">
        <v>0</v>
      </c>
      <c r="H59" s="26">
        <f t="shared" si="0"/>
        <v>0</v>
      </c>
    </row>
    <row r="60" spans="2:8">
      <c r="B60" s="24" t="s">
        <v>114</v>
      </c>
      <c r="C60" s="25" t="s">
        <v>115</v>
      </c>
      <c r="D60" s="26">
        <v>0</v>
      </c>
      <c r="E60" s="26">
        <v>0</v>
      </c>
      <c r="F60" s="26">
        <v>0</v>
      </c>
      <c r="G60" s="26">
        <v>0</v>
      </c>
      <c r="H60" s="26">
        <f t="shared" si="0"/>
        <v>0</v>
      </c>
    </row>
    <row r="61" spans="2:8">
      <c r="B61" s="24" t="s">
        <v>116</v>
      </c>
      <c r="C61" s="25" t="s">
        <v>105</v>
      </c>
      <c r="D61" s="26">
        <v>2967.73</v>
      </c>
      <c r="E61" s="26">
        <v>4255.07</v>
      </c>
      <c r="F61" s="26">
        <v>5046.92</v>
      </c>
      <c r="G61" s="26">
        <v>2533.52</v>
      </c>
      <c r="H61" s="26">
        <f t="shared" si="0"/>
        <v>14803.24</v>
      </c>
    </row>
    <row r="62" spans="2:8">
      <c r="B62" s="24" t="s">
        <v>117</v>
      </c>
      <c r="C62" s="25" t="s">
        <v>118</v>
      </c>
      <c r="D62" s="26">
        <v>69.09</v>
      </c>
      <c r="E62" s="26">
        <v>0</v>
      </c>
      <c r="F62" s="26">
        <v>239.69</v>
      </c>
      <c r="G62" s="26">
        <v>0</v>
      </c>
      <c r="H62" s="26">
        <f t="shared" si="0"/>
        <v>308.77999999999997</v>
      </c>
    </row>
    <row r="63" spans="2:8">
      <c r="B63" s="24" t="s">
        <v>119</v>
      </c>
      <c r="C63" s="25" t="s">
        <v>120</v>
      </c>
      <c r="D63" s="26">
        <v>201.72</v>
      </c>
      <c r="E63" s="26">
        <v>3302.62</v>
      </c>
      <c r="F63" s="26">
        <v>705.47</v>
      </c>
      <c r="G63" s="26">
        <v>410.67</v>
      </c>
      <c r="H63" s="26">
        <f t="shared" si="0"/>
        <v>4620.4799999999996</v>
      </c>
    </row>
    <row r="64" spans="2:8">
      <c r="B64" s="24" t="s">
        <v>121</v>
      </c>
      <c r="C64" s="25" t="s">
        <v>122</v>
      </c>
      <c r="D64" s="26">
        <v>1807.73</v>
      </c>
      <c r="E64" s="26">
        <v>5875.08</v>
      </c>
      <c r="F64" s="26">
        <v>5777.94</v>
      </c>
      <c r="G64" s="26">
        <v>3861.83</v>
      </c>
      <c r="H64" s="26">
        <f t="shared" si="0"/>
        <v>17322.580000000002</v>
      </c>
    </row>
    <row r="65" spans="2:8">
      <c r="B65" s="24" t="s">
        <v>123</v>
      </c>
      <c r="C65" s="25" t="s">
        <v>124</v>
      </c>
      <c r="D65" s="26">
        <v>49.42</v>
      </c>
      <c r="E65" s="26">
        <v>23.83</v>
      </c>
      <c r="F65" s="26">
        <v>27.58</v>
      </c>
      <c r="G65" s="26">
        <v>0</v>
      </c>
      <c r="H65" s="26">
        <f t="shared" si="0"/>
        <v>100.83</v>
      </c>
    </row>
    <row r="66" spans="2:8">
      <c r="B66" s="24"/>
      <c r="C66" s="25" t="s">
        <v>125</v>
      </c>
      <c r="D66" s="26">
        <v>0</v>
      </c>
      <c r="E66" s="26">
        <v>0</v>
      </c>
      <c r="F66" s="26">
        <v>0</v>
      </c>
      <c r="G66" s="26">
        <v>0</v>
      </c>
      <c r="H66" s="26">
        <f t="shared" si="0"/>
        <v>0</v>
      </c>
    </row>
    <row r="67" spans="2:8">
      <c r="B67" s="24" t="s">
        <v>126</v>
      </c>
      <c r="C67" s="25" t="s">
        <v>127</v>
      </c>
      <c r="D67" s="26">
        <v>0</v>
      </c>
      <c r="E67" s="26">
        <v>0</v>
      </c>
      <c r="F67" s="26">
        <v>0</v>
      </c>
      <c r="G67" s="26">
        <v>0</v>
      </c>
      <c r="H67" s="26">
        <f t="shared" si="0"/>
        <v>0</v>
      </c>
    </row>
    <row r="68" spans="2:8">
      <c r="B68" s="24" t="s">
        <v>128</v>
      </c>
      <c r="C68" s="25" t="s">
        <v>129</v>
      </c>
      <c r="D68" s="26">
        <v>0</v>
      </c>
      <c r="E68" s="26">
        <v>0</v>
      </c>
      <c r="F68" s="26">
        <v>0</v>
      </c>
      <c r="G68" s="26">
        <v>0</v>
      </c>
      <c r="H68" s="26">
        <f t="shared" si="0"/>
        <v>0</v>
      </c>
    </row>
    <row r="69" spans="2:8">
      <c r="B69" s="24"/>
      <c r="C69" s="25" t="s">
        <v>130</v>
      </c>
      <c r="D69" s="26">
        <v>4210.99</v>
      </c>
      <c r="E69" s="26">
        <v>3440.31</v>
      </c>
      <c r="F69" s="26">
        <v>12978.37</v>
      </c>
      <c r="G69" s="26">
        <v>0</v>
      </c>
      <c r="H69" s="26">
        <f t="shared" si="0"/>
        <v>20629.669999999998</v>
      </c>
    </row>
    <row r="70" spans="2:8">
      <c r="B70" s="24" t="s">
        <v>131</v>
      </c>
      <c r="C70" s="25" t="s">
        <v>125</v>
      </c>
      <c r="D70" s="26">
        <v>4210.99</v>
      </c>
      <c r="E70" s="26">
        <v>3440.31</v>
      </c>
      <c r="F70" s="26">
        <v>12978.37</v>
      </c>
      <c r="G70" s="26">
        <v>0</v>
      </c>
      <c r="H70" s="26">
        <f t="shared" si="0"/>
        <v>20629.669999999998</v>
      </c>
    </row>
    <row r="71" spans="2:8">
      <c r="B71" s="24" t="s">
        <v>132</v>
      </c>
      <c r="C71" s="25" t="s">
        <v>133</v>
      </c>
      <c r="D71" s="26">
        <v>906.16</v>
      </c>
      <c r="E71" s="26">
        <v>19657.240000000002</v>
      </c>
      <c r="F71" s="26">
        <v>3178.9</v>
      </c>
      <c r="G71" s="26">
        <v>0</v>
      </c>
      <c r="H71" s="26">
        <f t="shared" si="0"/>
        <v>23742.300000000003</v>
      </c>
    </row>
    <row r="72" spans="2:8">
      <c r="B72" s="24"/>
      <c r="C72" s="25" t="s">
        <v>134</v>
      </c>
      <c r="D72" s="26">
        <v>0</v>
      </c>
      <c r="E72" s="26">
        <v>0</v>
      </c>
      <c r="F72" s="26">
        <v>0</v>
      </c>
      <c r="G72" s="26">
        <v>0</v>
      </c>
      <c r="H72" s="26">
        <f t="shared" ref="H72:H135" si="1">SUM(D72:G72)</f>
        <v>0</v>
      </c>
    </row>
    <row r="73" spans="2:8">
      <c r="B73" s="24" t="s">
        <v>135</v>
      </c>
      <c r="C73" s="25" t="s">
        <v>136</v>
      </c>
      <c r="D73" s="26">
        <v>1735.54</v>
      </c>
      <c r="E73" s="26">
        <v>2284.9</v>
      </c>
      <c r="F73" s="26">
        <v>86.09</v>
      </c>
      <c r="G73" s="26">
        <v>214.5</v>
      </c>
      <c r="H73" s="26">
        <f t="shared" si="1"/>
        <v>4321.03</v>
      </c>
    </row>
    <row r="74" spans="2:8">
      <c r="B74" s="24" t="s">
        <v>137</v>
      </c>
      <c r="C74" s="25" t="s">
        <v>138</v>
      </c>
      <c r="D74" s="26">
        <v>98.2</v>
      </c>
      <c r="E74" s="26">
        <v>2088.75</v>
      </c>
      <c r="F74" s="26">
        <v>138.09</v>
      </c>
      <c r="G74" s="26">
        <v>239.35</v>
      </c>
      <c r="H74" s="26">
        <f t="shared" si="1"/>
        <v>2564.39</v>
      </c>
    </row>
    <row r="75" spans="2:8">
      <c r="B75" s="24" t="s">
        <v>139</v>
      </c>
      <c r="C75" s="25" t="s">
        <v>140</v>
      </c>
      <c r="D75" s="26">
        <v>0</v>
      </c>
      <c r="E75" s="26">
        <v>0</v>
      </c>
      <c r="F75" s="26">
        <v>0</v>
      </c>
      <c r="G75" s="26">
        <v>0</v>
      </c>
      <c r="H75" s="26">
        <f t="shared" si="1"/>
        <v>0</v>
      </c>
    </row>
    <row r="76" spans="2:8">
      <c r="B76" s="24" t="s">
        <v>141</v>
      </c>
      <c r="C76" s="25" t="s">
        <v>142</v>
      </c>
      <c r="D76" s="26">
        <v>0</v>
      </c>
      <c r="E76" s="26">
        <v>0</v>
      </c>
      <c r="F76" s="26">
        <v>0</v>
      </c>
      <c r="G76" s="26">
        <v>0</v>
      </c>
      <c r="H76" s="26">
        <f t="shared" si="1"/>
        <v>0</v>
      </c>
    </row>
    <row r="77" spans="2:8">
      <c r="B77" s="24" t="s">
        <v>143</v>
      </c>
      <c r="C77" s="25" t="s">
        <v>144</v>
      </c>
      <c r="D77" s="26">
        <v>0</v>
      </c>
      <c r="E77" s="26">
        <v>0</v>
      </c>
      <c r="F77" s="26">
        <v>0</v>
      </c>
      <c r="G77" s="26">
        <v>0</v>
      </c>
      <c r="H77" s="26">
        <f t="shared" si="1"/>
        <v>0</v>
      </c>
    </row>
    <row r="78" spans="2:8">
      <c r="B78" s="24"/>
      <c r="C78" s="25" t="s">
        <v>145</v>
      </c>
      <c r="D78" s="26">
        <v>0</v>
      </c>
      <c r="E78" s="26">
        <v>0</v>
      </c>
      <c r="F78" s="26">
        <v>0</v>
      </c>
      <c r="G78" s="26">
        <v>0</v>
      </c>
      <c r="H78" s="26">
        <f t="shared" si="1"/>
        <v>0</v>
      </c>
    </row>
    <row r="79" spans="2:8">
      <c r="B79" s="24"/>
      <c r="C79" s="25" t="s">
        <v>146</v>
      </c>
      <c r="D79" s="26">
        <v>0</v>
      </c>
      <c r="E79" s="26">
        <v>1020.31</v>
      </c>
      <c r="F79" s="26">
        <v>0</v>
      </c>
      <c r="G79" s="26">
        <v>0</v>
      </c>
      <c r="H79" s="26">
        <f t="shared" si="1"/>
        <v>1020.31</v>
      </c>
    </row>
    <row r="80" spans="2:8">
      <c r="B80" s="24" t="s">
        <v>147</v>
      </c>
      <c r="C80" s="25" t="s">
        <v>134</v>
      </c>
      <c r="D80" s="26">
        <v>1833.74</v>
      </c>
      <c r="E80" s="26">
        <v>5393.9599999999991</v>
      </c>
      <c r="F80" s="26">
        <v>224.18</v>
      </c>
      <c r="G80" s="26">
        <v>453.85</v>
      </c>
      <c r="H80" s="26">
        <f t="shared" si="1"/>
        <v>7905.73</v>
      </c>
    </row>
    <row r="81" spans="2:8">
      <c r="B81" s="24"/>
      <c r="C81" s="25" t="s">
        <v>148</v>
      </c>
      <c r="D81" s="26">
        <v>0</v>
      </c>
      <c r="E81" s="26">
        <v>0</v>
      </c>
      <c r="F81" s="26">
        <v>0</v>
      </c>
      <c r="G81" s="26">
        <v>0</v>
      </c>
      <c r="H81" s="26">
        <f t="shared" si="1"/>
        <v>0</v>
      </c>
    </row>
    <row r="82" spans="2:8">
      <c r="B82" s="24"/>
      <c r="C82" s="25" t="s">
        <v>149</v>
      </c>
      <c r="D82" s="26">
        <v>0</v>
      </c>
      <c r="E82" s="26">
        <v>0</v>
      </c>
      <c r="F82" s="26">
        <v>0</v>
      </c>
      <c r="G82" s="26">
        <v>0</v>
      </c>
      <c r="H82" s="26">
        <f t="shared" si="1"/>
        <v>0</v>
      </c>
    </row>
    <row r="83" spans="2:8">
      <c r="B83" s="24" t="s">
        <v>150</v>
      </c>
      <c r="C83" s="25" t="s">
        <v>151</v>
      </c>
      <c r="D83" s="26">
        <v>0</v>
      </c>
      <c r="E83" s="26">
        <v>0</v>
      </c>
      <c r="F83" s="26">
        <v>0</v>
      </c>
      <c r="G83" s="26">
        <v>0</v>
      </c>
      <c r="H83" s="26">
        <f t="shared" si="1"/>
        <v>0</v>
      </c>
    </row>
    <row r="84" spans="2:8">
      <c r="B84" s="24" t="s">
        <v>152</v>
      </c>
      <c r="C84" s="25" t="s">
        <v>153</v>
      </c>
      <c r="D84" s="26">
        <v>0</v>
      </c>
      <c r="E84" s="26">
        <v>0</v>
      </c>
      <c r="F84" s="26">
        <v>0</v>
      </c>
      <c r="G84" s="26">
        <v>0</v>
      </c>
      <c r="H84" s="26">
        <f t="shared" si="1"/>
        <v>0</v>
      </c>
    </row>
    <row r="85" spans="2:8">
      <c r="B85" s="24" t="s">
        <v>154</v>
      </c>
      <c r="C85" s="25" t="s">
        <v>155</v>
      </c>
      <c r="D85" s="26">
        <v>0</v>
      </c>
      <c r="E85" s="26">
        <v>0</v>
      </c>
      <c r="F85" s="26">
        <v>0</v>
      </c>
      <c r="G85" s="26">
        <v>0</v>
      </c>
      <c r="H85" s="26">
        <f t="shared" si="1"/>
        <v>0</v>
      </c>
    </row>
    <row r="86" spans="2:8">
      <c r="B86" s="24" t="s">
        <v>156</v>
      </c>
      <c r="C86" s="25" t="s">
        <v>157</v>
      </c>
      <c r="D86" s="26">
        <v>0</v>
      </c>
      <c r="E86" s="26">
        <v>0</v>
      </c>
      <c r="F86" s="26">
        <v>0</v>
      </c>
      <c r="G86" s="26">
        <v>0</v>
      </c>
      <c r="H86" s="26">
        <f t="shared" si="1"/>
        <v>0</v>
      </c>
    </row>
    <row r="87" spans="2:8">
      <c r="B87" s="24" t="s">
        <v>158</v>
      </c>
      <c r="C87" s="25" t="s">
        <v>159</v>
      </c>
      <c r="D87" s="26">
        <v>0</v>
      </c>
      <c r="E87" s="26">
        <v>0</v>
      </c>
      <c r="F87" s="26">
        <v>0</v>
      </c>
      <c r="G87" s="26">
        <v>0</v>
      </c>
      <c r="H87" s="26">
        <f t="shared" si="1"/>
        <v>0</v>
      </c>
    </row>
    <row r="88" spans="2:8">
      <c r="B88" s="24" t="s">
        <v>160</v>
      </c>
      <c r="C88" s="25" t="s">
        <v>161</v>
      </c>
      <c r="D88" s="26">
        <v>0</v>
      </c>
      <c r="E88" s="26">
        <v>0</v>
      </c>
      <c r="F88" s="26">
        <v>0</v>
      </c>
      <c r="G88" s="26">
        <v>0</v>
      </c>
      <c r="H88" s="26">
        <f t="shared" si="1"/>
        <v>0</v>
      </c>
    </row>
    <row r="89" spans="2:8">
      <c r="B89" s="24" t="s">
        <v>162</v>
      </c>
      <c r="C89" s="25" t="s">
        <v>148</v>
      </c>
      <c r="D89" s="26">
        <v>0</v>
      </c>
      <c r="E89" s="26">
        <v>0</v>
      </c>
      <c r="F89" s="26">
        <v>0</v>
      </c>
      <c r="G89" s="26">
        <v>0</v>
      </c>
      <c r="H89" s="26">
        <f t="shared" si="1"/>
        <v>0</v>
      </c>
    </row>
    <row r="90" spans="2:8">
      <c r="B90" s="24" t="s">
        <v>163</v>
      </c>
      <c r="C90" s="25" t="s">
        <v>164</v>
      </c>
      <c r="D90" s="26">
        <v>0</v>
      </c>
      <c r="E90" s="26">
        <v>0</v>
      </c>
      <c r="F90" s="26">
        <v>0</v>
      </c>
      <c r="G90" s="26">
        <v>0</v>
      </c>
      <c r="H90" s="26">
        <f t="shared" si="1"/>
        <v>0</v>
      </c>
    </row>
    <row r="91" spans="2:8">
      <c r="B91" s="24" t="s">
        <v>165</v>
      </c>
      <c r="C91" s="25" t="s">
        <v>166</v>
      </c>
      <c r="D91" s="26">
        <v>0</v>
      </c>
      <c r="E91" s="26">
        <v>0</v>
      </c>
      <c r="F91" s="26">
        <v>0</v>
      </c>
      <c r="G91" s="26">
        <v>0</v>
      </c>
      <c r="H91" s="26">
        <f t="shared" si="1"/>
        <v>0</v>
      </c>
    </row>
    <row r="92" spans="2:8">
      <c r="B92" s="24" t="s">
        <v>167</v>
      </c>
      <c r="C92" s="25" t="s">
        <v>168</v>
      </c>
      <c r="D92" s="26">
        <v>2756.01</v>
      </c>
      <c r="E92" s="26">
        <v>3398.59</v>
      </c>
      <c r="F92" s="26">
        <v>1982.2</v>
      </c>
      <c r="G92" s="26">
        <v>1095.55</v>
      </c>
      <c r="H92" s="26">
        <f t="shared" si="1"/>
        <v>9232.35</v>
      </c>
    </row>
    <row r="93" spans="2:8">
      <c r="B93" s="24" t="s">
        <v>169</v>
      </c>
      <c r="C93" s="25" t="s">
        <v>170</v>
      </c>
      <c r="D93" s="26">
        <v>443.53</v>
      </c>
      <c r="E93" s="26">
        <v>4968.26</v>
      </c>
      <c r="F93" s="26">
        <v>9468.86</v>
      </c>
      <c r="G93" s="26">
        <v>3987.88</v>
      </c>
      <c r="H93" s="26">
        <f t="shared" si="1"/>
        <v>18868.530000000002</v>
      </c>
    </row>
    <row r="94" spans="2:8">
      <c r="B94" s="24" t="s">
        <v>171</v>
      </c>
      <c r="C94" s="25" t="s">
        <v>172</v>
      </c>
      <c r="D94" s="26">
        <v>0</v>
      </c>
      <c r="E94" s="26">
        <v>0</v>
      </c>
      <c r="F94" s="26">
        <v>0</v>
      </c>
      <c r="G94" s="26">
        <v>0</v>
      </c>
      <c r="H94" s="26">
        <f t="shared" si="1"/>
        <v>0</v>
      </c>
    </row>
    <row r="95" spans="2:8">
      <c r="B95" s="24" t="s">
        <v>173</v>
      </c>
      <c r="C95" s="25" t="s">
        <v>174</v>
      </c>
      <c r="D95" s="26">
        <v>0</v>
      </c>
      <c r="E95" s="26">
        <v>0</v>
      </c>
      <c r="F95" s="26">
        <v>0</v>
      </c>
      <c r="G95" s="26">
        <v>0</v>
      </c>
      <c r="H95" s="26">
        <f t="shared" si="1"/>
        <v>0</v>
      </c>
    </row>
    <row r="96" spans="2:8">
      <c r="B96" s="24" t="s">
        <v>175</v>
      </c>
      <c r="C96" s="25" t="s">
        <v>176</v>
      </c>
      <c r="D96" s="26">
        <v>0</v>
      </c>
      <c r="E96" s="26">
        <v>465</v>
      </c>
      <c r="F96" s="26">
        <v>0</v>
      </c>
      <c r="G96" s="26">
        <v>0</v>
      </c>
      <c r="H96" s="26">
        <f t="shared" si="1"/>
        <v>465</v>
      </c>
    </row>
    <row r="97" spans="2:8">
      <c r="B97" s="24" t="s">
        <v>177</v>
      </c>
      <c r="C97" s="25" t="s">
        <v>178</v>
      </c>
      <c r="D97" s="26">
        <v>0</v>
      </c>
      <c r="E97" s="26">
        <v>0</v>
      </c>
      <c r="F97" s="26">
        <v>0.31</v>
      </c>
      <c r="G97" s="26">
        <v>0</v>
      </c>
      <c r="H97" s="26">
        <f t="shared" si="1"/>
        <v>0.31</v>
      </c>
    </row>
    <row r="98" spans="2:8">
      <c r="B98" s="24" t="s">
        <v>179</v>
      </c>
      <c r="C98" s="25" t="s">
        <v>180</v>
      </c>
      <c r="D98" s="26">
        <v>0</v>
      </c>
      <c r="E98" s="26">
        <v>0</v>
      </c>
      <c r="F98" s="26">
        <v>0</v>
      </c>
      <c r="G98" s="26">
        <v>0</v>
      </c>
      <c r="H98" s="26">
        <f t="shared" si="1"/>
        <v>0</v>
      </c>
    </row>
    <row r="99" spans="2:8">
      <c r="B99" s="24" t="s">
        <v>181</v>
      </c>
      <c r="C99" s="25" t="s">
        <v>182</v>
      </c>
      <c r="D99" s="26">
        <v>0</v>
      </c>
      <c r="E99" s="26">
        <v>0</v>
      </c>
      <c r="F99" s="26">
        <v>0</v>
      </c>
      <c r="G99" s="26">
        <v>0</v>
      </c>
      <c r="H99" s="26">
        <f t="shared" si="1"/>
        <v>0</v>
      </c>
    </row>
    <row r="100" spans="2:8">
      <c r="B100" s="24">
        <v>631180</v>
      </c>
      <c r="C100" s="25" t="s">
        <v>183</v>
      </c>
      <c r="D100" s="26">
        <v>0</v>
      </c>
      <c r="E100" s="26">
        <v>477.74</v>
      </c>
      <c r="F100" s="26">
        <v>1030.8499999999999</v>
      </c>
      <c r="G100" s="26">
        <v>737.26</v>
      </c>
      <c r="H100" s="26">
        <f t="shared" si="1"/>
        <v>2245.85</v>
      </c>
    </row>
    <row r="101" spans="2:8">
      <c r="B101" s="24" t="s">
        <v>167</v>
      </c>
      <c r="C101" s="25" t="s">
        <v>168</v>
      </c>
      <c r="D101" s="26">
        <v>3199.54</v>
      </c>
      <c r="E101" s="26">
        <v>9309.59</v>
      </c>
      <c r="F101" s="26">
        <v>12482.220000000001</v>
      </c>
      <c r="G101" s="26">
        <v>5820.6900000000005</v>
      </c>
      <c r="H101" s="26">
        <f t="shared" si="1"/>
        <v>30812.04</v>
      </c>
    </row>
    <row r="102" spans="2:8">
      <c r="B102" s="24"/>
      <c r="C102" s="25" t="s">
        <v>184</v>
      </c>
      <c r="D102" s="26">
        <v>0</v>
      </c>
      <c r="E102" s="26">
        <v>0</v>
      </c>
      <c r="F102" s="26">
        <v>0</v>
      </c>
      <c r="G102" s="26">
        <v>0</v>
      </c>
      <c r="H102" s="26">
        <f t="shared" si="1"/>
        <v>0</v>
      </c>
    </row>
    <row r="103" spans="2:8">
      <c r="B103" s="24" t="s">
        <v>185</v>
      </c>
      <c r="C103" s="25" t="s">
        <v>186</v>
      </c>
      <c r="D103" s="26">
        <v>0</v>
      </c>
      <c r="E103" s="26">
        <v>0</v>
      </c>
      <c r="F103" s="26">
        <v>0</v>
      </c>
      <c r="G103" s="26">
        <v>0</v>
      </c>
      <c r="H103" s="26">
        <f t="shared" si="1"/>
        <v>0</v>
      </c>
    </row>
    <row r="104" spans="2:8">
      <c r="B104" s="24" t="s">
        <v>187</v>
      </c>
      <c r="C104" s="25" t="s">
        <v>188</v>
      </c>
      <c r="D104" s="26">
        <v>0</v>
      </c>
      <c r="E104" s="26">
        <v>0</v>
      </c>
      <c r="F104" s="26">
        <v>0</v>
      </c>
      <c r="G104" s="26">
        <v>0</v>
      </c>
      <c r="H104" s="26">
        <f t="shared" si="1"/>
        <v>0</v>
      </c>
    </row>
    <row r="105" spans="2:8">
      <c r="B105" s="24" t="s">
        <v>189</v>
      </c>
      <c r="C105" s="25" t="s">
        <v>190</v>
      </c>
      <c r="D105" s="26">
        <v>0</v>
      </c>
      <c r="E105" s="26">
        <v>0</v>
      </c>
      <c r="F105" s="26">
        <v>0</v>
      </c>
      <c r="G105" s="26">
        <v>0</v>
      </c>
      <c r="H105" s="26">
        <f t="shared" si="1"/>
        <v>0</v>
      </c>
    </row>
    <row r="106" spans="2:8">
      <c r="B106" s="24" t="s">
        <v>191</v>
      </c>
      <c r="C106" s="25" t="s">
        <v>184</v>
      </c>
      <c r="D106" s="26">
        <v>0</v>
      </c>
      <c r="E106" s="26">
        <v>0</v>
      </c>
      <c r="F106" s="26">
        <v>0</v>
      </c>
      <c r="G106" s="26">
        <v>0</v>
      </c>
      <c r="H106" s="26">
        <f t="shared" si="1"/>
        <v>0</v>
      </c>
    </row>
    <row r="107" spans="2:8">
      <c r="B107" s="24"/>
      <c r="C107" s="25" t="s">
        <v>192</v>
      </c>
      <c r="D107" s="26">
        <v>0</v>
      </c>
      <c r="E107" s="26">
        <v>0</v>
      </c>
      <c r="F107" s="26">
        <v>0</v>
      </c>
      <c r="G107" s="26">
        <v>0</v>
      </c>
      <c r="H107" s="26">
        <f t="shared" si="1"/>
        <v>0</v>
      </c>
    </row>
    <row r="108" spans="2:8">
      <c r="B108" s="24"/>
      <c r="C108" s="25" t="s">
        <v>193</v>
      </c>
      <c r="D108" s="26">
        <v>0</v>
      </c>
      <c r="E108" s="26">
        <v>0</v>
      </c>
      <c r="F108" s="26">
        <v>0</v>
      </c>
      <c r="G108" s="26">
        <v>0</v>
      </c>
      <c r="H108" s="26">
        <f t="shared" si="1"/>
        <v>0</v>
      </c>
    </row>
    <row r="109" spans="2:8">
      <c r="B109" s="24"/>
      <c r="C109" s="25" t="s">
        <v>194</v>
      </c>
      <c r="D109" s="26">
        <v>0</v>
      </c>
      <c r="E109" s="26">
        <v>0</v>
      </c>
      <c r="F109" s="26">
        <v>0</v>
      </c>
      <c r="G109" s="26">
        <v>0</v>
      </c>
      <c r="H109" s="26">
        <f t="shared" si="1"/>
        <v>0</v>
      </c>
    </row>
    <row r="110" spans="2:8">
      <c r="B110" s="24"/>
      <c r="C110" s="25" t="s">
        <v>195</v>
      </c>
      <c r="D110" s="26">
        <v>0</v>
      </c>
      <c r="E110" s="26">
        <v>0</v>
      </c>
      <c r="F110" s="26">
        <v>0</v>
      </c>
      <c r="G110" s="26">
        <v>0</v>
      </c>
      <c r="H110" s="26">
        <f t="shared" si="1"/>
        <v>0</v>
      </c>
    </row>
    <row r="111" spans="2:8">
      <c r="B111" s="24" t="s">
        <v>196</v>
      </c>
      <c r="C111" s="25" t="s">
        <v>104</v>
      </c>
      <c r="D111" s="26">
        <v>15246.119999999999</v>
      </c>
      <c r="E111" s="26">
        <v>51257.700000000004</v>
      </c>
      <c r="F111" s="26">
        <v>40661.270000000004</v>
      </c>
      <c r="G111" s="26">
        <v>13080.560000000001</v>
      </c>
      <c r="H111" s="26">
        <f t="shared" si="1"/>
        <v>120245.65000000001</v>
      </c>
    </row>
    <row r="112" spans="2:8">
      <c r="B112" s="24" t="s">
        <v>197</v>
      </c>
      <c r="C112" s="25" t="s">
        <v>198</v>
      </c>
      <c r="D112" s="26">
        <v>27061.200000000001</v>
      </c>
      <c r="E112" s="26">
        <v>231.56</v>
      </c>
      <c r="F112" s="26">
        <v>681379.2</v>
      </c>
      <c r="G112" s="26">
        <v>0</v>
      </c>
      <c r="H112" s="26">
        <f t="shared" si="1"/>
        <v>708671.96</v>
      </c>
    </row>
    <row r="113" spans="2:8">
      <c r="B113" s="24"/>
      <c r="C113" s="25" t="s">
        <v>199</v>
      </c>
      <c r="D113" s="26">
        <v>0</v>
      </c>
      <c r="E113" s="26">
        <v>0</v>
      </c>
      <c r="F113" s="26">
        <v>0</v>
      </c>
      <c r="G113" s="26">
        <v>0</v>
      </c>
      <c r="H113" s="26">
        <f t="shared" si="1"/>
        <v>0</v>
      </c>
    </row>
    <row r="114" spans="2:8">
      <c r="B114" s="24"/>
      <c r="C114" s="25" t="s">
        <v>200</v>
      </c>
      <c r="D114" s="26">
        <v>0</v>
      </c>
      <c r="E114" s="26">
        <v>0</v>
      </c>
      <c r="F114" s="26">
        <v>0</v>
      </c>
      <c r="G114" s="26">
        <v>0</v>
      </c>
      <c r="H114" s="26">
        <f t="shared" si="1"/>
        <v>0</v>
      </c>
    </row>
    <row r="115" spans="2:8">
      <c r="B115" s="24" t="s">
        <v>201</v>
      </c>
      <c r="C115" s="25" t="s">
        <v>202</v>
      </c>
      <c r="D115" s="26">
        <v>0</v>
      </c>
      <c r="E115" s="26">
        <v>0</v>
      </c>
      <c r="F115" s="26">
        <v>0</v>
      </c>
      <c r="G115" s="26">
        <v>0</v>
      </c>
      <c r="H115" s="26">
        <f t="shared" si="1"/>
        <v>0</v>
      </c>
    </row>
    <row r="116" spans="2:8">
      <c r="B116" s="24" t="s">
        <v>203</v>
      </c>
      <c r="C116" s="25" t="s">
        <v>204</v>
      </c>
      <c r="D116" s="26">
        <v>25.54</v>
      </c>
      <c r="E116" s="26">
        <v>32.06</v>
      </c>
      <c r="F116" s="26">
        <v>0</v>
      </c>
      <c r="G116" s="26">
        <v>0</v>
      </c>
      <c r="H116" s="26">
        <f t="shared" si="1"/>
        <v>57.6</v>
      </c>
    </row>
    <row r="117" spans="2:8">
      <c r="B117" s="24" t="s">
        <v>205</v>
      </c>
      <c r="C117" s="25" t="s">
        <v>200</v>
      </c>
      <c r="D117" s="26">
        <v>25.54</v>
      </c>
      <c r="E117" s="26">
        <v>32.06</v>
      </c>
      <c r="F117" s="26">
        <v>0</v>
      </c>
      <c r="G117" s="26">
        <v>0</v>
      </c>
      <c r="H117" s="26">
        <f t="shared" si="1"/>
        <v>57.6</v>
      </c>
    </row>
    <row r="118" spans="2:8">
      <c r="B118" s="24"/>
      <c r="C118" s="25" t="s">
        <v>206</v>
      </c>
      <c r="D118" s="26">
        <v>0</v>
      </c>
      <c r="E118" s="26">
        <v>0</v>
      </c>
      <c r="F118" s="26">
        <v>0</v>
      </c>
      <c r="G118" s="26">
        <v>0</v>
      </c>
      <c r="H118" s="26">
        <f t="shared" si="1"/>
        <v>0</v>
      </c>
    </row>
    <row r="119" spans="2:8">
      <c r="B119" s="24" t="s">
        <v>207</v>
      </c>
      <c r="C119" s="25" t="s">
        <v>208</v>
      </c>
      <c r="D119" s="26">
        <v>503.25</v>
      </c>
      <c r="E119" s="26">
        <v>155.58000000000001</v>
      </c>
      <c r="F119" s="26">
        <v>1339.33</v>
      </c>
      <c r="G119" s="26">
        <v>0</v>
      </c>
      <c r="H119" s="26">
        <f t="shared" si="1"/>
        <v>1998.1599999999999</v>
      </c>
    </row>
    <row r="120" spans="2:8">
      <c r="B120" s="24" t="s">
        <v>209</v>
      </c>
      <c r="C120" s="25" t="s">
        <v>210</v>
      </c>
      <c r="D120" s="26">
        <v>0</v>
      </c>
      <c r="E120" s="26">
        <v>0</v>
      </c>
      <c r="F120" s="26">
        <v>0</v>
      </c>
      <c r="G120" s="26">
        <v>0</v>
      </c>
      <c r="H120" s="26">
        <f t="shared" si="1"/>
        <v>0</v>
      </c>
    </row>
    <row r="121" spans="2:8">
      <c r="B121" s="24"/>
      <c r="C121" s="25" t="s">
        <v>211</v>
      </c>
      <c r="D121" s="26">
        <v>0</v>
      </c>
      <c r="E121" s="26">
        <v>0</v>
      </c>
      <c r="F121" s="26">
        <v>0</v>
      </c>
      <c r="G121" s="26">
        <v>0</v>
      </c>
      <c r="H121" s="26">
        <f t="shared" si="1"/>
        <v>0</v>
      </c>
    </row>
    <row r="122" spans="2:8">
      <c r="B122" s="24" t="s">
        <v>212</v>
      </c>
      <c r="C122" s="25" t="s">
        <v>213</v>
      </c>
      <c r="D122" s="26">
        <v>0</v>
      </c>
      <c r="E122" s="26">
        <v>0</v>
      </c>
      <c r="F122" s="26">
        <v>0</v>
      </c>
      <c r="G122" s="26">
        <v>0</v>
      </c>
      <c r="H122" s="26">
        <f t="shared" si="1"/>
        <v>0</v>
      </c>
    </row>
    <row r="123" spans="2:8">
      <c r="B123" s="24" t="s">
        <v>214</v>
      </c>
      <c r="C123" s="25" t="s">
        <v>215</v>
      </c>
      <c r="D123" s="26">
        <v>0</v>
      </c>
      <c r="E123" s="26">
        <v>0</v>
      </c>
      <c r="F123" s="26">
        <v>0</v>
      </c>
      <c r="G123" s="26">
        <v>0</v>
      </c>
      <c r="H123" s="26">
        <f t="shared" si="1"/>
        <v>0</v>
      </c>
    </row>
    <row r="124" spans="2:8">
      <c r="B124" s="24" t="s">
        <v>216</v>
      </c>
      <c r="C124" s="25" t="s">
        <v>217</v>
      </c>
      <c r="D124" s="26">
        <v>0</v>
      </c>
      <c r="E124" s="26">
        <v>0</v>
      </c>
      <c r="F124" s="26">
        <v>0</v>
      </c>
      <c r="G124" s="26">
        <v>0</v>
      </c>
      <c r="H124" s="26">
        <f t="shared" si="1"/>
        <v>0</v>
      </c>
    </row>
    <row r="125" spans="2:8">
      <c r="B125" s="24" t="s">
        <v>218</v>
      </c>
      <c r="C125" s="25" t="s">
        <v>219</v>
      </c>
      <c r="D125" s="26">
        <v>0</v>
      </c>
      <c r="E125" s="26">
        <v>0</v>
      </c>
      <c r="F125" s="26">
        <v>0</v>
      </c>
      <c r="G125" s="26">
        <v>0</v>
      </c>
      <c r="H125" s="26">
        <f t="shared" si="1"/>
        <v>0</v>
      </c>
    </row>
    <row r="126" spans="2:8">
      <c r="B126" s="24" t="s">
        <v>220</v>
      </c>
      <c r="C126" s="25" t="s">
        <v>221</v>
      </c>
      <c r="D126" s="26">
        <v>0</v>
      </c>
      <c r="E126" s="26">
        <v>0</v>
      </c>
      <c r="F126" s="26">
        <v>0</v>
      </c>
      <c r="G126" s="26">
        <v>0</v>
      </c>
      <c r="H126" s="26">
        <f t="shared" si="1"/>
        <v>0</v>
      </c>
    </row>
    <row r="127" spans="2:8">
      <c r="B127" s="24" t="s">
        <v>222</v>
      </c>
      <c r="C127" s="25" t="s">
        <v>223</v>
      </c>
      <c r="D127" s="26">
        <v>0</v>
      </c>
      <c r="E127" s="26">
        <v>0</v>
      </c>
      <c r="F127" s="26">
        <v>0</v>
      </c>
      <c r="G127" s="26">
        <v>0</v>
      </c>
      <c r="H127" s="26">
        <f t="shared" si="1"/>
        <v>0</v>
      </c>
    </row>
    <row r="128" spans="2:8">
      <c r="B128" s="24" t="s">
        <v>224</v>
      </c>
      <c r="C128" s="25" t="s">
        <v>211</v>
      </c>
      <c r="D128" s="26">
        <v>0</v>
      </c>
      <c r="E128" s="26">
        <v>0</v>
      </c>
      <c r="F128" s="26">
        <v>0</v>
      </c>
      <c r="G128" s="26">
        <v>0</v>
      </c>
      <c r="H128" s="26">
        <f t="shared" si="1"/>
        <v>0</v>
      </c>
    </row>
    <row r="129" spans="2:8">
      <c r="B129" s="24" t="s">
        <v>225</v>
      </c>
      <c r="C129" s="25" t="s">
        <v>226</v>
      </c>
      <c r="D129" s="26">
        <v>7567.35</v>
      </c>
      <c r="E129" s="26">
        <v>0</v>
      </c>
      <c r="F129" s="26">
        <v>6835.43</v>
      </c>
      <c r="G129" s="26">
        <v>0</v>
      </c>
      <c r="H129" s="26">
        <f t="shared" si="1"/>
        <v>14402.78</v>
      </c>
    </row>
    <row r="130" spans="2:8">
      <c r="B130" s="24" t="s">
        <v>227</v>
      </c>
      <c r="C130" s="25" t="s">
        <v>228</v>
      </c>
      <c r="D130" s="26">
        <v>0</v>
      </c>
      <c r="E130" s="26">
        <v>0</v>
      </c>
      <c r="F130" s="26">
        <v>0</v>
      </c>
      <c r="G130" s="26">
        <v>0</v>
      </c>
      <c r="H130" s="26">
        <f t="shared" si="1"/>
        <v>0</v>
      </c>
    </row>
    <row r="131" spans="2:8">
      <c r="B131" s="24" t="s">
        <v>229</v>
      </c>
      <c r="C131" s="25" t="s">
        <v>230</v>
      </c>
      <c r="D131" s="26">
        <v>0</v>
      </c>
      <c r="E131" s="26">
        <v>0</v>
      </c>
      <c r="F131" s="26">
        <v>0</v>
      </c>
      <c r="G131" s="26">
        <v>0</v>
      </c>
      <c r="H131" s="26">
        <f t="shared" si="1"/>
        <v>0</v>
      </c>
    </row>
    <row r="132" spans="2:8">
      <c r="B132" s="24" t="s">
        <v>231</v>
      </c>
      <c r="C132" s="25" t="s">
        <v>206</v>
      </c>
      <c r="D132" s="26">
        <v>8070.6</v>
      </c>
      <c r="E132" s="26">
        <v>155.58000000000001</v>
      </c>
      <c r="F132" s="26">
        <v>8174.76</v>
      </c>
      <c r="G132" s="26">
        <v>0</v>
      </c>
      <c r="H132" s="26">
        <f t="shared" si="1"/>
        <v>16400.940000000002</v>
      </c>
    </row>
    <row r="133" spans="2:8">
      <c r="B133" s="24"/>
      <c r="C133" s="25" t="s">
        <v>232</v>
      </c>
      <c r="D133" s="26">
        <v>0</v>
      </c>
      <c r="E133" s="26">
        <v>0</v>
      </c>
      <c r="F133" s="26">
        <v>0</v>
      </c>
      <c r="G133" s="26">
        <v>0</v>
      </c>
      <c r="H133" s="26">
        <f t="shared" si="1"/>
        <v>0</v>
      </c>
    </row>
    <row r="134" spans="2:8">
      <c r="B134" s="24" t="s">
        <v>233</v>
      </c>
      <c r="C134" s="25" t="s">
        <v>39</v>
      </c>
      <c r="D134" s="26">
        <v>0</v>
      </c>
      <c r="E134" s="26">
        <v>0</v>
      </c>
      <c r="F134" s="26">
        <v>0</v>
      </c>
      <c r="G134" s="26">
        <v>0</v>
      </c>
      <c r="H134" s="26">
        <f t="shared" si="1"/>
        <v>0</v>
      </c>
    </row>
    <row r="135" spans="2:8">
      <c r="B135" s="24" t="s">
        <v>234</v>
      </c>
      <c r="C135" s="25" t="s">
        <v>235</v>
      </c>
      <c r="D135" s="26">
        <v>6981.18</v>
      </c>
      <c r="E135" s="26">
        <v>0</v>
      </c>
      <c r="F135" s="26">
        <v>0</v>
      </c>
      <c r="G135" s="26">
        <v>0</v>
      </c>
      <c r="H135" s="26">
        <f t="shared" si="1"/>
        <v>6981.18</v>
      </c>
    </row>
    <row r="136" spans="2:8">
      <c r="B136" s="24" t="s">
        <v>236</v>
      </c>
      <c r="C136" s="25" t="s">
        <v>237</v>
      </c>
      <c r="D136" s="26">
        <v>90.98</v>
      </c>
      <c r="E136" s="26">
        <v>0</v>
      </c>
      <c r="F136" s="26">
        <v>-78.44</v>
      </c>
      <c r="G136" s="26">
        <v>0</v>
      </c>
      <c r="H136" s="26">
        <f t="shared" ref="H136:H199" si="2">SUM(D136:G136)</f>
        <v>12.540000000000006</v>
      </c>
    </row>
    <row r="137" spans="2:8">
      <c r="B137" s="24" t="s">
        <v>238</v>
      </c>
      <c r="C137" s="25" t="s">
        <v>232</v>
      </c>
      <c r="D137" s="26">
        <v>7072.16</v>
      </c>
      <c r="E137" s="26">
        <v>0</v>
      </c>
      <c r="F137" s="26">
        <v>-78.44</v>
      </c>
      <c r="G137" s="26">
        <v>0</v>
      </c>
      <c r="H137" s="26">
        <f t="shared" si="2"/>
        <v>6993.72</v>
      </c>
    </row>
    <row r="138" spans="2:8">
      <c r="B138" s="24" t="s">
        <v>239</v>
      </c>
      <c r="C138" s="25" t="s">
        <v>199</v>
      </c>
      <c r="D138" s="26">
        <v>15168.300000000001</v>
      </c>
      <c r="E138" s="26">
        <v>187.64000000000001</v>
      </c>
      <c r="F138" s="26">
        <v>8096.3200000000006</v>
      </c>
      <c r="G138" s="26">
        <v>0</v>
      </c>
      <c r="H138" s="26">
        <f t="shared" si="2"/>
        <v>23452.260000000002</v>
      </c>
    </row>
    <row r="139" spans="2:8">
      <c r="B139" s="24"/>
      <c r="C139" s="25" t="s">
        <v>240</v>
      </c>
      <c r="D139" s="26">
        <v>0</v>
      </c>
      <c r="E139" s="26">
        <v>0</v>
      </c>
      <c r="F139" s="26">
        <v>0</v>
      </c>
      <c r="G139" s="26">
        <v>0</v>
      </c>
      <c r="H139" s="26">
        <f t="shared" si="2"/>
        <v>0</v>
      </c>
    </row>
    <row r="140" spans="2:8">
      <c r="B140" s="24"/>
      <c r="C140" s="25" t="s">
        <v>241</v>
      </c>
      <c r="D140" s="26">
        <v>0</v>
      </c>
      <c r="E140" s="26">
        <v>0</v>
      </c>
      <c r="F140" s="26">
        <v>0</v>
      </c>
      <c r="G140" s="26">
        <v>0</v>
      </c>
      <c r="H140" s="26">
        <f t="shared" si="2"/>
        <v>0</v>
      </c>
    </row>
    <row r="141" spans="2:8">
      <c r="B141" s="24" t="s">
        <v>242</v>
      </c>
      <c r="C141" s="25" t="s">
        <v>243</v>
      </c>
      <c r="D141" s="26">
        <v>464.9</v>
      </c>
      <c r="E141" s="26">
        <v>0</v>
      </c>
      <c r="F141" s="26">
        <v>0</v>
      </c>
      <c r="G141" s="26">
        <v>0</v>
      </c>
      <c r="H141" s="26">
        <f t="shared" si="2"/>
        <v>464.9</v>
      </c>
    </row>
    <row r="142" spans="2:8">
      <c r="B142" s="24" t="s">
        <v>244</v>
      </c>
      <c r="C142" s="25" t="s">
        <v>245</v>
      </c>
      <c r="D142" s="26">
        <v>2627.91</v>
      </c>
      <c r="E142" s="26">
        <v>4255.07</v>
      </c>
      <c r="F142" s="26">
        <v>4688.76</v>
      </c>
      <c r="G142" s="26">
        <v>2361.23</v>
      </c>
      <c r="H142" s="26">
        <f t="shared" si="2"/>
        <v>13932.97</v>
      </c>
    </row>
    <row r="143" spans="2:8">
      <c r="B143" s="24" t="s">
        <v>246</v>
      </c>
      <c r="C143" s="25" t="s">
        <v>247</v>
      </c>
      <c r="D143" s="26">
        <v>0</v>
      </c>
      <c r="E143" s="26">
        <v>0</v>
      </c>
      <c r="F143" s="26">
        <v>0</v>
      </c>
      <c r="G143" s="26">
        <v>0</v>
      </c>
      <c r="H143" s="26">
        <f t="shared" si="2"/>
        <v>0</v>
      </c>
    </row>
    <row r="144" spans="2:8">
      <c r="B144" s="24" t="s">
        <v>248</v>
      </c>
      <c r="C144" s="25" t="s">
        <v>118</v>
      </c>
      <c r="D144" s="26">
        <v>69.09</v>
      </c>
      <c r="E144" s="26">
        <v>0</v>
      </c>
      <c r="F144" s="26">
        <v>239.69</v>
      </c>
      <c r="G144" s="26">
        <v>0</v>
      </c>
      <c r="H144" s="26">
        <f t="shared" si="2"/>
        <v>308.77999999999997</v>
      </c>
    </row>
    <row r="145" spans="2:8">
      <c r="B145" s="24" t="s">
        <v>249</v>
      </c>
      <c r="C145" s="25" t="s">
        <v>250</v>
      </c>
      <c r="D145" s="26">
        <v>0</v>
      </c>
      <c r="E145" s="26">
        <v>0</v>
      </c>
      <c r="F145" s="26">
        <v>0</v>
      </c>
      <c r="G145" s="26">
        <v>0</v>
      </c>
      <c r="H145" s="26">
        <f t="shared" si="2"/>
        <v>0</v>
      </c>
    </row>
    <row r="146" spans="2:8">
      <c r="B146" s="24" t="s">
        <v>251</v>
      </c>
      <c r="C146" s="25" t="s">
        <v>252</v>
      </c>
      <c r="D146" s="26">
        <v>0</v>
      </c>
      <c r="E146" s="26">
        <v>0</v>
      </c>
      <c r="F146" s="26">
        <v>0</v>
      </c>
      <c r="G146" s="26">
        <v>0</v>
      </c>
      <c r="H146" s="26">
        <f t="shared" si="2"/>
        <v>0</v>
      </c>
    </row>
    <row r="147" spans="2:8">
      <c r="B147" s="24"/>
      <c r="C147" s="25" t="s">
        <v>253</v>
      </c>
      <c r="D147" s="26">
        <v>0</v>
      </c>
      <c r="E147" s="26">
        <v>0</v>
      </c>
      <c r="F147" s="26">
        <v>0</v>
      </c>
      <c r="G147" s="26">
        <v>0</v>
      </c>
      <c r="H147" s="26">
        <f t="shared" si="2"/>
        <v>0</v>
      </c>
    </row>
    <row r="148" spans="2:8">
      <c r="B148" s="24" t="s">
        <v>254</v>
      </c>
      <c r="C148" s="25" t="s">
        <v>241</v>
      </c>
      <c r="D148" s="26">
        <v>3161.9</v>
      </c>
      <c r="E148" s="26">
        <v>4255.07</v>
      </c>
      <c r="F148" s="26">
        <v>4928.45</v>
      </c>
      <c r="G148" s="26">
        <v>2361.23</v>
      </c>
      <c r="H148" s="26">
        <f t="shared" si="2"/>
        <v>14706.649999999998</v>
      </c>
    </row>
    <row r="149" spans="2:8">
      <c r="B149" s="24"/>
      <c r="C149" s="25" t="s">
        <v>255</v>
      </c>
      <c r="D149" s="26" t="s">
        <v>432</v>
      </c>
      <c r="E149" s="26" t="s">
        <v>432</v>
      </c>
      <c r="F149" s="26" t="s">
        <v>432</v>
      </c>
      <c r="G149" s="26" t="s">
        <v>432</v>
      </c>
      <c r="H149" s="26">
        <f t="shared" si="2"/>
        <v>0</v>
      </c>
    </row>
    <row r="150" spans="2:8">
      <c r="B150" s="24" t="s">
        <v>256</v>
      </c>
      <c r="C150" s="25" t="s">
        <v>257</v>
      </c>
      <c r="D150" s="26">
        <v>0</v>
      </c>
      <c r="E150" s="26">
        <v>0</v>
      </c>
      <c r="F150" s="26">
        <v>0</v>
      </c>
      <c r="G150" s="26">
        <v>0</v>
      </c>
      <c r="H150" s="26">
        <f t="shared" si="2"/>
        <v>0</v>
      </c>
    </row>
    <row r="151" spans="2:8">
      <c r="B151" s="24" t="s">
        <v>258</v>
      </c>
      <c r="C151" s="25" t="s">
        <v>259</v>
      </c>
      <c r="D151" s="26">
        <v>139.24</v>
      </c>
      <c r="E151" s="26">
        <v>0</v>
      </c>
      <c r="F151" s="26">
        <v>0</v>
      </c>
      <c r="G151" s="26">
        <v>0</v>
      </c>
      <c r="H151" s="26">
        <f t="shared" si="2"/>
        <v>139.24</v>
      </c>
    </row>
    <row r="152" spans="2:8">
      <c r="B152" s="24" t="s">
        <v>260</v>
      </c>
      <c r="C152" s="25" t="s">
        <v>261</v>
      </c>
      <c r="D152" s="26">
        <v>0</v>
      </c>
      <c r="E152" s="26">
        <v>0</v>
      </c>
      <c r="F152" s="26">
        <v>0</v>
      </c>
      <c r="G152" s="26">
        <v>0</v>
      </c>
      <c r="H152" s="26">
        <f t="shared" si="2"/>
        <v>0</v>
      </c>
    </row>
    <row r="153" spans="2:8">
      <c r="B153" s="24" t="s">
        <v>262</v>
      </c>
      <c r="C153" s="25" t="s">
        <v>263</v>
      </c>
      <c r="D153" s="26">
        <v>446.34</v>
      </c>
      <c r="E153" s="26">
        <v>0</v>
      </c>
      <c r="F153" s="26">
        <v>675.1</v>
      </c>
      <c r="G153" s="26">
        <v>0</v>
      </c>
      <c r="H153" s="26">
        <f t="shared" si="2"/>
        <v>1121.44</v>
      </c>
    </row>
    <row r="154" spans="2:8">
      <c r="B154" s="24" t="s">
        <v>264</v>
      </c>
      <c r="C154" s="25" t="s">
        <v>255</v>
      </c>
      <c r="D154" s="26">
        <v>585.57999999999993</v>
      </c>
      <c r="E154" s="26">
        <v>0</v>
      </c>
      <c r="F154" s="26">
        <v>675.1</v>
      </c>
      <c r="G154" s="26">
        <v>0</v>
      </c>
      <c r="H154" s="26">
        <f t="shared" si="2"/>
        <v>1260.6799999999998</v>
      </c>
    </row>
    <row r="155" spans="2:8">
      <c r="B155" s="24"/>
      <c r="C155" s="25" t="s">
        <v>265</v>
      </c>
      <c r="D155" s="26">
        <v>0</v>
      </c>
      <c r="E155" s="26">
        <v>0</v>
      </c>
      <c r="F155" s="26">
        <v>0</v>
      </c>
      <c r="G155" s="26">
        <v>0</v>
      </c>
      <c r="H155" s="26">
        <f t="shared" si="2"/>
        <v>0</v>
      </c>
    </row>
    <row r="156" spans="2:8">
      <c r="B156" s="24" t="s">
        <v>266</v>
      </c>
      <c r="C156" s="25" t="s">
        <v>267</v>
      </c>
      <c r="D156" s="26">
        <v>0</v>
      </c>
      <c r="E156" s="26">
        <v>0</v>
      </c>
      <c r="F156" s="26">
        <v>0</v>
      </c>
      <c r="G156" s="26">
        <v>0</v>
      </c>
      <c r="H156" s="26">
        <f t="shared" si="2"/>
        <v>0</v>
      </c>
    </row>
    <row r="157" spans="2:8">
      <c r="B157" s="24" t="s">
        <v>268</v>
      </c>
      <c r="C157" s="25" t="s">
        <v>124</v>
      </c>
      <c r="D157" s="26">
        <v>49.42</v>
      </c>
      <c r="E157" s="26">
        <v>23.83</v>
      </c>
      <c r="F157" s="26">
        <v>27.58</v>
      </c>
      <c r="G157" s="26">
        <v>0</v>
      </c>
      <c r="H157" s="26">
        <f t="shared" si="2"/>
        <v>100.83</v>
      </c>
    </row>
    <row r="158" spans="2:8">
      <c r="B158" s="24" t="s">
        <v>269</v>
      </c>
      <c r="C158" s="25" t="s">
        <v>265</v>
      </c>
      <c r="D158" s="26">
        <v>49.42</v>
      </c>
      <c r="E158" s="26">
        <v>23.83</v>
      </c>
      <c r="F158" s="26">
        <v>27.58</v>
      </c>
      <c r="G158" s="26">
        <v>0</v>
      </c>
      <c r="H158" s="26">
        <f t="shared" si="2"/>
        <v>100.83</v>
      </c>
    </row>
    <row r="159" spans="2:8">
      <c r="B159" s="24" t="s">
        <v>270</v>
      </c>
      <c r="C159" s="25" t="s">
        <v>271</v>
      </c>
      <c r="D159" s="26">
        <v>2274.14</v>
      </c>
      <c r="E159" s="26">
        <v>0</v>
      </c>
      <c r="F159" s="26">
        <v>1274.08</v>
      </c>
      <c r="G159" s="26">
        <v>705.78</v>
      </c>
      <c r="H159" s="26">
        <f t="shared" si="2"/>
        <v>4254</v>
      </c>
    </row>
    <row r="160" spans="2:8">
      <c r="B160" s="24" t="s">
        <v>272</v>
      </c>
      <c r="C160" s="25" t="s">
        <v>273</v>
      </c>
      <c r="D160" s="26" t="s">
        <v>432</v>
      </c>
      <c r="E160" s="26" t="s">
        <v>432</v>
      </c>
      <c r="F160" s="26" t="s">
        <v>432</v>
      </c>
      <c r="G160" s="26" t="s">
        <v>432</v>
      </c>
      <c r="H160" s="26">
        <f t="shared" si="2"/>
        <v>0</v>
      </c>
    </row>
    <row r="161" spans="2:8">
      <c r="B161" s="24"/>
      <c r="C161" s="25" t="s">
        <v>274</v>
      </c>
      <c r="D161" s="26">
        <v>0</v>
      </c>
      <c r="E161" s="26">
        <v>0</v>
      </c>
      <c r="F161" s="26">
        <v>0</v>
      </c>
      <c r="G161" s="26">
        <v>0</v>
      </c>
      <c r="H161" s="26">
        <f t="shared" si="2"/>
        <v>0</v>
      </c>
    </row>
    <row r="162" spans="2:8">
      <c r="B162" s="24" t="s">
        <v>275</v>
      </c>
      <c r="C162" s="25" t="s">
        <v>276</v>
      </c>
      <c r="D162" s="26">
        <v>0</v>
      </c>
      <c r="E162" s="26">
        <v>0</v>
      </c>
      <c r="F162" s="26">
        <v>0</v>
      </c>
      <c r="G162" s="26">
        <v>0</v>
      </c>
      <c r="H162" s="26">
        <f t="shared" si="2"/>
        <v>0</v>
      </c>
    </row>
    <row r="163" spans="2:8">
      <c r="B163" s="24" t="s">
        <v>277</v>
      </c>
      <c r="C163" s="25" t="s">
        <v>278</v>
      </c>
      <c r="D163" s="26">
        <v>153.43</v>
      </c>
      <c r="E163" s="26">
        <v>0</v>
      </c>
      <c r="F163" s="26">
        <v>61.37</v>
      </c>
      <c r="G163" s="26">
        <v>0</v>
      </c>
      <c r="H163" s="26">
        <f t="shared" si="2"/>
        <v>214.8</v>
      </c>
    </row>
    <row r="164" spans="2:8">
      <c r="B164" s="24" t="s">
        <v>279</v>
      </c>
      <c r="C164" s="25" t="s">
        <v>280</v>
      </c>
      <c r="D164" s="26">
        <v>777.87</v>
      </c>
      <c r="E164" s="26">
        <v>109.25</v>
      </c>
      <c r="F164" s="26">
        <v>1493.87</v>
      </c>
      <c r="G164" s="26">
        <v>0</v>
      </c>
      <c r="H164" s="26">
        <f t="shared" si="2"/>
        <v>2380.9899999999998</v>
      </c>
    </row>
    <row r="165" spans="2:8">
      <c r="B165" s="24" t="s">
        <v>281</v>
      </c>
      <c r="C165" s="25" t="s">
        <v>282</v>
      </c>
      <c r="D165" s="26">
        <v>55.41</v>
      </c>
      <c r="E165" s="26">
        <v>18.41</v>
      </c>
      <c r="F165" s="26">
        <v>5663.18</v>
      </c>
      <c r="G165" s="26">
        <v>0</v>
      </c>
      <c r="H165" s="26">
        <f t="shared" si="2"/>
        <v>5737</v>
      </c>
    </row>
    <row r="166" spans="2:8">
      <c r="B166" s="24"/>
      <c r="C166" s="25" t="s">
        <v>283</v>
      </c>
      <c r="D166" s="26">
        <v>0</v>
      </c>
      <c r="E166" s="26">
        <v>0</v>
      </c>
      <c r="F166" s="26">
        <v>0</v>
      </c>
      <c r="G166" s="26">
        <v>0</v>
      </c>
      <c r="H166" s="26">
        <f t="shared" si="2"/>
        <v>0</v>
      </c>
    </row>
    <row r="167" spans="2:8">
      <c r="B167" s="24" t="s">
        <v>284</v>
      </c>
      <c r="C167" s="25" t="s">
        <v>285</v>
      </c>
      <c r="D167" s="26">
        <v>129.91</v>
      </c>
      <c r="E167" s="26">
        <v>234.75</v>
      </c>
      <c r="F167" s="26">
        <v>193.32</v>
      </c>
      <c r="G167" s="26">
        <v>104.33</v>
      </c>
      <c r="H167" s="26">
        <f t="shared" si="2"/>
        <v>662.31000000000006</v>
      </c>
    </row>
    <row r="168" spans="2:8">
      <c r="B168" s="24" t="s">
        <v>286</v>
      </c>
      <c r="C168" s="25" t="s">
        <v>287</v>
      </c>
      <c r="D168" s="26">
        <v>0</v>
      </c>
      <c r="E168" s="26">
        <v>0</v>
      </c>
      <c r="F168" s="26">
        <v>0</v>
      </c>
      <c r="G168" s="26">
        <v>0</v>
      </c>
      <c r="H168" s="26">
        <f t="shared" si="2"/>
        <v>0</v>
      </c>
    </row>
    <row r="169" spans="2:8">
      <c r="B169" s="24" t="s">
        <v>288</v>
      </c>
      <c r="C169" s="25" t="s">
        <v>289</v>
      </c>
      <c r="D169" s="26" t="s">
        <v>432</v>
      </c>
      <c r="E169" s="26" t="s">
        <v>432</v>
      </c>
      <c r="F169" s="26" t="s">
        <v>432</v>
      </c>
      <c r="G169" s="26" t="s">
        <v>432</v>
      </c>
      <c r="H169" s="26">
        <f t="shared" si="2"/>
        <v>0</v>
      </c>
    </row>
    <row r="170" spans="2:8">
      <c r="B170" s="24" t="s">
        <v>290</v>
      </c>
      <c r="C170" s="25" t="s">
        <v>283</v>
      </c>
      <c r="D170" s="26">
        <v>129.91</v>
      </c>
      <c r="E170" s="26">
        <v>234.75</v>
      </c>
      <c r="F170" s="26">
        <v>193.32</v>
      </c>
      <c r="G170" s="26">
        <v>104.33</v>
      </c>
      <c r="H170" s="26">
        <f t="shared" si="2"/>
        <v>662.31000000000006</v>
      </c>
    </row>
    <row r="171" spans="2:8">
      <c r="B171" s="24"/>
      <c r="C171" s="25" t="s">
        <v>291</v>
      </c>
      <c r="D171" s="26">
        <v>0</v>
      </c>
      <c r="E171" s="26">
        <v>0</v>
      </c>
      <c r="F171" s="26">
        <v>0</v>
      </c>
      <c r="G171" s="26">
        <v>0</v>
      </c>
      <c r="H171" s="26">
        <f t="shared" si="2"/>
        <v>0</v>
      </c>
    </row>
    <row r="172" spans="2:8">
      <c r="B172" s="24" t="s">
        <v>292</v>
      </c>
      <c r="C172" s="25" t="s">
        <v>293</v>
      </c>
      <c r="D172" s="26">
        <v>0</v>
      </c>
      <c r="E172" s="26">
        <v>0</v>
      </c>
      <c r="F172" s="26">
        <v>0</v>
      </c>
      <c r="G172" s="26">
        <v>0</v>
      </c>
      <c r="H172" s="26">
        <f t="shared" si="2"/>
        <v>0</v>
      </c>
    </row>
    <row r="173" spans="2:8">
      <c r="B173" s="24" t="s">
        <v>294</v>
      </c>
      <c r="C173" s="25" t="s">
        <v>295</v>
      </c>
      <c r="D173" s="26">
        <v>0</v>
      </c>
      <c r="E173" s="26">
        <v>0</v>
      </c>
      <c r="F173" s="26">
        <v>0</v>
      </c>
      <c r="G173" s="26">
        <v>0</v>
      </c>
      <c r="H173" s="26">
        <f t="shared" si="2"/>
        <v>0</v>
      </c>
    </row>
    <row r="174" spans="2:8">
      <c r="B174" s="24" t="s">
        <v>296</v>
      </c>
      <c r="C174" s="25" t="s">
        <v>297</v>
      </c>
      <c r="D174" s="26">
        <v>0</v>
      </c>
      <c r="E174" s="26">
        <v>0</v>
      </c>
      <c r="F174" s="26">
        <v>0</v>
      </c>
      <c r="G174" s="26">
        <v>0</v>
      </c>
      <c r="H174" s="26">
        <f t="shared" si="2"/>
        <v>0</v>
      </c>
    </row>
    <row r="175" spans="2:8">
      <c r="B175" s="24" t="s">
        <v>298</v>
      </c>
      <c r="C175" s="25" t="s">
        <v>291</v>
      </c>
      <c r="D175" s="26">
        <v>0</v>
      </c>
      <c r="E175" s="26">
        <v>0</v>
      </c>
      <c r="F175" s="26">
        <v>0</v>
      </c>
      <c r="G175" s="26">
        <v>0</v>
      </c>
      <c r="H175" s="26">
        <f t="shared" si="2"/>
        <v>0</v>
      </c>
    </row>
    <row r="176" spans="2:8">
      <c r="B176" s="24" t="s">
        <v>299</v>
      </c>
      <c r="C176" s="25" t="s">
        <v>300</v>
      </c>
      <c r="D176" s="26">
        <v>1621.09</v>
      </c>
      <c r="E176" s="26">
        <v>2640.18</v>
      </c>
      <c r="F176" s="26">
        <v>1933.29</v>
      </c>
      <c r="G176" s="26">
        <v>2032.53</v>
      </c>
      <c r="H176" s="26">
        <f t="shared" si="2"/>
        <v>8227.09</v>
      </c>
    </row>
    <row r="177" spans="2:8">
      <c r="B177" s="24" t="s">
        <v>301</v>
      </c>
      <c r="C177" s="25" t="s">
        <v>302</v>
      </c>
      <c r="D177" s="26">
        <v>2325.4499999999998</v>
      </c>
      <c r="E177" s="26">
        <v>502.21</v>
      </c>
      <c r="F177" s="26">
        <v>498</v>
      </c>
      <c r="G177" s="26">
        <v>0</v>
      </c>
      <c r="H177" s="26">
        <f t="shared" si="2"/>
        <v>3325.66</v>
      </c>
    </row>
    <row r="178" spans="2:8">
      <c r="B178" s="24"/>
      <c r="C178" s="25" t="s">
        <v>303</v>
      </c>
      <c r="D178" s="26">
        <v>0</v>
      </c>
      <c r="E178" s="26">
        <v>0</v>
      </c>
      <c r="F178" s="26">
        <v>0</v>
      </c>
      <c r="G178" s="26">
        <v>0</v>
      </c>
      <c r="H178" s="26">
        <f t="shared" si="2"/>
        <v>0</v>
      </c>
    </row>
    <row r="179" spans="2:8">
      <c r="B179" s="24" t="s">
        <v>304</v>
      </c>
      <c r="C179" s="25" t="s">
        <v>305</v>
      </c>
      <c r="D179" s="26">
        <v>0</v>
      </c>
      <c r="E179" s="26">
        <v>0</v>
      </c>
      <c r="F179" s="26">
        <v>0</v>
      </c>
      <c r="G179" s="26">
        <v>0</v>
      </c>
      <c r="H179" s="26">
        <f t="shared" si="2"/>
        <v>0</v>
      </c>
    </row>
    <row r="180" spans="2:8">
      <c r="B180" s="24" t="s">
        <v>306</v>
      </c>
      <c r="C180" s="25" t="s">
        <v>307</v>
      </c>
      <c r="D180" s="26" t="s">
        <v>432</v>
      </c>
      <c r="E180" s="26" t="s">
        <v>432</v>
      </c>
      <c r="F180" s="26" t="s">
        <v>432</v>
      </c>
      <c r="G180" s="26" t="s">
        <v>432</v>
      </c>
      <c r="H180" s="26">
        <f t="shared" si="2"/>
        <v>0</v>
      </c>
    </row>
    <row r="181" spans="2:8">
      <c r="B181" s="24"/>
      <c r="C181" s="25" t="s">
        <v>308</v>
      </c>
      <c r="D181" s="26">
        <v>0</v>
      </c>
      <c r="E181" s="26">
        <v>0</v>
      </c>
      <c r="F181" s="26">
        <v>0</v>
      </c>
      <c r="G181" s="26">
        <v>0</v>
      </c>
      <c r="H181" s="26">
        <f t="shared" si="2"/>
        <v>0</v>
      </c>
    </row>
    <row r="182" spans="2:8">
      <c r="B182" s="24" t="s">
        <v>309</v>
      </c>
      <c r="C182" s="25" t="s">
        <v>303</v>
      </c>
      <c r="D182" s="26">
        <v>0</v>
      </c>
      <c r="E182" s="26">
        <v>0</v>
      </c>
      <c r="F182" s="26">
        <v>0</v>
      </c>
      <c r="G182" s="26">
        <v>0</v>
      </c>
      <c r="H182" s="26">
        <f t="shared" si="2"/>
        <v>0</v>
      </c>
    </row>
    <row r="183" spans="2:8">
      <c r="B183" s="24"/>
      <c r="C183" s="25" t="s">
        <v>310</v>
      </c>
      <c r="D183" s="26">
        <v>0</v>
      </c>
      <c r="E183" s="26">
        <v>0</v>
      </c>
      <c r="F183" s="26">
        <v>0</v>
      </c>
      <c r="G183" s="26">
        <v>0</v>
      </c>
      <c r="H183" s="26">
        <f t="shared" si="2"/>
        <v>0</v>
      </c>
    </row>
    <row r="184" spans="2:8">
      <c r="B184" s="24" t="s">
        <v>311</v>
      </c>
      <c r="C184" s="25" t="s">
        <v>166</v>
      </c>
      <c r="D184" s="26">
        <v>0</v>
      </c>
      <c r="E184" s="26">
        <v>0</v>
      </c>
      <c r="F184" s="26">
        <v>0</v>
      </c>
      <c r="G184" s="26">
        <v>0</v>
      </c>
      <c r="H184" s="26">
        <f t="shared" si="2"/>
        <v>0</v>
      </c>
    </row>
    <row r="185" spans="2:8">
      <c r="B185" s="24"/>
      <c r="C185" s="25" t="s">
        <v>312</v>
      </c>
      <c r="D185" s="26">
        <v>0</v>
      </c>
      <c r="E185" s="26">
        <v>0</v>
      </c>
      <c r="F185" s="26">
        <v>0</v>
      </c>
      <c r="G185" s="26">
        <v>0</v>
      </c>
      <c r="H185" s="26">
        <f t="shared" si="2"/>
        <v>0</v>
      </c>
    </row>
    <row r="186" spans="2:8">
      <c r="B186" s="24" t="s">
        <v>313</v>
      </c>
      <c r="C186" s="25" t="s">
        <v>314</v>
      </c>
      <c r="D186" s="26">
        <v>0</v>
      </c>
      <c r="E186" s="26">
        <v>0</v>
      </c>
      <c r="F186" s="26">
        <v>0</v>
      </c>
      <c r="G186" s="26">
        <v>0</v>
      </c>
      <c r="H186" s="26">
        <f t="shared" si="2"/>
        <v>0</v>
      </c>
    </row>
    <row r="187" spans="2:8">
      <c r="B187" s="24" t="s">
        <v>315</v>
      </c>
      <c r="C187" s="25" t="s">
        <v>310</v>
      </c>
      <c r="D187" s="26">
        <v>0</v>
      </c>
      <c r="E187" s="26">
        <v>0</v>
      </c>
      <c r="F187" s="26">
        <v>0</v>
      </c>
      <c r="G187" s="26">
        <v>0</v>
      </c>
      <c r="H187" s="26">
        <f t="shared" si="2"/>
        <v>0</v>
      </c>
    </row>
    <row r="188" spans="2:8">
      <c r="B188" s="24" t="s">
        <v>316</v>
      </c>
      <c r="C188" s="25" t="s">
        <v>317</v>
      </c>
      <c r="D188" s="26">
        <v>0</v>
      </c>
      <c r="E188" s="26">
        <v>0</v>
      </c>
      <c r="F188" s="26">
        <v>0</v>
      </c>
      <c r="G188" s="26">
        <v>0</v>
      </c>
      <c r="H188" s="26">
        <f t="shared" si="2"/>
        <v>0</v>
      </c>
    </row>
    <row r="189" spans="2:8">
      <c r="B189" s="24" t="s">
        <v>318</v>
      </c>
      <c r="C189" s="25" t="s">
        <v>319</v>
      </c>
      <c r="D189" s="26">
        <v>0</v>
      </c>
      <c r="E189" s="26">
        <v>0</v>
      </c>
      <c r="F189" s="26">
        <v>471.77</v>
      </c>
      <c r="G189" s="26">
        <v>0</v>
      </c>
      <c r="H189" s="26">
        <f t="shared" si="2"/>
        <v>471.77</v>
      </c>
    </row>
    <row r="190" spans="2:8">
      <c r="B190" s="24" t="s">
        <v>320</v>
      </c>
      <c r="C190" s="25" t="s">
        <v>321</v>
      </c>
      <c r="D190" s="26">
        <v>5370.08</v>
      </c>
      <c r="E190" s="26">
        <v>0</v>
      </c>
      <c r="F190" s="26">
        <v>0</v>
      </c>
      <c r="G190" s="26">
        <v>0</v>
      </c>
      <c r="H190" s="26">
        <f t="shared" si="2"/>
        <v>5370.08</v>
      </c>
    </row>
    <row r="191" spans="2:8">
      <c r="B191" s="24">
        <v>816130</v>
      </c>
      <c r="C191" s="25" t="s">
        <v>322</v>
      </c>
      <c r="D191" s="26" t="s">
        <v>432</v>
      </c>
      <c r="E191" s="26" t="s">
        <v>432</v>
      </c>
      <c r="F191" s="26" t="s">
        <v>432</v>
      </c>
      <c r="G191" s="26" t="s">
        <v>432</v>
      </c>
      <c r="H191" s="26">
        <f t="shared" si="2"/>
        <v>0</v>
      </c>
    </row>
    <row r="192" spans="2:8">
      <c r="B192" s="24" t="s">
        <v>323</v>
      </c>
      <c r="C192" s="25" t="s">
        <v>324</v>
      </c>
      <c r="D192" s="26">
        <v>0</v>
      </c>
      <c r="E192" s="26">
        <v>0</v>
      </c>
      <c r="F192" s="26">
        <v>0</v>
      </c>
      <c r="G192" s="26">
        <v>0</v>
      </c>
      <c r="H192" s="26">
        <f t="shared" si="2"/>
        <v>0</v>
      </c>
    </row>
    <row r="193" spans="2:8">
      <c r="B193" s="24" t="s">
        <v>325</v>
      </c>
      <c r="C193" s="25" t="s">
        <v>326</v>
      </c>
      <c r="D193" s="26" t="s">
        <v>432</v>
      </c>
      <c r="E193" s="26" t="s">
        <v>432</v>
      </c>
      <c r="F193" s="26" t="s">
        <v>432</v>
      </c>
      <c r="G193" s="26" t="s">
        <v>432</v>
      </c>
      <c r="H193" s="26">
        <f t="shared" si="2"/>
        <v>0</v>
      </c>
    </row>
    <row r="194" spans="2:8">
      <c r="B194" s="24"/>
      <c r="C194" s="25" t="s">
        <v>327</v>
      </c>
      <c r="D194" s="26">
        <v>0</v>
      </c>
      <c r="E194" s="26">
        <v>0</v>
      </c>
      <c r="F194" s="26">
        <v>0</v>
      </c>
      <c r="G194" s="26">
        <v>0</v>
      </c>
      <c r="H194" s="26">
        <f t="shared" si="2"/>
        <v>0</v>
      </c>
    </row>
    <row r="195" spans="2:8">
      <c r="B195" s="24"/>
      <c r="C195" s="25" t="s">
        <v>328</v>
      </c>
      <c r="D195" s="26">
        <v>0</v>
      </c>
      <c r="E195" s="26">
        <v>0</v>
      </c>
      <c r="F195" s="26">
        <v>0</v>
      </c>
      <c r="G195" s="26">
        <v>0</v>
      </c>
      <c r="H195" s="26">
        <f t="shared" si="2"/>
        <v>0</v>
      </c>
    </row>
    <row r="196" spans="2:8">
      <c r="B196" s="24"/>
      <c r="C196" s="25"/>
      <c r="D196" s="26"/>
      <c r="E196" s="26"/>
      <c r="F196" s="26"/>
      <c r="G196" s="26"/>
      <c r="H196" s="26">
        <f t="shared" si="2"/>
        <v>0</v>
      </c>
    </row>
    <row r="197" spans="2:8">
      <c r="B197" s="24" t="s">
        <v>316</v>
      </c>
      <c r="C197" s="25" t="s">
        <v>317</v>
      </c>
      <c r="D197" s="26">
        <v>5370.08</v>
      </c>
      <c r="E197" s="26">
        <v>0</v>
      </c>
      <c r="F197" s="26">
        <v>471.77</v>
      </c>
      <c r="G197" s="26">
        <v>0</v>
      </c>
      <c r="H197" s="26">
        <f t="shared" si="2"/>
        <v>5841.85</v>
      </c>
    </row>
    <row r="198" spans="2:8">
      <c r="B198" s="24" t="s">
        <v>329</v>
      </c>
      <c r="C198" s="25" t="s">
        <v>240</v>
      </c>
      <c r="D198" s="26">
        <v>14230.14</v>
      </c>
      <c r="E198" s="26">
        <v>7783.7</v>
      </c>
      <c r="F198" s="26">
        <v>15945.93</v>
      </c>
      <c r="G198" s="26">
        <v>4498.09</v>
      </c>
      <c r="H198" s="26">
        <f t="shared" si="2"/>
        <v>42457.86</v>
      </c>
    </row>
    <row r="199" spans="2:8">
      <c r="B199" s="24"/>
      <c r="C199" s="25" t="s">
        <v>330</v>
      </c>
      <c r="D199" s="26">
        <v>0</v>
      </c>
      <c r="E199" s="26">
        <v>0</v>
      </c>
      <c r="F199" s="26">
        <v>0</v>
      </c>
      <c r="G199" s="26">
        <v>0</v>
      </c>
      <c r="H199" s="26">
        <f t="shared" si="2"/>
        <v>0</v>
      </c>
    </row>
    <row r="200" spans="2:8">
      <c r="B200" s="24"/>
      <c r="C200" s="25" t="s">
        <v>331</v>
      </c>
      <c r="D200" s="26">
        <v>0</v>
      </c>
      <c r="E200" s="26">
        <v>0</v>
      </c>
      <c r="F200" s="26">
        <v>0</v>
      </c>
      <c r="G200" s="26">
        <v>0</v>
      </c>
      <c r="H200" s="26">
        <f t="shared" ref="H200:H263" si="3">SUM(D200:G200)</f>
        <v>0</v>
      </c>
    </row>
    <row r="201" spans="2:8">
      <c r="B201" s="24" t="s">
        <v>332</v>
      </c>
      <c r="C201" s="25" t="s">
        <v>333</v>
      </c>
      <c r="D201" s="26">
        <v>0</v>
      </c>
      <c r="E201" s="26">
        <v>0</v>
      </c>
      <c r="F201" s="26">
        <v>0</v>
      </c>
      <c r="G201" s="26">
        <v>0</v>
      </c>
      <c r="H201" s="26">
        <f t="shared" si="3"/>
        <v>0</v>
      </c>
    </row>
    <row r="202" spans="2:8">
      <c r="B202" s="24" t="s">
        <v>334</v>
      </c>
      <c r="C202" s="25" t="s">
        <v>335</v>
      </c>
      <c r="D202" s="26">
        <v>0</v>
      </c>
      <c r="E202" s="26">
        <v>0</v>
      </c>
      <c r="F202" s="26">
        <v>0</v>
      </c>
      <c r="G202" s="26">
        <v>0</v>
      </c>
      <c r="H202" s="26">
        <f t="shared" si="3"/>
        <v>0</v>
      </c>
    </row>
    <row r="203" spans="2:8">
      <c r="B203" s="24"/>
      <c r="C203" s="25" t="s">
        <v>336</v>
      </c>
      <c r="D203" s="26" t="s">
        <v>432</v>
      </c>
      <c r="E203" s="26" t="s">
        <v>432</v>
      </c>
      <c r="F203" s="26" t="s">
        <v>432</v>
      </c>
      <c r="G203" s="26" t="s">
        <v>432</v>
      </c>
      <c r="H203" s="26">
        <f t="shared" si="3"/>
        <v>0</v>
      </c>
    </row>
    <row r="204" spans="2:8">
      <c r="B204" s="24" t="s">
        <v>337</v>
      </c>
      <c r="C204" s="25" t="s">
        <v>338</v>
      </c>
      <c r="D204" s="26">
        <v>0</v>
      </c>
      <c r="E204" s="26">
        <v>0</v>
      </c>
      <c r="F204" s="26">
        <v>0</v>
      </c>
      <c r="G204" s="26">
        <v>0</v>
      </c>
      <c r="H204" s="26">
        <f t="shared" si="3"/>
        <v>0</v>
      </c>
    </row>
    <row r="205" spans="2:8">
      <c r="B205" s="24" t="s">
        <v>339</v>
      </c>
      <c r="C205" s="25" t="s">
        <v>340</v>
      </c>
      <c r="D205" s="26">
        <v>0</v>
      </c>
      <c r="E205" s="26">
        <v>0</v>
      </c>
      <c r="F205" s="26">
        <v>0</v>
      </c>
      <c r="G205" s="26">
        <v>0</v>
      </c>
      <c r="H205" s="26">
        <f t="shared" si="3"/>
        <v>0</v>
      </c>
    </row>
    <row r="206" spans="2:8">
      <c r="B206" s="24" t="s">
        <v>341</v>
      </c>
      <c r="C206" s="25" t="s">
        <v>336</v>
      </c>
      <c r="D206" s="26">
        <v>0</v>
      </c>
      <c r="E206" s="26">
        <v>0</v>
      </c>
      <c r="F206" s="26">
        <v>0</v>
      </c>
      <c r="G206" s="26">
        <v>0</v>
      </c>
      <c r="H206" s="26">
        <f t="shared" si="3"/>
        <v>0</v>
      </c>
    </row>
    <row r="207" spans="2:8">
      <c r="B207" s="24" t="s">
        <v>342</v>
      </c>
      <c r="C207" s="25" t="s">
        <v>343</v>
      </c>
      <c r="D207" s="26">
        <v>0</v>
      </c>
      <c r="E207" s="26">
        <v>0</v>
      </c>
      <c r="F207" s="26">
        <v>0</v>
      </c>
      <c r="G207" s="26">
        <v>0</v>
      </c>
      <c r="H207" s="26">
        <f t="shared" si="3"/>
        <v>0</v>
      </c>
    </row>
    <row r="208" spans="2:8">
      <c r="B208" s="24" t="s">
        <v>344</v>
      </c>
      <c r="C208" s="25" t="s">
        <v>345</v>
      </c>
      <c r="D208" s="26">
        <v>0</v>
      </c>
      <c r="E208" s="26">
        <v>0</v>
      </c>
      <c r="F208" s="26">
        <v>0</v>
      </c>
      <c r="G208" s="26">
        <v>0</v>
      </c>
      <c r="H208" s="26">
        <f t="shared" si="3"/>
        <v>0</v>
      </c>
    </row>
    <row r="209" spans="2:8">
      <c r="B209" s="24" t="s">
        <v>346</v>
      </c>
      <c r="C209" s="25" t="s">
        <v>347</v>
      </c>
      <c r="D209" s="26">
        <v>36.76</v>
      </c>
      <c r="E209" s="26">
        <v>22.45</v>
      </c>
      <c r="F209" s="26">
        <v>10985.2</v>
      </c>
      <c r="G209" s="26">
        <v>0</v>
      </c>
      <c r="H209" s="26">
        <f t="shared" si="3"/>
        <v>11044.41</v>
      </c>
    </row>
    <row r="210" spans="2:8">
      <c r="B210" s="24"/>
      <c r="C210" s="25" t="s">
        <v>348</v>
      </c>
      <c r="D210" s="26">
        <v>-51.29</v>
      </c>
      <c r="E210" s="26">
        <v>0</v>
      </c>
      <c r="F210" s="26">
        <v>0</v>
      </c>
      <c r="G210" s="26">
        <v>0</v>
      </c>
      <c r="H210" s="26">
        <f t="shared" si="3"/>
        <v>-51.29</v>
      </c>
    </row>
    <row r="211" spans="2:8">
      <c r="B211" s="24" t="s">
        <v>349</v>
      </c>
      <c r="C211" s="25" t="s">
        <v>350</v>
      </c>
      <c r="D211" s="26">
        <v>0</v>
      </c>
      <c r="E211" s="26">
        <v>0</v>
      </c>
      <c r="F211" s="26">
        <v>0</v>
      </c>
      <c r="G211" s="26">
        <v>0</v>
      </c>
      <c r="H211" s="26">
        <f t="shared" si="3"/>
        <v>0</v>
      </c>
    </row>
    <row r="212" spans="2:8">
      <c r="B212" s="24"/>
      <c r="C212" s="25" t="s">
        <v>351</v>
      </c>
      <c r="D212" s="26">
        <v>0</v>
      </c>
      <c r="E212" s="26">
        <v>0</v>
      </c>
      <c r="F212" s="26">
        <v>0</v>
      </c>
      <c r="G212" s="26">
        <v>0</v>
      </c>
      <c r="H212" s="26">
        <f t="shared" si="3"/>
        <v>0</v>
      </c>
    </row>
    <row r="213" spans="2:8">
      <c r="B213" s="24" t="s">
        <v>352</v>
      </c>
      <c r="C213" s="25" t="s">
        <v>353</v>
      </c>
      <c r="D213" s="26">
        <v>-3.56</v>
      </c>
      <c r="E213" s="26">
        <v>-309.31</v>
      </c>
      <c r="F213" s="26">
        <v>-10.1</v>
      </c>
      <c r="G213" s="26">
        <v>0</v>
      </c>
      <c r="H213" s="26">
        <f t="shared" si="3"/>
        <v>-322.97000000000003</v>
      </c>
    </row>
    <row r="214" spans="2:8">
      <c r="B214" s="24" t="s">
        <v>354</v>
      </c>
      <c r="C214" s="25" t="s">
        <v>331</v>
      </c>
      <c r="D214" s="26">
        <v>-18.09</v>
      </c>
      <c r="E214" s="26">
        <v>-286.86</v>
      </c>
      <c r="F214" s="26">
        <v>10975.1</v>
      </c>
      <c r="G214" s="26">
        <v>0</v>
      </c>
      <c r="H214" s="26">
        <f t="shared" si="3"/>
        <v>10670.15</v>
      </c>
    </row>
    <row r="215" spans="2:8">
      <c r="B215" s="24"/>
      <c r="C215" s="25" t="s">
        <v>355</v>
      </c>
      <c r="D215" s="26">
        <v>0</v>
      </c>
      <c r="E215" s="26">
        <v>0</v>
      </c>
      <c r="F215" s="26">
        <v>0</v>
      </c>
      <c r="G215" s="26">
        <v>0</v>
      </c>
      <c r="H215" s="26">
        <f t="shared" si="3"/>
        <v>0</v>
      </c>
    </row>
    <row r="216" spans="2:8">
      <c r="B216" s="24"/>
      <c r="C216" s="25" t="s">
        <v>356</v>
      </c>
      <c r="D216" s="26">
        <v>0</v>
      </c>
      <c r="E216" s="26">
        <v>0</v>
      </c>
      <c r="F216" s="26">
        <v>0</v>
      </c>
      <c r="G216" s="26">
        <v>0</v>
      </c>
      <c r="H216" s="26">
        <f t="shared" si="3"/>
        <v>0</v>
      </c>
    </row>
    <row r="217" spans="2:8">
      <c r="B217" s="24" t="s">
        <v>357</v>
      </c>
      <c r="C217" s="25" t="s">
        <v>358</v>
      </c>
      <c r="D217" s="26">
        <v>0</v>
      </c>
      <c r="E217" s="26">
        <v>0</v>
      </c>
      <c r="F217" s="26">
        <v>0</v>
      </c>
      <c r="G217" s="26">
        <v>0</v>
      </c>
      <c r="H217" s="26">
        <f t="shared" si="3"/>
        <v>0</v>
      </c>
    </row>
    <row r="218" spans="2:8">
      <c r="B218" s="24" t="s">
        <v>359</v>
      </c>
      <c r="C218" s="25" t="s">
        <v>360</v>
      </c>
      <c r="D218" s="26">
        <v>4926.04</v>
      </c>
      <c r="E218" s="26">
        <v>0</v>
      </c>
      <c r="F218" s="26">
        <v>0</v>
      </c>
      <c r="G218" s="26">
        <v>0</v>
      </c>
      <c r="H218" s="26">
        <f t="shared" si="3"/>
        <v>4926.04</v>
      </c>
    </row>
    <row r="219" spans="2:8">
      <c r="B219" s="24" t="s">
        <v>361</v>
      </c>
      <c r="C219" s="25" t="s">
        <v>356</v>
      </c>
      <c r="D219" s="26">
        <v>4926.04</v>
      </c>
      <c r="E219" s="26">
        <v>0</v>
      </c>
      <c r="F219" s="26">
        <v>0</v>
      </c>
      <c r="G219" s="26">
        <v>0</v>
      </c>
      <c r="H219" s="26">
        <f t="shared" si="3"/>
        <v>4926.04</v>
      </c>
    </row>
    <row r="220" spans="2:8">
      <c r="B220" s="24"/>
      <c r="C220" s="25" t="s">
        <v>362</v>
      </c>
      <c r="D220" s="26">
        <v>0</v>
      </c>
      <c r="E220" s="26">
        <v>0</v>
      </c>
      <c r="F220" s="26">
        <v>0</v>
      </c>
      <c r="G220" s="26">
        <v>0</v>
      </c>
      <c r="H220" s="26">
        <f t="shared" si="3"/>
        <v>0</v>
      </c>
    </row>
    <row r="221" spans="2:8">
      <c r="B221" s="24" t="s">
        <v>363</v>
      </c>
      <c r="C221" s="25" t="s">
        <v>364</v>
      </c>
      <c r="D221" s="26">
        <v>0</v>
      </c>
      <c r="E221" s="26">
        <v>0</v>
      </c>
      <c r="F221" s="26">
        <v>0</v>
      </c>
      <c r="G221" s="26">
        <v>0</v>
      </c>
      <c r="H221" s="26">
        <f t="shared" si="3"/>
        <v>0</v>
      </c>
    </row>
    <row r="222" spans="2:8">
      <c r="B222" s="24" t="s">
        <v>365</v>
      </c>
      <c r="C222" s="25" t="s">
        <v>366</v>
      </c>
      <c r="D222" s="26">
        <v>116.88</v>
      </c>
      <c r="E222" s="26">
        <v>68.319999999999993</v>
      </c>
      <c r="F222" s="26">
        <v>-6272.08</v>
      </c>
      <c r="G222" s="26">
        <v>10.97</v>
      </c>
      <c r="H222" s="26">
        <f t="shared" si="3"/>
        <v>-6075.91</v>
      </c>
    </row>
    <row r="223" spans="2:8">
      <c r="B223" s="24" t="s">
        <v>367</v>
      </c>
      <c r="C223" s="25" t="s">
        <v>362</v>
      </c>
      <c r="D223" s="26">
        <v>116.88</v>
      </c>
      <c r="E223" s="26">
        <v>68.319999999999993</v>
      </c>
      <c r="F223" s="26">
        <v>-6272.08</v>
      </c>
      <c r="G223" s="26">
        <v>10.97</v>
      </c>
      <c r="H223" s="26">
        <f t="shared" si="3"/>
        <v>-6075.91</v>
      </c>
    </row>
    <row r="224" spans="2:8">
      <c r="B224" s="24" t="s">
        <v>368</v>
      </c>
      <c r="C224" s="25" t="s">
        <v>369</v>
      </c>
      <c r="D224" s="26">
        <v>0</v>
      </c>
      <c r="E224" s="26">
        <v>0</v>
      </c>
      <c r="F224" s="26">
        <v>0</v>
      </c>
      <c r="G224" s="26">
        <v>0</v>
      </c>
      <c r="H224" s="26">
        <f t="shared" si="3"/>
        <v>0</v>
      </c>
    </row>
    <row r="225" spans="2:8">
      <c r="B225" s="24"/>
      <c r="C225" s="25" t="s">
        <v>370</v>
      </c>
      <c r="D225" s="26">
        <v>0</v>
      </c>
      <c r="E225" s="26">
        <v>0</v>
      </c>
      <c r="F225" s="26">
        <v>0</v>
      </c>
      <c r="G225" s="26">
        <v>0</v>
      </c>
      <c r="H225" s="26">
        <f t="shared" si="3"/>
        <v>0</v>
      </c>
    </row>
    <row r="226" spans="2:8">
      <c r="B226" s="24" t="s">
        <v>371</v>
      </c>
      <c r="C226" s="25" t="s">
        <v>372</v>
      </c>
      <c r="D226" s="26">
        <v>439.85</v>
      </c>
      <c r="E226" s="26">
        <v>0.21</v>
      </c>
      <c r="F226" s="26">
        <v>0.21</v>
      </c>
      <c r="G226" s="26">
        <v>0.42</v>
      </c>
      <c r="H226" s="26">
        <f t="shared" si="3"/>
        <v>440.69</v>
      </c>
    </row>
    <row r="227" spans="2:8">
      <c r="B227" s="24" t="s">
        <v>373</v>
      </c>
      <c r="C227" s="25" t="s">
        <v>374</v>
      </c>
      <c r="D227" s="26">
        <v>0</v>
      </c>
      <c r="E227" s="26">
        <v>0</v>
      </c>
      <c r="F227" s="26">
        <v>0</v>
      </c>
      <c r="G227" s="26">
        <v>0</v>
      </c>
      <c r="H227" s="26">
        <f t="shared" si="3"/>
        <v>0</v>
      </c>
    </row>
    <row r="228" spans="2:8">
      <c r="B228" s="24"/>
      <c r="C228" s="25" t="s">
        <v>375</v>
      </c>
      <c r="D228" s="26">
        <v>0</v>
      </c>
      <c r="E228" s="26">
        <v>0</v>
      </c>
      <c r="F228" s="26">
        <v>0</v>
      </c>
      <c r="G228" s="26">
        <v>0</v>
      </c>
      <c r="H228" s="26">
        <f t="shared" si="3"/>
        <v>0</v>
      </c>
    </row>
    <row r="229" spans="2:8">
      <c r="B229" s="24" t="s">
        <v>376</v>
      </c>
      <c r="C229" s="25" t="s">
        <v>370</v>
      </c>
      <c r="D229" s="26">
        <v>439.85</v>
      </c>
      <c r="E229" s="26">
        <v>0.21</v>
      </c>
      <c r="F229" s="26">
        <v>0.21</v>
      </c>
      <c r="G229" s="26">
        <v>0.42</v>
      </c>
      <c r="H229" s="26">
        <f t="shared" si="3"/>
        <v>440.69</v>
      </c>
    </row>
    <row r="230" spans="2:8">
      <c r="B230" s="24"/>
      <c r="C230" s="25" t="s">
        <v>377</v>
      </c>
      <c r="D230" s="26">
        <v>0</v>
      </c>
      <c r="E230" s="26">
        <v>0</v>
      </c>
      <c r="F230" s="26">
        <v>0</v>
      </c>
      <c r="G230" s="26">
        <v>0</v>
      </c>
      <c r="H230" s="26">
        <f t="shared" si="3"/>
        <v>0</v>
      </c>
    </row>
    <row r="231" spans="2:8">
      <c r="B231" s="24" t="s">
        <v>378</v>
      </c>
      <c r="C231" s="25" t="s">
        <v>379</v>
      </c>
      <c r="D231" s="26">
        <v>0</v>
      </c>
      <c r="E231" s="26">
        <v>0</v>
      </c>
      <c r="F231" s="26">
        <v>0</v>
      </c>
      <c r="G231" s="26">
        <v>0</v>
      </c>
      <c r="H231" s="26">
        <f t="shared" si="3"/>
        <v>0</v>
      </c>
    </row>
    <row r="232" spans="2:8">
      <c r="B232" s="24" t="s">
        <v>380</v>
      </c>
      <c r="C232" s="25" t="s">
        <v>381</v>
      </c>
      <c r="D232" s="26">
        <v>0</v>
      </c>
      <c r="E232" s="26">
        <v>0</v>
      </c>
      <c r="F232" s="26">
        <v>0</v>
      </c>
      <c r="G232" s="26">
        <v>0</v>
      </c>
      <c r="H232" s="26">
        <f t="shared" si="3"/>
        <v>0</v>
      </c>
    </row>
    <row r="233" spans="2:8">
      <c r="B233" s="24" t="s">
        <v>382</v>
      </c>
      <c r="C233" s="25" t="s">
        <v>377</v>
      </c>
      <c r="D233" s="26">
        <v>0</v>
      </c>
      <c r="E233" s="26">
        <v>0</v>
      </c>
      <c r="F233" s="26">
        <v>0</v>
      </c>
      <c r="G233" s="26">
        <v>0</v>
      </c>
      <c r="H233" s="26">
        <f t="shared" si="3"/>
        <v>0</v>
      </c>
    </row>
    <row r="234" spans="2:8">
      <c r="B234" s="24" t="s">
        <v>383</v>
      </c>
      <c r="C234" s="25" t="s">
        <v>384</v>
      </c>
      <c r="D234" s="26">
        <v>0</v>
      </c>
      <c r="E234" s="26">
        <v>0</v>
      </c>
      <c r="F234" s="26">
        <v>0</v>
      </c>
      <c r="G234" s="26">
        <v>0</v>
      </c>
      <c r="H234" s="26">
        <f t="shared" si="3"/>
        <v>0</v>
      </c>
    </row>
    <row r="235" spans="2:8">
      <c r="B235" s="24" t="s">
        <v>385</v>
      </c>
      <c r="C235" s="25" t="s">
        <v>386</v>
      </c>
      <c r="D235" s="26">
        <v>118.32</v>
      </c>
      <c r="E235" s="26">
        <v>77.52</v>
      </c>
      <c r="F235" s="26">
        <v>266.31</v>
      </c>
      <c r="G235" s="26">
        <v>100.08</v>
      </c>
      <c r="H235" s="26">
        <f t="shared" si="3"/>
        <v>562.23</v>
      </c>
    </row>
    <row r="236" spans="2:8">
      <c r="B236" s="24" t="s">
        <v>387</v>
      </c>
      <c r="C236" s="25" t="s">
        <v>388</v>
      </c>
      <c r="D236" s="26">
        <v>0</v>
      </c>
      <c r="E236" s="26">
        <v>0</v>
      </c>
      <c r="F236" s="26">
        <v>0</v>
      </c>
      <c r="G236" s="26">
        <v>0</v>
      </c>
      <c r="H236" s="26">
        <f t="shared" si="3"/>
        <v>0</v>
      </c>
    </row>
    <row r="237" spans="2:8">
      <c r="B237" s="24" t="s">
        <v>389</v>
      </c>
      <c r="C237" s="25" t="s">
        <v>390</v>
      </c>
      <c r="D237" s="26">
        <v>0</v>
      </c>
      <c r="E237" s="26">
        <v>0</v>
      </c>
      <c r="F237" s="26">
        <v>-14.16</v>
      </c>
      <c r="G237" s="26">
        <v>0</v>
      </c>
      <c r="H237" s="26">
        <f t="shared" si="3"/>
        <v>-14.16</v>
      </c>
    </row>
    <row r="238" spans="2:8">
      <c r="B238" s="24" t="s">
        <v>391</v>
      </c>
      <c r="C238" s="25" t="s">
        <v>392</v>
      </c>
      <c r="D238" s="26">
        <v>0</v>
      </c>
      <c r="E238" s="26">
        <v>0</v>
      </c>
      <c r="F238" s="26">
        <v>0</v>
      </c>
      <c r="G238" s="26">
        <v>0</v>
      </c>
      <c r="H238" s="26">
        <f t="shared" si="3"/>
        <v>0</v>
      </c>
    </row>
    <row r="239" spans="2:8">
      <c r="B239" s="24"/>
      <c r="C239" s="25" t="s">
        <v>393</v>
      </c>
      <c r="D239" s="26" t="s">
        <v>432</v>
      </c>
      <c r="E239" s="26" t="s">
        <v>432</v>
      </c>
      <c r="F239" s="26" t="s">
        <v>432</v>
      </c>
      <c r="G239" s="26" t="s">
        <v>432</v>
      </c>
      <c r="H239" s="26">
        <f t="shared" si="3"/>
        <v>0</v>
      </c>
    </row>
    <row r="240" spans="2:8">
      <c r="B240" s="24" t="s">
        <v>394</v>
      </c>
      <c r="C240" s="25" t="s">
        <v>350</v>
      </c>
      <c r="D240" s="26">
        <v>0</v>
      </c>
      <c r="E240" s="26">
        <v>0</v>
      </c>
      <c r="F240" s="26">
        <v>0</v>
      </c>
      <c r="G240" s="26">
        <v>0</v>
      </c>
      <c r="H240" s="26">
        <f t="shared" si="3"/>
        <v>0</v>
      </c>
    </row>
    <row r="241" spans="2:8">
      <c r="B241" s="24"/>
      <c r="C241" s="25" t="s">
        <v>395</v>
      </c>
      <c r="D241" s="26">
        <v>0</v>
      </c>
      <c r="E241" s="26">
        <v>0</v>
      </c>
      <c r="F241" s="26">
        <v>0</v>
      </c>
      <c r="G241" s="26">
        <v>0</v>
      </c>
      <c r="H241" s="26">
        <f t="shared" si="3"/>
        <v>0</v>
      </c>
    </row>
    <row r="242" spans="2:8">
      <c r="B242" s="24" t="s">
        <v>396</v>
      </c>
      <c r="C242" s="25" t="s">
        <v>353</v>
      </c>
      <c r="D242" s="26">
        <v>-3.56</v>
      </c>
      <c r="E242" s="26">
        <v>-309.31</v>
      </c>
      <c r="F242" s="26">
        <v>-10.1</v>
      </c>
      <c r="G242" s="26">
        <v>0</v>
      </c>
      <c r="H242" s="26">
        <f t="shared" si="3"/>
        <v>-322.97000000000003</v>
      </c>
    </row>
    <row r="243" spans="2:8">
      <c r="B243" s="24" t="s">
        <v>397</v>
      </c>
      <c r="C243" s="25" t="s">
        <v>355</v>
      </c>
      <c r="D243" s="26">
        <v>5597.53</v>
      </c>
      <c r="E243" s="26">
        <v>-163.26000000000002</v>
      </c>
      <c r="F243" s="26">
        <v>-6029.82</v>
      </c>
      <c r="G243" s="26">
        <v>111.47</v>
      </c>
      <c r="H243" s="26">
        <f t="shared" si="3"/>
        <v>-484.08000000000015</v>
      </c>
    </row>
    <row r="244" spans="2:8">
      <c r="B244" s="24" t="s">
        <v>398</v>
      </c>
      <c r="C244" s="25" t="s">
        <v>399</v>
      </c>
      <c r="D244" s="26">
        <v>0</v>
      </c>
      <c r="E244" s="26">
        <v>0</v>
      </c>
      <c r="F244" s="26">
        <v>0</v>
      </c>
      <c r="G244" s="26">
        <v>0</v>
      </c>
      <c r="H244" s="26">
        <f t="shared" si="3"/>
        <v>0</v>
      </c>
    </row>
    <row r="245" spans="2:8">
      <c r="B245" s="24" t="s">
        <v>400</v>
      </c>
      <c r="C245" s="25" t="s">
        <v>401</v>
      </c>
      <c r="D245" s="26">
        <v>0</v>
      </c>
      <c r="E245" s="26">
        <v>0</v>
      </c>
      <c r="F245" s="26">
        <v>0</v>
      </c>
      <c r="G245" s="26">
        <v>0</v>
      </c>
      <c r="H245" s="26">
        <f t="shared" si="3"/>
        <v>0</v>
      </c>
    </row>
    <row r="246" spans="2:8">
      <c r="B246" s="24" t="s">
        <v>402</v>
      </c>
      <c r="C246" s="25" t="s">
        <v>403</v>
      </c>
      <c r="D246" s="26">
        <v>0</v>
      </c>
      <c r="E246" s="26">
        <v>0</v>
      </c>
      <c r="F246" s="26">
        <v>0</v>
      </c>
      <c r="G246" s="26">
        <v>0</v>
      </c>
      <c r="H246" s="26">
        <f t="shared" si="3"/>
        <v>0</v>
      </c>
    </row>
    <row r="247" spans="2:8">
      <c r="B247" s="24" t="s">
        <v>404</v>
      </c>
      <c r="C247" s="25" t="s">
        <v>405</v>
      </c>
      <c r="D247" s="26">
        <v>0</v>
      </c>
      <c r="E247" s="26">
        <v>0</v>
      </c>
      <c r="F247" s="26">
        <v>0</v>
      </c>
      <c r="G247" s="26">
        <v>0</v>
      </c>
      <c r="H247" s="26">
        <f t="shared" si="3"/>
        <v>0</v>
      </c>
    </row>
    <row r="248" spans="2:8">
      <c r="B248" s="24" t="s">
        <v>406</v>
      </c>
      <c r="C248" s="25" t="s">
        <v>330</v>
      </c>
      <c r="D248" s="26">
        <v>5579.44</v>
      </c>
      <c r="E248" s="26">
        <v>-450.12</v>
      </c>
      <c r="F248" s="26">
        <v>4945.2800000000007</v>
      </c>
      <c r="G248" s="26">
        <v>111.47</v>
      </c>
      <c r="H248" s="26">
        <f t="shared" si="3"/>
        <v>10186.07</v>
      </c>
    </row>
    <row r="249" spans="2:8">
      <c r="B249" s="24" t="s">
        <v>407</v>
      </c>
      <c r="C249" s="25" t="s">
        <v>408</v>
      </c>
      <c r="D249" s="26">
        <v>0</v>
      </c>
      <c r="E249" s="26">
        <v>0</v>
      </c>
      <c r="F249" s="26">
        <v>0</v>
      </c>
      <c r="G249" s="26">
        <v>0</v>
      </c>
      <c r="H249" s="26">
        <f t="shared" si="3"/>
        <v>0</v>
      </c>
    </row>
    <row r="250" spans="2:8">
      <c r="B250" s="24" t="s">
        <v>409</v>
      </c>
      <c r="C250" s="25" t="s">
        <v>410</v>
      </c>
      <c r="D250" s="26">
        <v>0</v>
      </c>
      <c r="E250" s="26">
        <v>0</v>
      </c>
      <c r="F250" s="26">
        <v>0</v>
      </c>
      <c r="G250" s="26">
        <v>0</v>
      </c>
      <c r="H250" s="26">
        <f t="shared" si="3"/>
        <v>0</v>
      </c>
    </row>
    <row r="251" spans="2:8">
      <c r="B251" s="24"/>
      <c r="C251" s="25" t="s">
        <v>411</v>
      </c>
      <c r="D251" s="26">
        <v>0</v>
      </c>
      <c r="E251" s="26">
        <v>0</v>
      </c>
      <c r="F251" s="26">
        <v>0</v>
      </c>
      <c r="G251" s="26">
        <v>0</v>
      </c>
      <c r="H251" s="26">
        <f t="shared" si="3"/>
        <v>0</v>
      </c>
    </row>
    <row r="252" spans="2:8">
      <c r="B252" s="24"/>
      <c r="C252" s="25" t="s">
        <v>408</v>
      </c>
      <c r="D252" s="26">
        <v>0</v>
      </c>
      <c r="E252" s="26">
        <v>0</v>
      </c>
      <c r="F252" s="26">
        <v>0</v>
      </c>
      <c r="G252" s="26">
        <v>0</v>
      </c>
      <c r="H252" s="26">
        <f t="shared" si="3"/>
        <v>0</v>
      </c>
    </row>
    <row r="253" spans="2:8" ht="18.75">
      <c r="B253" s="84"/>
      <c r="C253" s="85" t="s">
        <v>412</v>
      </c>
      <c r="D253" s="86">
        <v>-37856.400000000001</v>
      </c>
      <c r="E253" s="86">
        <v>3454.0300000000007</v>
      </c>
      <c r="F253" s="86">
        <v>-106218.15</v>
      </c>
      <c r="G253" s="86">
        <v>-4609.5600000000004</v>
      </c>
      <c r="H253" s="86">
        <f t="shared" si="3"/>
        <v>-145230.07999999999</v>
      </c>
    </row>
  </sheetData>
  <mergeCells count="3">
    <mergeCell ref="B4:B5"/>
    <mergeCell ref="C4:C5"/>
    <mergeCell ref="D4:H4"/>
  </mergeCells>
  <printOptions horizontalCentered="1"/>
  <pageMargins left="0.59027777777777779" right="0.19652777777777777" top="0.39374999999999999" bottom="0.39374999999999999" header="0.51180555555555562" footer="0.51180555555555562"/>
  <pageSetup paperSize="5" scale="56" firstPageNumber="0" fitToHeight="2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</vt:i4>
      </vt:variant>
    </vt:vector>
  </HeadingPairs>
  <TitlesOfParts>
    <vt:vector size="36" baseType="lpstr">
      <vt:lpstr>Ref_CostCat</vt:lpstr>
      <vt:lpstr>Cache_Option</vt:lpstr>
      <vt:lpstr>Temp_PerBranch1</vt:lpstr>
      <vt:lpstr>Temp_PerBulan</vt:lpstr>
      <vt:lpstr>(MENU)</vt:lpstr>
      <vt:lpstr>CLN</vt:lpstr>
      <vt:lpstr>MJK2</vt:lpstr>
      <vt:lpstr>MJK1</vt:lpstr>
      <vt:lpstr>BJR</vt:lpstr>
      <vt:lpstr>JAN-DEC</vt:lpstr>
      <vt:lpstr>1. JAN</vt:lpstr>
      <vt:lpstr>3. MAR</vt:lpstr>
      <vt:lpstr>7. JUL</vt:lpstr>
      <vt:lpstr>8. AUG</vt:lpstr>
      <vt:lpstr>'1. JAN'!Print_Area</vt:lpstr>
      <vt:lpstr>'3. MAR'!Print_Area</vt:lpstr>
      <vt:lpstr>'7. JUL'!Print_Area</vt:lpstr>
      <vt:lpstr>'8. AUG'!Print_Area</vt:lpstr>
      <vt:lpstr>BJR!Print_Area</vt:lpstr>
      <vt:lpstr>CLN!Print_Area</vt:lpstr>
      <vt:lpstr>'JAN-DEC'!Print_Area</vt:lpstr>
      <vt:lpstr>'MJK1'!Print_Area</vt:lpstr>
      <vt:lpstr>'MJK2'!Print_Area</vt:lpstr>
      <vt:lpstr>Temp_PerBranch1!Print_Area</vt:lpstr>
      <vt:lpstr>Temp_PerBulan!Print_Area</vt:lpstr>
      <vt:lpstr>'1. JAN'!Print_Titles</vt:lpstr>
      <vt:lpstr>'3. MAR'!Print_Titles</vt:lpstr>
      <vt:lpstr>'7. JUL'!Print_Titles</vt:lpstr>
      <vt:lpstr>'8. AUG'!Print_Titles</vt:lpstr>
      <vt:lpstr>BJR!Print_Titles</vt:lpstr>
      <vt:lpstr>CLN!Print_Titles</vt:lpstr>
      <vt:lpstr>'JAN-DEC'!Print_Titles</vt:lpstr>
      <vt:lpstr>'MJK1'!Print_Titles</vt:lpstr>
      <vt:lpstr>'MJK2'!Print_Titles</vt:lpstr>
      <vt:lpstr>Temp_PerBranch1!Print_Titles</vt:lpstr>
      <vt:lpstr>Temp_PerBulan!Print_Titles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2024-02-29T02:44:46Z</dcterms:created>
  <dcterms:modified xsi:type="dcterms:W3CDTF">2024-08-22T07:04:49Z</dcterms:modified>
</cp:coreProperties>
</file>