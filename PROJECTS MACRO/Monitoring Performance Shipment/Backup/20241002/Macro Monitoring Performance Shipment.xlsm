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BDA6B0E9-F980-4350-BBA3-C802C91C5AB3}" xr6:coauthVersionLast="47" xr6:coauthVersionMax="47" xr10:uidLastSave="{00000000-0000-0000-0000-000000000000}"/>
  <bookViews>
    <workbookView xWindow="-110" yWindow="-110" windowWidth="19420" windowHeight="10300" xr2:uid="{BFB33DAB-B956-401A-93AD-3738362D6D09}"/>
  </bookViews>
  <sheets>
    <sheet name="{HOME}" sheetId="1" r:id="rId1"/>
    <sheet name="DATA" sheetId="121" r:id="rId2"/>
  </sheets>
  <functionGroups builtInGroupCount="19"/>
  <definedNames>
    <definedName name="_xlnm._FilterDatabase" localSheetId="1" hidden="1">DATA!$A$2:$AL$123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3" i="121" l="1"/>
  <c r="AI123" i="121" s="1"/>
  <c r="U123" i="121"/>
  <c r="T123" i="121"/>
  <c r="S123" i="121"/>
  <c r="R123" i="121"/>
  <c r="AA122" i="121"/>
  <c r="AI122" i="121" s="1"/>
  <c r="U122" i="121"/>
  <c r="T122" i="121"/>
  <c r="S122" i="121"/>
  <c r="R122" i="121"/>
  <c r="AA121" i="121"/>
  <c r="AI121" i="121" s="1"/>
  <c r="U121" i="121"/>
  <c r="T121" i="121"/>
  <c r="S121" i="121"/>
  <c r="R121" i="121"/>
  <c r="AA120" i="121"/>
  <c r="AI120" i="121" s="1"/>
  <c r="U120" i="121"/>
  <c r="T120" i="121"/>
  <c r="S120" i="121"/>
  <c r="R120" i="121"/>
  <c r="AB119" i="121"/>
  <c r="AA119" i="121"/>
  <c r="U119" i="121"/>
  <c r="T119" i="121"/>
  <c r="S119" i="121"/>
  <c r="R119" i="121"/>
  <c r="AA118" i="121"/>
  <c r="AI118" i="121" s="1"/>
  <c r="U118" i="121"/>
  <c r="T118" i="121"/>
  <c r="S118" i="121"/>
  <c r="R118" i="121"/>
  <c r="AA117" i="121"/>
  <c r="AI117" i="121" s="1"/>
  <c r="U117" i="121"/>
  <c r="T117" i="121"/>
  <c r="S117" i="121"/>
  <c r="R117" i="121"/>
  <c r="AA116" i="121"/>
  <c r="AI116" i="121" s="1"/>
  <c r="U116" i="121"/>
  <c r="T116" i="121"/>
  <c r="S116" i="121"/>
  <c r="R116" i="121"/>
  <c r="AA115" i="121"/>
  <c r="AI115" i="121" s="1"/>
  <c r="U115" i="121"/>
  <c r="T115" i="121"/>
  <c r="S115" i="121"/>
  <c r="R115" i="121"/>
  <c r="AA114" i="121"/>
  <c r="AI114" i="121" s="1"/>
  <c r="U114" i="121"/>
  <c r="T114" i="121"/>
  <c r="S114" i="121"/>
  <c r="R114" i="121"/>
  <c r="AA113" i="121"/>
  <c r="AI113" i="121" s="1"/>
  <c r="U113" i="121"/>
  <c r="T113" i="121"/>
  <c r="S113" i="121"/>
  <c r="R113" i="121"/>
  <c r="AA112" i="121"/>
  <c r="AI112" i="121" s="1"/>
  <c r="U112" i="121"/>
  <c r="T112" i="121"/>
  <c r="S112" i="121"/>
  <c r="R112" i="121"/>
  <c r="AJ112" i="121" s="1"/>
  <c r="AA111" i="121"/>
  <c r="AI111" i="121" s="1"/>
  <c r="U111" i="121"/>
  <c r="T111" i="121"/>
  <c r="S111" i="121"/>
  <c r="R111" i="121"/>
  <c r="AA110" i="121"/>
  <c r="AI110" i="121" s="1"/>
  <c r="U110" i="121"/>
  <c r="T110" i="121"/>
  <c r="S110" i="121"/>
  <c r="R110" i="121"/>
  <c r="AI109" i="121"/>
  <c r="AA109" i="121"/>
  <c r="U109" i="121"/>
  <c r="T109" i="121"/>
  <c r="S109" i="121"/>
  <c r="R109" i="121"/>
  <c r="AA108" i="121"/>
  <c r="AI108" i="121" s="1"/>
  <c r="U108" i="121"/>
  <c r="T108" i="121"/>
  <c r="S108" i="121"/>
  <c r="R108" i="121"/>
  <c r="AA107" i="121"/>
  <c r="AI107" i="121" s="1"/>
  <c r="AJ107" i="121" s="1"/>
  <c r="U107" i="121"/>
  <c r="T107" i="121"/>
  <c r="S107" i="121"/>
  <c r="R107" i="121"/>
  <c r="P107" i="121"/>
  <c r="AA106" i="121"/>
  <c r="AI106" i="121" s="1"/>
  <c r="U106" i="121"/>
  <c r="T106" i="121"/>
  <c r="S106" i="121"/>
  <c r="R106" i="121"/>
  <c r="AI105" i="121"/>
  <c r="U105" i="121"/>
  <c r="T105" i="121"/>
  <c r="S105" i="121"/>
  <c r="R105" i="121"/>
  <c r="AI104" i="121"/>
  <c r="AJ104" i="121" s="1"/>
  <c r="U104" i="121"/>
  <c r="T104" i="121"/>
  <c r="S104" i="121"/>
  <c r="R104" i="121"/>
  <c r="AA103" i="121"/>
  <c r="AI103" i="121" s="1"/>
  <c r="U103" i="121"/>
  <c r="T103" i="121"/>
  <c r="S103" i="121"/>
  <c r="R103" i="121"/>
  <c r="AA102" i="121"/>
  <c r="AI102" i="121" s="1"/>
  <c r="U102" i="121"/>
  <c r="T102" i="121"/>
  <c r="S102" i="121"/>
  <c r="R102" i="121"/>
  <c r="AA101" i="121"/>
  <c r="AI101" i="121" s="1"/>
  <c r="U101" i="121"/>
  <c r="T101" i="121"/>
  <c r="S101" i="121"/>
  <c r="R101" i="121"/>
  <c r="AA100" i="121"/>
  <c r="AI100" i="121" s="1"/>
  <c r="U100" i="121"/>
  <c r="T100" i="121"/>
  <c r="S100" i="121"/>
  <c r="R100" i="121"/>
  <c r="AA99" i="121"/>
  <c r="AI99" i="121" s="1"/>
  <c r="U99" i="121"/>
  <c r="T99" i="121"/>
  <c r="S99" i="121"/>
  <c r="R99" i="121"/>
  <c r="AA98" i="121"/>
  <c r="AI98" i="121" s="1"/>
  <c r="U98" i="121"/>
  <c r="T98" i="121"/>
  <c r="S98" i="121"/>
  <c r="R98" i="121"/>
  <c r="AA97" i="121"/>
  <c r="AI97" i="121" s="1"/>
  <c r="U97" i="121"/>
  <c r="T97" i="121"/>
  <c r="S97" i="121"/>
  <c r="R97" i="121"/>
  <c r="AJ97" i="121" s="1"/>
  <c r="AA96" i="121"/>
  <c r="AI96" i="121" s="1"/>
  <c r="U96" i="121"/>
  <c r="T96" i="121"/>
  <c r="S96" i="121"/>
  <c r="R96" i="121"/>
  <c r="AA95" i="121"/>
  <c r="AI95" i="121" s="1"/>
  <c r="U95" i="121"/>
  <c r="T95" i="121"/>
  <c r="S95" i="121"/>
  <c r="R95" i="121"/>
  <c r="AA94" i="121"/>
  <c r="AI94" i="121" s="1"/>
  <c r="U94" i="121"/>
  <c r="T94" i="121"/>
  <c r="S94" i="121"/>
  <c r="R94" i="121"/>
  <c r="AA93" i="121"/>
  <c r="AI93" i="121" s="1"/>
  <c r="U93" i="121"/>
  <c r="T93" i="121"/>
  <c r="S93" i="121"/>
  <c r="R93" i="121"/>
  <c r="AA92" i="121"/>
  <c r="AI92" i="121" s="1"/>
  <c r="U92" i="121"/>
  <c r="T92" i="121"/>
  <c r="S92" i="121"/>
  <c r="R92" i="121"/>
  <c r="AA91" i="121"/>
  <c r="AI91" i="121" s="1"/>
  <c r="U91" i="121"/>
  <c r="T91" i="121"/>
  <c r="S91" i="121"/>
  <c r="R91" i="121"/>
  <c r="AA90" i="121"/>
  <c r="AI90" i="121" s="1"/>
  <c r="U90" i="121"/>
  <c r="T90" i="121"/>
  <c r="S90" i="121"/>
  <c r="R90" i="121"/>
  <c r="AA89" i="121"/>
  <c r="AI89" i="121" s="1"/>
  <c r="U89" i="121"/>
  <c r="T89" i="121"/>
  <c r="S89" i="121"/>
  <c r="R89" i="121"/>
  <c r="AJ89" i="121" s="1"/>
  <c r="AA88" i="121"/>
  <c r="AI88" i="121" s="1"/>
  <c r="U88" i="121"/>
  <c r="T88" i="121"/>
  <c r="S88" i="121"/>
  <c r="R88" i="121"/>
  <c r="AA87" i="121"/>
  <c r="AI87" i="121" s="1"/>
  <c r="U87" i="121"/>
  <c r="T87" i="121"/>
  <c r="S87" i="121"/>
  <c r="R87" i="121"/>
  <c r="AA86" i="121"/>
  <c r="AI86" i="121" s="1"/>
  <c r="U86" i="121"/>
  <c r="T86" i="121"/>
  <c r="S86" i="121"/>
  <c r="R86" i="121"/>
  <c r="AA85" i="121"/>
  <c r="AI85" i="121" s="1"/>
  <c r="U85" i="121"/>
  <c r="T85" i="121"/>
  <c r="S85" i="121"/>
  <c r="R85" i="121"/>
  <c r="AA84" i="121"/>
  <c r="AI84" i="121" s="1"/>
  <c r="U84" i="121"/>
  <c r="T84" i="121"/>
  <c r="S84" i="121"/>
  <c r="R84" i="121"/>
  <c r="AA83" i="121"/>
  <c r="AI83" i="121" s="1"/>
  <c r="U83" i="121"/>
  <c r="T83" i="121"/>
  <c r="S83" i="121"/>
  <c r="R83" i="121"/>
  <c r="AA82" i="121"/>
  <c r="AI82" i="121" s="1"/>
  <c r="U82" i="121"/>
  <c r="T82" i="121"/>
  <c r="S82" i="121"/>
  <c r="R82" i="121"/>
  <c r="AA81" i="121"/>
  <c r="AI81" i="121" s="1"/>
  <c r="U81" i="121"/>
  <c r="T81" i="121"/>
  <c r="S81" i="121"/>
  <c r="R81" i="121"/>
  <c r="AJ81" i="121" s="1"/>
  <c r="AA80" i="121"/>
  <c r="AI80" i="121" s="1"/>
  <c r="U80" i="121"/>
  <c r="T80" i="121"/>
  <c r="S80" i="121"/>
  <c r="R80" i="121"/>
  <c r="AA79" i="121"/>
  <c r="Z79" i="121"/>
  <c r="U79" i="121"/>
  <c r="T79" i="121"/>
  <c r="S79" i="121"/>
  <c r="R79" i="121"/>
  <c r="AA78" i="121"/>
  <c r="AI78" i="121" s="1"/>
  <c r="U78" i="121"/>
  <c r="T78" i="121"/>
  <c r="S78" i="121"/>
  <c r="R78" i="121"/>
  <c r="AJ78" i="121" s="1"/>
  <c r="AA77" i="121"/>
  <c r="AI77" i="121" s="1"/>
  <c r="U77" i="121"/>
  <c r="T77" i="121"/>
  <c r="S77" i="121"/>
  <c r="R77" i="121"/>
  <c r="AA76" i="121"/>
  <c r="AI76" i="121" s="1"/>
  <c r="U76" i="121"/>
  <c r="T76" i="121"/>
  <c r="S76" i="121"/>
  <c r="R76" i="121"/>
  <c r="AA75" i="121"/>
  <c r="AI75" i="121" s="1"/>
  <c r="U75" i="121"/>
  <c r="T75" i="121"/>
  <c r="S75" i="121"/>
  <c r="R75" i="121"/>
  <c r="AA74" i="121"/>
  <c r="AI74" i="121" s="1"/>
  <c r="U74" i="121"/>
  <c r="T74" i="121"/>
  <c r="S74" i="121"/>
  <c r="R74" i="121"/>
  <c r="AA73" i="121"/>
  <c r="AI73" i="121" s="1"/>
  <c r="U73" i="121"/>
  <c r="T73" i="121"/>
  <c r="S73" i="121"/>
  <c r="R73" i="121"/>
  <c r="AA72" i="121"/>
  <c r="AI72" i="121" s="1"/>
  <c r="U72" i="121"/>
  <c r="T72" i="121"/>
  <c r="S72" i="121"/>
  <c r="R72" i="121"/>
  <c r="AA71" i="121"/>
  <c r="AI71" i="121" s="1"/>
  <c r="U71" i="121"/>
  <c r="T71" i="121"/>
  <c r="S71" i="121"/>
  <c r="R71" i="121"/>
  <c r="AA70" i="121"/>
  <c r="AI70" i="121" s="1"/>
  <c r="U70" i="121"/>
  <c r="T70" i="121"/>
  <c r="S70" i="121"/>
  <c r="R70" i="121"/>
  <c r="AJ70" i="121" s="1"/>
  <c r="AI69" i="121"/>
  <c r="AA69" i="121"/>
  <c r="U69" i="121"/>
  <c r="T69" i="121"/>
  <c r="S69" i="121"/>
  <c r="R69" i="121"/>
  <c r="AA68" i="121"/>
  <c r="AI68" i="121" s="1"/>
  <c r="U68" i="121"/>
  <c r="T68" i="121"/>
  <c r="S68" i="121"/>
  <c r="R68" i="121"/>
  <c r="AI67" i="121"/>
  <c r="R67" i="121"/>
  <c r="AJ67" i="121" s="1"/>
  <c r="Q67" i="121"/>
  <c r="T67" i="121" s="1"/>
  <c r="AI66" i="121"/>
  <c r="Q66" i="121"/>
  <c r="U66" i="121" s="1"/>
  <c r="AA65" i="121"/>
  <c r="AI65" i="121" s="1"/>
  <c r="U65" i="121"/>
  <c r="T65" i="121"/>
  <c r="S65" i="121"/>
  <c r="R65" i="121"/>
  <c r="AA64" i="121"/>
  <c r="AI64" i="121" s="1"/>
  <c r="U64" i="121"/>
  <c r="T64" i="121"/>
  <c r="S64" i="121"/>
  <c r="R64" i="121"/>
  <c r="AA63" i="121"/>
  <c r="AI63" i="121" s="1"/>
  <c r="U63" i="121"/>
  <c r="T63" i="121"/>
  <c r="S63" i="121"/>
  <c r="R63" i="121"/>
  <c r="AA62" i="121"/>
  <c r="AI62" i="121" s="1"/>
  <c r="U62" i="121"/>
  <c r="T62" i="121"/>
  <c r="S62" i="121"/>
  <c r="R62" i="121"/>
  <c r="AA61" i="121"/>
  <c r="AI61" i="121" s="1"/>
  <c r="U61" i="121"/>
  <c r="T61" i="121"/>
  <c r="S61" i="121"/>
  <c r="R61" i="121"/>
  <c r="AA60" i="121"/>
  <c r="AI60" i="121" s="1"/>
  <c r="U60" i="121"/>
  <c r="T60" i="121"/>
  <c r="S60" i="121"/>
  <c r="R60" i="121"/>
  <c r="AJ60" i="121" s="1"/>
  <c r="AA59" i="121"/>
  <c r="AI59" i="121" s="1"/>
  <c r="U59" i="121"/>
  <c r="T59" i="121"/>
  <c r="S59" i="121"/>
  <c r="R59" i="121"/>
  <c r="AA58" i="121"/>
  <c r="AI58" i="121" s="1"/>
  <c r="U58" i="121"/>
  <c r="T58" i="121"/>
  <c r="S58" i="121"/>
  <c r="R58" i="121"/>
  <c r="AA57" i="121"/>
  <c r="AI57" i="121" s="1"/>
  <c r="U57" i="121"/>
  <c r="T57" i="121"/>
  <c r="S57" i="121"/>
  <c r="R57" i="121"/>
  <c r="AA56" i="121"/>
  <c r="AI56" i="121" s="1"/>
  <c r="U56" i="121"/>
  <c r="T56" i="121"/>
  <c r="S56" i="121"/>
  <c r="R56" i="121"/>
  <c r="AA55" i="121"/>
  <c r="AI55" i="121" s="1"/>
  <c r="U55" i="121"/>
  <c r="T55" i="121"/>
  <c r="S55" i="121"/>
  <c r="R55" i="121"/>
  <c r="AA54" i="121"/>
  <c r="AI54" i="121" s="1"/>
  <c r="AJ54" i="121" s="1"/>
  <c r="U54" i="121"/>
  <c r="T54" i="121"/>
  <c r="S54" i="121"/>
  <c r="R54" i="121"/>
  <c r="AA53" i="121"/>
  <c r="AI53" i="121" s="1"/>
  <c r="U53" i="121"/>
  <c r="T53" i="121"/>
  <c r="S53" i="121"/>
  <c r="R53" i="121"/>
  <c r="AJ53" i="121" s="1"/>
  <c r="AA52" i="121"/>
  <c r="AI52" i="121" s="1"/>
  <c r="U52" i="121"/>
  <c r="T52" i="121"/>
  <c r="S52" i="121"/>
  <c r="R52" i="121"/>
  <c r="AJ52" i="121" s="1"/>
  <c r="AA51" i="121"/>
  <c r="AI51" i="121" s="1"/>
  <c r="U51" i="121"/>
  <c r="T51" i="121"/>
  <c r="S51" i="121"/>
  <c r="R51" i="121"/>
  <c r="AA50" i="121"/>
  <c r="AI50" i="121" s="1"/>
  <c r="U50" i="121"/>
  <c r="T50" i="121"/>
  <c r="S50" i="121"/>
  <c r="R50" i="121"/>
  <c r="AA49" i="121"/>
  <c r="AI49" i="121" s="1"/>
  <c r="U49" i="121"/>
  <c r="T49" i="121"/>
  <c r="S49" i="121"/>
  <c r="R49" i="121"/>
  <c r="AA48" i="121"/>
  <c r="AI48" i="121" s="1"/>
  <c r="AJ48" i="121" s="1"/>
  <c r="U48" i="121"/>
  <c r="T48" i="121"/>
  <c r="S48" i="121"/>
  <c r="R48" i="121"/>
  <c r="T47" i="121"/>
  <c r="S47" i="121"/>
  <c r="O47" i="121"/>
  <c r="R47" i="121" s="1"/>
  <c r="T46" i="121"/>
  <c r="S46" i="121"/>
  <c r="O46" i="121"/>
  <c r="R46" i="121" s="1"/>
  <c r="AA45" i="121"/>
  <c r="AI45" i="121" s="1"/>
  <c r="U45" i="121"/>
  <c r="T45" i="121"/>
  <c r="S45" i="121"/>
  <c r="R45" i="121"/>
  <c r="AA44" i="121"/>
  <c r="AI44" i="121" s="1"/>
  <c r="U44" i="121"/>
  <c r="T44" i="121"/>
  <c r="S44" i="121"/>
  <c r="R44" i="121"/>
  <c r="AA43" i="121"/>
  <c r="AI43" i="121" s="1"/>
  <c r="U43" i="121"/>
  <c r="T43" i="121"/>
  <c r="S43" i="121"/>
  <c r="R43" i="121"/>
  <c r="AA42" i="121"/>
  <c r="AI42" i="121" s="1"/>
  <c r="U42" i="121"/>
  <c r="T42" i="121"/>
  <c r="S42" i="121"/>
  <c r="R42" i="121"/>
  <c r="AA41" i="121"/>
  <c r="AI41" i="121" s="1"/>
  <c r="U41" i="121"/>
  <c r="T41" i="121"/>
  <c r="S41" i="121"/>
  <c r="R41" i="121"/>
  <c r="AA40" i="121"/>
  <c r="AH40" i="121" s="1"/>
  <c r="U40" i="121"/>
  <c r="T40" i="121"/>
  <c r="S40" i="121"/>
  <c r="R40" i="121"/>
  <c r="AA39" i="121"/>
  <c r="AH39" i="121" s="1"/>
  <c r="U39" i="121"/>
  <c r="T39" i="121"/>
  <c r="S39" i="121"/>
  <c r="R39" i="121"/>
  <c r="AI38" i="121"/>
  <c r="AJ38" i="121" s="1"/>
  <c r="U38" i="121"/>
  <c r="T38" i="121"/>
  <c r="S38" i="121"/>
  <c r="R38" i="121"/>
  <c r="AA37" i="121"/>
  <c r="AH37" i="121" s="1"/>
  <c r="U37" i="121"/>
  <c r="T37" i="121"/>
  <c r="S37" i="121"/>
  <c r="R37" i="121"/>
  <c r="AA36" i="121"/>
  <c r="AH36" i="121" s="1"/>
  <c r="U36" i="121"/>
  <c r="T36" i="121"/>
  <c r="S36" i="121"/>
  <c r="R36" i="121"/>
  <c r="AI35" i="121"/>
  <c r="U35" i="121"/>
  <c r="T35" i="121"/>
  <c r="S35" i="121"/>
  <c r="R35" i="121"/>
  <c r="AI34" i="121"/>
  <c r="U34" i="121"/>
  <c r="T34" i="121"/>
  <c r="S34" i="121"/>
  <c r="R34" i="121"/>
  <c r="AI33" i="121"/>
  <c r="AJ33" i="121" s="1"/>
  <c r="U33" i="121"/>
  <c r="T33" i="121"/>
  <c r="S33" i="121"/>
  <c r="R33" i="121"/>
  <c r="AI32" i="121"/>
  <c r="U32" i="121"/>
  <c r="T32" i="121"/>
  <c r="S32" i="121"/>
  <c r="R32" i="121"/>
  <c r="AI31" i="121"/>
  <c r="U31" i="121"/>
  <c r="T31" i="121"/>
  <c r="S31" i="121"/>
  <c r="R31" i="121"/>
  <c r="U30" i="121"/>
  <c r="T30" i="121"/>
  <c r="U29" i="121"/>
  <c r="T29" i="121"/>
  <c r="U28" i="121"/>
  <c r="T28" i="121"/>
  <c r="AA27" i="121"/>
  <c r="AI27" i="121" s="1"/>
  <c r="U27" i="121"/>
  <c r="T27" i="121"/>
  <c r="S27" i="121"/>
  <c r="R27" i="121"/>
  <c r="AJ27" i="121" s="1"/>
  <c r="AA26" i="121"/>
  <c r="X26" i="121"/>
  <c r="U26" i="121"/>
  <c r="T26" i="121"/>
  <c r="S26" i="121"/>
  <c r="R26" i="121"/>
  <c r="AA25" i="121"/>
  <c r="X25" i="121"/>
  <c r="AI25" i="121" s="1"/>
  <c r="U25" i="121"/>
  <c r="T25" i="121"/>
  <c r="S25" i="121"/>
  <c r="R25" i="121"/>
  <c r="AA24" i="121"/>
  <c r="AI24" i="121" s="1"/>
  <c r="U24" i="121"/>
  <c r="T24" i="121"/>
  <c r="S24" i="121"/>
  <c r="R24" i="121"/>
  <c r="AJ24" i="121" s="1"/>
  <c r="AA23" i="121"/>
  <c r="AI23" i="121" s="1"/>
  <c r="U23" i="121"/>
  <c r="T23" i="121"/>
  <c r="S23" i="121"/>
  <c r="R23" i="121"/>
  <c r="AJ23" i="121" s="1"/>
  <c r="AA22" i="121"/>
  <c r="AI22" i="121" s="1"/>
  <c r="U22" i="121"/>
  <c r="T22" i="121"/>
  <c r="S22" i="121"/>
  <c r="R22" i="121"/>
  <c r="AA21" i="121"/>
  <c r="AI21" i="121" s="1"/>
  <c r="U21" i="121"/>
  <c r="T21" i="121"/>
  <c r="S21" i="121"/>
  <c r="R21" i="121"/>
  <c r="AA20" i="121"/>
  <c r="AI20" i="121" s="1"/>
  <c r="U20" i="121"/>
  <c r="T20" i="121"/>
  <c r="S20" i="121"/>
  <c r="R20" i="121"/>
  <c r="AA19" i="121"/>
  <c r="AI19" i="121" s="1"/>
  <c r="U19" i="121"/>
  <c r="T19" i="121"/>
  <c r="S19" i="121"/>
  <c r="R19" i="121"/>
  <c r="AA18" i="121"/>
  <c r="AI18" i="121" s="1"/>
  <c r="U18" i="121"/>
  <c r="T18" i="121"/>
  <c r="S18" i="121"/>
  <c r="R18" i="121"/>
  <c r="AA17" i="121"/>
  <c r="AI17" i="121" s="1"/>
  <c r="U17" i="121"/>
  <c r="T17" i="121"/>
  <c r="S17" i="121"/>
  <c r="R17" i="121"/>
  <c r="AA16" i="121"/>
  <c r="AI16" i="121" s="1"/>
  <c r="U16" i="121"/>
  <c r="T16" i="121"/>
  <c r="S16" i="121"/>
  <c r="R16" i="121"/>
  <c r="AJ16" i="121" s="1"/>
  <c r="AA15" i="121"/>
  <c r="AI15" i="121" s="1"/>
  <c r="Q15" i="121"/>
  <c r="R15" i="121" s="1"/>
  <c r="AA14" i="121"/>
  <c r="AI14" i="121" s="1"/>
  <c r="U14" i="121"/>
  <c r="T14" i="121"/>
  <c r="S14" i="121"/>
  <c r="R14" i="121"/>
  <c r="AJ14" i="121" s="1"/>
  <c r="AA13" i="121"/>
  <c r="AI13" i="121" s="1"/>
  <c r="U13" i="121"/>
  <c r="T13" i="121"/>
  <c r="S13" i="121"/>
  <c r="R13" i="121"/>
  <c r="AA12" i="121"/>
  <c r="X12" i="121"/>
  <c r="U12" i="121"/>
  <c r="T12" i="121"/>
  <c r="S12" i="121"/>
  <c r="R12" i="121"/>
  <c r="AA11" i="121"/>
  <c r="AI11" i="121" s="1"/>
  <c r="U11" i="121"/>
  <c r="T11" i="121"/>
  <c r="S11" i="121"/>
  <c r="R11" i="121"/>
  <c r="AA10" i="121"/>
  <c r="AI10" i="121" s="1"/>
  <c r="AJ10" i="121" s="1"/>
  <c r="U10" i="121"/>
  <c r="T10" i="121"/>
  <c r="S10" i="121"/>
  <c r="R10" i="121"/>
  <c r="AA9" i="121"/>
  <c r="AI9" i="121" s="1"/>
  <c r="AJ9" i="121" s="1"/>
  <c r="U9" i="121"/>
  <c r="T9" i="121"/>
  <c r="S9" i="121"/>
  <c r="R9" i="121"/>
  <c r="AA8" i="121"/>
  <c r="AI8" i="121" s="1"/>
  <c r="U8" i="121"/>
  <c r="T8" i="121"/>
  <c r="S8" i="121"/>
  <c r="R8" i="121"/>
  <c r="AA7" i="121"/>
  <c r="AI7" i="121" s="1"/>
  <c r="AJ7" i="121" s="1"/>
  <c r="U7" i="121"/>
  <c r="T7" i="121"/>
  <c r="S7" i="121"/>
  <c r="R7" i="121"/>
  <c r="AA6" i="121"/>
  <c r="AI6" i="121" s="1"/>
  <c r="U6" i="121"/>
  <c r="T6" i="121"/>
  <c r="S6" i="121"/>
  <c r="R6" i="121"/>
  <c r="AA5" i="121"/>
  <c r="AI5" i="121" s="1"/>
  <c r="U5" i="121"/>
  <c r="T5" i="121"/>
  <c r="S5" i="121"/>
  <c r="R5" i="121"/>
  <c r="AA4" i="121"/>
  <c r="AI4" i="121" s="1"/>
  <c r="AJ4" i="121" s="1"/>
  <c r="U4" i="121"/>
  <c r="T4" i="121"/>
  <c r="S4" i="121"/>
  <c r="R4" i="121"/>
  <c r="AJ17" i="121" l="1"/>
  <c r="AJ32" i="121"/>
  <c r="AJ88" i="121"/>
  <c r="AJ99" i="121"/>
  <c r="AJ8" i="121"/>
  <c r="AA47" i="121"/>
  <c r="AI47" i="121" s="1"/>
  <c r="AJ47" i="121" s="1"/>
  <c r="AJ62" i="121"/>
  <c r="AJ110" i="121"/>
  <c r="AJ114" i="121"/>
  <c r="AJ13" i="121"/>
  <c r="AJ11" i="121"/>
  <c r="AJ21" i="121"/>
  <c r="AI36" i="121"/>
  <c r="AJ44" i="121"/>
  <c r="U47" i="121"/>
  <c r="AJ92" i="121"/>
  <c r="AI26" i="121"/>
  <c r="AJ26" i="121" s="1"/>
  <c r="AJ34" i="121"/>
  <c r="AJ71" i="121"/>
  <c r="AJ105" i="121"/>
  <c r="AJ108" i="121"/>
  <c r="AJ121" i="121"/>
  <c r="AJ31" i="121"/>
  <c r="AJ123" i="121"/>
  <c r="AJ106" i="121"/>
  <c r="AJ117" i="121"/>
  <c r="U46" i="121"/>
  <c r="AJ84" i="121"/>
  <c r="AJ115" i="121"/>
  <c r="AI39" i="121"/>
  <c r="AJ73" i="121"/>
  <c r="AJ5" i="121"/>
  <c r="AI12" i="121"/>
  <c r="AJ25" i="121"/>
  <c r="AJ35" i="121"/>
  <c r="AJ63" i="121"/>
  <c r="AI79" i="121"/>
  <c r="AJ79" i="121" s="1"/>
  <c r="AJ90" i="121"/>
  <c r="AI119" i="121"/>
  <c r="AJ119" i="121" s="1"/>
  <c r="AJ45" i="121"/>
  <c r="AJ61" i="121"/>
  <c r="AJ80" i="121"/>
  <c r="AJ98" i="121"/>
  <c r="AJ111" i="121"/>
  <c r="AJ122" i="121"/>
  <c r="AJ51" i="121"/>
  <c r="AJ69" i="121"/>
  <c r="AJ96" i="121"/>
  <c r="AJ109" i="121"/>
  <c r="AJ120" i="121"/>
  <c r="AJ12" i="121"/>
  <c r="AJ49" i="121"/>
  <c r="AJ86" i="121"/>
  <c r="AJ20" i="121"/>
  <c r="AJ41" i="121"/>
  <c r="AJ57" i="121"/>
  <c r="AJ75" i="121"/>
  <c r="AJ102" i="121"/>
  <c r="AJ6" i="121"/>
  <c r="AJ55" i="121"/>
  <c r="AJ22" i="121"/>
  <c r="AJ43" i="121"/>
  <c r="AJ68" i="121"/>
  <c r="AJ87" i="121"/>
  <c r="AJ118" i="121"/>
  <c r="AJ15" i="121"/>
  <c r="AJ18" i="121"/>
  <c r="AI37" i="121"/>
  <c r="AJ64" i="121"/>
  <c r="AJ72" i="121"/>
  <c r="AJ82" i="121"/>
  <c r="AJ91" i="121"/>
  <c r="AJ100" i="121"/>
  <c r="AJ113" i="121"/>
  <c r="AJ50" i="121"/>
  <c r="AJ59" i="121"/>
  <c r="AJ77" i="121"/>
  <c r="AJ95" i="121"/>
  <c r="AJ42" i="121"/>
  <c r="AJ58" i="121"/>
  <c r="AJ76" i="121"/>
  <c r="AJ85" i="121"/>
  <c r="AJ94" i="121"/>
  <c r="AJ103" i="121"/>
  <c r="AJ116" i="121"/>
  <c r="AJ19" i="121"/>
  <c r="AI40" i="121"/>
  <c r="AJ56" i="121"/>
  <c r="AJ65" i="121"/>
  <c r="AJ74" i="121"/>
  <c r="AJ83" i="121"/>
  <c r="AJ93" i="121"/>
  <c r="AJ101" i="121"/>
  <c r="S15" i="121"/>
  <c r="T66" i="121"/>
  <c r="T15" i="121"/>
  <c r="U15" i="121"/>
  <c r="U67" i="121"/>
  <c r="AA46" i="121"/>
  <c r="AI46" i="121" s="1"/>
  <c r="AJ46" i="121" s="1"/>
  <c r="R66" i="121"/>
  <c r="AJ66" i="121" s="1"/>
  <c r="S66" i="121"/>
  <c r="S67" i="121"/>
  <c r="C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nara nara</author>
  </authors>
  <commentList>
    <comment ref="X28" authorId="0" shapeId="0" xr:uid="{05EDE66B-8CA0-4B82-BAB4-0F0274B8F24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tdk match, kurang colour navy</t>
        </r>
      </text>
    </comment>
    <comment ref="X30" authorId="0" shapeId="0" xr:uid="{F0FABA48-73E6-4037-96EB-04AF8C0F3BA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TDK MATCH, kurang  colour white </t>
        </r>
      </text>
    </comment>
    <comment ref="Z30" authorId="0" shapeId="0" xr:uid="{5D49FAAF-BE56-4CAE-B181-C446D0FFF57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reject kain colour white </t>
        </r>
      </text>
    </comment>
    <comment ref="O46" authorId="1" shapeId="0" xr:uid="{8CC84235-8828-48E4-8195-B844E7A00539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QTY CUTTING DIKURANGI STOCK GARMENT</t>
        </r>
      </text>
    </comment>
    <comment ref="O47" authorId="1" shapeId="0" xr:uid="{6B131832-1657-4994-A357-F0C50D903474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QTY CUTTING DIKURANGI STOCK GARMENT</t>
        </r>
      </text>
    </comment>
    <comment ref="M115" authorId="1" shapeId="0" xr:uid="{6378F961-90C7-42B4-9C58-952069272183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STOCK GARMENT
</t>
        </r>
      </text>
    </comment>
  </commentList>
</comments>
</file>

<file path=xl/sharedStrings.xml><?xml version="1.0" encoding="utf-8"?>
<sst xmlns="http://schemas.openxmlformats.org/spreadsheetml/2006/main" count="908" uniqueCount="191">
  <si>
    <t>DATA FILE</t>
  </si>
  <si>
    <t>PATH FIALE</t>
  </si>
  <si>
    <t>-</t>
  </si>
  <si>
    <t>ENTITAS</t>
  </si>
  <si>
    <t>Source</t>
  </si>
  <si>
    <t>Result</t>
  </si>
  <si>
    <t>\\10.8.0.35\Bersama\IT\RPA 00\Monitoring Performance Shipment\Results\Monitoring Performance Shipment.xlsx</t>
  </si>
  <si>
    <t>PERIODE</t>
  </si>
  <si>
    <t>PERIODE H-MIN</t>
  </si>
  <si>
    <t>Performance Shipment Periode Bulan SEPTEMBER 2024</t>
  </si>
  <si>
    <t>TAHUN</t>
  </si>
  <si>
    <t>BULAN</t>
  </si>
  <si>
    <t>Ex-Fact.Date</t>
  </si>
  <si>
    <t>PRODUKSI</t>
  </si>
  <si>
    <t>PLACING EXSPORT</t>
  </si>
  <si>
    <t>PIC</t>
  </si>
  <si>
    <t>PIC PACKING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</si>
  <si>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</si>
  <si>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</si>
  <si>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</si>
  <si>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</si>
  <si>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</si>
  <si>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</si>
  <si>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</si>
  <si>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</si>
  <si>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</si>
  <si>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</si>
  <si>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</si>
  <si>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</si>
  <si>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</si>
  <si>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% EXP FROM CUTTING</t>
  </si>
  <si>
    <t>KETERANGAN</t>
  </si>
  <si>
    <t>PENGGUNAAN STOCK (IR)</t>
  </si>
  <si>
    <t>SISA EXPORT</t>
  </si>
  <si>
    <t>GOOD HANCA</t>
  </si>
  <si>
    <t>REJECT GARMENT</t>
  </si>
  <si>
    <t>REJECT CUTTING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</si>
  <si>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</si>
  <si>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</si>
  <si>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</si>
  <si>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</si>
  <si>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</si>
  <si>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</si>
  <si>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</si>
  <si>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</si>
  <si>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</si>
  <si>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</si>
  <si>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WEEK</t>
  </si>
  <si>
    <t>September</t>
  </si>
  <si>
    <t>ANUGERAH</t>
  </si>
  <si>
    <t>GM 2</t>
  </si>
  <si>
    <t>YULI</t>
  </si>
  <si>
    <t>HERLAMBANG</t>
  </si>
  <si>
    <t>GTHS</t>
  </si>
  <si>
    <t>TOMMY HILFIGER, TP3T0674</t>
  </si>
  <si>
    <t>GM 1</t>
  </si>
  <si>
    <t>CLN</t>
  </si>
  <si>
    <t>KIKI</t>
  </si>
  <si>
    <t>RAHMAN</t>
  </si>
  <si>
    <t>RED WING</t>
  </si>
  <si>
    <t>61805-53</t>
  </si>
  <si>
    <t>81905</t>
  </si>
  <si>
    <t>61105-53</t>
  </si>
  <si>
    <t>61105-57</t>
  </si>
  <si>
    <t>GM2</t>
  </si>
  <si>
    <t>RUDI</t>
  </si>
  <si>
    <t>EVI</t>
  </si>
  <si>
    <t>AGRON, INC.</t>
  </si>
  <si>
    <t>983375 – C</t>
  </si>
  <si>
    <t>Pilot Run, Test wash, Reject Sewing 1/2 Jadi, Reject cutting, Reject garment</t>
  </si>
  <si>
    <t>KALIBENDA</t>
  </si>
  <si>
    <t>HAKI</t>
  </si>
  <si>
    <t>ARIS</t>
  </si>
  <si>
    <t>983375 – D</t>
  </si>
  <si>
    <t>JIANGSU DINGXIN</t>
  </si>
  <si>
    <t>983375 – E</t>
  </si>
  <si>
    <t>Pilot Run, Test wash, Reject 1/2 Jadi, Reject garment, Reject Cutting</t>
  </si>
  <si>
    <t>983375 – F</t>
  </si>
  <si>
    <t xml:space="preserve"> Test wash, Reject 1/2 Jadi, Reject garment, Reject Cutting</t>
  </si>
  <si>
    <t>983375 – G</t>
  </si>
  <si>
    <t>983418 – B</t>
  </si>
  <si>
    <t>983418 – D</t>
  </si>
  <si>
    <t>983418 – F</t>
  </si>
  <si>
    <t>983462 – A</t>
  </si>
  <si>
    <t>Test wash, Pilot Run, Reject Cutting, Reject garment</t>
  </si>
  <si>
    <t>983462 – C</t>
  </si>
  <si>
    <t>CHAWAN</t>
  </si>
  <si>
    <t>MAJA 1</t>
  </si>
  <si>
    <t>DADAN. A</t>
  </si>
  <si>
    <t>RS MITRA KELUARGA</t>
  </si>
  <si>
    <t>CELANA OFFICE WANITA</t>
  </si>
  <si>
    <t>CELANA OFFICE PRIA</t>
  </si>
  <si>
    <t>HIJAB</t>
  </si>
  <si>
    <t>MANSET</t>
  </si>
  <si>
    <t>CELANA OFFICE WANITA HAMIL</t>
  </si>
  <si>
    <t>SEPTEMBER</t>
  </si>
  <si>
    <t>KANMO RETAIL GROUP</t>
  </si>
  <si>
    <t>MOTHER CARE, JL284</t>
  </si>
  <si>
    <t>MOTHER CARE, JL211</t>
  </si>
  <si>
    <t>MOTHER CARE, JL225</t>
  </si>
  <si>
    <t>CBA</t>
  </si>
  <si>
    <t>LARSY</t>
  </si>
  <si>
    <t>DADO</t>
  </si>
  <si>
    <t>MARUBENI INTEX Co., Ltd.</t>
  </si>
  <si>
    <t>SUN S-S# WA3220</t>
  </si>
  <si>
    <t>SUN S-S# WA322</t>
  </si>
  <si>
    <t>SUN S-S# WA327</t>
  </si>
  <si>
    <t>SUN S-S# WA3250</t>
  </si>
  <si>
    <t>SUN S-S# WA325</t>
  </si>
  <si>
    <t>SUN S-S# WA329</t>
  </si>
  <si>
    <t>SUN S-S# WA24101R</t>
  </si>
  <si>
    <t>CNJ2</t>
  </si>
  <si>
    <t>TRI</t>
  </si>
  <si>
    <t>SUN S-S#WA 24104R</t>
  </si>
  <si>
    <t>SUN S-S# WA3280</t>
  </si>
  <si>
    <t>SUN S-S# WA323</t>
  </si>
  <si>
    <t>RED WING SHOE COMPANY LLC</t>
  </si>
  <si>
    <t>983375 – A</t>
  </si>
  <si>
    <t>MAJA 2</t>
  </si>
  <si>
    <t>984120 – A</t>
  </si>
  <si>
    <t>Test wash, Reject sewing 1/2 jadi</t>
  </si>
  <si>
    <t>984120 – C</t>
  </si>
  <si>
    <t>Test wash, Reject Cutting, Reject Garment</t>
  </si>
  <si>
    <t>983463 – B</t>
  </si>
  <si>
    <t>983463 – C</t>
  </si>
  <si>
    <t>983119 – A</t>
  </si>
  <si>
    <t>983119 – B</t>
  </si>
  <si>
    <t>MARUBENI CORPORATION JEPANG</t>
  </si>
  <si>
    <t>396-90</t>
  </si>
  <si>
    <t>393-90</t>
  </si>
  <si>
    <t>393-94</t>
  </si>
  <si>
    <t>393-92</t>
  </si>
  <si>
    <t>391-90</t>
  </si>
  <si>
    <t>392-90</t>
  </si>
  <si>
    <t>392-94</t>
  </si>
  <si>
    <t>133-67</t>
  </si>
  <si>
    <t>133-78</t>
  </si>
  <si>
    <t>133-91</t>
  </si>
  <si>
    <t>133-95</t>
  </si>
  <si>
    <t>133-98</t>
  </si>
  <si>
    <t>155-95</t>
  </si>
  <si>
    <t>155-98</t>
  </si>
  <si>
    <t>155-99</t>
  </si>
  <si>
    <t>155-73</t>
  </si>
  <si>
    <t>983462 – I</t>
  </si>
  <si>
    <t>Tidak ada di next PO</t>
  </si>
  <si>
    <t>982981 – C</t>
  </si>
  <si>
    <t>Sisa Export bisa dipakai di PO#650 18 OKT</t>
  </si>
  <si>
    <t>982981 – D</t>
  </si>
  <si>
    <t>Test wash, Pilot Run, Reject sewing 1/2 jadi, Reject Cutting</t>
  </si>
  <si>
    <t>982980 – A</t>
  </si>
  <si>
    <t xml:space="preserve"> Reject sewing 1/2 jadi, Reject Garment</t>
  </si>
  <si>
    <t>Sisa Export bisa dipakai di PO#665 8 NOV</t>
  </si>
  <si>
    <t>982980 – B</t>
  </si>
  <si>
    <t>Pilot Run, Reject sewing 1/2 jadi</t>
  </si>
  <si>
    <t>982983 – E</t>
  </si>
  <si>
    <t>Tidak matching karena Minus gelar short roll, (col Olive Strata -9%, col Chalky Brown -4% &amp; col Preloved Ink -6% fr order)</t>
  </si>
  <si>
    <t>982985 – A</t>
  </si>
  <si>
    <t>983464 – A</t>
  </si>
  <si>
    <t>GM1</t>
  </si>
  <si>
    <t>KIKI Z</t>
  </si>
  <si>
    <t>61105-81</t>
  </si>
  <si>
    <t>983118 – B</t>
  </si>
  <si>
    <t>982981 – A</t>
  </si>
  <si>
    <t>982981 – B</t>
  </si>
  <si>
    <t>Test wash, Reject garment</t>
  </si>
  <si>
    <t>983462 – J</t>
  </si>
  <si>
    <t>Test wash, Reject 1/2 jadi, Reject Garment</t>
  </si>
  <si>
    <t>Pilot Run, Reject sewing 1/2 jadi, Reject Cutting</t>
  </si>
  <si>
    <t>982980 – C</t>
  </si>
  <si>
    <t xml:space="preserve"> Reject sewing 1/2 jadi</t>
  </si>
  <si>
    <t>982985 – B</t>
  </si>
  <si>
    <t>Test wash, Pilot Run, Reject sewing 1/2 jadi, Reject Grament</t>
  </si>
  <si>
    <t>982984 – A</t>
  </si>
  <si>
    <t>Test wash, Pilot Run, Reject sewing 1/2 jadi, Reject Garment</t>
  </si>
  <si>
    <t>982984 – B</t>
  </si>
  <si>
    <t>983464 – D</t>
  </si>
  <si>
    <t>Tidak matching karena Minus gelar short roll, (col Blue Burst -2% fr order)</t>
  </si>
  <si>
    <t>983466 – A</t>
  </si>
  <si>
    <t>Test wash, Pilot Run, Reject sewing 1/2 jadi</t>
  </si>
  <si>
    <t>983466 – C</t>
  </si>
  <si>
    <t>983465 – A</t>
  </si>
  <si>
    <t>M MICROFIBER 3PK LONG BXR BRIEF (461-A)</t>
  </si>
  <si>
    <t>SISA EXPOR  7 PCS (0,02%), RIJEK GARMEN 22 PCS (0,07%), RIJECT CUTTING 19 PCS (0,06%)</t>
  </si>
  <si>
    <t>SISA EXSPORT DAPAT DIGUNAKAN UNTUK PO#'0000664 SHIPMENT KALIBENDA 14 NOVEMBER 2024</t>
  </si>
  <si>
    <t>SPANDEX BOXER M STR COTTON 3PK  (983-A)</t>
  </si>
  <si>
    <t>SISA EXPOR  1 PCS (0,01%), RIJEK GARMEN  15 PCS (0,08%), RIJECT CUTTING 5 PCS (0,03%)</t>
  </si>
  <si>
    <t>SISA EXSPORT DAPAT DIGUNAKAN UNTUK PO#'0000666 SHIPMENT KALIBENDA 14 NOVEMBER 2024</t>
  </si>
  <si>
    <t>SPANDEX BOXER M STR COTTON 3PK (983-C)</t>
  </si>
  <si>
    <t>SISA EXPOR  2 PCS (0,02%), RIJEK GARMEN 3 PCS (0,02%), RIJECT CUTTING 1 PCS (0,01%)</t>
  </si>
  <si>
    <t>\\10.8.0.35\Bersama\IT\RPA 00\Monitoring Performance Shipment\Source\NEW INPUT USER - Monitoring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</si>
</sst>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[$-409]d\-mmm\-yyyy;@"/>
    <numFmt numFmtId="165" formatCode="#,##0_ ;[Red]\-#,##0\ "/>
    <numFmt numFmtId="166" formatCode="0.00%;[Red]\-0.00%"/>
    <numFmt numFmtId="167" formatCode="#,##0.0_ ;[Red]\-#,##0.0\ "/>
    <numFmt numFmtId="168" formatCode="0_);[Red]\(0\)"/>
    <numFmt numFmtId="169" formatCode="_-* #,##0_-;\-* #,##0_-;_-* &quot;-&quot;_-;_-@_-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rgb="FF0099CC"/>
      <name val="Trebuchet MS"/>
      <family val="2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b/>
      <sz val="11"/>
      <color indexed="59"/>
      <name val="Trebuchet MS"/>
      <family val="2"/>
    </font>
    <font>
      <sz val="11"/>
      <color rgb="FFFF0000"/>
      <name val="Trebuchet MS"/>
      <family val="2"/>
    </font>
    <font>
      <b/>
      <sz val="11"/>
      <color indexed="8"/>
      <name val="Trebuchet MS"/>
      <family val="2"/>
    </font>
    <font>
      <b/>
      <sz val="11"/>
      <color rgb="FFFF0000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41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6" fillId="2" borderId="1" xfId="0" applyFont="1" applyFill="1" applyBorder="1" applyAlignment="1">
      <alignment horizontal="center" vertical="center"/>
    </xf>
    <xf numFmtId="0" fontId="19" fillId="6" borderId="2" xfId="2" applyFont="1" applyFill="1" applyBorder="1" applyAlignment="1">
      <alignment horizontal="center" vertical="center"/>
    </xf>
    <xf numFmtId="0" fontId="19" fillId="6" borderId="2" xfId="2" applyFont="1" applyFill="1" applyBorder="1" applyAlignment="1">
      <alignment horizontal="center" vertical="center" wrapText="1"/>
    </xf>
    <xf numFmtId="38" fontId="19" fillId="6" borderId="2" xfId="2" applyNumberFormat="1" applyFont="1" applyFill="1" applyBorder="1" applyAlignment="1">
      <alignment horizontal="center" vertical="center" wrapText="1"/>
    </xf>
    <xf numFmtId="0" fontId="19" fillId="6" borderId="2" xfId="3" applyFont="1" applyFill="1" applyBorder="1" applyAlignment="1">
      <alignment horizontal="center" vertical="center" wrapText="1"/>
    </xf>
    <xf numFmtId="3" fontId="19" fillId="6" borderId="2" xfId="2" applyNumberFormat="1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/>
    </xf>
    <xf numFmtId="164" fontId="10" fillId="8" borderId="2" xfId="0" applyNumberFormat="1" applyFont="1" applyFill="1" applyBorder="1" applyAlignment="1">
      <alignment horizontal="center"/>
    </xf>
    <xf numFmtId="0" fontId="12" fillId="8" borderId="2" xfId="2" applyFont="1" applyFill="1" applyBorder="1" applyAlignment="1">
      <alignment horizontal="center" vertical="center"/>
    </xf>
    <xf numFmtId="0" fontId="10" fillId="8" borderId="2" xfId="2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165" fontId="10" fillId="8" borderId="2" xfId="0" applyNumberFormat="1" applyFont="1" applyFill="1" applyBorder="1" applyAlignment="1">
      <alignment horizontal="center" vertical="center"/>
    </xf>
    <xf numFmtId="38" fontId="12" fillId="8" borderId="2" xfId="0" applyNumberFormat="1" applyFont="1" applyFill="1" applyBorder="1" applyAlignment="1">
      <alignment horizontal="center" vertical="center" wrapText="1"/>
    </xf>
    <xf numFmtId="165" fontId="12" fillId="8" borderId="2" xfId="0" applyNumberFormat="1" applyFont="1" applyFill="1" applyBorder="1" applyAlignment="1">
      <alignment horizontal="center"/>
    </xf>
    <xf numFmtId="38" fontId="10" fillId="8" borderId="2" xfId="0" applyNumberFormat="1" applyFont="1" applyFill="1" applyBorder="1" applyAlignment="1">
      <alignment horizontal="center"/>
    </xf>
    <xf numFmtId="165" fontId="12" fillId="8" borderId="2" xfId="0" applyNumberFormat="1" applyFont="1" applyFill="1" applyBorder="1" applyAlignment="1">
      <alignment horizontal="center" vertical="center" wrapText="1"/>
    </xf>
    <xf numFmtId="38" fontId="10" fillId="8" borderId="2" xfId="0" applyNumberFormat="1" applyFont="1" applyFill="1" applyBorder="1" applyAlignment="1">
      <alignment horizontal="center" vertical="center"/>
    </xf>
    <xf numFmtId="166" fontId="12" fillId="8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4" fontId="10" fillId="7" borderId="2" xfId="0" applyNumberFormat="1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12" fillId="7" borderId="2" xfId="2" applyFont="1" applyFill="1" applyBorder="1" applyAlignment="1">
      <alignment horizontal="center" vertical="center"/>
    </xf>
    <xf numFmtId="38" fontId="10" fillId="7" borderId="2" xfId="0" applyNumberFormat="1" applyFont="1" applyFill="1" applyBorder="1" applyAlignment="1">
      <alignment horizontal="center"/>
    </xf>
    <xf numFmtId="38" fontId="10" fillId="7" borderId="2" xfId="0" applyNumberFormat="1" applyFont="1" applyFill="1" applyBorder="1" applyAlignment="1">
      <alignment horizontal="center" vertical="center"/>
    </xf>
    <xf numFmtId="166" fontId="12" fillId="7" borderId="2" xfId="0" applyNumberFormat="1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 vertical="center"/>
    </xf>
    <xf numFmtId="0" fontId="12" fillId="7" borderId="2" xfId="4" applyFont="1" applyFill="1" applyBorder="1" applyAlignment="1">
      <alignment horizontal="center"/>
    </xf>
    <xf numFmtId="38" fontId="12" fillId="7" borderId="2" xfId="0" applyNumberFormat="1" applyFont="1" applyFill="1" applyBorder="1" applyAlignment="1">
      <alignment horizontal="center" vertical="center" wrapText="1"/>
    </xf>
    <xf numFmtId="165" fontId="12" fillId="7" borderId="2" xfId="0" applyNumberFormat="1" applyFont="1" applyFill="1" applyBorder="1" applyAlignment="1">
      <alignment horizontal="center"/>
    </xf>
    <xf numFmtId="165" fontId="12" fillId="7" borderId="2" xfId="0" applyNumberFormat="1" applyFont="1" applyFill="1" applyBorder="1" applyAlignment="1">
      <alignment horizontal="center" vertical="center" wrapText="1"/>
    </xf>
    <xf numFmtId="166" fontId="10" fillId="7" borderId="2" xfId="0" applyNumberFormat="1" applyFont="1" applyFill="1" applyBorder="1" applyAlignment="1">
      <alignment horizontal="center"/>
    </xf>
    <xf numFmtId="0" fontId="14" fillId="7" borderId="2" xfId="2" applyFont="1" applyFill="1" applyBorder="1" applyAlignment="1">
      <alignment horizontal="center" vertical="center"/>
    </xf>
    <xf numFmtId="165" fontId="10" fillId="7" borderId="2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3" fontId="12" fillId="7" borderId="2" xfId="4" applyNumberFormat="1" applyFont="1" applyFill="1" applyBorder="1" applyAlignment="1">
      <alignment horizontal="center" vertical="center" wrapText="1"/>
    </xf>
    <xf numFmtId="166" fontId="12" fillId="7" borderId="2" xfId="0" applyNumberFormat="1" applyFont="1" applyFill="1" applyBorder="1" applyAlignment="1">
      <alignment horizontal="center"/>
    </xf>
    <xf numFmtId="166" fontId="15" fillId="7" borderId="2" xfId="0" applyNumberFormat="1" applyFont="1" applyFill="1" applyBorder="1" applyAlignment="1">
      <alignment horizontal="center"/>
    </xf>
    <xf numFmtId="0" fontId="12" fillId="8" borderId="2" xfId="4" applyFont="1" applyFill="1" applyBorder="1" applyAlignment="1">
      <alignment horizontal="center"/>
    </xf>
    <xf numFmtId="38" fontId="12" fillId="8" borderId="2" xfId="4" applyNumberFormat="1" applyFont="1" applyFill="1" applyBorder="1" applyAlignment="1">
      <alignment horizontal="center"/>
    </xf>
    <xf numFmtId="38" fontId="10" fillId="8" borderId="2" xfId="5" applyNumberFormat="1" applyFont="1" applyFill="1" applyBorder="1" applyAlignment="1">
      <alignment horizontal="center"/>
    </xf>
    <xf numFmtId="3" fontId="12" fillId="8" borderId="2" xfId="4" applyNumberFormat="1" applyFont="1" applyFill="1" applyBorder="1" applyAlignment="1">
      <alignment horizontal="center" vertical="center" wrapText="1"/>
    </xf>
    <xf numFmtId="166" fontId="10" fillId="8" borderId="2" xfId="0" applyNumberFormat="1" applyFont="1" applyFill="1" applyBorder="1" applyAlignment="1">
      <alignment horizontal="center"/>
    </xf>
    <xf numFmtId="165" fontId="10" fillId="8" borderId="2" xfId="0" applyNumberFormat="1" applyFont="1" applyFill="1" applyBorder="1" applyAlignment="1">
      <alignment horizontal="center"/>
    </xf>
    <xf numFmtId="166" fontId="10" fillId="8" borderId="2" xfId="6" applyNumberFormat="1" applyFont="1" applyFill="1" applyBorder="1" applyAlignment="1">
      <alignment horizontal="center" vertical="center"/>
    </xf>
    <xf numFmtId="166" fontId="10" fillId="7" borderId="2" xfId="6" applyNumberFormat="1" applyFont="1" applyFill="1" applyBorder="1" applyAlignment="1">
      <alignment horizontal="center" vertical="center"/>
    </xf>
    <xf numFmtId="165" fontId="10" fillId="7" borderId="2" xfId="0" applyNumberFormat="1" applyFont="1" applyFill="1" applyBorder="1" applyAlignment="1">
      <alignment horizontal="center"/>
    </xf>
    <xf numFmtId="0" fontId="16" fillId="7" borderId="2" xfId="2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/>
    </xf>
    <xf numFmtId="0" fontId="16" fillId="8" borderId="2" xfId="2" applyFont="1" applyFill="1" applyBorder="1" applyAlignment="1">
      <alignment horizontal="center" vertical="center" wrapText="1"/>
    </xf>
    <xf numFmtId="0" fontId="13" fillId="8" borderId="2" xfId="2" applyFont="1" applyFill="1" applyBorder="1" applyAlignment="1">
      <alignment horizontal="center" vertical="center"/>
    </xf>
    <xf numFmtId="38" fontId="13" fillId="8" borderId="2" xfId="2" applyNumberFormat="1" applyFont="1" applyFill="1" applyBorder="1" applyAlignment="1">
      <alignment horizontal="center" vertical="center" wrapText="1"/>
    </xf>
    <xf numFmtId="0" fontId="16" fillId="8" borderId="2" xfId="2" applyFont="1" applyFill="1" applyBorder="1" applyAlignment="1">
      <alignment horizontal="center" vertical="center"/>
    </xf>
    <xf numFmtId="0" fontId="10" fillId="8" borderId="2" xfId="0" quotePrefix="1" applyFont="1" applyFill="1" applyBorder="1" applyAlignment="1">
      <alignment horizontal="center" vertical="center"/>
    </xf>
    <xf numFmtId="38" fontId="12" fillId="8" borderId="2" xfId="0" applyNumberFormat="1" applyFont="1" applyFill="1" applyBorder="1" applyAlignment="1">
      <alignment horizontal="center" vertical="center"/>
    </xf>
    <xf numFmtId="0" fontId="10" fillId="7" borderId="2" xfId="0" quotePrefix="1" applyFont="1" applyFill="1" applyBorder="1" applyAlignment="1">
      <alignment horizontal="center" vertical="center"/>
    </xf>
    <xf numFmtId="38" fontId="12" fillId="7" borderId="2" xfId="0" applyNumberFormat="1" applyFont="1" applyFill="1" applyBorder="1" applyAlignment="1">
      <alignment horizontal="center" vertical="center"/>
    </xf>
    <xf numFmtId="0" fontId="13" fillId="7" borderId="2" xfId="2" applyFont="1" applyFill="1" applyBorder="1" applyAlignment="1">
      <alignment horizontal="center" vertical="center"/>
    </xf>
    <xf numFmtId="38" fontId="12" fillId="7" borderId="2" xfId="4" applyNumberFormat="1" applyFont="1" applyFill="1" applyBorder="1" applyAlignment="1">
      <alignment horizontal="center"/>
    </xf>
    <xf numFmtId="38" fontId="13" fillId="7" borderId="2" xfId="2" applyNumberFormat="1" applyFont="1" applyFill="1" applyBorder="1" applyAlignment="1">
      <alignment horizontal="center" vertical="center" wrapText="1"/>
    </xf>
    <xf numFmtId="0" fontId="16" fillId="7" borderId="2" xfId="2" applyFont="1" applyFill="1" applyBorder="1" applyAlignment="1">
      <alignment horizontal="center" vertical="center"/>
    </xf>
    <xf numFmtId="38" fontId="16" fillId="7" borderId="2" xfId="2" applyNumberFormat="1" applyFont="1" applyFill="1" applyBorder="1" applyAlignment="1">
      <alignment horizontal="center" vertical="center" wrapText="1"/>
    </xf>
    <xf numFmtId="0" fontId="12" fillId="8" borderId="2" xfId="4" applyFont="1" applyFill="1" applyBorder="1" applyAlignment="1">
      <alignment horizontal="center" vertical="center"/>
    </xf>
    <xf numFmtId="0" fontId="12" fillId="7" borderId="2" xfId="4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/>
    </xf>
    <xf numFmtId="38" fontId="10" fillId="7" borderId="2" xfId="5" applyNumberFormat="1" applyFont="1" applyFill="1" applyBorder="1" applyAlignment="1">
      <alignment horizontal="center"/>
    </xf>
    <xf numFmtId="0" fontId="12" fillId="8" borderId="2" xfId="0" applyFont="1" applyFill="1" applyBorder="1" applyAlignment="1">
      <alignment horizontal="center"/>
    </xf>
    <xf numFmtId="38" fontId="12" fillId="8" borderId="2" xfId="5" applyNumberFormat="1" applyFont="1" applyFill="1" applyBorder="1" applyAlignment="1">
      <alignment horizontal="center"/>
    </xf>
    <xf numFmtId="0" fontId="12" fillId="8" borderId="2" xfId="0" applyFont="1" applyFill="1" applyBorder="1" applyAlignment="1">
      <alignment horizontal="center" vertical="center" wrapText="1"/>
    </xf>
    <xf numFmtId="0" fontId="13" fillId="8" borderId="2" xfId="3" applyFont="1" applyFill="1" applyBorder="1" applyAlignment="1">
      <alignment horizontal="center"/>
    </xf>
    <xf numFmtId="164" fontId="10" fillId="7" borderId="2" xfId="0" applyNumberFormat="1" applyFont="1" applyFill="1" applyBorder="1" applyAlignment="1">
      <alignment horizontal="center" vertical="center"/>
    </xf>
    <xf numFmtId="164" fontId="10" fillId="8" borderId="2" xfId="0" applyNumberFormat="1" applyFont="1" applyFill="1" applyBorder="1" applyAlignment="1">
      <alignment horizontal="center" vertical="center"/>
    </xf>
    <xf numFmtId="168" fontId="10" fillId="7" borderId="2" xfId="5" applyNumberFormat="1" applyFont="1" applyFill="1" applyBorder="1" applyAlignment="1">
      <alignment horizontal="center"/>
    </xf>
    <xf numFmtId="168" fontId="10" fillId="8" borderId="2" xfId="5" applyNumberFormat="1" applyFont="1" applyFill="1" applyBorder="1" applyAlignment="1">
      <alignment horizontal="center"/>
    </xf>
    <xf numFmtId="165" fontId="16" fillId="7" borderId="2" xfId="2" applyNumberFormat="1" applyFont="1" applyFill="1" applyBorder="1" applyAlignment="1">
      <alignment horizontal="center" vertical="center" wrapText="1"/>
    </xf>
    <xf numFmtId="167" fontId="16" fillId="7" borderId="2" xfId="2" applyNumberFormat="1" applyFont="1" applyFill="1" applyBorder="1" applyAlignment="1">
      <alignment horizontal="center" vertical="center" wrapText="1"/>
    </xf>
    <xf numFmtId="0" fontId="10" fillId="8" borderId="2" xfId="0" quotePrefix="1" applyFont="1" applyFill="1" applyBorder="1" applyAlignment="1">
      <alignment horizontal="center"/>
    </xf>
    <xf numFmtId="0" fontId="10" fillId="7" borderId="2" xfId="0" quotePrefix="1" applyFont="1" applyFill="1" applyBorder="1" applyAlignment="1">
      <alignment horizontal="center"/>
    </xf>
    <xf numFmtId="41" fontId="10" fillId="8" borderId="2" xfId="5" applyFont="1" applyFill="1" applyBorder="1" applyAlignment="1">
      <alignment horizontal="center"/>
    </xf>
    <xf numFmtId="16" fontId="10" fillId="8" borderId="2" xfId="0" applyNumberFormat="1" applyFont="1" applyFill="1" applyBorder="1" applyAlignment="1">
      <alignment horizontal="center"/>
    </xf>
    <xf numFmtId="167" fontId="10" fillId="8" borderId="2" xfId="0" applyNumberFormat="1" applyFont="1" applyFill="1" applyBorder="1" applyAlignment="1">
      <alignment horizontal="center" vertical="center"/>
    </xf>
    <xf numFmtId="0" fontId="13" fillId="7" borderId="2" xfId="3" applyFont="1" applyFill="1" applyBorder="1" applyAlignment="1">
      <alignment horizontal="center"/>
    </xf>
    <xf numFmtId="167" fontId="10" fillId="7" borderId="2" xfId="0" applyNumberFormat="1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wrapText="1"/>
    </xf>
    <xf numFmtId="0" fontId="10" fillId="8" borderId="2" xfId="0" applyFont="1" applyFill="1" applyBorder="1" applyAlignment="1">
      <alignment horizontal="center" vertical="center" wrapText="1"/>
    </xf>
    <xf numFmtId="169" fontId="10" fillId="7" borderId="2" xfId="0" applyNumberFormat="1" applyFont="1" applyFill="1" applyBorder="1" applyAlignment="1">
      <alignment horizontal="center"/>
    </xf>
    <xf numFmtId="1" fontId="10" fillId="7" borderId="2" xfId="0" applyNumberFormat="1" applyFont="1" applyFill="1" applyBorder="1" applyAlignment="1">
      <alignment horizontal="center"/>
    </xf>
    <xf numFmtId="1" fontId="10" fillId="8" borderId="2" xfId="0" applyNumberFormat="1" applyFont="1" applyFill="1" applyBorder="1" applyAlignment="1">
      <alignment horizontal="center"/>
    </xf>
    <xf numFmtId="0" fontId="17" fillId="7" borderId="2" xfId="2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/>
    </xf>
    <xf numFmtId="166" fontId="15" fillId="7" borderId="2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164" fontId="10" fillId="0" borderId="2" xfId="0" applyNumberFormat="1" applyFont="1" applyBorder="1" applyAlignment="1">
      <alignment horizontal="center"/>
    </xf>
    <xf numFmtId="0" fontId="12" fillId="0" borderId="2" xfId="2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167" fontId="16" fillId="0" borderId="2" xfId="2" applyNumberFormat="1" applyFont="1" applyBorder="1" applyAlignment="1">
      <alignment horizontal="center" vertical="center" wrapText="1"/>
    </xf>
    <xf numFmtId="0" fontId="10" fillId="0" borderId="2" xfId="0" quotePrefix="1" applyFont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38" fontId="10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 vertical="center" wrapText="1"/>
    </xf>
    <xf numFmtId="38" fontId="10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0" fillId="0" borderId="2" xfId="0" quotePrefix="1" applyFont="1" applyBorder="1" applyAlignment="1">
      <alignment horizontal="center"/>
    </xf>
    <xf numFmtId="0" fontId="18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18" fillId="5" borderId="0" xfId="0" applyFont="1" applyFill="1" applyAlignment="1">
      <alignment horizontal="left" vertical="center"/>
    </xf>
  </cellXfs>
  <cellStyles count="7">
    <cellStyle name="Comma [0]" xfId="5" builtinId="6"/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Percent" xfId="6" builtinId="5"/>
  </cellStyles>
  <dxfs count="0"/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1303920</xdr:colOff>
      <xdr:row>1</xdr:row>
      <xdr:rowOff>36799</xdr:rowOff>
    </xdr:from>
    <xdr:to>
      <xdr:col>2</xdr:col>
      <xdr:colOff>2816087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90485" y="219016"/>
          <a:ext cx="1512167" cy="485005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Source/NEW%20INPUT%20USER%20-%20Monitoring%20Performance%20Shipment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FC852D"/>
  </sheetPr>
  <dimension ref="B6:D11"/>
  <sheetViews>
    <sheetView tabSelected="1" zoomScale="115" zoomScaleNormal="115" workbookViewId="0">
      <pane ySplit="7" topLeftCell="A8" activePane="bottomLeft" state="frozen"/>
      <selection pane="bottomLeft" activeCell="C10" sqref="C10"/>
    </sheetView>
  </sheetViews>
  <sheetFormatPr defaultRowHeight="14.5" x14ac:dyDescent="0.35"/>
  <cols>
    <col min="1" max="1" width="3.26953125" customWidth="1"/>
    <col min="2" max="2" width="15.1796875" bestFit="1" customWidth="1"/>
    <col min="3" max="3" width="67.7265625" customWidth="1"/>
    <col min="4" max="4" width="0.81640625" customWidth="1"/>
  </cols>
  <sheetData>
    <row r="6" spans="2:4" ht="22.5" x14ac:dyDescent="0.35">
      <c r="B6" s="110" t="s">
        <v>0</v>
      </c>
      <c r="C6" s="110"/>
      <c r="D6" s="110"/>
    </row>
    <row r="7" spans="2:4" x14ac:dyDescent="0.35">
      <c r="B7" s="1" t="s">
        <v>3</v>
      </c>
      <c r="C7" s="1" t="s">
        <v>1</v>
      </c>
      <c r="D7" s="1"/>
    </row>
    <row r="8" spans="2:4" x14ac:dyDescent="0.35">
      <c r="B8" s="3" t="s">
        <v>4</v>
      </c>
      <c r="C8" s="2" t="s">
        <v>190</v>
      </c>
      <c r="D8" s="4" t="s">
        <v>2</v>
      </c>
    </row>
    <row r="9" spans="2:4" x14ac:dyDescent="0.35">
      <c r="B9" s="3" t="s">
        <v>5</v>
      </c>
      <c r="C9" s="2" t="s">
        <v>6</v>
      </c>
      <c r="D9" s="4" t="s">
        <v>2</v>
      </c>
    </row>
    <row r="10" spans="2:4" x14ac:dyDescent="0.35">
      <c r="B10" t="s">
        <v>7</v>
      </c>
      <c r="C10" t="str">
        <f ca="1">UPPER(TEXT(TODAY()+C11,"[$-id]MMMM"))</f>
        <v>OKTOBER</v>
      </c>
    </row>
    <row r="11" spans="2:4" x14ac:dyDescent="0.35">
      <c r="B11" t="s">
        <v>8</v>
      </c>
      <c r="C11">
        <v>-1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autoPict="0" r:id="rId6">
            <anchor moveWithCells="1">
              <from>
                <xdr:col>2</xdr:col>
                <xdr:colOff>1409700</xdr:colOff>
                <xdr:row>1</xdr:row>
                <xdr:rowOff>95250</xdr:rowOff>
              </from>
              <to>
                <xdr:col>2</xdr:col>
                <xdr:colOff>2730500</xdr:colOff>
                <xdr:row>3</xdr:row>
                <xdr:rowOff>63500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CBE10-4D61-4FD4-8150-1BC0BEF77B8A}">
  <sheetPr>
    <tabColor rgb="FFE5C380"/>
  </sheetPr>
  <dimension ref="A1:AL123"/>
  <sheetViews>
    <sheetView workbookViewId="0">
      <pane ySplit="2" topLeftCell="A3" activePane="bottomLeft" state="frozen"/>
      <selection pane="bottomLeft" sqref="A1:AL1"/>
    </sheetView>
  </sheetViews>
  <sheetFormatPr defaultColWidth="9.1796875" defaultRowHeight="14.5" x14ac:dyDescent="0.35"/>
  <cols>
    <col min="1" max="1" width="12" style="94" customWidth="1"/>
    <col min="2" max="2" width="14.81640625" style="94" customWidth="1"/>
    <col min="3" max="3" width="15.81640625" style="94" customWidth="1"/>
    <col min="4" max="4" width="15.54296875" style="94" customWidth="1"/>
    <col min="5" max="5" width="12" style="94" customWidth="1"/>
    <col min="6" max="6" width="13.453125" style="94" customWidth="1"/>
    <col min="7" max="7" width="17.26953125" style="94" customWidth="1"/>
    <col min="8" max="8" width="37.453125" style="94" customWidth="1"/>
    <col min="9" max="9" width="48.81640625" style="94" customWidth="1"/>
    <col min="10" max="10" width="14.54296875" style="94" customWidth="1"/>
    <col min="11" max="11" width="21" style="94" customWidth="1"/>
    <col min="12" max="12" width="13.1796875" style="94" customWidth="1"/>
    <col min="13" max="13" width="12" style="94" customWidth="1"/>
    <col min="14" max="14" width="11.453125" style="94" customWidth="1"/>
    <col min="15" max="15" width="12.26953125" style="94" customWidth="1"/>
    <col min="16" max="16" width="12.453125" style="94" customWidth="1"/>
    <col min="17" max="18" width="12.26953125" style="94" customWidth="1"/>
    <col min="19" max="19" width="12.453125" style="94" customWidth="1"/>
    <col min="20" max="20" width="11.54296875" style="94" customWidth="1"/>
    <col min="21" max="21" width="12.26953125" style="94" customWidth="1"/>
    <col min="22" max="22" width="95.81640625" style="94" customWidth="1"/>
    <col min="23" max="23" width="12.1796875" style="94" customWidth="1"/>
    <col min="24" max="24" width="11.26953125" style="94" customWidth="1"/>
    <col min="25" max="25" width="12" style="94" customWidth="1"/>
    <col min="26" max="28" width="12.453125" style="94" customWidth="1"/>
    <col min="29" max="29" width="8.1796875" style="94" customWidth="1"/>
    <col min="30" max="30" width="10.54296875" style="94" customWidth="1"/>
    <col min="31" max="32" width="11.7265625" style="94" customWidth="1"/>
    <col min="33" max="33" width="11.54296875" style="94" customWidth="1"/>
    <col min="34" max="34" width="12.453125" style="94" customWidth="1"/>
    <col min="35" max="35" width="11.54296875" style="94" customWidth="1"/>
    <col min="36" max="36" width="11.453125" style="94" customWidth="1"/>
    <col min="37" max="37" width="100.453125" style="94" customWidth="1"/>
    <col min="38" max="38" width="10.26953125" style="94" customWidth="1"/>
    <col min="39" max="16384" width="9.1796875" style="94"/>
  </cols>
  <sheetData>
    <row r="1" spans="1:38" s="109" customFormat="1" ht="27" x14ac:dyDescent="0.35">
      <c r="A1" s="111" t="s">
        <v>9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</row>
    <row r="2" spans="1:38" ht="77.5" x14ac:dyDescent="0.35">
      <c r="A2" s="5" t="s">
        <v>10</v>
      </c>
      <c r="B2" s="5" t="s">
        <v>11</v>
      </c>
      <c r="C2" s="6" t="s">
        <v>12</v>
      </c>
      <c r="D2" s="5" t="s">
        <v>13</v>
      </c>
      <c r="E2" s="6" t="s">
        <v>14</v>
      </c>
      <c r="F2" s="5" t="s">
        <v>15</v>
      </c>
      <c r="G2" s="6" t="s">
        <v>16</v>
      </c>
      <c r="H2" s="5" t="s">
        <v>17</v>
      </c>
      <c r="I2" s="5" t="s">
        <v>18</v>
      </c>
      <c r="J2" s="5" t="s">
        <v>19</v>
      </c>
      <c r="K2" s="6" t="s">
        <v>20</v>
      </c>
      <c r="L2" s="6" t="s">
        <v>21</v>
      </c>
      <c r="M2" s="5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6" t="s">
        <v>28</v>
      </c>
      <c r="T2" s="8" t="s">
        <v>29</v>
      </c>
      <c r="U2" s="6" t="s">
        <v>30</v>
      </c>
      <c r="V2" s="5" t="s">
        <v>31</v>
      </c>
      <c r="W2" s="6" t="s">
        <v>32</v>
      </c>
      <c r="X2" s="6" t="s">
        <v>33</v>
      </c>
      <c r="Y2" s="6" t="s">
        <v>34</v>
      </c>
      <c r="Z2" s="6" t="s">
        <v>35</v>
      </c>
      <c r="AA2" s="6" t="s">
        <v>36</v>
      </c>
      <c r="AB2" s="6" t="s">
        <v>37</v>
      </c>
      <c r="AC2" s="6" t="s">
        <v>38</v>
      </c>
      <c r="AD2" s="6" t="s">
        <v>39</v>
      </c>
      <c r="AE2" s="6" t="s">
        <v>40</v>
      </c>
      <c r="AF2" s="6" t="s">
        <v>41</v>
      </c>
      <c r="AG2" s="6" t="s">
        <v>42</v>
      </c>
      <c r="AH2" s="6" t="s">
        <v>43</v>
      </c>
      <c r="AI2" s="6" t="s">
        <v>44</v>
      </c>
      <c r="AJ2" s="9" t="s">
        <v>45</v>
      </c>
      <c r="AK2" s="6" t="s">
        <v>46</v>
      </c>
      <c r="AL2" s="6" t="s">
        <v>47</v>
      </c>
    </row>
    <row r="3" spans="1:38" x14ac:dyDescent="0.35">
      <c r="A3" s="10">
        <v>2024</v>
      </c>
      <c r="B3" s="10" t="s">
        <v>48</v>
      </c>
      <c r="C3" s="11">
        <v>45538</v>
      </c>
      <c r="D3" s="12" t="s">
        <v>49</v>
      </c>
      <c r="E3" s="13" t="s">
        <v>50</v>
      </c>
      <c r="F3" s="10" t="s">
        <v>51</v>
      </c>
      <c r="G3" s="10" t="s">
        <v>52</v>
      </c>
      <c r="H3" s="10" t="s">
        <v>53</v>
      </c>
      <c r="I3" s="10" t="s">
        <v>54</v>
      </c>
      <c r="J3" s="14"/>
      <c r="K3" s="14"/>
      <c r="L3" s="15"/>
      <c r="M3" s="10">
        <v>183360</v>
      </c>
      <c r="N3" s="16">
        <v>15260</v>
      </c>
      <c r="O3" s="17">
        <v>15266</v>
      </c>
      <c r="P3" s="18">
        <v>15227</v>
      </c>
      <c r="Q3" s="19">
        <v>15124</v>
      </c>
      <c r="R3" s="20">
        <v>-142</v>
      </c>
      <c r="S3" s="20">
        <v>-136</v>
      </c>
      <c r="T3" s="21">
        <v>-8.9121887287024748E-3</v>
      </c>
      <c r="U3" s="47">
        <v>-9.3017162321499258E-3</v>
      </c>
      <c r="V3" s="10"/>
      <c r="W3" s="10"/>
      <c r="X3" s="10">
        <v>1</v>
      </c>
      <c r="Y3" s="10"/>
      <c r="Z3" s="10">
        <v>94</v>
      </c>
      <c r="AA3" s="18">
        <v>39</v>
      </c>
      <c r="AB3" s="10"/>
      <c r="AC3" s="10"/>
      <c r="AD3" s="10"/>
      <c r="AE3" s="10">
        <v>8</v>
      </c>
      <c r="AF3" s="10"/>
      <c r="AG3" s="10"/>
      <c r="AH3" s="10"/>
      <c r="AI3" s="20">
        <v>142</v>
      </c>
      <c r="AJ3" s="20">
        <v>0</v>
      </c>
      <c r="AK3" s="79"/>
      <c r="AL3" s="18">
        <v>1</v>
      </c>
    </row>
    <row r="4" spans="1:38" x14ac:dyDescent="0.35">
      <c r="A4" s="22">
        <v>2024</v>
      </c>
      <c r="B4" s="24" t="s">
        <v>48</v>
      </c>
      <c r="C4" s="23">
        <v>45513</v>
      </c>
      <c r="D4" s="24" t="s">
        <v>55</v>
      </c>
      <c r="E4" s="25" t="s">
        <v>56</v>
      </c>
      <c r="F4" s="25" t="s">
        <v>57</v>
      </c>
      <c r="G4" s="24" t="s">
        <v>58</v>
      </c>
      <c r="H4" s="24" t="s">
        <v>59</v>
      </c>
      <c r="I4" s="24" t="s">
        <v>60</v>
      </c>
      <c r="J4" s="24"/>
      <c r="K4" s="24"/>
      <c r="L4" s="24"/>
      <c r="M4" s="24">
        <v>183394</v>
      </c>
      <c r="N4" s="24">
        <v>140</v>
      </c>
      <c r="O4" s="24">
        <v>140</v>
      </c>
      <c r="P4" s="24">
        <v>140</v>
      </c>
      <c r="Q4" s="24">
        <v>140</v>
      </c>
      <c r="R4" s="26">
        <f t="shared" ref="R4:R27" si="0">Q4-O4</f>
        <v>0</v>
      </c>
      <c r="S4" s="27">
        <f t="shared" ref="S4:S22" si="1">Q4-N4</f>
        <v>0</v>
      </c>
      <c r="T4" s="28">
        <f t="shared" ref="T4:T44" si="2">Q4/N4-1</f>
        <v>0</v>
      </c>
      <c r="U4" s="48">
        <f t="shared" ref="U4:U44" si="3">Q4/O4-1</f>
        <v>0</v>
      </c>
      <c r="V4" s="24"/>
      <c r="W4" s="24">
        <v>0</v>
      </c>
      <c r="X4" s="24">
        <v>0</v>
      </c>
      <c r="Y4" s="24">
        <v>0</v>
      </c>
      <c r="Z4" s="24">
        <v>0</v>
      </c>
      <c r="AA4" s="24">
        <f t="shared" ref="AA4:AA10" si="4">O4-P4</f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f t="shared" ref="AI4:AI27" si="5">SUM(X4:AH4)</f>
        <v>0</v>
      </c>
      <c r="AJ4" s="24">
        <f t="shared" ref="AJ4:AJ10" si="6">AI4+R4</f>
        <v>0</v>
      </c>
      <c r="AK4" s="24"/>
      <c r="AL4" s="24">
        <v>1</v>
      </c>
    </row>
    <row r="5" spans="1:38" x14ac:dyDescent="0.35">
      <c r="A5" s="22">
        <v>2024</v>
      </c>
      <c r="B5" s="24" t="s">
        <v>48</v>
      </c>
      <c r="C5" s="23">
        <v>45513</v>
      </c>
      <c r="D5" s="24" t="s">
        <v>55</v>
      </c>
      <c r="E5" s="25" t="s">
        <v>56</v>
      </c>
      <c r="F5" s="25" t="s">
        <v>57</v>
      </c>
      <c r="G5" s="24" t="s">
        <v>58</v>
      </c>
      <c r="H5" s="24" t="s">
        <v>59</v>
      </c>
      <c r="I5" s="24" t="s">
        <v>60</v>
      </c>
      <c r="J5" s="24"/>
      <c r="K5" s="24"/>
      <c r="L5" s="24"/>
      <c r="M5" s="24">
        <v>183395</v>
      </c>
      <c r="N5" s="24">
        <v>160</v>
      </c>
      <c r="O5" s="24">
        <v>160</v>
      </c>
      <c r="P5" s="24">
        <v>160</v>
      </c>
      <c r="Q5" s="24">
        <v>160</v>
      </c>
      <c r="R5" s="26">
        <f t="shared" si="0"/>
        <v>0</v>
      </c>
      <c r="S5" s="27">
        <f t="shared" si="1"/>
        <v>0</v>
      </c>
      <c r="T5" s="28">
        <f t="shared" si="2"/>
        <v>0</v>
      </c>
      <c r="U5" s="48">
        <f t="shared" si="3"/>
        <v>0</v>
      </c>
      <c r="V5" s="24"/>
      <c r="W5" s="24">
        <v>0</v>
      </c>
      <c r="X5" s="24">
        <v>0</v>
      </c>
      <c r="Y5" s="24">
        <v>0</v>
      </c>
      <c r="Z5" s="24">
        <v>0</v>
      </c>
      <c r="AA5" s="24">
        <f t="shared" si="4"/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f t="shared" si="5"/>
        <v>0</v>
      </c>
      <c r="AJ5" s="24">
        <f t="shared" si="6"/>
        <v>0</v>
      </c>
      <c r="AK5" s="24"/>
      <c r="AL5" s="24">
        <v>1</v>
      </c>
    </row>
    <row r="6" spans="1:38" x14ac:dyDescent="0.35">
      <c r="A6" s="22">
        <v>2024</v>
      </c>
      <c r="B6" s="24" t="s">
        <v>48</v>
      </c>
      <c r="C6" s="23">
        <v>45513</v>
      </c>
      <c r="D6" s="24" t="s">
        <v>55</v>
      </c>
      <c r="E6" s="25" t="s">
        <v>56</v>
      </c>
      <c r="F6" s="25" t="s">
        <v>57</v>
      </c>
      <c r="G6" s="24" t="s">
        <v>58</v>
      </c>
      <c r="H6" s="24" t="s">
        <v>59</v>
      </c>
      <c r="I6" s="24" t="s">
        <v>60</v>
      </c>
      <c r="J6" s="24"/>
      <c r="K6" s="24"/>
      <c r="L6" s="24"/>
      <c r="M6" s="24">
        <v>183112</v>
      </c>
      <c r="N6" s="24">
        <v>500</v>
      </c>
      <c r="O6" s="24">
        <v>500</v>
      </c>
      <c r="P6" s="24">
        <v>500</v>
      </c>
      <c r="Q6" s="24">
        <v>500</v>
      </c>
      <c r="R6" s="26">
        <f t="shared" si="0"/>
        <v>0</v>
      </c>
      <c r="S6" s="27">
        <f t="shared" si="1"/>
        <v>0</v>
      </c>
      <c r="T6" s="28">
        <f t="shared" si="2"/>
        <v>0</v>
      </c>
      <c r="U6" s="48">
        <f t="shared" si="3"/>
        <v>0</v>
      </c>
      <c r="V6" s="24"/>
      <c r="W6" s="24">
        <v>0</v>
      </c>
      <c r="X6" s="24">
        <v>0</v>
      </c>
      <c r="Y6" s="24">
        <v>0</v>
      </c>
      <c r="Z6" s="24">
        <v>0</v>
      </c>
      <c r="AA6" s="24">
        <f t="shared" si="4"/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f t="shared" si="5"/>
        <v>0</v>
      </c>
      <c r="AJ6" s="24">
        <f t="shared" si="6"/>
        <v>0</v>
      </c>
      <c r="AK6" s="24"/>
      <c r="AL6" s="24">
        <v>1</v>
      </c>
    </row>
    <row r="7" spans="1:38" x14ac:dyDescent="0.35">
      <c r="A7" s="14">
        <v>2024</v>
      </c>
      <c r="B7" s="10" t="s">
        <v>48</v>
      </c>
      <c r="C7" s="11">
        <v>45513</v>
      </c>
      <c r="D7" s="10" t="s">
        <v>55</v>
      </c>
      <c r="E7" s="12" t="s">
        <v>56</v>
      </c>
      <c r="F7" s="12" t="s">
        <v>57</v>
      </c>
      <c r="G7" s="10" t="s">
        <v>58</v>
      </c>
      <c r="H7" s="10" t="s">
        <v>59</v>
      </c>
      <c r="I7" s="10" t="s">
        <v>61</v>
      </c>
      <c r="J7" s="10"/>
      <c r="K7" s="10"/>
      <c r="L7" s="10"/>
      <c r="M7" s="10">
        <v>183275</v>
      </c>
      <c r="N7" s="10">
        <v>500</v>
      </c>
      <c r="O7" s="10">
        <v>504</v>
      </c>
      <c r="P7" s="10">
        <v>500</v>
      </c>
      <c r="Q7" s="10">
        <v>500</v>
      </c>
      <c r="R7" s="18">
        <f t="shared" si="0"/>
        <v>-4</v>
      </c>
      <c r="S7" s="20">
        <f t="shared" si="1"/>
        <v>0</v>
      </c>
      <c r="T7" s="21">
        <f t="shared" si="2"/>
        <v>0</v>
      </c>
      <c r="U7" s="47">
        <f t="shared" si="3"/>
        <v>-7.9365079365079083E-3</v>
      </c>
      <c r="V7" s="10"/>
      <c r="W7" s="10">
        <v>0</v>
      </c>
      <c r="X7" s="10">
        <v>0</v>
      </c>
      <c r="Y7" s="10">
        <v>0</v>
      </c>
      <c r="Z7" s="10">
        <v>0</v>
      </c>
      <c r="AA7" s="10">
        <f t="shared" si="4"/>
        <v>4</v>
      </c>
      <c r="AB7" s="10">
        <v>0</v>
      </c>
      <c r="AC7" s="10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</v>
      </c>
      <c r="AI7" s="10">
        <f t="shared" si="5"/>
        <v>4</v>
      </c>
      <c r="AJ7" s="10">
        <f t="shared" si="6"/>
        <v>0</v>
      </c>
      <c r="AK7" s="10"/>
      <c r="AL7" s="10">
        <v>1</v>
      </c>
    </row>
    <row r="8" spans="1:38" x14ac:dyDescent="0.35">
      <c r="A8" s="22">
        <v>2024</v>
      </c>
      <c r="B8" s="24" t="s">
        <v>48</v>
      </c>
      <c r="C8" s="23">
        <v>45513</v>
      </c>
      <c r="D8" s="24" t="s">
        <v>55</v>
      </c>
      <c r="E8" s="25" t="s">
        <v>56</v>
      </c>
      <c r="F8" s="25" t="s">
        <v>57</v>
      </c>
      <c r="G8" s="24" t="s">
        <v>58</v>
      </c>
      <c r="H8" s="24" t="s">
        <v>59</v>
      </c>
      <c r="I8" s="24" t="s">
        <v>61</v>
      </c>
      <c r="J8" s="24"/>
      <c r="K8" s="24"/>
      <c r="L8" s="24"/>
      <c r="M8" s="24">
        <v>183408</v>
      </c>
      <c r="N8" s="24">
        <v>40</v>
      </c>
      <c r="O8" s="24">
        <v>40</v>
      </c>
      <c r="P8" s="24">
        <v>40</v>
      </c>
      <c r="Q8" s="24">
        <v>40</v>
      </c>
      <c r="R8" s="26">
        <f t="shared" si="0"/>
        <v>0</v>
      </c>
      <c r="S8" s="27">
        <f t="shared" si="1"/>
        <v>0</v>
      </c>
      <c r="T8" s="28">
        <f t="shared" si="2"/>
        <v>0</v>
      </c>
      <c r="U8" s="48">
        <f t="shared" si="3"/>
        <v>0</v>
      </c>
      <c r="V8" s="24"/>
      <c r="W8" s="24">
        <v>0</v>
      </c>
      <c r="X8" s="24">
        <v>0</v>
      </c>
      <c r="Y8" s="24">
        <v>0</v>
      </c>
      <c r="Z8" s="24">
        <v>0</v>
      </c>
      <c r="AA8" s="24">
        <f t="shared" si="4"/>
        <v>0</v>
      </c>
      <c r="AB8" s="24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f t="shared" si="5"/>
        <v>0</v>
      </c>
      <c r="AJ8" s="24">
        <f t="shared" si="6"/>
        <v>0</v>
      </c>
      <c r="AK8" s="24"/>
      <c r="AL8" s="24">
        <v>1</v>
      </c>
    </row>
    <row r="9" spans="1:38" x14ac:dyDescent="0.35">
      <c r="A9" s="22">
        <v>2024</v>
      </c>
      <c r="B9" s="24" t="s">
        <v>48</v>
      </c>
      <c r="C9" s="23">
        <v>45513</v>
      </c>
      <c r="D9" s="24" t="s">
        <v>55</v>
      </c>
      <c r="E9" s="25" t="s">
        <v>56</v>
      </c>
      <c r="F9" s="25" t="s">
        <v>57</v>
      </c>
      <c r="G9" s="24" t="s">
        <v>58</v>
      </c>
      <c r="H9" s="24" t="s">
        <v>59</v>
      </c>
      <c r="I9" s="24" t="s">
        <v>62</v>
      </c>
      <c r="J9" s="24"/>
      <c r="K9" s="24"/>
      <c r="L9" s="24"/>
      <c r="M9" s="24">
        <v>183389</v>
      </c>
      <c r="N9" s="24">
        <v>140</v>
      </c>
      <c r="O9" s="24">
        <v>140</v>
      </c>
      <c r="P9" s="24">
        <v>140</v>
      </c>
      <c r="Q9" s="24">
        <v>140</v>
      </c>
      <c r="R9" s="26">
        <f t="shared" si="0"/>
        <v>0</v>
      </c>
      <c r="S9" s="27">
        <f t="shared" si="1"/>
        <v>0</v>
      </c>
      <c r="T9" s="28">
        <f t="shared" si="2"/>
        <v>0</v>
      </c>
      <c r="U9" s="48">
        <f t="shared" si="3"/>
        <v>0</v>
      </c>
      <c r="V9" s="24"/>
      <c r="W9" s="24">
        <v>0</v>
      </c>
      <c r="X9" s="24">
        <v>0</v>
      </c>
      <c r="Y9" s="24">
        <v>0</v>
      </c>
      <c r="Z9" s="24">
        <v>0</v>
      </c>
      <c r="AA9" s="24">
        <f t="shared" si="4"/>
        <v>0</v>
      </c>
      <c r="AB9" s="24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f t="shared" si="5"/>
        <v>0</v>
      </c>
      <c r="AJ9" s="24">
        <f t="shared" si="6"/>
        <v>0</v>
      </c>
      <c r="AK9" s="24"/>
      <c r="AL9" s="24">
        <v>1</v>
      </c>
    </row>
    <row r="10" spans="1:38" x14ac:dyDescent="0.35">
      <c r="A10" s="22">
        <v>2024</v>
      </c>
      <c r="B10" s="24" t="s">
        <v>48</v>
      </c>
      <c r="C10" s="23">
        <v>45513</v>
      </c>
      <c r="D10" s="24" t="s">
        <v>55</v>
      </c>
      <c r="E10" s="25" t="s">
        <v>56</v>
      </c>
      <c r="F10" s="25" t="s">
        <v>57</v>
      </c>
      <c r="G10" s="24" t="s">
        <v>58</v>
      </c>
      <c r="H10" s="24" t="s">
        <v>59</v>
      </c>
      <c r="I10" s="24" t="s">
        <v>63</v>
      </c>
      <c r="J10" s="24"/>
      <c r="K10" s="24"/>
      <c r="L10" s="24"/>
      <c r="M10" s="24">
        <v>183268</v>
      </c>
      <c r="N10" s="24">
        <v>1000</v>
      </c>
      <c r="O10" s="24">
        <v>1000</v>
      </c>
      <c r="P10" s="24">
        <v>1000</v>
      </c>
      <c r="Q10" s="24">
        <v>1000</v>
      </c>
      <c r="R10" s="26">
        <f t="shared" si="0"/>
        <v>0</v>
      </c>
      <c r="S10" s="27">
        <f t="shared" si="1"/>
        <v>0</v>
      </c>
      <c r="T10" s="28">
        <f t="shared" si="2"/>
        <v>0</v>
      </c>
      <c r="U10" s="48">
        <f t="shared" si="3"/>
        <v>0</v>
      </c>
      <c r="V10" s="24"/>
      <c r="W10" s="24">
        <v>0</v>
      </c>
      <c r="X10" s="24">
        <v>0</v>
      </c>
      <c r="Y10" s="24">
        <v>0</v>
      </c>
      <c r="Z10" s="24">
        <v>0</v>
      </c>
      <c r="AA10" s="24">
        <f t="shared" si="4"/>
        <v>0</v>
      </c>
      <c r="AB10" s="24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f t="shared" si="5"/>
        <v>0</v>
      </c>
      <c r="AJ10" s="24">
        <f t="shared" si="6"/>
        <v>0</v>
      </c>
      <c r="AK10" s="24"/>
      <c r="AL10" s="24">
        <v>1</v>
      </c>
    </row>
    <row r="11" spans="1:38" x14ac:dyDescent="0.35">
      <c r="A11" s="22">
        <v>2024</v>
      </c>
      <c r="B11" s="24" t="s">
        <v>48</v>
      </c>
      <c r="C11" s="23">
        <v>45541</v>
      </c>
      <c r="D11" s="25" t="s">
        <v>64</v>
      </c>
      <c r="E11" s="29" t="s">
        <v>50</v>
      </c>
      <c r="F11" s="24" t="s">
        <v>65</v>
      </c>
      <c r="G11" s="24" t="s">
        <v>66</v>
      </c>
      <c r="H11" s="22" t="s">
        <v>67</v>
      </c>
      <c r="I11" s="30" t="s">
        <v>68</v>
      </c>
      <c r="J11" s="30">
        <v>5158044</v>
      </c>
      <c r="K11" s="24"/>
      <c r="L11" s="22"/>
      <c r="M11" s="30">
        <v>183427</v>
      </c>
      <c r="N11" s="31">
        <v>38243</v>
      </c>
      <c r="O11" s="32">
        <v>38243</v>
      </c>
      <c r="P11" s="26">
        <v>38212</v>
      </c>
      <c r="Q11" s="33">
        <v>38148</v>
      </c>
      <c r="R11" s="26">
        <f t="shared" si="0"/>
        <v>-95</v>
      </c>
      <c r="S11" s="26">
        <f t="shared" si="1"/>
        <v>-95</v>
      </c>
      <c r="T11" s="34">
        <f t="shared" si="2"/>
        <v>-2.4841147399523589E-3</v>
      </c>
      <c r="U11" s="34">
        <f t="shared" si="3"/>
        <v>-2.4841147399523589E-3</v>
      </c>
      <c r="V11" s="30" t="s">
        <v>69</v>
      </c>
      <c r="W11" s="24">
        <v>142</v>
      </c>
      <c r="X11" s="24">
        <v>137</v>
      </c>
      <c r="Y11" s="24"/>
      <c r="Z11" s="24">
        <v>17</v>
      </c>
      <c r="AA11" s="26">
        <f t="shared" ref="AA11" si="7">+O11-P11</f>
        <v>31</v>
      </c>
      <c r="AB11" s="24">
        <v>48</v>
      </c>
      <c r="AC11" s="24"/>
      <c r="AD11" s="24">
        <v>4</v>
      </c>
      <c r="AE11" s="24"/>
      <c r="AF11" s="24"/>
      <c r="AG11" s="24"/>
      <c r="AH11" s="24"/>
      <c r="AI11" s="27">
        <f t="shared" si="5"/>
        <v>237</v>
      </c>
      <c r="AJ11" s="27">
        <f t="shared" ref="AJ11:AJ22" si="8">R11+AI11</f>
        <v>142</v>
      </c>
      <c r="AK11" s="60"/>
      <c r="AL11" s="22">
        <v>1</v>
      </c>
    </row>
    <row r="12" spans="1:38" x14ac:dyDescent="0.35">
      <c r="A12" s="22">
        <v>2024</v>
      </c>
      <c r="B12" s="24" t="s">
        <v>48</v>
      </c>
      <c r="C12" s="23">
        <v>45541</v>
      </c>
      <c r="D12" s="35" t="s">
        <v>70</v>
      </c>
      <c r="E12" s="29" t="s">
        <v>50</v>
      </c>
      <c r="F12" s="24" t="s">
        <v>71</v>
      </c>
      <c r="G12" s="24" t="s">
        <v>72</v>
      </c>
      <c r="H12" s="22" t="s">
        <v>67</v>
      </c>
      <c r="I12" s="30" t="s">
        <v>73</v>
      </c>
      <c r="J12" s="30">
        <v>5158038</v>
      </c>
      <c r="K12" s="22" t="s">
        <v>74</v>
      </c>
      <c r="L12" s="36">
        <v>23521</v>
      </c>
      <c r="M12" s="24">
        <v>183428</v>
      </c>
      <c r="N12" s="37">
        <v>68976</v>
      </c>
      <c r="O12" s="36">
        <v>69668</v>
      </c>
      <c r="P12" s="26">
        <v>69657</v>
      </c>
      <c r="Q12" s="38">
        <v>69604</v>
      </c>
      <c r="R12" s="26">
        <f t="shared" si="0"/>
        <v>-64</v>
      </c>
      <c r="S12" s="26">
        <f t="shared" si="1"/>
        <v>628</v>
      </c>
      <c r="T12" s="34">
        <f t="shared" si="2"/>
        <v>9.1046160983530022E-3</v>
      </c>
      <c r="U12" s="34">
        <f t="shared" si="3"/>
        <v>-9.1864270540276127E-4</v>
      </c>
      <c r="V12" s="60"/>
      <c r="W12" s="24"/>
      <c r="X12" s="22">
        <f>71-28</f>
        <v>43</v>
      </c>
      <c r="Y12" s="22">
        <v>0</v>
      </c>
      <c r="Z12" s="22">
        <v>10</v>
      </c>
      <c r="AA12" s="36">
        <f>O12-P12</f>
        <v>11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4">
        <v>0</v>
      </c>
      <c r="AI12" s="27">
        <f t="shared" si="5"/>
        <v>64</v>
      </c>
      <c r="AJ12" s="27">
        <f t="shared" si="8"/>
        <v>0</v>
      </c>
      <c r="AK12" s="60"/>
      <c r="AL12" s="22">
        <v>1</v>
      </c>
    </row>
    <row r="13" spans="1:38" x14ac:dyDescent="0.35">
      <c r="A13" s="22">
        <v>2024</v>
      </c>
      <c r="B13" s="24" t="s">
        <v>48</v>
      </c>
      <c r="C13" s="23">
        <v>45541</v>
      </c>
      <c r="D13" s="25" t="s">
        <v>64</v>
      </c>
      <c r="E13" s="29" t="s">
        <v>50</v>
      </c>
      <c r="F13" s="24" t="s">
        <v>65</v>
      </c>
      <c r="G13" s="24" t="s">
        <v>66</v>
      </c>
      <c r="H13" s="22" t="s">
        <v>67</v>
      </c>
      <c r="I13" s="30" t="s">
        <v>75</v>
      </c>
      <c r="J13" s="30">
        <v>5158059</v>
      </c>
      <c r="K13" s="22"/>
      <c r="L13" s="22"/>
      <c r="M13" s="30">
        <v>183429</v>
      </c>
      <c r="N13" s="31">
        <v>19497</v>
      </c>
      <c r="O13" s="32">
        <v>19497</v>
      </c>
      <c r="P13" s="26">
        <v>19471</v>
      </c>
      <c r="Q13" s="33">
        <v>19460</v>
      </c>
      <c r="R13" s="26">
        <f t="shared" si="0"/>
        <v>-37</v>
      </c>
      <c r="S13" s="26">
        <f t="shared" si="1"/>
        <v>-37</v>
      </c>
      <c r="T13" s="39">
        <f t="shared" si="2"/>
        <v>-1.8977278555675214E-3</v>
      </c>
      <c r="U13" s="40">
        <f t="shared" si="3"/>
        <v>-1.8977278555675214E-3</v>
      </c>
      <c r="V13" s="80" t="s">
        <v>76</v>
      </c>
      <c r="W13" s="24">
        <v>129</v>
      </c>
      <c r="X13" s="24">
        <v>71</v>
      </c>
      <c r="Y13" s="24"/>
      <c r="Z13" s="24">
        <v>13</v>
      </c>
      <c r="AA13" s="26">
        <f t="shared" ref="AA13:AA14" si="9">+O13-P13</f>
        <v>26</v>
      </c>
      <c r="AB13" s="24">
        <v>52</v>
      </c>
      <c r="AC13" s="24"/>
      <c r="AD13" s="24">
        <v>4</v>
      </c>
      <c r="AE13" s="24"/>
      <c r="AF13" s="24"/>
      <c r="AG13" s="24"/>
      <c r="AH13" s="24"/>
      <c r="AI13" s="27">
        <f t="shared" si="5"/>
        <v>166</v>
      </c>
      <c r="AJ13" s="27">
        <f t="shared" si="8"/>
        <v>129</v>
      </c>
      <c r="AK13" s="80"/>
      <c r="AL13" s="24">
        <v>1</v>
      </c>
    </row>
    <row r="14" spans="1:38" x14ac:dyDescent="0.35">
      <c r="A14" s="22">
        <v>2024</v>
      </c>
      <c r="B14" s="24" t="s">
        <v>48</v>
      </c>
      <c r="C14" s="23">
        <v>45541</v>
      </c>
      <c r="D14" s="25" t="s">
        <v>64</v>
      </c>
      <c r="E14" s="29" t="s">
        <v>50</v>
      </c>
      <c r="F14" s="24" t="s">
        <v>65</v>
      </c>
      <c r="G14" s="24" t="s">
        <v>66</v>
      </c>
      <c r="H14" s="22" t="s">
        <v>67</v>
      </c>
      <c r="I14" s="30" t="s">
        <v>77</v>
      </c>
      <c r="J14" s="30">
        <v>5158058</v>
      </c>
      <c r="K14" s="24"/>
      <c r="L14" s="24"/>
      <c r="M14" s="30">
        <v>183430</v>
      </c>
      <c r="N14" s="31">
        <v>28232</v>
      </c>
      <c r="O14" s="32">
        <v>28232</v>
      </c>
      <c r="P14" s="26">
        <v>28212</v>
      </c>
      <c r="Q14" s="33">
        <v>28196</v>
      </c>
      <c r="R14" s="26">
        <f t="shared" si="0"/>
        <v>-36</v>
      </c>
      <c r="S14" s="26">
        <f t="shared" si="1"/>
        <v>-36</v>
      </c>
      <c r="T14" s="34">
        <f t="shared" si="2"/>
        <v>-1.2751487673562378E-3</v>
      </c>
      <c r="U14" s="34">
        <f t="shared" si="3"/>
        <v>-1.2751487673562378E-3</v>
      </c>
      <c r="V14" s="80" t="s">
        <v>78</v>
      </c>
      <c r="W14" s="24">
        <v>120</v>
      </c>
      <c r="X14" s="24">
        <v>19</v>
      </c>
      <c r="Y14" s="24"/>
      <c r="Z14" s="24">
        <v>42</v>
      </c>
      <c r="AA14" s="26">
        <f t="shared" si="9"/>
        <v>20</v>
      </c>
      <c r="AB14" s="24">
        <v>71</v>
      </c>
      <c r="AC14" s="24"/>
      <c r="AD14" s="24">
        <v>4</v>
      </c>
      <c r="AE14" s="24"/>
      <c r="AF14" s="24"/>
      <c r="AG14" s="24"/>
      <c r="AH14" s="24"/>
      <c r="AI14" s="27">
        <f t="shared" si="5"/>
        <v>156</v>
      </c>
      <c r="AJ14" s="27">
        <f t="shared" si="8"/>
        <v>120</v>
      </c>
      <c r="AK14" s="24"/>
      <c r="AL14" s="24">
        <v>1</v>
      </c>
    </row>
    <row r="15" spans="1:38" x14ac:dyDescent="0.35">
      <c r="A15" s="14">
        <v>2024</v>
      </c>
      <c r="B15" s="10" t="s">
        <v>48</v>
      </c>
      <c r="C15" s="11">
        <v>45541</v>
      </c>
      <c r="D15" s="10" t="s">
        <v>55</v>
      </c>
      <c r="E15" s="13" t="s">
        <v>50</v>
      </c>
      <c r="F15" s="10" t="s">
        <v>57</v>
      </c>
      <c r="G15" s="10" t="s">
        <v>58</v>
      </c>
      <c r="H15" s="14" t="s">
        <v>67</v>
      </c>
      <c r="I15" s="41" t="s">
        <v>79</v>
      </c>
      <c r="J15" s="41">
        <v>5158722</v>
      </c>
      <c r="K15" s="10"/>
      <c r="L15" s="10"/>
      <c r="M15" s="41">
        <v>183431</v>
      </c>
      <c r="N15" s="42">
        <v>67104</v>
      </c>
      <c r="O15" s="43">
        <v>67776</v>
      </c>
      <c r="P15" s="43">
        <v>67478</v>
      </c>
      <c r="Q15" s="44">
        <f>16855*4</f>
        <v>67420</v>
      </c>
      <c r="R15" s="18">
        <f t="shared" si="0"/>
        <v>-356</v>
      </c>
      <c r="S15" s="18">
        <f t="shared" si="1"/>
        <v>316</v>
      </c>
      <c r="T15" s="45">
        <f t="shared" si="2"/>
        <v>4.7091082498806891E-3</v>
      </c>
      <c r="U15" s="45">
        <f t="shared" si="3"/>
        <v>-5.2525967894240244E-3</v>
      </c>
      <c r="V15" s="10"/>
      <c r="W15" s="10"/>
      <c r="X15" s="10"/>
      <c r="Y15" s="10"/>
      <c r="Z15" s="14">
        <v>54</v>
      </c>
      <c r="AA15" s="54">
        <f>O15-P15</f>
        <v>298</v>
      </c>
      <c r="AB15" s="14"/>
      <c r="AC15" s="14"/>
      <c r="AD15" s="14">
        <v>4</v>
      </c>
      <c r="AE15" s="10"/>
      <c r="AF15" s="14"/>
      <c r="AG15" s="14"/>
      <c r="AH15" s="14"/>
      <c r="AI15" s="20">
        <f t="shared" si="5"/>
        <v>356</v>
      </c>
      <c r="AJ15" s="20">
        <f t="shared" si="8"/>
        <v>0</v>
      </c>
      <c r="AK15" s="10"/>
      <c r="AL15" s="10">
        <v>1</v>
      </c>
    </row>
    <row r="16" spans="1:38" x14ac:dyDescent="0.35">
      <c r="A16" s="14">
        <v>2024</v>
      </c>
      <c r="B16" s="10" t="s">
        <v>48</v>
      </c>
      <c r="C16" s="11">
        <v>45541</v>
      </c>
      <c r="D16" s="10" t="s">
        <v>55</v>
      </c>
      <c r="E16" s="13" t="s">
        <v>50</v>
      </c>
      <c r="F16" s="10" t="s">
        <v>57</v>
      </c>
      <c r="G16" s="10" t="s">
        <v>58</v>
      </c>
      <c r="H16" s="14" t="s">
        <v>67</v>
      </c>
      <c r="I16" s="41" t="s">
        <v>80</v>
      </c>
      <c r="J16" s="41">
        <v>5158043</v>
      </c>
      <c r="K16" s="10"/>
      <c r="L16" s="10"/>
      <c r="M16" s="41">
        <v>183432</v>
      </c>
      <c r="N16" s="42">
        <v>11016</v>
      </c>
      <c r="O16" s="81">
        <v>11124</v>
      </c>
      <c r="P16" s="81">
        <v>11045</v>
      </c>
      <c r="Q16" s="81">
        <v>11037</v>
      </c>
      <c r="R16" s="46">
        <f t="shared" si="0"/>
        <v>-87</v>
      </c>
      <c r="S16" s="18">
        <f t="shared" si="1"/>
        <v>21</v>
      </c>
      <c r="T16" s="47">
        <f t="shared" si="2"/>
        <v>1.9063180827887383E-3</v>
      </c>
      <c r="U16" s="47">
        <f t="shared" si="3"/>
        <v>-7.8209277238403541E-3</v>
      </c>
      <c r="V16" s="10"/>
      <c r="W16" s="10"/>
      <c r="X16" s="10"/>
      <c r="Y16" s="14"/>
      <c r="Z16" s="10">
        <v>1</v>
      </c>
      <c r="AA16" s="54">
        <f>O16-P16</f>
        <v>79</v>
      </c>
      <c r="AB16" s="14"/>
      <c r="AC16" s="10"/>
      <c r="AD16" s="10"/>
      <c r="AE16" s="10"/>
      <c r="AF16" s="10"/>
      <c r="AG16" s="10"/>
      <c r="AH16" s="10"/>
      <c r="AI16" s="20">
        <f t="shared" si="5"/>
        <v>80</v>
      </c>
      <c r="AJ16" s="20">
        <f t="shared" si="8"/>
        <v>-7</v>
      </c>
      <c r="AK16" s="10"/>
      <c r="AL16" s="10">
        <v>1</v>
      </c>
    </row>
    <row r="17" spans="1:38" x14ac:dyDescent="0.35">
      <c r="A17" s="22">
        <v>2024</v>
      </c>
      <c r="B17" s="24" t="s">
        <v>48</v>
      </c>
      <c r="C17" s="23">
        <v>45541</v>
      </c>
      <c r="D17" s="25" t="s">
        <v>64</v>
      </c>
      <c r="E17" s="29" t="s">
        <v>50</v>
      </c>
      <c r="F17" s="24" t="s">
        <v>65</v>
      </c>
      <c r="G17" s="24" t="s">
        <v>66</v>
      </c>
      <c r="H17" s="22" t="s">
        <v>67</v>
      </c>
      <c r="I17" s="30" t="s">
        <v>81</v>
      </c>
      <c r="J17" s="30">
        <v>5158037</v>
      </c>
      <c r="K17" s="24"/>
      <c r="L17" s="24"/>
      <c r="M17" s="30">
        <v>183433</v>
      </c>
      <c r="N17" s="31">
        <v>11349</v>
      </c>
      <c r="O17" s="32">
        <v>11349</v>
      </c>
      <c r="P17" s="26">
        <v>11348</v>
      </c>
      <c r="Q17" s="33">
        <v>11322</v>
      </c>
      <c r="R17" s="26">
        <f t="shared" si="0"/>
        <v>-27</v>
      </c>
      <c r="S17" s="26">
        <f t="shared" si="1"/>
        <v>-27</v>
      </c>
      <c r="T17" s="48">
        <f t="shared" si="2"/>
        <v>-2.3790642347343294E-3</v>
      </c>
      <c r="U17" s="48">
        <f t="shared" si="3"/>
        <v>-2.3790642347343294E-3</v>
      </c>
      <c r="V17" s="80" t="s">
        <v>76</v>
      </c>
      <c r="W17" s="24">
        <v>130</v>
      </c>
      <c r="X17" s="24">
        <v>50</v>
      </c>
      <c r="Y17" s="24"/>
      <c r="Z17" s="24">
        <v>4</v>
      </c>
      <c r="AA17" s="26">
        <f t="shared" ref="AA17:AA21" si="10">+O17-P17</f>
        <v>1</v>
      </c>
      <c r="AB17" s="24">
        <v>99</v>
      </c>
      <c r="AC17" s="24"/>
      <c r="AD17" s="24">
        <v>3</v>
      </c>
      <c r="AE17" s="24"/>
      <c r="AF17" s="24"/>
      <c r="AG17" s="24"/>
      <c r="AH17" s="24"/>
      <c r="AI17" s="27">
        <f t="shared" si="5"/>
        <v>157</v>
      </c>
      <c r="AJ17" s="27">
        <f t="shared" si="8"/>
        <v>130</v>
      </c>
      <c r="AK17" s="24"/>
      <c r="AL17" s="24">
        <v>1</v>
      </c>
    </row>
    <row r="18" spans="1:38" x14ac:dyDescent="0.35">
      <c r="A18" s="22">
        <v>2024</v>
      </c>
      <c r="B18" s="24" t="s">
        <v>48</v>
      </c>
      <c r="C18" s="23">
        <v>45541</v>
      </c>
      <c r="D18" s="25" t="s">
        <v>64</v>
      </c>
      <c r="E18" s="29" t="s">
        <v>50</v>
      </c>
      <c r="F18" s="24" t="s">
        <v>65</v>
      </c>
      <c r="G18" s="24" t="s">
        <v>66</v>
      </c>
      <c r="H18" s="22" t="s">
        <v>67</v>
      </c>
      <c r="I18" s="30" t="s">
        <v>82</v>
      </c>
      <c r="J18" s="30">
        <v>5158060</v>
      </c>
      <c r="K18" s="24"/>
      <c r="L18" s="24"/>
      <c r="M18" s="30">
        <v>183434</v>
      </c>
      <c r="N18" s="31">
        <v>10941</v>
      </c>
      <c r="O18" s="32">
        <v>10948</v>
      </c>
      <c r="P18" s="26">
        <v>10948</v>
      </c>
      <c r="Q18" s="33">
        <v>10929</v>
      </c>
      <c r="R18" s="26">
        <f t="shared" si="0"/>
        <v>-19</v>
      </c>
      <c r="S18" s="26">
        <f t="shared" si="1"/>
        <v>-12</v>
      </c>
      <c r="T18" s="48">
        <f t="shared" si="2"/>
        <v>-1.0967918837400115E-3</v>
      </c>
      <c r="U18" s="48">
        <f t="shared" si="3"/>
        <v>-1.7354767994154363E-3</v>
      </c>
      <c r="V18" s="22"/>
      <c r="W18" s="24">
        <v>0</v>
      </c>
      <c r="X18" s="24">
        <v>10</v>
      </c>
      <c r="Y18" s="24"/>
      <c r="Z18" s="24">
        <v>6</v>
      </c>
      <c r="AA18" s="26">
        <f t="shared" si="10"/>
        <v>0</v>
      </c>
      <c r="AB18" s="24">
        <v>0</v>
      </c>
      <c r="AC18" s="24"/>
      <c r="AD18" s="24">
        <v>3</v>
      </c>
      <c r="AE18" s="24"/>
      <c r="AF18" s="24"/>
      <c r="AG18" s="24"/>
      <c r="AH18" s="24"/>
      <c r="AI18" s="27">
        <f t="shared" si="5"/>
        <v>19</v>
      </c>
      <c r="AJ18" s="27">
        <f t="shared" si="8"/>
        <v>0</v>
      </c>
      <c r="AK18" s="24"/>
      <c r="AL18" s="24">
        <v>1</v>
      </c>
    </row>
    <row r="19" spans="1:38" x14ac:dyDescent="0.35">
      <c r="A19" s="22">
        <v>2024</v>
      </c>
      <c r="B19" s="24" t="s">
        <v>48</v>
      </c>
      <c r="C19" s="23">
        <v>45541</v>
      </c>
      <c r="D19" s="25" t="s">
        <v>64</v>
      </c>
      <c r="E19" s="29" t="s">
        <v>50</v>
      </c>
      <c r="F19" s="24" t="s">
        <v>65</v>
      </c>
      <c r="G19" s="24" t="s">
        <v>66</v>
      </c>
      <c r="H19" s="22" t="s">
        <v>67</v>
      </c>
      <c r="I19" s="30" t="s">
        <v>83</v>
      </c>
      <c r="J19" s="30">
        <v>5158614</v>
      </c>
      <c r="K19" s="24"/>
      <c r="L19" s="24"/>
      <c r="M19" s="30">
        <v>183438</v>
      </c>
      <c r="N19" s="31">
        <v>54593</v>
      </c>
      <c r="O19" s="32">
        <v>54593</v>
      </c>
      <c r="P19" s="26">
        <v>54393</v>
      </c>
      <c r="Q19" s="33">
        <v>54462</v>
      </c>
      <c r="R19" s="26">
        <f t="shared" si="0"/>
        <v>-131</v>
      </c>
      <c r="S19" s="26">
        <f t="shared" si="1"/>
        <v>-131</v>
      </c>
      <c r="T19" s="48">
        <f t="shared" si="2"/>
        <v>-2.3995750370926494E-3</v>
      </c>
      <c r="U19" s="48">
        <f t="shared" si="3"/>
        <v>-2.3995750370926494E-3</v>
      </c>
      <c r="V19" s="22" t="s">
        <v>84</v>
      </c>
      <c r="W19" s="24">
        <v>103</v>
      </c>
      <c r="X19" s="24">
        <v>0</v>
      </c>
      <c r="Y19" s="24"/>
      <c r="Z19" s="24">
        <v>33</v>
      </c>
      <c r="AA19" s="26">
        <f t="shared" si="10"/>
        <v>200</v>
      </c>
      <c r="AB19" s="24">
        <v>0</v>
      </c>
      <c r="AC19" s="24"/>
      <c r="AD19" s="24">
        <v>1</v>
      </c>
      <c r="AE19" s="24"/>
      <c r="AF19" s="24"/>
      <c r="AG19" s="24"/>
      <c r="AH19" s="24"/>
      <c r="AI19" s="27">
        <f t="shared" si="5"/>
        <v>234</v>
      </c>
      <c r="AJ19" s="27">
        <f t="shared" si="8"/>
        <v>103</v>
      </c>
      <c r="AK19" s="24"/>
      <c r="AL19" s="24">
        <v>1</v>
      </c>
    </row>
    <row r="20" spans="1:38" x14ac:dyDescent="0.35">
      <c r="A20" s="22">
        <v>2024</v>
      </c>
      <c r="B20" s="24" t="s">
        <v>48</v>
      </c>
      <c r="C20" s="23">
        <v>45541</v>
      </c>
      <c r="D20" s="25" t="s">
        <v>64</v>
      </c>
      <c r="E20" s="29" t="s">
        <v>50</v>
      </c>
      <c r="F20" s="24" t="s">
        <v>65</v>
      </c>
      <c r="G20" s="24" t="s">
        <v>66</v>
      </c>
      <c r="H20" s="22" t="s">
        <v>67</v>
      </c>
      <c r="I20" s="30" t="s">
        <v>83</v>
      </c>
      <c r="J20" s="30">
        <v>5158614</v>
      </c>
      <c r="K20" s="22"/>
      <c r="L20" s="22"/>
      <c r="M20" s="30">
        <v>183439</v>
      </c>
      <c r="N20" s="31">
        <v>1200</v>
      </c>
      <c r="O20" s="32">
        <v>1200</v>
      </c>
      <c r="P20" s="26">
        <v>1200</v>
      </c>
      <c r="Q20" s="33">
        <v>1200</v>
      </c>
      <c r="R20" s="49">
        <f t="shared" si="0"/>
        <v>0</v>
      </c>
      <c r="S20" s="26">
        <f t="shared" si="1"/>
        <v>0</v>
      </c>
      <c r="T20" s="39">
        <f t="shared" si="2"/>
        <v>0</v>
      </c>
      <c r="U20" s="40">
        <f t="shared" si="3"/>
        <v>0</v>
      </c>
      <c r="V20" s="22"/>
      <c r="W20" s="24">
        <v>0</v>
      </c>
      <c r="X20" s="24">
        <v>0</v>
      </c>
      <c r="Y20" s="24"/>
      <c r="Z20" s="24">
        <v>0</v>
      </c>
      <c r="AA20" s="26">
        <f t="shared" si="10"/>
        <v>0</v>
      </c>
      <c r="AB20" s="24">
        <v>0</v>
      </c>
      <c r="AC20" s="24"/>
      <c r="AD20" s="24">
        <v>0</v>
      </c>
      <c r="AE20" s="24"/>
      <c r="AF20" s="24"/>
      <c r="AG20" s="24"/>
      <c r="AH20" s="24"/>
      <c r="AI20" s="27">
        <f t="shared" si="5"/>
        <v>0</v>
      </c>
      <c r="AJ20" s="27">
        <f t="shared" si="8"/>
        <v>0</v>
      </c>
      <c r="AK20" s="80"/>
      <c r="AL20" s="24">
        <v>1</v>
      </c>
    </row>
    <row r="21" spans="1:38" x14ac:dyDescent="0.35">
      <c r="A21" s="22">
        <v>2024</v>
      </c>
      <c r="B21" s="24" t="s">
        <v>48</v>
      </c>
      <c r="C21" s="23">
        <v>45541</v>
      </c>
      <c r="D21" s="25" t="s">
        <v>64</v>
      </c>
      <c r="E21" s="29" t="s">
        <v>50</v>
      </c>
      <c r="F21" s="24" t="s">
        <v>65</v>
      </c>
      <c r="G21" s="24" t="s">
        <v>66</v>
      </c>
      <c r="H21" s="22" t="s">
        <v>67</v>
      </c>
      <c r="I21" s="30" t="s">
        <v>85</v>
      </c>
      <c r="J21" s="30">
        <v>5158619</v>
      </c>
      <c r="K21" s="50"/>
      <c r="L21" s="50"/>
      <c r="M21" s="30">
        <v>183441</v>
      </c>
      <c r="N21" s="31">
        <v>30376</v>
      </c>
      <c r="O21" s="32">
        <v>30376</v>
      </c>
      <c r="P21" s="26">
        <v>30363</v>
      </c>
      <c r="Q21" s="33">
        <v>30306</v>
      </c>
      <c r="R21" s="27">
        <f t="shared" si="0"/>
        <v>-70</v>
      </c>
      <c r="S21" s="27">
        <f t="shared" si="1"/>
        <v>-70</v>
      </c>
      <c r="T21" s="28">
        <f t="shared" si="2"/>
        <v>-2.3044508822754883E-3</v>
      </c>
      <c r="U21" s="28">
        <f t="shared" si="3"/>
        <v>-2.3044508822754883E-3</v>
      </c>
      <c r="V21" s="80" t="s">
        <v>76</v>
      </c>
      <c r="W21" s="24">
        <v>0</v>
      </c>
      <c r="X21" s="24">
        <v>1</v>
      </c>
      <c r="Y21" s="24"/>
      <c r="Z21" s="24">
        <v>10</v>
      </c>
      <c r="AA21" s="26">
        <f t="shared" si="10"/>
        <v>13</v>
      </c>
      <c r="AB21" s="24">
        <v>43</v>
      </c>
      <c r="AC21" s="24"/>
      <c r="AD21" s="24">
        <v>3</v>
      </c>
      <c r="AE21" s="24"/>
      <c r="AF21" s="24"/>
      <c r="AG21" s="24"/>
      <c r="AH21" s="24"/>
      <c r="AI21" s="27">
        <f t="shared" si="5"/>
        <v>70</v>
      </c>
      <c r="AJ21" s="27">
        <f t="shared" si="8"/>
        <v>0</v>
      </c>
      <c r="AK21" s="22"/>
      <c r="AL21" s="22">
        <v>1</v>
      </c>
    </row>
    <row r="22" spans="1:38" x14ac:dyDescent="0.35">
      <c r="A22" s="22">
        <v>2024</v>
      </c>
      <c r="B22" s="24" t="s">
        <v>48</v>
      </c>
      <c r="C22" s="23">
        <v>45541</v>
      </c>
      <c r="D22" s="25" t="s">
        <v>64</v>
      </c>
      <c r="E22" s="29" t="s">
        <v>50</v>
      </c>
      <c r="F22" s="24" t="s">
        <v>65</v>
      </c>
      <c r="G22" s="24" t="s">
        <v>66</v>
      </c>
      <c r="H22" s="22" t="s">
        <v>67</v>
      </c>
      <c r="I22" s="30" t="s">
        <v>85</v>
      </c>
      <c r="J22" s="30">
        <v>5158619</v>
      </c>
      <c r="K22" s="50"/>
      <c r="L22" s="50"/>
      <c r="M22" s="30">
        <v>183442</v>
      </c>
      <c r="N22" s="31">
        <v>1963</v>
      </c>
      <c r="O22" s="32">
        <v>1963</v>
      </c>
      <c r="P22" s="26">
        <v>1963</v>
      </c>
      <c r="Q22" s="33">
        <v>1959</v>
      </c>
      <c r="R22" s="27">
        <f t="shared" si="0"/>
        <v>-4</v>
      </c>
      <c r="S22" s="27">
        <f t="shared" si="1"/>
        <v>-4</v>
      </c>
      <c r="T22" s="28">
        <f t="shared" si="2"/>
        <v>-2.0376974019358229E-3</v>
      </c>
      <c r="U22" s="28">
        <f t="shared" si="3"/>
        <v>-2.0376974019358229E-3</v>
      </c>
      <c r="V22" s="24"/>
      <c r="W22" s="50"/>
      <c r="X22" s="50">
        <v>3</v>
      </c>
      <c r="Y22" s="50"/>
      <c r="Z22" s="50">
        <v>1</v>
      </c>
      <c r="AA22" s="62">
        <f>O22-P22</f>
        <v>0</v>
      </c>
      <c r="AB22" s="50"/>
      <c r="AC22" s="50"/>
      <c r="AD22" s="50"/>
      <c r="AE22" s="50"/>
      <c r="AF22" s="50"/>
      <c r="AG22" s="50"/>
      <c r="AH22" s="50"/>
      <c r="AI22" s="27">
        <f t="shared" si="5"/>
        <v>4</v>
      </c>
      <c r="AJ22" s="27">
        <f t="shared" si="8"/>
        <v>0</v>
      </c>
      <c r="AK22" s="50"/>
      <c r="AL22" s="24">
        <v>1</v>
      </c>
    </row>
    <row r="23" spans="1:38" x14ac:dyDescent="0.35">
      <c r="A23" s="14">
        <v>2024</v>
      </c>
      <c r="B23" s="10" t="s">
        <v>48</v>
      </c>
      <c r="C23" s="11">
        <v>45541</v>
      </c>
      <c r="D23" s="12" t="s">
        <v>86</v>
      </c>
      <c r="E23" s="12" t="s">
        <v>87</v>
      </c>
      <c r="F23" s="10" t="s">
        <v>88</v>
      </c>
      <c r="G23" s="10" t="s">
        <v>88</v>
      </c>
      <c r="H23" s="14" t="s">
        <v>89</v>
      </c>
      <c r="I23" s="41" t="s">
        <v>90</v>
      </c>
      <c r="J23" s="14"/>
      <c r="K23" s="14"/>
      <c r="L23" s="15"/>
      <c r="M23" s="51">
        <v>182960</v>
      </c>
      <c r="N23" s="19">
        <v>3929</v>
      </c>
      <c r="O23" s="17">
        <v>3955</v>
      </c>
      <c r="P23" s="18">
        <v>3955</v>
      </c>
      <c r="Q23" s="19">
        <v>3937</v>
      </c>
      <c r="R23" s="20">
        <f t="shared" si="0"/>
        <v>-18</v>
      </c>
      <c r="S23" s="20">
        <f>Q23-N23</f>
        <v>8</v>
      </c>
      <c r="T23" s="21">
        <f t="shared" si="2"/>
        <v>2.0361415118350656E-3</v>
      </c>
      <c r="U23" s="21">
        <f t="shared" si="3"/>
        <v>-4.5512010113779588E-3</v>
      </c>
      <c r="V23" s="82"/>
      <c r="W23" s="10"/>
      <c r="X23" s="10">
        <v>14</v>
      </c>
      <c r="Y23" s="10"/>
      <c r="Z23" s="10"/>
      <c r="AA23" s="46">
        <f>O23-P23</f>
        <v>0</v>
      </c>
      <c r="AB23" s="10">
        <v>4</v>
      </c>
      <c r="AC23" s="10"/>
      <c r="AD23" s="10"/>
      <c r="AE23" s="10"/>
      <c r="AF23" s="10"/>
      <c r="AG23" s="10"/>
      <c r="AH23" s="10"/>
      <c r="AI23" s="18">
        <f t="shared" si="5"/>
        <v>18</v>
      </c>
      <c r="AJ23" s="18">
        <f>R23+AI23</f>
        <v>0</v>
      </c>
      <c r="AK23" s="52"/>
      <c r="AL23" s="10">
        <v>1</v>
      </c>
    </row>
    <row r="24" spans="1:38" x14ac:dyDescent="0.35">
      <c r="A24" s="14">
        <v>2024</v>
      </c>
      <c r="B24" s="10" t="s">
        <v>48</v>
      </c>
      <c r="C24" s="11">
        <v>45541</v>
      </c>
      <c r="D24" s="12" t="s">
        <v>86</v>
      </c>
      <c r="E24" s="12" t="s">
        <v>87</v>
      </c>
      <c r="F24" s="10" t="s">
        <v>88</v>
      </c>
      <c r="G24" s="10" t="s">
        <v>88</v>
      </c>
      <c r="H24" s="14" t="s">
        <v>89</v>
      </c>
      <c r="I24" s="41" t="s">
        <v>91</v>
      </c>
      <c r="J24" s="14"/>
      <c r="K24" s="14"/>
      <c r="L24" s="15"/>
      <c r="M24" s="51">
        <v>182961</v>
      </c>
      <c r="N24" s="19">
        <v>866</v>
      </c>
      <c r="O24" s="17">
        <v>878</v>
      </c>
      <c r="P24" s="18">
        <v>878</v>
      </c>
      <c r="Q24" s="19">
        <v>872</v>
      </c>
      <c r="R24" s="20">
        <f>Q24-O24</f>
        <v>-6</v>
      </c>
      <c r="S24" s="20">
        <f>Q24-N24</f>
        <v>6</v>
      </c>
      <c r="T24" s="21">
        <f t="shared" si="2"/>
        <v>6.9284064665127154E-3</v>
      </c>
      <c r="U24" s="21">
        <f t="shared" si="3"/>
        <v>-6.8337129840546629E-3</v>
      </c>
      <c r="V24" s="82"/>
      <c r="W24" s="10"/>
      <c r="X24" s="10">
        <v>6</v>
      </c>
      <c r="Y24" s="10"/>
      <c r="Z24" s="10"/>
      <c r="AA24" s="46">
        <f t="shared" ref="AA24:AA27" si="11">O24-P24</f>
        <v>0</v>
      </c>
      <c r="AB24" s="10"/>
      <c r="AC24" s="10"/>
      <c r="AD24" s="10"/>
      <c r="AE24" s="10"/>
      <c r="AF24" s="10"/>
      <c r="AG24" s="10"/>
      <c r="AH24" s="10"/>
      <c r="AI24" s="18">
        <f t="shared" si="5"/>
        <v>6</v>
      </c>
      <c r="AJ24" s="18">
        <f t="shared" ref="AJ24:AJ27" si="12">R24+AI24</f>
        <v>0</v>
      </c>
      <c r="AK24" s="79"/>
      <c r="AL24" s="18">
        <v>1</v>
      </c>
    </row>
    <row r="25" spans="1:38" x14ac:dyDescent="0.35">
      <c r="A25" s="14">
        <v>2024</v>
      </c>
      <c r="B25" s="10" t="s">
        <v>48</v>
      </c>
      <c r="C25" s="11">
        <v>45541</v>
      </c>
      <c r="D25" s="12" t="s">
        <v>86</v>
      </c>
      <c r="E25" s="12" t="s">
        <v>87</v>
      </c>
      <c r="F25" s="10" t="s">
        <v>88</v>
      </c>
      <c r="G25" s="10" t="s">
        <v>88</v>
      </c>
      <c r="H25" s="14" t="s">
        <v>89</v>
      </c>
      <c r="I25" s="41" t="s">
        <v>92</v>
      </c>
      <c r="J25" s="14"/>
      <c r="K25" s="14"/>
      <c r="L25" s="15"/>
      <c r="M25" s="51">
        <v>182962</v>
      </c>
      <c r="N25" s="19">
        <v>3034</v>
      </c>
      <c r="O25" s="17">
        <v>3180</v>
      </c>
      <c r="P25" s="18">
        <v>3178</v>
      </c>
      <c r="Q25" s="19">
        <v>3074</v>
      </c>
      <c r="R25" s="20">
        <f t="shared" si="0"/>
        <v>-106</v>
      </c>
      <c r="S25" s="20">
        <f t="shared" ref="S25:S27" si="13">Q25-N25</f>
        <v>40</v>
      </c>
      <c r="T25" s="21">
        <f t="shared" si="2"/>
        <v>1.3183915622940079E-2</v>
      </c>
      <c r="U25" s="21">
        <f t="shared" si="3"/>
        <v>-3.3333333333333326E-2</v>
      </c>
      <c r="V25" s="82"/>
      <c r="W25" s="10"/>
      <c r="X25" s="10">
        <f>59</f>
        <v>59</v>
      </c>
      <c r="Y25" s="10"/>
      <c r="Z25" s="10"/>
      <c r="AA25" s="46">
        <f t="shared" si="11"/>
        <v>2</v>
      </c>
      <c r="AB25" s="10">
        <v>45</v>
      </c>
      <c r="AC25" s="10"/>
      <c r="AD25" s="10"/>
      <c r="AE25" s="10"/>
      <c r="AF25" s="10"/>
      <c r="AG25" s="10"/>
      <c r="AH25" s="10"/>
      <c r="AI25" s="18">
        <f t="shared" si="5"/>
        <v>106</v>
      </c>
      <c r="AJ25" s="18">
        <f t="shared" si="12"/>
        <v>0</v>
      </c>
      <c r="AK25" s="10"/>
      <c r="AL25" s="10">
        <v>1</v>
      </c>
    </row>
    <row r="26" spans="1:38" x14ac:dyDescent="0.35">
      <c r="A26" s="14">
        <v>2024</v>
      </c>
      <c r="B26" s="10" t="s">
        <v>48</v>
      </c>
      <c r="C26" s="11">
        <v>45541</v>
      </c>
      <c r="D26" s="12" t="s">
        <v>86</v>
      </c>
      <c r="E26" s="12" t="s">
        <v>87</v>
      </c>
      <c r="F26" s="10" t="s">
        <v>88</v>
      </c>
      <c r="G26" s="10" t="s">
        <v>88</v>
      </c>
      <c r="H26" s="14" t="s">
        <v>89</v>
      </c>
      <c r="I26" s="41" t="s">
        <v>93</v>
      </c>
      <c r="J26" s="14"/>
      <c r="K26" s="14"/>
      <c r="L26" s="15"/>
      <c r="M26" s="51">
        <v>182963</v>
      </c>
      <c r="N26" s="19">
        <v>3034</v>
      </c>
      <c r="O26" s="17">
        <v>3236</v>
      </c>
      <c r="P26" s="18">
        <v>3236</v>
      </c>
      <c r="Q26" s="19">
        <v>3074</v>
      </c>
      <c r="R26" s="20">
        <f t="shared" si="0"/>
        <v>-162</v>
      </c>
      <c r="S26" s="20">
        <f t="shared" si="13"/>
        <v>40</v>
      </c>
      <c r="T26" s="21">
        <f t="shared" si="2"/>
        <v>1.3183915622940079E-2</v>
      </c>
      <c r="U26" s="21">
        <f t="shared" si="3"/>
        <v>-5.0061804697156931E-2</v>
      </c>
      <c r="V26" s="82"/>
      <c r="W26" s="10"/>
      <c r="X26" s="10">
        <f>179-33</f>
        <v>146</v>
      </c>
      <c r="Y26" s="10"/>
      <c r="Z26" s="10"/>
      <c r="AA26" s="46">
        <f t="shared" si="11"/>
        <v>0</v>
      </c>
      <c r="AB26" s="10">
        <v>16</v>
      </c>
      <c r="AC26" s="10"/>
      <c r="AD26" s="10"/>
      <c r="AE26" s="10"/>
      <c r="AF26" s="10"/>
      <c r="AG26" s="10"/>
      <c r="AH26" s="10"/>
      <c r="AI26" s="18">
        <f t="shared" si="5"/>
        <v>162</v>
      </c>
      <c r="AJ26" s="18">
        <f t="shared" si="12"/>
        <v>0</v>
      </c>
      <c r="AK26" s="10"/>
      <c r="AL26" s="10">
        <v>1</v>
      </c>
    </row>
    <row r="27" spans="1:38" x14ac:dyDescent="0.35">
      <c r="A27" s="14">
        <v>2024</v>
      </c>
      <c r="B27" s="10" t="s">
        <v>48</v>
      </c>
      <c r="C27" s="11">
        <v>45541</v>
      </c>
      <c r="D27" s="12" t="s">
        <v>86</v>
      </c>
      <c r="E27" s="12" t="s">
        <v>87</v>
      </c>
      <c r="F27" s="10" t="s">
        <v>88</v>
      </c>
      <c r="G27" s="10" t="s">
        <v>88</v>
      </c>
      <c r="H27" s="14" t="s">
        <v>89</v>
      </c>
      <c r="I27" s="41" t="s">
        <v>94</v>
      </c>
      <c r="J27" s="14"/>
      <c r="K27" s="14"/>
      <c r="L27" s="15"/>
      <c r="M27" s="10">
        <v>182964</v>
      </c>
      <c r="N27" s="19">
        <v>400</v>
      </c>
      <c r="O27" s="17">
        <v>416</v>
      </c>
      <c r="P27" s="18">
        <v>415</v>
      </c>
      <c r="Q27" s="19">
        <v>401</v>
      </c>
      <c r="R27" s="20">
        <f t="shared" si="0"/>
        <v>-15</v>
      </c>
      <c r="S27" s="20">
        <f t="shared" si="13"/>
        <v>1</v>
      </c>
      <c r="T27" s="21">
        <f t="shared" si="2"/>
        <v>2.4999999999999467E-3</v>
      </c>
      <c r="U27" s="21">
        <f t="shared" si="3"/>
        <v>-3.6057692307692291E-2</v>
      </c>
      <c r="V27" s="82"/>
      <c r="W27" s="10"/>
      <c r="X27" s="10">
        <v>14</v>
      </c>
      <c r="Y27" s="10"/>
      <c r="Z27" s="10"/>
      <c r="AA27" s="46">
        <f t="shared" si="11"/>
        <v>1</v>
      </c>
      <c r="AB27" s="10"/>
      <c r="AC27" s="10"/>
      <c r="AD27" s="10"/>
      <c r="AE27" s="10"/>
      <c r="AF27" s="10"/>
      <c r="AG27" s="10"/>
      <c r="AH27" s="10"/>
      <c r="AI27" s="18">
        <f t="shared" si="5"/>
        <v>15</v>
      </c>
      <c r="AJ27" s="18">
        <f t="shared" si="12"/>
        <v>0</v>
      </c>
      <c r="AK27" s="52"/>
      <c r="AL27" s="14">
        <v>1</v>
      </c>
    </row>
    <row r="28" spans="1:38" x14ac:dyDescent="0.35">
      <c r="A28" s="53">
        <v>2024</v>
      </c>
      <c r="B28" s="10" t="s">
        <v>95</v>
      </c>
      <c r="C28" s="11">
        <v>45548</v>
      </c>
      <c r="D28" s="10" t="s">
        <v>49</v>
      </c>
      <c r="E28" s="12" t="s">
        <v>55</v>
      </c>
      <c r="F28" s="10" t="s">
        <v>51</v>
      </c>
      <c r="G28" s="10" t="s">
        <v>52</v>
      </c>
      <c r="H28" s="10" t="s">
        <v>96</v>
      </c>
      <c r="I28" s="10" t="s">
        <v>97</v>
      </c>
      <c r="J28" s="41"/>
      <c r="K28" s="52"/>
      <c r="L28" s="52"/>
      <c r="M28" s="10">
        <v>183232</v>
      </c>
      <c r="N28" s="18">
        <v>3450</v>
      </c>
      <c r="O28" s="54">
        <v>3398</v>
      </c>
      <c r="P28" s="54">
        <v>3380</v>
      </c>
      <c r="Q28" s="54">
        <v>3183</v>
      </c>
      <c r="R28" s="20">
        <v>-215</v>
      </c>
      <c r="S28" s="20">
        <v>-267</v>
      </c>
      <c r="T28" s="21">
        <f t="shared" si="2"/>
        <v>-7.739130434782604E-2</v>
      </c>
      <c r="U28" s="21">
        <f t="shared" si="3"/>
        <v>-6.3272513243084139E-2</v>
      </c>
      <c r="V28" s="55"/>
      <c r="W28" s="52"/>
      <c r="X28" s="52">
        <v>148</v>
      </c>
      <c r="Y28" s="52"/>
      <c r="Z28" s="52">
        <v>46</v>
      </c>
      <c r="AA28" s="54">
        <v>18</v>
      </c>
      <c r="AB28" s="52"/>
      <c r="AC28" s="52"/>
      <c r="AD28" s="52"/>
      <c r="AE28" s="52">
        <v>3</v>
      </c>
      <c r="AF28" s="52"/>
      <c r="AG28" s="52"/>
      <c r="AH28" s="54"/>
      <c r="AI28" s="18">
        <v>215</v>
      </c>
      <c r="AJ28" s="18">
        <v>0</v>
      </c>
      <c r="AK28" s="14"/>
      <c r="AL28" s="14">
        <v>2</v>
      </c>
    </row>
    <row r="29" spans="1:38" x14ac:dyDescent="0.35">
      <c r="A29" s="53">
        <v>2024</v>
      </c>
      <c r="B29" s="10" t="s">
        <v>95</v>
      </c>
      <c r="C29" s="11">
        <v>45548</v>
      </c>
      <c r="D29" s="10" t="s">
        <v>49</v>
      </c>
      <c r="E29" s="12" t="s">
        <v>55</v>
      </c>
      <c r="F29" s="10" t="s">
        <v>51</v>
      </c>
      <c r="G29" s="10" t="s">
        <v>52</v>
      </c>
      <c r="H29" s="10" t="s">
        <v>96</v>
      </c>
      <c r="I29" s="10" t="s">
        <v>98</v>
      </c>
      <c r="J29" s="41"/>
      <c r="K29" s="52"/>
      <c r="L29" s="52"/>
      <c r="M29" s="10">
        <v>183233</v>
      </c>
      <c r="N29" s="18">
        <v>1600</v>
      </c>
      <c r="O29" s="54">
        <v>1616</v>
      </c>
      <c r="P29" s="54">
        <v>1598</v>
      </c>
      <c r="Q29" s="54">
        <v>1576</v>
      </c>
      <c r="R29" s="20">
        <v>-40</v>
      </c>
      <c r="S29" s="20">
        <v>-24</v>
      </c>
      <c r="T29" s="21">
        <f t="shared" si="2"/>
        <v>-1.5000000000000013E-2</v>
      </c>
      <c r="U29" s="21">
        <f t="shared" si="3"/>
        <v>-2.4752475247524774E-2</v>
      </c>
      <c r="V29" s="55"/>
      <c r="W29" s="52"/>
      <c r="X29" s="52">
        <v>17</v>
      </c>
      <c r="Y29" s="52"/>
      <c r="Z29" s="52">
        <v>1</v>
      </c>
      <c r="AA29" s="54">
        <v>18</v>
      </c>
      <c r="AB29" s="52"/>
      <c r="AC29" s="52"/>
      <c r="AD29" s="52"/>
      <c r="AE29" s="52">
        <v>4</v>
      </c>
      <c r="AF29" s="52"/>
      <c r="AG29" s="52"/>
      <c r="AH29" s="54"/>
      <c r="AI29" s="18">
        <v>40</v>
      </c>
      <c r="AJ29" s="18">
        <v>0</v>
      </c>
      <c r="AK29" s="14"/>
      <c r="AL29" s="14">
        <v>2</v>
      </c>
    </row>
    <row r="30" spans="1:38" x14ac:dyDescent="0.35">
      <c r="A30" s="53">
        <v>2024</v>
      </c>
      <c r="B30" s="10" t="s">
        <v>95</v>
      </c>
      <c r="C30" s="11">
        <v>45548</v>
      </c>
      <c r="D30" s="10" t="s">
        <v>49</v>
      </c>
      <c r="E30" s="12" t="s">
        <v>55</v>
      </c>
      <c r="F30" s="10" t="s">
        <v>51</v>
      </c>
      <c r="G30" s="10" t="s">
        <v>52</v>
      </c>
      <c r="H30" s="10" t="s">
        <v>96</v>
      </c>
      <c r="I30" s="10" t="s">
        <v>99</v>
      </c>
      <c r="J30" s="41"/>
      <c r="K30" s="52"/>
      <c r="L30" s="52"/>
      <c r="M30" s="10">
        <v>183235</v>
      </c>
      <c r="N30" s="18">
        <v>3450</v>
      </c>
      <c r="O30" s="54">
        <v>3493</v>
      </c>
      <c r="P30" s="54">
        <v>3436</v>
      </c>
      <c r="Q30" s="54">
        <v>2442</v>
      </c>
      <c r="R30" s="20">
        <v>-1051</v>
      </c>
      <c r="S30" s="20">
        <v>-1008</v>
      </c>
      <c r="T30" s="21">
        <f t="shared" si="2"/>
        <v>-0.29217391304347828</v>
      </c>
      <c r="U30" s="21">
        <f t="shared" si="3"/>
        <v>-0.3008874892642428</v>
      </c>
      <c r="V30" s="55"/>
      <c r="W30" s="52"/>
      <c r="X30" s="52">
        <v>526</v>
      </c>
      <c r="Y30" s="52"/>
      <c r="Z30" s="52">
        <v>433</v>
      </c>
      <c r="AA30" s="54">
        <v>57</v>
      </c>
      <c r="AB30" s="52"/>
      <c r="AC30" s="52"/>
      <c r="AD30" s="52"/>
      <c r="AE30" s="52">
        <v>35</v>
      </c>
      <c r="AF30" s="52"/>
      <c r="AG30" s="52"/>
      <c r="AH30" s="54"/>
      <c r="AI30" s="18">
        <v>1051</v>
      </c>
      <c r="AJ30" s="18">
        <v>0</v>
      </c>
      <c r="AK30" s="14"/>
      <c r="AL30" s="14">
        <v>2</v>
      </c>
    </row>
    <row r="31" spans="1:38" x14ac:dyDescent="0.35">
      <c r="A31" s="10">
        <v>2024</v>
      </c>
      <c r="B31" s="10" t="s">
        <v>95</v>
      </c>
      <c r="C31" s="11">
        <v>45548</v>
      </c>
      <c r="D31" s="12" t="s">
        <v>100</v>
      </c>
      <c r="E31" s="12" t="s">
        <v>56</v>
      </c>
      <c r="F31" s="10" t="s">
        <v>101</v>
      </c>
      <c r="G31" s="10" t="s">
        <v>102</v>
      </c>
      <c r="H31" s="10" t="s">
        <v>103</v>
      </c>
      <c r="I31" s="10" t="s">
        <v>104</v>
      </c>
      <c r="J31" s="14"/>
      <c r="K31" s="14"/>
      <c r="L31" s="15"/>
      <c r="M31" s="10">
        <v>183083</v>
      </c>
      <c r="N31" s="16">
        <v>2185</v>
      </c>
      <c r="O31" s="17">
        <v>2185</v>
      </c>
      <c r="P31" s="18">
        <v>2177</v>
      </c>
      <c r="Q31" s="19">
        <v>2177</v>
      </c>
      <c r="R31" s="20">
        <f t="shared" ref="R31:R44" si="14">Q31-O31</f>
        <v>-8</v>
      </c>
      <c r="S31" s="20">
        <f t="shared" ref="S31:S44" si="15">Q31-N31</f>
        <v>-8</v>
      </c>
      <c r="T31" s="21">
        <f t="shared" si="2"/>
        <v>-3.6613272311213363E-3</v>
      </c>
      <c r="U31" s="21">
        <f t="shared" si="3"/>
        <v>-3.6613272311213363E-3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20">
        <f>SUM(X31:AH31)</f>
        <v>0</v>
      </c>
      <c r="AJ31" s="20">
        <f>R31+AI31</f>
        <v>-8</v>
      </c>
      <c r="AK31" s="79"/>
      <c r="AL31" s="14">
        <v>2</v>
      </c>
    </row>
    <row r="32" spans="1:38" x14ac:dyDescent="0.35">
      <c r="A32" s="24">
        <v>2024</v>
      </c>
      <c r="B32" s="24" t="s">
        <v>95</v>
      </c>
      <c r="C32" s="23">
        <v>45548</v>
      </c>
      <c r="D32" s="25" t="s">
        <v>100</v>
      </c>
      <c r="E32" s="25" t="s">
        <v>56</v>
      </c>
      <c r="F32" s="24" t="s">
        <v>101</v>
      </c>
      <c r="G32" s="24" t="s">
        <v>102</v>
      </c>
      <c r="H32" s="24" t="s">
        <v>103</v>
      </c>
      <c r="I32" s="24" t="s">
        <v>105</v>
      </c>
      <c r="J32" s="22"/>
      <c r="K32" s="22"/>
      <c r="L32" s="36"/>
      <c r="M32" s="24">
        <v>183093</v>
      </c>
      <c r="N32" s="31">
        <v>1301</v>
      </c>
      <c r="O32" s="32">
        <v>1285</v>
      </c>
      <c r="P32" s="26">
        <v>1298</v>
      </c>
      <c r="Q32" s="33">
        <v>1298</v>
      </c>
      <c r="R32" s="27">
        <f t="shared" si="14"/>
        <v>13</v>
      </c>
      <c r="S32" s="27">
        <f t="shared" si="15"/>
        <v>-3</v>
      </c>
      <c r="T32" s="28">
        <f t="shared" si="2"/>
        <v>-2.3059185242121361E-3</v>
      </c>
      <c r="U32" s="28">
        <f t="shared" si="3"/>
        <v>1.0116731517509692E-2</v>
      </c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7">
        <f>SUM(X32:AH32)</f>
        <v>0</v>
      </c>
      <c r="AJ32" s="27">
        <f>R32+AI32</f>
        <v>13</v>
      </c>
      <c r="AK32" s="80"/>
      <c r="AL32" s="22">
        <v>2</v>
      </c>
    </row>
    <row r="33" spans="1:38" x14ac:dyDescent="0.35">
      <c r="A33" s="10">
        <v>2024</v>
      </c>
      <c r="B33" s="10" t="s">
        <v>95</v>
      </c>
      <c r="C33" s="11">
        <v>45548</v>
      </c>
      <c r="D33" s="12" t="s">
        <v>100</v>
      </c>
      <c r="E33" s="12" t="s">
        <v>56</v>
      </c>
      <c r="F33" s="10" t="s">
        <v>101</v>
      </c>
      <c r="G33" s="10" t="s">
        <v>102</v>
      </c>
      <c r="H33" s="10" t="s">
        <v>103</v>
      </c>
      <c r="I33" s="10" t="s">
        <v>106</v>
      </c>
      <c r="J33" s="14"/>
      <c r="K33" s="14"/>
      <c r="L33" s="15"/>
      <c r="M33" s="10">
        <v>183095</v>
      </c>
      <c r="N33" s="16">
        <v>1001</v>
      </c>
      <c r="O33" s="17">
        <v>992</v>
      </c>
      <c r="P33" s="18">
        <v>985</v>
      </c>
      <c r="Q33" s="19">
        <v>985</v>
      </c>
      <c r="R33" s="20">
        <f t="shared" si="14"/>
        <v>-7</v>
      </c>
      <c r="S33" s="20">
        <f t="shared" si="15"/>
        <v>-16</v>
      </c>
      <c r="T33" s="21">
        <f t="shared" si="2"/>
        <v>-1.5984015984015998E-2</v>
      </c>
      <c r="U33" s="21">
        <f t="shared" si="3"/>
        <v>-7.0564516129032473E-3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20">
        <f>SUM(X33:AH33)</f>
        <v>0</v>
      </c>
      <c r="AJ33" s="20">
        <f>R33+AI33</f>
        <v>-7</v>
      </c>
      <c r="AK33" s="79"/>
      <c r="AL33" s="14">
        <v>2</v>
      </c>
    </row>
    <row r="34" spans="1:38" x14ac:dyDescent="0.35">
      <c r="A34" s="14">
        <v>2024</v>
      </c>
      <c r="B34" s="10" t="s">
        <v>95</v>
      </c>
      <c r="C34" s="11">
        <v>45548</v>
      </c>
      <c r="D34" s="10" t="s">
        <v>100</v>
      </c>
      <c r="E34" s="12" t="s">
        <v>56</v>
      </c>
      <c r="F34" s="10" t="s">
        <v>101</v>
      </c>
      <c r="G34" s="10" t="s">
        <v>102</v>
      </c>
      <c r="H34" s="10" t="s">
        <v>103</v>
      </c>
      <c r="I34" s="72" t="s">
        <v>107</v>
      </c>
      <c r="J34" s="56"/>
      <c r="K34" s="14"/>
      <c r="L34" s="83"/>
      <c r="M34" s="10">
        <v>183085</v>
      </c>
      <c r="N34" s="57">
        <v>2050</v>
      </c>
      <c r="O34" s="15">
        <v>2050</v>
      </c>
      <c r="P34" s="20">
        <v>2039</v>
      </c>
      <c r="Q34" s="46">
        <v>2039</v>
      </c>
      <c r="R34" s="20">
        <f t="shared" si="14"/>
        <v>-11</v>
      </c>
      <c r="S34" s="20">
        <f t="shared" si="15"/>
        <v>-11</v>
      </c>
      <c r="T34" s="21">
        <f t="shared" si="2"/>
        <v>-5.3658536585365901E-3</v>
      </c>
      <c r="U34" s="21">
        <f t="shared" si="3"/>
        <v>-5.3658536585365901E-3</v>
      </c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20">
        <f>SUM(X34:AH34)</f>
        <v>0</v>
      </c>
      <c r="AJ34" s="20">
        <f>R34+AI34</f>
        <v>-11</v>
      </c>
      <c r="AK34" s="14"/>
      <c r="AL34" s="14">
        <v>2</v>
      </c>
    </row>
    <row r="35" spans="1:38" x14ac:dyDescent="0.35">
      <c r="A35" s="14">
        <v>2024</v>
      </c>
      <c r="B35" s="10" t="s">
        <v>95</v>
      </c>
      <c r="C35" s="11">
        <v>45548</v>
      </c>
      <c r="D35" s="10" t="s">
        <v>100</v>
      </c>
      <c r="E35" s="12" t="s">
        <v>56</v>
      </c>
      <c r="F35" s="10" t="s">
        <v>101</v>
      </c>
      <c r="G35" s="10" t="s">
        <v>102</v>
      </c>
      <c r="H35" s="10" t="s">
        <v>103</v>
      </c>
      <c r="I35" s="72" t="s">
        <v>108</v>
      </c>
      <c r="J35" s="56"/>
      <c r="K35" s="14"/>
      <c r="L35" s="83"/>
      <c r="M35" s="10">
        <v>183098</v>
      </c>
      <c r="N35" s="57">
        <v>2350</v>
      </c>
      <c r="O35" s="15">
        <v>2280</v>
      </c>
      <c r="P35" s="20">
        <v>2270</v>
      </c>
      <c r="Q35" s="46">
        <v>2270</v>
      </c>
      <c r="R35" s="20">
        <f t="shared" si="14"/>
        <v>-10</v>
      </c>
      <c r="S35" s="20">
        <f t="shared" si="15"/>
        <v>-80</v>
      </c>
      <c r="T35" s="21">
        <f t="shared" si="2"/>
        <v>-3.4042553191489411E-2</v>
      </c>
      <c r="U35" s="21">
        <f t="shared" si="3"/>
        <v>-4.3859649122807154E-3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20">
        <f>SUM(X35:AH35)</f>
        <v>0</v>
      </c>
      <c r="AJ35" s="20">
        <f>R35+AI35</f>
        <v>-10</v>
      </c>
      <c r="AK35" s="14"/>
      <c r="AL35" s="14">
        <v>2</v>
      </c>
    </row>
    <row r="36" spans="1:38" x14ac:dyDescent="0.35">
      <c r="A36" s="14">
        <v>2024</v>
      </c>
      <c r="B36" s="10" t="s">
        <v>95</v>
      </c>
      <c r="C36" s="11">
        <v>45548</v>
      </c>
      <c r="D36" s="10" t="s">
        <v>100</v>
      </c>
      <c r="E36" s="12" t="s">
        <v>56</v>
      </c>
      <c r="F36" s="10" t="s">
        <v>101</v>
      </c>
      <c r="G36" s="10" t="s">
        <v>102</v>
      </c>
      <c r="H36" s="10" t="s">
        <v>103</v>
      </c>
      <c r="I36" s="72" t="s">
        <v>109</v>
      </c>
      <c r="J36" s="56"/>
      <c r="K36" s="14"/>
      <c r="L36" s="83"/>
      <c r="M36" s="10">
        <v>183096</v>
      </c>
      <c r="N36" s="57">
        <v>2150</v>
      </c>
      <c r="O36" s="15">
        <v>2130</v>
      </c>
      <c r="P36" s="20">
        <v>2122</v>
      </c>
      <c r="Q36" s="46">
        <v>2122</v>
      </c>
      <c r="R36" s="20">
        <f t="shared" si="14"/>
        <v>-8</v>
      </c>
      <c r="S36" s="20">
        <f t="shared" si="15"/>
        <v>-28</v>
      </c>
      <c r="T36" s="21">
        <f t="shared" si="2"/>
        <v>-1.3023255813953472E-2</v>
      </c>
      <c r="U36" s="21">
        <f t="shared" si="3"/>
        <v>-3.755868544600971E-3</v>
      </c>
      <c r="V36" s="14"/>
      <c r="W36" s="14"/>
      <c r="X36" s="14"/>
      <c r="Y36" s="14"/>
      <c r="Z36" s="14"/>
      <c r="AA36" s="18">
        <f>+O36-P36</f>
        <v>8</v>
      </c>
      <c r="AB36" s="14"/>
      <c r="AC36" s="14"/>
      <c r="AD36" s="14"/>
      <c r="AE36" s="14"/>
      <c r="AF36" s="14"/>
      <c r="AG36" s="14"/>
      <c r="AH36" s="20">
        <f>SUM(X36:AG36)</f>
        <v>8</v>
      </c>
      <c r="AI36" s="20">
        <f>R36+AH36</f>
        <v>0</v>
      </c>
      <c r="AJ36" s="14"/>
      <c r="AK36" s="14"/>
      <c r="AL36" s="14">
        <v>2</v>
      </c>
    </row>
    <row r="37" spans="1:38" x14ac:dyDescent="0.35">
      <c r="A37" s="14">
        <v>2024</v>
      </c>
      <c r="B37" s="10" t="s">
        <v>95</v>
      </c>
      <c r="C37" s="11">
        <v>45548</v>
      </c>
      <c r="D37" s="10" t="s">
        <v>100</v>
      </c>
      <c r="E37" s="12" t="s">
        <v>56</v>
      </c>
      <c r="F37" s="10" t="s">
        <v>101</v>
      </c>
      <c r="G37" s="10" t="s">
        <v>102</v>
      </c>
      <c r="H37" s="10" t="s">
        <v>103</v>
      </c>
      <c r="I37" s="72" t="s">
        <v>110</v>
      </c>
      <c r="J37" s="56"/>
      <c r="K37" s="14"/>
      <c r="L37" s="83"/>
      <c r="M37" s="10">
        <v>183086</v>
      </c>
      <c r="N37" s="57">
        <v>1055</v>
      </c>
      <c r="O37" s="15">
        <v>1055</v>
      </c>
      <c r="P37" s="20">
        <v>1029</v>
      </c>
      <c r="Q37" s="46">
        <v>1029</v>
      </c>
      <c r="R37" s="20">
        <f t="shared" si="14"/>
        <v>-26</v>
      </c>
      <c r="S37" s="20">
        <f t="shared" si="15"/>
        <v>-26</v>
      </c>
      <c r="T37" s="21">
        <f t="shared" si="2"/>
        <v>-2.4644549763033208E-2</v>
      </c>
      <c r="U37" s="21">
        <f t="shared" si="3"/>
        <v>-2.4644549763033208E-2</v>
      </c>
      <c r="V37" s="14"/>
      <c r="W37" s="14"/>
      <c r="X37" s="14"/>
      <c r="Y37" s="14"/>
      <c r="Z37" s="14"/>
      <c r="AA37" s="18">
        <f>+O37-P37</f>
        <v>26</v>
      </c>
      <c r="AB37" s="14"/>
      <c r="AC37" s="14"/>
      <c r="AD37" s="14"/>
      <c r="AE37" s="14"/>
      <c r="AF37" s="14"/>
      <c r="AG37" s="14"/>
      <c r="AH37" s="20">
        <f>SUM(X37:AG37)</f>
        <v>26</v>
      </c>
      <c r="AI37" s="20">
        <f>R37+AH37</f>
        <v>0</v>
      </c>
      <c r="AJ37" s="14"/>
      <c r="AK37" s="14"/>
      <c r="AL37" s="14">
        <v>2</v>
      </c>
    </row>
    <row r="38" spans="1:38" x14ac:dyDescent="0.35">
      <c r="A38" s="14">
        <v>2024</v>
      </c>
      <c r="B38" s="10" t="s">
        <v>95</v>
      </c>
      <c r="C38" s="11">
        <v>45548</v>
      </c>
      <c r="D38" s="10" t="s">
        <v>111</v>
      </c>
      <c r="E38" s="12" t="s">
        <v>56</v>
      </c>
      <c r="F38" s="10" t="s">
        <v>101</v>
      </c>
      <c r="G38" s="10" t="s">
        <v>112</v>
      </c>
      <c r="H38" s="10" t="s">
        <v>103</v>
      </c>
      <c r="I38" s="72" t="s">
        <v>113</v>
      </c>
      <c r="J38" s="56"/>
      <c r="K38" s="14"/>
      <c r="L38" s="83"/>
      <c r="M38" s="10">
        <v>183088</v>
      </c>
      <c r="N38" s="57">
        <v>1001</v>
      </c>
      <c r="O38" s="15">
        <v>1001</v>
      </c>
      <c r="P38" s="20">
        <v>1001</v>
      </c>
      <c r="Q38" s="46">
        <v>997</v>
      </c>
      <c r="R38" s="20">
        <f t="shared" si="14"/>
        <v>-4</v>
      </c>
      <c r="S38" s="20">
        <f t="shared" si="15"/>
        <v>-4</v>
      </c>
      <c r="T38" s="21">
        <f t="shared" si="2"/>
        <v>-3.9960039960039717E-3</v>
      </c>
      <c r="U38" s="21">
        <f t="shared" si="3"/>
        <v>-3.9960039960039717E-3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20">
        <f>SUM(X38:AH38)</f>
        <v>0</v>
      </c>
      <c r="AJ38" s="20">
        <f>R38+AI38</f>
        <v>-4</v>
      </c>
      <c r="AK38" s="14"/>
      <c r="AL38" s="14">
        <v>2</v>
      </c>
    </row>
    <row r="39" spans="1:38" x14ac:dyDescent="0.35">
      <c r="A39" s="14">
        <v>2024</v>
      </c>
      <c r="B39" s="10" t="s">
        <v>95</v>
      </c>
      <c r="C39" s="11">
        <v>45548</v>
      </c>
      <c r="D39" s="10" t="s">
        <v>111</v>
      </c>
      <c r="E39" s="12" t="s">
        <v>56</v>
      </c>
      <c r="F39" s="10" t="s">
        <v>101</v>
      </c>
      <c r="G39" s="10" t="s">
        <v>112</v>
      </c>
      <c r="H39" s="10" t="s">
        <v>103</v>
      </c>
      <c r="I39" s="72" t="s">
        <v>114</v>
      </c>
      <c r="J39" s="56"/>
      <c r="K39" s="14"/>
      <c r="L39" s="83"/>
      <c r="M39" s="10">
        <v>183084</v>
      </c>
      <c r="N39" s="57">
        <v>1200</v>
      </c>
      <c r="O39" s="15">
        <v>1125</v>
      </c>
      <c r="P39" s="20">
        <v>1125</v>
      </c>
      <c r="Q39" s="46">
        <v>1120</v>
      </c>
      <c r="R39" s="20">
        <f t="shared" si="14"/>
        <v>-5</v>
      </c>
      <c r="S39" s="20">
        <f t="shared" si="15"/>
        <v>-80</v>
      </c>
      <c r="T39" s="21">
        <f t="shared" si="2"/>
        <v>-6.6666666666666652E-2</v>
      </c>
      <c r="U39" s="21">
        <f t="shared" si="3"/>
        <v>-4.4444444444444731E-3</v>
      </c>
      <c r="V39" s="14"/>
      <c r="W39" s="14"/>
      <c r="X39" s="14"/>
      <c r="Y39" s="14"/>
      <c r="Z39" s="14"/>
      <c r="AA39" s="18">
        <f>+O39-P39</f>
        <v>0</v>
      </c>
      <c r="AB39" s="14"/>
      <c r="AC39" s="14"/>
      <c r="AD39" s="14"/>
      <c r="AE39" s="14"/>
      <c r="AF39" s="14"/>
      <c r="AG39" s="14"/>
      <c r="AH39" s="20">
        <f>SUM(X39:AG39)</f>
        <v>0</v>
      </c>
      <c r="AI39" s="20">
        <f>R39+AH39</f>
        <v>-5</v>
      </c>
      <c r="AJ39" s="14"/>
      <c r="AK39" s="14"/>
      <c r="AL39" s="14">
        <v>2</v>
      </c>
    </row>
    <row r="40" spans="1:38" x14ac:dyDescent="0.35">
      <c r="A40" s="22">
        <v>2024</v>
      </c>
      <c r="B40" s="24" t="s">
        <v>95</v>
      </c>
      <c r="C40" s="23">
        <v>45548</v>
      </c>
      <c r="D40" s="24" t="s">
        <v>111</v>
      </c>
      <c r="E40" s="25" t="s">
        <v>56</v>
      </c>
      <c r="F40" s="24" t="s">
        <v>101</v>
      </c>
      <c r="G40" s="24" t="s">
        <v>112</v>
      </c>
      <c r="H40" s="24" t="s">
        <v>103</v>
      </c>
      <c r="I40" s="84" t="s">
        <v>115</v>
      </c>
      <c r="J40" s="58"/>
      <c r="K40" s="22"/>
      <c r="L40" s="85"/>
      <c r="M40" s="24">
        <v>183097</v>
      </c>
      <c r="N40" s="59">
        <v>2780</v>
      </c>
      <c r="O40" s="36">
        <v>2775</v>
      </c>
      <c r="P40" s="27">
        <v>2775</v>
      </c>
      <c r="Q40" s="49">
        <v>2770</v>
      </c>
      <c r="R40" s="27">
        <f t="shared" si="14"/>
        <v>-5</v>
      </c>
      <c r="S40" s="27">
        <f t="shared" si="15"/>
        <v>-10</v>
      </c>
      <c r="T40" s="28">
        <f t="shared" si="2"/>
        <v>-3.597122302158251E-3</v>
      </c>
      <c r="U40" s="93">
        <f t="shared" si="3"/>
        <v>-1.8018018018017834E-3</v>
      </c>
      <c r="V40" s="22"/>
      <c r="W40" s="22"/>
      <c r="X40" s="22"/>
      <c r="Y40" s="22"/>
      <c r="Z40" s="22"/>
      <c r="AA40" s="26">
        <f>+O40-P40</f>
        <v>0</v>
      </c>
      <c r="AB40" s="22"/>
      <c r="AC40" s="22"/>
      <c r="AD40" s="22"/>
      <c r="AE40" s="22"/>
      <c r="AF40" s="22"/>
      <c r="AG40" s="22"/>
      <c r="AH40" s="27">
        <f>SUM(X40:AG40)</f>
        <v>0</v>
      </c>
      <c r="AI40" s="27">
        <f>R40+AH40</f>
        <v>-5</v>
      </c>
      <c r="AJ40" s="22"/>
      <c r="AK40" s="22"/>
      <c r="AL40" s="22">
        <v>2</v>
      </c>
    </row>
    <row r="41" spans="1:38" x14ac:dyDescent="0.35">
      <c r="A41" s="24">
        <v>2024</v>
      </c>
      <c r="B41" s="24" t="s">
        <v>95</v>
      </c>
      <c r="C41" s="23">
        <v>45547</v>
      </c>
      <c r="D41" s="25" t="s">
        <v>55</v>
      </c>
      <c r="E41" s="29" t="s">
        <v>56</v>
      </c>
      <c r="F41" s="24" t="s">
        <v>57</v>
      </c>
      <c r="G41" s="24" t="s">
        <v>58</v>
      </c>
      <c r="H41" s="24" t="s">
        <v>116</v>
      </c>
      <c r="I41" s="24"/>
      <c r="J41" s="30"/>
      <c r="K41" s="22"/>
      <c r="L41" s="36"/>
      <c r="M41" s="24">
        <v>183390</v>
      </c>
      <c r="N41" s="24">
        <v>270</v>
      </c>
      <c r="O41" s="24">
        <v>270</v>
      </c>
      <c r="P41" s="24">
        <v>270</v>
      </c>
      <c r="Q41" s="33">
        <v>270</v>
      </c>
      <c r="R41" s="27">
        <f t="shared" si="14"/>
        <v>0</v>
      </c>
      <c r="S41" s="27">
        <f t="shared" si="15"/>
        <v>0</v>
      </c>
      <c r="T41" s="28">
        <f t="shared" si="2"/>
        <v>0</v>
      </c>
      <c r="U41" s="28">
        <f t="shared" si="3"/>
        <v>0</v>
      </c>
      <c r="V41" s="24"/>
      <c r="W41" s="24"/>
      <c r="X41" s="24"/>
      <c r="Y41" s="24"/>
      <c r="Z41" s="24"/>
      <c r="AA41" s="62">
        <f t="shared" ref="AA41:AA44" si="16">O41-P41</f>
        <v>0</v>
      </c>
      <c r="AB41" s="24"/>
      <c r="AC41" s="24"/>
      <c r="AD41" s="24"/>
      <c r="AE41" s="24"/>
      <c r="AF41" s="24"/>
      <c r="AG41" s="24"/>
      <c r="AH41" s="24"/>
      <c r="AI41" s="27">
        <f t="shared" ref="AI41:AI44" si="17">SUM(X41:AH41)</f>
        <v>0</v>
      </c>
      <c r="AJ41" s="27">
        <f t="shared" ref="AJ41:AJ44" si="18">R41+AI41</f>
        <v>0</v>
      </c>
      <c r="AK41" s="80"/>
      <c r="AL41" s="22">
        <v>2</v>
      </c>
    </row>
    <row r="42" spans="1:38" x14ac:dyDescent="0.35">
      <c r="A42" s="24">
        <v>2024</v>
      </c>
      <c r="B42" s="24" t="s">
        <v>95</v>
      </c>
      <c r="C42" s="23">
        <v>45547</v>
      </c>
      <c r="D42" s="25" t="s">
        <v>55</v>
      </c>
      <c r="E42" s="29" t="s">
        <v>56</v>
      </c>
      <c r="F42" s="24" t="s">
        <v>57</v>
      </c>
      <c r="G42" s="24" t="s">
        <v>58</v>
      </c>
      <c r="H42" s="24" t="s">
        <v>116</v>
      </c>
      <c r="I42" s="24"/>
      <c r="J42" s="30"/>
      <c r="K42" s="22"/>
      <c r="L42" s="36"/>
      <c r="M42" s="24">
        <v>183391</v>
      </c>
      <c r="N42" s="24">
        <v>60</v>
      </c>
      <c r="O42" s="24">
        <v>60</v>
      </c>
      <c r="P42" s="24">
        <v>60</v>
      </c>
      <c r="Q42" s="33">
        <v>60</v>
      </c>
      <c r="R42" s="27">
        <f t="shared" si="14"/>
        <v>0</v>
      </c>
      <c r="S42" s="27">
        <f t="shared" si="15"/>
        <v>0</v>
      </c>
      <c r="T42" s="28">
        <f t="shared" si="2"/>
        <v>0</v>
      </c>
      <c r="U42" s="28">
        <f t="shared" si="3"/>
        <v>0</v>
      </c>
      <c r="V42" s="24"/>
      <c r="W42" s="24"/>
      <c r="X42" s="24"/>
      <c r="Y42" s="24"/>
      <c r="Z42" s="24"/>
      <c r="AA42" s="62">
        <f t="shared" si="16"/>
        <v>0</v>
      </c>
      <c r="AB42" s="24"/>
      <c r="AC42" s="24"/>
      <c r="AD42" s="24"/>
      <c r="AE42" s="24"/>
      <c r="AF42" s="24"/>
      <c r="AG42" s="24"/>
      <c r="AH42" s="24"/>
      <c r="AI42" s="27">
        <f t="shared" si="17"/>
        <v>0</v>
      </c>
      <c r="AJ42" s="27">
        <f t="shared" si="18"/>
        <v>0</v>
      </c>
      <c r="AK42" s="80"/>
      <c r="AL42" s="22">
        <v>2</v>
      </c>
    </row>
    <row r="43" spans="1:38" x14ac:dyDescent="0.35">
      <c r="A43" s="24">
        <v>2024</v>
      </c>
      <c r="B43" s="24" t="s">
        <v>95</v>
      </c>
      <c r="C43" s="23">
        <v>45547</v>
      </c>
      <c r="D43" s="25" t="s">
        <v>55</v>
      </c>
      <c r="E43" s="29" t="s">
        <v>56</v>
      </c>
      <c r="F43" s="24" t="s">
        <v>57</v>
      </c>
      <c r="G43" s="24" t="s">
        <v>58</v>
      </c>
      <c r="H43" s="24" t="s">
        <v>116</v>
      </c>
      <c r="I43" s="24"/>
      <c r="J43" s="30"/>
      <c r="K43" s="22"/>
      <c r="L43" s="36"/>
      <c r="M43" s="24">
        <v>183392</v>
      </c>
      <c r="N43" s="24">
        <v>410</v>
      </c>
      <c r="O43" s="24">
        <v>410</v>
      </c>
      <c r="P43" s="24">
        <v>410</v>
      </c>
      <c r="Q43" s="33">
        <v>410</v>
      </c>
      <c r="R43" s="27">
        <f t="shared" si="14"/>
        <v>0</v>
      </c>
      <c r="S43" s="27">
        <f t="shared" si="15"/>
        <v>0</v>
      </c>
      <c r="T43" s="28">
        <f t="shared" si="2"/>
        <v>0</v>
      </c>
      <c r="U43" s="28">
        <f t="shared" si="3"/>
        <v>0</v>
      </c>
      <c r="V43" s="24"/>
      <c r="W43" s="24"/>
      <c r="X43" s="24"/>
      <c r="Y43" s="24"/>
      <c r="Z43" s="24"/>
      <c r="AA43" s="62">
        <f t="shared" si="16"/>
        <v>0</v>
      </c>
      <c r="AB43" s="24"/>
      <c r="AC43" s="24"/>
      <c r="AD43" s="24"/>
      <c r="AE43" s="24"/>
      <c r="AF43" s="24"/>
      <c r="AG43" s="24"/>
      <c r="AH43" s="24"/>
      <c r="AI43" s="27">
        <f t="shared" si="17"/>
        <v>0</v>
      </c>
      <c r="AJ43" s="27">
        <f t="shared" si="18"/>
        <v>0</v>
      </c>
      <c r="AK43" s="80"/>
      <c r="AL43" s="22">
        <v>2</v>
      </c>
    </row>
    <row r="44" spans="1:38" x14ac:dyDescent="0.35">
      <c r="A44" s="24">
        <v>2024</v>
      </c>
      <c r="B44" s="24" t="s">
        <v>95</v>
      </c>
      <c r="C44" s="23">
        <v>45547</v>
      </c>
      <c r="D44" s="25" t="s">
        <v>55</v>
      </c>
      <c r="E44" s="29" t="s">
        <v>56</v>
      </c>
      <c r="F44" s="24" t="s">
        <v>57</v>
      </c>
      <c r="G44" s="24" t="s">
        <v>58</v>
      </c>
      <c r="H44" s="24" t="s">
        <v>116</v>
      </c>
      <c r="I44" s="30"/>
      <c r="J44" s="30"/>
      <c r="K44" s="24"/>
      <c r="L44" s="24"/>
      <c r="M44" s="24">
        <v>183393</v>
      </c>
      <c r="N44" s="24">
        <v>120</v>
      </c>
      <c r="O44" s="24">
        <v>120</v>
      </c>
      <c r="P44" s="24">
        <v>120</v>
      </c>
      <c r="Q44" s="26">
        <v>120</v>
      </c>
      <c r="R44" s="27">
        <f t="shared" si="14"/>
        <v>0</v>
      </c>
      <c r="S44" s="27">
        <f t="shared" si="15"/>
        <v>0</v>
      </c>
      <c r="T44" s="28">
        <f t="shared" si="2"/>
        <v>0</v>
      </c>
      <c r="U44" s="28">
        <f t="shared" si="3"/>
        <v>0</v>
      </c>
      <c r="V44" s="24"/>
      <c r="W44" s="24"/>
      <c r="X44" s="24"/>
      <c r="Y44" s="24"/>
      <c r="Z44" s="24"/>
      <c r="AA44" s="62">
        <f t="shared" si="16"/>
        <v>0</v>
      </c>
      <c r="AB44" s="24"/>
      <c r="AC44" s="24"/>
      <c r="AD44" s="24"/>
      <c r="AE44" s="24"/>
      <c r="AF44" s="24"/>
      <c r="AG44" s="24"/>
      <c r="AH44" s="24"/>
      <c r="AI44" s="26">
        <f t="shared" si="17"/>
        <v>0</v>
      </c>
      <c r="AJ44" s="26">
        <f t="shared" si="18"/>
        <v>0</v>
      </c>
      <c r="AK44" s="24"/>
      <c r="AL44" s="22">
        <v>2</v>
      </c>
    </row>
    <row r="45" spans="1:38" x14ac:dyDescent="0.35">
      <c r="A45" s="60">
        <v>2024</v>
      </c>
      <c r="B45" s="24" t="s">
        <v>95</v>
      </c>
      <c r="C45" s="23">
        <v>45548</v>
      </c>
      <c r="D45" s="29" t="s">
        <v>70</v>
      </c>
      <c r="E45" s="25" t="s">
        <v>50</v>
      </c>
      <c r="F45" s="24" t="s">
        <v>71</v>
      </c>
      <c r="G45" s="24" t="s">
        <v>72</v>
      </c>
      <c r="H45" s="22" t="s">
        <v>67</v>
      </c>
      <c r="I45" s="30" t="s">
        <v>117</v>
      </c>
      <c r="J45" s="30">
        <v>5158040</v>
      </c>
      <c r="K45" s="50"/>
      <c r="L45" s="50"/>
      <c r="M45" s="30">
        <v>183425</v>
      </c>
      <c r="N45" s="61">
        <v>50976</v>
      </c>
      <c r="O45" s="38">
        <v>51485</v>
      </c>
      <c r="P45" s="38">
        <v>51485</v>
      </c>
      <c r="Q45" s="38">
        <v>51412</v>
      </c>
      <c r="R45" s="27">
        <f>Q45-O45</f>
        <v>-73</v>
      </c>
      <c r="S45" s="27">
        <f>Q45-N45</f>
        <v>436</v>
      </c>
      <c r="T45" s="28">
        <f>Q45/N45-1</f>
        <v>8.5530445699937285E-3</v>
      </c>
      <c r="U45" s="28">
        <f>Q45/O45-1</f>
        <v>-1.4178887054482336E-3</v>
      </c>
      <c r="V45" s="24"/>
      <c r="W45" s="50"/>
      <c r="X45" s="50"/>
      <c r="Y45" s="50"/>
      <c r="Z45" s="50"/>
      <c r="AA45" s="62">
        <f>O45-P45</f>
        <v>0</v>
      </c>
      <c r="AB45" s="50"/>
      <c r="AC45" s="50"/>
      <c r="AD45" s="50"/>
      <c r="AE45" s="50"/>
      <c r="AF45" s="50"/>
      <c r="AG45" s="50"/>
      <c r="AH45" s="50"/>
      <c r="AI45" s="26">
        <f>SUM(X45:AH45)</f>
        <v>0</v>
      </c>
      <c r="AJ45" s="26">
        <f>R45+AI45</f>
        <v>-73</v>
      </c>
      <c r="AK45" s="50"/>
      <c r="AL45" s="22">
        <v>2</v>
      </c>
    </row>
    <row r="46" spans="1:38" x14ac:dyDescent="0.35">
      <c r="A46" s="60">
        <v>2024</v>
      </c>
      <c r="B46" s="24" t="s">
        <v>95</v>
      </c>
      <c r="C46" s="23">
        <v>45545</v>
      </c>
      <c r="D46" s="25" t="s">
        <v>118</v>
      </c>
      <c r="E46" s="25" t="s">
        <v>64</v>
      </c>
      <c r="F46" s="24" t="s">
        <v>65</v>
      </c>
      <c r="G46" s="24" t="s">
        <v>66</v>
      </c>
      <c r="H46" s="22" t="s">
        <v>67</v>
      </c>
      <c r="I46" s="24" t="s">
        <v>119</v>
      </c>
      <c r="J46" s="30">
        <v>5159305</v>
      </c>
      <c r="K46" s="50"/>
      <c r="L46" s="50"/>
      <c r="M46" s="24">
        <v>183220</v>
      </c>
      <c r="N46" s="61">
        <v>19054</v>
      </c>
      <c r="O46" s="62">
        <f>19054-236</f>
        <v>18818</v>
      </c>
      <c r="P46" s="62">
        <v>18818</v>
      </c>
      <c r="Q46" s="62">
        <v>19056</v>
      </c>
      <c r="R46" s="27">
        <f t="shared" ref="R46:R67" si="19">Q46-O46</f>
        <v>238</v>
      </c>
      <c r="S46" s="27">
        <f t="shared" ref="S46:S67" si="20">Q46-N46</f>
        <v>2</v>
      </c>
      <c r="T46" s="28">
        <f t="shared" ref="T46:T67" si="21">Q46/N46-1</f>
        <v>1.0496483677968627E-4</v>
      </c>
      <c r="U46" s="28">
        <f t="shared" ref="U46:U67" si="22">Q46/O46-1</f>
        <v>1.2647465192900498E-2</v>
      </c>
      <c r="V46" s="63"/>
      <c r="W46" s="50">
        <v>326</v>
      </c>
      <c r="X46" s="50">
        <v>35</v>
      </c>
      <c r="Y46" s="50"/>
      <c r="Z46" s="50">
        <v>2</v>
      </c>
      <c r="AA46" s="26">
        <f>+O46-P46</f>
        <v>0</v>
      </c>
      <c r="AB46" s="50">
        <v>85</v>
      </c>
      <c r="AC46" s="50"/>
      <c r="AD46" s="50">
        <v>2</v>
      </c>
      <c r="AE46" s="50"/>
      <c r="AF46" s="50"/>
      <c r="AG46" s="50"/>
      <c r="AH46" s="62"/>
      <c r="AI46" s="27">
        <f t="shared" ref="AI46:AI67" si="23">SUM(X46:AH46)</f>
        <v>124</v>
      </c>
      <c r="AJ46" s="27">
        <f>R46+AI46</f>
        <v>362</v>
      </c>
      <c r="AK46" s="22" t="s">
        <v>120</v>
      </c>
      <c r="AL46" s="22">
        <v>2</v>
      </c>
    </row>
    <row r="47" spans="1:38" x14ac:dyDescent="0.35">
      <c r="A47" s="60">
        <v>2024</v>
      </c>
      <c r="B47" s="24" t="s">
        <v>95</v>
      </c>
      <c r="C47" s="23">
        <v>45545</v>
      </c>
      <c r="D47" s="25" t="s">
        <v>118</v>
      </c>
      <c r="E47" s="25" t="s">
        <v>64</v>
      </c>
      <c r="F47" s="24" t="s">
        <v>65</v>
      </c>
      <c r="G47" s="24" t="s">
        <v>66</v>
      </c>
      <c r="H47" s="22" t="s">
        <v>67</v>
      </c>
      <c r="I47" s="24" t="s">
        <v>121</v>
      </c>
      <c r="J47" s="30">
        <v>5159307</v>
      </c>
      <c r="K47" s="50"/>
      <c r="L47" s="50"/>
      <c r="M47" s="24">
        <v>183221</v>
      </c>
      <c r="N47" s="61">
        <v>17585</v>
      </c>
      <c r="O47" s="64">
        <f>17585-212</f>
        <v>17373</v>
      </c>
      <c r="P47" s="64">
        <v>17317</v>
      </c>
      <c r="Q47" s="64">
        <v>17544</v>
      </c>
      <c r="R47" s="27">
        <f t="shared" si="19"/>
        <v>171</v>
      </c>
      <c r="S47" s="27">
        <f t="shared" si="20"/>
        <v>-41</v>
      </c>
      <c r="T47" s="28">
        <f t="shared" si="21"/>
        <v>-2.3315325561558131E-3</v>
      </c>
      <c r="U47" s="28">
        <f t="shared" si="22"/>
        <v>9.8428596097392962E-3</v>
      </c>
      <c r="V47" s="63"/>
      <c r="W47" s="50">
        <v>255</v>
      </c>
      <c r="X47" s="50">
        <v>4</v>
      </c>
      <c r="Y47" s="50"/>
      <c r="Z47" s="50">
        <v>21</v>
      </c>
      <c r="AA47" s="26">
        <f t="shared" ref="AA47:AA63" si="24">+O47-P47</f>
        <v>56</v>
      </c>
      <c r="AB47" s="50"/>
      <c r="AC47" s="50"/>
      <c r="AD47" s="50">
        <v>3</v>
      </c>
      <c r="AE47" s="50"/>
      <c r="AF47" s="50"/>
      <c r="AG47" s="50"/>
      <c r="AH47" s="50"/>
      <c r="AI47" s="27">
        <f t="shared" si="23"/>
        <v>84</v>
      </c>
      <c r="AJ47" s="27">
        <f t="shared" ref="AJ47:AJ67" si="25">R47+AI47</f>
        <v>255</v>
      </c>
      <c r="AK47" s="22" t="s">
        <v>122</v>
      </c>
      <c r="AL47" s="22">
        <v>2</v>
      </c>
    </row>
    <row r="48" spans="1:38" x14ac:dyDescent="0.35">
      <c r="A48" s="24">
        <v>2024</v>
      </c>
      <c r="B48" s="24" t="s">
        <v>95</v>
      </c>
      <c r="C48" s="23">
        <v>45548</v>
      </c>
      <c r="D48" s="25" t="s">
        <v>118</v>
      </c>
      <c r="E48" s="25" t="s">
        <v>64</v>
      </c>
      <c r="F48" s="24" t="s">
        <v>65</v>
      </c>
      <c r="G48" s="24" t="s">
        <v>66</v>
      </c>
      <c r="H48" s="22" t="s">
        <v>67</v>
      </c>
      <c r="I48" s="24"/>
      <c r="J48" s="22">
        <v>5159296</v>
      </c>
      <c r="K48" s="22"/>
      <c r="L48" s="36"/>
      <c r="M48" s="24">
        <v>183435</v>
      </c>
      <c r="N48" s="31">
        <v>6372</v>
      </c>
      <c r="O48" s="32">
        <v>6709</v>
      </c>
      <c r="P48" s="26">
        <v>6652</v>
      </c>
      <c r="Q48" s="33">
        <v>6693</v>
      </c>
      <c r="R48" s="27">
        <f t="shared" si="19"/>
        <v>-16</v>
      </c>
      <c r="S48" s="27">
        <f t="shared" si="20"/>
        <v>321</v>
      </c>
      <c r="T48" s="28">
        <f t="shared" si="21"/>
        <v>5.0376647834274868E-2</v>
      </c>
      <c r="U48" s="28">
        <f t="shared" si="22"/>
        <v>-2.384856163362592E-3</v>
      </c>
      <c r="V48" s="24"/>
      <c r="W48" s="24">
        <v>207</v>
      </c>
      <c r="X48" s="24"/>
      <c r="Y48" s="24"/>
      <c r="Z48" s="24">
        <v>1</v>
      </c>
      <c r="AA48" s="26">
        <f t="shared" si="24"/>
        <v>57</v>
      </c>
      <c r="AB48" s="24"/>
      <c r="AC48" s="24"/>
      <c r="AD48" s="24">
        <v>3</v>
      </c>
      <c r="AE48" s="24"/>
      <c r="AF48" s="24"/>
      <c r="AG48" s="24"/>
      <c r="AH48" s="24"/>
      <c r="AI48" s="27">
        <f t="shared" si="23"/>
        <v>61</v>
      </c>
      <c r="AJ48" s="27">
        <f t="shared" si="25"/>
        <v>45</v>
      </c>
      <c r="AK48" s="22"/>
      <c r="AL48" s="22">
        <v>2</v>
      </c>
    </row>
    <row r="49" spans="1:38" x14ac:dyDescent="0.35">
      <c r="A49" s="24">
        <v>2024</v>
      </c>
      <c r="B49" s="24" t="s">
        <v>95</v>
      </c>
      <c r="C49" s="23">
        <v>45548</v>
      </c>
      <c r="D49" s="25" t="s">
        <v>118</v>
      </c>
      <c r="E49" s="25" t="s">
        <v>64</v>
      </c>
      <c r="F49" s="24" t="s">
        <v>65</v>
      </c>
      <c r="G49" s="24" t="s">
        <v>66</v>
      </c>
      <c r="H49" s="22" t="s">
        <v>67</v>
      </c>
      <c r="I49" s="24"/>
      <c r="J49" s="22">
        <v>5159296</v>
      </c>
      <c r="K49" s="22"/>
      <c r="L49" s="36"/>
      <c r="M49" s="24">
        <v>183436</v>
      </c>
      <c r="N49" s="31">
        <v>1080</v>
      </c>
      <c r="O49" s="32">
        <v>1136</v>
      </c>
      <c r="P49" s="26">
        <v>1136</v>
      </c>
      <c r="Q49" s="33">
        <v>1134</v>
      </c>
      <c r="R49" s="27">
        <f t="shared" si="19"/>
        <v>-2</v>
      </c>
      <c r="S49" s="27">
        <f t="shared" si="20"/>
        <v>54</v>
      </c>
      <c r="T49" s="28">
        <f t="shared" si="21"/>
        <v>5.0000000000000044E-2</v>
      </c>
      <c r="U49" s="28">
        <f t="shared" si="22"/>
        <v>-1.7605633802817433E-3</v>
      </c>
      <c r="V49" s="24"/>
      <c r="W49" s="24">
        <v>46</v>
      </c>
      <c r="X49" s="24"/>
      <c r="Y49" s="24"/>
      <c r="Z49" s="24">
        <v>7</v>
      </c>
      <c r="AA49" s="26">
        <f t="shared" si="24"/>
        <v>0</v>
      </c>
      <c r="AB49" s="24"/>
      <c r="AC49" s="24"/>
      <c r="AD49" s="24"/>
      <c r="AE49" s="24"/>
      <c r="AF49" s="24"/>
      <c r="AG49" s="24"/>
      <c r="AH49" s="24"/>
      <c r="AI49" s="27">
        <f t="shared" si="23"/>
        <v>7</v>
      </c>
      <c r="AJ49" s="27">
        <f t="shared" si="25"/>
        <v>5</v>
      </c>
      <c r="AK49" s="22"/>
      <c r="AL49" s="22">
        <v>2</v>
      </c>
    </row>
    <row r="50" spans="1:38" x14ac:dyDescent="0.35">
      <c r="A50" s="10">
        <v>2024</v>
      </c>
      <c r="B50" s="10" t="s">
        <v>95</v>
      </c>
      <c r="C50" s="11">
        <v>45548</v>
      </c>
      <c r="D50" s="12" t="s">
        <v>118</v>
      </c>
      <c r="E50" s="12" t="s">
        <v>64</v>
      </c>
      <c r="F50" s="10" t="s">
        <v>65</v>
      </c>
      <c r="G50" s="10" t="s">
        <v>66</v>
      </c>
      <c r="H50" s="14" t="s">
        <v>67</v>
      </c>
      <c r="I50" s="10"/>
      <c r="J50" s="14">
        <v>5158600</v>
      </c>
      <c r="K50" s="14"/>
      <c r="L50" s="15"/>
      <c r="M50" s="10">
        <v>183437</v>
      </c>
      <c r="N50" s="16">
        <v>1224</v>
      </c>
      <c r="O50" s="17">
        <v>1299</v>
      </c>
      <c r="P50" s="18">
        <v>1291</v>
      </c>
      <c r="Q50" s="19">
        <v>1282</v>
      </c>
      <c r="R50" s="20">
        <f t="shared" si="19"/>
        <v>-17</v>
      </c>
      <c r="S50" s="20">
        <f t="shared" si="20"/>
        <v>58</v>
      </c>
      <c r="T50" s="21">
        <f t="shared" si="21"/>
        <v>4.7385620915032733E-2</v>
      </c>
      <c r="U50" s="21">
        <f t="shared" si="22"/>
        <v>-1.3086989992301734E-2</v>
      </c>
      <c r="V50" s="10"/>
      <c r="W50" s="10"/>
      <c r="X50" s="10"/>
      <c r="Y50" s="10"/>
      <c r="Z50" s="10">
        <v>0</v>
      </c>
      <c r="AA50" s="18">
        <f t="shared" si="24"/>
        <v>8</v>
      </c>
      <c r="AB50" s="10"/>
      <c r="AC50" s="10"/>
      <c r="AD50" s="10">
        <v>1</v>
      </c>
      <c r="AE50" s="10"/>
      <c r="AF50" s="10"/>
      <c r="AG50" s="10"/>
      <c r="AH50" s="10"/>
      <c r="AI50" s="20">
        <f t="shared" si="23"/>
        <v>9</v>
      </c>
      <c r="AJ50" s="20">
        <f t="shared" si="25"/>
        <v>-8</v>
      </c>
      <c r="AK50" s="14"/>
      <c r="AL50" s="14">
        <v>2</v>
      </c>
    </row>
    <row r="51" spans="1:38" x14ac:dyDescent="0.35">
      <c r="A51" s="24">
        <v>2024</v>
      </c>
      <c r="B51" s="24" t="s">
        <v>95</v>
      </c>
      <c r="C51" s="23">
        <v>45548</v>
      </c>
      <c r="D51" s="25" t="s">
        <v>118</v>
      </c>
      <c r="E51" s="25" t="s">
        <v>64</v>
      </c>
      <c r="F51" s="24" t="s">
        <v>65</v>
      </c>
      <c r="G51" s="24" t="s">
        <v>66</v>
      </c>
      <c r="H51" s="22" t="s">
        <v>67</v>
      </c>
      <c r="I51" s="24"/>
      <c r="J51" s="22">
        <v>5158592</v>
      </c>
      <c r="K51" s="22"/>
      <c r="L51" s="36"/>
      <c r="M51" s="24">
        <v>183440</v>
      </c>
      <c r="N51" s="31">
        <v>10044</v>
      </c>
      <c r="O51" s="32">
        <v>10126</v>
      </c>
      <c r="P51" s="26">
        <v>10116</v>
      </c>
      <c r="Q51" s="33">
        <v>10137</v>
      </c>
      <c r="R51" s="27">
        <f t="shared" si="19"/>
        <v>11</v>
      </c>
      <c r="S51" s="27">
        <f t="shared" si="20"/>
        <v>93</v>
      </c>
      <c r="T51" s="28">
        <f t="shared" si="21"/>
        <v>9.2592592592593004E-3</v>
      </c>
      <c r="U51" s="28">
        <f t="shared" si="22"/>
        <v>1.0863124629665322E-3</v>
      </c>
      <c r="V51" s="24"/>
      <c r="W51" s="24">
        <v>83</v>
      </c>
      <c r="X51" s="24"/>
      <c r="Y51" s="24"/>
      <c r="Z51" s="24">
        <v>5</v>
      </c>
      <c r="AA51" s="26">
        <f t="shared" si="24"/>
        <v>10</v>
      </c>
      <c r="AB51" s="24"/>
      <c r="AC51" s="24"/>
      <c r="AD51" s="24">
        <v>3</v>
      </c>
      <c r="AE51" s="24"/>
      <c r="AF51" s="24"/>
      <c r="AG51" s="24"/>
      <c r="AH51" s="24"/>
      <c r="AI51" s="27">
        <f t="shared" si="23"/>
        <v>18</v>
      </c>
      <c r="AJ51" s="27">
        <f t="shared" si="25"/>
        <v>29</v>
      </c>
      <c r="AK51" s="22"/>
      <c r="AL51" s="22">
        <v>2</v>
      </c>
    </row>
    <row r="52" spans="1:38" x14ac:dyDescent="0.35">
      <c r="A52" s="24">
        <v>2024</v>
      </c>
      <c r="B52" s="24" t="s">
        <v>95</v>
      </c>
      <c r="C52" s="23">
        <v>45548</v>
      </c>
      <c r="D52" s="25" t="s">
        <v>118</v>
      </c>
      <c r="E52" s="25" t="s">
        <v>64</v>
      </c>
      <c r="F52" s="24" t="s">
        <v>65</v>
      </c>
      <c r="G52" s="24" t="s">
        <v>66</v>
      </c>
      <c r="H52" s="22" t="s">
        <v>67</v>
      </c>
      <c r="I52" s="24"/>
      <c r="J52" s="22">
        <v>5158607</v>
      </c>
      <c r="K52" s="22"/>
      <c r="L52" s="36"/>
      <c r="M52" s="24">
        <v>183443</v>
      </c>
      <c r="N52" s="31">
        <v>6048</v>
      </c>
      <c r="O52" s="32">
        <v>6120</v>
      </c>
      <c r="P52" s="26">
        <v>6120</v>
      </c>
      <c r="Q52" s="33">
        <v>6105</v>
      </c>
      <c r="R52" s="27">
        <f t="shared" si="19"/>
        <v>-15</v>
      </c>
      <c r="S52" s="27">
        <f t="shared" si="20"/>
        <v>57</v>
      </c>
      <c r="T52" s="28">
        <f t="shared" si="21"/>
        <v>9.4246031746032521E-3</v>
      </c>
      <c r="U52" s="28">
        <f t="shared" si="22"/>
        <v>-2.450980392156854E-3</v>
      </c>
      <c r="V52" s="24"/>
      <c r="W52" s="24">
        <v>43</v>
      </c>
      <c r="X52" s="24"/>
      <c r="Y52" s="24"/>
      <c r="Z52" s="24">
        <v>4</v>
      </c>
      <c r="AA52" s="26">
        <f t="shared" si="24"/>
        <v>0</v>
      </c>
      <c r="AB52" s="24"/>
      <c r="AC52" s="24"/>
      <c r="AD52" s="24">
        <v>3</v>
      </c>
      <c r="AE52" s="24"/>
      <c r="AF52" s="24"/>
      <c r="AG52" s="24"/>
      <c r="AH52" s="24"/>
      <c r="AI52" s="27">
        <f t="shared" si="23"/>
        <v>7</v>
      </c>
      <c r="AJ52" s="27">
        <f t="shared" si="25"/>
        <v>-8</v>
      </c>
      <c r="AK52" s="22"/>
      <c r="AL52" s="22">
        <v>2</v>
      </c>
    </row>
    <row r="53" spans="1:38" x14ac:dyDescent="0.35">
      <c r="A53" s="24">
        <v>2024</v>
      </c>
      <c r="B53" s="24" t="s">
        <v>95</v>
      </c>
      <c r="C53" s="23">
        <v>45548</v>
      </c>
      <c r="D53" s="25" t="s">
        <v>118</v>
      </c>
      <c r="E53" s="25" t="s">
        <v>64</v>
      </c>
      <c r="F53" s="24" t="s">
        <v>65</v>
      </c>
      <c r="G53" s="24" t="s">
        <v>66</v>
      </c>
      <c r="H53" s="22" t="s">
        <v>67</v>
      </c>
      <c r="I53" s="24"/>
      <c r="J53" s="22">
        <v>5158590</v>
      </c>
      <c r="K53" s="22"/>
      <c r="L53" s="36"/>
      <c r="M53" s="24">
        <v>183444</v>
      </c>
      <c r="N53" s="31">
        <v>4752</v>
      </c>
      <c r="O53" s="32">
        <v>4814</v>
      </c>
      <c r="P53" s="26">
        <v>4809</v>
      </c>
      <c r="Q53" s="33">
        <v>4803</v>
      </c>
      <c r="R53" s="27">
        <f t="shared" si="19"/>
        <v>-11</v>
      </c>
      <c r="S53" s="27">
        <f t="shared" si="20"/>
        <v>51</v>
      </c>
      <c r="T53" s="28">
        <f t="shared" si="21"/>
        <v>1.0732323232323315E-2</v>
      </c>
      <c r="U53" s="28">
        <f t="shared" si="22"/>
        <v>-2.2850020772746671E-3</v>
      </c>
      <c r="V53" s="24"/>
      <c r="W53" s="24">
        <v>32</v>
      </c>
      <c r="X53" s="24"/>
      <c r="Y53" s="24"/>
      <c r="Z53" s="24">
        <v>0</v>
      </c>
      <c r="AA53" s="26">
        <f t="shared" si="24"/>
        <v>5</v>
      </c>
      <c r="AB53" s="24"/>
      <c r="AC53" s="24"/>
      <c r="AD53" s="24">
        <v>3</v>
      </c>
      <c r="AE53" s="24"/>
      <c r="AF53" s="24"/>
      <c r="AG53" s="24"/>
      <c r="AH53" s="24"/>
      <c r="AI53" s="27">
        <f t="shared" si="23"/>
        <v>8</v>
      </c>
      <c r="AJ53" s="27">
        <f t="shared" si="25"/>
        <v>-3</v>
      </c>
      <c r="AK53" s="22"/>
      <c r="AL53" s="22">
        <v>2</v>
      </c>
    </row>
    <row r="54" spans="1:38" x14ac:dyDescent="0.35">
      <c r="A54" s="24">
        <v>2024</v>
      </c>
      <c r="B54" s="24" t="s">
        <v>95</v>
      </c>
      <c r="C54" s="23">
        <v>45548</v>
      </c>
      <c r="D54" s="25" t="s">
        <v>118</v>
      </c>
      <c r="E54" s="25" t="s">
        <v>64</v>
      </c>
      <c r="F54" s="24" t="s">
        <v>65</v>
      </c>
      <c r="G54" s="24" t="s">
        <v>66</v>
      </c>
      <c r="H54" s="22" t="s">
        <v>67</v>
      </c>
      <c r="I54" s="24"/>
      <c r="J54" s="22">
        <v>5158618</v>
      </c>
      <c r="K54" s="22"/>
      <c r="L54" s="36"/>
      <c r="M54" s="24">
        <v>183445</v>
      </c>
      <c r="N54" s="31">
        <v>8640</v>
      </c>
      <c r="O54" s="32">
        <v>8733</v>
      </c>
      <c r="P54" s="26">
        <v>8663</v>
      </c>
      <c r="Q54" s="33">
        <v>8736</v>
      </c>
      <c r="R54" s="27">
        <f t="shared" si="19"/>
        <v>3</v>
      </c>
      <c r="S54" s="27">
        <f t="shared" si="20"/>
        <v>96</v>
      </c>
      <c r="T54" s="28">
        <f t="shared" si="21"/>
        <v>1.1111111111111072E-2</v>
      </c>
      <c r="U54" s="28">
        <f t="shared" si="22"/>
        <v>3.435245620062588E-4</v>
      </c>
      <c r="V54" s="24"/>
      <c r="W54" s="24">
        <v>94</v>
      </c>
      <c r="X54" s="24"/>
      <c r="Y54" s="24"/>
      <c r="Z54" s="24">
        <v>9</v>
      </c>
      <c r="AA54" s="26">
        <f t="shared" si="24"/>
        <v>70</v>
      </c>
      <c r="AB54" s="24"/>
      <c r="AC54" s="24"/>
      <c r="AD54" s="24">
        <v>3</v>
      </c>
      <c r="AE54" s="24"/>
      <c r="AF54" s="24"/>
      <c r="AG54" s="24"/>
      <c r="AH54" s="24"/>
      <c r="AI54" s="27">
        <f t="shared" si="23"/>
        <v>82</v>
      </c>
      <c r="AJ54" s="27">
        <f t="shared" si="25"/>
        <v>85</v>
      </c>
      <c r="AK54" s="22"/>
      <c r="AL54" s="22">
        <v>2</v>
      </c>
    </row>
    <row r="55" spans="1:38" x14ac:dyDescent="0.35">
      <c r="A55" s="24">
        <v>2024</v>
      </c>
      <c r="B55" s="24" t="s">
        <v>95</v>
      </c>
      <c r="C55" s="23">
        <v>45548</v>
      </c>
      <c r="D55" s="25" t="s">
        <v>118</v>
      </c>
      <c r="E55" s="25" t="s">
        <v>64</v>
      </c>
      <c r="F55" s="24" t="s">
        <v>65</v>
      </c>
      <c r="G55" s="24" t="s">
        <v>66</v>
      </c>
      <c r="H55" s="22" t="s">
        <v>67</v>
      </c>
      <c r="I55" s="24"/>
      <c r="J55" s="22">
        <v>5158618</v>
      </c>
      <c r="K55" s="22"/>
      <c r="L55" s="36"/>
      <c r="M55" s="24">
        <v>183446</v>
      </c>
      <c r="N55" s="31">
        <v>1836</v>
      </c>
      <c r="O55" s="32">
        <v>1855</v>
      </c>
      <c r="P55" s="26">
        <v>1855</v>
      </c>
      <c r="Q55" s="33">
        <v>1851</v>
      </c>
      <c r="R55" s="27">
        <f t="shared" si="19"/>
        <v>-4</v>
      </c>
      <c r="S55" s="27">
        <f t="shared" si="20"/>
        <v>15</v>
      </c>
      <c r="T55" s="28">
        <f t="shared" si="21"/>
        <v>8.1699346405228468E-3</v>
      </c>
      <c r="U55" s="28">
        <f t="shared" si="22"/>
        <v>-2.1563342318059453E-3</v>
      </c>
      <c r="V55" s="24"/>
      <c r="W55" s="24">
        <v>14</v>
      </c>
      <c r="X55" s="24"/>
      <c r="Y55" s="24"/>
      <c r="Z55" s="24">
        <v>4</v>
      </c>
      <c r="AA55" s="26">
        <f t="shared" si="24"/>
        <v>0</v>
      </c>
      <c r="AB55" s="24"/>
      <c r="AC55" s="24"/>
      <c r="AD55" s="24"/>
      <c r="AE55" s="24"/>
      <c r="AF55" s="24"/>
      <c r="AG55" s="24"/>
      <c r="AH55" s="24"/>
      <c r="AI55" s="27">
        <f t="shared" si="23"/>
        <v>4</v>
      </c>
      <c r="AJ55" s="27">
        <f t="shared" si="25"/>
        <v>0</v>
      </c>
      <c r="AK55" s="22"/>
      <c r="AL55" s="22">
        <v>2</v>
      </c>
    </row>
    <row r="56" spans="1:38" x14ac:dyDescent="0.35">
      <c r="A56" s="10">
        <v>2024</v>
      </c>
      <c r="B56" s="10" t="s">
        <v>95</v>
      </c>
      <c r="C56" s="11">
        <v>45548</v>
      </c>
      <c r="D56" s="12" t="s">
        <v>118</v>
      </c>
      <c r="E56" s="12" t="s">
        <v>64</v>
      </c>
      <c r="F56" s="10" t="s">
        <v>65</v>
      </c>
      <c r="G56" s="10" t="s">
        <v>66</v>
      </c>
      <c r="H56" s="14" t="s">
        <v>67</v>
      </c>
      <c r="I56" s="10"/>
      <c r="J56" s="14">
        <v>5158599</v>
      </c>
      <c r="K56" s="14"/>
      <c r="L56" s="15"/>
      <c r="M56" s="10">
        <v>183447</v>
      </c>
      <c r="N56" s="16">
        <v>44820</v>
      </c>
      <c r="O56" s="17">
        <v>45244</v>
      </c>
      <c r="P56" s="18">
        <v>45187</v>
      </c>
      <c r="Q56" s="19">
        <v>45129</v>
      </c>
      <c r="R56" s="20">
        <f t="shared" si="19"/>
        <v>-115</v>
      </c>
      <c r="S56" s="20">
        <f t="shared" si="20"/>
        <v>309</v>
      </c>
      <c r="T56" s="21">
        <f t="shared" si="21"/>
        <v>6.8942436412315899E-3</v>
      </c>
      <c r="U56" s="21">
        <f t="shared" si="22"/>
        <v>-2.5417734948280923E-3</v>
      </c>
      <c r="V56" s="10"/>
      <c r="W56" s="10">
        <v>137</v>
      </c>
      <c r="X56" s="10"/>
      <c r="Y56" s="10"/>
      <c r="Z56" s="10">
        <v>32</v>
      </c>
      <c r="AA56" s="18">
        <f t="shared" si="24"/>
        <v>57</v>
      </c>
      <c r="AB56" s="10"/>
      <c r="AC56" s="10"/>
      <c r="AD56" s="10">
        <v>3</v>
      </c>
      <c r="AE56" s="10"/>
      <c r="AF56" s="10"/>
      <c r="AG56" s="10"/>
      <c r="AH56" s="10"/>
      <c r="AI56" s="20">
        <f t="shared" si="23"/>
        <v>92</v>
      </c>
      <c r="AJ56" s="20">
        <f t="shared" si="25"/>
        <v>-23</v>
      </c>
      <c r="AK56" s="14"/>
      <c r="AL56" s="14">
        <v>2</v>
      </c>
    </row>
    <row r="57" spans="1:38" x14ac:dyDescent="0.35">
      <c r="A57" s="24">
        <v>2024</v>
      </c>
      <c r="B57" s="24" t="s">
        <v>95</v>
      </c>
      <c r="C57" s="23">
        <v>45548</v>
      </c>
      <c r="D57" s="25" t="s">
        <v>118</v>
      </c>
      <c r="E57" s="25" t="s">
        <v>64</v>
      </c>
      <c r="F57" s="24" t="s">
        <v>65</v>
      </c>
      <c r="G57" s="24" t="s">
        <v>66</v>
      </c>
      <c r="H57" s="22" t="s">
        <v>67</v>
      </c>
      <c r="I57" s="24"/>
      <c r="J57" s="22">
        <v>5158584</v>
      </c>
      <c r="K57" s="22"/>
      <c r="L57" s="36"/>
      <c r="M57" s="24">
        <v>183448</v>
      </c>
      <c r="N57" s="31">
        <v>19548</v>
      </c>
      <c r="O57" s="32">
        <v>19730</v>
      </c>
      <c r="P57" s="26">
        <v>19695</v>
      </c>
      <c r="Q57" s="33">
        <v>19686</v>
      </c>
      <c r="R57" s="27">
        <f t="shared" si="19"/>
        <v>-44</v>
      </c>
      <c r="S57" s="27">
        <f t="shared" si="20"/>
        <v>138</v>
      </c>
      <c r="T57" s="28">
        <f t="shared" si="21"/>
        <v>7.0595457335789202E-3</v>
      </c>
      <c r="U57" s="28">
        <f t="shared" si="22"/>
        <v>-2.2301064368981383E-3</v>
      </c>
      <c r="V57" s="24"/>
      <c r="W57" s="24">
        <v>202</v>
      </c>
      <c r="X57" s="24"/>
      <c r="Y57" s="24"/>
      <c r="Z57" s="24">
        <v>1</v>
      </c>
      <c r="AA57" s="26">
        <f t="shared" si="24"/>
        <v>35</v>
      </c>
      <c r="AB57" s="24"/>
      <c r="AC57" s="24"/>
      <c r="AD57" s="24">
        <v>3</v>
      </c>
      <c r="AE57" s="24"/>
      <c r="AF57" s="24"/>
      <c r="AG57" s="24"/>
      <c r="AH57" s="24"/>
      <c r="AI57" s="27">
        <f t="shared" si="23"/>
        <v>39</v>
      </c>
      <c r="AJ57" s="27">
        <f t="shared" si="25"/>
        <v>-5</v>
      </c>
      <c r="AK57" s="22"/>
      <c r="AL57" s="22">
        <v>2</v>
      </c>
    </row>
    <row r="58" spans="1:38" x14ac:dyDescent="0.35">
      <c r="A58" s="24">
        <v>2024</v>
      </c>
      <c r="B58" s="24" t="s">
        <v>95</v>
      </c>
      <c r="C58" s="23">
        <v>45548</v>
      </c>
      <c r="D58" s="25" t="s">
        <v>118</v>
      </c>
      <c r="E58" s="25" t="s">
        <v>64</v>
      </c>
      <c r="F58" s="24" t="s">
        <v>65</v>
      </c>
      <c r="G58" s="24" t="s">
        <v>66</v>
      </c>
      <c r="H58" s="22" t="s">
        <v>67</v>
      </c>
      <c r="I58" s="24"/>
      <c r="J58" s="22">
        <v>5158584</v>
      </c>
      <c r="K58" s="22"/>
      <c r="L58" s="36"/>
      <c r="M58" s="24">
        <v>183449</v>
      </c>
      <c r="N58" s="31">
        <v>1080</v>
      </c>
      <c r="O58" s="32">
        <v>1094</v>
      </c>
      <c r="P58" s="26">
        <v>1093</v>
      </c>
      <c r="Q58" s="33">
        <v>1092</v>
      </c>
      <c r="R58" s="27">
        <f t="shared" si="19"/>
        <v>-2</v>
      </c>
      <c r="S58" s="27">
        <f t="shared" si="20"/>
        <v>12</v>
      </c>
      <c r="T58" s="28">
        <f t="shared" si="21"/>
        <v>1.1111111111111072E-2</v>
      </c>
      <c r="U58" s="28">
        <f t="shared" si="22"/>
        <v>-1.8281535648994041E-3</v>
      </c>
      <c r="V58" s="24"/>
      <c r="W58" s="24">
        <v>14</v>
      </c>
      <c r="X58" s="24"/>
      <c r="Y58" s="24"/>
      <c r="Z58" s="24">
        <v>0</v>
      </c>
      <c r="AA58" s="26">
        <f t="shared" si="24"/>
        <v>1</v>
      </c>
      <c r="AB58" s="24"/>
      <c r="AC58" s="24"/>
      <c r="AD58" s="24"/>
      <c r="AE58" s="24"/>
      <c r="AF58" s="24"/>
      <c r="AG58" s="24"/>
      <c r="AH58" s="24"/>
      <c r="AI58" s="27">
        <f t="shared" si="23"/>
        <v>1</v>
      </c>
      <c r="AJ58" s="27">
        <f t="shared" si="25"/>
        <v>-1</v>
      </c>
      <c r="AK58" s="22"/>
      <c r="AL58" s="22">
        <v>2</v>
      </c>
    </row>
    <row r="59" spans="1:38" x14ac:dyDescent="0.35">
      <c r="A59" s="24">
        <v>2024</v>
      </c>
      <c r="B59" s="24" t="s">
        <v>95</v>
      </c>
      <c r="C59" s="23">
        <v>45548</v>
      </c>
      <c r="D59" s="25" t="s">
        <v>118</v>
      </c>
      <c r="E59" s="25" t="s">
        <v>64</v>
      </c>
      <c r="F59" s="24" t="s">
        <v>65</v>
      </c>
      <c r="G59" s="24" t="s">
        <v>66</v>
      </c>
      <c r="H59" s="22" t="s">
        <v>67</v>
      </c>
      <c r="I59" s="24"/>
      <c r="J59" s="22">
        <v>5158583</v>
      </c>
      <c r="K59" s="22"/>
      <c r="L59" s="36"/>
      <c r="M59" s="24">
        <v>183454</v>
      </c>
      <c r="N59" s="31">
        <v>4104</v>
      </c>
      <c r="O59" s="32">
        <v>4112</v>
      </c>
      <c r="P59" s="26">
        <v>4069</v>
      </c>
      <c r="Q59" s="33">
        <v>4104</v>
      </c>
      <c r="R59" s="27">
        <f t="shared" si="19"/>
        <v>-8</v>
      </c>
      <c r="S59" s="27">
        <f t="shared" si="20"/>
        <v>0</v>
      </c>
      <c r="T59" s="28">
        <f t="shared" si="21"/>
        <v>0</v>
      </c>
      <c r="U59" s="28">
        <f t="shared" si="22"/>
        <v>-1.9455252918287869E-3</v>
      </c>
      <c r="V59" s="24"/>
      <c r="W59" s="24">
        <v>89</v>
      </c>
      <c r="X59" s="24"/>
      <c r="Y59" s="24"/>
      <c r="Z59" s="24">
        <v>3</v>
      </c>
      <c r="AA59" s="26">
        <f t="shared" si="24"/>
        <v>43</v>
      </c>
      <c r="AB59" s="24"/>
      <c r="AC59" s="24"/>
      <c r="AD59" s="24">
        <v>3</v>
      </c>
      <c r="AE59" s="24"/>
      <c r="AF59" s="24"/>
      <c r="AG59" s="24"/>
      <c r="AH59" s="24"/>
      <c r="AI59" s="27">
        <f t="shared" si="23"/>
        <v>49</v>
      </c>
      <c r="AJ59" s="27">
        <f t="shared" si="25"/>
        <v>41</v>
      </c>
      <c r="AK59" s="22"/>
      <c r="AL59" s="22">
        <v>2</v>
      </c>
    </row>
    <row r="60" spans="1:38" x14ac:dyDescent="0.35">
      <c r="A60" s="24">
        <v>2024</v>
      </c>
      <c r="B60" s="24" t="s">
        <v>95</v>
      </c>
      <c r="C60" s="23">
        <v>45548</v>
      </c>
      <c r="D60" s="25" t="s">
        <v>118</v>
      </c>
      <c r="E60" s="25" t="s">
        <v>64</v>
      </c>
      <c r="F60" s="24" t="s">
        <v>65</v>
      </c>
      <c r="G60" s="24" t="s">
        <v>66</v>
      </c>
      <c r="H60" s="22" t="s">
        <v>67</v>
      </c>
      <c r="I60" s="24"/>
      <c r="J60" s="22">
        <v>5158602</v>
      </c>
      <c r="K60" s="22"/>
      <c r="L60" s="36"/>
      <c r="M60" s="24">
        <v>183455</v>
      </c>
      <c r="N60" s="31">
        <v>3888</v>
      </c>
      <c r="O60" s="32">
        <v>3897</v>
      </c>
      <c r="P60" s="26">
        <v>3896</v>
      </c>
      <c r="Q60" s="33">
        <v>3888</v>
      </c>
      <c r="R60" s="27">
        <f t="shared" si="19"/>
        <v>-9</v>
      </c>
      <c r="S60" s="27">
        <f t="shared" si="20"/>
        <v>0</v>
      </c>
      <c r="T60" s="28">
        <f t="shared" si="21"/>
        <v>0</v>
      </c>
      <c r="U60" s="28">
        <f t="shared" si="22"/>
        <v>-2.3094688221708681E-3</v>
      </c>
      <c r="V60" s="24"/>
      <c r="W60" s="24">
        <v>89</v>
      </c>
      <c r="X60" s="24"/>
      <c r="Y60" s="24"/>
      <c r="Z60" s="24">
        <v>4</v>
      </c>
      <c r="AA60" s="26">
        <f t="shared" si="24"/>
        <v>1</v>
      </c>
      <c r="AB60" s="24"/>
      <c r="AC60" s="24"/>
      <c r="AD60" s="24">
        <v>3</v>
      </c>
      <c r="AE60" s="24"/>
      <c r="AF60" s="24"/>
      <c r="AG60" s="24"/>
      <c r="AH60" s="24"/>
      <c r="AI60" s="27">
        <f t="shared" si="23"/>
        <v>8</v>
      </c>
      <c r="AJ60" s="27">
        <f t="shared" si="25"/>
        <v>-1</v>
      </c>
      <c r="AK60" s="22"/>
      <c r="AL60" s="22">
        <v>2</v>
      </c>
    </row>
    <row r="61" spans="1:38" x14ac:dyDescent="0.35">
      <c r="A61" s="24">
        <v>2024</v>
      </c>
      <c r="B61" s="24" t="s">
        <v>95</v>
      </c>
      <c r="C61" s="23">
        <v>45548</v>
      </c>
      <c r="D61" s="25" t="s">
        <v>118</v>
      </c>
      <c r="E61" s="25" t="s">
        <v>64</v>
      </c>
      <c r="F61" s="24" t="s">
        <v>65</v>
      </c>
      <c r="G61" s="24" t="s">
        <v>66</v>
      </c>
      <c r="H61" s="22" t="s">
        <v>67</v>
      </c>
      <c r="I61" s="24"/>
      <c r="J61" s="22">
        <v>5158587</v>
      </c>
      <c r="K61" s="22"/>
      <c r="L61" s="36"/>
      <c r="M61" s="24">
        <v>183456</v>
      </c>
      <c r="N61" s="31">
        <v>4860</v>
      </c>
      <c r="O61" s="32">
        <v>4869</v>
      </c>
      <c r="P61" s="26">
        <v>4830</v>
      </c>
      <c r="Q61" s="33">
        <v>4860</v>
      </c>
      <c r="R61" s="27">
        <f t="shared" si="19"/>
        <v>-9</v>
      </c>
      <c r="S61" s="27">
        <f t="shared" si="20"/>
        <v>0</v>
      </c>
      <c r="T61" s="28">
        <f t="shared" si="21"/>
        <v>0</v>
      </c>
      <c r="U61" s="28">
        <f t="shared" si="22"/>
        <v>-1.848428835489857E-3</v>
      </c>
      <c r="V61" s="24"/>
      <c r="W61" s="24">
        <v>41</v>
      </c>
      <c r="X61" s="24"/>
      <c r="Y61" s="24"/>
      <c r="Z61" s="24">
        <v>3</v>
      </c>
      <c r="AA61" s="26">
        <f t="shared" si="24"/>
        <v>39</v>
      </c>
      <c r="AB61" s="24"/>
      <c r="AC61" s="24"/>
      <c r="AD61" s="24">
        <v>3</v>
      </c>
      <c r="AE61" s="24"/>
      <c r="AF61" s="24"/>
      <c r="AG61" s="24"/>
      <c r="AH61" s="24"/>
      <c r="AI61" s="27">
        <f t="shared" si="23"/>
        <v>45</v>
      </c>
      <c r="AJ61" s="27">
        <f t="shared" si="25"/>
        <v>36</v>
      </c>
      <c r="AK61" s="22"/>
      <c r="AL61" s="22">
        <v>2</v>
      </c>
    </row>
    <row r="62" spans="1:38" x14ac:dyDescent="0.35">
      <c r="A62" s="24">
        <v>2024</v>
      </c>
      <c r="B62" s="24" t="s">
        <v>95</v>
      </c>
      <c r="C62" s="23">
        <v>45548</v>
      </c>
      <c r="D62" s="25" t="s">
        <v>118</v>
      </c>
      <c r="E62" s="25" t="s">
        <v>64</v>
      </c>
      <c r="F62" s="24" t="s">
        <v>65</v>
      </c>
      <c r="G62" s="24" t="s">
        <v>66</v>
      </c>
      <c r="H62" s="22" t="s">
        <v>67</v>
      </c>
      <c r="I62" s="24"/>
      <c r="J62" s="22">
        <v>5158587</v>
      </c>
      <c r="K62" s="22"/>
      <c r="L62" s="36"/>
      <c r="M62" s="24">
        <v>183457</v>
      </c>
      <c r="N62" s="31">
        <v>1080</v>
      </c>
      <c r="O62" s="32">
        <v>1080</v>
      </c>
      <c r="P62" s="26">
        <v>1080</v>
      </c>
      <c r="Q62" s="33">
        <v>1080</v>
      </c>
      <c r="R62" s="27">
        <f t="shared" si="19"/>
        <v>0</v>
      </c>
      <c r="S62" s="27">
        <f t="shared" si="20"/>
        <v>0</v>
      </c>
      <c r="T62" s="28">
        <f t="shared" si="21"/>
        <v>0</v>
      </c>
      <c r="U62" s="28">
        <f t="shared" si="22"/>
        <v>0</v>
      </c>
      <c r="V62" s="24"/>
      <c r="W62" s="24">
        <v>14</v>
      </c>
      <c r="X62" s="24"/>
      <c r="Y62" s="24"/>
      <c r="Z62" s="24">
        <v>1</v>
      </c>
      <c r="AA62" s="26">
        <f t="shared" si="24"/>
        <v>0</v>
      </c>
      <c r="AB62" s="24"/>
      <c r="AC62" s="24"/>
      <c r="AD62" s="24"/>
      <c r="AE62" s="24"/>
      <c r="AF62" s="24"/>
      <c r="AG62" s="24"/>
      <c r="AH62" s="24"/>
      <c r="AI62" s="27">
        <f t="shared" si="23"/>
        <v>1</v>
      </c>
      <c r="AJ62" s="27">
        <f t="shared" si="25"/>
        <v>1</v>
      </c>
      <c r="AK62" s="22"/>
      <c r="AL62" s="22">
        <v>2</v>
      </c>
    </row>
    <row r="63" spans="1:38" x14ac:dyDescent="0.35">
      <c r="A63" s="24">
        <v>2024</v>
      </c>
      <c r="B63" s="24" t="s">
        <v>95</v>
      </c>
      <c r="C63" s="23">
        <v>45548</v>
      </c>
      <c r="D63" s="25" t="s">
        <v>118</v>
      </c>
      <c r="E63" s="25" t="s">
        <v>64</v>
      </c>
      <c r="F63" s="24" t="s">
        <v>65</v>
      </c>
      <c r="G63" s="24" t="s">
        <v>66</v>
      </c>
      <c r="H63" s="22" t="s">
        <v>67</v>
      </c>
      <c r="I63" s="24"/>
      <c r="J63" s="22">
        <v>5158586</v>
      </c>
      <c r="K63" s="22"/>
      <c r="L63" s="36"/>
      <c r="M63" s="24">
        <v>183458</v>
      </c>
      <c r="N63" s="31">
        <v>10476</v>
      </c>
      <c r="O63" s="32">
        <v>10485</v>
      </c>
      <c r="P63" s="26">
        <v>10485</v>
      </c>
      <c r="Q63" s="33">
        <v>10476</v>
      </c>
      <c r="R63" s="27">
        <f t="shared" si="19"/>
        <v>-9</v>
      </c>
      <c r="S63" s="27">
        <f t="shared" si="20"/>
        <v>0</v>
      </c>
      <c r="T63" s="28">
        <f t="shared" si="21"/>
        <v>0</v>
      </c>
      <c r="U63" s="28">
        <f t="shared" si="22"/>
        <v>-8.5836909871239708E-4</v>
      </c>
      <c r="V63" s="24"/>
      <c r="W63" s="24">
        <v>136</v>
      </c>
      <c r="X63" s="24"/>
      <c r="Y63" s="24"/>
      <c r="Z63" s="24">
        <v>13</v>
      </c>
      <c r="AA63" s="26">
        <f t="shared" si="24"/>
        <v>0</v>
      </c>
      <c r="AB63" s="24"/>
      <c r="AC63" s="24"/>
      <c r="AD63" s="24">
        <v>3</v>
      </c>
      <c r="AE63" s="24"/>
      <c r="AF63" s="24"/>
      <c r="AG63" s="24"/>
      <c r="AH63" s="24"/>
      <c r="AI63" s="27">
        <f t="shared" si="23"/>
        <v>16</v>
      </c>
      <c r="AJ63" s="27">
        <f t="shared" si="25"/>
        <v>7</v>
      </c>
      <c r="AK63" s="22"/>
      <c r="AL63" s="22">
        <v>2</v>
      </c>
    </row>
    <row r="64" spans="1:38" x14ac:dyDescent="0.35">
      <c r="A64" s="60">
        <v>2024</v>
      </c>
      <c r="B64" s="24" t="s">
        <v>95</v>
      </c>
      <c r="C64" s="23">
        <v>45548</v>
      </c>
      <c r="D64" s="29" t="s">
        <v>70</v>
      </c>
      <c r="E64" s="25" t="s">
        <v>50</v>
      </c>
      <c r="F64" s="24" t="s">
        <v>71</v>
      </c>
      <c r="G64" s="24" t="s">
        <v>72</v>
      </c>
      <c r="H64" s="22" t="s">
        <v>67</v>
      </c>
      <c r="I64" s="30" t="s">
        <v>123</v>
      </c>
      <c r="J64" s="30">
        <v>5158611</v>
      </c>
      <c r="K64" s="50"/>
      <c r="L64" s="50"/>
      <c r="M64" s="30">
        <v>183459</v>
      </c>
      <c r="N64" s="61">
        <v>3780</v>
      </c>
      <c r="O64" s="38">
        <v>3780</v>
      </c>
      <c r="P64" s="38">
        <v>3780</v>
      </c>
      <c r="Q64" s="38">
        <v>3780</v>
      </c>
      <c r="R64" s="27">
        <f t="shared" si="19"/>
        <v>0</v>
      </c>
      <c r="S64" s="27">
        <f t="shared" si="20"/>
        <v>0</v>
      </c>
      <c r="T64" s="28">
        <f t="shared" si="21"/>
        <v>0</v>
      </c>
      <c r="U64" s="28">
        <f t="shared" si="22"/>
        <v>0</v>
      </c>
      <c r="V64" s="24"/>
      <c r="W64" s="50"/>
      <c r="X64" s="50"/>
      <c r="Y64" s="50"/>
      <c r="Z64" s="50"/>
      <c r="AA64" s="62">
        <f t="shared" ref="AA64:AA65" si="26">O64-P64</f>
        <v>0</v>
      </c>
      <c r="AB64" s="50"/>
      <c r="AC64" s="50"/>
      <c r="AD64" s="50"/>
      <c r="AE64" s="50"/>
      <c r="AF64" s="50"/>
      <c r="AG64" s="50"/>
      <c r="AH64" s="50"/>
      <c r="AI64" s="26">
        <f t="shared" si="23"/>
        <v>0</v>
      </c>
      <c r="AJ64" s="26">
        <f t="shared" si="25"/>
        <v>0</v>
      </c>
      <c r="AK64" s="50"/>
      <c r="AL64" s="22">
        <v>2</v>
      </c>
    </row>
    <row r="65" spans="1:38" x14ac:dyDescent="0.35">
      <c r="A65" s="60">
        <v>2024</v>
      </c>
      <c r="B65" s="24" t="s">
        <v>95</v>
      </c>
      <c r="C65" s="23">
        <v>45548</v>
      </c>
      <c r="D65" s="29" t="s">
        <v>70</v>
      </c>
      <c r="E65" s="25" t="s">
        <v>50</v>
      </c>
      <c r="F65" s="24" t="s">
        <v>71</v>
      </c>
      <c r="G65" s="24" t="s">
        <v>72</v>
      </c>
      <c r="H65" s="22" t="s">
        <v>67</v>
      </c>
      <c r="I65" s="30" t="s">
        <v>124</v>
      </c>
      <c r="J65" s="30">
        <v>5158594</v>
      </c>
      <c r="K65" s="50"/>
      <c r="L65" s="50"/>
      <c r="M65" s="30">
        <v>183460</v>
      </c>
      <c r="N65" s="61">
        <v>22248</v>
      </c>
      <c r="O65" s="38">
        <v>22473</v>
      </c>
      <c r="P65" s="38">
        <v>22473</v>
      </c>
      <c r="Q65" s="38">
        <v>22431</v>
      </c>
      <c r="R65" s="27">
        <f t="shared" si="19"/>
        <v>-42</v>
      </c>
      <c r="S65" s="27">
        <f t="shared" si="20"/>
        <v>183</v>
      </c>
      <c r="T65" s="28">
        <f t="shared" si="21"/>
        <v>8.225458468176905E-3</v>
      </c>
      <c r="U65" s="28">
        <f t="shared" si="22"/>
        <v>-1.8689093578961868E-3</v>
      </c>
      <c r="V65" s="24"/>
      <c r="W65" s="50"/>
      <c r="X65" s="50"/>
      <c r="Y65" s="50"/>
      <c r="Z65" s="50"/>
      <c r="AA65" s="62">
        <f t="shared" si="26"/>
        <v>0</v>
      </c>
      <c r="AB65" s="50"/>
      <c r="AC65" s="50"/>
      <c r="AD65" s="50"/>
      <c r="AE65" s="50"/>
      <c r="AF65" s="50"/>
      <c r="AG65" s="50"/>
      <c r="AH65" s="50"/>
      <c r="AI65" s="26">
        <f t="shared" si="23"/>
        <v>0</v>
      </c>
      <c r="AJ65" s="26">
        <f t="shared" si="25"/>
        <v>-42</v>
      </c>
      <c r="AK65" s="50"/>
      <c r="AL65" s="22">
        <v>2</v>
      </c>
    </row>
    <row r="66" spans="1:38" x14ac:dyDescent="0.35">
      <c r="A66" s="60">
        <v>2024</v>
      </c>
      <c r="B66" s="24" t="s">
        <v>95</v>
      </c>
      <c r="C66" s="23">
        <v>45548</v>
      </c>
      <c r="D66" s="24" t="s">
        <v>55</v>
      </c>
      <c r="E66" s="25" t="s">
        <v>50</v>
      </c>
      <c r="F66" s="24" t="s">
        <v>57</v>
      </c>
      <c r="G66" s="24" t="s">
        <v>58</v>
      </c>
      <c r="H66" s="22" t="s">
        <v>67</v>
      </c>
      <c r="I66" s="30" t="s">
        <v>125</v>
      </c>
      <c r="J66" s="30">
        <v>5158006</v>
      </c>
      <c r="K66" s="50"/>
      <c r="L66" s="50"/>
      <c r="M66" s="30">
        <v>183479</v>
      </c>
      <c r="N66" s="61">
        <v>3888</v>
      </c>
      <c r="O66" s="61">
        <v>3888</v>
      </c>
      <c r="P66" s="62">
        <v>3732</v>
      </c>
      <c r="Q66" s="38">
        <f>1956*2</f>
        <v>3912</v>
      </c>
      <c r="R66" s="27">
        <f t="shared" si="19"/>
        <v>24</v>
      </c>
      <c r="S66" s="27">
        <f t="shared" si="20"/>
        <v>24</v>
      </c>
      <c r="T66" s="28">
        <f t="shared" si="21"/>
        <v>6.1728395061728669E-3</v>
      </c>
      <c r="U66" s="28">
        <f t="shared" si="22"/>
        <v>6.1728395061728669E-3</v>
      </c>
      <c r="V66" s="24"/>
      <c r="W66" s="24">
        <v>24</v>
      </c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6">
        <f t="shared" si="23"/>
        <v>0</v>
      </c>
      <c r="AJ66" s="26">
        <f t="shared" si="25"/>
        <v>24</v>
      </c>
      <c r="AK66" s="50"/>
      <c r="AL66" s="22">
        <v>2</v>
      </c>
    </row>
    <row r="67" spans="1:38" x14ac:dyDescent="0.35">
      <c r="A67" s="60">
        <v>2024</v>
      </c>
      <c r="B67" s="24" t="s">
        <v>95</v>
      </c>
      <c r="C67" s="23">
        <v>45548</v>
      </c>
      <c r="D67" s="24" t="s">
        <v>55</v>
      </c>
      <c r="E67" s="25" t="s">
        <v>50</v>
      </c>
      <c r="F67" s="24" t="s">
        <v>57</v>
      </c>
      <c r="G67" s="24" t="s">
        <v>58</v>
      </c>
      <c r="H67" s="22" t="s">
        <v>67</v>
      </c>
      <c r="I67" s="30" t="s">
        <v>126</v>
      </c>
      <c r="J67" s="30">
        <v>5157998</v>
      </c>
      <c r="K67" s="50"/>
      <c r="L67" s="50"/>
      <c r="M67" s="30">
        <v>183480</v>
      </c>
      <c r="N67" s="61">
        <v>3096</v>
      </c>
      <c r="O67" s="61">
        <v>3096</v>
      </c>
      <c r="P67" s="62">
        <v>3084</v>
      </c>
      <c r="Q67" s="38">
        <f>1556*2</f>
        <v>3112</v>
      </c>
      <c r="R67" s="27">
        <f t="shared" si="19"/>
        <v>16</v>
      </c>
      <c r="S67" s="27">
        <f t="shared" si="20"/>
        <v>16</v>
      </c>
      <c r="T67" s="28">
        <f t="shared" si="21"/>
        <v>5.1679586563306845E-3</v>
      </c>
      <c r="U67" s="28">
        <f t="shared" si="22"/>
        <v>5.1679586563306845E-3</v>
      </c>
      <c r="V67" s="24"/>
      <c r="W67" s="24">
        <v>16</v>
      </c>
      <c r="X67" s="24"/>
      <c r="Y67" s="24"/>
      <c r="Z67" s="24">
        <v>3</v>
      </c>
      <c r="AA67" s="24"/>
      <c r="AB67" s="24"/>
      <c r="AC67" s="24"/>
      <c r="AD67" s="24"/>
      <c r="AE67" s="24"/>
      <c r="AF67" s="24"/>
      <c r="AG67" s="24"/>
      <c r="AH67" s="24"/>
      <c r="AI67" s="26">
        <f t="shared" si="23"/>
        <v>3</v>
      </c>
      <c r="AJ67" s="26">
        <f t="shared" si="25"/>
        <v>19</v>
      </c>
      <c r="AK67" s="50"/>
      <c r="AL67" s="22">
        <v>2</v>
      </c>
    </row>
    <row r="68" spans="1:38" x14ac:dyDescent="0.35">
      <c r="A68" s="53">
        <v>2024</v>
      </c>
      <c r="B68" s="10" t="s">
        <v>95</v>
      </c>
      <c r="C68" s="11">
        <v>45548</v>
      </c>
      <c r="D68" s="10" t="s">
        <v>55</v>
      </c>
      <c r="E68" s="12" t="s">
        <v>50</v>
      </c>
      <c r="F68" s="10" t="s">
        <v>57</v>
      </c>
      <c r="G68" s="10" t="s">
        <v>58</v>
      </c>
      <c r="H68" s="14" t="s">
        <v>67</v>
      </c>
      <c r="I68" s="10"/>
      <c r="J68" s="65"/>
      <c r="K68" s="52"/>
      <c r="L68" s="52"/>
      <c r="M68" s="10">
        <v>183174</v>
      </c>
      <c r="N68" s="43">
        <v>16092</v>
      </c>
      <c r="O68" s="43">
        <v>16421</v>
      </c>
      <c r="P68" s="43">
        <v>16421</v>
      </c>
      <c r="Q68" s="43">
        <v>16320</v>
      </c>
      <c r="R68" s="20">
        <f>Q68-O68</f>
        <v>-101</v>
      </c>
      <c r="S68" s="20">
        <f>Q68-N68</f>
        <v>228</v>
      </c>
      <c r="T68" s="21">
        <f>Q68/N68-1</f>
        <v>1.4168530947054503E-2</v>
      </c>
      <c r="U68" s="21">
        <f>Q68/O68-1</f>
        <v>-6.1506607392972645E-3</v>
      </c>
      <c r="V68" s="10"/>
      <c r="W68" s="10"/>
      <c r="X68" s="10">
        <v>79</v>
      </c>
      <c r="Y68" s="10"/>
      <c r="Z68" s="10">
        <v>19</v>
      </c>
      <c r="AA68" s="10">
        <f>O68-P68</f>
        <v>0</v>
      </c>
      <c r="AB68" s="10"/>
      <c r="AC68" s="10"/>
      <c r="AD68" s="10">
        <v>3</v>
      </c>
      <c r="AE68" s="10"/>
      <c r="AF68" s="10"/>
      <c r="AG68" s="10"/>
      <c r="AH68" s="52"/>
      <c r="AI68" s="18">
        <f>SUM(X68:AH68)</f>
        <v>101</v>
      </c>
      <c r="AJ68" s="18">
        <f>R68+AI68</f>
        <v>0</v>
      </c>
      <c r="AK68" s="52"/>
      <c r="AL68" s="14">
        <v>2</v>
      </c>
    </row>
    <row r="69" spans="1:38" x14ac:dyDescent="0.35">
      <c r="A69" s="53">
        <v>2024</v>
      </c>
      <c r="B69" s="10" t="s">
        <v>95</v>
      </c>
      <c r="C69" s="11">
        <v>45548</v>
      </c>
      <c r="D69" s="10" t="s">
        <v>55</v>
      </c>
      <c r="E69" s="12" t="s">
        <v>50</v>
      </c>
      <c r="F69" s="10" t="s">
        <v>57</v>
      </c>
      <c r="G69" s="10" t="s">
        <v>58</v>
      </c>
      <c r="H69" s="14" t="s">
        <v>67</v>
      </c>
      <c r="I69" s="10"/>
      <c r="J69" s="65"/>
      <c r="K69" s="52"/>
      <c r="L69" s="52"/>
      <c r="M69" s="10">
        <v>183175</v>
      </c>
      <c r="N69" s="43">
        <v>1512</v>
      </c>
      <c r="O69" s="43">
        <v>1542</v>
      </c>
      <c r="P69" s="43">
        <v>1542</v>
      </c>
      <c r="Q69" s="43">
        <v>1512</v>
      </c>
      <c r="R69" s="20">
        <f>Q69-O69</f>
        <v>-30</v>
      </c>
      <c r="S69" s="20">
        <f>Q69-N69</f>
        <v>0</v>
      </c>
      <c r="T69" s="21">
        <f>Q69/N69-1</f>
        <v>0</v>
      </c>
      <c r="U69" s="21">
        <f>Q69/O69-1</f>
        <v>-1.945525291828798E-2</v>
      </c>
      <c r="V69" s="10"/>
      <c r="W69" s="10"/>
      <c r="X69" s="10">
        <v>18</v>
      </c>
      <c r="Y69" s="10"/>
      <c r="Z69" s="10">
        <v>3</v>
      </c>
      <c r="AA69" s="10">
        <f t="shared" ref="AA69:AA77" si="27">O69-P69</f>
        <v>0</v>
      </c>
      <c r="AB69" s="10">
        <v>9</v>
      </c>
      <c r="AC69" s="10"/>
      <c r="AD69" s="10"/>
      <c r="AE69" s="10"/>
      <c r="AF69" s="10"/>
      <c r="AG69" s="10"/>
      <c r="AH69" s="52"/>
      <c r="AI69" s="18">
        <f>SUM(X69:AH69)</f>
        <v>30</v>
      </c>
      <c r="AJ69" s="18">
        <f>R69+AI69</f>
        <v>0</v>
      </c>
      <c r="AK69" s="52"/>
      <c r="AL69" s="14">
        <v>2</v>
      </c>
    </row>
    <row r="70" spans="1:38" x14ac:dyDescent="0.35">
      <c r="A70" s="60">
        <v>2024</v>
      </c>
      <c r="B70" s="24" t="s">
        <v>95</v>
      </c>
      <c r="C70" s="23">
        <v>45548</v>
      </c>
      <c r="D70" s="24" t="s">
        <v>55</v>
      </c>
      <c r="E70" s="25" t="s">
        <v>50</v>
      </c>
      <c r="F70" s="24" t="s">
        <v>57</v>
      </c>
      <c r="G70" s="24" t="s">
        <v>58</v>
      </c>
      <c r="H70" s="22" t="s">
        <v>67</v>
      </c>
      <c r="I70" s="24"/>
      <c r="J70" s="66"/>
      <c r="K70" s="50"/>
      <c r="L70" s="50"/>
      <c r="M70" s="67">
        <v>183176</v>
      </c>
      <c r="N70" s="68">
        <v>12096</v>
      </c>
      <c r="O70" s="68">
        <v>12381</v>
      </c>
      <c r="P70" s="68">
        <v>12381</v>
      </c>
      <c r="Q70" s="68">
        <v>12369</v>
      </c>
      <c r="R70" s="27">
        <f t="shared" ref="R70" si="28">Q70-O70</f>
        <v>-12</v>
      </c>
      <c r="S70" s="27">
        <f t="shared" ref="S70" si="29">Q70-N70</f>
        <v>273</v>
      </c>
      <c r="T70" s="28">
        <f t="shared" ref="T70" si="30">Q70/N70-1</f>
        <v>2.256944444444442E-2</v>
      </c>
      <c r="U70" s="28">
        <f t="shared" ref="U70" si="31">Q70/O70-1</f>
        <v>-9.6922704143442839E-4</v>
      </c>
      <c r="V70" s="24"/>
      <c r="W70" s="24"/>
      <c r="X70" s="24"/>
      <c r="Y70" s="24"/>
      <c r="Z70" s="24">
        <v>11</v>
      </c>
      <c r="AA70" s="24">
        <f t="shared" si="27"/>
        <v>0</v>
      </c>
      <c r="AB70" s="24"/>
      <c r="AC70" s="24"/>
      <c r="AD70" s="24">
        <v>1</v>
      </c>
      <c r="AE70" s="24"/>
      <c r="AF70" s="24"/>
      <c r="AG70" s="24"/>
      <c r="AH70" s="50"/>
      <c r="AI70" s="26">
        <f t="shared" ref="AI70" si="32">SUM(X70:AH70)</f>
        <v>12</v>
      </c>
      <c r="AJ70" s="26">
        <f t="shared" ref="AJ70" si="33">R70+AI70</f>
        <v>0</v>
      </c>
      <c r="AK70" s="50"/>
      <c r="AL70" s="22">
        <v>2</v>
      </c>
    </row>
    <row r="71" spans="1:38" x14ac:dyDescent="0.35">
      <c r="A71" s="60">
        <v>2024</v>
      </c>
      <c r="B71" s="24" t="s">
        <v>95</v>
      </c>
      <c r="C71" s="23">
        <v>45548</v>
      </c>
      <c r="D71" s="24" t="s">
        <v>55</v>
      </c>
      <c r="E71" s="25" t="s">
        <v>50</v>
      </c>
      <c r="F71" s="24" t="s">
        <v>57</v>
      </c>
      <c r="G71" s="24" t="s">
        <v>58</v>
      </c>
      <c r="H71" s="22" t="s">
        <v>67</v>
      </c>
      <c r="I71" s="24"/>
      <c r="J71" s="66"/>
      <c r="K71" s="50"/>
      <c r="L71" s="50"/>
      <c r="M71" s="24">
        <v>183177</v>
      </c>
      <c r="N71" s="68">
        <v>1512</v>
      </c>
      <c r="O71" s="68">
        <v>1542</v>
      </c>
      <c r="P71" s="68">
        <v>1542</v>
      </c>
      <c r="Q71" s="68">
        <v>1542</v>
      </c>
      <c r="R71" s="27">
        <f>Q71-O71</f>
        <v>0</v>
      </c>
      <c r="S71" s="27">
        <f>Q71-N71</f>
        <v>30</v>
      </c>
      <c r="T71" s="28">
        <f>Q71/N71-1</f>
        <v>1.9841269841269771E-2</v>
      </c>
      <c r="U71" s="28">
        <f>Q71/O71-1</f>
        <v>0</v>
      </c>
      <c r="V71" s="24"/>
      <c r="W71" s="24"/>
      <c r="X71" s="24"/>
      <c r="Y71" s="24"/>
      <c r="Z71" s="24"/>
      <c r="AA71" s="24">
        <f t="shared" si="27"/>
        <v>0</v>
      </c>
      <c r="AB71" s="24"/>
      <c r="AC71" s="24"/>
      <c r="AD71" s="24"/>
      <c r="AE71" s="24"/>
      <c r="AF71" s="24"/>
      <c r="AG71" s="24"/>
      <c r="AH71" s="50"/>
      <c r="AI71" s="26">
        <f>SUM(X71:AH71)</f>
        <v>0</v>
      </c>
      <c r="AJ71" s="26">
        <f>R71+AI71</f>
        <v>0</v>
      </c>
      <c r="AK71" s="50"/>
      <c r="AL71" s="22">
        <v>2</v>
      </c>
    </row>
    <row r="72" spans="1:38" x14ac:dyDescent="0.35">
      <c r="A72" s="53">
        <v>2024</v>
      </c>
      <c r="B72" s="10" t="s">
        <v>95</v>
      </c>
      <c r="C72" s="11">
        <v>45548</v>
      </c>
      <c r="D72" s="10" t="s">
        <v>55</v>
      </c>
      <c r="E72" s="12" t="s">
        <v>50</v>
      </c>
      <c r="F72" s="10" t="s">
        <v>57</v>
      </c>
      <c r="G72" s="10" t="s">
        <v>58</v>
      </c>
      <c r="H72" s="14" t="s">
        <v>67</v>
      </c>
      <c r="I72" s="10"/>
      <c r="J72" s="65"/>
      <c r="K72" s="52"/>
      <c r="L72" s="52"/>
      <c r="M72" s="10">
        <v>183178</v>
      </c>
      <c r="N72" s="43">
        <v>8748</v>
      </c>
      <c r="O72" s="43">
        <v>8931</v>
      </c>
      <c r="P72" s="43">
        <v>8931</v>
      </c>
      <c r="Q72" s="43">
        <v>8859</v>
      </c>
      <c r="R72" s="20">
        <f t="shared" ref="R72:R73" si="34">Q72-O72</f>
        <v>-72</v>
      </c>
      <c r="S72" s="20">
        <f t="shared" ref="S72:S73" si="35">Q72-N72</f>
        <v>111</v>
      </c>
      <c r="T72" s="21">
        <f t="shared" ref="T72:T73" si="36">Q72/N72-1</f>
        <v>1.2688614540466325E-2</v>
      </c>
      <c r="U72" s="21">
        <f t="shared" ref="U72:U73" si="37">Q72/O72-1</f>
        <v>-8.0618071884447362E-3</v>
      </c>
      <c r="V72" s="10"/>
      <c r="W72" s="10"/>
      <c r="X72" s="10">
        <v>71</v>
      </c>
      <c r="Y72" s="10"/>
      <c r="Z72" s="10">
        <v>1</v>
      </c>
      <c r="AA72" s="10">
        <f t="shared" si="27"/>
        <v>0</v>
      </c>
      <c r="AB72" s="10"/>
      <c r="AC72" s="10"/>
      <c r="AD72" s="10"/>
      <c r="AE72" s="10"/>
      <c r="AF72" s="10"/>
      <c r="AG72" s="10"/>
      <c r="AH72" s="52"/>
      <c r="AI72" s="18">
        <f t="shared" ref="AI72:AI73" si="38">SUM(X72:AH72)</f>
        <v>72</v>
      </c>
      <c r="AJ72" s="18">
        <f t="shared" ref="AJ72:AJ73" si="39">R72+AI72</f>
        <v>0</v>
      </c>
      <c r="AK72" s="52"/>
      <c r="AL72" s="14">
        <v>2</v>
      </c>
    </row>
    <row r="73" spans="1:38" x14ac:dyDescent="0.35">
      <c r="A73" s="53">
        <v>2024</v>
      </c>
      <c r="B73" s="10" t="s">
        <v>95</v>
      </c>
      <c r="C73" s="11">
        <v>45548</v>
      </c>
      <c r="D73" s="10" t="s">
        <v>55</v>
      </c>
      <c r="E73" s="12" t="s">
        <v>50</v>
      </c>
      <c r="F73" s="10" t="s">
        <v>57</v>
      </c>
      <c r="G73" s="10" t="s">
        <v>58</v>
      </c>
      <c r="H73" s="14" t="s">
        <v>67</v>
      </c>
      <c r="I73" s="10"/>
      <c r="J73" s="65"/>
      <c r="K73" s="52"/>
      <c r="L73" s="52"/>
      <c r="M73" s="10">
        <v>183179</v>
      </c>
      <c r="N73" s="43">
        <v>1080</v>
      </c>
      <c r="O73" s="43">
        <v>1104</v>
      </c>
      <c r="P73" s="43">
        <v>1102</v>
      </c>
      <c r="Q73" s="43">
        <v>1098</v>
      </c>
      <c r="R73" s="20">
        <f t="shared" si="34"/>
        <v>-6</v>
      </c>
      <c r="S73" s="20">
        <f t="shared" si="35"/>
        <v>18</v>
      </c>
      <c r="T73" s="21">
        <f t="shared" si="36"/>
        <v>1.6666666666666607E-2</v>
      </c>
      <c r="U73" s="21">
        <f t="shared" si="37"/>
        <v>-5.4347826086956763E-3</v>
      </c>
      <c r="V73" s="10"/>
      <c r="W73" s="10"/>
      <c r="X73" s="10"/>
      <c r="Y73" s="10"/>
      <c r="Z73" s="10">
        <v>1</v>
      </c>
      <c r="AA73" s="10">
        <f t="shared" si="27"/>
        <v>2</v>
      </c>
      <c r="AB73" s="10">
        <v>3</v>
      </c>
      <c r="AC73" s="10"/>
      <c r="AD73" s="10"/>
      <c r="AE73" s="10"/>
      <c r="AF73" s="10"/>
      <c r="AG73" s="10"/>
      <c r="AH73" s="52"/>
      <c r="AI73" s="18">
        <f t="shared" si="38"/>
        <v>6</v>
      </c>
      <c r="AJ73" s="18">
        <f t="shared" si="39"/>
        <v>0</v>
      </c>
      <c r="AK73" s="52"/>
      <c r="AL73" s="14">
        <v>2</v>
      </c>
    </row>
    <row r="74" spans="1:38" x14ac:dyDescent="0.35">
      <c r="A74" s="53">
        <v>2024</v>
      </c>
      <c r="B74" s="10" t="s">
        <v>95</v>
      </c>
      <c r="C74" s="11">
        <v>45548</v>
      </c>
      <c r="D74" s="10" t="s">
        <v>55</v>
      </c>
      <c r="E74" s="12" t="s">
        <v>50</v>
      </c>
      <c r="F74" s="10" t="s">
        <v>57</v>
      </c>
      <c r="G74" s="10" t="s">
        <v>58</v>
      </c>
      <c r="H74" s="14" t="s">
        <v>67</v>
      </c>
      <c r="I74" s="10"/>
      <c r="J74" s="65"/>
      <c r="K74" s="52"/>
      <c r="L74" s="52"/>
      <c r="M74" s="10">
        <v>183181</v>
      </c>
      <c r="N74" s="43">
        <v>12528</v>
      </c>
      <c r="O74" s="43">
        <v>13134</v>
      </c>
      <c r="P74" s="43">
        <v>13134</v>
      </c>
      <c r="Q74" s="43">
        <v>12798</v>
      </c>
      <c r="R74" s="20">
        <f>Q74-O74</f>
        <v>-336</v>
      </c>
      <c r="S74" s="20">
        <f>Q74-N74</f>
        <v>270</v>
      </c>
      <c r="T74" s="21">
        <f>Q74/N74-1</f>
        <v>2.155172413793105E-2</v>
      </c>
      <c r="U74" s="21">
        <f>Q74/O74-1</f>
        <v>-2.5582457743261733E-2</v>
      </c>
      <c r="V74" s="10"/>
      <c r="W74" s="10"/>
      <c r="X74" s="10">
        <v>333</v>
      </c>
      <c r="Y74" s="10"/>
      <c r="Z74" s="10">
        <v>2</v>
      </c>
      <c r="AA74" s="10">
        <f t="shared" si="27"/>
        <v>0</v>
      </c>
      <c r="AB74" s="10"/>
      <c r="AC74" s="10"/>
      <c r="AD74" s="10">
        <v>1</v>
      </c>
      <c r="AE74" s="10"/>
      <c r="AF74" s="10"/>
      <c r="AG74" s="10"/>
      <c r="AH74" s="52"/>
      <c r="AI74" s="18">
        <f>SUM(X74:AH74)</f>
        <v>336</v>
      </c>
      <c r="AJ74" s="18">
        <f>R74+AI74</f>
        <v>0</v>
      </c>
      <c r="AK74" s="52"/>
      <c r="AL74" s="14">
        <v>2</v>
      </c>
    </row>
    <row r="75" spans="1:38" x14ac:dyDescent="0.35">
      <c r="A75" s="53">
        <v>2024</v>
      </c>
      <c r="B75" s="10" t="s">
        <v>95</v>
      </c>
      <c r="C75" s="11">
        <v>45548</v>
      </c>
      <c r="D75" s="10" t="s">
        <v>55</v>
      </c>
      <c r="E75" s="12" t="s">
        <v>50</v>
      </c>
      <c r="F75" s="10" t="s">
        <v>57</v>
      </c>
      <c r="G75" s="10" t="s">
        <v>58</v>
      </c>
      <c r="H75" s="14" t="s">
        <v>67</v>
      </c>
      <c r="I75" s="10"/>
      <c r="J75" s="65"/>
      <c r="K75" s="52"/>
      <c r="L75" s="52"/>
      <c r="M75" s="10">
        <v>183182</v>
      </c>
      <c r="N75" s="43">
        <v>1620</v>
      </c>
      <c r="O75" s="43">
        <v>1667</v>
      </c>
      <c r="P75" s="43">
        <v>1667</v>
      </c>
      <c r="Q75" s="43">
        <v>1659</v>
      </c>
      <c r="R75" s="20">
        <f>Q75-O75</f>
        <v>-8</v>
      </c>
      <c r="S75" s="20">
        <f>Q75-N75</f>
        <v>39</v>
      </c>
      <c r="T75" s="21">
        <f>Q75/N75-1</f>
        <v>2.4074074074074137E-2</v>
      </c>
      <c r="U75" s="21">
        <f>Q75/O75-1</f>
        <v>-4.7990401919616454E-3</v>
      </c>
      <c r="V75" s="10"/>
      <c r="W75" s="10"/>
      <c r="X75" s="10">
        <v>5</v>
      </c>
      <c r="Y75" s="10"/>
      <c r="Z75" s="10">
        <v>3</v>
      </c>
      <c r="AA75" s="10">
        <f t="shared" si="27"/>
        <v>0</v>
      </c>
      <c r="AB75" s="10"/>
      <c r="AC75" s="10"/>
      <c r="AD75" s="10"/>
      <c r="AE75" s="10"/>
      <c r="AF75" s="10"/>
      <c r="AG75" s="10"/>
      <c r="AH75" s="52"/>
      <c r="AI75" s="18">
        <f>SUM(X75:AH75)</f>
        <v>8</v>
      </c>
      <c r="AJ75" s="18">
        <f>R75+AI75</f>
        <v>0</v>
      </c>
      <c r="AK75" s="52"/>
      <c r="AL75" s="14">
        <v>2</v>
      </c>
    </row>
    <row r="76" spans="1:38" x14ac:dyDescent="0.35">
      <c r="A76" s="53">
        <v>2024</v>
      </c>
      <c r="B76" s="10" t="s">
        <v>95</v>
      </c>
      <c r="C76" s="11">
        <v>45548</v>
      </c>
      <c r="D76" s="10" t="s">
        <v>55</v>
      </c>
      <c r="E76" s="12" t="s">
        <v>50</v>
      </c>
      <c r="F76" s="10" t="s">
        <v>57</v>
      </c>
      <c r="G76" s="10" t="s">
        <v>58</v>
      </c>
      <c r="H76" s="14" t="s">
        <v>67</v>
      </c>
      <c r="I76" s="10"/>
      <c r="J76" s="65"/>
      <c r="K76" s="52"/>
      <c r="L76" s="52"/>
      <c r="M76" s="69">
        <v>183183</v>
      </c>
      <c r="N76" s="70">
        <v>19152</v>
      </c>
      <c r="O76" s="70">
        <v>19536</v>
      </c>
      <c r="P76" s="70">
        <v>19407</v>
      </c>
      <c r="Q76" s="70">
        <v>19264</v>
      </c>
      <c r="R76" s="20">
        <f t="shared" ref="R76:R103" si="40">Q76-O76</f>
        <v>-272</v>
      </c>
      <c r="S76" s="20">
        <f t="shared" ref="S76:S103" si="41">Q76-N76</f>
        <v>112</v>
      </c>
      <c r="T76" s="21">
        <f t="shared" ref="T76:T103" si="42">Q76/N76-1</f>
        <v>5.8479532163742132E-3</v>
      </c>
      <c r="U76" s="21">
        <f t="shared" ref="U76:U103" si="43">Q76/O76-1</f>
        <v>-1.3923013923013872E-2</v>
      </c>
      <c r="V76" s="10"/>
      <c r="W76" s="10"/>
      <c r="X76" s="10">
        <v>98</v>
      </c>
      <c r="Y76" s="10"/>
      <c r="Z76" s="10">
        <v>24</v>
      </c>
      <c r="AA76" s="10">
        <f t="shared" si="27"/>
        <v>129</v>
      </c>
      <c r="AB76" s="10">
        <v>18</v>
      </c>
      <c r="AC76" s="10"/>
      <c r="AD76" s="10">
        <v>3</v>
      </c>
      <c r="AE76" s="10"/>
      <c r="AF76" s="10"/>
      <c r="AG76" s="10"/>
      <c r="AH76" s="52"/>
      <c r="AI76" s="18">
        <f t="shared" ref="AI76:AI78" si="44">SUM(X76:AH76)</f>
        <v>272</v>
      </c>
      <c r="AJ76" s="18">
        <f t="shared" ref="AJ76:AJ77" si="45">R76+AI76</f>
        <v>0</v>
      </c>
      <c r="AK76" s="52"/>
      <c r="AL76" s="14">
        <v>2</v>
      </c>
    </row>
    <row r="77" spans="1:38" x14ac:dyDescent="0.35">
      <c r="A77" s="53">
        <v>2024</v>
      </c>
      <c r="B77" s="10" t="s">
        <v>95</v>
      </c>
      <c r="C77" s="11">
        <v>45548</v>
      </c>
      <c r="D77" s="10" t="s">
        <v>55</v>
      </c>
      <c r="E77" s="12" t="s">
        <v>50</v>
      </c>
      <c r="F77" s="10" t="s">
        <v>57</v>
      </c>
      <c r="G77" s="10" t="s">
        <v>58</v>
      </c>
      <c r="H77" s="14" t="s">
        <v>67</v>
      </c>
      <c r="I77" s="10"/>
      <c r="J77" s="65"/>
      <c r="K77" s="52"/>
      <c r="L77" s="52"/>
      <c r="M77" s="69">
        <v>183184</v>
      </c>
      <c r="N77" s="70">
        <v>22608</v>
      </c>
      <c r="O77" s="70">
        <v>22546</v>
      </c>
      <c r="P77" s="70">
        <v>22546</v>
      </c>
      <c r="Q77" s="70">
        <v>22308</v>
      </c>
      <c r="R77" s="20">
        <f t="shared" si="40"/>
        <v>-238</v>
      </c>
      <c r="S77" s="20">
        <f t="shared" si="41"/>
        <v>-300</v>
      </c>
      <c r="T77" s="21">
        <f t="shared" si="42"/>
        <v>-1.3269639065817462E-2</v>
      </c>
      <c r="U77" s="21">
        <f t="shared" si="43"/>
        <v>-1.0556196221059189E-2</v>
      </c>
      <c r="V77" s="10"/>
      <c r="W77" s="10"/>
      <c r="X77" s="10">
        <v>159</v>
      </c>
      <c r="Y77" s="10"/>
      <c r="Z77" s="10"/>
      <c r="AA77" s="10">
        <f t="shared" si="27"/>
        <v>0</v>
      </c>
      <c r="AB77" s="10">
        <v>78</v>
      </c>
      <c r="AC77" s="10"/>
      <c r="AD77" s="10">
        <v>1</v>
      </c>
      <c r="AE77" s="10"/>
      <c r="AF77" s="10"/>
      <c r="AG77" s="10"/>
      <c r="AH77" s="52"/>
      <c r="AI77" s="18">
        <f t="shared" si="44"/>
        <v>238</v>
      </c>
      <c r="AJ77" s="18">
        <f t="shared" si="45"/>
        <v>0</v>
      </c>
      <c r="AK77" s="52"/>
      <c r="AL77" s="14">
        <v>2</v>
      </c>
    </row>
    <row r="78" spans="1:38" x14ac:dyDescent="0.35">
      <c r="A78" s="53">
        <v>2024</v>
      </c>
      <c r="B78" s="10" t="s">
        <v>95</v>
      </c>
      <c r="C78" s="11">
        <v>45555</v>
      </c>
      <c r="D78" s="10" t="s">
        <v>111</v>
      </c>
      <c r="E78" s="12" t="s">
        <v>56</v>
      </c>
      <c r="F78" s="10" t="s">
        <v>101</v>
      </c>
      <c r="G78" s="10" t="s">
        <v>112</v>
      </c>
      <c r="H78" s="10" t="s">
        <v>127</v>
      </c>
      <c r="I78" s="71" t="s">
        <v>128</v>
      </c>
      <c r="J78" s="41"/>
      <c r="K78" s="52"/>
      <c r="L78" s="52"/>
      <c r="M78" s="72">
        <v>182669</v>
      </c>
      <c r="N78" s="18">
        <v>1710</v>
      </c>
      <c r="O78" s="18">
        <v>1727</v>
      </c>
      <c r="P78" s="54">
        <v>1727</v>
      </c>
      <c r="Q78" s="42">
        <v>1710</v>
      </c>
      <c r="R78" s="18">
        <f t="shared" si="40"/>
        <v>-17</v>
      </c>
      <c r="S78" s="18">
        <f t="shared" si="41"/>
        <v>0</v>
      </c>
      <c r="T78" s="45">
        <f t="shared" si="42"/>
        <v>0</v>
      </c>
      <c r="U78" s="45">
        <f t="shared" si="43"/>
        <v>-9.8436595251881753E-3</v>
      </c>
      <c r="V78" s="10"/>
      <c r="W78" s="10"/>
      <c r="X78" s="10">
        <v>12</v>
      </c>
      <c r="Y78" s="10"/>
      <c r="Z78" s="10"/>
      <c r="AA78" s="18">
        <f>O78-P78</f>
        <v>0</v>
      </c>
      <c r="AB78" s="10"/>
      <c r="AC78" s="10"/>
      <c r="AD78" s="10"/>
      <c r="AE78" s="10">
        <v>1</v>
      </c>
      <c r="AF78" s="10"/>
      <c r="AG78" s="10"/>
      <c r="AH78" s="54"/>
      <c r="AI78" s="20">
        <f t="shared" si="44"/>
        <v>13</v>
      </c>
      <c r="AJ78" s="18">
        <f>R78+AI78</f>
        <v>-4</v>
      </c>
      <c r="AK78" s="14"/>
      <c r="AL78" s="14">
        <v>3</v>
      </c>
    </row>
    <row r="79" spans="1:38" x14ac:dyDescent="0.35">
      <c r="A79" s="53">
        <v>2024</v>
      </c>
      <c r="B79" s="10" t="s">
        <v>95</v>
      </c>
      <c r="C79" s="11">
        <v>45555</v>
      </c>
      <c r="D79" s="10" t="s">
        <v>111</v>
      </c>
      <c r="E79" s="12" t="s">
        <v>56</v>
      </c>
      <c r="F79" s="10" t="s">
        <v>101</v>
      </c>
      <c r="G79" s="10" t="s">
        <v>112</v>
      </c>
      <c r="H79" s="10" t="s">
        <v>127</v>
      </c>
      <c r="I79" s="71" t="s">
        <v>129</v>
      </c>
      <c r="J79" s="41"/>
      <c r="K79" s="52"/>
      <c r="L79" s="52"/>
      <c r="M79" s="72">
        <v>182665</v>
      </c>
      <c r="N79" s="18">
        <v>8000</v>
      </c>
      <c r="O79" s="18">
        <v>8219</v>
      </c>
      <c r="P79" s="54">
        <v>8219</v>
      </c>
      <c r="Q79" s="42">
        <v>8000</v>
      </c>
      <c r="R79" s="18">
        <f t="shared" si="40"/>
        <v>-219</v>
      </c>
      <c r="S79" s="18">
        <f t="shared" si="41"/>
        <v>0</v>
      </c>
      <c r="T79" s="45">
        <f t="shared" si="42"/>
        <v>0</v>
      </c>
      <c r="U79" s="45">
        <f t="shared" si="43"/>
        <v>-2.664557732084194E-2</v>
      </c>
      <c r="V79" s="10"/>
      <c r="W79" s="10"/>
      <c r="X79" s="10">
        <v>83</v>
      </c>
      <c r="Y79" s="10"/>
      <c r="Z79" s="10">
        <f>5+37+56</f>
        <v>98</v>
      </c>
      <c r="AA79" s="18">
        <f t="shared" ref="AA79:AA84" si="46">O79-P79</f>
        <v>0</v>
      </c>
      <c r="AB79" s="10"/>
      <c r="AC79" s="10"/>
      <c r="AD79" s="10"/>
      <c r="AE79" s="10"/>
      <c r="AF79" s="10"/>
      <c r="AG79" s="10"/>
      <c r="AH79" s="54"/>
      <c r="AI79" s="20">
        <f t="shared" ref="AI79:AI103" si="47">SUM(X79:AH79)</f>
        <v>181</v>
      </c>
      <c r="AJ79" s="18">
        <f t="shared" ref="AJ79:AJ93" si="48">R79+AI79</f>
        <v>-38</v>
      </c>
      <c r="AK79" s="14"/>
      <c r="AL79" s="14">
        <v>3</v>
      </c>
    </row>
    <row r="80" spans="1:38" x14ac:dyDescent="0.35">
      <c r="A80" s="53">
        <v>2024</v>
      </c>
      <c r="B80" s="10" t="s">
        <v>95</v>
      </c>
      <c r="C80" s="11">
        <v>45555</v>
      </c>
      <c r="D80" s="10" t="s">
        <v>111</v>
      </c>
      <c r="E80" s="12" t="s">
        <v>56</v>
      </c>
      <c r="F80" s="10" t="s">
        <v>101</v>
      </c>
      <c r="G80" s="10" t="s">
        <v>112</v>
      </c>
      <c r="H80" s="10" t="s">
        <v>127</v>
      </c>
      <c r="I80" s="71" t="s">
        <v>130</v>
      </c>
      <c r="J80" s="41"/>
      <c r="K80" s="52"/>
      <c r="L80" s="52"/>
      <c r="M80" s="72">
        <v>182667</v>
      </c>
      <c r="N80" s="18">
        <v>1500</v>
      </c>
      <c r="O80" s="18">
        <v>1540</v>
      </c>
      <c r="P80" s="54">
        <v>1540</v>
      </c>
      <c r="Q80" s="42">
        <v>1500</v>
      </c>
      <c r="R80" s="18">
        <f t="shared" si="40"/>
        <v>-40</v>
      </c>
      <c r="S80" s="18">
        <f t="shared" si="41"/>
        <v>0</v>
      </c>
      <c r="T80" s="45">
        <f t="shared" si="42"/>
        <v>0</v>
      </c>
      <c r="U80" s="45">
        <f t="shared" si="43"/>
        <v>-2.5974025974025983E-2</v>
      </c>
      <c r="V80" s="10"/>
      <c r="W80" s="10"/>
      <c r="X80" s="10">
        <v>29</v>
      </c>
      <c r="Y80" s="10"/>
      <c r="Z80" s="10">
        <v>9</v>
      </c>
      <c r="AA80" s="18">
        <f t="shared" si="46"/>
        <v>0</v>
      </c>
      <c r="AB80" s="10">
        <v>1</v>
      </c>
      <c r="AC80" s="10"/>
      <c r="AD80" s="10"/>
      <c r="AE80" s="10">
        <v>1</v>
      </c>
      <c r="AF80" s="10"/>
      <c r="AG80" s="10"/>
      <c r="AH80" s="54"/>
      <c r="AI80" s="20">
        <f t="shared" si="47"/>
        <v>40</v>
      </c>
      <c r="AJ80" s="18">
        <f t="shared" si="48"/>
        <v>0</v>
      </c>
      <c r="AK80" s="14"/>
      <c r="AL80" s="14">
        <v>3</v>
      </c>
    </row>
    <row r="81" spans="1:38" x14ac:dyDescent="0.35">
      <c r="A81" s="10">
        <v>2024</v>
      </c>
      <c r="B81" s="10" t="s">
        <v>95</v>
      </c>
      <c r="C81" s="11">
        <v>45555</v>
      </c>
      <c r="D81" s="10" t="s">
        <v>111</v>
      </c>
      <c r="E81" s="12" t="s">
        <v>56</v>
      </c>
      <c r="F81" s="10" t="s">
        <v>101</v>
      </c>
      <c r="G81" s="10" t="s">
        <v>112</v>
      </c>
      <c r="H81" s="10" t="s">
        <v>127</v>
      </c>
      <c r="I81" s="71" t="s">
        <v>131</v>
      </c>
      <c r="J81" s="14"/>
      <c r="K81" s="14"/>
      <c r="L81" s="15"/>
      <c r="M81" s="72">
        <v>182666</v>
      </c>
      <c r="N81" s="18">
        <v>2000</v>
      </c>
      <c r="O81" s="18">
        <v>2077</v>
      </c>
      <c r="P81" s="54">
        <v>2077</v>
      </c>
      <c r="Q81" s="42">
        <v>2000</v>
      </c>
      <c r="R81" s="18">
        <f t="shared" si="40"/>
        <v>-77</v>
      </c>
      <c r="S81" s="18">
        <f t="shared" si="41"/>
        <v>0</v>
      </c>
      <c r="T81" s="45">
        <f t="shared" si="42"/>
        <v>0</v>
      </c>
      <c r="U81" s="45">
        <f t="shared" si="43"/>
        <v>-3.7072701011073628E-2</v>
      </c>
      <c r="V81" s="10"/>
      <c r="W81" s="10"/>
      <c r="X81" s="10">
        <v>40</v>
      </c>
      <c r="Y81" s="10"/>
      <c r="Z81" s="10"/>
      <c r="AA81" s="18">
        <f t="shared" si="46"/>
        <v>0</v>
      </c>
      <c r="AB81" s="10"/>
      <c r="AC81" s="10"/>
      <c r="AD81" s="10"/>
      <c r="AE81" s="10">
        <v>1</v>
      </c>
      <c r="AF81" s="10"/>
      <c r="AG81" s="10"/>
      <c r="AH81" s="10"/>
      <c r="AI81" s="20">
        <f t="shared" si="47"/>
        <v>41</v>
      </c>
      <c r="AJ81" s="18">
        <f t="shared" si="48"/>
        <v>-36</v>
      </c>
      <c r="AK81" s="79"/>
      <c r="AL81" s="14">
        <v>3</v>
      </c>
    </row>
    <row r="82" spans="1:38" x14ac:dyDescent="0.35">
      <c r="A82" s="10">
        <v>2024</v>
      </c>
      <c r="B82" s="10" t="s">
        <v>95</v>
      </c>
      <c r="C82" s="11">
        <v>45555</v>
      </c>
      <c r="D82" s="10" t="s">
        <v>111</v>
      </c>
      <c r="E82" s="12" t="s">
        <v>56</v>
      </c>
      <c r="F82" s="10" t="s">
        <v>101</v>
      </c>
      <c r="G82" s="10" t="s">
        <v>112</v>
      </c>
      <c r="H82" s="10" t="s">
        <v>127</v>
      </c>
      <c r="I82" s="71" t="s">
        <v>132</v>
      </c>
      <c r="J82" s="14"/>
      <c r="K82" s="14"/>
      <c r="L82" s="15"/>
      <c r="M82" s="72">
        <v>182660</v>
      </c>
      <c r="N82" s="18">
        <v>8000</v>
      </c>
      <c r="O82" s="54">
        <v>8074</v>
      </c>
      <c r="P82" s="54">
        <v>8074</v>
      </c>
      <c r="Q82" s="42">
        <v>8000</v>
      </c>
      <c r="R82" s="18">
        <f t="shared" si="40"/>
        <v>-74</v>
      </c>
      <c r="S82" s="18">
        <f t="shared" si="41"/>
        <v>0</v>
      </c>
      <c r="T82" s="45">
        <f t="shared" si="42"/>
        <v>0</v>
      </c>
      <c r="U82" s="45">
        <f t="shared" si="43"/>
        <v>-9.1652216992816893E-3</v>
      </c>
      <c r="V82" s="86"/>
      <c r="W82" s="10"/>
      <c r="X82" s="10">
        <v>7</v>
      </c>
      <c r="Y82" s="10"/>
      <c r="Z82" s="10"/>
      <c r="AA82" s="18">
        <f t="shared" si="46"/>
        <v>0</v>
      </c>
      <c r="AB82" s="10"/>
      <c r="AC82" s="10"/>
      <c r="AD82" s="10"/>
      <c r="AE82" s="10"/>
      <c r="AF82" s="10"/>
      <c r="AG82" s="10"/>
      <c r="AH82" s="10"/>
      <c r="AI82" s="20">
        <f t="shared" si="47"/>
        <v>7</v>
      </c>
      <c r="AJ82" s="18">
        <f t="shared" si="48"/>
        <v>-67</v>
      </c>
      <c r="AK82" s="79"/>
      <c r="AL82" s="14">
        <v>3</v>
      </c>
    </row>
    <row r="83" spans="1:38" x14ac:dyDescent="0.35">
      <c r="A83" s="10">
        <v>2024</v>
      </c>
      <c r="B83" s="10" t="s">
        <v>95</v>
      </c>
      <c r="C83" s="11">
        <v>45555</v>
      </c>
      <c r="D83" s="10" t="s">
        <v>111</v>
      </c>
      <c r="E83" s="12" t="s">
        <v>56</v>
      </c>
      <c r="F83" s="10" t="s">
        <v>101</v>
      </c>
      <c r="G83" s="10" t="s">
        <v>112</v>
      </c>
      <c r="H83" s="10" t="s">
        <v>127</v>
      </c>
      <c r="I83" s="71" t="s">
        <v>133</v>
      </c>
      <c r="J83" s="14"/>
      <c r="K83" s="14"/>
      <c r="L83" s="15"/>
      <c r="M83" s="72">
        <v>182662</v>
      </c>
      <c r="N83" s="18">
        <v>6000</v>
      </c>
      <c r="O83" s="54">
        <v>6129</v>
      </c>
      <c r="P83" s="54">
        <v>6129</v>
      </c>
      <c r="Q83" s="42">
        <v>6000</v>
      </c>
      <c r="R83" s="18">
        <f t="shared" si="40"/>
        <v>-129</v>
      </c>
      <c r="S83" s="18">
        <f t="shared" si="41"/>
        <v>0</v>
      </c>
      <c r="T83" s="45">
        <f t="shared" si="42"/>
        <v>0</v>
      </c>
      <c r="U83" s="45">
        <f t="shared" si="43"/>
        <v>-2.1047479197258911E-2</v>
      </c>
      <c r="V83" s="10"/>
      <c r="W83" s="10"/>
      <c r="X83" s="10">
        <v>120</v>
      </c>
      <c r="Y83" s="10"/>
      <c r="Z83" s="10"/>
      <c r="AA83" s="18">
        <f t="shared" si="46"/>
        <v>0</v>
      </c>
      <c r="AB83" s="10"/>
      <c r="AC83" s="10"/>
      <c r="AD83" s="10"/>
      <c r="AE83" s="10"/>
      <c r="AF83" s="10"/>
      <c r="AG83" s="10"/>
      <c r="AH83" s="10"/>
      <c r="AI83" s="20">
        <f t="shared" si="47"/>
        <v>120</v>
      </c>
      <c r="AJ83" s="18">
        <f t="shared" si="48"/>
        <v>-9</v>
      </c>
      <c r="AK83" s="79"/>
      <c r="AL83" s="14">
        <v>3</v>
      </c>
    </row>
    <row r="84" spans="1:38" x14ac:dyDescent="0.35">
      <c r="A84" s="14">
        <v>2024</v>
      </c>
      <c r="B84" s="10" t="s">
        <v>95</v>
      </c>
      <c r="C84" s="11">
        <v>45555</v>
      </c>
      <c r="D84" s="10" t="s">
        <v>111</v>
      </c>
      <c r="E84" s="12" t="s">
        <v>56</v>
      </c>
      <c r="F84" s="10" t="s">
        <v>101</v>
      </c>
      <c r="G84" s="10" t="s">
        <v>112</v>
      </c>
      <c r="H84" s="10" t="s">
        <v>127</v>
      </c>
      <c r="I84" s="71" t="s">
        <v>134</v>
      </c>
      <c r="J84" s="56"/>
      <c r="K84" s="14"/>
      <c r="L84" s="83"/>
      <c r="M84" s="72">
        <v>182664</v>
      </c>
      <c r="N84" s="18">
        <v>2100</v>
      </c>
      <c r="O84" s="54">
        <v>2121</v>
      </c>
      <c r="P84" s="54">
        <v>2121</v>
      </c>
      <c r="Q84" s="42">
        <v>2100</v>
      </c>
      <c r="R84" s="18">
        <f t="shared" si="40"/>
        <v>-21</v>
      </c>
      <c r="S84" s="18">
        <f t="shared" si="41"/>
        <v>0</v>
      </c>
      <c r="T84" s="45">
        <f t="shared" si="42"/>
        <v>0</v>
      </c>
      <c r="U84" s="45">
        <f t="shared" si="43"/>
        <v>-9.9009900990099098E-3</v>
      </c>
      <c r="V84" s="10"/>
      <c r="W84" s="10"/>
      <c r="X84" s="10">
        <v>11</v>
      </c>
      <c r="Y84" s="10"/>
      <c r="Z84" s="10"/>
      <c r="AA84" s="18">
        <f t="shared" si="46"/>
        <v>0</v>
      </c>
      <c r="AB84" s="10"/>
      <c r="AC84" s="10"/>
      <c r="AD84" s="10"/>
      <c r="AE84" s="10">
        <v>1</v>
      </c>
      <c r="AF84" s="10"/>
      <c r="AG84" s="10"/>
      <c r="AH84" s="14"/>
      <c r="AI84" s="20">
        <f t="shared" si="47"/>
        <v>12</v>
      </c>
      <c r="AJ84" s="18">
        <f t="shared" si="48"/>
        <v>-9</v>
      </c>
      <c r="AK84" s="14"/>
      <c r="AL84" s="14">
        <v>3</v>
      </c>
    </row>
    <row r="85" spans="1:38" x14ac:dyDescent="0.35">
      <c r="A85" s="14">
        <v>2024</v>
      </c>
      <c r="B85" s="10" t="s">
        <v>95</v>
      </c>
      <c r="C85" s="11">
        <v>45555</v>
      </c>
      <c r="D85" s="10" t="s">
        <v>100</v>
      </c>
      <c r="E85" s="12" t="s">
        <v>56</v>
      </c>
      <c r="F85" s="10" t="s">
        <v>101</v>
      </c>
      <c r="G85" s="10" t="s">
        <v>102</v>
      </c>
      <c r="H85" s="10" t="s">
        <v>127</v>
      </c>
      <c r="I85" s="71" t="s">
        <v>135</v>
      </c>
      <c r="J85" s="56"/>
      <c r="K85" s="14"/>
      <c r="L85" s="83"/>
      <c r="M85" s="72">
        <v>182904</v>
      </c>
      <c r="N85" s="57">
        <v>1060</v>
      </c>
      <c r="O85" s="15">
        <v>1079</v>
      </c>
      <c r="P85" s="15">
        <v>1079</v>
      </c>
      <c r="Q85" s="46">
        <v>1060</v>
      </c>
      <c r="R85" s="20">
        <f t="shared" si="40"/>
        <v>-19</v>
      </c>
      <c r="S85" s="20">
        <f t="shared" si="41"/>
        <v>0</v>
      </c>
      <c r="T85" s="21">
        <f t="shared" si="42"/>
        <v>0</v>
      </c>
      <c r="U85" s="21">
        <f t="shared" si="43"/>
        <v>-1.7608897126969447E-2</v>
      </c>
      <c r="V85" s="14"/>
      <c r="W85" s="14"/>
      <c r="X85" s="14"/>
      <c r="Y85" s="14"/>
      <c r="Z85" s="14"/>
      <c r="AA85" s="18">
        <f t="shared" ref="AA85" si="49">+O85-P85</f>
        <v>0</v>
      </c>
      <c r="AB85" s="14"/>
      <c r="AC85" s="14"/>
      <c r="AD85" s="14"/>
      <c r="AE85" s="14"/>
      <c r="AF85" s="14"/>
      <c r="AG85" s="14"/>
      <c r="AH85" s="14"/>
      <c r="AI85" s="20">
        <f t="shared" si="47"/>
        <v>0</v>
      </c>
      <c r="AJ85" s="18">
        <f t="shared" si="48"/>
        <v>-19</v>
      </c>
      <c r="AK85" s="14"/>
      <c r="AL85" s="14">
        <v>3</v>
      </c>
    </row>
    <row r="86" spans="1:38" x14ac:dyDescent="0.35">
      <c r="A86" s="14">
        <v>2024</v>
      </c>
      <c r="B86" s="10" t="s">
        <v>95</v>
      </c>
      <c r="C86" s="11">
        <v>45555</v>
      </c>
      <c r="D86" s="10" t="s">
        <v>100</v>
      </c>
      <c r="E86" s="12" t="s">
        <v>56</v>
      </c>
      <c r="F86" s="10" t="s">
        <v>101</v>
      </c>
      <c r="G86" s="10" t="s">
        <v>102</v>
      </c>
      <c r="H86" s="10" t="s">
        <v>127</v>
      </c>
      <c r="I86" s="71" t="s">
        <v>136</v>
      </c>
      <c r="J86" s="56"/>
      <c r="K86" s="14"/>
      <c r="L86" s="83"/>
      <c r="M86" s="72">
        <v>182907</v>
      </c>
      <c r="N86" s="57">
        <v>1180</v>
      </c>
      <c r="O86" s="15">
        <v>1255</v>
      </c>
      <c r="P86" s="15">
        <v>1255</v>
      </c>
      <c r="Q86" s="46">
        <v>1180</v>
      </c>
      <c r="R86" s="20">
        <f t="shared" si="40"/>
        <v>-75</v>
      </c>
      <c r="S86" s="20">
        <f t="shared" si="41"/>
        <v>0</v>
      </c>
      <c r="T86" s="21">
        <f t="shared" si="42"/>
        <v>0</v>
      </c>
      <c r="U86" s="21">
        <f t="shared" si="43"/>
        <v>-5.9760956175298752E-2</v>
      </c>
      <c r="V86" s="14"/>
      <c r="W86" s="14"/>
      <c r="X86" s="14"/>
      <c r="Y86" s="14"/>
      <c r="Z86" s="14"/>
      <c r="AA86" s="18">
        <f>+O86-P86</f>
        <v>0</v>
      </c>
      <c r="AB86" s="14"/>
      <c r="AC86" s="14"/>
      <c r="AD86" s="14"/>
      <c r="AE86" s="14"/>
      <c r="AF86" s="14"/>
      <c r="AG86" s="14"/>
      <c r="AH86" s="20"/>
      <c r="AI86" s="20">
        <f t="shared" si="47"/>
        <v>0</v>
      </c>
      <c r="AJ86" s="18">
        <f t="shared" si="48"/>
        <v>-75</v>
      </c>
      <c r="AK86" s="14"/>
      <c r="AL86" s="14">
        <v>3</v>
      </c>
    </row>
    <row r="87" spans="1:38" x14ac:dyDescent="0.35">
      <c r="A87" s="14">
        <v>2024</v>
      </c>
      <c r="B87" s="10" t="s">
        <v>95</v>
      </c>
      <c r="C87" s="11">
        <v>45555</v>
      </c>
      <c r="D87" s="10" t="s">
        <v>111</v>
      </c>
      <c r="E87" s="12" t="s">
        <v>56</v>
      </c>
      <c r="F87" s="10" t="s">
        <v>101</v>
      </c>
      <c r="G87" s="10" t="s">
        <v>112</v>
      </c>
      <c r="H87" s="10" t="s">
        <v>127</v>
      </c>
      <c r="I87" s="71" t="s">
        <v>137</v>
      </c>
      <c r="J87" s="56"/>
      <c r="K87" s="14"/>
      <c r="L87" s="83"/>
      <c r="M87" s="72">
        <v>182911</v>
      </c>
      <c r="N87" s="18">
        <v>1290</v>
      </c>
      <c r="O87" s="43">
        <v>1333</v>
      </c>
      <c r="P87" s="43">
        <v>1333</v>
      </c>
      <c r="Q87" s="43">
        <v>1290</v>
      </c>
      <c r="R87" s="18">
        <f t="shared" si="40"/>
        <v>-43</v>
      </c>
      <c r="S87" s="18">
        <f t="shared" si="41"/>
        <v>0</v>
      </c>
      <c r="T87" s="45">
        <f t="shared" si="42"/>
        <v>0</v>
      </c>
      <c r="U87" s="45">
        <f t="shared" si="43"/>
        <v>-3.2258064516129004E-2</v>
      </c>
      <c r="V87" s="10"/>
      <c r="W87" s="10"/>
      <c r="X87" s="10">
        <v>18</v>
      </c>
      <c r="Y87" s="10"/>
      <c r="Z87" s="14">
        <v>21</v>
      </c>
      <c r="AA87" s="18">
        <f t="shared" ref="AA87:AA92" si="50">O87-P87</f>
        <v>0</v>
      </c>
      <c r="AB87" s="14"/>
      <c r="AC87" s="14"/>
      <c r="AD87" s="14"/>
      <c r="AE87" s="10"/>
      <c r="AF87" s="14"/>
      <c r="AG87" s="10"/>
      <c r="AH87" s="14"/>
      <c r="AI87" s="20">
        <f t="shared" si="47"/>
        <v>39</v>
      </c>
      <c r="AJ87" s="18">
        <f t="shared" si="48"/>
        <v>-4</v>
      </c>
      <c r="AK87" s="14"/>
      <c r="AL87" s="14">
        <v>3</v>
      </c>
    </row>
    <row r="88" spans="1:38" x14ac:dyDescent="0.35">
      <c r="A88" s="14">
        <v>2024</v>
      </c>
      <c r="B88" s="10" t="s">
        <v>95</v>
      </c>
      <c r="C88" s="11">
        <v>45555</v>
      </c>
      <c r="D88" s="10" t="s">
        <v>111</v>
      </c>
      <c r="E88" s="12" t="s">
        <v>56</v>
      </c>
      <c r="F88" s="10" t="s">
        <v>101</v>
      </c>
      <c r="G88" s="10" t="s">
        <v>112</v>
      </c>
      <c r="H88" s="10" t="s">
        <v>127</v>
      </c>
      <c r="I88" s="71" t="s">
        <v>138</v>
      </c>
      <c r="J88" s="56"/>
      <c r="K88" s="14"/>
      <c r="L88" s="83"/>
      <c r="M88" s="72">
        <v>182914</v>
      </c>
      <c r="N88" s="18">
        <v>1670</v>
      </c>
      <c r="O88" s="43">
        <v>1698</v>
      </c>
      <c r="P88" s="43">
        <v>1698</v>
      </c>
      <c r="Q88" s="43">
        <v>1670</v>
      </c>
      <c r="R88" s="18">
        <f t="shared" si="40"/>
        <v>-28</v>
      </c>
      <c r="S88" s="18">
        <f t="shared" si="41"/>
        <v>0</v>
      </c>
      <c r="T88" s="45">
        <f t="shared" si="42"/>
        <v>0</v>
      </c>
      <c r="U88" s="45">
        <f t="shared" si="43"/>
        <v>-1.6489988221436991E-2</v>
      </c>
      <c r="V88" s="10"/>
      <c r="W88" s="10"/>
      <c r="X88" s="14">
        <v>8</v>
      </c>
      <c r="Y88" s="10"/>
      <c r="Z88" s="14">
        <v>16</v>
      </c>
      <c r="AA88" s="18">
        <f t="shared" si="50"/>
        <v>0</v>
      </c>
      <c r="AB88" s="14"/>
      <c r="AC88" s="14"/>
      <c r="AD88" s="14"/>
      <c r="AE88" s="10"/>
      <c r="AF88" s="14"/>
      <c r="AG88" s="10"/>
      <c r="AH88" s="14"/>
      <c r="AI88" s="20">
        <f t="shared" si="47"/>
        <v>24</v>
      </c>
      <c r="AJ88" s="18">
        <f t="shared" si="48"/>
        <v>-4</v>
      </c>
      <c r="AK88" s="14"/>
      <c r="AL88" s="14">
        <v>3</v>
      </c>
    </row>
    <row r="89" spans="1:38" x14ac:dyDescent="0.35">
      <c r="A89" s="14">
        <v>2024</v>
      </c>
      <c r="B89" s="10" t="s">
        <v>95</v>
      </c>
      <c r="C89" s="11">
        <v>45555</v>
      </c>
      <c r="D89" s="10" t="s">
        <v>111</v>
      </c>
      <c r="E89" s="12" t="s">
        <v>56</v>
      </c>
      <c r="F89" s="10" t="s">
        <v>101</v>
      </c>
      <c r="G89" s="10" t="s">
        <v>112</v>
      </c>
      <c r="H89" s="10" t="s">
        <v>127</v>
      </c>
      <c r="I89" s="71" t="s">
        <v>139</v>
      </c>
      <c r="J89" s="56"/>
      <c r="K89" s="14"/>
      <c r="L89" s="83"/>
      <c r="M89" s="72">
        <v>182917</v>
      </c>
      <c r="N89" s="18">
        <v>3340</v>
      </c>
      <c r="O89" s="43">
        <v>3382</v>
      </c>
      <c r="P89" s="43">
        <v>3382</v>
      </c>
      <c r="Q89" s="43">
        <v>3340</v>
      </c>
      <c r="R89" s="18">
        <f t="shared" si="40"/>
        <v>-42</v>
      </c>
      <c r="S89" s="18">
        <f t="shared" si="41"/>
        <v>0</v>
      </c>
      <c r="T89" s="45">
        <f t="shared" si="42"/>
        <v>0</v>
      </c>
      <c r="U89" s="45">
        <f t="shared" si="43"/>
        <v>-1.2418687167356612E-2</v>
      </c>
      <c r="V89" s="10"/>
      <c r="W89" s="10"/>
      <c r="X89" s="14">
        <v>21</v>
      </c>
      <c r="Y89" s="10"/>
      <c r="Z89" s="14">
        <v>9</v>
      </c>
      <c r="AA89" s="18">
        <f t="shared" si="50"/>
        <v>0</v>
      </c>
      <c r="AB89" s="14"/>
      <c r="AC89" s="14"/>
      <c r="AD89" s="14"/>
      <c r="AE89" s="10"/>
      <c r="AF89" s="14"/>
      <c r="AG89" s="10"/>
      <c r="AH89" s="14"/>
      <c r="AI89" s="20">
        <f t="shared" si="47"/>
        <v>30</v>
      </c>
      <c r="AJ89" s="18">
        <f t="shared" si="48"/>
        <v>-12</v>
      </c>
      <c r="AK89" s="14"/>
      <c r="AL89" s="14">
        <v>3</v>
      </c>
    </row>
    <row r="90" spans="1:38" x14ac:dyDescent="0.35">
      <c r="A90" s="14">
        <v>2024</v>
      </c>
      <c r="B90" s="10" t="s">
        <v>95</v>
      </c>
      <c r="C90" s="11">
        <v>45555</v>
      </c>
      <c r="D90" s="10" t="s">
        <v>111</v>
      </c>
      <c r="E90" s="12" t="s">
        <v>56</v>
      </c>
      <c r="F90" s="10" t="s">
        <v>101</v>
      </c>
      <c r="G90" s="10" t="s">
        <v>112</v>
      </c>
      <c r="H90" s="10" t="s">
        <v>127</v>
      </c>
      <c r="I90" s="71" t="s">
        <v>140</v>
      </c>
      <c r="J90" s="56"/>
      <c r="K90" s="14"/>
      <c r="L90" s="83"/>
      <c r="M90" s="72">
        <v>182926</v>
      </c>
      <c r="N90" s="18">
        <v>1090</v>
      </c>
      <c r="O90" s="43">
        <v>1122</v>
      </c>
      <c r="P90" s="43">
        <v>1122</v>
      </c>
      <c r="Q90" s="43">
        <v>1090</v>
      </c>
      <c r="R90" s="18">
        <f t="shared" si="40"/>
        <v>-32</v>
      </c>
      <c r="S90" s="18">
        <f t="shared" si="41"/>
        <v>0</v>
      </c>
      <c r="T90" s="45">
        <f t="shared" si="42"/>
        <v>0</v>
      </c>
      <c r="U90" s="45">
        <f t="shared" si="43"/>
        <v>-2.8520499108734443E-2</v>
      </c>
      <c r="V90" s="10"/>
      <c r="W90" s="10"/>
      <c r="X90" s="14">
        <v>21</v>
      </c>
      <c r="Y90" s="10"/>
      <c r="Z90" s="14">
        <v>8</v>
      </c>
      <c r="AA90" s="18">
        <f t="shared" si="50"/>
        <v>0</v>
      </c>
      <c r="AB90" s="14"/>
      <c r="AC90" s="14"/>
      <c r="AD90" s="14"/>
      <c r="AE90" s="10"/>
      <c r="AF90" s="14"/>
      <c r="AG90" s="10"/>
      <c r="AH90" s="14"/>
      <c r="AI90" s="20">
        <f t="shared" si="47"/>
        <v>29</v>
      </c>
      <c r="AJ90" s="18">
        <f t="shared" si="48"/>
        <v>-3</v>
      </c>
      <c r="AK90" s="14"/>
      <c r="AL90" s="14">
        <v>3</v>
      </c>
    </row>
    <row r="91" spans="1:38" x14ac:dyDescent="0.35">
      <c r="A91" s="10">
        <v>2024</v>
      </c>
      <c r="B91" s="10" t="s">
        <v>95</v>
      </c>
      <c r="C91" s="11">
        <v>45555</v>
      </c>
      <c r="D91" s="10" t="s">
        <v>111</v>
      </c>
      <c r="E91" s="12" t="s">
        <v>56</v>
      </c>
      <c r="F91" s="10" t="s">
        <v>101</v>
      </c>
      <c r="G91" s="10" t="s">
        <v>112</v>
      </c>
      <c r="H91" s="10" t="s">
        <v>127</v>
      </c>
      <c r="I91" s="71" t="s">
        <v>141</v>
      </c>
      <c r="J91" s="41"/>
      <c r="K91" s="14"/>
      <c r="L91" s="15"/>
      <c r="M91" s="72">
        <v>182929</v>
      </c>
      <c r="N91" s="18">
        <v>1740</v>
      </c>
      <c r="O91" s="43">
        <v>1802</v>
      </c>
      <c r="P91" s="43">
        <v>1802</v>
      </c>
      <c r="Q91" s="43">
        <v>1740</v>
      </c>
      <c r="R91" s="18">
        <f t="shared" si="40"/>
        <v>-62</v>
      </c>
      <c r="S91" s="18">
        <f t="shared" si="41"/>
        <v>0</v>
      </c>
      <c r="T91" s="45">
        <f t="shared" si="42"/>
        <v>0</v>
      </c>
      <c r="U91" s="45">
        <f t="shared" si="43"/>
        <v>-3.4406215316315159E-2</v>
      </c>
      <c r="V91" s="10"/>
      <c r="W91" s="10"/>
      <c r="X91" s="14">
        <v>58</v>
      </c>
      <c r="Y91" s="10"/>
      <c r="Z91" s="14">
        <v>4</v>
      </c>
      <c r="AA91" s="18">
        <f t="shared" si="50"/>
        <v>0</v>
      </c>
      <c r="AB91" s="14"/>
      <c r="AC91" s="14"/>
      <c r="AD91" s="14"/>
      <c r="AE91" s="10"/>
      <c r="AF91" s="14"/>
      <c r="AG91" s="10"/>
      <c r="AH91" s="14"/>
      <c r="AI91" s="20">
        <f t="shared" si="47"/>
        <v>62</v>
      </c>
      <c r="AJ91" s="18">
        <f t="shared" si="48"/>
        <v>0</v>
      </c>
      <c r="AK91" s="79"/>
      <c r="AL91" s="14">
        <v>3</v>
      </c>
    </row>
    <row r="92" spans="1:38" x14ac:dyDescent="0.35">
      <c r="A92" s="10">
        <v>2024</v>
      </c>
      <c r="B92" s="10" t="s">
        <v>95</v>
      </c>
      <c r="C92" s="11">
        <v>45555</v>
      </c>
      <c r="D92" s="10" t="s">
        <v>111</v>
      </c>
      <c r="E92" s="12" t="s">
        <v>56</v>
      </c>
      <c r="F92" s="10" t="s">
        <v>101</v>
      </c>
      <c r="G92" s="10" t="s">
        <v>112</v>
      </c>
      <c r="H92" s="10" t="s">
        <v>127</v>
      </c>
      <c r="I92" s="71" t="s">
        <v>142</v>
      </c>
      <c r="J92" s="41"/>
      <c r="K92" s="14"/>
      <c r="L92" s="15"/>
      <c r="M92" s="72">
        <v>182930</v>
      </c>
      <c r="N92" s="18">
        <v>970</v>
      </c>
      <c r="O92" s="43">
        <v>1016</v>
      </c>
      <c r="P92" s="43">
        <v>1016</v>
      </c>
      <c r="Q92" s="43">
        <v>970</v>
      </c>
      <c r="R92" s="18">
        <f t="shared" si="40"/>
        <v>-46</v>
      </c>
      <c r="S92" s="18">
        <f t="shared" si="41"/>
        <v>0</v>
      </c>
      <c r="T92" s="45">
        <f t="shared" si="42"/>
        <v>0</v>
      </c>
      <c r="U92" s="45">
        <f t="shared" si="43"/>
        <v>-4.5275590551181133E-2</v>
      </c>
      <c r="V92" s="10"/>
      <c r="W92" s="10"/>
      <c r="X92" s="14">
        <v>42</v>
      </c>
      <c r="Y92" s="10"/>
      <c r="Z92" s="14"/>
      <c r="AA92" s="18">
        <f t="shared" si="50"/>
        <v>0</v>
      </c>
      <c r="AB92" s="14"/>
      <c r="AC92" s="14"/>
      <c r="AD92" s="14"/>
      <c r="AE92" s="10"/>
      <c r="AF92" s="14"/>
      <c r="AG92" s="10"/>
      <c r="AH92" s="14"/>
      <c r="AI92" s="20">
        <f t="shared" si="47"/>
        <v>42</v>
      </c>
      <c r="AJ92" s="18">
        <f t="shared" si="48"/>
        <v>-4</v>
      </c>
      <c r="AK92" s="79"/>
      <c r="AL92" s="14">
        <v>3</v>
      </c>
    </row>
    <row r="93" spans="1:38" x14ac:dyDescent="0.35">
      <c r="A93" s="10">
        <v>2024</v>
      </c>
      <c r="B93" s="10" t="s">
        <v>95</v>
      </c>
      <c r="C93" s="11">
        <v>45555</v>
      </c>
      <c r="D93" s="10" t="s">
        <v>100</v>
      </c>
      <c r="E93" s="12" t="s">
        <v>56</v>
      </c>
      <c r="F93" s="10" t="s">
        <v>101</v>
      </c>
      <c r="G93" s="10" t="s">
        <v>102</v>
      </c>
      <c r="H93" s="10" t="s">
        <v>127</v>
      </c>
      <c r="I93" s="71" t="s">
        <v>143</v>
      </c>
      <c r="J93" s="41"/>
      <c r="K93" s="14"/>
      <c r="L93" s="15"/>
      <c r="M93" s="72">
        <v>183645</v>
      </c>
      <c r="N93" s="57">
        <v>500</v>
      </c>
      <c r="O93" s="10">
        <v>510</v>
      </c>
      <c r="P93" s="10">
        <v>510</v>
      </c>
      <c r="Q93" s="19">
        <v>500</v>
      </c>
      <c r="R93" s="20">
        <f t="shared" si="40"/>
        <v>-10</v>
      </c>
      <c r="S93" s="20">
        <f t="shared" si="41"/>
        <v>0</v>
      </c>
      <c r="T93" s="21">
        <f t="shared" si="42"/>
        <v>0</v>
      </c>
      <c r="U93" s="21">
        <f t="shared" si="43"/>
        <v>-1.9607843137254943E-2</v>
      </c>
      <c r="V93" s="10"/>
      <c r="W93" s="10"/>
      <c r="X93" s="10"/>
      <c r="Y93" s="10"/>
      <c r="Z93" s="10"/>
      <c r="AA93" s="18">
        <f t="shared" ref="AA93" si="51">+O93-P93</f>
        <v>0</v>
      </c>
      <c r="AB93" s="10"/>
      <c r="AC93" s="10"/>
      <c r="AD93" s="10"/>
      <c r="AE93" s="10"/>
      <c r="AF93" s="10"/>
      <c r="AG93" s="10"/>
      <c r="AH93" s="10"/>
      <c r="AI93" s="20">
        <f t="shared" si="47"/>
        <v>0</v>
      </c>
      <c r="AJ93" s="18">
        <f t="shared" si="48"/>
        <v>-10</v>
      </c>
      <c r="AK93" s="79"/>
      <c r="AL93" s="14">
        <v>3</v>
      </c>
    </row>
    <row r="94" spans="1:38" x14ac:dyDescent="0.35">
      <c r="A94" s="53">
        <v>2024</v>
      </c>
      <c r="B94" s="10" t="s">
        <v>95</v>
      </c>
      <c r="C94" s="11">
        <v>45555</v>
      </c>
      <c r="D94" s="12" t="s">
        <v>118</v>
      </c>
      <c r="E94" s="12" t="s">
        <v>50</v>
      </c>
      <c r="F94" s="10" t="s">
        <v>65</v>
      </c>
      <c r="G94" s="10" t="s">
        <v>66</v>
      </c>
      <c r="H94" s="14" t="s">
        <v>67</v>
      </c>
      <c r="I94" s="10" t="s">
        <v>144</v>
      </c>
      <c r="J94" s="41">
        <v>5158610</v>
      </c>
      <c r="K94" s="52"/>
      <c r="L94" s="52"/>
      <c r="M94" s="10">
        <v>183186</v>
      </c>
      <c r="N94" s="42">
        <v>6588</v>
      </c>
      <c r="O94" s="54">
        <v>6749</v>
      </c>
      <c r="P94" s="54">
        <v>6712</v>
      </c>
      <c r="Q94" s="54">
        <v>6588</v>
      </c>
      <c r="R94" s="20">
        <f t="shared" si="40"/>
        <v>-161</v>
      </c>
      <c r="S94" s="20">
        <f t="shared" si="41"/>
        <v>0</v>
      </c>
      <c r="T94" s="21">
        <f t="shared" si="42"/>
        <v>0</v>
      </c>
      <c r="U94" s="21">
        <f t="shared" si="43"/>
        <v>-2.3855385983108657E-2</v>
      </c>
      <c r="V94" s="14" t="s">
        <v>120</v>
      </c>
      <c r="W94" s="52">
        <v>119</v>
      </c>
      <c r="X94" s="52">
        <v>74</v>
      </c>
      <c r="Y94" s="52"/>
      <c r="Z94" s="52">
        <v>10</v>
      </c>
      <c r="AA94" s="18">
        <f>+O94-P94</f>
        <v>37</v>
      </c>
      <c r="AB94" s="52">
        <v>156</v>
      </c>
      <c r="AC94" s="52"/>
      <c r="AD94" s="52">
        <v>3</v>
      </c>
      <c r="AE94" s="52"/>
      <c r="AF94" s="52"/>
      <c r="AG94" s="52"/>
      <c r="AH94" s="54"/>
      <c r="AI94" s="20">
        <f t="shared" si="47"/>
        <v>280</v>
      </c>
      <c r="AJ94" s="20">
        <f>R94+AI94</f>
        <v>119</v>
      </c>
      <c r="AK94" s="55" t="s">
        <v>145</v>
      </c>
      <c r="AL94" s="14">
        <v>3</v>
      </c>
    </row>
    <row r="95" spans="1:38" x14ac:dyDescent="0.35">
      <c r="A95" s="60">
        <v>2024</v>
      </c>
      <c r="B95" s="24" t="s">
        <v>95</v>
      </c>
      <c r="C95" s="23">
        <v>45555</v>
      </c>
      <c r="D95" s="25" t="s">
        <v>118</v>
      </c>
      <c r="E95" s="25" t="s">
        <v>50</v>
      </c>
      <c r="F95" s="24" t="s">
        <v>65</v>
      </c>
      <c r="G95" s="24" t="s">
        <v>66</v>
      </c>
      <c r="H95" s="22" t="s">
        <v>67</v>
      </c>
      <c r="I95" s="24" t="s">
        <v>146</v>
      </c>
      <c r="J95" s="30">
        <v>5157983</v>
      </c>
      <c r="K95" s="50"/>
      <c r="L95" s="50"/>
      <c r="M95" s="24">
        <v>183463</v>
      </c>
      <c r="N95" s="61">
        <v>5076</v>
      </c>
      <c r="O95" s="64">
        <v>5292</v>
      </c>
      <c r="P95" s="64">
        <v>5292</v>
      </c>
      <c r="Q95" s="64">
        <v>5280</v>
      </c>
      <c r="R95" s="27">
        <f t="shared" si="40"/>
        <v>-12</v>
      </c>
      <c r="S95" s="27">
        <f t="shared" si="41"/>
        <v>204</v>
      </c>
      <c r="T95" s="28">
        <f t="shared" si="42"/>
        <v>4.0189125295508221E-2</v>
      </c>
      <c r="U95" s="28">
        <f t="shared" si="43"/>
        <v>-2.2675736961451642E-3</v>
      </c>
      <c r="V95" s="22" t="s">
        <v>122</v>
      </c>
      <c r="W95" s="50">
        <v>44</v>
      </c>
      <c r="X95" s="50">
        <v>42</v>
      </c>
      <c r="Y95" s="50"/>
      <c r="Z95" s="50">
        <v>2</v>
      </c>
      <c r="AA95" s="26">
        <f t="shared" ref="AA95:AA103" si="52">+O95-P95</f>
        <v>0</v>
      </c>
      <c r="AB95" s="50">
        <v>9</v>
      </c>
      <c r="AC95" s="50"/>
      <c r="AD95" s="50">
        <v>3</v>
      </c>
      <c r="AE95" s="50"/>
      <c r="AF95" s="50"/>
      <c r="AG95" s="50"/>
      <c r="AH95" s="50"/>
      <c r="AI95" s="27">
        <f t="shared" si="47"/>
        <v>56</v>
      </c>
      <c r="AJ95" s="27">
        <f t="shared" ref="AJ95:AJ103" si="53">R95+AI95</f>
        <v>44</v>
      </c>
      <c r="AK95" s="24" t="s">
        <v>147</v>
      </c>
      <c r="AL95" s="22">
        <v>3</v>
      </c>
    </row>
    <row r="96" spans="1:38" x14ac:dyDescent="0.35">
      <c r="A96" s="24">
        <v>2024</v>
      </c>
      <c r="B96" s="24" t="s">
        <v>95</v>
      </c>
      <c r="C96" s="23">
        <v>45555</v>
      </c>
      <c r="D96" s="25" t="s">
        <v>118</v>
      </c>
      <c r="E96" s="25" t="s">
        <v>50</v>
      </c>
      <c r="F96" s="24" t="s">
        <v>65</v>
      </c>
      <c r="G96" s="24" t="s">
        <v>66</v>
      </c>
      <c r="H96" s="22" t="s">
        <v>67</v>
      </c>
      <c r="I96" s="24" t="s">
        <v>148</v>
      </c>
      <c r="J96" s="22">
        <v>5157992</v>
      </c>
      <c r="K96" s="22"/>
      <c r="L96" s="36"/>
      <c r="M96" s="24">
        <v>183464</v>
      </c>
      <c r="N96" s="31">
        <v>4860</v>
      </c>
      <c r="O96" s="32">
        <v>5058</v>
      </c>
      <c r="P96" s="26">
        <v>4994</v>
      </c>
      <c r="Q96" s="33">
        <v>5046</v>
      </c>
      <c r="R96" s="27">
        <f t="shared" si="40"/>
        <v>-12</v>
      </c>
      <c r="S96" s="27">
        <f t="shared" si="41"/>
        <v>186</v>
      </c>
      <c r="T96" s="28">
        <f t="shared" si="42"/>
        <v>3.8271604938271642E-2</v>
      </c>
      <c r="U96" s="28">
        <f t="shared" si="43"/>
        <v>-2.3724792408066353E-3</v>
      </c>
      <c r="V96" s="22" t="s">
        <v>149</v>
      </c>
      <c r="W96" s="24">
        <v>59</v>
      </c>
      <c r="X96" s="24">
        <v>3</v>
      </c>
      <c r="Y96" s="24"/>
      <c r="Z96" s="24">
        <v>1</v>
      </c>
      <c r="AA96" s="26">
        <f t="shared" si="52"/>
        <v>64</v>
      </c>
      <c r="AB96" s="24"/>
      <c r="AC96" s="24"/>
      <c r="AD96" s="24">
        <v>3</v>
      </c>
      <c r="AE96" s="24"/>
      <c r="AF96" s="24"/>
      <c r="AG96" s="24"/>
      <c r="AH96" s="24"/>
      <c r="AI96" s="27">
        <f t="shared" si="47"/>
        <v>71</v>
      </c>
      <c r="AJ96" s="27">
        <f t="shared" si="53"/>
        <v>59</v>
      </c>
      <c r="AK96" s="24"/>
      <c r="AL96" s="22">
        <v>3</v>
      </c>
    </row>
    <row r="97" spans="1:38" x14ac:dyDescent="0.35">
      <c r="A97" s="24">
        <v>2024</v>
      </c>
      <c r="B97" s="24" t="s">
        <v>95</v>
      </c>
      <c r="C97" s="23">
        <v>45555</v>
      </c>
      <c r="D97" s="25" t="s">
        <v>118</v>
      </c>
      <c r="E97" s="25" t="s">
        <v>50</v>
      </c>
      <c r="F97" s="24" t="s">
        <v>65</v>
      </c>
      <c r="G97" s="24" t="s">
        <v>66</v>
      </c>
      <c r="H97" s="22" t="s">
        <v>67</v>
      </c>
      <c r="I97" s="24" t="s">
        <v>150</v>
      </c>
      <c r="J97" s="22">
        <v>5157985</v>
      </c>
      <c r="K97" s="22"/>
      <c r="L97" s="36"/>
      <c r="M97" s="24">
        <v>183465</v>
      </c>
      <c r="N97" s="31">
        <v>6156</v>
      </c>
      <c r="O97" s="32">
        <v>6411</v>
      </c>
      <c r="P97" s="26">
        <v>6411</v>
      </c>
      <c r="Q97" s="33">
        <v>6396</v>
      </c>
      <c r="R97" s="27">
        <f t="shared" si="40"/>
        <v>-15</v>
      </c>
      <c r="S97" s="27">
        <f t="shared" si="41"/>
        <v>240</v>
      </c>
      <c r="T97" s="28">
        <f t="shared" si="42"/>
        <v>3.8986354775828458E-2</v>
      </c>
      <c r="U97" s="28">
        <f t="shared" si="43"/>
        <v>-2.3397285914833477E-3</v>
      </c>
      <c r="V97" s="22" t="s">
        <v>151</v>
      </c>
      <c r="W97" s="24">
        <v>38</v>
      </c>
      <c r="X97" s="24">
        <v>40</v>
      </c>
      <c r="Y97" s="24"/>
      <c r="Z97" s="24">
        <v>5</v>
      </c>
      <c r="AA97" s="26">
        <f t="shared" si="52"/>
        <v>0</v>
      </c>
      <c r="AB97" s="24">
        <v>6</v>
      </c>
      <c r="AC97" s="24"/>
      <c r="AD97" s="24">
        <v>2</v>
      </c>
      <c r="AE97" s="24"/>
      <c r="AF97" s="24"/>
      <c r="AG97" s="24"/>
      <c r="AH97" s="24"/>
      <c r="AI97" s="27">
        <f t="shared" si="47"/>
        <v>53</v>
      </c>
      <c r="AJ97" s="27">
        <f t="shared" si="53"/>
        <v>38</v>
      </c>
      <c r="AK97" s="24" t="s">
        <v>152</v>
      </c>
      <c r="AL97" s="22">
        <v>3</v>
      </c>
    </row>
    <row r="98" spans="1:38" x14ac:dyDescent="0.35">
      <c r="A98" s="24">
        <v>2024</v>
      </c>
      <c r="B98" s="24" t="s">
        <v>95</v>
      </c>
      <c r="C98" s="23">
        <v>45555</v>
      </c>
      <c r="D98" s="25" t="s">
        <v>118</v>
      </c>
      <c r="E98" s="25" t="s">
        <v>50</v>
      </c>
      <c r="F98" s="24" t="s">
        <v>65</v>
      </c>
      <c r="G98" s="24" t="s">
        <v>66</v>
      </c>
      <c r="H98" s="22" t="s">
        <v>67</v>
      </c>
      <c r="I98" s="24" t="s">
        <v>150</v>
      </c>
      <c r="J98" s="22">
        <v>5157985</v>
      </c>
      <c r="K98" s="22"/>
      <c r="L98" s="36"/>
      <c r="M98" s="24">
        <v>183466</v>
      </c>
      <c r="N98" s="31">
        <v>1404</v>
      </c>
      <c r="O98" s="32">
        <v>1464</v>
      </c>
      <c r="P98" s="26">
        <v>1464</v>
      </c>
      <c r="Q98" s="33">
        <v>1461</v>
      </c>
      <c r="R98" s="27">
        <f t="shared" si="40"/>
        <v>-3</v>
      </c>
      <c r="S98" s="27">
        <f t="shared" si="41"/>
        <v>57</v>
      </c>
      <c r="T98" s="28">
        <f t="shared" si="42"/>
        <v>4.0598290598290676E-2</v>
      </c>
      <c r="U98" s="28">
        <f t="shared" si="43"/>
        <v>-2.049180327868827E-3</v>
      </c>
      <c r="V98" s="22" t="s">
        <v>151</v>
      </c>
      <c r="W98" s="24">
        <v>13</v>
      </c>
      <c r="X98" s="24">
        <v>1</v>
      </c>
      <c r="Y98" s="24"/>
      <c r="Z98" s="24">
        <v>1</v>
      </c>
      <c r="AA98" s="26">
        <f t="shared" si="52"/>
        <v>0</v>
      </c>
      <c r="AB98" s="24">
        <v>14</v>
      </c>
      <c r="AC98" s="24"/>
      <c r="AD98" s="24"/>
      <c r="AE98" s="24"/>
      <c r="AF98" s="24"/>
      <c r="AG98" s="24"/>
      <c r="AH98" s="24"/>
      <c r="AI98" s="27">
        <f t="shared" si="47"/>
        <v>16</v>
      </c>
      <c r="AJ98" s="27">
        <f t="shared" si="53"/>
        <v>13</v>
      </c>
      <c r="AK98" s="24"/>
      <c r="AL98" s="22">
        <v>3</v>
      </c>
    </row>
    <row r="99" spans="1:38" x14ac:dyDescent="0.35">
      <c r="A99" s="24">
        <v>2024</v>
      </c>
      <c r="B99" s="24" t="s">
        <v>95</v>
      </c>
      <c r="C99" s="23">
        <v>45555</v>
      </c>
      <c r="D99" s="25" t="s">
        <v>118</v>
      </c>
      <c r="E99" s="25" t="s">
        <v>50</v>
      </c>
      <c r="F99" s="24" t="s">
        <v>65</v>
      </c>
      <c r="G99" s="24" t="s">
        <v>66</v>
      </c>
      <c r="H99" s="22" t="s">
        <v>67</v>
      </c>
      <c r="I99" s="24" t="s">
        <v>153</v>
      </c>
      <c r="J99" s="22">
        <v>5157994</v>
      </c>
      <c r="K99" s="22"/>
      <c r="L99" s="36"/>
      <c r="M99" s="24">
        <v>183467</v>
      </c>
      <c r="N99" s="31">
        <v>4860</v>
      </c>
      <c r="O99" s="32">
        <v>4869</v>
      </c>
      <c r="P99" s="26">
        <v>4850</v>
      </c>
      <c r="Q99" s="33">
        <v>4860</v>
      </c>
      <c r="R99" s="27">
        <f t="shared" si="40"/>
        <v>-9</v>
      </c>
      <c r="S99" s="27">
        <f t="shared" si="41"/>
        <v>0</v>
      </c>
      <c r="T99" s="28">
        <f t="shared" si="42"/>
        <v>0</v>
      </c>
      <c r="U99" s="28">
        <f t="shared" si="43"/>
        <v>-1.848428835489857E-3</v>
      </c>
      <c r="V99" s="22" t="s">
        <v>149</v>
      </c>
      <c r="W99" s="24">
        <v>56</v>
      </c>
      <c r="X99" s="24">
        <v>37</v>
      </c>
      <c r="Y99" s="24"/>
      <c r="Z99" s="24">
        <v>4</v>
      </c>
      <c r="AA99" s="26">
        <f t="shared" si="52"/>
        <v>19</v>
      </c>
      <c r="AB99" s="24">
        <v>2</v>
      </c>
      <c r="AC99" s="24"/>
      <c r="AD99" s="24">
        <v>3</v>
      </c>
      <c r="AE99" s="24"/>
      <c r="AF99" s="24"/>
      <c r="AG99" s="24"/>
      <c r="AH99" s="24"/>
      <c r="AI99" s="27">
        <f t="shared" si="47"/>
        <v>65</v>
      </c>
      <c r="AJ99" s="27">
        <f t="shared" si="53"/>
        <v>56</v>
      </c>
      <c r="AK99" s="63" t="s">
        <v>145</v>
      </c>
      <c r="AL99" s="22">
        <v>3</v>
      </c>
    </row>
    <row r="100" spans="1:38" x14ac:dyDescent="0.35">
      <c r="A100" s="24">
        <v>2024</v>
      </c>
      <c r="B100" s="24" t="s">
        <v>95</v>
      </c>
      <c r="C100" s="23">
        <v>45555</v>
      </c>
      <c r="D100" s="25" t="s">
        <v>118</v>
      </c>
      <c r="E100" s="25" t="s">
        <v>50</v>
      </c>
      <c r="F100" s="24" t="s">
        <v>65</v>
      </c>
      <c r="G100" s="24" t="s">
        <v>66</v>
      </c>
      <c r="H100" s="22" t="s">
        <v>67</v>
      </c>
      <c r="I100" s="24" t="s">
        <v>153</v>
      </c>
      <c r="J100" s="22">
        <v>5157994</v>
      </c>
      <c r="K100" s="22"/>
      <c r="L100" s="36"/>
      <c r="M100" s="24">
        <v>183468</v>
      </c>
      <c r="N100" s="31">
        <v>1188</v>
      </c>
      <c r="O100" s="32">
        <v>1188</v>
      </c>
      <c r="P100" s="26">
        <v>1188</v>
      </c>
      <c r="Q100" s="33">
        <v>1188</v>
      </c>
      <c r="R100" s="27">
        <f t="shared" si="40"/>
        <v>0</v>
      </c>
      <c r="S100" s="27">
        <f t="shared" si="41"/>
        <v>0</v>
      </c>
      <c r="T100" s="28">
        <f t="shared" si="42"/>
        <v>0</v>
      </c>
      <c r="U100" s="28">
        <f t="shared" si="43"/>
        <v>0</v>
      </c>
      <c r="V100" s="22" t="s">
        <v>154</v>
      </c>
      <c r="W100" s="24">
        <v>3</v>
      </c>
      <c r="X100" s="24">
        <v>3</v>
      </c>
      <c r="Y100" s="24"/>
      <c r="Z100" s="24">
        <v>0</v>
      </c>
      <c r="AA100" s="26">
        <f t="shared" si="52"/>
        <v>0</v>
      </c>
      <c r="AB100" s="24"/>
      <c r="AC100" s="24"/>
      <c r="AD100" s="24"/>
      <c r="AE100" s="24"/>
      <c r="AF100" s="24"/>
      <c r="AG100" s="24"/>
      <c r="AH100" s="24"/>
      <c r="AI100" s="27">
        <f t="shared" si="47"/>
        <v>3</v>
      </c>
      <c r="AJ100" s="27">
        <f t="shared" si="53"/>
        <v>3</v>
      </c>
      <c r="AK100" s="22"/>
      <c r="AL100" s="22">
        <v>3</v>
      </c>
    </row>
    <row r="101" spans="1:38" ht="29" x14ac:dyDescent="0.35">
      <c r="A101" s="10">
        <v>2024</v>
      </c>
      <c r="B101" s="10" t="s">
        <v>95</v>
      </c>
      <c r="C101" s="11">
        <v>45555</v>
      </c>
      <c r="D101" s="12" t="s">
        <v>118</v>
      </c>
      <c r="E101" s="12" t="s">
        <v>50</v>
      </c>
      <c r="F101" s="10" t="s">
        <v>65</v>
      </c>
      <c r="G101" s="10" t="s">
        <v>66</v>
      </c>
      <c r="H101" s="14" t="s">
        <v>67</v>
      </c>
      <c r="I101" s="10" t="s">
        <v>155</v>
      </c>
      <c r="J101" s="14">
        <v>5157986</v>
      </c>
      <c r="K101" s="14"/>
      <c r="L101" s="15"/>
      <c r="M101" s="10">
        <v>183473</v>
      </c>
      <c r="N101" s="16">
        <v>12852</v>
      </c>
      <c r="O101" s="17">
        <v>12072</v>
      </c>
      <c r="P101" s="18">
        <v>12069</v>
      </c>
      <c r="Q101" s="19">
        <v>11643</v>
      </c>
      <c r="R101" s="20">
        <f t="shared" si="40"/>
        <v>-429</v>
      </c>
      <c r="S101" s="20">
        <f t="shared" si="41"/>
        <v>-1209</v>
      </c>
      <c r="T101" s="21">
        <f t="shared" si="42"/>
        <v>-9.407096171802054E-2</v>
      </c>
      <c r="U101" s="21">
        <f t="shared" si="43"/>
        <v>-3.5536779324055634E-2</v>
      </c>
      <c r="V101" s="87" t="s">
        <v>156</v>
      </c>
      <c r="W101" s="10">
        <v>5</v>
      </c>
      <c r="X101" s="10">
        <v>323</v>
      </c>
      <c r="Y101" s="10"/>
      <c r="Z101" s="10">
        <v>25</v>
      </c>
      <c r="AA101" s="18">
        <f t="shared" si="52"/>
        <v>3</v>
      </c>
      <c r="AB101" s="10">
        <v>80</v>
      </c>
      <c r="AC101" s="10"/>
      <c r="AD101" s="10">
        <v>3</v>
      </c>
      <c r="AE101" s="10"/>
      <c r="AF101" s="10"/>
      <c r="AG101" s="10"/>
      <c r="AH101" s="10"/>
      <c r="AI101" s="20">
        <f t="shared" si="47"/>
        <v>434</v>
      </c>
      <c r="AJ101" s="20">
        <f t="shared" si="53"/>
        <v>5</v>
      </c>
      <c r="AK101" s="87"/>
      <c r="AL101" s="14">
        <v>3</v>
      </c>
    </row>
    <row r="102" spans="1:38" x14ac:dyDescent="0.35">
      <c r="A102" s="24">
        <v>2024</v>
      </c>
      <c r="B102" s="24" t="s">
        <v>95</v>
      </c>
      <c r="C102" s="23">
        <v>45555</v>
      </c>
      <c r="D102" s="25" t="s">
        <v>118</v>
      </c>
      <c r="E102" s="25" t="s">
        <v>50</v>
      </c>
      <c r="F102" s="24" t="s">
        <v>65</v>
      </c>
      <c r="G102" s="24" t="s">
        <v>66</v>
      </c>
      <c r="H102" s="22" t="s">
        <v>67</v>
      </c>
      <c r="I102" s="24" t="s">
        <v>157</v>
      </c>
      <c r="J102" s="22">
        <v>5158003</v>
      </c>
      <c r="K102" s="22"/>
      <c r="L102" s="36"/>
      <c r="M102" s="24">
        <v>183474</v>
      </c>
      <c r="N102" s="31">
        <v>7884</v>
      </c>
      <c r="O102" s="32">
        <v>7887</v>
      </c>
      <c r="P102" s="26">
        <v>7885</v>
      </c>
      <c r="Q102" s="33">
        <v>7884</v>
      </c>
      <c r="R102" s="27">
        <f t="shared" si="40"/>
        <v>-3</v>
      </c>
      <c r="S102" s="27">
        <f t="shared" si="41"/>
        <v>0</v>
      </c>
      <c r="T102" s="28">
        <f t="shared" si="42"/>
        <v>0</v>
      </c>
      <c r="U102" s="28">
        <f t="shared" si="43"/>
        <v>-3.8037276530999975E-4</v>
      </c>
      <c r="V102" s="22" t="s">
        <v>122</v>
      </c>
      <c r="W102" s="24">
        <v>0</v>
      </c>
      <c r="X102" s="24">
        <v>0</v>
      </c>
      <c r="Y102" s="24"/>
      <c r="Z102" s="24">
        <v>0</v>
      </c>
      <c r="AA102" s="26">
        <f t="shared" si="52"/>
        <v>2</v>
      </c>
      <c r="AB102" s="24">
        <v>0</v>
      </c>
      <c r="AC102" s="24"/>
      <c r="AD102" s="24">
        <v>1</v>
      </c>
      <c r="AE102" s="24"/>
      <c r="AF102" s="24"/>
      <c r="AG102" s="24"/>
      <c r="AH102" s="24"/>
      <c r="AI102" s="27">
        <f t="shared" si="47"/>
        <v>3</v>
      </c>
      <c r="AJ102" s="27">
        <f t="shared" si="53"/>
        <v>0</v>
      </c>
      <c r="AK102" s="22"/>
      <c r="AL102" s="22">
        <v>3</v>
      </c>
    </row>
    <row r="103" spans="1:38" x14ac:dyDescent="0.35">
      <c r="A103" s="24">
        <v>2024</v>
      </c>
      <c r="B103" s="24" t="s">
        <v>95</v>
      </c>
      <c r="C103" s="23">
        <v>45555</v>
      </c>
      <c r="D103" s="25" t="s">
        <v>118</v>
      </c>
      <c r="E103" s="25" t="s">
        <v>50</v>
      </c>
      <c r="F103" s="24" t="s">
        <v>65</v>
      </c>
      <c r="G103" s="24" t="s">
        <v>66</v>
      </c>
      <c r="H103" s="22" t="s">
        <v>67</v>
      </c>
      <c r="I103" s="24" t="s">
        <v>158</v>
      </c>
      <c r="J103" s="22">
        <v>5158617</v>
      </c>
      <c r="K103" s="22"/>
      <c r="L103" s="36"/>
      <c r="M103" s="24">
        <v>183481</v>
      </c>
      <c r="N103" s="31">
        <v>6048</v>
      </c>
      <c r="O103" s="32">
        <v>6048</v>
      </c>
      <c r="P103" s="26">
        <v>6048</v>
      </c>
      <c r="Q103" s="33">
        <v>6048</v>
      </c>
      <c r="R103" s="27">
        <f t="shared" si="40"/>
        <v>0</v>
      </c>
      <c r="S103" s="27">
        <f t="shared" si="41"/>
        <v>0</v>
      </c>
      <c r="T103" s="28">
        <f t="shared" si="42"/>
        <v>0</v>
      </c>
      <c r="U103" s="28">
        <f t="shared" si="43"/>
        <v>0</v>
      </c>
      <c r="V103" s="24"/>
      <c r="W103" s="24">
        <v>0</v>
      </c>
      <c r="X103" s="24">
        <v>0</v>
      </c>
      <c r="Y103" s="24"/>
      <c r="Z103" s="24">
        <v>0</v>
      </c>
      <c r="AA103" s="26">
        <f t="shared" si="52"/>
        <v>0</v>
      </c>
      <c r="AB103" s="24">
        <v>0</v>
      </c>
      <c r="AC103" s="24"/>
      <c r="AD103" s="24">
        <v>0</v>
      </c>
      <c r="AE103" s="24"/>
      <c r="AF103" s="24"/>
      <c r="AG103" s="24"/>
      <c r="AH103" s="24"/>
      <c r="AI103" s="27">
        <f t="shared" si="47"/>
        <v>0</v>
      </c>
      <c r="AJ103" s="27">
        <f t="shared" si="53"/>
        <v>0</v>
      </c>
      <c r="AK103" s="22"/>
      <c r="AL103" s="22">
        <v>3</v>
      </c>
    </row>
    <row r="104" spans="1:38" x14ac:dyDescent="0.35">
      <c r="A104" s="22">
        <v>2024</v>
      </c>
      <c r="B104" s="24" t="s">
        <v>95</v>
      </c>
      <c r="C104" s="73">
        <v>45560</v>
      </c>
      <c r="D104" s="24" t="s">
        <v>159</v>
      </c>
      <c r="E104" s="24" t="s">
        <v>56</v>
      </c>
      <c r="F104" s="24" t="s">
        <v>160</v>
      </c>
      <c r="G104" s="24" t="s">
        <v>58</v>
      </c>
      <c r="H104" s="24" t="s">
        <v>59</v>
      </c>
      <c r="I104" s="24" t="s">
        <v>161</v>
      </c>
      <c r="J104" s="24"/>
      <c r="K104" s="24"/>
      <c r="L104" s="24"/>
      <c r="M104" s="24">
        <v>183272</v>
      </c>
      <c r="N104" s="24">
        <v>200</v>
      </c>
      <c r="O104" s="24">
        <v>200</v>
      </c>
      <c r="P104" s="24">
        <v>200</v>
      </c>
      <c r="Q104" s="24">
        <v>200</v>
      </c>
      <c r="R104" s="26">
        <f>Q104-O104</f>
        <v>0</v>
      </c>
      <c r="S104" s="26">
        <f>Q104-N104</f>
        <v>0</v>
      </c>
      <c r="T104" s="48">
        <f>Q104/N104-1</f>
        <v>0</v>
      </c>
      <c r="U104" s="48">
        <f>Q104/O104-1</f>
        <v>0</v>
      </c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2">
        <f>SUM(X104:AH104)</f>
        <v>0</v>
      </c>
      <c r="AJ104" s="22">
        <f>AI104+R104</f>
        <v>0</v>
      </c>
      <c r="AK104" s="24"/>
      <c r="AL104" s="22">
        <v>4</v>
      </c>
    </row>
    <row r="105" spans="1:38" x14ac:dyDescent="0.35">
      <c r="A105" s="14">
        <v>2024</v>
      </c>
      <c r="B105" s="10" t="s">
        <v>95</v>
      </c>
      <c r="C105" s="74">
        <v>45560</v>
      </c>
      <c r="D105" s="10" t="s">
        <v>159</v>
      </c>
      <c r="E105" s="10" t="s">
        <v>56</v>
      </c>
      <c r="F105" s="10" t="s">
        <v>160</v>
      </c>
      <c r="G105" s="10" t="s">
        <v>58</v>
      </c>
      <c r="H105" s="10" t="s">
        <v>59</v>
      </c>
      <c r="I105" s="10" t="s">
        <v>161</v>
      </c>
      <c r="J105" s="10"/>
      <c r="K105" s="10"/>
      <c r="L105" s="10"/>
      <c r="M105" s="10">
        <v>183397</v>
      </c>
      <c r="N105" s="10">
        <v>200</v>
      </c>
      <c r="O105" s="10">
        <v>201</v>
      </c>
      <c r="P105" s="10">
        <v>201</v>
      </c>
      <c r="Q105" s="10">
        <v>200</v>
      </c>
      <c r="R105" s="18">
        <f>Q105-O105</f>
        <v>-1</v>
      </c>
      <c r="S105" s="18">
        <f>Q105-N105</f>
        <v>0</v>
      </c>
      <c r="T105" s="47">
        <f>Q105/N105-1</f>
        <v>0</v>
      </c>
      <c r="U105" s="47">
        <f>Q105/O105-1</f>
        <v>-4.9751243781094301E-3</v>
      </c>
      <c r="V105" s="10"/>
      <c r="W105" s="10"/>
      <c r="X105" s="10"/>
      <c r="Y105" s="10"/>
      <c r="Z105" s="10"/>
      <c r="AA105" s="10"/>
      <c r="AB105" s="14">
        <v>1</v>
      </c>
      <c r="AC105" s="10"/>
      <c r="AD105" s="10"/>
      <c r="AE105" s="10"/>
      <c r="AF105" s="10"/>
      <c r="AG105" s="10"/>
      <c r="AH105" s="10"/>
      <c r="AI105" s="14">
        <f>SUM(X105:AH105)</f>
        <v>1</v>
      </c>
      <c r="AJ105" s="14">
        <f>AI105+R105</f>
        <v>0</v>
      </c>
      <c r="AK105" s="10"/>
      <c r="AL105" s="14">
        <v>4</v>
      </c>
    </row>
    <row r="106" spans="1:38" x14ac:dyDescent="0.35">
      <c r="A106" s="22">
        <v>2024</v>
      </c>
      <c r="B106" s="24" t="s">
        <v>95</v>
      </c>
      <c r="C106" s="73">
        <v>45558</v>
      </c>
      <c r="D106" s="22" t="s">
        <v>55</v>
      </c>
      <c r="E106" s="22" t="s">
        <v>50</v>
      </c>
      <c r="F106" s="24" t="s">
        <v>160</v>
      </c>
      <c r="G106" s="24" t="s">
        <v>58</v>
      </c>
      <c r="H106" s="22" t="s">
        <v>67</v>
      </c>
      <c r="I106" s="24" t="s">
        <v>162</v>
      </c>
      <c r="J106" s="24">
        <v>5157982</v>
      </c>
      <c r="K106" s="24"/>
      <c r="L106" s="24"/>
      <c r="M106" s="24">
        <v>183478</v>
      </c>
      <c r="N106" s="75">
        <v>4104</v>
      </c>
      <c r="O106" s="75">
        <v>4104</v>
      </c>
      <c r="P106" s="75">
        <v>3988</v>
      </c>
      <c r="Q106" s="75">
        <v>4104</v>
      </c>
      <c r="R106" s="27">
        <f>Q106-O106</f>
        <v>0</v>
      </c>
      <c r="S106" s="27">
        <f>Q106-N106</f>
        <v>0</v>
      </c>
      <c r="T106" s="48">
        <f>Q106/N106-1</f>
        <v>0</v>
      </c>
      <c r="U106" s="48">
        <f>Q106/O106-1</f>
        <v>0</v>
      </c>
      <c r="V106" s="24"/>
      <c r="W106" s="88">
        <v>166</v>
      </c>
      <c r="X106" s="24"/>
      <c r="Y106" s="24"/>
      <c r="Z106" s="24">
        <v>50</v>
      </c>
      <c r="AA106" s="89">
        <f>O106-P106</f>
        <v>116</v>
      </c>
      <c r="AB106" s="24"/>
      <c r="AC106" s="24"/>
      <c r="AD106" s="24"/>
      <c r="AE106" s="24"/>
      <c r="AF106" s="24"/>
      <c r="AG106" s="24"/>
      <c r="AH106" s="24"/>
      <c r="AI106" s="24">
        <f>SUM(X106:AH106)</f>
        <v>166</v>
      </c>
      <c r="AJ106" s="89">
        <f>AI106+R106-W106</f>
        <v>0</v>
      </c>
      <c r="AK106" s="24"/>
      <c r="AL106" s="22">
        <v>4</v>
      </c>
    </row>
    <row r="107" spans="1:38" x14ac:dyDescent="0.35">
      <c r="A107" s="14">
        <v>2024</v>
      </c>
      <c r="B107" s="10" t="s">
        <v>95</v>
      </c>
      <c r="C107" s="74">
        <v>45558</v>
      </c>
      <c r="D107" s="14" t="s">
        <v>55</v>
      </c>
      <c r="E107" s="14" t="s">
        <v>50</v>
      </c>
      <c r="F107" s="10" t="s">
        <v>160</v>
      </c>
      <c r="G107" s="10" t="s">
        <v>58</v>
      </c>
      <c r="H107" s="14" t="s">
        <v>67</v>
      </c>
      <c r="I107" s="10" t="s">
        <v>163</v>
      </c>
      <c r="J107" s="10">
        <v>5157977</v>
      </c>
      <c r="K107" s="10"/>
      <c r="L107" s="10"/>
      <c r="M107" s="10">
        <v>183461</v>
      </c>
      <c r="N107" s="76">
        <v>15660</v>
      </c>
      <c r="O107" s="76">
        <v>16293</v>
      </c>
      <c r="P107" s="76">
        <f>16215+42+3</f>
        <v>16260</v>
      </c>
      <c r="Q107" s="76">
        <v>16215</v>
      </c>
      <c r="R107" s="20">
        <f t="shared" ref="R107:R120" si="54">Q107-O107</f>
        <v>-78</v>
      </c>
      <c r="S107" s="20">
        <f t="shared" ref="S107:S120" si="55">Q107-N107</f>
        <v>555</v>
      </c>
      <c r="T107" s="47">
        <f t="shared" ref="T107:T123" si="56">Q107/N107-1</f>
        <v>3.5440613026819889E-2</v>
      </c>
      <c r="U107" s="47">
        <f t="shared" ref="U107:U123" si="57">Q107/O107-1</f>
        <v>-4.7873319830602501E-3</v>
      </c>
      <c r="V107" s="10"/>
      <c r="W107" s="10"/>
      <c r="X107" s="10"/>
      <c r="Y107" s="10"/>
      <c r="Z107" s="10">
        <v>42</v>
      </c>
      <c r="AA107" s="90">
        <f t="shared" ref="AA107:AA108" si="58">O107-P107</f>
        <v>33</v>
      </c>
      <c r="AB107" s="10"/>
      <c r="AC107" s="10"/>
      <c r="AD107" s="10">
        <v>3</v>
      </c>
      <c r="AE107" s="10"/>
      <c r="AF107" s="10"/>
      <c r="AG107" s="10"/>
      <c r="AH107" s="10"/>
      <c r="AI107" s="10">
        <f t="shared" ref="AI107:AI108" si="59">SUM(X107:AH107)</f>
        <v>78</v>
      </c>
      <c r="AJ107" s="90">
        <f t="shared" ref="AJ107:AJ108" si="60">AI107+R107</f>
        <v>0</v>
      </c>
      <c r="AK107" s="10"/>
      <c r="AL107" s="14">
        <v>4</v>
      </c>
    </row>
    <row r="108" spans="1:38" x14ac:dyDescent="0.35">
      <c r="A108" s="22">
        <v>2024</v>
      </c>
      <c r="B108" s="24" t="s">
        <v>95</v>
      </c>
      <c r="C108" s="73">
        <v>45558</v>
      </c>
      <c r="D108" s="22" t="s">
        <v>55</v>
      </c>
      <c r="E108" s="22" t="s">
        <v>50</v>
      </c>
      <c r="F108" s="24" t="s">
        <v>160</v>
      </c>
      <c r="G108" s="24" t="s">
        <v>58</v>
      </c>
      <c r="H108" s="22" t="s">
        <v>67</v>
      </c>
      <c r="I108" s="24" t="s">
        <v>164</v>
      </c>
      <c r="J108" s="24">
        <v>5158004</v>
      </c>
      <c r="K108" s="24"/>
      <c r="L108" s="24"/>
      <c r="M108" s="24">
        <v>183462</v>
      </c>
      <c r="N108" s="75">
        <v>7344</v>
      </c>
      <c r="O108" s="75">
        <v>7344</v>
      </c>
      <c r="P108" s="75">
        <v>7344</v>
      </c>
      <c r="Q108" s="75">
        <v>7344</v>
      </c>
      <c r="R108" s="27">
        <f t="shared" si="54"/>
        <v>0</v>
      </c>
      <c r="S108" s="27">
        <f t="shared" si="55"/>
        <v>0</v>
      </c>
      <c r="T108" s="48">
        <f t="shared" si="56"/>
        <v>0</v>
      </c>
      <c r="U108" s="48">
        <f t="shared" si="57"/>
        <v>0</v>
      </c>
      <c r="V108" s="24"/>
      <c r="W108" s="24"/>
      <c r="X108" s="24"/>
      <c r="Y108" s="24"/>
      <c r="Z108" s="24"/>
      <c r="AA108" s="89">
        <f t="shared" si="58"/>
        <v>0</v>
      </c>
      <c r="AB108" s="24"/>
      <c r="AC108" s="24"/>
      <c r="AD108" s="24"/>
      <c r="AE108" s="24"/>
      <c r="AF108" s="24"/>
      <c r="AG108" s="24"/>
      <c r="AH108" s="24"/>
      <c r="AI108" s="24">
        <f t="shared" si="59"/>
        <v>0</v>
      </c>
      <c r="AJ108" s="89">
        <f t="shared" si="60"/>
        <v>0</v>
      </c>
      <c r="AK108" s="24"/>
      <c r="AL108" s="22">
        <v>4</v>
      </c>
    </row>
    <row r="109" spans="1:38" x14ac:dyDescent="0.35">
      <c r="A109" s="60">
        <v>2024</v>
      </c>
      <c r="B109" s="24" t="s">
        <v>95</v>
      </c>
      <c r="C109" s="23">
        <v>45558</v>
      </c>
      <c r="D109" s="25" t="s">
        <v>118</v>
      </c>
      <c r="E109" s="25" t="s">
        <v>64</v>
      </c>
      <c r="F109" s="24" t="s">
        <v>65</v>
      </c>
      <c r="G109" s="24" t="s">
        <v>66</v>
      </c>
      <c r="H109" s="22" t="s">
        <v>67</v>
      </c>
      <c r="I109" s="24" t="s">
        <v>144</v>
      </c>
      <c r="J109" s="30">
        <v>5158610</v>
      </c>
      <c r="K109" s="50"/>
      <c r="L109" s="50"/>
      <c r="M109" s="24">
        <v>183450</v>
      </c>
      <c r="N109" s="61">
        <v>3888</v>
      </c>
      <c r="O109" s="62">
        <v>3941</v>
      </c>
      <c r="P109" s="62">
        <v>3938</v>
      </c>
      <c r="Q109" s="62">
        <v>3933</v>
      </c>
      <c r="R109" s="27">
        <f t="shared" si="54"/>
        <v>-8</v>
      </c>
      <c r="S109" s="27">
        <f t="shared" si="55"/>
        <v>45</v>
      </c>
      <c r="T109" s="28">
        <f t="shared" si="56"/>
        <v>1.1574074074074181E-2</v>
      </c>
      <c r="U109" s="28">
        <f t="shared" si="57"/>
        <v>-2.0299416391779124E-3</v>
      </c>
      <c r="V109" s="22" t="s">
        <v>165</v>
      </c>
      <c r="W109" s="50"/>
      <c r="X109" s="50">
        <v>0</v>
      </c>
      <c r="Y109" s="50"/>
      <c r="Z109" s="50">
        <v>2</v>
      </c>
      <c r="AA109" s="26">
        <f>+O109-P109</f>
        <v>3</v>
      </c>
      <c r="AB109" s="91"/>
      <c r="AC109" s="50"/>
      <c r="AD109" s="50">
        <v>3</v>
      </c>
      <c r="AE109" s="50"/>
      <c r="AF109" s="50"/>
      <c r="AG109" s="50"/>
      <c r="AH109" s="62"/>
      <c r="AI109" s="27">
        <f t="shared" ref="AI109:AI122" si="61">SUM(X109:AH109)</f>
        <v>8</v>
      </c>
      <c r="AJ109" s="27">
        <f>R109+AI109</f>
        <v>0</v>
      </c>
      <c r="AK109" s="22"/>
      <c r="AL109" s="22">
        <v>4</v>
      </c>
    </row>
    <row r="110" spans="1:38" x14ac:dyDescent="0.35">
      <c r="A110" s="60">
        <v>2024</v>
      </c>
      <c r="B110" s="24" t="s">
        <v>95</v>
      </c>
      <c r="C110" s="23">
        <v>45558</v>
      </c>
      <c r="D110" s="25" t="s">
        <v>118</v>
      </c>
      <c r="E110" s="25" t="s">
        <v>64</v>
      </c>
      <c r="F110" s="24" t="s">
        <v>65</v>
      </c>
      <c r="G110" s="24" t="s">
        <v>66</v>
      </c>
      <c r="H110" s="22" t="s">
        <v>67</v>
      </c>
      <c r="I110" s="24" t="s">
        <v>166</v>
      </c>
      <c r="J110" s="30">
        <v>5158615</v>
      </c>
      <c r="K110" s="50"/>
      <c r="L110" s="50"/>
      <c r="M110" s="24">
        <v>183451</v>
      </c>
      <c r="N110" s="61">
        <v>7344</v>
      </c>
      <c r="O110" s="64">
        <v>7428</v>
      </c>
      <c r="P110" s="64">
        <v>7428</v>
      </c>
      <c r="Q110" s="64">
        <v>7431</v>
      </c>
      <c r="R110" s="27">
        <f t="shared" si="54"/>
        <v>3</v>
      </c>
      <c r="S110" s="27">
        <f t="shared" si="55"/>
        <v>87</v>
      </c>
      <c r="T110" s="28">
        <f t="shared" si="56"/>
        <v>1.1846405228758128E-2</v>
      </c>
      <c r="U110" s="28">
        <f t="shared" si="57"/>
        <v>4.0387722132462223E-4</v>
      </c>
      <c r="V110" s="22" t="s">
        <v>167</v>
      </c>
      <c r="W110" s="50">
        <v>92</v>
      </c>
      <c r="X110" s="50">
        <v>69</v>
      </c>
      <c r="Y110" s="50"/>
      <c r="Z110" s="50">
        <v>4</v>
      </c>
      <c r="AA110" s="26">
        <f t="shared" ref="AA110:AA120" si="62">+O110-P110</f>
        <v>0</v>
      </c>
      <c r="AB110" s="50">
        <v>13</v>
      </c>
      <c r="AC110" s="50"/>
      <c r="AD110" s="50">
        <v>3</v>
      </c>
      <c r="AE110" s="50"/>
      <c r="AF110" s="50"/>
      <c r="AG110" s="50"/>
      <c r="AH110" s="50"/>
      <c r="AI110" s="27">
        <f t="shared" si="61"/>
        <v>89</v>
      </c>
      <c r="AJ110" s="27">
        <f t="shared" ref="AJ110:AJ122" si="63">R110+AI110</f>
        <v>92</v>
      </c>
      <c r="AK110" s="22"/>
      <c r="AL110" s="22">
        <v>4</v>
      </c>
    </row>
    <row r="111" spans="1:38" x14ac:dyDescent="0.35">
      <c r="A111" s="24">
        <v>2024</v>
      </c>
      <c r="B111" s="24" t="s">
        <v>95</v>
      </c>
      <c r="C111" s="23">
        <v>45558</v>
      </c>
      <c r="D111" s="25" t="s">
        <v>118</v>
      </c>
      <c r="E111" s="25" t="s">
        <v>64</v>
      </c>
      <c r="F111" s="24" t="s">
        <v>65</v>
      </c>
      <c r="G111" s="24" t="s">
        <v>66</v>
      </c>
      <c r="H111" s="22" t="s">
        <v>67</v>
      </c>
      <c r="I111" s="24" t="s">
        <v>166</v>
      </c>
      <c r="J111" s="22">
        <v>5158615</v>
      </c>
      <c r="K111" s="22"/>
      <c r="L111" s="36"/>
      <c r="M111" s="24">
        <v>183452</v>
      </c>
      <c r="N111" s="31">
        <v>1080</v>
      </c>
      <c r="O111" s="32">
        <v>1091</v>
      </c>
      <c r="P111" s="26">
        <v>1091</v>
      </c>
      <c r="Q111" s="33">
        <v>1089</v>
      </c>
      <c r="R111" s="27">
        <f t="shared" si="54"/>
        <v>-2</v>
      </c>
      <c r="S111" s="27">
        <f t="shared" si="55"/>
        <v>9</v>
      </c>
      <c r="T111" s="28">
        <f t="shared" si="56"/>
        <v>8.3333333333333037E-3</v>
      </c>
      <c r="U111" s="28">
        <f t="shared" si="57"/>
        <v>-1.8331805682859637E-3</v>
      </c>
      <c r="V111" s="22" t="s">
        <v>168</v>
      </c>
      <c r="W111" s="24">
        <v>1</v>
      </c>
      <c r="X111" s="24">
        <v>0</v>
      </c>
      <c r="Y111" s="24"/>
      <c r="Z111" s="24">
        <v>0</v>
      </c>
      <c r="AA111" s="26">
        <f t="shared" si="62"/>
        <v>0</v>
      </c>
      <c r="AB111" s="24">
        <v>3</v>
      </c>
      <c r="AC111" s="24"/>
      <c r="AD111" s="24"/>
      <c r="AE111" s="24"/>
      <c r="AF111" s="24"/>
      <c r="AG111" s="24"/>
      <c r="AH111" s="24"/>
      <c r="AI111" s="27">
        <f t="shared" si="61"/>
        <v>3</v>
      </c>
      <c r="AJ111" s="27">
        <f t="shared" si="63"/>
        <v>1</v>
      </c>
      <c r="AK111" s="22"/>
      <c r="AL111" s="22">
        <v>4</v>
      </c>
    </row>
    <row r="112" spans="1:38" x14ac:dyDescent="0.35">
      <c r="A112" s="24">
        <v>2024</v>
      </c>
      <c r="B112" s="24" t="s">
        <v>95</v>
      </c>
      <c r="C112" s="23">
        <v>45558</v>
      </c>
      <c r="D112" s="25" t="s">
        <v>118</v>
      </c>
      <c r="E112" s="25" t="s">
        <v>64</v>
      </c>
      <c r="F112" s="24" t="s">
        <v>65</v>
      </c>
      <c r="G112" s="24" t="s">
        <v>66</v>
      </c>
      <c r="H112" s="22" t="s">
        <v>67</v>
      </c>
      <c r="I112" s="24" t="s">
        <v>169</v>
      </c>
      <c r="J112" s="22">
        <v>5158002</v>
      </c>
      <c r="K112" s="22"/>
      <c r="L112" s="36"/>
      <c r="M112" s="24">
        <v>183469</v>
      </c>
      <c r="N112" s="31">
        <v>10476</v>
      </c>
      <c r="O112" s="32">
        <v>10902</v>
      </c>
      <c r="P112" s="26">
        <v>10902</v>
      </c>
      <c r="Q112" s="33">
        <v>10878</v>
      </c>
      <c r="R112" s="27">
        <f t="shared" si="54"/>
        <v>-24</v>
      </c>
      <c r="S112" s="27">
        <f t="shared" si="55"/>
        <v>402</v>
      </c>
      <c r="T112" s="28">
        <f t="shared" si="56"/>
        <v>3.8373424971363201E-2</v>
      </c>
      <c r="U112" s="28">
        <f t="shared" si="57"/>
        <v>-2.2014309301046087E-3</v>
      </c>
      <c r="V112" s="22" t="s">
        <v>170</v>
      </c>
      <c r="W112" s="24">
        <v>36</v>
      </c>
      <c r="X112" s="24">
        <v>48</v>
      </c>
      <c r="Y112" s="24"/>
      <c r="Z112" s="24">
        <v>5</v>
      </c>
      <c r="AA112" s="26">
        <f t="shared" si="62"/>
        <v>0</v>
      </c>
      <c r="AB112" s="24">
        <v>4</v>
      </c>
      <c r="AC112" s="24"/>
      <c r="AD112" s="24">
        <v>3</v>
      </c>
      <c r="AE112" s="24"/>
      <c r="AF112" s="24"/>
      <c r="AG112" s="24"/>
      <c r="AH112" s="24"/>
      <c r="AI112" s="27">
        <f t="shared" si="61"/>
        <v>60</v>
      </c>
      <c r="AJ112" s="27">
        <f t="shared" si="63"/>
        <v>36</v>
      </c>
      <c r="AK112" s="22"/>
      <c r="AL112" s="22">
        <v>4</v>
      </c>
    </row>
    <row r="113" spans="1:38" x14ac:dyDescent="0.35">
      <c r="A113" s="24">
        <v>2024</v>
      </c>
      <c r="B113" s="24" t="s">
        <v>95</v>
      </c>
      <c r="C113" s="23">
        <v>45558</v>
      </c>
      <c r="D113" s="25" t="s">
        <v>118</v>
      </c>
      <c r="E113" s="25" t="s">
        <v>64</v>
      </c>
      <c r="F113" s="24" t="s">
        <v>65</v>
      </c>
      <c r="G113" s="24" t="s">
        <v>66</v>
      </c>
      <c r="H113" s="22" t="s">
        <v>67</v>
      </c>
      <c r="I113" s="24" t="s">
        <v>169</v>
      </c>
      <c r="J113" s="22">
        <v>5158002</v>
      </c>
      <c r="K113" s="22"/>
      <c r="L113" s="36"/>
      <c r="M113" s="24">
        <v>183470</v>
      </c>
      <c r="N113" s="31">
        <v>1080</v>
      </c>
      <c r="O113" s="32">
        <v>1118</v>
      </c>
      <c r="P113" s="26">
        <v>1110</v>
      </c>
      <c r="Q113" s="33">
        <v>1116</v>
      </c>
      <c r="R113" s="27">
        <f t="shared" si="54"/>
        <v>-2</v>
      </c>
      <c r="S113" s="27">
        <f t="shared" si="55"/>
        <v>36</v>
      </c>
      <c r="T113" s="28">
        <f t="shared" si="56"/>
        <v>3.3333333333333437E-2</v>
      </c>
      <c r="U113" s="28">
        <f t="shared" si="57"/>
        <v>-1.7889087656529634E-3</v>
      </c>
      <c r="V113" s="22"/>
      <c r="W113" s="24">
        <v>15</v>
      </c>
      <c r="X113" s="24">
        <v>9</v>
      </c>
      <c r="Y113" s="24"/>
      <c r="Z113" s="24">
        <v>0</v>
      </c>
      <c r="AA113" s="26">
        <f t="shared" si="62"/>
        <v>8</v>
      </c>
      <c r="AB113" s="24"/>
      <c r="AC113" s="24"/>
      <c r="AD113" s="24"/>
      <c r="AE113" s="24"/>
      <c r="AF113" s="24"/>
      <c r="AG113" s="24"/>
      <c r="AH113" s="24"/>
      <c r="AI113" s="27">
        <f t="shared" si="61"/>
        <v>17</v>
      </c>
      <c r="AJ113" s="27">
        <f t="shared" si="63"/>
        <v>15</v>
      </c>
      <c r="AK113" s="22"/>
      <c r="AL113" s="22">
        <v>4</v>
      </c>
    </row>
    <row r="114" spans="1:38" x14ac:dyDescent="0.35">
      <c r="A114" s="10">
        <v>2024</v>
      </c>
      <c r="B114" s="10" t="s">
        <v>95</v>
      </c>
      <c r="C114" s="11">
        <v>45558</v>
      </c>
      <c r="D114" s="12" t="s">
        <v>118</v>
      </c>
      <c r="E114" s="12" t="s">
        <v>64</v>
      </c>
      <c r="F114" s="10" t="s">
        <v>65</v>
      </c>
      <c r="G114" s="10" t="s">
        <v>66</v>
      </c>
      <c r="H114" s="14" t="s">
        <v>67</v>
      </c>
      <c r="I114" s="10" t="s">
        <v>171</v>
      </c>
      <c r="J114" s="14">
        <v>5157987</v>
      </c>
      <c r="K114" s="14"/>
      <c r="L114" s="15"/>
      <c r="M114" s="10">
        <v>183475</v>
      </c>
      <c r="N114" s="16">
        <v>5940</v>
      </c>
      <c r="O114" s="17">
        <v>5940</v>
      </c>
      <c r="P114" s="18">
        <v>5940</v>
      </c>
      <c r="Q114" s="19">
        <v>5925</v>
      </c>
      <c r="R114" s="20">
        <f t="shared" si="54"/>
        <v>-15</v>
      </c>
      <c r="S114" s="20">
        <f t="shared" si="55"/>
        <v>-15</v>
      </c>
      <c r="T114" s="21">
        <f t="shared" si="56"/>
        <v>-2.525252525252486E-3</v>
      </c>
      <c r="U114" s="21">
        <f t="shared" si="57"/>
        <v>-2.525252525252486E-3</v>
      </c>
      <c r="V114" s="14" t="s">
        <v>172</v>
      </c>
      <c r="W114" s="10">
        <v>33</v>
      </c>
      <c r="X114" s="10">
        <v>18</v>
      </c>
      <c r="Y114" s="10"/>
      <c r="Z114" s="10">
        <v>11</v>
      </c>
      <c r="AA114" s="18">
        <f t="shared" si="62"/>
        <v>0</v>
      </c>
      <c r="AB114" s="10">
        <v>16</v>
      </c>
      <c r="AC114" s="10"/>
      <c r="AD114" s="10">
        <v>3</v>
      </c>
      <c r="AE114" s="10"/>
      <c r="AF114" s="10"/>
      <c r="AG114" s="10"/>
      <c r="AH114" s="10"/>
      <c r="AI114" s="20">
        <f t="shared" si="61"/>
        <v>48</v>
      </c>
      <c r="AJ114" s="20">
        <f t="shared" si="63"/>
        <v>33</v>
      </c>
      <c r="AK114" s="14"/>
      <c r="AL114" s="14">
        <v>4</v>
      </c>
    </row>
    <row r="115" spans="1:38" x14ac:dyDescent="0.35">
      <c r="A115" s="24">
        <v>2024</v>
      </c>
      <c r="B115" s="24" t="s">
        <v>95</v>
      </c>
      <c r="C115" s="23">
        <v>45558</v>
      </c>
      <c r="D115" s="25" t="s">
        <v>118</v>
      </c>
      <c r="E115" s="25" t="s">
        <v>64</v>
      </c>
      <c r="F115" s="24" t="s">
        <v>65</v>
      </c>
      <c r="G115" s="24" t="s">
        <v>66</v>
      </c>
      <c r="H115" s="22" t="s">
        <v>67</v>
      </c>
      <c r="I115" s="24" t="s">
        <v>173</v>
      </c>
      <c r="J115" s="22">
        <v>5157997</v>
      </c>
      <c r="K115" s="22"/>
      <c r="L115" s="36"/>
      <c r="M115" s="24">
        <v>183476</v>
      </c>
      <c r="N115" s="31">
        <v>3996</v>
      </c>
      <c r="O115" s="32">
        <v>2933</v>
      </c>
      <c r="P115" s="26">
        <v>2933</v>
      </c>
      <c r="Q115" s="33">
        <v>3996</v>
      </c>
      <c r="R115" s="27">
        <f t="shared" si="54"/>
        <v>1063</v>
      </c>
      <c r="S115" s="27">
        <f t="shared" si="55"/>
        <v>0</v>
      </c>
      <c r="T115" s="28">
        <f t="shared" si="56"/>
        <v>0</v>
      </c>
      <c r="U115" s="28">
        <f t="shared" si="57"/>
        <v>0.36242754858506654</v>
      </c>
      <c r="V115" s="22" t="s">
        <v>174</v>
      </c>
      <c r="W115" s="92">
        <v>1122</v>
      </c>
      <c r="X115" s="24">
        <v>10</v>
      </c>
      <c r="Y115" s="24"/>
      <c r="Z115" s="24">
        <v>3</v>
      </c>
      <c r="AA115" s="26">
        <f t="shared" si="62"/>
        <v>0</v>
      </c>
      <c r="AB115" s="24">
        <v>43</v>
      </c>
      <c r="AC115" s="24"/>
      <c r="AD115" s="24">
        <v>3</v>
      </c>
      <c r="AE115" s="24"/>
      <c r="AF115" s="24"/>
      <c r="AG115" s="24"/>
      <c r="AH115" s="24"/>
      <c r="AI115" s="27">
        <f t="shared" si="61"/>
        <v>59</v>
      </c>
      <c r="AJ115" s="27">
        <f t="shared" si="63"/>
        <v>1122</v>
      </c>
      <c r="AK115" s="22"/>
      <c r="AL115" s="22">
        <v>4</v>
      </c>
    </row>
    <row r="116" spans="1:38" x14ac:dyDescent="0.35">
      <c r="A116" s="24">
        <v>2024</v>
      </c>
      <c r="B116" s="24" t="s">
        <v>95</v>
      </c>
      <c r="C116" s="23">
        <v>45558</v>
      </c>
      <c r="D116" s="25" t="s">
        <v>118</v>
      </c>
      <c r="E116" s="25" t="s">
        <v>64</v>
      </c>
      <c r="F116" s="24" t="s">
        <v>65</v>
      </c>
      <c r="G116" s="24" t="s">
        <v>66</v>
      </c>
      <c r="H116" s="22" t="s">
        <v>67</v>
      </c>
      <c r="I116" s="24" t="s">
        <v>175</v>
      </c>
      <c r="J116" s="22">
        <v>5157978</v>
      </c>
      <c r="K116" s="22"/>
      <c r="L116" s="36"/>
      <c r="M116" s="24">
        <v>183477</v>
      </c>
      <c r="N116" s="31">
        <v>8316</v>
      </c>
      <c r="O116" s="32">
        <v>8327</v>
      </c>
      <c r="P116" s="26">
        <v>8327</v>
      </c>
      <c r="Q116" s="33">
        <v>8316</v>
      </c>
      <c r="R116" s="27">
        <f t="shared" si="54"/>
        <v>-11</v>
      </c>
      <c r="S116" s="27">
        <f t="shared" si="55"/>
        <v>0</v>
      </c>
      <c r="T116" s="28">
        <f t="shared" si="56"/>
        <v>0</v>
      </c>
      <c r="U116" s="28">
        <f t="shared" si="57"/>
        <v>-1.3210039630119352E-3</v>
      </c>
      <c r="V116" s="22" t="s">
        <v>174</v>
      </c>
      <c r="W116" s="24">
        <v>105</v>
      </c>
      <c r="X116" s="24">
        <v>29</v>
      </c>
      <c r="Y116" s="24"/>
      <c r="Z116" s="24">
        <v>25</v>
      </c>
      <c r="AA116" s="26">
        <f t="shared" si="62"/>
        <v>0</v>
      </c>
      <c r="AB116" s="24">
        <v>59</v>
      </c>
      <c r="AC116" s="24"/>
      <c r="AD116" s="24">
        <v>3</v>
      </c>
      <c r="AE116" s="24"/>
      <c r="AF116" s="24"/>
      <c r="AG116" s="24"/>
      <c r="AH116" s="24"/>
      <c r="AI116" s="27">
        <f t="shared" si="61"/>
        <v>116</v>
      </c>
      <c r="AJ116" s="27">
        <f t="shared" si="63"/>
        <v>105</v>
      </c>
      <c r="AK116" s="22"/>
      <c r="AL116" s="22">
        <v>4</v>
      </c>
    </row>
    <row r="117" spans="1:38" x14ac:dyDescent="0.35">
      <c r="A117" s="10">
        <v>2024</v>
      </c>
      <c r="B117" s="10" t="s">
        <v>95</v>
      </c>
      <c r="C117" s="11">
        <v>45558</v>
      </c>
      <c r="D117" s="12" t="s">
        <v>118</v>
      </c>
      <c r="E117" s="12" t="s">
        <v>64</v>
      </c>
      <c r="F117" s="10" t="s">
        <v>65</v>
      </c>
      <c r="G117" s="10" t="s">
        <v>66</v>
      </c>
      <c r="H117" s="14" t="s">
        <v>67</v>
      </c>
      <c r="I117" s="10" t="s">
        <v>176</v>
      </c>
      <c r="J117" s="14">
        <v>5158609</v>
      </c>
      <c r="K117" s="14"/>
      <c r="L117" s="15"/>
      <c r="M117" s="10">
        <v>183482</v>
      </c>
      <c r="N117" s="16">
        <v>11520</v>
      </c>
      <c r="O117" s="17">
        <v>11481</v>
      </c>
      <c r="P117" s="18">
        <v>11383</v>
      </c>
      <c r="Q117" s="19">
        <v>11316</v>
      </c>
      <c r="R117" s="20">
        <f t="shared" si="54"/>
        <v>-165</v>
      </c>
      <c r="S117" s="20">
        <f t="shared" si="55"/>
        <v>-204</v>
      </c>
      <c r="T117" s="21">
        <f t="shared" si="56"/>
        <v>-1.7708333333333326E-2</v>
      </c>
      <c r="U117" s="21">
        <f t="shared" si="57"/>
        <v>-1.4371570420695035E-2</v>
      </c>
      <c r="V117" s="14" t="s">
        <v>177</v>
      </c>
      <c r="W117" s="10">
        <v>67</v>
      </c>
      <c r="X117" s="10">
        <v>41</v>
      </c>
      <c r="Y117" s="10"/>
      <c r="Z117" s="10">
        <v>11</v>
      </c>
      <c r="AA117" s="18">
        <f t="shared" si="62"/>
        <v>98</v>
      </c>
      <c r="AB117" s="10">
        <v>82</v>
      </c>
      <c r="AC117" s="10"/>
      <c r="AD117" s="10"/>
      <c r="AE117" s="10"/>
      <c r="AF117" s="10"/>
      <c r="AG117" s="10"/>
      <c r="AH117" s="10"/>
      <c r="AI117" s="20">
        <f t="shared" si="61"/>
        <v>232</v>
      </c>
      <c r="AJ117" s="20">
        <f t="shared" si="63"/>
        <v>67</v>
      </c>
      <c r="AK117" s="14"/>
      <c r="AL117" s="14">
        <v>4</v>
      </c>
    </row>
    <row r="118" spans="1:38" x14ac:dyDescent="0.35">
      <c r="A118" s="10">
        <v>2024</v>
      </c>
      <c r="B118" s="10" t="s">
        <v>95</v>
      </c>
      <c r="C118" s="11">
        <v>45558</v>
      </c>
      <c r="D118" s="12" t="s">
        <v>118</v>
      </c>
      <c r="E118" s="12" t="s">
        <v>64</v>
      </c>
      <c r="F118" s="10" t="s">
        <v>65</v>
      </c>
      <c r="G118" s="10" t="s">
        <v>66</v>
      </c>
      <c r="H118" s="14" t="s">
        <v>67</v>
      </c>
      <c r="I118" s="10" t="s">
        <v>178</v>
      </c>
      <c r="J118" s="14">
        <v>5158582</v>
      </c>
      <c r="K118" s="14"/>
      <c r="L118" s="15"/>
      <c r="M118" s="10">
        <v>183483</v>
      </c>
      <c r="N118" s="16">
        <v>5760</v>
      </c>
      <c r="O118" s="17">
        <v>5769</v>
      </c>
      <c r="P118" s="18">
        <v>5769</v>
      </c>
      <c r="Q118" s="19">
        <v>5716</v>
      </c>
      <c r="R118" s="20">
        <f t="shared" si="54"/>
        <v>-53</v>
      </c>
      <c r="S118" s="20">
        <f t="shared" si="55"/>
        <v>-44</v>
      </c>
      <c r="T118" s="21">
        <f t="shared" si="56"/>
        <v>-7.6388888888888618E-3</v>
      </c>
      <c r="U118" s="21">
        <f t="shared" si="57"/>
        <v>-9.187034148032569E-3</v>
      </c>
      <c r="V118" s="14" t="s">
        <v>179</v>
      </c>
      <c r="W118" s="10">
        <v>38</v>
      </c>
      <c r="X118" s="10">
        <v>67</v>
      </c>
      <c r="Y118" s="10"/>
      <c r="Z118" s="10">
        <v>2</v>
      </c>
      <c r="AA118" s="18">
        <f t="shared" si="62"/>
        <v>0</v>
      </c>
      <c r="AB118" s="10">
        <v>18</v>
      </c>
      <c r="AC118" s="10"/>
      <c r="AD118" s="10">
        <v>4</v>
      </c>
      <c r="AE118" s="10"/>
      <c r="AF118" s="10"/>
      <c r="AG118" s="10"/>
      <c r="AH118" s="10"/>
      <c r="AI118" s="20">
        <f t="shared" si="61"/>
        <v>91</v>
      </c>
      <c r="AJ118" s="20">
        <f t="shared" si="63"/>
        <v>38</v>
      </c>
      <c r="AK118" s="14"/>
      <c r="AL118" s="14">
        <v>4</v>
      </c>
    </row>
    <row r="119" spans="1:38" x14ac:dyDescent="0.35">
      <c r="A119" s="10">
        <v>2024</v>
      </c>
      <c r="B119" s="10" t="s">
        <v>95</v>
      </c>
      <c r="C119" s="11">
        <v>45558</v>
      </c>
      <c r="D119" s="12" t="s">
        <v>118</v>
      </c>
      <c r="E119" s="12" t="s">
        <v>64</v>
      </c>
      <c r="F119" s="10" t="s">
        <v>65</v>
      </c>
      <c r="G119" s="10" t="s">
        <v>66</v>
      </c>
      <c r="H119" s="14" t="s">
        <v>67</v>
      </c>
      <c r="I119" s="10" t="s">
        <v>180</v>
      </c>
      <c r="J119" s="14">
        <v>5158591</v>
      </c>
      <c r="K119" s="14"/>
      <c r="L119" s="15"/>
      <c r="M119" s="10">
        <v>183484</v>
      </c>
      <c r="N119" s="16">
        <v>15552</v>
      </c>
      <c r="O119" s="17">
        <v>15563</v>
      </c>
      <c r="P119" s="18">
        <v>15435</v>
      </c>
      <c r="Q119" s="19">
        <v>15348</v>
      </c>
      <c r="R119" s="20">
        <f t="shared" si="54"/>
        <v>-215</v>
      </c>
      <c r="S119" s="20">
        <f t="shared" si="55"/>
        <v>-204</v>
      </c>
      <c r="T119" s="21">
        <f t="shared" si="56"/>
        <v>-1.3117283950617287E-2</v>
      </c>
      <c r="U119" s="21">
        <f t="shared" si="57"/>
        <v>-1.3814817194628293E-2</v>
      </c>
      <c r="V119" s="14" t="s">
        <v>168</v>
      </c>
      <c r="W119" s="10">
        <v>228</v>
      </c>
      <c r="X119" s="10">
        <v>237</v>
      </c>
      <c r="Y119" s="10"/>
      <c r="Z119" s="10">
        <v>1</v>
      </c>
      <c r="AA119" s="18">
        <f t="shared" si="62"/>
        <v>128</v>
      </c>
      <c r="AB119" s="10">
        <f>65+12</f>
        <v>77</v>
      </c>
      <c r="AC119" s="10"/>
      <c r="AD119" s="10"/>
      <c r="AE119" s="10"/>
      <c r="AF119" s="10"/>
      <c r="AG119" s="10"/>
      <c r="AH119" s="10"/>
      <c r="AI119" s="20">
        <f t="shared" si="61"/>
        <v>443</v>
      </c>
      <c r="AJ119" s="20">
        <f t="shared" si="63"/>
        <v>228</v>
      </c>
      <c r="AK119" s="14"/>
      <c r="AL119" s="14">
        <v>4</v>
      </c>
    </row>
    <row r="120" spans="1:38" x14ac:dyDescent="0.35">
      <c r="A120" s="24">
        <v>2024</v>
      </c>
      <c r="B120" s="24" t="s">
        <v>95</v>
      </c>
      <c r="C120" s="23">
        <v>45558</v>
      </c>
      <c r="D120" s="25" t="s">
        <v>118</v>
      </c>
      <c r="E120" s="25" t="s">
        <v>64</v>
      </c>
      <c r="F120" s="24" t="s">
        <v>65</v>
      </c>
      <c r="G120" s="24" t="s">
        <v>66</v>
      </c>
      <c r="H120" s="22" t="s">
        <v>67</v>
      </c>
      <c r="I120" s="24" t="s">
        <v>181</v>
      </c>
      <c r="J120" s="22">
        <v>5158603</v>
      </c>
      <c r="K120" s="22"/>
      <c r="L120" s="36"/>
      <c r="M120" s="24">
        <v>183485</v>
      </c>
      <c r="N120" s="31">
        <v>6192</v>
      </c>
      <c r="O120" s="32">
        <v>6206</v>
      </c>
      <c r="P120" s="26">
        <v>6203</v>
      </c>
      <c r="Q120" s="33">
        <v>6192</v>
      </c>
      <c r="R120" s="27">
        <f t="shared" si="54"/>
        <v>-14</v>
      </c>
      <c r="S120" s="27">
        <f t="shared" si="55"/>
        <v>0</v>
      </c>
      <c r="T120" s="28">
        <f t="shared" si="56"/>
        <v>0</v>
      </c>
      <c r="U120" s="28">
        <f t="shared" si="57"/>
        <v>-2.2558814050918086E-3</v>
      </c>
      <c r="V120" s="22" t="s">
        <v>154</v>
      </c>
      <c r="W120" s="24">
        <v>87</v>
      </c>
      <c r="X120" s="24">
        <v>56</v>
      </c>
      <c r="Y120" s="24"/>
      <c r="Z120" s="24">
        <v>7</v>
      </c>
      <c r="AA120" s="26">
        <f t="shared" si="62"/>
        <v>3</v>
      </c>
      <c r="AB120" s="24">
        <v>35</v>
      </c>
      <c r="AC120" s="24"/>
      <c r="AD120" s="24"/>
      <c r="AE120" s="24"/>
      <c r="AF120" s="24"/>
      <c r="AG120" s="24"/>
      <c r="AH120" s="24"/>
      <c r="AI120" s="27">
        <f t="shared" si="61"/>
        <v>101</v>
      </c>
      <c r="AJ120" s="27">
        <f t="shared" si="63"/>
        <v>87</v>
      </c>
      <c r="AK120" s="22"/>
      <c r="AL120" s="22">
        <v>4</v>
      </c>
    </row>
    <row r="121" spans="1:38" x14ac:dyDescent="0.35">
      <c r="A121" s="24">
        <v>2024</v>
      </c>
      <c r="B121" s="24" t="s">
        <v>95</v>
      </c>
      <c r="C121" s="23">
        <v>45558</v>
      </c>
      <c r="D121" s="24" t="s">
        <v>70</v>
      </c>
      <c r="E121" s="25" t="s">
        <v>64</v>
      </c>
      <c r="F121" s="24" t="s">
        <v>71</v>
      </c>
      <c r="G121" s="24" t="s">
        <v>72</v>
      </c>
      <c r="H121" s="24" t="s">
        <v>67</v>
      </c>
      <c r="I121" s="60" t="s">
        <v>182</v>
      </c>
      <c r="J121" s="60">
        <v>5158596</v>
      </c>
      <c r="K121" s="60" t="s">
        <v>74</v>
      </c>
      <c r="L121" s="77">
        <v>11185</v>
      </c>
      <c r="M121" s="58">
        <v>183453</v>
      </c>
      <c r="N121" s="37">
        <v>29376</v>
      </c>
      <c r="O121" s="36">
        <v>29670</v>
      </c>
      <c r="P121" s="62">
        <v>29651</v>
      </c>
      <c r="Q121" s="62">
        <v>29622</v>
      </c>
      <c r="R121" s="27">
        <f>Q121-O121</f>
        <v>-48</v>
      </c>
      <c r="S121" s="27">
        <f>Q121-N121</f>
        <v>246</v>
      </c>
      <c r="T121" s="28">
        <f t="shared" si="56"/>
        <v>8.374183006536029E-3</v>
      </c>
      <c r="U121" s="28">
        <f t="shared" si="57"/>
        <v>-1.6177957532861331E-3</v>
      </c>
      <c r="V121" s="24" t="s">
        <v>183</v>
      </c>
      <c r="W121" s="24">
        <v>0</v>
      </c>
      <c r="X121" s="22">
        <v>7</v>
      </c>
      <c r="Y121" s="22">
        <v>0</v>
      </c>
      <c r="Z121" s="22">
        <v>22</v>
      </c>
      <c r="AA121" s="36">
        <f>O121-P121</f>
        <v>19</v>
      </c>
      <c r="AB121" s="22">
        <v>0</v>
      </c>
      <c r="AC121" s="22">
        <v>0</v>
      </c>
      <c r="AD121" s="22">
        <v>0</v>
      </c>
      <c r="AE121" s="22">
        <v>0</v>
      </c>
      <c r="AF121" s="22">
        <v>0</v>
      </c>
      <c r="AG121" s="22">
        <v>0</v>
      </c>
      <c r="AH121" s="24">
        <v>0</v>
      </c>
      <c r="AI121" s="27">
        <f t="shared" si="61"/>
        <v>48</v>
      </c>
      <c r="AJ121" s="27">
        <f t="shared" si="63"/>
        <v>0</v>
      </c>
      <c r="AK121" s="80" t="s">
        <v>184</v>
      </c>
      <c r="AL121" s="22">
        <v>4</v>
      </c>
    </row>
    <row r="122" spans="1:38" x14ac:dyDescent="0.35">
      <c r="A122" s="24">
        <v>2024</v>
      </c>
      <c r="B122" s="24" t="s">
        <v>95</v>
      </c>
      <c r="C122" s="23">
        <v>45558</v>
      </c>
      <c r="D122" s="24" t="s">
        <v>70</v>
      </c>
      <c r="E122" s="25" t="s">
        <v>64</v>
      </c>
      <c r="F122" s="24" t="s">
        <v>71</v>
      </c>
      <c r="G122" s="24" t="s">
        <v>72</v>
      </c>
      <c r="H122" s="24" t="s">
        <v>67</v>
      </c>
      <c r="I122" s="24" t="s">
        <v>185</v>
      </c>
      <c r="J122" s="60">
        <v>5157996</v>
      </c>
      <c r="K122" s="60" t="s">
        <v>74</v>
      </c>
      <c r="L122" s="78">
        <v>1372</v>
      </c>
      <c r="M122" s="22">
        <v>183471</v>
      </c>
      <c r="N122" s="37">
        <v>18036</v>
      </c>
      <c r="O122" s="36">
        <v>18036</v>
      </c>
      <c r="P122" s="62">
        <v>18031</v>
      </c>
      <c r="Q122" s="62">
        <v>18015</v>
      </c>
      <c r="R122" s="27">
        <f t="shared" ref="R122:R123" si="64">Q122-O122</f>
        <v>-21</v>
      </c>
      <c r="S122" s="27">
        <f t="shared" ref="S122:S123" si="65">Q122-N122</f>
        <v>-21</v>
      </c>
      <c r="T122" s="28">
        <f t="shared" si="56"/>
        <v>-1.1643379906852713E-3</v>
      </c>
      <c r="U122" s="28">
        <f t="shared" si="57"/>
        <v>-1.1643379906852713E-3</v>
      </c>
      <c r="V122" s="24" t="s">
        <v>186</v>
      </c>
      <c r="W122" s="24">
        <v>0</v>
      </c>
      <c r="X122" s="22">
        <v>1</v>
      </c>
      <c r="Y122" s="22">
        <v>0</v>
      </c>
      <c r="Z122" s="22">
        <v>15</v>
      </c>
      <c r="AA122" s="36">
        <f t="shared" ref="AA122:AA123" si="66">O122-P122</f>
        <v>5</v>
      </c>
      <c r="AB122" s="22">
        <v>0</v>
      </c>
      <c r="AC122" s="22">
        <v>0</v>
      </c>
      <c r="AD122" s="22">
        <v>0</v>
      </c>
      <c r="AE122" s="22">
        <v>0</v>
      </c>
      <c r="AF122" s="22">
        <v>0</v>
      </c>
      <c r="AG122" s="22">
        <v>0</v>
      </c>
      <c r="AH122" s="24">
        <v>0</v>
      </c>
      <c r="AI122" s="27">
        <f t="shared" si="61"/>
        <v>21</v>
      </c>
      <c r="AJ122" s="27">
        <f t="shared" si="63"/>
        <v>0</v>
      </c>
      <c r="AK122" s="80" t="s">
        <v>187</v>
      </c>
      <c r="AL122" s="22">
        <v>4</v>
      </c>
    </row>
    <row r="123" spans="1:38" x14ac:dyDescent="0.35">
      <c r="A123" s="95">
        <v>2024</v>
      </c>
      <c r="B123" s="95" t="s">
        <v>95</v>
      </c>
      <c r="C123" s="96">
        <v>45558</v>
      </c>
      <c r="D123" s="95" t="s">
        <v>70</v>
      </c>
      <c r="E123" s="97" t="s">
        <v>64</v>
      </c>
      <c r="F123" s="95" t="s">
        <v>71</v>
      </c>
      <c r="G123" s="95" t="s">
        <v>72</v>
      </c>
      <c r="H123" s="95" t="s">
        <v>67</v>
      </c>
      <c r="I123" s="95" t="s">
        <v>188</v>
      </c>
      <c r="J123" s="98">
        <v>5158001</v>
      </c>
      <c r="K123" s="99" t="s">
        <v>74</v>
      </c>
      <c r="L123" s="100">
        <v>961.8</v>
      </c>
      <c r="M123" s="101">
        <v>182472</v>
      </c>
      <c r="N123" s="102">
        <v>12420</v>
      </c>
      <c r="O123" s="103">
        <v>12420</v>
      </c>
      <c r="P123" s="104">
        <v>12419</v>
      </c>
      <c r="Q123" s="105">
        <v>12414</v>
      </c>
      <c r="R123" s="106">
        <f t="shared" si="64"/>
        <v>-6</v>
      </c>
      <c r="S123" s="106">
        <f t="shared" si="65"/>
        <v>-6</v>
      </c>
      <c r="T123" s="107">
        <f t="shared" si="56"/>
        <v>-4.8309178743966008E-4</v>
      </c>
      <c r="U123" s="107">
        <f t="shared" si="57"/>
        <v>-4.8309178743966008E-4</v>
      </c>
      <c r="V123" s="95" t="s">
        <v>189</v>
      </c>
      <c r="W123" s="95">
        <v>0</v>
      </c>
      <c r="X123" s="98">
        <v>2</v>
      </c>
      <c r="Y123" s="98">
        <v>0</v>
      </c>
      <c r="Z123" s="98">
        <v>3</v>
      </c>
      <c r="AA123" s="103">
        <f t="shared" si="66"/>
        <v>1</v>
      </c>
      <c r="AB123" s="98">
        <v>0</v>
      </c>
      <c r="AC123" s="98">
        <v>0</v>
      </c>
      <c r="AD123" s="98">
        <v>0</v>
      </c>
      <c r="AE123" s="98">
        <v>0</v>
      </c>
      <c r="AF123" s="98">
        <v>0</v>
      </c>
      <c r="AG123" s="98">
        <v>0</v>
      </c>
      <c r="AH123" s="95">
        <v>0</v>
      </c>
      <c r="AI123" s="106">
        <f>SUM(X123:AH123)</f>
        <v>6</v>
      </c>
      <c r="AJ123" s="106">
        <f>R123+AI123</f>
        <v>0</v>
      </c>
      <c r="AK123" s="108"/>
      <c r="AL123" s="98">
        <v>4</v>
      </c>
    </row>
  </sheetData>
  <autoFilter ref="A2:AL123" xr:uid="{DADC583B-5FA1-43B6-BEED-54F49B9AD747}"/>
  <mergeCells count="1">
    <mergeCell ref="A1:AL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dcterms:created xsi:type="dcterms:W3CDTF">2024-06-26T08:39:04Z</dcterms:created>
  <dcterms:modified xsi:type="dcterms:W3CDTF">2024-10-02T09:22:38Z</dcterms:modified>
</cp:coreProperties>
</file>