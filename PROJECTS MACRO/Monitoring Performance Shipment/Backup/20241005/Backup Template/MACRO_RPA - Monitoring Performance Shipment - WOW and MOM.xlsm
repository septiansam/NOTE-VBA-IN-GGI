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2A86CC5F-CF3E-4EE8-BBE8-44DC8E645EA4}" xr6:coauthVersionLast="47" xr6:coauthVersionMax="47" xr10:uidLastSave="{00000000-0000-0000-0000-000000000000}"/>
  <bookViews>
    <workbookView xWindow="-120" yWindow="-120" windowWidth="20730" windowHeight="11160" activeTab="2" xr2:uid="{2CCE3C95-2940-4053-8BE7-2A6EFE1350AC}"/>
  </bookViews>
  <sheets>
    <sheet name="HOME" sheetId="3" r:id="rId1"/>
    <sheet name="CC1_UserInput" sheetId="6" r:id="rId2"/>
    <sheet name="Temp_REPORT1" sheetId="14" r:id="rId3"/>
    <sheet name="Sheet6" sheetId="17" r:id="rId4"/>
    <sheet name="RESUME1" sheetId="15" r:id="rId5"/>
    <sheet name="Sheet5" sheetId="16" r:id="rId6"/>
    <sheet name="DM" sheetId="8" r:id="rId7"/>
  </sheets>
  <definedNames>
    <definedName name="_xlnm._FilterDatabase" localSheetId="1" hidden="1">CC1_UserInput!$A$1:$Q$278</definedName>
    <definedName name="_xlnm._FilterDatabase" localSheetId="5" hidden="1">Sheet5!$A$1:$A$135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14" l="1"/>
  <c r="DY6" i="14" l="1"/>
  <c r="DY16" i="14" s="1"/>
  <c r="DZ6" i="14"/>
  <c r="DZ16" i="14" s="1"/>
  <c r="EA6" i="14"/>
  <c r="EB6" i="14"/>
  <c r="EB16" i="14" s="1"/>
  <c r="DX6" i="14"/>
  <c r="DX16" i="14" s="1"/>
  <c r="DT6" i="14"/>
  <c r="DU6" i="14"/>
  <c r="DV6" i="14"/>
  <c r="DW6" i="14"/>
  <c r="DS6" i="14"/>
  <c r="DS16" i="14" s="1"/>
  <c r="DN6" i="14"/>
  <c r="DN16" i="14" s="1"/>
  <c r="DO6" i="14"/>
  <c r="DO16" i="14" s="1"/>
  <c r="DP6" i="14"/>
  <c r="DQ6" i="14"/>
  <c r="DM6" i="14"/>
  <c r="DM16" i="14" s="1"/>
  <c r="DI6" i="14"/>
  <c r="DJ6" i="14"/>
  <c r="DJ16" i="14" s="1"/>
  <c r="DK6" i="14"/>
  <c r="DK16" i="14" s="1"/>
  <c r="DL6" i="14"/>
  <c r="DL16" i="14" s="1"/>
  <c r="DH6" i="14"/>
  <c r="DC6" i="14"/>
  <c r="DD6" i="14"/>
  <c r="DD16" i="14" s="1"/>
  <c r="DE6" i="14"/>
  <c r="DE16" i="14" s="1"/>
  <c r="DF6" i="14"/>
  <c r="DF16" i="14" s="1"/>
  <c r="DB6" i="14"/>
  <c r="DB16" i="14" s="1"/>
  <c r="CX6" i="14"/>
  <c r="CY6" i="14"/>
  <c r="CY16" i="14" s="1"/>
  <c r="CZ6" i="14"/>
  <c r="CZ16" i="14" s="1"/>
  <c r="DA6" i="14"/>
  <c r="DA16" i="14" s="1"/>
  <c r="CW6" i="14"/>
  <c r="CW16" i="14" s="1"/>
  <c r="CR6" i="14"/>
  <c r="CR16" i="14" s="1"/>
  <c r="CS6" i="14"/>
  <c r="CT6" i="14"/>
  <c r="CT16" i="14" s="1"/>
  <c r="CU6" i="14"/>
  <c r="CU16" i="14" s="1"/>
  <c r="CQ6" i="14"/>
  <c r="CQ16" i="14" s="1"/>
  <c r="CM6" i="14"/>
  <c r="CM16" i="14" s="1"/>
  <c r="CN6" i="14"/>
  <c r="CN16" i="14" s="1"/>
  <c r="CO6" i="14"/>
  <c r="CO16" i="14" s="1"/>
  <c r="CP6" i="14"/>
  <c r="CP16" i="14" s="1"/>
  <c r="CL6" i="14"/>
  <c r="CL16" i="14" s="1"/>
  <c r="CG6" i="14"/>
  <c r="CH6" i="14"/>
  <c r="CI6" i="14"/>
  <c r="CI16" i="14" s="1"/>
  <c r="CJ6" i="14"/>
  <c r="CJ16" i="14" s="1"/>
  <c r="CF6" i="14"/>
  <c r="CF16" i="14" s="1"/>
  <c r="CB6" i="14"/>
  <c r="CC6" i="14"/>
  <c r="CC16" i="14" s="1"/>
  <c r="CD6" i="14"/>
  <c r="CD16" i="14" s="1"/>
  <c r="CE6" i="14"/>
  <c r="CE16" i="14" s="1"/>
  <c r="CA6" i="14"/>
  <c r="CA16" i="14" s="1"/>
  <c r="BV6" i="14"/>
  <c r="BV16" i="14" s="1"/>
  <c r="BW6" i="14"/>
  <c r="BX6" i="14"/>
  <c r="BX16" i="14" s="1"/>
  <c r="BY6" i="14"/>
  <c r="BY16" i="14" s="1"/>
  <c r="BU6" i="14"/>
  <c r="BU16" i="14" s="1"/>
  <c r="BQ6" i="14"/>
  <c r="BR6" i="14"/>
  <c r="BR16" i="14" s="1"/>
  <c r="BS6" i="14"/>
  <c r="BS16" i="14" s="1"/>
  <c r="BT6" i="14"/>
  <c r="BT16" i="14" s="1"/>
  <c r="BP6" i="14"/>
  <c r="BP16" i="14" s="1"/>
  <c r="BK6" i="14"/>
  <c r="BK16" i="14" s="1"/>
  <c r="BL6" i="14"/>
  <c r="BM6" i="14"/>
  <c r="BN6" i="14"/>
  <c r="BJ6" i="14"/>
  <c r="BJ16" i="14" s="1"/>
  <c r="BF6" i="14"/>
  <c r="BF16" i="14" s="1"/>
  <c r="BG6" i="14"/>
  <c r="BG16" i="14" s="1"/>
  <c r="BH6" i="14"/>
  <c r="BH16" i="14" s="1"/>
  <c r="BI6" i="14"/>
  <c r="BI16" i="14" s="1"/>
  <c r="BE6" i="14"/>
  <c r="BE16" i="14" s="1"/>
  <c r="AZ6" i="14"/>
  <c r="BA6" i="14"/>
  <c r="BA16" i="14" s="1"/>
  <c r="BB6" i="14"/>
  <c r="BC6" i="14"/>
  <c r="AY6" i="14"/>
  <c r="AY16" i="14" s="1"/>
  <c r="AU6" i="14"/>
  <c r="AU16" i="14" s="1"/>
  <c r="AV6" i="14"/>
  <c r="AV16" i="14" s="1"/>
  <c r="AW6" i="14"/>
  <c r="AW16" i="14" s="1"/>
  <c r="AX6" i="14"/>
  <c r="AX16" i="14" s="1"/>
  <c r="AT6" i="14"/>
  <c r="AT16" i="14" s="1"/>
  <c r="AO6" i="14"/>
  <c r="AO16" i="14" s="1"/>
  <c r="AP6" i="14"/>
  <c r="AP16" i="14" s="1"/>
  <c r="AQ6" i="14"/>
  <c r="AQ16" i="14" s="1"/>
  <c r="AR6" i="14"/>
  <c r="AR16" i="14" s="1"/>
  <c r="AS6" i="14"/>
  <c r="AN6" i="14"/>
  <c r="AN16" i="14" s="1"/>
  <c r="AJ6" i="14"/>
  <c r="AJ16" i="14" s="1"/>
  <c r="AK6" i="14"/>
  <c r="AK16" i="14" s="1"/>
  <c r="AL6" i="14"/>
  <c r="AL16" i="14" s="1"/>
  <c r="AM6" i="14"/>
  <c r="AM16" i="14" s="1"/>
  <c r="AI6" i="14"/>
  <c r="AI16" i="14" s="1"/>
  <c r="AD6" i="14"/>
  <c r="AD16" i="14" s="1"/>
  <c r="AE6" i="14"/>
  <c r="AE16" i="14" s="1"/>
  <c r="AF6" i="14"/>
  <c r="AG6" i="14"/>
  <c r="AG16" i="14" s="1"/>
  <c r="AC6" i="14"/>
  <c r="AC16" i="14" s="1"/>
  <c r="Y6" i="14"/>
  <c r="Y16" i="14" s="1"/>
  <c r="Z6" i="14"/>
  <c r="Z16" i="14" s="1"/>
  <c r="AA6" i="14"/>
  <c r="AA16" i="14" s="1"/>
  <c r="AB6" i="14"/>
  <c r="AB16" i="14" s="1"/>
  <c r="X6" i="14"/>
  <c r="X16" i="14" s="1"/>
  <c r="DX17" i="14"/>
  <c r="DS17" i="14"/>
  <c r="DM17" i="14"/>
  <c r="DH17" i="14"/>
  <c r="DB17" i="14"/>
  <c r="CW17" i="14"/>
  <c r="CQ17" i="14"/>
  <c r="CL17" i="14"/>
  <c r="CF17" i="14"/>
  <c r="CA17" i="14"/>
  <c r="BU17" i="14"/>
  <c r="BP17" i="14"/>
  <c r="BJ17" i="14"/>
  <c r="BE17" i="14"/>
  <c r="AY17" i="14"/>
  <c r="AT17" i="14"/>
  <c r="AN17" i="14"/>
  <c r="AI17" i="14"/>
  <c r="AC17" i="14"/>
  <c r="X17" i="14"/>
  <c r="X20" i="14" s="1"/>
  <c r="R17" i="14"/>
  <c r="R20" i="14" s="1"/>
  <c r="EA16" i="14"/>
  <c r="DT16" i="14"/>
  <c r="DQ16" i="14"/>
  <c r="DP16" i="14"/>
  <c r="DI16" i="14"/>
  <c r="DH16" i="14"/>
  <c r="DC16" i="14"/>
  <c r="CX16" i="14"/>
  <c r="CS16" i="14"/>
  <c r="CH16" i="14"/>
  <c r="CG16" i="14"/>
  <c r="CB16" i="14"/>
  <c r="BW16" i="14"/>
  <c r="BQ16" i="14"/>
  <c r="BN16" i="14"/>
  <c r="BM16" i="14"/>
  <c r="BL16" i="14"/>
  <c r="BC16" i="14"/>
  <c r="BB16" i="14"/>
  <c r="AZ16" i="14"/>
  <c r="AF16" i="14"/>
  <c r="V6" i="14"/>
  <c r="V16" i="14" s="1"/>
  <c r="U6" i="14"/>
  <c r="U16" i="14" s="1"/>
  <c r="T6" i="14"/>
  <c r="T16" i="14" s="1"/>
  <c r="S6" i="14"/>
  <c r="S16" i="14" s="1"/>
  <c r="R6" i="14"/>
  <c r="R16" i="14" s="1"/>
  <c r="Q6" i="14"/>
  <c r="Q16" i="14" s="1"/>
  <c r="P6" i="14"/>
  <c r="P16" i="14" s="1"/>
  <c r="O6" i="14"/>
  <c r="O16" i="14" s="1"/>
  <c r="N6" i="14"/>
  <c r="N16" i="14" s="1"/>
  <c r="M6" i="14"/>
  <c r="M16" i="14" s="1"/>
  <c r="M19" i="14" s="1"/>
  <c r="K6" i="14"/>
  <c r="K16" i="14" s="1"/>
  <c r="J6" i="14"/>
  <c r="J16" i="14" s="1"/>
  <c r="I6" i="14"/>
  <c r="I16" i="14" s="1"/>
  <c r="H6" i="14"/>
  <c r="H16" i="14" s="1"/>
  <c r="G6" i="14"/>
  <c r="G16" i="14" s="1"/>
  <c r="F6" i="14"/>
  <c r="F16" i="14" s="1"/>
  <c r="E6" i="14"/>
  <c r="E16" i="14" s="1"/>
  <c r="D6" i="14"/>
  <c r="D16" i="14" s="1"/>
  <c r="C6" i="14"/>
  <c r="C16" i="14" s="1"/>
  <c r="B6" i="14"/>
  <c r="B16" i="14" s="1"/>
  <c r="DM20" i="14" l="1"/>
  <c r="R19" i="14"/>
  <c r="DB20" i="14"/>
  <c r="BJ20" i="14"/>
  <c r="DH20" i="14"/>
  <c r="BP20" i="14"/>
  <c r="DB19" i="14"/>
  <c r="BJ19" i="14"/>
  <c r="AI19" i="14"/>
  <c r="CA19" i="14"/>
  <c r="DS19" i="14"/>
  <c r="H19" i="14"/>
  <c r="BR19" i="14"/>
  <c r="AI20" i="14"/>
  <c r="CA20" i="14"/>
  <c r="DS20" i="14"/>
  <c r="Q19" i="14"/>
  <c r="DA19" i="14"/>
  <c r="AC20" i="14"/>
  <c r="AN20" i="14"/>
  <c r="CF20" i="14"/>
  <c r="DX20" i="14"/>
  <c r="DZ19" i="14"/>
  <c r="BI19" i="14"/>
  <c r="EA19" i="14"/>
  <c r="AT20" i="14"/>
  <c r="CL20" i="14"/>
  <c r="CR19" i="14"/>
  <c r="AY20" i="14"/>
  <c r="CQ20" i="14"/>
  <c r="Z19" i="14"/>
  <c r="AQ19" i="14"/>
  <c r="AZ19" i="14"/>
  <c r="CI19" i="14"/>
  <c r="DJ19" i="14"/>
  <c r="BU20" i="14"/>
  <c r="DU16" i="14"/>
  <c r="DU19" i="14" s="1"/>
  <c r="C19" i="14"/>
  <c r="K19" i="14"/>
  <c r="T19" i="14"/>
  <c r="AL19" i="14"/>
  <c r="AU19" i="14"/>
  <c r="BC19" i="14"/>
  <c r="BL19" i="14"/>
  <c r="CU19" i="14"/>
  <c r="DV16" i="14"/>
  <c r="D19" i="14"/>
  <c r="U19" i="14"/>
  <c r="AD19" i="14"/>
  <c r="AM19" i="14"/>
  <c r="AV19" i="14"/>
  <c r="BE19" i="14"/>
  <c r="BM19" i="14"/>
  <c r="BV19" i="14"/>
  <c r="CE19" i="14"/>
  <c r="CN19" i="14"/>
  <c r="CW19" i="14"/>
  <c r="DE19" i="14"/>
  <c r="DW16" i="14"/>
  <c r="AN19" i="14"/>
  <c r="CF19" i="14"/>
  <c r="DX19" i="14"/>
  <c r="M20" i="14"/>
  <c r="BE20" i="14"/>
  <c r="CW20" i="14"/>
  <c r="E19" i="14"/>
  <c r="N19" i="14"/>
  <c r="V19" i="14"/>
  <c r="AE19" i="14"/>
  <c r="AW19" i="14"/>
  <c r="BF19" i="14"/>
  <c r="BN19" i="14"/>
  <c r="BW19" i="14"/>
  <c r="CO19" i="14"/>
  <c r="CX19" i="14"/>
  <c r="DF19" i="14"/>
  <c r="F19" i="14"/>
  <c r="O19" i="14"/>
  <c r="X19" i="14"/>
  <c r="AF19" i="14"/>
  <c r="AO19" i="14"/>
  <c r="AX19" i="14"/>
  <c r="BG19" i="14"/>
  <c r="BP19" i="14"/>
  <c r="BX19" i="14"/>
  <c r="CG19" i="14"/>
  <c r="CP19" i="14"/>
  <c r="CY19" i="14"/>
  <c r="DH19" i="14"/>
  <c r="DP19" i="14"/>
  <c r="P19" i="14"/>
  <c r="Y19" i="14"/>
  <c r="AG19" i="14"/>
  <c r="AP19" i="14"/>
  <c r="AY19" i="14"/>
  <c r="BH19" i="14"/>
  <c r="BQ19" i="14"/>
  <c r="BY19" i="14"/>
  <c r="CH19" i="14"/>
  <c r="CQ19" i="14"/>
  <c r="CZ19" i="14"/>
  <c r="DI19" i="14"/>
  <c r="DQ19" i="14"/>
  <c r="AJ19" i="14"/>
  <c r="BA19" i="14"/>
  <c r="BS19" i="14"/>
  <c r="CB19" i="14"/>
  <c r="CS19" i="14"/>
  <c r="DK19" i="14"/>
  <c r="DT19" i="14"/>
  <c r="J19" i="14"/>
  <c r="S19" i="14"/>
  <c r="AB19" i="14"/>
  <c r="AK19" i="14"/>
  <c r="AT19" i="14"/>
  <c r="BB19" i="14"/>
  <c r="BK19" i="14"/>
  <c r="BT19" i="14"/>
  <c r="CC19" i="14"/>
  <c r="CL19" i="14"/>
  <c r="CT19" i="14"/>
  <c r="DC19" i="14"/>
  <c r="DL19" i="14"/>
  <c r="DY19" i="14"/>
  <c r="I19" i="14"/>
  <c r="AA19" i="14"/>
  <c r="AR19" i="14"/>
  <c r="CJ19" i="14"/>
  <c r="EB19" i="14"/>
  <c r="AC19" i="14"/>
  <c r="BU19" i="14"/>
  <c r="CD19" i="14"/>
  <c r="CM19" i="14"/>
  <c r="DD19" i="14"/>
  <c r="DM19" i="14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254" i="6"/>
  <c r="O255" i="6"/>
  <c r="O256" i="6"/>
  <c r="O257" i="6"/>
  <c r="O258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74" i="6"/>
  <c r="O275" i="6"/>
  <c r="O276" i="6"/>
  <c r="O277" i="6"/>
  <c r="O278" i="6"/>
  <c r="O2" i="6"/>
  <c r="DV19" i="14" l="1"/>
  <c r="DW19" i="14"/>
  <c r="R58" i="6"/>
  <c r="S2" i="6"/>
  <c r="R273" i="6"/>
  <c r="R57" i="6"/>
  <c r="R2" i="6"/>
  <c r="R274" i="6"/>
  <c r="R250" i="6"/>
  <c r="R258" i="6"/>
  <c r="S242" i="6"/>
  <c r="S234" i="6"/>
  <c r="R226" i="6"/>
  <c r="S218" i="6"/>
  <c r="S210" i="6"/>
  <c r="R202" i="6"/>
  <c r="S266" i="6"/>
  <c r="R186" i="6"/>
  <c r="S178" i="6"/>
  <c r="S170" i="6"/>
  <c r="R146" i="6"/>
  <c r="S138" i="6"/>
  <c r="S130" i="6"/>
  <c r="S106" i="6"/>
  <c r="S98" i="6"/>
  <c r="R90" i="6"/>
  <c r="S82" i="6"/>
  <c r="S74" i="6"/>
  <c r="R50" i="6"/>
  <c r="S42" i="6"/>
  <c r="R34" i="6"/>
  <c r="S26" i="6"/>
  <c r="S18" i="6"/>
  <c r="S10" i="6"/>
  <c r="S273" i="6"/>
  <c r="R257" i="6"/>
  <c r="R241" i="6"/>
  <c r="S225" i="6"/>
  <c r="R209" i="6"/>
  <c r="R201" i="6"/>
  <c r="R185" i="6"/>
  <c r="R169" i="6"/>
  <c r="S153" i="6"/>
  <c r="R137" i="6"/>
  <c r="R129" i="6"/>
  <c r="S113" i="6"/>
  <c r="S97" i="6"/>
  <c r="R89" i="6"/>
  <c r="S73" i="6"/>
  <c r="S57" i="6"/>
  <c r="R41" i="6"/>
  <c r="R25" i="6"/>
  <c r="S9" i="6"/>
  <c r="R194" i="6"/>
  <c r="S154" i="6"/>
  <c r="R114" i="6"/>
  <c r="S58" i="6"/>
  <c r="S265" i="6"/>
  <c r="S233" i="6"/>
  <c r="S193" i="6"/>
  <c r="S161" i="6"/>
  <c r="S121" i="6"/>
  <c r="S81" i="6"/>
  <c r="S49" i="6"/>
  <c r="R17" i="6"/>
  <c r="S162" i="6"/>
  <c r="S122" i="6"/>
  <c r="R66" i="6"/>
  <c r="S249" i="6"/>
  <c r="S217" i="6"/>
  <c r="R177" i="6"/>
  <c r="S145" i="6"/>
  <c r="R105" i="6"/>
  <c r="R65" i="6"/>
  <c r="S33" i="6"/>
  <c r="S274" i="6" l="1"/>
  <c r="S169" i="6"/>
  <c r="S250" i="6"/>
  <c r="R33" i="6"/>
  <c r="S177" i="6"/>
  <c r="R193" i="6"/>
  <c r="R10" i="6"/>
  <c r="S185" i="6"/>
  <c r="S201" i="6"/>
  <c r="R113" i="6"/>
  <c r="R217" i="6"/>
  <c r="R42" i="6"/>
  <c r="R178" i="6"/>
  <c r="S209" i="6"/>
  <c r="R225" i="6"/>
  <c r="R234" i="6"/>
  <c r="R218" i="6"/>
  <c r="S226" i="6"/>
  <c r="S202" i="6"/>
  <c r="R106" i="6"/>
  <c r="R266" i="6"/>
  <c r="R242" i="6"/>
  <c r="S258" i="6"/>
  <c r="R138" i="6"/>
  <c r="R233" i="6"/>
  <c r="S186" i="6"/>
  <c r="S105" i="6"/>
  <c r="R154" i="6"/>
  <c r="R265" i="6"/>
  <c r="S194" i="6"/>
  <c r="S224" i="6"/>
  <c r="R224" i="6"/>
  <c r="S167" i="6"/>
  <c r="R167" i="6"/>
  <c r="S261" i="6"/>
  <c r="R261" i="6"/>
  <c r="S163" i="6"/>
  <c r="R163" i="6"/>
  <c r="S188" i="6"/>
  <c r="R188" i="6"/>
  <c r="R28" i="6"/>
  <c r="S28" i="6"/>
  <c r="S244" i="6"/>
  <c r="R244" i="6"/>
  <c r="S207" i="6"/>
  <c r="R207" i="6"/>
  <c r="R111" i="6"/>
  <c r="S111" i="6"/>
  <c r="S144" i="6"/>
  <c r="R144" i="6"/>
  <c r="R14" i="6"/>
  <c r="S14" i="6"/>
  <c r="R51" i="6"/>
  <c r="S51" i="6"/>
  <c r="R212" i="6"/>
  <c r="S212" i="6"/>
  <c r="S119" i="6"/>
  <c r="R119" i="6"/>
  <c r="S192" i="6"/>
  <c r="R192" i="6"/>
  <c r="R79" i="6"/>
  <c r="S79" i="6"/>
  <c r="R196" i="6"/>
  <c r="S196" i="6"/>
  <c r="S221" i="6"/>
  <c r="R221" i="6"/>
  <c r="S6" i="6"/>
  <c r="R6" i="6"/>
  <c r="R270" i="6"/>
  <c r="S270" i="6"/>
  <c r="S187" i="6"/>
  <c r="R187" i="6"/>
  <c r="S236" i="6"/>
  <c r="R236" i="6"/>
  <c r="S31" i="6"/>
  <c r="R31" i="6"/>
  <c r="S71" i="6"/>
  <c r="R71" i="6"/>
  <c r="S43" i="6"/>
  <c r="R43" i="6"/>
  <c r="S171" i="6"/>
  <c r="R171" i="6"/>
  <c r="S278" i="6"/>
  <c r="R278" i="6"/>
  <c r="S56" i="6"/>
  <c r="R56" i="6"/>
  <c r="S63" i="6"/>
  <c r="R63" i="6"/>
  <c r="R36" i="6"/>
  <c r="S36" i="6"/>
  <c r="R37" i="6"/>
  <c r="S37" i="6"/>
  <c r="S101" i="6"/>
  <c r="R101" i="6"/>
  <c r="R165" i="6"/>
  <c r="S165" i="6"/>
  <c r="S253" i="6"/>
  <c r="R253" i="6"/>
  <c r="S220" i="6"/>
  <c r="R220" i="6"/>
  <c r="S190" i="6"/>
  <c r="R190" i="6"/>
  <c r="R73" i="6"/>
  <c r="R153" i="6"/>
  <c r="R9" i="6"/>
  <c r="R18" i="6"/>
  <c r="R122" i="6"/>
  <c r="S17" i="6"/>
  <c r="S137" i="6"/>
  <c r="S66" i="6"/>
  <c r="S30" i="6"/>
  <c r="R30" i="6"/>
  <c r="S158" i="6"/>
  <c r="R158" i="6"/>
  <c r="S83" i="6"/>
  <c r="R83" i="6"/>
  <c r="R211" i="6"/>
  <c r="S211" i="6"/>
  <c r="R52" i="6"/>
  <c r="S52" i="6"/>
  <c r="S276" i="6"/>
  <c r="R276" i="6"/>
  <c r="S22" i="6"/>
  <c r="R22" i="6"/>
  <c r="S272" i="6"/>
  <c r="R272" i="6"/>
  <c r="S271" i="6"/>
  <c r="R271" i="6"/>
  <c r="S48" i="6"/>
  <c r="R48" i="6"/>
  <c r="S24" i="6"/>
  <c r="R24" i="6"/>
  <c r="S128" i="6"/>
  <c r="R128" i="6"/>
  <c r="S67" i="6"/>
  <c r="R67" i="6"/>
  <c r="S195" i="6"/>
  <c r="R195" i="6"/>
  <c r="S116" i="6"/>
  <c r="R116" i="6"/>
  <c r="R143" i="6"/>
  <c r="S143" i="6"/>
  <c r="S60" i="6"/>
  <c r="R60" i="6"/>
  <c r="S268" i="6"/>
  <c r="R268" i="6"/>
  <c r="S45" i="6"/>
  <c r="R45" i="6"/>
  <c r="S109" i="6"/>
  <c r="R109" i="6"/>
  <c r="S173" i="6"/>
  <c r="R173" i="6"/>
  <c r="R166" i="6"/>
  <c r="S166" i="6"/>
  <c r="S260" i="6"/>
  <c r="R260" i="6"/>
  <c r="S15" i="6"/>
  <c r="R15" i="6"/>
  <c r="R81" i="6"/>
  <c r="R249" i="6"/>
  <c r="R82" i="6"/>
  <c r="R49" i="6"/>
  <c r="R74" i="6"/>
  <c r="R170" i="6"/>
  <c r="S25" i="6"/>
  <c r="S241" i="6"/>
  <c r="S50" i="6"/>
  <c r="S155" i="6"/>
  <c r="R155" i="6"/>
  <c r="S215" i="6"/>
  <c r="R215" i="6"/>
  <c r="S85" i="6"/>
  <c r="R85" i="6"/>
  <c r="S118" i="6"/>
  <c r="R118" i="6"/>
  <c r="S72" i="6"/>
  <c r="R72" i="6"/>
  <c r="S20" i="6"/>
  <c r="R20" i="6"/>
  <c r="S160" i="6"/>
  <c r="R160" i="6"/>
  <c r="S40" i="6"/>
  <c r="R40" i="6"/>
  <c r="R46" i="6"/>
  <c r="S46" i="6"/>
  <c r="R174" i="6"/>
  <c r="S174" i="6"/>
  <c r="R78" i="6"/>
  <c r="S78" i="6"/>
  <c r="S91" i="6"/>
  <c r="R91" i="6"/>
  <c r="S219" i="6"/>
  <c r="R219" i="6"/>
  <c r="S76" i="6"/>
  <c r="R76" i="6"/>
  <c r="R126" i="6"/>
  <c r="S126" i="6"/>
  <c r="S104" i="6"/>
  <c r="R104" i="6"/>
  <c r="S256" i="6"/>
  <c r="R256" i="6"/>
  <c r="S255" i="6"/>
  <c r="R255" i="6"/>
  <c r="S7" i="6"/>
  <c r="R7" i="6"/>
  <c r="S200" i="6"/>
  <c r="R200" i="6"/>
  <c r="S87" i="6"/>
  <c r="R87" i="6"/>
  <c r="S75" i="6"/>
  <c r="R75" i="6"/>
  <c r="S203" i="6"/>
  <c r="R203" i="6"/>
  <c r="R164" i="6"/>
  <c r="S164" i="6"/>
  <c r="R184" i="6"/>
  <c r="S184" i="6"/>
  <c r="S68" i="6"/>
  <c r="R68" i="6"/>
  <c r="R80" i="6"/>
  <c r="S80" i="6"/>
  <c r="S53" i="6"/>
  <c r="R53" i="6"/>
  <c r="S117" i="6"/>
  <c r="R117" i="6"/>
  <c r="S181" i="6"/>
  <c r="R181" i="6"/>
  <c r="R4" i="6"/>
  <c r="S4" i="6"/>
  <c r="R208" i="6"/>
  <c r="S208" i="6"/>
  <c r="R142" i="6"/>
  <c r="S142" i="6"/>
  <c r="R26" i="6"/>
  <c r="R98" i="6"/>
  <c r="R97" i="6"/>
  <c r="R130" i="6"/>
  <c r="S34" i="6"/>
  <c r="S257" i="6"/>
  <c r="S41" i="6"/>
  <c r="S146" i="6"/>
  <c r="S238" i="6"/>
  <c r="R238" i="6"/>
  <c r="S32" i="6"/>
  <c r="R32" i="6"/>
  <c r="S246" i="6"/>
  <c r="R246" i="6"/>
  <c r="S179" i="6"/>
  <c r="R179" i="6"/>
  <c r="S35" i="6"/>
  <c r="R35" i="6"/>
  <c r="S157" i="6"/>
  <c r="R157" i="6"/>
  <c r="S129" i="6"/>
  <c r="R62" i="6"/>
  <c r="S62" i="6"/>
  <c r="S245" i="6"/>
  <c r="R245" i="6"/>
  <c r="S150" i="6"/>
  <c r="R150" i="6"/>
  <c r="S239" i="6"/>
  <c r="R239" i="6"/>
  <c r="R216" i="6"/>
  <c r="S216" i="6"/>
  <c r="S95" i="6"/>
  <c r="R95" i="6"/>
  <c r="S99" i="6"/>
  <c r="R99" i="6"/>
  <c r="S227" i="6"/>
  <c r="R227" i="6"/>
  <c r="S204" i="6"/>
  <c r="R204" i="6"/>
  <c r="R229" i="6"/>
  <c r="S229" i="6"/>
  <c r="S206" i="6"/>
  <c r="R206" i="6"/>
  <c r="S92" i="6"/>
  <c r="R92" i="6"/>
  <c r="S247" i="6"/>
  <c r="R247" i="6"/>
  <c r="R61" i="6"/>
  <c r="S61" i="6"/>
  <c r="R125" i="6"/>
  <c r="S125" i="6"/>
  <c r="S189" i="6"/>
  <c r="R189" i="6"/>
  <c r="S44" i="6"/>
  <c r="R44" i="6"/>
  <c r="S230" i="6"/>
  <c r="R230" i="6"/>
  <c r="R121" i="6"/>
  <c r="S89" i="6"/>
  <c r="S65" i="6"/>
  <c r="S90" i="6"/>
  <c r="R110" i="6"/>
  <c r="S110" i="6"/>
  <c r="S135" i="6"/>
  <c r="R135" i="6"/>
  <c r="S21" i="6"/>
  <c r="R21" i="6"/>
  <c r="R248" i="6"/>
  <c r="S248" i="6"/>
  <c r="R112" i="6"/>
  <c r="S112" i="6"/>
  <c r="R29" i="6"/>
  <c r="S29" i="6"/>
  <c r="S59" i="6"/>
  <c r="R59" i="6"/>
  <c r="S151" i="6"/>
  <c r="R151" i="6"/>
  <c r="R100" i="6"/>
  <c r="S100" i="6"/>
  <c r="S127" i="6"/>
  <c r="R127" i="6"/>
  <c r="R70" i="6"/>
  <c r="S70" i="6"/>
  <c r="S277" i="6"/>
  <c r="R277" i="6"/>
  <c r="S123" i="6"/>
  <c r="R123" i="6"/>
  <c r="R251" i="6"/>
  <c r="S251" i="6"/>
  <c r="R132" i="6"/>
  <c r="S132" i="6"/>
  <c r="S191" i="6"/>
  <c r="R191" i="6"/>
  <c r="S159" i="6"/>
  <c r="R159" i="6"/>
  <c r="R199" i="6"/>
  <c r="S199" i="6"/>
  <c r="S175" i="6"/>
  <c r="R175" i="6"/>
  <c r="R8" i="6"/>
  <c r="S8" i="6"/>
  <c r="S23" i="6"/>
  <c r="R23" i="6"/>
  <c r="S107" i="6"/>
  <c r="R107" i="6"/>
  <c r="S235" i="6"/>
  <c r="R235" i="6"/>
  <c r="S228" i="6"/>
  <c r="R228" i="6"/>
  <c r="R16" i="6"/>
  <c r="S16" i="6"/>
  <c r="S275" i="6"/>
  <c r="R275" i="6"/>
  <c r="S108" i="6"/>
  <c r="R108" i="6"/>
  <c r="S5" i="6"/>
  <c r="R5" i="6"/>
  <c r="R69" i="6"/>
  <c r="S69" i="6"/>
  <c r="S133" i="6"/>
  <c r="R133" i="6"/>
  <c r="R197" i="6"/>
  <c r="S197" i="6"/>
  <c r="R84" i="6"/>
  <c r="S84" i="6"/>
  <c r="S237" i="6"/>
  <c r="R237" i="6"/>
  <c r="S262" i="6"/>
  <c r="R262" i="6"/>
  <c r="R145" i="6"/>
  <c r="R162" i="6"/>
  <c r="R161" i="6"/>
  <c r="R210" i="6"/>
  <c r="S114" i="6"/>
  <c r="S214" i="6"/>
  <c r="R214" i="6"/>
  <c r="S27" i="6"/>
  <c r="R27" i="6"/>
  <c r="R180" i="6"/>
  <c r="S180" i="6"/>
  <c r="R264" i="6"/>
  <c r="S264" i="6"/>
  <c r="R240" i="6"/>
  <c r="S240" i="6"/>
  <c r="S11" i="6"/>
  <c r="R11" i="6"/>
  <c r="S139" i="6"/>
  <c r="R139" i="6"/>
  <c r="S267" i="6"/>
  <c r="R267" i="6"/>
  <c r="S172" i="6"/>
  <c r="R172" i="6"/>
  <c r="S149" i="6"/>
  <c r="R149" i="6"/>
  <c r="S213" i="6"/>
  <c r="R213" i="6"/>
  <c r="R148" i="6"/>
  <c r="S148" i="6"/>
  <c r="S254" i="6"/>
  <c r="R254" i="6"/>
  <c r="S12" i="6"/>
  <c r="R12" i="6"/>
  <c r="R88" i="6"/>
  <c r="S88" i="6"/>
  <c r="S269" i="6"/>
  <c r="R269" i="6"/>
  <c r="S263" i="6"/>
  <c r="R263" i="6"/>
  <c r="S93" i="6"/>
  <c r="R93" i="6"/>
  <c r="S102" i="6"/>
  <c r="R102" i="6"/>
  <c r="S134" i="6"/>
  <c r="R134" i="6"/>
  <c r="R47" i="6"/>
  <c r="S47" i="6"/>
  <c r="S86" i="6"/>
  <c r="R86" i="6"/>
  <c r="S54" i="6"/>
  <c r="R54" i="6"/>
  <c r="S182" i="6"/>
  <c r="R182" i="6"/>
  <c r="R115" i="6"/>
  <c r="S115" i="6"/>
  <c r="S243" i="6"/>
  <c r="R243" i="6"/>
  <c r="S55" i="6"/>
  <c r="R55" i="6"/>
  <c r="S223" i="6"/>
  <c r="R223" i="6"/>
  <c r="S64" i="6"/>
  <c r="R64" i="6"/>
  <c r="R198" i="6"/>
  <c r="S198" i="6"/>
  <c r="S96" i="6"/>
  <c r="R96" i="6"/>
  <c r="R168" i="6"/>
  <c r="S168" i="6"/>
  <c r="R94" i="6"/>
  <c r="S94" i="6"/>
  <c r="R222" i="6"/>
  <c r="S222" i="6"/>
  <c r="R19" i="6"/>
  <c r="S19" i="6"/>
  <c r="R147" i="6"/>
  <c r="S147" i="6"/>
  <c r="S38" i="6"/>
  <c r="R38" i="6"/>
  <c r="S156" i="6"/>
  <c r="R156" i="6"/>
  <c r="S183" i="6"/>
  <c r="R183" i="6"/>
  <c r="S231" i="6"/>
  <c r="R231" i="6"/>
  <c r="R136" i="6"/>
  <c r="S136" i="6"/>
  <c r="S176" i="6"/>
  <c r="R176" i="6"/>
  <c r="S152" i="6"/>
  <c r="R152" i="6"/>
  <c r="S232" i="6"/>
  <c r="R232" i="6"/>
  <c r="S3" i="6"/>
  <c r="R3" i="6"/>
  <c r="S131" i="6"/>
  <c r="R131" i="6"/>
  <c r="S259" i="6"/>
  <c r="R259" i="6"/>
  <c r="R252" i="6"/>
  <c r="S252" i="6"/>
  <c r="S103" i="6"/>
  <c r="R103" i="6"/>
  <c r="S120" i="6"/>
  <c r="R120" i="6"/>
  <c r="S140" i="6"/>
  <c r="R140" i="6"/>
  <c r="S13" i="6"/>
  <c r="R13" i="6"/>
  <c r="S77" i="6"/>
  <c r="R77" i="6"/>
  <c r="S141" i="6"/>
  <c r="R141" i="6"/>
  <c r="S205" i="6"/>
  <c r="R205" i="6"/>
  <c r="R124" i="6"/>
  <c r="S124" i="6"/>
  <c r="S39" i="6"/>
  <c r="R39" i="6"/>
  <c r="F5" i="3" l="1"/>
  <c r="G4" i="3" s="1"/>
  <c r="K4" i="3"/>
  <c r="G109" i="6"/>
  <c r="H109" i="6"/>
  <c r="I109" i="6"/>
  <c r="J109" i="6"/>
  <c r="K109" i="6"/>
  <c r="L109" i="6" s="1"/>
  <c r="G110" i="6"/>
  <c r="H110" i="6"/>
  <c r="I110" i="6"/>
  <c r="J110" i="6"/>
  <c r="K110" i="6"/>
  <c r="L110" i="6" s="1"/>
  <c r="G111" i="6"/>
  <c r="H111" i="6"/>
  <c r="I111" i="6"/>
  <c r="J111" i="6"/>
  <c r="K111" i="6"/>
  <c r="L111" i="6" s="1"/>
  <c r="G112" i="6"/>
  <c r="H112" i="6"/>
  <c r="I112" i="6"/>
  <c r="J112" i="6"/>
  <c r="K112" i="6"/>
  <c r="L112" i="6" s="1"/>
  <c r="G113" i="6"/>
  <c r="H113" i="6"/>
  <c r="I113" i="6"/>
  <c r="J113" i="6"/>
  <c r="K113" i="6"/>
  <c r="L113" i="6" s="1"/>
  <c r="G114" i="6"/>
  <c r="H114" i="6"/>
  <c r="I114" i="6"/>
  <c r="J114" i="6"/>
  <c r="K114" i="6"/>
  <c r="L114" i="6" s="1"/>
  <c r="G115" i="6"/>
  <c r="H115" i="6"/>
  <c r="I115" i="6"/>
  <c r="J115" i="6"/>
  <c r="K115" i="6"/>
  <c r="L115" i="6" s="1"/>
  <c r="G116" i="6"/>
  <c r="H116" i="6"/>
  <c r="I116" i="6"/>
  <c r="J116" i="6"/>
  <c r="K116" i="6"/>
  <c r="L116" i="6" s="1"/>
  <c r="G117" i="6"/>
  <c r="H117" i="6"/>
  <c r="I117" i="6"/>
  <c r="J117" i="6"/>
  <c r="K117" i="6"/>
  <c r="L117" i="6" s="1"/>
  <c r="G118" i="6"/>
  <c r="H118" i="6"/>
  <c r="I118" i="6"/>
  <c r="J118" i="6"/>
  <c r="K118" i="6"/>
  <c r="L118" i="6" s="1"/>
  <c r="G119" i="6"/>
  <c r="H119" i="6"/>
  <c r="I119" i="6"/>
  <c r="J119" i="6"/>
  <c r="K119" i="6"/>
  <c r="L119" i="6" s="1"/>
  <c r="G120" i="6"/>
  <c r="H120" i="6"/>
  <c r="I120" i="6"/>
  <c r="J120" i="6"/>
  <c r="K120" i="6"/>
  <c r="L120" i="6" s="1"/>
  <c r="G121" i="6"/>
  <c r="H121" i="6"/>
  <c r="I121" i="6"/>
  <c r="J121" i="6"/>
  <c r="K121" i="6"/>
  <c r="L121" i="6" s="1"/>
  <c r="G122" i="6"/>
  <c r="H122" i="6"/>
  <c r="I122" i="6"/>
  <c r="J122" i="6"/>
  <c r="K122" i="6"/>
  <c r="L122" i="6" s="1"/>
  <c r="G123" i="6"/>
  <c r="H123" i="6"/>
  <c r="I123" i="6"/>
  <c r="J123" i="6"/>
  <c r="K123" i="6"/>
  <c r="L123" i="6" s="1"/>
  <c r="G124" i="6"/>
  <c r="H124" i="6"/>
  <c r="I124" i="6"/>
  <c r="J124" i="6"/>
  <c r="K124" i="6"/>
  <c r="L124" i="6" s="1"/>
  <c r="G125" i="6"/>
  <c r="H125" i="6"/>
  <c r="I125" i="6"/>
  <c r="J125" i="6"/>
  <c r="K125" i="6"/>
  <c r="L125" i="6" s="1"/>
  <c r="G126" i="6"/>
  <c r="H126" i="6"/>
  <c r="I126" i="6"/>
  <c r="J126" i="6"/>
  <c r="K126" i="6"/>
  <c r="L126" i="6" s="1"/>
  <c r="G127" i="6"/>
  <c r="H127" i="6"/>
  <c r="I127" i="6"/>
  <c r="J127" i="6"/>
  <c r="K127" i="6"/>
  <c r="L127" i="6" s="1"/>
  <c r="G128" i="6"/>
  <c r="H128" i="6"/>
  <c r="I128" i="6"/>
  <c r="J128" i="6"/>
  <c r="K128" i="6"/>
  <c r="L128" i="6" s="1"/>
  <c r="G129" i="6"/>
  <c r="H129" i="6"/>
  <c r="I129" i="6"/>
  <c r="J129" i="6"/>
  <c r="K129" i="6"/>
  <c r="L129" i="6" s="1"/>
  <c r="G130" i="6"/>
  <c r="H130" i="6"/>
  <c r="I130" i="6"/>
  <c r="J130" i="6"/>
  <c r="K130" i="6"/>
  <c r="L130" i="6" s="1"/>
  <c r="G131" i="6"/>
  <c r="H131" i="6"/>
  <c r="I131" i="6"/>
  <c r="J131" i="6"/>
  <c r="K131" i="6"/>
  <c r="L131" i="6" s="1"/>
  <c r="G132" i="6"/>
  <c r="H132" i="6"/>
  <c r="I132" i="6"/>
  <c r="J132" i="6"/>
  <c r="K132" i="6"/>
  <c r="L132" i="6" s="1"/>
  <c r="G133" i="6"/>
  <c r="H133" i="6"/>
  <c r="I133" i="6"/>
  <c r="J133" i="6"/>
  <c r="K133" i="6"/>
  <c r="L133" i="6" s="1"/>
  <c r="G134" i="6"/>
  <c r="H134" i="6"/>
  <c r="I134" i="6"/>
  <c r="J134" i="6"/>
  <c r="K134" i="6"/>
  <c r="L134" i="6" s="1"/>
  <c r="G135" i="6"/>
  <c r="H135" i="6"/>
  <c r="I135" i="6"/>
  <c r="J135" i="6"/>
  <c r="K135" i="6"/>
  <c r="L135" i="6" s="1"/>
  <c r="G136" i="6"/>
  <c r="H136" i="6"/>
  <c r="I136" i="6"/>
  <c r="J136" i="6"/>
  <c r="K136" i="6"/>
  <c r="L136" i="6" s="1"/>
  <c r="G137" i="6"/>
  <c r="H137" i="6"/>
  <c r="I137" i="6"/>
  <c r="J137" i="6"/>
  <c r="K137" i="6"/>
  <c r="L137" i="6" s="1"/>
  <c r="G138" i="6"/>
  <c r="H138" i="6"/>
  <c r="I138" i="6"/>
  <c r="J138" i="6"/>
  <c r="K138" i="6"/>
  <c r="L138" i="6" s="1"/>
  <c r="G139" i="6"/>
  <c r="H139" i="6"/>
  <c r="I139" i="6"/>
  <c r="J139" i="6"/>
  <c r="K139" i="6"/>
  <c r="L139" i="6" s="1"/>
  <c r="G140" i="6"/>
  <c r="H140" i="6"/>
  <c r="I140" i="6"/>
  <c r="J140" i="6"/>
  <c r="K140" i="6"/>
  <c r="L140" i="6" s="1"/>
  <c r="G141" i="6"/>
  <c r="H141" i="6"/>
  <c r="I141" i="6"/>
  <c r="J141" i="6"/>
  <c r="K141" i="6"/>
  <c r="L141" i="6" s="1"/>
  <c r="G142" i="6"/>
  <c r="H142" i="6"/>
  <c r="I142" i="6"/>
  <c r="J142" i="6"/>
  <c r="K142" i="6"/>
  <c r="L142" i="6" s="1"/>
  <c r="G143" i="6"/>
  <c r="H143" i="6"/>
  <c r="I143" i="6"/>
  <c r="J143" i="6"/>
  <c r="K143" i="6"/>
  <c r="L143" i="6" s="1"/>
  <c r="G144" i="6"/>
  <c r="H144" i="6"/>
  <c r="I144" i="6"/>
  <c r="J144" i="6"/>
  <c r="K144" i="6"/>
  <c r="L144" i="6" s="1"/>
  <c r="G145" i="6"/>
  <c r="H145" i="6"/>
  <c r="I145" i="6"/>
  <c r="J145" i="6"/>
  <c r="K145" i="6"/>
  <c r="L145" i="6" s="1"/>
  <c r="G146" i="6"/>
  <c r="H146" i="6"/>
  <c r="I146" i="6"/>
  <c r="J146" i="6"/>
  <c r="K146" i="6"/>
  <c r="L146" i="6" s="1"/>
  <c r="G147" i="6"/>
  <c r="H147" i="6"/>
  <c r="I147" i="6"/>
  <c r="J147" i="6"/>
  <c r="K147" i="6"/>
  <c r="L147" i="6" s="1"/>
  <c r="G148" i="6"/>
  <c r="H148" i="6"/>
  <c r="I148" i="6"/>
  <c r="J148" i="6"/>
  <c r="K148" i="6"/>
  <c r="L148" i="6" s="1"/>
  <c r="G149" i="6"/>
  <c r="H149" i="6"/>
  <c r="I149" i="6"/>
  <c r="J149" i="6"/>
  <c r="K149" i="6"/>
  <c r="L149" i="6" s="1"/>
  <c r="G150" i="6"/>
  <c r="H150" i="6"/>
  <c r="I150" i="6"/>
  <c r="J150" i="6"/>
  <c r="K150" i="6"/>
  <c r="L150" i="6" s="1"/>
  <c r="G151" i="6"/>
  <c r="H151" i="6"/>
  <c r="I151" i="6"/>
  <c r="J151" i="6"/>
  <c r="K151" i="6"/>
  <c r="L151" i="6" s="1"/>
  <c r="G152" i="6"/>
  <c r="H152" i="6"/>
  <c r="I152" i="6"/>
  <c r="J152" i="6"/>
  <c r="K152" i="6"/>
  <c r="L152" i="6" s="1"/>
  <c r="G153" i="6"/>
  <c r="H153" i="6"/>
  <c r="I153" i="6"/>
  <c r="J153" i="6"/>
  <c r="K153" i="6"/>
  <c r="L153" i="6" s="1"/>
  <c r="G154" i="6"/>
  <c r="H154" i="6"/>
  <c r="I154" i="6"/>
  <c r="J154" i="6"/>
  <c r="K154" i="6"/>
  <c r="L154" i="6" s="1"/>
  <c r="G155" i="6"/>
  <c r="H155" i="6"/>
  <c r="I155" i="6"/>
  <c r="J155" i="6"/>
  <c r="K155" i="6"/>
  <c r="L155" i="6" s="1"/>
  <c r="G156" i="6"/>
  <c r="H156" i="6"/>
  <c r="I156" i="6"/>
  <c r="J156" i="6"/>
  <c r="K156" i="6"/>
  <c r="L156" i="6" s="1"/>
  <c r="G157" i="6"/>
  <c r="H157" i="6"/>
  <c r="I157" i="6"/>
  <c r="J157" i="6"/>
  <c r="K157" i="6"/>
  <c r="L157" i="6" s="1"/>
  <c r="G158" i="6"/>
  <c r="H158" i="6"/>
  <c r="I158" i="6"/>
  <c r="J158" i="6"/>
  <c r="K158" i="6"/>
  <c r="L158" i="6" s="1"/>
  <c r="G159" i="6"/>
  <c r="H159" i="6"/>
  <c r="I159" i="6"/>
  <c r="J159" i="6"/>
  <c r="K159" i="6"/>
  <c r="L159" i="6" s="1"/>
  <c r="G160" i="6"/>
  <c r="H160" i="6"/>
  <c r="I160" i="6"/>
  <c r="J160" i="6"/>
  <c r="K160" i="6"/>
  <c r="L160" i="6" s="1"/>
  <c r="G161" i="6"/>
  <c r="H161" i="6"/>
  <c r="I161" i="6"/>
  <c r="J161" i="6"/>
  <c r="K161" i="6"/>
  <c r="L161" i="6" s="1"/>
  <c r="G162" i="6"/>
  <c r="H162" i="6"/>
  <c r="I162" i="6"/>
  <c r="J162" i="6"/>
  <c r="K162" i="6"/>
  <c r="L162" i="6" s="1"/>
  <c r="G163" i="6"/>
  <c r="H163" i="6"/>
  <c r="I163" i="6"/>
  <c r="J163" i="6"/>
  <c r="K163" i="6"/>
  <c r="L163" i="6" s="1"/>
  <c r="G164" i="6"/>
  <c r="H164" i="6"/>
  <c r="I164" i="6"/>
  <c r="J164" i="6"/>
  <c r="K164" i="6"/>
  <c r="L164" i="6" s="1"/>
  <c r="G165" i="6"/>
  <c r="H165" i="6"/>
  <c r="I165" i="6"/>
  <c r="J165" i="6"/>
  <c r="K165" i="6"/>
  <c r="L165" i="6" s="1"/>
  <c r="G166" i="6"/>
  <c r="H166" i="6"/>
  <c r="I166" i="6"/>
  <c r="J166" i="6"/>
  <c r="K166" i="6"/>
  <c r="L166" i="6" s="1"/>
  <c r="G167" i="6"/>
  <c r="H167" i="6"/>
  <c r="I167" i="6"/>
  <c r="J167" i="6"/>
  <c r="K167" i="6"/>
  <c r="L167" i="6" s="1"/>
  <c r="G168" i="6"/>
  <c r="H168" i="6"/>
  <c r="I168" i="6"/>
  <c r="J168" i="6"/>
  <c r="K168" i="6"/>
  <c r="L168" i="6" s="1"/>
  <c r="G169" i="6"/>
  <c r="H169" i="6"/>
  <c r="I169" i="6"/>
  <c r="J169" i="6"/>
  <c r="K169" i="6"/>
  <c r="L169" i="6" s="1"/>
  <c r="G170" i="6"/>
  <c r="H170" i="6"/>
  <c r="I170" i="6"/>
  <c r="J170" i="6"/>
  <c r="K170" i="6"/>
  <c r="L170" i="6" s="1"/>
  <c r="G171" i="6"/>
  <c r="H171" i="6"/>
  <c r="I171" i="6"/>
  <c r="J171" i="6"/>
  <c r="K171" i="6"/>
  <c r="L171" i="6" s="1"/>
  <c r="G172" i="6"/>
  <c r="H172" i="6"/>
  <c r="I172" i="6"/>
  <c r="J172" i="6"/>
  <c r="K172" i="6"/>
  <c r="L172" i="6" s="1"/>
  <c r="G173" i="6"/>
  <c r="H173" i="6"/>
  <c r="I173" i="6"/>
  <c r="J173" i="6"/>
  <c r="K173" i="6"/>
  <c r="L173" i="6" s="1"/>
  <c r="G174" i="6"/>
  <c r="H174" i="6"/>
  <c r="I174" i="6"/>
  <c r="J174" i="6"/>
  <c r="K174" i="6"/>
  <c r="L174" i="6" s="1"/>
  <c r="G175" i="6"/>
  <c r="H175" i="6"/>
  <c r="I175" i="6"/>
  <c r="J175" i="6"/>
  <c r="K175" i="6"/>
  <c r="L175" i="6" s="1"/>
  <c r="G176" i="6"/>
  <c r="H176" i="6"/>
  <c r="I176" i="6"/>
  <c r="J176" i="6"/>
  <c r="K176" i="6"/>
  <c r="L176" i="6" s="1"/>
  <c r="G177" i="6"/>
  <c r="H177" i="6"/>
  <c r="I177" i="6"/>
  <c r="J177" i="6"/>
  <c r="K177" i="6"/>
  <c r="L177" i="6" s="1"/>
  <c r="G178" i="6"/>
  <c r="H178" i="6"/>
  <c r="I178" i="6"/>
  <c r="J178" i="6"/>
  <c r="K178" i="6"/>
  <c r="L178" i="6" s="1"/>
  <c r="G179" i="6"/>
  <c r="H179" i="6"/>
  <c r="I179" i="6"/>
  <c r="J179" i="6"/>
  <c r="K179" i="6"/>
  <c r="L179" i="6" s="1"/>
  <c r="G180" i="6"/>
  <c r="H180" i="6"/>
  <c r="I180" i="6"/>
  <c r="J180" i="6"/>
  <c r="K180" i="6"/>
  <c r="L180" i="6" s="1"/>
  <c r="G181" i="6"/>
  <c r="H181" i="6"/>
  <c r="I181" i="6"/>
  <c r="J181" i="6"/>
  <c r="K181" i="6"/>
  <c r="L181" i="6" s="1"/>
  <c r="G182" i="6"/>
  <c r="H182" i="6"/>
  <c r="I182" i="6"/>
  <c r="J182" i="6"/>
  <c r="K182" i="6"/>
  <c r="L182" i="6" s="1"/>
  <c r="G183" i="6"/>
  <c r="H183" i="6"/>
  <c r="I183" i="6"/>
  <c r="J183" i="6"/>
  <c r="K183" i="6"/>
  <c r="L183" i="6" s="1"/>
  <c r="G184" i="6"/>
  <c r="H184" i="6"/>
  <c r="I184" i="6"/>
  <c r="J184" i="6"/>
  <c r="K184" i="6"/>
  <c r="L184" i="6" s="1"/>
  <c r="G185" i="6"/>
  <c r="H185" i="6"/>
  <c r="I185" i="6"/>
  <c r="J185" i="6"/>
  <c r="K185" i="6"/>
  <c r="L185" i="6" s="1"/>
  <c r="G186" i="6"/>
  <c r="H186" i="6"/>
  <c r="I186" i="6"/>
  <c r="J186" i="6"/>
  <c r="K186" i="6"/>
  <c r="L186" i="6" s="1"/>
  <c r="G187" i="6"/>
  <c r="H187" i="6"/>
  <c r="I187" i="6"/>
  <c r="J187" i="6"/>
  <c r="K187" i="6"/>
  <c r="L187" i="6" s="1"/>
  <c r="G188" i="6"/>
  <c r="H188" i="6"/>
  <c r="I188" i="6"/>
  <c r="J188" i="6"/>
  <c r="K188" i="6"/>
  <c r="L188" i="6" s="1"/>
  <c r="G189" i="6"/>
  <c r="H189" i="6"/>
  <c r="I189" i="6"/>
  <c r="J189" i="6"/>
  <c r="K189" i="6"/>
  <c r="L189" i="6" s="1"/>
  <c r="G190" i="6"/>
  <c r="H190" i="6"/>
  <c r="I190" i="6"/>
  <c r="J190" i="6"/>
  <c r="K190" i="6"/>
  <c r="L190" i="6" s="1"/>
  <c r="G191" i="6"/>
  <c r="H191" i="6"/>
  <c r="I191" i="6"/>
  <c r="J191" i="6"/>
  <c r="K191" i="6"/>
  <c r="L191" i="6" s="1"/>
  <c r="G192" i="6"/>
  <c r="H192" i="6"/>
  <c r="I192" i="6"/>
  <c r="J192" i="6"/>
  <c r="K192" i="6"/>
  <c r="L192" i="6" s="1"/>
  <c r="G193" i="6"/>
  <c r="H193" i="6"/>
  <c r="I193" i="6"/>
  <c r="J193" i="6"/>
  <c r="K193" i="6"/>
  <c r="L193" i="6" s="1"/>
  <c r="G194" i="6"/>
  <c r="H194" i="6"/>
  <c r="I194" i="6"/>
  <c r="J194" i="6"/>
  <c r="K194" i="6"/>
  <c r="L194" i="6" s="1"/>
  <c r="G195" i="6"/>
  <c r="H195" i="6"/>
  <c r="I195" i="6"/>
  <c r="J195" i="6"/>
  <c r="K195" i="6"/>
  <c r="L195" i="6" s="1"/>
  <c r="G196" i="6"/>
  <c r="H196" i="6"/>
  <c r="I196" i="6"/>
  <c r="J196" i="6"/>
  <c r="K196" i="6"/>
  <c r="L196" i="6" s="1"/>
  <c r="G197" i="6"/>
  <c r="H197" i="6"/>
  <c r="I197" i="6"/>
  <c r="J197" i="6"/>
  <c r="K197" i="6"/>
  <c r="L197" i="6" s="1"/>
  <c r="G198" i="6"/>
  <c r="H198" i="6"/>
  <c r="I198" i="6"/>
  <c r="J198" i="6"/>
  <c r="K198" i="6"/>
  <c r="L198" i="6" s="1"/>
  <c r="G199" i="6"/>
  <c r="H199" i="6"/>
  <c r="I199" i="6"/>
  <c r="J199" i="6"/>
  <c r="K199" i="6"/>
  <c r="L199" i="6" s="1"/>
  <c r="G200" i="6"/>
  <c r="H200" i="6"/>
  <c r="I200" i="6"/>
  <c r="J200" i="6"/>
  <c r="K200" i="6"/>
  <c r="L200" i="6" s="1"/>
  <c r="G201" i="6"/>
  <c r="H201" i="6"/>
  <c r="I201" i="6"/>
  <c r="J201" i="6"/>
  <c r="K201" i="6"/>
  <c r="L201" i="6" s="1"/>
  <c r="G202" i="6"/>
  <c r="H202" i="6"/>
  <c r="I202" i="6"/>
  <c r="J202" i="6"/>
  <c r="K202" i="6"/>
  <c r="L202" i="6" s="1"/>
  <c r="G203" i="6"/>
  <c r="H203" i="6"/>
  <c r="I203" i="6"/>
  <c r="J203" i="6"/>
  <c r="K203" i="6"/>
  <c r="L203" i="6" s="1"/>
  <c r="G204" i="6"/>
  <c r="H204" i="6"/>
  <c r="I204" i="6"/>
  <c r="J204" i="6"/>
  <c r="K204" i="6"/>
  <c r="L204" i="6" s="1"/>
  <c r="G205" i="6"/>
  <c r="H205" i="6"/>
  <c r="I205" i="6"/>
  <c r="J205" i="6"/>
  <c r="K205" i="6"/>
  <c r="L205" i="6" s="1"/>
  <c r="G206" i="6"/>
  <c r="H206" i="6"/>
  <c r="I206" i="6"/>
  <c r="J206" i="6"/>
  <c r="K206" i="6"/>
  <c r="L206" i="6" s="1"/>
  <c r="G207" i="6"/>
  <c r="H207" i="6"/>
  <c r="I207" i="6"/>
  <c r="J207" i="6"/>
  <c r="K207" i="6"/>
  <c r="L207" i="6" s="1"/>
  <c r="G208" i="6"/>
  <c r="H208" i="6"/>
  <c r="I208" i="6"/>
  <c r="J208" i="6"/>
  <c r="K208" i="6"/>
  <c r="L208" i="6" s="1"/>
  <c r="G209" i="6"/>
  <c r="H209" i="6"/>
  <c r="I209" i="6"/>
  <c r="J209" i="6"/>
  <c r="K209" i="6"/>
  <c r="L209" i="6" s="1"/>
  <c r="G210" i="6"/>
  <c r="H210" i="6"/>
  <c r="I210" i="6"/>
  <c r="J210" i="6"/>
  <c r="K210" i="6"/>
  <c r="L210" i="6" s="1"/>
  <c r="G211" i="6"/>
  <c r="H211" i="6"/>
  <c r="I211" i="6"/>
  <c r="J211" i="6"/>
  <c r="K211" i="6"/>
  <c r="L211" i="6" s="1"/>
  <c r="G212" i="6"/>
  <c r="H212" i="6"/>
  <c r="I212" i="6"/>
  <c r="J212" i="6"/>
  <c r="K212" i="6"/>
  <c r="L212" i="6" s="1"/>
  <c r="G213" i="6"/>
  <c r="H213" i="6"/>
  <c r="I213" i="6"/>
  <c r="J213" i="6"/>
  <c r="K213" i="6"/>
  <c r="L213" i="6" s="1"/>
  <c r="G214" i="6"/>
  <c r="H214" i="6"/>
  <c r="I214" i="6"/>
  <c r="J214" i="6"/>
  <c r="K214" i="6"/>
  <c r="L214" i="6" s="1"/>
  <c r="G215" i="6"/>
  <c r="H215" i="6"/>
  <c r="I215" i="6"/>
  <c r="J215" i="6"/>
  <c r="K215" i="6"/>
  <c r="L215" i="6" s="1"/>
  <c r="G216" i="6"/>
  <c r="H216" i="6"/>
  <c r="I216" i="6"/>
  <c r="J216" i="6"/>
  <c r="K216" i="6"/>
  <c r="L216" i="6" s="1"/>
  <c r="G217" i="6"/>
  <c r="H217" i="6"/>
  <c r="I217" i="6"/>
  <c r="J217" i="6"/>
  <c r="K217" i="6"/>
  <c r="L217" i="6" s="1"/>
  <c r="G218" i="6"/>
  <c r="H218" i="6"/>
  <c r="I218" i="6"/>
  <c r="J218" i="6"/>
  <c r="K218" i="6"/>
  <c r="L218" i="6" s="1"/>
  <c r="G219" i="6"/>
  <c r="H219" i="6"/>
  <c r="I219" i="6"/>
  <c r="J219" i="6"/>
  <c r="K219" i="6"/>
  <c r="L219" i="6" s="1"/>
  <c r="G220" i="6"/>
  <c r="H220" i="6"/>
  <c r="I220" i="6"/>
  <c r="J220" i="6"/>
  <c r="K220" i="6"/>
  <c r="L220" i="6" s="1"/>
  <c r="G221" i="6"/>
  <c r="H221" i="6"/>
  <c r="I221" i="6"/>
  <c r="J221" i="6"/>
  <c r="K221" i="6"/>
  <c r="L221" i="6" s="1"/>
  <c r="G222" i="6"/>
  <c r="H222" i="6"/>
  <c r="I222" i="6"/>
  <c r="J222" i="6"/>
  <c r="K222" i="6"/>
  <c r="L222" i="6" s="1"/>
  <c r="G223" i="6"/>
  <c r="H223" i="6"/>
  <c r="I223" i="6"/>
  <c r="J223" i="6"/>
  <c r="K223" i="6"/>
  <c r="L223" i="6" s="1"/>
  <c r="G224" i="6"/>
  <c r="H224" i="6"/>
  <c r="I224" i="6"/>
  <c r="J224" i="6"/>
  <c r="K224" i="6"/>
  <c r="L224" i="6" s="1"/>
  <c r="G225" i="6"/>
  <c r="H225" i="6"/>
  <c r="I225" i="6"/>
  <c r="J225" i="6"/>
  <c r="K225" i="6"/>
  <c r="L225" i="6" s="1"/>
  <c r="G226" i="6"/>
  <c r="H226" i="6"/>
  <c r="I226" i="6"/>
  <c r="J226" i="6"/>
  <c r="K226" i="6"/>
  <c r="L226" i="6" s="1"/>
  <c r="G227" i="6"/>
  <c r="H227" i="6"/>
  <c r="I227" i="6"/>
  <c r="J227" i="6"/>
  <c r="K227" i="6"/>
  <c r="L227" i="6" s="1"/>
  <c r="G228" i="6"/>
  <c r="H228" i="6"/>
  <c r="I228" i="6"/>
  <c r="J228" i="6"/>
  <c r="K228" i="6"/>
  <c r="L228" i="6" s="1"/>
  <c r="G229" i="6"/>
  <c r="H229" i="6"/>
  <c r="I229" i="6"/>
  <c r="J229" i="6"/>
  <c r="K229" i="6"/>
  <c r="L229" i="6" s="1"/>
  <c r="G230" i="6"/>
  <c r="H230" i="6"/>
  <c r="I230" i="6"/>
  <c r="J230" i="6"/>
  <c r="K230" i="6"/>
  <c r="L230" i="6" s="1"/>
  <c r="G231" i="6"/>
  <c r="H231" i="6"/>
  <c r="I231" i="6"/>
  <c r="J231" i="6"/>
  <c r="K231" i="6"/>
  <c r="L231" i="6" s="1"/>
  <c r="G232" i="6"/>
  <c r="H232" i="6"/>
  <c r="I232" i="6"/>
  <c r="J232" i="6"/>
  <c r="K232" i="6"/>
  <c r="L232" i="6" s="1"/>
  <c r="G233" i="6"/>
  <c r="H233" i="6"/>
  <c r="I233" i="6"/>
  <c r="J233" i="6"/>
  <c r="K233" i="6"/>
  <c r="L233" i="6" s="1"/>
  <c r="G234" i="6"/>
  <c r="H234" i="6"/>
  <c r="I234" i="6"/>
  <c r="J234" i="6"/>
  <c r="K234" i="6"/>
  <c r="L234" i="6" s="1"/>
  <c r="G235" i="6"/>
  <c r="H235" i="6"/>
  <c r="I235" i="6"/>
  <c r="J235" i="6"/>
  <c r="K235" i="6"/>
  <c r="L235" i="6" s="1"/>
  <c r="G236" i="6"/>
  <c r="H236" i="6"/>
  <c r="I236" i="6"/>
  <c r="J236" i="6"/>
  <c r="K236" i="6"/>
  <c r="L236" i="6" s="1"/>
  <c r="G237" i="6"/>
  <c r="H237" i="6"/>
  <c r="I237" i="6"/>
  <c r="J237" i="6"/>
  <c r="K237" i="6"/>
  <c r="L237" i="6" s="1"/>
  <c r="G238" i="6"/>
  <c r="H238" i="6"/>
  <c r="I238" i="6"/>
  <c r="J238" i="6"/>
  <c r="K238" i="6"/>
  <c r="L238" i="6" s="1"/>
  <c r="G239" i="6"/>
  <c r="H239" i="6"/>
  <c r="I239" i="6"/>
  <c r="J239" i="6"/>
  <c r="K239" i="6"/>
  <c r="L239" i="6" s="1"/>
  <c r="G240" i="6"/>
  <c r="H240" i="6"/>
  <c r="I240" i="6"/>
  <c r="J240" i="6"/>
  <c r="K240" i="6"/>
  <c r="L240" i="6" s="1"/>
  <c r="G241" i="6"/>
  <c r="H241" i="6"/>
  <c r="I241" i="6"/>
  <c r="J241" i="6"/>
  <c r="K241" i="6"/>
  <c r="L241" i="6" s="1"/>
  <c r="G242" i="6"/>
  <c r="H242" i="6"/>
  <c r="I242" i="6"/>
  <c r="J242" i="6"/>
  <c r="K242" i="6"/>
  <c r="L242" i="6" s="1"/>
  <c r="G243" i="6"/>
  <c r="H243" i="6"/>
  <c r="I243" i="6"/>
  <c r="J243" i="6"/>
  <c r="K243" i="6"/>
  <c r="L243" i="6" s="1"/>
  <c r="G244" i="6"/>
  <c r="H244" i="6"/>
  <c r="I244" i="6"/>
  <c r="J244" i="6"/>
  <c r="K244" i="6"/>
  <c r="L244" i="6" s="1"/>
  <c r="G245" i="6"/>
  <c r="H245" i="6"/>
  <c r="I245" i="6"/>
  <c r="J245" i="6"/>
  <c r="K245" i="6"/>
  <c r="L245" i="6" s="1"/>
  <c r="G246" i="6"/>
  <c r="H246" i="6"/>
  <c r="I246" i="6"/>
  <c r="J246" i="6"/>
  <c r="K246" i="6"/>
  <c r="L246" i="6" s="1"/>
  <c r="G247" i="6"/>
  <c r="H247" i="6"/>
  <c r="I247" i="6"/>
  <c r="J247" i="6"/>
  <c r="K247" i="6"/>
  <c r="L247" i="6" s="1"/>
  <c r="G248" i="6"/>
  <c r="H248" i="6"/>
  <c r="I248" i="6"/>
  <c r="J248" i="6"/>
  <c r="K248" i="6"/>
  <c r="L248" i="6" s="1"/>
  <c r="G249" i="6"/>
  <c r="H249" i="6"/>
  <c r="I249" i="6"/>
  <c r="J249" i="6"/>
  <c r="K249" i="6"/>
  <c r="L249" i="6" s="1"/>
  <c r="G250" i="6"/>
  <c r="H250" i="6"/>
  <c r="I250" i="6"/>
  <c r="J250" i="6"/>
  <c r="K250" i="6"/>
  <c r="L250" i="6" s="1"/>
  <c r="G251" i="6"/>
  <c r="H251" i="6"/>
  <c r="I251" i="6"/>
  <c r="J251" i="6"/>
  <c r="K251" i="6"/>
  <c r="L251" i="6" s="1"/>
  <c r="G252" i="6"/>
  <c r="H252" i="6"/>
  <c r="I252" i="6"/>
  <c r="J252" i="6"/>
  <c r="K252" i="6"/>
  <c r="L252" i="6" s="1"/>
  <c r="G253" i="6"/>
  <c r="H253" i="6"/>
  <c r="I253" i="6"/>
  <c r="J253" i="6"/>
  <c r="K253" i="6"/>
  <c r="L253" i="6" s="1"/>
  <c r="G254" i="6"/>
  <c r="H254" i="6"/>
  <c r="I254" i="6"/>
  <c r="J254" i="6"/>
  <c r="K254" i="6"/>
  <c r="L254" i="6" s="1"/>
  <c r="G255" i="6"/>
  <c r="H255" i="6"/>
  <c r="I255" i="6"/>
  <c r="J255" i="6"/>
  <c r="K255" i="6"/>
  <c r="L255" i="6" s="1"/>
  <c r="G256" i="6"/>
  <c r="H256" i="6"/>
  <c r="I256" i="6"/>
  <c r="J256" i="6"/>
  <c r="K256" i="6"/>
  <c r="L256" i="6" s="1"/>
  <c r="G257" i="6"/>
  <c r="H257" i="6"/>
  <c r="I257" i="6"/>
  <c r="J257" i="6"/>
  <c r="K257" i="6"/>
  <c r="L257" i="6" s="1"/>
  <c r="G258" i="6"/>
  <c r="H258" i="6"/>
  <c r="I258" i="6"/>
  <c r="J258" i="6"/>
  <c r="K258" i="6"/>
  <c r="L258" i="6" s="1"/>
  <c r="G259" i="6"/>
  <c r="H259" i="6"/>
  <c r="I259" i="6"/>
  <c r="J259" i="6"/>
  <c r="K259" i="6"/>
  <c r="L259" i="6" s="1"/>
  <c r="G260" i="6"/>
  <c r="H260" i="6"/>
  <c r="I260" i="6"/>
  <c r="J260" i="6"/>
  <c r="K260" i="6"/>
  <c r="L260" i="6" s="1"/>
  <c r="G261" i="6"/>
  <c r="H261" i="6"/>
  <c r="I261" i="6"/>
  <c r="J261" i="6"/>
  <c r="K261" i="6"/>
  <c r="L261" i="6" s="1"/>
  <c r="G262" i="6"/>
  <c r="H262" i="6"/>
  <c r="I262" i="6"/>
  <c r="J262" i="6"/>
  <c r="K262" i="6"/>
  <c r="L262" i="6" s="1"/>
  <c r="G263" i="6"/>
  <c r="H263" i="6"/>
  <c r="I263" i="6"/>
  <c r="J263" i="6"/>
  <c r="K263" i="6"/>
  <c r="L263" i="6" s="1"/>
  <c r="G264" i="6"/>
  <c r="H264" i="6"/>
  <c r="I264" i="6"/>
  <c r="J264" i="6"/>
  <c r="K264" i="6"/>
  <c r="L264" i="6" s="1"/>
  <c r="G265" i="6"/>
  <c r="H265" i="6"/>
  <c r="I265" i="6"/>
  <c r="J265" i="6"/>
  <c r="K265" i="6"/>
  <c r="L265" i="6" s="1"/>
  <c r="G266" i="6"/>
  <c r="H266" i="6"/>
  <c r="I266" i="6"/>
  <c r="J266" i="6"/>
  <c r="K266" i="6"/>
  <c r="L266" i="6" s="1"/>
  <c r="G267" i="6"/>
  <c r="H267" i="6"/>
  <c r="I267" i="6"/>
  <c r="J267" i="6"/>
  <c r="K267" i="6"/>
  <c r="L267" i="6" s="1"/>
  <c r="G268" i="6"/>
  <c r="H268" i="6"/>
  <c r="I268" i="6"/>
  <c r="J268" i="6"/>
  <c r="K268" i="6"/>
  <c r="L268" i="6" s="1"/>
  <c r="G269" i="6"/>
  <c r="H269" i="6"/>
  <c r="I269" i="6"/>
  <c r="J269" i="6"/>
  <c r="K269" i="6"/>
  <c r="L269" i="6" s="1"/>
  <c r="G270" i="6"/>
  <c r="H270" i="6"/>
  <c r="I270" i="6"/>
  <c r="J270" i="6"/>
  <c r="K270" i="6"/>
  <c r="L270" i="6" s="1"/>
  <c r="G271" i="6"/>
  <c r="H271" i="6"/>
  <c r="I271" i="6"/>
  <c r="J271" i="6"/>
  <c r="K271" i="6"/>
  <c r="L271" i="6" s="1"/>
  <c r="G272" i="6"/>
  <c r="H272" i="6"/>
  <c r="I272" i="6"/>
  <c r="J272" i="6"/>
  <c r="K272" i="6"/>
  <c r="L272" i="6" s="1"/>
  <c r="G273" i="6"/>
  <c r="H273" i="6"/>
  <c r="I273" i="6"/>
  <c r="J273" i="6"/>
  <c r="K273" i="6"/>
  <c r="L273" i="6" s="1"/>
  <c r="G274" i="6"/>
  <c r="H274" i="6"/>
  <c r="I274" i="6"/>
  <c r="J274" i="6"/>
  <c r="K274" i="6"/>
  <c r="L274" i="6" s="1"/>
  <c r="G275" i="6"/>
  <c r="H275" i="6"/>
  <c r="I275" i="6"/>
  <c r="J275" i="6"/>
  <c r="K275" i="6"/>
  <c r="L275" i="6" s="1"/>
  <c r="G276" i="6"/>
  <c r="H276" i="6"/>
  <c r="I276" i="6"/>
  <c r="J276" i="6"/>
  <c r="K276" i="6"/>
  <c r="L276" i="6" s="1"/>
  <c r="G277" i="6"/>
  <c r="H277" i="6"/>
  <c r="I277" i="6"/>
  <c r="J277" i="6"/>
  <c r="K277" i="6"/>
  <c r="L277" i="6" s="1"/>
  <c r="G278" i="6"/>
  <c r="H278" i="6"/>
  <c r="I278" i="6"/>
  <c r="J278" i="6"/>
  <c r="K278" i="6"/>
  <c r="L278" i="6" s="1"/>
  <c r="K3" i="6"/>
  <c r="L3" i="6" s="1"/>
  <c r="K4" i="6"/>
  <c r="L4" i="6" s="1"/>
  <c r="K5" i="6"/>
  <c r="L5" i="6" s="1"/>
  <c r="K6" i="6"/>
  <c r="L6" i="6" s="1"/>
  <c r="K7" i="6"/>
  <c r="L7" i="6" s="1"/>
  <c r="K8" i="6"/>
  <c r="L8" i="6" s="1"/>
  <c r="K9" i="6"/>
  <c r="L9" i="6" s="1"/>
  <c r="K10" i="6"/>
  <c r="L10" i="6" s="1"/>
  <c r="K11" i="6"/>
  <c r="L11" i="6" s="1"/>
  <c r="K12" i="6"/>
  <c r="L12" i="6" s="1"/>
  <c r="K13" i="6"/>
  <c r="L13" i="6" s="1"/>
  <c r="K14" i="6"/>
  <c r="L14" i="6" s="1"/>
  <c r="K15" i="6"/>
  <c r="L15" i="6" s="1"/>
  <c r="K16" i="6"/>
  <c r="L16" i="6" s="1"/>
  <c r="K17" i="6"/>
  <c r="L17" i="6" s="1"/>
  <c r="K18" i="6"/>
  <c r="L18" i="6" s="1"/>
  <c r="K19" i="6"/>
  <c r="L19" i="6" s="1"/>
  <c r="K20" i="6"/>
  <c r="L20" i="6" s="1"/>
  <c r="K21" i="6"/>
  <c r="L21" i="6" s="1"/>
  <c r="K22" i="6"/>
  <c r="L22" i="6" s="1"/>
  <c r="K23" i="6"/>
  <c r="L23" i="6" s="1"/>
  <c r="K24" i="6"/>
  <c r="L24" i="6" s="1"/>
  <c r="K25" i="6"/>
  <c r="L25" i="6" s="1"/>
  <c r="K26" i="6"/>
  <c r="L26" i="6" s="1"/>
  <c r="K27" i="6"/>
  <c r="L27" i="6" s="1"/>
  <c r="K28" i="6"/>
  <c r="L28" i="6" s="1"/>
  <c r="K29" i="6"/>
  <c r="L29" i="6" s="1"/>
  <c r="K30" i="6"/>
  <c r="L30" i="6" s="1"/>
  <c r="K31" i="6"/>
  <c r="L31" i="6" s="1"/>
  <c r="K32" i="6"/>
  <c r="L32" i="6" s="1"/>
  <c r="K33" i="6"/>
  <c r="L33" i="6" s="1"/>
  <c r="K34" i="6"/>
  <c r="L34" i="6" s="1"/>
  <c r="K35" i="6"/>
  <c r="L35" i="6" s="1"/>
  <c r="K36" i="6"/>
  <c r="L36" i="6" s="1"/>
  <c r="K37" i="6"/>
  <c r="L37" i="6" s="1"/>
  <c r="K38" i="6"/>
  <c r="L38" i="6" s="1"/>
  <c r="K39" i="6"/>
  <c r="L39" i="6" s="1"/>
  <c r="K40" i="6"/>
  <c r="L40" i="6" s="1"/>
  <c r="K41" i="6"/>
  <c r="L41" i="6" s="1"/>
  <c r="K42" i="6"/>
  <c r="L42" i="6" s="1"/>
  <c r="K43" i="6"/>
  <c r="L43" i="6" s="1"/>
  <c r="K44" i="6"/>
  <c r="L44" i="6" s="1"/>
  <c r="K45" i="6"/>
  <c r="L45" i="6" s="1"/>
  <c r="K46" i="6"/>
  <c r="L46" i="6" s="1"/>
  <c r="K47" i="6"/>
  <c r="L47" i="6" s="1"/>
  <c r="K48" i="6"/>
  <c r="L48" i="6" s="1"/>
  <c r="K49" i="6"/>
  <c r="L49" i="6" s="1"/>
  <c r="K50" i="6"/>
  <c r="L50" i="6" s="1"/>
  <c r="K51" i="6"/>
  <c r="L51" i="6" s="1"/>
  <c r="K52" i="6"/>
  <c r="L52" i="6" s="1"/>
  <c r="K53" i="6"/>
  <c r="L53" i="6" s="1"/>
  <c r="K54" i="6"/>
  <c r="L54" i="6" s="1"/>
  <c r="K55" i="6"/>
  <c r="L55" i="6" s="1"/>
  <c r="K56" i="6"/>
  <c r="L56" i="6" s="1"/>
  <c r="K57" i="6"/>
  <c r="L57" i="6" s="1"/>
  <c r="K58" i="6"/>
  <c r="L58" i="6" s="1"/>
  <c r="K59" i="6"/>
  <c r="L59" i="6" s="1"/>
  <c r="K60" i="6"/>
  <c r="L60" i="6" s="1"/>
  <c r="K61" i="6"/>
  <c r="L61" i="6" s="1"/>
  <c r="K62" i="6"/>
  <c r="L62" i="6" s="1"/>
  <c r="K63" i="6"/>
  <c r="L63" i="6" s="1"/>
  <c r="K64" i="6"/>
  <c r="L64" i="6" s="1"/>
  <c r="K65" i="6"/>
  <c r="L65" i="6" s="1"/>
  <c r="K66" i="6"/>
  <c r="L66" i="6" s="1"/>
  <c r="K67" i="6"/>
  <c r="L67" i="6" s="1"/>
  <c r="K68" i="6"/>
  <c r="L68" i="6" s="1"/>
  <c r="K69" i="6"/>
  <c r="L69" i="6" s="1"/>
  <c r="K70" i="6"/>
  <c r="L70" i="6" s="1"/>
  <c r="K71" i="6"/>
  <c r="L71" i="6" s="1"/>
  <c r="K72" i="6"/>
  <c r="L72" i="6" s="1"/>
  <c r="K73" i="6"/>
  <c r="L73" i="6" s="1"/>
  <c r="K74" i="6"/>
  <c r="L74" i="6" s="1"/>
  <c r="K75" i="6"/>
  <c r="L75" i="6" s="1"/>
  <c r="K76" i="6"/>
  <c r="L76" i="6" s="1"/>
  <c r="K77" i="6"/>
  <c r="L77" i="6" s="1"/>
  <c r="K78" i="6"/>
  <c r="L78" i="6" s="1"/>
  <c r="K79" i="6"/>
  <c r="L79" i="6" s="1"/>
  <c r="K80" i="6"/>
  <c r="L80" i="6" s="1"/>
  <c r="K81" i="6"/>
  <c r="L81" i="6" s="1"/>
  <c r="K82" i="6"/>
  <c r="L82" i="6" s="1"/>
  <c r="K83" i="6"/>
  <c r="L83" i="6" s="1"/>
  <c r="K84" i="6"/>
  <c r="L84" i="6" s="1"/>
  <c r="K85" i="6"/>
  <c r="L85" i="6" s="1"/>
  <c r="K86" i="6"/>
  <c r="L86" i="6" s="1"/>
  <c r="K87" i="6"/>
  <c r="L87" i="6" s="1"/>
  <c r="K88" i="6"/>
  <c r="L88" i="6" s="1"/>
  <c r="K89" i="6"/>
  <c r="L89" i="6" s="1"/>
  <c r="K90" i="6"/>
  <c r="L90" i="6" s="1"/>
  <c r="K91" i="6"/>
  <c r="L91" i="6" s="1"/>
  <c r="K92" i="6"/>
  <c r="L92" i="6" s="1"/>
  <c r="K93" i="6"/>
  <c r="L93" i="6" s="1"/>
  <c r="K94" i="6"/>
  <c r="L94" i="6" s="1"/>
  <c r="K95" i="6"/>
  <c r="L95" i="6" s="1"/>
  <c r="K96" i="6"/>
  <c r="L96" i="6" s="1"/>
  <c r="K97" i="6"/>
  <c r="L97" i="6" s="1"/>
  <c r="K98" i="6"/>
  <c r="L98" i="6" s="1"/>
  <c r="K99" i="6"/>
  <c r="L99" i="6" s="1"/>
  <c r="K100" i="6"/>
  <c r="L100" i="6" s="1"/>
  <c r="K101" i="6"/>
  <c r="L101" i="6" s="1"/>
  <c r="K102" i="6"/>
  <c r="L102" i="6" s="1"/>
  <c r="K103" i="6"/>
  <c r="L103" i="6" s="1"/>
  <c r="K104" i="6"/>
  <c r="L104" i="6" s="1"/>
  <c r="K105" i="6"/>
  <c r="L105" i="6" s="1"/>
  <c r="K106" i="6"/>
  <c r="L106" i="6" s="1"/>
  <c r="K107" i="6"/>
  <c r="L107" i="6" s="1"/>
  <c r="K108" i="6"/>
  <c r="L108" i="6" s="1"/>
  <c r="K2" i="6"/>
  <c r="L2" i="6" s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2" i="6"/>
  <c r="M219" i="6" l="1"/>
  <c r="M225" i="6"/>
  <c r="M59" i="6"/>
  <c r="M3" i="6"/>
  <c r="M275" i="6"/>
  <c r="M267" i="6"/>
  <c r="M259" i="6"/>
  <c r="M251" i="6"/>
  <c r="M243" i="6"/>
  <c r="M235" i="6"/>
  <c r="M227" i="6"/>
  <c r="M224" i="6"/>
  <c r="M213" i="6"/>
  <c r="M205" i="6"/>
  <c r="M197" i="6"/>
  <c r="M183" i="6"/>
  <c r="M175" i="6"/>
  <c r="M167" i="6"/>
  <c r="M159" i="6"/>
  <c r="M145" i="6"/>
  <c r="M137" i="6"/>
  <c r="M134" i="6"/>
  <c r="M126" i="6"/>
  <c r="M118" i="6"/>
  <c r="M106" i="6"/>
  <c r="M98" i="6"/>
  <c r="M90" i="6"/>
  <c r="M82" i="6"/>
  <c r="M74" i="6"/>
  <c r="M66" i="6"/>
  <c r="M58" i="6"/>
  <c r="M50" i="6"/>
  <c r="M42" i="6"/>
  <c r="M34" i="6"/>
  <c r="M26" i="6"/>
  <c r="M18" i="6"/>
  <c r="M10" i="6"/>
  <c r="M278" i="6"/>
  <c r="M270" i="6"/>
  <c r="M262" i="6"/>
  <c r="M254" i="6"/>
  <c r="M246" i="6"/>
  <c r="M238" i="6"/>
  <c r="M230" i="6"/>
  <c r="M216" i="6"/>
  <c r="M208" i="6"/>
  <c r="M200" i="6"/>
  <c r="M189" i="6"/>
  <c r="M186" i="6"/>
  <c r="M178" i="6"/>
  <c r="M170" i="6"/>
  <c r="M162" i="6"/>
  <c r="M154" i="6"/>
  <c r="M151" i="6"/>
  <c r="M148" i="6"/>
  <c r="M140" i="6"/>
  <c r="M129" i="6"/>
  <c r="M121" i="6"/>
  <c r="M110" i="6"/>
  <c r="M99" i="6"/>
  <c r="M27" i="6"/>
  <c r="M65" i="6"/>
  <c r="M41" i="6"/>
  <c r="M33" i="6"/>
  <c r="M25" i="6"/>
  <c r="M17" i="6"/>
  <c r="M9" i="6"/>
  <c r="M273" i="6"/>
  <c r="M265" i="6"/>
  <c r="M257" i="6"/>
  <c r="M249" i="6"/>
  <c r="M241" i="6"/>
  <c r="M233" i="6"/>
  <c r="M222" i="6"/>
  <c r="M211" i="6"/>
  <c r="M203" i="6"/>
  <c r="M195" i="6"/>
  <c r="M192" i="6"/>
  <c r="M181" i="6"/>
  <c r="M173" i="6"/>
  <c r="M165" i="6"/>
  <c r="M157" i="6"/>
  <c r="M143" i="6"/>
  <c r="M132" i="6"/>
  <c r="M124" i="6"/>
  <c r="M116" i="6"/>
  <c r="M113" i="6"/>
  <c r="M51" i="6"/>
  <c r="M96" i="6"/>
  <c r="M40" i="6"/>
  <c r="M252" i="6"/>
  <c r="M214" i="6"/>
  <c r="M206" i="6"/>
  <c r="M198" i="6"/>
  <c r="M187" i="6"/>
  <c r="M184" i="6"/>
  <c r="M176" i="6"/>
  <c r="M168" i="6"/>
  <c r="M160" i="6"/>
  <c r="M146" i="6"/>
  <c r="M138" i="6"/>
  <c r="M135" i="6"/>
  <c r="M127" i="6"/>
  <c r="M119" i="6"/>
  <c r="M91" i="6"/>
  <c r="M19" i="6"/>
  <c r="M73" i="6"/>
  <c r="M88" i="6"/>
  <c r="M32" i="6"/>
  <c r="M244" i="6"/>
  <c r="M87" i="6"/>
  <c r="M31" i="6"/>
  <c r="M255" i="6"/>
  <c r="M209" i="6"/>
  <c r="M193" i="6"/>
  <c r="M163" i="6"/>
  <c r="M155" i="6"/>
  <c r="M152" i="6"/>
  <c r="M149" i="6"/>
  <c r="M141" i="6"/>
  <c r="M130" i="6"/>
  <c r="M122" i="6"/>
  <c r="M114" i="6"/>
  <c r="M111" i="6"/>
  <c r="M107" i="6"/>
  <c r="M67" i="6"/>
  <c r="M35" i="6"/>
  <c r="M105" i="6"/>
  <c r="M81" i="6"/>
  <c r="M104" i="6"/>
  <c r="M72" i="6"/>
  <c r="M48" i="6"/>
  <c r="M16" i="6"/>
  <c r="M268" i="6"/>
  <c r="M236" i="6"/>
  <c r="M103" i="6"/>
  <c r="M71" i="6"/>
  <c r="M47" i="6"/>
  <c r="M39" i="6"/>
  <c r="M7" i="6"/>
  <c r="M231" i="6"/>
  <c r="M217" i="6"/>
  <c r="M201" i="6"/>
  <c r="M190" i="6"/>
  <c r="M179" i="6"/>
  <c r="M171" i="6"/>
  <c r="M102" i="6"/>
  <c r="M94" i="6"/>
  <c r="M86" i="6"/>
  <c r="M78" i="6"/>
  <c r="M70" i="6"/>
  <c r="M62" i="6"/>
  <c r="M54" i="6"/>
  <c r="M46" i="6"/>
  <c r="M38" i="6"/>
  <c r="M30" i="6"/>
  <c r="M22" i="6"/>
  <c r="M14" i="6"/>
  <c r="M6" i="6"/>
  <c r="M274" i="6"/>
  <c r="M266" i="6"/>
  <c r="M258" i="6"/>
  <c r="M250" i="6"/>
  <c r="M242" i="6"/>
  <c r="M234" i="6"/>
  <c r="M226" i="6"/>
  <c r="M223" i="6"/>
  <c r="M212" i="6"/>
  <c r="M204" i="6"/>
  <c r="M196" i="6"/>
  <c r="M182" i="6"/>
  <c r="M174" i="6"/>
  <c r="M166" i="6"/>
  <c r="M158" i="6"/>
  <c r="M144" i="6"/>
  <c r="M133" i="6"/>
  <c r="M125" i="6"/>
  <c r="M117" i="6"/>
  <c r="M75" i="6"/>
  <c r="M43" i="6"/>
  <c r="M97" i="6"/>
  <c r="M49" i="6"/>
  <c r="M80" i="6"/>
  <c r="M56" i="6"/>
  <c r="M24" i="6"/>
  <c r="M276" i="6"/>
  <c r="M228" i="6"/>
  <c r="M95" i="6"/>
  <c r="M63" i="6"/>
  <c r="M15" i="6"/>
  <c r="M263" i="6"/>
  <c r="M239" i="6"/>
  <c r="M220" i="6"/>
  <c r="N2" i="6"/>
  <c r="M2" i="6"/>
  <c r="M101" i="6"/>
  <c r="M93" i="6"/>
  <c r="M85" i="6"/>
  <c r="M77" i="6"/>
  <c r="M69" i="6"/>
  <c r="M61" i="6"/>
  <c r="M53" i="6"/>
  <c r="M45" i="6"/>
  <c r="M37" i="6"/>
  <c r="M29" i="6"/>
  <c r="M21" i="6"/>
  <c r="M13" i="6"/>
  <c r="M5" i="6"/>
  <c r="M277" i="6"/>
  <c r="M269" i="6"/>
  <c r="M261" i="6"/>
  <c r="M253" i="6"/>
  <c r="M245" i="6"/>
  <c r="M237" i="6"/>
  <c r="M229" i="6"/>
  <c r="M215" i="6"/>
  <c r="M207" i="6"/>
  <c r="M199" i="6"/>
  <c r="M188" i="6"/>
  <c r="M185" i="6"/>
  <c r="M177" i="6"/>
  <c r="M169" i="6"/>
  <c r="M161" i="6"/>
  <c r="M153" i="6"/>
  <c r="M150" i="6"/>
  <c r="M147" i="6"/>
  <c r="M139" i="6"/>
  <c r="M136" i="6"/>
  <c r="M128" i="6"/>
  <c r="M120" i="6"/>
  <c r="M109" i="6"/>
  <c r="M83" i="6"/>
  <c r="M11" i="6"/>
  <c r="M89" i="6"/>
  <c r="M57" i="6"/>
  <c r="M64" i="6"/>
  <c r="M8" i="6"/>
  <c r="M260" i="6"/>
  <c r="M79" i="6"/>
  <c r="M55" i="6"/>
  <c r="M23" i="6"/>
  <c r="M271" i="6"/>
  <c r="M247" i="6"/>
  <c r="M108" i="6"/>
  <c r="M100" i="6"/>
  <c r="M92" i="6"/>
  <c r="M84" i="6"/>
  <c r="M76" i="6"/>
  <c r="M68" i="6"/>
  <c r="M60" i="6"/>
  <c r="M52" i="6"/>
  <c r="M44" i="6"/>
  <c r="M36" i="6"/>
  <c r="M28" i="6"/>
  <c r="M20" i="6"/>
  <c r="M12" i="6"/>
  <c r="M4" i="6"/>
  <c r="M272" i="6"/>
  <c r="M264" i="6"/>
  <c r="M256" i="6"/>
  <c r="M248" i="6"/>
  <c r="M240" i="6"/>
  <c r="M232" i="6"/>
  <c r="M221" i="6"/>
  <c r="M218" i="6"/>
  <c r="M210" i="6"/>
  <c r="M202" i="6"/>
  <c r="M194" i="6"/>
  <c r="M191" i="6"/>
  <c r="M180" i="6"/>
  <c r="M172" i="6"/>
  <c r="M164" i="6"/>
  <c r="M156" i="6"/>
  <c r="M142" i="6"/>
  <c r="M131" i="6"/>
  <c r="M123" i="6"/>
  <c r="M115" i="6"/>
  <c r="M112" i="6"/>
  <c r="N235" i="6"/>
  <c r="N70" i="6"/>
  <c r="N22" i="6"/>
  <c r="N238" i="6"/>
  <c r="N143" i="6"/>
  <c r="N146" i="6"/>
  <c r="N263" i="6"/>
  <c r="N149" i="6"/>
  <c r="N111" i="6"/>
  <c r="N214" i="6"/>
  <c r="N117" i="6"/>
  <c r="N275" i="6"/>
  <c r="N98" i="6"/>
  <c r="N50" i="6"/>
  <c r="N277" i="6"/>
  <c r="N242" i="6"/>
  <c r="N217" i="6"/>
  <c r="N239" i="6"/>
  <c r="N97" i="6"/>
  <c r="N89" i="6"/>
  <c r="N65" i="6"/>
  <c r="N33" i="6"/>
  <c r="N25" i="6"/>
  <c r="N226" i="6"/>
  <c r="N201" i="6"/>
  <c r="N76" i="6"/>
  <c r="N20" i="6"/>
  <c r="N193" i="6"/>
  <c r="N99" i="6"/>
  <c r="N43" i="6"/>
  <c r="N273" i="6"/>
  <c r="N225" i="6"/>
  <c r="N103" i="6"/>
  <c r="N95" i="6"/>
  <c r="N87" i="6"/>
  <c r="N79" i="6"/>
  <c r="N71" i="6"/>
  <c r="N63" i="6"/>
  <c r="N55" i="6"/>
  <c r="N47" i="6"/>
  <c r="N39" i="6"/>
  <c r="N31" i="6"/>
  <c r="N23" i="6"/>
  <c r="N15" i="6"/>
  <c r="N7" i="6"/>
  <c r="N6" i="6"/>
  <c r="N269" i="6"/>
  <c r="N258" i="6"/>
  <c r="N255" i="6"/>
  <c r="N247" i="6"/>
  <c r="N206" i="6"/>
  <c r="N189" i="6"/>
  <c r="N183" i="6"/>
  <c r="N175" i="6"/>
  <c r="N172" i="6"/>
  <c r="N169" i="6"/>
  <c r="N166" i="6"/>
  <c r="N158" i="6"/>
  <c r="N132" i="6"/>
  <c r="N124" i="6"/>
  <c r="N100" i="6"/>
  <c r="N52" i="6"/>
  <c r="N46" i="6"/>
  <c r="N248" i="6"/>
  <c r="N75" i="6"/>
  <c r="N35" i="6"/>
  <c r="N276" i="6"/>
  <c r="N222" i="6"/>
  <c r="N210" i="6"/>
  <c r="N102" i="6"/>
  <c r="N94" i="6"/>
  <c r="N86" i="6"/>
  <c r="N78" i="6"/>
  <c r="N62" i="6"/>
  <c r="N54" i="6"/>
  <c r="N38" i="6"/>
  <c r="N30" i="6"/>
  <c r="N14" i="6"/>
  <c r="N278" i="6"/>
  <c r="N272" i="6"/>
  <c r="N264" i="6"/>
  <c r="N261" i="6"/>
  <c r="N250" i="6"/>
  <c r="N227" i="6"/>
  <c r="N221" i="6"/>
  <c r="N218" i="6"/>
  <c r="N215" i="6"/>
  <c r="N209" i="6"/>
  <c r="N195" i="6"/>
  <c r="N192" i="6"/>
  <c r="N186" i="6"/>
  <c r="N178" i="6"/>
  <c r="N161" i="6"/>
  <c r="N153" i="6"/>
  <c r="N150" i="6"/>
  <c r="N138" i="6"/>
  <c r="N135" i="6"/>
  <c r="N127" i="6"/>
  <c r="N119" i="6"/>
  <c r="N116" i="6"/>
  <c r="N113" i="6"/>
  <c r="N110" i="6"/>
  <c r="N60" i="6"/>
  <c r="N270" i="6"/>
  <c r="N107" i="6"/>
  <c r="N11" i="6"/>
  <c r="N251" i="6"/>
  <c r="N199" i="6"/>
  <c r="N101" i="6"/>
  <c r="N93" i="6"/>
  <c r="N85" i="6"/>
  <c r="N77" i="6"/>
  <c r="N69" i="6"/>
  <c r="N61" i="6"/>
  <c r="N53" i="6"/>
  <c r="N45" i="6"/>
  <c r="N37" i="6"/>
  <c r="N29" i="6"/>
  <c r="N21" i="6"/>
  <c r="N13" i="6"/>
  <c r="N5" i="6"/>
  <c r="N267" i="6"/>
  <c r="N253" i="6"/>
  <c r="N245" i="6"/>
  <c r="N236" i="6"/>
  <c r="N233" i="6"/>
  <c r="N230" i="6"/>
  <c r="N224" i="6"/>
  <c r="N212" i="6"/>
  <c r="N204" i="6"/>
  <c r="N198" i="6"/>
  <c r="N181" i="6"/>
  <c r="N164" i="6"/>
  <c r="N156" i="6"/>
  <c r="N147" i="6"/>
  <c r="N144" i="6"/>
  <c r="N141" i="6"/>
  <c r="N130" i="6"/>
  <c r="N122" i="6"/>
  <c r="N12" i="6"/>
  <c r="N207" i="6"/>
  <c r="N187" i="6"/>
  <c r="N184" i="6"/>
  <c r="N176" i="6"/>
  <c r="N173" i="6"/>
  <c r="N170" i="6"/>
  <c r="N167" i="6"/>
  <c r="N159" i="6"/>
  <c r="N133" i="6"/>
  <c r="N125" i="6"/>
  <c r="N114" i="6"/>
  <c r="N84" i="6"/>
  <c r="N4" i="6"/>
  <c r="N83" i="6"/>
  <c r="N27" i="6"/>
  <c r="N240" i="6"/>
  <c r="N196" i="6"/>
  <c r="N128" i="6"/>
  <c r="N120" i="6"/>
  <c r="N108" i="6"/>
  <c r="N36" i="6"/>
  <c r="N91" i="6"/>
  <c r="N51" i="6"/>
  <c r="N34" i="6"/>
  <c r="N262" i="6"/>
  <c r="N216" i="6"/>
  <c r="N202" i="6"/>
  <c r="N154" i="6"/>
  <c r="N139" i="6"/>
  <c r="N106" i="6"/>
  <c r="N90" i="6"/>
  <c r="N82" i="6"/>
  <c r="N74" i="6"/>
  <c r="N66" i="6"/>
  <c r="N58" i="6"/>
  <c r="N42" i="6"/>
  <c r="N26" i="6"/>
  <c r="N18" i="6"/>
  <c r="N10" i="6"/>
  <c r="N268" i="6"/>
  <c r="N257" i="6"/>
  <c r="N254" i="6"/>
  <c r="N246" i="6"/>
  <c r="N237" i="6"/>
  <c r="N234" i="6"/>
  <c r="N205" i="6"/>
  <c r="N182" i="6"/>
  <c r="N174" i="6"/>
  <c r="N171" i="6"/>
  <c r="N165" i="6"/>
  <c r="N157" i="6"/>
  <c r="N148" i="6"/>
  <c r="N145" i="6"/>
  <c r="N142" i="6"/>
  <c r="N131" i="6"/>
  <c r="N123" i="6"/>
  <c r="N68" i="6"/>
  <c r="N44" i="6"/>
  <c r="N259" i="6"/>
  <c r="N190" i="6"/>
  <c r="N59" i="6"/>
  <c r="N3" i="6"/>
  <c r="N243" i="6"/>
  <c r="N228" i="6"/>
  <c r="N213" i="6"/>
  <c r="N151" i="6"/>
  <c r="N105" i="6"/>
  <c r="N81" i="6"/>
  <c r="N73" i="6"/>
  <c r="N57" i="6"/>
  <c r="N49" i="6"/>
  <c r="N41" i="6"/>
  <c r="N17" i="6"/>
  <c r="N9" i="6"/>
  <c r="N271" i="6"/>
  <c r="N260" i="6"/>
  <c r="N249" i="6"/>
  <c r="N220" i="6"/>
  <c r="N208" i="6"/>
  <c r="N194" i="6"/>
  <c r="N191" i="6"/>
  <c r="N188" i="6"/>
  <c r="N185" i="6"/>
  <c r="N177" i="6"/>
  <c r="N168" i="6"/>
  <c r="N160" i="6"/>
  <c r="N137" i="6"/>
  <c r="N134" i="6"/>
  <c r="N126" i="6"/>
  <c r="N118" i="6"/>
  <c r="N115" i="6"/>
  <c r="N112" i="6"/>
  <c r="N109" i="6"/>
  <c r="N92" i="6"/>
  <c r="N28" i="6"/>
  <c r="N256" i="6"/>
  <c r="N219" i="6"/>
  <c r="N67" i="6"/>
  <c r="N19" i="6"/>
  <c r="N265" i="6"/>
  <c r="N231" i="6"/>
  <c r="N179" i="6"/>
  <c r="N162" i="6"/>
  <c r="N136" i="6"/>
  <c r="N104" i="6"/>
  <c r="N96" i="6"/>
  <c r="N88" i="6"/>
  <c r="N80" i="6"/>
  <c r="N72" i="6"/>
  <c r="N64" i="6"/>
  <c r="N56" i="6"/>
  <c r="N48" i="6"/>
  <c r="N40" i="6"/>
  <c r="N32" i="6"/>
  <c r="N24" i="6"/>
  <c r="N16" i="6"/>
  <c r="N8" i="6"/>
  <c r="N274" i="6"/>
  <c r="N266" i="6"/>
  <c r="N252" i="6"/>
  <c r="N244" i="6"/>
  <c r="N241" i="6"/>
  <c r="N232" i="6"/>
  <c r="N229" i="6"/>
  <c r="N223" i="6"/>
  <c r="N211" i="6"/>
  <c r="N203" i="6"/>
  <c r="N200" i="6"/>
  <c r="N197" i="6"/>
  <c r="N180" i="6"/>
  <c r="N163" i="6"/>
  <c r="N155" i="6"/>
  <c r="N152" i="6"/>
  <c r="N140" i="6"/>
  <c r="N129" i="6"/>
  <c r="N121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2" i="6"/>
</calcChain>
</file>

<file path=xl/sharedStrings.xml><?xml version="1.0" encoding="utf-8"?>
<sst xmlns="http://schemas.openxmlformats.org/spreadsheetml/2006/main" count="842" uniqueCount="87">
  <si>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</si>
  <si>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</si>
  <si>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</si>
  <si>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</si>
  <si>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>Compiling data yang ditarik RPA menjadi satu file yg sesuai dengan format GCC, kemudian file tsb diupload ke GCC</t>
  </si>
  <si>
    <t>\\10.8.0.35\rpa$\RPA Excel Template\Documen\MACRO_RPA - Backup Data Portal ke GCC - BC.23 PJT\RPA - Hasil Download FIle Portal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</si>
  <si>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Hasil Compile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</si>
  <si>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Template\Documen\MACRO_RPA - Backup Data Portal ke GCC - BC.23 PJT\Hasil Compile</t>
  </si>
  <si>
    <r>
      <t>PERIODE BULAN (</t>
    </r>
    <r>
      <rPr>
        <i/>
        <sz val="9"/>
        <color theme="4" tint="-0.499984740745262"/>
        <rFont val="Calibri"/>
        <family val="2"/>
        <scheme val="minor"/>
      </rPr>
      <t>Bulan Pada File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</si>
  <si>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1</t>
  </si>
  <si>
    <t xml:space="preserve"> •ENTITY</t>
  </si>
  <si>
    <t xml:space="preserve"> •VALUE 2</t>
  </si>
  <si>
    <t xml:space="preserve"> •NOTE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</si>
  <si>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</si>
  <si>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</si>
  <si>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</si>
  <si>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</si>
  <si>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</si>
  <si>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</si>
  <si>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</si>
  <si>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</si>
  <si>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</si>
  <si>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</si>
  <si>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</si>
  <si>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</si>
  <si>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</si>
  <si>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</si>
  <si>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</si>
  <si>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</si>
  <si>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</si>
  <si>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</si>
  <si>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</si>
  <si>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</si>
  <si>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</si>
  <si>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MAJA1</t>
  </si>
  <si>
    <t>GM2</t>
  </si>
  <si>
    <t>REMOVE DUPLIKAT DAN SORT A TO Z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</si>
  <si>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</si>
  <si>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</si>
  <si>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</si>
  <si>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</si>
  <si>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</si>
  <si>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</si>
  <si>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</si>
  <si>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</si>
  <si>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</si>
  <si>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</si>
  <si>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</si>
  <si>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</si>
  <si>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</si>
  <si>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</si>
  <si>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</si>
  <si>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</si>
  <si>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</si>
  <si>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</si>
  <si>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</si>
  <si>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► PERFORMANCE SHIPMENT 2024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</si>
  <si>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</si>
  <si>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</si>
  <si>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</si>
  <si>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</si>
  <si>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</si>
  <si>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</si>
  <si>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ORDER BY PK2</t>
  </si>
  <si>
    <t>[SUMIF] QTY EXPORT BY PK2</t>
  </si>
  <si>
    <t>[SUMIF] % EXP FROM CUTTING</t>
  </si>
  <si>
    <t>Q</t>
  </si>
  <si>
    <t>FACTORY</t>
  </si>
  <si>
    <t>[GET] MONTHLY PERFORMANCE ORDER</t>
  </si>
  <si>
    <t>[SUMIF] QTY CUTT BY PK2</t>
  </si>
  <si>
    <t>Membuat CC1_UserInput</t>
  </si>
  <si>
    <t>\\10.8.0.35\Bersama\IT\RPA 00\Monitoring Performance Shipment\Source</t>
  </si>
  <si>
    <t>Sesuai Target</t>
  </si>
  <si>
    <t>Mendekati Target</t>
  </si>
  <si>
    <t>Improve Dari Bulan Juli Tapi Masih Jauh dari Target</t>
  </si>
  <si>
    <t>Kategori Progress</t>
  </si>
  <si>
    <t xml:space="preserve"> -0 s/d -0.25 %</t>
  </si>
  <si>
    <t xml:space="preserve"> -0.25 % s/d -0.9 %</t>
  </si>
  <si>
    <t>Persentase Bulan sebelum-nya lebih kecil dari bulan berjalan</t>
  </si>
  <si>
    <t>COLOR</t>
  </si>
  <si>
    <t>RATE</t>
  </si>
  <si>
    <t>PARAMETER</t>
  </si>
  <si>
    <t>PASS MONTH</t>
  </si>
  <si>
    <t>NOTE: Sesuai Target</t>
  </si>
  <si>
    <t>NOTE: Mendekati Target</t>
  </si>
  <si>
    <t>PARAMETER:  -0 s/d -0.25 %</t>
  </si>
  <si>
    <t>PARAMETER:  -0.25 % s/d -0.9 %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</si>
</sst>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3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9" fillId="0" borderId="0"/>
  </cellStyleXfs>
  <cellXfs count="93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8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2" fillId="0" borderId="4" xfId="1" applyBorder="1"/>
    <xf numFmtId="0" fontId="2" fillId="0" borderId="4" xfId="1" applyFill="1" applyBorder="1"/>
    <xf numFmtId="49" fontId="2" fillId="0" borderId="4" xfId="1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20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3" fillId="6" borderId="0" xfId="3" applyFont="1" applyFill="1" applyAlignment="1">
      <alignment horizontal="center" vertical="center"/>
    </xf>
    <xf numFmtId="0" fontId="25" fillId="0" borderId="7" xfId="0" applyFont="1" applyBorder="1"/>
    <xf numFmtId="0" fontId="20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2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6" fillId="6" borderId="8" xfId="3" applyFont="1" applyFill="1" applyBorder="1" applyAlignment="1">
      <alignment horizontal="center" vertical="center"/>
    </xf>
    <xf numFmtId="0" fontId="27" fillId="0" borderId="8" xfId="0" applyFont="1" applyBorder="1"/>
    <xf numFmtId="0" fontId="21" fillId="0" borderId="11" xfId="0" applyFont="1" applyBorder="1" applyAlignment="1">
      <alignment horizontal="center" vertical="center"/>
    </xf>
    <xf numFmtId="9" fontId="18" fillId="12" borderId="15" xfId="2" applyFont="1" applyFill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9" fontId="18" fillId="13" borderId="15" xfId="2" applyFont="1" applyFill="1" applyBorder="1" applyAlignment="1">
      <alignment horizontal="center" vertical="center"/>
    </xf>
    <xf numFmtId="9" fontId="18" fillId="13" borderId="16" xfId="2" applyFont="1" applyFill="1" applyBorder="1" applyAlignment="1">
      <alignment horizontal="center" vertical="center"/>
    </xf>
    <xf numFmtId="9" fontId="18" fillId="12" borderId="16" xfId="2" applyFont="1" applyFill="1" applyBorder="1" applyAlignment="1">
      <alignment horizontal="center" vertical="center"/>
    </xf>
    <xf numFmtId="0" fontId="21" fillId="7" borderId="10" xfId="0" applyFont="1" applyFill="1" applyBorder="1" applyAlignment="1">
      <alignment horizontal="right" vertical="center"/>
    </xf>
    <xf numFmtId="0" fontId="28" fillId="0" borderId="4" xfId="1" applyFont="1" applyFill="1" applyBorder="1" applyAlignment="1">
      <alignment horizontal="left"/>
    </xf>
    <xf numFmtId="0" fontId="29" fillId="0" borderId="5" xfId="0" applyFont="1" applyBorder="1" applyAlignment="1">
      <alignment horizontal="left"/>
    </xf>
    <xf numFmtId="0" fontId="28" fillId="0" borderId="4" xfId="0" applyFont="1" applyBorder="1" applyAlignment="1">
      <alignment horizontal="left"/>
    </xf>
    <xf numFmtId="164" fontId="29" fillId="0" borderId="0" xfId="0" applyNumberFormat="1" applyFont="1" applyAlignment="1">
      <alignment horizontal="left"/>
    </xf>
    <xf numFmtId="0" fontId="30" fillId="0" borderId="4" xfId="1" applyFont="1" applyBorder="1" applyAlignment="1">
      <alignment horizontal="left"/>
    </xf>
    <xf numFmtId="0" fontId="30" fillId="0" borderId="5" xfId="1" applyFont="1" applyBorder="1" applyAlignment="1">
      <alignment horizontal="left"/>
    </xf>
    <xf numFmtId="0" fontId="0" fillId="14" borderId="14" xfId="0" applyFill="1" applyBorder="1"/>
    <xf numFmtId="0" fontId="0" fillId="15" borderId="14" xfId="0" applyFill="1" applyBorder="1"/>
    <xf numFmtId="0" fontId="0" fillId="5" borderId="14" xfId="0" applyFill="1" applyBorder="1"/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0" fontId="18" fillId="13" borderId="16" xfId="2" applyNumberFormat="1" applyFont="1" applyFill="1" applyBorder="1" applyAlignment="1">
      <alignment horizontal="center" vertical="center"/>
    </xf>
    <xf numFmtId="10" fontId="18" fillId="12" borderId="16" xfId="2" applyNumberFormat="1" applyFont="1" applyFill="1" applyBorder="1" applyAlignment="1">
      <alignment horizontal="center" vertical="center"/>
    </xf>
    <xf numFmtId="10" fontId="18" fillId="13" borderId="15" xfId="2" applyNumberFormat="1" applyFont="1" applyFill="1" applyBorder="1" applyAlignment="1">
      <alignment horizontal="center" vertical="center"/>
    </xf>
    <xf numFmtId="10" fontId="18" fillId="12" borderId="15" xfId="2" applyNumberFormat="1" applyFont="1" applyFill="1" applyBorder="1" applyAlignment="1">
      <alignment horizontal="center" vertical="center"/>
    </xf>
    <xf numFmtId="0" fontId="24" fillId="10" borderId="7" xfId="3" applyFont="1" applyFill="1" applyBorder="1" applyAlignment="1">
      <alignment horizontal="center" vertical="center"/>
    </xf>
    <xf numFmtId="0" fontId="24" fillId="11" borderId="7" xfId="3" applyFont="1" applyFill="1" applyBorder="1" applyAlignment="1">
      <alignment horizontal="center" vertical="center"/>
    </xf>
    <xf numFmtId="0" fontId="20" fillId="6" borderId="10" xfId="3" applyFont="1" applyFill="1" applyBorder="1" applyAlignment="1">
      <alignment horizontal="center" vertical="center"/>
    </xf>
    <xf numFmtId="0" fontId="20" fillId="6" borderId="11" xfId="3" applyFont="1" applyFill="1" applyBorder="1" applyAlignment="1">
      <alignment horizontal="center" vertical="center"/>
    </xf>
    <xf numFmtId="0" fontId="20" fillId="6" borderId="12" xfId="3" applyFont="1" applyFill="1" applyBorder="1" applyAlignment="1">
      <alignment horizontal="center" vertical="center"/>
    </xf>
    <xf numFmtId="0" fontId="20" fillId="6" borderId="7" xfId="3" applyFont="1" applyFill="1" applyBorder="1" applyAlignment="1">
      <alignment horizontal="center" vertical="center"/>
    </xf>
    <xf numFmtId="0" fontId="20" fillId="6" borderId="8" xfId="3" applyFont="1" applyFill="1" applyBorder="1" applyAlignment="1">
      <alignment horizontal="center" vertical="center"/>
    </xf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10" fontId="32" fillId="13" borderId="16" xfId="2" applyNumberFormat="1" applyFont="1" applyFill="1" applyBorder="1" applyAlignment="1">
      <alignment horizontal="center" vertical="center"/>
    </xf>
    <xf numFmtId="10" fontId="32" fillId="12" borderId="16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2" fillId="0" borderId="0" xfId="0" applyFont="1" applyFill="1" applyAlignment="1">
      <alignment horizontal="left" vertical="center"/>
    </xf>
    <xf numFmtId="0" fontId="12" fillId="0" borderId="0" xfId="0" applyFont="1" applyFill="1"/>
    <xf numFmtId="0" fontId="33" fillId="0" borderId="0" xfId="0" applyFont="1" applyFill="1"/>
    <xf numFmtId="0" fontId="12" fillId="0" borderId="0" xfId="0" applyFont="1" applyFill="1" applyAlignment="1">
      <alignment horizontal="center" vertical="center"/>
    </xf>
    <xf numFmtId="10" fontId="18" fillId="12" borderId="17" xfId="2" applyNumberFormat="1" applyFont="1" applyFill="1" applyBorder="1" applyAlignment="1">
      <alignment horizontal="center" vertical="center"/>
    </xf>
    <xf numFmtId="10" fontId="18" fillId="16" borderId="17" xfId="2" applyNumberFormat="1" applyFont="1" applyFill="1" applyBorder="1" applyAlignment="1">
      <alignment horizontal="center" vertical="center"/>
    </xf>
    <xf numFmtId="10" fontId="18" fillId="16" borderId="17" xfId="2" applyNumberFormat="1" applyFont="1" applyFill="1" applyBorder="1" applyAlignment="1">
      <alignment horizontal="center" vertical="center"/>
    </xf>
    <xf numFmtId="0" fontId="0" fillId="17" borderId="14" xfId="0" applyFill="1" applyBorder="1"/>
    <xf numFmtId="10" fontId="18" fillId="7" borderId="17" xfId="2" applyNumberFormat="1" applyFont="1" applyFill="1" applyBorder="1" applyAlignment="1">
      <alignment horizontal="center" vertical="center"/>
    </xf>
    <xf numFmtId="0" fontId="21" fillId="9" borderId="12" xfId="0" applyFont="1" applyFill="1" applyBorder="1" applyAlignment="1">
      <alignment horizontal="center" vertical="center"/>
    </xf>
    <xf numFmtId="0" fontId="21" fillId="7" borderId="17" xfId="0" applyFont="1" applyFill="1" applyBorder="1" applyAlignment="1">
      <alignment horizontal="center" vertical="center"/>
    </xf>
    <xf numFmtId="0" fontId="21" fillId="16" borderId="17" xfId="0" applyFont="1" applyFill="1" applyBorder="1" applyAlignment="1">
      <alignment horizontal="center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2"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6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8632868" y="688975"/>
          <a:ext cx="977857" cy="6096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0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98468</xdr:colOff>
      <xdr:row>11</xdr:row>
      <xdr:rowOff>19050</xdr:rowOff>
    </xdr:from>
    <xdr:to>
      <xdr:col>7</xdr:col>
      <xdr:colOff>1123950</xdr:colOff>
      <xdr:row>13</xdr:row>
      <xdr:rowOff>57149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566193" y="1943100"/>
          <a:ext cx="1025482" cy="419099"/>
          <a:chOff x="2984127" y="906997"/>
          <a:chExt cx="1670698" cy="42924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7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CommandButton1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000-0000020C0000}"/>
                  </a:ext>
                </a:extLst>
              </xdr:cNvPr>
              <xdr:cNvSpPr/>
            </xdr:nvSpPr>
            <xdr:spPr bwMode="auto">
              <a:xfrm>
                <a:off x="3159020" y="987276"/>
                <a:ext cx="1332348" cy="2606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74734</xdr:colOff>
      <xdr:row>10</xdr:row>
      <xdr:rowOff>41031</xdr:rowOff>
    </xdr:from>
    <xdr:to>
      <xdr:col>4</xdr:col>
      <xdr:colOff>140994</xdr:colOff>
      <xdr:row>10</xdr:row>
      <xdr:rowOff>181164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380159" y="15840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74734</xdr:colOff>
      <xdr:row>11</xdr:row>
      <xdr:rowOff>41031</xdr:rowOff>
    </xdr:from>
    <xdr:to>
      <xdr:col>4</xdr:col>
      <xdr:colOff>140994</xdr:colOff>
      <xdr:row>11</xdr:row>
      <xdr:rowOff>181164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80159" y="17745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file:///C:\Users\ASUS%20Vivobook\Desktop\Hasil%20Compile" TargetMode="External"/><Relationship Id="rId1" Type="http://schemas.openxmlformats.org/officeDocument/2006/relationships/hyperlink" Target="file:///C:\Users\ASUS%20Vivobook\Desktop\RPA%20Superbackflush262%20-%201\MACRO_RPA%20-%20Blackflush%20dan%20Closing%20Pemasukan%20262\RPA%20-%20Hasil%20Download%20FIle%20Portal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5"/>
  <sheetViews>
    <sheetView showGridLines="0" zoomScaleNormal="100" workbookViewId="0">
      <selection activeCell="F18" sqref="F18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59"/>
      <c r="B1" s="59"/>
      <c r="C1" s="63" t="s">
        <v>1</v>
      </c>
      <c r="D1" s="63"/>
      <c r="E1" s="63"/>
      <c r="F1" s="63"/>
      <c r="G1" s="63"/>
      <c r="H1" s="63"/>
    </row>
    <row r="2" spans="1:11" ht="18" customHeight="1" x14ac:dyDescent="0.25">
      <c r="A2" s="5"/>
      <c r="B2" s="5"/>
      <c r="C2" s="6"/>
      <c r="D2" s="6"/>
      <c r="E2" s="6"/>
      <c r="F2" s="6"/>
      <c r="G2" s="6"/>
    </row>
    <row r="3" spans="1:11" ht="15.75" x14ac:dyDescent="0.25">
      <c r="A3" s="59"/>
      <c r="B3" s="64"/>
      <c r="C3" s="2" t="s">
        <v>12</v>
      </c>
      <c r="D3" s="3" t="s">
        <v>10</v>
      </c>
      <c r="E3" s="60" t="s">
        <v>9</v>
      </c>
      <c r="F3" s="61"/>
      <c r="G3" s="3" t="s">
        <v>11</v>
      </c>
      <c r="H3" s="7" t="s">
        <v>2</v>
      </c>
      <c r="K3">
        <v>3</v>
      </c>
    </row>
    <row r="4" spans="1:11" ht="15" customHeight="1" x14ac:dyDescent="0.25">
      <c r="A4" s="59"/>
      <c r="B4" s="64"/>
      <c r="C4" s="62" t="s">
        <v>70</v>
      </c>
      <c r="D4" s="8" t="s">
        <v>14</v>
      </c>
      <c r="E4" s="1" t="s">
        <v>0</v>
      </c>
      <c r="F4" s="48" t="s">
        <v>71</v>
      </c>
      <c r="G4" s="49" t="str">
        <f ca="1">"NEW INPUT USER - Monitoring Performance Shipment " &amp; F5&amp;".xlsx"</f>
        <v>NEW INPUT USER - Monitoring Performance Shipment 2024.xlsx</v>
      </c>
      <c r="H4" s="57" t="s">
        <v>3</v>
      </c>
      <c r="K4" s="15" t="str">
        <f ca="1">TEXT(NOW(),"[$-EN-EN]YYYY")</f>
        <v>2024</v>
      </c>
    </row>
    <row r="5" spans="1:11" x14ac:dyDescent="0.25">
      <c r="A5" s="59"/>
      <c r="B5" s="64"/>
      <c r="C5" s="62"/>
      <c r="D5" s="8" t="s">
        <v>59</v>
      </c>
      <c r="E5" s="1" t="s">
        <v>0</v>
      </c>
      <c r="F5" s="50" t="str">
        <f ca="1">TEXT(NOW(),"[$-EN-EN]YYYY")</f>
        <v>2024</v>
      </c>
      <c r="G5" s="51"/>
      <c r="H5" s="58"/>
    </row>
    <row r="6" spans="1:11" x14ac:dyDescent="0.25">
      <c r="A6" s="59"/>
      <c r="B6" s="64"/>
      <c r="C6" s="62"/>
      <c r="D6" s="8"/>
      <c r="E6" s="1"/>
      <c r="F6" s="50"/>
      <c r="G6" s="51"/>
      <c r="H6" s="58"/>
    </row>
    <row r="7" spans="1:11" x14ac:dyDescent="0.25">
      <c r="A7" s="59"/>
      <c r="B7" s="64"/>
      <c r="C7" s="62"/>
      <c r="D7" s="9"/>
      <c r="E7" s="4"/>
      <c r="F7" s="52"/>
      <c r="G7" s="53"/>
      <c r="H7" s="58"/>
    </row>
    <row r="8" spans="1:11" ht="1.5" customHeight="1" x14ac:dyDescent="0.25">
      <c r="A8" s="59"/>
      <c r="B8" s="64"/>
      <c r="C8" s="17"/>
      <c r="D8" s="17"/>
      <c r="E8" s="17"/>
      <c r="F8" s="17"/>
      <c r="G8" s="17"/>
      <c r="H8" s="17"/>
    </row>
    <row r="9" spans="1:11" ht="7.5" customHeight="1" x14ac:dyDescent="0.25">
      <c r="A9" s="59"/>
      <c r="B9" s="59"/>
      <c r="C9" s="16"/>
      <c r="D9" s="16"/>
      <c r="E9" s="16"/>
      <c r="F9" s="16"/>
      <c r="G9" s="16"/>
      <c r="H9" s="16"/>
    </row>
    <row r="10" spans="1:11" ht="15.75" x14ac:dyDescent="0.25">
      <c r="A10" s="59"/>
      <c r="B10" s="59"/>
      <c r="C10" s="2" t="s">
        <v>12</v>
      </c>
      <c r="D10" s="3" t="s">
        <v>10</v>
      </c>
      <c r="E10" s="60" t="s">
        <v>9</v>
      </c>
      <c r="F10" s="61"/>
      <c r="G10" s="3" t="s">
        <v>11</v>
      </c>
      <c r="H10" s="7" t="s">
        <v>2</v>
      </c>
    </row>
    <row r="11" spans="1:11" x14ac:dyDescent="0.25">
      <c r="A11" s="59"/>
      <c r="B11" s="59"/>
      <c r="C11" s="62" t="s">
        <v>4</v>
      </c>
      <c r="D11" s="8" t="s">
        <v>13</v>
      </c>
      <c r="E11" s="1" t="s">
        <v>0</v>
      </c>
      <c r="F11" s="11" t="s">
        <v>5</v>
      </c>
      <c r="G11" s="13" t="s">
        <v>0</v>
      </c>
      <c r="H11" s="57" t="s">
        <v>3</v>
      </c>
    </row>
    <row r="12" spans="1:11" x14ac:dyDescent="0.25">
      <c r="A12" s="59"/>
      <c r="B12" s="59"/>
      <c r="C12" s="62"/>
      <c r="D12" s="8" t="s">
        <v>6</v>
      </c>
      <c r="E12" s="1" t="s">
        <v>0</v>
      </c>
      <c r="F12" s="12" t="s">
        <v>7</v>
      </c>
      <c r="G12" s="13" t="s">
        <v>0</v>
      </c>
      <c r="H12" s="58"/>
    </row>
    <row r="13" spans="1:11" x14ac:dyDescent="0.25">
      <c r="A13" s="59"/>
      <c r="B13" s="59"/>
      <c r="C13" s="62"/>
      <c r="D13" s="8" t="s">
        <v>8</v>
      </c>
      <c r="E13" s="1" t="s">
        <v>0</v>
      </c>
      <c r="F13" s="10"/>
      <c r="G13" s="10"/>
      <c r="H13" s="58"/>
    </row>
    <row r="14" spans="1:11" x14ac:dyDescent="0.25">
      <c r="A14" s="59"/>
      <c r="B14" s="59"/>
      <c r="C14" s="62"/>
      <c r="D14" s="8"/>
      <c r="E14" s="4"/>
      <c r="F14" s="10"/>
      <c r="G14" s="14"/>
      <c r="H14" s="58"/>
    </row>
    <row r="15" spans="1:11" ht="1.5" customHeight="1" x14ac:dyDescent="0.25">
      <c r="A15" s="59"/>
      <c r="B15" s="59"/>
      <c r="C15" s="17"/>
      <c r="D15" s="17"/>
      <c r="E15" s="17"/>
      <c r="F15" s="17"/>
      <c r="G15" s="17"/>
      <c r="H15" s="17"/>
    </row>
  </sheetData>
  <mergeCells count="12">
    <mergeCell ref="A1:B1"/>
    <mergeCell ref="C1:H1"/>
    <mergeCell ref="C4:C7"/>
    <mergeCell ref="H4:H7"/>
    <mergeCell ref="A3:A8"/>
    <mergeCell ref="B3:B8"/>
    <mergeCell ref="H11:H14"/>
    <mergeCell ref="A9:A15"/>
    <mergeCell ref="B9:B15"/>
    <mergeCell ref="E10:F10"/>
    <mergeCell ref="E3:F3"/>
    <mergeCell ref="C11:C14"/>
  </mergeCells>
  <hyperlinks>
    <hyperlink ref="F11" r:id="rId1" xr:uid="{0F9C721A-F16C-455E-872D-1982B5E505B4}"/>
    <hyperlink ref="F12" r:id="rId2" xr:uid="{88F4D850-94CF-4149-A159-85F87F054321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3073" r:id="rId6" name="btn_Execute">
          <controlPr defaultSize="0" autoLine="0" autoPict="0" r:id="rId7">
            <anchor moveWithCells="1">
              <from>
                <xdr:col>7</xdr:col>
                <xdr:colOff>266700</xdr:colOff>
                <xdr:row>3</xdr:row>
                <xdr:rowOff>142875</xdr:rowOff>
              </from>
              <to>
                <xdr:col>7</xdr:col>
                <xdr:colOff>1047750</xdr:colOff>
                <xdr:row>5</xdr:row>
                <xdr:rowOff>133350</xdr:rowOff>
              </to>
            </anchor>
          </controlPr>
        </control>
      </mc:Choice>
      <mc:Fallback>
        <control shapeId="3073" r:id="rId6" name="btn_Execute"/>
      </mc:Fallback>
    </mc:AlternateContent>
    <mc:AlternateContent xmlns:mc="http://schemas.openxmlformats.org/markup-compatibility/2006">
      <mc:Choice Requires="x14">
        <control shapeId="3074" r:id="rId8" name="CommandButton1">
          <controlPr defaultSize="0" autoLine="0" autoPict="0" r:id="rId9">
            <anchor moveWithCells="1">
              <from>
                <xdr:col>7</xdr:col>
                <xdr:colOff>209550</xdr:colOff>
                <xdr:row>11</xdr:row>
                <xdr:rowOff>95250</xdr:rowOff>
              </from>
              <to>
                <xdr:col>7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4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36715-6805-4AEF-A25F-DCA2FBF7847E}">
  <sheetPr codeName="Sheet3"/>
  <dimension ref="A1:S278"/>
  <sheetViews>
    <sheetView workbookViewId="0">
      <selection activeCell="G17" sqref="G17"/>
    </sheetView>
  </sheetViews>
  <sheetFormatPr defaultRowHeight="15" x14ac:dyDescent="0.25"/>
  <cols>
    <col min="3" max="3" width="11.5703125" bestFit="1" customWidth="1"/>
    <col min="4" max="4" width="13.5703125" bestFit="1" customWidth="1"/>
    <col min="5" max="5" width="16.140625" bestFit="1" customWidth="1"/>
    <col min="6" max="6" width="14.5703125" bestFit="1" customWidth="1"/>
    <col min="7" max="7" width="26.140625" bestFit="1" customWidth="1"/>
    <col min="8" max="8" width="35.42578125" bestFit="1" customWidth="1"/>
    <col min="9" max="9" width="20.5703125" bestFit="1" customWidth="1"/>
    <col min="10" max="10" width="22.28515625" bestFit="1" customWidth="1"/>
    <col min="11" max="11" width="17.140625" customWidth="1"/>
    <col min="12" max="12" width="21.5703125" bestFit="1" customWidth="1"/>
    <col min="13" max="13" width="27.85546875" bestFit="1" customWidth="1"/>
    <col min="14" max="14" width="29.5703125" bestFit="1" customWidth="1"/>
    <col min="15" max="15" width="24.42578125" customWidth="1"/>
    <col min="16" max="16" width="23.5703125" customWidth="1"/>
    <col min="17" max="17" width="25.140625" customWidth="1"/>
    <col min="18" max="18" width="34.28515625" style="37" bestFit="1" customWidth="1"/>
    <col min="19" max="19" width="34.28515625" style="38" bestFit="1" customWidth="1"/>
  </cols>
  <sheetData>
    <row r="1" spans="1:19" x14ac:dyDescent="0.25">
      <c r="A1" t="s">
        <v>43</v>
      </c>
      <c r="B1" t="s">
        <v>31</v>
      </c>
      <c r="C1" t="s">
        <v>15</v>
      </c>
      <c r="D1" t="s">
        <v>24</v>
      </c>
      <c r="E1" t="s">
        <v>25</v>
      </c>
      <c r="F1" t="s">
        <v>26</v>
      </c>
      <c r="G1" s="19" t="s">
        <v>27</v>
      </c>
      <c r="H1" s="19" t="s">
        <v>28</v>
      </c>
      <c r="I1" s="20" t="s">
        <v>29</v>
      </c>
      <c r="J1" s="20" t="s">
        <v>30</v>
      </c>
      <c r="K1" s="19" t="s">
        <v>32</v>
      </c>
      <c r="L1" s="19" t="s">
        <v>55</v>
      </c>
      <c r="M1" s="19" t="s">
        <v>62</v>
      </c>
      <c r="N1" s="19" t="s">
        <v>65</v>
      </c>
      <c r="O1" s="19" t="s">
        <v>63</v>
      </c>
      <c r="P1" s="19" t="s">
        <v>69</v>
      </c>
      <c r="Q1" s="19" t="s">
        <v>64</v>
      </c>
      <c r="R1" s="37" t="s">
        <v>68</v>
      </c>
      <c r="S1" s="37" t="s">
        <v>68</v>
      </c>
    </row>
    <row r="2" spans="1:19" x14ac:dyDescent="0.25">
      <c r="A2" t="s">
        <v>44</v>
      </c>
      <c r="B2">
        <v>1</v>
      </c>
      <c r="C2" t="s">
        <v>16</v>
      </c>
      <c r="D2">
        <v>50</v>
      </c>
      <c r="E2">
        <v>50</v>
      </c>
      <c r="F2">
        <v>50</v>
      </c>
      <c r="G2">
        <f>F2-E2</f>
        <v>0</v>
      </c>
      <c r="H2" s="18">
        <f>F2-D2</f>
        <v>0</v>
      </c>
      <c r="I2" s="18">
        <f>F2/D2-1</f>
        <v>0</v>
      </c>
      <c r="J2" s="18">
        <f>F2/E2-1</f>
        <v>0</v>
      </c>
      <c r="K2" s="18" t="str">
        <f>CLEAN(SUBSTITUTE(C2," ",""))</f>
        <v>CNJ2</v>
      </c>
      <c r="L2" t="str">
        <f>A2&amp;"-"&amp;B2&amp;"-"&amp;K2</f>
        <v>JANUARY-1-CNJ2</v>
      </c>
      <c r="M2">
        <f t="shared" ref="M2:M65" si="0">SUMIF($L$2:$L$1048576,L2,$I$2:$I$1048576)</f>
        <v>0</v>
      </c>
      <c r="N2">
        <f t="shared" ref="N2:N65" si="1">SUMIF($L$2:$L$1048576,L2,$J$2:$J$1048576)</f>
        <v>-0.15254237288135597</v>
      </c>
      <c r="O2">
        <f t="shared" ref="O2:O65" si="2">SUMIF($A$2:$A$1048576,A2,$D$2:$D$1048576)</f>
        <v>866754</v>
      </c>
      <c r="P2">
        <f t="shared" ref="P2:P65" si="3">SUMIF($A$2:$A$1048576,A2,$E$2:$E$1048576)</f>
        <v>879535</v>
      </c>
      <c r="Q2">
        <f>SUMIF($A$2:$A$1048576,A2,$F$2:$F$1048576)</f>
        <v>871282</v>
      </c>
      <c r="R2" s="38">
        <f>Q2/O2-1</f>
        <v>5.224088957189732E-3</v>
      </c>
      <c r="S2" s="38">
        <f>Q2/P2-1</f>
        <v>-9.3833673475188784E-3</v>
      </c>
    </row>
    <row r="3" spans="1:19" x14ac:dyDescent="0.25">
      <c r="A3" t="s">
        <v>44</v>
      </c>
      <c r="B3">
        <v>1</v>
      </c>
      <c r="C3" t="s">
        <v>16</v>
      </c>
      <c r="D3">
        <v>350</v>
      </c>
      <c r="E3">
        <v>413</v>
      </c>
      <c r="F3">
        <v>350</v>
      </c>
      <c r="G3">
        <f t="shared" ref="G3:G66" si="4">F3-E3</f>
        <v>-63</v>
      </c>
      <c r="H3" s="18">
        <f t="shared" ref="H3:H66" si="5">F3-D3</f>
        <v>0</v>
      </c>
      <c r="I3" s="18">
        <f t="shared" ref="I3:I66" si="6">F3/D3-1</f>
        <v>0</v>
      </c>
      <c r="J3" s="18">
        <f t="shared" ref="J3:J66" si="7">F3/E3-1</f>
        <v>-0.15254237288135597</v>
      </c>
      <c r="K3" s="18" t="str">
        <f t="shared" ref="K3:K66" si="8">CLEAN(SUBSTITUTE(C3," ",""))</f>
        <v>CNJ2</v>
      </c>
      <c r="L3" t="str">
        <f t="shared" ref="L3:L66" si="9">A3&amp;"-"&amp;B3&amp;"-"&amp;K3</f>
        <v>JANUARY-1-CNJ2</v>
      </c>
      <c r="M3">
        <f t="shared" si="0"/>
        <v>0</v>
      </c>
      <c r="N3">
        <f t="shared" si="1"/>
        <v>-0.15254237288135597</v>
      </c>
      <c r="O3">
        <f t="shared" si="2"/>
        <v>866754</v>
      </c>
      <c r="P3">
        <f t="shared" si="3"/>
        <v>879535</v>
      </c>
      <c r="Q3">
        <f t="shared" ref="Q3:Q66" si="10">SUMIF($A$2:$A$1048576,A3,$F$2:$F$1048576)</f>
        <v>871282</v>
      </c>
      <c r="R3" s="38">
        <f t="shared" ref="R3:R66" si="11">Q3/O3-1</f>
        <v>5.224088957189732E-3</v>
      </c>
      <c r="S3" s="38">
        <f t="shared" ref="S3:S66" si="12">Q3/P3-1</f>
        <v>-9.3833673475188784E-3</v>
      </c>
    </row>
    <row r="4" spans="1:19" x14ac:dyDescent="0.25">
      <c r="A4" t="s">
        <v>44</v>
      </c>
      <c r="B4">
        <v>1</v>
      </c>
      <c r="C4" t="s">
        <v>16</v>
      </c>
      <c r="D4">
        <v>125</v>
      </c>
      <c r="E4">
        <v>125</v>
      </c>
      <c r="F4">
        <v>125</v>
      </c>
      <c r="G4">
        <f t="shared" si="4"/>
        <v>0</v>
      </c>
      <c r="H4" s="18">
        <f t="shared" si="5"/>
        <v>0</v>
      </c>
      <c r="I4" s="18">
        <f t="shared" si="6"/>
        <v>0</v>
      </c>
      <c r="J4" s="18">
        <f t="shared" si="7"/>
        <v>0</v>
      </c>
      <c r="K4" s="18" t="str">
        <f t="shared" si="8"/>
        <v>CNJ2</v>
      </c>
      <c r="L4" t="str">
        <f t="shared" si="9"/>
        <v>JANUARY-1-CNJ2</v>
      </c>
      <c r="M4">
        <f t="shared" si="0"/>
        <v>0</v>
      </c>
      <c r="N4">
        <f t="shared" si="1"/>
        <v>-0.15254237288135597</v>
      </c>
      <c r="O4">
        <f t="shared" si="2"/>
        <v>866754</v>
      </c>
      <c r="P4">
        <f t="shared" si="3"/>
        <v>879535</v>
      </c>
      <c r="Q4">
        <f t="shared" si="10"/>
        <v>871282</v>
      </c>
      <c r="R4" s="38">
        <f t="shared" si="11"/>
        <v>5.224088957189732E-3</v>
      </c>
      <c r="S4" s="38">
        <f t="shared" si="12"/>
        <v>-9.3833673475188784E-3</v>
      </c>
    </row>
    <row r="5" spans="1:19" x14ac:dyDescent="0.25">
      <c r="A5" t="s">
        <v>44</v>
      </c>
      <c r="B5">
        <v>1</v>
      </c>
      <c r="C5" t="s">
        <v>17</v>
      </c>
      <c r="D5">
        <v>400</v>
      </c>
      <c r="E5">
        <v>404</v>
      </c>
      <c r="F5">
        <v>400</v>
      </c>
      <c r="G5">
        <f t="shared" si="4"/>
        <v>-4</v>
      </c>
      <c r="H5" s="18">
        <f t="shared" si="5"/>
        <v>0</v>
      </c>
      <c r="I5" s="18">
        <f t="shared" si="6"/>
        <v>0</v>
      </c>
      <c r="J5" s="18">
        <f t="shared" si="7"/>
        <v>-9.9009900990099098E-3</v>
      </c>
      <c r="K5" s="18" t="str">
        <f t="shared" si="8"/>
        <v>MAJA1</v>
      </c>
      <c r="L5" t="str">
        <f t="shared" si="9"/>
        <v>JANUARY-1-MAJA1</v>
      </c>
      <c r="M5">
        <f t="shared" si="0"/>
        <v>0</v>
      </c>
      <c r="N5">
        <f t="shared" si="1"/>
        <v>-2.3404899125306966E-2</v>
      </c>
      <c r="O5">
        <f t="shared" si="2"/>
        <v>866754</v>
      </c>
      <c r="P5">
        <f t="shared" si="3"/>
        <v>879535</v>
      </c>
      <c r="Q5">
        <f t="shared" si="10"/>
        <v>871282</v>
      </c>
      <c r="R5" s="38">
        <f t="shared" si="11"/>
        <v>5.224088957189732E-3</v>
      </c>
      <c r="S5" s="38">
        <f t="shared" si="12"/>
        <v>-9.3833673475188784E-3</v>
      </c>
    </row>
    <row r="6" spans="1:19" x14ac:dyDescent="0.25">
      <c r="A6" t="s">
        <v>44</v>
      </c>
      <c r="B6">
        <v>1</v>
      </c>
      <c r="C6" t="s">
        <v>17</v>
      </c>
      <c r="D6">
        <v>1000</v>
      </c>
      <c r="E6">
        <v>1005</v>
      </c>
      <c r="F6">
        <v>1000</v>
      </c>
      <c r="G6">
        <f t="shared" si="4"/>
        <v>-5</v>
      </c>
      <c r="H6" s="18">
        <f t="shared" si="5"/>
        <v>0</v>
      </c>
      <c r="I6" s="18">
        <f t="shared" si="6"/>
        <v>0</v>
      </c>
      <c r="J6" s="18">
        <f t="shared" si="7"/>
        <v>-4.9751243781094301E-3</v>
      </c>
      <c r="K6" s="18" t="str">
        <f t="shared" si="8"/>
        <v>MAJA1</v>
      </c>
      <c r="L6" t="str">
        <f t="shared" si="9"/>
        <v>JANUARY-1-MAJA1</v>
      </c>
      <c r="M6">
        <f t="shared" si="0"/>
        <v>0</v>
      </c>
      <c r="N6">
        <f t="shared" si="1"/>
        <v>-2.3404899125306966E-2</v>
      </c>
      <c r="O6">
        <f t="shared" si="2"/>
        <v>866754</v>
      </c>
      <c r="P6">
        <f t="shared" si="3"/>
        <v>879535</v>
      </c>
      <c r="Q6">
        <f t="shared" si="10"/>
        <v>871282</v>
      </c>
      <c r="R6" s="38">
        <f t="shared" si="11"/>
        <v>5.224088957189732E-3</v>
      </c>
      <c r="S6" s="38">
        <f t="shared" si="12"/>
        <v>-9.3833673475188784E-3</v>
      </c>
    </row>
    <row r="7" spans="1:19" x14ac:dyDescent="0.25">
      <c r="A7" t="s">
        <v>44</v>
      </c>
      <c r="B7">
        <v>1</v>
      </c>
      <c r="C7" t="s">
        <v>17</v>
      </c>
      <c r="D7">
        <v>465</v>
      </c>
      <c r="E7">
        <v>469</v>
      </c>
      <c r="F7">
        <v>465</v>
      </c>
      <c r="G7">
        <f t="shared" si="4"/>
        <v>-4</v>
      </c>
      <c r="H7" s="18">
        <f t="shared" si="5"/>
        <v>0</v>
      </c>
      <c r="I7" s="18">
        <f t="shared" si="6"/>
        <v>0</v>
      </c>
      <c r="J7" s="18">
        <f t="shared" si="7"/>
        <v>-8.5287846481876262E-3</v>
      </c>
      <c r="K7" s="18" t="str">
        <f t="shared" si="8"/>
        <v>MAJA1</v>
      </c>
      <c r="L7" t="str">
        <f t="shared" si="9"/>
        <v>JANUARY-1-MAJA1</v>
      </c>
      <c r="M7">
        <f t="shared" si="0"/>
        <v>0</v>
      </c>
      <c r="N7">
        <f t="shared" si="1"/>
        <v>-2.3404899125306966E-2</v>
      </c>
      <c r="O7">
        <f t="shared" si="2"/>
        <v>866754</v>
      </c>
      <c r="P7">
        <f t="shared" si="3"/>
        <v>879535</v>
      </c>
      <c r="Q7">
        <f t="shared" si="10"/>
        <v>871282</v>
      </c>
      <c r="R7" s="38">
        <f t="shared" si="11"/>
        <v>5.224088957189732E-3</v>
      </c>
      <c r="S7" s="38">
        <f t="shared" si="12"/>
        <v>-9.3833673475188784E-3</v>
      </c>
    </row>
    <row r="8" spans="1:19" x14ac:dyDescent="0.25">
      <c r="A8" t="s">
        <v>44</v>
      </c>
      <c r="B8">
        <v>2</v>
      </c>
      <c r="C8" t="s">
        <v>16</v>
      </c>
      <c r="D8">
        <v>80</v>
      </c>
      <c r="E8">
        <v>80</v>
      </c>
      <c r="F8">
        <v>80</v>
      </c>
      <c r="G8">
        <f t="shared" si="4"/>
        <v>0</v>
      </c>
      <c r="H8" s="18">
        <f t="shared" si="5"/>
        <v>0</v>
      </c>
      <c r="I8" s="18">
        <f t="shared" si="6"/>
        <v>0</v>
      </c>
      <c r="J8" s="18">
        <f t="shared" si="7"/>
        <v>0</v>
      </c>
      <c r="K8" s="18" t="str">
        <f t="shared" si="8"/>
        <v>CNJ2</v>
      </c>
      <c r="L8" t="str">
        <f t="shared" si="9"/>
        <v>JANUARY-2-CNJ2</v>
      </c>
      <c r="M8">
        <f t="shared" si="0"/>
        <v>0</v>
      </c>
      <c r="N8">
        <f t="shared" si="1"/>
        <v>-1.5735641227380026E-2</v>
      </c>
      <c r="O8">
        <f t="shared" si="2"/>
        <v>866754</v>
      </c>
      <c r="P8">
        <f t="shared" si="3"/>
        <v>879535</v>
      </c>
      <c r="Q8">
        <f t="shared" si="10"/>
        <v>871282</v>
      </c>
      <c r="R8" s="38">
        <f t="shared" si="11"/>
        <v>5.224088957189732E-3</v>
      </c>
      <c r="S8" s="38">
        <f t="shared" si="12"/>
        <v>-9.3833673475188784E-3</v>
      </c>
    </row>
    <row r="9" spans="1:19" x14ac:dyDescent="0.25">
      <c r="A9" t="s">
        <v>44</v>
      </c>
      <c r="B9">
        <v>2</v>
      </c>
      <c r="C9" t="s">
        <v>16</v>
      </c>
      <c r="D9">
        <v>6255</v>
      </c>
      <c r="E9">
        <v>6355</v>
      </c>
      <c r="F9">
        <v>6255</v>
      </c>
      <c r="G9">
        <f t="shared" si="4"/>
        <v>-100</v>
      </c>
      <c r="H9" s="18">
        <f t="shared" si="5"/>
        <v>0</v>
      </c>
      <c r="I9" s="18">
        <f t="shared" si="6"/>
        <v>0</v>
      </c>
      <c r="J9" s="18">
        <f t="shared" si="7"/>
        <v>-1.5735641227380026E-2</v>
      </c>
      <c r="K9" s="18" t="str">
        <f t="shared" si="8"/>
        <v>CNJ2</v>
      </c>
      <c r="L9" t="str">
        <f t="shared" si="9"/>
        <v>JANUARY-2-CNJ2</v>
      </c>
      <c r="M9">
        <f t="shared" si="0"/>
        <v>0</v>
      </c>
      <c r="N9">
        <f t="shared" si="1"/>
        <v>-1.5735641227380026E-2</v>
      </c>
      <c r="O9">
        <f t="shared" si="2"/>
        <v>866754</v>
      </c>
      <c r="P9">
        <f t="shared" si="3"/>
        <v>879535</v>
      </c>
      <c r="Q9">
        <f t="shared" si="10"/>
        <v>871282</v>
      </c>
      <c r="R9" s="38">
        <f t="shared" si="11"/>
        <v>5.224088957189732E-3</v>
      </c>
      <c r="S9" s="38">
        <f t="shared" si="12"/>
        <v>-9.3833673475188784E-3</v>
      </c>
    </row>
    <row r="10" spans="1:19" x14ac:dyDescent="0.25">
      <c r="A10" t="s">
        <v>44</v>
      </c>
      <c r="B10">
        <v>2</v>
      </c>
      <c r="C10" t="s">
        <v>16</v>
      </c>
      <c r="D10">
        <v>135</v>
      </c>
      <c r="E10">
        <v>135</v>
      </c>
      <c r="F10">
        <v>135</v>
      </c>
      <c r="G10">
        <f t="shared" si="4"/>
        <v>0</v>
      </c>
      <c r="H10" s="18">
        <f t="shared" si="5"/>
        <v>0</v>
      </c>
      <c r="I10" s="18">
        <f t="shared" si="6"/>
        <v>0</v>
      </c>
      <c r="J10" s="18">
        <f t="shared" si="7"/>
        <v>0</v>
      </c>
      <c r="K10" s="18" t="str">
        <f t="shared" si="8"/>
        <v>CNJ2</v>
      </c>
      <c r="L10" t="str">
        <f t="shared" si="9"/>
        <v>JANUARY-2-CNJ2</v>
      </c>
      <c r="M10">
        <f t="shared" si="0"/>
        <v>0</v>
      </c>
      <c r="N10">
        <f t="shared" si="1"/>
        <v>-1.5735641227380026E-2</v>
      </c>
      <c r="O10">
        <f t="shared" si="2"/>
        <v>866754</v>
      </c>
      <c r="P10">
        <f t="shared" si="3"/>
        <v>879535</v>
      </c>
      <c r="Q10">
        <f t="shared" si="10"/>
        <v>871282</v>
      </c>
      <c r="R10" s="38">
        <f t="shared" si="11"/>
        <v>5.224088957189732E-3</v>
      </c>
      <c r="S10" s="38">
        <f t="shared" si="12"/>
        <v>-9.3833673475188784E-3</v>
      </c>
    </row>
    <row r="11" spans="1:19" x14ac:dyDescent="0.25">
      <c r="A11" t="s">
        <v>44</v>
      </c>
      <c r="B11">
        <v>2</v>
      </c>
      <c r="C11" t="s">
        <v>17</v>
      </c>
      <c r="D11">
        <v>702</v>
      </c>
      <c r="E11">
        <v>739</v>
      </c>
      <c r="F11">
        <v>702</v>
      </c>
      <c r="G11">
        <f t="shared" si="4"/>
        <v>-37</v>
      </c>
      <c r="H11" s="18">
        <f t="shared" si="5"/>
        <v>0</v>
      </c>
      <c r="I11" s="18">
        <f t="shared" si="6"/>
        <v>0</v>
      </c>
      <c r="J11" s="18">
        <f t="shared" si="7"/>
        <v>-5.0067658998646847E-2</v>
      </c>
      <c r="K11" s="18" t="str">
        <f t="shared" si="8"/>
        <v>MAJA1</v>
      </c>
      <c r="L11" t="str">
        <f t="shared" si="9"/>
        <v>JANUARY-2-MAJA1</v>
      </c>
      <c r="M11">
        <f t="shared" si="0"/>
        <v>0</v>
      </c>
      <c r="N11">
        <f t="shared" si="1"/>
        <v>-5.0067658998646847E-2</v>
      </c>
      <c r="O11">
        <f t="shared" si="2"/>
        <v>866754</v>
      </c>
      <c r="P11">
        <f t="shared" si="3"/>
        <v>879535</v>
      </c>
      <c r="Q11">
        <f t="shared" si="10"/>
        <v>871282</v>
      </c>
      <c r="R11" s="38">
        <f t="shared" si="11"/>
        <v>5.224088957189732E-3</v>
      </c>
      <c r="S11" s="38">
        <f t="shared" si="12"/>
        <v>-9.3833673475188784E-3</v>
      </c>
    </row>
    <row r="12" spans="1:19" x14ac:dyDescent="0.25">
      <c r="A12" t="s">
        <v>44</v>
      </c>
      <c r="B12">
        <v>2</v>
      </c>
      <c r="C12" t="s">
        <v>18</v>
      </c>
      <c r="D12">
        <v>4000</v>
      </c>
      <c r="E12">
        <v>4000</v>
      </c>
      <c r="F12">
        <v>4000</v>
      </c>
      <c r="G12">
        <f t="shared" si="4"/>
        <v>0</v>
      </c>
      <c r="H12" s="18">
        <f t="shared" si="5"/>
        <v>0</v>
      </c>
      <c r="I12" s="18">
        <f t="shared" si="6"/>
        <v>0</v>
      </c>
      <c r="J12" s="18">
        <f t="shared" si="7"/>
        <v>0</v>
      </c>
      <c r="K12" s="18" t="str">
        <f t="shared" si="8"/>
        <v>BBT</v>
      </c>
      <c r="L12" t="str">
        <f t="shared" si="9"/>
        <v>JANUARY-2-BBT</v>
      </c>
      <c r="M12">
        <f t="shared" si="0"/>
        <v>0</v>
      </c>
      <c r="N12">
        <f t="shared" si="1"/>
        <v>0</v>
      </c>
      <c r="O12">
        <f t="shared" si="2"/>
        <v>866754</v>
      </c>
      <c r="P12">
        <f t="shared" si="3"/>
        <v>879535</v>
      </c>
      <c r="Q12">
        <f t="shared" si="10"/>
        <v>871282</v>
      </c>
      <c r="R12" s="38">
        <f t="shared" si="11"/>
        <v>5.224088957189732E-3</v>
      </c>
      <c r="S12" s="38">
        <f t="shared" si="12"/>
        <v>-9.3833673475188784E-3</v>
      </c>
    </row>
    <row r="13" spans="1:19" x14ac:dyDescent="0.25">
      <c r="A13" t="s">
        <v>44</v>
      </c>
      <c r="B13">
        <v>3</v>
      </c>
      <c r="C13" t="s">
        <v>16</v>
      </c>
      <c r="D13">
        <v>480</v>
      </c>
      <c r="E13">
        <v>480</v>
      </c>
      <c r="F13">
        <v>480</v>
      </c>
      <c r="G13">
        <f t="shared" si="4"/>
        <v>0</v>
      </c>
      <c r="H13" s="18">
        <f t="shared" si="5"/>
        <v>0</v>
      </c>
      <c r="I13" s="18">
        <f t="shared" si="6"/>
        <v>0</v>
      </c>
      <c r="J13" s="18">
        <f t="shared" si="7"/>
        <v>0</v>
      </c>
      <c r="K13" s="18" t="str">
        <f t="shared" si="8"/>
        <v>CNJ2</v>
      </c>
      <c r="L13" t="str">
        <f t="shared" si="9"/>
        <v>JANUARY-3-CNJ2</v>
      </c>
      <c r="M13">
        <f t="shared" si="0"/>
        <v>-1.1549999999999949E-2</v>
      </c>
      <c r="N13">
        <f t="shared" si="1"/>
        <v>-1.1549999999999949E-2</v>
      </c>
      <c r="O13">
        <f t="shared" si="2"/>
        <v>866754</v>
      </c>
      <c r="P13">
        <f t="shared" si="3"/>
        <v>879535</v>
      </c>
      <c r="Q13">
        <f t="shared" si="10"/>
        <v>871282</v>
      </c>
      <c r="R13" s="38">
        <f t="shared" si="11"/>
        <v>5.224088957189732E-3</v>
      </c>
      <c r="S13" s="38">
        <f t="shared" si="12"/>
        <v>-9.3833673475188784E-3</v>
      </c>
    </row>
    <row r="14" spans="1:19" x14ac:dyDescent="0.25">
      <c r="A14" t="s">
        <v>44</v>
      </c>
      <c r="B14">
        <v>3</v>
      </c>
      <c r="C14" t="s">
        <v>16</v>
      </c>
      <c r="D14">
        <v>1020</v>
      </c>
      <c r="E14">
        <v>1020</v>
      </c>
      <c r="F14">
        <v>1020</v>
      </c>
      <c r="G14">
        <f t="shared" si="4"/>
        <v>0</v>
      </c>
      <c r="H14" s="18">
        <f t="shared" si="5"/>
        <v>0</v>
      </c>
      <c r="I14" s="18">
        <f t="shared" si="6"/>
        <v>0</v>
      </c>
      <c r="J14" s="18">
        <f t="shared" si="7"/>
        <v>0</v>
      </c>
      <c r="K14" s="18" t="str">
        <f t="shared" si="8"/>
        <v>CNJ2</v>
      </c>
      <c r="L14" t="str">
        <f t="shared" si="9"/>
        <v>JANUARY-3-CNJ2</v>
      </c>
      <c r="M14">
        <f t="shared" si="0"/>
        <v>-1.1549999999999949E-2</v>
      </c>
      <c r="N14">
        <f t="shared" si="1"/>
        <v>-1.1549999999999949E-2</v>
      </c>
      <c r="O14">
        <f t="shared" si="2"/>
        <v>866754</v>
      </c>
      <c r="P14">
        <f t="shared" si="3"/>
        <v>879535</v>
      </c>
      <c r="Q14">
        <f t="shared" si="10"/>
        <v>871282</v>
      </c>
      <c r="R14" s="38">
        <f t="shared" si="11"/>
        <v>5.224088957189732E-3</v>
      </c>
      <c r="S14" s="38">
        <f t="shared" si="12"/>
        <v>-9.3833673475188784E-3</v>
      </c>
    </row>
    <row r="15" spans="1:19" x14ac:dyDescent="0.25">
      <c r="A15" t="s">
        <v>44</v>
      </c>
      <c r="B15">
        <v>3</v>
      </c>
      <c r="C15" t="s">
        <v>16</v>
      </c>
      <c r="D15">
        <v>875</v>
      </c>
      <c r="E15">
        <v>875</v>
      </c>
      <c r="F15">
        <v>875</v>
      </c>
      <c r="G15">
        <f t="shared" si="4"/>
        <v>0</v>
      </c>
      <c r="H15" s="18">
        <f t="shared" si="5"/>
        <v>0</v>
      </c>
      <c r="I15" s="18">
        <f t="shared" si="6"/>
        <v>0</v>
      </c>
      <c r="J15" s="18">
        <f t="shared" si="7"/>
        <v>0</v>
      </c>
      <c r="K15" s="18" t="str">
        <f t="shared" si="8"/>
        <v>CNJ2</v>
      </c>
      <c r="L15" t="str">
        <f t="shared" si="9"/>
        <v>JANUARY-3-CNJ2</v>
      </c>
      <c r="M15">
        <f t="shared" si="0"/>
        <v>-1.1549999999999949E-2</v>
      </c>
      <c r="N15">
        <f t="shared" si="1"/>
        <v>-1.1549999999999949E-2</v>
      </c>
      <c r="O15">
        <f t="shared" si="2"/>
        <v>866754</v>
      </c>
      <c r="P15">
        <f t="shared" si="3"/>
        <v>879535</v>
      </c>
      <c r="Q15">
        <f t="shared" si="10"/>
        <v>871282</v>
      </c>
      <c r="R15" s="38">
        <f t="shared" si="11"/>
        <v>5.224088957189732E-3</v>
      </c>
      <c r="S15" s="38">
        <f t="shared" si="12"/>
        <v>-9.3833673475188784E-3</v>
      </c>
    </row>
    <row r="16" spans="1:19" x14ac:dyDescent="0.25">
      <c r="A16" t="s">
        <v>44</v>
      </c>
      <c r="B16">
        <v>3</v>
      </c>
      <c r="C16" t="s">
        <v>17</v>
      </c>
      <c r="D16">
        <v>608</v>
      </c>
      <c r="E16">
        <v>608</v>
      </c>
      <c r="F16">
        <v>608</v>
      </c>
      <c r="G16">
        <f t="shared" si="4"/>
        <v>0</v>
      </c>
      <c r="H16" s="18">
        <f t="shared" si="5"/>
        <v>0</v>
      </c>
      <c r="I16" s="18">
        <f t="shared" si="6"/>
        <v>0</v>
      </c>
      <c r="J16" s="18">
        <f t="shared" si="7"/>
        <v>0</v>
      </c>
      <c r="K16" s="18" t="str">
        <f t="shared" si="8"/>
        <v>MAJA1</v>
      </c>
      <c r="L16" t="str">
        <f t="shared" si="9"/>
        <v>JANUARY-3-MAJA1</v>
      </c>
      <c r="M16">
        <f t="shared" si="0"/>
        <v>2.6122148638704878E-2</v>
      </c>
      <c r="N16">
        <f t="shared" si="1"/>
        <v>-3.9285714285713924E-3</v>
      </c>
      <c r="O16">
        <f t="shared" si="2"/>
        <v>866754</v>
      </c>
      <c r="P16">
        <f t="shared" si="3"/>
        <v>879535</v>
      </c>
      <c r="Q16">
        <f t="shared" si="10"/>
        <v>871282</v>
      </c>
      <c r="R16" s="38">
        <f t="shared" si="11"/>
        <v>5.224088957189732E-3</v>
      </c>
      <c r="S16" s="38">
        <f t="shared" si="12"/>
        <v>-9.3833673475188784E-3</v>
      </c>
    </row>
    <row r="17" spans="1:19" x14ac:dyDescent="0.25">
      <c r="A17" t="s">
        <v>44</v>
      </c>
      <c r="B17">
        <v>3</v>
      </c>
      <c r="C17" t="s">
        <v>17</v>
      </c>
      <c r="D17">
        <v>426</v>
      </c>
      <c r="E17">
        <v>426</v>
      </c>
      <c r="F17">
        <v>426</v>
      </c>
      <c r="G17">
        <f t="shared" si="4"/>
        <v>0</v>
      </c>
      <c r="H17" s="18">
        <f t="shared" si="5"/>
        <v>0</v>
      </c>
      <c r="I17" s="18">
        <f t="shared" si="6"/>
        <v>0</v>
      </c>
      <c r="J17" s="18">
        <f t="shared" si="7"/>
        <v>0</v>
      </c>
      <c r="K17" s="18" t="str">
        <f t="shared" si="8"/>
        <v>MAJA1</v>
      </c>
      <c r="L17" t="str">
        <f t="shared" si="9"/>
        <v>JANUARY-3-MAJA1</v>
      </c>
      <c r="M17">
        <f t="shared" si="0"/>
        <v>2.6122148638704878E-2</v>
      </c>
      <c r="N17">
        <f t="shared" si="1"/>
        <v>-3.9285714285713924E-3</v>
      </c>
      <c r="O17">
        <f t="shared" si="2"/>
        <v>866754</v>
      </c>
      <c r="P17">
        <f t="shared" si="3"/>
        <v>879535</v>
      </c>
      <c r="Q17">
        <f t="shared" si="10"/>
        <v>871282</v>
      </c>
      <c r="R17" s="38">
        <f t="shared" si="11"/>
        <v>5.224088957189732E-3</v>
      </c>
      <c r="S17" s="38">
        <f t="shared" si="12"/>
        <v>-9.3833673475188784E-3</v>
      </c>
    </row>
    <row r="18" spans="1:19" x14ac:dyDescent="0.25">
      <c r="A18" t="s">
        <v>44</v>
      </c>
      <c r="B18">
        <v>3</v>
      </c>
      <c r="C18" t="s">
        <v>19</v>
      </c>
      <c r="D18">
        <v>71496</v>
      </c>
      <c r="E18">
        <v>73641</v>
      </c>
      <c r="F18">
        <v>73446</v>
      </c>
      <c r="G18">
        <f t="shared" si="4"/>
        <v>-195</v>
      </c>
      <c r="H18" s="18">
        <f t="shared" si="5"/>
        <v>1950</v>
      </c>
      <c r="I18" s="18">
        <f t="shared" si="6"/>
        <v>2.7274253105068924E-2</v>
      </c>
      <c r="J18" s="18">
        <f t="shared" si="7"/>
        <v>-2.6479814233918431E-3</v>
      </c>
      <c r="K18" s="18" t="str">
        <f t="shared" si="8"/>
        <v>KALIBENDA</v>
      </c>
      <c r="L18" t="str">
        <f t="shared" si="9"/>
        <v>JANUARY-3-KALIBENDA</v>
      </c>
      <c r="M18">
        <f t="shared" si="0"/>
        <v>0.17226860165633451</v>
      </c>
      <c r="N18">
        <f t="shared" si="1"/>
        <v>-2.5217485958028196E-2</v>
      </c>
      <c r="O18">
        <f t="shared" si="2"/>
        <v>866754</v>
      </c>
      <c r="P18">
        <f t="shared" si="3"/>
        <v>879535</v>
      </c>
      <c r="Q18">
        <f t="shared" si="10"/>
        <v>871282</v>
      </c>
      <c r="R18" s="38">
        <f t="shared" si="11"/>
        <v>5.224088957189732E-3</v>
      </c>
      <c r="S18" s="38">
        <f t="shared" si="12"/>
        <v>-9.3833673475188784E-3</v>
      </c>
    </row>
    <row r="19" spans="1:19" x14ac:dyDescent="0.25">
      <c r="A19" t="s">
        <v>44</v>
      </c>
      <c r="B19">
        <v>3</v>
      </c>
      <c r="C19" t="s">
        <v>19</v>
      </c>
      <c r="D19">
        <v>1728</v>
      </c>
      <c r="E19">
        <v>1780</v>
      </c>
      <c r="F19">
        <v>1773</v>
      </c>
      <c r="G19">
        <f t="shared" si="4"/>
        <v>-7</v>
      </c>
      <c r="H19" s="18">
        <f t="shared" si="5"/>
        <v>45</v>
      </c>
      <c r="I19" s="18">
        <f t="shared" si="6"/>
        <v>2.6041666666666741E-2</v>
      </c>
      <c r="J19" s="18">
        <f t="shared" si="7"/>
        <v>-3.9325842696629199E-3</v>
      </c>
      <c r="K19" s="18" t="str">
        <f t="shared" si="8"/>
        <v>KALIBENDA</v>
      </c>
      <c r="L19" t="str">
        <f t="shared" si="9"/>
        <v>JANUARY-3-KALIBENDA</v>
      </c>
      <c r="M19">
        <f t="shared" si="0"/>
        <v>0.17226860165633451</v>
      </c>
      <c r="N19">
        <f t="shared" si="1"/>
        <v>-2.5217485958028196E-2</v>
      </c>
      <c r="O19">
        <f t="shared" si="2"/>
        <v>866754</v>
      </c>
      <c r="P19">
        <f t="shared" si="3"/>
        <v>879535</v>
      </c>
      <c r="Q19">
        <f t="shared" si="10"/>
        <v>871282</v>
      </c>
      <c r="R19" s="38">
        <f t="shared" si="11"/>
        <v>5.224088957189732E-3</v>
      </c>
      <c r="S19" s="38">
        <f t="shared" si="12"/>
        <v>-9.3833673475188784E-3</v>
      </c>
    </row>
    <row r="20" spans="1:19" x14ac:dyDescent="0.25">
      <c r="A20" t="s">
        <v>44</v>
      </c>
      <c r="B20">
        <v>3</v>
      </c>
      <c r="C20" t="s">
        <v>19</v>
      </c>
      <c r="D20">
        <v>25164</v>
      </c>
      <c r="E20">
        <v>25749</v>
      </c>
      <c r="F20">
        <v>25635</v>
      </c>
      <c r="G20">
        <f t="shared" si="4"/>
        <v>-114</v>
      </c>
      <c r="H20" s="18">
        <f t="shared" si="5"/>
        <v>471</v>
      </c>
      <c r="I20" s="18">
        <f t="shared" si="6"/>
        <v>1.8717215069146365E-2</v>
      </c>
      <c r="J20" s="18">
        <f t="shared" si="7"/>
        <v>-4.4273564021903855E-3</v>
      </c>
      <c r="K20" s="18" t="str">
        <f t="shared" si="8"/>
        <v>KALIBENDA</v>
      </c>
      <c r="L20" t="str">
        <f t="shared" si="9"/>
        <v>JANUARY-3-KALIBENDA</v>
      </c>
      <c r="M20">
        <f t="shared" si="0"/>
        <v>0.17226860165633451</v>
      </c>
      <c r="N20">
        <f t="shared" si="1"/>
        <v>-2.5217485958028196E-2</v>
      </c>
      <c r="O20">
        <f t="shared" si="2"/>
        <v>866754</v>
      </c>
      <c r="P20">
        <f t="shared" si="3"/>
        <v>879535</v>
      </c>
      <c r="Q20">
        <f t="shared" si="10"/>
        <v>871282</v>
      </c>
      <c r="R20" s="38">
        <f t="shared" si="11"/>
        <v>5.224088957189732E-3</v>
      </c>
      <c r="S20" s="38">
        <f t="shared" si="12"/>
        <v>-9.3833673475188784E-3</v>
      </c>
    </row>
    <row r="21" spans="1:19" x14ac:dyDescent="0.25">
      <c r="A21" t="s">
        <v>44</v>
      </c>
      <c r="B21">
        <v>3</v>
      </c>
      <c r="C21" t="s">
        <v>19</v>
      </c>
      <c r="D21">
        <v>540</v>
      </c>
      <c r="E21">
        <v>558</v>
      </c>
      <c r="F21">
        <v>558</v>
      </c>
      <c r="G21">
        <f t="shared" si="4"/>
        <v>0</v>
      </c>
      <c r="H21" s="18">
        <f t="shared" si="5"/>
        <v>18</v>
      </c>
      <c r="I21" s="18">
        <f t="shared" si="6"/>
        <v>3.3333333333333437E-2</v>
      </c>
      <c r="J21" s="18">
        <f t="shared" si="7"/>
        <v>0</v>
      </c>
      <c r="K21" s="18" t="str">
        <f t="shared" si="8"/>
        <v>KALIBENDA</v>
      </c>
      <c r="L21" t="str">
        <f t="shared" si="9"/>
        <v>JANUARY-3-KALIBENDA</v>
      </c>
      <c r="M21">
        <f t="shared" si="0"/>
        <v>0.17226860165633451</v>
      </c>
      <c r="N21">
        <f t="shared" si="1"/>
        <v>-2.5217485958028196E-2</v>
      </c>
      <c r="O21">
        <f t="shared" si="2"/>
        <v>866754</v>
      </c>
      <c r="P21">
        <f t="shared" si="3"/>
        <v>879535</v>
      </c>
      <c r="Q21">
        <f t="shared" si="10"/>
        <v>871282</v>
      </c>
      <c r="R21" s="38">
        <f t="shared" si="11"/>
        <v>5.224088957189732E-3</v>
      </c>
      <c r="S21" s="38">
        <f t="shared" si="12"/>
        <v>-9.3833673475188784E-3</v>
      </c>
    </row>
    <row r="22" spans="1:19" x14ac:dyDescent="0.25">
      <c r="A22" t="s">
        <v>44</v>
      </c>
      <c r="B22">
        <v>3</v>
      </c>
      <c r="C22" t="s">
        <v>19</v>
      </c>
      <c r="D22">
        <v>3240</v>
      </c>
      <c r="E22">
        <v>3330</v>
      </c>
      <c r="F22">
        <v>3315</v>
      </c>
      <c r="G22">
        <f t="shared" si="4"/>
        <v>-15</v>
      </c>
      <c r="H22" s="18">
        <f t="shared" si="5"/>
        <v>75</v>
      </c>
      <c r="I22" s="18">
        <f t="shared" si="6"/>
        <v>2.314814814814814E-2</v>
      </c>
      <c r="J22" s="18">
        <f t="shared" si="7"/>
        <v>-4.5045045045044585E-3</v>
      </c>
      <c r="K22" s="18" t="str">
        <f t="shared" si="8"/>
        <v>KALIBENDA</v>
      </c>
      <c r="L22" t="str">
        <f t="shared" si="9"/>
        <v>JANUARY-3-KALIBENDA</v>
      </c>
      <c r="M22">
        <f t="shared" si="0"/>
        <v>0.17226860165633451</v>
      </c>
      <c r="N22">
        <f t="shared" si="1"/>
        <v>-2.5217485958028196E-2</v>
      </c>
      <c r="O22">
        <f t="shared" si="2"/>
        <v>866754</v>
      </c>
      <c r="P22">
        <f t="shared" si="3"/>
        <v>879535</v>
      </c>
      <c r="Q22">
        <f t="shared" si="10"/>
        <v>871282</v>
      </c>
      <c r="R22" s="38">
        <f t="shared" si="11"/>
        <v>5.224088957189732E-3</v>
      </c>
      <c r="S22" s="38">
        <f t="shared" si="12"/>
        <v>-9.3833673475188784E-3</v>
      </c>
    </row>
    <row r="23" spans="1:19" x14ac:dyDescent="0.25">
      <c r="A23" t="s">
        <v>44</v>
      </c>
      <c r="B23">
        <v>3</v>
      </c>
      <c r="C23" t="s">
        <v>19</v>
      </c>
      <c r="D23">
        <v>1728</v>
      </c>
      <c r="E23">
        <v>1728</v>
      </c>
      <c r="F23">
        <v>1722</v>
      </c>
      <c r="G23">
        <f t="shared" si="4"/>
        <v>-6</v>
      </c>
      <c r="H23" s="18">
        <f t="shared" si="5"/>
        <v>-6</v>
      </c>
      <c r="I23" s="18">
        <f t="shared" si="6"/>
        <v>-3.4722222222222099E-3</v>
      </c>
      <c r="J23" s="18">
        <f t="shared" si="7"/>
        <v>-3.4722222222222099E-3</v>
      </c>
      <c r="K23" s="18" t="str">
        <f t="shared" si="8"/>
        <v>KALIBENDA</v>
      </c>
      <c r="L23" t="str">
        <f t="shared" si="9"/>
        <v>JANUARY-3-KALIBENDA</v>
      </c>
      <c r="M23">
        <f t="shared" si="0"/>
        <v>0.17226860165633451</v>
      </c>
      <c r="N23">
        <f t="shared" si="1"/>
        <v>-2.5217485958028196E-2</v>
      </c>
      <c r="O23">
        <f t="shared" si="2"/>
        <v>866754</v>
      </c>
      <c r="P23">
        <f t="shared" si="3"/>
        <v>879535</v>
      </c>
      <c r="Q23">
        <f t="shared" si="10"/>
        <v>871282</v>
      </c>
      <c r="R23" s="38">
        <f t="shared" si="11"/>
        <v>5.224088957189732E-3</v>
      </c>
      <c r="S23" s="38">
        <f t="shared" si="12"/>
        <v>-9.3833673475188784E-3</v>
      </c>
    </row>
    <row r="24" spans="1:19" x14ac:dyDescent="0.25">
      <c r="A24" t="s">
        <v>44</v>
      </c>
      <c r="B24">
        <v>3</v>
      </c>
      <c r="C24" t="s">
        <v>19</v>
      </c>
      <c r="D24">
        <v>8856</v>
      </c>
      <c r="E24">
        <v>9066</v>
      </c>
      <c r="F24">
        <v>9021</v>
      </c>
      <c r="G24">
        <f t="shared" si="4"/>
        <v>-45</v>
      </c>
      <c r="H24" s="18">
        <f t="shared" si="5"/>
        <v>165</v>
      </c>
      <c r="I24" s="18">
        <f t="shared" si="6"/>
        <v>1.8631436314363148E-2</v>
      </c>
      <c r="J24" s="18">
        <f t="shared" si="7"/>
        <v>-4.9636002647253097E-3</v>
      </c>
      <c r="K24" s="18" t="str">
        <f t="shared" si="8"/>
        <v>KALIBENDA</v>
      </c>
      <c r="L24" t="str">
        <f t="shared" si="9"/>
        <v>JANUARY-3-KALIBENDA</v>
      </c>
      <c r="M24">
        <f t="shared" si="0"/>
        <v>0.17226860165633451</v>
      </c>
      <c r="N24">
        <f t="shared" si="1"/>
        <v>-2.5217485958028196E-2</v>
      </c>
      <c r="O24">
        <f t="shared" si="2"/>
        <v>866754</v>
      </c>
      <c r="P24">
        <f t="shared" si="3"/>
        <v>879535</v>
      </c>
      <c r="Q24">
        <f t="shared" si="10"/>
        <v>871282</v>
      </c>
      <c r="R24" s="38">
        <f t="shared" si="11"/>
        <v>5.224088957189732E-3</v>
      </c>
      <c r="S24" s="38">
        <f t="shared" si="12"/>
        <v>-9.3833673475188784E-3</v>
      </c>
    </row>
    <row r="25" spans="1:19" x14ac:dyDescent="0.25">
      <c r="A25" t="s">
        <v>44</v>
      </c>
      <c r="B25">
        <v>3</v>
      </c>
      <c r="C25" t="s">
        <v>20</v>
      </c>
      <c r="D25">
        <v>15660</v>
      </c>
      <c r="E25">
        <v>15816</v>
      </c>
      <c r="F25">
        <v>15660</v>
      </c>
      <c r="G25">
        <f t="shared" si="4"/>
        <v>-156</v>
      </c>
      <c r="H25" s="18">
        <f t="shared" si="5"/>
        <v>0</v>
      </c>
      <c r="I25" s="18">
        <f t="shared" si="6"/>
        <v>0</v>
      </c>
      <c r="J25" s="18">
        <f t="shared" si="7"/>
        <v>-9.8634294385432364E-3</v>
      </c>
      <c r="K25" s="18" t="str">
        <f t="shared" si="8"/>
        <v>GM2</v>
      </c>
      <c r="L25" t="str">
        <f t="shared" si="9"/>
        <v>JANUARY-3-GM2</v>
      </c>
      <c r="M25">
        <f t="shared" si="0"/>
        <v>0.10707603294098766</v>
      </c>
      <c r="N25">
        <f t="shared" si="1"/>
        <v>-0.17452148718482641</v>
      </c>
      <c r="O25">
        <f t="shared" si="2"/>
        <v>866754</v>
      </c>
      <c r="P25">
        <f t="shared" si="3"/>
        <v>879535</v>
      </c>
      <c r="Q25">
        <f t="shared" si="10"/>
        <v>871282</v>
      </c>
      <c r="R25" s="38">
        <f t="shared" si="11"/>
        <v>5.224088957189732E-3</v>
      </c>
      <c r="S25" s="38">
        <f t="shared" si="12"/>
        <v>-9.3833673475188784E-3</v>
      </c>
    </row>
    <row r="26" spans="1:19" x14ac:dyDescent="0.25">
      <c r="A26" t="s">
        <v>44</v>
      </c>
      <c r="B26">
        <v>3</v>
      </c>
      <c r="C26" t="s">
        <v>19</v>
      </c>
      <c r="D26">
        <v>18360</v>
      </c>
      <c r="E26">
        <v>18909</v>
      </c>
      <c r="F26">
        <v>18885</v>
      </c>
      <c r="G26">
        <f t="shared" si="4"/>
        <v>-24</v>
      </c>
      <c r="H26" s="18">
        <f t="shared" si="5"/>
        <v>525</v>
      </c>
      <c r="I26" s="18">
        <f t="shared" si="6"/>
        <v>2.8594771241829964E-2</v>
      </c>
      <c r="J26" s="18">
        <f t="shared" si="7"/>
        <v>-1.2692368713310698E-3</v>
      </c>
      <c r="K26" s="18" t="str">
        <f t="shared" si="8"/>
        <v>KALIBENDA</v>
      </c>
      <c r="L26" t="str">
        <f t="shared" si="9"/>
        <v>JANUARY-3-KALIBENDA</v>
      </c>
      <c r="M26">
        <f t="shared" si="0"/>
        <v>0.17226860165633451</v>
      </c>
      <c r="N26">
        <f t="shared" si="1"/>
        <v>-2.5217485958028196E-2</v>
      </c>
      <c r="O26">
        <f t="shared" si="2"/>
        <v>866754</v>
      </c>
      <c r="P26">
        <f t="shared" si="3"/>
        <v>879535</v>
      </c>
      <c r="Q26">
        <f t="shared" si="10"/>
        <v>871282</v>
      </c>
      <c r="R26" s="38">
        <f t="shared" si="11"/>
        <v>5.224088957189732E-3</v>
      </c>
      <c r="S26" s="38">
        <f t="shared" si="12"/>
        <v>-9.3833673475188784E-3</v>
      </c>
    </row>
    <row r="27" spans="1:19" x14ac:dyDescent="0.25">
      <c r="A27" t="s">
        <v>44</v>
      </c>
      <c r="B27">
        <v>3</v>
      </c>
      <c r="C27" t="s">
        <v>20</v>
      </c>
      <c r="D27">
        <v>2916</v>
      </c>
      <c r="E27">
        <v>2973</v>
      </c>
      <c r="F27">
        <v>2916</v>
      </c>
      <c r="G27">
        <f t="shared" si="4"/>
        <v>-57</v>
      </c>
      <c r="H27" s="18">
        <f t="shared" si="5"/>
        <v>0</v>
      </c>
      <c r="I27" s="18">
        <f t="shared" si="6"/>
        <v>0</v>
      </c>
      <c r="J27" s="18">
        <f t="shared" si="7"/>
        <v>-1.9172552976791102E-2</v>
      </c>
      <c r="K27" s="18" t="str">
        <f t="shared" si="8"/>
        <v>GM2</v>
      </c>
      <c r="L27" t="str">
        <f t="shared" si="9"/>
        <v>JANUARY-3-GM2</v>
      </c>
      <c r="M27">
        <f t="shared" si="0"/>
        <v>0.10707603294098766</v>
      </c>
      <c r="N27">
        <f t="shared" si="1"/>
        <v>-0.17452148718482641</v>
      </c>
      <c r="O27">
        <f t="shared" si="2"/>
        <v>866754</v>
      </c>
      <c r="P27">
        <f t="shared" si="3"/>
        <v>879535</v>
      </c>
      <c r="Q27">
        <f t="shared" si="10"/>
        <v>871282</v>
      </c>
      <c r="R27" s="38">
        <f t="shared" si="11"/>
        <v>5.224088957189732E-3</v>
      </c>
      <c r="S27" s="38">
        <f t="shared" si="12"/>
        <v>-9.3833673475188784E-3</v>
      </c>
    </row>
    <row r="28" spans="1:19" x14ac:dyDescent="0.25">
      <c r="A28" t="s">
        <v>44</v>
      </c>
      <c r="B28">
        <v>3</v>
      </c>
      <c r="C28" t="s">
        <v>20</v>
      </c>
      <c r="D28">
        <v>1080</v>
      </c>
      <c r="E28">
        <v>1113</v>
      </c>
      <c r="F28">
        <v>1080</v>
      </c>
      <c r="G28">
        <f t="shared" si="4"/>
        <v>-33</v>
      </c>
      <c r="H28" s="18">
        <f t="shared" si="5"/>
        <v>0</v>
      </c>
      <c r="I28" s="18">
        <f t="shared" si="6"/>
        <v>0</v>
      </c>
      <c r="J28" s="18">
        <f t="shared" si="7"/>
        <v>-2.9649595687331498E-2</v>
      </c>
      <c r="K28" s="18" t="str">
        <f t="shared" si="8"/>
        <v>GM2</v>
      </c>
      <c r="L28" t="str">
        <f t="shared" si="9"/>
        <v>JANUARY-3-GM2</v>
      </c>
      <c r="M28">
        <f t="shared" si="0"/>
        <v>0.10707603294098766</v>
      </c>
      <c r="N28">
        <f t="shared" si="1"/>
        <v>-0.17452148718482641</v>
      </c>
      <c r="O28">
        <f t="shared" si="2"/>
        <v>866754</v>
      </c>
      <c r="P28">
        <f t="shared" si="3"/>
        <v>879535</v>
      </c>
      <c r="Q28">
        <f t="shared" si="10"/>
        <v>871282</v>
      </c>
      <c r="R28" s="38">
        <f t="shared" si="11"/>
        <v>5.224088957189732E-3</v>
      </c>
      <c r="S28" s="38">
        <f t="shared" si="12"/>
        <v>-9.3833673475188784E-3</v>
      </c>
    </row>
    <row r="29" spans="1:19" x14ac:dyDescent="0.25">
      <c r="A29" t="s">
        <v>44</v>
      </c>
      <c r="B29">
        <v>3</v>
      </c>
      <c r="C29" t="s">
        <v>20</v>
      </c>
      <c r="D29">
        <v>20304</v>
      </c>
      <c r="E29">
        <v>20305</v>
      </c>
      <c r="F29">
        <v>20154</v>
      </c>
      <c r="G29">
        <f t="shared" si="4"/>
        <v>-151</v>
      </c>
      <c r="H29" s="18">
        <f t="shared" si="5"/>
        <v>-150</v>
      </c>
      <c r="I29" s="18">
        <f t="shared" si="6"/>
        <v>-7.3877068557919312E-3</v>
      </c>
      <c r="J29" s="18">
        <f t="shared" si="7"/>
        <v>-7.4365919724206364E-3</v>
      </c>
      <c r="K29" s="18" t="str">
        <f t="shared" si="8"/>
        <v>GM2</v>
      </c>
      <c r="L29" t="str">
        <f t="shared" si="9"/>
        <v>JANUARY-3-GM2</v>
      </c>
      <c r="M29">
        <f t="shared" si="0"/>
        <v>0.10707603294098766</v>
      </c>
      <c r="N29">
        <f t="shared" si="1"/>
        <v>-0.17452148718482641</v>
      </c>
      <c r="O29">
        <f t="shared" si="2"/>
        <v>866754</v>
      </c>
      <c r="P29">
        <f t="shared" si="3"/>
        <v>879535</v>
      </c>
      <c r="Q29">
        <f t="shared" si="10"/>
        <v>871282</v>
      </c>
      <c r="R29" s="38">
        <f t="shared" si="11"/>
        <v>5.224088957189732E-3</v>
      </c>
      <c r="S29" s="38">
        <f t="shared" si="12"/>
        <v>-9.3833673475188784E-3</v>
      </c>
    </row>
    <row r="30" spans="1:19" x14ac:dyDescent="0.25">
      <c r="A30" t="s">
        <v>44</v>
      </c>
      <c r="B30">
        <v>3</v>
      </c>
      <c r="C30" t="s">
        <v>20</v>
      </c>
      <c r="D30">
        <v>18144</v>
      </c>
      <c r="E30">
        <v>18158</v>
      </c>
      <c r="F30">
        <v>18144</v>
      </c>
      <c r="G30">
        <f t="shared" si="4"/>
        <v>-14</v>
      </c>
      <c r="H30" s="18">
        <f t="shared" si="5"/>
        <v>0</v>
      </c>
      <c r="I30" s="18">
        <f t="shared" si="6"/>
        <v>0</v>
      </c>
      <c r="J30" s="18">
        <f t="shared" si="7"/>
        <v>-7.7101002313029188E-4</v>
      </c>
      <c r="K30" s="18" t="str">
        <f t="shared" si="8"/>
        <v>GM2</v>
      </c>
      <c r="L30" t="str">
        <f t="shared" si="9"/>
        <v>JANUARY-3-GM2</v>
      </c>
      <c r="M30">
        <f t="shared" si="0"/>
        <v>0.10707603294098766</v>
      </c>
      <c r="N30">
        <f t="shared" si="1"/>
        <v>-0.17452148718482641</v>
      </c>
      <c r="O30">
        <f t="shared" si="2"/>
        <v>866754</v>
      </c>
      <c r="P30">
        <f t="shared" si="3"/>
        <v>879535</v>
      </c>
      <c r="Q30">
        <f t="shared" si="10"/>
        <v>871282</v>
      </c>
      <c r="R30" s="38">
        <f t="shared" si="11"/>
        <v>5.224088957189732E-3</v>
      </c>
      <c r="S30" s="38">
        <f t="shared" si="12"/>
        <v>-9.3833673475188784E-3</v>
      </c>
    </row>
    <row r="31" spans="1:19" x14ac:dyDescent="0.25">
      <c r="A31" t="s">
        <v>44</v>
      </c>
      <c r="B31">
        <v>3</v>
      </c>
      <c r="C31" t="s">
        <v>20</v>
      </c>
      <c r="D31">
        <v>19548</v>
      </c>
      <c r="E31">
        <v>19674</v>
      </c>
      <c r="F31">
        <v>19743</v>
      </c>
      <c r="G31">
        <f t="shared" si="4"/>
        <v>69</v>
      </c>
      <c r="H31" s="18">
        <f t="shared" si="5"/>
        <v>195</v>
      </c>
      <c r="I31" s="18">
        <f t="shared" si="6"/>
        <v>9.9754450583180443E-3</v>
      </c>
      <c r="J31" s="18">
        <f t="shared" si="7"/>
        <v>3.5071668191521965E-3</v>
      </c>
      <c r="K31" s="18" t="str">
        <f t="shared" si="8"/>
        <v>GM2</v>
      </c>
      <c r="L31" t="str">
        <f t="shared" si="9"/>
        <v>JANUARY-3-GM2</v>
      </c>
      <c r="M31">
        <f t="shared" si="0"/>
        <v>0.10707603294098766</v>
      </c>
      <c r="N31">
        <f t="shared" si="1"/>
        <v>-0.17452148718482641</v>
      </c>
      <c r="O31">
        <f t="shared" si="2"/>
        <v>866754</v>
      </c>
      <c r="P31">
        <f t="shared" si="3"/>
        <v>879535</v>
      </c>
      <c r="Q31">
        <f t="shared" si="10"/>
        <v>871282</v>
      </c>
      <c r="R31" s="38">
        <f t="shared" si="11"/>
        <v>5.224088957189732E-3</v>
      </c>
      <c r="S31" s="38">
        <f t="shared" si="12"/>
        <v>-9.3833673475188784E-3</v>
      </c>
    </row>
    <row r="32" spans="1:19" x14ac:dyDescent="0.25">
      <c r="A32" t="s">
        <v>44</v>
      </c>
      <c r="B32">
        <v>3</v>
      </c>
      <c r="C32" t="s">
        <v>20</v>
      </c>
      <c r="D32">
        <v>1728</v>
      </c>
      <c r="E32">
        <v>1730</v>
      </c>
      <c r="F32">
        <v>1728</v>
      </c>
      <c r="G32">
        <f t="shared" si="4"/>
        <v>-2</v>
      </c>
      <c r="H32" s="18">
        <f t="shared" si="5"/>
        <v>0</v>
      </c>
      <c r="I32" s="18">
        <f t="shared" si="6"/>
        <v>0</v>
      </c>
      <c r="J32" s="18">
        <f t="shared" si="7"/>
        <v>-1.1560693641619046E-3</v>
      </c>
      <c r="K32" s="18" t="str">
        <f t="shared" si="8"/>
        <v>GM2</v>
      </c>
      <c r="L32" t="str">
        <f t="shared" si="9"/>
        <v>JANUARY-3-GM2</v>
      </c>
      <c r="M32">
        <f t="shared" si="0"/>
        <v>0.10707603294098766</v>
      </c>
      <c r="N32">
        <f t="shared" si="1"/>
        <v>-0.17452148718482641</v>
      </c>
      <c r="O32">
        <f t="shared" si="2"/>
        <v>866754</v>
      </c>
      <c r="P32">
        <f t="shared" si="3"/>
        <v>879535</v>
      </c>
      <c r="Q32">
        <f t="shared" si="10"/>
        <v>871282</v>
      </c>
      <c r="R32" s="38">
        <f t="shared" si="11"/>
        <v>5.224088957189732E-3</v>
      </c>
      <c r="S32" s="38">
        <f t="shared" si="12"/>
        <v>-9.3833673475188784E-3</v>
      </c>
    </row>
    <row r="33" spans="1:19" x14ac:dyDescent="0.25">
      <c r="A33" t="s">
        <v>44</v>
      </c>
      <c r="B33">
        <v>3</v>
      </c>
      <c r="C33" t="s">
        <v>20</v>
      </c>
      <c r="D33">
        <v>4104</v>
      </c>
      <c r="E33">
        <v>4233</v>
      </c>
      <c r="F33">
        <v>4104</v>
      </c>
      <c r="G33">
        <f t="shared" si="4"/>
        <v>-129</v>
      </c>
      <c r="H33" s="18">
        <f t="shared" si="5"/>
        <v>0</v>
      </c>
      <c r="I33" s="18">
        <f t="shared" si="6"/>
        <v>0</v>
      </c>
      <c r="J33" s="18">
        <f t="shared" si="7"/>
        <v>-3.0474840538625037E-2</v>
      </c>
      <c r="K33" s="18" t="str">
        <f t="shared" si="8"/>
        <v>GM2</v>
      </c>
      <c r="L33" t="str">
        <f t="shared" si="9"/>
        <v>JANUARY-3-GM2</v>
      </c>
      <c r="M33">
        <f t="shared" si="0"/>
        <v>0.10707603294098766</v>
      </c>
      <c r="N33">
        <f t="shared" si="1"/>
        <v>-0.17452148718482641</v>
      </c>
      <c r="O33">
        <f t="shared" si="2"/>
        <v>866754</v>
      </c>
      <c r="P33">
        <f t="shared" si="3"/>
        <v>879535</v>
      </c>
      <c r="Q33">
        <f t="shared" si="10"/>
        <v>871282</v>
      </c>
      <c r="R33" s="38">
        <f t="shared" si="11"/>
        <v>5.224088957189732E-3</v>
      </c>
      <c r="S33" s="38">
        <f t="shared" si="12"/>
        <v>-9.3833673475188784E-3</v>
      </c>
    </row>
    <row r="34" spans="1:19" x14ac:dyDescent="0.25">
      <c r="A34" t="s">
        <v>44</v>
      </c>
      <c r="B34">
        <v>3</v>
      </c>
      <c r="C34" t="s">
        <v>20</v>
      </c>
      <c r="D34">
        <v>16416</v>
      </c>
      <c r="E34">
        <v>17049</v>
      </c>
      <c r="F34">
        <v>16593</v>
      </c>
      <c r="G34">
        <f t="shared" si="4"/>
        <v>-456</v>
      </c>
      <c r="H34" s="18">
        <f t="shared" si="5"/>
        <v>177</v>
      </c>
      <c r="I34" s="18">
        <f t="shared" si="6"/>
        <v>1.0782163742690143E-2</v>
      </c>
      <c r="J34" s="18">
        <f t="shared" si="7"/>
        <v>-2.6746436741157842E-2</v>
      </c>
      <c r="K34" s="18" t="str">
        <f t="shared" si="8"/>
        <v>GM2</v>
      </c>
      <c r="L34" t="str">
        <f t="shared" si="9"/>
        <v>JANUARY-3-GM2</v>
      </c>
      <c r="M34">
        <f t="shared" si="0"/>
        <v>0.10707603294098766</v>
      </c>
      <c r="N34">
        <f t="shared" si="1"/>
        <v>-0.17452148718482641</v>
      </c>
      <c r="O34">
        <f t="shared" si="2"/>
        <v>866754</v>
      </c>
      <c r="P34">
        <f t="shared" si="3"/>
        <v>879535</v>
      </c>
      <c r="Q34">
        <f t="shared" si="10"/>
        <v>871282</v>
      </c>
      <c r="R34" s="38">
        <f t="shared" si="11"/>
        <v>5.224088957189732E-3</v>
      </c>
      <c r="S34" s="38">
        <f t="shared" si="12"/>
        <v>-9.3833673475188784E-3</v>
      </c>
    </row>
    <row r="35" spans="1:19" x14ac:dyDescent="0.25">
      <c r="A35" t="s">
        <v>44</v>
      </c>
      <c r="B35">
        <v>3</v>
      </c>
      <c r="C35" t="s">
        <v>20</v>
      </c>
      <c r="D35">
        <v>1296</v>
      </c>
      <c r="E35">
        <v>1322</v>
      </c>
      <c r="F35">
        <v>1314</v>
      </c>
      <c r="G35">
        <f t="shared" si="4"/>
        <v>-8</v>
      </c>
      <c r="H35" s="18">
        <f t="shared" si="5"/>
        <v>18</v>
      </c>
      <c r="I35" s="18">
        <f t="shared" si="6"/>
        <v>1.388888888888884E-2</v>
      </c>
      <c r="J35" s="18">
        <f t="shared" si="7"/>
        <v>-6.0514372163388286E-3</v>
      </c>
      <c r="K35" s="18" t="str">
        <f t="shared" si="8"/>
        <v>GM2</v>
      </c>
      <c r="L35" t="str">
        <f t="shared" si="9"/>
        <v>JANUARY-3-GM2</v>
      </c>
      <c r="M35">
        <f t="shared" si="0"/>
        <v>0.10707603294098766</v>
      </c>
      <c r="N35">
        <f t="shared" si="1"/>
        <v>-0.17452148718482641</v>
      </c>
      <c r="O35">
        <f t="shared" si="2"/>
        <v>866754</v>
      </c>
      <c r="P35">
        <f t="shared" si="3"/>
        <v>879535</v>
      </c>
      <c r="Q35">
        <f t="shared" si="10"/>
        <v>871282</v>
      </c>
      <c r="R35" s="38">
        <f t="shared" si="11"/>
        <v>5.224088957189732E-3</v>
      </c>
      <c r="S35" s="38">
        <f t="shared" si="12"/>
        <v>-9.3833673475188784E-3</v>
      </c>
    </row>
    <row r="36" spans="1:19" x14ac:dyDescent="0.25">
      <c r="A36" t="s">
        <v>44</v>
      </c>
      <c r="B36">
        <v>3</v>
      </c>
      <c r="C36" t="s">
        <v>17</v>
      </c>
      <c r="D36">
        <v>16308</v>
      </c>
      <c r="E36">
        <v>16800</v>
      </c>
      <c r="F36">
        <v>16734</v>
      </c>
      <c r="G36">
        <f t="shared" si="4"/>
        <v>-66</v>
      </c>
      <c r="H36" s="18">
        <f t="shared" si="5"/>
        <v>426</v>
      </c>
      <c r="I36" s="18">
        <f t="shared" si="6"/>
        <v>2.6122148638704878E-2</v>
      </c>
      <c r="J36" s="18">
        <f t="shared" si="7"/>
        <v>-3.9285714285713924E-3</v>
      </c>
      <c r="K36" s="18" t="str">
        <f t="shared" si="8"/>
        <v>MAJA1</v>
      </c>
      <c r="L36" t="str">
        <f t="shared" si="9"/>
        <v>JANUARY-3-MAJA1</v>
      </c>
      <c r="M36">
        <f t="shared" si="0"/>
        <v>2.6122148638704878E-2</v>
      </c>
      <c r="N36">
        <f t="shared" si="1"/>
        <v>-3.9285714285713924E-3</v>
      </c>
      <c r="O36">
        <f t="shared" si="2"/>
        <v>866754</v>
      </c>
      <c r="P36">
        <f t="shared" si="3"/>
        <v>879535</v>
      </c>
      <c r="Q36">
        <f t="shared" si="10"/>
        <v>871282</v>
      </c>
      <c r="R36" s="38">
        <f t="shared" si="11"/>
        <v>5.224088957189732E-3</v>
      </c>
      <c r="S36" s="38">
        <f t="shared" si="12"/>
        <v>-9.3833673475188784E-3</v>
      </c>
    </row>
    <row r="37" spans="1:19" x14ac:dyDescent="0.25">
      <c r="A37" t="s">
        <v>44</v>
      </c>
      <c r="B37">
        <v>3</v>
      </c>
      <c r="C37" t="s">
        <v>20</v>
      </c>
      <c r="D37">
        <v>25344</v>
      </c>
      <c r="E37">
        <v>25766</v>
      </c>
      <c r="F37">
        <v>25704</v>
      </c>
      <c r="G37">
        <f t="shared" si="4"/>
        <v>-62</v>
      </c>
      <c r="H37" s="18">
        <f t="shared" si="5"/>
        <v>360</v>
      </c>
      <c r="I37" s="18">
        <f t="shared" si="6"/>
        <v>1.4204545454545414E-2</v>
      </c>
      <c r="J37" s="18">
        <f t="shared" si="7"/>
        <v>-2.406271831095208E-3</v>
      </c>
      <c r="K37" s="18" t="str">
        <f t="shared" si="8"/>
        <v>GM2</v>
      </c>
      <c r="L37" t="str">
        <f t="shared" si="9"/>
        <v>JANUARY-3-GM2</v>
      </c>
      <c r="M37">
        <f t="shared" si="0"/>
        <v>0.10707603294098766</v>
      </c>
      <c r="N37">
        <f t="shared" si="1"/>
        <v>-0.17452148718482641</v>
      </c>
      <c r="O37">
        <f t="shared" si="2"/>
        <v>866754</v>
      </c>
      <c r="P37">
        <f t="shared" si="3"/>
        <v>879535</v>
      </c>
      <c r="Q37">
        <f t="shared" si="10"/>
        <v>871282</v>
      </c>
      <c r="R37" s="38">
        <f t="shared" si="11"/>
        <v>5.224088957189732E-3</v>
      </c>
      <c r="S37" s="38">
        <f t="shared" si="12"/>
        <v>-9.3833673475188784E-3</v>
      </c>
    </row>
    <row r="38" spans="1:19" x14ac:dyDescent="0.25">
      <c r="A38" t="s">
        <v>44</v>
      </c>
      <c r="B38">
        <v>3</v>
      </c>
      <c r="C38" t="s">
        <v>20</v>
      </c>
      <c r="D38">
        <v>6624</v>
      </c>
      <c r="E38">
        <v>6828</v>
      </c>
      <c r="F38">
        <v>6796</v>
      </c>
      <c r="G38">
        <f t="shared" si="4"/>
        <v>-32</v>
      </c>
      <c r="H38" s="18">
        <f t="shared" si="5"/>
        <v>172</v>
      </c>
      <c r="I38" s="18">
        <f t="shared" si="6"/>
        <v>2.5966183574879231E-2</v>
      </c>
      <c r="J38" s="18">
        <f t="shared" si="7"/>
        <v>-4.6865846514352327E-3</v>
      </c>
      <c r="K38" s="18" t="str">
        <f t="shared" si="8"/>
        <v>GM2</v>
      </c>
      <c r="L38" t="str">
        <f t="shared" si="9"/>
        <v>JANUARY-3-GM2</v>
      </c>
      <c r="M38">
        <f t="shared" si="0"/>
        <v>0.10707603294098766</v>
      </c>
      <c r="N38">
        <f t="shared" si="1"/>
        <v>-0.17452148718482641</v>
      </c>
      <c r="O38">
        <f t="shared" si="2"/>
        <v>866754</v>
      </c>
      <c r="P38">
        <f t="shared" si="3"/>
        <v>879535</v>
      </c>
      <c r="Q38">
        <f t="shared" si="10"/>
        <v>871282</v>
      </c>
      <c r="R38" s="38">
        <f t="shared" si="11"/>
        <v>5.224088957189732E-3</v>
      </c>
      <c r="S38" s="38">
        <f t="shared" si="12"/>
        <v>-9.3833673475188784E-3</v>
      </c>
    </row>
    <row r="39" spans="1:19" x14ac:dyDescent="0.25">
      <c r="A39" t="s">
        <v>44</v>
      </c>
      <c r="B39">
        <v>3</v>
      </c>
      <c r="C39" t="s">
        <v>20</v>
      </c>
      <c r="D39">
        <v>16992</v>
      </c>
      <c r="E39">
        <v>17192</v>
      </c>
      <c r="F39">
        <v>17000</v>
      </c>
      <c r="G39">
        <f t="shared" si="4"/>
        <v>-192</v>
      </c>
      <c r="H39" s="18">
        <f t="shared" si="5"/>
        <v>8</v>
      </c>
      <c r="I39" s="18">
        <f t="shared" si="6"/>
        <v>4.7080979284364055E-4</v>
      </c>
      <c r="J39" s="18">
        <f t="shared" si="7"/>
        <v>-1.116798510935324E-2</v>
      </c>
      <c r="K39" s="18" t="str">
        <f t="shared" si="8"/>
        <v>GM2</v>
      </c>
      <c r="L39" t="str">
        <f t="shared" si="9"/>
        <v>JANUARY-3-GM2</v>
      </c>
      <c r="M39">
        <f t="shared" si="0"/>
        <v>0.10707603294098766</v>
      </c>
      <c r="N39">
        <f t="shared" si="1"/>
        <v>-0.17452148718482641</v>
      </c>
      <c r="O39">
        <f t="shared" si="2"/>
        <v>866754</v>
      </c>
      <c r="P39">
        <f t="shared" si="3"/>
        <v>879535</v>
      </c>
      <c r="Q39">
        <f t="shared" si="10"/>
        <v>871282</v>
      </c>
      <c r="R39" s="38">
        <f t="shared" si="11"/>
        <v>5.224088957189732E-3</v>
      </c>
      <c r="S39" s="38">
        <f t="shared" si="12"/>
        <v>-9.3833673475188784E-3</v>
      </c>
    </row>
    <row r="40" spans="1:19" x14ac:dyDescent="0.25">
      <c r="A40" t="s">
        <v>44</v>
      </c>
      <c r="B40">
        <v>3</v>
      </c>
      <c r="C40" t="s">
        <v>20</v>
      </c>
      <c r="D40">
        <v>9792</v>
      </c>
      <c r="E40">
        <v>9954</v>
      </c>
      <c r="F40">
        <v>9792</v>
      </c>
      <c r="G40">
        <f t="shared" si="4"/>
        <v>-162</v>
      </c>
      <c r="H40" s="18">
        <f t="shared" si="5"/>
        <v>0</v>
      </c>
      <c r="I40" s="18">
        <f t="shared" si="6"/>
        <v>0</v>
      </c>
      <c r="J40" s="18">
        <f t="shared" si="7"/>
        <v>-1.6274864376130238E-2</v>
      </c>
      <c r="K40" s="18" t="str">
        <f t="shared" si="8"/>
        <v>GM2</v>
      </c>
      <c r="L40" t="str">
        <f t="shared" si="9"/>
        <v>JANUARY-3-GM2</v>
      </c>
      <c r="M40">
        <f t="shared" si="0"/>
        <v>0.10707603294098766</v>
      </c>
      <c r="N40">
        <f t="shared" si="1"/>
        <v>-0.17452148718482641</v>
      </c>
      <c r="O40">
        <f t="shared" si="2"/>
        <v>866754</v>
      </c>
      <c r="P40">
        <f t="shared" si="3"/>
        <v>879535</v>
      </c>
      <c r="Q40">
        <f t="shared" si="10"/>
        <v>871282</v>
      </c>
      <c r="R40" s="38">
        <f t="shared" si="11"/>
        <v>5.224088957189732E-3</v>
      </c>
      <c r="S40" s="38">
        <f t="shared" si="12"/>
        <v>-9.3833673475188784E-3</v>
      </c>
    </row>
    <row r="41" spans="1:19" x14ac:dyDescent="0.25">
      <c r="A41" t="s">
        <v>44</v>
      </c>
      <c r="B41">
        <v>3</v>
      </c>
      <c r="C41" t="s">
        <v>20</v>
      </c>
      <c r="D41">
        <v>21816</v>
      </c>
      <c r="E41">
        <v>22105</v>
      </c>
      <c r="F41">
        <v>22056</v>
      </c>
      <c r="G41">
        <f t="shared" si="4"/>
        <v>-49</v>
      </c>
      <c r="H41" s="18">
        <f t="shared" si="5"/>
        <v>240</v>
      </c>
      <c r="I41" s="18">
        <f t="shared" si="6"/>
        <v>1.1001100110010986E-2</v>
      </c>
      <c r="J41" s="18">
        <f t="shared" si="7"/>
        <v>-2.2166930558696896E-3</v>
      </c>
      <c r="K41" s="18" t="str">
        <f t="shared" si="8"/>
        <v>GM2</v>
      </c>
      <c r="L41" t="str">
        <f t="shared" si="9"/>
        <v>JANUARY-3-GM2</v>
      </c>
      <c r="M41">
        <f t="shared" si="0"/>
        <v>0.10707603294098766</v>
      </c>
      <c r="N41">
        <f t="shared" si="1"/>
        <v>-0.17452148718482641</v>
      </c>
      <c r="O41">
        <f t="shared" si="2"/>
        <v>866754</v>
      </c>
      <c r="P41">
        <f t="shared" si="3"/>
        <v>879535</v>
      </c>
      <c r="Q41">
        <f t="shared" si="10"/>
        <v>871282</v>
      </c>
      <c r="R41" s="38">
        <f t="shared" si="11"/>
        <v>5.224088957189732E-3</v>
      </c>
      <c r="S41" s="38">
        <f t="shared" si="12"/>
        <v>-9.3833673475188784E-3</v>
      </c>
    </row>
    <row r="42" spans="1:19" x14ac:dyDescent="0.25">
      <c r="A42" t="s">
        <v>44</v>
      </c>
      <c r="B42">
        <v>3</v>
      </c>
      <c r="C42" t="s">
        <v>20</v>
      </c>
      <c r="D42">
        <v>30240</v>
      </c>
      <c r="E42">
        <v>30852</v>
      </c>
      <c r="F42">
        <v>30597</v>
      </c>
      <c r="G42">
        <f t="shared" si="4"/>
        <v>-255</v>
      </c>
      <c r="H42" s="18">
        <f t="shared" si="5"/>
        <v>357</v>
      </c>
      <c r="I42" s="18">
        <f t="shared" si="6"/>
        <v>1.1805555555555625E-2</v>
      </c>
      <c r="J42" s="18">
        <f t="shared" si="7"/>
        <v>-8.2652664332943937E-3</v>
      </c>
      <c r="K42" s="18" t="str">
        <f t="shared" si="8"/>
        <v>GM2</v>
      </c>
      <c r="L42" t="str">
        <f t="shared" si="9"/>
        <v>JANUARY-3-GM2</v>
      </c>
      <c r="M42">
        <f t="shared" si="0"/>
        <v>0.10707603294098766</v>
      </c>
      <c r="N42">
        <f t="shared" si="1"/>
        <v>-0.17452148718482641</v>
      </c>
      <c r="O42">
        <f t="shared" si="2"/>
        <v>866754</v>
      </c>
      <c r="P42">
        <f t="shared" si="3"/>
        <v>879535</v>
      </c>
      <c r="Q42">
        <f t="shared" si="10"/>
        <v>871282</v>
      </c>
      <c r="R42" s="38">
        <f t="shared" si="11"/>
        <v>5.224088957189732E-3</v>
      </c>
      <c r="S42" s="38">
        <f t="shared" si="12"/>
        <v>-9.3833673475188784E-3</v>
      </c>
    </row>
    <row r="43" spans="1:19" x14ac:dyDescent="0.25">
      <c r="A43" t="s">
        <v>44</v>
      </c>
      <c r="B43">
        <v>3</v>
      </c>
      <c r="C43" t="s">
        <v>20</v>
      </c>
      <c r="D43">
        <v>30240</v>
      </c>
      <c r="E43">
        <v>30787</v>
      </c>
      <c r="F43">
        <v>30735</v>
      </c>
      <c r="G43">
        <f t="shared" si="4"/>
        <v>-52</v>
      </c>
      <c r="H43" s="18">
        <f t="shared" si="5"/>
        <v>495</v>
      </c>
      <c r="I43" s="18">
        <f t="shared" si="6"/>
        <v>1.6369047619047672E-2</v>
      </c>
      <c r="J43" s="18">
        <f t="shared" si="7"/>
        <v>-1.6890245883002253E-3</v>
      </c>
      <c r="K43" s="18" t="str">
        <f t="shared" si="8"/>
        <v>GM2</v>
      </c>
      <c r="L43" t="str">
        <f t="shared" si="9"/>
        <v>JANUARY-3-GM2</v>
      </c>
      <c r="M43">
        <f t="shared" si="0"/>
        <v>0.10707603294098766</v>
      </c>
      <c r="N43">
        <f t="shared" si="1"/>
        <v>-0.17452148718482641</v>
      </c>
      <c r="O43">
        <f t="shared" si="2"/>
        <v>866754</v>
      </c>
      <c r="P43">
        <f t="shared" si="3"/>
        <v>879535</v>
      </c>
      <c r="Q43">
        <f t="shared" si="10"/>
        <v>871282</v>
      </c>
      <c r="R43" s="38">
        <f t="shared" si="11"/>
        <v>5.224088957189732E-3</v>
      </c>
      <c r="S43" s="38">
        <f t="shared" si="12"/>
        <v>-9.3833673475188784E-3</v>
      </c>
    </row>
    <row r="44" spans="1:19" x14ac:dyDescent="0.25">
      <c r="A44" t="s">
        <v>44</v>
      </c>
      <c r="B44">
        <v>3</v>
      </c>
      <c r="C44" t="s">
        <v>21</v>
      </c>
      <c r="D44">
        <v>2440</v>
      </c>
      <c r="E44">
        <v>2440</v>
      </c>
      <c r="F44">
        <v>2440</v>
      </c>
      <c r="G44">
        <f t="shared" si="4"/>
        <v>0</v>
      </c>
      <c r="H44" s="18">
        <f t="shared" si="5"/>
        <v>0</v>
      </c>
      <c r="I44" s="18">
        <f t="shared" si="6"/>
        <v>0</v>
      </c>
      <c r="J44" s="18">
        <f t="shared" si="7"/>
        <v>0</v>
      </c>
      <c r="K44" s="18" t="str">
        <f t="shared" si="8"/>
        <v>CHAWAN</v>
      </c>
      <c r="L44" t="str">
        <f t="shared" si="9"/>
        <v>JANUARY-3-CHAWAN</v>
      </c>
      <c r="M44">
        <f t="shared" si="0"/>
        <v>0</v>
      </c>
      <c r="N44">
        <f t="shared" si="1"/>
        <v>0</v>
      </c>
      <c r="O44">
        <f t="shared" si="2"/>
        <v>866754</v>
      </c>
      <c r="P44">
        <f t="shared" si="3"/>
        <v>879535</v>
      </c>
      <c r="Q44">
        <f t="shared" si="10"/>
        <v>871282</v>
      </c>
      <c r="R44" s="38">
        <f t="shared" si="11"/>
        <v>5.224088957189732E-3</v>
      </c>
      <c r="S44" s="38">
        <f t="shared" si="12"/>
        <v>-9.3833673475188784E-3</v>
      </c>
    </row>
    <row r="45" spans="1:19" x14ac:dyDescent="0.25">
      <c r="A45" t="s">
        <v>44</v>
      </c>
      <c r="B45">
        <v>3</v>
      </c>
      <c r="C45" t="s">
        <v>21</v>
      </c>
      <c r="D45">
        <v>177</v>
      </c>
      <c r="E45">
        <v>177</v>
      </c>
      <c r="F45">
        <v>177</v>
      </c>
      <c r="G45">
        <f t="shared" si="4"/>
        <v>0</v>
      </c>
      <c r="H45" s="18">
        <f t="shared" si="5"/>
        <v>0</v>
      </c>
      <c r="I45" s="18">
        <f t="shared" si="6"/>
        <v>0</v>
      </c>
      <c r="J45" s="18">
        <f t="shared" si="7"/>
        <v>0</v>
      </c>
      <c r="K45" s="18" t="str">
        <f t="shared" si="8"/>
        <v>CHAWAN</v>
      </c>
      <c r="L45" t="str">
        <f t="shared" si="9"/>
        <v>JANUARY-3-CHAWAN</v>
      </c>
      <c r="M45">
        <f t="shared" si="0"/>
        <v>0</v>
      </c>
      <c r="N45">
        <f t="shared" si="1"/>
        <v>0</v>
      </c>
      <c r="O45">
        <f t="shared" si="2"/>
        <v>866754</v>
      </c>
      <c r="P45">
        <f t="shared" si="3"/>
        <v>879535</v>
      </c>
      <c r="Q45">
        <f t="shared" si="10"/>
        <v>871282</v>
      </c>
      <c r="R45" s="38">
        <f t="shared" si="11"/>
        <v>5.224088957189732E-3</v>
      </c>
      <c r="S45" s="38">
        <f t="shared" si="12"/>
        <v>-9.3833673475188784E-3</v>
      </c>
    </row>
    <row r="46" spans="1:19" x14ac:dyDescent="0.25">
      <c r="A46" t="s">
        <v>44</v>
      </c>
      <c r="B46">
        <v>3</v>
      </c>
      <c r="C46" t="s">
        <v>16</v>
      </c>
      <c r="D46">
        <v>40000</v>
      </c>
      <c r="E46">
        <v>40000</v>
      </c>
      <c r="F46">
        <v>39538</v>
      </c>
      <c r="G46">
        <f t="shared" si="4"/>
        <v>-462</v>
      </c>
      <c r="H46" s="18">
        <f t="shared" si="5"/>
        <v>-462</v>
      </c>
      <c r="I46" s="18">
        <f t="shared" si="6"/>
        <v>-1.1549999999999949E-2</v>
      </c>
      <c r="J46" s="18">
        <f t="shared" si="7"/>
        <v>-1.1549999999999949E-2</v>
      </c>
      <c r="K46" s="18" t="str">
        <f t="shared" si="8"/>
        <v>CNJ2</v>
      </c>
      <c r="L46" t="str">
        <f t="shared" si="9"/>
        <v>JANUARY-3-CNJ2</v>
      </c>
      <c r="M46">
        <f t="shared" si="0"/>
        <v>-1.1549999999999949E-2</v>
      </c>
      <c r="N46">
        <f t="shared" si="1"/>
        <v>-1.1549999999999949E-2</v>
      </c>
      <c r="O46">
        <f t="shared" si="2"/>
        <v>866754</v>
      </c>
      <c r="P46">
        <f t="shared" si="3"/>
        <v>879535</v>
      </c>
      <c r="Q46">
        <f t="shared" si="10"/>
        <v>871282</v>
      </c>
      <c r="R46" s="38">
        <f t="shared" si="11"/>
        <v>5.224088957189732E-3</v>
      </c>
      <c r="S46" s="38">
        <f t="shared" si="12"/>
        <v>-9.3833673475188784E-3</v>
      </c>
    </row>
    <row r="47" spans="1:19" x14ac:dyDescent="0.25">
      <c r="A47" t="s">
        <v>44</v>
      </c>
      <c r="B47">
        <v>3</v>
      </c>
      <c r="C47" t="s">
        <v>17</v>
      </c>
      <c r="D47">
        <v>205</v>
      </c>
      <c r="E47">
        <v>205</v>
      </c>
      <c r="F47">
        <v>205</v>
      </c>
      <c r="G47">
        <f t="shared" si="4"/>
        <v>0</v>
      </c>
      <c r="H47" s="18">
        <f t="shared" si="5"/>
        <v>0</v>
      </c>
      <c r="I47" s="18">
        <f t="shared" si="6"/>
        <v>0</v>
      </c>
      <c r="J47" s="18">
        <f t="shared" si="7"/>
        <v>0</v>
      </c>
      <c r="K47" s="18" t="str">
        <f t="shared" si="8"/>
        <v>MAJA1</v>
      </c>
      <c r="L47" t="str">
        <f t="shared" si="9"/>
        <v>JANUARY-3-MAJA1</v>
      </c>
      <c r="M47">
        <f t="shared" si="0"/>
        <v>2.6122148638704878E-2</v>
      </c>
      <c r="N47">
        <f t="shared" si="1"/>
        <v>-3.9285714285713924E-3</v>
      </c>
      <c r="O47">
        <f t="shared" si="2"/>
        <v>866754</v>
      </c>
      <c r="P47">
        <f t="shared" si="3"/>
        <v>879535</v>
      </c>
      <c r="Q47">
        <f t="shared" si="10"/>
        <v>871282</v>
      </c>
      <c r="R47" s="38">
        <f t="shared" si="11"/>
        <v>5.224088957189732E-3</v>
      </c>
      <c r="S47" s="38">
        <f t="shared" si="12"/>
        <v>-9.3833673475188784E-3</v>
      </c>
    </row>
    <row r="48" spans="1:19" x14ac:dyDescent="0.25">
      <c r="A48" t="s">
        <v>44</v>
      </c>
      <c r="B48">
        <v>3</v>
      </c>
      <c r="C48" t="s">
        <v>17</v>
      </c>
      <c r="D48">
        <v>295</v>
      </c>
      <c r="E48">
        <v>295</v>
      </c>
      <c r="F48">
        <v>295</v>
      </c>
      <c r="G48">
        <f t="shared" si="4"/>
        <v>0</v>
      </c>
      <c r="H48" s="18">
        <f t="shared" si="5"/>
        <v>0</v>
      </c>
      <c r="I48" s="18">
        <f t="shared" si="6"/>
        <v>0</v>
      </c>
      <c r="J48" s="18">
        <f t="shared" si="7"/>
        <v>0</v>
      </c>
      <c r="K48" s="18" t="str">
        <f t="shared" si="8"/>
        <v>MAJA1</v>
      </c>
      <c r="L48" t="str">
        <f t="shared" si="9"/>
        <v>JANUARY-3-MAJA1</v>
      </c>
      <c r="M48">
        <f t="shared" si="0"/>
        <v>2.6122148638704878E-2</v>
      </c>
      <c r="N48">
        <f t="shared" si="1"/>
        <v>-3.9285714285713924E-3</v>
      </c>
      <c r="O48">
        <f t="shared" si="2"/>
        <v>866754</v>
      </c>
      <c r="P48">
        <f t="shared" si="3"/>
        <v>879535</v>
      </c>
      <c r="Q48">
        <f t="shared" si="10"/>
        <v>871282</v>
      </c>
      <c r="R48" s="38">
        <f t="shared" si="11"/>
        <v>5.224088957189732E-3</v>
      </c>
      <c r="S48" s="38">
        <f t="shared" si="12"/>
        <v>-9.3833673475188784E-3</v>
      </c>
    </row>
    <row r="49" spans="1:19" x14ac:dyDescent="0.25">
      <c r="A49" t="s">
        <v>44</v>
      </c>
      <c r="B49">
        <v>3</v>
      </c>
      <c r="C49" t="s">
        <v>22</v>
      </c>
      <c r="D49">
        <v>48000</v>
      </c>
      <c r="E49">
        <v>48017</v>
      </c>
      <c r="F49">
        <v>46662</v>
      </c>
      <c r="G49">
        <f t="shared" si="4"/>
        <v>-1355</v>
      </c>
      <c r="H49" s="18">
        <f t="shared" si="5"/>
        <v>-1338</v>
      </c>
      <c r="I49" s="18">
        <f t="shared" si="6"/>
        <v>-2.7874999999999983E-2</v>
      </c>
      <c r="J49" s="18">
        <f t="shared" si="7"/>
        <v>-2.8219172376449997E-2</v>
      </c>
      <c r="K49" s="18" t="str">
        <f t="shared" si="8"/>
        <v>ANUGERAH</v>
      </c>
      <c r="L49" t="str">
        <f t="shared" si="9"/>
        <v>JANUARY-3-ANUGERAH</v>
      </c>
      <c r="M49">
        <f t="shared" si="0"/>
        <v>-8.2981238141079161E-2</v>
      </c>
      <c r="N49">
        <f t="shared" si="1"/>
        <v>-0.18982183352462934</v>
      </c>
      <c r="O49">
        <f t="shared" si="2"/>
        <v>866754</v>
      </c>
      <c r="P49">
        <f t="shared" si="3"/>
        <v>879535</v>
      </c>
      <c r="Q49">
        <f t="shared" si="10"/>
        <v>871282</v>
      </c>
      <c r="R49" s="38">
        <f t="shared" si="11"/>
        <v>5.224088957189732E-3</v>
      </c>
      <c r="S49" s="38">
        <f t="shared" si="12"/>
        <v>-9.3833673475188784E-3</v>
      </c>
    </row>
    <row r="50" spans="1:19" x14ac:dyDescent="0.25">
      <c r="A50" t="s">
        <v>44</v>
      </c>
      <c r="B50">
        <v>3</v>
      </c>
      <c r="C50" t="s">
        <v>22</v>
      </c>
      <c r="D50">
        <v>12000</v>
      </c>
      <c r="E50">
        <v>13058</v>
      </c>
      <c r="F50">
        <v>12000</v>
      </c>
      <c r="G50">
        <f t="shared" si="4"/>
        <v>-1058</v>
      </c>
      <c r="H50" s="18">
        <f t="shared" si="5"/>
        <v>0</v>
      </c>
      <c r="I50" s="18">
        <f t="shared" si="6"/>
        <v>0</v>
      </c>
      <c r="J50" s="18">
        <f t="shared" si="7"/>
        <v>-8.102312758462249E-2</v>
      </c>
      <c r="K50" s="18" t="str">
        <f t="shared" si="8"/>
        <v>ANUGERAH</v>
      </c>
      <c r="L50" t="str">
        <f t="shared" si="9"/>
        <v>JANUARY-3-ANUGERAH</v>
      </c>
      <c r="M50">
        <f t="shared" si="0"/>
        <v>-8.2981238141079161E-2</v>
      </c>
      <c r="N50">
        <f t="shared" si="1"/>
        <v>-0.18982183352462934</v>
      </c>
      <c r="O50">
        <f t="shared" si="2"/>
        <v>866754</v>
      </c>
      <c r="P50">
        <f t="shared" si="3"/>
        <v>879535</v>
      </c>
      <c r="Q50">
        <f t="shared" si="10"/>
        <v>871282</v>
      </c>
      <c r="R50" s="38">
        <f t="shared" si="11"/>
        <v>5.224088957189732E-3</v>
      </c>
      <c r="S50" s="38">
        <f t="shared" si="12"/>
        <v>-9.3833673475188784E-3</v>
      </c>
    </row>
    <row r="51" spans="1:19" x14ac:dyDescent="0.25">
      <c r="A51" t="s">
        <v>44</v>
      </c>
      <c r="B51">
        <v>3</v>
      </c>
      <c r="C51" t="s">
        <v>22</v>
      </c>
      <c r="D51">
        <v>19200</v>
      </c>
      <c r="E51">
        <v>19167</v>
      </c>
      <c r="F51">
        <v>18967</v>
      </c>
      <c r="G51">
        <f t="shared" si="4"/>
        <v>-200</v>
      </c>
      <c r="H51" s="18">
        <f t="shared" si="5"/>
        <v>-233</v>
      </c>
      <c r="I51" s="18">
        <f t="shared" si="6"/>
        <v>-1.2135416666666621E-2</v>
      </c>
      <c r="J51" s="18">
        <f t="shared" si="7"/>
        <v>-1.0434601137371491E-2</v>
      </c>
      <c r="K51" s="18" t="str">
        <f t="shared" si="8"/>
        <v>ANUGERAH</v>
      </c>
      <c r="L51" t="str">
        <f t="shared" si="9"/>
        <v>JANUARY-3-ANUGERAH</v>
      </c>
      <c r="M51">
        <f t="shared" si="0"/>
        <v>-8.2981238141079161E-2</v>
      </c>
      <c r="N51">
        <f t="shared" si="1"/>
        <v>-0.18982183352462934</v>
      </c>
      <c r="O51">
        <f t="shared" si="2"/>
        <v>866754</v>
      </c>
      <c r="P51">
        <f t="shared" si="3"/>
        <v>879535</v>
      </c>
      <c r="Q51">
        <f t="shared" si="10"/>
        <v>871282</v>
      </c>
      <c r="R51" s="38">
        <f t="shared" si="11"/>
        <v>5.224088957189732E-3</v>
      </c>
      <c r="S51" s="38">
        <f t="shared" si="12"/>
        <v>-9.3833673475188784E-3</v>
      </c>
    </row>
    <row r="52" spans="1:19" x14ac:dyDescent="0.25">
      <c r="A52" t="s">
        <v>44</v>
      </c>
      <c r="B52">
        <v>3</v>
      </c>
      <c r="C52" t="s">
        <v>22</v>
      </c>
      <c r="D52">
        <v>72000</v>
      </c>
      <c r="E52">
        <v>72031</v>
      </c>
      <c r="F52">
        <v>71374</v>
      </c>
      <c r="G52">
        <f t="shared" si="4"/>
        <v>-657</v>
      </c>
      <c r="H52" s="18">
        <f t="shared" si="5"/>
        <v>-626</v>
      </c>
      <c r="I52" s="18">
        <f t="shared" si="6"/>
        <v>-8.6944444444444491E-3</v>
      </c>
      <c r="J52" s="18">
        <f t="shared" si="7"/>
        <v>-9.1210728714026246E-3</v>
      </c>
      <c r="K52" s="18" t="str">
        <f t="shared" si="8"/>
        <v>ANUGERAH</v>
      </c>
      <c r="L52" t="str">
        <f t="shared" si="9"/>
        <v>JANUARY-3-ANUGERAH</v>
      </c>
      <c r="M52">
        <f t="shared" si="0"/>
        <v>-8.2981238141079161E-2</v>
      </c>
      <c r="N52">
        <f t="shared" si="1"/>
        <v>-0.18982183352462934</v>
      </c>
      <c r="O52">
        <f t="shared" si="2"/>
        <v>866754</v>
      </c>
      <c r="P52">
        <f t="shared" si="3"/>
        <v>879535</v>
      </c>
      <c r="Q52">
        <f t="shared" si="10"/>
        <v>871282</v>
      </c>
      <c r="R52" s="38">
        <f t="shared" si="11"/>
        <v>5.224088957189732E-3</v>
      </c>
      <c r="S52" s="38">
        <f t="shared" si="12"/>
        <v>-9.3833673475188784E-3</v>
      </c>
    </row>
    <row r="53" spans="1:19" x14ac:dyDescent="0.25">
      <c r="A53" t="s">
        <v>44</v>
      </c>
      <c r="B53">
        <v>3</v>
      </c>
      <c r="C53" t="s">
        <v>22</v>
      </c>
      <c r="D53">
        <v>5351</v>
      </c>
      <c r="E53">
        <v>5473</v>
      </c>
      <c r="F53">
        <v>5351</v>
      </c>
      <c r="G53">
        <f t="shared" si="4"/>
        <v>-122</v>
      </c>
      <c r="H53" s="18">
        <f t="shared" si="5"/>
        <v>0</v>
      </c>
      <c r="I53" s="18">
        <f t="shared" si="6"/>
        <v>0</v>
      </c>
      <c r="J53" s="18">
        <f t="shared" si="7"/>
        <v>-2.2291247944454584E-2</v>
      </c>
      <c r="K53" s="18" t="str">
        <f t="shared" si="8"/>
        <v>ANUGERAH</v>
      </c>
      <c r="L53" t="str">
        <f t="shared" si="9"/>
        <v>JANUARY-3-ANUGERAH</v>
      </c>
      <c r="M53" s="18">
        <f t="shared" si="0"/>
        <v>-8.2981238141079161E-2</v>
      </c>
      <c r="N53">
        <f t="shared" si="1"/>
        <v>-0.18982183352462934</v>
      </c>
      <c r="O53">
        <f t="shared" si="2"/>
        <v>866754</v>
      </c>
      <c r="P53">
        <f t="shared" si="3"/>
        <v>879535</v>
      </c>
      <c r="Q53">
        <f t="shared" si="10"/>
        <v>871282</v>
      </c>
      <c r="R53" s="38">
        <f t="shared" si="11"/>
        <v>5.224088957189732E-3</v>
      </c>
      <c r="S53" s="38">
        <f t="shared" si="12"/>
        <v>-9.3833673475188784E-3</v>
      </c>
    </row>
    <row r="54" spans="1:19" x14ac:dyDescent="0.25">
      <c r="A54" t="s">
        <v>44</v>
      </c>
      <c r="B54">
        <v>3</v>
      </c>
      <c r="C54" t="s">
        <v>22</v>
      </c>
      <c r="D54">
        <v>19800</v>
      </c>
      <c r="E54">
        <v>19813</v>
      </c>
      <c r="F54">
        <v>19434</v>
      </c>
      <c r="G54">
        <f t="shared" si="4"/>
        <v>-379</v>
      </c>
      <c r="H54" s="18">
        <f t="shared" si="5"/>
        <v>-366</v>
      </c>
      <c r="I54" s="18">
        <f t="shared" si="6"/>
        <v>-1.8484848484848437E-2</v>
      </c>
      <c r="J54" s="18">
        <f t="shared" si="7"/>
        <v>-1.9128854792308081E-2</v>
      </c>
      <c r="K54" s="18" t="str">
        <f t="shared" si="8"/>
        <v>ANUGERAH</v>
      </c>
      <c r="L54" t="str">
        <f t="shared" si="9"/>
        <v>JANUARY-3-ANUGERAH</v>
      </c>
      <c r="M54">
        <f t="shared" si="0"/>
        <v>-8.2981238141079161E-2</v>
      </c>
      <c r="N54">
        <f t="shared" si="1"/>
        <v>-0.18982183352462934</v>
      </c>
      <c r="O54">
        <f t="shared" si="2"/>
        <v>866754</v>
      </c>
      <c r="P54">
        <f t="shared" si="3"/>
        <v>879535</v>
      </c>
      <c r="Q54">
        <f t="shared" si="10"/>
        <v>871282</v>
      </c>
      <c r="R54" s="38">
        <f t="shared" si="11"/>
        <v>5.224088957189732E-3</v>
      </c>
      <c r="S54" s="38">
        <f t="shared" si="12"/>
        <v>-9.3833673475188784E-3</v>
      </c>
    </row>
    <row r="55" spans="1:19" x14ac:dyDescent="0.25">
      <c r="A55" t="s">
        <v>44</v>
      </c>
      <c r="B55">
        <v>3</v>
      </c>
      <c r="C55" t="s">
        <v>22</v>
      </c>
      <c r="D55">
        <v>7500</v>
      </c>
      <c r="E55">
        <v>7529</v>
      </c>
      <c r="F55">
        <v>7423</v>
      </c>
      <c r="G55">
        <f t="shared" si="4"/>
        <v>-106</v>
      </c>
      <c r="H55" s="18">
        <f t="shared" si="5"/>
        <v>-77</v>
      </c>
      <c r="I55" s="18">
        <f t="shared" si="6"/>
        <v>-1.0266666666666646E-2</v>
      </c>
      <c r="J55" s="18">
        <f t="shared" si="7"/>
        <v>-1.4078894939567044E-2</v>
      </c>
      <c r="K55" s="18" t="str">
        <f t="shared" si="8"/>
        <v>ANUGERAH</v>
      </c>
      <c r="L55" t="str">
        <f t="shared" si="9"/>
        <v>JANUARY-3-ANUGERAH</v>
      </c>
      <c r="M55">
        <f t="shared" si="0"/>
        <v>-8.2981238141079161E-2</v>
      </c>
      <c r="N55">
        <f t="shared" si="1"/>
        <v>-0.18982183352462934</v>
      </c>
      <c r="O55">
        <f t="shared" si="2"/>
        <v>866754</v>
      </c>
      <c r="P55">
        <f t="shared" si="3"/>
        <v>879535</v>
      </c>
      <c r="Q55">
        <f t="shared" si="10"/>
        <v>871282</v>
      </c>
      <c r="R55" s="38">
        <f t="shared" si="11"/>
        <v>5.224088957189732E-3</v>
      </c>
      <c r="S55" s="38">
        <f t="shared" si="12"/>
        <v>-9.3833673475188784E-3</v>
      </c>
    </row>
    <row r="56" spans="1:19" x14ac:dyDescent="0.25">
      <c r="A56" t="s">
        <v>44</v>
      </c>
      <c r="B56">
        <v>3</v>
      </c>
      <c r="C56" t="s">
        <v>22</v>
      </c>
      <c r="D56">
        <v>5430</v>
      </c>
      <c r="E56">
        <v>5430</v>
      </c>
      <c r="F56">
        <v>5400</v>
      </c>
      <c r="G56">
        <f t="shared" si="4"/>
        <v>-30</v>
      </c>
      <c r="H56" s="18">
        <f t="shared" si="5"/>
        <v>-30</v>
      </c>
      <c r="I56" s="18">
        <f t="shared" si="6"/>
        <v>-5.5248618784530246E-3</v>
      </c>
      <c r="J56" s="18">
        <f t="shared" si="7"/>
        <v>-5.5248618784530246E-3</v>
      </c>
      <c r="K56" s="18" t="str">
        <f t="shared" si="8"/>
        <v>ANUGERAH</v>
      </c>
      <c r="L56" t="str">
        <f t="shared" si="9"/>
        <v>JANUARY-3-ANUGERAH</v>
      </c>
      <c r="M56">
        <f t="shared" si="0"/>
        <v>-8.2981238141079161E-2</v>
      </c>
      <c r="N56">
        <f t="shared" si="1"/>
        <v>-0.18982183352462934</v>
      </c>
      <c r="O56">
        <f t="shared" si="2"/>
        <v>866754</v>
      </c>
      <c r="P56">
        <f t="shared" si="3"/>
        <v>879535</v>
      </c>
      <c r="Q56">
        <f t="shared" si="10"/>
        <v>871282</v>
      </c>
      <c r="R56" s="38">
        <f t="shared" si="11"/>
        <v>5.224088957189732E-3</v>
      </c>
      <c r="S56" s="38">
        <f t="shared" si="12"/>
        <v>-9.3833673475188784E-3</v>
      </c>
    </row>
    <row r="57" spans="1:19" x14ac:dyDescent="0.25">
      <c r="A57" t="s">
        <v>44</v>
      </c>
      <c r="B57">
        <v>4</v>
      </c>
      <c r="C57" t="s">
        <v>17</v>
      </c>
      <c r="D57">
        <v>4320</v>
      </c>
      <c r="E57">
        <v>4455</v>
      </c>
      <c r="F57">
        <v>4383</v>
      </c>
      <c r="G57">
        <f t="shared" si="4"/>
        <v>-72</v>
      </c>
      <c r="H57" s="18">
        <f t="shared" si="5"/>
        <v>63</v>
      </c>
      <c r="I57" s="18">
        <f t="shared" si="6"/>
        <v>1.4583333333333393E-2</v>
      </c>
      <c r="J57" s="18">
        <f t="shared" si="7"/>
        <v>-1.6161616161616155E-2</v>
      </c>
      <c r="K57" s="18" t="str">
        <f t="shared" si="8"/>
        <v>MAJA1</v>
      </c>
      <c r="L57" t="str">
        <f t="shared" si="9"/>
        <v>JANUARY-4-MAJA1</v>
      </c>
      <c r="M57">
        <f t="shared" si="0"/>
        <v>2.1179757343550598E-2</v>
      </c>
      <c r="N57">
        <f t="shared" si="1"/>
        <v>-0.12498091425365476</v>
      </c>
      <c r="O57">
        <f t="shared" si="2"/>
        <v>866754</v>
      </c>
      <c r="P57">
        <f t="shared" si="3"/>
        <v>879535</v>
      </c>
      <c r="Q57">
        <f t="shared" si="10"/>
        <v>871282</v>
      </c>
      <c r="R57" s="38">
        <f t="shared" si="11"/>
        <v>5.224088957189732E-3</v>
      </c>
      <c r="S57" s="38">
        <f t="shared" si="12"/>
        <v>-9.3833673475188784E-3</v>
      </c>
    </row>
    <row r="58" spans="1:19" x14ac:dyDescent="0.25">
      <c r="A58" t="s">
        <v>44</v>
      </c>
      <c r="B58">
        <v>4</v>
      </c>
      <c r="C58" t="s">
        <v>19</v>
      </c>
      <c r="D58">
        <v>40176</v>
      </c>
      <c r="E58">
        <v>40687</v>
      </c>
      <c r="F58">
        <v>40647</v>
      </c>
      <c r="G58">
        <f t="shared" si="4"/>
        <v>-40</v>
      </c>
      <c r="H58" s="18">
        <f t="shared" si="5"/>
        <v>471</v>
      </c>
      <c r="I58" s="18">
        <f t="shared" si="6"/>
        <v>1.1723416965352396E-2</v>
      </c>
      <c r="J58" s="18">
        <f t="shared" si="7"/>
        <v>-9.8311499987713269E-4</v>
      </c>
      <c r="K58" s="18" t="str">
        <f t="shared" si="8"/>
        <v>KALIBENDA</v>
      </c>
      <c r="L58" t="str">
        <f t="shared" si="9"/>
        <v>JANUARY-4-KALIBENDA</v>
      </c>
      <c r="M58">
        <f t="shared" si="0"/>
        <v>0.17649768968488622</v>
      </c>
      <c r="N58">
        <f t="shared" si="1"/>
        <v>-2.3863565157408617E-2</v>
      </c>
      <c r="O58">
        <f t="shared" si="2"/>
        <v>866754</v>
      </c>
      <c r="P58">
        <f t="shared" si="3"/>
        <v>879535</v>
      </c>
      <c r="Q58">
        <f t="shared" si="10"/>
        <v>871282</v>
      </c>
      <c r="R58" s="38">
        <f t="shared" si="11"/>
        <v>5.224088957189732E-3</v>
      </c>
      <c r="S58" s="38">
        <f t="shared" si="12"/>
        <v>-9.3833673475188784E-3</v>
      </c>
    </row>
    <row r="59" spans="1:19" x14ac:dyDescent="0.25">
      <c r="A59" t="s">
        <v>44</v>
      </c>
      <c r="B59">
        <v>4</v>
      </c>
      <c r="C59" t="s">
        <v>19</v>
      </c>
      <c r="D59">
        <v>6912</v>
      </c>
      <c r="E59">
        <v>7050</v>
      </c>
      <c r="F59">
        <v>7035</v>
      </c>
      <c r="G59">
        <f t="shared" si="4"/>
        <v>-15</v>
      </c>
      <c r="H59" s="18">
        <f t="shared" si="5"/>
        <v>123</v>
      </c>
      <c r="I59" s="18">
        <f t="shared" si="6"/>
        <v>1.779513888888884E-2</v>
      </c>
      <c r="J59" s="18">
        <f t="shared" si="7"/>
        <v>-2.1276595744680327E-3</v>
      </c>
      <c r="K59" s="18" t="str">
        <f t="shared" si="8"/>
        <v>KALIBENDA</v>
      </c>
      <c r="L59" t="str">
        <f t="shared" si="9"/>
        <v>JANUARY-4-KALIBENDA</v>
      </c>
      <c r="M59">
        <f t="shared" si="0"/>
        <v>0.17649768968488622</v>
      </c>
      <c r="N59">
        <f t="shared" si="1"/>
        <v>-2.3863565157408617E-2</v>
      </c>
      <c r="O59">
        <f t="shared" si="2"/>
        <v>866754</v>
      </c>
      <c r="P59">
        <f t="shared" si="3"/>
        <v>879535</v>
      </c>
      <c r="Q59">
        <f t="shared" si="10"/>
        <v>871282</v>
      </c>
      <c r="R59" s="38">
        <f t="shared" si="11"/>
        <v>5.224088957189732E-3</v>
      </c>
      <c r="S59" s="38">
        <f t="shared" si="12"/>
        <v>-9.3833673475188784E-3</v>
      </c>
    </row>
    <row r="60" spans="1:19" x14ac:dyDescent="0.25">
      <c r="A60" t="s">
        <v>44</v>
      </c>
      <c r="B60">
        <v>4</v>
      </c>
      <c r="C60" t="s">
        <v>19</v>
      </c>
      <c r="D60">
        <v>9180</v>
      </c>
      <c r="E60">
        <v>9360</v>
      </c>
      <c r="F60">
        <v>9321</v>
      </c>
      <c r="G60">
        <f t="shared" si="4"/>
        <v>-39</v>
      </c>
      <c r="H60" s="18">
        <f t="shared" si="5"/>
        <v>141</v>
      </c>
      <c r="I60" s="18">
        <f t="shared" si="6"/>
        <v>1.5359477124182952E-2</v>
      </c>
      <c r="J60" s="18">
        <f t="shared" si="7"/>
        <v>-4.1666666666666519E-3</v>
      </c>
      <c r="K60" s="18" t="str">
        <f t="shared" si="8"/>
        <v>KALIBENDA</v>
      </c>
      <c r="L60" t="str">
        <f t="shared" si="9"/>
        <v>JANUARY-4-KALIBENDA</v>
      </c>
      <c r="M60">
        <f t="shared" si="0"/>
        <v>0.17649768968488622</v>
      </c>
      <c r="N60">
        <f t="shared" si="1"/>
        <v>-2.3863565157408617E-2</v>
      </c>
      <c r="O60">
        <f t="shared" si="2"/>
        <v>866754</v>
      </c>
      <c r="P60">
        <f t="shared" si="3"/>
        <v>879535</v>
      </c>
      <c r="Q60">
        <f t="shared" si="10"/>
        <v>871282</v>
      </c>
      <c r="R60" s="38">
        <f t="shared" si="11"/>
        <v>5.224088957189732E-3</v>
      </c>
      <c r="S60" s="38">
        <f t="shared" si="12"/>
        <v>-9.3833673475188784E-3</v>
      </c>
    </row>
    <row r="61" spans="1:19" x14ac:dyDescent="0.25">
      <c r="A61" t="s">
        <v>44</v>
      </c>
      <c r="B61">
        <v>4</v>
      </c>
      <c r="C61" t="s">
        <v>19</v>
      </c>
      <c r="D61">
        <v>2916</v>
      </c>
      <c r="E61">
        <v>2973</v>
      </c>
      <c r="F61">
        <v>2973</v>
      </c>
      <c r="G61">
        <f t="shared" si="4"/>
        <v>0</v>
      </c>
      <c r="H61" s="18">
        <f t="shared" si="5"/>
        <v>57</v>
      </c>
      <c r="I61" s="18">
        <f t="shared" si="6"/>
        <v>1.9547325102880597E-2</v>
      </c>
      <c r="J61" s="18">
        <f t="shared" si="7"/>
        <v>0</v>
      </c>
      <c r="K61" s="18" t="str">
        <f t="shared" si="8"/>
        <v>KALIBENDA</v>
      </c>
      <c r="L61" t="str">
        <f t="shared" si="9"/>
        <v>JANUARY-4-KALIBENDA</v>
      </c>
      <c r="M61">
        <f t="shared" si="0"/>
        <v>0.17649768968488622</v>
      </c>
      <c r="N61">
        <f t="shared" si="1"/>
        <v>-2.3863565157408617E-2</v>
      </c>
      <c r="O61">
        <f t="shared" si="2"/>
        <v>866754</v>
      </c>
      <c r="P61">
        <f t="shared" si="3"/>
        <v>879535</v>
      </c>
      <c r="Q61">
        <f t="shared" si="10"/>
        <v>871282</v>
      </c>
      <c r="R61" s="38">
        <f t="shared" si="11"/>
        <v>5.224088957189732E-3</v>
      </c>
      <c r="S61" s="38">
        <f t="shared" si="12"/>
        <v>-9.3833673475188784E-3</v>
      </c>
    </row>
    <row r="62" spans="1:19" x14ac:dyDescent="0.25">
      <c r="A62" t="s">
        <v>44</v>
      </c>
      <c r="B62">
        <v>4</v>
      </c>
      <c r="C62" t="s">
        <v>19</v>
      </c>
      <c r="D62">
        <v>3240</v>
      </c>
      <c r="E62">
        <v>3303</v>
      </c>
      <c r="F62">
        <v>3297</v>
      </c>
      <c r="G62">
        <f t="shared" si="4"/>
        <v>-6</v>
      </c>
      <c r="H62" s="18">
        <f t="shared" si="5"/>
        <v>57</v>
      </c>
      <c r="I62" s="18">
        <f t="shared" si="6"/>
        <v>1.7592592592592604E-2</v>
      </c>
      <c r="J62" s="18">
        <f t="shared" si="7"/>
        <v>-1.8165304268846771E-3</v>
      </c>
      <c r="K62" s="18" t="str">
        <f t="shared" si="8"/>
        <v>KALIBENDA</v>
      </c>
      <c r="L62" t="str">
        <f t="shared" si="9"/>
        <v>JANUARY-4-KALIBENDA</v>
      </c>
      <c r="M62">
        <f t="shared" si="0"/>
        <v>0.17649768968488622</v>
      </c>
      <c r="N62">
        <f t="shared" si="1"/>
        <v>-2.3863565157408617E-2</v>
      </c>
      <c r="O62">
        <f t="shared" si="2"/>
        <v>866754</v>
      </c>
      <c r="P62">
        <f t="shared" si="3"/>
        <v>879535</v>
      </c>
      <c r="Q62">
        <f t="shared" si="10"/>
        <v>871282</v>
      </c>
      <c r="R62" s="38">
        <f t="shared" si="11"/>
        <v>5.224088957189732E-3</v>
      </c>
      <c r="S62" s="38">
        <f t="shared" si="12"/>
        <v>-9.3833673475188784E-3</v>
      </c>
    </row>
    <row r="63" spans="1:19" x14ac:dyDescent="0.25">
      <c r="A63" t="s">
        <v>44</v>
      </c>
      <c r="B63">
        <v>4</v>
      </c>
      <c r="C63" t="s">
        <v>19</v>
      </c>
      <c r="D63">
        <v>1080</v>
      </c>
      <c r="E63">
        <v>1101</v>
      </c>
      <c r="F63">
        <v>1098</v>
      </c>
      <c r="G63">
        <f t="shared" si="4"/>
        <v>-3</v>
      </c>
      <c r="H63" s="18">
        <f t="shared" si="5"/>
        <v>18</v>
      </c>
      <c r="I63" s="18">
        <f t="shared" si="6"/>
        <v>1.6666666666666607E-2</v>
      </c>
      <c r="J63" s="18">
        <f t="shared" si="7"/>
        <v>-2.7247956403270157E-3</v>
      </c>
      <c r="K63" s="18" t="str">
        <f t="shared" si="8"/>
        <v>KALIBENDA</v>
      </c>
      <c r="L63" t="str">
        <f t="shared" si="9"/>
        <v>JANUARY-4-KALIBENDA</v>
      </c>
      <c r="M63">
        <f t="shared" si="0"/>
        <v>0.17649768968488622</v>
      </c>
      <c r="N63">
        <f t="shared" si="1"/>
        <v>-2.3863565157408617E-2</v>
      </c>
      <c r="O63">
        <f t="shared" si="2"/>
        <v>866754</v>
      </c>
      <c r="P63">
        <f t="shared" si="3"/>
        <v>879535</v>
      </c>
      <c r="Q63">
        <f t="shared" si="10"/>
        <v>871282</v>
      </c>
      <c r="R63" s="38">
        <f t="shared" si="11"/>
        <v>5.224088957189732E-3</v>
      </c>
      <c r="S63" s="38">
        <f t="shared" si="12"/>
        <v>-9.3833673475188784E-3</v>
      </c>
    </row>
    <row r="64" spans="1:19" x14ac:dyDescent="0.25">
      <c r="A64" t="s">
        <v>44</v>
      </c>
      <c r="B64">
        <v>4</v>
      </c>
      <c r="C64" t="s">
        <v>19</v>
      </c>
      <c r="D64">
        <v>9828</v>
      </c>
      <c r="E64">
        <v>10026</v>
      </c>
      <c r="F64">
        <v>9993</v>
      </c>
      <c r="G64">
        <f t="shared" si="4"/>
        <v>-33</v>
      </c>
      <c r="H64" s="18">
        <f t="shared" si="5"/>
        <v>165</v>
      </c>
      <c r="I64" s="18">
        <f t="shared" si="6"/>
        <v>1.6788766788766729E-2</v>
      </c>
      <c r="J64" s="18">
        <f t="shared" si="7"/>
        <v>-3.2914422501496565E-3</v>
      </c>
      <c r="K64" s="18" t="str">
        <f t="shared" si="8"/>
        <v>KALIBENDA</v>
      </c>
      <c r="L64" t="str">
        <f t="shared" si="9"/>
        <v>JANUARY-4-KALIBENDA</v>
      </c>
      <c r="M64">
        <f t="shared" si="0"/>
        <v>0.17649768968488622</v>
      </c>
      <c r="N64">
        <f t="shared" si="1"/>
        <v>-2.3863565157408617E-2</v>
      </c>
      <c r="O64">
        <f t="shared" si="2"/>
        <v>866754</v>
      </c>
      <c r="P64">
        <f t="shared" si="3"/>
        <v>879535</v>
      </c>
      <c r="Q64">
        <f t="shared" si="10"/>
        <v>871282</v>
      </c>
      <c r="R64" s="38">
        <f t="shared" si="11"/>
        <v>5.224088957189732E-3</v>
      </c>
      <c r="S64" s="38">
        <f t="shared" si="12"/>
        <v>-9.3833673475188784E-3</v>
      </c>
    </row>
    <row r="65" spans="1:19" x14ac:dyDescent="0.25">
      <c r="A65" t="s">
        <v>44</v>
      </c>
      <c r="B65">
        <v>4</v>
      </c>
      <c r="C65" t="s">
        <v>19</v>
      </c>
      <c r="D65">
        <v>6912</v>
      </c>
      <c r="E65">
        <v>7050</v>
      </c>
      <c r="F65">
        <v>7017</v>
      </c>
      <c r="G65">
        <f t="shared" si="4"/>
        <v>-33</v>
      </c>
      <c r="H65" s="18">
        <f t="shared" si="5"/>
        <v>105</v>
      </c>
      <c r="I65" s="18">
        <f t="shared" si="6"/>
        <v>1.5190972222222321E-2</v>
      </c>
      <c r="J65" s="18">
        <f t="shared" si="7"/>
        <v>-4.6808510638297607E-3</v>
      </c>
      <c r="K65" s="18" t="str">
        <f t="shared" si="8"/>
        <v>KALIBENDA</v>
      </c>
      <c r="L65" t="str">
        <f t="shared" si="9"/>
        <v>JANUARY-4-KALIBENDA</v>
      </c>
      <c r="M65">
        <f t="shared" si="0"/>
        <v>0.17649768968488622</v>
      </c>
      <c r="N65">
        <f t="shared" si="1"/>
        <v>-2.3863565157408617E-2</v>
      </c>
      <c r="O65">
        <f t="shared" si="2"/>
        <v>866754</v>
      </c>
      <c r="P65">
        <f t="shared" si="3"/>
        <v>879535</v>
      </c>
      <c r="Q65">
        <f t="shared" si="10"/>
        <v>871282</v>
      </c>
      <c r="R65" s="38">
        <f t="shared" si="11"/>
        <v>5.224088957189732E-3</v>
      </c>
      <c r="S65" s="38">
        <f t="shared" si="12"/>
        <v>-9.3833673475188784E-3</v>
      </c>
    </row>
    <row r="66" spans="1:19" x14ac:dyDescent="0.25">
      <c r="A66" t="s">
        <v>44</v>
      </c>
      <c r="B66">
        <v>4</v>
      </c>
      <c r="C66" t="s">
        <v>19</v>
      </c>
      <c r="D66">
        <v>1080</v>
      </c>
      <c r="E66">
        <v>1101</v>
      </c>
      <c r="F66">
        <v>1098</v>
      </c>
      <c r="G66">
        <f t="shared" si="4"/>
        <v>-3</v>
      </c>
      <c r="H66" s="18">
        <f t="shared" si="5"/>
        <v>18</v>
      </c>
      <c r="I66" s="18">
        <f t="shared" si="6"/>
        <v>1.6666666666666607E-2</v>
      </c>
      <c r="J66" s="18">
        <f t="shared" si="7"/>
        <v>-2.7247956403270157E-3</v>
      </c>
      <c r="K66" s="18" t="str">
        <f t="shared" si="8"/>
        <v>KALIBENDA</v>
      </c>
      <c r="L66" t="str">
        <f t="shared" si="9"/>
        <v>JANUARY-4-KALIBENDA</v>
      </c>
      <c r="M66">
        <f t="shared" ref="M66:M129" si="13">SUMIF($L$2:$L$1048576,L66,$I$2:$I$1048576)</f>
        <v>0.17649768968488622</v>
      </c>
      <c r="N66">
        <f t="shared" ref="N66:N129" si="14">SUMIF($L$2:$L$1048576,L66,$J$2:$J$1048576)</f>
        <v>-2.3863565157408617E-2</v>
      </c>
      <c r="O66">
        <f t="shared" ref="O66:O129" si="15">SUMIF($A$2:$A$1048576,A66,$D$2:$D$1048576)</f>
        <v>866754</v>
      </c>
      <c r="P66">
        <f t="shared" ref="P66:P129" si="16">SUMIF($A$2:$A$1048576,A66,$E$2:$E$1048576)</f>
        <v>879535</v>
      </c>
      <c r="Q66">
        <f t="shared" si="10"/>
        <v>871282</v>
      </c>
      <c r="R66" s="38">
        <f t="shared" si="11"/>
        <v>5.224088957189732E-3</v>
      </c>
      <c r="S66" s="38">
        <f t="shared" si="12"/>
        <v>-9.3833673475188784E-3</v>
      </c>
    </row>
    <row r="67" spans="1:19" x14ac:dyDescent="0.25">
      <c r="A67" t="s">
        <v>44</v>
      </c>
      <c r="B67">
        <v>4</v>
      </c>
      <c r="C67" t="s">
        <v>17</v>
      </c>
      <c r="D67">
        <v>720</v>
      </c>
      <c r="E67">
        <v>740</v>
      </c>
      <c r="F67">
        <v>722</v>
      </c>
      <c r="G67">
        <f t="shared" ref="G67:G108" si="17">F67-E67</f>
        <v>-18</v>
      </c>
      <c r="H67" s="18">
        <f t="shared" ref="H67:H108" si="18">F67-D67</f>
        <v>2</v>
      </c>
      <c r="I67" s="18">
        <f t="shared" ref="I67:I108" si="19">F67/D67-1</f>
        <v>2.7777777777777679E-3</v>
      </c>
      <c r="J67" s="18">
        <f t="shared" ref="J67:J108" si="20">F67/E67-1</f>
        <v>-2.4324324324324298E-2</v>
      </c>
      <c r="K67" s="18" t="str">
        <f t="shared" ref="K67:K108" si="21">CLEAN(SUBSTITUTE(C67," ",""))</f>
        <v>MAJA1</v>
      </c>
      <c r="L67" t="str">
        <f t="shared" ref="L67:L108" si="22">A67&amp;"-"&amp;B67&amp;"-"&amp;K67</f>
        <v>JANUARY-4-MAJA1</v>
      </c>
      <c r="M67">
        <f t="shared" si="13"/>
        <v>2.1179757343550598E-2</v>
      </c>
      <c r="N67">
        <f t="shared" si="14"/>
        <v>-0.12498091425365476</v>
      </c>
      <c r="O67">
        <f t="shared" si="15"/>
        <v>866754</v>
      </c>
      <c r="P67">
        <f t="shared" si="16"/>
        <v>879535</v>
      </c>
      <c r="Q67">
        <f t="shared" ref="Q67:Q130" si="23">SUMIF($A$2:$A$1048576,A67,$F$2:$F$1048576)</f>
        <v>871282</v>
      </c>
      <c r="R67" s="38">
        <f t="shared" ref="R67:R130" si="24">Q67/O67-1</f>
        <v>5.224088957189732E-3</v>
      </c>
      <c r="S67" s="38">
        <f t="shared" ref="S67:S130" si="25">Q67/P67-1</f>
        <v>-9.3833673475188784E-3</v>
      </c>
    </row>
    <row r="68" spans="1:19" x14ac:dyDescent="0.25">
      <c r="A68" t="s">
        <v>44</v>
      </c>
      <c r="B68">
        <v>4</v>
      </c>
      <c r="C68" t="s">
        <v>17</v>
      </c>
      <c r="D68">
        <v>1440</v>
      </c>
      <c r="E68">
        <v>1509</v>
      </c>
      <c r="F68">
        <v>1440</v>
      </c>
      <c r="G68">
        <f t="shared" si="17"/>
        <v>-69</v>
      </c>
      <c r="H68" s="18">
        <f t="shared" si="18"/>
        <v>0</v>
      </c>
      <c r="I68" s="18">
        <f t="shared" si="19"/>
        <v>0</v>
      </c>
      <c r="J68" s="18">
        <f t="shared" si="20"/>
        <v>-4.5725646123260466E-2</v>
      </c>
      <c r="K68" s="18" t="str">
        <f t="shared" si="21"/>
        <v>MAJA1</v>
      </c>
      <c r="L68" t="str">
        <f t="shared" si="22"/>
        <v>JANUARY-4-MAJA1</v>
      </c>
      <c r="M68">
        <f t="shared" si="13"/>
        <v>2.1179757343550598E-2</v>
      </c>
      <c r="N68">
        <f t="shared" si="14"/>
        <v>-0.12498091425365476</v>
      </c>
      <c r="O68">
        <f t="shared" si="15"/>
        <v>866754</v>
      </c>
      <c r="P68">
        <f t="shared" si="16"/>
        <v>879535</v>
      </c>
      <c r="Q68">
        <f t="shared" si="23"/>
        <v>871282</v>
      </c>
      <c r="R68" s="38">
        <f t="shared" si="24"/>
        <v>5.224088957189732E-3</v>
      </c>
      <c r="S68" s="38">
        <f t="shared" si="25"/>
        <v>-9.3833673475188784E-3</v>
      </c>
    </row>
    <row r="69" spans="1:19" x14ac:dyDescent="0.25">
      <c r="A69" t="s">
        <v>44</v>
      </c>
      <c r="B69">
        <v>4</v>
      </c>
      <c r="C69" t="s">
        <v>17</v>
      </c>
      <c r="D69">
        <v>3600</v>
      </c>
      <c r="E69">
        <v>3605</v>
      </c>
      <c r="F69">
        <v>3508</v>
      </c>
      <c r="G69">
        <f t="shared" si="17"/>
        <v>-97</v>
      </c>
      <c r="H69" s="18">
        <f t="shared" si="18"/>
        <v>-92</v>
      </c>
      <c r="I69" s="18">
        <f t="shared" si="19"/>
        <v>-2.5555555555555554E-2</v>
      </c>
      <c r="J69" s="18">
        <f t="shared" si="20"/>
        <v>-2.6907073509015222E-2</v>
      </c>
      <c r="K69" s="18" t="str">
        <f t="shared" si="21"/>
        <v>MAJA1</v>
      </c>
      <c r="L69" t="str">
        <f t="shared" si="22"/>
        <v>JANUARY-4-MAJA1</v>
      </c>
      <c r="M69">
        <f t="shared" si="13"/>
        <v>2.1179757343550598E-2</v>
      </c>
      <c r="N69">
        <f t="shared" si="14"/>
        <v>-0.12498091425365476</v>
      </c>
      <c r="O69">
        <f t="shared" si="15"/>
        <v>866754</v>
      </c>
      <c r="P69">
        <f t="shared" si="16"/>
        <v>879535</v>
      </c>
      <c r="Q69">
        <f t="shared" si="23"/>
        <v>871282</v>
      </c>
      <c r="R69" s="38">
        <f t="shared" si="24"/>
        <v>5.224088957189732E-3</v>
      </c>
      <c r="S69" s="38">
        <f t="shared" si="25"/>
        <v>-9.3833673475188784E-3</v>
      </c>
    </row>
    <row r="70" spans="1:19" x14ac:dyDescent="0.25">
      <c r="A70" t="s">
        <v>44</v>
      </c>
      <c r="B70">
        <v>4</v>
      </c>
      <c r="C70" t="s">
        <v>20</v>
      </c>
      <c r="D70">
        <v>13284</v>
      </c>
      <c r="E70">
        <v>13295</v>
      </c>
      <c r="F70">
        <v>13284</v>
      </c>
      <c r="G70">
        <f t="shared" si="17"/>
        <v>-11</v>
      </c>
      <c r="H70" s="18">
        <f t="shared" si="18"/>
        <v>0</v>
      </c>
      <c r="I70" s="18">
        <f t="shared" si="19"/>
        <v>0</v>
      </c>
      <c r="J70" s="18">
        <f t="shared" si="20"/>
        <v>-8.2737871380222927E-4</v>
      </c>
      <c r="K70" s="18" t="str">
        <f t="shared" si="21"/>
        <v>GM2</v>
      </c>
      <c r="L70" t="str">
        <f t="shared" si="22"/>
        <v>JANUARY-4-GM2</v>
      </c>
      <c r="M70">
        <f t="shared" si="13"/>
        <v>0.1179952108944553</v>
      </c>
      <c r="N70">
        <f t="shared" si="14"/>
        <v>-0.12896181080747948</v>
      </c>
      <c r="O70">
        <f t="shared" si="15"/>
        <v>866754</v>
      </c>
      <c r="P70">
        <f t="shared" si="16"/>
        <v>879535</v>
      </c>
      <c r="Q70">
        <f t="shared" si="23"/>
        <v>871282</v>
      </c>
      <c r="R70" s="38">
        <f t="shared" si="24"/>
        <v>5.224088957189732E-3</v>
      </c>
      <c r="S70" s="38">
        <f t="shared" si="25"/>
        <v>-9.3833673475188784E-3</v>
      </c>
    </row>
    <row r="71" spans="1:19" x14ac:dyDescent="0.25">
      <c r="A71" t="s">
        <v>44</v>
      </c>
      <c r="B71">
        <v>4</v>
      </c>
      <c r="C71" t="s">
        <v>20</v>
      </c>
      <c r="D71">
        <v>1080</v>
      </c>
      <c r="E71">
        <v>1081</v>
      </c>
      <c r="F71">
        <v>1080</v>
      </c>
      <c r="G71">
        <f t="shared" si="17"/>
        <v>-1</v>
      </c>
      <c r="H71" s="18">
        <f t="shared" si="18"/>
        <v>0</v>
      </c>
      <c r="I71" s="18">
        <f t="shared" si="19"/>
        <v>0</v>
      </c>
      <c r="J71" s="18">
        <f t="shared" si="20"/>
        <v>-9.2506938020353591E-4</v>
      </c>
      <c r="K71" s="18" t="str">
        <f t="shared" si="21"/>
        <v>GM2</v>
      </c>
      <c r="L71" t="str">
        <f t="shared" si="22"/>
        <v>JANUARY-4-GM2</v>
      </c>
      <c r="M71">
        <f t="shared" si="13"/>
        <v>0.1179952108944553</v>
      </c>
      <c r="N71">
        <f t="shared" si="14"/>
        <v>-0.12896181080747948</v>
      </c>
      <c r="O71">
        <f t="shared" si="15"/>
        <v>866754</v>
      </c>
      <c r="P71">
        <f t="shared" si="16"/>
        <v>879535</v>
      </c>
      <c r="Q71">
        <f t="shared" si="23"/>
        <v>871282</v>
      </c>
      <c r="R71" s="38">
        <f t="shared" si="24"/>
        <v>5.224088957189732E-3</v>
      </c>
      <c r="S71" s="38">
        <f t="shared" si="25"/>
        <v>-9.3833673475188784E-3</v>
      </c>
    </row>
    <row r="72" spans="1:19" x14ac:dyDescent="0.25">
      <c r="A72" t="s">
        <v>44</v>
      </c>
      <c r="B72">
        <v>4</v>
      </c>
      <c r="C72" t="s">
        <v>20</v>
      </c>
      <c r="D72">
        <v>6372</v>
      </c>
      <c r="E72">
        <v>6381</v>
      </c>
      <c r="F72">
        <v>6372</v>
      </c>
      <c r="G72">
        <f t="shared" si="17"/>
        <v>-9</v>
      </c>
      <c r="H72" s="18">
        <f t="shared" si="18"/>
        <v>0</v>
      </c>
      <c r="I72" s="18">
        <f t="shared" si="19"/>
        <v>0</v>
      </c>
      <c r="J72" s="18">
        <f t="shared" si="20"/>
        <v>-1.4104372355430161E-3</v>
      </c>
      <c r="K72" s="18" t="str">
        <f t="shared" si="21"/>
        <v>GM2</v>
      </c>
      <c r="L72" t="str">
        <f t="shared" si="22"/>
        <v>JANUARY-4-GM2</v>
      </c>
      <c r="M72">
        <f t="shared" si="13"/>
        <v>0.1179952108944553</v>
      </c>
      <c r="N72">
        <f t="shared" si="14"/>
        <v>-0.12896181080747948</v>
      </c>
      <c r="O72">
        <f t="shared" si="15"/>
        <v>866754</v>
      </c>
      <c r="P72">
        <f t="shared" si="16"/>
        <v>879535</v>
      </c>
      <c r="Q72">
        <f t="shared" si="23"/>
        <v>871282</v>
      </c>
      <c r="R72" s="38">
        <f t="shared" si="24"/>
        <v>5.224088957189732E-3</v>
      </c>
      <c r="S72" s="38">
        <f t="shared" si="25"/>
        <v>-9.3833673475188784E-3</v>
      </c>
    </row>
    <row r="73" spans="1:19" x14ac:dyDescent="0.25">
      <c r="A73" t="s">
        <v>44</v>
      </c>
      <c r="B73">
        <v>4</v>
      </c>
      <c r="C73" t="s">
        <v>20</v>
      </c>
      <c r="D73">
        <v>1080</v>
      </c>
      <c r="E73">
        <v>1081</v>
      </c>
      <c r="F73">
        <v>1080</v>
      </c>
      <c r="G73">
        <f t="shared" si="17"/>
        <v>-1</v>
      </c>
      <c r="H73" s="18">
        <f t="shared" si="18"/>
        <v>0</v>
      </c>
      <c r="I73" s="18">
        <f t="shared" si="19"/>
        <v>0</v>
      </c>
      <c r="J73" s="18">
        <f t="shared" si="20"/>
        <v>-9.2506938020353591E-4</v>
      </c>
      <c r="K73" s="18" t="str">
        <f t="shared" si="21"/>
        <v>GM2</v>
      </c>
      <c r="L73" t="str">
        <f t="shared" si="22"/>
        <v>JANUARY-4-GM2</v>
      </c>
      <c r="M73">
        <f t="shared" si="13"/>
        <v>0.1179952108944553</v>
      </c>
      <c r="N73">
        <f t="shared" si="14"/>
        <v>-0.12896181080747948</v>
      </c>
      <c r="O73">
        <f t="shared" si="15"/>
        <v>866754</v>
      </c>
      <c r="P73">
        <f t="shared" si="16"/>
        <v>879535</v>
      </c>
      <c r="Q73">
        <f t="shared" si="23"/>
        <v>871282</v>
      </c>
      <c r="R73" s="38">
        <f t="shared" si="24"/>
        <v>5.224088957189732E-3</v>
      </c>
      <c r="S73" s="38">
        <f t="shared" si="25"/>
        <v>-9.3833673475188784E-3</v>
      </c>
    </row>
    <row r="74" spans="1:19" x14ac:dyDescent="0.25">
      <c r="A74" t="s">
        <v>44</v>
      </c>
      <c r="B74">
        <v>4</v>
      </c>
      <c r="C74" t="s">
        <v>20</v>
      </c>
      <c r="D74">
        <v>9504</v>
      </c>
      <c r="E74">
        <v>9517</v>
      </c>
      <c r="F74">
        <v>9504</v>
      </c>
      <c r="G74">
        <f t="shared" si="17"/>
        <v>-13</v>
      </c>
      <c r="H74" s="18">
        <f t="shared" si="18"/>
        <v>0</v>
      </c>
      <c r="I74" s="18">
        <f t="shared" si="19"/>
        <v>0</v>
      </c>
      <c r="J74" s="18">
        <f t="shared" si="20"/>
        <v>-1.3659766733213896E-3</v>
      </c>
      <c r="K74" s="18" t="str">
        <f t="shared" si="21"/>
        <v>GM2</v>
      </c>
      <c r="L74" t="str">
        <f t="shared" si="22"/>
        <v>JANUARY-4-GM2</v>
      </c>
      <c r="M74">
        <f t="shared" si="13"/>
        <v>0.1179952108944553</v>
      </c>
      <c r="N74">
        <f t="shared" si="14"/>
        <v>-0.12896181080747948</v>
      </c>
      <c r="O74">
        <f t="shared" si="15"/>
        <v>866754</v>
      </c>
      <c r="P74">
        <f t="shared" si="16"/>
        <v>879535</v>
      </c>
      <c r="Q74">
        <f t="shared" si="23"/>
        <v>871282</v>
      </c>
      <c r="R74" s="38">
        <f t="shared" si="24"/>
        <v>5.224088957189732E-3</v>
      </c>
      <c r="S74" s="38">
        <f t="shared" si="25"/>
        <v>-9.3833673475188784E-3</v>
      </c>
    </row>
    <row r="75" spans="1:19" x14ac:dyDescent="0.25">
      <c r="A75" t="s">
        <v>44</v>
      </c>
      <c r="B75">
        <v>4</v>
      </c>
      <c r="C75" t="s">
        <v>20</v>
      </c>
      <c r="D75">
        <v>1080</v>
      </c>
      <c r="E75">
        <v>1080</v>
      </c>
      <c r="F75">
        <v>1080</v>
      </c>
      <c r="G75">
        <f t="shared" si="17"/>
        <v>0</v>
      </c>
      <c r="H75" s="18">
        <f t="shared" si="18"/>
        <v>0</v>
      </c>
      <c r="I75" s="18">
        <f t="shared" si="19"/>
        <v>0</v>
      </c>
      <c r="J75" s="18">
        <f t="shared" si="20"/>
        <v>0</v>
      </c>
      <c r="K75" s="18" t="str">
        <f t="shared" si="21"/>
        <v>GM2</v>
      </c>
      <c r="L75" t="str">
        <f t="shared" si="22"/>
        <v>JANUARY-4-GM2</v>
      </c>
      <c r="M75">
        <f t="shared" si="13"/>
        <v>0.1179952108944553</v>
      </c>
      <c r="N75">
        <f t="shared" si="14"/>
        <v>-0.12896181080747948</v>
      </c>
      <c r="O75">
        <f t="shared" si="15"/>
        <v>866754</v>
      </c>
      <c r="P75">
        <f t="shared" si="16"/>
        <v>879535</v>
      </c>
      <c r="Q75">
        <f t="shared" si="23"/>
        <v>871282</v>
      </c>
      <c r="R75" s="38">
        <f t="shared" si="24"/>
        <v>5.224088957189732E-3</v>
      </c>
      <c r="S75" s="38">
        <f t="shared" si="25"/>
        <v>-9.3833673475188784E-3</v>
      </c>
    </row>
    <row r="76" spans="1:19" x14ac:dyDescent="0.25">
      <c r="A76" t="s">
        <v>44</v>
      </c>
      <c r="B76">
        <v>4</v>
      </c>
      <c r="C76" t="s">
        <v>20</v>
      </c>
      <c r="D76">
        <v>6372</v>
      </c>
      <c r="E76">
        <v>6394</v>
      </c>
      <c r="F76">
        <v>6372</v>
      </c>
      <c r="G76">
        <f t="shared" si="17"/>
        <v>-22</v>
      </c>
      <c r="H76" s="18">
        <f t="shared" si="18"/>
        <v>0</v>
      </c>
      <c r="I76" s="18">
        <f t="shared" si="19"/>
        <v>0</v>
      </c>
      <c r="J76" s="18">
        <f t="shared" si="20"/>
        <v>-3.4407256803252739E-3</v>
      </c>
      <c r="K76" s="18" t="str">
        <f t="shared" si="21"/>
        <v>GM2</v>
      </c>
      <c r="L76" t="str">
        <f t="shared" si="22"/>
        <v>JANUARY-4-GM2</v>
      </c>
      <c r="M76">
        <f t="shared" si="13"/>
        <v>0.1179952108944553</v>
      </c>
      <c r="N76">
        <f t="shared" si="14"/>
        <v>-0.12896181080747948</v>
      </c>
      <c r="O76">
        <f t="shared" si="15"/>
        <v>866754</v>
      </c>
      <c r="P76">
        <f t="shared" si="16"/>
        <v>879535</v>
      </c>
      <c r="Q76">
        <f t="shared" si="23"/>
        <v>871282</v>
      </c>
      <c r="R76" s="38">
        <f t="shared" si="24"/>
        <v>5.224088957189732E-3</v>
      </c>
      <c r="S76" s="38">
        <f t="shared" si="25"/>
        <v>-9.3833673475188784E-3</v>
      </c>
    </row>
    <row r="77" spans="1:19" x14ac:dyDescent="0.25">
      <c r="A77" t="s">
        <v>44</v>
      </c>
      <c r="B77">
        <v>4</v>
      </c>
      <c r="C77" t="s">
        <v>20</v>
      </c>
      <c r="D77">
        <v>1080</v>
      </c>
      <c r="E77">
        <v>1080</v>
      </c>
      <c r="F77">
        <v>1080</v>
      </c>
      <c r="G77">
        <f t="shared" si="17"/>
        <v>0</v>
      </c>
      <c r="H77" s="18">
        <f t="shared" si="18"/>
        <v>0</v>
      </c>
      <c r="I77" s="18">
        <f t="shared" si="19"/>
        <v>0</v>
      </c>
      <c r="J77" s="18">
        <f t="shared" si="20"/>
        <v>0</v>
      </c>
      <c r="K77" s="18" t="str">
        <f t="shared" si="21"/>
        <v>GM2</v>
      </c>
      <c r="L77" t="str">
        <f t="shared" si="22"/>
        <v>JANUARY-4-GM2</v>
      </c>
      <c r="M77">
        <f t="shared" si="13"/>
        <v>0.1179952108944553</v>
      </c>
      <c r="N77">
        <f t="shared" si="14"/>
        <v>-0.12896181080747948</v>
      </c>
      <c r="O77">
        <f t="shared" si="15"/>
        <v>866754</v>
      </c>
      <c r="P77">
        <f t="shared" si="16"/>
        <v>879535</v>
      </c>
      <c r="Q77">
        <f t="shared" si="23"/>
        <v>871282</v>
      </c>
      <c r="R77" s="38">
        <f t="shared" si="24"/>
        <v>5.224088957189732E-3</v>
      </c>
      <c r="S77" s="38">
        <f t="shared" si="25"/>
        <v>-9.3833673475188784E-3</v>
      </c>
    </row>
    <row r="78" spans="1:19" x14ac:dyDescent="0.25">
      <c r="A78" t="s">
        <v>44</v>
      </c>
      <c r="B78">
        <v>4</v>
      </c>
      <c r="C78" t="s">
        <v>20</v>
      </c>
      <c r="D78">
        <v>4320</v>
      </c>
      <c r="E78">
        <v>4341</v>
      </c>
      <c r="F78">
        <v>4320</v>
      </c>
      <c r="G78">
        <f t="shared" si="17"/>
        <v>-21</v>
      </c>
      <c r="H78" s="18">
        <f t="shared" si="18"/>
        <v>0</v>
      </c>
      <c r="I78" s="18">
        <f t="shared" si="19"/>
        <v>0</v>
      </c>
      <c r="J78" s="18">
        <f t="shared" si="20"/>
        <v>-4.8375950241880128E-3</v>
      </c>
      <c r="K78" s="18" t="str">
        <f t="shared" si="21"/>
        <v>GM2</v>
      </c>
      <c r="L78" t="str">
        <f t="shared" si="22"/>
        <v>JANUARY-4-GM2</v>
      </c>
      <c r="M78">
        <f t="shared" si="13"/>
        <v>0.1179952108944553</v>
      </c>
      <c r="N78">
        <f t="shared" si="14"/>
        <v>-0.12896181080747948</v>
      </c>
      <c r="O78">
        <f t="shared" si="15"/>
        <v>866754</v>
      </c>
      <c r="P78">
        <f t="shared" si="16"/>
        <v>879535</v>
      </c>
      <c r="Q78">
        <f t="shared" si="23"/>
        <v>871282</v>
      </c>
      <c r="R78" s="38">
        <f t="shared" si="24"/>
        <v>5.224088957189732E-3</v>
      </c>
      <c r="S78" s="38">
        <f t="shared" si="25"/>
        <v>-9.3833673475188784E-3</v>
      </c>
    </row>
    <row r="79" spans="1:19" x14ac:dyDescent="0.25">
      <c r="A79" t="s">
        <v>44</v>
      </c>
      <c r="B79">
        <v>4</v>
      </c>
      <c r="C79" t="s">
        <v>19</v>
      </c>
      <c r="D79">
        <v>2160</v>
      </c>
      <c r="E79">
        <v>2226</v>
      </c>
      <c r="F79">
        <v>2223</v>
      </c>
      <c r="G79">
        <f t="shared" si="17"/>
        <v>-3</v>
      </c>
      <c r="H79" s="18">
        <f t="shared" si="18"/>
        <v>63</v>
      </c>
      <c r="I79" s="18">
        <f t="shared" si="19"/>
        <v>2.9166666666666563E-2</v>
      </c>
      <c r="J79" s="18">
        <f t="shared" si="20"/>
        <v>-1.3477088948786742E-3</v>
      </c>
      <c r="K79" s="18" t="str">
        <f t="shared" si="21"/>
        <v>KALIBENDA</v>
      </c>
      <c r="L79" t="str">
        <f t="shared" si="22"/>
        <v>JANUARY-4-KALIBENDA</v>
      </c>
      <c r="M79">
        <f t="shared" si="13"/>
        <v>0.17649768968488622</v>
      </c>
      <c r="N79">
        <f t="shared" si="14"/>
        <v>-2.3863565157408617E-2</v>
      </c>
      <c r="O79">
        <f t="shared" si="15"/>
        <v>866754</v>
      </c>
      <c r="P79">
        <f t="shared" si="16"/>
        <v>879535</v>
      </c>
      <c r="Q79">
        <f t="shared" si="23"/>
        <v>871282</v>
      </c>
      <c r="R79" s="38">
        <f t="shared" si="24"/>
        <v>5.224088957189732E-3</v>
      </c>
      <c r="S79" s="38">
        <f t="shared" si="25"/>
        <v>-9.3833673475188784E-3</v>
      </c>
    </row>
    <row r="80" spans="1:19" x14ac:dyDescent="0.25">
      <c r="A80" t="s">
        <v>44</v>
      </c>
      <c r="B80">
        <v>4</v>
      </c>
      <c r="C80" t="s">
        <v>17</v>
      </c>
      <c r="D80">
        <v>9396</v>
      </c>
      <c r="E80">
        <v>9688</v>
      </c>
      <c r="F80">
        <v>9672</v>
      </c>
      <c r="G80">
        <f t="shared" si="17"/>
        <v>-16</v>
      </c>
      <c r="H80" s="18">
        <f t="shared" si="18"/>
        <v>276</v>
      </c>
      <c r="I80" s="18">
        <f t="shared" si="19"/>
        <v>2.9374201787994991E-2</v>
      </c>
      <c r="J80" s="18">
        <f t="shared" si="20"/>
        <v>-1.6515276630884035E-3</v>
      </c>
      <c r="K80" s="18" t="str">
        <f t="shared" si="21"/>
        <v>MAJA1</v>
      </c>
      <c r="L80" t="str">
        <f t="shared" si="22"/>
        <v>JANUARY-4-MAJA1</v>
      </c>
      <c r="M80">
        <f t="shared" si="13"/>
        <v>2.1179757343550598E-2</v>
      </c>
      <c r="N80">
        <f t="shared" si="14"/>
        <v>-0.12498091425365476</v>
      </c>
      <c r="O80">
        <f t="shared" si="15"/>
        <v>866754</v>
      </c>
      <c r="P80">
        <f t="shared" si="16"/>
        <v>879535</v>
      </c>
      <c r="Q80">
        <f t="shared" si="23"/>
        <v>871282</v>
      </c>
      <c r="R80" s="38">
        <f t="shared" si="24"/>
        <v>5.224088957189732E-3</v>
      </c>
      <c r="S80" s="38">
        <f t="shared" si="25"/>
        <v>-9.3833673475188784E-3</v>
      </c>
    </row>
    <row r="81" spans="1:19" x14ac:dyDescent="0.25">
      <c r="A81" t="s">
        <v>44</v>
      </c>
      <c r="B81">
        <v>4</v>
      </c>
      <c r="C81" t="s">
        <v>20</v>
      </c>
      <c r="D81">
        <v>1440</v>
      </c>
      <c r="E81">
        <v>1490</v>
      </c>
      <c r="F81">
        <v>1472</v>
      </c>
      <c r="G81">
        <f t="shared" si="17"/>
        <v>-18</v>
      </c>
      <c r="H81" s="18">
        <f t="shared" si="18"/>
        <v>32</v>
      </c>
      <c r="I81" s="18">
        <f t="shared" si="19"/>
        <v>2.2222222222222143E-2</v>
      </c>
      <c r="J81" s="18">
        <f t="shared" si="20"/>
        <v>-1.2080536912751683E-2</v>
      </c>
      <c r="K81" s="18" t="str">
        <f t="shared" si="21"/>
        <v>GM2</v>
      </c>
      <c r="L81" t="str">
        <f t="shared" si="22"/>
        <v>JANUARY-4-GM2</v>
      </c>
      <c r="M81">
        <f t="shared" si="13"/>
        <v>0.1179952108944553</v>
      </c>
      <c r="N81">
        <f t="shared" si="14"/>
        <v>-0.12896181080747948</v>
      </c>
      <c r="O81">
        <f t="shared" si="15"/>
        <v>866754</v>
      </c>
      <c r="P81">
        <f t="shared" si="16"/>
        <v>879535</v>
      </c>
      <c r="Q81">
        <f t="shared" si="23"/>
        <v>871282</v>
      </c>
      <c r="R81" s="38">
        <f t="shared" si="24"/>
        <v>5.224088957189732E-3</v>
      </c>
      <c r="S81" s="38">
        <f t="shared" si="25"/>
        <v>-9.3833673475188784E-3</v>
      </c>
    </row>
    <row r="82" spans="1:19" x14ac:dyDescent="0.25">
      <c r="A82" t="s">
        <v>44</v>
      </c>
      <c r="B82">
        <v>4</v>
      </c>
      <c r="C82" t="s">
        <v>20</v>
      </c>
      <c r="D82">
        <v>4032</v>
      </c>
      <c r="E82">
        <v>4147</v>
      </c>
      <c r="F82">
        <v>4032</v>
      </c>
      <c r="G82">
        <f t="shared" si="17"/>
        <v>-115</v>
      </c>
      <c r="H82" s="18">
        <f t="shared" si="18"/>
        <v>0</v>
      </c>
      <c r="I82" s="18">
        <f t="shared" si="19"/>
        <v>0</v>
      </c>
      <c r="J82" s="18">
        <f t="shared" si="20"/>
        <v>-2.7730889799855274E-2</v>
      </c>
      <c r="K82" s="18" t="str">
        <f t="shared" si="21"/>
        <v>GM2</v>
      </c>
      <c r="L82" t="str">
        <f t="shared" si="22"/>
        <v>JANUARY-4-GM2</v>
      </c>
      <c r="M82">
        <f t="shared" si="13"/>
        <v>0.1179952108944553</v>
      </c>
      <c r="N82">
        <f t="shared" si="14"/>
        <v>-0.12896181080747948</v>
      </c>
      <c r="O82">
        <f t="shared" si="15"/>
        <v>866754</v>
      </c>
      <c r="P82">
        <f t="shared" si="16"/>
        <v>879535</v>
      </c>
      <c r="Q82">
        <f t="shared" si="23"/>
        <v>871282</v>
      </c>
      <c r="R82" s="38">
        <f t="shared" si="24"/>
        <v>5.224088957189732E-3</v>
      </c>
      <c r="S82" s="38">
        <f t="shared" si="25"/>
        <v>-9.3833673475188784E-3</v>
      </c>
    </row>
    <row r="83" spans="1:19" x14ac:dyDescent="0.25">
      <c r="A83" t="s">
        <v>44</v>
      </c>
      <c r="B83">
        <v>4</v>
      </c>
      <c r="C83" t="s">
        <v>20</v>
      </c>
      <c r="D83">
        <v>10512</v>
      </c>
      <c r="E83">
        <v>10830</v>
      </c>
      <c r="F83">
        <v>10748</v>
      </c>
      <c r="G83">
        <f t="shared" si="17"/>
        <v>-82</v>
      </c>
      <c r="H83" s="18">
        <f t="shared" si="18"/>
        <v>236</v>
      </c>
      <c r="I83" s="18">
        <f t="shared" si="19"/>
        <v>2.2450532724505257E-2</v>
      </c>
      <c r="J83" s="18">
        <f t="shared" si="20"/>
        <v>-7.5715604801477321E-3</v>
      </c>
      <c r="K83" s="18" t="str">
        <f t="shared" si="21"/>
        <v>GM2</v>
      </c>
      <c r="L83" t="str">
        <f t="shared" si="22"/>
        <v>JANUARY-4-GM2</v>
      </c>
      <c r="M83">
        <f t="shared" si="13"/>
        <v>0.1179952108944553</v>
      </c>
      <c r="N83">
        <f t="shared" si="14"/>
        <v>-0.12896181080747948</v>
      </c>
      <c r="O83">
        <f t="shared" si="15"/>
        <v>866754</v>
      </c>
      <c r="P83">
        <f t="shared" si="16"/>
        <v>879535</v>
      </c>
      <c r="Q83">
        <f t="shared" si="23"/>
        <v>871282</v>
      </c>
      <c r="R83" s="38">
        <f t="shared" si="24"/>
        <v>5.224088957189732E-3</v>
      </c>
      <c r="S83" s="38">
        <f t="shared" si="25"/>
        <v>-9.3833673475188784E-3</v>
      </c>
    </row>
    <row r="84" spans="1:19" x14ac:dyDescent="0.25">
      <c r="A84" t="s">
        <v>44</v>
      </c>
      <c r="B84">
        <v>4</v>
      </c>
      <c r="C84" t="s">
        <v>20</v>
      </c>
      <c r="D84">
        <v>3600</v>
      </c>
      <c r="E84">
        <v>3720</v>
      </c>
      <c r="F84">
        <v>3700</v>
      </c>
      <c r="G84">
        <f t="shared" si="17"/>
        <v>-20</v>
      </c>
      <c r="H84" s="18">
        <f t="shared" si="18"/>
        <v>100</v>
      </c>
      <c r="I84" s="18">
        <f t="shared" si="19"/>
        <v>2.7777777777777679E-2</v>
      </c>
      <c r="J84" s="18">
        <f t="shared" si="20"/>
        <v>-5.3763440860215006E-3</v>
      </c>
      <c r="K84" s="18" t="str">
        <f t="shared" si="21"/>
        <v>GM2</v>
      </c>
      <c r="L84" t="str">
        <f t="shared" si="22"/>
        <v>JANUARY-4-GM2</v>
      </c>
      <c r="M84">
        <f t="shared" si="13"/>
        <v>0.1179952108944553</v>
      </c>
      <c r="N84">
        <f t="shared" si="14"/>
        <v>-0.12896181080747948</v>
      </c>
      <c r="O84">
        <f t="shared" si="15"/>
        <v>866754</v>
      </c>
      <c r="P84">
        <f t="shared" si="16"/>
        <v>879535</v>
      </c>
      <c r="Q84">
        <f t="shared" si="23"/>
        <v>871282</v>
      </c>
      <c r="R84" s="38">
        <f t="shared" si="24"/>
        <v>5.224088957189732E-3</v>
      </c>
      <c r="S84" s="38">
        <f t="shared" si="25"/>
        <v>-9.3833673475188784E-3</v>
      </c>
    </row>
    <row r="85" spans="1:19" x14ac:dyDescent="0.25">
      <c r="A85" t="s">
        <v>44</v>
      </c>
      <c r="B85">
        <v>4</v>
      </c>
      <c r="C85" t="s">
        <v>20</v>
      </c>
      <c r="D85">
        <v>10656</v>
      </c>
      <c r="E85">
        <v>10951</v>
      </c>
      <c r="F85">
        <v>10712</v>
      </c>
      <c r="G85">
        <f t="shared" si="17"/>
        <v>-239</v>
      </c>
      <c r="H85" s="18">
        <f t="shared" si="18"/>
        <v>56</v>
      </c>
      <c r="I85" s="18">
        <f t="shared" si="19"/>
        <v>5.2552552552551646E-3</v>
      </c>
      <c r="J85" s="18">
        <f t="shared" si="20"/>
        <v>-2.1824490914071792E-2</v>
      </c>
      <c r="K85" s="18" t="str">
        <f t="shared" si="21"/>
        <v>GM2</v>
      </c>
      <c r="L85" t="str">
        <f t="shared" si="22"/>
        <v>JANUARY-4-GM2</v>
      </c>
      <c r="M85">
        <f t="shared" si="13"/>
        <v>0.1179952108944553</v>
      </c>
      <c r="N85">
        <f t="shared" si="14"/>
        <v>-0.12896181080747948</v>
      </c>
      <c r="O85">
        <f t="shared" si="15"/>
        <v>866754</v>
      </c>
      <c r="P85">
        <f t="shared" si="16"/>
        <v>879535</v>
      </c>
      <c r="Q85">
        <f t="shared" si="23"/>
        <v>871282</v>
      </c>
      <c r="R85" s="38">
        <f t="shared" si="24"/>
        <v>5.224088957189732E-3</v>
      </c>
      <c r="S85" s="38">
        <f t="shared" si="25"/>
        <v>-9.3833673475188784E-3</v>
      </c>
    </row>
    <row r="86" spans="1:19" x14ac:dyDescent="0.25">
      <c r="A86" t="s">
        <v>44</v>
      </c>
      <c r="B86">
        <v>4</v>
      </c>
      <c r="C86" t="s">
        <v>20</v>
      </c>
      <c r="D86">
        <v>11664</v>
      </c>
      <c r="E86">
        <v>11792</v>
      </c>
      <c r="F86">
        <v>11708</v>
      </c>
      <c r="G86">
        <f t="shared" si="17"/>
        <v>-84</v>
      </c>
      <c r="H86" s="18">
        <f t="shared" si="18"/>
        <v>44</v>
      </c>
      <c r="I86" s="18">
        <f t="shared" si="19"/>
        <v>3.7722908093278384E-3</v>
      </c>
      <c r="J86" s="18">
        <f t="shared" si="20"/>
        <v>-7.1234735413839845E-3</v>
      </c>
      <c r="K86" s="18" t="str">
        <f t="shared" si="21"/>
        <v>GM2</v>
      </c>
      <c r="L86" t="str">
        <f t="shared" si="22"/>
        <v>JANUARY-4-GM2</v>
      </c>
      <c r="M86">
        <f t="shared" si="13"/>
        <v>0.1179952108944553</v>
      </c>
      <c r="N86">
        <f t="shared" si="14"/>
        <v>-0.12896181080747948</v>
      </c>
      <c r="O86">
        <f t="shared" si="15"/>
        <v>866754</v>
      </c>
      <c r="P86">
        <f t="shared" si="16"/>
        <v>879535</v>
      </c>
      <c r="Q86">
        <f t="shared" si="23"/>
        <v>871282</v>
      </c>
      <c r="R86" s="38">
        <f t="shared" si="24"/>
        <v>5.224088957189732E-3</v>
      </c>
      <c r="S86" s="38">
        <f t="shared" si="25"/>
        <v>-9.3833673475188784E-3</v>
      </c>
    </row>
    <row r="87" spans="1:19" x14ac:dyDescent="0.25">
      <c r="A87" t="s">
        <v>44</v>
      </c>
      <c r="B87">
        <v>4</v>
      </c>
      <c r="C87" t="s">
        <v>20</v>
      </c>
      <c r="D87">
        <v>4896</v>
      </c>
      <c r="E87">
        <v>5022</v>
      </c>
      <c r="F87">
        <v>4980</v>
      </c>
      <c r="G87">
        <f t="shared" si="17"/>
        <v>-42</v>
      </c>
      <c r="H87" s="18">
        <f t="shared" si="18"/>
        <v>84</v>
      </c>
      <c r="I87" s="18">
        <f t="shared" si="19"/>
        <v>1.7156862745097978E-2</v>
      </c>
      <c r="J87" s="18">
        <f t="shared" si="20"/>
        <v>-8.3632019115890133E-3</v>
      </c>
      <c r="K87" s="18" t="str">
        <f t="shared" si="21"/>
        <v>GM2</v>
      </c>
      <c r="L87" t="str">
        <f t="shared" si="22"/>
        <v>JANUARY-4-GM2</v>
      </c>
      <c r="M87">
        <f t="shared" si="13"/>
        <v>0.1179952108944553</v>
      </c>
      <c r="N87">
        <f t="shared" si="14"/>
        <v>-0.12896181080747948</v>
      </c>
      <c r="O87">
        <f t="shared" si="15"/>
        <v>866754</v>
      </c>
      <c r="P87">
        <f t="shared" si="16"/>
        <v>879535</v>
      </c>
      <c r="Q87">
        <f t="shared" si="23"/>
        <v>871282</v>
      </c>
      <c r="R87" s="38">
        <f t="shared" si="24"/>
        <v>5.224088957189732E-3</v>
      </c>
      <c r="S87" s="38">
        <f t="shared" si="25"/>
        <v>-9.3833673475188784E-3</v>
      </c>
    </row>
    <row r="88" spans="1:19" x14ac:dyDescent="0.25">
      <c r="A88" t="s">
        <v>44</v>
      </c>
      <c r="B88">
        <v>4</v>
      </c>
      <c r="C88" t="s">
        <v>20</v>
      </c>
      <c r="D88">
        <v>3456</v>
      </c>
      <c r="E88">
        <v>3534</v>
      </c>
      <c r="F88">
        <v>3504</v>
      </c>
      <c r="G88">
        <f t="shared" si="17"/>
        <v>-30</v>
      </c>
      <c r="H88" s="18">
        <f t="shared" si="18"/>
        <v>48</v>
      </c>
      <c r="I88" s="18">
        <f t="shared" si="19"/>
        <v>1.388888888888884E-2</v>
      </c>
      <c r="J88" s="18">
        <f t="shared" si="20"/>
        <v>-8.4889643463497144E-3</v>
      </c>
      <c r="K88" s="18" t="str">
        <f t="shared" si="21"/>
        <v>GM2</v>
      </c>
      <c r="L88" t="str">
        <f t="shared" si="22"/>
        <v>JANUARY-4-GM2</v>
      </c>
      <c r="M88">
        <f t="shared" si="13"/>
        <v>0.1179952108944553</v>
      </c>
      <c r="N88">
        <f t="shared" si="14"/>
        <v>-0.12896181080747948</v>
      </c>
      <c r="O88">
        <f t="shared" si="15"/>
        <v>866754</v>
      </c>
      <c r="P88">
        <f t="shared" si="16"/>
        <v>879535</v>
      </c>
      <c r="Q88">
        <f t="shared" si="23"/>
        <v>871282</v>
      </c>
      <c r="R88" s="38">
        <f t="shared" si="24"/>
        <v>5.224088957189732E-3</v>
      </c>
      <c r="S88" s="38">
        <f t="shared" si="25"/>
        <v>-9.3833673475188784E-3</v>
      </c>
    </row>
    <row r="89" spans="1:19" x14ac:dyDescent="0.25">
      <c r="A89" t="s">
        <v>44</v>
      </c>
      <c r="B89">
        <v>4</v>
      </c>
      <c r="C89" t="s">
        <v>20</v>
      </c>
      <c r="D89">
        <v>9504</v>
      </c>
      <c r="E89">
        <v>9718</v>
      </c>
      <c r="F89">
        <v>9556</v>
      </c>
      <c r="G89">
        <f t="shared" si="17"/>
        <v>-162</v>
      </c>
      <c r="H89" s="18">
        <f t="shared" si="18"/>
        <v>52</v>
      </c>
      <c r="I89" s="18">
        <f t="shared" si="19"/>
        <v>5.4713804713804048E-3</v>
      </c>
      <c r="J89" s="18">
        <f t="shared" si="20"/>
        <v>-1.6670096727721795E-2</v>
      </c>
      <c r="K89" s="18" t="str">
        <f t="shared" si="21"/>
        <v>GM2</v>
      </c>
      <c r="L89" t="str">
        <f t="shared" si="22"/>
        <v>JANUARY-4-GM2</v>
      </c>
      <c r="M89">
        <f t="shared" si="13"/>
        <v>0.1179952108944553</v>
      </c>
      <c r="N89">
        <f t="shared" si="14"/>
        <v>-0.12896181080747948</v>
      </c>
      <c r="O89">
        <f t="shared" si="15"/>
        <v>866754</v>
      </c>
      <c r="P89">
        <f t="shared" si="16"/>
        <v>879535</v>
      </c>
      <c r="Q89">
        <f t="shared" si="23"/>
        <v>871282</v>
      </c>
      <c r="R89" s="38">
        <f t="shared" si="24"/>
        <v>5.224088957189732E-3</v>
      </c>
      <c r="S89" s="38">
        <f t="shared" si="25"/>
        <v>-9.3833673475188784E-3</v>
      </c>
    </row>
    <row r="90" spans="1:19" x14ac:dyDescent="0.25">
      <c r="A90" t="s">
        <v>44</v>
      </c>
      <c r="B90">
        <v>4</v>
      </c>
      <c r="C90" t="s">
        <v>17</v>
      </c>
      <c r="D90">
        <v>400</v>
      </c>
      <c r="E90">
        <v>402</v>
      </c>
      <c r="F90">
        <v>400</v>
      </c>
      <c r="G90">
        <f t="shared" si="17"/>
        <v>-2</v>
      </c>
      <c r="H90" s="18">
        <f t="shared" si="18"/>
        <v>0</v>
      </c>
      <c r="I90" s="18">
        <f t="shared" si="19"/>
        <v>0</v>
      </c>
      <c r="J90" s="18">
        <f t="shared" si="20"/>
        <v>-4.9751243781094301E-3</v>
      </c>
      <c r="K90" s="18" t="str">
        <f t="shared" si="21"/>
        <v>MAJA1</v>
      </c>
      <c r="L90" t="str">
        <f t="shared" si="22"/>
        <v>JANUARY-4-MAJA1</v>
      </c>
      <c r="M90">
        <f t="shared" si="13"/>
        <v>2.1179757343550598E-2</v>
      </c>
      <c r="N90">
        <f t="shared" si="14"/>
        <v>-0.12498091425365476</v>
      </c>
      <c r="O90">
        <f t="shared" si="15"/>
        <v>866754</v>
      </c>
      <c r="P90">
        <f t="shared" si="16"/>
        <v>879535</v>
      </c>
      <c r="Q90">
        <f t="shared" si="23"/>
        <v>871282</v>
      </c>
      <c r="R90" s="38">
        <f t="shared" si="24"/>
        <v>5.224088957189732E-3</v>
      </c>
      <c r="S90" s="38">
        <f t="shared" si="25"/>
        <v>-9.3833673475188784E-3</v>
      </c>
    </row>
    <row r="91" spans="1:19" x14ac:dyDescent="0.25">
      <c r="A91" t="s">
        <v>44</v>
      </c>
      <c r="B91">
        <v>4</v>
      </c>
      <c r="C91" t="s">
        <v>17</v>
      </c>
      <c r="D91">
        <v>30</v>
      </c>
      <c r="E91">
        <v>30</v>
      </c>
      <c r="F91">
        <v>30</v>
      </c>
      <c r="G91">
        <f t="shared" si="17"/>
        <v>0</v>
      </c>
      <c r="H91" s="18">
        <f t="shared" si="18"/>
        <v>0</v>
      </c>
      <c r="I91" s="18">
        <f t="shared" si="19"/>
        <v>0</v>
      </c>
      <c r="J91" s="18">
        <f t="shared" si="20"/>
        <v>0</v>
      </c>
      <c r="K91" s="18" t="str">
        <f t="shared" si="21"/>
        <v>MAJA1</v>
      </c>
      <c r="L91" t="str">
        <f t="shared" si="22"/>
        <v>JANUARY-4-MAJA1</v>
      </c>
      <c r="M91">
        <f t="shared" si="13"/>
        <v>2.1179757343550598E-2</v>
      </c>
      <c r="N91">
        <f t="shared" si="14"/>
        <v>-0.12498091425365476</v>
      </c>
      <c r="O91">
        <f t="shared" si="15"/>
        <v>866754</v>
      </c>
      <c r="P91">
        <f t="shared" si="16"/>
        <v>879535</v>
      </c>
      <c r="Q91">
        <f t="shared" si="23"/>
        <v>871282</v>
      </c>
      <c r="R91" s="38">
        <f t="shared" si="24"/>
        <v>5.224088957189732E-3</v>
      </c>
      <c r="S91" s="38">
        <f t="shared" si="25"/>
        <v>-9.3833673475188784E-3</v>
      </c>
    </row>
    <row r="92" spans="1:19" x14ac:dyDescent="0.25">
      <c r="A92" t="s">
        <v>44</v>
      </c>
      <c r="B92">
        <v>4</v>
      </c>
      <c r="C92" t="s">
        <v>17</v>
      </c>
      <c r="D92">
        <v>190</v>
      </c>
      <c r="E92">
        <v>191</v>
      </c>
      <c r="F92">
        <v>190</v>
      </c>
      <c r="G92">
        <f t="shared" si="17"/>
        <v>-1</v>
      </c>
      <c r="H92" s="18">
        <f t="shared" si="18"/>
        <v>0</v>
      </c>
      <c r="I92" s="18">
        <f t="shared" si="19"/>
        <v>0</v>
      </c>
      <c r="J92" s="18">
        <f t="shared" si="20"/>
        <v>-5.2356020942407877E-3</v>
      </c>
      <c r="K92" s="18" t="str">
        <f t="shared" si="21"/>
        <v>MAJA1</v>
      </c>
      <c r="L92" t="str">
        <f t="shared" si="22"/>
        <v>JANUARY-4-MAJA1</v>
      </c>
      <c r="M92">
        <f t="shared" si="13"/>
        <v>2.1179757343550598E-2</v>
      </c>
      <c r="N92">
        <f t="shared" si="14"/>
        <v>-0.12498091425365476</v>
      </c>
      <c r="O92">
        <f t="shared" si="15"/>
        <v>866754</v>
      </c>
      <c r="P92">
        <f t="shared" si="16"/>
        <v>879535</v>
      </c>
      <c r="Q92">
        <f t="shared" si="23"/>
        <v>871282</v>
      </c>
      <c r="R92" s="38">
        <f t="shared" si="24"/>
        <v>5.224088957189732E-3</v>
      </c>
      <c r="S92" s="38">
        <f t="shared" si="25"/>
        <v>-9.3833673475188784E-3</v>
      </c>
    </row>
    <row r="93" spans="1:19" x14ac:dyDescent="0.25">
      <c r="A93" t="s">
        <v>44</v>
      </c>
      <c r="B93">
        <v>4</v>
      </c>
      <c r="C93" t="s">
        <v>17</v>
      </c>
      <c r="D93">
        <v>310</v>
      </c>
      <c r="E93">
        <v>310</v>
      </c>
      <c r="F93">
        <v>310</v>
      </c>
      <c r="G93">
        <f t="shared" si="17"/>
        <v>0</v>
      </c>
      <c r="H93" s="18">
        <f t="shared" si="18"/>
        <v>0</v>
      </c>
      <c r="I93" s="18">
        <f t="shared" si="19"/>
        <v>0</v>
      </c>
      <c r="J93" s="18">
        <f t="shared" si="20"/>
        <v>0</v>
      </c>
      <c r="K93" s="18" t="str">
        <f t="shared" si="21"/>
        <v>MAJA1</v>
      </c>
      <c r="L93" t="str">
        <f t="shared" si="22"/>
        <v>JANUARY-4-MAJA1</v>
      </c>
      <c r="M93">
        <f t="shared" si="13"/>
        <v>2.1179757343550598E-2</v>
      </c>
      <c r="N93">
        <f t="shared" si="14"/>
        <v>-0.12498091425365476</v>
      </c>
      <c r="O93">
        <f t="shared" si="15"/>
        <v>866754</v>
      </c>
      <c r="P93">
        <f t="shared" si="16"/>
        <v>879535</v>
      </c>
      <c r="Q93">
        <f t="shared" si="23"/>
        <v>871282</v>
      </c>
      <c r="R93" s="38">
        <f t="shared" si="24"/>
        <v>5.224088957189732E-3</v>
      </c>
      <c r="S93" s="38">
        <f t="shared" si="25"/>
        <v>-9.3833673475188784E-3</v>
      </c>
    </row>
    <row r="94" spans="1:19" x14ac:dyDescent="0.25">
      <c r="A94" t="s">
        <v>44</v>
      </c>
      <c r="B94">
        <v>4</v>
      </c>
      <c r="C94" t="s">
        <v>17</v>
      </c>
      <c r="D94">
        <v>70</v>
      </c>
      <c r="E94">
        <v>70</v>
      </c>
      <c r="F94">
        <v>70</v>
      </c>
      <c r="G94">
        <f t="shared" si="17"/>
        <v>0</v>
      </c>
      <c r="H94" s="18">
        <f t="shared" si="18"/>
        <v>0</v>
      </c>
      <c r="I94" s="18">
        <f t="shared" si="19"/>
        <v>0</v>
      </c>
      <c r="J94" s="18">
        <f t="shared" si="20"/>
        <v>0</v>
      </c>
      <c r="K94" s="18" t="str">
        <f t="shared" si="21"/>
        <v>MAJA1</v>
      </c>
      <c r="L94" t="str">
        <f t="shared" si="22"/>
        <v>JANUARY-4-MAJA1</v>
      </c>
      <c r="M94">
        <f t="shared" si="13"/>
        <v>2.1179757343550598E-2</v>
      </c>
      <c r="N94">
        <f t="shared" si="14"/>
        <v>-0.12498091425365476</v>
      </c>
      <c r="O94">
        <f t="shared" si="15"/>
        <v>866754</v>
      </c>
      <c r="P94">
        <f t="shared" si="16"/>
        <v>879535</v>
      </c>
      <c r="Q94">
        <f t="shared" si="23"/>
        <v>871282</v>
      </c>
      <c r="R94" s="38">
        <f t="shared" si="24"/>
        <v>5.224088957189732E-3</v>
      </c>
      <c r="S94" s="38">
        <f t="shared" si="25"/>
        <v>-9.3833673475188784E-3</v>
      </c>
    </row>
    <row r="95" spans="1:19" x14ac:dyDescent="0.25">
      <c r="A95" t="s">
        <v>44</v>
      </c>
      <c r="B95">
        <v>4</v>
      </c>
      <c r="C95" t="s">
        <v>23</v>
      </c>
      <c r="D95">
        <v>3770</v>
      </c>
      <c r="E95">
        <v>3783</v>
      </c>
      <c r="F95">
        <v>3770</v>
      </c>
      <c r="G95">
        <f t="shared" si="17"/>
        <v>-13</v>
      </c>
      <c r="H95" s="18">
        <f t="shared" si="18"/>
        <v>0</v>
      </c>
      <c r="I95" s="18">
        <f t="shared" si="19"/>
        <v>0</v>
      </c>
      <c r="J95" s="18">
        <f t="shared" si="20"/>
        <v>-3.4364261168384758E-3</v>
      </c>
      <c r="K95" s="18" t="str">
        <f t="shared" si="21"/>
        <v>CBA</v>
      </c>
      <c r="L95" t="str">
        <f t="shared" si="22"/>
        <v>JANUARY-4-CBA</v>
      </c>
      <c r="M95">
        <f t="shared" si="13"/>
        <v>0</v>
      </c>
      <c r="N95">
        <f t="shared" si="14"/>
        <v>-2.2682987991527681E-2</v>
      </c>
      <c r="O95">
        <f t="shared" si="15"/>
        <v>866754</v>
      </c>
      <c r="P95">
        <f t="shared" si="16"/>
        <v>879535</v>
      </c>
      <c r="Q95">
        <f t="shared" si="23"/>
        <v>871282</v>
      </c>
      <c r="R95" s="38">
        <f t="shared" si="24"/>
        <v>5.224088957189732E-3</v>
      </c>
      <c r="S95" s="38">
        <f t="shared" si="25"/>
        <v>-9.3833673475188784E-3</v>
      </c>
    </row>
    <row r="96" spans="1:19" x14ac:dyDescent="0.25">
      <c r="A96" t="s">
        <v>44</v>
      </c>
      <c r="B96">
        <v>4</v>
      </c>
      <c r="C96" t="s">
        <v>16</v>
      </c>
      <c r="D96">
        <v>980</v>
      </c>
      <c r="E96">
        <v>986</v>
      </c>
      <c r="F96">
        <v>980</v>
      </c>
      <c r="G96">
        <f t="shared" si="17"/>
        <v>-6</v>
      </c>
      <c r="H96" s="18">
        <f t="shared" si="18"/>
        <v>0</v>
      </c>
      <c r="I96" s="18">
        <f t="shared" si="19"/>
        <v>0</v>
      </c>
      <c r="J96" s="18">
        <f t="shared" si="20"/>
        <v>-6.0851926977687487E-3</v>
      </c>
      <c r="K96" s="18" t="str">
        <f t="shared" si="21"/>
        <v>CNJ2</v>
      </c>
      <c r="L96" t="str">
        <f t="shared" si="22"/>
        <v>JANUARY-4-CNJ2</v>
      </c>
      <c r="M96">
        <f t="shared" si="13"/>
        <v>0</v>
      </c>
      <c r="N96">
        <f t="shared" si="14"/>
        <v>-0.10585444098303276</v>
      </c>
      <c r="O96">
        <f t="shared" si="15"/>
        <v>866754</v>
      </c>
      <c r="P96">
        <f t="shared" si="16"/>
        <v>879535</v>
      </c>
      <c r="Q96">
        <f t="shared" si="23"/>
        <v>871282</v>
      </c>
      <c r="R96" s="38">
        <f t="shared" si="24"/>
        <v>5.224088957189732E-3</v>
      </c>
      <c r="S96" s="38">
        <f t="shared" si="25"/>
        <v>-9.3833673475188784E-3</v>
      </c>
    </row>
    <row r="97" spans="1:19" x14ac:dyDescent="0.25">
      <c r="A97" t="s">
        <v>44</v>
      </c>
      <c r="B97">
        <v>4</v>
      </c>
      <c r="C97" t="s">
        <v>16</v>
      </c>
      <c r="D97">
        <v>2250</v>
      </c>
      <c r="E97">
        <v>2264</v>
      </c>
      <c r="F97">
        <v>2250</v>
      </c>
      <c r="G97">
        <f t="shared" si="17"/>
        <v>-14</v>
      </c>
      <c r="H97" s="18">
        <f t="shared" si="18"/>
        <v>0</v>
      </c>
      <c r="I97" s="18">
        <f t="shared" si="19"/>
        <v>0</v>
      </c>
      <c r="J97" s="18">
        <f t="shared" si="20"/>
        <v>-6.1837455830389132E-3</v>
      </c>
      <c r="K97" s="18" t="str">
        <f t="shared" si="21"/>
        <v>CNJ2</v>
      </c>
      <c r="L97" t="str">
        <f t="shared" si="22"/>
        <v>JANUARY-4-CNJ2</v>
      </c>
      <c r="M97">
        <f t="shared" si="13"/>
        <v>0</v>
      </c>
      <c r="N97">
        <f t="shared" si="14"/>
        <v>-0.10585444098303276</v>
      </c>
      <c r="O97">
        <f t="shared" si="15"/>
        <v>866754</v>
      </c>
      <c r="P97">
        <f t="shared" si="16"/>
        <v>879535</v>
      </c>
      <c r="Q97">
        <f t="shared" si="23"/>
        <v>871282</v>
      </c>
      <c r="R97" s="38">
        <f t="shared" si="24"/>
        <v>5.224088957189732E-3</v>
      </c>
      <c r="S97" s="38">
        <f t="shared" si="25"/>
        <v>-9.3833673475188784E-3</v>
      </c>
    </row>
    <row r="98" spans="1:19" x14ac:dyDescent="0.25">
      <c r="A98" t="s">
        <v>44</v>
      </c>
      <c r="B98">
        <v>4</v>
      </c>
      <c r="C98" t="s">
        <v>16</v>
      </c>
      <c r="D98">
        <v>750</v>
      </c>
      <c r="E98">
        <v>750</v>
      </c>
      <c r="F98">
        <v>750</v>
      </c>
      <c r="G98">
        <f t="shared" si="17"/>
        <v>0</v>
      </c>
      <c r="H98" s="18">
        <f t="shared" si="18"/>
        <v>0</v>
      </c>
      <c r="I98" s="18">
        <f t="shared" si="19"/>
        <v>0</v>
      </c>
      <c r="J98" s="18">
        <f t="shared" si="20"/>
        <v>0</v>
      </c>
      <c r="K98" s="18" t="str">
        <f t="shared" si="21"/>
        <v>CNJ2</v>
      </c>
      <c r="L98" t="str">
        <f t="shared" si="22"/>
        <v>JANUARY-4-CNJ2</v>
      </c>
      <c r="M98">
        <f t="shared" si="13"/>
        <v>0</v>
      </c>
      <c r="N98">
        <f t="shared" si="14"/>
        <v>-0.10585444098303276</v>
      </c>
      <c r="O98">
        <f t="shared" si="15"/>
        <v>866754</v>
      </c>
      <c r="P98">
        <f t="shared" si="16"/>
        <v>879535</v>
      </c>
      <c r="Q98">
        <f t="shared" si="23"/>
        <v>871282</v>
      </c>
      <c r="R98" s="38">
        <f t="shared" si="24"/>
        <v>5.224088957189732E-3</v>
      </c>
      <c r="S98" s="38">
        <f t="shared" si="25"/>
        <v>-9.3833673475188784E-3</v>
      </c>
    </row>
    <row r="99" spans="1:19" x14ac:dyDescent="0.25">
      <c r="A99" t="s">
        <v>44</v>
      </c>
      <c r="B99">
        <v>4</v>
      </c>
      <c r="C99" t="s">
        <v>16</v>
      </c>
      <c r="D99">
        <v>520</v>
      </c>
      <c r="E99">
        <v>520</v>
      </c>
      <c r="F99">
        <v>520</v>
      </c>
      <c r="G99">
        <f t="shared" si="17"/>
        <v>0</v>
      </c>
      <c r="H99" s="18">
        <f t="shared" si="18"/>
        <v>0</v>
      </c>
      <c r="I99" s="18">
        <f t="shared" si="19"/>
        <v>0</v>
      </c>
      <c r="J99" s="18">
        <f t="shared" si="20"/>
        <v>0</v>
      </c>
      <c r="K99" s="18" t="str">
        <f t="shared" si="21"/>
        <v>CNJ2</v>
      </c>
      <c r="L99" t="str">
        <f t="shared" si="22"/>
        <v>JANUARY-4-CNJ2</v>
      </c>
      <c r="M99">
        <f t="shared" si="13"/>
        <v>0</v>
      </c>
      <c r="N99">
        <f t="shared" si="14"/>
        <v>-0.10585444098303276</v>
      </c>
      <c r="O99">
        <f t="shared" si="15"/>
        <v>866754</v>
      </c>
      <c r="P99">
        <f t="shared" si="16"/>
        <v>879535</v>
      </c>
      <c r="Q99">
        <f t="shared" si="23"/>
        <v>871282</v>
      </c>
      <c r="R99" s="38">
        <f t="shared" si="24"/>
        <v>5.224088957189732E-3</v>
      </c>
      <c r="S99" s="38">
        <f t="shared" si="25"/>
        <v>-9.3833673475188784E-3</v>
      </c>
    </row>
    <row r="100" spans="1:19" x14ac:dyDescent="0.25">
      <c r="A100" t="s">
        <v>44</v>
      </c>
      <c r="B100">
        <v>4</v>
      </c>
      <c r="C100" t="s">
        <v>16</v>
      </c>
      <c r="D100">
        <v>2100</v>
      </c>
      <c r="E100">
        <v>2121</v>
      </c>
      <c r="F100">
        <v>2100</v>
      </c>
      <c r="G100">
        <f t="shared" si="17"/>
        <v>-21</v>
      </c>
      <c r="H100" s="18">
        <f t="shared" si="18"/>
        <v>0</v>
      </c>
      <c r="I100" s="18">
        <f t="shared" si="19"/>
        <v>0</v>
      </c>
      <c r="J100" s="18">
        <f t="shared" si="20"/>
        <v>-9.9009900990099098E-3</v>
      </c>
      <c r="K100" s="18" t="str">
        <f t="shared" si="21"/>
        <v>CNJ2</v>
      </c>
      <c r="L100" t="str">
        <f t="shared" si="22"/>
        <v>JANUARY-4-CNJ2</v>
      </c>
      <c r="M100">
        <f t="shared" si="13"/>
        <v>0</v>
      </c>
      <c r="N100">
        <f t="shared" si="14"/>
        <v>-0.10585444098303276</v>
      </c>
      <c r="O100">
        <f t="shared" si="15"/>
        <v>866754</v>
      </c>
      <c r="P100">
        <f t="shared" si="16"/>
        <v>879535</v>
      </c>
      <c r="Q100">
        <f t="shared" si="23"/>
        <v>871282</v>
      </c>
      <c r="R100" s="38">
        <f t="shared" si="24"/>
        <v>5.224088957189732E-3</v>
      </c>
      <c r="S100" s="38">
        <f t="shared" si="25"/>
        <v>-9.3833673475188784E-3</v>
      </c>
    </row>
    <row r="101" spans="1:19" x14ac:dyDescent="0.25">
      <c r="A101" t="s">
        <v>44</v>
      </c>
      <c r="B101">
        <v>4</v>
      </c>
      <c r="C101" t="s">
        <v>16</v>
      </c>
      <c r="D101">
        <v>2000</v>
      </c>
      <c r="E101">
        <v>2020</v>
      </c>
      <c r="F101">
        <v>2000</v>
      </c>
      <c r="G101">
        <f t="shared" si="17"/>
        <v>-20</v>
      </c>
      <c r="H101" s="18">
        <f t="shared" si="18"/>
        <v>0</v>
      </c>
      <c r="I101" s="18">
        <f t="shared" si="19"/>
        <v>0</v>
      </c>
      <c r="J101" s="18">
        <f t="shared" si="20"/>
        <v>-9.9009900990099098E-3</v>
      </c>
      <c r="K101" s="18" t="str">
        <f t="shared" si="21"/>
        <v>CNJ2</v>
      </c>
      <c r="L101" t="str">
        <f t="shared" si="22"/>
        <v>JANUARY-4-CNJ2</v>
      </c>
      <c r="M101">
        <f t="shared" si="13"/>
        <v>0</v>
      </c>
      <c r="N101">
        <f t="shared" si="14"/>
        <v>-0.10585444098303276</v>
      </c>
      <c r="O101">
        <f t="shared" si="15"/>
        <v>866754</v>
      </c>
      <c r="P101">
        <f t="shared" si="16"/>
        <v>879535</v>
      </c>
      <c r="Q101">
        <f t="shared" si="23"/>
        <v>871282</v>
      </c>
      <c r="R101" s="38">
        <f t="shared" si="24"/>
        <v>5.224088957189732E-3</v>
      </c>
      <c r="S101" s="38">
        <f t="shared" si="25"/>
        <v>-9.3833673475188784E-3</v>
      </c>
    </row>
    <row r="102" spans="1:19" x14ac:dyDescent="0.25">
      <c r="A102" t="s">
        <v>44</v>
      </c>
      <c r="B102">
        <v>4</v>
      </c>
      <c r="C102" t="s">
        <v>23</v>
      </c>
      <c r="D102">
        <v>1440</v>
      </c>
      <c r="E102">
        <v>1449</v>
      </c>
      <c r="F102">
        <v>1440</v>
      </c>
      <c r="G102">
        <f t="shared" si="17"/>
        <v>-9</v>
      </c>
      <c r="H102" s="18">
        <f t="shared" si="18"/>
        <v>0</v>
      </c>
      <c r="I102" s="18">
        <f t="shared" si="19"/>
        <v>0</v>
      </c>
      <c r="J102" s="18">
        <f t="shared" si="20"/>
        <v>-6.2111801242236142E-3</v>
      </c>
      <c r="K102" s="18" t="str">
        <f t="shared" si="21"/>
        <v>CBA</v>
      </c>
      <c r="L102" t="str">
        <f t="shared" si="22"/>
        <v>JANUARY-4-CBA</v>
      </c>
      <c r="M102">
        <f t="shared" si="13"/>
        <v>0</v>
      </c>
      <c r="N102">
        <f t="shared" si="14"/>
        <v>-2.2682987991527681E-2</v>
      </c>
      <c r="O102">
        <f t="shared" si="15"/>
        <v>866754</v>
      </c>
      <c r="P102">
        <f t="shared" si="16"/>
        <v>879535</v>
      </c>
      <c r="Q102">
        <f t="shared" si="23"/>
        <v>871282</v>
      </c>
      <c r="R102" s="38">
        <f t="shared" si="24"/>
        <v>5.224088957189732E-3</v>
      </c>
      <c r="S102" s="38">
        <f t="shared" si="25"/>
        <v>-9.3833673475188784E-3</v>
      </c>
    </row>
    <row r="103" spans="1:19" x14ac:dyDescent="0.25">
      <c r="A103" t="s">
        <v>44</v>
      </c>
      <c r="B103">
        <v>4</v>
      </c>
      <c r="C103" t="s">
        <v>16</v>
      </c>
      <c r="D103">
        <v>3750</v>
      </c>
      <c r="E103">
        <v>3768</v>
      </c>
      <c r="F103">
        <v>3750</v>
      </c>
      <c r="G103">
        <f t="shared" si="17"/>
        <v>-18</v>
      </c>
      <c r="H103" s="18">
        <f t="shared" si="18"/>
        <v>0</v>
      </c>
      <c r="I103" s="18">
        <f t="shared" si="19"/>
        <v>0</v>
      </c>
      <c r="J103" s="18">
        <f t="shared" si="20"/>
        <v>-4.777070063694322E-3</v>
      </c>
      <c r="K103" s="18" t="str">
        <f t="shared" si="21"/>
        <v>CNJ2</v>
      </c>
      <c r="L103" t="str">
        <f t="shared" si="22"/>
        <v>JANUARY-4-CNJ2</v>
      </c>
      <c r="M103">
        <f t="shared" si="13"/>
        <v>0</v>
      </c>
      <c r="N103">
        <f t="shared" si="14"/>
        <v>-0.10585444098303276</v>
      </c>
      <c r="O103">
        <f t="shared" si="15"/>
        <v>866754</v>
      </c>
      <c r="P103">
        <f t="shared" si="16"/>
        <v>879535</v>
      </c>
      <c r="Q103">
        <f t="shared" si="23"/>
        <v>871282</v>
      </c>
      <c r="R103" s="38">
        <f t="shared" si="24"/>
        <v>5.224088957189732E-3</v>
      </c>
      <c r="S103" s="38">
        <f t="shared" si="25"/>
        <v>-9.3833673475188784E-3</v>
      </c>
    </row>
    <row r="104" spans="1:19" x14ac:dyDescent="0.25">
      <c r="A104" t="s">
        <v>44</v>
      </c>
      <c r="B104">
        <v>4</v>
      </c>
      <c r="C104" t="s">
        <v>16</v>
      </c>
      <c r="D104">
        <v>403</v>
      </c>
      <c r="E104">
        <v>405</v>
      </c>
      <c r="F104">
        <v>403</v>
      </c>
      <c r="G104">
        <f t="shared" si="17"/>
        <v>-2</v>
      </c>
      <c r="H104" s="18">
        <f t="shared" si="18"/>
        <v>0</v>
      </c>
      <c r="I104" s="18">
        <f t="shared" si="19"/>
        <v>0</v>
      </c>
      <c r="J104" s="18">
        <f t="shared" si="20"/>
        <v>-4.9382716049383157E-3</v>
      </c>
      <c r="K104" s="18" t="str">
        <f t="shared" si="21"/>
        <v>CNJ2</v>
      </c>
      <c r="L104" t="str">
        <f t="shared" si="22"/>
        <v>JANUARY-4-CNJ2</v>
      </c>
      <c r="M104">
        <f t="shared" si="13"/>
        <v>0</v>
      </c>
      <c r="N104">
        <f t="shared" si="14"/>
        <v>-0.10585444098303276</v>
      </c>
      <c r="O104">
        <f t="shared" si="15"/>
        <v>866754</v>
      </c>
      <c r="P104">
        <f t="shared" si="16"/>
        <v>879535</v>
      </c>
      <c r="Q104">
        <f t="shared" si="23"/>
        <v>871282</v>
      </c>
      <c r="R104" s="38">
        <f t="shared" si="24"/>
        <v>5.224088957189732E-3</v>
      </c>
      <c r="S104" s="38">
        <f t="shared" si="25"/>
        <v>-9.3833673475188784E-3</v>
      </c>
    </row>
    <row r="105" spans="1:19" x14ac:dyDescent="0.25">
      <c r="A105" t="s">
        <v>44</v>
      </c>
      <c r="B105">
        <v>4</v>
      </c>
      <c r="C105" t="s">
        <v>16</v>
      </c>
      <c r="D105">
        <v>403</v>
      </c>
      <c r="E105">
        <v>422</v>
      </c>
      <c r="F105">
        <v>403</v>
      </c>
      <c r="G105">
        <f t="shared" si="17"/>
        <v>-19</v>
      </c>
      <c r="H105" s="18">
        <f t="shared" si="18"/>
        <v>0</v>
      </c>
      <c r="I105" s="18">
        <f t="shared" si="19"/>
        <v>0</v>
      </c>
      <c r="J105" s="18">
        <f t="shared" si="20"/>
        <v>-4.502369668246442E-2</v>
      </c>
      <c r="K105" s="18" t="str">
        <f t="shared" si="21"/>
        <v>CNJ2</v>
      </c>
      <c r="L105" t="str">
        <f t="shared" si="22"/>
        <v>JANUARY-4-CNJ2</v>
      </c>
      <c r="M105">
        <f t="shared" si="13"/>
        <v>0</v>
      </c>
      <c r="N105">
        <f t="shared" si="14"/>
        <v>-0.10585444098303276</v>
      </c>
      <c r="O105">
        <f t="shared" si="15"/>
        <v>866754</v>
      </c>
      <c r="P105">
        <f t="shared" si="16"/>
        <v>879535</v>
      </c>
      <c r="Q105">
        <f t="shared" si="23"/>
        <v>871282</v>
      </c>
      <c r="R105" s="38">
        <f t="shared" si="24"/>
        <v>5.224088957189732E-3</v>
      </c>
      <c r="S105" s="38">
        <f t="shared" si="25"/>
        <v>-9.3833673475188784E-3</v>
      </c>
    </row>
    <row r="106" spans="1:19" x14ac:dyDescent="0.25">
      <c r="A106" t="s">
        <v>44</v>
      </c>
      <c r="B106">
        <v>4</v>
      </c>
      <c r="C106" t="s">
        <v>16</v>
      </c>
      <c r="D106">
        <v>342</v>
      </c>
      <c r="E106">
        <v>343</v>
      </c>
      <c r="F106">
        <v>342</v>
      </c>
      <c r="G106">
        <f t="shared" si="17"/>
        <v>-1</v>
      </c>
      <c r="H106" s="18">
        <f t="shared" si="18"/>
        <v>0</v>
      </c>
      <c r="I106" s="18">
        <f t="shared" si="19"/>
        <v>0</v>
      </c>
      <c r="J106" s="18">
        <f t="shared" si="20"/>
        <v>-2.9154518950437192E-3</v>
      </c>
      <c r="K106" s="18" t="str">
        <f t="shared" si="21"/>
        <v>CNJ2</v>
      </c>
      <c r="L106" t="str">
        <f t="shared" si="22"/>
        <v>JANUARY-4-CNJ2</v>
      </c>
      <c r="M106">
        <f t="shared" si="13"/>
        <v>0</v>
      </c>
      <c r="N106">
        <f t="shared" si="14"/>
        <v>-0.10585444098303276</v>
      </c>
      <c r="O106">
        <f t="shared" si="15"/>
        <v>866754</v>
      </c>
      <c r="P106">
        <f t="shared" si="16"/>
        <v>879535</v>
      </c>
      <c r="Q106">
        <f t="shared" si="23"/>
        <v>871282</v>
      </c>
      <c r="R106" s="38">
        <f t="shared" si="24"/>
        <v>5.224088957189732E-3</v>
      </c>
      <c r="S106" s="38">
        <f t="shared" si="25"/>
        <v>-9.3833673475188784E-3</v>
      </c>
    </row>
    <row r="107" spans="1:19" x14ac:dyDescent="0.25">
      <c r="A107" t="s">
        <v>44</v>
      </c>
      <c r="B107">
        <v>4</v>
      </c>
      <c r="C107" t="s">
        <v>16</v>
      </c>
      <c r="D107">
        <v>61</v>
      </c>
      <c r="E107">
        <v>62</v>
      </c>
      <c r="F107">
        <v>61</v>
      </c>
      <c r="G107">
        <f t="shared" si="17"/>
        <v>-1</v>
      </c>
      <c r="H107" s="18">
        <f t="shared" si="18"/>
        <v>0</v>
      </c>
      <c r="I107" s="18">
        <f t="shared" si="19"/>
        <v>0</v>
      </c>
      <c r="J107" s="18">
        <f t="shared" si="20"/>
        <v>-1.6129032258064502E-2</v>
      </c>
      <c r="K107" s="18" t="str">
        <f t="shared" si="21"/>
        <v>CNJ2</v>
      </c>
      <c r="L107" t="str">
        <f t="shared" si="22"/>
        <v>JANUARY-4-CNJ2</v>
      </c>
      <c r="M107">
        <f t="shared" si="13"/>
        <v>0</v>
      </c>
      <c r="N107">
        <f t="shared" si="14"/>
        <v>-0.10585444098303276</v>
      </c>
      <c r="O107">
        <f t="shared" si="15"/>
        <v>866754</v>
      </c>
      <c r="P107">
        <f t="shared" si="16"/>
        <v>879535</v>
      </c>
      <c r="Q107">
        <f t="shared" si="23"/>
        <v>871282</v>
      </c>
      <c r="R107" s="38">
        <f t="shared" si="24"/>
        <v>5.224088957189732E-3</v>
      </c>
      <c r="S107" s="38">
        <f t="shared" si="25"/>
        <v>-9.3833673475188784E-3</v>
      </c>
    </row>
    <row r="108" spans="1:19" x14ac:dyDescent="0.25">
      <c r="A108" t="s">
        <v>44</v>
      </c>
      <c r="B108">
        <v>4</v>
      </c>
      <c r="C108" t="s">
        <v>23</v>
      </c>
      <c r="D108">
        <v>1060</v>
      </c>
      <c r="E108">
        <v>1074</v>
      </c>
      <c r="F108">
        <v>1060</v>
      </c>
      <c r="G108">
        <f t="shared" si="17"/>
        <v>-14</v>
      </c>
      <c r="H108" s="18">
        <f t="shared" si="18"/>
        <v>0</v>
      </c>
      <c r="I108" s="18">
        <f t="shared" si="19"/>
        <v>0</v>
      </c>
      <c r="J108" s="18">
        <f t="shared" si="20"/>
        <v>-1.3035381750465591E-2</v>
      </c>
      <c r="K108" s="18" t="str">
        <f t="shared" si="21"/>
        <v>CBA</v>
      </c>
      <c r="L108" t="str">
        <f t="shared" si="22"/>
        <v>JANUARY-4-CBA</v>
      </c>
      <c r="M108">
        <f t="shared" si="13"/>
        <v>0</v>
      </c>
      <c r="N108">
        <f t="shared" si="14"/>
        <v>-2.2682987991527681E-2</v>
      </c>
      <c r="O108">
        <f t="shared" si="15"/>
        <v>866754</v>
      </c>
      <c r="P108">
        <f t="shared" si="16"/>
        <v>879535</v>
      </c>
      <c r="Q108">
        <f t="shared" si="23"/>
        <v>871282</v>
      </c>
      <c r="R108" s="38">
        <f t="shared" si="24"/>
        <v>5.224088957189732E-3</v>
      </c>
      <c r="S108" s="38">
        <f t="shared" si="25"/>
        <v>-9.3833673475188784E-3</v>
      </c>
    </row>
    <row r="109" spans="1:19" x14ac:dyDescent="0.25">
      <c r="A109" s="13" t="s">
        <v>42</v>
      </c>
      <c r="B109">
        <v>1</v>
      </c>
      <c r="C109" t="s">
        <v>16</v>
      </c>
      <c r="D109">
        <v>315</v>
      </c>
      <c r="E109">
        <v>315</v>
      </c>
      <c r="F109">
        <v>315</v>
      </c>
      <c r="G109">
        <f t="shared" ref="G109:G172" si="26">F109-E109</f>
        <v>0</v>
      </c>
      <c r="H109" s="18">
        <f t="shared" ref="H109:H172" si="27">F109-D109</f>
        <v>0</v>
      </c>
      <c r="I109" s="18">
        <f t="shared" ref="I109:I172" si="28">F109/D109-1</f>
        <v>0</v>
      </c>
      <c r="J109" s="18">
        <f t="shared" ref="J109:J172" si="29">F109/E109-1</f>
        <v>0</v>
      </c>
      <c r="K109" s="18" t="str">
        <f t="shared" ref="K109:K172" si="30">CLEAN(SUBSTITUTE(C109," ",""))</f>
        <v>CNJ2</v>
      </c>
      <c r="L109" t="str">
        <f t="shared" ref="L109:L172" si="31">A109&amp;"-"&amp;B109&amp;"-"&amp;K109</f>
        <v>FEBRUARY-1-CNJ2</v>
      </c>
      <c r="M109">
        <f t="shared" si="13"/>
        <v>0</v>
      </c>
      <c r="N109">
        <f t="shared" si="14"/>
        <v>0</v>
      </c>
      <c r="O109">
        <f t="shared" si="15"/>
        <v>1504511</v>
      </c>
      <c r="P109">
        <f t="shared" si="16"/>
        <v>1532581</v>
      </c>
      <c r="Q109">
        <f t="shared" si="23"/>
        <v>1515308</v>
      </c>
      <c r="R109" s="38">
        <f t="shared" si="24"/>
        <v>7.176418118578054E-3</v>
      </c>
      <c r="S109" s="38">
        <f t="shared" si="25"/>
        <v>-1.1270529910001548E-2</v>
      </c>
    </row>
    <row r="110" spans="1:19" x14ac:dyDescent="0.25">
      <c r="A110" s="13" t="s">
        <v>42</v>
      </c>
      <c r="B110">
        <v>1</v>
      </c>
      <c r="C110" t="s">
        <v>16</v>
      </c>
      <c r="D110">
        <v>115</v>
      </c>
      <c r="E110">
        <v>115</v>
      </c>
      <c r="F110">
        <v>115</v>
      </c>
      <c r="G110">
        <f t="shared" si="26"/>
        <v>0</v>
      </c>
      <c r="H110" s="18">
        <f t="shared" si="27"/>
        <v>0</v>
      </c>
      <c r="I110" s="18">
        <f t="shared" si="28"/>
        <v>0</v>
      </c>
      <c r="J110" s="18">
        <f t="shared" si="29"/>
        <v>0</v>
      </c>
      <c r="K110" s="18" t="str">
        <f t="shared" si="30"/>
        <v>CNJ2</v>
      </c>
      <c r="L110" t="str">
        <f t="shared" si="31"/>
        <v>FEBRUARY-1-CNJ2</v>
      </c>
      <c r="M110">
        <f t="shared" si="13"/>
        <v>0</v>
      </c>
      <c r="N110">
        <f t="shared" si="14"/>
        <v>0</v>
      </c>
      <c r="O110">
        <f t="shared" si="15"/>
        <v>1504511</v>
      </c>
      <c r="P110">
        <f t="shared" si="16"/>
        <v>1532581</v>
      </c>
      <c r="Q110">
        <f t="shared" si="23"/>
        <v>1515308</v>
      </c>
      <c r="R110" s="38">
        <f t="shared" si="24"/>
        <v>7.176418118578054E-3</v>
      </c>
      <c r="S110" s="38">
        <f t="shared" si="25"/>
        <v>-1.1270529910001548E-2</v>
      </c>
    </row>
    <row r="111" spans="1:19" x14ac:dyDescent="0.25">
      <c r="A111" s="13" t="s">
        <v>42</v>
      </c>
      <c r="B111">
        <v>1</v>
      </c>
      <c r="C111" t="s">
        <v>22</v>
      </c>
      <c r="D111">
        <v>67000</v>
      </c>
      <c r="E111">
        <v>67023</v>
      </c>
      <c r="F111">
        <v>67000</v>
      </c>
      <c r="G111">
        <f t="shared" si="26"/>
        <v>-23</v>
      </c>
      <c r="H111" s="18">
        <f t="shared" si="27"/>
        <v>0</v>
      </c>
      <c r="I111" s="18">
        <f t="shared" si="28"/>
        <v>0</v>
      </c>
      <c r="J111" s="18">
        <f t="shared" si="29"/>
        <v>-3.4316577891169153E-4</v>
      </c>
      <c r="K111" s="18" t="str">
        <f t="shared" si="30"/>
        <v>ANUGERAH</v>
      </c>
      <c r="L111" t="str">
        <f t="shared" si="31"/>
        <v>FEBRUARY-1-ANUGERAH</v>
      </c>
      <c r="M111">
        <f t="shared" si="13"/>
        <v>-7.0585494505494339E-2</v>
      </c>
      <c r="N111">
        <f t="shared" si="14"/>
        <v>-4.9518711539469518E-2</v>
      </c>
      <c r="O111">
        <f t="shared" si="15"/>
        <v>1504511</v>
      </c>
      <c r="P111">
        <f t="shared" si="16"/>
        <v>1532581</v>
      </c>
      <c r="Q111">
        <f t="shared" si="23"/>
        <v>1515308</v>
      </c>
      <c r="R111" s="38">
        <f t="shared" si="24"/>
        <v>7.176418118578054E-3</v>
      </c>
      <c r="S111" s="38">
        <f t="shared" si="25"/>
        <v>-1.1270529910001548E-2</v>
      </c>
    </row>
    <row r="112" spans="1:19" x14ac:dyDescent="0.25">
      <c r="A112" s="13" t="s">
        <v>42</v>
      </c>
      <c r="B112">
        <v>1</v>
      </c>
      <c r="C112" t="s">
        <v>22</v>
      </c>
      <c r="D112">
        <v>30000</v>
      </c>
      <c r="E112">
        <v>29526</v>
      </c>
      <c r="F112">
        <v>28963</v>
      </c>
      <c r="G112">
        <f t="shared" si="26"/>
        <v>-563</v>
      </c>
      <c r="H112" s="18">
        <f t="shared" si="27"/>
        <v>-1037</v>
      </c>
      <c r="I112" s="18">
        <f t="shared" si="28"/>
        <v>-3.4566666666666634E-2</v>
      </c>
      <c r="J112" s="18">
        <f t="shared" si="29"/>
        <v>-1.9067940120571669E-2</v>
      </c>
      <c r="K112" s="18" t="str">
        <f t="shared" si="30"/>
        <v>ANUGERAH</v>
      </c>
      <c r="L112" t="str">
        <f t="shared" si="31"/>
        <v>FEBRUARY-1-ANUGERAH</v>
      </c>
      <c r="M112">
        <f t="shared" si="13"/>
        <v>-7.0585494505494339E-2</v>
      </c>
      <c r="N112">
        <f t="shared" si="14"/>
        <v>-4.9518711539469518E-2</v>
      </c>
      <c r="O112">
        <f t="shared" si="15"/>
        <v>1504511</v>
      </c>
      <c r="P112">
        <f t="shared" si="16"/>
        <v>1532581</v>
      </c>
      <c r="Q112">
        <f t="shared" si="23"/>
        <v>1515308</v>
      </c>
      <c r="R112" s="38">
        <f t="shared" si="24"/>
        <v>7.176418118578054E-3</v>
      </c>
      <c r="S112" s="38">
        <f t="shared" si="25"/>
        <v>-1.1270529910001548E-2</v>
      </c>
    </row>
    <row r="113" spans="1:19" x14ac:dyDescent="0.25">
      <c r="A113" s="13" t="s">
        <v>42</v>
      </c>
      <c r="B113">
        <v>1</v>
      </c>
      <c r="C113" t="s">
        <v>22</v>
      </c>
      <c r="D113">
        <v>25000</v>
      </c>
      <c r="E113">
        <v>25065</v>
      </c>
      <c r="F113">
        <v>24932</v>
      </c>
      <c r="G113">
        <f t="shared" si="26"/>
        <v>-133</v>
      </c>
      <c r="H113" s="18">
        <f t="shared" si="27"/>
        <v>-68</v>
      </c>
      <c r="I113" s="18">
        <f t="shared" si="28"/>
        <v>-2.7199999999999447E-3</v>
      </c>
      <c r="J113" s="18">
        <f t="shared" si="29"/>
        <v>-5.3062038699381864E-3</v>
      </c>
      <c r="K113" s="18" t="str">
        <f t="shared" si="30"/>
        <v>ANUGERAH</v>
      </c>
      <c r="L113" t="str">
        <f t="shared" si="31"/>
        <v>FEBRUARY-1-ANUGERAH</v>
      </c>
      <c r="M113">
        <f t="shared" si="13"/>
        <v>-7.0585494505494339E-2</v>
      </c>
      <c r="N113">
        <f t="shared" si="14"/>
        <v>-4.9518711539469518E-2</v>
      </c>
      <c r="O113">
        <f t="shared" si="15"/>
        <v>1504511</v>
      </c>
      <c r="P113">
        <f t="shared" si="16"/>
        <v>1532581</v>
      </c>
      <c r="Q113">
        <f t="shared" si="23"/>
        <v>1515308</v>
      </c>
      <c r="R113" s="38">
        <f t="shared" si="24"/>
        <v>7.176418118578054E-3</v>
      </c>
      <c r="S113" s="38">
        <f t="shared" si="25"/>
        <v>-1.1270529910001548E-2</v>
      </c>
    </row>
    <row r="114" spans="1:19" x14ac:dyDescent="0.25">
      <c r="A114" s="13" t="s">
        <v>42</v>
      </c>
      <c r="B114">
        <v>1</v>
      </c>
      <c r="C114" t="s">
        <v>22</v>
      </c>
      <c r="D114">
        <v>25000</v>
      </c>
      <c r="E114">
        <v>25000</v>
      </c>
      <c r="F114">
        <v>24756</v>
      </c>
      <c r="G114">
        <f t="shared" si="26"/>
        <v>-244</v>
      </c>
      <c r="H114" s="18">
        <f t="shared" si="27"/>
        <v>-244</v>
      </c>
      <c r="I114" s="18">
        <f t="shared" si="28"/>
        <v>-9.7599999999999909E-3</v>
      </c>
      <c r="J114" s="18">
        <f t="shared" si="29"/>
        <v>-9.7599999999999909E-3</v>
      </c>
      <c r="K114" s="18" t="str">
        <f t="shared" si="30"/>
        <v>ANUGERAH</v>
      </c>
      <c r="L114" t="str">
        <f t="shared" si="31"/>
        <v>FEBRUARY-1-ANUGERAH</v>
      </c>
      <c r="M114">
        <f t="shared" si="13"/>
        <v>-7.0585494505494339E-2</v>
      </c>
      <c r="N114">
        <f t="shared" si="14"/>
        <v>-4.9518711539469518E-2</v>
      </c>
      <c r="O114">
        <f t="shared" si="15"/>
        <v>1504511</v>
      </c>
      <c r="P114">
        <f t="shared" si="16"/>
        <v>1532581</v>
      </c>
      <c r="Q114">
        <f t="shared" si="23"/>
        <v>1515308</v>
      </c>
      <c r="R114" s="38">
        <f t="shared" si="24"/>
        <v>7.176418118578054E-3</v>
      </c>
      <c r="S114" s="38">
        <f t="shared" si="25"/>
        <v>-1.1270529910001548E-2</v>
      </c>
    </row>
    <row r="115" spans="1:19" x14ac:dyDescent="0.25">
      <c r="A115" s="13" t="s">
        <v>42</v>
      </c>
      <c r="B115">
        <v>1</v>
      </c>
      <c r="C115" t="s">
        <v>22</v>
      </c>
      <c r="D115">
        <v>14000</v>
      </c>
      <c r="E115">
        <v>13864</v>
      </c>
      <c r="F115">
        <v>13735</v>
      </c>
      <c r="G115">
        <f t="shared" si="26"/>
        <v>-129</v>
      </c>
      <c r="H115" s="18">
        <f t="shared" si="27"/>
        <v>-265</v>
      </c>
      <c r="I115" s="18">
        <f t="shared" si="28"/>
        <v>-1.8928571428571406E-2</v>
      </c>
      <c r="J115" s="18">
        <f t="shared" si="29"/>
        <v>-9.3046739757646213E-3</v>
      </c>
      <c r="K115" s="18" t="str">
        <f t="shared" si="30"/>
        <v>ANUGERAH</v>
      </c>
      <c r="L115" t="str">
        <f t="shared" si="31"/>
        <v>FEBRUARY-1-ANUGERAH</v>
      </c>
      <c r="M115">
        <f t="shared" si="13"/>
        <v>-7.0585494505494339E-2</v>
      </c>
      <c r="N115">
        <f t="shared" si="14"/>
        <v>-4.9518711539469518E-2</v>
      </c>
      <c r="O115">
        <f t="shared" si="15"/>
        <v>1504511</v>
      </c>
      <c r="P115">
        <f t="shared" si="16"/>
        <v>1532581</v>
      </c>
      <c r="Q115">
        <f t="shared" si="23"/>
        <v>1515308</v>
      </c>
      <c r="R115" s="38">
        <f t="shared" si="24"/>
        <v>7.176418118578054E-3</v>
      </c>
      <c r="S115" s="38">
        <f t="shared" si="25"/>
        <v>-1.1270529910001548E-2</v>
      </c>
    </row>
    <row r="116" spans="1:19" x14ac:dyDescent="0.25">
      <c r="A116" s="13" t="s">
        <v>42</v>
      </c>
      <c r="B116">
        <v>1</v>
      </c>
      <c r="C116" t="s">
        <v>22</v>
      </c>
      <c r="D116">
        <v>19500</v>
      </c>
      <c r="E116">
        <v>19522</v>
      </c>
      <c r="F116">
        <v>19492</v>
      </c>
      <c r="G116">
        <f t="shared" si="26"/>
        <v>-30</v>
      </c>
      <c r="H116" s="18">
        <f t="shared" si="27"/>
        <v>-8</v>
      </c>
      <c r="I116" s="18">
        <f t="shared" si="28"/>
        <v>-4.1025641025638215E-4</v>
      </c>
      <c r="J116" s="18">
        <f t="shared" si="29"/>
        <v>-1.5367277942833768E-3</v>
      </c>
      <c r="K116" s="18" t="str">
        <f t="shared" si="30"/>
        <v>ANUGERAH</v>
      </c>
      <c r="L116" t="str">
        <f t="shared" si="31"/>
        <v>FEBRUARY-1-ANUGERAH</v>
      </c>
      <c r="M116">
        <f t="shared" si="13"/>
        <v>-7.0585494505494339E-2</v>
      </c>
      <c r="N116">
        <f t="shared" si="14"/>
        <v>-4.9518711539469518E-2</v>
      </c>
      <c r="O116">
        <f t="shared" si="15"/>
        <v>1504511</v>
      </c>
      <c r="P116">
        <f t="shared" si="16"/>
        <v>1532581</v>
      </c>
      <c r="Q116">
        <f t="shared" si="23"/>
        <v>1515308</v>
      </c>
      <c r="R116" s="38">
        <f t="shared" si="24"/>
        <v>7.176418118578054E-3</v>
      </c>
      <c r="S116" s="38">
        <f t="shared" si="25"/>
        <v>-1.1270529910001548E-2</v>
      </c>
    </row>
    <row r="117" spans="1:19" x14ac:dyDescent="0.25">
      <c r="A117" s="13" t="s">
        <v>42</v>
      </c>
      <c r="B117">
        <v>1</v>
      </c>
      <c r="C117" t="s">
        <v>22</v>
      </c>
      <c r="D117">
        <v>15000</v>
      </c>
      <c r="E117">
        <v>15000</v>
      </c>
      <c r="F117">
        <v>14937</v>
      </c>
      <c r="G117">
        <f t="shared" si="26"/>
        <v>-63</v>
      </c>
      <c r="H117" s="18">
        <f t="shared" si="27"/>
        <v>-63</v>
      </c>
      <c r="I117" s="18">
        <f t="shared" si="28"/>
        <v>-4.1999999999999815E-3</v>
      </c>
      <c r="J117" s="18">
        <f t="shared" si="29"/>
        <v>-4.1999999999999815E-3</v>
      </c>
      <c r="K117" s="18" t="str">
        <f t="shared" si="30"/>
        <v>ANUGERAH</v>
      </c>
      <c r="L117" t="str">
        <f t="shared" si="31"/>
        <v>FEBRUARY-1-ANUGERAH</v>
      </c>
      <c r="M117">
        <f t="shared" si="13"/>
        <v>-7.0585494505494339E-2</v>
      </c>
      <c r="N117">
        <f t="shared" si="14"/>
        <v>-4.9518711539469518E-2</v>
      </c>
      <c r="O117">
        <f t="shared" si="15"/>
        <v>1504511</v>
      </c>
      <c r="P117">
        <f t="shared" si="16"/>
        <v>1532581</v>
      </c>
      <c r="Q117">
        <f t="shared" si="23"/>
        <v>1515308</v>
      </c>
      <c r="R117" s="38">
        <f t="shared" si="24"/>
        <v>7.176418118578054E-3</v>
      </c>
      <c r="S117" s="38">
        <f t="shared" si="25"/>
        <v>-1.1270529910001548E-2</v>
      </c>
    </row>
    <row r="118" spans="1:19" x14ac:dyDescent="0.25">
      <c r="A118" s="13" t="s">
        <v>42</v>
      </c>
      <c r="B118">
        <v>1</v>
      </c>
      <c r="C118" t="s">
        <v>17</v>
      </c>
      <c r="D118">
        <v>760</v>
      </c>
      <c r="E118">
        <v>760</v>
      </c>
      <c r="F118">
        <v>760</v>
      </c>
      <c r="G118">
        <f t="shared" si="26"/>
        <v>0</v>
      </c>
      <c r="H118" s="18">
        <f t="shared" si="27"/>
        <v>0</v>
      </c>
      <c r="I118" s="18">
        <f t="shared" si="28"/>
        <v>0</v>
      </c>
      <c r="J118" s="18">
        <f t="shared" si="29"/>
        <v>0</v>
      </c>
      <c r="K118" s="18" t="str">
        <f t="shared" si="30"/>
        <v>MAJA1</v>
      </c>
      <c r="L118" t="str">
        <f t="shared" si="31"/>
        <v>FEBRUARY-1-MAJA1</v>
      </c>
      <c r="M118">
        <f t="shared" si="13"/>
        <v>0</v>
      </c>
      <c r="N118">
        <f t="shared" si="14"/>
        <v>-5.2356020942407877E-3</v>
      </c>
      <c r="O118">
        <f t="shared" si="15"/>
        <v>1504511</v>
      </c>
      <c r="P118">
        <f t="shared" si="16"/>
        <v>1532581</v>
      </c>
      <c r="Q118">
        <f t="shared" si="23"/>
        <v>1515308</v>
      </c>
      <c r="R118" s="38">
        <f t="shared" si="24"/>
        <v>7.176418118578054E-3</v>
      </c>
      <c r="S118" s="38">
        <f t="shared" si="25"/>
        <v>-1.1270529910001548E-2</v>
      </c>
    </row>
    <row r="119" spans="1:19" x14ac:dyDescent="0.25">
      <c r="A119" s="13" t="s">
        <v>42</v>
      </c>
      <c r="B119">
        <v>1</v>
      </c>
      <c r="C119" t="s">
        <v>17</v>
      </c>
      <c r="D119">
        <v>449</v>
      </c>
      <c r="E119">
        <v>449</v>
      </c>
      <c r="F119">
        <v>449</v>
      </c>
      <c r="G119">
        <f t="shared" si="26"/>
        <v>0</v>
      </c>
      <c r="H119" s="18">
        <f t="shared" si="27"/>
        <v>0</v>
      </c>
      <c r="I119" s="18">
        <f t="shared" si="28"/>
        <v>0</v>
      </c>
      <c r="J119" s="18">
        <f t="shared" si="29"/>
        <v>0</v>
      </c>
      <c r="K119" s="18" t="str">
        <f t="shared" si="30"/>
        <v>MAJA1</v>
      </c>
      <c r="L119" t="str">
        <f t="shared" si="31"/>
        <v>FEBRUARY-1-MAJA1</v>
      </c>
      <c r="M119">
        <f t="shared" si="13"/>
        <v>0</v>
      </c>
      <c r="N119">
        <f t="shared" si="14"/>
        <v>-5.2356020942407877E-3</v>
      </c>
      <c r="O119">
        <f t="shared" si="15"/>
        <v>1504511</v>
      </c>
      <c r="P119">
        <f t="shared" si="16"/>
        <v>1532581</v>
      </c>
      <c r="Q119">
        <f t="shared" si="23"/>
        <v>1515308</v>
      </c>
      <c r="R119" s="38">
        <f t="shared" si="24"/>
        <v>7.176418118578054E-3</v>
      </c>
      <c r="S119" s="38">
        <f t="shared" si="25"/>
        <v>-1.1270529910001548E-2</v>
      </c>
    </row>
    <row r="120" spans="1:19" x14ac:dyDescent="0.25">
      <c r="A120" s="13" t="s">
        <v>42</v>
      </c>
      <c r="B120">
        <v>1</v>
      </c>
      <c r="C120" t="s">
        <v>17</v>
      </c>
      <c r="D120">
        <v>190</v>
      </c>
      <c r="E120">
        <v>191</v>
      </c>
      <c r="F120">
        <v>190</v>
      </c>
      <c r="G120">
        <f t="shared" si="26"/>
        <v>-1</v>
      </c>
      <c r="H120" s="18">
        <f t="shared" si="27"/>
        <v>0</v>
      </c>
      <c r="I120" s="18">
        <f t="shared" si="28"/>
        <v>0</v>
      </c>
      <c r="J120" s="18">
        <f t="shared" si="29"/>
        <v>-5.2356020942407877E-3</v>
      </c>
      <c r="K120" s="18" t="str">
        <f t="shared" si="30"/>
        <v>MAJA1</v>
      </c>
      <c r="L120" t="str">
        <f t="shared" si="31"/>
        <v>FEBRUARY-1-MAJA1</v>
      </c>
      <c r="M120">
        <f t="shared" si="13"/>
        <v>0</v>
      </c>
      <c r="N120">
        <f t="shared" si="14"/>
        <v>-5.2356020942407877E-3</v>
      </c>
      <c r="O120">
        <f t="shared" si="15"/>
        <v>1504511</v>
      </c>
      <c r="P120">
        <f t="shared" si="16"/>
        <v>1532581</v>
      </c>
      <c r="Q120">
        <f t="shared" si="23"/>
        <v>1515308</v>
      </c>
      <c r="R120" s="38">
        <f t="shared" si="24"/>
        <v>7.176418118578054E-3</v>
      </c>
      <c r="S120" s="38">
        <f t="shared" si="25"/>
        <v>-1.1270529910001548E-2</v>
      </c>
    </row>
    <row r="121" spans="1:19" x14ac:dyDescent="0.25">
      <c r="A121" s="13" t="s">
        <v>42</v>
      </c>
      <c r="B121">
        <v>1</v>
      </c>
      <c r="C121" t="s">
        <v>17</v>
      </c>
      <c r="D121">
        <v>30</v>
      </c>
      <c r="E121">
        <v>30</v>
      </c>
      <c r="F121">
        <v>30</v>
      </c>
      <c r="G121">
        <f t="shared" si="26"/>
        <v>0</v>
      </c>
      <c r="H121" s="18">
        <f t="shared" si="27"/>
        <v>0</v>
      </c>
      <c r="I121" s="18">
        <f t="shared" si="28"/>
        <v>0</v>
      </c>
      <c r="J121" s="18">
        <f t="shared" si="29"/>
        <v>0</v>
      </c>
      <c r="K121" s="18" t="str">
        <f t="shared" si="30"/>
        <v>MAJA1</v>
      </c>
      <c r="L121" t="str">
        <f t="shared" si="31"/>
        <v>FEBRUARY-1-MAJA1</v>
      </c>
      <c r="M121">
        <f t="shared" si="13"/>
        <v>0</v>
      </c>
      <c r="N121">
        <f t="shared" si="14"/>
        <v>-5.2356020942407877E-3</v>
      </c>
      <c r="O121">
        <f t="shared" si="15"/>
        <v>1504511</v>
      </c>
      <c r="P121">
        <f t="shared" si="16"/>
        <v>1532581</v>
      </c>
      <c r="Q121">
        <f t="shared" si="23"/>
        <v>1515308</v>
      </c>
      <c r="R121" s="38">
        <f t="shared" si="24"/>
        <v>7.176418118578054E-3</v>
      </c>
      <c r="S121" s="38">
        <f t="shared" si="25"/>
        <v>-1.1270529910001548E-2</v>
      </c>
    </row>
    <row r="122" spans="1:19" x14ac:dyDescent="0.25">
      <c r="A122" s="13" t="s">
        <v>42</v>
      </c>
      <c r="B122">
        <v>1</v>
      </c>
      <c r="C122" t="s">
        <v>17</v>
      </c>
      <c r="D122">
        <v>70</v>
      </c>
      <c r="E122">
        <v>70</v>
      </c>
      <c r="F122">
        <v>70</v>
      </c>
      <c r="G122">
        <f t="shared" si="26"/>
        <v>0</v>
      </c>
      <c r="H122" s="18">
        <f t="shared" si="27"/>
        <v>0</v>
      </c>
      <c r="I122" s="18">
        <f t="shared" si="28"/>
        <v>0</v>
      </c>
      <c r="J122" s="18">
        <f t="shared" si="29"/>
        <v>0</v>
      </c>
      <c r="K122" s="18" t="str">
        <f t="shared" si="30"/>
        <v>MAJA1</v>
      </c>
      <c r="L122" t="str">
        <f t="shared" si="31"/>
        <v>FEBRUARY-1-MAJA1</v>
      </c>
      <c r="M122">
        <f t="shared" si="13"/>
        <v>0</v>
      </c>
      <c r="N122">
        <f t="shared" si="14"/>
        <v>-5.2356020942407877E-3</v>
      </c>
      <c r="O122">
        <f t="shared" si="15"/>
        <v>1504511</v>
      </c>
      <c r="P122">
        <f t="shared" si="16"/>
        <v>1532581</v>
      </c>
      <c r="Q122">
        <f t="shared" si="23"/>
        <v>1515308</v>
      </c>
      <c r="R122" s="38">
        <f t="shared" si="24"/>
        <v>7.176418118578054E-3</v>
      </c>
      <c r="S122" s="38">
        <f t="shared" si="25"/>
        <v>-1.1270529910001548E-2</v>
      </c>
    </row>
    <row r="123" spans="1:19" x14ac:dyDescent="0.25">
      <c r="A123" s="13" t="s">
        <v>42</v>
      </c>
      <c r="B123">
        <v>1</v>
      </c>
      <c r="C123" t="s">
        <v>17</v>
      </c>
      <c r="D123">
        <v>310</v>
      </c>
      <c r="E123">
        <v>310</v>
      </c>
      <c r="F123">
        <v>310</v>
      </c>
      <c r="G123">
        <f t="shared" si="26"/>
        <v>0</v>
      </c>
      <c r="H123" s="18">
        <f t="shared" si="27"/>
        <v>0</v>
      </c>
      <c r="I123" s="18">
        <f t="shared" si="28"/>
        <v>0</v>
      </c>
      <c r="J123" s="18">
        <f t="shared" si="29"/>
        <v>0</v>
      </c>
      <c r="K123" s="18" t="str">
        <f t="shared" si="30"/>
        <v>MAJA1</v>
      </c>
      <c r="L123" t="str">
        <f t="shared" si="31"/>
        <v>FEBRUARY-1-MAJA1</v>
      </c>
      <c r="M123">
        <f t="shared" si="13"/>
        <v>0</v>
      </c>
      <c r="N123">
        <f t="shared" si="14"/>
        <v>-5.2356020942407877E-3</v>
      </c>
      <c r="O123">
        <f t="shared" si="15"/>
        <v>1504511</v>
      </c>
      <c r="P123">
        <f t="shared" si="16"/>
        <v>1532581</v>
      </c>
      <c r="Q123">
        <f t="shared" si="23"/>
        <v>1515308</v>
      </c>
      <c r="R123" s="38">
        <f t="shared" si="24"/>
        <v>7.176418118578054E-3</v>
      </c>
      <c r="S123" s="38">
        <f t="shared" si="25"/>
        <v>-1.1270529910001548E-2</v>
      </c>
    </row>
    <row r="124" spans="1:19" x14ac:dyDescent="0.25">
      <c r="A124" s="13" t="s">
        <v>42</v>
      </c>
      <c r="B124">
        <v>1</v>
      </c>
      <c r="C124" t="s">
        <v>23</v>
      </c>
      <c r="D124">
        <v>3020</v>
      </c>
      <c r="E124">
        <v>3052</v>
      </c>
      <c r="F124">
        <v>3042</v>
      </c>
      <c r="G124">
        <f t="shared" si="26"/>
        <v>-10</v>
      </c>
      <c r="H124" s="18">
        <f t="shared" si="27"/>
        <v>22</v>
      </c>
      <c r="I124" s="18">
        <f t="shared" si="28"/>
        <v>7.2847682119205892E-3</v>
      </c>
      <c r="J124" s="18">
        <f t="shared" si="29"/>
        <v>-3.2765399737876288E-3</v>
      </c>
      <c r="K124" s="18" t="str">
        <f t="shared" si="30"/>
        <v>CBA</v>
      </c>
      <c r="L124" t="str">
        <f t="shared" si="31"/>
        <v>FEBRUARY-1-CBA</v>
      </c>
      <c r="M124">
        <f t="shared" si="13"/>
        <v>7.2847682119205892E-3</v>
      </c>
      <c r="N124">
        <f t="shared" si="14"/>
        <v>-3.2765399737876288E-3</v>
      </c>
      <c r="O124">
        <f t="shared" si="15"/>
        <v>1504511</v>
      </c>
      <c r="P124">
        <f t="shared" si="16"/>
        <v>1532581</v>
      </c>
      <c r="Q124">
        <f t="shared" si="23"/>
        <v>1515308</v>
      </c>
      <c r="R124" s="38">
        <f t="shared" si="24"/>
        <v>7.176418118578054E-3</v>
      </c>
      <c r="S124" s="38">
        <f t="shared" si="25"/>
        <v>-1.1270529910001548E-2</v>
      </c>
    </row>
    <row r="125" spans="1:19" x14ac:dyDescent="0.25">
      <c r="A125" s="13" t="s">
        <v>42</v>
      </c>
      <c r="B125">
        <v>2</v>
      </c>
      <c r="C125" t="s">
        <v>16</v>
      </c>
      <c r="D125">
        <v>9925</v>
      </c>
      <c r="E125">
        <v>10220</v>
      </c>
      <c r="F125">
        <v>9925</v>
      </c>
      <c r="G125">
        <f t="shared" si="26"/>
        <v>-295</v>
      </c>
      <c r="H125" s="18">
        <f t="shared" si="27"/>
        <v>0</v>
      </c>
      <c r="I125" s="18">
        <f t="shared" si="28"/>
        <v>0</v>
      </c>
      <c r="J125" s="18">
        <f t="shared" si="29"/>
        <v>-2.886497064579252E-2</v>
      </c>
      <c r="K125" s="18" t="str">
        <f t="shared" si="30"/>
        <v>CNJ2</v>
      </c>
      <c r="L125" t="str">
        <f t="shared" si="31"/>
        <v>FEBRUARY-2-CNJ2</v>
      </c>
      <c r="M125">
        <f t="shared" si="13"/>
        <v>0</v>
      </c>
      <c r="N125">
        <f t="shared" si="14"/>
        <v>-0.3276877271831673</v>
      </c>
      <c r="O125">
        <f t="shared" si="15"/>
        <v>1504511</v>
      </c>
      <c r="P125">
        <f t="shared" si="16"/>
        <v>1532581</v>
      </c>
      <c r="Q125">
        <f t="shared" si="23"/>
        <v>1515308</v>
      </c>
      <c r="R125" s="38">
        <f t="shared" si="24"/>
        <v>7.176418118578054E-3</v>
      </c>
      <c r="S125" s="38">
        <f t="shared" si="25"/>
        <v>-1.1270529910001548E-2</v>
      </c>
    </row>
    <row r="126" spans="1:19" x14ac:dyDescent="0.25">
      <c r="A126" s="13" t="s">
        <v>42</v>
      </c>
      <c r="B126">
        <v>2</v>
      </c>
      <c r="C126" t="s">
        <v>16</v>
      </c>
      <c r="D126">
        <v>1065</v>
      </c>
      <c r="E126">
        <v>1065</v>
      </c>
      <c r="F126">
        <v>1065</v>
      </c>
      <c r="G126">
        <f t="shared" si="26"/>
        <v>0</v>
      </c>
      <c r="H126" s="18">
        <f t="shared" si="27"/>
        <v>0</v>
      </c>
      <c r="I126" s="18">
        <f t="shared" si="28"/>
        <v>0</v>
      </c>
      <c r="J126" s="18">
        <f t="shared" si="29"/>
        <v>0</v>
      </c>
      <c r="K126" s="18" t="str">
        <f t="shared" si="30"/>
        <v>CNJ2</v>
      </c>
      <c r="L126" t="str">
        <f t="shared" si="31"/>
        <v>FEBRUARY-2-CNJ2</v>
      </c>
      <c r="M126">
        <f t="shared" si="13"/>
        <v>0</v>
      </c>
      <c r="N126">
        <f t="shared" si="14"/>
        <v>-0.3276877271831673</v>
      </c>
      <c r="O126">
        <f t="shared" si="15"/>
        <v>1504511</v>
      </c>
      <c r="P126">
        <f t="shared" si="16"/>
        <v>1532581</v>
      </c>
      <c r="Q126">
        <f t="shared" si="23"/>
        <v>1515308</v>
      </c>
      <c r="R126" s="38">
        <f t="shared" si="24"/>
        <v>7.176418118578054E-3</v>
      </c>
      <c r="S126" s="38">
        <f t="shared" si="25"/>
        <v>-1.1270529910001548E-2</v>
      </c>
    </row>
    <row r="127" spans="1:19" x14ac:dyDescent="0.25">
      <c r="A127" s="13" t="s">
        <v>42</v>
      </c>
      <c r="B127">
        <v>2</v>
      </c>
      <c r="C127" t="s">
        <v>17</v>
      </c>
      <c r="D127">
        <v>1250</v>
      </c>
      <c r="E127">
        <v>1250</v>
      </c>
      <c r="F127">
        <v>1250</v>
      </c>
      <c r="G127">
        <f t="shared" si="26"/>
        <v>0</v>
      </c>
      <c r="H127" s="18">
        <f t="shared" si="27"/>
        <v>0</v>
      </c>
      <c r="I127" s="18">
        <f t="shared" si="28"/>
        <v>0</v>
      </c>
      <c r="J127" s="18">
        <f t="shared" si="29"/>
        <v>0</v>
      </c>
      <c r="K127" s="18" t="str">
        <f t="shared" si="30"/>
        <v>MAJA1</v>
      </c>
      <c r="L127" t="str">
        <f t="shared" si="31"/>
        <v>FEBRUARY-2-MAJA1</v>
      </c>
      <c r="M127">
        <f t="shared" si="13"/>
        <v>-1.4115067350108701E-2</v>
      </c>
      <c r="N127">
        <f t="shared" si="14"/>
        <v>-0.41646017702597238</v>
      </c>
      <c r="O127">
        <f t="shared" si="15"/>
        <v>1504511</v>
      </c>
      <c r="P127">
        <f t="shared" si="16"/>
        <v>1532581</v>
      </c>
      <c r="Q127">
        <f t="shared" si="23"/>
        <v>1515308</v>
      </c>
      <c r="R127" s="38">
        <f t="shared" si="24"/>
        <v>7.176418118578054E-3</v>
      </c>
      <c r="S127" s="38">
        <f t="shared" si="25"/>
        <v>-1.1270529910001548E-2</v>
      </c>
    </row>
    <row r="128" spans="1:19" x14ac:dyDescent="0.25">
      <c r="A128" s="13" t="s">
        <v>42</v>
      </c>
      <c r="B128">
        <v>2</v>
      </c>
      <c r="C128" t="s">
        <v>17</v>
      </c>
      <c r="D128">
        <v>2600</v>
      </c>
      <c r="E128">
        <v>2628</v>
      </c>
      <c r="F128">
        <v>2563</v>
      </c>
      <c r="G128">
        <f t="shared" si="26"/>
        <v>-65</v>
      </c>
      <c r="H128" s="18">
        <f t="shared" si="27"/>
        <v>-37</v>
      </c>
      <c r="I128" s="18">
        <f t="shared" si="28"/>
        <v>-1.4230769230769269E-2</v>
      </c>
      <c r="J128" s="18">
        <f t="shared" si="29"/>
        <v>-2.473363774733639E-2</v>
      </c>
      <c r="K128" s="18" t="str">
        <f t="shared" si="30"/>
        <v>MAJA1</v>
      </c>
      <c r="L128" t="str">
        <f t="shared" si="31"/>
        <v>FEBRUARY-2-MAJA1</v>
      </c>
      <c r="M128">
        <f t="shared" si="13"/>
        <v>-1.4115067350108701E-2</v>
      </c>
      <c r="N128">
        <f t="shared" si="14"/>
        <v>-0.41646017702597238</v>
      </c>
      <c r="O128">
        <f t="shared" si="15"/>
        <v>1504511</v>
      </c>
      <c r="P128">
        <f t="shared" si="16"/>
        <v>1532581</v>
      </c>
      <c r="Q128">
        <f t="shared" si="23"/>
        <v>1515308</v>
      </c>
      <c r="R128" s="38">
        <f t="shared" si="24"/>
        <v>7.176418118578054E-3</v>
      </c>
      <c r="S128" s="38">
        <f t="shared" si="25"/>
        <v>-1.1270529910001548E-2</v>
      </c>
    </row>
    <row r="129" spans="1:19" x14ac:dyDescent="0.25">
      <c r="A129" s="13" t="s">
        <v>42</v>
      </c>
      <c r="B129">
        <v>2</v>
      </c>
      <c r="C129" t="s">
        <v>17</v>
      </c>
      <c r="D129">
        <v>1030</v>
      </c>
      <c r="E129">
        <v>1042</v>
      </c>
      <c r="F129">
        <v>1033</v>
      </c>
      <c r="G129">
        <f t="shared" si="26"/>
        <v>-9</v>
      </c>
      <c r="H129" s="18">
        <f t="shared" si="27"/>
        <v>3</v>
      </c>
      <c r="I129" s="18">
        <f t="shared" si="28"/>
        <v>2.9126213592232109E-3</v>
      </c>
      <c r="J129" s="18">
        <f t="shared" si="29"/>
        <v>-8.6372360844529927E-3</v>
      </c>
      <c r="K129" s="18" t="str">
        <f t="shared" si="30"/>
        <v>MAJA1</v>
      </c>
      <c r="L129" t="str">
        <f t="shared" si="31"/>
        <v>FEBRUARY-2-MAJA1</v>
      </c>
      <c r="M129">
        <f t="shared" si="13"/>
        <v>-1.4115067350108701E-2</v>
      </c>
      <c r="N129">
        <f t="shared" si="14"/>
        <v>-0.41646017702597238</v>
      </c>
      <c r="O129">
        <f t="shared" si="15"/>
        <v>1504511</v>
      </c>
      <c r="P129">
        <f t="shared" si="16"/>
        <v>1532581</v>
      </c>
      <c r="Q129">
        <f t="shared" si="23"/>
        <v>1515308</v>
      </c>
      <c r="R129" s="38">
        <f t="shared" si="24"/>
        <v>7.176418118578054E-3</v>
      </c>
      <c r="S129" s="38">
        <f t="shared" si="25"/>
        <v>-1.1270529910001548E-2</v>
      </c>
    </row>
    <row r="130" spans="1:19" x14ac:dyDescent="0.25">
      <c r="A130" s="13" t="s">
        <v>42</v>
      </c>
      <c r="B130">
        <v>2</v>
      </c>
      <c r="C130" t="s">
        <v>17</v>
      </c>
      <c r="D130">
        <v>1140</v>
      </c>
      <c r="E130">
        <v>1151</v>
      </c>
      <c r="F130">
        <v>1137</v>
      </c>
      <c r="G130">
        <f t="shared" si="26"/>
        <v>-14</v>
      </c>
      <c r="H130" s="18">
        <f t="shared" si="27"/>
        <v>-3</v>
      </c>
      <c r="I130" s="18">
        <f t="shared" si="28"/>
        <v>-2.6315789473684292E-3</v>
      </c>
      <c r="J130" s="18">
        <f t="shared" si="29"/>
        <v>-1.2163336229365718E-2</v>
      </c>
      <c r="K130" s="18" t="str">
        <f t="shared" si="30"/>
        <v>MAJA1</v>
      </c>
      <c r="L130" t="str">
        <f t="shared" si="31"/>
        <v>FEBRUARY-2-MAJA1</v>
      </c>
      <c r="M130">
        <f t="shared" ref="M130:M193" si="32">SUMIF($L$2:$L$1048576,L130,$I$2:$I$1048576)</f>
        <v>-1.4115067350108701E-2</v>
      </c>
      <c r="N130">
        <f t="shared" ref="N130:N193" si="33">SUMIF($L$2:$L$1048576,L130,$J$2:$J$1048576)</f>
        <v>-0.41646017702597238</v>
      </c>
      <c r="O130">
        <f t="shared" ref="O130:O193" si="34">SUMIF($A$2:$A$1048576,A130,$D$2:$D$1048576)</f>
        <v>1504511</v>
      </c>
      <c r="P130">
        <f t="shared" ref="P130:P193" si="35">SUMIF($A$2:$A$1048576,A130,$E$2:$E$1048576)</f>
        <v>1532581</v>
      </c>
      <c r="Q130">
        <f t="shared" si="23"/>
        <v>1515308</v>
      </c>
      <c r="R130" s="38">
        <f t="shared" si="24"/>
        <v>7.176418118578054E-3</v>
      </c>
      <c r="S130" s="38">
        <f t="shared" si="25"/>
        <v>-1.1270529910001548E-2</v>
      </c>
    </row>
    <row r="131" spans="1:19" x14ac:dyDescent="0.25">
      <c r="A131" s="13" t="s">
        <v>42</v>
      </c>
      <c r="B131">
        <v>2</v>
      </c>
      <c r="C131" t="s">
        <v>17</v>
      </c>
      <c r="D131">
        <v>1350</v>
      </c>
      <c r="E131">
        <v>1367</v>
      </c>
      <c r="F131">
        <v>1358</v>
      </c>
      <c r="G131">
        <f t="shared" si="26"/>
        <v>-9</v>
      </c>
      <c r="H131" s="18">
        <f t="shared" si="27"/>
        <v>8</v>
      </c>
      <c r="I131" s="18">
        <f t="shared" si="28"/>
        <v>5.9259259259258901E-3</v>
      </c>
      <c r="J131" s="18">
        <f t="shared" si="29"/>
        <v>-6.5837600585223477E-3</v>
      </c>
      <c r="K131" s="18" t="str">
        <f t="shared" si="30"/>
        <v>MAJA1</v>
      </c>
      <c r="L131" t="str">
        <f t="shared" si="31"/>
        <v>FEBRUARY-2-MAJA1</v>
      </c>
      <c r="M131">
        <f t="shared" si="32"/>
        <v>-1.4115067350108701E-2</v>
      </c>
      <c r="N131">
        <f t="shared" si="33"/>
        <v>-0.41646017702597238</v>
      </c>
      <c r="O131">
        <f t="shared" si="34"/>
        <v>1504511</v>
      </c>
      <c r="P131">
        <f t="shared" si="35"/>
        <v>1532581</v>
      </c>
      <c r="Q131">
        <f t="shared" ref="Q131:Q194" si="36">SUMIF($A$2:$A$1048576,A131,$F$2:$F$1048576)</f>
        <v>1515308</v>
      </c>
      <c r="R131" s="38">
        <f t="shared" ref="R131:R194" si="37">Q131/O131-1</f>
        <v>7.176418118578054E-3</v>
      </c>
      <c r="S131" s="38">
        <f t="shared" ref="S131:S194" si="38">Q131/P131-1</f>
        <v>-1.1270529910001548E-2</v>
      </c>
    </row>
    <row r="132" spans="1:19" x14ac:dyDescent="0.25">
      <c r="A132" s="13" t="s">
        <v>42</v>
      </c>
      <c r="B132">
        <v>2</v>
      </c>
      <c r="C132" t="s">
        <v>17</v>
      </c>
      <c r="D132">
        <v>2600</v>
      </c>
      <c r="E132">
        <v>2639</v>
      </c>
      <c r="F132">
        <v>2611</v>
      </c>
      <c r="G132">
        <f t="shared" si="26"/>
        <v>-28</v>
      </c>
      <c r="H132" s="18">
        <f t="shared" si="27"/>
        <v>11</v>
      </c>
      <c r="I132" s="18">
        <f t="shared" si="28"/>
        <v>4.2307692307692601E-3</v>
      </c>
      <c r="J132" s="18">
        <f t="shared" si="29"/>
        <v>-1.0610079575596787E-2</v>
      </c>
      <c r="K132" s="18" t="str">
        <f t="shared" si="30"/>
        <v>MAJA1</v>
      </c>
      <c r="L132" t="str">
        <f t="shared" si="31"/>
        <v>FEBRUARY-2-MAJA1</v>
      </c>
      <c r="M132">
        <f t="shared" si="32"/>
        <v>-1.4115067350108701E-2</v>
      </c>
      <c r="N132">
        <f t="shared" si="33"/>
        <v>-0.41646017702597238</v>
      </c>
      <c r="O132">
        <f t="shared" si="34"/>
        <v>1504511</v>
      </c>
      <c r="P132">
        <f t="shared" si="35"/>
        <v>1532581</v>
      </c>
      <c r="Q132">
        <f t="shared" si="36"/>
        <v>1515308</v>
      </c>
      <c r="R132" s="38">
        <f t="shared" si="37"/>
        <v>7.176418118578054E-3</v>
      </c>
      <c r="S132" s="38">
        <f t="shared" si="38"/>
        <v>-1.1270529910001548E-2</v>
      </c>
    </row>
    <row r="133" spans="1:19" x14ac:dyDescent="0.25">
      <c r="A133" s="13" t="s">
        <v>42</v>
      </c>
      <c r="B133">
        <v>2</v>
      </c>
      <c r="C133" t="s">
        <v>17</v>
      </c>
      <c r="D133">
        <v>1968</v>
      </c>
      <c r="E133">
        <v>1990</v>
      </c>
      <c r="F133">
        <v>1981</v>
      </c>
      <c r="G133">
        <f t="shared" si="26"/>
        <v>-9</v>
      </c>
      <c r="H133" s="18">
        <f t="shared" si="27"/>
        <v>13</v>
      </c>
      <c r="I133" s="18">
        <f t="shared" si="28"/>
        <v>6.6056910569105565E-3</v>
      </c>
      <c r="J133" s="18">
        <f t="shared" si="29"/>
        <v>-4.5226130653266416E-3</v>
      </c>
      <c r="K133" s="18" t="str">
        <f t="shared" si="30"/>
        <v>MAJA1</v>
      </c>
      <c r="L133" t="str">
        <f t="shared" si="31"/>
        <v>FEBRUARY-2-MAJA1</v>
      </c>
      <c r="M133">
        <f t="shared" si="32"/>
        <v>-1.4115067350108701E-2</v>
      </c>
      <c r="N133">
        <f t="shared" si="33"/>
        <v>-0.41646017702597238</v>
      </c>
      <c r="O133">
        <f t="shared" si="34"/>
        <v>1504511</v>
      </c>
      <c r="P133">
        <f t="shared" si="35"/>
        <v>1532581</v>
      </c>
      <c r="Q133">
        <f t="shared" si="36"/>
        <v>1515308</v>
      </c>
      <c r="R133" s="38">
        <f t="shared" si="37"/>
        <v>7.176418118578054E-3</v>
      </c>
      <c r="S133" s="38">
        <f t="shared" si="38"/>
        <v>-1.1270529910001548E-2</v>
      </c>
    </row>
    <row r="134" spans="1:19" x14ac:dyDescent="0.25">
      <c r="A134" s="13" t="s">
        <v>42</v>
      </c>
      <c r="B134">
        <v>2</v>
      </c>
      <c r="C134" t="s">
        <v>16</v>
      </c>
      <c r="D134">
        <v>860</v>
      </c>
      <c r="E134">
        <v>860</v>
      </c>
      <c r="F134">
        <v>860</v>
      </c>
      <c r="G134">
        <f t="shared" si="26"/>
        <v>0</v>
      </c>
      <c r="H134" s="18">
        <f t="shared" si="27"/>
        <v>0</v>
      </c>
      <c r="I134" s="18">
        <f t="shared" si="28"/>
        <v>0</v>
      </c>
      <c r="J134" s="18">
        <f t="shared" si="29"/>
        <v>0</v>
      </c>
      <c r="K134" s="18" t="str">
        <f t="shared" si="30"/>
        <v>CNJ2</v>
      </c>
      <c r="L134" t="str">
        <f t="shared" si="31"/>
        <v>FEBRUARY-2-CNJ2</v>
      </c>
      <c r="M134">
        <f t="shared" si="32"/>
        <v>0</v>
      </c>
      <c r="N134">
        <f t="shared" si="33"/>
        <v>-0.3276877271831673</v>
      </c>
      <c r="O134">
        <f t="shared" si="34"/>
        <v>1504511</v>
      </c>
      <c r="P134">
        <f t="shared" si="35"/>
        <v>1532581</v>
      </c>
      <c r="Q134">
        <f t="shared" si="36"/>
        <v>1515308</v>
      </c>
      <c r="R134" s="38">
        <f t="shared" si="37"/>
        <v>7.176418118578054E-3</v>
      </c>
      <c r="S134" s="38">
        <f t="shared" si="38"/>
        <v>-1.1270529910001548E-2</v>
      </c>
    </row>
    <row r="135" spans="1:19" x14ac:dyDescent="0.25">
      <c r="A135" s="13" t="s">
        <v>42</v>
      </c>
      <c r="B135">
        <v>2</v>
      </c>
      <c r="C135" t="s">
        <v>16</v>
      </c>
      <c r="D135">
        <v>2080</v>
      </c>
      <c r="E135">
        <v>2092</v>
      </c>
      <c r="F135">
        <v>2080</v>
      </c>
      <c r="G135">
        <f t="shared" si="26"/>
        <v>-12</v>
      </c>
      <c r="H135" s="18">
        <f t="shared" si="27"/>
        <v>0</v>
      </c>
      <c r="I135" s="18">
        <f t="shared" si="28"/>
        <v>0</v>
      </c>
      <c r="J135" s="18">
        <f t="shared" si="29"/>
        <v>-5.7361376673039643E-3</v>
      </c>
      <c r="K135" s="18" t="str">
        <f t="shared" si="30"/>
        <v>CNJ2</v>
      </c>
      <c r="L135" t="str">
        <f t="shared" si="31"/>
        <v>FEBRUARY-2-CNJ2</v>
      </c>
      <c r="M135">
        <f t="shared" si="32"/>
        <v>0</v>
      </c>
      <c r="N135">
        <f t="shared" si="33"/>
        <v>-0.3276877271831673</v>
      </c>
      <c r="O135">
        <f t="shared" si="34"/>
        <v>1504511</v>
      </c>
      <c r="P135">
        <f t="shared" si="35"/>
        <v>1532581</v>
      </c>
      <c r="Q135">
        <f t="shared" si="36"/>
        <v>1515308</v>
      </c>
      <c r="R135" s="38">
        <f t="shared" si="37"/>
        <v>7.176418118578054E-3</v>
      </c>
      <c r="S135" s="38">
        <f t="shared" si="38"/>
        <v>-1.1270529910001548E-2</v>
      </c>
    </row>
    <row r="136" spans="1:19" x14ac:dyDescent="0.25">
      <c r="A136" s="13" t="s">
        <v>42</v>
      </c>
      <c r="B136">
        <v>2</v>
      </c>
      <c r="C136" t="s">
        <v>16</v>
      </c>
      <c r="D136">
        <v>3710</v>
      </c>
      <c r="E136">
        <v>3762</v>
      </c>
      <c r="F136">
        <v>3710</v>
      </c>
      <c r="G136">
        <f t="shared" si="26"/>
        <v>-52</v>
      </c>
      <c r="H136" s="18">
        <f t="shared" si="27"/>
        <v>0</v>
      </c>
      <c r="I136" s="18">
        <f t="shared" si="28"/>
        <v>0</v>
      </c>
      <c r="J136" s="18">
        <f t="shared" si="29"/>
        <v>-1.3822434875066403E-2</v>
      </c>
      <c r="K136" s="18" t="str">
        <f t="shared" si="30"/>
        <v>CNJ2</v>
      </c>
      <c r="L136" t="str">
        <f t="shared" si="31"/>
        <v>FEBRUARY-2-CNJ2</v>
      </c>
      <c r="M136">
        <f t="shared" si="32"/>
        <v>0</v>
      </c>
      <c r="N136">
        <f t="shared" si="33"/>
        <v>-0.3276877271831673</v>
      </c>
      <c r="O136">
        <f t="shared" si="34"/>
        <v>1504511</v>
      </c>
      <c r="P136">
        <f t="shared" si="35"/>
        <v>1532581</v>
      </c>
      <c r="Q136">
        <f t="shared" si="36"/>
        <v>1515308</v>
      </c>
      <c r="R136" s="38">
        <f t="shared" si="37"/>
        <v>7.176418118578054E-3</v>
      </c>
      <c r="S136" s="38">
        <f t="shared" si="38"/>
        <v>-1.1270529910001548E-2</v>
      </c>
    </row>
    <row r="137" spans="1:19" x14ac:dyDescent="0.25">
      <c r="A137" s="13" t="s">
        <v>42</v>
      </c>
      <c r="B137">
        <v>2</v>
      </c>
      <c r="C137" t="s">
        <v>16</v>
      </c>
      <c r="D137">
        <v>1510</v>
      </c>
      <c r="E137">
        <v>1516</v>
      </c>
      <c r="F137">
        <v>1510</v>
      </c>
      <c r="G137">
        <f t="shared" si="26"/>
        <v>-6</v>
      </c>
      <c r="H137" s="18">
        <f t="shared" si="27"/>
        <v>0</v>
      </c>
      <c r="I137" s="18">
        <f t="shared" si="28"/>
        <v>0</v>
      </c>
      <c r="J137" s="18">
        <f t="shared" si="29"/>
        <v>-3.9577836411609502E-3</v>
      </c>
      <c r="K137" s="18" t="str">
        <f t="shared" si="30"/>
        <v>CNJ2</v>
      </c>
      <c r="L137" t="str">
        <f t="shared" si="31"/>
        <v>FEBRUARY-2-CNJ2</v>
      </c>
      <c r="M137">
        <f t="shared" si="32"/>
        <v>0</v>
      </c>
      <c r="N137">
        <f t="shared" si="33"/>
        <v>-0.3276877271831673</v>
      </c>
      <c r="O137">
        <f t="shared" si="34"/>
        <v>1504511</v>
      </c>
      <c r="P137">
        <f t="shared" si="35"/>
        <v>1532581</v>
      </c>
      <c r="Q137">
        <f t="shared" si="36"/>
        <v>1515308</v>
      </c>
      <c r="R137" s="38">
        <f t="shared" si="37"/>
        <v>7.176418118578054E-3</v>
      </c>
      <c r="S137" s="38">
        <f t="shared" si="38"/>
        <v>-1.1270529910001548E-2</v>
      </c>
    </row>
    <row r="138" spans="1:19" x14ac:dyDescent="0.25">
      <c r="A138" s="13" t="s">
        <v>42</v>
      </c>
      <c r="B138">
        <v>2</v>
      </c>
      <c r="C138" t="s">
        <v>16</v>
      </c>
      <c r="D138">
        <v>2620</v>
      </c>
      <c r="E138">
        <v>2643</v>
      </c>
      <c r="F138">
        <v>2620</v>
      </c>
      <c r="G138">
        <f t="shared" si="26"/>
        <v>-23</v>
      </c>
      <c r="H138" s="18">
        <f t="shared" si="27"/>
        <v>0</v>
      </c>
      <c r="I138" s="18">
        <f t="shared" si="28"/>
        <v>0</v>
      </c>
      <c r="J138" s="18">
        <f t="shared" si="29"/>
        <v>-8.702232311766922E-3</v>
      </c>
      <c r="K138" s="18" t="str">
        <f t="shared" si="30"/>
        <v>CNJ2</v>
      </c>
      <c r="L138" t="str">
        <f t="shared" si="31"/>
        <v>FEBRUARY-2-CNJ2</v>
      </c>
      <c r="M138">
        <f t="shared" si="32"/>
        <v>0</v>
      </c>
      <c r="N138">
        <f t="shared" si="33"/>
        <v>-0.3276877271831673</v>
      </c>
      <c r="O138">
        <f t="shared" si="34"/>
        <v>1504511</v>
      </c>
      <c r="P138">
        <f t="shared" si="35"/>
        <v>1532581</v>
      </c>
      <c r="Q138">
        <f t="shared" si="36"/>
        <v>1515308</v>
      </c>
      <c r="R138" s="38">
        <f t="shared" si="37"/>
        <v>7.176418118578054E-3</v>
      </c>
      <c r="S138" s="38">
        <f t="shared" si="38"/>
        <v>-1.1270529910001548E-2</v>
      </c>
    </row>
    <row r="139" spans="1:19" x14ac:dyDescent="0.25">
      <c r="A139" s="13" t="s">
        <v>42</v>
      </c>
      <c r="B139">
        <v>2</v>
      </c>
      <c r="C139" t="s">
        <v>16</v>
      </c>
      <c r="D139">
        <v>682</v>
      </c>
      <c r="E139">
        <v>748</v>
      </c>
      <c r="F139">
        <v>682</v>
      </c>
      <c r="G139">
        <f t="shared" si="26"/>
        <v>-66</v>
      </c>
      <c r="H139" s="18">
        <f t="shared" si="27"/>
        <v>0</v>
      </c>
      <c r="I139" s="18">
        <f t="shared" si="28"/>
        <v>0</v>
      </c>
      <c r="J139" s="18">
        <f t="shared" si="29"/>
        <v>-8.8235294117647078E-2</v>
      </c>
      <c r="K139" s="18" t="str">
        <f t="shared" si="30"/>
        <v>CNJ2</v>
      </c>
      <c r="L139" t="str">
        <f t="shared" si="31"/>
        <v>FEBRUARY-2-CNJ2</v>
      </c>
      <c r="M139">
        <f t="shared" si="32"/>
        <v>0</v>
      </c>
      <c r="N139">
        <f t="shared" si="33"/>
        <v>-0.3276877271831673</v>
      </c>
      <c r="O139">
        <f t="shared" si="34"/>
        <v>1504511</v>
      </c>
      <c r="P139">
        <f t="shared" si="35"/>
        <v>1532581</v>
      </c>
      <c r="Q139">
        <f t="shared" si="36"/>
        <v>1515308</v>
      </c>
      <c r="R139" s="38">
        <f t="shared" si="37"/>
        <v>7.176418118578054E-3</v>
      </c>
      <c r="S139" s="38">
        <f t="shared" si="38"/>
        <v>-1.1270529910001548E-2</v>
      </c>
    </row>
    <row r="140" spans="1:19" x14ac:dyDescent="0.25">
      <c r="A140" s="13" t="s">
        <v>42</v>
      </c>
      <c r="B140">
        <v>2</v>
      </c>
      <c r="C140" t="s">
        <v>16</v>
      </c>
      <c r="D140">
        <v>1189</v>
      </c>
      <c r="E140">
        <v>1215</v>
      </c>
      <c r="F140">
        <v>1189</v>
      </c>
      <c r="G140">
        <f t="shared" si="26"/>
        <v>-26</v>
      </c>
      <c r="H140" s="18">
        <f t="shared" si="27"/>
        <v>0</v>
      </c>
      <c r="I140" s="18">
        <f t="shared" si="28"/>
        <v>0</v>
      </c>
      <c r="J140" s="18">
        <f t="shared" si="29"/>
        <v>-2.1399176954732479E-2</v>
      </c>
      <c r="K140" s="18" t="str">
        <f t="shared" si="30"/>
        <v>CNJ2</v>
      </c>
      <c r="L140" t="str">
        <f t="shared" si="31"/>
        <v>FEBRUARY-2-CNJ2</v>
      </c>
      <c r="M140">
        <f t="shared" si="32"/>
        <v>0</v>
      </c>
      <c r="N140">
        <f t="shared" si="33"/>
        <v>-0.3276877271831673</v>
      </c>
      <c r="O140">
        <f t="shared" si="34"/>
        <v>1504511</v>
      </c>
      <c r="P140">
        <f t="shared" si="35"/>
        <v>1532581</v>
      </c>
      <c r="Q140">
        <f t="shared" si="36"/>
        <v>1515308</v>
      </c>
      <c r="R140" s="38">
        <f t="shared" si="37"/>
        <v>7.176418118578054E-3</v>
      </c>
      <c r="S140" s="38">
        <f t="shared" si="38"/>
        <v>-1.1270529910001548E-2</v>
      </c>
    </row>
    <row r="141" spans="1:19" x14ac:dyDescent="0.25">
      <c r="A141" s="13" t="s">
        <v>42</v>
      </c>
      <c r="B141">
        <v>2</v>
      </c>
      <c r="C141" t="s">
        <v>16</v>
      </c>
      <c r="D141">
        <v>612</v>
      </c>
      <c r="E141">
        <v>675</v>
      </c>
      <c r="F141">
        <v>612</v>
      </c>
      <c r="G141">
        <f t="shared" si="26"/>
        <v>-63</v>
      </c>
      <c r="H141" s="18">
        <f t="shared" si="27"/>
        <v>0</v>
      </c>
      <c r="I141" s="18">
        <f t="shared" si="28"/>
        <v>0</v>
      </c>
      <c r="J141" s="18">
        <f t="shared" si="29"/>
        <v>-9.3333333333333379E-2</v>
      </c>
      <c r="K141" s="18" t="str">
        <f t="shared" si="30"/>
        <v>CNJ2</v>
      </c>
      <c r="L141" t="str">
        <f t="shared" si="31"/>
        <v>FEBRUARY-2-CNJ2</v>
      </c>
      <c r="M141">
        <f t="shared" si="32"/>
        <v>0</v>
      </c>
      <c r="N141">
        <f t="shared" si="33"/>
        <v>-0.3276877271831673</v>
      </c>
      <c r="O141">
        <f t="shared" si="34"/>
        <v>1504511</v>
      </c>
      <c r="P141">
        <f t="shared" si="35"/>
        <v>1532581</v>
      </c>
      <c r="Q141">
        <f t="shared" si="36"/>
        <v>1515308</v>
      </c>
      <c r="R141" s="38">
        <f t="shared" si="37"/>
        <v>7.176418118578054E-3</v>
      </c>
      <c r="S141" s="38">
        <f t="shared" si="38"/>
        <v>-1.1270529910001548E-2</v>
      </c>
    </row>
    <row r="142" spans="1:19" x14ac:dyDescent="0.25">
      <c r="A142" s="13" t="s">
        <v>42</v>
      </c>
      <c r="B142">
        <v>2</v>
      </c>
      <c r="C142" t="s">
        <v>16</v>
      </c>
      <c r="D142">
        <v>309</v>
      </c>
      <c r="E142">
        <v>330</v>
      </c>
      <c r="F142">
        <v>309</v>
      </c>
      <c r="G142">
        <f t="shared" si="26"/>
        <v>-21</v>
      </c>
      <c r="H142" s="18">
        <f t="shared" si="27"/>
        <v>0</v>
      </c>
      <c r="I142" s="18">
        <f t="shared" si="28"/>
        <v>0</v>
      </c>
      <c r="J142" s="18">
        <f t="shared" si="29"/>
        <v>-6.3636363636363602E-2</v>
      </c>
      <c r="K142" s="18" t="str">
        <f t="shared" si="30"/>
        <v>CNJ2</v>
      </c>
      <c r="L142" t="str">
        <f t="shared" si="31"/>
        <v>FEBRUARY-2-CNJ2</v>
      </c>
      <c r="M142">
        <f t="shared" si="32"/>
        <v>0</v>
      </c>
      <c r="N142">
        <f t="shared" si="33"/>
        <v>-0.3276877271831673</v>
      </c>
      <c r="O142">
        <f t="shared" si="34"/>
        <v>1504511</v>
      </c>
      <c r="P142">
        <f t="shared" si="35"/>
        <v>1532581</v>
      </c>
      <c r="Q142">
        <f t="shared" si="36"/>
        <v>1515308</v>
      </c>
      <c r="R142" s="38">
        <f t="shared" si="37"/>
        <v>7.176418118578054E-3</v>
      </c>
      <c r="S142" s="38">
        <f t="shared" si="38"/>
        <v>-1.1270529910001548E-2</v>
      </c>
    </row>
    <row r="143" spans="1:19" x14ac:dyDescent="0.25">
      <c r="A143" s="13" t="s">
        <v>42</v>
      </c>
      <c r="B143">
        <v>2</v>
      </c>
      <c r="C143" t="s">
        <v>17</v>
      </c>
      <c r="D143">
        <v>7200</v>
      </c>
      <c r="E143">
        <v>7215</v>
      </c>
      <c r="F143">
        <v>7072</v>
      </c>
      <c r="G143">
        <f t="shared" si="26"/>
        <v>-143</v>
      </c>
      <c r="H143" s="18">
        <f t="shared" si="27"/>
        <v>-128</v>
      </c>
      <c r="I143" s="18">
        <f t="shared" si="28"/>
        <v>-1.7777777777777781E-2</v>
      </c>
      <c r="J143" s="18">
        <f t="shared" si="29"/>
        <v>-1.9819819819819839E-2</v>
      </c>
      <c r="K143" s="18" t="str">
        <f t="shared" si="30"/>
        <v>MAJA1</v>
      </c>
      <c r="L143" t="str">
        <f t="shared" si="31"/>
        <v>FEBRUARY-2-MAJA1</v>
      </c>
      <c r="M143">
        <f t="shared" si="32"/>
        <v>-1.4115067350108701E-2</v>
      </c>
      <c r="N143">
        <f t="shared" si="33"/>
        <v>-0.41646017702597238</v>
      </c>
      <c r="O143">
        <f t="shared" si="34"/>
        <v>1504511</v>
      </c>
      <c r="P143">
        <f t="shared" si="35"/>
        <v>1532581</v>
      </c>
      <c r="Q143">
        <f t="shared" si="36"/>
        <v>1515308</v>
      </c>
      <c r="R143" s="38">
        <f t="shared" si="37"/>
        <v>7.176418118578054E-3</v>
      </c>
      <c r="S143" s="38">
        <f t="shared" si="38"/>
        <v>-1.1270529910001548E-2</v>
      </c>
    </row>
    <row r="144" spans="1:19" x14ac:dyDescent="0.25">
      <c r="A144" s="13" t="s">
        <v>42</v>
      </c>
      <c r="B144">
        <v>2</v>
      </c>
      <c r="C144" t="s">
        <v>17</v>
      </c>
      <c r="D144">
        <v>360</v>
      </c>
      <c r="E144">
        <v>347</v>
      </c>
      <c r="F144">
        <v>342</v>
      </c>
      <c r="G144">
        <f t="shared" si="26"/>
        <v>-5</v>
      </c>
      <c r="H144" s="18">
        <f t="shared" si="27"/>
        <v>-18</v>
      </c>
      <c r="I144" s="18">
        <f t="shared" si="28"/>
        <v>-5.0000000000000044E-2</v>
      </c>
      <c r="J144" s="18">
        <f t="shared" si="29"/>
        <v>-1.4409221902017322E-2</v>
      </c>
      <c r="K144" s="18" t="str">
        <f t="shared" si="30"/>
        <v>MAJA1</v>
      </c>
      <c r="L144" t="str">
        <f t="shared" si="31"/>
        <v>FEBRUARY-2-MAJA1</v>
      </c>
      <c r="M144">
        <f t="shared" si="32"/>
        <v>-1.4115067350108701E-2</v>
      </c>
      <c r="N144">
        <f t="shared" si="33"/>
        <v>-0.41646017702597238</v>
      </c>
      <c r="O144">
        <f t="shared" si="34"/>
        <v>1504511</v>
      </c>
      <c r="P144">
        <f t="shared" si="35"/>
        <v>1532581</v>
      </c>
      <c r="Q144">
        <f t="shared" si="36"/>
        <v>1515308</v>
      </c>
      <c r="R144" s="38">
        <f t="shared" si="37"/>
        <v>7.176418118578054E-3</v>
      </c>
      <c r="S144" s="38">
        <f t="shared" si="38"/>
        <v>-1.1270529910001548E-2</v>
      </c>
    </row>
    <row r="145" spans="1:19" x14ac:dyDescent="0.25">
      <c r="A145" s="13" t="s">
        <v>42</v>
      </c>
      <c r="B145">
        <v>2</v>
      </c>
      <c r="C145" t="s">
        <v>17</v>
      </c>
      <c r="D145">
        <v>1800</v>
      </c>
      <c r="E145">
        <v>1852</v>
      </c>
      <c r="F145">
        <v>1800</v>
      </c>
      <c r="G145">
        <f t="shared" si="26"/>
        <v>-52</v>
      </c>
      <c r="H145" s="18">
        <f t="shared" si="27"/>
        <v>0</v>
      </c>
      <c r="I145" s="18">
        <f t="shared" si="28"/>
        <v>0</v>
      </c>
      <c r="J145" s="18">
        <f t="shared" si="29"/>
        <v>-2.8077753779697678E-2</v>
      </c>
      <c r="K145" s="18" t="str">
        <f t="shared" si="30"/>
        <v>MAJA1</v>
      </c>
      <c r="L145" t="str">
        <f t="shared" si="31"/>
        <v>FEBRUARY-2-MAJA1</v>
      </c>
      <c r="M145">
        <f t="shared" si="32"/>
        <v>-1.4115067350108701E-2</v>
      </c>
      <c r="N145">
        <f t="shared" si="33"/>
        <v>-0.41646017702597238</v>
      </c>
      <c r="O145">
        <f t="shared" si="34"/>
        <v>1504511</v>
      </c>
      <c r="P145">
        <f t="shared" si="35"/>
        <v>1532581</v>
      </c>
      <c r="Q145">
        <f t="shared" si="36"/>
        <v>1515308</v>
      </c>
      <c r="R145" s="38">
        <f t="shared" si="37"/>
        <v>7.176418118578054E-3</v>
      </c>
      <c r="S145" s="38">
        <f t="shared" si="38"/>
        <v>-1.1270529910001548E-2</v>
      </c>
    </row>
    <row r="146" spans="1:19" x14ac:dyDescent="0.25">
      <c r="A146" s="13" t="s">
        <v>42</v>
      </c>
      <c r="B146">
        <v>2</v>
      </c>
      <c r="C146" t="s">
        <v>17</v>
      </c>
      <c r="D146">
        <v>1836</v>
      </c>
      <c r="E146">
        <v>1920</v>
      </c>
      <c r="F146">
        <v>1836</v>
      </c>
      <c r="G146">
        <f t="shared" si="26"/>
        <v>-84</v>
      </c>
      <c r="H146" s="18">
        <f t="shared" si="27"/>
        <v>0</v>
      </c>
      <c r="I146" s="18">
        <f t="shared" si="28"/>
        <v>0</v>
      </c>
      <c r="J146" s="18">
        <f t="shared" si="29"/>
        <v>-4.3749999999999956E-2</v>
      </c>
      <c r="K146" s="18" t="str">
        <f t="shared" si="30"/>
        <v>MAJA1</v>
      </c>
      <c r="L146" t="str">
        <f t="shared" si="31"/>
        <v>FEBRUARY-2-MAJA1</v>
      </c>
      <c r="M146">
        <f t="shared" si="32"/>
        <v>-1.4115067350108701E-2</v>
      </c>
      <c r="N146">
        <f t="shared" si="33"/>
        <v>-0.41646017702597238</v>
      </c>
      <c r="O146">
        <f t="shared" si="34"/>
        <v>1504511</v>
      </c>
      <c r="P146">
        <f t="shared" si="35"/>
        <v>1532581</v>
      </c>
      <c r="Q146">
        <f t="shared" si="36"/>
        <v>1515308</v>
      </c>
      <c r="R146" s="38">
        <f t="shared" si="37"/>
        <v>7.176418118578054E-3</v>
      </c>
      <c r="S146" s="38">
        <f t="shared" si="38"/>
        <v>-1.1270529910001548E-2</v>
      </c>
    </row>
    <row r="147" spans="1:19" x14ac:dyDescent="0.25">
      <c r="A147" s="13" t="s">
        <v>42</v>
      </c>
      <c r="B147">
        <v>2</v>
      </c>
      <c r="C147" t="s">
        <v>17</v>
      </c>
      <c r="D147">
        <v>1800</v>
      </c>
      <c r="E147">
        <v>1873</v>
      </c>
      <c r="F147">
        <v>1800</v>
      </c>
      <c r="G147">
        <f t="shared" si="26"/>
        <v>-73</v>
      </c>
      <c r="H147" s="18">
        <f t="shared" si="27"/>
        <v>0</v>
      </c>
      <c r="I147" s="18">
        <f t="shared" si="28"/>
        <v>0</v>
      </c>
      <c r="J147" s="18">
        <f t="shared" si="29"/>
        <v>-3.8974906567004752E-2</v>
      </c>
      <c r="K147" s="18" t="str">
        <f t="shared" si="30"/>
        <v>MAJA1</v>
      </c>
      <c r="L147" t="str">
        <f t="shared" si="31"/>
        <v>FEBRUARY-2-MAJA1</v>
      </c>
      <c r="M147">
        <f t="shared" si="32"/>
        <v>-1.4115067350108701E-2</v>
      </c>
      <c r="N147">
        <f t="shared" si="33"/>
        <v>-0.41646017702597238</v>
      </c>
      <c r="O147">
        <f t="shared" si="34"/>
        <v>1504511</v>
      </c>
      <c r="P147">
        <f t="shared" si="35"/>
        <v>1532581</v>
      </c>
      <c r="Q147">
        <f t="shared" si="36"/>
        <v>1515308</v>
      </c>
      <c r="R147" s="38">
        <f t="shared" si="37"/>
        <v>7.176418118578054E-3</v>
      </c>
      <c r="S147" s="38">
        <f t="shared" si="38"/>
        <v>-1.1270529910001548E-2</v>
      </c>
    </row>
    <row r="148" spans="1:19" x14ac:dyDescent="0.25">
      <c r="A148" s="13" t="s">
        <v>42</v>
      </c>
      <c r="B148">
        <v>2</v>
      </c>
      <c r="C148" t="s">
        <v>17</v>
      </c>
      <c r="D148">
        <v>1800</v>
      </c>
      <c r="E148">
        <v>1874</v>
      </c>
      <c r="F148">
        <v>1800</v>
      </c>
      <c r="G148">
        <f t="shared" si="26"/>
        <v>-74</v>
      </c>
      <c r="H148" s="18">
        <f t="shared" si="27"/>
        <v>0</v>
      </c>
      <c r="I148" s="18">
        <f t="shared" si="28"/>
        <v>0</v>
      </c>
      <c r="J148" s="18">
        <f t="shared" si="29"/>
        <v>-3.9487726787620026E-2</v>
      </c>
      <c r="K148" s="18" t="str">
        <f t="shared" si="30"/>
        <v>MAJA1</v>
      </c>
      <c r="L148" t="str">
        <f t="shared" si="31"/>
        <v>FEBRUARY-2-MAJA1</v>
      </c>
      <c r="M148">
        <f t="shared" si="32"/>
        <v>-1.4115067350108701E-2</v>
      </c>
      <c r="N148">
        <f t="shared" si="33"/>
        <v>-0.41646017702597238</v>
      </c>
      <c r="O148">
        <f t="shared" si="34"/>
        <v>1504511</v>
      </c>
      <c r="P148">
        <f t="shared" si="35"/>
        <v>1532581</v>
      </c>
      <c r="Q148">
        <f t="shared" si="36"/>
        <v>1515308</v>
      </c>
      <c r="R148" s="38">
        <f t="shared" si="37"/>
        <v>7.176418118578054E-3</v>
      </c>
      <c r="S148" s="38">
        <f t="shared" si="38"/>
        <v>-1.1270529910001548E-2</v>
      </c>
    </row>
    <row r="149" spans="1:19" x14ac:dyDescent="0.25">
      <c r="A149" s="13" t="s">
        <v>42</v>
      </c>
      <c r="B149">
        <v>2</v>
      </c>
      <c r="C149" t="s">
        <v>20</v>
      </c>
      <c r="D149">
        <v>4536</v>
      </c>
      <c r="E149">
        <v>4553</v>
      </c>
      <c r="F149">
        <v>4536</v>
      </c>
      <c r="G149">
        <f t="shared" si="26"/>
        <v>-17</v>
      </c>
      <c r="H149" s="18">
        <f t="shared" si="27"/>
        <v>0</v>
      </c>
      <c r="I149" s="18">
        <f t="shared" si="28"/>
        <v>0</v>
      </c>
      <c r="J149" s="18">
        <f t="shared" si="29"/>
        <v>-3.7338018888645186E-3</v>
      </c>
      <c r="K149" s="18" t="str">
        <f t="shared" si="30"/>
        <v>GM2</v>
      </c>
      <c r="L149" t="str">
        <f t="shared" si="31"/>
        <v>FEBRUARY-2-GM2</v>
      </c>
      <c r="M149">
        <f t="shared" si="32"/>
        <v>0.33919502201993978</v>
      </c>
      <c r="N149">
        <f t="shared" si="33"/>
        <v>-0.41437684178720191</v>
      </c>
      <c r="O149">
        <f t="shared" si="34"/>
        <v>1504511</v>
      </c>
      <c r="P149">
        <f t="shared" si="35"/>
        <v>1532581</v>
      </c>
      <c r="Q149">
        <f t="shared" si="36"/>
        <v>1515308</v>
      </c>
      <c r="R149" s="38">
        <f t="shared" si="37"/>
        <v>7.176418118578054E-3</v>
      </c>
      <c r="S149" s="38">
        <f t="shared" si="38"/>
        <v>-1.1270529910001548E-2</v>
      </c>
    </row>
    <row r="150" spans="1:19" x14ac:dyDescent="0.25">
      <c r="A150" s="13" t="s">
        <v>42</v>
      </c>
      <c r="B150">
        <v>2</v>
      </c>
      <c r="C150" t="s">
        <v>20</v>
      </c>
      <c r="D150">
        <v>4644</v>
      </c>
      <c r="E150">
        <v>4653</v>
      </c>
      <c r="F150">
        <v>4644</v>
      </c>
      <c r="G150">
        <f t="shared" si="26"/>
        <v>-9</v>
      </c>
      <c r="H150" s="18">
        <f t="shared" si="27"/>
        <v>0</v>
      </c>
      <c r="I150" s="18">
        <f t="shared" si="28"/>
        <v>0</v>
      </c>
      <c r="J150" s="18">
        <f t="shared" si="29"/>
        <v>-1.9342359767892114E-3</v>
      </c>
      <c r="K150" s="18" t="str">
        <f t="shared" si="30"/>
        <v>GM2</v>
      </c>
      <c r="L150" t="str">
        <f t="shared" si="31"/>
        <v>FEBRUARY-2-GM2</v>
      </c>
      <c r="M150">
        <f t="shared" si="32"/>
        <v>0.33919502201993978</v>
      </c>
      <c r="N150">
        <f t="shared" si="33"/>
        <v>-0.41437684178720191</v>
      </c>
      <c r="O150">
        <f t="shared" si="34"/>
        <v>1504511</v>
      </c>
      <c r="P150">
        <f t="shared" si="35"/>
        <v>1532581</v>
      </c>
      <c r="Q150">
        <f t="shared" si="36"/>
        <v>1515308</v>
      </c>
      <c r="R150" s="38">
        <f t="shared" si="37"/>
        <v>7.176418118578054E-3</v>
      </c>
      <c r="S150" s="38">
        <f t="shared" si="38"/>
        <v>-1.1270529910001548E-2</v>
      </c>
    </row>
    <row r="151" spans="1:19" x14ac:dyDescent="0.25">
      <c r="A151" s="13" t="s">
        <v>42</v>
      </c>
      <c r="B151">
        <v>2</v>
      </c>
      <c r="C151" t="s">
        <v>20</v>
      </c>
      <c r="D151">
        <v>1080</v>
      </c>
      <c r="E151">
        <v>1080</v>
      </c>
      <c r="F151">
        <v>1080</v>
      </c>
      <c r="G151">
        <f t="shared" si="26"/>
        <v>0</v>
      </c>
      <c r="H151" s="18">
        <f t="shared" si="27"/>
        <v>0</v>
      </c>
      <c r="I151" s="18">
        <f t="shared" si="28"/>
        <v>0</v>
      </c>
      <c r="J151" s="18">
        <f t="shared" si="29"/>
        <v>0</v>
      </c>
      <c r="K151" s="18" t="str">
        <f t="shared" si="30"/>
        <v>GM2</v>
      </c>
      <c r="L151" t="str">
        <f t="shared" si="31"/>
        <v>FEBRUARY-2-GM2</v>
      </c>
      <c r="M151">
        <f t="shared" si="32"/>
        <v>0.33919502201993978</v>
      </c>
      <c r="N151">
        <f t="shared" si="33"/>
        <v>-0.41437684178720191</v>
      </c>
      <c r="O151">
        <f t="shared" si="34"/>
        <v>1504511</v>
      </c>
      <c r="P151">
        <f t="shared" si="35"/>
        <v>1532581</v>
      </c>
      <c r="Q151">
        <f t="shared" si="36"/>
        <v>1515308</v>
      </c>
      <c r="R151" s="38">
        <f t="shared" si="37"/>
        <v>7.176418118578054E-3</v>
      </c>
      <c r="S151" s="38">
        <f t="shared" si="38"/>
        <v>-1.1270529910001548E-2</v>
      </c>
    </row>
    <row r="152" spans="1:19" x14ac:dyDescent="0.25">
      <c r="A152" s="13" t="s">
        <v>42</v>
      </c>
      <c r="B152">
        <v>2</v>
      </c>
      <c r="C152" t="s">
        <v>20</v>
      </c>
      <c r="D152">
        <v>5940</v>
      </c>
      <c r="E152">
        <v>6057</v>
      </c>
      <c r="F152">
        <v>6009</v>
      </c>
      <c r="G152">
        <f t="shared" si="26"/>
        <v>-48</v>
      </c>
      <c r="H152" s="18">
        <f t="shared" si="27"/>
        <v>69</v>
      </c>
      <c r="I152" s="18">
        <f t="shared" si="28"/>
        <v>1.1616161616161635E-2</v>
      </c>
      <c r="J152" s="18">
        <f t="shared" si="29"/>
        <v>-7.9247152055472725E-3</v>
      </c>
      <c r="K152" s="18" t="str">
        <f t="shared" si="30"/>
        <v>GM2</v>
      </c>
      <c r="L152" t="str">
        <f t="shared" si="31"/>
        <v>FEBRUARY-2-GM2</v>
      </c>
      <c r="M152">
        <f t="shared" si="32"/>
        <v>0.33919502201993978</v>
      </c>
      <c r="N152">
        <f t="shared" si="33"/>
        <v>-0.41437684178720191</v>
      </c>
      <c r="O152">
        <f t="shared" si="34"/>
        <v>1504511</v>
      </c>
      <c r="P152">
        <f t="shared" si="35"/>
        <v>1532581</v>
      </c>
      <c r="Q152">
        <f t="shared" si="36"/>
        <v>1515308</v>
      </c>
      <c r="R152" s="38">
        <f t="shared" si="37"/>
        <v>7.176418118578054E-3</v>
      </c>
      <c r="S152" s="38">
        <f t="shared" si="38"/>
        <v>-1.1270529910001548E-2</v>
      </c>
    </row>
    <row r="153" spans="1:19" x14ac:dyDescent="0.25">
      <c r="A153" s="13" t="s">
        <v>42</v>
      </c>
      <c r="B153">
        <v>2</v>
      </c>
      <c r="C153" t="s">
        <v>20</v>
      </c>
      <c r="D153">
        <v>1080</v>
      </c>
      <c r="E153">
        <v>1101</v>
      </c>
      <c r="F153">
        <v>1101</v>
      </c>
      <c r="G153">
        <f t="shared" si="26"/>
        <v>0</v>
      </c>
      <c r="H153" s="18">
        <f t="shared" si="27"/>
        <v>21</v>
      </c>
      <c r="I153" s="18">
        <f t="shared" si="28"/>
        <v>1.9444444444444375E-2</v>
      </c>
      <c r="J153" s="18">
        <f t="shared" si="29"/>
        <v>0</v>
      </c>
      <c r="K153" s="18" t="str">
        <f t="shared" si="30"/>
        <v>GM2</v>
      </c>
      <c r="L153" t="str">
        <f t="shared" si="31"/>
        <v>FEBRUARY-2-GM2</v>
      </c>
      <c r="M153">
        <f t="shared" si="32"/>
        <v>0.33919502201993978</v>
      </c>
      <c r="N153">
        <f t="shared" si="33"/>
        <v>-0.41437684178720191</v>
      </c>
      <c r="O153">
        <f t="shared" si="34"/>
        <v>1504511</v>
      </c>
      <c r="P153">
        <f t="shared" si="35"/>
        <v>1532581</v>
      </c>
      <c r="Q153">
        <f t="shared" si="36"/>
        <v>1515308</v>
      </c>
      <c r="R153" s="38">
        <f t="shared" si="37"/>
        <v>7.176418118578054E-3</v>
      </c>
      <c r="S153" s="38">
        <f t="shared" si="38"/>
        <v>-1.1270529910001548E-2</v>
      </c>
    </row>
    <row r="154" spans="1:19" x14ac:dyDescent="0.25">
      <c r="A154" s="13" t="s">
        <v>42</v>
      </c>
      <c r="B154">
        <v>2</v>
      </c>
      <c r="C154" t="s">
        <v>20</v>
      </c>
      <c r="D154">
        <v>7020</v>
      </c>
      <c r="E154">
        <v>7166</v>
      </c>
      <c r="F154">
        <v>7098</v>
      </c>
      <c r="G154">
        <f t="shared" si="26"/>
        <v>-68</v>
      </c>
      <c r="H154" s="18">
        <f t="shared" si="27"/>
        <v>78</v>
      </c>
      <c r="I154" s="18">
        <f t="shared" si="28"/>
        <v>1.1111111111111072E-2</v>
      </c>
      <c r="J154" s="18">
        <f t="shared" si="29"/>
        <v>-9.4892548144013267E-3</v>
      </c>
      <c r="K154" s="18" t="str">
        <f t="shared" si="30"/>
        <v>GM2</v>
      </c>
      <c r="L154" t="str">
        <f t="shared" si="31"/>
        <v>FEBRUARY-2-GM2</v>
      </c>
      <c r="M154">
        <f t="shared" si="32"/>
        <v>0.33919502201993978</v>
      </c>
      <c r="N154">
        <f t="shared" si="33"/>
        <v>-0.41437684178720191</v>
      </c>
      <c r="O154">
        <f t="shared" si="34"/>
        <v>1504511</v>
      </c>
      <c r="P154">
        <f t="shared" si="35"/>
        <v>1532581</v>
      </c>
      <c r="Q154">
        <f t="shared" si="36"/>
        <v>1515308</v>
      </c>
      <c r="R154" s="38">
        <f t="shared" si="37"/>
        <v>7.176418118578054E-3</v>
      </c>
      <c r="S154" s="38">
        <f t="shared" si="38"/>
        <v>-1.1270529910001548E-2</v>
      </c>
    </row>
    <row r="155" spans="1:19" x14ac:dyDescent="0.25">
      <c r="A155" s="13" t="s">
        <v>42</v>
      </c>
      <c r="B155">
        <v>2</v>
      </c>
      <c r="C155" t="s">
        <v>20</v>
      </c>
      <c r="D155">
        <v>4320</v>
      </c>
      <c r="E155">
        <v>4404</v>
      </c>
      <c r="F155">
        <v>4377</v>
      </c>
      <c r="G155">
        <f t="shared" si="26"/>
        <v>-27</v>
      </c>
      <c r="H155" s="18">
        <f t="shared" si="27"/>
        <v>57</v>
      </c>
      <c r="I155" s="18">
        <f t="shared" si="28"/>
        <v>1.3194444444444509E-2</v>
      </c>
      <c r="J155" s="18">
        <f t="shared" si="29"/>
        <v>-6.1307901907357021E-3</v>
      </c>
      <c r="K155" s="18" t="str">
        <f t="shared" si="30"/>
        <v>GM2</v>
      </c>
      <c r="L155" t="str">
        <f t="shared" si="31"/>
        <v>FEBRUARY-2-GM2</v>
      </c>
      <c r="M155">
        <f t="shared" si="32"/>
        <v>0.33919502201993978</v>
      </c>
      <c r="N155">
        <f t="shared" si="33"/>
        <v>-0.41437684178720191</v>
      </c>
      <c r="O155">
        <f t="shared" si="34"/>
        <v>1504511</v>
      </c>
      <c r="P155">
        <f t="shared" si="35"/>
        <v>1532581</v>
      </c>
      <c r="Q155">
        <f t="shared" si="36"/>
        <v>1515308</v>
      </c>
      <c r="R155" s="38">
        <f t="shared" si="37"/>
        <v>7.176418118578054E-3</v>
      </c>
      <c r="S155" s="38">
        <f t="shared" si="38"/>
        <v>-1.1270529910001548E-2</v>
      </c>
    </row>
    <row r="156" spans="1:19" x14ac:dyDescent="0.25">
      <c r="A156" s="13" t="s">
        <v>42</v>
      </c>
      <c r="B156">
        <v>2</v>
      </c>
      <c r="C156" t="s">
        <v>20</v>
      </c>
      <c r="D156">
        <v>5076</v>
      </c>
      <c r="E156">
        <v>5235</v>
      </c>
      <c r="F156">
        <v>5076</v>
      </c>
      <c r="G156">
        <f t="shared" si="26"/>
        <v>-159</v>
      </c>
      <c r="H156" s="18">
        <f t="shared" si="27"/>
        <v>0</v>
      </c>
      <c r="I156" s="18">
        <f t="shared" si="28"/>
        <v>0</v>
      </c>
      <c r="J156" s="18">
        <f t="shared" si="29"/>
        <v>-3.0372492836676201E-2</v>
      </c>
      <c r="K156" s="18" t="str">
        <f t="shared" si="30"/>
        <v>GM2</v>
      </c>
      <c r="L156" t="str">
        <f t="shared" si="31"/>
        <v>FEBRUARY-2-GM2</v>
      </c>
      <c r="M156">
        <f t="shared" si="32"/>
        <v>0.33919502201993978</v>
      </c>
      <c r="N156">
        <f t="shared" si="33"/>
        <v>-0.41437684178720191</v>
      </c>
      <c r="O156">
        <f t="shared" si="34"/>
        <v>1504511</v>
      </c>
      <c r="P156">
        <f t="shared" si="35"/>
        <v>1532581</v>
      </c>
      <c r="Q156">
        <f t="shared" si="36"/>
        <v>1515308</v>
      </c>
      <c r="R156" s="38">
        <f t="shared" si="37"/>
        <v>7.176418118578054E-3</v>
      </c>
      <c r="S156" s="38">
        <f t="shared" si="38"/>
        <v>-1.1270529910001548E-2</v>
      </c>
    </row>
    <row r="157" spans="1:19" x14ac:dyDescent="0.25">
      <c r="A157" s="13" t="s">
        <v>42</v>
      </c>
      <c r="B157">
        <v>2</v>
      </c>
      <c r="C157" t="s">
        <v>20</v>
      </c>
      <c r="D157">
        <v>1080</v>
      </c>
      <c r="E157">
        <v>1080</v>
      </c>
      <c r="F157">
        <v>1080</v>
      </c>
      <c r="G157">
        <f t="shared" si="26"/>
        <v>0</v>
      </c>
      <c r="H157" s="18">
        <f t="shared" si="27"/>
        <v>0</v>
      </c>
      <c r="I157" s="18">
        <f t="shared" si="28"/>
        <v>0</v>
      </c>
      <c r="J157" s="18">
        <f t="shared" si="29"/>
        <v>0</v>
      </c>
      <c r="K157" s="18" t="str">
        <f t="shared" si="30"/>
        <v>GM2</v>
      </c>
      <c r="L157" t="str">
        <f t="shared" si="31"/>
        <v>FEBRUARY-2-GM2</v>
      </c>
      <c r="M157">
        <f t="shared" si="32"/>
        <v>0.33919502201993978</v>
      </c>
      <c r="N157">
        <f t="shared" si="33"/>
        <v>-0.41437684178720191</v>
      </c>
      <c r="O157">
        <f t="shared" si="34"/>
        <v>1504511</v>
      </c>
      <c r="P157">
        <f t="shared" si="35"/>
        <v>1532581</v>
      </c>
      <c r="Q157">
        <f t="shared" si="36"/>
        <v>1515308</v>
      </c>
      <c r="R157" s="38">
        <f t="shared" si="37"/>
        <v>7.176418118578054E-3</v>
      </c>
      <c r="S157" s="38">
        <f t="shared" si="38"/>
        <v>-1.1270529910001548E-2</v>
      </c>
    </row>
    <row r="158" spans="1:19" x14ac:dyDescent="0.25">
      <c r="A158" s="13" t="s">
        <v>42</v>
      </c>
      <c r="B158">
        <v>2</v>
      </c>
      <c r="C158" t="s">
        <v>20</v>
      </c>
      <c r="D158">
        <v>4320</v>
      </c>
      <c r="E158">
        <v>4329</v>
      </c>
      <c r="F158">
        <v>4281</v>
      </c>
      <c r="G158">
        <f t="shared" si="26"/>
        <v>-48</v>
      </c>
      <c r="H158" s="18">
        <f t="shared" si="27"/>
        <v>-39</v>
      </c>
      <c r="I158" s="18">
        <f t="shared" si="28"/>
        <v>-9.0277777777777457E-3</v>
      </c>
      <c r="J158" s="18">
        <f t="shared" si="29"/>
        <v>-1.1088011088011052E-2</v>
      </c>
      <c r="K158" s="18" t="str">
        <f t="shared" si="30"/>
        <v>GM2</v>
      </c>
      <c r="L158" t="str">
        <f t="shared" si="31"/>
        <v>FEBRUARY-2-GM2</v>
      </c>
      <c r="M158">
        <f t="shared" si="32"/>
        <v>0.33919502201993978</v>
      </c>
      <c r="N158">
        <f t="shared" si="33"/>
        <v>-0.41437684178720191</v>
      </c>
      <c r="O158">
        <f t="shared" si="34"/>
        <v>1504511</v>
      </c>
      <c r="P158">
        <f t="shared" si="35"/>
        <v>1532581</v>
      </c>
      <c r="Q158">
        <f t="shared" si="36"/>
        <v>1515308</v>
      </c>
      <c r="R158" s="38">
        <f t="shared" si="37"/>
        <v>7.176418118578054E-3</v>
      </c>
      <c r="S158" s="38">
        <f t="shared" si="38"/>
        <v>-1.1270529910001548E-2</v>
      </c>
    </row>
    <row r="159" spans="1:19" x14ac:dyDescent="0.25">
      <c r="A159" s="13" t="s">
        <v>42</v>
      </c>
      <c r="B159">
        <v>2</v>
      </c>
      <c r="C159" t="s">
        <v>17</v>
      </c>
      <c r="D159">
        <v>4428</v>
      </c>
      <c r="E159">
        <v>4562</v>
      </c>
      <c r="F159">
        <v>4428</v>
      </c>
      <c r="G159">
        <f t="shared" si="26"/>
        <v>-134</v>
      </c>
      <c r="H159" s="18">
        <f t="shared" si="27"/>
        <v>0</v>
      </c>
      <c r="I159" s="18">
        <f t="shared" si="28"/>
        <v>0</v>
      </c>
      <c r="J159" s="18">
        <f t="shared" si="29"/>
        <v>-2.9373081981587057E-2</v>
      </c>
      <c r="K159" s="18" t="str">
        <f t="shared" si="30"/>
        <v>MAJA1</v>
      </c>
      <c r="L159" t="str">
        <f t="shared" si="31"/>
        <v>FEBRUARY-2-MAJA1</v>
      </c>
      <c r="M159">
        <f t="shared" si="32"/>
        <v>-1.4115067350108701E-2</v>
      </c>
      <c r="N159">
        <f t="shared" si="33"/>
        <v>-0.41646017702597238</v>
      </c>
      <c r="O159">
        <f t="shared" si="34"/>
        <v>1504511</v>
      </c>
      <c r="P159">
        <f t="shared" si="35"/>
        <v>1532581</v>
      </c>
      <c r="Q159">
        <f t="shared" si="36"/>
        <v>1515308</v>
      </c>
      <c r="R159" s="38">
        <f t="shared" si="37"/>
        <v>7.176418118578054E-3</v>
      </c>
      <c r="S159" s="38">
        <f t="shared" si="38"/>
        <v>-1.1270529910001548E-2</v>
      </c>
    </row>
    <row r="160" spans="1:19" x14ac:dyDescent="0.25">
      <c r="A160" s="13" t="s">
        <v>42</v>
      </c>
      <c r="B160">
        <v>2</v>
      </c>
      <c r="C160" t="s">
        <v>17</v>
      </c>
      <c r="D160">
        <v>1080</v>
      </c>
      <c r="E160">
        <v>1115</v>
      </c>
      <c r="F160">
        <v>1080</v>
      </c>
      <c r="G160">
        <f t="shared" si="26"/>
        <v>-35</v>
      </c>
      <c r="H160" s="18">
        <f t="shared" si="27"/>
        <v>0</v>
      </c>
      <c r="I160" s="18">
        <f t="shared" si="28"/>
        <v>0</v>
      </c>
      <c r="J160" s="18">
        <f t="shared" si="29"/>
        <v>-3.1390134529147962E-2</v>
      </c>
      <c r="K160" s="18" t="str">
        <f t="shared" si="30"/>
        <v>MAJA1</v>
      </c>
      <c r="L160" t="str">
        <f t="shared" si="31"/>
        <v>FEBRUARY-2-MAJA1</v>
      </c>
      <c r="M160">
        <f t="shared" si="32"/>
        <v>-1.4115067350108701E-2</v>
      </c>
      <c r="N160">
        <f t="shared" si="33"/>
        <v>-0.41646017702597238</v>
      </c>
      <c r="O160">
        <f t="shared" si="34"/>
        <v>1504511</v>
      </c>
      <c r="P160">
        <f t="shared" si="35"/>
        <v>1532581</v>
      </c>
      <c r="Q160">
        <f t="shared" si="36"/>
        <v>1515308</v>
      </c>
      <c r="R160" s="38">
        <f t="shared" si="37"/>
        <v>7.176418118578054E-3</v>
      </c>
      <c r="S160" s="38">
        <f t="shared" si="38"/>
        <v>-1.1270529910001548E-2</v>
      </c>
    </row>
    <row r="161" spans="1:19" x14ac:dyDescent="0.25">
      <c r="A161" s="13" t="s">
        <v>42</v>
      </c>
      <c r="B161">
        <v>2</v>
      </c>
      <c r="C161" t="s">
        <v>20</v>
      </c>
      <c r="D161">
        <v>4644</v>
      </c>
      <c r="E161">
        <v>4795</v>
      </c>
      <c r="F161">
        <v>4653</v>
      </c>
      <c r="G161">
        <f t="shared" si="26"/>
        <v>-142</v>
      </c>
      <c r="H161" s="18">
        <f t="shared" si="27"/>
        <v>9</v>
      </c>
      <c r="I161" s="18">
        <f t="shared" si="28"/>
        <v>1.9379844961240345E-3</v>
      </c>
      <c r="J161" s="18">
        <f t="shared" si="29"/>
        <v>-2.9614181438998965E-2</v>
      </c>
      <c r="K161" s="18" t="str">
        <f t="shared" si="30"/>
        <v>GM2</v>
      </c>
      <c r="L161" t="str">
        <f t="shared" si="31"/>
        <v>FEBRUARY-2-GM2</v>
      </c>
      <c r="M161">
        <f t="shared" si="32"/>
        <v>0.33919502201993978</v>
      </c>
      <c r="N161">
        <f t="shared" si="33"/>
        <v>-0.41437684178720191</v>
      </c>
      <c r="O161">
        <f t="shared" si="34"/>
        <v>1504511</v>
      </c>
      <c r="P161">
        <f t="shared" si="35"/>
        <v>1532581</v>
      </c>
      <c r="Q161">
        <f t="shared" si="36"/>
        <v>1515308</v>
      </c>
      <c r="R161" s="38">
        <f t="shared" si="37"/>
        <v>7.176418118578054E-3</v>
      </c>
      <c r="S161" s="38">
        <f t="shared" si="38"/>
        <v>-1.1270529910001548E-2</v>
      </c>
    </row>
    <row r="162" spans="1:19" x14ac:dyDescent="0.25">
      <c r="A162" s="13" t="s">
        <v>42</v>
      </c>
      <c r="B162">
        <v>2</v>
      </c>
      <c r="C162" t="s">
        <v>20</v>
      </c>
      <c r="D162">
        <v>3888</v>
      </c>
      <c r="E162">
        <v>3899</v>
      </c>
      <c r="F162">
        <v>3873</v>
      </c>
      <c r="G162">
        <f t="shared" si="26"/>
        <v>-26</v>
      </c>
      <c r="H162" s="18">
        <f t="shared" si="27"/>
        <v>-15</v>
      </c>
      <c r="I162" s="18">
        <f t="shared" si="28"/>
        <v>-3.8580246913579863E-3</v>
      </c>
      <c r="J162" s="18">
        <f t="shared" si="29"/>
        <v>-6.6683765067966361E-3</v>
      </c>
      <c r="K162" s="18" t="str">
        <f t="shared" si="30"/>
        <v>GM2</v>
      </c>
      <c r="L162" t="str">
        <f t="shared" si="31"/>
        <v>FEBRUARY-2-GM2</v>
      </c>
      <c r="M162">
        <f t="shared" si="32"/>
        <v>0.33919502201993978</v>
      </c>
      <c r="N162">
        <f t="shared" si="33"/>
        <v>-0.41437684178720191</v>
      </c>
      <c r="O162">
        <f t="shared" si="34"/>
        <v>1504511</v>
      </c>
      <c r="P162">
        <f t="shared" si="35"/>
        <v>1532581</v>
      </c>
      <c r="Q162">
        <f t="shared" si="36"/>
        <v>1515308</v>
      </c>
      <c r="R162" s="38">
        <f t="shared" si="37"/>
        <v>7.176418118578054E-3</v>
      </c>
      <c r="S162" s="38">
        <f t="shared" si="38"/>
        <v>-1.1270529910001548E-2</v>
      </c>
    </row>
    <row r="163" spans="1:19" x14ac:dyDescent="0.25">
      <c r="A163" s="13" t="s">
        <v>42</v>
      </c>
      <c r="B163">
        <v>2</v>
      </c>
      <c r="C163" t="s">
        <v>20</v>
      </c>
      <c r="D163">
        <v>6912</v>
      </c>
      <c r="E163">
        <v>7095</v>
      </c>
      <c r="F163">
        <v>6912</v>
      </c>
      <c r="G163">
        <f t="shared" si="26"/>
        <v>-183</v>
      </c>
      <c r="H163" s="18">
        <f t="shared" si="27"/>
        <v>0</v>
      </c>
      <c r="I163" s="18">
        <f t="shared" si="28"/>
        <v>0</v>
      </c>
      <c r="J163" s="18">
        <f t="shared" si="29"/>
        <v>-2.5792811839323471E-2</v>
      </c>
      <c r="K163" s="18" t="str">
        <f t="shared" si="30"/>
        <v>GM2</v>
      </c>
      <c r="L163" t="str">
        <f t="shared" si="31"/>
        <v>FEBRUARY-2-GM2</v>
      </c>
      <c r="M163">
        <f t="shared" si="32"/>
        <v>0.33919502201993978</v>
      </c>
      <c r="N163">
        <f t="shared" si="33"/>
        <v>-0.41437684178720191</v>
      </c>
      <c r="O163">
        <f t="shared" si="34"/>
        <v>1504511</v>
      </c>
      <c r="P163">
        <f t="shared" si="35"/>
        <v>1532581</v>
      </c>
      <c r="Q163">
        <f t="shared" si="36"/>
        <v>1515308</v>
      </c>
      <c r="R163" s="38">
        <f t="shared" si="37"/>
        <v>7.176418118578054E-3</v>
      </c>
      <c r="S163" s="38">
        <f t="shared" si="38"/>
        <v>-1.1270529910001548E-2</v>
      </c>
    </row>
    <row r="164" spans="1:19" x14ac:dyDescent="0.25">
      <c r="A164" s="13" t="s">
        <v>42</v>
      </c>
      <c r="B164">
        <v>2</v>
      </c>
      <c r="C164" t="s">
        <v>20</v>
      </c>
      <c r="D164">
        <v>3456</v>
      </c>
      <c r="E164">
        <v>3561</v>
      </c>
      <c r="F164">
        <v>3516</v>
      </c>
      <c r="G164">
        <f t="shared" si="26"/>
        <v>-45</v>
      </c>
      <c r="H164" s="18">
        <f t="shared" si="27"/>
        <v>60</v>
      </c>
      <c r="I164" s="18">
        <f t="shared" si="28"/>
        <v>1.736111111111116E-2</v>
      </c>
      <c r="J164" s="18">
        <f t="shared" si="29"/>
        <v>-1.2636899747262009E-2</v>
      </c>
      <c r="K164" s="18" t="str">
        <f t="shared" si="30"/>
        <v>GM2</v>
      </c>
      <c r="L164" t="str">
        <f t="shared" si="31"/>
        <v>FEBRUARY-2-GM2</v>
      </c>
      <c r="M164">
        <f t="shared" si="32"/>
        <v>0.33919502201993978</v>
      </c>
      <c r="N164">
        <f t="shared" si="33"/>
        <v>-0.41437684178720191</v>
      </c>
      <c r="O164">
        <f t="shared" si="34"/>
        <v>1504511</v>
      </c>
      <c r="P164">
        <f t="shared" si="35"/>
        <v>1532581</v>
      </c>
      <c r="Q164">
        <f t="shared" si="36"/>
        <v>1515308</v>
      </c>
      <c r="R164" s="38">
        <f t="shared" si="37"/>
        <v>7.176418118578054E-3</v>
      </c>
      <c r="S164" s="38">
        <f t="shared" si="38"/>
        <v>-1.1270529910001548E-2</v>
      </c>
    </row>
    <row r="165" spans="1:19" x14ac:dyDescent="0.25">
      <c r="A165" s="13" t="s">
        <v>42</v>
      </c>
      <c r="B165">
        <v>2</v>
      </c>
      <c r="C165" t="s">
        <v>19</v>
      </c>
      <c r="D165">
        <v>44604</v>
      </c>
      <c r="E165">
        <v>45955</v>
      </c>
      <c r="F165">
        <v>45870</v>
      </c>
      <c r="G165">
        <f t="shared" si="26"/>
        <v>-85</v>
      </c>
      <c r="H165" s="18">
        <f t="shared" si="27"/>
        <v>1266</v>
      </c>
      <c r="I165" s="18">
        <f t="shared" si="28"/>
        <v>2.8383104654291058E-2</v>
      </c>
      <c r="J165" s="18">
        <f t="shared" si="29"/>
        <v>-1.8496355130018793E-3</v>
      </c>
      <c r="K165" s="18" t="str">
        <f t="shared" si="30"/>
        <v>KALIBENDA</v>
      </c>
      <c r="L165" t="str">
        <f t="shared" si="31"/>
        <v>FEBRUARY-2-KALIBENDA</v>
      </c>
      <c r="M165">
        <f t="shared" si="32"/>
        <v>0.1429043110769348</v>
      </c>
      <c r="N165">
        <f t="shared" si="33"/>
        <v>-1.9401885427859478E-2</v>
      </c>
      <c r="O165">
        <f t="shared" si="34"/>
        <v>1504511</v>
      </c>
      <c r="P165">
        <f t="shared" si="35"/>
        <v>1532581</v>
      </c>
      <c r="Q165">
        <f t="shared" si="36"/>
        <v>1515308</v>
      </c>
      <c r="R165" s="38">
        <f t="shared" si="37"/>
        <v>7.176418118578054E-3</v>
      </c>
      <c r="S165" s="38">
        <f t="shared" si="38"/>
        <v>-1.1270529910001548E-2</v>
      </c>
    </row>
    <row r="166" spans="1:19" x14ac:dyDescent="0.25">
      <c r="A166" s="13" t="s">
        <v>42</v>
      </c>
      <c r="B166">
        <v>2</v>
      </c>
      <c r="C166" t="s">
        <v>19</v>
      </c>
      <c r="D166">
        <v>7560</v>
      </c>
      <c r="E166">
        <v>7787</v>
      </c>
      <c r="F166">
        <v>7776</v>
      </c>
      <c r="G166">
        <f t="shared" si="26"/>
        <v>-11</v>
      </c>
      <c r="H166" s="18">
        <f t="shared" si="27"/>
        <v>216</v>
      </c>
      <c r="I166" s="18">
        <f t="shared" si="28"/>
        <v>2.857142857142847E-2</v>
      </c>
      <c r="J166" s="18">
        <f t="shared" si="29"/>
        <v>-1.4126107615256567E-3</v>
      </c>
      <c r="K166" s="18" t="str">
        <f t="shared" si="30"/>
        <v>KALIBENDA</v>
      </c>
      <c r="L166" t="str">
        <f t="shared" si="31"/>
        <v>FEBRUARY-2-KALIBENDA</v>
      </c>
      <c r="M166">
        <f t="shared" si="32"/>
        <v>0.1429043110769348</v>
      </c>
      <c r="N166">
        <f t="shared" si="33"/>
        <v>-1.9401885427859478E-2</v>
      </c>
      <c r="O166">
        <f t="shared" si="34"/>
        <v>1504511</v>
      </c>
      <c r="P166">
        <f t="shared" si="35"/>
        <v>1532581</v>
      </c>
      <c r="Q166">
        <f t="shared" si="36"/>
        <v>1515308</v>
      </c>
      <c r="R166" s="38">
        <f t="shared" si="37"/>
        <v>7.176418118578054E-3</v>
      </c>
      <c r="S166" s="38">
        <f t="shared" si="38"/>
        <v>-1.1270529910001548E-2</v>
      </c>
    </row>
    <row r="167" spans="1:19" x14ac:dyDescent="0.25">
      <c r="A167" s="13" t="s">
        <v>42</v>
      </c>
      <c r="B167">
        <v>2</v>
      </c>
      <c r="C167" t="s">
        <v>20</v>
      </c>
      <c r="D167">
        <v>4860</v>
      </c>
      <c r="E167">
        <v>5009</v>
      </c>
      <c r="F167">
        <v>4944</v>
      </c>
      <c r="G167">
        <f t="shared" si="26"/>
        <v>-65</v>
      </c>
      <c r="H167" s="18">
        <f t="shared" si="27"/>
        <v>84</v>
      </c>
      <c r="I167" s="18">
        <f t="shared" si="28"/>
        <v>1.7283950617283939E-2</v>
      </c>
      <c r="J167" s="18">
        <f t="shared" si="29"/>
        <v>-1.2976642044320252E-2</v>
      </c>
      <c r="K167" s="18" t="str">
        <f t="shared" si="30"/>
        <v>GM2</v>
      </c>
      <c r="L167" t="str">
        <f t="shared" si="31"/>
        <v>FEBRUARY-2-GM2</v>
      </c>
      <c r="M167">
        <f t="shared" si="32"/>
        <v>0.33919502201993978</v>
      </c>
      <c r="N167">
        <f t="shared" si="33"/>
        <v>-0.41437684178720191</v>
      </c>
      <c r="O167">
        <f t="shared" si="34"/>
        <v>1504511</v>
      </c>
      <c r="P167">
        <f t="shared" si="35"/>
        <v>1532581</v>
      </c>
      <c r="Q167">
        <f t="shared" si="36"/>
        <v>1515308</v>
      </c>
      <c r="R167" s="38">
        <f t="shared" si="37"/>
        <v>7.176418118578054E-3</v>
      </c>
      <c r="S167" s="38">
        <f t="shared" si="38"/>
        <v>-1.1270529910001548E-2</v>
      </c>
    </row>
    <row r="168" spans="1:19" x14ac:dyDescent="0.25">
      <c r="A168" s="13" t="s">
        <v>42</v>
      </c>
      <c r="B168">
        <v>2</v>
      </c>
      <c r="C168" t="s">
        <v>20</v>
      </c>
      <c r="D168">
        <v>1080</v>
      </c>
      <c r="E168">
        <v>1112</v>
      </c>
      <c r="F168">
        <v>1095</v>
      </c>
      <c r="G168">
        <f t="shared" si="26"/>
        <v>-17</v>
      </c>
      <c r="H168" s="18">
        <f t="shared" si="27"/>
        <v>15</v>
      </c>
      <c r="I168" s="18">
        <f t="shared" si="28"/>
        <v>1.388888888888884E-2</v>
      </c>
      <c r="J168" s="18">
        <f t="shared" si="29"/>
        <v>-1.5287769784172678E-2</v>
      </c>
      <c r="K168" s="18" t="str">
        <f t="shared" si="30"/>
        <v>GM2</v>
      </c>
      <c r="L168" t="str">
        <f t="shared" si="31"/>
        <v>FEBRUARY-2-GM2</v>
      </c>
      <c r="M168">
        <f t="shared" si="32"/>
        <v>0.33919502201993978</v>
      </c>
      <c r="N168">
        <f t="shared" si="33"/>
        <v>-0.41437684178720191</v>
      </c>
      <c r="O168">
        <f t="shared" si="34"/>
        <v>1504511</v>
      </c>
      <c r="P168">
        <f t="shared" si="35"/>
        <v>1532581</v>
      </c>
      <c r="Q168">
        <f t="shared" si="36"/>
        <v>1515308</v>
      </c>
      <c r="R168" s="38">
        <f t="shared" si="37"/>
        <v>7.176418118578054E-3</v>
      </c>
      <c r="S168" s="38">
        <f t="shared" si="38"/>
        <v>-1.1270529910001548E-2</v>
      </c>
    </row>
    <row r="169" spans="1:19" x14ac:dyDescent="0.25">
      <c r="A169" s="13" t="s">
        <v>42</v>
      </c>
      <c r="B169">
        <v>2</v>
      </c>
      <c r="C169" t="s">
        <v>19</v>
      </c>
      <c r="D169">
        <v>3672</v>
      </c>
      <c r="E169">
        <v>3753</v>
      </c>
      <c r="F169">
        <v>3735</v>
      </c>
      <c r="G169">
        <f t="shared" si="26"/>
        <v>-18</v>
      </c>
      <c r="H169" s="18">
        <f t="shared" si="27"/>
        <v>63</v>
      </c>
      <c r="I169" s="18">
        <f t="shared" si="28"/>
        <v>1.7156862745097978E-2</v>
      </c>
      <c r="J169" s="18">
        <f t="shared" si="29"/>
        <v>-4.7961630695443347E-3</v>
      </c>
      <c r="K169" s="18" t="str">
        <f t="shared" si="30"/>
        <v>KALIBENDA</v>
      </c>
      <c r="L169" t="str">
        <f t="shared" si="31"/>
        <v>FEBRUARY-2-KALIBENDA</v>
      </c>
      <c r="M169">
        <f t="shared" si="32"/>
        <v>0.1429043110769348</v>
      </c>
      <c r="N169">
        <f t="shared" si="33"/>
        <v>-1.9401885427859478E-2</v>
      </c>
      <c r="O169">
        <f t="shared" si="34"/>
        <v>1504511</v>
      </c>
      <c r="P169">
        <f t="shared" si="35"/>
        <v>1532581</v>
      </c>
      <c r="Q169">
        <f t="shared" si="36"/>
        <v>1515308</v>
      </c>
      <c r="R169" s="38">
        <f t="shared" si="37"/>
        <v>7.176418118578054E-3</v>
      </c>
      <c r="S169" s="38">
        <f t="shared" si="38"/>
        <v>-1.1270529910001548E-2</v>
      </c>
    </row>
    <row r="170" spans="1:19" x14ac:dyDescent="0.25">
      <c r="A170" s="13" t="s">
        <v>42</v>
      </c>
      <c r="B170">
        <v>2</v>
      </c>
      <c r="C170" t="s">
        <v>19</v>
      </c>
      <c r="D170">
        <v>19224</v>
      </c>
      <c r="E170">
        <v>19672</v>
      </c>
      <c r="F170">
        <v>19650</v>
      </c>
      <c r="G170">
        <f t="shared" si="26"/>
        <v>-22</v>
      </c>
      <c r="H170" s="18">
        <f t="shared" si="27"/>
        <v>426</v>
      </c>
      <c r="I170" s="18">
        <f t="shared" si="28"/>
        <v>2.2159800249687889E-2</v>
      </c>
      <c r="J170" s="18">
        <f t="shared" si="29"/>
        <v>-1.1183407889385766E-3</v>
      </c>
      <c r="K170" s="18" t="str">
        <f t="shared" si="30"/>
        <v>KALIBENDA</v>
      </c>
      <c r="L170" t="str">
        <f t="shared" si="31"/>
        <v>FEBRUARY-2-KALIBENDA</v>
      </c>
      <c r="M170">
        <f t="shared" si="32"/>
        <v>0.1429043110769348</v>
      </c>
      <c r="N170">
        <f t="shared" si="33"/>
        <v>-1.9401885427859478E-2</v>
      </c>
      <c r="O170">
        <f t="shared" si="34"/>
        <v>1504511</v>
      </c>
      <c r="P170">
        <f t="shared" si="35"/>
        <v>1532581</v>
      </c>
      <c r="Q170">
        <f t="shared" si="36"/>
        <v>1515308</v>
      </c>
      <c r="R170" s="38">
        <f t="shared" si="37"/>
        <v>7.176418118578054E-3</v>
      </c>
      <c r="S170" s="38">
        <f t="shared" si="38"/>
        <v>-1.1270529910001548E-2</v>
      </c>
    </row>
    <row r="171" spans="1:19" x14ac:dyDescent="0.25">
      <c r="A171" s="13" t="s">
        <v>42</v>
      </c>
      <c r="B171">
        <v>2</v>
      </c>
      <c r="C171" t="s">
        <v>19</v>
      </c>
      <c r="D171">
        <v>8640</v>
      </c>
      <c r="E171">
        <v>8754</v>
      </c>
      <c r="F171">
        <v>8715</v>
      </c>
      <c r="G171">
        <f t="shared" si="26"/>
        <v>-39</v>
      </c>
      <c r="H171" s="18">
        <f t="shared" si="27"/>
        <v>75</v>
      </c>
      <c r="I171" s="18">
        <f t="shared" si="28"/>
        <v>8.6805555555555802E-3</v>
      </c>
      <c r="J171" s="18">
        <f t="shared" si="29"/>
        <v>-4.4551062371487316E-3</v>
      </c>
      <c r="K171" s="18" t="str">
        <f t="shared" si="30"/>
        <v>KALIBENDA</v>
      </c>
      <c r="L171" t="str">
        <f t="shared" si="31"/>
        <v>FEBRUARY-2-KALIBENDA</v>
      </c>
      <c r="M171">
        <f t="shared" si="32"/>
        <v>0.1429043110769348</v>
      </c>
      <c r="N171">
        <f t="shared" si="33"/>
        <v>-1.9401885427859478E-2</v>
      </c>
      <c r="O171">
        <f t="shared" si="34"/>
        <v>1504511</v>
      </c>
      <c r="P171">
        <f t="shared" si="35"/>
        <v>1532581</v>
      </c>
      <c r="Q171">
        <f t="shared" si="36"/>
        <v>1515308</v>
      </c>
      <c r="R171" s="38">
        <f t="shared" si="37"/>
        <v>7.176418118578054E-3</v>
      </c>
      <c r="S171" s="38">
        <f t="shared" si="38"/>
        <v>-1.1270529910001548E-2</v>
      </c>
    </row>
    <row r="172" spans="1:19" x14ac:dyDescent="0.25">
      <c r="A172" s="13" t="s">
        <v>42</v>
      </c>
      <c r="B172">
        <v>2</v>
      </c>
      <c r="C172" t="s">
        <v>19</v>
      </c>
      <c r="D172">
        <v>9612</v>
      </c>
      <c r="E172">
        <v>9900</v>
      </c>
      <c r="F172">
        <v>9870</v>
      </c>
      <c r="G172">
        <f t="shared" si="26"/>
        <v>-30</v>
      </c>
      <c r="H172" s="18">
        <f t="shared" si="27"/>
        <v>258</v>
      </c>
      <c r="I172" s="18">
        <f t="shared" si="28"/>
        <v>2.6841448189762751E-2</v>
      </c>
      <c r="J172" s="18">
        <f t="shared" si="29"/>
        <v>-3.0303030303030498E-3</v>
      </c>
      <c r="K172" s="18" t="str">
        <f t="shared" si="30"/>
        <v>KALIBENDA</v>
      </c>
      <c r="L172" t="str">
        <f t="shared" si="31"/>
        <v>FEBRUARY-2-KALIBENDA</v>
      </c>
      <c r="M172">
        <f t="shared" si="32"/>
        <v>0.1429043110769348</v>
      </c>
      <c r="N172">
        <f t="shared" si="33"/>
        <v>-1.9401885427859478E-2</v>
      </c>
      <c r="O172">
        <f t="shared" si="34"/>
        <v>1504511</v>
      </c>
      <c r="P172">
        <f t="shared" si="35"/>
        <v>1532581</v>
      </c>
      <c r="Q172">
        <f t="shared" si="36"/>
        <v>1515308</v>
      </c>
      <c r="R172" s="38">
        <f t="shared" si="37"/>
        <v>7.176418118578054E-3</v>
      </c>
      <c r="S172" s="38">
        <f t="shared" si="38"/>
        <v>-1.1270529910001548E-2</v>
      </c>
    </row>
    <row r="173" spans="1:19" x14ac:dyDescent="0.25">
      <c r="A173" s="13" t="s">
        <v>42</v>
      </c>
      <c r="B173">
        <v>2</v>
      </c>
      <c r="C173" t="s">
        <v>19</v>
      </c>
      <c r="D173">
        <v>1080</v>
      </c>
      <c r="E173">
        <v>1095</v>
      </c>
      <c r="F173">
        <v>1092</v>
      </c>
      <c r="G173">
        <f t="shared" ref="G173:G236" si="39">F173-E173</f>
        <v>-3</v>
      </c>
      <c r="H173" s="18">
        <f t="shared" ref="H173:H236" si="40">F173-D173</f>
        <v>12</v>
      </c>
      <c r="I173" s="18">
        <f t="shared" ref="I173:I236" si="41">F173/D173-1</f>
        <v>1.1111111111111072E-2</v>
      </c>
      <c r="J173" s="18">
        <f t="shared" ref="J173:J236" si="42">F173/E173-1</f>
        <v>-2.739726027397249E-3</v>
      </c>
      <c r="K173" s="18" t="str">
        <f t="shared" ref="K173:K236" si="43">CLEAN(SUBSTITUTE(C173," ",""))</f>
        <v>KALIBENDA</v>
      </c>
      <c r="L173" t="str">
        <f t="shared" ref="L173:L236" si="44">A173&amp;"-"&amp;B173&amp;"-"&amp;K173</f>
        <v>FEBRUARY-2-KALIBENDA</v>
      </c>
      <c r="M173">
        <f t="shared" si="32"/>
        <v>0.1429043110769348</v>
      </c>
      <c r="N173">
        <f t="shared" si="33"/>
        <v>-1.9401885427859478E-2</v>
      </c>
      <c r="O173">
        <f t="shared" si="34"/>
        <v>1504511</v>
      </c>
      <c r="P173">
        <f t="shared" si="35"/>
        <v>1532581</v>
      </c>
      <c r="Q173">
        <f t="shared" si="36"/>
        <v>1515308</v>
      </c>
      <c r="R173" s="38">
        <f t="shared" si="37"/>
        <v>7.176418118578054E-3</v>
      </c>
      <c r="S173" s="38">
        <f t="shared" si="38"/>
        <v>-1.1270529910001548E-2</v>
      </c>
    </row>
    <row r="174" spans="1:19" x14ac:dyDescent="0.25">
      <c r="A174" s="13" t="s">
        <v>42</v>
      </c>
      <c r="B174">
        <v>2</v>
      </c>
      <c r="C174" t="s">
        <v>17</v>
      </c>
      <c r="D174">
        <v>4752</v>
      </c>
      <c r="E174">
        <v>4899</v>
      </c>
      <c r="F174">
        <v>4821</v>
      </c>
      <c r="G174">
        <f t="shared" si="39"/>
        <v>-78</v>
      </c>
      <c r="H174" s="18">
        <f t="shared" si="40"/>
        <v>69</v>
      </c>
      <c r="I174" s="18">
        <f t="shared" si="41"/>
        <v>1.4520202020201989E-2</v>
      </c>
      <c r="J174" s="18">
        <f t="shared" si="42"/>
        <v>-1.5921616656460524E-2</v>
      </c>
      <c r="K174" s="18" t="str">
        <f t="shared" si="43"/>
        <v>MAJA1</v>
      </c>
      <c r="L174" t="str">
        <f t="shared" si="44"/>
        <v>FEBRUARY-2-MAJA1</v>
      </c>
      <c r="M174">
        <f t="shared" si="32"/>
        <v>-1.4115067350108701E-2</v>
      </c>
      <c r="N174">
        <f t="shared" si="33"/>
        <v>-0.41646017702597238</v>
      </c>
      <c r="O174">
        <f t="shared" si="34"/>
        <v>1504511</v>
      </c>
      <c r="P174">
        <f t="shared" si="35"/>
        <v>1532581</v>
      </c>
      <c r="Q174">
        <f t="shared" si="36"/>
        <v>1515308</v>
      </c>
      <c r="R174" s="38">
        <f t="shared" si="37"/>
        <v>7.176418118578054E-3</v>
      </c>
      <c r="S174" s="38">
        <f t="shared" si="38"/>
        <v>-1.1270529910001548E-2</v>
      </c>
    </row>
    <row r="175" spans="1:19" x14ac:dyDescent="0.25">
      <c r="A175" s="13" t="s">
        <v>42</v>
      </c>
      <c r="B175">
        <v>2</v>
      </c>
      <c r="C175" t="s">
        <v>17</v>
      </c>
      <c r="D175">
        <v>8856</v>
      </c>
      <c r="E175">
        <v>9124</v>
      </c>
      <c r="F175">
        <v>9021</v>
      </c>
      <c r="G175">
        <f t="shared" si="39"/>
        <v>-103</v>
      </c>
      <c r="H175" s="18">
        <f t="shared" si="40"/>
        <v>165</v>
      </c>
      <c r="I175" s="18">
        <f t="shared" si="41"/>
        <v>1.8631436314363148E-2</v>
      </c>
      <c r="J175" s="18">
        <f t="shared" si="42"/>
        <v>-1.1288908373520368E-2</v>
      </c>
      <c r="K175" s="18" t="str">
        <f t="shared" si="43"/>
        <v>MAJA1</v>
      </c>
      <c r="L175" t="str">
        <f t="shared" si="44"/>
        <v>FEBRUARY-2-MAJA1</v>
      </c>
      <c r="M175">
        <f t="shared" si="32"/>
        <v>-1.4115067350108701E-2</v>
      </c>
      <c r="N175">
        <f t="shared" si="33"/>
        <v>-0.41646017702597238</v>
      </c>
      <c r="O175">
        <f t="shared" si="34"/>
        <v>1504511</v>
      </c>
      <c r="P175">
        <f t="shared" si="35"/>
        <v>1532581</v>
      </c>
      <c r="Q175">
        <f t="shared" si="36"/>
        <v>1515308</v>
      </c>
      <c r="R175" s="38">
        <f t="shared" si="37"/>
        <v>7.176418118578054E-3</v>
      </c>
      <c r="S175" s="38">
        <f t="shared" si="38"/>
        <v>-1.1270529910001548E-2</v>
      </c>
    </row>
    <row r="176" spans="1:19" x14ac:dyDescent="0.25">
      <c r="A176" s="13" t="s">
        <v>42</v>
      </c>
      <c r="B176">
        <v>2</v>
      </c>
      <c r="C176" t="s">
        <v>17</v>
      </c>
      <c r="D176">
        <v>5400</v>
      </c>
      <c r="E176">
        <v>5595</v>
      </c>
      <c r="F176">
        <v>5442</v>
      </c>
      <c r="G176">
        <f t="shared" si="39"/>
        <v>-153</v>
      </c>
      <c r="H176" s="18">
        <f t="shared" si="40"/>
        <v>42</v>
      </c>
      <c r="I176" s="18">
        <f t="shared" si="41"/>
        <v>7.7777777777778834E-3</v>
      </c>
      <c r="J176" s="18">
        <f t="shared" si="42"/>
        <v>-2.7345844504021444E-2</v>
      </c>
      <c r="K176" s="18" t="str">
        <f t="shared" si="43"/>
        <v>MAJA1</v>
      </c>
      <c r="L176" t="str">
        <f t="shared" si="44"/>
        <v>FEBRUARY-2-MAJA1</v>
      </c>
      <c r="M176">
        <f t="shared" si="32"/>
        <v>-1.4115067350108701E-2</v>
      </c>
      <c r="N176">
        <f t="shared" si="33"/>
        <v>-0.41646017702597238</v>
      </c>
      <c r="O176">
        <f t="shared" si="34"/>
        <v>1504511</v>
      </c>
      <c r="P176">
        <f t="shared" si="35"/>
        <v>1532581</v>
      </c>
      <c r="Q176">
        <f t="shared" si="36"/>
        <v>1515308</v>
      </c>
      <c r="R176" s="38">
        <f t="shared" si="37"/>
        <v>7.176418118578054E-3</v>
      </c>
      <c r="S176" s="38">
        <f t="shared" si="38"/>
        <v>-1.1270529910001548E-2</v>
      </c>
    </row>
    <row r="177" spans="1:19" x14ac:dyDescent="0.25">
      <c r="A177" s="13" t="s">
        <v>42</v>
      </c>
      <c r="B177">
        <v>2</v>
      </c>
      <c r="C177" t="s">
        <v>20</v>
      </c>
      <c r="D177">
        <v>9288</v>
      </c>
      <c r="E177">
        <v>9737</v>
      </c>
      <c r="F177">
        <v>9450</v>
      </c>
      <c r="G177">
        <f t="shared" si="39"/>
        <v>-287</v>
      </c>
      <c r="H177" s="18">
        <f t="shared" si="40"/>
        <v>162</v>
      </c>
      <c r="I177" s="18">
        <f t="shared" si="41"/>
        <v>1.744186046511631E-2</v>
      </c>
      <c r="J177" s="18">
        <f t="shared" si="42"/>
        <v>-2.9475197699496802E-2</v>
      </c>
      <c r="K177" s="18" t="str">
        <f t="shared" si="43"/>
        <v>GM2</v>
      </c>
      <c r="L177" t="str">
        <f t="shared" si="44"/>
        <v>FEBRUARY-2-GM2</v>
      </c>
      <c r="M177">
        <f t="shared" si="32"/>
        <v>0.33919502201993978</v>
      </c>
      <c r="N177">
        <f t="shared" si="33"/>
        <v>-0.41437684178720191</v>
      </c>
      <c r="O177">
        <f t="shared" si="34"/>
        <v>1504511</v>
      </c>
      <c r="P177">
        <f t="shared" si="35"/>
        <v>1532581</v>
      </c>
      <c r="Q177">
        <f t="shared" si="36"/>
        <v>1515308</v>
      </c>
      <c r="R177" s="38">
        <f t="shared" si="37"/>
        <v>7.176418118578054E-3</v>
      </c>
      <c r="S177" s="38">
        <f t="shared" si="38"/>
        <v>-1.1270529910001548E-2</v>
      </c>
    </row>
    <row r="178" spans="1:19" x14ac:dyDescent="0.25">
      <c r="A178" s="13" t="s">
        <v>42</v>
      </c>
      <c r="B178">
        <v>2</v>
      </c>
      <c r="C178" t="s">
        <v>20</v>
      </c>
      <c r="D178">
        <v>1512</v>
      </c>
      <c r="E178">
        <v>1560</v>
      </c>
      <c r="F178">
        <v>1557</v>
      </c>
      <c r="G178">
        <f t="shared" si="39"/>
        <v>-3</v>
      </c>
      <c r="H178" s="18">
        <f t="shared" si="40"/>
        <v>45</v>
      </c>
      <c r="I178" s="18">
        <f t="shared" si="41"/>
        <v>2.9761904761904656E-2</v>
      </c>
      <c r="J178" s="18">
        <f t="shared" si="42"/>
        <v>-1.9230769230769162E-3</v>
      </c>
      <c r="K178" s="18" t="str">
        <f t="shared" si="43"/>
        <v>GM2</v>
      </c>
      <c r="L178" t="str">
        <f t="shared" si="44"/>
        <v>FEBRUARY-2-GM2</v>
      </c>
      <c r="M178">
        <f t="shared" si="32"/>
        <v>0.33919502201993978</v>
      </c>
      <c r="N178">
        <f t="shared" si="33"/>
        <v>-0.41437684178720191</v>
      </c>
      <c r="O178">
        <f t="shared" si="34"/>
        <v>1504511</v>
      </c>
      <c r="P178">
        <f t="shared" si="35"/>
        <v>1532581</v>
      </c>
      <c r="Q178">
        <f t="shared" si="36"/>
        <v>1515308</v>
      </c>
      <c r="R178" s="38">
        <f t="shared" si="37"/>
        <v>7.176418118578054E-3</v>
      </c>
      <c r="S178" s="38">
        <f t="shared" si="38"/>
        <v>-1.1270529910001548E-2</v>
      </c>
    </row>
    <row r="179" spans="1:19" x14ac:dyDescent="0.25">
      <c r="A179" s="13" t="s">
        <v>42</v>
      </c>
      <c r="B179">
        <v>2</v>
      </c>
      <c r="C179" t="s">
        <v>20</v>
      </c>
      <c r="D179">
        <v>4320</v>
      </c>
      <c r="E179">
        <v>4457</v>
      </c>
      <c r="F179">
        <v>4398</v>
      </c>
      <c r="G179">
        <f t="shared" si="39"/>
        <v>-59</v>
      </c>
      <c r="H179" s="18">
        <f t="shared" si="40"/>
        <v>78</v>
      </c>
      <c r="I179" s="18">
        <f t="shared" si="41"/>
        <v>1.8055555555555491E-2</v>
      </c>
      <c r="J179" s="18">
        <f t="shared" si="42"/>
        <v>-1.3237603769351569E-2</v>
      </c>
      <c r="K179" s="18" t="str">
        <f t="shared" si="43"/>
        <v>GM2</v>
      </c>
      <c r="L179" t="str">
        <f t="shared" si="44"/>
        <v>FEBRUARY-2-GM2</v>
      </c>
      <c r="M179">
        <f t="shared" si="32"/>
        <v>0.33919502201993978</v>
      </c>
      <c r="N179">
        <f t="shared" si="33"/>
        <v>-0.41437684178720191</v>
      </c>
      <c r="O179">
        <f t="shared" si="34"/>
        <v>1504511</v>
      </c>
      <c r="P179">
        <f t="shared" si="35"/>
        <v>1532581</v>
      </c>
      <c r="Q179">
        <f t="shared" si="36"/>
        <v>1515308</v>
      </c>
      <c r="R179" s="38">
        <f t="shared" si="37"/>
        <v>7.176418118578054E-3</v>
      </c>
      <c r="S179" s="38">
        <f t="shared" si="38"/>
        <v>-1.1270529910001548E-2</v>
      </c>
    </row>
    <row r="180" spans="1:19" x14ac:dyDescent="0.25">
      <c r="A180" s="13" t="s">
        <v>42</v>
      </c>
      <c r="B180">
        <v>2</v>
      </c>
      <c r="C180" t="s">
        <v>20</v>
      </c>
      <c r="D180">
        <v>6156</v>
      </c>
      <c r="E180">
        <v>6353</v>
      </c>
      <c r="F180">
        <v>6156</v>
      </c>
      <c r="G180">
        <f t="shared" si="39"/>
        <v>-197</v>
      </c>
      <c r="H180" s="18">
        <f t="shared" si="40"/>
        <v>0</v>
      </c>
      <c r="I180" s="18">
        <f t="shared" si="41"/>
        <v>0</v>
      </c>
      <c r="J180" s="18">
        <f t="shared" si="42"/>
        <v>-3.1008972139146884E-2</v>
      </c>
      <c r="K180" s="18" t="str">
        <f t="shared" si="43"/>
        <v>GM2</v>
      </c>
      <c r="L180" t="str">
        <f t="shared" si="44"/>
        <v>FEBRUARY-2-GM2</v>
      </c>
      <c r="M180">
        <f t="shared" si="32"/>
        <v>0.33919502201993978</v>
      </c>
      <c r="N180">
        <f t="shared" si="33"/>
        <v>-0.41437684178720191</v>
      </c>
      <c r="O180">
        <f t="shared" si="34"/>
        <v>1504511</v>
      </c>
      <c r="P180">
        <f t="shared" si="35"/>
        <v>1532581</v>
      </c>
      <c r="Q180">
        <f t="shared" si="36"/>
        <v>1515308</v>
      </c>
      <c r="R180" s="38">
        <f t="shared" si="37"/>
        <v>7.176418118578054E-3</v>
      </c>
      <c r="S180" s="38">
        <f t="shared" si="38"/>
        <v>-1.1270529910001548E-2</v>
      </c>
    </row>
    <row r="181" spans="1:19" x14ac:dyDescent="0.25">
      <c r="A181" s="13" t="s">
        <v>42</v>
      </c>
      <c r="B181">
        <v>2</v>
      </c>
      <c r="C181" t="s">
        <v>20</v>
      </c>
      <c r="D181">
        <v>7236</v>
      </c>
      <c r="E181">
        <v>7519</v>
      </c>
      <c r="F181">
        <v>7236</v>
      </c>
      <c r="G181">
        <f t="shared" si="39"/>
        <v>-283</v>
      </c>
      <c r="H181" s="18">
        <f t="shared" si="40"/>
        <v>0</v>
      </c>
      <c r="I181" s="18">
        <f t="shared" si="41"/>
        <v>0</v>
      </c>
      <c r="J181" s="18">
        <f t="shared" si="42"/>
        <v>-3.7637983774438055E-2</v>
      </c>
      <c r="K181" s="18" t="str">
        <f t="shared" si="43"/>
        <v>GM2</v>
      </c>
      <c r="L181" t="str">
        <f t="shared" si="44"/>
        <v>FEBRUARY-2-GM2</v>
      </c>
      <c r="M181">
        <f t="shared" si="32"/>
        <v>0.33919502201993978</v>
      </c>
      <c r="N181">
        <f t="shared" si="33"/>
        <v>-0.41437684178720191</v>
      </c>
      <c r="O181">
        <f t="shared" si="34"/>
        <v>1504511</v>
      </c>
      <c r="P181">
        <f t="shared" si="35"/>
        <v>1532581</v>
      </c>
      <c r="Q181">
        <f t="shared" si="36"/>
        <v>1515308</v>
      </c>
      <c r="R181" s="38">
        <f t="shared" si="37"/>
        <v>7.176418118578054E-3</v>
      </c>
      <c r="S181" s="38">
        <f t="shared" si="38"/>
        <v>-1.1270529910001548E-2</v>
      </c>
    </row>
    <row r="182" spans="1:19" x14ac:dyDescent="0.25">
      <c r="A182" s="13" t="s">
        <v>42</v>
      </c>
      <c r="B182">
        <v>2</v>
      </c>
      <c r="C182" t="s">
        <v>20</v>
      </c>
      <c r="D182">
        <v>6696</v>
      </c>
      <c r="E182">
        <v>6924</v>
      </c>
      <c r="F182">
        <v>6858</v>
      </c>
      <c r="G182">
        <f t="shared" si="39"/>
        <v>-66</v>
      </c>
      <c r="H182" s="18">
        <f t="shared" si="40"/>
        <v>162</v>
      </c>
      <c r="I182" s="18">
        <f t="shared" si="41"/>
        <v>2.4193548387096753E-2</v>
      </c>
      <c r="J182" s="18">
        <f t="shared" si="42"/>
        <v>-9.5320623916811398E-3</v>
      </c>
      <c r="K182" s="18" t="str">
        <f t="shared" si="43"/>
        <v>GM2</v>
      </c>
      <c r="L182" t="str">
        <f t="shared" si="44"/>
        <v>FEBRUARY-2-GM2</v>
      </c>
      <c r="M182">
        <f t="shared" si="32"/>
        <v>0.33919502201993978</v>
      </c>
      <c r="N182">
        <f t="shared" si="33"/>
        <v>-0.41437684178720191</v>
      </c>
      <c r="O182">
        <f t="shared" si="34"/>
        <v>1504511</v>
      </c>
      <c r="P182">
        <f t="shared" si="35"/>
        <v>1532581</v>
      </c>
      <c r="Q182">
        <f t="shared" si="36"/>
        <v>1515308</v>
      </c>
      <c r="R182" s="38">
        <f t="shared" si="37"/>
        <v>7.176418118578054E-3</v>
      </c>
      <c r="S182" s="38">
        <f t="shared" si="38"/>
        <v>-1.1270529910001548E-2</v>
      </c>
    </row>
    <row r="183" spans="1:19" x14ac:dyDescent="0.25">
      <c r="A183" s="13" t="s">
        <v>42</v>
      </c>
      <c r="B183">
        <v>2</v>
      </c>
      <c r="C183" t="s">
        <v>20</v>
      </c>
      <c r="D183">
        <v>5184</v>
      </c>
      <c r="E183">
        <v>5358</v>
      </c>
      <c r="F183">
        <v>5184</v>
      </c>
      <c r="G183">
        <f t="shared" si="39"/>
        <v>-174</v>
      </c>
      <c r="H183" s="18">
        <f t="shared" si="40"/>
        <v>0</v>
      </c>
      <c r="I183" s="18">
        <f t="shared" si="41"/>
        <v>0</v>
      </c>
      <c r="J183" s="18">
        <f t="shared" si="42"/>
        <v>-3.2474804031354942E-2</v>
      </c>
      <c r="K183" s="18" t="str">
        <f t="shared" si="43"/>
        <v>GM2</v>
      </c>
      <c r="L183" t="str">
        <f t="shared" si="44"/>
        <v>FEBRUARY-2-GM2</v>
      </c>
      <c r="M183">
        <f t="shared" si="32"/>
        <v>0.33919502201993978</v>
      </c>
      <c r="N183">
        <f t="shared" si="33"/>
        <v>-0.41437684178720191</v>
      </c>
      <c r="O183">
        <f t="shared" si="34"/>
        <v>1504511</v>
      </c>
      <c r="P183">
        <f t="shared" si="35"/>
        <v>1532581</v>
      </c>
      <c r="Q183">
        <f t="shared" si="36"/>
        <v>1515308</v>
      </c>
      <c r="R183" s="38">
        <f t="shared" si="37"/>
        <v>7.176418118578054E-3</v>
      </c>
      <c r="S183" s="38">
        <f t="shared" si="38"/>
        <v>-1.1270529910001548E-2</v>
      </c>
    </row>
    <row r="184" spans="1:19" x14ac:dyDescent="0.25">
      <c r="A184" s="13" t="s">
        <v>42</v>
      </c>
      <c r="B184">
        <v>2</v>
      </c>
      <c r="C184" t="s">
        <v>20</v>
      </c>
      <c r="D184">
        <v>1080</v>
      </c>
      <c r="E184">
        <v>1116</v>
      </c>
      <c r="F184">
        <v>1080</v>
      </c>
      <c r="G184">
        <f t="shared" si="39"/>
        <v>-36</v>
      </c>
      <c r="H184" s="18">
        <f t="shared" si="40"/>
        <v>0</v>
      </c>
      <c r="I184" s="18">
        <f t="shared" si="41"/>
        <v>0</v>
      </c>
      <c r="J184" s="18">
        <f t="shared" si="42"/>
        <v>-3.2258064516129004E-2</v>
      </c>
      <c r="K184" s="18" t="str">
        <f t="shared" si="43"/>
        <v>GM2</v>
      </c>
      <c r="L184" t="str">
        <f t="shared" si="44"/>
        <v>FEBRUARY-2-GM2</v>
      </c>
      <c r="M184">
        <f t="shared" si="32"/>
        <v>0.33919502201993978</v>
      </c>
      <c r="N184">
        <f t="shared" si="33"/>
        <v>-0.41437684178720191</v>
      </c>
      <c r="O184">
        <f t="shared" si="34"/>
        <v>1504511</v>
      </c>
      <c r="P184">
        <f t="shared" si="35"/>
        <v>1532581</v>
      </c>
      <c r="Q184">
        <f t="shared" si="36"/>
        <v>1515308</v>
      </c>
      <c r="R184" s="38">
        <f t="shared" si="37"/>
        <v>7.176418118578054E-3</v>
      </c>
      <c r="S184" s="38">
        <f t="shared" si="38"/>
        <v>-1.1270529910001548E-2</v>
      </c>
    </row>
    <row r="185" spans="1:19" x14ac:dyDescent="0.25">
      <c r="A185" s="13" t="s">
        <v>42</v>
      </c>
      <c r="B185">
        <v>2</v>
      </c>
      <c r="C185" t="s">
        <v>17</v>
      </c>
      <c r="D185">
        <v>7560</v>
      </c>
      <c r="E185">
        <v>7826</v>
      </c>
      <c r="F185">
        <v>7635</v>
      </c>
      <c r="G185">
        <f t="shared" si="39"/>
        <v>-191</v>
      </c>
      <c r="H185" s="18">
        <f t="shared" si="40"/>
        <v>75</v>
      </c>
      <c r="I185" s="18">
        <f t="shared" si="41"/>
        <v>9.9206349206348854E-3</v>
      </c>
      <c r="J185" s="18">
        <f t="shared" si="42"/>
        <v>-2.440582673140812E-2</v>
      </c>
      <c r="K185" s="18" t="str">
        <f t="shared" si="43"/>
        <v>MAJA1</v>
      </c>
      <c r="L185" t="str">
        <f t="shared" si="44"/>
        <v>FEBRUARY-2-MAJA1</v>
      </c>
      <c r="M185">
        <f t="shared" si="32"/>
        <v>-1.4115067350108701E-2</v>
      </c>
      <c r="N185">
        <f t="shared" si="33"/>
        <v>-0.41646017702597238</v>
      </c>
      <c r="O185">
        <f t="shared" si="34"/>
        <v>1504511</v>
      </c>
      <c r="P185">
        <f t="shared" si="35"/>
        <v>1532581</v>
      </c>
      <c r="Q185">
        <f t="shared" si="36"/>
        <v>1515308</v>
      </c>
      <c r="R185" s="38">
        <f t="shared" si="37"/>
        <v>7.176418118578054E-3</v>
      </c>
      <c r="S185" s="38">
        <f t="shared" si="38"/>
        <v>-1.1270529910001548E-2</v>
      </c>
    </row>
    <row r="186" spans="1:19" x14ac:dyDescent="0.25">
      <c r="A186" s="13" t="s">
        <v>42</v>
      </c>
      <c r="B186">
        <v>2</v>
      </c>
      <c r="C186" t="s">
        <v>20</v>
      </c>
      <c r="D186">
        <v>9648</v>
      </c>
      <c r="E186">
        <v>9822</v>
      </c>
      <c r="F186">
        <v>9604</v>
      </c>
      <c r="G186">
        <f t="shared" si="39"/>
        <v>-218</v>
      </c>
      <c r="H186" s="18">
        <f t="shared" si="40"/>
        <v>-44</v>
      </c>
      <c r="I186" s="18">
        <f t="shared" si="41"/>
        <v>-4.560530679933672E-3</v>
      </c>
      <c r="J186" s="18">
        <f t="shared" si="42"/>
        <v>-2.2195072286703366E-2</v>
      </c>
      <c r="K186" s="18" t="str">
        <f t="shared" si="43"/>
        <v>GM2</v>
      </c>
      <c r="L186" t="str">
        <f t="shared" si="44"/>
        <v>FEBRUARY-2-GM2</v>
      </c>
      <c r="M186">
        <f t="shared" si="32"/>
        <v>0.33919502201993978</v>
      </c>
      <c r="N186">
        <f t="shared" si="33"/>
        <v>-0.41437684178720191</v>
      </c>
      <c r="O186">
        <f t="shared" si="34"/>
        <v>1504511</v>
      </c>
      <c r="P186">
        <f t="shared" si="35"/>
        <v>1532581</v>
      </c>
      <c r="Q186">
        <f t="shared" si="36"/>
        <v>1515308</v>
      </c>
      <c r="R186" s="38">
        <f t="shared" si="37"/>
        <v>7.176418118578054E-3</v>
      </c>
      <c r="S186" s="38">
        <f t="shared" si="38"/>
        <v>-1.1270529910001548E-2</v>
      </c>
    </row>
    <row r="187" spans="1:19" x14ac:dyDescent="0.25">
      <c r="A187" s="13" t="s">
        <v>42</v>
      </c>
      <c r="B187">
        <v>2</v>
      </c>
      <c r="C187" t="s">
        <v>20</v>
      </c>
      <c r="D187">
        <v>10368</v>
      </c>
      <c r="E187">
        <v>10415</v>
      </c>
      <c r="F187">
        <v>10400</v>
      </c>
      <c r="G187">
        <f t="shared" si="39"/>
        <v>-15</v>
      </c>
      <c r="H187" s="18">
        <f t="shared" si="40"/>
        <v>32</v>
      </c>
      <c r="I187" s="18">
        <f t="shared" si="41"/>
        <v>3.0864197530864335E-3</v>
      </c>
      <c r="J187" s="18">
        <f t="shared" si="42"/>
        <v>-1.4402304368699159E-3</v>
      </c>
      <c r="K187" s="18" t="str">
        <f t="shared" si="43"/>
        <v>GM2</v>
      </c>
      <c r="L187" t="str">
        <f t="shared" si="44"/>
        <v>FEBRUARY-2-GM2</v>
      </c>
      <c r="M187">
        <f t="shared" si="32"/>
        <v>0.33919502201993978</v>
      </c>
      <c r="N187">
        <f t="shared" si="33"/>
        <v>-0.41437684178720191</v>
      </c>
      <c r="O187">
        <f t="shared" si="34"/>
        <v>1504511</v>
      </c>
      <c r="P187">
        <f t="shared" si="35"/>
        <v>1532581</v>
      </c>
      <c r="Q187">
        <f t="shared" si="36"/>
        <v>1515308</v>
      </c>
      <c r="R187" s="38">
        <f t="shared" si="37"/>
        <v>7.176418118578054E-3</v>
      </c>
      <c r="S187" s="38">
        <f t="shared" si="38"/>
        <v>-1.1270529910001548E-2</v>
      </c>
    </row>
    <row r="188" spans="1:19" x14ac:dyDescent="0.25">
      <c r="A188" s="13" t="s">
        <v>42</v>
      </c>
      <c r="B188">
        <v>2</v>
      </c>
      <c r="C188" t="s">
        <v>20</v>
      </c>
      <c r="D188">
        <v>6480</v>
      </c>
      <c r="E188">
        <v>6634</v>
      </c>
      <c r="F188">
        <v>6540</v>
      </c>
      <c r="G188">
        <f t="shared" si="39"/>
        <v>-94</v>
      </c>
      <c r="H188" s="18">
        <f t="shared" si="40"/>
        <v>60</v>
      </c>
      <c r="I188" s="18">
        <f t="shared" si="41"/>
        <v>9.2592592592593004E-3</v>
      </c>
      <c r="J188" s="18">
        <f t="shared" si="42"/>
        <v>-1.4169430208019307E-2</v>
      </c>
      <c r="K188" s="18" t="str">
        <f t="shared" si="43"/>
        <v>GM2</v>
      </c>
      <c r="L188" t="str">
        <f t="shared" si="44"/>
        <v>FEBRUARY-2-GM2</v>
      </c>
      <c r="M188">
        <f t="shared" si="32"/>
        <v>0.33919502201993978</v>
      </c>
      <c r="N188">
        <f t="shared" si="33"/>
        <v>-0.41437684178720191</v>
      </c>
      <c r="O188">
        <f t="shared" si="34"/>
        <v>1504511</v>
      </c>
      <c r="P188">
        <f t="shared" si="35"/>
        <v>1532581</v>
      </c>
      <c r="Q188">
        <f t="shared" si="36"/>
        <v>1515308</v>
      </c>
      <c r="R188" s="38">
        <f t="shared" si="37"/>
        <v>7.176418118578054E-3</v>
      </c>
      <c r="S188" s="38">
        <f t="shared" si="38"/>
        <v>-1.1270529910001548E-2</v>
      </c>
    </row>
    <row r="189" spans="1:19" x14ac:dyDescent="0.25">
      <c r="A189" s="13" t="s">
        <v>42</v>
      </c>
      <c r="B189">
        <v>2</v>
      </c>
      <c r="C189" t="s">
        <v>20</v>
      </c>
      <c r="D189">
        <v>6480</v>
      </c>
      <c r="E189">
        <v>6423</v>
      </c>
      <c r="F189">
        <v>6456</v>
      </c>
      <c r="G189">
        <f t="shared" si="39"/>
        <v>33</v>
      </c>
      <c r="H189" s="18">
        <f t="shared" si="40"/>
        <v>-24</v>
      </c>
      <c r="I189" s="18">
        <f t="shared" si="41"/>
        <v>-3.7037037037036535E-3</v>
      </c>
      <c r="J189" s="18">
        <f t="shared" si="42"/>
        <v>5.1377860812704679E-3</v>
      </c>
      <c r="K189" s="18" t="str">
        <f t="shared" si="43"/>
        <v>GM2</v>
      </c>
      <c r="L189" t="str">
        <f t="shared" si="44"/>
        <v>FEBRUARY-2-GM2</v>
      </c>
      <c r="M189">
        <f t="shared" si="32"/>
        <v>0.33919502201993978</v>
      </c>
      <c r="N189">
        <f t="shared" si="33"/>
        <v>-0.41437684178720191</v>
      </c>
      <c r="O189">
        <f t="shared" si="34"/>
        <v>1504511</v>
      </c>
      <c r="P189">
        <f t="shared" si="35"/>
        <v>1532581</v>
      </c>
      <c r="Q189">
        <f t="shared" si="36"/>
        <v>1515308</v>
      </c>
      <c r="R189" s="38">
        <f t="shared" si="37"/>
        <v>7.176418118578054E-3</v>
      </c>
      <c r="S189" s="38">
        <f t="shared" si="38"/>
        <v>-1.1270529910001548E-2</v>
      </c>
    </row>
    <row r="190" spans="1:19" x14ac:dyDescent="0.25">
      <c r="A190" s="13" t="s">
        <v>42</v>
      </c>
      <c r="B190">
        <v>2</v>
      </c>
      <c r="C190" t="s">
        <v>20</v>
      </c>
      <c r="D190">
        <v>12240</v>
      </c>
      <c r="E190">
        <v>12493</v>
      </c>
      <c r="F190">
        <v>12484</v>
      </c>
      <c r="G190">
        <f t="shared" si="39"/>
        <v>-9</v>
      </c>
      <c r="H190" s="18">
        <f t="shared" si="40"/>
        <v>244</v>
      </c>
      <c r="I190" s="18">
        <f t="shared" si="41"/>
        <v>1.9934640522875746E-2</v>
      </c>
      <c r="J190" s="18">
        <f t="shared" si="42"/>
        <v>-7.2040342591850326E-4</v>
      </c>
      <c r="K190" s="18" t="str">
        <f t="shared" si="43"/>
        <v>GM2</v>
      </c>
      <c r="L190" t="str">
        <f t="shared" si="44"/>
        <v>FEBRUARY-2-GM2</v>
      </c>
      <c r="M190">
        <f t="shared" si="32"/>
        <v>0.33919502201993978</v>
      </c>
      <c r="N190">
        <f t="shared" si="33"/>
        <v>-0.41437684178720191</v>
      </c>
      <c r="O190">
        <f t="shared" si="34"/>
        <v>1504511</v>
      </c>
      <c r="P190">
        <f t="shared" si="35"/>
        <v>1532581</v>
      </c>
      <c r="Q190">
        <f t="shared" si="36"/>
        <v>1515308</v>
      </c>
      <c r="R190" s="38">
        <f t="shared" si="37"/>
        <v>7.176418118578054E-3</v>
      </c>
      <c r="S190" s="38">
        <f t="shared" si="38"/>
        <v>-1.1270529910001548E-2</v>
      </c>
    </row>
    <row r="191" spans="1:19" x14ac:dyDescent="0.25">
      <c r="A191" s="13" t="s">
        <v>42</v>
      </c>
      <c r="B191">
        <v>2</v>
      </c>
      <c r="C191" t="s">
        <v>20</v>
      </c>
      <c r="D191">
        <v>11376</v>
      </c>
      <c r="E191">
        <v>11604</v>
      </c>
      <c r="F191">
        <v>11516</v>
      </c>
      <c r="G191">
        <f t="shared" si="39"/>
        <v>-88</v>
      </c>
      <c r="H191" s="18">
        <f t="shared" si="40"/>
        <v>140</v>
      </c>
      <c r="I191" s="18">
        <f t="shared" si="41"/>
        <v>1.2306610407876173E-2</v>
      </c>
      <c r="J191" s="18">
        <f t="shared" si="42"/>
        <v>-7.5835918648742284E-3</v>
      </c>
      <c r="K191" s="18" t="str">
        <f t="shared" si="43"/>
        <v>GM2</v>
      </c>
      <c r="L191" t="str">
        <f t="shared" si="44"/>
        <v>FEBRUARY-2-GM2</v>
      </c>
      <c r="M191">
        <f t="shared" si="32"/>
        <v>0.33919502201993978</v>
      </c>
      <c r="N191">
        <f t="shared" si="33"/>
        <v>-0.41437684178720191</v>
      </c>
      <c r="O191">
        <f t="shared" si="34"/>
        <v>1504511</v>
      </c>
      <c r="P191">
        <f t="shared" si="35"/>
        <v>1532581</v>
      </c>
      <c r="Q191">
        <f t="shared" si="36"/>
        <v>1515308</v>
      </c>
      <c r="R191" s="38">
        <f t="shared" si="37"/>
        <v>7.176418118578054E-3</v>
      </c>
      <c r="S191" s="38">
        <f t="shared" si="38"/>
        <v>-1.1270529910001548E-2</v>
      </c>
    </row>
    <row r="192" spans="1:19" x14ac:dyDescent="0.25">
      <c r="A192" s="13" t="s">
        <v>42</v>
      </c>
      <c r="B192">
        <v>2</v>
      </c>
      <c r="C192" t="s">
        <v>20</v>
      </c>
      <c r="D192">
        <v>4896</v>
      </c>
      <c r="E192">
        <v>4995</v>
      </c>
      <c r="F192">
        <v>4952</v>
      </c>
      <c r="G192">
        <f t="shared" si="39"/>
        <v>-43</v>
      </c>
      <c r="H192" s="18">
        <f t="shared" si="40"/>
        <v>56</v>
      </c>
      <c r="I192" s="18">
        <f t="shared" si="41"/>
        <v>1.1437908496731986E-2</v>
      </c>
      <c r="J192" s="18">
        <f t="shared" si="42"/>
        <v>-8.60860860860857E-3</v>
      </c>
      <c r="K192" s="18" t="str">
        <f t="shared" si="43"/>
        <v>GM2</v>
      </c>
      <c r="L192" t="str">
        <f t="shared" si="44"/>
        <v>FEBRUARY-2-GM2</v>
      </c>
      <c r="M192">
        <f t="shared" si="32"/>
        <v>0.33919502201993978</v>
      </c>
      <c r="N192">
        <f t="shared" si="33"/>
        <v>-0.41437684178720191</v>
      </c>
      <c r="O192">
        <f t="shared" si="34"/>
        <v>1504511</v>
      </c>
      <c r="P192">
        <f t="shared" si="35"/>
        <v>1532581</v>
      </c>
      <c r="Q192">
        <f t="shared" si="36"/>
        <v>1515308</v>
      </c>
      <c r="R192" s="38">
        <f t="shared" si="37"/>
        <v>7.176418118578054E-3</v>
      </c>
      <c r="S192" s="38">
        <f t="shared" si="38"/>
        <v>-1.1270529910001548E-2</v>
      </c>
    </row>
    <row r="193" spans="1:19" x14ac:dyDescent="0.25">
      <c r="A193" s="13" t="s">
        <v>42</v>
      </c>
      <c r="B193">
        <v>2</v>
      </c>
      <c r="C193" t="s">
        <v>20</v>
      </c>
      <c r="D193">
        <v>7920</v>
      </c>
      <c r="E193">
        <v>8093</v>
      </c>
      <c r="F193">
        <v>8100</v>
      </c>
      <c r="G193">
        <f t="shared" si="39"/>
        <v>7</v>
      </c>
      <c r="H193" s="18">
        <f t="shared" si="40"/>
        <v>180</v>
      </c>
      <c r="I193" s="18">
        <f t="shared" si="41"/>
        <v>2.2727272727272707E-2</v>
      </c>
      <c r="J193" s="18">
        <f t="shared" si="42"/>
        <v>8.6494501420975034E-4</v>
      </c>
      <c r="K193" s="18" t="str">
        <f t="shared" si="43"/>
        <v>GM2</v>
      </c>
      <c r="L193" t="str">
        <f t="shared" si="44"/>
        <v>FEBRUARY-2-GM2</v>
      </c>
      <c r="M193">
        <f t="shared" si="32"/>
        <v>0.33919502201993978</v>
      </c>
      <c r="N193">
        <f t="shared" si="33"/>
        <v>-0.41437684178720191</v>
      </c>
      <c r="O193">
        <f t="shared" si="34"/>
        <v>1504511</v>
      </c>
      <c r="P193">
        <f t="shared" si="35"/>
        <v>1532581</v>
      </c>
      <c r="Q193">
        <f t="shared" si="36"/>
        <v>1515308</v>
      </c>
      <c r="R193" s="38">
        <f t="shared" si="37"/>
        <v>7.176418118578054E-3</v>
      </c>
      <c r="S193" s="38">
        <f t="shared" si="38"/>
        <v>-1.1270529910001548E-2</v>
      </c>
    </row>
    <row r="194" spans="1:19" x14ac:dyDescent="0.25">
      <c r="A194" s="13" t="s">
        <v>42</v>
      </c>
      <c r="B194">
        <v>2</v>
      </c>
      <c r="C194" t="s">
        <v>17</v>
      </c>
      <c r="D194">
        <v>16560</v>
      </c>
      <c r="E194">
        <v>16984</v>
      </c>
      <c r="F194">
        <v>16560</v>
      </c>
      <c r="G194">
        <f t="shared" si="39"/>
        <v>-424</v>
      </c>
      <c r="H194" s="18">
        <f t="shared" si="40"/>
        <v>0</v>
      </c>
      <c r="I194" s="18">
        <f t="shared" si="41"/>
        <v>0</v>
      </c>
      <c r="J194" s="18">
        <f t="shared" si="42"/>
        <v>-2.4964672633066454E-2</v>
      </c>
      <c r="K194" s="18" t="str">
        <f t="shared" si="43"/>
        <v>MAJA1</v>
      </c>
      <c r="L194" t="str">
        <f t="shared" si="44"/>
        <v>FEBRUARY-2-MAJA1</v>
      </c>
      <c r="M194">
        <f t="shared" ref="M194:M257" si="45">SUMIF($L$2:$L$1048576,L194,$I$2:$I$1048576)</f>
        <v>-1.4115067350108701E-2</v>
      </c>
      <c r="N194">
        <f t="shared" ref="N194:N257" si="46">SUMIF($L$2:$L$1048576,L194,$J$2:$J$1048576)</f>
        <v>-0.41646017702597238</v>
      </c>
      <c r="O194">
        <f t="shared" ref="O194:O257" si="47">SUMIF($A$2:$A$1048576,A194,$D$2:$D$1048576)</f>
        <v>1504511</v>
      </c>
      <c r="P194">
        <f t="shared" ref="P194:P257" si="48">SUMIF($A$2:$A$1048576,A194,$E$2:$E$1048576)</f>
        <v>1532581</v>
      </c>
      <c r="Q194">
        <f t="shared" si="36"/>
        <v>1515308</v>
      </c>
      <c r="R194" s="38">
        <f t="shared" si="37"/>
        <v>7.176418118578054E-3</v>
      </c>
      <c r="S194" s="38">
        <f t="shared" si="38"/>
        <v>-1.1270529910001548E-2</v>
      </c>
    </row>
    <row r="195" spans="1:19" x14ac:dyDescent="0.25">
      <c r="A195" s="13" t="s">
        <v>42</v>
      </c>
      <c r="B195">
        <v>2</v>
      </c>
      <c r="C195" t="s">
        <v>20</v>
      </c>
      <c r="D195">
        <v>18468</v>
      </c>
      <c r="E195">
        <v>19028</v>
      </c>
      <c r="F195">
        <v>19023</v>
      </c>
      <c r="G195">
        <f t="shared" si="39"/>
        <v>-5</v>
      </c>
      <c r="H195" s="18">
        <f t="shared" si="40"/>
        <v>555</v>
      </c>
      <c r="I195" s="18">
        <f t="shared" si="41"/>
        <v>3.0051981806367811E-2</v>
      </c>
      <c r="J195" s="18">
        <f t="shared" si="42"/>
        <v>-2.6277065377333653E-4</v>
      </c>
      <c r="K195" s="18" t="str">
        <f t="shared" si="43"/>
        <v>GM2</v>
      </c>
      <c r="L195" t="str">
        <f t="shared" si="44"/>
        <v>FEBRUARY-2-GM2</v>
      </c>
      <c r="M195">
        <f t="shared" si="45"/>
        <v>0.33919502201993978</v>
      </c>
      <c r="N195">
        <f t="shared" si="46"/>
        <v>-0.41437684178720191</v>
      </c>
      <c r="O195">
        <f t="shared" si="47"/>
        <v>1504511</v>
      </c>
      <c r="P195">
        <f t="shared" si="48"/>
        <v>1532581</v>
      </c>
      <c r="Q195">
        <f t="shared" ref="Q195:Q258" si="49">SUMIF($A$2:$A$1048576,A195,$F$2:$F$1048576)</f>
        <v>1515308</v>
      </c>
      <c r="R195" s="38">
        <f t="shared" ref="R195:R258" si="50">Q195/O195-1</f>
        <v>7.176418118578054E-3</v>
      </c>
      <c r="S195" s="38">
        <f t="shared" ref="S195:S258" si="51">Q195/P195-1</f>
        <v>-1.1270529910001548E-2</v>
      </c>
    </row>
    <row r="196" spans="1:19" x14ac:dyDescent="0.25">
      <c r="A196" s="13" t="s">
        <v>42</v>
      </c>
      <c r="B196">
        <v>2</v>
      </c>
      <c r="C196" t="s">
        <v>20</v>
      </c>
      <c r="D196">
        <v>1836</v>
      </c>
      <c r="E196">
        <v>1892</v>
      </c>
      <c r="F196">
        <v>1887</v>
      </c>
      <c r="G196">
        <f t="shared" si="39"/>
        <v>-5</v>
      </c>
      <c r="H196" s="18">
        <f t="shared" si="40"/>
        <v>51</v>
      </c>
      <c r="I196" s="18">
        <f t="shared" si="41"/>
        <v>2.7777777777777679E-2</v>
      </c>
      <c r="J196" s="18">
        <f t="shared" si="42"/>
        <v>-2.6427061310781985E-3</v>
      </c>
      <c r="K196" s="18" t="str">
        <f t="shared" si="43"/>
        <v>GM2</v>
      </c>
      <c r="L196" t="str">
        <f t="shared" si="44"/>
        <v>FEBRUARY-2-GM2</v>
      </c>
      <c r="M196">
        <f t="shared" si="45"/>
        <v>0.33919502201993978</v>
      </c>
      <c r="N196">
        <f t="shared" si="46"/>
        <v>-0.41437684178720191</v>
      </c>
      <c r="O196">
        <f t="shared" si="47"/>
        <v>1504511</v>
      </c>
      <c r="P196">
        <f t="shared" si="48"/>
        <v>1532581</v>
      </c>
      <c r="Q196">
        <f t="shared" si="49"/>
        <v>1515308</v>
      </c>
      <c r="R196" s="38">
        <f t="shared" si="50"/>
        <v>7.176418118578054E-3</v>
      </c>
      <c r="S196" s="38">
        <f t="shared" si="51"/>
        <v>-1.1270529910001548E-2</v>
      </c>
    </row>
    <row r="197" spans="1:19" x14ac:dyDescent="0.25">
      <c r="A197" s="13" t="s">
        <v>42</v>
      </c>
      <c r="B197">
        <v>2</v>
      </c>
      <c r="C197" t="s">
        <v>20</v>
      </c>
      <c r="D197">
        <v>23040</v>
      </c>
      <c r="E197">
        <v>23733</v>
      </c>
      <c r="F197">
        <v>23696</v>
      </c>
      <c r="G197">
        <f t="shared" si="39"/>
        <v>-37</v>
      </c>
      <c r="H197" s="18">
        <f t="shared" si="40"/>
        <v>656</v>
      </c>
      <c r="I197" s="18">
        <f t="shared" si="41"/>
        <v>2.8472222222222232E-2</v>
      </c>
      <c r="J197" s="18">
        <f t="shared" si="42"/>
        <v>-1.5590106602620946E-3</v>
      </c>
      <c r="K197" s="18" t="str">
        <f t="shared" si="43"/>
        <v>GM2</v>
      </c>
      <c r="L197" t="str">
        <f t="shared" si="44"/>
        <v>FEBRUARY-2-GM2</v>
      </c>
      <c r="M197">
        <f t="shared" si="45"/>
        <v>0.33919502201993978</v>
      </c>
      <c r="N197">
        <f t="shared" si="46"/>
        <v>-0.41437684178720191</v>
      </c>
      <c r="O197">
        <f t="shared" si="47"/>
        <v>1504511</v>
      </c>
      <c r="P197">
        <f t="shared" si="48"/>
        <v>1532581</v>
      </c>
      <c r="Q197">
        <f t="shared" si="49"/>
        <v>1515308</v>
      </c>
      <c r="R197" s="38">
        <f t="shared" si="50"/>
        <v>7.176418118578054E-3</v>
      </c>
      <c r="S197" s="38">
        <f t="shared" si="51"/>
        <v>-1.1270529910001548E-2</v>
      </c>
    </row>
    <row r="198" spans="1:19" x14ac:dyDescent="0.25">
      <c r="A198" s="13" t="s">
        <v>42</v>
      </c>
      <c r="B198">
        <v>3</v>
      </c>
      <c r="C198" t="s">
        <v>16</v>
      </c>
      <c r="D198">
        <v>700</v>
      </c>
      <c r="E198">
        <v>700</v>
      </c>
      <c r="F198">
        <v>700</v>
      </c>
      <c r="G198">
        <f t="shared" si="39"/>
        <v>0</v>
      </c>
      <c r="H198" s="18">
        <f t="shared" si="40"/>
        <v>0</v>
      </c>
      <c r="I198" s="18">
        <f t="shared" si="41"/>
        <v>0</v>
      </c>
      <c r="J198" s="18">
        <f t="shared" si="42"/>
        <v>0</v>
      </c>
      <c r="K198" s="18" t="str">
        <f t="shared" si="43"/>
        <v>CNJ2</v>
      </c>
      <c r="L198" t="str">
        <f t="shared" si="44"/>
        <v>FEBRUARY-3-CNJ2</v>
      </c>
      <c r="M198">
        <f t="shared" si="45"/>
        <v>5.8636363636364042E-3</v>
      </c>
      <c r="N198">
        <f t="shared" si="46"/>
        <v>-1.3727325400008872E-2</v>
      </c>
      <c r="O198">
        <f t="shared" si="47"/>
        <v>1504511</v>
      </c>
      <c r="P198">
        <f t="shared" si="48"/>
        <v>1532581</v>
      </c>
      <c r="Q198">
        <f t="shared" si="49"/>
        <v>1515308</v>
      </c>
      <c r="R198" s="38">
        <f t="shared" si="50"/>
        <v>7.176418118578054E-3</v>
      </c>
      <c r="S198" s="38">
        <f t="shared" si="51"/>
        <v>-1.1270529910001548E-2</v>
      </c>
    </row>
    <row r="199" spans="1:19" x14ac:dyDescent="0.25">
      <c r="A199" s="13" t="s">
        <v>42</v>
      </c>
      <c r="B199">
        <v>3</v>
      </c>
      <c r="C199" t="s">
        <v>16</v>
      </c>
      <c r="D199">
        <v>50</v>
      </c>
      <c r="E199">
        <v>50</v>
      </c>
      <c r="F199">
        <v>50</v>
      </c>
      <c r="G199">
        <f t="shared" si="39"/>
        <v>0</v>
      </c>
      <c r="H199" s="18">
        <f t="shared" si="40"/>
        <v>0</v>
      </c>
      <c r="I199" s="18">
        <f t="shared" si="41"/>
        <v>0</v>
      </c>
      <c r="J199" s="18">
        <f t="shared" si="42"/>
        <v>0</v>
      </c>
      <c r="K199" s="18" t="str">
        <f t="shared" si="43"/>
        <v>CNJ2</v>
      </c>
      <c r="L199" t="str">
        <f t="shared" si="44"/>
        <v>FEBRUARY-3-CNJ2</v>
      </c>
      <c r="M199">
        <f t="shared" si="45"/>
        <v>5.8636363636364042E-3</v>
      </c>
      <c r="N199">
        <f t="shared" si="46"/>
        <v>-1.3727325400008872E-2</v>
      </c>
      <c r="O199">
        <f t="shared" si="47"/>
        <v>1504511</v>
      </c>
      <c r="P199">
        <f t="shared" si="48"/>
        <v>1532581</v>
      </c>
      <c r="Q199">
        <f t="shared" si="49"/>
        <v>1515308</v>
      </c>
      <c r="R199" s="38">
        <f t="shared" si="50"/>
        <v>7.176418118578054E-3</v>
      </c>
      <c r="S199" s="38">
        <f t="shared" si="51"/>
        <v>-1.1270529910001548E-2</v>
      </c>
    </row>
    <row r="200" spans="1:19" x14ac:dyDescent="0.25">
      <c r="A200" s="13" t="s">
        <v>42</v>
      </c>
      <c r="B200">
        <v>3</v>
      </c>
      <c r="C200" t="s">
        <v>16</v>
      </c>
      <c r="D200">
        <v>360</v>
      </c>
      <c r="E200">
        <v>360</v>
      </c>
      <c r="F200">
        <v>360</v>
      </c>
      <c r="G200">
        <f t="shared" si="39"/>
        <v>0</v>
      </c>
      <c r="H200" s="18">
        <f t="shared" si="40"/>
        <v>0</v>
      </c>
      <c r="I200" s="18">
        <f t="shared" si="41"/>
        <v>0</v>
      </c>
      <c r="J200" s="18">
        <f t="shared" si="42"/>
        <v>0</v>
      </c>
      <c r="K200" s="18" t="str">
        <f t="shared" si="43"/>
        <v>CNJ2</v>
      </c>
      <c r="L200" t="str">
        <f t="shared" si="44"/>
        <v>FEBRUARY-3-CNJ2</v>
      </c>
      <c r="M200">
        <f t="shared" si="45"/>
        <v>5.8636363636364042E-3</v>
      </c>
      <c r="N200">
        <f t="shared" si="46"/>
        <v>-1.3727325400008872E-2</v>
      </c>
      <c r="O200">
        <f t="shared" si="47"/>
        <v>1504511</v>
      </c>
      <c r="P200">
        <f t="shared" si="48"/>
        <v>1532581</v>
      </c>
      <c r="Q200">
        <f t="shared" si="49"/>
        <v>1515308</v>
      </c>
      <c r="R200" s="38">
        <f t="shared" si="50"/>
        <v>7.176418118578054E-3</v>
      </c>
      <c r="S200" s="38">
        <f t="shared" si="51"/>
        <v>-1.1270529910001548E-2</v>
      </c>
    </row>
    <row r="201" spans="1:19" x14ac:dyDescent="0.25">
      <c r="A201" s="13" t="s">
        <v>42</v>
      </c>
      <c r="B201">
        <v>3</v>
      </c>
      <c r="C201" t="s">
        <v>16</v>
      </c>
      <c r="D201">
        <v>50</v>
      </c>
      <c r="E201">
        <v>50</v>
      </c>
      <c r="F201">
        <v>50</v>
      </c>
      <c r="G201">
        <f t="shared" si="39"/>
        <v>0</v>
      </c>
      <c r="H201" s="18">
        <f t="shared" si="40"/>
        <v>0</v>
      </c>
      <c r="I201" s="18">
        <f t="shared" si="41"/>
        <v>0</v>
      </c>
      <c r="J201" s="18">
        <f t="shared" si="42"/>
        <v>0</v>
      </c>
      <c r="K201" s="18" t="str">
        <f t="shared" si="43"/>
        <v>CNJ2</v>
      </c>
      <c r="L201" t="str">
        <f t="shared" si="44"/>
        <v>FEBRUARY-3-CNJ2</v>
      </c>
      <c r="M201">
        <f t="shared" si="45"/>
        <v>5.8636363636364042E-3</v>
      </c>
      <c r="N201">
        <f t="shared" si="46"/>
        <v>-1.3727325400008872E-2</v>
      </c>
      <c r="O201">
        <f t="shared" si="47"/>
        <v>1504511</v>
      </c>
      <c r="P201">
        <f t="shared" si="48"/>
        <v>1532581</v>
      </c>
      <c r="Q201">
        <f t="shared" si="49"/>
        <v>1515308</v>
      </c>
      <c r="R201" s="38">
        <f t="shared" si="50"/>
        <v>7.176418118578054E-3</v>
      </c>
      <c r="S201" s="38">
        <f t="shared" si="51"/>
        <v>-1.1270529910001548E-2</v>
      </c>
    </row>
    <row r="202" spans="1:19" x14ac:dyDescent="0.25">
      <c r="A202" s="13" t="s">
        <v>42</v>
      </c>
      <c r="B202">
        <v>3</v>
      </c>
      <c r="C202" t="s">
        <v>23</v>
      </c>
      <c r="D202">
        <v>2490</v>
      </c>
      <c r="E202">
        <v>2492</v>
      </c>
      <c r="F202">
        <v>2488</v>
      </c>
      <c r="G202">
        <f t="shared" si="39"/>
        <v>-4</v>
      </c>
      <c r="H202" s="18">
        <f t="shared" si="40"/>
        <v>-2</v>
      </c>
      <c r="I202" s="18">
        <f t="shared" si="41"/>
        <v>-8.0321285140561027E-4</v>
      </c>
      <c r="J202" s="18">
        <f t="shared" si="42"/>
        <v>-1.6051364365970988E-3</v>
      </c>
      <c r="K202" s="18" t="str">
        <f t="shared" si="43"/>
        <v>CBA</v>
      </c>
      <c r="L202" t="str">
        <f t="shared" si="44"/>
        <v>FEBRUARY-3-CBA</v>
      </c>
      <c r="M202">
        <f t="shared" si="45"/>
        <v>-8.0321285140561027E-4</v>
      </c>
      <c r="N202">
        <f t="shared" si="46"/>
        <v>-1.6051364365970988E-3</v>
      </c>
      <c r="O202">
        <f t="shared" si="47"/>
        <v>1504511</v>
      </c>
      <c r="P202">
        <f t="shared" si="48"/>
        <v>1532581</v>
      </c>
      <c r="Q202">
        <f t="shared" si="49"/>
        <v>1515308</v>
      </c>
      <c r="R202" s="38">
        <f t="shared" si="50"/>
        <v>7.176418118578054E-3</v>
      </c>
      <c r="S202" s="38">
        <f t="shared" si="51"/>
        <v>-1.1270529910001548E-2</v>
      </c>
    </row>
    <row r="203" spans="1:19" x14ac:dyDescent="0.25">
      <c r="A203" s="13" t="s">
        <v>42</v>
      </c>
      <c r="B203">
        <v>3</v>
      </c>
      <c r="C203" t="s">
        <v>22</v>
      </c>
      <c r="D203">
        <v>33000</v>
      </c>
      <c r="E203">
        <v>33228</v>
      </c>
      <c r="F203">
        <v>32744</v>
      </c>
      <c r="G203">
        <f t="shared" si="39"/>
        <v>-484</v>
      </c>
      <c r="H203" s="18">
        <f t="shared" si="40"/>
        <v>-256</v>
      </c>
      <c r="I203" s="18">
        <f t="shared" si="41"/>
        <v>-7.7575757575757409E-3</v>
      </c>
      <c r="J203" s="18">
        <f t="shared" si="42"/>
        <v>-1.456602865053569E-2</v>
      </c>
      <c r="K203" s="18" t="str">
        <f t="shared" si="43"/>
        <v>ANUGERAH</v>
      </c>
      <c r="L203" t="str">
        <f t="shared" si="44"/>
        <v>FEBRUARY-3-ANUGERAH</v>
      </c>
      <c r="M203">
        <f t="shared" si="45"/>
        <v>-0.35146388528138528</v>
      </c>
      <c r="N203">
        <f t="shared" si="46"/>
        <v>-0.70051199626505078</v>
      </c>
      <c r="O203">
        <f t="shared" si="47"/>
        <v>1504511</v>
      </c>
      <c r="P203">
        <f t="shared" si="48"/>
        <v>1532581</v>
      </c>
      <c r="Q203">
        <f t="shared" si="49"/>
        <v>1515308</v>
      </c>
      <c r="R203" s="38">
        <f t="shared" si="50"/>
        <v>7.176418118578054E-3</v>
      </c>
      <c r="S203" s="38">
        <f t="shared" si="51"/>
        <v>-1.1270529910001548E-2</v>
      </c>
    </row>
    <row r="204" spans="1:19" x14ac:dyDescent="0.25">
      <c r="A204" s="13" t="s">
        <v>42</v>
      </c>
      <c r="B204">
        <v>3</v>
      </c>
      <c r="C204" t="s">
        <v>22</v>
      </c>
      <c r="D204">
        <v>6000</v>
      </c>
      <c r="E204">
        <v>6018</v>
      </c>
      <c r="F204">
        <v>5958</v>
      </c>
      <c r="G204">
        <f t="shared" si="39"/>
        <v>-60</v>
      </c>
      <c r="H204" s="18">
        <f t="shared" si="40"/>
        <v>-42</v>
      </c>
      <c r="I204" s="18">
        <f t="shared" si="41"/>
        <v>-7.0000000000000062E-3</v>
      </c>
      <c r="J204" s="18">
        <f t="shared" si="42"/>
        <v>-9.9700897308075964E-3</v>
      </c>
      <c r="K204" s="18" t="str">
        <f t="shared" si="43"/>
        <v>ANUGERAH</v>
      </c>
      <c r="L204" t="str">
        <f t="shared" si="44"/>
        <v>FEBRUARY-3-ANUGERAH</v>
      </c>
      <c r="M204">
        <f t="shared" si="45"/>
        <v>-0.35146388528138528</v>
      </c>
      <c r="N204">
        <f t="shared" si="46"/>
        <v>-0.70051199626505078</v>
      </c>
      <c r="O204">
        <f t="shared" si="47"/>
        <v>1504511</v>
      </c>
      <c r="P204">
        <f t="shared" si="48"/>
        <v>1532581</v>
      </c>
      <c r="Q204">
        <f t="shared" si="49"/>
        <v>1515308</v>
      </c>
      <c r="R204" s="38">
        <f t="shared" si="50"/>
        <v>7.176418118578054E-3</v>
      </c>
      <c r="S204" s="38">
        <f t="shared" si="51"/>
        <v>-1.1270529910001548E-2</v>
      </c>
    </row>
    <row r="205" spans="1:19" x14ac:dyDescent="0.25">
      <c r="A205" s="13" t="s">
        <v>42</v>
      </c>
      <c r="B205">
        <v>3</v>
      </c>
      <c r="C205" t="s">
        <v>22</v>
      </c>
      <c r="D205">
        <v>10500</v>
      </c>
      <c r="E205">
        <v>10187</v>
      </c>
      <c r="F205">
        <v>9833</v>
      </c>
      <c r="G205">
        <f t="shared" si="39"/>
        <v>-354</v>
      </c>
      <c r="H205" s="18">
        <f t="shared" si="40"/>
        <v>-667</v>
      </c>
      <c r="I205" s="18">
        <f t="shared" si="41"/>
        <v>-6.3523809523809538E-2</v>
      </c>
      <c r="J205" s="18">
        <f t="shared" si="42"/>
        <v>-3.4750171787572448E-2</v>
      </c>
      <c r="K205" s="18" t="str">
        <f t="shared" si="43"/>
        <v>ANUGERAH</v>
      </c>
      <c r="L205" t="str">
        <f t="shared" si="44"/>
        <v>FEBRUARY-3-ANUGERAH</v>
      </c>
      <c r="M205">
        <f t="shared" si="45"/>
        <v>-0.35146388528138528</v>
      </c>
      <c r="N205">
        <f t="shared" si="46"/>
        <v>-0.70051199626505078</v>
      </c>
      <c r="O205">
        <f t="shared" si="47"/>
        <v>1504511</v>
      </c>
      <c r="P205">
        <f t="shared" si="48"/>
        <v>1532581</v>
      </c>
      <c r="Q205">
        <f t="shared" si="49"/>
        <v>1515308</v>
      </c>
      <c r="R205" s="38">
        <f t="shared" si="50"/>
        <v>7.176418118578054E-3</v>
      </c>
      <c r="S205" s="38">
        <f t="shared" si="51"/>
        <v>-1.1270529910001548E-2</v>
      </c>
    </row>
    <row r="206" spans="1:19" x14ac:dyDescent="0.25">
      <c r="A206" s="13" t="s">
        <v>42</v>
      </c>
      <c r="B206">
        <v>3</v>
      </c>
      <c r="C206" t="s">
        <v>22</v>
      </c>
      <c r="D206">
        <v>10000</v>
      </c>
      <c r="E206">
        <v>10335</v>
      </c>
      <c r="F206">
        <v>10000</v>
      </c>
      <c r="G206">
        <f t="shared" si="39"/>
        <v>-335</v>
      </c>
      <c r="H206" s="18">
        <f t="shared" si="40"/>
        <v>0</v>
      </c>
      <c r="I206" s="18">
        <f t="shared" si="41"/>
        <v>0</v>
      </c>
      <c r="J206" s="18">
        <f t="shared" si="42"/>
        <v>-3.2414126753749439E-2</v>
      </c>
      <c r="K206" s="18" t="str">
        <f t="shared" si="43"/>
        <v>ANUGERAH</v>
      </c>
      <c r="L206" t="str">
        <f t="shared" si="44"/>
        <v>FEBRUARY-3-ANUGERAH</v>
      </c>
      <c r="M206">
        <f t="shared" si="45"/>
        <v>-0.35146388528138528</v>
      </c>
      <c r="N206">
        <f t="shared" si="46"/>
        <v>-0.70051199626505078</v>
      </c>
      <c r="O206">
        <f t="shared" si="47"/>
        <v>1504511</v>
      </c>
      <c r="P206">
        <f t="shared" si="48"/>
        <v>1532581</v>
      </c>
      <c r="Q206">
        <f t="shared" si="49"/>
        <v>1515308</v>
      </c>
      <c r="R206" s="38">
        <f t="shared" si="50"/>
        <v>7.176418118578054E-3</v>
      </c>
      <c r="S206" s="38">
        <f t="shared" si="51"/>
        <v>-1.1270529910001548E-2</v>
      </c>
    </row>
    <row r="207" spans="1:19" x14ac:dyDescent="0.25">
      <c r="A207" s="13" t="s">
        <v>42</v>
      </c>
      <c r="B207">
        <v>3</v>
      </c>
      <c r="C207" t="s">
        <v>22</v>
      </c>
      <c r="D207">
        <v>25000</v>
      </c>
      <c r="E207">
        <v>25276</v>
      </c>
      <c r="F207">
        <v>24817</v>
      </c>
      <c r="G207">
        <f t="shared" si="39"/>
        <v>-459</v>
      </c>
      <c r="H207" s="18">
        <f t="shared" si="40"/>
        <v>-183</v>
      </c>
      <c r="I207" s="18">
        <f t="shared" si="41"/>
        <v>-7.3199999999999932E-3</v>
      </c>
      <c r="J207" s="18">
        <f t="shared" si="42"/>
        <v>-1.8159518911220141E-2</v>
      </c>
      <c r="K207" s="18" t="str">
        <f t="shared" si="43"/>
        <v>ANUGERAH</v>
      </c>
      <c r="L207" t="str">
        <f t="shared" si="44"/>
        <v>FEBRUARY-3-ANUGERAH</v>
      </c>
      <c r="M207">
        <f t="shared" si="45"/>
        <v>-0.35146388528138528</v>
      </c>
      <c r="N207">
        <f t="shared" si="46"/>
        <v>-0.70051199626505078</v>
      </c>
      <c r="O207">
        <f t="shared" si="47"/>
        <v>1504511</v>
      </c>
      <c r="P207">
        <f t="shared" si="48"/>
        <v>1532581</v>
      </c>
      <c r="Q207">
        <f t="shared" si="49"/>
        <v>1515308</v>
      </c>
      <c r="R207" s="38">
        <f t="shared" si="50"/>
        <v>7.176418118578054E-3</v>
      </c>
      <c r="S207" s="38">
        <f t="shared" si="51"/>
        <v>-1.1270529910001548E-2</v>
      </c>
    </row>
    <row r="208" spans="1:19" x14ac:dyDescent="0.25">
      <c r="A208" s="13" t="s">
        <v>42</v>
      </c>
      <c r="B208">
        <v>3</v>
      </c>
      <c r="C208" t="s">
        <v>22</v>
      </c>
      <c r="D208">
        <v>7800</v>
      </c>
      <c r="E208">
        <v>7638</v>
      </c>
      <c r="F208">
        <v>7527</v>
      </c>
      <c r="G208">
        <f t="shared" si="39"/>
        <v>-111</v>
      </c>
      <c r="H208" s="18">
        <f t="shared" si="40"/>
        <v>-273</v>
      </c>
      <c r="I208" s="18">
        <f t="shared" si="41"/>
        <v>-3.5000000000000031E-2</v>
      </c>
      <c r="J208" s="18">
        <f t="shared" si="42"/>
        <v>-1.4532600157109221E-2</v>
      </c>
      <c r="K208" s="18" t="str">
        <f t="shared" si="43"/>
        <v>ANUGERAH</v>
      </c>
      <c r="L208" t="str">
        <f t="shared" si="44"/>
        <v>FEBRUARY-3-ANUGERAH</v>
      </c>
      <c r="M208">
        <f t="shared" si="45"/>
        <v>-0.35146388528138528</v>
      </c>
      <c r="N208">
        <f t="shared" si="46"/>
        <v>-0.70051199626505078</v>
      </c>
      <c r="O208">
        <f t="shared" si="47"/>
        <v>1504511</v>
      </c>
      <c r="P208">
        <f t="shared" si="48"/>
        <v>1532581</v>
      </c>
      <c r="Q208">
        <f t="shared" si="49"/>
        <v>1515308</v>
      </c>
      <c r="R208" s="38">
        <f t="shared" si="50"/>
        <v>7.176418118578054E-3</v>
      </c>
      <c r="S208" s="38">
        <f t="shared" si="51"/>
        <v>-1.1270529910001548E-2</v>
      </c>
    </row>
    <row r="209" spans="1:19" x14ac:dyDescent="0.25">
      <c r="A209" s="13" t="s">
        <v>42</v>
      </c>
      <c r="B209">
        <v>3</v>
      </c>
      <c r="C209" t="s">
        <v>22</v>
      </c>
      <c r="D209">
        <v>48000</v>
      </c>
      <c r="E209">
        <v>48000</v>
      </c>
      <c r="F209">
        <v>47957</v>
      </c>
      <c r="G209">
        <f t="shared" si="39"/>
        <v>-43</v>
      </c>
      <c r="H209" s="18">
        <f t="shared" si="40"/>
        <v>-43</v>
      </c>
      <c r="I209" s="18">
        <f t="shared" si="41"/>
        <v>-8.9583333333331794E-4</v>
      </c>
      <c r="J209" s="18">
        <f t="shared" si="42"/>
        <v>-8.9583333333331794E-4</v>
      </c>
      <c r="K209" s="18" t="str">
        <f t="shared" si="43"/>
        <v>ANUGERAH</v>
      </c>
      <c r="L209" t="str">
        <f t="shared" si="44"/>
        <v>FEBRUARY-3-ANUGERAH</v>
      </c>
      <c r="M209">
        <f t="shared" si="45"/>
        <v>-0.35146388528138528</v>
      </c>
      <c r="N209">
        <f t="shared" si="46"/>
        <v>-0.70051199626505078</v>
      </c>
      <c r="O209">
        <f t="shared" si="47"/>
        <v>1504511</v>
      </c>
      <c r="P209">
        <f t="shared" si="48"/>
        <v>1532581</v>
      </c>
      <c r="Q209">
        <f t="shared" si="49"/>
        <v>1515308</v>
      </c>
      <c r="R209" s="38">
        <f t="shared" si="50"/>
        <v>7.176418118578054E-3</v>
      </c>
      <c r="S209" s="38">
        <f t="shared" si="51"/>
        <v>-1.1270529910001548E-2</v>
      </c>
    </row>
    <row r="210" spans="1:19" x14ac:dyDescent="0.25">
      <c r="A210" s="13" t="s">
        <v>42</v>
      </c>
      <c r="B210">
        <v>3</v>
      </c>
      <c r="C210" t="s">
        <v>22</v>
      </c>
      <c r="D210">
        <v>7500</v>
      </c>
      <c r="E210">
        <v>7716</v>
      </c>
      <c r="F210">
        <v>7509</v>
      </c>
      <c r="G210">
        <f t="shared" si="39"/>
        <v>-207</v>
      </c>
      <c r="H210" s="18">
        <f t="shared" si="40"/>
        <v>9</v>
      </c>
      <c r="I210" s="18">
        <f t="shared" si="41"/>
        <v>1.2000000000000899E-3</v>
      </c>
      <c r="J210" s="18">
        <f t="shared" si="42"/>
        <v>-2.6827371695178903E-2</v>
      </c>
      <c r="K210" s="18" t="str">
        <f t="shared" si="43"/>
        <v>ANUGERAH</v>
      </c>
      <c r="L210" t="str">
        <f t="shared" si="44"/>
        <v>FEBRUARY-3-ANUGERAH</v>
      </c>
      <c r="M210">
        <f t="shared" si="45"/>
        <v>-0.35146388528138528</v>
      </c>
      <c r="N210">
        <f t="shared" si="46"/>
        <v>-0.70051199626505078</v>
      </c>
      <c r="O210">
        <f t="shared" si="47"/>
        <v>1504511</v>
      </c>
      <c r="P210">
        <f t="shared" si="48"/>
        <v>1532581</v>
      </c>
      <c r="Q210">
        <f t="shared" si="49"/>
        <v>1515308</v>
      </c>
      <c r="R210" s="38">
        <f t="shared" si="50"/>
        <v>7.176418118578054E-3</v>
      </c>
      <c r="S210" s="38">
        <f t="shared" si="51"/>
        <v>-1.1270529910001548E-2</v>
      </c>
    </row>
    <row r="211" spans="1:19" x14ac:dyDescent="0.25">
      <c r="A211" s="13" t="s">
        <v>42</v>
      </c>
      <c r="B211">
        <v>3</v>
      </c>
      <c r="C211" t="s">
        <v>16</v>
      </c>
      <c r="D211">
        <v>22000</v>
      </c>
      <c r="E211">
        <v>22437</v>
      </c>
      <c r="F211">
        <v>22129</v>
      </c>
      <c r="G211">
        <f t="shared" si="39"/>
        <v>-308</v>
      </c>
      <c r="H211" s="18">
        <f t="shared" si="40"/>
        <v>129</v>
      </c>
      <c r="I211" s="18">
        <f t="shared" si="41"/>
        <v>5.8636363636364042E-3</v>
      </c>
      <c r="J211" s="18">
        <f t="shared" si="42"/>
        <v>-1.3727325400008872E-2</v>
      </c>
      <c r="K211" s="18" t="str">
        <f t="shared" si="43"/>
        <v>CNJ2</v>
      </c>
      <c r="L211" t="str">
        <f t="shared" si="44"/>
        <v>FEBRUARY-3-CNJ2</v>
      </c>
      <c r="M211">
        <f t="shared" si="45"/>
        <v>5.8636363636364042E-3</v>
      </c>
      <c r="N211">
        <f t="shared" si="46"/>
        <v>-1.3727325400008872E-2</v>
      </c>
      <c r="O211">
        <f t="shared" si="47"/>
        <v>1504511</v>
      </c>
      <c r="P211">
        <f t="shared" si="48"/>
        <v>1532581</v>
      </c>
      <c r="Q211">
        <f t="shared" si="49"/>
        <v>1515308</v>
      </c>
      <c r="R211" s="38">
        <f t="shared" si="50"/>
        <v>7.176418118578054E-3</v>
      </c>
      <c r="S211" s="38">
        <f t="shared" si="51"/>
        <v>-1.1270529910001548E-2</v>
      </c>
    </row>
    <row r="212" spans="1:19" x14ac:dyDescent="0.25">
      <c r="A212" s="13" t="s">
        <v>42</v>
      </c>
      <c r="B212">
        <v>3</v>
      </c>
      <c r="C212" t="s">
        <v>22</v>
      </c>
      <c r="D212">
        <v>450</v>
      </c>
      <c r="E212">
        <v>462</v>
      </c>
      <c r="F212">
        <v>434</v>
      </c>
      <c r="G212">
        <f t="shared" si="39"/>
        <v>-28</v>
      </c>
      <c r="H212" s="18">
        <f t="shared" si="40"/>
        <v>-16</v>
      </c>
      <c r="I212" s="18">
        <f t="shared" si="41"/>
        <v>-3.5555555555555562E-2</v>
      </c>
      <c r="J212" s="18">
        <f t="shared" si="42"/>
        <v>-6.0606060606060552E-2</v>
      </c>
      <c r="K212" s="18" t="str">
        <f t="shared" si="43"/>
        <v>ANUGERAH</v>
      </c>
      <c r="L212" t="str">
        <f t="shared" si="44"/>
        <v>FEBRUARY-3-ANUGERAH</v>
      </c>
      <c r="M212">
        <f t="shared" si="45"/>
        <v>-0.35146388528138528</v>
      </c>
      <c r="N212">
        <f t="shared" si="46"/>
        <v>-0.70051199626505078</v>
      </c>
      <c r="O212">
        <f t="shared" si="47"/>
        <v>1504511</v>
      </c>
      <c r="P212">
        <f t="shared" si="48"/>
        <v>1532581</v>
      </c>
      <c r="Q212">
        <f t="shared" si="49"/>
        <v>1515308</v>
      </c>
      <c r="R212" s="38">
        <f t="shared" si="50"/>
        <v>7.176418118578054E-3</v>
      </c>
      <c r="S212" s="38">
        <f t="shared" si="51"/>
        <v>-1.1270529910001548E-2</v>
      </c>
    </row>
    <row r="213" spans="1:19" x14ac:dyDescent="0.25">
      <c r="A213" s="13" t="s">
        <v>42</v>
      </c>
      <c r="B213">
        <v>3</v>
      </c>
      <c r="C213" t="s">
        <v>22</v>
      </c>
      <c r="D213">
        <v>750</v>
      </c>
      <c r="E213">
        <v>768</v>
      </c>
      <c r="F213">
        <v>732</v>
      </c>
      <c r="G213">
        <f t="shared" si="39"/>
        <v>-36</v>
      </c>
      <c r="H213" s="18">
        <f t="shared" si="40"/>
        <v>-18</v>
      </c>
      <c r="I213" s="18">
        <f t="shared" si="41"/>
        <v>-2.4000000000000021E-2</v>
      </c>
      <c r="J213" s="18">
        <f t="shared" si="42"/>
        <v>-4.6875E-2</v>
      </c>
      <c r="K213" s="18" t="str">
        <f t="shared" si="43"/>
        <v>ANUGERAH</v>
      </c>
      <c r="L213" t="str">
        <f t="shared" si="44"/>
        <v>FEBRUARY-3-ANUGERAH</v>
      </c>
      <c r="M213">
        <f t="shared" si="45"/>
        <v>-0.35146388528138528</v>
      </c>
      <c r="N213">
        <f t="shared" si="46"/>
        <v>-0.70051199626505078</v>
      </c>
      <c r="O213">
        <f t="shared" si="47"/>
        <v>1504511</v>
      </c>
      <c r="P213">
        <f t="shared" si="48"/>
        <v>1532581</v>
      </c>
      <c r="Q213">
        <f t="shared" si="49"/>
        <v>1515308</v>
      </c>
      <c r="R213" s="38">
        <f t="shared" si="50"/>
        <v>7.176418118578054E-3</v>
      </c>
      <c r="S213" s="38">
        <f t="shared" si="51"/>
        <v>-1.1270529910001548E-2</v>
      </c>
    </row>
    <row r="214" spans="1:19" x14ac:dyDescent="0.25">
      <c r="A214" s="13" t="s">
        <v>42</v>
      </c>
      <c r="B214">
        <v>3</v>
      </c>
      <c r="C214" t="s">
        <v>22</v>
      </c>
      <c r="D214">
        <v>450</v>
      </c>
      <c r="E214">
        <v>462</v>
      </c>
      <c r="F214">
        <v>445</v>
      </c>
      <c r="G214">
        <f t="shared" si="39"/>
        <v>-17</v>
      </c>
      <c r="H214" s="18">
        <f t="shared" si="40"/>
        <v>-5</v>
      </c>
      <c r="I214" s="18">
        <f t="shared" si="41"/>
        <v>-1.1111111111111072E-2</v>
      </c>
      <c r="J214" s="18">
        <f t="shared" si="42"/>
        <v>-3.6796536796536827E-2</v>
      </c>
      <c r="K214" s="18" t="str">
        <f t="shared" si="43"/>
        <v>ANUGERAH</v>
      </c>
      <c r="L214" t="str">
        <f t="shared" si="44"/>
        <v>FEBRUARY-3-ANUGERAH</v>
      </c>
      <c r="M214">
        <f t="shared" si="45"/>
        <v>-0.35146388528138528</v>
      </c>
      <c r="N214">
        <f t="shared" si="46"/>
        <v>-0.70051199626505078</v>
      </c>
      <c r="O214">
        <f t="shared" si="47"/>
        <v>1504511</v>
      </c>
      <c r="P214">
        <f t="shared" si="48"/>
        <v>1532581</v>
      </c>
      <c r="Q214">
        <f t="shared" si="49"/>
        <v>1515308</v>
      </c>
      <c r="R214" s="38">
        <f t="shared" si="50"/>
        <v>7.176418118578054E-3</v>
      </c>
      <c r="S214" s="38">
        <f t="shared" si="51"/>
        <v>-1.1270529910001548E-2</v>
      </c>
    </row>
    <row r="215" spans="1:19" x14ac:dyDescent="0.25">
      <c r="A215" s="13" t="s">
        <v>42</v>
      </c>
      <c r="B215">
        <v>3</v>
      </c>
      <c r="C215" t="s">
        <v>22</v>
      </c>
      <c r="D215">
        <v>750</v>
      </c>
      <c r="E215">
        <v>768</v>
      </c>
      <c r="F215">
        <v>738</v>
      </c>
      <c r="G215">
        <f t="shared" si="39"/>
        <v>-30</v>
      </c>
      <c r="H215" s="18">
        <f t="shared" si="40"/>
        <v>-12</v>
      </c>
      <c r="I215" s="18">
        <f t="shared" si="41"/>
        <v>-1.6000000000000014E-2</v>
      </c>
      <c r="J215" s="18">
        <f t="shared" si="42"/>
        <v>-3.90625E-2</v>
      </c>
      <c r="K215" s="18" t="str">
        <f t="shared" si="43"/>
        <v>ANUGERAH</v>
      </c>
      <c r="L215" t="str">
        <f t="shared" si="44"/>
        <v>FEBRUARY-3-ANUGERAH</v>
      </c>
      <c r="M215">
        <f t="shared" si="45"/>
        <v>-0.35146388528138528</v>
      </c>
      <c r="N215">
        <f t="shared" si="46"/>
        <v>-0.70051199626505078</v>
      </c>
      <c r="O215">
        <f t="shared" si="47"/>
        <v>1504511</v>
      </c>
      <c r="P215">
        <f t="shared" si="48"/>
        <v>1532581</v>
      </c>
      <c r="Q215">
        <f t="shared" si="49"/>
        <v>1515308</v>
      </c>
      <c r="R215" s="38">
        <f t="shared" si="50"/>
        <v>7.176418118578054E-3</v>
      </c>
      <c r="S215" s="38">
        <f t="shared" si="51"/>
        <v>-1.1270529910001548E-2</v>
      </c>
    </row>
    <row r="216" spans="1:19" x14ac:dyDescent="0.25">
      <c r="A216" s="13" t="s">
        <v>42</v>
      </c>
      <c r="B216">
        <v>3</v>
      </c>
      <c r="C216" t="s">
        <v>22</v>
      </c>
      <c r="D216">
        <v>400</v>
      </c>
      <c r="E216">
        <v>408</v>
      </c>
      <c r="F216">
        <v>403</v>
      </c>
      <c r="G216">
        <f t="shared" si="39"/>
        <v>-5</v>
      </c>
      <c r="H216" s="18">
        <f t="shared" si="40"/>
        <v>3</v>
      </c>
      <c r="I216" s="18">
        <f t="shared" si="41"/>
        <v>7.5000000000000622E-3</v>
      </c>
      <c r="J216" s="18">
        <f t="shared" si="42"/>
        <v>-1.225490196078427E-2</v>
      </c>
      <c r="K216" s="18" t="str">
        <f t="shared" si="43"/>
        <v>ANUGERAH</v>
      </c>
      <c r="L216" t="str">
        <f t="shared" si="44"/>
        <v>FEBRUARY-3-ANUGERAH</v>
      </c>
      <c r="M216">
        <f t="shared" si="45"/>
        <v>-0.35146388528138528</v>
      </c>
      <c r="N216">
        <f t="shared" si="46"/>
        <v>-0.70051199626505078</v>
      </c>
      <c r="O216">
        <f t="shared" si="47"/>
        <v>1504511</v>
      </c>
      <c r="P216">
        <f t="shared" si="48"/>
        <v>1532581</v>
      </c>
      <c r="Q216">
        <f t="shared" si="49"/>
        <v>1515308</v>
      </c>
      <c r="R216" s="38">
        <f t="shared" si="50"/>
        <v>7.176418118578054E-3</v>
      </c>
      <c r="S216" s="38">
        <f t="shared" si="51"/>
        <v>-1.1270529910001548E-2</v>
      </c>
    </row>
    <row r="217" spans="1:19" x14ac:dyDescent="0.25">
      <c r="A217" s="13" t="s">
        <v>42</v>
      </c>
      <c r="B217">
        <v>3</v>
      </c>
      <c r="C217" t="s">
        <v>22</v>
      </c>
      <c r="D217">
        <v>600</v>
      </c>
      <c r="E217">
        <v>576</v>
      </c>
      <c r="F217">
        <v>576</v>
      </c>
      <c r="G217">
        <f t="shared" si="39"/>
        <v>0</v>
      </c>
      <c r="H217" s="18">
        <f t="shared" si="40"/>
        <v>-24</v>
      </c>
      <c r="I217" s="18">
        <f t="shared" si="41"/>
        <v>-4.0000000000000036E-2</v>
      </c>
      <c r="J217" s="18">
        <f t="shared" si="42"/>
        <v>0</v>
      </c>
      <c r="K217" s="18" t="str">
        <f t="shared" si="43"/>
        <v>ANUGERAH</v>
      </c>
      <c r="L217" t="str">
        <f t="shared" si="44"/>
        <v>FEBRUARY-3-ANUGERAH</v>
      </c>
      <c r="M217">
        <f t="shared" si="45"/>
        <v>-0.35146388528138528</v>
      </c>
      <c r="N217">
        <f t="shared" si="46"/>
        <v>-0.70051199626505078</v>
      </c>
      <c r="O217">
        <f t="shared" si="47"/>
        <v>1504511</v>
      </c>
      <c r="P217">
        <f t="shared" si="48"/>
        <v>1532581</v>
      </c>
      <c r="Q217">
        <f t="shared" si="49"/>
        <v>1515308</v>
      </c>
      <c r="R217" s="38">
        <f t="shared" si="50"/>
        <v>7.176418118578054E-3</v>
      </c>
      <c r="S217" s="38">
        <f t="shared" si="51"/>
        <v>-1.1270529910001548E-2</v>
      </c>
    </row>
    <row r="218" spans="1:19" x14ac:dyDescent="0.25">
      <c r="A218" s="13" t="s">
        <v>42</v>
      </c>
      <c r="B218">
        <v>3</v>
      </c>
      <c r="C218" t="s">
        <v>22</v>
      </c>
      <c r="D218">
        <v>400</v>
      </c>
      <c r="E218">
        <v>408</v>
      </c>
      <c r="F218">
        <v>408</v>
      </c>
      <c r="G218">
        <f t="shared" si="39"/>
        <v>0</v>
      </c>
      <c r="H218" s="18">
        <f t="shared" si="40"/>
        <v>8</v>
      </c>
      <c r="I218" s="18">
        <f t="shared" si="41"/>
        <v>2.0000000000000018E-2</v>
      </c>
      <c r="J218" s="18">
        <f t="shared" si="42"/>
        <v>0</v>
      </c>
      <c r="K218" s="18" t="str">
        <f t="shared" si="43"/>
        <v>ANUGERAH</v>
      </c>
      <c r="L218" t="str">
        <f t="shared" si="44"/>
        <v>FEBRUARY-3-ANUGERAH</v>
      </c>
      <c r="M218">
        <f t="shared" si="45"/>
        <v>-0.35146388528138528</v>
      </c>
      <c r="N218">
        <f t="shared" si="46"/>
        <v>-0.70051199626505078</v>
      </c>
      <c r="O218">
        <f t="shared" si="47"/>
        <v>1504511</v>
      </c>
      <c r="P218">
        <f t="shared" si="48"/>
        <v>1532581</v>
      </c>
      <c r="Q218">
        <f t="shared" si="49"/>
        <v>1515308</v>
      </c>
      <c r="R218" s="38">
        <f t="shared" si="50"/>
        <v>7.176418118578054E-3</v>
      </c>
      <c r="S218" s="38">
        <f t="shared" si="51"/>
        <v>-1.1270529910001548E-2</v>
      </c>
    </row>
    <row r="219" spans="1:19" x14ac:dyDescent="0.25">
      <c r="A219" s="13" t="s">
        <v>42</v>
      </c>
      <c r="B219">
        <v>3</v>
      </c>
      <c r="C219" t="s">
        <v>22</v>
      </c>
      <c r="D219">
        <v>600</v>
      </c>
      <c r="E219">
        <v>618</v>
      </c>
      <c r="F219">
        <v>564</v>
      </c>
      <c r="G219">
        <f t="shared" si="39"/>
        <v>-54</v>
      </c>
      <c r="H219" s="18">
        <f t="shared" si="40"/>
        <v>-36</v>
      </c>
      <c r="I219" s="18">
        <f t="shared" si="41"/>
        <v>-6.0000000000000053E-2</v>
      </c>
      <c r="J219" s="18">
        <f t="shared" si="42"/>
        <v>-8.737864077669899E-2</v>
      </c>
      <c r="K219" s="18" t="str">
        <f t="shared" si="43"/>
        <v>ANUGERAH</v>
      </c>
      <c r="L219" t="str">
        <f t="shared" si="44"/>
        <v>FEBRUARY-3-ANUGERAH</v>
      </c>
      <c r="M219">
        <f t="shared" si="45"/>
        <v>-0.35146388528138528</v>
      </c>
      <c r="N219">
        <f t="shared" si="46"/>
        <v>-0.70051199626505078</v>
      </c>
      <c r="O219">
        <f t="shared" si="47"/>
        <v>1504511</v>
      </c>
      <c r="P219">
        <f t="shared" si="48"/>
        <v>1532581</v>
      </c>
      <c r="Q219">
        <f t="shared" si="49"/>
        <v>1515308</v>
      </c>
      <c r="R219" s="38">
        <f t="shared" si="50"/>
        <v>7.176418118578054E-3</v>
      </c>
      <c r="S219" s="38">
        <f t="shared" si="51"/>
        <v>-1.1270529910001548E-2</v>
      </c>
    </row>
    <row r="220" spans="1:19" x14ac:dyDescent="0.25">
      <c r="A220" s="13" t="s">
        <v>42</v>
      </c>
      <c r="B220">
        <v>3</v>
      </c>
      <c r="C220" t="s">
        <v>22</v>
      </c>
      <c r="D220">
        <v>450</v>
      </c>
      <c r="E220">
        <v>458</v>
      </c>
      <c r="F220">
        <v>442</v>
      </c>
      <c r="G220">
        <f t="shared" si="39"/>
        <v>-16</v>
      </c>
      <c r="H220" s="18">
        <f t="shared" si="40"/>
        <v>-8</v>
      </c>
      <c r="I220" s="18">
        <f t="shared" si="41"/>
        <v>-1.7777777777777781E-2</v>
      </c>
      <c r="J220" s="18">
        <f t="shared" si="42"/>
        <v>-3.4934497816593857E-2</v>
      </c>
      <c r="K220" s="18" t="str">
        <f t="shared" si="43"/>
        <v>ANUGERAH</v>
      </c>
      <c r="L220" t="str">
        <f t="shared" si="44"/>
        <v>FEBRUARY-3-ANUGERAH</v>
      </c>
      <c r="M220">
        <f t="shared" si="45"/>
        <v>-0.35146388528138528</v>
      </c>
      <c r="N220">
        <f t="shared" si="46"/>
        <v>-0.70051199626505078</v>
      </c>
      <c r="O220">
        <f t="shared" si="47"/>
        <v>1504511</v>
      </c>
      <c r="P220">
        <f t="shared" si="48"/>
        <v>1532581</v>
      </c>
      <c r="Q220">
        <f t="shared" si="49"/>
        <v>1515308</v>
      </c>
      <c r="R220" s="38">
        <f t="shared" si="50"/>
        <v>7.176418118578054E-3</v>
      </c>
      <c r="S220" s="38">
        <f t="shared" si="51"/>
        <v>-1.1270529910001548E-2</v>
      </c>
    </row>
    <row r="221" spans="1:19" x14ac:dyDescent="0.25">
      <c r="A221" s="13" t="s">
        <v>42</v>
      </c>
      <c r="B221">
        <v>3</v>
      </c>
      <c r="C221" t="s">
        <v>22</v>
      </c>
      <c r="D221">
        <v>750</v>
      </c>
      <c r="E221">
        <v>810</v>
      </c>
      <c r="F221">
        <v>732</v>
      </c>
      <c r="G221">
        <f t="shared" si="39"/>
        <v>-78</v>
      </c>
      <c r="H221" s="18">
        <f t="shared" si="40"/>
        <v>-18</v>
      </c>
      <c r="I221" s="18">
        <f t="shared" si="41"/>
        <v>-2.4000000000000021E-2</v>
      </c>
      <c r="J221" s="18">
        <f t="shared" si="42"/>
        <v>-9.6296296296296324E-2</v>
      </c>
      <c r="K221" s="18" t="str">
        <f t="shared" si="43"/>
        <v>ANUGERAH</v>
      </c>
      <c r="L221" t="str">
        <f t="shared" si="44"/>
        <v>FEBRUARY-3-ANUGERAH</v>
      </c>
      <c r="M221">
        <f t="shared" si="45"/>
        <v>-0.35146388528138528</v>
      </c>
      <c r="N221">
        <f t="shared" si="46"/>
        <v>-0.70051199626505078</v>
      </c>
      <c r="O221">
        <f t="shared" si="47"/>
        <v>1504511</v>
      </c>
      <c r="P221">
        <f t="shared" si="48"/>
        <v>1532581</v>
      </c>
      <c r="Q221">
        <f t="shared" si="49"/>
        <v>1515308</v>
      </c>
      <c r="R221" s="38">
        <f t="shared" si="50"/>
        <v>7.176418118578054E-3</v>
      </c>
      <c r="S221" s="38">
        <f t="shared" si="51"/>
        <v>-1.1270529910001548E-2</v>
      </c>
    </row>
    <row r="222" spans="1:19" x14ac:dyDescent="0.25">
      <c r="A222" s="13" t="s">
        <v>42</v>
      </c>
      <c r="B222">
        <v>3</v>
      </c>
      <c r="C222" t="s">
        <v>22</v>
      </c>
      <c r="D222">
        <v>450</v>
      </c>
      <c r="E222">
        <v>458</v>
      </c>
      <c r="F222">
        <v>440</v>
      </c>
      <c r="G222">
        <f t="shared" si="39"/>
        <v>-18</v>
      </c>
      <c r="H222" s="18">
        <f t="shared" si="40"/>
        <v>-10</v>
      </c>
      <c r="I222" s="18">
        <f t="shared" si="41"/>
        <v>-2.2222222222222254E-2</v>
      </c>
      <c r="J222" s="18">
        <f t="shared" si="42"/>
        <v>-3.9301310043668103E-2</v>
      </c>
      <c r="K222" s="18" t="str">
        <f t="shared" si="43"/>
        <v>ANUGERAH</v>
      </c>
      <c r="L222" t="str">
        <f t="shared" si="44"/>
        <v>FEBRUARY-3-ANUGERAH</v>
      </c>
      <c r="M222">
        <f t="shared" si="45"/>
        <v>-0.35146388528138528</v>
      </c>
      <c r="N222">
        <f t="shared" si="46"/>
        <v>-0.70051199626505078</v>
      </c>
      <c r="O222">
        <f t="shared" si="47"/>
        <v>1504511</v>
      </c>
      <c r="P222">
        <f t="shared" si="48"/>
        <v>1532581</v>
      </c>
      <c r="Q222">
        <f t="shared" si="49"/>
        <v>1515308</v>
      </c>
      <c r="R222" s="38">
        <f t="shared" si="50"/>
        <v>7.176418118578054E-3</v>
      </c>
      <c r="S222" s="38">
        <f t="shared" si="51"/>
        <v>-1.1270529910001548E-2</v>
      </c>
    </row>
    <row r="223" spans="1:19" x14ac:dyDescent="0.25">
      <c r="A223" s="13" t="s">
        <v>42</v>
      </c>
      <c r="B223">
        <v>3</v>
      </c>
      <c r="C223" t="s">
        <v>22</v>
      </c>
      <c r="D223">
        <v>750</v>
      </c>
      <c r="E223">
        <v>822</v>
      </c>
      <c r="F223">
        <v>744</v>
      </c>
      <c r="G223">
        <f t="shared" si="39"/>
        <v>-78</v>
      </c>
      <c r="H223" s="18">
        <f t="shared" si="40"/>
        <v>-6</v>
      </c>
      <c r="I223" s="18">
        <f t="shared" si="41"/>
        <v>-8.0000000000000071E-3</v>
      </c>
      <c r="J223" s="18">
        <f t="shared" si="42"/>
        <v>-9.4890510948905105E-2</v>
      </c>
      <c r="K223" s="18" t="str">
        <f t="shared" si="43"/>
        <v>ANUGERAH</v>
      </c>
      <c r="L223" t="str">
        <f t="shared" si="44"/>
        <v>FEBRUARY-3-ANUGERAH</v>
      </c>
      <c r="M223">
        <f t="shared" si="45"/>
        <v>-0.35146388528138528</v>
      </c>
      <c r="N223">
        <f t="shared" si="46"/>
        <v>-0.70051199626505078</v>
      </c>
      <c r="O223">
        <f t="shared" si="47"/>
        <v>1504511</v>
      </c>
      <c r="P223">
        <f t="shared" si="48"/>
        <v>1532581</v>
      </c>
      <c r="Q223">
        <f t="shared" si="49"/>
        <v>1515308</v>
      </c>
      <c r="R223" s="38">
        <f t="shared" si="50"/>
        <v>7.176418118578054E-3</v>
      </c>
      <c r="S223" s="38">
        <f t="shared" si="51"/>
        <v>-1.1270529910001548E-2</v>
      </c>
    </row>
    <row r="224" spans="1:19" x14ac:dyDescent="0.25">
      <c r="A224" s="13" t="s">
        <v>42</v>
      </c>
      <c r="B224">
        <v>4</v>
      </c>
      <c r="C224" t="s">
        <v>16</v>
      </c>
      <c r="D224">
        <v>50</v>
      </c>
      <c r="E224">
        <v>50</v>
      </c>
      <c r="F224">
        <v>50</v>
      </c>
      <c r="G224">
        <f t="shared" si="39"/>
        <v>0</v>
      </c>
      <c r="H224" s="18">
        <f t="shared" si="40"/>
        <v>0</v>
      </c>
      <c r="I224" s="18">
        <f t="shared" si="41"/>
        <v>0</v>
      </c>
      <c r="J224" s="18">
        <f t="shared" si="42"/>
        <v>0</v>
      </c>
      <c r="K224" s="18" t="str">
        <f t="shared" si="43"/>
        <v>CNJ2</v>
      </c>
      <c r="L224" t="str">
        <f t="shared" si="44"/>
        <v>FEBRUARY-4-CNJ2</v>
      </c>
      <c r="M224">
        <f t="shared" si="45"/>
        <v>0</v>
      </c>
      <c r="N224">
        <f t="shared" si="46"/>
        <v>0</v>
      </c>
      <c r="O224">
        <f t="shared" si="47"/>
        <v>1504511</v>
      </c>
      <c r="P224">
        <f t="shared" si="48"/>
        <v>1532581</v>
      </c>
      <c r="Q224">
        <f t="shared" si="49"/>
        <v>1515308</v>
      </c>
      <c r="R224" s="38">
        <f t="shared" si="50"/>
        <v>7.176418118578054E-3</v>
      </c>
      <c r="S224" s="38">
        <f t="shared" si="51"/>
        <v>-1.1270529910001548E-2</v>
      </c>
    </row>
    <row r="225" spans="1:19" x14ac:dyDescent="0.25">
      <c r="A225" s="13" t="s">
        <v>42</v>
      </c>
      <c r="B225">
        <v>4</v>
      </c>
      <c r="C225" t="s">
        <v>16</v>
      </c>
      <c r="D225">
        <v>50</v>
      </c>
      <c r="E225">
        <v>50</v>
      </c>
      <c r="F225">
        <v>50</v>
      </c>
      <c r="G225">
        <f t="shared" si="39"/>
        <v>0</v>
      </c>
      <c r="H225" s="18">
        <f t="shared" si="40"/>
        <v>0</v>
      </c>
      <c r="I225" s="18">
        <f t="shared" si="41"/>
        <v>0</v>
      </c>
      <c r="J225" s="18">
        <f t="shared" si="42"/>
        <v>0</v>
      </c>
      <c r="K225" s="18" t="str">
        <f t="shared" si="43"/>
        <v>CNJ2</v>
      </c>
      <c r="L225" t="str">
        <f t="shared" si="44"/>
        <v>FEBRUARY-4-CNJ2</v>
      </c>
      <c r="M225">
        <f t="shared" si="45"/>
        <v>0</v>
      </c>
      <c r="N225">
        <f t="shared" si="46"/>
        <v>0</v>
      </c>
      <c r="O225">
        <f t="shared" si="47"/>
        <v>1504511</v>
      </c>
      <c r="P225">
        <f t="shared" si="48"/>
        <v>1532581</v>
      </c>
      <c r="Q225">
        <f t="shared" si="49"/>
        <v>1515308</v>
      </c>
      <c r="R225" s="38">
        <f t="shared" si="50"/>
        <v>7.176418118578054E-3</v>
      </c>
      <c r="S225" s="38">
        <f t="shared" si="51"/>
        <v>-1.1270529910001548E-2</v>
      </c>
    </row>
    <row r="226" spans="1:19" x14ac:dyDescent="0.25">
      <c r="A226" s="13" t="s">
        <v>42</v>
      </c>
      <c r="B226">
        <v>4</v>
      </c>
      <c r="C226" t="s">
        <v>17</v>
      </c>
      <c r="D226">
        <v>3672</v>
      </c>
      <c r="E226">
        <v>3905</v>
      </c>
      <c r="F226">
        <v>3672</v>
      </c>
      <c r="G226">
        <f t="shared" si="39"/>
        <v>-233</v>
      </c>
      <c r="H226" s="18">
        <f t="shared" si="40"/>
        <v>0</v>
      </c>
      <c r="I226" s="18">
        <f t="shared" si="41"/>
        <v>0</v>
      </c>
      <c r="J226" s="18">
        <f t="shared" si="42"/>
        <v>-5.9667093469910393E-2</v>
      </c>
      <c r="K226" s="18" t="str">
        <f t="shared" si="43"/>
        <v>MAJA1</v>
      </c>
      <c r="L226" t="str">
        <f t="shared" si="44"/>
        <v>FEBRUARY-4-MAJA1</v>
      </c>
      <c r="M226">
        <f t="shared" si="45"/>
        <v>7.1294967851639246E-2</v>
      </c>
      <c r="N226">
        <f t="shared" si="46"/>
        <v>-0.1191098043784754</v>
      </c>
      <c r="O226">
        <f t="shared" si="47"/>
        <v>1504511</v>
      </c>
      <c r="P226">
        <f t="shared" si="48"/>
        <v>1532581</v>
      </c>
      <c r="Q226">
        <f t="shared" si="49"/>
        <v>1515308</v>
      </c>
      <c r="R226" s="38">
        <f t="shared" si="50"/>
        <v>7.176418118578054E-3</v>
      </c>
      <c r="S226" s="38">
        <f t="shared" si="51"/>
        <v>-1.1270529910001548E-2</v>
      </c>
    </row>
    <row r="227" spans="1:19" x14ac:dyDescent="0.25">
      <c r="A227" s="13" t="s">
        <v>42</v>
      </c>
      <c r="B227">
        <v>4</v>
      </c>
      <c r="C227" t="s">
        <v>17</v>
      </c>
      <c r="D227">
        <v>5904</v>
      </c>
      <c r="E227">
        <v>6176</v>
      </c>
      <c r="F227">
        <v>6086</v>
      </c>
      <c r="G227">
        <f t="shared" si="39"/>
        <v>-90</v>
      </c>
      <c r="H227" s="18">
        <f t="shared" si="40"/>
        <v>182</v>
      </c>
      <c r="I227" s="18">
        <f t="shared" si="41"/>
        <v>3.0826558265582671E-2</v>
      </c>
      <c r="J227" s="18">
        <f t="shared" si="42"/>
        <v>-1.4572538860103679E-2</v>
      </c>
      <c r="K227" s="18" t="str">
        <f t="shared" si="43"/>
        <v>MAJA1</v>
      </c>
      <c r="L227" t="str">
        <f t="shared" si="44"/>
        <v>FEBRUARY-4-MAJA1</v>
      </c>
      <c r="M227">
        <f t="shared" si="45"/>
        <v>7.1294967851639246E-2</v>
      </c>
      <c r="N227">
        <f t="shared" si="46"/>
        <v>-0.1191098043784754</v>
      </c>
      <c r="O227">
        <f t="shared" si="47"/>
        <v>1504511</v>
      </c>
      <c r="P227">
        <f t="shared" si="48"/>
        <v>1532581</v>
      </c>
      <c r="Q227">
        <f t="shared" si="49"/>
        <v>1515308</v>
      </c>
      <c r="R227" s="38">
        <f t="shared" si="50"/>
        <v>7.176418118578054E-3</v>
      </c>
      <c r="S227" s="38">
        <f t="shared" si="51"/>
        <v>-1.1270529910001548E-2</v>
      </c>
    </row>
    <row r="228" spans="1:19" x14ac:dyDescent="0.25">
      <c r="A228" s="13" t="s">
        <v>42</v>
      </c>
      <c r="B228">
        <v>4</v>
      </c>
      <c r="C228" t="s">
        <v>17</v>
      </c>
      <c r="D228">
        <v>5976</v>
      </c>
      <c r="E228">
        <v>6169</v>
      </c>
      <c r="F228">
        <v>5976</v>
      </c>
      <c r="G228">
        <f t="shared" si="39"/>
        <v>-193</v>
      </c>
      <c r="H228" s="18">
        <f t="shared" si="40"/>
        <v>0</v>
      </c>
      <c r="I228" s="18">
        <f t="shared" si="41"/>
        <v>0</v>
      </c>
      <c r="J228" s="18">
        <f t="shared" si="42"/>
        <v>-3.128545955584372E-2</v>
      </c>
      <c r="K228" s="18" t="str">
        <f t="shared" si="43"/>
        <v>MAJA1</v>
      </c>
      <c r="L228" t="str">
        <f t="shared" si="44"/>
        <v>FEBRUARY-4-MAJA1</v>
      </c>
      <c r="M228">
        <f t="shared" si="45"/>
        <v>7.1294967851639246E-2</v>
      </c>
      <c r="N228">
        <f t="shared" si="46"/>
        <v>-0.1191098043784754</v>
      </c>
      <c r="O228">
        <f t="shared" si="47"/>
        <v>1504511</v>
      </c>
      <c r="P228">
        <f t="shared" si="48"/>
        <v>1532581</v>
      </c>
      <c r="Q228">
        <f t="shared" si="49"/>
        <v>1515308</v>
      </c>
      <c r="R228" s="38">
        <f t="shared" si="50"/>
        <v>7.176418118578054E-3</v>
      </c>
      <c r="S228" s="38">
        <f t="shared" si="51"/>
        <v>-1.1270529910001548E-2</v>
      </c>
    </row>
    <row r="229" spans="1:19" x14ac:dyDescent="0.25">
      <c r="A229" s="13" t="s">
        <v>42</v>
      </c>
      <c r="B229">
        <v>4</v>
      </c>
      <c r="C229" t="s">
        <v>19</v>
      </c>
      <c r="D229">
        <v>23328</v>
      </c>
      <c r="E229">
        <v>24021</v>
      </c>
      <c r="F229">
        <v>23913</v>
      </c>
      <c r="G229">
        <f t="shared" si="39"/>
        <v>-108</v>
      </c>
      <c r="H229" s="18">
        <f t="shared" si="40"/>
        <v>585</v>
      </c>
      <c r="I229" s="18">
        <f t="shared" si="41"/>
        <v>2.5077160493827133E-2</v>
      </c>
      <c r="J229" s="18">
        <f t="shared" si="42"/>
        <v>-4.4960659423004534E-3</v>
      </c>
      <c r="K229" s="18" t="str">
        <f t="shared" si="43"/>
        <v>KALIBENDA</v>
      </c>
      <c r="L229" t="str">
        <f t="shared" si="44"/>
        <v>FEBRUARY-4-KALIBENDA</v>
      </c>
      <c r="M229">
        <f t="shared" si="45"/>
        <v>4.8499126148802585E-2</v>
      </c>
      <c r="N229">
        <f t="shared" si="46"/>
        <v>-1.5004528949160156E-2</v>
      </c>
      <c r="O229">
        <f t="shared" si="47"/>
        <v>1504511</v>
      </c>
      <c r="P229">
        <f t="shared" si="48"/>
        <v>1532581</v>
      </c>
      <c r="Q229">
        <f t="shared" si="49"/>
        <v>1515308</v>
      </c>
      <c r="R229" s="38">
        <f t="shared" si="50"/>
        <v>7.176418118578054E-3</v>
      </c>
      <c r="S229" s="38">
        <f t="shared" si="51"/>
        <v>-1.1270529910001548E-2</v>
      </c>
    </row>
    <row r="230" spans="1:19" x14ac:dyDescent="0.25">
      <c r="A230" s="13" t="s">
        <v>42</v>
      </c>
      <c r="B230">
        <v>4</v>
      </c>
      <c r="C230" t="s">
        <v>19</v>
      </c>
      <c r="D230">
        <v>3996</v>
      </c>
      <c r="E230">
        <v>4116</v>
      </c>
      <c r="F230">
        <v>4098</v>
      </c>
      <c r="G230">
        <f t="shared" si="39"/>
        <v>-18</v>
      </c>
      <c r="H230" s="18">
        <f t="shared" si="40"/>
        <v>102</v>
      </c>
      <c r="I230" s="18">
        <f t="shared" si="41"/>
        <v>2.5525525525525561E-2</v>
      </c>
      <c r="J230" s="18">
        <f t="shared" si="42"/>
        <v>-4.3731778425656342E-3</v>
      </c>
      <c r="K230" s="18" t="str">
        <f t="shared" si="43"/>
        <v>KALIBENDA</v>
      </c>
      <c r="L230" t="str">
        <f t="shared" si="44"/>
        <v>FEBRUARY-4-KALIBENDA</v>
      </c>
      <c r="M230">
        <f t="shared" si="45"/>
        <v>4.8499126148802585E-2</v>
      </c>
      <c r="N230">
        <f t="shared" si="46"/>
        <v>-1.5004528949160156E-2</v>
      </c>
      <c r="O230">
        <f t="shared" si="47"/>
        <v>1504511</v>
      </c>
      <c r="P230">
        <f t="shared" si="48"/>
        <v>1532581</v>
      </c>
      <c r="Q230">
        <f t="shared" si="49"/>
        <v>1515308</v>
      </c>
      <c r="R230" s="38">
        <f t="shared" si="50"/>
        <v>7.176418118578054E-3</v>
      </c>
      <c r="S230" s="38">
        <f t="shared" si="51"/>
        <v>-1.1270529910001548E-2</v>
      </c>
    </row>
    <row r="231" spans="1:19" x14ac:dyDescent="0.25">
      <c r="A231" s="13" t="s">
        <v>42</v>
      </c>
      <c r="B231">
        <v>4</v>
      </c>
      <c r="C231" t="s">
        <v>20</v>
      </c>
      <c r="D231">
        <v>13392</v>
      </c>
      <c r="E231">
        <v>13752</v>
      </c>
      <c r="F231">
        <v>13641</v>
      </c>
      <c r="G231">
        <f t="shared" si="39"/>
        <v>-111</v>
      </c>
      <c r="H231" s="18">
        <f t="shared" si="40"/>
        <v>249</v>
      </c>
      <c r="I231" s="18">
        <f t="shared" si="41"/>
        <v>1.8593189964157597E-2</v>
      </c>
      <c r="J231" s="18">
        <f t="shared" si="42"/>
        <v>-8.0715532286212976E-3</v>
      </c>
      <c r="K231" s="18" t="str">
        <f t="shared" si="43"/>
        <v>GM2</v>
      </c>
      <c r="L231" t="str">
        <f t="shared" si="44"/>
        <v>FEBRUARY-4-GM2</v>
      </c>
      <c r="M231">
        <f t="shared" si="45"/>
        <v>0.41376803845423793</v>
      </c>
      <c r="N231">
        <f t="shared" si="46"/>
        <v>-0.18461597979036748</v>
      </c>
      <c r="O231">
        <f t="shared" si="47"/>
        <v>1504511</v>
      </c>
      <c r="P231">
        <f t="shared" si="48"/>
        <v>1532581</v>
      </c>
      <c r="Q231">
        <f t="shared" si="49"/>
        <v>1515308</v>
      </c>
      <c r="R231" s="38">
        <f t="shared" si="50"/>
        <v>7.176418118578054E-3</v>
      </c>
      <c r="S231" s="38">
        <f t="shared" si="51"/>
        <v>-1.1270529910001548E-2</v>
      </c>
    </row>
    <row r="232" spans="1:19" x14ac:dyDescent="0.25">
      <c r="A232" s="13" t="s">
        <v>42</v>
      </c>
      <c r="B232">
        <v>4</v>
      </c>
      <c r="C232" t="s">
        <v>20</v>
      </c>
      <c r="D232">
        <v>1296</v>
      </c>
      <c r="E232">
        <v>1337</v>
      </c>
      <c r="F232">
        <v>1314</v>
      </c>
      <c r="G232">
        <f t="shared" si="39"/>
        <v>-23</v>
      </c>
      <c r="H232" s="18">
        <f t="shared" si="40"/>
        <v>18</v>
      </c>
      <c r="I232" s="18">
        <f t="shared" si="41"/>
        <v>1.388888888888884E-2</v>
      </c>
      <c r="J232" s="18">
        <f t="shared" si="42"/>
        <v>-1.7202692595362779E-2</v>
      </c>
      <c r="K232" s="18" t="str">
        <f t="shared" si="43"/>
        <v>GM2</v>
      </c>
      <c r="L232" t="str">
        <f t="shared" si="44"/>
        <v>FEBRUARY-4-GM2</v>
      </c>
      <c r="M232">
        <f t="shared" si="45"/>
        <v>0.41376803845423793</v>
      </c>
      <c r="N232">
        <f t="shared" si="46"/>
        <v>-0.18461597979036748</v>
      </c>
      <c r="O232">
        <f t="shared" si="47"/>
        <v>1504511</v>
      </c>
      <c r="P232">
        <f t="shared" si="48"/>
        <v>1532581</v>
      </c>
      <c r="Q232">
        <f t="shared" si="49"/>
        <v>1515308</v>
      </c>
      <c r="R232" s="38">
        <f t="shared" si="50"/>
        <v>7.176418118578054E-3</v>
      </c>
      <c r="S232" s="38">
        <f t="shared" si="51"/>
        <v>-1.1270529910001548E-2</v>
      </c>
    </row>
    <row r="233" spans="1:19" x14ac:dyDescent="0.25">
      <c r="A233" s="13" t="s">
        <v>42</v>
      </c>
      <c r="B233">
        <v>4</v>
      </c>
      <c r="C233" t="s">
        <v>20</v>
      </c>
      <c r="D233">
        <v>9828</v>
      </c>
      <c r="E233">
        <v>10193</v>
      </c>
      <c r="F233">
        <v>10083</v>
      </c>
      <c r="G233">
        <f t="shared" si="39"/>
        <v>-110</v>
      </c>
      <c r="H233" s="18">
        <f t="shared" si="40"/>
        <v>255</v>
      </c>
      <c r="I233" s="18">
        <f t="shared" si="41"/>
        <v>2.5946275946275854E-2</v>
      </c>
      <c r="J233" s="18">
        <f t="shared" si="42"/>
        <v>-1.0791719807711209E-2</v>
      </c>
      <c r="K233" s="18" t="str">
        <f t="shared" si="43"/>
        <v>GM2</v>
      </c>
      <c r="L233" t="str">
        <f t="shared" si="44"/>
        <v>FEBRUARY-4-GM2</v>
      </c>
      <c r="M233">
        <f t="shared" si="45"/>
        <v>0.41376803845423793</v>
      </c>
      <c r="N233">
        <f t="shared" si="46"/>
        <v>-0.18461597979036748</v>
      </c>
      <c r="O233">
        <f t="shared" si="47"/>
        <v>1504511</v>
      </c>
      <c r="P233">
        <f t="shared" si="48"/>
        <v>1532581</v>
      </c>
      <c r="Q233">
        <f t="shared" si="49"/>
        <v>1515308</v>
      </c>
      <c r="R233" s="38">
        <f t="shared" si="50"/>
        <v>7.176418118578054E-3</v>
      </c>
      <c r="S233" s="38">
        <f t="shared" si="51"/>
        <v>-1.1270529910001548E-2</v>
      </c>
    </row>
    <row r="234" spans="1:19" x14ac:dyDescent="0.25">
      <c r="A234" s="13" t="s">
        <v>42</v>
      </c>
      <c r="B234">
        <v>4</v>
      </c>
      <c r="C234" t="s">
        <v>20</v>
      </c>
      <c r="D234">
        <v>1296</v>
      </c>
      <c r="E234">
        <v>1337</v>
      </c>
      <c r="F234">
        <v>1323</v>
      </c>
      <c r="G234">
        <f t="shared" si="39"/>
        <v>-14</v>
      </c>
      <c r="H234" s="18">
        <f t="shared" si="40"/>
        <v>27</v>
      </c>
      <c r="I234" s="18">
        <f t="shared" si="41"/>
        <v>2.0833333333333259E-2</v>
      </c>
      <c r="J234" s="18">
        <f t="shared" si="42"/>
        <v>-1.0471204188481686E-2</v>
      </c>
      <c r="K234" s="18" t="str">
        <f t="shared" si="43"/>
        <v>GM2</v>
      </c>
      <c r="L234" t="str">
        <f t="shared" si="44"/>
        <v>FEBRUARY-4-GM2</v>
      </c>
      <c r="M234">
        <f t="shared" si="45"/>
        <v>0.41376803845423793</v>
      </c>
      <c r="N234">
        <f t="shared" si="46"/>
        <v>-0.18461597979036748</v>
      </c>
      <c r="O234">
        <f t="shared" si="47"/>
        <v>1504511</v>
      </c>
      <c r="P234">
        <f t="shared" si="48"/>
        <v>1532581</v>
      </c>
      <c r="Q234">
        <f t="shared" si="49"/>
        <v>1515308</v>
      </c>
      <c r="R234" s="38">
        <f t="shared" si="50"/>
        <v>7.176418118578054E-3</v>
      </c>
      <c r="S234" s="38">
        <f t="shared" si="51"/>
        <v>-1.1270529910001548E-2</v>
      </c>
    </row>
    <row r="235" spans="1:19" x14ac:dyDescent="0.25">
      <c r="A235" s="13" t="s">
        <v>42</v>
      </c>
      <c r="B235">
        <v>4</v>
      </c>
      <c r="C235" t="s">
        <v>20</v>
      </c>
      <c r="D235">
        <v>11772</v>
      </c>
      <c r="E235">
        <v>12140</v>
      </c>
      <c r="F235">
        <v>12066</v>
      </c>
      <c r="G235">
        <f t="shared" si="39"/>
        <v>-74</v>
      </c>
      <c r="H235" s="18">
        <f t="shared" si="40"/>
        <v>294</v>
      </c>
      <c r="I235" s="18">
        <f t="shared" si="41"/>
        <v>2.4974515800203934E-2</v>
      </c>
      <c r="J235" s="18">
        <f t="shared" si="42"/>
        <v>-6.0955518945634557E-3</v>
      </c>
      <c r="K235" s="18" t="str">
        <f t="shared" si="43"/>
        <v>GM2</v>
      </c>
      <c r="L235" t="str">
        <f t="shared" si="44"/>
        <v>FEBRUARY-4-GM2</v>
      </c>
      <c r="M235">
        <f t="shared" si="45"/>
        <v>0.41376803845423793</v>
      </c>
      <c r="N235">
        <f t="shared" si="46"/>
        <v>-0.18461597979036748</v>
      </c>
      <c r="O235">
        <f t="shared" si="47"/>
        <v>1504511</v>
      </c>
      <c r="P235">
        <f t="shared" si="48"/>
        <v>1532581</v>
      </c>
      <c r="Q235">
        <f t="shared" si="49"/>
        <v>1515308</v>
      </c>
      <c r="R235" s="38">
        <f t="shared" si="50"/>
        <v>7.176418118578054E-3</v>
      </c>
      <c r="S235" s="38">
        <f t="shared" si="51"/>
        <v>-1.1270529910001548E-2</v>
      </c>
    </row>
    <row r="236" spans="1:19" x14ac:dyDescent="0.25">
      <c r="A236" s="13" t="s">
        <v>42</v>
      </c>
      <c r="B236">
        <v>4</v>
      </c>
      <c r="C236" t="s">
        <v>20</v>
      </c>
      <c r="D236">
        <v>1080</v>
      </c>
      <c r="E236">
        <v>1116</v>
      </c>
      <c r="F236">
        <v>1113</v>
      </c>
      <c r="G236">
        <f t="shared" si="39"/>
        <v>-3</v>
      </c>
      <c r="H236" s="18">
        <f t="shared" si="40"/>
        <v>33</v>
      </c>
      <c r="I236" s="18">
        <f t="shared" si="41"/>
        <v>3.0555555555555447E-2</v>
      </c>
      <c r="J236" s="18">
        <f t="shared" si="42"/>
        <v>-2.6881720430107503E-3</v>
      </c>
      <c r="K236" s="18" t="str">
        <f t="shared" si="43"/>
        <v>GM2</v>
      </c>
      <c r="L236" t="str">
        <f t="shared" si="44"/>
        <v>FEBRUARY-4-GM2</v>
      </c>
      <c r="M236">
        <f t="shared" si="45"/>
        <v>0.41376803845423793</v>
      </c>
      <c r="N236">
        <f t="shared" si="46"/>
        <v>-0.18461597979036748</v>
      </c>
      <c r="O236">
        <f t="shared" si="47"/>
        <v>1504511</v>
      </c>
      <c r="P236">
        <f t="shared" si="48"/>
        <v>1532581</v>
      </c>
      <c r="Q236">
        <f t="shared" si="49"/>
        <v>1515308</v>
      </c>
      <c r="R236" s="38">
        <f t="shared" si="50"/>
        <v>7.176418118578054E-3</v>
      </c>
      <c r="S236" s="38">
        <f t="shared" si="51"/>
        <v>-1.1270529910001548E-2</v>
      </c>
    </row>
    <row r="237" spans="1:19" x14ac:dyDescent="0.25">
      <c r="A237" s="13" t="s">
        <v>42</v>
      </c>
      <c r="B237">
        <v>4</v>
      </c>
      <c r="C237" t="s">
        <v>20</v>
      </c>
      <c r="D237">
        <v>9720</v>
      </c>
      <c r="E237">
        <v>10020</v>
      </c>
      <c r="F237">
        <v>9951</v>
      </c>
      <c r="G237">
        <f t="shared" ref="G237:G278" si="52">F237-E237</f>
        <v>-69</v>
      </c>
      <c r="H237" s="18">
        <f t="shared" ref="H237:H278" si="53">F237-D237</f>
        <v>231</v>
      </c>
      <c r="I237" s="18">
        <f t="shared" ref="I237:I278" si="54">F237/D237-1</f>
        <v>2.3765432098765471E-2</v>
      </c>
      <c r="J237" s="18">
        <f t="shared" ref="J237:J278" si="55">F237/E237-1</f>
        <v>-6.8862275449101951E-3</v>
      </c>
      <c r="K237" s="18" t="str">
        <f t="shared" ref="K237:K278" si="56">CLEAN(SUBSTITUTE(C237," ",""))</f>
        <v>GM2</v>
      </c>
      <c r="L237" t="str">
        <f t="shared" ref="L237:L278" si="57">A237&amp;"-"&amp;B237&amp;"-"&amp;K237</f>
        <v>FEBRUARY-4-GM2</v>
      </c>
      <c r="M237">
        <f t="shared" si="45"/>
        <v>0.41376803845423793</v>
      </c>
      <c r="N237">
        <f t="shared" si="46"/>
        <v>-0.18461597979036748</v>
      </c>
      <c r="O237">
        <f t="shared" si="47"/>
        <v>1504511</v>
      </c>
      <c r="P237">
        <f t="shared" si="48"/>
        <v>1532581</v>
      </c>
      <c r="Q237">
        <f t="shared" si="49"/>
        <v>1515308</v>
      </c>
      <c r="R237" s="38">
        <f t="shared" si="50"/>
        <v>7.176418118578054E-3</v>
      </c>
      <c r="S237" s="38">
        <f t="shared" si="51"/>
        <v>-1.1270529910001548E-2</v>
      </c>
    </row>
    <row r="238" spans="1:19" x14ac:dyDescent="0.25">
      <c r="A238" s="13" t="s">
        <v>42</v>
      </c>
      <c r="B238">
        <v>4</v>
      </c>
      <c r="C238" t="s">
        <v>20</v>
      </c>
      <c r="D238">
        <v>9504</v>
      </c>
      <c r="E238">
        <v>9793</v>
      </c>
      <c r="F238">
        <v>9693</v>
      </c>
      <c r="G238">
        <f t="shared" si="52"/>
        <v>-100</v>
      </c>
      <c r="H238" s="18">
        <f t="shared" si="53"/>
        <v>189</v>
      </c>
      <c r="I238" s="18">
        <f t="shared" si="54"/>
        <v>1.9886363636363535E-2</v>
      </c>
      <c r="J238" s="18">
        <f t="shared" si="55"/>
        <v>-1.021137547227613E-2</v>
      </c>
      <c r="K238" s="18" t="str">
        <f t="shared" si="56"/>
        <v>GM2</v>
      </c>
      <c r="L238" t="str">
        <f t="shared" si="57"/>
        <v>FEBRUARY-4-GM2</v>
      </c>
      <c r="M238">
        <f t="shared" si="45"/>
        <v>0.41376803845423793</v>
      </c>
      <c r="N238">
        <f t="shared" si="46"/>
        <v>-0.18461597979036748</v>
      </c>
      <c r="O238">
        <f t="shared" si="47"/>
        <v>1504511</v>
      </c>
      <c r="P238">
        <f t="shared" si="48"/>
        <v>1532581</v>
      </c>
      <c r="Q238">
        <f t="shared" si="49"/>
        <v>1515308</v>
      </c>
      <c r="R238" s="38">
        <f t="shared" si="50"/>
        <v>7.176418118578054E-3</v>
      </c>
      <c r="S238" s="38">
        <f t="shared" si="51"/>
        <v>-1.1270529910001548E-2</v>
      </c>
    </row>
    <row r="239" spans="1:19" x14ac:dyDescent="0.25">
      <c r="A239" s="13" t="s">
        <v>42</v>
      </c>
      <c r="B239">
        <v>4</v>
      </c>
      <c r="C239" t="s">
        <v>20</v>
      </c>
      <c r="D239">
        <v>13068</v>
      </c>
      <c r="E239">
        <v>13481</v>
      </c>
      <c r="F239">
        <v>13290</v>
      </c>
      <c r="G239">
        <f t="shared" si="52"/>
        <v>-191</v>
      </c>
      <c r="H239" s="18">
        <f t="shared" si="53"/>
        <v>222</v>
      </c>
      <c r="I239" s="18">
        <f t="shared" si="54"/>
        <v>1.6988062442607976E-2</v>
      </c>
      <c r="J239" s="18">
        <f t="shared" si="55"/>
        <v>-1.4168088420740355E-2</v>
      </c>
      <c r="K239" s="18" t="str">
        <f t="shared" si="56"/>
        <v>GM2</v>
      </c>
      <c r="L239" t="str">
        <f t="shared" si="57"/>
        <v>FEBRUARY-4-GM2</v>
      </c>
      <c r="M239">
        <f t="shared" si="45"/>
        <v>0.41376803845423793</v>
      </c>
      <c r="N239">
        <f t="shared" si="46"/>
        <v>-0.18461597979036748</v>
      </c>
      <c r="O239">
        <f t="shared" si="47"/>
        <v>1504511</v>
      </c>
      <c r="P239">
        <f t="shared" si="48"/>
        <v>1532581</v>
      </c>
      <c r="Q239">
        <f t="shared" si="49"/>
        <v>1515308</v>
      </c>
      <c r="R239" s="38">
        <f t="shared" si="50"/>
        <v>7.176418118578054E-3</v>
      </c>
      <c r="S239" s="38">
        <f t="shared" si="51"/>
        <v>-1.1270529910001548E-2</v>
      </c>
    </row>
    <row r="240" spans="1:19" x14ac:dyDescent="0.25">
      <c r="A240" s="13" t="s">
        <v>42</v>
      </c>
      <c r="B240">
        <v>4</v>
      </c>
      <c r="C240" t="s">
        <v>20</v>
      </c>
      <c r="D240">
        <v>5184</v>
      </c>
      <c r="E240">
        <v>5346</v>
      </c>
      <c r="F240">
        <v>5283</v>
      </c>
      <c r="G240">
        <f t="shared" si="52"/>
        <v>-63</v>
      </c>
      <c r="H240" s="18">
        <f t="shared" si="53"/>
        <v>99</v>
      </c>
      <c r="I240" s="18">
        <f t="shared" si="54"/>
        <v>1.9097222222222321E-2</v>
      </c>
      <c r="J240" s="18">
        <f t="shared" si="55"/>
        <v>-1.1784511784511786E-2</v>
      </c>
      <c r="K240" s="18" t="str">
        <f t="shared" si="56"/>
        <v>GM2</v>
      </c>
      <c r="L240" t="str">
        <f t="shared" si="57"/>
        <v>FEBRUARY-4-GM2</v>
      </c>
      <c r="M240">
        <f t="shared" si="45"/>
        <v>0.41376803845423793</v>
      </c>
      <c r="N240">
        <f t="shared" si="46"/>
        <v>-0.18461597979036748</v>
      </c>
      <c r="O240">
        <f t="shared" si="47"/>
        <v>1504511</v>
      </c>
      <c r="P240">
        <f t="shared" si="48"/>
        <v>1532581</v>
      </c>
      <c r="Q240">
        <f t="shared" si="49"/>
        <v>1515308</v>
      </c>
      <c r="R240" s="38">
        <f t="shared" si="50"/>
        <v>7.176418118578054E-3</v>
      </c>
      <c r="S240" s="38">
        <f t="shared" si="51"/>
        <v>-1.1270529910001548E-2</v>
      </c>
    </row>
    <row r="241" spans="1:19" x14ac:dyDescent="0.25">
      <c r="A241" s="13" t="s">
        <v>42</v>
      </c>
      <c r="B241">
        <v>4</v>
      </c>
      <c r="C241" t="s">
        <v>20</v>
      </c>
      <c r="D241">
        <v>1296</v>
      </c>
      <c r="E241">
        <v>1337</v>
      </c>
      <c r="F241">
        <v>1323</v>
      </c>
      <c r="G241">
        <f t="shared" si="52"/>
        <v>-14</v>
      </c>
      <c r="H241" s="18">
        <f t="shared" si="53"/>
        <v>27</v>
      </c>
      <c r="I241" s="18">
        <f t="shared" si="54"/>
        <v>2.0833333333333259E-2</v>
      </c>
      <c r="J241" s="18">
        <f t="shared" si="55"/>
        <v>-1.0471204188481686E-2</v>
      </c>
      <c r="K241" s="18" t="str">
        <f t="shared" si="56"/>
        <v>GM2</v>
      </c>
      <c r="L241" t="str">
        <f t="shared" si="57"/>
        <v>FEBRUARY-4-GM2</v>
      </c>
      <c r="M241">
        <f t="shared" si="45"/>
        <v>0.41376803845423793</v>
      </c>
      <c r="N241">
        <f t="shared" si="46"/>
        <v>-0.18461597979036748</v>
      </c>
      <c r="O241">
        <f t="shared" si="47"/>
        <v>1504511</v>
      </c>
      <c r="P241">
        <f t="shared" si="48"/>
        <v>1532581</v>
      </c>
      <c r="Q241">
        <f t="shared" si="49"/>
        <v>1515308</v>
      </c>
      <c r="R241" s="38">
        <f t="shared" si="50"/>
        <v>7.176418118578054E-3</v>
      </c>
      <c r="S241" s="38">
        <f t="shared" si="51"/>
        <v>-1.1270529910001548E-2</v>
      </c>
    </row>
    <row r="242" spans="1:19" x14ac:dyDescent="0.25">
      <c r="A242" s="13" t="s">
        <v>42</v>
      </c>
      <c r="B242">
        <v>4</v>
      </c>
      <c r="C242" t="s">
        <v>20</v>
      </c>
      <c r="D242">
        <v>3996</v>
      </c>
      <c r="E242">
        <v>4127</v>
      </c>
      <c r="F242">
        <v>4113</v>
      </c>
      <c r="G242">
        <f t="shared" si="52"/>
        <v>-14</v>
      </c>
      <c r="H242" s="18">
        <f t="shared" si="53"/>
        <v>117</v>
      </c>
      <c r="I242" s="18">
        <f t="shared" si="54"/>
        <v>2.9279279279279313E-2</v>
      </c>
      <c r="J242" s="18">
        <f t="shared" si="55"/>
        <v>-3.3922946450205549E-3</v>
      </c>
      <c r="K242" s="18" t="str">
        <f t="shared" si="56"/>
        <v>GM2</v>
      </c>
      <c r="L242" t="str">
        <f t="shared" si="57"/>
        <v>FEBRUARY-4-GM2</v>
      </c>
      <c r="M242">
        <f t="shared" si="45"/>
        <v>0.41376803845423793</v>
      </c>
      <c r="N242">
        <f t="shared" si="46"/>
        <v>-0.18461597979036748</v>
      </c>
      <c r="O242">
        <f t="shared" si="47"/>
        <v>1504511</v>
      </c>
      <c r="P242">
        <f t="shared" si="48"/>
        <v>1532581</v>
      </c>
      <c r="Q242">
        <f t="shared" si="49"/>
        <v>1515308</v>
      </c>
      <c r="R242" s="38">
        <f t="shared" si="50"/>
        <v>7.176418118578054E-3</v>
      </c>
      <c r="S242" s="38">
        <f t="shared" si="51"/>
        <v>-1.1270529910001548E-2</v>
      </c>
    </row>
    <row r="243" spans="1:19" x14ac:dyDescent="0.25">
      <c r="A243" s="13" t="s">
        <v>42</v>
      </c>
      <c r="B243">
        <v>4</v>
      </c>
      <c r="C243" t="s">
        <v>20</v>
      </c>
      <c r="D243">
        <v>1080</v>
      </c>
      <c r="E243">
        <v>1116</v>
      </c>
      <c r="F243">
        <v>1113</v>
      </c>
      <c r="G243">
        <f t="shared" si="52"/>
        <v>-3</v>
      </c>
      <c r="H243" s="18">
        <f t="shared" si="53"/>
        <v>33</v>
      </c>
      <c r="I243" s="18">
        <f t="shared" si="54"/>
        <v>3.0555555555555447E-2</v>
      </c>
      <c r="J243" s="18">
        <f t="shared" si="55"/>
        <v>-2.6881720430107503E-3</v>
      </c>
      <c r="K243" s="18" t="str">
        <f t="shared" si="56"/>
        <v>GM2</v>
      </c>
      <c r="L243" t="str">
        <f t="shared" si="57"/>
        <v>FEBRUARY-4-GM2</v>
      </c>
      <c r="M243">
        <f t="shared" si="45"/>
        <v>0.41376803845423793</v>
      </c>
      <c r="N243">
        <f t="shared" si="46"/>
        <v>-0.18461597979036748</v>
      </c>
      <c r="O243">
        <f t="shared" si="47"/>
        <v>1504511</v>
      </c>
      <c r="P243">
        <f t="shared" si="48"/>
        <v>1532581</v>
      </c>
      <c r="Q243">
        <f t="shared" si="49"/>
        <v>1515308</v>
      </c>
      <c r="R243" s="38">
        <f t="shared" si="50"/>
        <v>7.176418118578054E-3</v>
      </c>
      <c r="S243" s="38">
        <f t="shared" si="51"/>
        <v>-1.1270529910001548E-2</v>
      </c>
    </row>
    <row r="244" spans="1:19" x14ac:dyDescent="0.25">
      <c r="A244" s="13" t="s">
        <v>42</v>
      </c>
      <c r="B244">
        <v>4</v>
      </c>
      <c r="C244" t="s">
        <v>20</v>
      </c>
      <c r="D244">
        <v>10044</v>
      </c>
      <c r="E244">
        <v>10348</v>
      </c>
      <c r="F244">
        <v>10260</v>
      </c>
      <c r="G244">
        <f t="shared" si="52"/>
        <v>-88</v>
      </c>
      <c r="H244" s="18">
        <f t="shared" si="53"/>
        <v>216</v>
      </c>
      <c r="I244" s="18">
        <f t="shared" si="54"/>
        <v>2.1505376344086002E-2</v>
      </c>
      <c r="J244" s="18">
        <f t="shared" si="55"/>
        <v>-8.5040587553150138E-3</v>
      </c>
      <c r="K244" s="18" t="str">
        <f t="shared" si="56"/>
        <v>GM2</v>
      </c>
      <c r="L244" t="str">
        <f t="shared" si="57"/>
        <v>FEBRUARY-4-GM2</v>
      </c>
      <c r="M244">
        <f t="shared" si="45"/>
        <v>0.41376803845423793</v>
      </c>
      <c r="N244">
        <f t="shared" si="46"/>
        <v>-0.18461597979036748</v>
      </c>
      <c r="O244">
        <f t="shared" si="47"/>
        <v>1504511</v>
      </c>
      <c r="P244">
        <f t="shared" si="48"/>
        <v>1532581</v>
      </c>
      <c r="Q244">
        <f t="shared" si="49"/>
        <v>1515308</v>
      </c>
      <c r="R244" s="38">
        <f t="shared" si="50"/>
        <v>7.176418118578054E-3</v>
      </c>
      <c r="S244" s="38">
        <f t="shared" si="51"/>
        <v>-1.1270529910001548E-2</v>
      </c>
    </row>
    <row r="245" spans="1:19" x14ac:dyDescent="0.25">
      <c r="A245" s="13" t="s">
        <v>42</v>
      </c>
      <c r="B245">
        <v>4</v>
      </c>
      <c r="C245" t="s">
        <v>20</v>
      </c>
      <c r="D245">
        <v>12096</v>
      </c>
      <c r="E245">
        <v>12466</v>
      </c>
      <c r="F245">
        <v>12396</v>
      </c>
      <c r="G245">
        <f t="shared" si="52"/>
        <v>-70</v>
      </c>
      <c r="H245" s="18">
        <f t="shared" si="53"/>
        <v>300</v>
      </c>
      <c r="I245" s="18">
        <f t="shared" si="54"/>
        <v>2.4801587301587213E-2</v>
      </c>
      <c r="J245" s="18">
        <f t="shared" si="55"/>
        <v>-5.6152735440397894E-3</v>
      </c>
      <c r="K245" s="18" t="str">
        <f t="shared" si="56"/>
        <v>GM2</v>
      </c>
      <c r="L245" t="str">
        <f t="shared" si="57"/>
        <v>FEBRUARY-4-GM2</v>
      </c>
      <c r="M245">
        <f t="shared" si="45"/>
        <v>0.41376803845423793</v>
      </c>
      <c r="N245">
        <f t="shared" si="46"/>
        <v>-0.18461597979036748</v>
      </c>
      <c r="O245">
        <f t="shared" si="47"/>
        <v>1504511</v>
      </c>
      <c r="P245">
        <f t="shared" si="48"/>
        <v>1532581</v>
      </c>
      <c r="Q245">
        <f t="shared" si="49"/>
        <v>1515308</v>
      </c>
      <c r="R245" s="38">
        <f t="shared" si="50"/>
        <v>7.176418118578054E-3</v>
      </c>
      <c r="S245" s="38">
        <f t="shared" si="51"/>
        <v>-1.1270529910001548E-2</v>
      </c>
    </row>
    <row r="246" spans="1:19" x14ac:dyDescent="0.25">
      <c r="A246" s="13" t="s">
        <v>42</v>
      </c>
      <c r="B246">
        <v>4</v>
      </c>
      <c r="C246" t="s">
        <v>19</v>
      </c>
      <c r="D246">
        <v>44496</v>
      </c>
      <c r="E246">
        <v>44676</v>
      </c>
      <c r="F246">
        <v>44526</v>
      </c>
      <c r="G246">
        <f t="shared" si="52"/>
        <v>-150</v>
      </c>
      <c r="H246" s="18">
        <f t="shared" si="53"/>
        <v>30</v>
      </c>
      <c r="I246" s="18">
        <f t="shared" si="54"/>
        <v>6.7421790722765884E-4</v>
      </c>
      <c r="J246" s="18">
        <f t="shared" si="55"/>
        <v>-3.3575073865163008E-3</v>
      </c>
      <c r="K246" s="18" t="str">
        <f t="shared" si="56"/>
        <v>KALIBENDA</v>
      </c>
      <c r="L246" t="str">
        <f t="shared" si="57"/>
        <v>FEBRUARY-4-KALIBENDA</v>
      </c>
      <c r="M246">
        <f t="shared" si="45"/>
        <v>4.8499126148802585E-2</v>
      </c>
      <c r="N246">
        <f t="shared" si="46"/>
        <v>-1.5004528949160156E-2</v>
      </c>
      <c r="O246">
        <f t="shared" si="47"/>
        <v>1504511</v>
      </c>
      <c r="P246">
        <f t="shared" si="48"/>
        <v>1532581</v>
      </c>
      <c r="Q246">
        <f t="shared" si="49"/>
        <v>1515308</v>
      </c>
      <c r="R246" s="38">
        <f t="shared" si="50"/>
        <v>7.176418118578054E-3</v>
      </c>
      <c r="S246" s="38">
        <f t="shared" si="51"/>
        <v>-1.1270529910001548E-2</v>
      </c>
    </row>
    <row r="247" spans="1:19" x14ac:dyDescent="0.25">
      <c r="A247" s="13" t="s">
        <v>42</v>
      </c>
      <c r="B247">
        <v>4</v>
      </c>
      <c r="C247" t="s">
        <v>19</v>
      </c>
      <c r="D247">
        <v>7560</v>
      </c>
      <c r="E247">
        <v>7560</v>
      </c>
      <c r="F247">
        <v>7539</v>
      </c>
      <c r="G247">
        <f t="shared" si="52"/>
        <v>-21</v>
      </c>
      <c r="H247" s="18">
        <f t="shared" si="53"/>
        <v>-21</v>
      </c>
      <c r="I247" s="18">
        <f t="shared" si="54"/>
        <v>-2.7777777777777679E-3</v>
      </c>
      <c r="J247" s="18">
        <f t="shared" si="55"/>
        <v>-2.7777777777777679E-3</v>
      </c>
      <c r="K247" s="18" t="str">
        <f t="shared" si="56"/>
        <v>KALIBENDA</v>
      </c>
      <c r="L247" t="str">
        <f t="shared" si="57"/>
        <v>FEBRUARY-4-KALIBENDA</v>
      </c>
      <c r="M247">
        <f t="shared" si="45"/>
        <v>4.8499126148802585E-2</v>
      </c>
      <c r="N247">
        <f t="shared" si="46"/>
        <v>-1.5004528949160156E-2</v>
      </c>
      <c r="O247">
        <f t="shared" si="47"/>
        <v>1504511</v>
      </c>
      <c r="P247">
        <f t="shared" si="48"/>
        <v>1532581</v>
      </c>
      <c r="Q247">
        <f t="shared" si="49"/>
        <v>1515308</v>
      </c>
      <c r="R247" s="38">
        <f t="shared" si="50"/>
        <v>7.176418118578054E-3</v>
      </c>
      <c r="S247" s="38">
        <f t="shared" si="51"/>
        <v>-1.1270529910001548E-2</v>
      </c>
    </row>
    <row r="248" spans="1:19" x14ac:dyDescent="0.25">
      <c r="A248" s="13" t="s">
        <v>42</v>
      </c>
      <c r="B248">
        <v>4</v>
      </c>
      <c r="C248" t="s">
        <v>20</v>
      </c>
      <c r="D248">
        <v>7560</v>
      </c>
      <c r="E248">
        <v>7666</v>
      </c>
      <c r="F248">
        <v>7560</v>
      </c>
      <c r="G248">
        <f t="shared" si="52"/>
        <v>-106</v>
      </c>
      <c r="H248" s="18">
        <f t="shared" si="53"/>
        <v>0</v>
      </c>
      <c r="I248" s="18">
        <f t="shared" si="54"/>
        <v>0</v>
      </c>
      <c r="J248" s="18">
        <f t="shared" si="55"/>
        <v>-1.3827289329506942E-2</v>
      </c>
      <c r="K248" s="18" t="str">
        <f t="shared" si="56"/>
        <v>GM2</v>
      </c>
      <c r="L248" t="str">
        <f t="shared" si="57"/>
        <v>FEBRUARY-4-GM2</v>
      </c>
      <c r="M248">
        <f t="shared" si="45"/>
        <v>0.41376803845423793</v>
      </c>
      <c r="N248">
        <f t="shared" si="46"/>
        <v>-0.18461597979036748</v>
      </c>
      <c r="O248">
        <f t="shared" si="47"/>
        <v>1504511</v>
      </c>
      <c r="P248">
        <f t="shared" si="48"/>
        <v>1532581</v>
      </c>
      <c r="Q248">
        <f t="shared" si="49"/>
        <v>1515308</v>
      </c>
      <c r="R248" s="38">
        <f t="shared" si="50"/>
        <v>7.176418118578054E-3</v>
      </c>
      <c r="S248" s="38">
        <f t="shared" si="51"/>
        <v>-1.1270529910001548E-2</v>
      </c>
    </row>
    <row r="249" spans="1:19" x14ac:dyDescent="0.25">
      <c r="A249" s="13" t="s">
        <v>42</v>
      </c>
      <c r="B249">
        <v>4</v>
      </c>
      <c r="C249" t="s">
        <v>20</v>
      </c>
      <c r="D249">
        <v>23004</v>
      </c>
      <c r="E249">
        <v>23700</v>
      </c>
      <c r="F249">
        <v>23598</v>
      </c>
      <c r="G249">
        <f t="shared" si="52"/>
        <v>-102</v>
      </c>
      <c r="H249" s="18">
        <f t="shared" si="53"/>
        <v>594</v>
      </c>
      <c r="I249" s="18">
        <f t="shared" si="54"/>
        <v>2.5821596244131495E-2</v>
      </c>
      <c r="J249" s="18">
        <f t="shared" si="55"/>
        <v>-4.3037974683544089E-3</v>
      </c>
      <c r="K249" s="18" t="str">
        <f t="shared" si="56"/>
        <v>GM2</v>
      </c>
      <c r="L249" t="str">
        <f t="shared" si="57"/>
        <v>FEBRUARY-4-GM2</v>
      </c>
      <c r="M249">
        <f t="shared" si="45"/>
        <v>0.41376803845423793</v>
      </c>
      <c r="N249">
        <f t="shared" si="46"/>
        <v>-0.18461597979036748</v>
      </c>
      <c r="O249">
        <f t="shared" si="47"/>
        <v>1504511</v>
      </c>
      <c r="P249">
        <f t="shared" si="48"/>
        <v>1532581</v>
      </c>
      <c r="Q249">
        <f t="shared" si="49"/>
        <v>1515308</v>
      </c>
      <c r="R249" s="38">
        <f t="shared" si="50"/>
        <v>7.176418118578054E-3</v>
      </c>
      <c r="S249" s="38">
        <f t="shared" si="51"/>
        <v>-1.1270529910001548E-2</v>
      </c>
    </row>
    <row r="250" spans="1:19" x14ac:dyDescent="0.25">
      <c r="A250" s="13" t="s">
        <v>42</v>
      </c>
      <c r="B250">
        <v>4</v>
      </c>
      <c r="C250" t="s">
        <v>20</v>
      </c>
      <c r="D250">
        <v>3888</v>
      </c>
      <c r="E250">
        <v>4008</v>
      </c>
      <c r="F250">
        <v>3978</v>
      </c>
      <c r="G250">
        <f t="shared" si="52"/>
        <v>-30</v>
      </c>
      <c r="H250" s="18">
        <f t="shared" si="53"/>
        <v>90</v>
      </c>
      <c r="I250" s="18">
        <f t="shared" si="54"/>
        <v>2.314814814814814E-2</v>
      </c>
      <c r="J250" s="18">
        <f t="shared" si="55"/>
        <v>-7.4850299401197917E-3</v>
      </c>
      <c r="K250" s="18" t="str">
        <f t="shared" si="56"/>
        <v>GM2</v>
      </c>
      <c r="L250" t="str">
        <f t="shared" si="57"/>
        <v>FEBRUARY-4-GM2</v>
      </c>
      <c r="M250">
        <f t="shared" si="45"/>
        <v>0.41376803845423793</v>
      </c>
      <c r="N250">
        <f t="shared" si="46"/>
        <v>-0.18461597979036748</v>
      </c>
      <c r="O250">
        <f t="shared" si="47"/>
        <v>1504511</v>
      </c>
      <c r="P250">
        <f t="shared" si="48"/>
        <v>1532581</v>
      </c>
      <c r="Q250">
        <f t="shared" si="49"/>
        <v>1515308</v>
      </c>
      <c r="R250" s="38">
        <f t="shared" si="50"/>
        <v>7.176418118578054E-3</v>
      </c>
      <c r="S250" s="38">
        <f t="shared" si="51"/>
        <v>-1.1270529910001548E-2</v>
      </c>
    </row>
    <row r="251" spans="1:19" x14ac:dyDescent="0.25">
      <c r="A251" s="13" t="s">
        <v>42</v>
      </c>
      <c r="B251">
        <v>4</v>
      </c>
      <c r="C251" t="s">
        <v>20</v>
      </c>
      <c r="D251">
        <v>23112</v>
      </c>
      <c r="E251">
        <v>23650</v>
      </c>
      <c r="F251">
        <v>23286</v>
      </c>
      <c r="G251">
        <f t="shared" si="52"/>
        <v>-364</v>
      </c>
      <c r="H251" s="18">
        <f t="shared" si="53"/>
        <v>174</v>
      </c>
      <c r="I251" s="18">
        <f t="shared" si="54"/>
        <v>7.5285565939771093E-3</v>
      </c>
      <c r="J251" s="18">
        <f t="shared" si="55"/>
        <v>-1.5391120507399547E-2</v>
      </c>
      <c r="K251" s="18" t="str">
        <f t="shared" si="56"/>
        <v>GM2</v>
      </c>
      <c r="L251" t="str">
        <f t="shared" si="57"/>
        <v>FEBRUARY-4-GM2</v>
      </c>
      <c r="M251">
        <f t="shared" si="45"/>
        <v>0.41376803845423793</v>
      </c>
      <c r="N251">
        <f t="shared" si="46"/>
        <v>-0.18461597979036748</v>
      </c>
      <c r="O251">
        <f t="shared" si="47"/>
        <v>1504511</v>
      </c>
      <c r="P251">
        <f t="shared" si="48"/>
        <v>1532581</v>
      </c>
      <c r="Q251">
        <f t="shared" si="49"/>
        <v>1515308</v>
      </c>
      <c r="R251" s="38">
        <f t="shared" si="50"/>
        <v>7.176418118578054E-3</v>
      </c>
      <c r="S251" s="38">
        <f t="shared" si="51"/>
        <v>-1.1270529910001548E-2</v>
      </c>
    </row>
    <row r="252" spans="1:19" x14ac:dyDescent="0.25">
      <c r="A252" s="13" t="s">
        <v>42</v>
      </c>
      <c r="B252">
        <v>4</v>
      </c>
      <c r="C252" t="s">
        <v>20</v>
      </c>
      <c r="D252">
        <v>3996</v>
      </c>
      <c r="E252">
        <v>4119</v>
      </c>
      <c r="F252">
        <v>4059</v>
      </c>
      <c r="G252">
        <f t="shared" si="52"/>
        <v>-60</v>
      </c>
      <c r="H252" s="18">
        <f t="shared" si="53"/>
        <v>63</v>
      </c>
      <c r="I252" s="18">
        <f t="shared" si="54"/>
        <v>1.5765765765765716E-2</v>
      </c>
      <c r="J252" s="18">
        <f t="shared" si="55"/>
        <v>-1.4566642388929352E-2</v>
      </c>
      <c r="K252" s="18" t="str">
        <f t="shared" si="56"/>
        <v>GM2</v>
      </c>
      <c r="L252" t="str">
        <f t="shared" si="57"/>
        <v>FEBRUARY-4-GM2</v>
      </c>
      <c r="M252">
        <f t="shared" si="45"/>
        <v>0.41376803845423793</v>
      </c>
      <c r="N252">
        <f t="shared" si="46"/>
        <v>-0.18461597979036748</v>
      </c>
      <c r="O252">
        <f t="shared" si="47"/>
        <v>1504511</v>
      </c>
      <c r="P252">
        <f t="shared" si="48"/>
        <v>1532581</v>
      </c>
      <c r="Q252">
        <f t="shared" si="49"/>
        <v>1515308</v>
      </c>
      <c r="R252" s="38">
        <f t="shared" si="50"/>
        <v>7.176418118578054E-3</v>
      </c>
      <c r="S252" s="38">
        <f t="shared" si="51"/>
        <v>-1.1270529910001548E-2</v>
      </c>
    </row>
    <row r="253" spans="1:19" x14ac:dyDescent="0.25">
      <c r="A253" s="13" t="s">
        <v>42</v>
      </c>
      <c r="B253">
        <v>4</v>
      </c>
      <c r="C253" t="s">
        <v>17</v>
      </c>
      <c r="D253">
        <v>14688</v>
      </c>
      <c r="E253">
        <v>14946</v>
      </c>
      <c r="F253">
        <v>14836</v>
      </c>
      <c r="G253">
        <f t="shared" si="52"/>
        <v>-110</v>
      </c>
      <c r="H253" s="18">
        <f t="shared" si="53"/>
        <v>148</v>
      </c>
      <c r="I253" s="18">
        <f t="shared" si="54"/>
        <v>1.0076252723311585E-2</v>
      </c>
      <c r="J253" s="18">
        <f t="shared" si="55"/>
        <v>-7.359828716713479E-3</v>
      </c>
      <c r="K253" s="18" t="str">
        <f t="shared" si="56"/>
        <v>MAJA1</v>
      </c>
      <c r="L253" t="str">
        <f t="shared" si="57"/>
        <v>FEBRUARY-4-MAJA1</v>
      </c>
      <c r="M253">
        <f t="shared" si="45"/>
        <v>7.1294967851639246E-2</v>
      </c>
      <c r="N253">
        <f t="shared" si="46"/>
        <v>-0.1191098043784754</v>
      </c>
      <c r="O253">
        <f t="shared" si="47"/>
        <v>1504511</v>
      </c>
      <c r="P253">
        <f t="shared" si="48"/>
        <v>1532581</v>
      </c>
      <c r="Q253">
        <f t="shared" si="49"/>
        <v>1515308</v>
      </c>
      <c r="R253" s="38">
        <f t="shared" si="50"/>
        <v>7.176418118578054E-3</v>
      </c>
      <c r="S253" s="38">
        <f t="shared" si="51"/>
        <v>-1.1270529910001548E-2</v>
      </c>
    </row>
    <row r="254" spans="1:19" x14ac:dyDescent="0.25">
      <c r="A254" s="13" t="s">
        <v>42</v>
      </c>
      <c r="B254">
        <v>4</v>
      </c>
      <c r="C254" t="s">
        <v>17</v>
      </c>
      <c r="D254">
        <v>12240</v>
      </c>
      <c r="E254">
        <v>12691</v>
      </c>
      <c r="F254">
        <v>12612</v>
      </c>
      <c r="G254">
        <f t="shared" si="52"/>
        <v>-79</v>
      </c>
      <c r="H254" s="18">
        <f t="shared" si="53"/>
        <v>372</v>
      </c>
      <c r="I254" s="18">
        <f t="shared" si="54"/>
        <v>3.039215686274499E-2</v>
      </c>
      <c r="J254" s="18">
        <f t="shared" si="55"/>
        <v>-6.2248837759041331E-3</v>
      </c>
      <c r="K254" s="18" t="str">
        <f t="shared" si="56"/>
        <v>MAJA1</v>
      </c>
      <c r="L254" t="str">
        <f t="shared" si="57"/>
        <v>FEBRUARY-4-MAJA1</v>
      </c>
      <c r="M254">
        <f t="shared" si="45"/>
        <v>7.1294967851639246E-2</v>
      </c>
      <c r="N254">
        <f t="shared" si="46"/>
        <v>-0.1191098043784754</v>
      </c>
      <c r="O254">
        <f t="shared" si="47"/>
        <v>1504511</v>
      </c>
      <c r="P254">
        <f t="shared" si="48"/>
        <v>1532581</v>
      </c>
      <c r="Q254">
        <f t="shared" si="49"/>
        <v>1515308</v>
      </c>
      <c r="R254" s="38">
        <f t="shared" si="50"/>
        <v>7.176418118578054E-3</v>
      </c>
      <c r="S254" s="38">
        <f t="shared" si="51"/>
        <v>-1.1270529910001548E-2</v>
      </c>
    </row>
    <row r="255" spans="1:19" x14ac:dyDescent="0.25">
      <c r="A255" s="13" t="s">
        <v>42</v>
      </c>
      <c r="B255">
        <v>4</v>
      </c>
      <c r="C255" t="s">
        <v>21</v>
      </c>
      <c r="D255">
        <v>566</v>
      </c>
      <c r="E255">
        <v>587</v>
      </c>
      <c r="F255">
        <v>569</v>
      </c>
      <c r="G255">
        <f t="shared" si="52"/>
        <v>-18</v>
      </c>
      <c r="H255" s="18">
        <f t="shared" si="53"/>
        <v>3</v>
      </c>
      <c r="I255" s="18">
        <f t="shared" si="54"/>
        <v>5.300353356890497E-3</v>
      </c>
      <c r="J255" s="18">
        <f t="shared" si="55"/>
        <v>-3.0664395229982988E-2</v>
      </c>
      <c r="K255" s="18" t="str">
        <f t="shared" si="56"/>
        <v>CHAWAN</v>
      </c>
      <c r="L255" t="str">
        <f t="shared" si="57"/>
        <v>FEBRUARY-4-CHAWAN</v>
      </c>
      <c r="M255">
        <f t="shared" si="45"/>
        <v>5.300353356890497E-3</v>
      </c>
      <c r="N255">
        <f t="shared" si="46"/>
        <v>-3.0664395229982988E-2</v>
      </c>
      <c r="O255">
        <f t="shared" si="47"/>
        <v>1504511</v>
      </c>
      <c r="P255">
        <f t="shared" si="48"/>
        <v>1532581</v>
      </c>
      <c r="Q255">
        <f t="shared" si="49"/>
        <v>1515308</v>
      </c>
      <c r="R255" s="38">
        <f t="shared" si="50"/>
        <v>7.176418118578054E-3</v>
      </c>
      <c r="S255" s="38">
        <f t="shared" si="51"/>
        <v>-1.1270529910001548E-2</v>
      </c>
    </row>
    <row r="256" spans="1:19" x14ac:dyDescent="0.25">
      <c r="A256" s="13" t="s">
        <v>42</v>
      </c>
      <c r="B256">
        <v>5</v>
      </c>
      <c r="C256" t="s">
        <v>19</v>
      </c>
      <c r="D256">
        <v>7560</v>
      </c>
      <c r="E256">
        <v>7656</v>
      </c>
      <c r="F256">
        <v>7635</v>
      </c>
      <c r="G256">
        <f t="shared" si="52"/>
        <v>-21</v>
      </c>
      <c r="H256" s="18">
        <f t="shared" si="53"/>
        <v>75</v>
      </c>
      <c r="I256" s="18">
        <f t="shared" si="54"/>
        <v>9.9206349206348854E-3</v>
      </c>
      <c r="J256" s="18">
        <f t="shared" si="55"/>
        <v>-2.742946708463978E-3</v>
      </c>
      <c r="K256" s="18" t="str">
        <f t="shared" si="56"/>
        <v>KALIBENDA</v>
      </c>
      <c r="L256" t="str">
        <f t="shared" si="57"/>
        <v>FEBRUARY-5-KALIBENDA</v>
      </c>
      <c r="M256">
        <f t="shared" si="45"/>
        <v>0.11709997449956644</v>
      </c>
      <c r="N256">
        <f t="shared" si="46"/>
        <v>-1.1587744693673074E-2</v>
      </c>
      <c r="O256">
        <f t="shared" si="47"/>
        <v>1504511</v>
      </c>
      <c r="P256">
        <f t="shared" si="48"/>
        <v>1532581</v>
      </c>
      <c r="Q256">
        <f t="shared" si="49"/>
        <v>1515308</v>
      </c>
      <c r="R256" s="38">
        <f t="shared" si="50"/>
        <v>7.176418118578054E-3</v>
      </c>
      <c r="S256" s="38">
        <f t="shared" si="51"/>
        <v>-1.1270529910001548E-2</v>
      </c>
    </row>
    <row r="257" spans="1:19" x14ac:dyDescent="0.25">
      <c r="A257" s="13" t="s">
        <v>42</v>
      </c>
      <c r="B257">
        <v>5</v>
      </c>
      <c r="C257" t="s">
        <v>19</v>
      </c>
      <c r="D257">
        <v>44496</v>
      </c>
      <c r="E257">
        <v>45657</v>
      </c>
      <c r="F257">
        <v>45489</v>
      </c>
      <c r="G257">
        <f t="shared" si="52"/>
        <v>-168</v>
      </c>
      <c r="H257" s="18">
        <f t="shared" si="53"/>
        <v>993</v>
      </c>
      <c r="I257" s="18">
        <f t="shared" si="54"/>
        <v>2.231661272923402E-2</v>
      </c>
      <c r="J257" s="18">
        <f t="shared" si="55"/>
        <v>-3.6796110125500991E-3</v>
      </c>
      <c r="K257" s="18" t="str">
        <f t="shared" si="56"/>
        <v>KALIBENDA</v>
      </c>
      <c r="L257" t="str">
        <f t="shared" si="57"/>
        <v>FEBRUARY-5-KALIBENDA</v>
      </c>
      <c r="M257">
        <f t="shared" si="45"/>
        <v>0.11709997449956644</v>
      </c>
      <c r="N257">
        <f t="shared" si="46"/>
        <v>-1.1587744693673074E-2</v>
      </c>
      <c r="O257">
        <f t="shared" si="47"/>
        <v>1504511</v>
      </c>
      <c r="P257">
        <f t="shared" si="48"/>
        <v>1532581</v>
      </c>
      <c r="Q257">
        <f t="shared" si="49"/>
        <v>1515308</v>
      </c>
      <c r="R257" s="38">
        <f t="shared" si="50"/>
        <v>7.176418118578054E-3</v>
      </c>
      <c r="S257" s="38">
        <f t="shared" si="51"/>
        <v>-1.1270529910001548E-2</v>
      </c>
    </row>
    <row r="258" spans="1:19" x14ac:dyDescent="0.25">
      <c r="A258" s="13" t="s">
        <v>42</v>
      </c>
      <c r="B258">
        <v>5</v>
      </c>
      <c r="C258" t="s">
        <v>19</v>
      </c>
      <c r="D258">
        <v>7560</v>
      </c>
      <c r="E258">
        <v>7788</v>
      </c>
      <c r="F258">
        <v>7761</v>
      </c>
      <c r="G258">
        <f t="shared" si="52"/>
        <v>-27</v>
      </c>
      <c r="H258" s="18">
        <f t="shared" si="53"/>
        <v>201</v>
      </c>
      <c r="I258" s="18">
        <f t="shared" si="54"/>
        <v>2.6587301587301493E-2</v>
      </c>
      <c r="J258" s="18">
        <f t="shared" si="55"/>
        <v>-3.4668721109398781E-3</v>
      </c>
      <c r="K258" s="18" t="str">
        <f t="shared" si="56"/>
        <v>KALIBENDA</v>
      </c>
      <c r="L258" t="str">
        <f t="shared" si="57"/>
        <v>FEBRUARY-5-KALIBENDA</v>
      </c>
      <c r="M258">
        <f t="shared" ref="M258:M278" si="58">SUMIF($L$2:$L$1048576,L258,$I$2:$I$1048576)</f>
        <v>0.11709997449956644</v>
      </c>
      <c r="N258">
        <f t="shared" ref="N258:N278" si="59">SUMIF($L$2:$L$1048576,L258,$J$2:$J$1048576)</f>
        <v>-1.1587744693673074E-2</v>
      </c>
      <c r="O258">
        <f t="shared" ref="O258:O278" si="60">SUMIF($A$2:$A$1048576,A258,$D$2:$D$1048576)</f>
        <v>1504511</v>
      </c>
      <c r="P258">
        <f t="shared" ref="P258:P278" si="61">SUMIF($A$2:$A$1048576,A258,$E$2:$E$1048576)</f>
        <v>1532581</v>
      </c>
      <c r="Q258">
        <f t="shared" si="49"/>
        <v>1515308</v>
      </c>
      <c r="R258" s="38">
        <f t="shared" si="50"/>
        <v>7.176418118578054E-3</v>
      </c>
      <c r="S258" s="38">
        <f t="shared" si="51"/>
        <v>-1.1270529910001548E-2</v>
      </c>
    </row>
    <row r="259" spans="1:19" x14ac:dyDescent="0.25">
      <c r="A259" s="13" t="s">
        <v>42</v>
      </c>
      <c r="B259">
        <v>5</v>
      </c>
      <c r="C259" t="s">
        <v>20</v>
      </c>
      <c r="D259">
        <v>23436</v>
      </c>
      <c r="E259">
        <v>23713</v>
      </c>
      <c r="F259">
        <v>22926</v>
      </c>
      <c r="G259">
        <f t="shared" si="52"/>
        <v>-787</v>
      </c>
      <c r="H259" s="18">
        <f t="shared" si="53"/>
        <v>-510</v>
      </c>
      <c r="I259" s="18">
        <f t="shared" si="54"/>
        <v>-2.1761392729134688E-2</v>
      </c>
      <c r="J259" s="18">
        <f t="shared" si="55"/>
        <v>-3.3188546366971661E-2</v>
      </c>
      <c r="K259" s="18" t="str">
        <f t="shared" si="56"/>
        <v>GM2</v>
      </c>
      <c r="L259" t="str">
        <f t="shared" si="57"/>
        <v>FEBRUARY-5-GM2</v>
      </c>
      <c r="M259">
        <f t="shared" si="58"/>
        <v>5.7912949800109192E-2</v>
      </c>
      <c r="N259">
        <f t="shared" si="59"/>
        <v>-0.28024167602584682</v>
      </c>
      <c r="O259">
        <f t="shared" si="60"/>
        <v>1504511</v>
      </c>
      <c r="P259">
        <f t="shared" si="61"/>
        <v>1532581</v>
      </c>
      <c r="Q259">
        <f t="shared" ref="Q259:Q278" si="62">SUMIF($A$2:$A$1048576,A259,$F$2:$F$1048576)</f>
        <v>1515308</v>
      </c>
      <c r="R259" s="38">
        <f t="shared" ref="R259:R278" si="63">Q259/O259-1</f>
        <v>7.176418118578054E-3</v>
      </c>
      <c r="S259" s="38">
        <f t="shared" ref="S259:S278" si="64">Q259/P259-1</f>
        <v>-1.1270529910001548E-2</v>
      </c>
    </row>
    <row r="260" spans="1:19" x14ac:dyDescent="0.25">
      <c r="A260" s="13" t="s">
        <v>42</v>
      </c>
      <c r="B260">
        <v>5</v>
      </c>
      <c r="C260" t="s">
        <v>20</v>
      </c>
      <c r="D260">
        <v>3996</v>
      </c>
      <c r="E260">
        <v>4094</v>
      </c>
      <c r="F260">
        <v>4029</v>
      </c>
      <c r="G260">
        <f t="shared" si="52"/>
        <v>-65</v>
      </c>
      <c r="H260" s="18">
        <f t="shared" si="53"/>
        <v>33</v>
      </c>
      <c r="I260" s="18">
        <f t="shared" si="54"/>
        <v>8.2582582582582109E-3</v>
      </c>
      <c r="J260" s="18">
        <f t="shared" si="55"/>
        <v>-1.5876893014167059E-2</v>
      </c>
      <c r="K260" s="18" t="str">
        <f t="shared" si="56"/>
        <v>GM2</v>
      </c>
      <c r="L260" t="str">
        <f t="shared" si="57"/>
        <v>FEBRUARY-5-GM2</v>
      </c>
      <c r="M260">
        <f t="shared" si="58"/>
        <v>5.7912949800109192E-2</v>
      </c>
      <c r="N260">
        <f t="shared" si="59"/>
        <v>-0.28024167602584682</v>
      </c>
      <c r="O260">
        <f t="shared" si="60"/>
        <v>1504511</v>
      </c>
      <c r="P260">
        <f t="shared" si="61"/>
        <v>1532581</v>
      </c>
      <c r="Q260">
        <f t="shared" si="62"/>
        <v>1515308</v>
      </c>
      <c r="R260" s="38">
        <f t="shared" si="63"/>
        <v>7.176418118578054E-3</v>
      </c>
      <c r="S260" s="38">
        <f t="shared" si="64"/>
        <v>-1.1270529910001548E-2</v>
      </c>
    </row>
    <row r="261" spans="1:19" x14ac:dyDescent="0.25">
      <c r="A261" s="13" t="s">
        <v>42</v>
      </c>
      <c r="B261">
        <v>5</v>
      </c>
      <c r="C261" t="s">
        <v>20</v>
      </c>
      <c r="D261">
        <v>44172</v>
      </c>
      <c r="E261">
        <v>44910</v>
      </c>
      <c r="F261">
        <v>44205</v>
      </c>
      <c r="G261">
        <f t="shared" si="52"/>
        <v>-705</v>
      </c>
      <c r="H261" s="18">
        <f t="shared" si="53"/>
        <v>33</v>
      </c>
      <c r="I261" s="18">
        <f t="shared" si="54"/>
        <v>7.4707959793540724E-4</v>
      </c>
      <c r="J261" s="18">
        <f t="shared" si="55"/>
        <v>-1.5698062792251166E-2</v>
      </c>
      <c r="K261" s="18" t="str">
        <f t="shared" si="56"/>
        <v>GM2</v>
      </c>
      <c r="L261" t="str">
        <f t="shared" si="57"/>
        <v>FEBRUARY-5-GM2</v>
      </c>
      <c r="M261">
        <f t="shared" si="58"/>
        <v>5.7912949800109192E-2</v>
      </c>
      <c r="N261">
        <f t="shared" si="59"/>
        <v>-0.28024167602584682</v>
      </c>
      <c r="O261">
        <f t="shared" si="60"/>
        <v>1504511</v>
      </c>
      <c r="P261">
        <f t="shared" si="61"/>
        <v>1532581</v>
      </c>
      <c r="Q261">
        <f t="shared" si="62"/>
        <v>1515308</v>
      </c>
      <c r="R261" s="38">
        <f t="shared" si="63"/>
        <v>7.176418118578054E-3</v>
      </c>
      <c r="S261" s="38">
        <f t="shared" si="64"/>
        <v>-1.1270529910001548E-2</v>
      </c>
    </row>
    <row r="262" spans="1:19" x14ac:dyDescent="0.25">
      <c r="A262" s="13" t="s">
        <v>42</v>
      </c>
      <c r="B262">
        <v>5</v>
      </c>
      <c r="C262" t="s">
        <v>20</v>
      </c>
      <c r="D262">
        <v>7452</v>
      </c>
      <c r="E262">
        <v>7639</v>
      </c>
      <c r="F262">
        <v>7503</v>
      </c>
      <c r="G262">
        <f t="shared" si="52"/>
        <v>-136</v>
      </c>
      <c r="H262" s="18">
        <f t="shared" si="53"/>
        <v>51</v>
      </c>
      <c r="I262" s="18">
        <f t="shared" si="54"/>
        <v>6.843800322061222E-3</v>
      </c>
      <c r="J262" s="18">
        <f t="shared" si="55"/>
        <v>-1.7803377405419596E-2</v>
      </c>
      <c r="K262" s="18" t="str">
        <f t="shared" si="56"/>
        <v>GM2</v>
      </c>
      <c r="L262" t="str">
        <f t="shared" si="57"/>
        <v>FEBRUARY-5-GM2</v>
      </c>
      <c r="M262">
        <f t="shared" si="58"/>
        <v>5.7912949800109192E-2</v>
      </c>
      <c r="N262">
        <f t="shared" si="59"/>
        <v>-0.28024167602584682</v>
      </c>
      <c r="O262">
        <f t="shared" si="60"/>
        <v>1504511</v>
      </c>
      <c r="P262">
        <f t="shared" si="61"/>
        <v>1532581</v>
      </c>
      <c r="Q262">
        <f t="shared" si="62"/>
        <v>1515308</v>
      </c>
      <c r="R262" s="38">
        <f t="shared" si="63"/>
        <v>7.176418118578054E-3</v>
      </c>
      <c r="S262" s="38">
        <f t="shared" si="64"/>
        <v>-1.1270529910001548E-2</v>
      </c>
    </row>
    <row r="263" spans="1:19" x14ac:dyDescent="0.25">
      <c r="A263" s="13" t="s">
        <v>42</v>
      </c>
      <c r="B263">
        <v>5</v>
      </c>
      <c r="C263" t="s">
        <v>17</v>
      </c>
      <c r="D263">
        <v>5760</v>
      </c>
      <c r="E263">
        <v>5876</v>
      </c>
      <c r="F263">
        <v>5876</v>
      </c>
      <c r="G263">
        <f t="shared" si="52"/>
        <v>0</v>
      </c>
      <c r="H263" s="18">
        <f t="shared" si="53"/>
        <v>116</v>
      </c>
      <c r="I263" s="18">
        <f t="shared" si="54"/>
        <v>2.0138888888888928E-2</v>
      </c>
      <c r="J263" s="18">
        <f t="shared" si="55"/>
        <v>0</v>
      </c>
      <c r="K263" s="18" t="str">
        <f t="shared" si="56"/>
        <v>MAJA1</v>
      </c>
      <c r="L263" t="str">
        <f t="shared" si="57"/>
        <v>FEBRUARY-5-MAJA1</v>
      </c>
      <c r="M263">
        <f t="shared" si="58"/>
        <v>8.0072463768115831E-2</v>
      </c>
      <c r="N263">
        <f t="shared" si="59"/>
        <v>-3.8194481553288084E-2</v>
      </c>
      <c r="O263">
        <f t="shared" si="60"/>
        <v>1504511</v>
      </c>
      <c r="P263">
        <f t="shared" si="61"/>
        <v>1532581</v>
      </c>
      <c r="Q263">
        <f t="shared" si="62"/>
        <v>1515308</v>
      </c>
      <c r="R263" s="38">
        <f t="shared" si="63"/>
        <v>7.176418118578054E-3</v>
      </c>
      <c r="S263" s="38">
        <f t="shared" si="64"/>
        <v>-1.1270529910001548E-2</v>
      </c>
    </row>
    <row r="264" spans="1:19" x14ac:dyDescent="0.25">
      <c r="A264" s="13" t="s">
        <v>42</v>
      </c>
      <c r="B264">
        <v>5</v>
      </c>
      <c r="C264" t="s">
        <v>17</v>
      </c>
      <c r="D264">
        <v>5760</v>
      </c>
      <c r="E264">
        <v>5876</v>
      </c>
      <c r="F264">
        <v>5876</v>
      </c>
      <c r="G264">
        <f t="shared" si="52"/>
        <v>0</v>
      </c>
      <c r="H264" s="18">
        <f t="shared" si="53"/>
        <v>116</v>
      </c>
      <c r="I264" s="18">
        <f t="shared" si="54"/>
        <v>2.0138888888888928E-2</v>
      </c>
      <c r="J264" s="18">
        <f t="shared" si="55"/>
        <v>0</v>
      </c>
      <c r="K264" s="18" t="str">
        <f t="shared" si="56"/>
        <v>MAJA1</v>
      </c>
      <c r="L264" t="str">
        <f t="shared" si="57"/>
        <v>FEBRUARY-5-MAJA1</v>
      </c>
      <c r="M264">
        <f t="shared" si="58"/>
        <v>8.0072463768115831E-2</v>
      </c>
      <c r="N264">
        <f t="shared" si="59"/>
        <v>-3.8194481553288084E-2</v>
      </c>
      <c r="O264">
        <f t="shared" si="60"/>
        <v>1504511</v>
      </c>
      <c r="P264">
        <f t="shared" si="61"/>
        <v>1532581</v>
      </c>
      <c r="Q264">
        <f t="shared" si="62"/>
        <v>1515308</v>
      </c>
      <c r="R264" s="38">
        <f t="shared" si="63"/>
        <v>7.176418118578054E-3</v>
      </c>
      <c r="S264" s="38">
        <f t="shared" si="64"/>
        <v>-1.1270529910001548E-2</v>
      </c>
    </row>
    <row r="265" spans="1:19" x14ac:dyDescent="0.25">
      <c r="A265" s="13" t="s">
        <v>42</v>
      </c>
      <c r="B265">
        <v>5</v>
      </c>
      <c r="C265" t="s">
        <v>17</v>
      </c>
      <c r="D265">
        <v>5760</v>
      </c>
      <c r="E265">
        <v>5961</v>
      </c>
      <c r="F265">
        <v>5896</v>
      </c>
      <c r="G265">
        <f t="shared" si="52"/>
        <v>-65</v>
      </c>
      <c r="H265" s="18">
        <f t="shared" si="53"/>
        <v>136</v>
      </c>
      <c r="I265" s="18">
        <f t="shared" si="54"/>
        <v>2.3611111111111027E-2</v>
      </c>
      <c r="J265" s="18">
        <f t="shared" si="55"/>
        <v>-1.0904210702902151E-2</v>
      </c>
      <c r="K265" s="18" t="str">
        <f t="shared" si="56"/>
        <v>MAJA1</v>
      </c>
      <c r="L265" t="str">
        <f t="shared" si="57"/>
        <v>FEBRUARY-5-MAJA1</v>
      </c>
      <c r="M265">
        <f t="shared" si="58"/>
        <v>8.0072463768115831E-2</v>
      </c>
      <c r="N265">
        <f t="shared" si="59"/>
        <v>-3.8194481553288084E-2</v>
      </c>
      <c r="O265">
        <f t="shared" si="60"/>
        <v>1504511</v>
      </c>
      <c r="P265">
        <f t="shared" si="61"/>
        <v>1532581</v>
      </c>
      <c r="Q265">
        <f t="shared" si="62"/>
        <v>1515308</v>
      </c>
      <c r="R265" s="38">
        <f t="shared" si="63"/>
        <v>7.176418118578054E-3</v>
      </c>
      <c r="S265" s="38">
        <f t="shared" si="64"/>
        <v>-1.1270529910001548E-2</v>
      </c>
    </row>
    <row r="266" spans="1:19" x14ac:dyDescent="0.25">
      <c r="A266" s="13" t="s">
        <v>42</v>
      </c>
      <c r="B266">
        <v>5</v>
      </c>
      <c r="C266" t="s">
        <v>17</v>
      </c>
      <c r="D266">
        <v>33120</v>
      </c>
      <c r="E266">
        <v>33912</v>
      </c>
      <c r="F266">
        <v>33656</v>
      </c>
      <c r="G266">
        <f t="shared" si="52"/>
        <v>-256</v>
      </c>
      <c r="H266" s="18">
        <f t="shared" si="53"/>
        <v>536</v>
      </c>
      <c r="I266" s="18">
        <f t="shared" si="54"/>
        <v>1.6183574879226947E-2</v>
      </c>
      <c r="J266" s="18">
        <f t="shared" si="55"/>
        <v>-7.5489502241095074E-3</v>
      </c>
      <c r="K266" s="18" t="str">
        <f t="shared" si="56"/>
        <v>MAJA1</v>
      </c>
      <c r="L266" t="str">
        <f t="shared" si="57"/>
        <v>FEBRUARY-5-MAJA1</v>
      </c>
      <c r="M266">
        <f t="shared" si="58"/>
        <v>8.0072463768115831E-2</v>
      </c>
      <c r="N266">
        <f t="shared" si="59"/>
        <v>-3.8194481553288084E-2</v>
      </c>
      <c r="O266">
        <f t="shared" si="60"/>
        <v>1504511</v>
      </c>
      <c r="P266">
        <f t="shared" si="61"/>
        <v>1532581</v>
      </c>
      <c r="Q266">
        <f t="shared" si="62"/>
        <v>1515308</v>
      </c>
      <c r="R266" s="38">
        <f t="shared" si="63"/>
        <v>7.176418118578054E-3</v>
      </c>
      <c r="S266" s="38">
        <f t="shared" si="64"/>
        <v>-1.1270529910001548E-2</v>
      </c>
    </row>
    <row r="267" spans="1:19" x14ac:dyDescent="0.25">
      <c r="A267" s="13" t="s">
        <v>42</v>
      </c>
      <c r="B267">
        <v>5</v>
      </c>
      <c r="C267" t="s">
        <v>17</v>
      </c>
      <c r="D267">
        <v>5760</v>
      </c>
      <c r="E267">
        <v>5876</v>
      </c>
      <c r="F267">
        <v>5760</v>
      </c>
      <c r="G267">
        <f t="shared" si="52"/>
        <v>-116</v>
      </c>
      <c r="H267" s="18">
        <f t="shared" si="53"/>
        <v>0</v>
      </c>
      <c r="I267" s="18">
        <f t="shared" si="54"/>
        <v>0</v>
      </c>
      <c r="J267" s="18">
        <f t="shared" si="55"/>
        <v>-1.9741320626276426E-2</v>
      </c>
      <c r="K267" s="18" t="str">
        <f t="shared" si="56"/>
        <v>MAJA1</v>
      </c>
      <c r="L267" t="str">
        <f t="shared" si="57"/>
        <v>FEBRUARY-5-MAJA1</v>
      </c>
      <c r="M267">
        <f t="shared" si="58"/>
        <v>8.0072463768115831E-2</v>
      </c>
      <c r="N267">
        <f t="shared" si="59"/>
        <v>-3.8194481553288084E-2</v>
      </c>
      <c r="O267">
        <f t="shared" si="60"/>
        <v>1504511</v>
      </c>
      <c r="P267">
        <f t="shared" si="61"/>
        <v>1532581</v>
      </c>
      <c r="Q267">
        <f t="shared" si="62"/>
        <v>1515308</v>
      </c>
      <c r="R267" s="38">
        <f t="shared" si="63"/>
        <v>7.176418118578054E-3</v>
      </c>
      <c r="S267" s="38">
        <f t="shared" si="64"/>
        <v>-1.1270529910001548E-2</v>
      </c>
    </row>
    <row r="268" spans="1:19" x14ac:dyDescent="0.25">
      <c r="A268" s="13" t="s">
        <v>42</v>
      </c>
      <c r="B268">
        <v>5</v>
      </c>
      <c r="C268" t="s">
        <v>20</v>
      </c>
      <c r="D268">
        <v>33984</v>
      </c>
      <c r="E268">
        <v>35075</v>
      </c>
      <c r="F268">
        <v>33984</v>
      </c>
      <c r="G268">
        <f t="shared" si="52"/>
        <v>-1091</v>
      </c>
      <c r="H268" s="18">
        <f t="shared" si="53"/>
        <v>0</v>
      </c>
      <c r="I268" s="18">
        <f t="shared" si="54"/>
        <v>0</v>
      </c>
      <c r="J268" s="18">
        <f t="shared" si="55"/>
        <v>-3.1104775481111901E-2</v>
      </c>
      <c r="K268" s="18" t="str">
        <f t="shared" si="56"/>
        <v>GM2</v>
      </c>
      <c r="L268" t="str">
        <f t="shared" si="57"/>
        <v>FEBRUARY-5-GM2</v>
      </c>
      <c r="M268">
        <f t="shared" si="58"/>
        <v>5.7912949800109192E-2</v>
      </c>
      <c r="N268">
        <f t="shared" si="59"/>
        <v>-0.28024167602584682</v>
      </c>
      <c r="O268">
        <f t="shared" si="60"/>
        <v>1504511</v>
      </c>
      <c r="P268">
        <f t="shared" si="61"/>
        <v>1532581</v>
      </c>
      <c r="Q268">
        <f t="shared" si="62"/>
        <v>1515308</v>
      </c>
      <c r="R268" s="38">
        <f t="shared" si="63"/>
        <v>7.176418118578054E-3</v>
      </c>
      <c r="S268" s="38">
        <f t="shared" si="64"/>
        <v>-1.1270529910001548E-2</v>
      </c>
    </row>
    <row r="269" spans="1:19" x14ac:dyDescent="0.25">
      <c r="A269" s="13" t="s">
        <v>42</v>
      </c>
      <c r="B269">
        <v>5</v>
      </c>
      <c r="C269" t="s">
        <v>20</v>
      </c>
      <c r="D269">
        <v>5760</v>
      </c>
      <c r="E269">
        <v>5994</v>
      </c>
      <c r="F269">
        <v>5760</v>
      </c>
      <c r="G269">
        <f t="shared" si="52"/>
        <v>-234</v>
      </c>
      <c r="H269" s="18">
        <f t="shared" si="53"/>
        <v>0</v>
      </c>
      <c r="I269" s="18">
        <f t="shared" si="54"/>
        <v>0</v>
      </c>
      <c r="J269" s="18">
        <f t="shared" si="55"/>
        <v>-3.9039039039039047E-2</v>
      </c>
      <c r="K269" s="18" t="str">
        <f t="shared" si="56"/>
        <v>GM2</v>
      </c>
      <c r="L269" t="str">
        <f t="shared" si="57"/>
        <v>FEBRUARY-5-GM2</v>
      </c>
      <c r="M269">
        <f t="shared" si="58"/>
        <v>5.7912949800109192E-2</v>
      </c>
      <c r="N269">
        <f t="shared" si="59"/>
        <v>-0.28024167602584682</v>
      </c>
      <c r="O269">
        <f t="shared" si="60"/>
        <v>1504511</v>
      </c>
      <c r="P269">
        <f t="shared" si="61"/>
        <v>1532581</v>
      </c>
      <c r="Q269">
        <f t="shared" si="62"/>
        <v>1515308</v>
      </c>
      <c r="R269" s="38">
        <f t="shared" si="63"/>
        <v>7.176418118578054E-3</v>
      </c>
      <c r="S269" s="38">
        <f t="shared" si="64"/>
        <v>-1.1270529910001548E-2</v>
      </c>
    </row>
    <row r="270" spans="1:19" x14ac:dyDescent="0.25">
      <c r="A270" s="13" t="s">
        <v>42</v>
      </c>
      <c r="B270">
        <v>5</v>
      </c>
      <c r="C270" t="s">
        <v>19</v>
      </c>
      <c r="D270">
        <v>66312</v>
      </c>
      <c r="E270">
        <v>68303</v>
      </c>
      <c r="F270">
        <v>68187</v>
      </c>
      <c r="G270">
        <f t="shared" si="52"/>
        <v>-116</v>
      </c>
      <c r="H270" s="18">
        <f t="shared" si="53"/>
        <v>1875</v>
      </c>
      <c r="I270" s="18">
        <f t="shared" si="54"/>
        <v>2.8275425262396015E-2</v>
      </c>
      <c r="J270" s="18">
        <f t="shared" si="55"/>
        <v>-1.6983148617191191E-3</v>
      </c>
      <c r="K270" s="18" t="str">
        <f t="shared" si="56"/>
        <v>KALIBENDA</v>
      </c>
      <c r="L270" t="str">
        <f t="shared" si="57"/>
        <v>FEBRUARY-5-KALIBENDA</v>
      </c>
      <c r="M270">
        <f t="shared" si="58"/>
        <v>0.11709997449956644</v>
      </c>
      <c r="N270">
        <f t="shared" si="59"/>
        <v>-1.1587744693673074E-2</v>
      </c>
      <c r="O270">
        <f t="shared" si="60"/>
        <v>1504511</v>
      </c>
      <c r="P270">
        <f t="shared" si="61"/>
        <v>1532581</v>
      </c>
      <c r="Q270">
        <f t="shared" si="62"/>
        <v>1515308</v>
      </c>
      <c r="R270" s="38">
        <f t="shared" si="63"/>
        <v>7.176418118578054E-3</v>
      </c>
      <c r="S270" s="38">
        <f t="shared" si="64"/>
        <v>-1.1270529910001548E-2</v>
      </c>
    </row>
    <row r="271" spans="1:19" x14ac:dyDescent="0.25">
      <c r="A271" s="13" t="s">
        <v>42</v>
      </c>
      <c r="B271">
        <v>5</v>
      </c>
      <c r="C271" t="s">
        <v>19</v>
      </c>
      <c r="D271">
        <v>2700</v>
      </c>
      <c r="E271">
        <v>2781</v>
      </c>
      <c r="F271">
        <v>2781</v>
      </c>
      <c r="G271">
        <f t="shared" si="52"/>
        <v>0</v>
      </c>
      <c r="H271" s="18">
        <f t="shared" si="53"/>
        <v>81</v>
      </c>
      <c r="I271" s="18">
        <f t="shared" si="54"/>
        <v>3.0000000000000027E-2</v>
      </c>
      <c r="J271" s="18">
        <f t="shared" si="55"/>
        <v>0</v>
      </c>
      <c r="K271" s="18" t="str">
        <f t="shared" si="56"/>
        <v>KALIBENDA</v>
      </c>
      <c r="L271" t="str">
        <f t="shared" si="57"/>
        <v>FEBRUARY-5-KALIBENDA</v>
      </c>
      <c r="M271">
        <f t="shared" si="58"/>
        <v>0.11709997449956644</v>
      </c>
      <c r="N271">
        <f t="shared" si="59"/>
        <v>-1.1587744693673074E-2</v>
      </c>
      <c r="O271">
        <f t="shared" si="60"/>
        <v>1504511</v>
      </c>
      <c r="P271">
        <f t="shared" si="61"/>
        <v>1532581</v>
      </c>
      <c r="Q271">
        <f t="shared" si="62"/>
        <v>1515308</v>
      </c>
      <c r="R271" s="38">
        <f t="shared" si="63"/>
        <v>7.176418118578054E-3</v>
      </c>
      <c r="S271" s="38">
        <f t="shared" si="64"/>
        <v>-1.1270529910001548E-2</v>
      </c>
    </row>
    <row r="272" spans="1:19" x14ac:dyDescent="0.25">
      <c r="A272" s="13" t="s">
        <v>42</v>
      </c>
      <c r="B272">
        <v>5</v>
      </c>
      <c r="C272" t="s">
        <v>20</v>
      </c>
      <c r="D272">
        <v>17280</v>
      </c>
      <c r="E272">
        <v>17803</v>
      </c>
      <c r="F272">
        <v>17280</v>
      </c>
      <c r="G272">
        <f t="shared" si="52"/>
        <v>-523</v>
      </c>
      <c r="H272" s="18">
        <f t="shared" si="53"/>
        <v>0</v>
      </c>
      <c r="I272" s="18">
        <f t="shared" si="54"/>
        <v>0</v>
      </c>
      <c r="J272" s="18">
        <f t="shared" si="55"/>
        <v>-2.9377071280121347E-2</v>
      </c>
      <c r="K272" s="18" t="str">
        <f t="shared" si="56"/>
        <v>GM2</v>
      </c>
      <c r="L272" t="str">
        <f t="shared" si="57"/>
        <v>FEBRUARY-5-GM2</v>
      </c>
      <c r="M272">
        <f t="shared" si="58"/>
        <v>5.7912949800109192E-2</v>
      </c>
      <c r="N272">
        <f t="shared" si="59"/>
        <v>-0.28024167602584682</v>
      </c>
      <c r="O272">
        <f t="shared" si="60"/>
        <v>1504511</v>
      </c>
      <c r="P272">
        <f t="shared" si="61"/>
        <v>1532581</v>
      </c>
      <c r="Q272">
        <f t="shared" si="62"/>
        <v>1515308</v>
      </c>
      <c r="R272" s="38">
        <f t="shared" si="63"/>
        <v>7.176418118578054E-3</v>
      </c>
      <c r="S272" s="38">
        <f t="shared" si="64"/>
        <v>-1.1270529910001548E-2</v>
      </c>
    </row>
    <row r="273" spans="1:19" x14ac:dyDescent="0.25">
      <c r="A273" s="13" t="s">
        <v>42</v>
      </c>
      <c r="B273">
        <v>5</v>
      </c>
      <c r="C273" t="s">
        <v>20</v>
      </c>
      <c r="D273">
        <v>1080</v>
      </c>
      <c r="E273">
        <v>1119</v>
      </c>
      <c r="F273">
        <v>1113</v>
      </c>
      <c r="G273">
        <f t="shared" si="52"/>
        <v>-6</v>
      </c>
      <c r="H273" s="18">
        <f t="shared" si="53"/>
        <v>33</v>
      </c>
      <c r="I273" s="18">
        <f t="shared" si="54"/>
        <v>3.0555555555555447E-2</v>
      </c>
      <c r="J273" s="18">
        <f t="shared" si="55"/>
        <v>-5.3619302949061698E-3</v>
      </c>
      <c r="K273" s="18" t="str">
        <f t="shared" si="56"/>
        <v>GM2</v>
      </c>
      <c r="L273" t="str">
        <f t="shared" si="57"/>
        <v>FEBRUARY-5-GM2</v>
      </c>
      <c r="M273">
        <f t="shared" si="58"/>
        <v>5.7912949800109192E-2</v>
      </c>
      <c r="N273">
        <f t="shared" si="59"/>
        <v>-0.28024167602584682</v>
      </c>
      <c r="O273">
        <f t="shared" si="60"/>
        <v>1504511</v>
      </c>
      <c r="P273">
        <f t="shared" si="61"/>
        <v>1532581</v>
      </c>
      <c r="Q273">
        <f t="shared" si="62"/>
        <v>1515308</v>
      </c>
      <c r="R273" s="38">
        <f t="shared" si="63"/>
        <v>7.176418118578054E-3</v>
      </c>
      <c r="S273" s="38">
        <f t="shared" si="64"/>
        <v>-1.1270529910001548E-2</v>
      </c>
    </row>
    <row r="274" spans="1:19" x14ac:dyDescent="0.25">
      <c r="A274" s="13" t="s">
        <v>42</v>
      </c>
      <c r="B274">
        <v>5</v>
      </c>
      <c r="C274" t="s">
        <v>20</v>
      </c>
      <c r="D274">
        <v>8964</v>
      </c>
      <c r="E274">
        <v>9240</v>
      </c>
      <c r="F274">
        <v>8964</v>
      </c>
      <c r="G274">
        <f t="shared" si="52"/>
        <v>-276</v>
      </c>
      <c r="H274" s="18">
        <f t="shared" si="53"/>
        <v>0</v>
      </c>
      <c r="I274" s="18">
        <f t="shared" si="54"/>
        <v>0</v>
      </c>
      <c r="J274" s="18">
        <f t="shared" si="55"/>
        <v>-2.9870129870129825E-2</v>
      </c>
      <c r="K274" s="18" t="str">
        <f t="shared" si="56"/>
        <v>GM2</v>
      </c>
      <c r="L274" t="str">
        <f t="shared" si="57"/>
        <v>FEBRUARY-5-GM2</v>
      </c>
      <c r="M274">
        <f t="shared" si="58"/>
        <v>5.7912949800109192E-2</v>
      </c>
      <c r="N274">
        <f t="shared" si="59"/>
        <v>-0.28024167602584682</v>
      </c>
      <c r="O274">
        <f t="shared" si="60"/>
        <v>1504511</v>
      </c>
      <c r="P274">
        <f t="shared" si="61"/>
        <v>1532581</v>
      </c>
      <c r="Q274">
        <f t="shared" si="62"/>
        <v>1515308</v>
      </c>
      <c r="R274" s="38">
        <f t="shared" si="63"/>
        <v>7.176418118578054E-3</v>
      </c>
      <c r="S274" s="38">
        <f t="shared" si="64"/>
        <v>-1.1270529910001548E-2</v>
      </c>
    </row>
    <row r="275" spans="1:19" x14ac:dyDescent="0.25">
      <c r="A275" s="13" t="s">
        <v>42</v>
      </c>
      <c r="B275">
        <v>5</v>
      </c>
      <c r="C275" t="s">
        <v>20</v>
      </c>
      <c r="D275">
        <v>6048</v>
      </c>
      <c r="E275">
        <v>6243</v>
      </c>
      <c r="F275">
        <v>6048</v>
      </c>
      <c r="G275">
        <f t="shared" si="52"/>
        <v>-195</v>
      </c>
      <c r="H275" s="18">
        <f t="shared" si="53"/>
        <v>0</v>
      </c>
      <c r="I275" s="18">
        <f t="shared" si="54"/>
        <v>0</v>
      </c>
      <c r="J275" s="18">
        <f t="shared" si="55"/>
        <v>-3.1234983181162912E-2</v>
      </c>
      <c r="K275" s="18" t="str">
        <f t="shared" si="56"/>
        <v>GM2</v>
      </c>
      <c r="L275" t="str">
        <f t="shared" si="57"/>
        <v>FEBRUARY-5-GM2</v>
      </c>
      <c r="M275">
        <f t="shared" si="58"/>
        <v>5.7912949800109192E-2</v>
      </c>
      <c r="N275">
        <f t="shared" si="59"/>
        <v>-0.28024167602584682</v>
      </c>
      <c r="O275">
        <f t="shared" si="60"/>
        <v>1504511</v>
      </c>
      <c r="P275">
        <f t="shared" si="61"/>
        <v>1532581</v>
      </c>
      <c r="Q275">
        <f t="shared" si="62"/>
        <v>1515308</v>
      </c>
      <c r="R275" s="38">
        <f t="shared" si="63"/>
        <v>7.176418118578054E-3</v>
      </c>
      <c r="S275" s="38">
        <f t="shared" si="64"/>
        <v>-1.1270529910001548E-2</v>
      </c>
    </row>
    <row r="276" spans="1:19" x14ac:dyDescent="0.25">
      <c r="A276" s="13" t="s">
        <v>42</v>
      </c>
      <c r="B276">
        <v>5</v>
      </c>
      <c r="C276" t="s">
        <v>20</v>
      </c>
      <c r="D276">
        <v>1080</v>
      </c>
      <c r="E276">
        <v>1116</v>
      </c>
      <c r="F276">
        <v>1107</v>
      </c>
      <c r="G276">
        <f t="shared" si="52"/>
        <v>-9</v>
      </c>
      <c r="H276" s="18">
        <f t="shared" si="53"/>
        <v>27</v>
      </c>
      <c r="I276" s="18">
        <f t="shared" si="54"/>
        <v>2.4999999999999911E-2</v>
      </c>
      <c r="J276" s="18">
        <f t="shared" si="55"/>
        <v>-8.0645161290322509E-3</v>
      </c>
      <c r="K276" s="18" t="str">
        <f t="shared" si="56"/>
        <v>GM2</v>
      </c>
      <c r="L276" t="str">
        <f t="shared" si="57"/>
        <v>FEBRUARY-5-GM2</v>
      </c>
      <c r="M276">
        <f t="shared" si="58"/>
        <v>5.7912949800109192E-2</v>
      </c>
      <c r="N276">
        <f t="shared" si="59"/>
        <v>-0.28024167602584682</v>
      </c>
      <c r="O276">
        <f t="shared" si="60"/>
        <v>1504511</v>
      </c>
      <c r="P276">
        <f t="shared" si="61"/>
        <v>1532581</v>
      </c>
      <c r="Q276">
        <f t="shared" si="62"/>
        <v>1515308</v>
      </c>
      <c r="R276" s="38">
        <f t="shared" si="63"/>
        <v>7.176418118578054E-3</v>
      </c>
      <c r="S276" s="38">
        <f t="shared" si="64"/>
        <v>-1.1270529910001548E-2</v>
      </c>
    </row>
    <row r="277" spans="1:19" x14ac:dyDescent="0.25">
      <c r="A277" s="13" t="s">
        <v>42</v>
      </c>
      <c r="B277">
        <v>5</v>
      </c>
      <c r="C277" t="s">
        <v>20</v>
      </c>
      <c r="D277">
        <v>39852</v>
      </c>
      <c r="E277">
        <v>40699</v>
      </c>
      <c r="F277">
        <v>40494</v>
      </c>
      <c r="G277">
        <f t="shared" si="52"/>
        <v>-205</v>
      </c>
      <c r="H277" s="18">
        <f t="shared" si="53"/>
        <v>642</v>
      </c>
      <c r="I277" s="18">
        <f t="shared" si="54"/>
        <v>1.6109605540499894E-2</v>
      </c>
      <c r="J277" s="18">
        <f t="shared" si="55"/>
        <v>-5.0369787955477641E-3</v>
      </c>
      <c r="K277" s="18" t="str">
        <f t="shared" si="56"/>
        <v>GM2</v>
      </c>
      <c r="L277" t="str">
        <f t="shared" si="57"/>
        <v>FEBRUARY-5-GM2</v>
      </c>
      <c r="M277">
        <f t="shared" si="58"/>
        <v>5.7912949800109192E-2</v>
      </c>
      <c r="N277">
        <f t="shared" si="59"/>
        <v>-0.28024167602584682</v>
      </c>
      <c r="O277">
        <f t="shared" si="60"/>
        <v>1504511</v>
      </c>
      <c r="P277">
        <f t="shared" si="61"/>
        <v>1532581</v>
      </c>
      <c r="Q277">
        <f t="shared" si="62"/>
        <v>1515308</v>
      </c>
      <c r="R277" s="38">
        <f t="shared" si="63"/>
        <v>7.176418118578054E-3</v>
      </c>
      <c r="S277" s="38">
        <f t="shared" si="64"/>
        <v>-1.1270529910001548E-2</v>
      </c>
    </row>
    <row r="278" spans="1:19" x14ac:dyDescent="0.25">
      <c r="A278" s="13" t="s">
        <v>42</v>
      </c>
      <c r="B278">
        <v>5</v>
      </c>
      <c r="C278" t="s">
        <v>20</v>
      </c>
      <c r="D278">
        <v>44388</v>
      </c>
      <c r="E278">
        <v>44874</v>
      </c>
      <c r="F278">
        <v>44040</v>
      </c>
      <c r="G278">
        <f t="shared" si="52"/>
        <v>-834</v>
      </c>
      <c r="H278" s="18">
        <f t="shared" si="53"/>
        <v>-348</v>
      </c>
      <c r="I278" s="18">
        <f t="shared" si="54"/>
        <v>-7.8399567450662122E-3</v>
      </c>
      <c r="J278" s="18">
        <f t="shared" si="55"/>
        <v>-1.858537237598612E-2</v>
      </c>
      <c r="K278" s="18" t="str">
        <f t="shared" si="56"/>
        <v>GM2</v>
      </c>
      <c r="L278" t="str">
        <f t="shared" si="57"/>
        <v>FEBRUARY-5-GM2</v>
      </c>
      <c r="M278">
        <f t="shared" si="58"/>
        <v>5.7912949800109192E-2</v>
      </c>
      <c r="N278">
        <f t="shared" si="59"/>
        <v>-0.28024167602584682</v>
      </c>
      <c r="O278">
        <f t="shared" si="60"/>
        <v>1504511</v>
      </c>
      <c r="P278">
        <f t="shared" si="61"/>
        <v>1532581</v>
      </c>
      <c r="Q278">
        <f t="shared" si="62"/>
        <v>1515308</v>
      </c>
      <c r="R278" s="38">
        <f t="shared" si="63"/>
        <v>7.176418118578054E-3</v>
      </c>
      <c r="S278" s="38">
        <f t="shared" si="64"/>
        <v>-1.1270529910001548E-2</v>
      </c>
    </row>
  </sheetData>
  <phoneticPr fontId="1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1"/>
  <sheetViews>
    <sheetView tabSelected="1" zoomScale="85" zoomScaleNormal="85" workbookViewId="0">
      <pane xSplit="1" ySplit="4" topLeftCell="AD5" activePane="bottomRight" state="frozen"/>
      <selection pane="topRight" activeCell="B1" sqref="B1"/>
      <selection pane="bottomLeft" activeCell="A4" sqref="A4"/>
      <selection pane="bottomRight" activeCell="DZ21" sqref="DZ21"/>
    </sheetView>
  </sheetViews>
  <sheetFormatPr defaultRowHeight="16.5" x14ac:dyDescent="0.3"/>
  <cols>
    <col min="1" max="1" width="25" style="22" customWidth="1"/>
    <col min="2" max="11" width="11.5703125" style="21" customWidth="1"/>
    <col min="12" max="12" width="0.28515625" style="24" customWidth="1"/>
    <col min="13" max="22" width="11.5703125" style="21" customWidth="1"/>
    <col min="23" max="23" width="0.28515625" style="24" customWidth="1"/>
    <col min="24" max="33" width="11.5703125" style="21" customWidth="1"/>
    <col min="34" max="34" width="0.28515625" style="24" customWidth="1"/>
    <col min="35" max="44" width="11.5703125" style="21" customWidth="1"/>
    <col min="45" max="45" width="0.28515625" style="24" customWidth="1"/>
    <col min="46" max="55" width="11.5703125" style="21" customWidth="1"/>
    <col min="56" max="56" width="0.28515625" style="24" customWidth="1"/>
    <col min="57" max="66" width="11.5703125" style="21" customWidth="1"/>
    <col min="67" max="67" width="0.28515625" style="24" customWidth="1"/>
    <col min="68" max="77" width="11.5703125" style="21" customWidth="1"/>
    <col min="78" max="78" width="0.28515625" style="24" customWidth="1"/>
    <col min="79" max="88" width="11.5703125" style="21" customWidth="1"/>
    <col min="89" max="89" width="0.28515625" style="24" customWidth="1"/>
    <col min="90" max="99" width="11.5703125" style="21" customWidth="1"/>
    <col min="100" max="100" width="0.28515625" style="24" customWidth="1"/>
    <col min="101" max="110" width="11.5703125" style="21" customWidth="1"/>
    <col min="111" max="111" width="0.28515625" style="24" customWidth="1"/>
    <col min="112" max="121" width="11.5703125" style="21" customWidth="1"/>
    <col min="122" max="122" width="0.28515625" style="24" customWidth="1"/>
    <col min="123" max="132" width="11.5703125" style="21" customWidth="1"/>
    <col min="133" max="133" width="0.28515625" style="24" customWidth="1"/>
    <col min="134" max="16384" width="9.140625" style="82"/>
  </cols>
  <sheetData>
    <row r="1" spans="1:133" s="81" customFormat="1" ht="36.950000000000003" customHeight="1" x14ac:dyDescent="0.25">
      <c r="A1" s="36" t="s">
        <v>56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</row>
    <row r="2" spans="1:133" ht="18" x14ac:dyDescent="0.3">
      <c r="A2" s="74" t="s">
        <v>67</v>
      </c>
      <c r="B2" s="71" t="s">
        <v>44</v>
      </c>
      <c r="C2" s="72"/>
      <c r="D2" s="72"/>
      <c r="E2" s="72"/>
      <c r="F2" s="72"/>
      <c r="G2" s="72"/>
      <c r="H2" s="72"/>
      <c r="I2" s="72"/>
      <c r="J2" s="72"/>
      <c r="K2" s="73"/>
      <c r="L2" s="26"/>
      <c r="M2" s="71" t="s">
        <v>42</v>
      </c>
      <c r="N2" s="72"/>
      <c r="O2" s="72"/>
      <c r="P2" s="72"/>
      <c r="Q2" s="72"/>
      <c r="R2" s="72"/>
      <c r="S2" s="72"/>
      <c r="T2" s="72"/>
      <c r="U2" s="72"/>
      <c r="V2" s="73"/>
      <c r="W2" s="26"/>
      <c r="X2" s="71" t="s">
        <v>45</v>
      </c>
      <c r="Y2" s="72"/>
      <c r="Z2" s="72"/>
      <c r="AA2" s="72"/>
      <c r="AB2" s="72"/>
      <c r="AC2" s="72"/>
      <c r="AD2" s="72"/>
      <c r="AE2" s="72"/>
      <c r="AF2" s="72"/>
      <c r="AG2" s="73"/>
      <c r="AH2" s="26"/>
      <c r="AI2" s="71" t="s">
        <v>46</v>
      </c>
      <c r="AJ2" s="72"/>
      <c r="AK2" s="72"/>
      <c r="AL2" s="72"/>
      <c r="AM2" s="72"/>
      <c r="AN2" s="72"/>
      <c r="AO2" s="72"/>
      <c r="AP2" s="72"/>
      <c r="AQ2" s="72"/>
      <c r="AR2" s="73"/>
      <c r="AS2" s="26"/>
      <c r="AT2" s="71" t="s">
        <v>47</v>
      </c>
      <c r="AU2" s="72"/>
      <c r="AV2" s="72"/>
      <c r="AW2" s="72"/>
      <c r="AX2" s="72"/>
      <c r="AY2" s="72"/>
      <c r="AZ2" s="72"/>
      <c r="BA2" s="72"/>
      <c r="BB2" s="72"/>
      <c r="BC2" s="73"/>
      <c r="BD2" s="26"/>
      <c r="BE2" s="71" t="s">
        <v>48</v>
      </c>
      <c r="BF2" s="72"/>
      <c r="BG2" s="72"/>
      <c r="BH2" s="72"/>
      <c r="BI2" s="72"/>
      <c r="BJ2" s="72"/>
      <c r="BK2" s="72"/>
      <c r="BL2" s="72"/>
      <c r="BM2" s="72"/>
      <c r="BN2" s="73"/>
      <c r="BO2" s="26"/>
      <c r="BP2" s="71" t="s">
        <v>49</v>
      </c>
      <c r="BQ2" s="72"/>
      <c r="BR2" s="72"/>
      <c r="BS2" s="72"/>
      <c r="BT2" s="72"/>
      <c r="BU2" s="72"/>
      <c r="BV2" s="72"/>
      <c r="BW2" s="72"/>
      <c r="BX2" s="72"/>
      <c r="BY2" s="73"/>
      <c r="BZ2" s="26"/>
      <c r="CA2" s="71" t="s">
        <v>50</v>
      </c>
      <c r="CB2" s="72"/>
      <c r="CC2" s="72"/>
      <c r="CD2" s="72"/>
      <c r="CE2" s="72"/>
      <c r="CF2" s="72"/>
      <c r="CG2" s="72"/>
      <c r="CH2" s="72"/>
      <c r="CI2" s="72"/>
      <c r="CJ2" s="73"/>
      <c r="CK2" s="26"/>
      <c r="CL2" s="71" t="s">
        <v>51</v>
      </c>
      <c r="CM2" s="72"/>
      <c r="CN2" s="72"/>
      <c r="CO2" s="72"/>
      <c r="CP2" s="72"/>
      <c r="CQ2" s="72"/>
      <c r="CR2" s="72"/>
      <c r="CS2" s="72"/>
      <c r="CT2" s="72"/>
      <c r="CU2" s="73"/>
      <c r="CV2" s="26"/>
      <c r="CW2" s="71" t="s">
        <v>52</v>
      </c>
      <c r="CX2" s="72"/>
      <c r="CY2" s="72"/>
      <c r="CZ2" s="72"/>
      <c r="DA2" s="72"/>
      <c r="DB2" s="72"/>
      <c r="DC2" s="72"/>
      <c r="DD2" s="72"/>
      <c r="DE2" s="72"/>
      <c r="DF2" s="73"/>
      <c r="DG2" s="26"/>
      <c r="DH2" s="71" t="s">
        <v>53</v>
      </c>
      <c r="DI2" s="72"/>
      <c r="DJ2" s="72"/>
      <c r="DK2" s="72"/>
      <c r="DL2" s="72"/>
      <c r="DM2" s="72"/>
      <c r="DN2" s="72"/>
      <c r="DO2" s="72"/>
      <c r="DP2" s="72"/>
      <c r="DQ2" s="73"/>
      <c r="DR2" s="26"/>
      <c r="DS2" s="71" t="s">
        <v>54</v>
      </c>
      <c r="DT2" s="72"/>
      <c r="DU2" s="72"/>
      <c r="DV2" s="72"/>
      <c r="DW2" s="72"/>
      <c r="DX2" s="72"/>
      <c r="DY2" s="72"/>
      <c r="DZ2" s="72"/>
      <c r="EA2" s="72"/>
      <c r="EB2" s="73"/>
      <c r="EC2" s="26"/>
    </row>
    <row r="3" spans="1:133" ht="15.75" x14ac:dyDescent="0.3">
      <c r="A3" s="74"/>
      <c r="B3" s="69" t="s">
        <v>29</v>
      </c>
      <c r="C3" s="69"/>
      <c r="D3" s="69"/>
      <c r="E3" s="69"/>
      <c r="F3" s="69"/>
      <c r="G3" s="70" t="s">
        <v>30</v>
      </c>
      <c r="H3" s="70"/>
      <c r="I3" s="70"/>
      <c r="J3" s="70"/>
      <c r="K3" s="70"/>
      <c r="L3" s="33"/>
      <c r="M3" s="69" t="s">
        <v>29</v>
      </c>
      <c r="N3" s="69"/>
      <c r="O3" s="69"/>
      <c r="P3" s="69"/>
      <c r="Q3" s="69"/>
      <c r="R3" s="70" t="s">
        <v>30</v>
      </c>
      <c r="S3" s="70"/>
      <c r="T3" s="70"/>
      <c r="U3" s="70"/>
      <c r="V3" s="70"/>
      <c r="W3" s="33"/>
      <c r="X3" s="69" t="s">
        <v>29</v>
      </c>
      <c r="Y3" s="69"/>
      <c r="Z3" s="69"/>
      <c r="AA3" s="69"/>
      <c r="AB3" s="69"/>
      <c r="AC3" s="70" t="s">
        <v>30</v>
      </c>
      <c r="AD3" s="70"/>
      <c r="AE3" s="70"/>
      <c r="AF3" s="70"/>
      <c r="AG3" s="70"/>
      <c r="AH3" s="33"/>
      <c r="AI3" s="69" t="s">
        <v>29</v>
      </c>
      <c r="AJ3" s="69"/>
      <c r="AK3" s="69"/>
      <c r="AL3" s="69"/>
      <c r="AM3" s="69"/>
      <c r="AN3" s="70" t="s">
        <v>30</v>
      </c>
      <c r="AO3" s="70"/>
      <c r="AP3" s="70"/>
      <c r="AQ3" s="70"/>
      <c r="AR3" s="70"/>
      <c r="AS3" s="33"/>
      <c r="AT3" s="69" t="s">
        <v>29</v>
      </c>
      <c r="AU3" s="69"/>
      <c r="AV3" s="69"/>
      <c r="AW3" s="69"/>
      <c r="AX3" s="69"/>
      <c r="AY3" s="70" t="s">
        <v>30</v>
      </c>
      <c r="AZ3" s="70"/>
      <c r="BA3" s="70"/>
      <c r="BB3" s="70"/>
      <c r="BC3" s="70"/>
      <c r="BD3" s="33"/>
      <c r="BE3" s="69" t="s">
        <v>29</v>
      </c>
      <c r="BF3" s="69"/>
      <c r="BG3" s="69"/>
      <c r="BH3" s="69"/>
      <c r="BI3" s="69"/>
      <c r="BJ3" s="70" t="s">
        <v>30</v>
      </c>
      <c r="BK3" s="70"/>
      <c r="BL3" s="70"/>
      <c r="BM3" s="70"/>
      <c r="BN3" s="70"/>
      <c r="BO3" s="33"/>
      <c r="BP3" s="69" t="s">
        <v>29</v>
      </c>
      <c r="BQ3" s="69"/>
      <c r="BR3" s="69"/>
      <c r="BS3" s="69"/>
      <c r="BT3" s="69"/>
      <c r="BU3" s="70" t="s">
        <v>30</v>
      </c>
      <c r="BV3" s="70"/>
      <c r="BW3" s="70"/>
      <c r="BX3" s="70"/>
      <c r="BY3" s="70"/>
      <c r="BZ3" s="33"/>
      <c r="CA3" s="69" t="s">
        <v>29</v>
      </c>
      <c r="CB3" s="69"/>
      <c r="CC3" s="69"/>
      <c r="CD3" s="69"/>
      <c r="CE3" s="69"/>
      <c r="CF3" s="70" t="s">
        <v>30</v>
      </c>
      <c r="CG3" s="70"/>
      <c r="CH3" s="70"/>
      <c r="CI3" s="70"/>
      <c r="CJ3" s="70"/>
      <c r="CK3" s="33"/>
      <c r="CL3" s="69" t="s">
        <v>29</v>
      </c>
      <c r="CM3" s="69"/>
      <c r="CN3" s="69"/>
      <c r="CO3" s="69"/>
      <c r="CP3" s="69"/>
      <c r="CQ3" s="70" t="s">
        <v>30</v>
      </c>
      <c r="CR3" s="70"/>
      <c r="CS3" s="70"/>
      <c r="CT3" s="70"/>
      <c r="CU3" s="70"/>
      <c r="CV3" s="33"/>
      <c r="CW3" s="69" t="s">
        <v>29</v>
      </c>
      <c r="CX3" s="69"/>
      <c r="CY3" s="69"/>
      <c r="CZ3" s="69"/>
      <c r="DA3" s="69"/>
      <c r="DB3" s="70" t="s">
        <v>30</v>
      </c>
      <c r="DC3" s="70"/>
      <c r="DD3" s="70"/>
      <c r="DE3" s="70"/>
      <c r="DF3" s="70"/>
      <c r="DG3" s="33"/>
      <c r="DH3" s="69" t="s">
        <v>29</v>
      </c>
      <c r="DI3" s="69"/>
      <c r="DJ3" s="69"/>
      <c r="DK3" s="69"/>
      <c r="DL3" s="69"/>
      <c r="DM3" s="70" t="s">
        <v>30</v>
      </c>
      <c r="DN3" s="70"/>
      <c r="DO3" s="70"/>
      <c r="DP3" s="70"/>
      <c r="DQ3" s="70"/>
      <c r="DR3" s="33"/>
      <c r="DS3" s="69" t="s">
        <v>29</v>
      </c>
      <c r="DT3" s="69"/>
      <c r="DU3" s="69"/>
      <c r="DV3" s="69"/>
      <c r="DW3" s="69"/>
      <c r="DX3" s="70" t="s">
        <v>30</v>
      </c>
      <c r="DY3" s="70"/>
      <c r="DZ3" s="70"/>
      <c r="EA3" s="70"/>
      <c r="EB3" s="70"/>
      <c r="EC3" s="33"/>
    </row>
    <row r="4" spans="1:133" s="83" customFormat="1" ht="15" x14ac:dyDescent="0.35">
      <c r="A4" s="75"/>
      <c r="B4" s="39" t="s">
        <v>37</v>
      </c>
      <c r="C4" s="39" t="s">
        <v>38</v>
      </c>
      <c r="D4" s="39" t="s">
        <v>39</v>
      </c>
      <c r="E4" s="39" t="s">
        <v>40</v>
      </c>
      <c r="F4" s="39" t="s">
        <v>41</v>
      </c>
      <c r="G4" s="39" t="s">
        <v>37</v>
      </c>
      <c r="H4" s="39" t="s">
        <v>38</v>
      </c>
      <c r="I4" s="39" t="s">
        <v>39</v>
      </c>
      <c r="J4" s="39" t="s">
        <v>40</v>
      </c>
      <c r="K4" s="39" t="s">
        <v>41</v>
      </c>
      <c r="L4" s="40"/>
      <c r="M4" s="39" t="s">
        <v>37</v>
      </c>
      <c r="N4" s="39" t="s">
        <v>38</v>
      </c>
      <c r="O4" s="39" t="s">
        <v>39</v>
      </c>
      <c r="P4" s="39" t="s">
        <v>40</v>
      </c>
      <c r="Q4" s="39" t="s">
        <v>41</v>
      </c>
      <c r="R4" s="39" t="s">
        <v>37</v>
      </c>
      <c r="S4" s="39" t="s">
        <v>38</v>
      </c>
      <c r="T4" s="39" t="s">
        <v>39</v>
      </c>
      <c r="U4" s="39" t="s">
        <v>40</v>
      </c>
      <c r="V4" s="39" t="s">
        <v>41</v>
      </c>
      <c r="W4" s="40"/>
      <c r="X4" s="39" t="s">
        <v>37</v>
      </c>
      <c r="Y4" s="39" t="s">
        <v>38</v>
      </c>
      <c r="Z4" s="39" t="s">
        <v>39</v>
      </c>
      <c r="AA4" s="39" t="s">
        <v>40</v>
      </c>
      <c r="AB4" s="39" t="s">
        <v>41</v>
      </c>
      <c r="AC4" s="39" t="s">
        <v>37</v>
      </c>
      <c r="AD4" s="39" t="s">
        <v>38</v>
      </c>
      <c r="AE4" s="39" t="s">
        <v>39</v>
      </c>
      <c r="AF4" s="39" t="s">
        <v>40</v>
      </c>
      <c r="AG4" s="39" t="s">
        <v>41</v>
      </c>
      <c r="AH4" s="40"/>
      <c r="AI4" s="39" t="s">
        <v>37</v>
      </c>
      <c r="AJ4" s="39" t="s">
        <v>38</v>
      </c>
      <c r="AK4" s="39" t="s">
        <v>39</v>
      </c>
      <c r="AL4" s="39" t="s">
        <v>40</v>
      </c>
      <c r="AM4" s="39" t="s">
        <v>41</v>
      </c>
      <c r="AN4" s="39" t="s">
        <v>37</v>
      </c>
      <c r="AO4" s="39" t="s">
        <v>38</v>
      </c>
      <c r="AP4" s="39" t="s">
        <v>39</v>
      </c>
      <c r="AQ4" s="39" t="s">
        <v>40</v>
      </c>
      <c r="AR4" s="39" t="s">
        <v>41</v>
      </c>
      <c r="AS4" s="40"/>
      <c r="AT4" s="39" t="s">
        <v>37</v>
      </c>
      <c r="AU4" s="39" t="s">
        <v>38</v>
      </c>
      <c r="AV4" s="39" t="s">
        <v>39</v>
      </c>
      <c r="AW4" s="39" t="s">
        <v>40</v>
      </c>
      <c r="AX4" s="39" t="s">
        <v>41</v>
      </c>
      <c r="AY4" s="39" t="s">
        <v>37</v>
      </c>
      <c r="AZ4" s="39" t="s">
        <v>38</v>
      </c>
      <c r="BA4" s="39" t="s">
        <v>39</v>
      </c>
      <c r="BB4" s="39" t="s">
        <v>40</v>
      </c>
      <c r="BC4" s="39" t="s">
        <v>41</v>
      </c>
      <c r="BD4" s="40"/>
      <c r="BE4" s="39" t="s">
        <v>37</v>
      </c>
      <c r="BF4" s="39" t="s">
        <v>38</v>
      </c>
      <c r="BG4" s="39" t="s">
        <v>39</v>
      </c>
      <c r="BH4" s="39" t="s">
        <v>40</v>
      </c>
      <c r="BI4" s="39" t="s">
        <v>41</v>
      </c>
      <c r="BJ4" s="39" t="s">
        <v>37</v>
      </c>
      <c r="BK4" s="39" t="s">
        <v>38</v>
      </c>
      <c r="BL4" s="39" t="s">
        <v>39</v>
      </c>
      <c r="BM4" s="39" t="s">
        <v>40</v>
      </c>
      <c r="BN4" s="39" t="s">
        <v>41</v>
      </c>
      <c r="BO4" s="40"/>
      <c r="BP4" s="39" t="s">
        <v>37</v>
      </c>
      <c r="BQ4" s="39" t="s">
        <v>38</v>
      </c>
      <c r="BR4" s="39" t="s">
        <v>39</v>
      </c>
      <c r="BS4" s="39" t="s">
        <v>40</v>
      </c>
      <c r="BT4" s="39" t="s">
        <v>41</v>
      </c>
      <c r="BU4" s="39" t="s">
        <v>37</v>
      </c>
      <c r="BV4" s="39" t="s">
        <v>38</v>
      </c>
      <c r="BW4" s="39" t="s">
        <v>39</v>
      </c>
      <c r="BX4" s="39" t="s">
        <v>40</v>
      </c>
      <c r="BY4" s="39" t="s">
        <v>41</v>
      </c>
      <c r="BZ4" s="40"/>
      <c r="CA4" s="39" t="s">
        <v>37</v>
      </c>
      <c r="CB4" s="39" t="s">
        <v>38</v>
      </c>
      <c r="CC4" s="39" t="s">
        <v>39</v>
      </c>
      <c r="CD4" s="39" t="s">
        <v>40</v>
      </c>
      <c r="CE4" s="39" t="s">
        <v>41</v>
      </c>
      <c r="CF4" s="39" t="s">
        <v>37</v>
      </c>
      <c r="CG4" s="39" t="s">
        <v>38</v>
      </c>
      <c r="CH4" s="39" t="s">
        <v>39</v>
      </c>
      <c r="CI4" s="39" t="s">
        <v>40</v>
      </c>
      <c r="CJ4" s="39" t="s">
        <v>41</v>
      </c>
      <c r="CK4" s="40"/>
      <c r="CL4" s="39" t="s">
        <v>37</v>
      </c>
      <c r="CM4" s="39" t="s">
        <v>38</v>
      </c>
      <c r="CN4" s="39" t="s">
        <v>39</v>
      </c>
      <c r="CO4" s="39" t="s">
        <v>40</v>
      </c>
      <c r="CP4" s="39" t="s">
        <v>41</v>
      </c>
      <c r="CQ4" s="39" t="s">
        <v>37</v>
      </c>
      <c r="CR4" s="39" t="s">
        <v>38</v>
      </c>
      <c r="CS4" s="39" t="s">
        <v>39</v>
      </c>
      <c r="CT4" s="39" t="s">
        <v>40</v>
      </c>
      <c r="CU4" s="39" t="s">
        <v>41</v>
      </c>
      <c r="CV4" s="40"/>
      <c r="CW4" s="39" t="s">
        <v>37</v>
      </c>
      <c r="CX4" s="39" t="s">
        <v>38</v>
      </c>
      <c r="CY4" s="39" t="s">
        <v>39</v>
      </c>
      <c r="CZ4" s="39" t="s">
        <v>40</v>
      </c>
      <c r="DA4" s="39" t="s">
        <v>41</v>
      </c>
      <c r="DB4" s="39" t="s">
        <v>37</v>
      </c>
      <c r="DC4" s="39" t="s">
        <v>38</v>
      </c>
      <c r="DD4" s="39" t="s">
        <v>39</v>
      </c>
      <c r="DE4" s="39" t="s">
        <v>40</v>
      </c>
      <c r="DF4" s="39" t="s">
        <v>41</v>
      </c>
      <c r="DG4" s="40"/>
      <c r="DH4" s="39" t="s">
        <v>37</v>
      </c>
      <c r="DI4" s="39" t="s">
        <v>38</v>
      </c>
      <c r="DJ4" s="39" t="s">
        <v>39</v>
      </c>
      <c r="DK4" s="39" t="s">
        <v>40</v>
      </c>
      <c r="DL4" s="39" t="s">
        <v>41</v>
      </c>
      <c r="DM4" s="39" t="s">
        <v>37</v>
      </c>
      <c r="DN4" s="39" t="s">
        <v>38</v>
      </c>
      <c r="DO4" s="39" t="s">
        <v>39</v>
      </c>
      <c r="DP4" s="39" t="s">
        <v>40</v>
      </c>
      <c r="DQ4" s="39" t="s">
        <v>41</v>
      </c>
      <c r="DR4" s="40"/>
      <c r="DS4" s="39" t="s">
        <v>37</v>
      </c>
      <c r="DT4" s="39" t="s">
        <v>38</v>
      </c>
      <c r="DU4" s="39" t="s">
        <v>39</v>
      </c>
      <c r="DV4" s="39" t="s">
        <v>40</v>
      </c>
      <c r="DW4" s="39" t="s">
        <v>41</v>
      </c>
      <c r="DX4" s="39" t="s">
        <v>37</v>
      </c>
      <c r="DY4" s="39" t="s">
        <v>38</v>
      </c>
      <c r="DZ4" s="39" t="s">
        <v>39</v>
      </c>
      <c r="EA4" s="39" t="s">
        <v>40</v>
      </c>
      <c r="EB4" s="39" t="s">
        <v>41</v>
      </c>
      <c r="EC4" s="40"/>
    </row>
    <row r="5" spans="1:133" ht="2.1" customHeight="1" x14ac:dyDescent="0.3">
      <c r="A5" s="25"/>
      <c r="B5" s="32"/>
      <c r="C5" s="32"/>
      <c r="D5" s="32"/>
      <c r="E5" s="32"/>
      <c r="F5" s="32"/>
      <c r="G5" s="32"/>
      <c r="H5" s="32"/>
      <c r="I5" s="32"/>
      <c r="J5" s="32"/>
      <c r="K5" s="32"/>
      <c r="L5" s="23"/>
      <c r="M5" s="32"/>
      <c r="N5" s="32"/>
      <c r="O5" s="32"/>
      <c r="P5" s="32"/>
      <c r="Q5" s="32"/>
      <c r="R5" s="32"/>
      <c r="S5" s="32"/>
      <c r="T5" s="32"/>
      <c r="U5" s="32"/>
      <c r="V5" s="32"/>
      <c r="W5" s="23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23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23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23"/>
      <c r="BE5" s="32"/>
      <c r="BF5" s="32"/>
      <c r="BG5" s="32"/>
      <c r="BH5" s="32"/>
      <c r="BI5" s="32"/>
      <c r="BJ5" s="32"/>
      <c r="BK5" s="32"/>
      <c r="BL5" s="32"/>
      <c r="BM5" s="32"/>
      <c r="BN5" s="32"/>
      <c r="BO5" s="23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23"/>
      <c r="CA5" s="32"/>
      <c r="CB5" s="32"/>
      <c r="CC5" s="32"/>
      <c r="CD5" s="32"/>
      <c r="CE5" s="32"/>
      <c r="CF5" s="32"/>
      <c r="CG5" s="32"/>
      <c r="CH5" s="32"/>
      <c r="CI5" s="32"/>
      <c r="CJ5" s="32"/>
      <c r="CK5" s="23"/>
      <c r="CL5" s="32"/>
      <c r="CM5" s="32"/>
      <c r="CN5" s="32"/>
      <c r="CO5" s="32"/>
      <c r="CP5" s="32"/>
      <c r="CQ5" s="32"/>
      <c r="CR5" s="32"/>
      <c r="CS5" s="32"/>
      <c r="CT5" s="32"/>
      <c r="CU5" s="32"/>
      <c r="CV5" s="23"/>
      <c r="CW5" s="32"/>
      <c r="CX5" s="32"/>
      <c r="CY5" s="32"/>
      <c r="CZ5" s="32"/>
      <c r="DA5" s="32"/>
      <c r="DB5" s="32"/>
      <c r="DC5" s="32"/>
      <c r="DD5" s="32"/>
      <c r="DE5" s="32"/>
      <c r="DF5" s="32"/>
      <c r="DG5" s="23"/>
      <c r="DH5" s="32"/>
      <c r="DI5" s="32"/>
      <c r="DJ5" s="32"/>
      <c r="DK5" s="32"/>
      <c r="DL5" s="32"/>
      <c r="DM5" s="32"/>
      <c r="DN5" s="32"/>
      <c r="DO5" s="32"/>
      <c r="DP5" s="32"/>
      <c r="DQ5" s="32"/>
      <c r="DR5" s="23"/>
      <c r="DS5" s="32"/>
      <c r="DT5" s="32"/>
      <c r="DU5" s="32"/>
      <c r="DV5" s="32"/>
      <c r="DW5" s="32"/>
      <c r="DX5" s="32"/>
      <c r="DY5" s="32"/>
      <c r="DZ5" s="32"/>
      <c r="EA5" s="32"/>
      <c r="EB5" s="32"/>
      <c r="EC5" s="23"/>
    </row>
    <row r="6" spans="1:133" x14ac:dyDescent="0.3">
      <c r="A6" s="27" t="s">
        <v>22</v>
      </c>
      <c r="B6" s="28">
        <f>IFERROR(VLOOKUP($B$2&amp;"-"&amp; RIGHT(B$4,1)&amp;"-"&amp;$A6,CC1_UserInput!$L:$N,2,FALSE),0)</f>
        <v>0</v>
      </c>
      <c r="C6" s="28">
        <f>IFERROR(VLOOKUP($B$2&amp;"-"&amp; RIGHT(C$4,1)&amp;"-"&amp;$A6,CC1_UserInput!$L:$N,2,FALSE),0)</f>
        <v>0</v>
      </c>
      <c r="D6" s="28">
        <f>IFERROR(VLOOKUP($B$2&amp;"-"&amp; RIGHT(D$4,1)&amp;"-"&amp;$A6,CC1_UserInput!$L:$N,2,FALSE),0)</f>
        <v>-8.2981238141079161E-2</v>
      </c>
      <c r="E6" s="28">
        <f>IFERROR(VLOOKUP($B$2&amp;"-"&amp; RIGHT(E$4,1)&amp;"-"&amp;$A6,CC1_UserInput!$L:$N,2,FALSE),0)</f>
        <v>0</v>
      </c>
      <c r="F6" s="28">
        <f>IFERROR(VLOOKUP($B$2&amp;"-"&amp; RIGHT(F$4,1)&amp;"-"&amp;$A6,CC1_UserInput!$L:$N,2,FALSE),0)</f>
        <v>0</v>
      </c>
      <c r="G6" s="28">
        <f>IFERROR(VLOOKUP($B$2&amp;"-"&amp; RIGHT(G$4,1)&amp;"-"&amp;$A6,CC1_UserInput!$L:$N,3,FALSE),0)</f>
        <v>0</v>
      </c>
      <c r="H6" s="28">
        <f>IFERROR(VLOOKUP($B$2&amp;"-"&amp; RIGHT(H$4,1)&amp;"-"&amp;$A6,CC1_UserInput!$L:$N,3,FALSE),0)</f>
        <v>0</v>
      </c>
      <c r="I6" s="28">
        <f>IFERROR(VLOOKUP($B$2&amp;"-"&amp; RIGHT(I$4,1)&amp;"-"&amp;$A6,CC1_UserInput!$L:$N,3,FALSE),0)</f>
        <v>-0.18982183352462934</v>
      </c>
      <c r="J6" s="28">
        <f>IFERROR(VLOOKUP($B$2&amp;"-"&amp; RIGHT(J$4,1)&amp;"-"&amp;$A6,CC1_UserInput!$L:$N,3,FALSE),0)</f>
        <v>0</v>
      </c>
      <c r="K6" s="28">
        <f>IFERROR(VLOOKUP($B$2&amp;"-"&amp; RIGHT(K$4,1)&amp;"-"&amp;$A6,CC1_UserInput!$L:$N,3,FALSE),0)</f>
        <v>0</v>
      </c>
      <c r="L6" s="29"/>
      <c r="M6" s="28">
        <f>IFERROR(VLOOKUP($M$2&amp;"-"&amp; RIGHT(M$4,1)&amp;"-"&amp;$A6,CC1_UserInput!$L:$N,2,FALSE),0)</f>
        <v>-7.0585494505494339E-2</v>
      </c>
      <c r="N6" s="28">
        <f>IFERROR(VLOOKUP($M$2&amp;"-"&amp; RIGHT(N$4,1)&amp;"-"&amp;$A6,CC1_UserInput!$L:$N,2,FALSE),0)</f>
        <v>0</v>
      </c>
      <c r="O6" s="28">
        <f>IFERROR(VLOOKUP($M$2&amp;"-"&amp; RIGHT(O$4,1)&amp;"-"&amp;$A6,CC1_UserInput!$L:$N,2,FALSE),0)</f>
        <v>-0.35146388528138528</v>
      </c>
      <c r="P6" s="28">
        <f>IFERROR(VLOOKUP($M$2&amp;"-"&amp; RIGHT(P$4,1)&amp;"-"&amp;$A6,CC1_UserInput!$L:$N,2,FALSE),0)</f>
        <v>0</v>
      </c>
      <c r="Q6" s="28">
        <f>IFERROR(VLOOKUP($M$2&amp;"-"&amp; RIGHT(Q$4,1)&amp;"-"&amp;$A6,CC1_UserInput!$L:$N,2,FALSE),0)</f>
        <v>0</v>
      </c>
      <c r="R6" s="28">
        <f>IFERROR(VLOOKUP($M$2&amp;"-"&amp; RIGHT(R$4,1)&amp;"-"&amp;$A6,CC1_UserInput!$L:$N,3,FALSE),0)</f>
        <v>-4.9518711539469518E-2</v>
      </c>
      <c r="S6" s="28">
        <f>IFERROR(VLOOKUP($M$2&amp;"-"&amp; RIGHT(S$4,1)&amp;"-"&amp;$A6,CC1_UserInput!$L:$N,3,FALSE),0)</f>
        <v>0</v>
      </c>
      <c r="T6" s="28">
        <f>IFERROR(VLOOKUP($M$2&amp;"-"&amp; RIGHT(T$4,1)&amp;"-"&amp;$A6,CC1_UserInput!$L:$N,3,FALSE),0)</f>
        <v>-0.70051199626505078</v>
      </c>
      <c r="U6" s="28">
        <f>IFERROR(VLOOKUP($M$2&amp;"-"&amp; RIGHT(U$4,1)&amp;"-"&amp;$A6,CC1_UserInput!$L:$N,3,FALSE),0)</f>
        <v>0</v>
      </c>
      <c r="V6" s="28">
        <f>IFERROR(VLOOKUP($M$2&amp;"-"&amp; RIGHT(V$4,1)&amp;"-"&amp;$A6,CC1_UserInput!$L:$N,3,FALSE),0)</f>
        <v>0</v>
      </c>
      <c r="W6" s="29"/>
      <c r="X6" s="28">
        <f>IFERROR(VLOOKUP($X$2&amp;"-"&amp; RIGHT(X$4,1)&amp;"-"&amp;$A6,CC1_UserInput!$L:$N,2,FALSE),0)</f>
        <v>0</v>
      </c>
      <c r="Y6" s="28">
        <f>IFERROR(VLOOKUP($X$2&amp;"-"&amp; RIGHT(Y$4,1)&amp;"-"&amp;$A6,CC1_UserInput!$L:$N,2,FALSE),0)</f>
        <v>0</v>
      </c>
      <c r="Z6" s="28">
        <f>IFERROR(VLOOKUP($X$2&amp;"-"&amp; RIGHT(Z$4,1)&amp;"-"&amp;$A6,CC1_UserInput!$L:$N,2,FALSE),0)</f>
        <v>0</v>
      </c>
      <c r="AA6" s="28">
        <f>IFERROR(VLOOKUP($X$2&amp;"-"&amp; RIGHT(AA$4,1)&amp;"-"&amp;$A6,CC1_UserInput!$L:$N,2,FALSE),0)</f>
        <v>0</v>
      </c>
      <c r="AB6" s="28">
        <f>IFERROR(VLOOKUP($X$2&amp;"-"&amp; RIGHT(AB$4,1)&amp;"-"&amp;$A6,CC1_UserInput!$L:$N,2,FALSE),0)</f>
        <v>0</v>
      </c>
      <c r="AC6" s="28">
        <f>IFERROR(VLOOKUP($X$2&amp;"-"&amp; RIGHT(AC$4,1)&amp;"-"&amp;$A6,CC1_UserInput!$L:$N,3,FALSE),0)</f>
        <v>0</v>
      </c>
      <c r="AD6" s="28">
        <f>IFERROR(VLOOKUP($X$2&amp;"-"&amp; RIGHT(AD$4,1)&amp;"-"&amp;$A6,CC1_UserInput!$L:$N,3,FALSE),0)</f>
        <v>0</v>
      </c>
      <c r="AE6" s="28">
        <f>IFERROR(VLOOKUP($X$2&amp;"-"&amp; RIGHT(AE$4,1)&amp;"-"&amp;$A6,CC1_UserInput!$L:$N,3,FALSE),0)</f>
        <v>0</v>
      </c>
      <c r="AF6" s="28">
        <f>IFERROR(VLOOKUP($X$2&amp;"-"&amp; RIGHT(AF$4,1)&amp;"-"&amp;$A6,CC1_UserInput!$L:$N,3,FALSE),0)</f>
        <v>0</v>
      </c>
      <c r="AG6" s="28">
        <f>IFERROR(VLOOKUP($X$2&amp;"-"&amp; RIGHT(AG$4,1)&amp;"-"&amp;$A6,CC1_UserInput!$L:$N,3,FALSE),0)</f>
        <v>0</v>
      </c>
      <c r="AH6" s="29"/>
      <c r="AI6" s="28">
        <f>IFERROR(VLOOKUP($AI$2&amp;"-"&amp; RIGHT(AI$4,1)&amp;"-"&amp;$A6,CC1_UserInput!$L:$N,2,FALSE),0)</f>
        <v>0</v>
      </c>
      <c r="AJ6" s="28">
        <f>IFERROR(VLOOKUP($AI$2&amp;"-"&amp; RIGHT(AJ$4,1)&amp;"-"&amp;$A6,CC1_UserInput!$L:$N,2,FALSE),0)</f>
        <v>0</v>
      </c>
      <c r="AK6" s="28">
        <f>IFERROR(VLOOKUP($AI$2&amp;"-"&amp; RIGHT(AK$4,1)&amp;"-"&amp;$A6,CC1_UserInput!$L:$N,2,FALSE),0)</f>
        <v>0</v>
      </c>
      <c r="AL6" s="28">
        <f>IFERROR(VLOOKUP($AI$2&amp;"-"&amp; RIGHT(AL$4,1)&amp;"-"&amp;$A6,CC1_UserInput!$L:$N,2,FALSE),0)</f>
        <v>0</v>
      </c>
      <c r="AM6" s="28">
        <f>IFERROR(VLOOKUP($AI$2&amp;"-"&amp; RIGHT(AM$4,1)&amp;"-"&amp;$A6,CC1_UserInput!$L:$N,2,FALSE),0)</f>
        <v>0</v>
      </c>
      <c r="AN6" s="28">
        <f>IFERROR(VLOOKUP($AI$2&amp;"-"&amp; RIGHT(AN$4,1)&amp;"-"&amp;$A6,CC1_UserInput!$L:$N,3,FALSE),0)</f>
        <v>0</v>
      </c>
      <c r="AO6" s="28">
        <f>IFERROR(VLOOKUP($AI$2&amp;"-"&amp; RIGHT(AO$4,1)&amp;"-"&amp;$A6,CC1_UserInput!$L:$N,3,FALSE),0)</f>
        <v>0</v>
      </c>
      <c r="AP6" s="28">
        <f>IFERROR(VLOOKUP($AI$2&amp;"-"&amp; RIGHT(AP$4,1)&amp;"-"&amp;$A6,CC1_UserInput!$L:$N,3,FALSE),0)</f>
        <v>0</v>
      </c>
      <c r="AQ6" s="28">
        <f>IFERROR(VLOOKUP($AI$2&amp;"-"&amp; RIGHT(AQ$4,1)&amp;"-"&amp;$A6,CC1_UserInput!$L:$N,3,FALSE),0)</f>
        <v>0</v>
      </c>
      <c r="AR6" s="28">
        <f>IFERROR(VLOOKUP($AI$2&amp;"-"&amp; RIGHT(AR$4,1)&amp;"-"&amp;$A6,CC1_UserInput!$L:$N,3,FALSE),0)</f>
        <v>0</v>
      </c>
      <c r="AS6" s="28">
        <f>IFERROR(VLOOKUP($AI$2&amp;"-"&amp; RIGHT(AS$4,1)&amp;"-"&amp;$A6,CC1_UserInput!$L:$N,3,FALSE),0)</f>
        <v>0</v>
      </c>
      <c r="AT6" s="28">
        <f>IFERROR(VLOOKUP($AT$2&amp;"-"&amp; RIGHT(AT$4,1)&amp;"-"&amp;$A6,CC1_UserInput!$L:$N,2,FALSE),0)</f>
        <v>0</v>
      </c>
      <c r="AU6" s="28">
        <f>IFERROR(VLOOKUP($AT$2&amp;"-"&amp; RIGHT(AU$4,1)&amp;"-"&amp;$A6,CC1_UserInput!$L:$N,2,FALSE),0)</f>
        <v>0</v>
      </c>
      <c r="AV6" s="28">
        <f>IFERROR(VLOOKUP($AT$2&amp;"-"&amp; RIGHT(AV$4,1)&amp;"-"&amp;$A6,CC1_UserInput!$L:$N,2,FALSE),0)</f>
        <v>0</v>
      </c>
      <c r="AW6" s="28">
        <f>IFERROR(VLOOKUP($AT$2&amp;"-"&amp; RIGHT(AW$4,1)&amp;"-"&amp;$A6,CC1_UserInput!$L:$N,2,FALSE),0)</f>
        <v>0</v>
      </c>
      <c r="AX6" s="28">
        <f>IFERROR(VLOOKUP($AT$2&amp;"-"&amp; RIGHT(AX$4,1)&amp;"-"&amp;$A6,CC1_UserInput!$L:$N,2,FALSE),0)</f>
        <v>0</v>
      </c>
      <c r="AY6" s="28">
        <f>IFERROR(VLOOKUP($AT$2&amp;"-"&amp; RIGHT(AY$4,1)&amp;"-"&amp;$A6,CC1_UserInput!$L:$N,3,FALSE),0)</f>
        <v>0</v>
      </c>
      <c r="AZ6" s="28">
        <f>IFERROR(VLOOKUP($AT$2&amp;"-"&amp; RIGHT(AZ$4,1)&amp;"-"&amp;$A6,CC1_UserInput!$L:$N,3,FALSE),0)</f>
        <v>0</v>
      </c>
      <c r="BA6" s="28">
        <f>IFERROR(VLOOKUP($AT$2&amp;"-"&amp; RIGHT(BA$4,1)&amp;"-"&amp;$A6,CC1_UserInput!$L:$N,3,FALSE),0)</f>
        <v>0</v>
      </c>
      <c r="BB6" s="28">
        <f>IFERROR(VLOOKUP($AT$2&amp;"-"&amp; RIGHT(BB$4,1)&amp;"-"&amp;$A6,CC1_UserInput!$L:$N,3,FALSE),0)</f>
        <v>0</v>
      </c>
      <c r="BC6" s="28">
        <f>IFERROR(VLOOKUP($AT$2&amp;"-"&amp; RIGHT(BC$4,1)&amp;"-"&amp;$A6,CC1_UserInput!$L:$N,3,FALSE),0)</f>
        <v>0</v>
      </c>
      <c r="BD6" s="29"/>
      <c r="BE6" s="28">
        <f>IFERROR(VLOOKUP($BE$2&amp;"-"&amp; RIGHT(BE$4,1)&amp;"-"&amp;$A6,CC1_UserInput!$L:$N,2,FALSE),0)</f>
        <v>0</v>
      </c>
      <c r="BF6" s="28">
        <f>IFERROR(VLOOKUP($BE$2&amp;"-"&amp; RIGHT(BF$4,1)&amp;"-"&amp;$A6,CC1_UserInput!$L:$N,2,FALSE),0)</f>
        <v>0</v>
      </c>
      <c r="BG6" s="28">
        <f>IFERROR(VLOOKUP($BE$2&amp;"-"&amp; RIGHT(BG$4,1)&amp;"-"&amp;$A6,CC1_UserInput!$L:$N,2,FALSE),0)</f>
        <v>0</v>
      </c>
      <c r="BH6" s="28">
        <f>IFERROR(VLOOKUP($BE$2&amp;"-"&amp; RIGHT(BH$4,1)&amp;"-"&amp;$A6,CC1_UserInput!$L:$N,2,FALSE),0)</f>
        <v>0</v>
      </c>
      <c r="BI6" s="28">
        <f>IFERROR(VLOOKUP($BE$2&amp;"-"&amp; RIGHT(BI$4,1)&amp;"-"&amp;$A6,CC1_UserInput!$L:$N,2,FALSE),0)</f>
        <v>0</v>
      </c>
      <c r="BJ6" s="28">
        <f>IFERROR(VLOOKUP($BE$2&amp;"-"&amp; RIGHT(BJ$4,1)&amp;"-"&amp;$A6,CC1_UserInput!$L:$N,3,FALSE),0)</f>
        <v>0</v>
      </c>
      <c r="BK6" s="28">
        <f>IFERROR(VLOOKUP($BE$2&amp;"-"&amp; RIGHT(BK$4,1)&amp;"-"&amp;$A6,CC1_UserInput!$L:$N,3,FALSE),0)</f>
        <v>0</v>
      </c>
      <c r="BL6" s="28">
        <f>IFERROR(VLOOKUP($BE$2&amp;"-"&amp; RIGHT(BL$4,1)&amp;"-"&amp;$A6,CC1_UserInput!$L:$N,3,FALSE),0)</f>
        <v>0</v>
      </c>
      <c r="BM6" s="28">
        <f>IFERROR(VLOOKUP($BE$2&amp;"-"&amp; RIGHT(BM$4,1)&amp;"-"&amp;$A6,CC1_UserInput!$L:$N,3,FALSE),0)</f>
        <v>0</v>
      </c>
      <c r="BN6" s="28">
        <f>IFERROR(VLOOKUP($BE$2&amp;"-"&amp; RIGHT(BN$4,1)&amp;"-"&amp;$A6,CC1_UserInput!$L:$N,3,FALSE),0)</f>
        <v>0</v>
      </c>
      <c r="BO6" s="29"/>
      <c r="BP6" s="28">
        <f>IFERROR(VLOOKUP($BP$2&amp;"-"&amp; RIGHT(BP$4,1)&amp;"-"&amp;$A6,CC1_UserInput!$L:$N,2,FALSE),0)</f>
        <v>0</v>
      </c>
      <c r="BQ6" s="28">
        <f>IFERROR(VLOOKUP($BP$2&amp;"-"&amp; RIGHT(BQ$4,1)&amp;"-"&amp;$A6,CC1_UserInput!$L:$N,2,FALSE),0)</f>
        <v>0</v>
      </c>
      <c r="BR6" s="28">
        <f>IFERROR(VLOOKUP($BP$2&amp;"-"&amp; RIGHT(BR$4,1)&amp;"-"&amp;$A6,CC1_UserInput!$L:$N,2,FALSE),0)</f>
        <v>0</v>
      </c>
      <c r="BS6" s="28">
        <f>IFERROR(VLOOKUP($BP$2&amp;"-"&amp; RIGHT(BS$4,1)&amp;"-"&amp;$A6,CC1_UserInput!$L:$N,2,FALSE),0)</f>
        <v>0</v>
      </c>
      <c r="BT6" s="28">
        <f>IFERROR(VLOOKUP($BP$2&amp;"-"&amp; RIGHT(BT$4,1)&amp;"-"&amp;$A6,CC1_UserInput!$L:$N,2,FALSE),0)</f>
        <v>0</v>
      </c>
      <c r="BU6" s="28">
        <f>IFERROR(VLOOKUP($BP$2&amp;"-"&amp; RIGHT(BU$4,1)&amp;"-"&amp;$A6,CC1_UserInput!$L:$N,3,FALSE),0)</f>
        <v>0</v>
      </c>
      <c r="BV6" s="28">
        <f>IFERROR(VLOOKUP($BP$2&amp;"-"&amp; RIGHT(BV$4,1)&amp;"-"&amp;$A6,CC1_UserInput!$L:$N,3,FALSE),0)</f>
        <v>0</v>
      </c>
      <c r="BW6" s="28">
        <f>IFERROR(VLOOKUP($BP$2&amp;"-"&amp; RIGHT(BW$4,1)&amp;"-"&amp;$A6,CC1_UserInput!$L:$N,3,FALSE),0)</f>
        <v>0</v>
      </c>
      <c r="BX6" s="28">
        <f>IFERROR(VLOOKUP($BP$2&amp;"-"&amp; RIGHT(BX$4,1)&amp;"-"&amp;$A6,CC1_UserInput!$L:$N,3,FALSE),0)</f>
        <v>0</v>
      </c>
      <c r="BY6" s="28">
        <f>IFERROR(VLOOKUP($BP$2&amp;"-"&amp; RIGHT(BY$4,1)&amp;"-"&amp;$A6,CC1_UserInput!$L:$N,3,FALSE),0)</f>
        <v>0</v>
      </c>
      <c r="BZ6" s="29"/>
      <c r="CA6" s="28">
        <f>IFERROR(VLOOKUP($CA$2&amp;"-"&amp; RIGHT(CA$4,1)&amp;"-"&amp;$A6,CC1_UserInput!$L:$N,2,FALSE),0)</f>
        <v>0</v>
      </c>
      <c r="CB6" s="28">
        <f>IFERROR(VLOOKUP($CA$2&amp;"-"&amp; RIGHT(CB$4,1)&amp;"-"&amp;$A6,CC1_UserInput!$L:$N,2,FALSE),0)</f>
        <v>0</v>
      </c>
      <c r="CC6" s="28">
        <f>IFERROR(VLOOKUP($CA$2&amp;"-"&amp; RIGHT(CC$4,1)&amp;"-"&amp;$A6,CC1_UserInput!$L:$N,2,FALSE),0)</f>
        <v>0</v>
      </c>
      <c r="CD6" s="28">
        <f>IFERROR(VLOOKUP($CA$2&amp;"-"&amp; RIGHT(CD$4,1)&amp;"-"&amp;$A6,CC1_UserInput!$L:$N,2,FALSE),0)</f>
        <v>0</v>
      </c>
      <c r="CE6" s="28">
        <f>IFERROR(VLOOKUP($CA$2&amp;"-"&amp; RIGHT(CE$4,1)&amp;"-"&amp;$A6,CC1_UserInput!$L:$N,2,FALSE),0)</f>
        <v>0</v>
      </c>
      <c r="CF6" s="28">
        <f>IFERROR(VLOOKUP($CA$2&amp;"-"&amp; RIGHT(CF$4,1)&amp;"-"&amp;$A6,CC1_UserInput!$L:$N,3,FALSE),0)</f>
        <v>0</v>
      </c>
      <c r="CG6" s="28">
        <f>IFERROR(VLOOKUP($CA$2&amp;"-"&amp; RIGHT(CG$4,1)&amp;"-"&amp;$A6,CC1_UserInput!$L:$N,3,FALSE),0)</f>
        <v>0</v>
      </c>
      <c r="CH6" s="28">
        <f>IFERROR(VLOOKUP($CA$2&amp;"-"&amp; RIGHT(CH$4,1)&amp;"-"&amp;$A6,CC1_UserInput!$L:$N,3,FALSE),0)</f>
        <v>0</v>
      </c>
      <c r="CI6" s="28">
        <f>IFERROR(VLOOKUP($CA$2&amp;"-"&amp; RIGHT(CI$4,1)&amp;"-"&amp;$A6,CC1_UserInput!$L:$N,3,FALSE),0)</f>
        <v>0</v>
      </c>
      <c r="CJ6" s="28">
        <f>IFERROR(VLOOKUP($CA$2&amp;"-"&amp; RIGHT(CJ$4,1)&amp;"-"&amp;$A6,CC1_UserInput!$L:$N,3,FALSE),0)</f>
        <v>0</v>
      </c>
      <c r="CK6" s="29"/>
      <c r="CL6" s="28">
        <f>IFERROR(VLOOKUP($CL$2&amp;"-"&amp; RIGHT(CL$4,1)&amp;"-"&amp;$A6,CC1_UserInput!$L:$N,2,FALSE),0)</f>
        <v>0</v>
      </c>
      <c r="CM6" s="28">
        <f>IFERROR(VLOOKUP($CL$2&amp;"-"&amp; RIGHT(CM$4,1)&amp;"-"&amp;$A6,CC1_UserInput!$L:$N,2,FALSE),0)</f>
        <v>0</v>
      </c>
      <c r="CN6" s="28">
        <f>IFERROR(VLOOKUP($CL$2&amp;"-"&amp; RIGHT(CN$4,1)&amp;"-"&amp;$A6,CC1_UserInput!$L:$N,2,FALSE),0)</f>
        <v>0</v>
      </c>
      <c r="CO6" s="28">
        <f>IFERROR(VLOOKUP($CL$2&amp;"-"&amp; RIGHT(CO$4,1)&amp;"-"&amp;$A6,CC1_UserInput!$L:$N,2,FALSE),0)</f>
        <v>0</v>
      </c>
      <c r="CP6" s="28">
        <f>IFERROR(VLOOKUP($CL$2&amp;"-"&amp; RIGHT(CP$4,1)&amp;"-"&amp;$A6,CC1_UserInput!$L:$N,2,FALSE),0)</f>
        <v>0</v>
      </c>
      <c r="CQ6" s="28">
        <f>IFERROR(VLOOKUP($CL$2&amp;"-"&amp; RIGHT(CQ$4,1)&amp;"-"&amp;$A6,CC1_UserInput!$L:$N,3,FALSE),0)</f>
        <v>0</v>
      </c>
      <c r="CR6" s="28">
        <f>IFERROR(VLOOKUP($CL$2&amp;"-"&amp; RIGHT(CR$4,1)&amp;"-"&amp;$A6,CC1_UserInput!$L:$N,3,FALSE),0)</f>
        <v>0</v>
      </c>
      <c r="CS6" s="28">
        <f>IFERROR(VLOOKUP($CL$2&amp;"-"&amp; RIGHT(CS$4,1)&amp;"-"&amp;$A6,CC1_UserInput!$L:$N,3,FALSE),0)</f>
        <v>0</v>
      </c>
      <c r="CT6" s="28">
        <f>IFERROR(VLOOKUP($CL$2&amp;"-"&amp; RIGHT(CT$4,1)&amp;"-"&amp;$A6,CC1_UserInput!$L:$N,3,FALSE),0)</f>
        <v>0</v>
      </c>
      <c r="CU6" s="28">
        <f>IFERROR(VLOOKUP($CL$2&amp;"-"&amp; RIGHT(CU$4,1)&amp;"-"&amp;$A6,CC1_UserInput!$L:$N,3,FALSE),0)</f>
        <v>0</v>
      </c>
      <c r="CV6" s="29"/>
      <c r="CW6" s="28">
        <f>IFERROR(VLOOKUP($CW$2&amp;"-"&amp; RIGHT(CW$4,1)&amp;"-"&amp;$A6,CC1_UserInput!$L:$N,2,FALSE),0)</f>
        <v>0</v>
      </c>
      <c r="CX6" s="28">
        <f>IFERROR(VLOOKUP($CW$2&amp;"-"&amp; RIGHT(CX$4,1)&amp;"-"&amp;$A6,CC1_UserInput!$L:$N,2,FALSE),0)</f>
        <v>0</v>
      </c>
      <c r="CY6" s="28">
        <f>IFERROR(VLOOKUP($CW$2&amp;"-"&amp; RIGHT(CY$4,1)&amp;"-"&amp;$A6,CC1_UserInput!$L:$N,2,FALSE),0)</f>
        <v>0</v>
      </c>
      <c r="CZ6" s="28">
        <f>IFERROR(VLOOKUP($CW$2&amp;"-"&amp; RIGHT(CZ$4,1)&amp;"-"&amp;$A6,CC1_UserInput!$L:$N,2,FALSE),0)</f>
        <v>0</v>
      </c>
      <c r="DA6" s="28">
        <f>IFERROR(VLOOKUP($CW$2&amp;"-"&amp; RIGHT(DA$4,1)&amp;"-"&amp;$A6,CC1_UserInput!$L:$N,2,FALSE),0)</f>
        <v>0</v>
      </c>
      <c r="DB6" s="28">
        <f>IFERROR(VLOOKUP($CW$2&amp;"-"&amp; RIGHT(DB$4,1)&amp;"-"&amp;$A6,CC1_UserInput!$L:$N,3,FALSE),0)</f>
        <v>0</v>
      </c>
      <c r="DC6" s="28">
        <f>IFERROR(VLOOKUP($CW$2&amp;"-"&amp; RIGHT(DC$4,1)&amp;"-"&amp;$A6,CC1_UserInput!$L:$N,3,FALSE),0)</f>
        <v>0</v>
      </c>
      <c r="DD6" s="28">
        <f>IFERROR(VLOOKUP($CW$2&amp;"-"&amp; RIGHT(DD$4,1)&amp;"-"&amp;$A6,CC1_UserInput!$L:$N,3,FALSE),0)</f>
        <v>0</v>
      </c>
      <c r="DE6" s="28">
        <f>IFERROR(VLOOKUP($CW$2&amp;"-"&amp; RIGHT(DE$4,1)&amp;"-"&amp;$A6,CC1_UserInput!$L:$N,3,FALSE),0)</f>
        <v>0</v>
      </c>
      <c r="DF6" s="28">
        <f>IFERROR(VLOOKUP($CW$2&amp;"-"&amp; RIGHT(DF$4,1)&amp;"-"&amp;$A6,CC1_UserInput!$L:$N,3,FALSE),0)</f>
        <v>0</v>
      </c>
      <c r="DG6" s="29"/>
      <c r="DH6" s="28">
        <f>IFERROR(VLOOKUP($DH$2&amp;"-"&amp; RIGHT(DH$4,1)&amp;"-"&amp;$A6,CC1_UserInput!$L:$N,2,FALSE),0)</f>
        <v>0</v>
      </c>
      <c r="DI6" s="28">
        <f>IFERROR(VLOOKUP($DH$2&amp;"-"&amp; RIGHT(DI$4,1)&amp;"-"&amp;$A6,CC1_UserInput!$L:$N,2,FALSE),0)</f>
        <v>0</v>
      </c>
      <c r="DJ6" s="28">
        <f>IFERROR(VLOOKUP($DH$2&amp;"-"&amp; RIGHT(DJ$4,1)&amp;"-"&amp;$A6,CC1_UserInput!$L:$N,2,FALSE),0)</f>
        <v>0</v>
      </c>
      <c r="DK6" s="28">
        <f>IFERROR(VLOOKUP($DH$2&amp;"-"&amp; RIGHT(DK$4,1)&amp;"-"&amp;$A6,CC1_UserInput!$L:$N,2,FALSE),0)</f>
        <v>0</v>
      </c>
      <c r="DL6" s="28">
        <f>IFERROR(VLOOKUP($DH$2&amp;"-"&amp; RIGHT(DL$4,1)&amp;"-"&amp;$A6,CC1_UserInput!$L:$N,2,FALSE),0)</f>
        <v>0</v>
      </c>
      <c r="DM6" s="28">
        <f>IFERROR(VLOOKUP($DH$2&amp;"-"&amp; RIGHT(DM$4,1)&amp;"-"&amp;$A6,CC1_UserInput!$L:$N,3,FALSE),0)</f>
        <v>0</v>
      </c>
      <c r="DN6" s="28">
        <f>IFERROR(VLOOKUP($DH$2&amp;"-"&amp; RIGHT(DN$4,1)&amp;"-"&amp;$A6,CC1_UserInput!$L:$N,3,FALSE),0)</f>
        <v>0</v>
      </c>
      <c r="DO6" s="28">
        <f>IFERROR(VLOOKUP($DH$2&amp;"-"&amp; RIGHT(DO$4,1)&amp;"-"&amp;$A6,CC1_UserInput!$L:$N,3,FALSE),0)</f>
        <v>0</v>
      </c>
      <c r="DP6" s="28">
        <f>IFERROR(VLOOKUP($DH$2&amp;"-"&amp; RIGHT(DP$4,1)&amp;"-"&amp;$A6,CC1_UserInput!$L:$N,3,FALSE),0)</f>
        <v>0</v>
      </c>
      <c r="DQ6" s="28">
        <f>IFERROR(VLOOKUP($DH$2&amp;"-"&amp; RIGHT(DQ$4,1)&amp;"-"&amp;$A6,CC1_UserInput!$L:$N,3,FALSE),0)</f>
        <v>0</v>
      </c>
      <c r="DR6" s="29"/>
      <c r="DS6" s="28">
        <f>IFERROR(VLOOKUP($DS$2&amp;"-"&amp; RIGHT(DS$4,1)&amp;"-"&amp;$A6,CC1_UserInput!$L:$N,2,FALSE),0)</f>
        <v>0</v>
      </c>
      <c r="DT6" s="28">
        <f>IFERROR(VLOOKUP($DS$2&amp;"-"&amp; RIGHT(DT$4,1)&amp;"-"&amp;$A6,CC1_UserInput!$L:$N,2,FALSE),0)</f>
        <v>0</v>
      </c>
      <c r="DU6" s="28">
        <f>IFERROR(VLOOKUP($DS$2&amp;"-"&amp; RIGHT(DU$4,1)&amp;"-"&amp;$A6,CC1_UserInput!$L:$N,2,FALSE),0)</f>
        <v>0</v>
      </c>
      <c r="DV6" s="28">
        <f>IFERROR(VLOOKUP($DS$2&amp;"-"&amp; RIGHT(DV$4,1)&amp;"-"&amp;$A6,CC1_UserInput!$L:$N,2,FALSE),0)</f>
        <v>0</v>
      </c>
      <c r="DW6" s="28">
        <f>IFERROR(VLOOKUP($DS$2&amp;"-"&amp; RIGHT(DW$4,1)&amp;"-"&amp;$A6,CC1_UserInput!$L:$N,2,FALSE),0)</f>
        <v>0</v>
      </c>
      <c r="DX6" s="28">
        <f>IFERROR(VLOOKUP($DS$2&amp;"-"&amp; RIGHT(DX$4,1)&amp;"-"&amp;$A6,CC1_UserInput!$L:$N,3,FALSE),0)</f>
        <v>0</v>
      </c>
      <c r="DY6" s="28">
        <f>IFERROR(VLOOKUP($DS$2&amp;"-"&amp; RIGHT(DY$4,1)&amp;"-"&amp;$A6,CC1_UserInput!$L:$N,3,FALSE),0)</f>
        <v>0</v>
      </c>
      <c r="DZ6" s="28">
        <f>IFERROR(VLOOKUP($DS$2&amp;"-"&amp; RIGHT(DZ$4,1)&amp;"-"&amp;$A6,CC1_UserInput!$L:$N,3,FALSE),0)</f>
        <v>0</v>
      </c>
      <c r="EA6" s="28">
        <f>IFERROR(VLOOKUP($DS$2&amp;"-"&amp; RIGHT(EA$4,1)&amp;"-"&amp;$A6,CC1_UserInput!$L:$N,3,FALSE),0)</f>
        <v>0</v>
      </c>
      <c r="EB6" s="28">
        <f>IFERROR(VLOOKUP($DS$2&amp;"-"&amp; RIGHT(EB$4,1)&amp;"-"&amp;$A6,CC1_UserInput!$L:$N,3,FALSE),0)</f>
        <v>0</v>
      </c>
      <c r="EC6" s="29"/>
    </row>
    <row r="7" spans="1:133" x14ac:dyDescent="0.3">
      <c r="A7" s="30"/>
      <c r="B7" s="28"/>
      <c r="C7" s="28"/>
      <c r="D7" s="28"/>
      <c r="E7" s="28"/>
      <c r="F7" s="28"/>
      <c r="G7" s="28"/>
      <c r="H7" s="28"/>
      <c r="I7" s="28"/>
      <c r="J7" s="28"/>
      <c r="K7" s="28"/>
      <c r="L7" s="31"/>
      <c r="M7" s="28"/>
      <c r="N7" s="28"/>
      <c r="O7" s="28"/>
      <c r="P7" s="28"/>
      <c r="Q7" s="28"/>
      <c r="R7" s="28"/>
      <c r="S7" s="28"/>
      <c r="T7" s="28"/>
      <c r="U7" s="28"/>
      <c r="V7" s="28"/>
      <c r="W7" s="31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31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31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31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31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31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31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31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31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31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31"/>
    </row>
    <row r="8" spans="1:133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9"/>
      <c r="M8" s="28"/>
      <c r="N8" s="28"/>
      <c r="O8" s="28"/>
      <c r="P8" s="28"/>
      <c r="Q8" s="28"/>
      <c r="R8" s="28"/>
      <c r="S8" s="28"/>
      <c r="T8" s="28"/>
      <c r="U8" s="28"/>
      <c r="V8" s="28"/>
      <c r="W8" s="29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9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9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9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9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9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9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9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9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9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9"/>
    </row>
    <row r="9" spans="1:133" x14ac:dyDescent="0.3">
      <c r="A9" s="30"/>
      <c r="B9" s="28"/>
      <c r="C9" s="28"/>
      <c r="D9" s="28"/>
      <c r="E9" s="28"/>
      <c r="F9" s="28"/>
      <c r="G9" s="28"/>
      <c r="H9" s="28"/>
      <c r="I9" s="28"/>
      <c r="J9" s="28"/>
      <c r="K9" s="28"/>
      <c r="L9" s="31"/>
      <c r="M9" s="28"/>
      <c r="N9" s="28"/>
      <c r="O9" s="28"/>
      <c r="P9" s="28"/>
      <c r="Q9" s="28"/>
      <c r="R9" s="28"/>
      <c r="S9" s="28"/>
      <c r="T9" s="28"/>
      <c r="U9" s="28"/>
      <c r="V9" s="28"/>
      <c r="W9" s="31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31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31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31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31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31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31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31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31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31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31"/>
    </row>
    <row r="10" spans="1:133" x14ac:dyDescent="0.3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9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9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9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9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9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9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9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9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9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9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9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9"/>
    </row>
    <row r="11" spans="1:133" x14ac:dyDescent="0.3">
      <c r="A11" s="30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31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31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31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31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31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31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31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31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31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31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31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31"/>
    </row>
    <row r="12" spans="1:133" x14ac:dyDescent="0.3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9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9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9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9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9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9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9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9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9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9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9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9"/>
    </row>
    <row r="13" spans="1:133" x14ac:dyDescent="0.3">
      <c r="A13" s="30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31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31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31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31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31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31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31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31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31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31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31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31"/>
    </row>
    <row r="14" spans="1:133" x14ac:dyDescent="0.3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31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31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31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31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31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31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31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31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31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31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31"/>
    </row>
    <row r="15" spans="1:133" ht="2.1" customHeight="1" x14ac:dyDescent="0.3">
      <c r="A15" s="25"/>
      <c r="B15" s="25"/>
      <c r="C15" s="25"/>
      <c r="D15" s="25"/>
      <c r="E15" s="25"/>
      <c r="F15" s="34"/>
      <c r="G15" s="25"/>
      <c r="H15" s="25"/>
      <c r="I15" s="25"/>
      <c r="J15" s="25"/>
      <c r="K15" s="25"/>
      <c r="L15" s="23"/>
      <c r="M15" s="25"/>
      <c r="N15" s="25"/>
      <c r="O15" s="25"/>
      <c r="P15" s="25"/>
      <c r="Q15" s="34"/>
      <c r="R15" s="25"/>
      <c r="S15" s="25"/>
      <c r="T15" s="25"/>
      <c r="U15" s="25"/>
      <c r="V15" s="25"/>
      <c r="W15" s="23"/>
      <c r="X15" s="25"/>
      <c r="Y15" s="25"/>
      <c r="Z15" s="25"/>
      <c r="AA15" s="25"/>
      <c r="AB15" s="34"/>
      <c r="AC15" s="25"/>
      <c r="AD15" s="25"/>
      <c r="AE15" s="25"/>
      <c r="AF15" s="25"/>
      <c r="AG15" s="25"/>
      <c r="AH15" s="23"/>
      <c r="AI15" s="25"/>
      <c r="AJ15" s="25"/>
      <c r="AK15" s="25"/>
      <c r="AL15" s="25"/>
      <c r="AM15" s="34"/>
      <c r="AN15" s="25"/>
      <c r="AO15" s="25"/>
      <c r="AP15" s="25"/>
      <c r="AQ15" s="25"/>
      <c r="AR15" s="25"/>
      <c r="AS15" s="23"/>
      <c r="AT15" s="25"/>
      <c r="AU15" s="25"/>
      <c r="AV15" s="25"/>
      <c r="AW15" s="25"/>
      <c r="AX15" s="34"/>
      <c r="AY15" s="25"/>
      <c r="AZ15" s="25"/>
      <c r="BA15" s="25"/>
      <c r="BB15" s="25"/>
      <c r="BC15" s="25"/>
      <c r="BD15" s="23"/>
      <c r="BE15" s="25"/>
      <c r="BF15" s="25"/>
      <c r="BG15" s="25"/>
      <c r="BH15" s="25"/>
      <c r="BI15" s="34"/>
      <c r="BJ15" s="25"/>
      <c r="BK15" s="25"/>
      <c r="BL15" s="25"/>
      <c r="BM15" s="25"/>
      <c r="BN15" s="25"/>
      <c r="BO15" s="23"/>
      <c r="BP15" s="25"/>
      <c r="BQ15" s="25"/>
      <c r="BR15" s="25"/>
      <c r="BS15" s="25"/>
      <c r="BT15" s="34"/>
      <c r="BU15" s="25"/>
      <c r="BV15" s="25"/>
      <c r="BW15" s="25"/>
      <c r="BX15" s="25"/>
      <c r="BY15" s="25"/>
      <c r="BZ15" s="23"/>
      <c r="CA15" s="25"/>
      <c r="CB15" s="25"/>
      <c r="CC15" s="25"/>
      <c r="CD15" s="25"/>
      <c r="CE15" s="34"/>
      <c r="CF15" s="25"/>
      <c r="CG15" s="25"/>
      <c r="CH15" s="25"/>
      <c r="CI15" s="25"/>
      <c r="CJ15" s="25"/>
      <c r="CK15" s="23"/>
      <c r="CL15" s="25"/>
      <c r="CM15" s="25"/>
      <c r="CN15" s="25"/>
      <c r="CO15" s="25"/>
      <c r="CP15" s="34"/>
      <c r="CQ15" s="25"/>
      <c r="CR15" s="25"/>
      <c r="CS15" s="25"/>
      <c r="CT15" s="25"/>
      <c r="CU15" s="25"/>
      <c r="CV15" s="23"/>
      <c r="CW15" s="25"/>
      <c r="CX15" s="25"/>
      <c r="CY15" s="25"/>
      <c r="CZ15" s="25"/>
      <c r="DA15" s="34"/>
      <c r="DB15" s="25"/>
      <c r="DC15" s="25"/>
      <c r="DD15" s="25"/>
      <c r="DE15" s="25"/>
      <c r="DF15" s="25"/>
      <c r="DG15" s="23"/>
      <c r="DH15" s="25"/>
      <c r="DI15" s="25"/>
      <c r="DJ15" s="25"/>
      <c r="DK15" s="25"/>
      <c r="DL15" s="34"/>
      <c r="DM15" s="25"/>
      <c r="DN15" s="25"/>
      <c r="DO15" s="25"/>
      <c r="DP15" s="25"/>
      <c r="DQ15" s="25"/>
      <c r="DR15" s="23"/>
      <c r="DS15" s="25"/>
      <c r="DT15" s="25"/>
      <c r="DU15" s="25"/>
      <c r="DV15" s="25"/>
      <c r="DW15" s="34"/>
      <c r="DX15" s="25"/>
      <c r="DY15" s="25"/>
      <c r="DZ15" s="25"/>
      <c r="EA15" s="25"/>
      <c r="EB15" s="25"/>
      <c r="EC15" s="23"/>
    </row>
    <row r="16" spans="1:133" s="84" customFormat="1" ht="24.95" customHeight="1" x14ac:dyDescent="0.25">
      <c r="A16" s="47" t="s">
        <v>57</v>
      </c>
      <c r="B16" s="86">
        <f t="shared" ref="B16:K16" si="0">SUM(B6:B13)</f>
        <v>0</v>
      </c>
      <c r="C16" s="86">
        <f t="shared" si="0"/>
        <v>0</v>
      </c>
      <c r="D16" s="86">
        <f t="shared" si="0"/>
        <v>-8.2981238141079161E-2</v>
      </c>
      <c r="E16" s="86">
        <f t="shared" si="0"/>
        <v>0</v>
      </c>
      <c r="F16" s="86">
        <f t="shared" si="0"/>
        <v>0</v>
      </c>
      <c r="G16" s="85">
        <f t="shared" si="0"/>
        <v>0</v>
      </c>
      <c r="H16" s="85">
        <f t="shared" si="0"/>
        <v>0</v>
      </c>
      <c r="I16" s="85">
        <f t="shared" si="0"/>
        <v>-0.18982183352462934</v>
      </c>
      <c r="J16" s="85">
        <f t="shared" si="0"/>
        <v>0</v>
      </c>
      <c r="K16" s="85">
        <f t="shared" si="0"/>
        <v>0</v>
      </c>
      <c r="L16" s="91"/>
      <c r="M16" s="89">
        <f t="shared" ref="M16:V16" si="1">SUM(M6:M13)</f>
        <v>-7.0585494505494339E-2</v>
      </c>
      <c r="N16" s="89">
        <f t="shared" si="1"/>
        <v>0</v>
      </c>
      <c r="O16" s="89">
        <f t="shared" si="1"/>
        <v>-0.35146388528138528</v>
      </c>
      <c r="P16" s="89">
        <f t="shared" si="1"/>
        <v>0</v>
      </c>
      <c r="Q16" s="89">
        <f t="shared" si="1"/>
        <v>0</v>
      </c>
      <c r="R16" s="85">
        <f t="shared" si="1"/>
        <v>-4.9518711539469518E-2</v>
      </c>
      <c r="S16" s="85">
        <f t="shared" si="1"/>
        <v>0</v>
      </c>
      <c r="T16" s="85">
        <f t="shared" si="1"/>
        <v>-0.70051199626505078</v>
      </c>
      <c r="U16" s="85">
        <f t="shared" si="1"/>
        <v>0</v>
      </c>
      <c r="V16" s="85">
        <f t="shared" si="1"/>
        <v>0</v>
      </c>
      <c r="W16" s="91"/>
      <c r="X16" s="89">
        <f t="shared" ref="X16:AG16" si="2">SUM(X6:X13)</f>
        <v>0</v>
      </c>
      <c r="Y16" s="89">
        <f t="shared" si="2"/>
        <v>0</v>
      </c>
      <c r="Z16" s="89">
        <f t="shared" si="2"/>
        <v>0</v>
      </c>
      <c r="AA16" s="89">
        <f t="shared" si="2"/>
        <v>0</v>
      </c>
      <c r="AB16" s="89">
        <f t="shared" si="2"/>
        <v>0</v>
      </c>
      <c r="AC16" s="85">
        <f t="shared" si="2"/>
        <v>0</v>
      </c>
      <c r="AD16" s="85">
        <f t="shared" si="2"/>
        <v>0</v>
      </c>
      <c r="AE16" s="85">
        <f t="shared" si="2"/>
        <v>0</v>
      </c>
      <c r="AF16" s="85">
        <f t="shared" si="2"/>
        <v>0</v>
      </c>
      <c r="AG16" s="85">
        <f t="shared" si="2"/>
        <v>0</v>
      </c>
      <c r="AH16" s="91"/>
      <c r="AI16" s="89">
        <f t="shared" ref="AI16:AR16" si="3">SUM(AI6:AI13)</f>
        <v>0</v>
      </c>
      <c r="AJ16" s="89">
        <f t="shared" si="3"/>
        <v>0</v>
      </c>
      <c r="AK16" s="89">
        <f t="shared" si="3"/>
        <v>0</v>
      </c>
      <c r="AL16" s="89">
        <f t="shared" si="3"/>
        <v>0</v>
      </c>
      <c r="AM16" s="89">
        <f t="shared" si="3"/>
        <v>0</v>
      </c>
      <c r="AN16" s="85">
        <f t="shared" si="3"/>
        <v>0</v>
      </c>
      <c r="AO16" s="85">
        <f t="shared" si="3"/>
        <v>0</v>
      </c>
      <c r="AP16" s="85">
        <f t="shared" si="3"/>
        <v>0</v>
      </c>
      <c r="AQ16" s="85">
        <f t="shared" si="3"/>
        <v>0</v>
      </c>
      <c r="AR16" s="85">
        <f t="shared" si="3"/>
        <v>0</v>
      </c>
      <c r="AS16" s="91"/>
      <c r="AT16" s="89">
        <f t="shared" ref="AT16:BC16" si="4">SUM(AT6:AT13)</f>
        <v>0</v>
      </c>
      <c r="AU16" s="89">
        <f t="shared" si="4"/>
        <v>0</v>
      </c>
      <c r="AV16" s="89">
        <f t="shared" si="4"/>
        <v>0</v>
      </c>
      <c r="AW16" s="89">
        <f t="shared" si="4"/>
        <v>0</v>
      </c>
      <c r="AX16" s="89">
        <f t="shared" si="4"/>
        <v>0</v>
      </c>
      <c r="AY16" s="85">
        <f t="shared" si="4"/>
        <v>0</v>
      </c>
      <c r="AZ16" s="85">
        <f t="shared" si="4"/>
        <v>0</v>
      </c>
      <c r="BA16" s="85">
        <f t="shared" si="4"/>
        <v>0</v>
      </c>
      <c r="BB16" s="85">
        <f t="shared" si="4"/>
        <v>0</v>
      </c>
      <c r="BC16" s="85">
        <f t="shared" si="4"/>
        <v>0</v>
      </c>
      <c r="BD16" s="91"/>
      <c r="BE16" s="89">
        <f t="shared" ref="BE16:BN16" si="5">SUM(BE6:BE13)</f>
        <v>0</v>
      </c>
      <c r="BF16" s="89">
        <f t="shared" si="5"/>
        <v>0</v>
      </c>
      <c r="BG16" s="89">
        <f t="shared" si="5"/>
        <v>0</v>
      </c>
      <c r="BH16" s="89">
        <f t="shared" si="5"/>
        <v>0</v>
      </c>
      <c r="BI16" s="89">
        <f t="shared" si="5"/>
        <v>0</v>
      </c>
      <c r="BJ16" s="85">
        <f t="shared" si="5"/>
        <v>0</v>
      </c>
      <c r="BK16" s="85">
        <f t="shared" si="5"/>
        <v>0</v>
      </c>
      <c r="BL16" s="85">
        <f t="shared" si="5"/>
        <v>0</v>
      </c>
      <c r="BM16" s="85">
        <f t="shared" si="5"/>
        <v>0</v>
      </c>
      <c r="BN16" s="85">
        <f t="shared" si="5"/>
        <v>0</v>
      </c>
      <c r="BO16" s="91"/>
      <c r="BP16" s="89">
        <f t="shared" ref="BP16:BY16" si="6">SUM(BP6:BP13)</f>
        <v>0</v>
      </c>
      <c r="BQ16" s="89">
        <f t="shared" si="6"/>
        <v>0</v>
      </c>
      <c r="BR16" s="89">
        <f t="shared" si="6"/>
        <v>0</v>
      </c>
      <c r="BS16" s="89">
        <f t="shared" si="6"/>
        <v>0</v>
      </c>
      <c r="BT16" s="89">
        <f t="shared" si="6"/>
        <v>0</v>
      </c>
      <c r="BU16" s="85">
        <f t="shared" si="6"/>
        <v>0</v>
      </c>
      <c r="BV16" s="85">
        <f t="shared" si="6"/>
        <v>0</v>
      </c>
      <c r="BW16" s="85">
        <f t="shared" si="6"/>
        <v>0</v>
      </c>
      <c r="BX16" s="85">
        <f t="shared" si="6"/>
        <v>0</v>
      </c>
      <c r="BY16" s="85">
        <f t="shared" si="6"/>
        <v>0</v>
      </c>
      <c r="BZ16" s="91"/>
      <c r="CA16" s="89">
        <f t="shared" ref="CA16:CJ16" si="7">SUM(CA6:CA13)</f>
        <v>0</v>
      </c>
      <c r="CB16" s="89">
        <f t="shared" si="7"/>
        <v>0</v>
      </c>
      <c r="CC16" s="89">
        <f t="shared" si="7"/>
        <v>0</v>
      </c>
      <c r="CD16" s="89">
        <f t="shared" si="7"/>
        <v>0</v>
      </c>
      <c r="CE16" s="89">
        <f t="shared" si="7"/>
        <v>0</v>
      </c>
      <c r="CF16" s="85">
        <f t="shared" si="7"/>
        <v>0</v>
      </c>
      <c r="CG16" s="85">
        <f t="shared" si="7"/>
        <v>0</v>
      </c>
      <c r="CH16" s="85">
        <f t="shared" si="7"/>
        <v>0</v>
      </c>
      <c r="CI16" s="85">
        <f t="shared" si="7"/>
        <v>0</v>
      </c>
      <c r="CJ16" s="85">
        <f t="shared" si="7"/>
        <v>0</v>
      </c>
      <c r="CK16" s="91"/>
      <c r="CL16" s="89">
        <f t="shared" ref="CL16:CU16" si="8">SUM(CL6:CL13)</f>
        <v>0</v>
      </c>
      <c r="CM16" s="89">
        <f t="shared" si="8"/>
        <v>0</v>
      </c>
      <c r="CN16" s="89">
        <f t="shared" si="8"/>
        <v>0</v>
      </c>
      <c r="CO16" s="89">
        <f t="shared" si="8"/>
        <v>0</v>
      </c>
      <c r="CP16" s="89">
        <f t="shared" si="8"/>
        <v>0</v>
      </c>
      <c r="CQ16" s="85">
        <f t="shared" si="8"/>
        <v>0</v>
      </c>
      <c r="CR16" s="85">
        <f t="shared" si="8"/>
        <v>0</v>
      </c>
      <c r="CS16" s="85">
        <f t="shared" si="8"/>
        <v>0</v>
      </c>
      <c r="CT16" s="85">
        <f t="shared" si="8"/>
        <v>0</v>
      </c>
      <c r="CU16" s="85">
        <f t="shared" si="8"/>
        <v>0</v>
      </c>
      <c r="CV16" s="91"/>
      <c r="CW16" s="89">
        <f t="shared" ref="CW16:DF16" si="9">SUM(CW6:CW13)</f>
        <v>0</v>
      </c>
      <c r="CX16" s="89">
        <f t="shared" si="9"/>
        <v>0</v>
      </c>
      <c r="CY16" s="89">
        <f t="shared" si="9"/>
        <v>0</v>
      </c>
      <c r="CZ16" s="89">
        <f t="shared" si="9"/>
        <v>0</v>
      </c>
      <c r="DA16" s="89">
        <f t="shared" si="9"/>
        <v>0</v>
      </c>
      <c r="DB16" s="85">
        <f t="shared" si="9"/>
        <v>0</v>
      </c>
      <c r="DC16" s="85">
        <f t="shared" si="9"/>
        <v>0</v>
      </c>
      <c r="DD16" s="85">
        <f t="shared" si="9"/>
        <v>0</v>
      </c>
      <c r="DE16" s="85">
        <f t="shared" si="9"/>
        <v>0</v>
      </c>
      <c r="DF16" s="85">
        <f t="shared" si="9"/>
        <v>0</v>
      </c>
      <c r="DG16" s="91"/>
      <c r="DH16" s="89">
        <f t="shared" ref="DH16:DQ16" si="10">SUM(DH6:DH13)</f>
        <v>0</v>
      </c>
      <c r="DI16" s="89">
        <f t="shared" si="10"/>
        <v>0</v>
      </c>
      <c r="DJ16" s="89">
        <f t="shared" si="10"/>
        <v>0</v>
      </c>
      <c r="DK16" s="89">
        <f t="shared" si="10"/>
        <v>0</v>
      </c>
      <c r="DL16" s="89">
        <f t="shared" si="10"/>
        <v>0</v>
      </c>
      <c r="DM16" s="85">
        <f t="shared" si="10"/>
        <v>0</v>
      </c>
      <c r="DN16" s="85">
        <f t="shared" si="10"/>
        <v>0</v>
      </c>
      <c r="DO16" s="85">
        <f t="shared" si="10"/>
        <v>0</v>
      </c>
      <c r="DP16" s="85">
        <f t="shared" si="10"/>
        <v>0</v>
      </c>
      <c r="DQ16" s="85">
        <f t="shared" si="10"/>
        <v>0</v>
      </c>
      <c r="DR16" s="91"/>
      <c r="DS16" s="89">
        <f t="shared" ref="DS16:EB16" si="11">SUM(DS6:DS13)</f>
        <v>0</v>
      </c>
      <c r="DT16" s="89">
        <f t="shared" si="11"/>
        <v>0</v>
      </c>
      <c r="DU16" s="89">
        <f t="shared" si="11"/>
        <v>0</v>
      </c>
      <c r="DV16" s="89">
        <f t="shared" si="11"/>
        <v>0</v>
      </c>
      <c r="DW16" s="89">
        <f t="shared" si="11"/>
        <v>0</v>
      </c>
      <c r="DX16" s="85">
        <f t="shared" si="11"/>
        <v>0</v>
      </c>
      <c r="DY16" s="85">
        <f t="shared" si="11"/>
        <v>0</v>
      </c>
      <c r="DZ16" s="85">
        <f t="shared" si="11"/>
        <v>0</v>
      </c>
      <c r="EA16" s="85">
        <f t="shared" si="11"/>
        <v>0</v>
      </c>
      <c r="EB16" s="85">
        <f t="shared" si="11"/>
        <v>0</v>
      </c>
      <c r="EC16" s="90"/>
    </row>
    <row r="17" spans="1:133" s="84" customFormat="1" ht="24.95" customHeight="1" x14ac:dyDescent="0.25">
      <c r="A17" s="47" t="s">
        <v>58</v>
      </c>
      <c r="B17" s="87">
        <v>1</v>
      </c>
      <c r="C17" s="87"/>
      <c r="D17" s="87"/>
      <c r="E17" s="87"/>
      <c r="F17" s="87"/>
      <c r="G17" s="87">
        <f>IFERROR(VLOOKUP(B2,CC1_UserInput!$A:$S,19,FALSE),0)</f>
        <v>-9.3833673475188784E-3</v>
      </c>
      <c r="H17" s="87"/>
      <c r="I17" s="87"/>
      <c r="J17" s="87"/>
      <c r="K17" s="87"/>
      <c r="L17" s="92"/>
      <c r="M17" s="87">
        <v>-2.5999999999999999E-3</v>
      </c>
      <c r="N17" s="87"/>
      <c r="O17" s="87"/>
      <c r="P17" s="87"/>
      <c r="Q17" s="87"/>
      <c r="R17" s="87">
        <f>IFERROR(VLOOKUP(M2,CC1_UserInput!$A:$S,19,FALSE),0)</f>
        <v>-1.1270529910001548E-2</v>
      </c>
      <c r="S17" s="87"/>
      <c r="T17" s="87"/>
      <c r="U17" s="87"/>
      <c r="V17" s="87"/>
      <c r="W17" s="92"/>
      <c r="X17" s="87">
        <f>IFERROR(VLOOKUP(X2,CC1_UserInput!$A:$S,18,FALSE),0)</f>
        <v>0</v>
      </c>
      <c r="Y17" s="87"/>
      <c r="Z17" s="87"/>
      <c r="AA17" s="87"/>
      <c r="AB17" s="87"/>
      <c r="AC17" s="87">
        <f>IFERROR(VLOOKUP(X2,CC1_UserInput!$A:$S,19,FALSE),0)</f>
        <v>0</v>
      </c>
      <c r="AD17" s="87"/>
      <c r="AE17" s="87"/>
      <c r="AF17" s="87"/>
      <c r="AG17" s="87"/>
      <c r="AH17" s="92"/>
      <c r="AI17" s="87">
        <f>IFERROR(VLOOKUP(AI2,CC1_UserInput!$A:$S,18,FALSE),0)</f>
        <v>0</v>
      </c>
      <c r="AJ17" s="87"/>
      <c r="AK17" s="87"/>
      <c r="AL17" s="87"/>
      <c r="AM17" s="87"/>
      <c r="AN17" s="87">
        <f>IFERROR(VLOOKUP(AI2,CC1_UserInput!$A:$S,19,FALSE),0)</f>
        <v>0</v>
      </c>
      <c r="AO17" s="87"/>
      <c r="AP17" s="87"/>
      <c r="AQ17" s="87"/>
      <c r="AR17" s="87"/>
      <c r="AS17" s="92"/>
      <c r="AT17" s="87">
        <f>IFERROR(VLOOKUP(AT2,CC1_UserInput!$A:$S,18,FALSE),0)</f>
        <v>0</v>
      </c>
      <c r="AU17" s="87"/>
      <c r="AV17" s="87"/>
      <c r="AW17" s="87"/>
      <c r="AX17" s="87"/>
      <c r="AY17" s="87">
        <f>IFERROR(VLOOKUP(AT2,CC1_UserInput!$A:$S,19,FALSE),0)</f>
        <v>0</v>
      </c>
      <c r="AZ17" s="87"/>
      <c r="BA17" s="87"/>
      <c r="BB17" s="87"/>
      <c r="BC17" s="87"/>
      <c r="BD17" s="92"/>
      <c r="BE17" s="87">
        <f>IFERROR(VLOOKUP(BE2,CC1_UserInput!$A:$S,18,FALSE),0)</f>
        <v>0</v>
      </c>
      <c r="BF17" s="87"/>
      <c r="BG17" s="87"/>
      <c r="BH17" s="87"/>
      <c r="BI17" s="87"/>
      <c r="BJ17" s="87">
        <f>IFERROR(VLOOKUP(BE2,CC1_UserInput!$A:$S,19,FALSE),0)</f>
        <v>0</v>
      </c>
      <c r="BK17" s="87"/>
      <c r="BL17" s="87"/>
      <c r="BM17" s="87"/>
      <c r="BN17" s="87"/>
      <c r="BO17" s="92"/>
      <c r="BP17" s="87">
        <f>IFERROR(VLOOKUP(BP2,CC1_UserInput!$A:$S,18,FALSE),0)</f>
        <v>0</v>
      </c>
      <c r="BQ17" s="87"/>
      <c r="BR17" s="87"/>
      <c r="BS17" s="87"/>
      <c r="BT17" s="87"/>
      <c r="BU17" s="87">
        <f>IFERROR(VLOOKUP(BP2,CC1_UserInput!$A:$S,19,FALSE),0)</f>
        <v>0</v>
      </c>
      <c r="BV17" s="87"/>
      <c r="BW17" s="87"/>
      <c r="BX17" s="87"/>
      <c r="BY17" s="87"/>
      <c r="BZ17" s="92"/>
      <c r="CA17" s="87">
        <f>IFERROR(VLOOKUP(CA2,CC1_UserInput!$A:$S,18,FALSE),0)</f>
        <v>0</v>
      </c>
      <c r="CB17" s="87"/>
      <c r="CC17" s="87"/>
      <c r="CD17" s="87"/>
      <c r="CE17" s="87"/>
      <c r="CF17" s="87">
        <f>IFERROR(VLOOKUP(CA2,CC1_UserInput!$A:$S,19,FALSE),0)</f>
        <v>0</v>
      </c>
      <c r="CG17" s="87"/>
      <c r="CH17" s="87"/>
      <c r="CI17" s="87"/>
      <c r="CJ17" s="87"/>
      <c r="CK17" s="92"/>
      <c r="CL17" s="87">
        <f>IFERROR(VLOOKUP(CL2,CC1_UserInput!$A:$S,18,FALSE),0)</f>
        <v>0</v>
      </c>
      <c r="CM17" s="87"/>
      <c r="CN17" s="87"/>
      <c r="CO17" s="87"/>
      <c r="CP17" s="87"/>
      <c r="CQ17" s="87">
        <f>IFERROR(VLOOKUP(CL2,CC1_UserInput!$A:$S,19,FALSE),0)</f>
        <v>0</v>
      </c>
      <c r="CR17" s="87"/>
      <c r="CS17" s="87"/>
      <c r="CT17" s="87"/>
      <c r="CU17" s="87"/>
      <c r="CV17" s="92"/>
      <c r="CW17" s="87">
        <f>IFERROR(VLOOKUP(CW2,CC1_UserInput!$A:$S,18,FALSE),0)</f>
        <v>0</v>
      </c>
      <c r="CX17" s="87"/>
      <c r="CY17" s="87"/>
      <c r="CZ17" s="87"/>
      <c r="DA17" s="87"/>
      <c r="DB17" s="87">
        <f>IFERROR(VLOOKUP(CW2,CC1_UserInput!$A:$S,19,FALSE),0)</f>
        <v>0</v>
      </c>
      <c r="DC17" s="87"/>
      <c r="DD17" s="87"/>
      <c r="DE17" s="87"/>
      <c r="DF17" s="87"/>
      <c r="DG17" s="92"/>
      <c r="DH17" s="87">
        <f>IFERROR(VLOOKUP(DH2,CC1_UserInput!$A:$S,18,FALSE),0)</f>
        <v>0</v>
      </c>
      <c r="DI17" s="87"/>
      <c r="DJ17" s="87"/>
      <c r="DK17" s="87"/>
      <c r="DL17" s="87"/>
      <c r="DM17" s="87">
        <f>IFERROR(VLOOKUP(DH2,CC1_UserInput!$A:$S,19,FALSE),0)</f>
        <v>0</v>
      </c>
      <c r="DN17" s="87"/>
      <c r="DO17" s="87"/>
      <c r="DP17" s="87"/>
      <c r="DQ17" s="87"/>
      <c r="DR17" s="92"/>
      <c r="DS17" s="87">
        <f>IFERROR(VLOOKUP(DS2,CC1_UserInput!$A:$S,18,FALSE),0)</f>
        <v>0</v>
      </c>
      <c r="DT17" s="87"/>
      <c r="DU17" s="87"/>
      <c r="DV17" s="87"/>
      <c r="DW17" s="87"/>
      <c r="DX17" s="87">
        <f>IFERROR(VLOOKUP(DS2,CC1_UserInput!$A:$S,19,FALSE),0)</f>
        <v>0</v>
      </c>
      <c r="DY17" s="87"/>
      <c r="DZ17" s="87"/>
      <c r="EA17" s="87"/>
      <c r="EB17" s="87"/>
      <c r="EC17" s="90"/>
    </row>
    <row r="18" spans="1:133" ht="4.5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3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3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3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3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3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3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3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3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3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3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3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23"/>
    </row>
    <row r="19" spans="1:133" s="84" customFormat="1" ht="24.95" customHeight="1" x14ac:dyDescent="0.25">
      <c r="A19" s="47" t="s">
        <v>60</v>
      </c>
      <c r="B19" s="78" t="s">
        <v>82</v>
      </c>
      <c r="C19" s="45">
        <f>IFERROR(C16/B16-1,0)</f>
        <v>0</v>
      </c>
      <c r="D19" s="45">
        <f t="shared" ref="D19:F19" si="12">IFERROR(D16/C16-1,0)</f>
        <v>0</v>
      </c>
      <c r="E19" s="45">
        <f t="shared" si="12"/>
        <v>-1</v>
      </c>
      <c r="F19" s="45">
        <f t="shared" si="12"/>
        <v>0</v>
      </c>
      <c r="G19" s="79" t="s">
        <v>82</v>
      </c>
      <c r="H19" s="46">
        <f>IFERROR(H16/G16-1,0)</f>
        <v>0</v>
      </c>
      <c r="I19" s="46">
        <f>IFERROR(I16/H16-1,0)</f>
        <v>0</v>
      </c>
      <c r="J19" s="46">
        <f t="shared" ref="J19:K19" si="13">IFERROR(J16/I16-1,0)</f>
        <v>-1</v>
      </c>
      <c r="K19" s="46">
        <f t="shared" si="13"/>
        <v>0</v>
      </c>
      <c r="L19" s="41"/>
      <c r="M19" s="45">
        <f>IFERROR(M16/L16-1,0)</f>
        <v>0</v>
      </c>
      <c r="N19" s="45">
        <f>IFERROR(N16/M16-1,0)</f>
        <v>-1</v>
      </c>
      <c r="O19" s="45">
        <f>IFERROR(O16/N16-1,0)</f>
        <v>0</v>
      </c>
      <c r="P19" s="45">
        <f>IFERROR(P16/O16-1,0)</f>
        <v>-1</v>
      </c>
      <c r="Q19" s="45">
        <f>IFERROR(Q16/P16-1,0)</f>
        <v>0</v>
      </c>
      <c r="R19" s="46">
        <f>IFERROR(R16/K16-1,0)</f>
        <v>0</v>
      </c>
      <c r="S19" s="46">
        <f>IFERROR(S16/R16-1,0)</f>
        <v>-1</v>
      </c>
      <c r="T19" s="46">
        <f t="shared" ref="T19:V19" si="14">IFERROR(T16/S16-1,0)</f>
        <v>0</v>
      </c>
      <c r="U19" s="46">
        <f t="shared" si="14"/>
        <v>-1</v>
      </c>
      <c r="V19" s="46">
        <f t="shared" si="14"/>
        <v>0</v>
      </c>
      <c r="W19" s="41"/>
      <c r="X19" s="44">
        <f>IFERROR(X16/Q16-1,0)</f>
        <v>0</v>
      </c>
      <c r="Y19" s="44">
        <f>IFERROR(Y16/X16-1,0)</f>
        <v>0</v>
      </c>
      <c r="Z19" s="44">
        <f>IFERROR(Z16/Y16-1,0)</f>
        <v>0</v>
      </c>
      <c r="AA19" s="44">
        <f>IFERROR(AA16/Z16-1,0)</f>
        <v>0</v>
      </c>
      <c r="AB19" s="44">
        <f>IFERROR(AB16/AA16-1,0)</f>
        <v>0</v>
      </c>
      <c r="AC19" s="42">
        <f>IFERROR(AC16/V16-1,0)</f>
        <v>0</v>
      </c>
      <c r="AD19" s="42">
        <f>IFERROR(AD16/AC16-1,0)</f>
        <v>0</v>
      </c>
      <c r="AE19" s="42">
        <f t="shared" ref="AE19:AG19" si="15">IFERROR(AE16/AD16-1,0)</f>
        <v>0</v>
      </c>
      <c r="AF19" s="42">
        <f t="shared" si="15"/>
        <v>0</v>
      </c>
      <c r="AG19" s="42">
        <f t="shared" si="15"/>
        <v>0</v>
      </c>
      <c r="AH19" s="41"/>
      <c r="AI19" s="45">
        <f>IFERROR(AI16/AB16-1,0)</f>
        <v>0</v>
      </c>
      <c r="AJ19" s="45">
        <f>IFERROR(AJ16/AI16-1,0)</f>
        <v>0</v>
      </c>
      <c r="AK19" s="45">
        <f>IFERROR(AK16/AJ16-1,0)</f>
        <v>0</v>
      </c>
      <c r="AL19" s="45">
        <f>IFERROR(AL16/AK16-1,0)</f>
        <v>0</v>
      </c>
      <c r="AM19" s="45">
        <f>IFERROR(AM16/AL16-1,0)</f>
        <v>0</v>
      </c>
      <c r="AN19" s="46">
        <f>IFERROR(AN16/AG16-1,0)</f>
        <v>0</v>
      </c>
      <c r="AO19" s="46">
        <f>IFERROR(AO16/AN16-1,0)</f>
        <v>0</v>
      </c>
      <c r="AP19" s="46">
        <f t="shared" ref="AP19:AR19" si="16">IFERROR(AP16/AO16-1,0)</f>
        <v>0</v>
      </c>
      <c r="AQ19" s="46">
        <f t="shared" si="16"/>
        <v>0</v>
      </c>
      <c r="AR19" s="46">
        <f t="shared" si="16"/>
        <v>0</v>
      </c>
      <c r="AS19" s="41"/>
      <c r="AT19" s="45">
        <f>IFERROR(AT16/AM16-1,0)</f>
        <v>0</v>
      </c>
      <c r="AU19" s="45">
        <f>IFERROR(AU16/AT16-1,0)</f>
        <v>0</v>
      </c>
      <c r="AV19" s="45">
        <f>IFERROR(AV16/AU16-1,0)</f>
        <v>0</v>
      </c>
      <c r="AW19" s="45">
        <f>IFERROR(AW16/AV16-1,0)</f>
        <v>0</v>
      </c>
      <c r="AX19" s="45">
        <f>IFERROR(AX16/AW16-1,0)</f>
        <v>0</v>
      </c>
      <c r="AY19" s="46">
        <f>IFERROR(AY16/AR16-1,0)</f>
        <v>0</v>
      </c>
      <c r="AZ19" s="46">
        <f>IFERROR(AZ16/AY16-1,0)</f>
        <v>0</v>
      </c>
      <c r="BA19" s="46">
        <f t="shared" ref="BA19:BC19" si="17">IFERROR(BA16/AZ16-1,0)</f>
        <v>0</v>
      </c>
      <c r="BB19" s="46">
        <f t="shared" si="17"/>
        <v>0</v>
      </c>
      <c r="BC19" s="46">
        <f t="shared" si="17"/>
        <v>0</v>
      </c>
      <c r="BD19" s="41"/>
      <c r="BE19" s="45">
        <f>IFERROR(BE16/AX16-1,0)</f>
        <v>0</v>
      </c>
      <c r="BF19" s="45">
        <f>IFERROR(BF16/BE16-1,0)</f>
        <v>0</v>
      </c>
      <c r="BG19" s="45">
        <f>IFERROR(BG16/BF16-1,0)</f>
        <v>0</v>
      </c>
      <c r="BH19" s="45">
        <f>IFERROR(BH16/BG16-1,0)</f>
        <v>0</v>
      </c>
      <c r="BI19" s="45">
        <f>IFERROR(BI16/BH16-1,0)</f>
        <v>0</v>
      </c>
      <c r="BJ19" s="46">
        <f>IFERROR(BJ16/BC16-1,0)</f>
        <v>0</v>
      </c>
      <c r="BK19" s="46">
        <f>IFERROR(BK16/BJ16-1,0)</f>
        <v>0</v>
      </c>
      <c r="BL19" s="46">
        <f t="shared" ref="BL19:BN19" si="18">IFERROR(BL16/BK16-1,0)</f>
        <v>0</v>
      </c>
      <c r="BM19" s="46">
        <f t="shared" si="18"/>
        <v>0</v>
      </c>
      <c r="BN19" s="46">
        <f t="shared" si="18"/>
        <v>0</v>
      </c>
      <c r="BO19" s="41"/>
      <c r="BP19" s="45">
        <f>IFERROR(BP16/BI16-1,0)</f>
        <v>0</v>
      </c>
      <c r="BQ19" s="45">
        <f>IFERROR(BQ16/BP16-1,0)</f>
        <v>0</v>
      </c>
      <c r="BR19" s="45">
        <f>IFERROR(BR16/BQ16-1,0)</f>
        <v>0</v>
      </c>
      <c r="BS19" s="45">
        <f>IFERROR(BS16/BR16-1,0)</f>
        <v>0</v>
      </c>
      <c r="BT19" s="45">
        <f>IFERROR(BT16/BS16-1,0)</f>
        <v>0</v>
      </c>
      <c r="BU19" s="46">
        <f>IFERROR(BU16/BN16-1,0)</f>
        <v>0</v>
      </c>
      <c r="BV19" s="46">
        <f>IFERROR(BV16/BU16-1,0)</f>
        <v>0</v>
      </c>
      <c r="BW19" s="46">
        <f t="shared" ref="BW19:BY19" si="19">IFERROR(BW16/BV16-1,0)</f>
        <v>0</v>
      </c>
      <c r="BX19" s="46">
        <f t="shared" si="19"/>
        <v>0</v>
      </c>
      <c r="BY19" s="46">
        <f t="shared" si="19"/>
        <v>0</v>
      </c>
      <c r="BZ19" s="41"/>
      <c r="CA19" s="45">
        <f>IFERROR(CA16/BT16-1,0)</f>
        <v>0</v>
      </c>
      <c r="CB19" s="45">
        <f>IFERROR(CB16/CA16-1,0)</f>
        <v>0</v>
      </c>
      <c r="CC19" s="45">
        <f>IFERROR(CC16/CB16-1,0)</f>
        <v>0</v>
      </c>
      <c r="CD19" s="45">
        <f>IFERROR(CD16/CC16-1,0)</f>
        <v>0</v>
      </c>
      <c r="CE19" s="45">
        <f>IFERROR(CE16/CD16-1,0)</f>
        <v>0</v>
      </c>
      <c r="CF19" s="46">
        <f>IFERROR(CF16/BY16-1,0)</f>
        <v>0</v>
      </c>
      <c r="CG19" s="46">
        <f>IFERROR(CG16/CF16-1,0)</f>
        <v>0</v>
      </c>
      <c r="CH19" s="46">
        <f t="shared" ref="CH19:CJ19" si="20">IFERROR(CH16/CG16-1,0)</f>
        <v>0</v>
      </c>
      <c r="CI19" s="46">
        <f t="shared" si="20"/>
        <v>0</v>
      </c>
      <c r="CJ19" s="46">
        <f t="shared" si="20"/>
        <v>0</v>
      </c>
      <c r="CK19" s="41"/>
      <c r="CL19" s="45">
        <f>IFERROR(CL16/CE16-1,0)</f>
        <v>0</v>
      </c>
      <c r="CM19" s="45">
        <f>IFERROR(CM16/CL16-1,0)</f>
        <v>0</v>
      </c>
      <c r="CN19" s="45">
        <f>IFERROR(CN16/CM16-1,0)</f>
        <v>0</v>
      </c>
      <c r="CO19" s="45">
        <f>IFERROR(CO16/CN16-1,0)</f>
        <v>0</v>
      </c>
      <c r="CP19" s="45">
        <f>IFERROR(CP16/CO16-1,0)</f>
        <v>0</v>
      </c>
      <c r="CQ19" s="46">
        <f>IFERROR(CQ16/CJ16-1,0)</f>
        <v>0</v>
      </c>
      <c r="CR19" s="46">
        <f>IFERROR(CR16/CQ16-1,0)</f>
        <v>0</v>
      </c>
      <c r="CS19" s="46">
        <f t="shared" ref="CS19:CU19" si="21">IFERROR(CS16/CR16-1,0)</f>
        <v>0</v>
      </c>
      <c r="CT19" s="46">
        <f t="shared" si="21"/>
        <v>0</v>
      </c>
      <c r="CU19" s="46">
        <f t="shared" si="21"/>
        <v>0</v>
      </c>
      <c r="CV19" s="41"/>
      <c r="CW19" s="45">
        <f>IFERROR(CW16/CP16-1,0)</f>
        <v>0</v>
      </c>
      <c r="CX19" s="45">
        <f>IFERROR(CX16/CW16-1,0)</f>
        <v>0</v>
      </c>
      <c r="CY19" s="45">
        <f>IFERROR(CY16/CX16-1,0)</f>
        <v>0</v>
      </c>
      <c r="CZ19" s="45">
        <f>IFERROR(CZ16/CY16-1,0)</f>
        <v>0</v>
      </c>
      <c r="DA19" s="45">
        <f>IFERROR(DA16/CZ16-1,0)</f>
        <v>0</v>
      </c>
      <c r="DB19" s="46">
        <f>IFERROR(DB16/CU16-1,0)</f>
        <v>0</v>
      </c>
      <c r="DC19" s="46">
        <f>IFERROR(DC16/DB16-1,0)</f>
        <v>0</v>
      </c>
      <c r="DD19" s="46">
        <f t="shared" ref="DD19:DF19" si="22">IFERROR(DD16/DC16-1,0)</f>
        <v>0</v>
      </c>
      <c r="DE19" s="46">
        <f t="shared" si="22"/>
        <v>0</v>
      </c>
      <c r="DF19" s="46">
        <f t="shared" si="22"/>
        <v>0</v>
      </c>
      <c r="DG19" s="41"/>
      <c r="DH19" s="45">
        <f>IFERROR(DH16/DA16-1,0)</f>
        <v>0</v>
      </c>
      <c r="DI19" s="45">
        <f>IFERROR(DI16/DH16-1,0)</f>
        <v>0</v>
      </c>
      <c r="DJ19" s="45">
        <f>IFERROR(DJ16/DI16-1,0)</f>
        <v>0</v>
      </c>
      <c r="DK19" s="45">
        <f>IFERROR(DK16/DJ16-1,0)</f>
        <v>0</v>
      </c>
      <c r="DL19" s="45">
        <f>IFERROR(DL16/DK16-1,0)</f>
        <v>0</v>
      </c>
      <c r="DM19" s="46">
        <f>IFERROR(DM16/DF16-1,0)</f>
        <v>0</v>
      </c>
      <c r="DN19" s="46">
        <v>0.01</v>
      </c>
      <c r="DO19" s="46">
        <v>0.01</v>
      </c>
      <c r="DP19" s="46">
        <f t="shared" ref="DP19:DQ19" si="23">IFERROR(DP16/DO16-1,0)</f>
        <v>0</v>
      </c>
      <c r="DQ19" s="46">
        <f t="shared" si="23"/>
        <v>0</v>
      </c>
      <c r="DR19" s="41"/>
      <c r="DS19" s="45">
        <f>IFERROR(DS16/DL16-1,0)</f>
        <v>0</v>
      </c>
      <c r="DT19" s="45">
        <f>IFERROR(DT16/DS16-1,0)</f>
        <v>0</v>
      </c>
      <c r="DU19" s="45">
        <f>IFERROR(DU16/DT16-1,0)</f>
        <v>0</v>
      </c>
      <c r="DV19" s="45">
        <f>IFERROR(DV16/DU16-1,0)</f>
        <v>0</v>
      </c>
      <c r="DW19" s="45">
        <f>IFERROR(DW16/DV16-1,0)</f>
        <v>0</v>
      </c>
      <c r="DX19" s="46">
        <f>IFERROR(DX16/DQ16-1,0)</f>
        <v>0</v>
      </c>
      <c r="DY19" s="46">
        <f>IFERROR(DY16/DX16-1,0)</f>
        <v>0</v>
      </c>
      <c r="DZ19" s="46">
        <f t="shared" ref="DZ19:EB19" si="24">IFERROR(DZ16/DY16-1,0)</f>
        <v>0</v>
      </c>
      <c r="EA19" s="46">
        <f t="shared" si="24"/>
        <v>0</v>
      </c>
      <c r="EB19" s="46">
        <f t="shared" si="24"/>
        <v>0</v>
      </c>
      <c r="EC19" s="43"/>
    </row>
    <row r="20" spans="1:133" s="84" customFormat="1" ht="24.95" customHeight="1" x14ac:dyDescent="0.25">
      <c r="A20" s="47" t="s">
        <v>61</v>
      </c>
      <c r="B20" s="76" t="s">
        <v>82</v>
      </c>
      <c r="C20" s="76"/>
      <c r="D20" s="76"/>
      <c r="E20" s="76"/>
      <c r="F20" s="76"/>
      <c r="G20" s="77" t="s">
        <v>82</v>
      </c>
      <c r="H20" s="77"/>
      <c r="I20" s="77"/>
      <c r="J20" s="77"/>
      <c r="K20" s="77"/>
      <c r="L20" s="41"/>
      <c r="M20" s="65">
        <f>IFERROR(M17/B17-1,0)</f>
        <v>-1.0025999999999999</v>
      </c>
      <c r="N20" s="65"/>
      <c r="O20" s="65"/>
      <c r="P20" s="65"/>
      <c r="Q20" s="65"/>
      <c r="R20" s="66">
        <f>IFERROR(R17/G17-1,0)</f>
        <v>0.20111783889412238</v>
      </c>
      <c r="S20" s="66"/>
      <c r="T20" s="66"/>
      <c r="U20" s="66"/>
      <c r="V20" s="66"/>
      <c r="W20" s="41"/>
      <c r="X20" s="67">
        <f>IFERROR(X17/M17-1,0)</f>
        <v>-1</v>
      </c>
      <c r="Y20" s="67"/>
      <c r="Z20" s="67"/>
      <c r="AA20" s="67"/>
      <c r="AB20" s="67"/>
      <c r="AC20" s="68">
        <f>IFERROR(AC17/R17-1,0)</f>
        <v>-1</v>
      </c>
      <c r="AD20" s="68"/>
      <c r="AE20" s="68"/>
      <c r="AF20" s="68"/>
      <c r="AG20" s="68"/>
      <c r="AH20" s="41"/>
      <c r="AI20" s="65">
        <f>IFERROR(AI17/X17-1,0)</f>
        <v>0</v>
      </c>
      <c r="AJ20" s="65"/>
      <c r="AK20" s="65"/>
      <c r="AL20" s="65"/>
      <c r="AM20" s="65"/>
      <c r="AN20" s="66">
        <f>IFERROR(AN17/AC17-1,0)</f>
        <v>0</v>
      </c>
      <c r="AO20" s="66"/>
      <c r="AP20" s="66"/>
      <c r="AQ20" s="66"/>
      <c r="AR20" s="66"/>
      <c r="AS20" s="41"/>
      <c r="AT20" s="65">
        <f>IFERROR(AT17/AI17-1,0)</f>
        <v>0</v>
      </c>
      <c r="AU20" s="65"/>
      <c r="AV20" s="65"/>
      <c r="AW20" s="65"/>
      <c r="AX20" s="65"/>
      <c r="AY20" s="66">
        <f>IFERROR(AY17/AN17-1,0)</f>
        <v>0</v>
      </c>
      <c r="AZ20" s="66"/>
      <c r="BA20" s="66"/>
      <c r="BB20" s="66"/>
      <c r="BC20" s="66"/>
      <c r="BD20" s="41"/>
      <c r="BE20" s="65">
        <f>IFERROR(BE17/AT17-1,0)</f>
        <v>0</v>
      </c>
      <c r="BF20" s="65"/>
      <c r="BG20" s="65"/>
      <c r="BH20" s="65"/>
      <c r="BI20" s="65"/>
      <c r="BJ20" s="66">
        <f>IFERROR(BJ17/AY17-1,0)</f>
        <v>0</v>
      </c>
      <c r="BK20" s="66"/>
      <c r="BL20" s="66"/>
      <c r="BM20" s="66"/>
      <c r="BN20" s="66"/>
      <c r="BO20" s="41"/>
      <c r="BP20" s="65">
        <f>IFERROR(BP17/BE17-1,0)</f>
        <v>0</v>
      </c>
      <c r="BQ20" s="65"/>
      <c r="BR20" s="65"/>
      <c r="BS20" s="65"/>
      <c r="BT20" s="65"/>
      <c r="BU20" s="66">
        <f>IFERROR(BU17/BJ17-1,0)</f>
        <v>0</v>
      </c>
      <c r="BV20" s="66"/>
      <c r="BW20" s="66"/>
      <c r="BX20" s="66"/>
      <c r="BY20" s="66"/>
      <c r="BZ20" s="41"/>
      <c r="CA20" s="65">
        <f>IFERROR(CA17/BP17-1,0)</f>
        <v>0</v>
      </c>
      <c r="CB20" s="65"/>
      <c r="CC20" s="65"/>
      <c r="CD20" s="65"/>
      <c r="CE20" s="65"/>
      <c r="CF20" s="66">
        <f>IFERROR(CF17/BU17-1,0)</f>
        <v>0</v>
      </c>
      <c r="CG20" s="66"/>
      <c r="CH20" s="66"/>
      <c r="CI20" s="66"/>
      <c r="CJ20" s="66"/>
      <c r="CK20" s="41"/>
      <c r="CL20" s="65">
        <f>IFERROR(CL17/CA17-1,0)</f>
        <v>0</v>
      </c>
      <c r="CM20" s="65"/>
      <c r="CN20" s="65"/>
      <c r="CO20" s="65"/>
      <c r="CP20" s="65"/>
      <c r="CQ20" s="66">
        <f>IFERROR(CQ17/CF17-1,0)</f>
        <v>0</v>
      </c>
      <c r="CR20" s="66"/>
      <c r="CS20" s="66"/>
      <c r="CT20" s="66"/>
      <c r="CU20" s="66"/>
      <c r="CV20" s="41"/>
      <c r="CW20" s="65">
        <f>IFERROR(CW17/CL17-1,0)</f>
        <v>0</v>
      </c>
      <c r="CX20" s="65"/>
      <c r="CY20" s="65"/>
      <c r="CZ20" s="65"/>
      <c r="DA20" s="65"/>
      <c r="DB20" s="66">
        <f>IFERROR(DB17/CQ17-1,0)</f>
        <v>0</v>
      </c>
      <c r="DC20" s="66"/>
      <c r="DD20" s="66"/>
      <c r="DE20" s="66"/>
      <c r="DF20" s="66"/>
      <c r="DG20" s="41"/>
      <c r="DH20" s="65">
        <f>IFERROR(DH17/CW17-1,0)</f>
        <v>0</v>
      </c>
      <c r="DI20" s="65"/>
      <c r="DJ20" s="65"/>
      <c r="DK20" s="65"/>
      <c r="DL20" s="65"/>
      <c r="DM20" s="66">
        <f>IFERROR(DM17/DB17-1,0)</f>
        <v>0</v>
      </c>
      <c r="DN20" s="66"/>
      <c r="DO20" s="66"/>
      <c r="DP20" s="66"/>
      <c r="DQ20" s="66"/>
      <c r="DR20" s="41"/>
      <c r="DS20" s="65">
        <f>IFERROR(DS17/DH17-1,0)</f>
        <v>0</v>
      </c>
      <c r="DT20" s="65"/>
      <c r="DU20" s="65"/>
      <c r="DV20" s="65"/>
      <c r="DW20" s="65"/>
      <c r="DX20" s="66">
        <f>IFERROR(DX17/DM17-1,0)</f>
        <v>0</v>
      </c>
      <c r="DY20" s="66"/>
      <c r="DZ20" s="66"/>
      <c r="EA20" s="66"/>
      <c r="EB20" s="66"/>
      <c r="EC20" s="43"/>
    </row>
    <row r="21" spans="1:133" x14ac:dyDescent="0.3">
      <c r="D21" s="35"/>
      <c r="L21" s="23"/>
      <c r="O21" s="35"/>
      <c r="W21" s="23"/>
      <c r="Z21" s="35"/>
      <c r="AH21" s="23"/>
      <c r="AK21" s="35"/>
      <c r="AS21" s="23"/>
      <c r="AV21" s="35"/>
      <c r="BD21" s="23"/>
      <c r="BG21" s="35"/>
      <c r="BO21" s="23"/>
      <c r="BR21" s="35"/>
      <c r="BZ21" s="23"/>
      <c r="CC21" s="35"/>
      <c r="CK21" s="23"/>
      <c r="CN21" s="35"/>
      <c r="CV21" s="23"/>
      <c r="CY21" s="35"/>
      <c r="DG21" s="23"/>
      <c r="DJ21" s="35"/>
      <c r="DR21" s="23"/>
      <c r="DU21" s="35"/>
      <c r="EC21" s="23"/>
    </row>
    <row r="22" spans="1:133" x14ac:dyDescent="0.3">
      <c r="D22" s="35"/>
      <c r="L22" s="23"/>
      <c r="O22" s="35"/>
      <c r="W22" s="23"/>
      <c r="Z22" s="35"/>
      <c r="AH22" s="23"/>
      <c r="AK22" s="35"/>
      <c r="AS22" s="23"/>
      <c r="AV22" s="35"/>
      <c r="BD22" s="23"/>
      <c r="BG22" s="35"/>
      <c r="BO22" s="23"/>
      <c r="BR22" s="35"/>
      <c r="BZ22" s="23"/>
      <c r="CC22" s="35"/>
      <c r="CK22" s="23"/>
      <c r="CN22" s="35"/>
      <c r="CV22" s="23"/>
      <c r="CY22" s="35"/>
      <c r="DG22" s="23"/>
      <c r="DJ22" s="35"/>
      <c r="DR22" s="23"/>
      <c r="DU22" s="35"/>
      <c r="EC22" s="23"/>
    </row>
    <row r="23" spans="1:133" x14ac:dyDescent="0.3">
      <c r="A23" s="88" t="s">
        <v>83</v>
      </c>
      <c r="L23" s="23"/>
      <c r="W23" s="23"/>
      <c r="AH23" s="23"/>
      <c r="AS23" s="23"/>
      <c r="BD23" s="23"/>
      <c r="BO23" s="23"/>
      <c r="BZ23" s="23"/>
      <c r="CK23" s="23"/>
      <c r="CV23" s="23"/>
      <c r="DG23" s="23"/>
      <c r="DR23" s="23"/>
      <c r="EC23" s="23"/>
    </row>
    <row r="24" spans="1:133" x14ac:dyDescent="0.3">
      <c r="A24" t="s">
        <v>85</v>
      </c>
      <c r="L24" s="23"/>
      <c r="W24" s="23"/>
      <c r="AH24" s="23"/>
      <c r="AS24" s="23"/>
      <c r="BD24" s="23"/>
      <c r="BO24" s="23"/>
      <c r="BZ24" s="23"/>
      <c r="CK24" s="23"/>
      <c r="CV24" s="23"/>
      <c r="DG24" s="23"/>
      <c r="DR24" s="23"/>
      <c r="EC24" s="23"/>
    </row>
    <row r="25" spans="1:133" x14ac:dyDescent="0.3">
      <c r="C25"/>
      <c r="L25" s="23"/>
      <c r="W25" s="23"/>
      <c r="AH25" s="23"/>
      <c r="AS25" s="23"/>
      <c r="BD25" s="23"/>
      <c r="BO25" s="23"/>
      <c r="BZ25" s="23"/>
      <c r="CK25" s="23"/>
      <c r="CV25" s="23"/>
      <c r="DG25" s="23"/>
      <c r="DR25" s="23"/>
      <c r="EC25" s="23"/>
    </row>
    <row r="26" spans="1:133" x14ac:dyDescent="0.3">
      <c r="A26" s="55" t="s">
        <v>84</v>
      </c>
      <c r="D26" s="80"/>
      <c r="E26" s="80"/>
      <c r="L26" s="23"/>
      <c r="W26" s="23"/>
      <c r="AH26" s="23"/>
      <c r="AS26" s="23"/>
      <c r="BD26" s="23"/>
      <c r="BO26" s="23"/>
      <c r="BZ26" s="23"/>
      <c r="CK26" s="23"/>
      <c r="CV26" s="23"/>
      <c r="DG26" s="23"/>
      <c r="DR26" s="23"/>
      <c r="EC26" s="23"/>
    </row>
    <row r="27" spans="1:133" x14ac:dyDescent="0.3">
      <c r="A27" t="s">
        <v>86</v>
      </c>
      <c r="D27" s="80"/>
      <c r="E27" s="80"/>
      <c r="L27" s="23"/>
      <c r="W27" s="23"/>
      <c r="AH27" s="23"/>
      <c r="AS27" s="23"/>
      <c r="BD27" s="23"/>
      <c r="BO27" s="23"/>
      <c r="BZ27" s="23"/>
      <c r="CK27" s="23"/>
      <c r="CV27" s="23"/>
      <c r="DG27" s="23"/>
      <c r="DR27" s="23"/>
      <c r="EC27" s="23"/>
    </row>
    <row r="28" spans="1:133" x14ac:dyDescent="0.3">
      <c r="D28" s="80"/>
      <c r="E28" s="80"/>
      <c r="L28" s="23"/>
      <c r="W28" s="23"/>
      <c r="AH28" s="23"/>
      <c r="AS28" s="23"/>
      <c r="BD28" s="23"/>
      <c r="BO28" s="23"/>
      <c r="BZ28" s="23"/>
      <c r="CK28" s="23"/>
      <c r="CV28" s="23"/>
      <c r="DG28" s="23"/>
      <c r="DR28" s="23"/>
      <c r="EC28" s="23"/>
    </row>
    <row r="29" spans="1:133" x14ac:dyDescent="0.3">
      <c r="A29"/>
    </row>
    <row r="30" spans="1:133" x14ac:dyDescent="0.3">
      <c r="A30"/>
    </row>
    <row r="31" spans="1:133" x14ac:dyDescent="0.3">
      <c r="B31" s="22"/>
      <c r="C31" s="22"/>
      <c r="D31" s="22"/>
      <c r="E31" s="22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BJ3:BN3"/>
    <mergeCell ref="BP3:BT3"/>
    <mergeCell ref="BU3:BY3"/>
    <mergeCell ref="CA3:CE3"/>
    <mergeCell ref="DS3:DW3"/>
    <mergeCell ref="DX3:EB3"/>
    <mergeCell ref="B17:F17"/>
    <mergeCell ref="G17:K17"/>
    <mergeCell ref="M17:Q17"/>
    <mergeCell ref="R17:V17"/>
    <mergeCell ref="X17:AB17"/>
    <mergeCell ref="AC17:AG17"/>
    <mergeCell ref="AI17:AM17"/>
    <mergeCell ref="AN17:AR17"/>
    <mergeCell ref="CL3:CP3"/>
    <mergeCell ref="CQ3:CU3"/>
    <mergeCell ref="CW3:DA3"/>
    <mergeCell ref="DB3:DF3"/>
    <mergeCell ref="DH3:DL3"/>
    <mergeCell ref="DM3:DQ3"/>
    <mergeCell ref="AC20:AG20"/>
    <mergeCell ref="CA17:CE17"/>
    <mergeCell ref="CF17:CJ17"/>
    <mergeCell ref="CL17:CP17"/>
    <mergeCell ref="CQ17:CU17"/>
    <mergeCell ref="AT17:AX17"/>
    <mergeCell ref="AY17:BC17"/>
    <mergeCell ref="BE17:BI17"/>
    <mergeCell ref="BJ17:BN17"/>
    <mergeCell ref="BP17:BT17"/>
    <mergeCell ref="BU17:BY17"/>
    <mergeCell ref="B20:F20"/>
    <mergeCell ref="G20:K20"/>
    <mergeCell ref="M20:Q20"/>
    <mergeCell ref="R20:V20"/>
    <mergeCell ref="X20:AB20"/>
    <mergeCell ref="BJ20:BN20"/>
    <mergeCell ref="DH17:DL17"/>
    <mergeCell ref="DM17:DQ17"/>
    <mergeCell ref="DS17:DW17"/>
    <mergeCell ref="DX17:EB17"/>
    <mergeCell ref="CW17:DA17"/>
    <mergeCell ref="DB17:DF17"/>
    <mergeCell ref="DB20:DF20"/>
    <mergeCell ref="DH20:DL20"/>
    <mergeCell ref="DM20:DQ20"/>
    <mergeCell ref="DS20:DW20"/>
    <mergeCell ref="DX20:EB20"/>
    <mergeCell ref="CW20:DA20"/>
    <mergeCell ref="BP20:BT20"/>
    <mergeCell ref="BU20:BY20"/>
    <mergeCell ref="CA20:CE20"/>
    <mergeCell ref="CF20:CJ20"/>
    <mergeCell ref="CL20:CP20"/>
    <mergeCell ref="CQ20:CU20"/>
    <mergeCell ref="AI20:AM20"/>
    <mergeCell ref="AN20:AR20"/>
    <mergeCell ref="AT20:AX20"/>
    <mergeCell ref="AY20:BC20"/>
    <mergeCell ref="BE20:BI20"/>
  </mergeCells>
  <conditionalFormatting sqref="B17:EB17">
    <cfRule type="cellIs" dxfId="1" priority="25" operator="between">
      <formula>-0.00251</formula>
      <formula>-0.009</formula>
    </cfRule>
    <cfRule type="cellIs" dxfId="0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$N$19</xm:f>
              </x14:cfvo>
              <x14:cfvo type="formula" gte="0">
                <xm:f>$N$19</xm:f>
              </x14:cfvo>
            </x14:iconSet>
          </x14:cfRule>
          <xm:sqref>O19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$O$19</xm:f>
              </x14:cfvo>
              <x14:cfvo type="formula" gte="0">
                <xm:f>$O$19</xm:f>
              </x14:cfvo>
            </x14:iconSet>
          </x14:cfRule>
          <xm:sqref>P19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$P$19</xm:f>
              </x14:cfvo>
              <x14:cfvo type="formula" gte="0">
                <xm:f>$P$19</xm:f>
              </x14:cfvo>
            </x14:iconSet>
          </x14:cfRule>
          <xm:sqref>Q19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$K$19</xm:f>
              </x14:cfvo>
              <x14:cfvo type="formula" gte="0">
                <xm:f>$K$19</xm:f>
              </x14:cfvo>
            </x14:iconSet>
          </x14:cfRule>
          <xm:sqref>R19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S19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$S$19</xm:f>
              </x14:cfvo>
              <x14:cfvo type="formula" gte="0">
                <xm:f>$S$19</xm:f>
              </x14:cfvo>
            </x14:iconSet>
          </x14:cfRule>
          <xm:sqref>T19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$T$19</xm:f>
              </x14:cfvo>
              <x14:cfvo type="formula" gte="0">
                <xm:f>$T$19</xm:f>
              </x14:cfvo>
            </x14:iconSet>
          </x14:cfRule>
          <xm:sqref>U19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$U$19</xm:f>
              </x14:cfvo>
              <x14:cfvo type="formula" gte="0">
                <xm:f>$U$19</xm:f>
              </x14:cfvo>
            </x14:iconSet>
          </x14:cfRule>
          <xm:sqref>V19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$Q$19</xm:f>
              </x14:cfvo>
              <x14:cfvo type="formula" gte="0">
                <xm:f>$Q$19</xm:f>
              </x14:cfvo>
            </x14:iconSet>
          </x14:cfRule>
          <xm:sqref>X19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Y19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$M$20</xm:f>
              </x14:cfvo>
              <x14:cfvo type="formula" gte="0">
                <xm:f>$M$20</xm:f>
              </x14:cfvo>
            </x14:iconSet>
          </x14:cfRule>
          <xm:sqref>X20:AB20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$R$20</xm:f>
              </x14:cfvo>
              <x14:cfvo type="formula" gte="0">
                <xm:f>$R$20</xm:f>
              </x14:cfvo>
            </x14:iconSet>
          </x14:cfRule>
          <xm:sqref>AC20:AG20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$Y$19</xm:f>
              </x14:cfvo>
              <x14:cfvo type="formula" gte="0">
                <xm:f>$Y$19</xm:f>
              </x14:cfvo>
            </x14:iconSet>
          </x14:cfRule>
          <xm:sqref>Z19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$Z$19</xm:f>
              </x14:cfvo>
              <x14:cfvo type="formula" gte="0">
                <xm:f>$Z$19</xm:f>
              </x14:cfvo>
            </x14:iconSet>
          </x14:cfRule>
          <xm:sqref>AA19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$AA$19</xm:f>
              </x14:cfvo>
              <x14:cfvo type="formula" gte="0">
                <xm:f>$AA$19</xm:f>
              </x14:cfvo>
            </x14:iconSet>
          </x14:cfRule>
          <xm:sqref>AB19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$V$19</xm:f>
              </x14:cfvo>
              <x14:cfvo type="formula" gte="0">
                <xm:f>$V$19</xm:f>
              </x14:cfvo>
            </x14:iconSet>
          </x14:cfRule>
          <xm:sqref>AC19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AD19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$AD$19</xm:f>
              </x14:cfvo>
              <x14:cfvo type="formula" gte="0">
                <xm:f>$AD$19</xm:f>
              </x14:cfvo>
            </x14:iconSet>
          </x14:cfRule>
          <xm:sqref>AE19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$AE$19</xm:f>
              </x14:cfvo>
              <x14:cfvo type="formula" gte="0">
                <xm:f>$AE$19</xm:f>
              </x14:cfvo>
            </x14:iconSet>
          </x14:cfRule>
          <xm:sqref>AF19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$AF$19</xm:f>
              </x14:cfvo>
              <x14:cfvo type="formula" gte="0">
                <xm:f>$AF$19</xm:f>
              </x14:cfvo>
            </x14:iconSet>
          </x14:cfRule>
          <xm:sqref>AG19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$X$20</xm:f>
              </x14:cfvo>
              <x14:cfvo type="formula" gte="0">
                <xm:f>$X$20</xm:f>
              </x14:cfvo>
            </x14:iconSet>
          </x14:cfRule>
          <xm:sqref>AI20:AM20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$AC$20</xm:f>
              </x14:cfvo>
              <x14:cfvo type="formula" gte="0">
                <xm:f>$AC$20</xm:f>
              </x14:cfvo>
            </x14:iconSet>
          </x14:cfRule>
          <xm:sqref>AN20:AR20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$AB$19</xm:f>
              </x14:cfvo>
              <x14:cfvo type="formula" gte="0">
                <xm:f>$AB$19</xm:f>
              </x14:cfvo>
            </x14:iconSet>
          </x14:cfRule>
          <xm:sqref>AI19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AJ19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$AJ$19</xm:f>
              </x14:cfvo>
              <x14:cfvo type="formula" gte="0">
                <xm:f>$AJ$19</xm:f>
              </x14:cfvo>
            </x14:iconSet>
          </x14:cfRule>
          <xm:sqref>AK19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$AK$19</xm:f>
              </x14:cfvo>
              <x14:cfvo type="formula" gte="0">
                <xm:f>$AK$19</xm:f>
              </x14:cfvo>
            </x14:iconSet>
          </x14:cfRule>
          <xm:sqref>AL19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$AL$19</xm:f>
              </x14:cfvo>
              <x14:cfvo type="formula" gte="0">
                <xm:f>$AL$19</xm:f>
              </x14:cfvo>
            </x14:iconSet>
          </x14:cfRule>
          <xm:sqref>AM19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$AG$19</xm:f>
              </x14:cfvo>
              <x14:cfvo type="formula" gte="0">
                <xm:f>$AG$19</xm:f>
              </x14:cfvo>
            </x14:iconSet>
          </x14:cfRule>
          <xm:sqref>AN19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AO19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$AO$19</xm:f>
              </x14:cfvo>
              <x14:cfvo type="formula" gte="0">
                <xm:f>$AO$19</xm:f>
              </x14:cfvo>
            </x14:iconSet>
          </x14:cfRule>
          <xm:sqref>AP19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$AP$19</xm:f>
              </x14:cfvo>
              <x14:cfvo type="formula" gte="0">
                <xm:f>$AP$19</xm:f>
              </x14:cfvo>
            </x14:iconSet>
          </x14:cfRule>
          <xm:sqref>AQ19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$AQ$19</xm:f>
              </x14:cfvo>
              <x14:cfvo type="formula" gte="0">
                <xm:f>$AQ$19</xm:f>
              </x14:cfvo>
            </x14:iconSet>
          </x14:cfRule>
          <xm:sqref>AR19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$AM$19</xm:f>
              </x14:cfvo>
              <x14:cfvo type="formula" gte="0">
                <xm:f>$AM$19</xm:f>
              </x14:cfvo>
            </x14:iconSet>
          </x14:cfRule>
          <xm:sqref>AT19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$AI$20</xm:f>
              </x14:cfvo>
              <x14:cfvo type="formula" gte="0">
                <xm:f>$AI$20</xm:f>
              </x14:cfvo>
            </x14:iconSet>
          </x14:cfRule>
          <xm:sqref>AT20:AX20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$AN$20</xm:f>
              </x14:cfvo>
              <x14:cfvo type="formula" gte="0">
                <xm:f>$AN$20</xm:f>
              </x14:cfvo>
            </x14:iconSet>
          </x14:cfRule>
          <xm:sqref>AY20:BC20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AU19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$AU$19</xm:f>
              </x14:cfvo>
              <x14:cfvo type="formula" gte="0">
                <xm:f>$AU$19</xm:f>
              </x14:cfvo>
            </x14:iconSet>
          </x14:cfRule>
          <xm:sqref>AV19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$AV$19</xm:f>
              </x14:cfvo>
              <x14:cfvo type="formula" gte="0">
                <xm:f>$AV$19</xm:f>
              </x14:cfvo>
            </x14:iconSet>
          </x14:cfRule>
          <xm:sqref>AW19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$AW$19</xm:f>
              </x14:cfvo>
              <x14:cfvo type="formula" gte="0">
                <xm:f>$AW$19</xm:f>
              </x14:cfvo>
            </x14:iconSet>
          </x14:cfRule>
          <xm:sqref>AX19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$AR$19</xm:f>
              </x14:cfvo>
              <x14:cfvo type="formula" gte="0">
                <xm:f>$AR$19</xm:f>
              </x14:cfvo>
            </x14:iconSet>
          </x14:cfRule>
          <xm:sqref>AY19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AZ19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$AZ$19</xm:f>
              </x14:cfvo>
              <x14:cfvo type="formula" gte="0">
                <xm:f>$AZ$19</xm:f>
              </x14:cfvo>
            </x14:iconSet>
          </x14:cfRule>
          <xm:sqref>BA19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$BA$19</xm:f>
              </x14:cfvo>
              <x14:cfvo type="formula" gte="0">
                <xm:f>$BA$19</xm:f>
              </x14:cfvo>
            </x14:iconSet>
          </x14:cfRule>
          <xm:sqref>BB19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$BB$19</xm:f>
              </x14:cfvo>
              <x14:cfvo type="formula" gte="0">
                <xm:f>$BB$19</xm:f>
              </x14:cfvo>
            </x14:iconSet>
          </x14:cfRule>
          <xm:sqref>BC19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$AT$20</xm:f>
              </x14:cfvo>
              <x14:cfvo type="formula" gte="0">
                <xm:f>$AT$20</xm:f>
              </x14:cfvo>
            </x14:iconSet>
          </x14:cfRule>
          <xm:sqref>BE20:BI20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$AY$20</xm:f>
              </x14:cfvo>
              <x14:cfvo type="formula" gte="0">
                <xm:f>$AY$20</xm:f>
              </x14:cfvo>
            </x14:iconSet>
          </x14:cfRule>
          <xm:sqref>BJ20:BN20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$AX$19</xm:f>
              </x14:cfvo>
              <x14:cfvo type="formula" gte="0">
                <xm:f>$AX$19</xm:f>
              </x14:cfvo>
            </x14:iconSet>
          </x14:cfRule>
          <xm:sqref>BE19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BF19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$BF$19</xm:f>
              </x14:cfvo>
              <x14:cfvo type="formula" gte="0">
                <xm:f>$BF$19</xm:f>
              </x14:cfvo>
            </x14:iconSet>
          </x14:cfRule>
          <xm:sqref>BG19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$BG$19</xm:f>
              </x14:cfvo>
              <x14:cfvo type="formula" gte="0">
                <xm:f>$BG$19</xm:f>
              </x14:cfvo>
            </x14:iconSet>
          </x14:cfRule>
          <xm:sqref>BH19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$BH$19</xm:f>
              </x14:cfvo>
              <x14:cfvo type="formula" gte="0">
                <xm:f>$BH$19</xm:f>
              </x14:cfvo>
            </x14:iconSet>
          </x14:cfRule>
          <xm:sqref>BI19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$BC$19</xm:f>
              </x14:cfvo>
              <x14:cfvo type="formula" gte="0">
                <xm:f>$BC$19</xm:f>
              </x14:cfvo>
            </x14:iconSet>
          </x14:cfRule>
          <xm:sqref>BJ19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BK19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$BK$19</xm:f>
              </x14:cfvo>
              <x14:cfvo type="formula" gte="0">
                <xm:f>$BK$19</xm:f>
              </x14:cfvo>
            </x14:iconSet>
          </x14:cfRule>
          <xm:sqref>BL19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$BL$19</xm:f>
              </x14:cfvo>
              <x14:cfvo type="formula" gte="0">
                <xm:f>$BL$19</xm:f>
              </x14:cfvo>
            </x14:iconSet>
          </x14:cfRule>
          <xm:sqref>BM19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$BM$19</xm:f>
              </x14:cfvo>
              <x14:cfvo type="formula" gte="0">
                <xm:f>$BM$19</xm:f>
              </x14:cfvo>
            </x14:iconSet>
          </x14:cfRule>
          <xm:sqref>BN19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$BE$20</xm:f>
              </x14:cfvo>
              <x14:cfvo type="formula" gte="0">
                <xm:f>$BE$20</xm:f>
              </x14:cfvo>
            </x14:iconSet>
          </x14:cfRule>
          <xm:sqref>BP20:BT20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$BJ$20</xm:f>
              </x14:cfvo>
              <x14:cfvo type="formula" gte="0">
                <xm:f>$BJ$20</xm:f>
              </x14:cfvo>
            </x14:iconSet>
          </x14:cfRule>
          <xm:sqref>BU20:BY20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$BI$19</xm:f>
              </x14:cfvo>
              <x14:cfvo type="formula" gte="0">
                <xm:f>$BI$19</xm:f>
              </x14:cfvo>
            </x14:iconSet>
          </x14:cfRule>
          <xm:sqref>BP19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BQ19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$BQ$19</xm:f>
              </x14:cfvo>
              <x14:cfvo type="formula" gte="0">
                <xm:f>$BQ$19</xm:f>
              </x14:cfvo>
            </x14:iconSet>
          </x14:cfRule>
          <xm:sqref>BR19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$BR$19</xm:f>
              </x14:cfvo>
              <x14:cfvo type="formula" gte="0">
                <xm:f>$BR$19</xm:f>
              </x14:cfvo>
            </x14:iconSet>
          </x14:cfRule>
          <xm:sqref>BS19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$BS$19</xm:f>
              </x14:cfvo>
              <x14:cfvo type="formula" gte="0">
                <xm:f>$BS$19</xm:f>
              </x14:cfvo>
            </x14:iconSet>
          </x14:cfRule>
          <xm:sqref>BT19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$BN$19</xm:f>
              </x14:cfvo>
              <x14:cfvo type="formula" gte="0">
                <xm:f>$BN$19</xm:f>
              </x14:cfvo>
            </x14:iconSet>
          </x14:cfRule>
          <xm:sqref>BU19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BV19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$BV$19</xm:f>
              </x14:cfvo>
              <x14:cfvo type="formula" gte="0">
                <xm:f>$BV$19</xm:f>
              </x14:cfvo>
            </x14:iconSet>
          </x14:cfRule>
          <xm:sqref>BW19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$BW$19</xm:f>
              </x14:cfvo>
              <x14:cfvo type="formula" gte="0">
                <xm:f>$BW$19</xm:f>
              </x14:cfvo>
            </x14:iconSet>
          </x14:cfRule>
          <xm:sqref>BX19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$BX$19</xm:f>
              </x14:cfvo>
              <x14:cfvo type="formula" gte="0">
                <xm:f>$BX$19</xm:f>
              </x14:cfvo>
            </x14:iconSet>
          </x14:cfRule>
          <xm:sqref>BY19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$BP$20</xm:f>
              </x14:cfvo>
              <x14:cfvo type="formula" gte="0">
                <xm:f>$BP$20</xm:f>
              </x14:cfvo>
            </x14:iconSet>
          </x14:cfRule>
          <xm:sqref>CA20:CE20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$BU$20</xm:f>
              </x14:cfvo>
              <x14:cfvo type="formula" gte="0">
                <xm:f>$BU$20</xm:f>
              </x14:cfvo>
            </x14:iconSet>
          </x14:cfRule>
          <xm:sqref>CF20:CJ20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$BT$19</xm:f>
              </x14:cfvo>
              <x14:cfvo type="formula" gte="0">
                <xm:f>$BT$19</xm:f>
              </x14:cfvo>
            </x14:iconSet>
          </x14:cfRule>
          <xm:sqref>CA19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CB19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$CB$19</xm:f>
              </x14:cfvo>
              <x14:cfvo type="formula" gte="0">
                <xm:f>$CB$19</xm:f>
              </x14:cfvo>
            </x14:iconSet>
          </x14:cfRule>
          <xm:sqref>CC19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$CC$19</xm:f>
              </x14:cfvo>
              <x14:cfvo type="formula" gte="0">
                <xm:f>$CC$19</xm:f>
              </x14:cfvo>
            </x14:iconSet>
          </x14:cfRule>
          <xm:sqref>CD19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$CD$19</xm:f>
              </x14:cfvo>
              <x14:cfvo type="formula" gte="0">
                <xm:f>$CD$19</xm:f>
              </x14:cfvo>
            </x14:iconSet>
          </x14:cfRule>
          <xm:sqref>CE19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$BY$19</xm:f>
              </x14:cfvo>
              <x14:cfvo type="formula" gte="0">
                <xm:f>$BY$19</xm:f>
              </x14:cfvo>
            </x14:iconSet>
          </x14:cfRule>
          <xm:sqref>CF19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CG19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$CG$19</xm:f>
              </x14:cfvo>
              <x14:cfvo type="formula" gte="0">
                <xm:f>$CG$19</xm:f>
              </x14:cfvo>
            </x14:iconSet>
          </x14:cfRule>
          <xm:sqref>CH19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$CH$19</xm:f>
              </x14:cfvo>
              <x14:cfvo type="formula" gte="0">
                <xm:f>$CH$19</xm:f>
              </x14:cfvo>
            </x14:iconSet>
          </x14:cfRule>
          <xm:sqref>CI19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$CI$19</xm:f>
              </x14:cfvo>
              <x14:cfvo type="formula" gte="0">
                <xm:f>$CI$19</xm:f>
              </x14:cfvo>
            </x14:iconSet>
          </x14:cfRule>
          <xm:sqref>CJ19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$CE$19</xm:f>
              </x14:cfvo>
              <x14:cfvo type="formula" gte="0">
                <xm:f>$CE$19</xm:f>
              </x14:cfvo>
            </x14:iconSet>
          </x14:cfRule>
          <xm:sqref>CL19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$CA$20</xm:f>
              </x14:cfvo>
              <x14:cfvo type="formula" gte="0">
                <xm:f>$CA$20</xm:f>
              </x14:cfvo>
            </x14:iconSet>
          </x14:cfRule>
          <xm:sqref>CL20:CP20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$CF$20</xm:f>
              </x14:cfvo>
              <x14:cfvo type="formula" gte="0">
                <xm:f>$CF$20</xm:f>
              </x14:cfvo>
            </x14:iconSet>
          </x14:cfRule>
          <xm:sqref>CQ20:CU20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CM19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$CM$19</xm:f>
              </x14:cfvo>
              <x14:cfvo type="formula" gte="0">
                <xm:f>$CM$19</xm:f>
              </x14:cfvo>
            </x14:iconSet>
          </x14:cfRule>
          <xm:sqref>CN19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$CN$19</xm:f>
              </x14:cfvo>
              <x14:cfvo type="formula" gte="0">
                <xm:f>$CN$19</xm:f>
              </x14:cfvo>
            </x14:iconSet>
          </x14:cfRule>
          <xm:sqref>CO19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$CO$19</xm:f>
              </x14:cfvo>
              <x14:cfvo type="formula" gte="0">
                <xm:f>$CO$19</xm:f>
              </x14:cfvo>
            </x14:iconSet>
          </x14:cfRule>
          <xm:sqref>CP19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$CJ$19</xm:f>
              </x14:cfvo>
              <x14:cfvo type="formula" gte="0">
                <xm:f>$CJ$19</xm:f>
              </x14:cfvo>
            </x14:iconSet>
          </x14:cfRule>
          <xm:sqref>CQ19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$CL$20</xm:f>
              </x14:cfvo>
              <x14:cfvo type="formula" gte="0">
                <xm:f>$CL$20</xm:f>
              </x14:cfvo>
            </x14:iconSet>
          </x14:cfRule>
          <xm:sqref>CW20:DA20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$CQ$20</xm:f>
              </x14:cfvo>
              <x14:cfvo type="formula" gte="0">
                <xm:f>$CQ$20</xm:f>
              </x14:cfvo>
            </x14:iconSet>
          </x14:cfRule>
          <xm:sqref>DB20:DF20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CR19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$CR$19</xm:f>
              </x14:cfvo>
              <x14:cfvo type="formula" gte="0">
                <xm:f>$CR$19</xm:f>
              </x14:cfvo>
            </x14:iconSet>
          </x14:cfRule>
          <xm:sqref>CS19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$CS$19</xm:f>
              </x14:cfvo>
              <x14:cfvo type="formula" gte="0">
                <xm:f>$CS$19</xm:f>
              </x14:cfvo>
            </x14:iconSet>
          </x14:cfRule>
          <xm:sqref>CT19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$CT$19</xm:f>
              </x14:cfvo>
              <x14:cfvo type="formula" gte="0">
                <xm:f>$CT$19</xm:f>
              </x14:cfvo>
            </x14:iconSet>
          </x14:cfRule>
          <xm:sqref>CU19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$CP$19</xm:f>
              </x14:cfvo>
              <x14:cfvo type="formula" gte="0">
                <xm:f>$CP$19</xm:f>
              </x14:cfvo>
            </x14:iconSet>
          </x14:cfRule>
          <xm:sqref>CW19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$CU$19</xm:f>
              </x14:cfvo>
              <x14:cfvo type="formula" gte="0">
                <xm:f>$CU$19</xm:f>
              </x14:cfvo>
            </x14:iconSet>
          </x14:cfRule>
          <xm:sqref>DB19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$DA$19</xm:f>
              </x14:cfvo>
              <x14:cfvo type="formula" gte="0">
                <xm:f>$DA$19</xm:f>
              </x14:cfvo>
            </x14:iconSet>
          </x14:cfRule>
          <xm:sqref>DH19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$DF$19</xm:f>
              </x14:cfvo>
              <x14:cfvo type="formula" gte="0">
                <xm:f>$DF$19</xm:f>
              </x14:cfvo>
            </x14:iconSet>
          </x14:cfRule>
          <xm:sqref>DM19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$DL$19</xm:f>
              </x14:cfvo>
              <x14:cfvo type="formula" gte="0">
                <xm:f>$DL$19</xm:f>
              </x14:cfvo>
            </x14:iconSet>
          </x14:cfRule>
          <xm:sqref>DS19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$DQ$19</xm:f>
              </x14:cfvo>
              <x14:cfvo type="formula" gte="0">
                <xm:f>$DQ$19</xm:f>
              </x14:cfvo>
            </x14:iconSet>
          </x14:cfRule>
          <xm:sqref>DX19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$CW$20</xm:f>
              </x14:cfvo>
              <x14:cfvo type="formula" gte="0">
                <xm:f>$CW$20</xm:f>
              </x14:cfvo>
            </x14:iconSet>
          </x14:cfRule>
          <xm:sqref>DH20:DL20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$DB$20</xm:f>
              </x14:cfvo>
              <x14:cfvo type="formula" gte="0">
                <xm:f>$DB$20</xm:f>
              </x14:cfvo>
            </x14:iconSet>
          </x14:cfRule>
          <xm:sqref>DM20:DQ20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$DH$20</xm:f>
              </x14:cfvo>
              <x14:cfvo type="formula" gte="0">
                <xm:f>$DH$20</xm:f>
              </x14:cfvo>
            </x14:iconSet>
          </x14:cfRule>
          <xm:sqref>DS20:DW20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$DM$20</xm:f>
              </x14:cfvo>
              <x14:cfvo type="formula" gte="0">
                <xm:f>$DM$20</xm:f>
              </x14:cfvo>
            </x14:iconSet>
          </x14:cfRule>
          <xm:sqref>DX20:EB20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CX19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$CX$19</xm:f>
              </x14:cfvo>
              <x14:cfvo type="formula" gte="0">
                <xm:f>$CX$19</xm:f>
              </x14:cfvo>
            </x14:iconSet>
          </x14:cfRule>
          <xm:sqref>CY19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$CY$19</xm:f>
              </x14:cfvo>
              <x14:cfvo type="formula" gte="0">
                <xm:f>$CY$19</xm:f>
              </x14:cfvo>
            </x14:iconSet>
          </x14:cfRule>
          <xm:sqref>CZ19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$CZ$19</xm:f>
              </x14:cfvo>
              <x14:cfvo type="formula" gte="0">
                <xm:f>$CZ$19</xm:f>
              </x14:cfvo>
            </x14:iconSet>
          </x14:cfRule>
          <xm:sqref>DA19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DC19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$DC$19</xm:f>
              </x14:cfvo>
              <x14:cfvo type="formula" gte="0">
                <xm:f>$DC$19</xm:f>
              </x14:cfvo>
            </x14:iconSet>
          </x14:cfRule>
          <xm:sqref>DD19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$DD$19</xm:f>
              </x14:cfvo>
              <x14:cfvo type="formula" gte="0">
                <xm:f>$DD$19</xm:f>
              </x14:cfvo>
            </x14:iconSet>
          </x14:cfRule>
          <xm:sqref>DE19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$DE$19</xm:f>
              </x14:cfvo>
              <x14:cfvo type="formula" gte="0">
                <xm:f>$DE$19</xm:f>
              </x14:cfvo>
            </x14:iconSet>
          </x14:cfRule>
          <xm:sqref>DF19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DI19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$DI$19</xm:f>
              </x14:cfvo>
              <x14:cfvo type="formula" gte="0">
                <xm:f>$DI$19</xm:f>
              </x14:cfvo>
            </x14:iconSet>
          </x14:cfRule>
          <xm:sqref>DJ19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$DJ$19</xm:f>
              </x14:cfvo>
              <x14:cfvo type="formula" gte="0">
                <xm:f>$DJ$19</xm:f>
              </x14:cfvo>
            </x14:iconSet>
          </x14:cfRule>
          <xm:sqref>DK19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$DK$19</xm:f>
              </x14:cfvo>
              <x14:cfvo type="formula" gte="0">
                <xm:f>$DK$19</xm:f>
              </x14:cfvo>
            </x14:iconSet>
          </x14:cfRule>
          <xm:sqref>DL19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DN19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$DN$19</xm:f>
              </x14:cfvo>
              <x14:cfvo type="formula" gte="0">
                <xm:f>$DN$19</xm:f>
              </x14:cfvo>
            </x14:iconSet>
          </x14:cfRule>
          <xm:sqref>DO19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N19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$F$19</xm:f>
              </x14:cfvo>
              <x14:cfvo type="formula" gte="0">
                <xm:f>$F$19</xm:f>
              </x14:cfvo>
            </x14:iconSet>
          </x14:cfRule>
          <xm:sqref>M19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$DO$19</xm:f>
              </x14:cfvo>
              <x14:cfvo type="formula" gte="0">
                <xm:f>$DO$19</xm:f>
              </x14:cfvo>
            </x14:iconSet>
          </x14:cfRule>
          <xm:sqref>DP19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$DP$19</xm:f>
              </x14:cfvo>
              <x14:cfvo type="formula" gte="0">
                <xm:f>$DP$19</xm:f>
              </x14:cfvo>
            </x14:iconSet>
          </x14:cfRule>
          <xm:sqref>DQ19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$DS$19</xm:f>
              </x14:cfvo>
              <x14:cfvo type="formula" gte="0">
                <xm:f>$DS$19</xm:f>
              </x14:cfvo>
            </x14:iconSet>
          </x14:cfRule>
          <xm:sqref>DT19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$DT$19</xm:f>
              </x14:cfvo>
              <x14:cfvo type="formula" gte="0">
                <xm:f>$DT$19</xm:f>
              </x14:cfvo>
            </x14:iconSet>
          </x14:cfRule>
          <xm:sqref>DU19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$DU$19</xm:f>
              </x14:cfvo>
              <x14:cfvo type="formula" gte="0">
                <xm:f>$DU$19</xm:f>
              </x14:cfvo>
            </x14:iconSet>
          </x14:cfRule>
          <xm:sqref>DV19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$DV$19</xm:f>
              </x14:cfvo>
              <x14:cfvo type="formula" gte="0">
                <xm:f>$DV$19</xm:f>
              </x14:cfvo>
            </x14:iconSet>
          </x14:cfRule>
          <xm:sqref>DW19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$DX$19</xm:f>
              </x14:cfvo>
              <x14:cfvo type="formula" gte="0">
                <xm:f>$DX$19</xm:f>
              </x14:cfvo>
            </x14:iconSet>
          </x14:cfRule>
          <xm:sqref>DY19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$DY$19</xm:f>
              </x14:cfvo>
              <x14:cfvo type="formula" gte="0">
                <xm:f>$DY$19</xm:f>
              </x14:cfvo>
            </x14:iconSet>
          </x14:cfRule>
          <xm:sqref>DZ19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$DZ$19</xm:f>
              </x14:cfvo>
              <x14:cfvo type="formula" gte="0">
                <xm:f>$DZ$19</xm:f>
              </x14:cfvo>
            </x14:iconSet>
          </x14:cfRule>
          <xm:sqref>EA19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$EA$19</xm:f>
              </x14:cfvo>
              <x14:cfvo type="formula" gte="0">
                <xm:f>$EA$19</xm:f>
              </x14:cfvo>
            </x14:iconSet>
          </x14:cfRule>
          <xm:sqref>EB19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$B$17</xm:f>
              </x14:cfvo>
              <x14:cfvo type="formula" gte="0">
                <xm:f>$B$17</xm:f>
              </x14:cfvo>
            </x14:iconSet>
          </x14:cfRule>
          <xm:sqref>M17:Q17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$G$17</xm:f>
              </x14:cfvo>
              <x14:cfvo type="formula" gte="0">
                <xm:f>$G$17</xm:f>
              </x14:cfvo>
            </x14:iconSet>
          </x14:cfRule>
          <xm:sqref>R17:V17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$M$17</xm:f>
              </x14:cfvo>
              <x14:cfvo type="formula" gte="0">
                <xm:f>$M$17</xm:f>
              </x14:cfvo>
            </x14:iconSet>
          </x14:cfRule>
          <xm:sqref>X17:AB17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$R$17</xm:f>
              </x14:cfvo>
              <x14:cfvo type="formula" gte="0">
                <xm:f>$R$17</xm:f>
              </x14:cfvo>
            </x14:iconSet>
          </x14:cfRule>
          <xm:sqref>AC17:AG17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$X$17</xm:f>
              </x14:cfvo>
              <x14:cfvo type="formula" gte="0">
                <xm:f>$X$17</xm:f>
              </x14:cfvo>
            </x14:iconSet>
          </x14:cfRule>
          <xm:sqref>AI17:AM17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$AC$17</xm:f>
              </x14:cfvo>
              <x14:cfvo type="formula" gte="0">
                <xm:f>$AC$17</xm:f>
              </x14:cfvo>
            </x14:iconSet>
          </x14:cfRule>
          <xm:sqref>AN17:AR17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$AI$17</xm:f>
              </x14:cfvo>
              <x14:cfvo type="formula" gte="0">
                <xm:f>$AI$17</xm:f>
              </x14:cfvo>
            </x14:iconSet>
          </x14:cfRule>
          <xm:sqref>AT17:AX17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$AN$17</xm:f>
              </x14:cfvo>
              <x14:cfvo type="formula" gte="0">
                <xm:f>$AN$17</xm:f>
              </x14:cfvo>
            </x14:iconSet>
          </x14:cfRule>
          <xm:sqref>AY17:BC17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$AT$17</xm:f>
              </x14:cfvo>
              <x14:cfvo type="formula" gte="0">
                <xm:f>$AT$17</xm:f>
              </x14:cfvo>
            </x14:iconSet>
          </x14:cfRule>
          <xm:sqref>BE17:BI17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$AY$17</xm:f>
              </x14:cfvo>
              <x14:cfvo type="formula" gte="0">
                <xm:f>$AY$17</xm:f>
              </x14:cfvo>
            </x14:iconSet>
          </x14:cfRule>
          <xm:sqref>BJ17:BN17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$BE$17</xm:f>
              </x14:cfvo>
              <x14:cfvo type="formula" gte="0">
                <xm:f>$BE$17</xm:f>
              </x14:cfvo>
            </x14:iconSet>
          </x14:cfRule>
          <xm:sqref>BP17:BT17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$BJ$17</xm:f>
              </x14:cfvo>
              <x14:cfvo type="formula" gte="0">
                <xm:f>$BJ$17</xm:f>
              </x14:cfvo>
            </x14:iconSet>
          </x14:cfRule>
          <xm:sqref>BU17:BY17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$BP$17</xm:f>
              </x14:cfvo>
              <x14:cfvo type="formula" gte="0">
                <xm:f>$BP$17</xm:f>
              </x14:cfvo>
            </x14:iconSet>
          </x14:cfRule>
          <xm:sqref>CA17:CE17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$BU$17</xm:f>
              </x14:cfvo>
              <x14:cfvo type="formula" gte="0">
                <xm:f>$BU$17</xm:f>
              </x14:cfvo>
            </x14:iconSet>
          </x14:cfRule>
          <xm:sqref>CF17:CJ17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$CA$17</xm:f>
              </x14:cfvo>
              <x14:cfvo type="formula" gte="0">
                <xm:f>$CA$17</xm:f>
              </x14:cfvo>
            </x14:iconSet>
          </x14:cfRule>
          <xm:sqref>CL17:CP17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$CF$17</xm:f>
              </x14:cfvo>
              <x14:cfvo type="formula" gte="0">
                <xm:f>$CF$17</xm:f>
              </x14:cfvo>
            </x14:iconSet>
          </x14:cfRule>
          <xm:sqref>CQ17:CU17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$CL$17</xm:f>
              </x14:cfvo>
              <x14:cfvo type="formula" gte="0">
                <xm:f>$CL$17</xm:f>
              </x14:cfvo>
            </x14:iconSet>
          </x14:cfRule>
          <xm:sqref>CW17:DA17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$CQ$17</xm:f>
              </x14:cfvo>
              <x14:cfvo type="formula" gte="0">
                <xm:f>$CQ$17</xm:f>
              </x14:cfvo>
            </x14:iconSet>
          </x14:cfRule>
          <xm:sqref>DB17:DF17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$CW$17</xm:f>
              </x14:cfvo>
              <x14:cfvo type="formula" gte="0">
                <xm:f>$CW$17</xm:f>
              </x14:cfvo>
            </x14:iconSet>
          </x14:cfRule>
          <xm:sqref>DH17:DL17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$DB$17</xm:f>
              </x14:cfvo>
              <x14:cfvo type="formula" gte="0">
                <xm:f>$DB$17</xm:f>
              </x14:cfvo>
            </x14:iconSet>
          </x14:cfRule>
          <xm:sqref>DM17:DQ17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$DH$17</xm:f>
              </x14:cfvo>
              <x14:cfvo type="formula" gte="0">
                <xm:f>$DH$17</xm:f>
              </x14:cfvo>
            </x14:iconSet>
          </x14:cfRule>
          <xm:sqref>DS17:DW17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$DM$17</xm:f>
              </x14:cfvo>
              <x14:cfvo type="formula" gte="0">
                <xm:f>$DM$17</xm:f>
              </x14:cfvo>
            </x14:iconSet>
          </x14:cfRule>
          <xm:sqref>DX17:EB17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ED41A-D0D4-435D-866E-BC7638CE78E2}">
  <dimension ref="B4:D11"/>
  <sheetViews>
    <sheetView workbookViewId="0">
      <selection activeCell="B4" sqref="B4:D7"/>
    </sheetView>
  </sheetViews>
  <sheetFormatPr defaultRowHeight="15" x14ac:dyDescent="0.25"/>
  <cols>
    <col min="2" max="2" width="12" customWidth="1"/>
    <col min="3" max="3" width="44" bestFit="1" customWidth="1"/>
    <col min="4" max="4" width="52" bestFit="1" customWidth="1"/>
  </cols>
  <sheetData>
    <row r="4" spans="2:4" x14ac:dyDescent="0.25">
      <c r="B4" t="s">
        <v>79</v>
      </c>
      <c r="C4" t="s">
        <v>80</v>
      </c>
      <c r="D4" t="s">
        <v>81</v>
      </c>
    </row>
    <row r="5" spans="2:4" x14ac:dyDescent="0.25">
      <c r="B5" s="54"/>
      <c r="C5" t="s">
        <v>72</v>
      </c>
      <c r="D5" t="s">
        <v>76</v>
      </c>
    </row>
    <row r="6" spans="2:4" x14ac:dyDescent="0.25">
      <c r="B6" s="55"/>
      <c r="C6" t="s">
        <v>73</v>
      </c>
      <c r="D6" t="s">
        <v>77</v>
      </c>
    </row>
    <row r="7" spans="2:4" x14ac:dyDescent="0.25">
      <c r="B7" s="56"/>
      <c r="C7" t="s">
        <v>74</v>
      </c>
      <c r="D7" t="s">
        <v>78</v>
      </c>
    </row>
    <row r="11" spans="2:4" x14ac:dyDescent="0.25">
      <c r="B11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D76E4-A10D-40AF-8128-C2BEC2CCE8ED}">
  <dimension ref="A1:Y2"/>
  <sheetViews>
    <sheetView workbookViewId="0">
      <selection activeCell="C11" sqref="C11"/>
    </sheetView>
  </sheetViews>
  <sheetFormatPr defaultRowHeight="15" x14ac:dyDescent="0.25"/>
  <cols>
    <col min="2" max="2" width="17.7109375" bestFit="1" customWidth="1"/>
    <col min="3" max="3" width="19.42578125" bestFit="1" customWidth="1"/>
    <col min="4" max="4" width="17.7109375" bestFit="1" customWidth="1"/>
    <col min="5" max="5" width="19.42578125" bestFit="1" customWidth="1"/>
    <col min="6" max="6" width="17.7109375" bestFit="1" customWidth="1"/>
    <col min="7" max="7" width="19.42578125" bestFit="1" customWidth="1"/>
    <col min="8" max="8" width="17.7109375" bestFit="1" customWidth="1"/>
    <col min="9" max="9" width="19.42578125" bestFit="1" customWidth="1"/>
    <col min="10" max="10" width="17.7109375" bestFit="1" customWidth="1"/>
    <col min="11" max="11" width="19.42578125" bestFit="1" customWidth="1"/>
    <col min="12" max="12" width="17.7109375" bestFit="1" customWidth="1"/>
    <col min="13" max="13" width="19.42578125" bestFit="1" customWidth="1"/>
    <col min="14" max="14" width="17.7109375" bestFit="1" customWidth="1"/>
    <col min="15" max="15" width="19.42578125" bestFit="1" customWidth="1"/>
    <col min="16" max="16" width="17.7109375" bestFit="1" customWidth="1"/>
    <col min="17" max="17" width="19.42578125" bestFit="1" customWidth="1"/>
    <col min="18" max="18" width="17.7109375" bestFit="1" customWidth="1"/>
    <col min="19" max="19" width="19.42578125" bestFit="1" customWidth="1"/>
    <col min="20" max="20" width="17.7109375" bestFit="1" customWidth="1"/>
    <col min="21" max="21" width="19.42578125" bestFit="1" customWidth="1"/>
    <col min="22" max="22" width="17.7109375" bestFit="1" customWidth="1"/>
    <col min="23" max="23" width="19.42578125" bestFit="1" customWidth="1"/>
    <col min="24" max="24" width="17.7109375" bestFit="1" customWidth="1"/>
    <col min="25" max="25" width="19.42578125" bestFit="1" customWidth="1"/>
  </cols>
  <sheetData>
    <row r="1" spans="1:25" x14ac:dyDescent="0.25">
      <c r="A1" t="s">
        <v>67</v>
      </c>
      <c r="B1" s="59" t="s">
        <v>44</v>
      </c>
      <c r="C1" s="59"/>
      <c r="D1" s="59" t="s">
        <v>42</v>
      </c>
      <c r="E1" s="59"/>
      <c r="F1" s="59" t="s">
        <v>45</v>
      </c>
      <c r="G1" s="59"/>
      <c r="H1" s="59" t="s">
        <v>46</v>
      </c>
      <c r="I1" s="59"/>
      <c r="J1" s="59" t="s">
        <v>47</v>
      </c>
      <c r="K1" s="59"/>
      <c r="L1" s="59" t="s">
        <v>48</v>
      </c>
      <c r="M1" s="59"/>
      <c r="N1" s="59" t="s">
        <v>49</v>
      </c>
      <c r="O1" s="59"/>
      <c r="P1" s="59" t="s">
        <v>50</v>
      </c>
      <c r="Q1" s="59"/>
      <c r="R1" s="59" t="s">
        <v>51</v>
      </c>
      <c r="S1" s="59"/>
      <c r="T1" s="59" t="s">
        <v>52</v>
      </c>
      <c r="U1" s="59"/>
      <c r="V1" s="59" t="s">
        <v>53</v>
      </c>
      <c r="W1" s="59"/>
      <c r="X1" s="59" t="s">
        <v>54</v>
      </c>
      <c r="Y1" s="59"/>
    </row>
    <row r="2" spans="1:25" x14ac:dyDescent="0.25">
      <c r="B2" t="s">
        <v>29</v>
      </c>
      <c r="C2" t="s">
        <v>30</v>
      </c>
      <c r="D2" t="s">
        <v>29</v>
      </c>
      <c r="E2" t="s">
        <v>30</v>
      </c>
      <c r="F2" t="s">
        <v>29</v>
      </c>
      <c r="G2" t="s">
        <v>30</v>
      </c>
      <c r="H2" t="s">
        <v>29</v>
      </c>
      <c r="I2" t="s">
        <v>30</v>
      </c>
      <c r="J2" t="s">
        <v>29</v>
      </c>
      <c r="K2" t="s">
        <v>30</v>
      </c>
      <c r="L2" t="s">
        <v>29</v>
      </c>
      <c r="M2" t="s">
        <v>30</v>
      </c>
      <c r="N2" t="s">
        <v>29</v>
      </c>
      <c r="O2" t="s">
        <v>30</v>
      </c>
      <c r="P2" t="s">
        <v>29</v>
      </c>
      <c r="Q2" t="s">
        <v>30</v>
      </c>
      <c r="R2" t="s">
        <v>29</v>
      </c>
      <c r="S2" t="s">
        <v>30</v>
      </c>
      <c r="T2" t="s">
        <v>29</v>
      </c>
      <c r="U2" t="s">
        <v>30</v>
      </c>
      <c r="V2" t="s">
        <v>29</v>
      </c>
      <c r="W2" t="s">
        <v>30</v>
      </c>
      <c r="X2" t="s">
        <v>29</v>
      </c>
      <c r="Y2" t="s">
        <v>30</v>
      </c>
    </row>
  </sheetData>
  <mergeCells count="12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511E6-E212-4F1C-8703-07520F24C10C}">
  <dimension ref="A1:A13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66</v>
      </c>
    </row>
    <row r="2" spans="1:1" x14ac:dyDescent="0.25">
      <c r="A2" t="s">
        <v>46</v>
      </c>
    </row>
    <row r="3" spans="1:1" x14ac:dyDescent="0.25">
      <c r="A3" t="s">
        <v>50</v>
      </c>
    </row>
    <row r="4" spans="1:1" x14ac:dyDescent="0.25">
      <c r="A4" t="s">
        <v>54</v>
      </c>
    </row>
    <row r="5" spans="1:1" x14ac:dyDescent="0.25">
      <c r="A5" t="s">
        <v>42</v>
      </c>
    </row>
    <row r="7" spans="1:1" x14ac:dyDescent="0.25">
      <c r="A7" t="s">
        <v>49</v>
      </c>
    </row>
    <row r="8" spans="1:1" x14ac:dyDescent="0.25">
      <c r="A8" t="s">
        <v>48</v>
      </c>
    </row>
    <row r="9" spans="1:1" x14ac:dyDescent="0.25">
      <c r="A9" t="s">
        <v>45</v>
      </c>
    </row>
    <row r="10" spans="1:1" x14ac:dyDescent="0.25">
      <c r="A10" t="s">
        <v>47</v>
      </c>
    </row>
    <row r="11" spans="1:1" x14ac:dyDescent="0.25">
      <c r="A11" t="s">
        <v>53</v>
      </c>
    </row>
    <row r="12" spans="1:1" x14ac:dyDescent="0.25">
      <c r="A12" t="s">
        <v>52</v>
      </c>
    </row>
    <row r="13" spans="1:1" x14ac:dyDescent="0.25">
      <c r="A13" t="s">
        <v>51</v>
      </c>
    </row>
  </sheetData>
  <autoFilter ref="A1:A135" xr:uid="{EDE511E6-E212-4F1C-8703-07520F24C10C}">
    <sortState xmlns:xlrd2="http://schemas.microsoft.com/office/spreadsheetml/2017/richdata2" ref="A2:A135">
      <sortCondition ref="A1:A135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B8A2-1D2B-40CD-9181-60B098D0D7FD}">
  <sheetPr codeName="Sheet5"/>
  <dimension ref="A1:C8"/>
  <sheetViews>
    <sheetView workbookViewId="0">
      <selection activeCell="C1" sqref="C1"/>
    </sheetView>
  </sheetViews>
  <sheetFormatPr defaultRowHeight="15" x14ac:dyDescent="0.25"/>
  <cols>
    <col min="1" max="1" width="12.7109375" customWidth="1"/>
  </cols>
  <sheetData>
    <row r="1" spans="1:3" x14ac:dyDescent="0.25">
      <c r="A1" t="s">
        <v>22</v>
      </c>
      <c r="C1" t="s">
        <v>36</v>
      </c>
    </row>
    <row r="2" spans="1:3" x14ac:dyDescent="0.25">
      <c r="A2" t="s">
        <v>18</v>
      </c>
    </row>
    <row r="3" spans="1:3" x14ac:dyDescent="0.25">
      <c r="A3" t="s">
        <v>23</v>
      </c>
    </row>
    <row r="4" spans="1:3" x14ac:dyDescent="0.25">
      <c r="A4" t="s">
        <v>21</v>
      </c>
    </row>
    <row r="5" spans="1:3" x14ac:dyDescent="0.25">
      <c r="A5" t="s">
        <v>33</v>
      </c>
    </row>
    <row r="6" spans="1:3" x14ac:dyDescent="0.25">
      <c r="A6" t="s">
        <v>35</v>
      </c>
    </row>
    <row r="7" spans="1:3" x14ac:dyDescent="0.25">
      <c r="A7" t="s">
        <v>19</v>
      </c>
    </row>
    <row r="8" spans="1:3" x14ac:dyDescent="0.25">
      <c r="A8" t="s">
        <v>34</v>
      </c>
    </row>
  </sheetData>
  <sortState xmlns:xlrd2="http://schemas.microsoft.com/office/spreadsheetml/2017/richdata2" ref="A1:A8">
    <sortCondition ref="A1:A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CC1_UserInput</vt:lpstr>
      <vt:lpstr>Temp_REPORT1</vt:lpstr>
      <vt:lpstr>Sheet6</vt:lpstr>
      <vt:lpstr>RESUME1</vt:lpstr>
      <vt:lpstr>Sheet5</vt:lpstr>
      <vt:lpstr>DM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2024-10-05T07:20:09Z</dcterms:modified>
</cp:coreProperties>
</file>